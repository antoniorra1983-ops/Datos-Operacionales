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51600" windowHeight="17235" tabRatio="462" activeTab="1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H234" i="2" l="1"/>
  <c r="I232" i="2"/>
  <c r="H232" i="2"/>
  <c r="I231" i="2"/>
  <c r="H231" i="2"/>
  <c r="L237" i="2"/>
  <c r="K237" i="2"/>
  <c r="I237" i="2"/>
  <c r="J237" i="2" s="1"/>
  <c r="H237" i="2"/>
  <c r="F237" i="2"/>
  <c r="E237" i="2"/>
  <c r="C237" i="2"/>
  <c r="B237" i="2"/>
  <c r="D237" i="2"/>
  <c r="AG26" i="4"/>
  <c r="AG25" i="4"/>
  <c r="AG27" i="4"/>
  <c r="AF27" i="4"/>
  <c r="AF26" i="4"/>
  <c r="AF25" i="4"/>
  <c r="AG10" i="4"/>
  <c r="AG9" i="4"/>
  <c r="AG8" i="4"/>
  <c r="AG7" i="4"/>
  <c r="AG6" i="4"/>
  <c r="AG5" i="4"/>
  <c r="AG19" i="4"/>
  <c r="AG18" i="4"/>
  <c r="AG17" i="4"/>
  <c r="AG16" i="4"/>
  <c r="AG15" i="4"/>
  <c r="AG23" i="4"/>
  <c r="AG13" i="4"/>
  <c r="BL64" i="3"/>
  <c r="BL54" i="3"/>
  <c r="BM42" i="3"/>
  <c r="M237" i="2" l="1"/>
  <c r="G237" i="2"/>
  <c r="AG37" i="4"/>
  <c r="AG34" i="4"/>
  <c r="AG36" i="4"/>
  <c r="AG35" i="4"/>
  <c r="M224" i="2"/>
  <c r="B33" i="13" s="1"/>
  <c r="C224" i="2" l="1"/>
  <c r="B224" i="2"/>
  <c r="E223" i="2"/>
  <c r="D219" i="2"/>
  <c r="E219" i="2"/>
  <c r="D220" i="2"/>
  <c r="E220" i="2"/>
  <c r="D221" i="2"/>
  <c r="E221" i="2"/>
  <c r="D222" i="2"/>
  <c r="E222" i="2"/>
  <c r="D223" i="2"/>
  <c r="E218" i="2"/>
  <c r="D218" i="2"/>
  <c r="E217" i="2"/>
  <c r="D217" i="2"/>
  <c r="BM43" i="3"/>
  <c r="D224" i="2" l="1"/>
  <c r="H33" i="13" s="1"/>
  <c r="E224" i="2"/>
  <c r="H223" i="2"/>
  <c r="J223" i="2"/>
  <c r="L223" i="2"/>
  <c r="G223" i="2"/>
  <c r="I223" i="2" s="1"/>
  <c r="G235" i="2"/>
  <c r="G236" i="2"/>
  <c r="F236" i="2"/>
  <c r="F235" i="2"/>
  <c r="E236" i="2"/>
  <c r="E235" i="2"/>
  <c r="D235" i="2"/>
  <c r="D236" i="2"/>
  <c r="C236" i="2"/>
  <c r="C235" i="2"/>
  <c r="B235" i="2"/>
  <c r="B236" i="2"/>
  <c r="AF11" i="4"/>
  <c r="BJ63" i="3"/>
  <c r="AF22" i="4" s="1"/>
  <c r="BJ62" i="3"/>
  <c r="AF21" i="4" s="1"/>
  <c r="BJ53" i="3"/>
  <c r="AF12" i="4" s="1"/>
  <c r="BJ52" i="3"/>
  <c r="BJ41" i="3"/>
  <c r="BK41" i="3"/>
  <c r="E215" i="2" s="1"/>
  <c r="I236" i="2" s="1"/>
  <c r="BK40" i="3"/>
  <c r="E214" i="2" s="1"/>
  <c r="I235" i="2" s="1"/>
  <c r="BJ40" i="3"/>
  <c r="D214" i="2" s="1"/>
  <c r="H235" i="2" s="1"/>
  <c r="C216" i="2"/>
  <c r="B216" i="2"/>
  <c r="U223" i="2" l="1"/>
  <c r="K223" i="2"/>
  <c r="J235" i="2"/>
  <c r="K235" i="2" s="1"/>
  <c r="L235" i="2"/>
  <c r="M235" i="2" s="1"/>
  <c r="D215" i="2"/>
  <c r="H236" i="2" s="1"/>
  <c r="G215" i="2"/>
  <c r="H215" i="2"/>
  <c r="L215" i="2" s="1"/>
  <c r="J236" i="2" l="1"/>
  <c r="K236" i="2" s="1"/>
  <c r="L236" i="2"/>
  <c r="M236" i="2" s="1"/>
  <c r="I215" i="2"/>
  <c r="U215" i="2" s="1"/>
  <c r="J215" i="2"/>
  <c r="K215" i="2" l="1"/>
  <c r="W79" i="1" l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81" i="1" l="1"/>
  <c r="B230" i="2"/>
  <c r="C230" i="2"/>
  <c r="B231" i="2"/>
  <c r="C231" i="2"/>
  <c r="B232" i="2"/>
  <c r="C232" i="2"/>
  <c r="B233" i="2"/>
  <c r="C233" i="2"/>
  <c r="B234" i="2"/>
  <c r="C234" i="2"/>
  <c r="C229" i="2"/>
  <c r="B229" i="2"/>
  <c r="H218" i="2" l="1"/>
  <c r="L218" i="2" s="1"/>
  <c r="H217" i="2"/>
  <c r="G218" i="2"/>
  <c r="I218" i="2" s="1"/>
  <c r="K218" i="2" s="1"/>
  <c r="G217" i="2"/>
  <c r="J217" i="2" l="1"/>
  <c r="L217" i="2"/>
  <c r="J218" i="2"/>
  <c r="I217" i="2"/>
  <c r="K217" i="2" l="1"/>
  <c r="BJ46" i="3"/>
  <c r="BL46" i="3"/>
  <c r="BJ47" i="3"/>
  <c r="BL47" i="3"/>
  <c r="BJ48" i="3"/>
  <c r="BL48" i="3"/>
  <c r="BJ49" i="3"/>
  <c r="BL49" i="3"/>
  <c r="BJ50" i="3"/>
  <c r="BL50" i="3"/>
  <c r="BJ51" i="3"/>
  <c r="BL51" i="3"/>
  <c r="BJ56" i="3"/>
  <c r="BL56" i="3"/>
  <c r="BJ57" i="3"/>
  <c r="BL57" i="3"/>
  <c r="BJ58" i="3"/>
  <c r="BL58" i="3"/>
  <c r="BJ59" i="3"/>
  <c r="BL59" i="3"/>
  <c r="BJ60" i="3"/>
  <c r="BL60" i="3"/>
  <c r="BJ61" i="3"/>
  <c r="BL61" i="3"/>
  <c r="BJ34" i="3"/>
  <c r="BK34" i="3"/>
  <c r="BJ35" i="3"/>
  <c r="BK35" i="3"/>
  <c r="BJ36" i="3"/>
  <c r="BK36" i="3"/>
  <c r="BJ37" i="3"/>
  <c r="BK37" i="3"/>
  <c r="BJ38" i="3"/>
  <c r="BK38" i="3"/>
  <c r="BJ39" i="3"/>
  <c r="BK39" i="3"/>
  <c r="BJ43" i="3" l="1"/>
  <c r="E208" i="2"/>
  <c r="I229" i="2" s="1"/>
  <c r="BK43" i="3"/>
  <c r="H222" i="2"/>
  <c r="G222" i="2"/>
  <c r="I222" i="2" s="1"/>
  <c r="H220" i="2"/>
  <c r="G220" i="2"/>
  <c r="I220" i="2" s="1"/>
  <c r="K220" i="2" s="1"/>
  <c r="H221" i="2"/>
  <c r="G221" i="2"/>
  <c r="I221" i="2" s="1"/>
  <c r="K221" i="2" s="1"/>
  <c r="H219" i="2"/>
  <c r="H224" i="2" s="1"/>
  <c r="G219" i="2"/>
  <c r="G224" i="2" s="1"/>
  <c r="C207" i="2"/>
  <c r="B207" i="2"/>
  <c r="C200" i="2"/>
  <c r="B200" i="2"/>
  <c r="C193" i="2"/>
  <c r="B193" i="2"/>
  <c r="K222" i="2" l="1"/>
  <c r="U222" i="2"/>
  <c r="L222" i="2"/>
  <c r="J222" i="2"/>
  <c r="L219" i="2"/>
  <c r="J219" i="2"/>
  <c r="J220" i="2"/>
  <c r="L220" i="2"/>
  <c r="I219" i="2"/>
  <c r="I224" i="2" s="1"/>
  <c r="L221" i="2"/>
  <c r="J221" i="2"/>
  <c r="C172" i="2"/>
  <c r="B172" i="2"/>
  <c r="C165" i="2"/>
  <c r="B165" i="2"/>
  <c r="C186" i="2"/>
  <c r="B186" i="2"/>
  <c r="C179" i="2"/>
  <c r="B179" i="2"/>
  <c r="J224" i="2" l="1"/>
  <c r="L224" i="2"/>
  <c r="K219" i="2"/>
  <c r="K224" i="2" s="1"/>
  <c r="AR56" i="3"/>
  <c r="AR57" i="3"/>
  <c r="AR58" i="3"/>
  <c r="AR59" i="3"/>
  <c r="AR60" i="3"/>
  <c r="AR61" i="3"/>
  <c r="AR46" i="3"/>
  <c r="AR47" i="3"/>
  <c r="AR48" i="3"/>
  <c r="AR49" i="3"/>
  <c r="AR50" i="3"/>
  <c r="AR51" i="3"/>
  <c r="AR34" i="3"/>
  <c r="AS34" i="3"/>
  <c r="AR35" i="3"/>
  <c r="AS35" i="3"/>
  <c r="AR36" i="3"/>
  <c r="AS36" i="3"/>
  <c r="AR37" i="3"/>
  <c r="AS37" i="3"/>
  <c r="AR38" i="3"/>
  <c r="AS38" i="3"/>
  <c r="AR39" i="3"/>
  <c r="AS39" i="3"/>
  <c r="AP56" i="3" l="1"/>
  <c r="AP57" i="3"/>
  <c r="AP58" i="3"/>
  <c r="AP59" i="3"/>
  <c r="AP60" i="3"/>
  <c r="AP61" i="3"/>
  <c r="AP46" i="3"/>
  <c r="AP47" i="3"/>
  <c r="AP48" i="3"/>
  <c r="AP49" i="3"/>
  <c r="AP50" i="3"/>
  <c r="AP51" i="3"/>
  <c r="AP34" i="3"/>
  <c r="AQ34" i="3"/>
  <c r="AP35" i="3"/>
  <c r="AQ35" i="3"/>
  <c r="AP36" i="3"/>
  <c r="AQ36" i="3"/>
  <c r="AP37" i="3"/>
  <c r="AQ37" i="3"/>
  <c r="AP38" i="3"/>
  <c r="AQ38" i="3"/>
  <c r="AP39" i="3"/>
  <c r="AQ39" i="3"/>
  <c r="AN56" i="3" l="1"/>
  <c r="AN57" i="3"/>
  <c r="AN58" i="3"/>
  <c r="AN59" i="3"/>
  <c r="AN60" i="3"/>
  <c r="AN61" i="3"/>
  <c r="AN46" i="3"/>
  <c r="AN47" i="3"/>
  <c r="AN48" i="3"/>
  <c r="AN49" i="3"/>
  <c r="AN50" i="3"/>
  <c r="AN51" i="3"/>
  <c r="AN34" i="3"/>
  <c r="AO34" i="3"/>
  <c r="AN35" i="3"/>
  <c r="AO35" i="3"/>
  <c r="AN36" i="3"/>
  <c r="AO36" i="3"/>
  <c r="AN37" i="3"/>
  <c r="AO37" i="3"/>
  <c r="AN38" i="3"/>
  <c r="AO38" i="3"/>
  <c r="AN39" i="3"/>
  <c r="AO39" i="3"/>
  <c r="AL57" i="3" l="1"/>
  <c r="AL58" i="3"/>
  <c r="AL59" i="3"/>
  <c r="AL60" i="3"/>
  <c r="AL61" i="3"/>
  <c r="AL56" i="3"/>
  <c r="AL47" i="3"/>
  <c r="AL48" i="3"/>
  <c r="AL49" i="3"/>
  <c r="AL50" i="3"/>
  <c r="AL51" i="3"/>
  <c r="AL46" i="3"/>
  <c r="AL34" i="3"/>
  <c r="AM34" i="3"/>
  <c r="AL35" i="3"/>
  <c r="AM35" i="3"/>
  <c r="AL36" i="3"/>
  <c r="AM36" i="3"/>
  <c r="AL37" i="3"/>
  <c r="AM37" i="3"/>
  <c r="AL38" i="3"/>
  <c r="AM38" i="3"/>
  <c r="AL39" i="3"/>
  <c r="AM39" i="3"/>
  <c r="C88" i="2" l="1"/>
  <c r="B88" i="2"/>
  <c r="C95" i="2" l="1"/>
  <c r="B95" i="2"/>
  <c r="C74" i="2" l="1"/>
  <c r="B74" i="2"/>
  <c r="C67" i="2" l="1"/>
  <c r="B67" i="2"/>
  <c r="H26" i="4" l="1"/>
  <c r="AD27" i="4" l="1"/>
  <c r="AD26" i="4"/>
  <c r="AD25" i="4"/>
  <c r="S27" i="4" l="1"/>
  <c r="S26" i="4"/>
  <c r="S25" i="4"/>
  <c r="R27" i="4"/>
  <c r="R26" i="4"/>
  <c r="R25" i="4"/>
  <c r="H27" i="4" l="1"/>
  <c r="H25" i="4"/>
  <c r="C60" i="2" l="1"/>
  <c r="B60" i="2"/>
  <c r="B32" i="2" l="1"/>
  <c r="C32" i="2"/>
  <c r="G33" i="13" l="1"/>
  <c r="C158" i="2"/>
  <c r="B158" i="2"/>
  <c r="C151" i="2"/>
  <c r="B151" i="2"/>
  <c r="C144" i="2"/>
  <c r="B144" i="2"/>
  <c r="C137" i="2"/>
  <c r="B137" i="2"/>
  <c r="C109" i="2"/>
  <c r="B109" i="2"/>
  <c r="C102" i="2"/>
  <c r="B102" i="2"/>
  <c r="C25" i="2"/>
  <c r="B25" i="2"/>
  <c r="C18" i="2"/>
  <c r="B18" i="2"/>
  <c r="C11" i="2"/>
  <c r="B11" i="2"/>
  <c r="C53" i="2"/>
  <c r="B53" i="2"/>
  <c r="C46" i="2"/>
  <c r="B46" i="2"/>
  <c r="C39" i="2"/>
  <c r="B39" i="2"/>
  <c r="BM27" i="3"/>
  <c r="BL27" i="3"/>
  <c r="BG27" i="3"/>
  <c r="BF27" i="3"/>
  <c r="BE27" i="3"/>
  <c r="BD27" i="3"/>
  <c r="BC27" i="3"/>
  <c r="BB27" i="3"/>
  <c r="AU27" i="3"/>
  <c r="AT27" i="3"/>
  <c r="AS27" i="3"/>
  <c r="AR27" i="3"/>
  <c r="AQ27" i="3"/>
  <c r="AP27" i="3"/>
  <c r="AO27" i="3"/>
  <c r="AN27" i="3"/>
  <c r="AM27" i="3"/>
  <c r="AL27" i="3"/>
  <c r="AG27" i="3"/>
  <c r="AF27" i="3"/>
  <c r="AE27" i="3"/>
  <c r="AD27" i="3"/>
  <c r="AC27" i="3"/>
  <c r="AB27" i="3"/>
  <c r="AA27" i="3"/>
  <c r="Z27" i="3"/>
  <c r="S27" i="3"/>
  <c r="R27" i="3"/>
  <c r="Q27" i="3"/>
  <c r="P27" i="3"/>
  <c r="O27" i="3"/>
  <c r="N27" i="3"/>
  <c r="M27" i="3"/>
  <c r="L27" i="3"/>
  <c r="F27" i="3"/>
  <c r="E27" i="3"/>
  <c r="D27" i="3"/>
  <c r="BM39" i="3"/>
  <c r="BL39" i="3"/>
  <c r="BM38" i="3"/>
  <c r="BL38" i="3"/>
  <c r="BM37" i="3"/>
  <c r="BL37" i="3"/>
  <c r="BM36" i="3"/>
  <c r="BL36" i="3"/>
  <c r="BM35" i="3"/>
  <c r="BL35" i="3"/>
  <c r="BM34" i="3"/>
  <c r="BL34" i="3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G39" i="4" l="1"/>
  <c r="AF81" i="1"/>
  <c r="AG40" i="4"/>
  <c r="BL43" i="3"/>
  <c r="AG41" i="4" l="1"/>
  <c r="K33" i="13" s="1"/>
  <c r="AG38" i="4"/>
  <c r="C123" i="2" l="1"/>
  <c r="B123" i="2"/>
  <c r="BA27" i="3" l="1"/>
  <c r="AZ27" i="3"/>
  <c r="AY27" i="3"/>
  <c r="AX27" i="3"/>
  <c r="AK27" i="3"/>
  <c r="AJ27" i="3"/>
  <c r="Y27" i="3"/>
  <c r="X27" i="3"/>
  <c r="W27" i="3"/>
  <c r="V27" i="3"/>
  <c r="U219" i="2" l="1"/>
  <c r="U220" i="2"/>
  <c r="U221" i="2" l="1"/>
  <c r="U217" i="2"/>
  <c r="U218" i="2"/>
  <c r="S229" i="2"/>
  <c r="U224" i="2" l="1"/>
  <c r="G32" i="13"/>
  <c r="N224" i="2" l="1"/>
  <c r="F33" i="13" s="1"/>
  <c r="D33" i="13"/>
  <c r="K27" i="3"/>
  <c r="J27" i="3"/>
  <c r="C130" i="2"/>
  <c r="B130" i="2"/>
  <c r="C81" i="2"/>
  <c r="B81" i="2"/>
  <c r="AE79" i="1" l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F19" i="4"/>
  <c r="AF18" i="4"/>
  <c r="AF17" i="4"/>
  <c r="AF16" i="4"/>
  <c r="AF15" i="4"/>
  <c r="AF10" i="4"/>
  <c r="AF9" i="4"/>
  <c r="AF8" i="4"/>
  <c r="AF7" i="4"/>
  <c r="AF6" i="4"/>
  <c r="AF5" i="4"/>
  <c r="AF37" i="4" s="1"/>
  <c r="E213" i="2"/>
  <c r="D213" i="2"/>
  <c r="E212" i="2"/>
  <c r="D212" i="2"/>
  <c r="E211" i="2"/>
  <c r="D211" i="2"/>
  <c r="E210" i="2"/>
  <c r="D210" i="2"/>
  <c r="E209" i="2"/>
  <c r="I230" i="2" s="1"/>
  <c r="I239" i="2" s="1"/>
  <c r="D209" i="2"/>
  <c r="H230" i="2" s="1"/>
  <c r="D208" i="2"/>
  <c r="H229" i="2" s="1"/>
  <c r="BK27" i="3"/>
  <c r="BJ27" i="3"/>
  <c r="H239" i="2" l="1"/>
  <c r="AF36" i="4"/>
  <c r="AE81" i="1"/>
  <c r="M216" i="2" s="1"/>
  <c r="B32" i="13" s="1"/>
  <c r="AF34" i="4"/>
  <c r="AF35" i="4"/>
  <c r="AF40" i="4" s="1"/>
  <c r="E216" i="2" l="1"/>
  <c r="D216" i="2"/>
  <c r="D61" i="3"/>
  <c r="D60" i="3"/>
  <c r="D59" i="3"/>
  <c r="D58" i="3"/>
  <c r="D57" i="3"/>
  <c r="D56" i="3"/>
  <c r="D51" i="3"/>
  <c r="D50" i="3"/>
  <c r="D49" i="3"/>
  <c r="D48" i="3"/>
  <c r="D47" i="3"/>
  <c r="D46" i="3"/>
  <c r="E39" i="3"/>
  <c r="E10" i="2" s="1"/>
  <c r="D39" i="3"/>
  <c r="D10" i="2" s="1"/>
  <c r="E38" i="3"/>
  <c r="E9" i="2" s="1"/>
  <c r="D38" i="3"/>
  <c r="D9" i="2" s="1"/>
  <c r="E37" i="3"/>
  <c r="E8" i="2" s="1"/>
  <c r="D37" i="3"/>
  <c r="D8" i="2" s="1"/>
  <c r="E36" i="3"/>
  <c r="E7" i="2" s="1"/>
  <c r="D36" i="3"/>
  <c r="D7" i="2" s="1"/>
  <c r="E35" i="3"/>
  <c r="E6" i="2" s="1"/>
  <c r="D35" i="3"/>
  <c r="D6" i="2" s="1"/>
  <c r="E34" i="3"/>
  <c r="E5" i="2" s="1"/>
  <c r="D34" i="3"/>
  <c r="D5" i="2" s="1"/>
  <c r="U35" i="3"/>
  <c r="U37" i="3"/>
  <c r="G214" i="2" l="1"/>
  <c r="H214" i="2"/>
  <c r="L214" i="2" s="1"/>
  <c r="E11" i="2"/>
  <c r="G5" i="2"/>
  <c r="I5" i="2" s="1"/>
  <c r="H5" i="2"/>
  <c r="D11" i="2"/>
  <c r="G6" i="2"/>
  <c r="H6" i="2"/>
  <c r="G7" i="2"/>
  <c r="I7" i="2" s="1"/>
  <c r="K7" i="2" s="1"/>
  <c r="H7" i="2"/>
  <c r="G8" i="2"/>
  <c r="I8" i="2" s="1"/>
  <c r="K8" i="2" s="1"/>
  <c r="H8" i="2"/>
  <c r="H9" i="2"/>
  <c r="G9" i="2"/>
  <c r="I9" i="2" s="1"/>
  <c r="K9" i="2" s="1"/>
  <c r="H10" i="2"/>
  <c r="G10" i="2"/>
  <c r="I10" i="2" s="1"/>
  <c r="K10" i="2" s="1"/>
  <c r="D43" i="3"/>
  <c r="E43" i="3"/>
  <c r="BB56" i="3"/>
  <c r="BB57" i="3"/>
  <c r="BB58" i="3"/>
  <c r="BB59" i="3"/>
  <c r="BB60" i="3"/>
  <c r="BB61" i="3"/>
  <c r="BB46" i="3"/>
  <c r="BB47" i="3"/>
  <c r="BB48" i="3"/>
  <c r="BB49" i="3"/>
  <c r="BB50" i="3"/>
  <c r="BB51" i="3"/>
  <c r="BB34" i="3"/>
  <c r="BC34" i="3"/>
  <c r="BB35" i="3"/>
  <c r="BC35" i="3"/>
  <c r="BB36" i="3"/>
  <c r="BC36" i="3"/>
  <c r="BB37" i="3"/>
  <c r="BC37" i="3"/>
  <c r="BB38" i="3"/>
  <c r="BC38" i="3"/>
  <c r="BB39" i="3"/>
  <c r="BC39" i="3"/>
  <c r="J214" i="2" l="1"/>
  <c r="I214" i="2"/>
  <c r="U214" i="2" s="1"/>
  <c r="J8" i="2"/>
  <c r="L8" i="2"/>
  <c r="J10" i="2"/>
  <c r="L10" i="2"/>
  <c r="J9" i="2"/>
  <c r="L9" i="2"/>
  <c r="J7" i="2"/>
  <c r="L7" i="2"/>
  <c r="J6" i="2"/>
  <c r="L6" i="2"/>
  <c r="G11" i="2"/>
  <c r="I6" i="2"/>
  <c r="K6" i="2" s="1"/>
  <c r="L5" i="2"/>
  <c r="J5" i="2"/>
  <c r="H11" i="2"/>
  <c r="K5" i="2"/>
  <c r="BC43" i="3"/>
  <c r="BB43" i="3"/>
  <c r="BD34" i="3"/>
  <c r="BE34" i="3"/>
  <c r="BD35" i="3"/>
  <c r="BE35" i="3"/>
  <c r="BD56" i="3"/>
  <c r="BD57" i="3"/>
  <c r="BD58" i="3"/>
  <c r="BD59" i="3"/>
  <c r="BD60" i="3"/>
  <c r="BD61" i="3"/>
  <c r="BD46" i="3"/>
  <c r="BD47" i="3"/>
  <c r="BD48" i="3"/>
  <c r="BD49" i="3"/>
  <c r="BD50" i="3"/>
  <c r="BD51" i="3"/>
  <c r="BD36" i="3"/>
  <c r="BE36" i="3"/>
  <c r="BD37" i="3"/>
  <c r="BE37" i="3"/>
  <c r="BD38" i="3"/>
  <c r="BE38" i="3"/>
  <c r="BD39" i="3"/>
  <c r="BE39" i="3"/>
  <c r="K11" i="2" l="1"/>
  <c r="K214" i="2"/>
  <c r="J11" i="2"/>
  <c r="L11" i="2"/>
  <c r="I11" i="2"/>
  <c r="BD43" i="3"/>
  <c r="BE43" i="3"/>
  <c r="P34" i="3" l="1"/>
  <c r="AJ34" i="3" l="1"/>
  <c r="AJ35" i="3"/>
  <c r="AJ36" i="3"/>
  <c r="AJ37" i="3"/>
  <c r="AJ38" i="3"/>
  <c r="AJ39" i="3"/>
  <c r="AJ43" i="3" l="1"/>
  <c r="J72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H208" i="2" l="1"/>
  <c r="G208" i="2"/>
  <c r="G209" i="2"/>
  <c r="I209" i="2" s="1"/>
  <c r="K209" i="2" s="1"/>
  <c r="H209" i="2"/>
  <c r="H210" i="2"/>
  <c r="G210" i="2"/>
  <c r="I210" i="2" s="1"/>
  <c r="K210" i="2" s="1"/>
  <c r="H211" i="2"/>
  <c r="G211" i="2"/>
  <c r="I211" i="2" s="1"/>
  <c r="K211" i="2" s="1"/>
  <c r="H212" i="2"/>
  <c r="G212" i="2"/>
  <c r="I212" i="2" s="1"/>
  <c r="K212" i="2" s="1"/>
  <c r="H213" i="2"/>
  <c r="G213" i="2"/>
  <c r="I213" i="2" s="1"/>
  <c r="K213" i="2" s="1"/>
  <c r="I208" i="2" l="1"/>
  <c r="I216" i="2" s="1"/>
  <c r="G216" i="2"/>
  <c r="H216" i="2"/>
  <c r="J213" i="2"/>
  <c r="L213" i="2"/>
  <c r="L212" i="2"/>
  <c r="J212" i="2"/>
  <c r="L211" i="2"/>
  <c r="J211" i="2"/>
  <c r="J210" i="2"/>
  <c r="L210" i="2"/>
  <c r="L209" i="2"/>
  <c r="J209" i="2"/>
  <c r="L208" i="2"/>
  <c r="J208" i="2"/>
  <c r="U208" i="2" l="1"/>
  <c r="K208" i="2"/>
  <c r="K216" i="2" s="1"/>
  <c r="L216" i="2"/>
  <c r="J216" i="2"/>
  <c r="E192" i="2"/>
  <c r="D192" i="2"/>
  <c r="E191" i="2"/>
  <c r="D191" i="2"/>
  <c r="E190" i="2"/>
  <c r="D190" i="2"/>
  <c r="E189" i="2"/>
  <c r="D189" i="2"/>
  <c r="BF36" i="3"/>
  <c r="D196" i="2" s="1"/>
  <c r="E188" i="2"/>
  <c r="D188" i="2"/>
  <c r="E187" i="2"/>
  <c r="D187" i="2"/>
  <c r="E193" i="2" l="1"/>
  <c r="D193" i="2"/>
  <c r="H192" i="2"/>
  <c r="G192" i="2"/>
  <c r="I192" i="2" s="1"/>
  <c r="H189" i="2"/>
  <c r="G189" i="2"/>
  <c r="I189" i="2" s="1"/>
  <c r="K189" i="2" s="1"/>
  <c r="H188" i="2"/>
  <c r="G188" i="2"/>
  <c r="I188" i="2" s="1"/>
  <c r="U188" i="2" s="1"/>
  <c r="H190" i="2"/>
  <c r="G190" i="2"/>
  <c r="I190" i="2" s="1"/>
  <c r="K190" i="2" s="1"/>
  <c r="H191" i="2"/>
  <c r="G191" i="2"/>
  <c r="I191" i="2" s="1"/>
  <c r="K191" i="2" s="1"/>
  <c r="G187" i="2"/>
  <c r="H187" i="2"/>
  <c r="AB10" i="4"/>
  <c r="AB9" i="4"/>
  <c r="I187" i="2" l="1"/>
  <c r="G193" i="2"/>
  <c r="H193" i="2"/>
  <c r="K192" i="2"/>
  <c r="U192" i="2"/>
  <c r="K188" i="2"/>
  <c r="L191" i="2"/>
  <c r="J191" i="2"/>
  <c r="L192" i="2"/>
  <c r="J192" i="2"/>
  <c r="J189" i="2"/>
  <c r="L189" i="2"/>
  <c r="J190" i="2"/>
  <c r="L190" i="2"/>
  <c r="J187" i="2"/>
  <c r="L187" i="2"/>
  <c r="L188" i="2"/>
  <c r="J188" i="2"/>
  <c r="AZ61" i="3"/>
  <c r="AZ60" i="3"/>
  <c r="AZ59" i="3"/>
  <c r="AZ58" i="3"/>
  <c r="AZ57" i="3"/>
  <c r="AZ56" i="3"/>
  <c r="AZ51" i="3"/>
  <c r="AA10" i="4" s="1"/>
  <c r="AZ50" i="3"/>
  <c r="AA9" i="4" s="1"/>
  <c r="AZ49" i="3"/>
  <c r="AZ48" i="3"/>
  <c r="AZ47" i="3"/>
  <c r="AZ46" i="3"/>
  <c r="BA39" i="3"/>
  <c r="E178" i="2" s="1"/>
  <c r="AZ39" i="3"/>
  <c r="D178" i="2" s="1"/>
  <c r="BA38" i="3"/>
  <c r="E177" i="2" s="1"/>
  <c r="AZ38" i="3"/>
  <c r="D177" i="2" s="1"/>
  <c r="BA37" i="3"/>
  <c r="E176" i="2" s="1"/>
  <c r="AZ37" i="3"/>
  <c r="D176" i="2" s="1"/>
  <c r="BA36" i="3"/>
  <c r="E175" i="2" s="1"/>
  <c r="AZ36" i="3"/>
  <c r="D175" i="2" s="1"/>
  <c r="BA35" i="3"/>
  <c r="E174" i="2" s="1"/>
  <c r="AZ35" i="3"/>
  <c r="D174" i="2" s="1"/>
  <c r="BA34" i="3"/>
  <c r="E173" i="2" s="1"/>
  <c r="AZ34" i="3"/>
  <c r="D173" i="2" s="1"/>
  <c r="K187" i="2" l="1"/>
  <c r="K193" i="2" s="1"/>
  <c r="U187" i="2"/>
  <c r="L193" i="2"/>
  <c r="J193" i="2"/>
  <c r="I193" i="2"/>
  <c r="H173" i="2"/>
  <c r="G173" i="2"/>
  <c r="I173" i="2" s="1"/>
  <c r="U173" i="2" s="1"/>
  <c r="G174" i="2"/>
  <c r="I174" i="2" s="1"/>
  <c r="U174" i="2" s="1"/>
  <c r="H174" i="2"/>
  <c r="H176" i="2"/>
  <c r="G176" i="2"/>
  <c r="I176" i="2" s="1"/>
  <c r="K176" i="2" s="1"/>
  <c r="H175" i="2"/>
  <c r="G175" i="2"/>
  <c r="I175" i="2" s="1"/>
  <c r="K175" i="2" s="1"/>
  <c r="H177" i="2"/>
  <c r="G177" i="2"/>
  <c r="I177" i="2" s="1"/>
  <c r="K177" i="2" s="1"/>
  <c r="H178" i="2"/>
  <c r="G178" i="2"/>
  <c r="I178" i="2" s="1"/>
  <c r="K178" i="2" s="1"/>
  <c r="AX61" i="3"/>
  <c r="AX60" i="3"/>
  <c r="AX59" i="3"/>
  <c r="AX58" i="3"/>
  <c r="AX57" i="3"/>
  <c r="AX56" i="3"/>
  <c r="AX51" i="3"/>
  <c r="AX50" i="3"/>
  <c r="AX49" i="3"/>
  <c r="AX48" i="3"/>
  <c r="AX47" i="3"/>
  <c r="AX46" i="3"/>
  <c r="AY39" i="3"/>
  <c r="E171" i="2" s="1"/>
  <c r="AX39" i="3"/>
  <c r="D171" i="2" s="1"/>
  <c r="AY38" i="3"/>
  <c r="E170" i="2" s="1"/>
  <c r="AX38" i="3"/>
  <c r="D170" i="2" s="1"/>
  <c r="AY37" i="3"/>
  <c r="E169" i="2" s="1"/>
  <c r="AX37" i="3"/>
  <c r="D169" i="2" s="1"/>
  <c r="AY36" i="3"/>
  <c r="E168" i="2" s="1"/>
  <c r="AX36" i="3"/>
  <c r="D168" i="2" s="1"/>
  <c r="AY35" i="3"/>
  <c r="E167" i="2" s="1"/>
  <c r="AX35" i="3"/>
  <c r="D167" i="2" s="1"/>
  <c r="AY34" i="3"/>
  <c r="E166" i="2" s="1"/>
  <c r="AX34" i="3"/>
  <c r="D166" i="2" s="1"/>
  <c r="K173" i="2" l="1"/>
  <c r="K174" i="2"/>
  <c r="L176" i="2"/>
  <c r="J176" i="2"/>
  <c r="L174" i="2"/>
  <c r="J174" i="2"/>
  <c r="J177" i="2"/>
  <c r="L177" i="2"/>
  <c r="J178" i="2"/>
  <c r="L178" i="2"/>
  <c r="J175" i="2"/>
  <c r="L175" i="2"/>
  <c r="L173" i="2"/>
  <c r="J173" i="2"/>
  <c r="G168" i="2"/>
  <c r="I168" i="2" s="1"/>
  <c r="K168" i="2" s="1"/>
  <c r="H168" i="2"/>
  <c r="H169" i="2"/>
  <c r="G169" i="2"/>
  <c r="I169" i="2" s="1"/>
  <c r="K169" i="2" s="1"/>
  <c r="H167" i="2"/>
  <c r="G167" i="2"/>
  <c r="I167" i="2" s="1"/>
  <c r="K167" i="2" s="1"/>
  <c r="H170" i="2"/>
  <c r="G170" i="2"/>
  <c r="I170" i="2" s="1"/>
  <c r="K170" i="2" s="1"/>
  <c r="H166" i="2"/>
  <c r="G166" i="2"/>
  <c r="I166" i="2" s="1"/>
  <c r="U166" i="2" s="1"/>
  <c r="H171" i="2"/>
  <c r="G171" i="2"/>
  <c r="I171" i="2" s="1"/>
  <c r="K171" i="2" s="1"/>
  <c r="U10" i="4"/>
  <c r="U9" i="4"/>
  <c r="D131" i="2"/>
  <c r="AN43" i="3" l="1"/>
  <c r="AO43" i="3"/>
  <c r="K166" i="2"/>
  <c r="L167" i="2"/>
  <c r="J167" i="2"/>
  <c r="J171" i="2"/>
  <c r="L171" i="2"/>
  <c r="L166" i="2"/>
  <c r="J166" i="2"/>
  <c r="L169" i="2"/>
  <c r="J169" i="2"/>
  <c r="J170" i="2"/>
  <c r="L170" i="2"/>
  <c r="J168" i="2"/>
  <c r="L168" i="2"/>
  <c r="T10" i="4"/>
  <c r="T9" i="4"/>
  <c r="AF61" i="3" l="1"/>
  <c r="AF60" i="3"/>
  <c r="AF59" i="3"/>
  <c r="AF58" i="3"/>
  <c r="AF57" i="3"/>
  <c r="AF56" i="3"/>
  <c r="AF51" i="3"/>
  <c r="AF50" i="3"/>
  <c r="AF49" i="3"/>
  <c r="AF48" i="3"/>
  <c r="AF47" i="3"/>
  <c r="AF46" i="3"/>
  <c r="AG39" i="3"/>
  <c r="AF39" i="3"/>
  <c r="AG38" i="3"/>
  <c r="AF38" i="3"/>
  <c r="AG37" i="3"/>
  <c r="AF37" i="3"/>
  <c r="AG36" i="3"/>
  <c r="AF36" i="3"/>
  <c r="AG35" i="3"/>
  <c r="AF35" i="3"/>
  <c r="AG34" i="3"/>
  <c r="AF34" i="3"/>
  <c r="E103" i="2" l="1"/>
  <c r="AD61" i="3"/>
  <c r="AD60" i="3"/>
  <c r="AD59" i="3"/>
  <c r="AD58" i="3"/>
  <c r="AD57" i="3"/>
  <c r="AD56" i="3"/>
  <c r="AD51" i="3"/>
  <c r="AD50" i="3"/>
  <c r="AD49" i="3"/>
  <c r="AD48" i="3"/>
  <c r="AD47" i="3"/>
  <c r="AD46" i="3"/>
  <c r="AE39" i="3"/>
  <c r="E101" i="2" s="1"/>
  <c r="AD39" i="3"/>
  <c r="D101" i="2" s="1"/>
  <c r="AE38" i="3"/>
  <c r="E100" i="2" s="1"/>
  <c r="AD38" i="3"/>
  <c r="D100" i="2" s="1"/>
  <c r="AE37" i="3"/>
  <c r="E99" i="2" s="1"/>
  <c r="AD37" i="3"/>
  <c r="D99" i="2" s="1"/>
  <c r="AE36" i="3"/>
  <c r="E98" i="2" s="1"/>
  <c r="AD36" i="3"/>
  <c r="D98" i="2" s="1"/>
  <c r="AE35" i="3"/>
  <c r="E97" i="2" s="1"/>
  <c r="AD35" i="3"/>
  <c r="D97" i="2" s="1"/>
  <c r="AE34" i="3"/>
  <c r="E96" i="2" s="1"/>
  <c r="AD34" i="3"/>
  <c r="D96" i="2" s="1"/>
  <c r="H97" i="2" l="1"/>
  <c r="G97" i="2"/>
  <c r="I97" i="2" s="1"/>
  <c r="K97" i="2" s="1"/>
  <c r="H96" i="2"/>
  <c r="G96" i="2"/>
  <c r="I96" i="2" s="1"/>
  <c r="G98" i="2"/>
  <c r="I98" i="2" s="1"/>
  <c r="K98" i="2" s="1"/>
  <c r="H98" i="2"/>
  <c r="H99" i="2"/>
  <c r="G99" i="2"/>
  <c r="I99" i="2" s="1"/>
  <c r="K99" i="2" s="1"/>
  <c r="G100" i="2"/>
  <c r="I100" i="2" s="1"/>
  <c r="K100" i="2" s="1"/>
  <c r="H100" i="2"/>
  <c r="H101" i="2"/>
  <c r="G101" i="2"/>
  <c r="I101" i="2" s="1"/>
  <c r="K101" i="2" s="1"/>
  <c r="K96" i="2" l="1"/>
  <c r="U96" i="2"/>
  <c r="L97" i="2"/>
  <c r="J97" i="2"/>
  <c r="L100" i="2"/>
  <c r="J100" i="2"/>
  <c r="L98" i="2"/>
  <c r="J98" i="2"/>
  <c r="J96" i="2"/>
  <c r="L96" i="2"/>
  <c r="L101" i="2"/>
  <c r="J101" i="2"/>
  <c r="L99" i="2"/>
  <c r="J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T56" i="3" l="1"/>
  <c r="AT57" i="3"/>
  <c r="AT46" i="3"/>
  <c r="AT47" i="3"/>
  <c r="J34" i="13"/>
  <c r="I34" i="13"/>
  <c r="T229" i="2" l="1"/>
  <c r="P229" i="2"/>
  <c r="AT34" i="3" l="1"/>
  <c r="AT35" i="3"/>
  <c r="D153" i="2" s="1"/>
  <c r="D152" i="2" l="1"/>
  <c r="F231" i="2"/>
  <c r="F232" i="2"/>
  <c r="O229" i="2" l="1"/>
  <c r="R229" i="2"/>
  <c r="Q229" i="2"/>
  <c r="C239" i="2" l="1"/>
  <c r="B239" i="2"/>
  <c r="AE27" i="4" l="1"/>
  <c r="AE26" i="4"/>
  <c r="AE25" i="4"/>
  <c r="Z25" i="4"/>
  <c r="Z27" i="4"/>
  <c r="Z26" i="4"/>
  <c r="BI27" i="3" l="1"/>
  <c r="BH27" i="3"/>
  <c r="AD81" i="1" l="1"/>
  <c r="M207" i="2" s="1"/>
  <c r="B31" i="13" s="1"/>
  <c r="G31" i="13" l="1"/>
  <c r="BH61" i="3"/>
  <c r="AE19" i="4" s="1"/>
  <c r="BH60" i="3"/>
  <c r="BH59" i="3"/>
  <c r="AE18" i="4" s="1"/>
  <c r="BH58" i="3"/>
  <c r="AE17" i="4" s="1"/>
  <c r="BH57" i="3"/>
  <c r="AE16" i="4" s="1"/>
  <c r="BH56" i="3"/>
  <c r="AE15" i="4" s="1"/>
  <c r="BH51" i="3"/>
  <c r="AE10" i="4" s="1"/>
  <c r="BH50" i="3"/>
  <c r="BH49" i="3"/>
  <c r="BH48" i="3"/>
  <c r="AE7" i="4" s="1"/>
  <c r="BH47" i="3"/>
  <c r="AE6" i="4" s="1"/>
  <c r="BH46" i="3"/>
  <c r="AE5" i="4" s="1"/>
  <c r="BI39" i="3"/>
  <c r="E206" i="2" s="1"/>
  <c r="BH39" i="3"/>
  <c r="D206" i="2" s="1"/>
  <c r="BI38" i="3"/>
  <c r="E205" i="2" s="1"/>
  <c r="BH38" i="3"/>
  <c r="D205" i="2" s="1"/>
  <c r="BI37" i="3"/>
  <c r="E204" i="2" s="1"/>
  <c r="BH37" i="3"/>
  <c r="D204" i="2" s="1"/>
  <c r="BI36" i="3"/>
  <c r="E203" i="2" s="1"/>
  <c r="BH36" i="3"/>
  <c r="D203" i="2" s="1"/>
  <c r="BI35" i="3"/>
  <c r="E202" i="2" s="1"/>
  <c r="BH35" i="3"/>
  <c r="D202" i="2" s="1"/>
  <c r="BI34" i="3"/>
  <c r="BH34" i="3"/>
  <c r="AE36" i="4" l="1"/>
  <c r="E201" i="2"/>
  <c r="E207" i="2" s="1"/>
  <c r="BI43" i="3"/>
  <c r="AE35" i="4"/>
  <c r="D201" i="2"/>
  <c r="D207" i="2" s="1"/>
  <c r="BH43" i="3"/>
  <c r="H202" i="2"/>
  <c r="G202" i="2"/>
  <c r="I202" i="2" s="1"/>
  <c r="G204" i="2"/>
  <c r="I204" i="2" s="1"/>
  <c r="K204" i="2" s="1"/>
  <c r="H204" i="2"/>
  <c r="G203" i="2"/>
  <c r="I203" i="2" s="1"/>
  <c r="K203" i="2" s="1"/>
  <c r="H203" i="2"/>
  <c r="H205" i="2"/>
  <c r="G205" i="2"/>
  <c r="I205" i="2" s="1"/>
  <c r="K205" i="2" s="1"/>
  <c r="G206" i="2"/>
  <c r="I206" i="2" s="1"/>
  <c r="K206" i="2" s="1"/>
  <c r="H206" i="2"/>
  <c r="AE8" i="4"/>
  <c r="AE9" i="4"/>
  <c r="AE37" i="4" l="1"/>
  <c r="H201" i="2"/>
  <c r="H207" i="2" s="1"/>
  <c r="G201" i="2"/>
  <c r="I201" i="2" s="1"/>
  <c r="AE34" i="4"/>
  <c r="K202" i="2"/>
  <c r="U202" i="2"/>
  <c r="J206" i="2"/>
  <c r="L206" i="2"/>
  <c r="L205" i="2"/>
  <c r="J205" i="2"/>
  <c r="L203" i="2"/>
  <c r="J203" i="2"/>
  <c r="J202" i="2"/>
  <c r="L202" i="2"/>
  <c r="L204" i="2"/>
  <c r="J204" i="2"/>
  <c r="U210" i="2"/>
  <c r="U212" i="2"/>
  <c r="AE40" i="4"/>
  <c r="H31" i="13"/>
  <c r="U209" i="2"/>
  <c r="U211" i="2"/>
  <c r="U201" i="2" l="1"/>
  <c r="K201" i="2"/>
  <c r="K207" i="2" s="1"/>
  <c r="G207" i="2"/>
  <c r="J201" i="2"/>
  <c r="J207" i="2" s="1"/>
  <c r="L201" i="2"/>
  <c r="L207" i="2" s="1"/>
  <c r="I207" i="2"/>
  <c r="C116" i="2" l="1"/>
  <c r="B116" i="2"/>
  <c r="L76" i="1" l="1"/>
  <c r="L77" i="1"/>
  <c r="L78" i="1"/>
  <c r="L79" i="1"/>
  <c r="K76" i="1" l="1"/>
  <c r="K77" i="1"/>
  <c r="K78" i="1"/>
  <c r="K79" i="1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7" i="3" l="1"/>
  <c r="AV27" i="3"/>
  <c r="AI27" i="3"/>
  <c r="AH27" i="3"/>
  <c r="U27" i="3"/>
  <c r="T27" i="3"/>
  <c r="I27" i="3"/>
  <c r="H27" i="3"/>
  <c r="G27" i="3"/>
  <c r="G3" i="13" l="1"/>
  <c r="D27" i="4"/>
  <c r="B11" i="11" l="1"/>
  <c r="D26" i="4" l="1"/>
  <c r="R39" i="3" l="1"/>
  <c r="D59" i="2" s="1"/>
  <c r="R38" i="3"/>
  <c r="D58" i="2" s="1"/>
  <c r="R37" i="3"/>
  <c r="D57" i="2" s="1"/>
  <c r="R36" i="3"/>
  <c r="D56" i="2" s="1"/>
  <c r="R35" i="3"/>
  <c r="D55" i="2" s="1"/>
  <c r="R34" i="3"/>
  <c r="D54" i="2" s="1"/>
  <c r="D60" i="2" l="1"/>
  <c r="R43" i="3"/>
  <c r="D25" i="4" l="1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C27" i="4" l="1"/>
  <c r="AB27" i="4"/>
  <c r="AA27" i="4"/>
  <c r="Y27" i="4"/>
  <c r="X27" i="4"/>
  <c r="W27" i="4"/>
  <c r="V27" i="4"/>
  <c r="U27" i="4"/>
  <c r="T27" i="4"/>
  <c r="Q27" i="4"/>
  <c r="P27" i="4"/>
  <c r="O27" i="4"/>
  <c r="N27" i="4"/>
  <c r="M27" i="4"/>
  <c r="L27" i="4"/>
  <c r="K27" i="4"/>
  <c r="J27" i="4"/>
  <c r="G27" i="4"/>
  <c r="F27" i="4"/>
  <c r="E27" i="4"/>
  <c r="I27" i="4"/>
  <c r="C27" i="4"/>
  <c r="AF38" i="4" l="1"/>
  <c r="AF41" i="4"/>
  <c r="K32" i="13" s="1"/>
  <c r="AF39" i="4"/>
  <c r="AE38" i="4"/>
  <c r="AE41" i="4"/>
  <c r="AE39" i="4"/>
  <c r="T45" i="1"/>
  <c r="U45" i="1"/>
  <c r="X45" i="1"/>
  <c r="Y45" i="1"/>
  <c r="Z45" i="1"/>
  <c r="AA45" i="1"/>
  <c r="T46" i="1"/>
  <c r="U46" i="1"/>
  <c r="V46" i="1"/>
  <c r="X46" i="1"/>
  <c r="Y46" i="1"/>
  <c r="Z46" i="1"/>
  <c r="AA46" i="1"/>
  <c r="T47" i="1"/>
  <c r="U47" i="1"/>
  <c r="V47" i="1"/>
  <c r="X47" i="1"/>
  <c r="Y47" i="1"/>
  <c r="Z47" i="1"/>
  <c r="AA47" i="1"/>
  <c r="T48" i="1"/>
  <c r="U48" i="1"/>
  <c r="V48" i="1"/>
  <c r="X48" i="1"/>
  <c r="Y48" i="1"/>
  <c r="Z48" i="1"/>
  <c r="AA48" i="1"/>
  <c r="T49" i="1"/>
  <c r="U49" i="1"/>
  <c r="V49" i="1"/>
  <c r="X49" i="1"/>
  <c r="Y49" i="1"/>
  <c r="Z49" i="1"/>
  <c r="AA49" i="1"/>
  <c r="T50" i="1"/>
  <c r="U50" i="1"/>
  <c r="V50" i="1"/>
  <c r="X50" i="1"/>
  <c r="Y50" i="1"/>
  <c r="Z50" i="1"/>
  <c r="AA50" i="1"/>
  <c r="T51" i="1"/>
  <c r="U51" i="1"/>
  <c r="V51" i="1"/>
  <c r="X51" i="1"/>
  <c r="Y51" i="1"/>
  <c r="Z51" i="1"/>
  <c r="AA51" i="1"/>
  <c r="T52" i="1"/>
  <c r="U52" i="1"/>
  <c r="V52" i="1"/>
  <c r="X52" i="1"/>
  <c r="Y52" i="1"/>
  <c r="Z52" i="1"/>
  <c r="AA52" i="1"/>
  <c r="T53" i="1"/>
  <c r="U53" i="1"/>
  <c r="V53" i="1"/>
  <c r="X53" i="1"/>
  <c r="Y53" i="1"/>
  <c r="Z53" i="1"/>
  <c r="AA53" i="1"/>
  <c r="T54" i="1"/>
  <c r="U54" i="1"/>
  <c r="V54" i="1"/>
  <c r="X54" i="1"/>
  <c r="Y54" i="1"/>
  <c r="Z54" i="1"/>
  <c r="AA54" i="1"/>
  <c r="T55" i="1"/>
  <c r="U55" i="1"/>
  <c r="V55" i="1"/>
  <c r="X55" i="1"/>
  <c r="Y55" i="1"/>
  <c r="Z55" i="1"/>
  <c r="AA55" i="1"/>
  <c r="T56" i="1"/>
  <c r="U56" i="1"/>
  <c r="V56" i="1"/>
  <c r="X56" i="1"/>
  <c r="Y56" i="1"/>
  <c r="Z56" i="1"/>
  <c r="AA56" i="1"/>
  <c r="T57" i="1"/>
  <c r="U57" i="1"/>
  <c r="V57" i="1"/>
  <c r="X57" i="1"/>
  <c r="Y57" i="1"/>
  <c r="Z57" i="1"/>
  <c r="AA57" i="1"/>
  <c r="T58" i="1"/>
  <c r="U58" i="1"/>
  <c r="V58" i="1"/>
  <c r="X58" i="1"/>
  <c r="Y58" i="1"/>
  <c r="Z58" i="1"/>
  <c r="AA58" i="1"/>
  <c r="T59" i="1"/>
  <c r="U59" i="1"/>
  <c r="V59" i="1"/>
  <c r="X59" i="1"/>
  <c r="Y59" i="1"/>
  <c r="Z59" i="1"/>
  <c r="AA59" i="1"/>
  <c r="T60" i="1"/>
  <c r="U60" i="1"/>
  <c r="V60" i="1"/>
  <c r="X60" i="1"/>
  <c r="Y60" i="1"/>
  <c r="Z60" i="1"/>
  <c r="AA60" i="1"/>
  <c r="T61" i="1"/>
  <c r="U61" i="1"/>
  <c r="V61" i="1"/>
  <c r="X61" i="1"/>
  <c r="Y61" i="1"/>
  <c r="Z61" i="1"/>
  <c r="AA61" i="1"/>
  <c r="T62" i="1"/>
  <c r="U62" i="1"/>
  <c r="V62" i="1"/>
  <c r="X62" i="1"/>
  <c r="Y62" i="1"/>
  <c r="Z62" i="1"/>
  <c r="AA62" i="1"/>
  <c r="T63" i="1"/>
  <c r="U63" i="1"/>
  <c r="V63" i="1"/>
  <c r="X63" i="1"/>
  <c r="Y63" i="1"/>
  <c r="Z63" i="1"/>
  <c r="AA63" i="1"/>
  <c r="T64" i="1"/>
  <c r="U64" i="1"/>
  <c r="V64" i="1"/>
  <c r="X64" i="1"/>
  <c r="Y64" i="1"/>
  <c r="Z64" i="1"/>
  <c r="AA64" i="1"/>
  <c r="T65" i="1"/>
  <c r="U65" i="1"/>
  <c r="V65" i="1"/>
  <c r="X65" i="1"/>
  <c r="Y65" i="1"/>
  <c r="Z65" i="1"/>
  <c r="AA65" i="1"/>
  <c r="T66" i="1"/>
  <c r="U66" i="1"/>
  <c r="V66" i="1"/>
  <c r="X66" i="1"/>
  <c r="Y66" i="1"/>
  <c r="Z66" i="1"/>
  <c r="AA66" i="1"/>
  <c r="T67" i="1"/>
  <c r="U67" i="1"/>
  <c r="V67" i="1"/>
  <c r="X67" i="1"/>
  <c r="Y67" i="1"/>
  <c r="Z67" i="1"/>
  <c r="AA67" i="1"/>
  <c r="T68" i="1"/>
  <c r="U68" i="1"/>
  <c r="V68" i="1"/>
  <c r="X68" i="1"/>
  <c r="Y68" i="1"/>
  <c r="Z68" i="1"/>
  <c r="AA68" i="1"/>
  <c r="T69" i="1"/>
  <c r="U69" i="1"/>
  <c r="V69" i="1"/>
  <c r="X69" i="1"/>
  <c r="Y69" i="1"/>
  <c r="Z69" i="1"/>
  <c r="AA69" i="1"/>
  <c r="T70" i="1"/>
  <c r="U70" i="1"/>
  <c r="V70" i="1"/>
  <c r="X70" i="1"/>
  <c r="Y70" i="1"/>
  <c r="Z70" i="1"/>
  <c r="AA70" i="1"/>
  <c r="T71" i="1"/>
  <c r="U71" i="1"/>
  <c r="V71" i="1"/>
  <c r="X71" i="1"/>
  <c r="Y71" i="1"/>
  <c r="Z71" i="1"/>
  <c r="AA71" i="1"/>
  <c r="T72" i="1"/>
  <c r="U72" i="1"/>
  <c r="V72" i="1"/>
  <c r="X72" i="1"/>
  <c r="Y72" i="1"/>
  <c r="Z72" i="1"/>
  <c r="AA72" i="1"/>
  <c r="T73" i="1"/>
  <c r="U73" i="1"/>
  <c r="V73" i="1"/>
  <c r="X73" i="1"/>
  <c r="Y73" i="1"/>
  <c r="Z73" i="1"/>
  <c r="AA73" i="1"/>
  <c r="T74" i="1"/>
  <c r="U74" i="1"/>
  <c r="V74" i="1"/>
  <c r="X74" i="1"/>
  <c r="Y74" i="1"/>
  <c r="Z74" i="1"/>
  <c r="AA74" i="1"/>
  <c r="T75" i="1"/>
  <c r="U75" i="1"/>
  <c r="V75" i="1"/>
  <c r="X75" i="1"/>
  <c r="Y75" i="1"/>
  <c r="Z75" i="1"/>
  <c r="AA75" i="1"/>
  <c r="T76" i="1"/>
  <c r="U76" i="1"/>
  <c r="V76" i="1"/>
  <c r="X76" i="1"/>
  <c r="Y76" i="1"/>
  <c r="Z76" i="1"/>
  <c r="AA76" i="1"/>
  <c r="T77" i="1"/>
  <c r="U77" i="1"/>
  <c r="V77" i="1"/>
  <c r="X77" i="1"/>
  <c r="Y77" i="1"/>
  <c r="Z77" i="1"/>
  <c r="AA77" i="1"/>
  <c r="T78" i="1"/>
  <c r="U78" i="1"/>
  <c r="V78" i="1"/>
  <c r="X78" i="1"/>
  <c r="Y78" i="1"/>
  <c r="Z78" i="1"/>
  <c r="AA78" i="1"/>
  <c r="T79" i="1"/>
  <c r="U79" i="1"/>
  <c r="V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K31" i="13" l="1"/>
  <c r="G10" i="13" l="1"/>
  <c r="G11" i="13" l="1"/>
  <c r="C45" i="1" l="1"/>
  <c r="D45" i="1"/>
  <c r="F45" i="1"/>
  <c r="G45" i="1"/>
  <c r="H45" i="1"/>
  <c r="I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K61" i="1"/>
  <c r="L61" i="1"/>
  <c r="M61" i="1"/>
  <c r="N61" i="1"/>
  <c r="O61" i="1"/>
  <c r="P61" i="1"/>
  <c r="C62" i="1"/>
  <c r="D62" i="1"/>
  <c r="F62" i="1"/>
  <c r="G62" i="1"/>
  <c r="H62" i="1"/>
  <c r="I62" i="1"/>
  <c r="K62" i="1"/>
  <c r="L62" i="1"/>
  <c r="M62" i="1"/>
  <c r="N62" i="1"/>
  <c r="O62" i="1"/>
  <c r="P62" i="1"/>
  <c r="C63" i="1"/>
  <c r="D63" i="1"/>
  <c r="F63" i="1"/>
  <c r="G63" i="1"/>
  <c r="H63" i="1"/>
  <c r="I63" i="1"/>
  <c r="K63" i="1"/>
  <c r="L63" i="1"/>
  <c r="M63" i="1"/>
  <c r="N63" i="1"/>
  <c r="O63" i="1"/>
  <c r="P63" i="1"/>
  <c r="C64" i="1"/>
  <c r="D64" i="1"/>
  <c r="F64" i="1"/>
  <c r="G64" i="1"/>
  <c r="H64" i="1"/>
  <c r="I64" i="1"/>
  <c r="K64" i="1"/>
  <c r="L64" i="1"/>
  <c r="M64" i="1"/>
  <c r="N64" i="1"/>
  <c r="O64" i="1"/>
  <c r="P64" i="1"/>
  <c r="C65" i="1"/>
  <c r="D65" i="1"/>
  <c r="F65" i="1"/>
  <c r="G65" i="1"/>
  <c r="H65" i="1"/>
  <c r="I65" i="1"/>
  <c r="K65" i="1"/>
  <c r="L65" i="1"/>
  <c r="M65" i="1"/>
  <c r="N65" i="1"/>
  <c r="O65" i="1"/>
  <c r="P65" i="1"/>
  <c r="C66" i="1"/>
  <c r="D66" i="1"/>
  <c r="F66" i="1"/>
  <c r="G66" i="1"/>
  <c r="H66" i="1"/>
  <c r="I66" i="1"/>
  <c r="K66" i="1"/>
  <c r="L66" i="1"/>
  <c r="M66" i="1"/>
  <c r="N66" i="1"/>
  <c r="O66" i="1"/>
  <c r="P66" i="1"/>
  <c r="C67" i="1"/>
  <c r="D67" i="1"/>
  <c r="F67" i="1"/>
  <c r="G67" i="1"/>
  <c r="H67" i="1"/>
  <c r="I67" i="1"/>
  <c r="K67" i="1"/>
  <c r="L67" i="1"/>
  <c r="M67" i="1"/>
  <c r="N67" i="1"/>
  <c r="O67" i="1"/>
  <c r="P67" i="1"/>
  <c r="C68" i="1"/>
  <c r="D68" i="1"/>
  <c r="F68" i="1"/>
  <c r="G68" i="1"/>
  <c r="H68" i="1"/>
  <c r="I68" i="1"/>
  <c r="K68" i="1"/>
  <c r="L68" i="1"/>
  <c r="M68" i="1"/>
  <c r="N68" i="1"/>
  <c r="O68" i="1"/>
  <c r="P68" i="1"/>
  <c r="C69" i="1"/>
  <c r="D69" i="1"/>
  <c r="F69" i="1"/>
  <c r="G69" i="1"/>
  <c r="H69" i="1"/>
  <c r="I69" i="1"/>
  <c r="K69" i="1"/>
  <c r="L69" i="1"/>
  <c r="M69" i="1"/>
  <c r="N69" i="1"/>
  <c r="O69" i="1"/>
  <c r="P69" i="1"/>
  <c r="C70" i="1"/>
  <c r="D70" i="1"/>
  <c r="F70" i="1"/>
  <c r="G70" i="1"/>
  <c r="H70" i="1"/>
  <c r="I70" i="1"/>
  <c r="K70" i="1"/>
  <c r="L70" i="1"/>
  <c r="M70" i="1"/>
  <c r="N70" i="1"/>
  <c r="O70" i="1"/>
  <c r="P70" i="1"/>
  <c r="C71" i="1"/>
  <c r="D71" i="1"/>
  <c r="F71" i="1"/>
  <c r="G71" i="1"/>
  <c r="H71" i="1"/>
  <c r="I71" i="1"/>
  <c r="K71" i="1"/>
  <c r="L71" i="1"/>
  <c r="M71" i="1"/>
  <c r="N71" i="1"/>
  <c r="O71" i="1"/>
  <c r="P71" i="1"/>
  <c r="C72" i="1"/>
  <c r="D72" i="1"/>
  <c r="F72" i="1"/>
  <c r="G72" i="1"/>
  <c r="H72" i="1"/>
  <c r="I72" i="1"/>
  <c r="K72" i="1"/>
  <c r="L72" i="1"/>
  <c r="M72" i="1"/>
  <c r="N72" i="1"/>
  <c r="O72" i="1"/>
  <c r="P72" i="1"/>
  <c r="C73" i="1"/>
  <c r="D73" i="1"/>
  <c r="F73" i="1"/>
  <c r="G73" i="1"/>
  <c r="H73" i="1"/>
  <c r="I73" i="1"/>
  <c r="K73" i="1"/>
  <c r="L73" i="1"/>
  <c r="M73" i="1"/>
  <c r="N73" i="1"/>
  <c r="O73" i="1"/>
  <c r="P73" i="1"/>
  <c r="C74" i="1"/>
  <c r="D74" i="1"/>
  <c r="F74" i="1"/>
  <c r="G74" i="1"/>
  <c r="H74" i="1"/>
  <c r="I74" i="1"/>
  <c r="K74" i="1"/>
  <c r="L74" i="1"/>
  <c r="M74" i="1"/>
  <c r="N74" i="1"/>
  <c r="O74" i="1"/>
  <c r="P74" i="1"/>
  <c r="C75" i="1"/>
  <c r="D75" i="1"/>
  <c r="F75" i="1"/>
  <c r="G75" i="1"/>
  <c r="H75" i="1"/>
  <c r="I75" i="1"/>
  <c r="K75" i="1"/>
  <c r="L75" i="1"/>
  <c r="M75" i="1"/>
  <c r="N75" i="1"/>
  <c r="O75" i="1"/>
  <c r="P75" i="1"/>
  <c r="C76" i="1"/>
  <c r="D76" i="1"/>
  <c r="F76" i="1"/>
  <c r="G76" i="1"/>
  <c r="H76" i="1"/>
  <c r="I76" i="1"/>
  <c r="M76" i="1"/>
  <c r="N76" i="1"/>
  <c r="O76" i="1"/>
  <c r="P76" i="1"/>
  <c r="C77" i="1"/>
  <c r="D77" i="1"/>
  <c r="F77" i="1"/>
  <c r="G77" i="1"/>
  <c r="H77" i="1"/>
  <c r="I77" i="1"/>
  <c r="M77" i="1"/>
  <c r="N77" i="1"/>
  <c r="O77" i="1"/>
  <c r="P77" i="1"/>
  <c r="C78" i="1"/>
  <c r="D78" i="1"/>
  <c r="F78" i="1"/>
  <c r="G78" i="1"/>
  <c r="H78" i="1"/>
  <c r="I78" i="1"/>
  <c r="M78" i="1"/>
  <c r="N78" i="1"/>
  <c r="O78" i="1"/>
  <c r="P78" i="1"/>
  <c r="C79" i="1"/>
  <c r="D79" i="1"/>
  <c r="F79" i="1"/>
  <c r="G79" i="1"/>
  <c r="H79" i="1"/>
  <c r="I79" i="1"/>
  <c r="M79" i="1"/>
  <c r="N79" i="1"/>
  <c r="O79" i="1"/>
  <c r="P79" i="1"/>
  <c r="AC26" i="4" l="1"/>
  <c r="AC25" i="4"/>
  <c r="AB26" i="4" l="1"/>
  <c r="AB25" i="4"/>
  <c r="AA26" i="4" l="1"/>
  <c r="AA25" i="4"/>
  <c r="Y26" i="4" l="1"/>
  <c r="Y25" i="4"/>
  <c r="X26" i="4"/>
  <c r="W26" i="4"/>
  <c r="X25" i="4"/>
  <c r="W25" i="4"/>
  <c r="V26" i="4" l="1"/>
  <c r="V25" i="4"/>
  <c r="U26" i="4"/>
  <c r="T26" i="4"/>
  <c r="U25" i="4"/>
  <c r="T25" i="4"/>
  <c r="Q26" i="4" l="1"/>
  <c r="Q25" i="4"/>
  <c r="P26" i="4" l="1"/>
  <c r="P25" i="4"/>
  <c r="O26" i="4" l="1"/>
  <c r="O25" i="4"/>
  <c r="N26" i="4" l="1"/>
  <c r="N25" i="4"/>
  <c r="M25" i="4" l="1"/>
  <c r="L25" i="4"/>
  <c r="M26" i="4"/>
  <c r="L26" i="4"/>
  <c r="K26" i="4"/>
  <c r="K25" i="4"/>
  <c r="J26" i="4"/>
  <c r="J25" i="4"/>
  <c r="I26" i="4" l="1"/>
  <c r="I25" i="4"/>
  <c r="G26" i="4" l="1"/>
  <c r="G25" i="4"/>
  <c r="F26" i="4"/>
  <c r="F25" i="4"/>
  <c r="E26" i="4"/>
  <c r="E25" i="4"/>
  <c r="C26" i="4"/>
  <c r="C25" i="4"/>
  <c r="B81" i="1" l="1"/>
  <c r="M11" i="2" s="1"/>
  <c r="C81" i="1" l="1"/>
  <c r="M18" i="2" s="1"/>
  <c r="Q81" i="1"/>
  <c r="M116" i="2" s="1"/>
  <c r="B18" i="13" s="1"/>
  <c r="AC81" i="1"/>
  <c r="O81" i="1"/>
  <c r="M102" i="2" s="1"/>
  <c r="K81" i="1"/>
  <c r="M74" i="2" s="1"/>
  <c r="B12" i="13" s="1"/>
  <c r="G81" i="1"/>
  <c r="F81" i="1"/>
  <c r="M39" i="2" s="1"/>
  <c r="N81" i="1"/>
  <c r="M95" i="2" s="1"/>
  <c r="B15" i="13" s="1"/>
  <c r="J81" i="1"/>
  <c r="M81" i="1"/>
  <c r="M88" i="2" s="1"/>
  <c r="I81" i="1"/>
  <c r="E81" i="1"/>
  <c r="M32" i="2" s="1"/>
  <c r="P81" i="1"/>
  <c r="M109" i="2" s="1"/>
  <c r="L81" i="1"/>
  <c r="M81" i="2" s="1"/>
  <c r="H81" i="1"/>
  <c r="M53" i="2" s="1"/>
  <c r="B9" i="13" s="1"/>
  <c r="D81" i="1"/>
  <c r="M25" i="2" s="1"/>
  <c r="AB81" i="1"/>
  <c r="AA81" i="1"/>
  <c r="M186" i="2" s="1"/>
  <c r="Z81" i="1"/>
  <c r="M179" i="2" s="1"/>
  <c r="Y81" i="1"/>
  <c r="M172" i="2" s="1"/>
  <c r="X81" i="1"/>
  <c r="M165" i="2" s="1"/>
  <c r="M158" i="2"/>
  <c r="R81" i="1"/>
  <c r="M123" i="2" s="1"/>
  <c r="B19" i="13" s="1"/>
  <c r="V81" i="1"/>
  <c r="M151" i="2" s="1"/>
  <c r="U81" i="1"/>
  <c r="M144" i="2" s="1"/>
  <c r="T81" i="1"/>
  <c r="M137" i="2" s="1"/>
  <c r="S81" i="1"/>
  <c r="M67" i="2" l="1"/>
  <c r="B11" i="13" s="1"/>
  <c r="M200" i="2"/>
  <c r="B30" i="13" s="1"/>
  <c r="M60" i="2"/>
  <c r="B10" i="13" s="1"/>
  <c r="M130" i="2"/>
  <c r="B20" i="13" s="1"/>
  <c r="B27" i="13"/>
  <c r="B26" i="13"/>
  <c r="B24" i="13"/>
  <c r="B23" i="13"/>
  <c r="M46" i="2"/>
  <c r="B8" i="13" s="1"/>
  <c r="B25" i="13"/>
  <c r="B17" i="13"/>
  <c r="B6" i="13"/>
  <c r="B7" i="13"/>
  <c r="B5" i="13"/>
  <c r="B4" i="13"/>
  <c r="G29" i="13"/>
  <c r="G8" i="13" l="1"/>
  <c r="G7" i="13"/>
  <c r="V8" i="4" l="1"/>
  <c r="C244" i="2" l="1"/>
  <c r="B3" i="13" l="1"/>
  <c r="T34" i="3" l="1"/>
  <c r="D61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44" i="2"/>
  <c r="V36" i="3"/>
  <c r="D70" i="2" s="1"/>
  <c r="BF60" i="3"/>
  <c r="AV60" i="3"/>
  <c r="AT60" i="3"/>
  <c r="AJ60" i="3"/>
  <c r="AH60" i="3"/>
  <c r="AB60" i="3"/>
  <c r="Z60" i="3"/>
  <c r="X60" i="3"/>
  <c r="V60" i="3"/>
  <c r="T60" i="3"/>
  <c r="K20" i="4" s="1"/>
  <c r="R60" i="3"/>
  <c r="J20" i="4" s="1"/>
  <c r="P60" i="3"/>
  <c r="I20" i="4" s="1"/>
  <c r="N60" i="3"/>
  <c r="H20" i="4" s="1"/>
  <c r="L60" i="3"/>
  <c r="J60" i="3"/>
  <c r="H60" i="3"/>
  <c r="F60" i="3"/>
  <c r="BF50" i="3"/>
  <c r="AD9" i="4" s="1"/>
  <c r="AC9" i="4"/>
  <c r="Z9" i="4"/>
  <c r="AV50" i="3"/>
  <c r="Y9" i="4" s="1"/>
  <c r="AT50" i="3"/>
  <c r="X9" i="4" s="1"/>
  <c r="W9" i="4"/>
  <c r="V9" i="4"/>
  <c r="AJ50" i="3"/>
  <c r="S9" i="4" s="1"/>
  <c r="AH50" i="3"/>
  <c r="R9" i="4" s="1"/>
  <c r="Q9" i="4"/>
  <c r="P9" i="4"/>
  <c r="AB50" i="3"/>
  <c r="O9" i="4" s="1"/>
  <c r="Z50" i="3"/>
  <c r="N9" i="4" s="1"/>
  <c r="X50" i="3"/>
  <c r="M9" i="4" s="1"/>
  <c r="V50" i="3"/>
  <c r="L9" i="4" s="1"/>
  <c r="T50" i="3"/>
  <c r="K9" i="4" s="1"/>
  <c r="R50" i="3"/>
  <c r="J9" i="4" s="1"/>
  <c r="P50" i="3"/>
  <c r="I9" i="4" s="1"/>
  <c r="N50" i="3"/>
  <c r="H9" i="4" s="1"/>
  <c r="L50" i="3"/>
  <c r="G9" i="4" s="1"/>
  <c r="J50" i="3"/>
  <c r="F9" i="4" s="1"/>
  <c r="H50" i="3"/>
  <c r="E9" i="4" s="1"/>
  <c r="F50" i="3"/>
  <c r="D9" i="4" s="1"/>
  <c r="C9" i="4"/>
  <c r="BG38" i="3"/>
  <c r="E198" i="2" s="1"/>
  <c r="BF38" i="3"/>
  <c r="D198" i="2" s="1"/>
  <c r="E184" i="2"/>
  <c r="D184" i="2"/>
  <c r="AW38" i="3"/>
  <c r="E163" i="2" s="1"/>
  <c r="AV38" i="3"/>
  <c r="D163" i="2" s="1"/>
  <c r="AU38" i="3"/>
  <c r="E156" i="2" s="1"/>
  <c r="AT38" i="3"/>
  <c r="D156" i="2" s="1"/>
  <c r="E149" i="2"/>
  <c r="D149" i="2"/>
  <c r="E142" i="2"/>
  <c r="D142" i="2"/>
  <c r="E135" i="2"/>
  <c r="D135" i="2"/>
  <c r="E128" i="2"/>
  <c r="D128" i="2"/>
  <c r="AK38" i="3"/>
  <c r="E121" i="2" s="1"/>
  <c r="D121" i="2"/>
  <c r="AI38" i="3"/>
  <c r="E114" i="2" s="1"/>
  <c r="AH38" i="3"/>
  <c r="D114" i="2" s="1"/>
  <c r="E107" i="2"/>
  <c r="D107" i="2"/>
  <c r="AC38" i="3"/>
  <c r="E93" i="2" s="1"/>
  <c r="AB38" i="3"/>
  <c r="D93" i="2" s="1"/>
  <c r="AA38" i="3"/>
  <c r="E86" i="2" s="1"/>
  <c r="Z38" i="3"/>
  <c r="D86" i="2" s="1"/>
  <c r="Y38" i="3"/>
  <c r="E79" i="2" s="1"/>
  <c r="X38" i="3"/>
  <c r="D79" i="2" s="1"/>
  <c r="W38" i="3"/>
  <c r="E72" i="2" s="1"/>
  <c r="V38" i="3"/>
  <c r="D72" i="2" s="1"/>
  <c r="U38" i="3"/>
  <c r="E65" i="2" s="1"/>
  <c r="T38" i="3"/>
  <c r="D65" i="2" s="1"/>
  <c r="S38" i="3"/>
  <c r="E58" i="2" s="1"/>
  <c r="Q38" i="3"/>
  <c r="E51" i="2" s="1"/>
  <c r="P38" i="3"/>
  <c r="D51" i="2" s="1"/>
  <c r="O38" i="3"/>
  <c r="E44" i="2" s="1"/>
  <c r="N38" i="3"/>
  <c r="D44" i="2" s="1"/>
  <c r="M38" i="3"/>
  <c r="E37" i="2" s="1"/>
  <c r="L38" i="3"/>
  <c r="D37" i="2" s="1"/>
  <c r="K38" i="3"/>
  <c r="E30" i="2" s="1"/>
  <c r="J38" i="3"/>
  <c r="D30" i="2" s="1"/>
  <c r="I38" i="3"/>
  <c r="E23" i="2" s="1"/>
  <c r="H38" i="3"/>
  <c r="D23" i="2" s="1"/>
  <c r="G38" i="3"/>
  <c r="E16" i="2" s="1"/>
  <c r="F38" i="3"/>
  <c r="D16" i="2" s="1"/>
  <c r="D132" i="2"/>
  <c r="E132" i="2"/>
  <c r="D133" i="2"/>
  <c r="E133" i="2"/>
  <c r="D134" i="2"/>
  <c r="E134" i="2"/>
  <c r="D136" i="2"/>
  <c r="E136" i="2"/>
  <c r="L34" i="3"/>
  <c r="D33" i="2" s="1"/>
  <c r="L35" i="3"/>
  <c r="D34" i="2" s="1"/>
  <c r="L36" i="3"/>
  <c r="D35" i="2" s="1"/>
  <c r="L37" i="3"/>
  <c r="D36" i="2" s="1"/>
  <c r="L39" i="3"/>
  <c r="D38" i="2" s="1"/>
  <c r="L46" i="3"/>
  <c r="BG35" i="3"/>
  <c r="E195" i="2" s="1"/>
  <c r="BF35" i="3"/>
  <c r="D195" i="2" s="1"/>
  <c r="A12" i="2"/>
  <c r="A19" i="2" s="1"/>
  <c r="A26" i="2" s="1"/>
  <c r="A33" i="2" s="1"/>
  <c r="A40" i="2" s="1"/>
  <c r="AV34" i="3"/>
  <c r="D159" i="2" s="1"/>
  <c r="AB51" i="3"/>
  <c r="O10" i="4" s="1"/>
  <c r="AB49" i="3"/>
  <c r="O8" i="4" s="1"/>
  <c r="AB48" i="3"/>
  <c r="O7" i="4" s="1"/>
  <c r="AB47" i="3"/>
  <c r="O6" i="4" s="1"/>
  <c r="Z61" i="3"/>
  <c r="N19" i="4" s="1"/>
  <c r="Z59" i="3"/>
  <c r="N18" i="4" s="1"/>
  <c r="Z58" i="3"/>
  <c r="N17" i="4" s="1"/>
  <c r="Z57" i="3"/>
  <c r="N16" i="4" s="1"/>
  <c r="Z56" i="3"/>
  <c r="N15" i="4" s="1"/>
  <c r="Z51" i="3"/>
  <c r="N10" i="4" s="1"/>
  <c r="Z49" i="3"/>
  <c r="N8" i="4" s="1"/>
  <c r="Z48" i="3"/>
  <c r="N7" i="4" s="1"/>
  <c r="Z47" i="3"/>
  <c r="N6" i="4" s="1"/>
  <c r="Z46" i="3"/>
  <c r="N5" i="4" s="1"/>
  <c r="T56" i="3"/>
  <c r="K15" i="4" s="1"/>
  <c r="AB61" i="3"/>
  <c r="O19" i="4" s="1"/>
  <c r="AB59" i="3"/>
  <c r="O18" i="4" s="1"/>
  <c r="AB58" i="3"/>
  <c r="O17" i="4" s="1"/>
  <c r="AB57" i="3"/>
  <c r="O16" i="4" s="1"/>
  <c r="AB56" i="3"/>
  <c r="O15" i="4" s="1"/>
  <c r="AC39" i="3"/>
  <c r="E94" i="2" s="1"/>
  <c r="AB39" i="3"/>
  <c r="D94" i="2" s="1"/>
  <c r="AC37" i="3"/>
  <c r="E92" i="2" s="1"/>
  <c r="AB37" i="3"/>
  <c r="D92" i="2" s="1"/>
  <c r="AC36" i="3"/>
  <c r="E91" i="2" s="1"/>
  <c r="AB36" i="3"/>
  <c r="D91" i="2" s="1"/>
  <c r="AC35" i="3"/>
  <c r="E90" i="2" s="1"/>
  <c r="AB35" i="3"/>
  <c r="D90" i="2" s="1"/>
  <c r="AC34" i="3"/>
  <c r="E89" i="2" s="1"/>
  <c r="AB34" i="3"/>
  <c r="D89" i="2" s="1"/>
  <c r="AA39" i="3"/>
  <c r="E87" i="2" s="1"/>
  <c r="Z39" i="3"/>
  <c r="D87" i="2" s="1"/>
  <c r="AA37" i="3"/>
  <c r="E85" i="2" s="1"/>
  <c r="Z37" i="3"/>
  <c r="D85" i="2" s="1"/>
  <c r="AA36" i="3"/>
  <c r="E84" i="2" s="1"/>
  <c r="Z36" i="3"/>
  <c r="D84" i="2" s="1"/>
  <c r="AA35" i="3"/>
  <c r="E83" i="2" s="1"/>
  <c r="Z35" i="3"/>
  <c r="D83" i="2" s="1"/>
  <c r="AA34" i="3"/>
  <c r="Z34" i="3"/>
  <c r="AB46" i="3"/>
  <c r="O5" i="4" s="1"/>
  <c r="AC19" i="4"/>
  <c r="AC18" i="4"/>
  <c r="AC17" i="4"/>
  <c r="AC16" i="4"/>
  <c r="AC15" i="4"/>
  <c r="AC10" i="4"/>
  <c r="AC8" i="4"/>
  <c r="AC7" i="4"/>
  <c r="AC6" i="4"/>
  <c r="AC5" i="4"/>
  <c r="AB19" i="4"/>
  <c r="AB18" i="4"/>
  <c r="AB17" i="4"/>
  <c r="AB16" i="4"/>
  <c r="AB15" i="4"/>
  <c r="AB8" i="4"/>
  <c r="AB7" i="4"/>
  <c r="AB6" i="4"/>
  <c r="AB5" i="4"/>
  <c r="E185" i="2"/>
  <c r="D185" i="2"/>
  <c r="E183" i="2"/>
  <c r="D183" i="2"/>
  <c r="E182" i="2"/>
  <c r="D182" i="2"/>
  <c r="E181" i="2"/>
  <c r="D181" i="2"/>
  <c r="D138" i="2"/>
  <c r="BF61" i="3"/>
  <c r="AA19" i="4"/>
  <c r="Z19" i="4"/>
  <c r="AV61" i="3"/>
  <c r="Y19" i="4" s="1"/>
  <c r="AT61" i="3"/>
  <c r="X19" i="4" s="1"/>
  <c r="W19" i="4"/>
  <c r="V19" i="4"/>
  <c r="U19" i="4"/>
  <c r="T19" i="4"/>
  <c r="AJ61" i="3"/>
  <c r="S19" i="4" s="1"/>
  <c r="AH61" i="3"/>
  <c r="R19" i="4" s="1"/>
  <c r="Q19" i="4"/>
  <c r="P19" i="4"/>
  <c r="X61" i="3"/>
  <c r="M19" i="4" s="1"/>
  <c r="V61" i="3"/>
  <c r="L19" i="4" s="1"/>
  <c r="T61" i="3"/>
  <c r="K19" i="4" s="1"/>
  <c r="R61" i="3"/>
  <c r="J19" i="4" s="1"/>
  <c r="P61" i="3"/>
  <c r="I19" i="4" s="1"/>
  <c r="N61" i="3"/>
  <c r="H19" i="4" s="1"/>
  <c r="L61" i="3"/>
  <c r="G19" i="4" s="1"/>
  <c r="J61" i="3"/>
  <c r="F19" i="4" s="1"/>
  <c r="H61" i="3"/>
  <c r="E19" i="4" s="1"/>
  <c r="F61" i="3"/>
  <c r="D19" i="4" s="1"/>
  <c r="C19" i="4"/>
  <c r="BF59" i="3"/>
  <c r="AA18" i="4"/>
  <c r="Z18" i="4"/>
  <c r="AV59" i="3"/>
  <c r="Y18" i="4" s="1"/>
  <c r="AT59" i="3"/>
  <c r="X18" i="4" s="1"/>
  <c r="W18" i="4"/>
  <c r="V18" i="4"/>
  <c r="U18" i="4"/>
  <c r="T18" i="4"/>
  <c r="AJ59" i="3"/>
  <c r="S18" i="4" s="1"/>
  <c r="AH59" i="3"/>
  <c r="R18" i="4" s="1"/>
  <c r="Q18" i="4"/>
  <c r="P18" i="4"/>
  <c r="X59" i="3"/>
  <c r="M18" i="4" s="1"/>
  <c r="V59" i="3"/>
  <c r="L18" i="4" s="1"/>
  <c r="T59" i="3"/>
  <c r="K18" i="4" s="1"/>
  <c r="R59" i="3"/>
  <c r="J18" i="4" s="1"/>
  <c r="P59" i="3"/>
  <c r="I18" i="4" s="1"/>
  <c r="N59" i="3"/>
  <c r="H18" i="4" s="1"/>
  <c r="L59" i="3"/>
  <c r="G18" i="4" s="1"/>
  <c r="J59" i="3"/>
  <c r="F18" i="4" s="1"/>
  <c r="H59" i="3"/>
  <c r="E18" i="4" s="1"/>
  <c r="F59" i="3"/>
  <c r="C18" i="4"/>
  <c r="BF58" i="3"/>
  <c r="AA17" i="4"/>
  <c r="Z17" i="4"/>
  <c r="AV58" i="3"/>
  <c r="Y17" i="4" s="1"/>
  <c r="AT58" i="3"/>
  <c r="X17" i="4" s="1"/>
  <c r="W17" i="4"/>
  <c r="V17" i="4"/>
  <c r="U17" i="4"/>
  <c r="T17" i="4"/>
  <c r="AJ58" i="3"/>
  <c r="S17" i="4" s="1"/>
  <c r="AH58" i="3"/>
  <c r="R17" i="4" s="1"/>
  <c r="Q17" i="4"/>
  <c r="P17" i="4"/>
  <c r="X58" i="3"/>
  <c r="M17" i="4" s="1"/>
  <c r="V58" i="3"/>
  <c r="L17" i="4" s="1"/>
  <c r="T58" i="3"/>
  <c r="K17" i="4" s="1"/>
  <c r="R58" i="3"/>
  <c r="J17" i="4" s="1"/>
  <c r="P58" i="3"/>
  <c r="I17" i="4" s="1"/>
  <c r="N58" i="3"/>
  <c r="H17" i="4" s="1"/>
  <c r="L58" i="3"/>
  <c r="G17" i="4" s="1"/>
  <c r="J58" i="3"/>
  <c r="F17" i="4" s="1"/>
  <c r="H58" i="3"/>
  <c r="E17" i="4" s="1"/>
  <c r="F58" i="3"/>
  <c r="C17" i="4"/>
  <c r="BF57" i="3"/>
  <c r="AD16" i="4" s="1"/>
  <c r="AA16" i="4"/>
  <c r="Z16" i="4"/>
  <c r="AV57" i="3"/>
  <c r="Y16" i="4" s="1"/>
  <c r="X16" i="4"/>
  <c r="W16" i="4"/>
  <c r="V16" i="4"/>
  <c r="U16" i="4"/>
  <c r="T16" i="4"/>
  <c r="AJ57" i="3"/>
  <c r="S16" i="4" s="1"/>
  <c r="AH57" i="3"/>
  <c r="R16" i="4" s="1"/>
  <c r="Q16" i="4"/>
  <c r="P16" i="4"/>
  <c r="X57" i="3"/>
  <c r="M16" i="4" s="1"/>
  <c r="V57" i="3"/>
  <c r="L16" i="4" s="1"/>
  <c r="T57" i="3"/>
  <c r="K16" i="4" s="1"/>
  <c r="R57" i="3"/>
  <c r="J16" i="4" s="1"/>
  <c r="P57" i="3"/>
  <c r="I16" i="4" s="1"/>
  <c r="N57" i="3"/>
  <c r="H16" i="4" s="1"/>
  <c r="L57" i="3"/>
  <c r="G16" i="4" s="1"/>
  <c r="J57" i="3"/>
  <c r="F16" i="4" s="1"/>
  <c r="H57" i="3"/>
  <c r="E16" i="4" s="1"/>
  <c r="F57" i="3"/>
  <c r="D16" i="4" s="1"/>
  <c r="C16" i="4"/>
  <c r="BF56" i="3"/>
  <c r="AA15" i="4"/>
  <c r="Z15" i="4"/>
  <c r="AV56" i="3"/>
  <c r="Y15" i="4" s="1"/>
  <c r="X15" i="4"/>
  <c r="X36" i="4" s="1"/>
  <c r="W15" i="4"/>
  <c r="W36" i="4" s="1"/>
  <c r="V15" i="4"/>
  <c r="V36" i="4" s="1"/>
  <c r="U15" i="4"/>
  <c r="U36" i="4" s="1"/>
  <c r="T15" i="4"/>
  <c r="AJ56" i="3"/>
  <c r="S15" i="4" s="1"/>
  <c r="S36" i="4" s="1"/>
  <c r="AH56" i="3"/>
  <c r="R15" i="4" s="1"/>
  <c r="Q15" i="4"/>
  <c r="P15" i="4"/>
  <c r="P36" i="4" s="1"/>
  <c r="X56" i="3"/>
  <c r="M15" i="4" s="1"/>
  <c r="V56" i="3"/>
  <c r="L15" i="4" s="1"/>
  <c r="R56" i="3"/>
  <c r="J15" i="4" s="1"/>
  <c r="P56" i="3"/>
  <c r="N56" i="3"/>
  <c r="L56" i="3"/>
  <c r="J56" i="3"/>
  <c r="F15" i="4" s="1"/>
  <c r="H56" i="3"/>
  <c r="E15" i="4" s="1"/>
  <c r="F56" i="3"/>
  <c r="D15" i="4" s="1"/>
  <c r="C15" i="4"/>
  <c r="BF51" i="3"/>
  <c r="AD10" i="4" s="1"/>
  <c r="Z10" i="4"/>
  <c r="AV51" i="3"/>
  <c r="Y10" i="4" s="1"/>
  <c r="AT51" i="3"/>
  <c r="X10" i="4" s="1"/>
  <c r="W10" i="4"/>
  <c r="V10" i="4"/>
  <c r="AJ51" i="3"/>
  <c r="S10" i="4" s="1"/>
  <c r="AH51" i="3"/>
  <c r="R10" i="4" s="1"/>
  <c r="Q10" i="4"/>
  <c r="P10" i="4"/>
  <c r="X51" i="3"/>
  <c r="M10" i="4" s="1"/>
  <c r="V51" i="3"/>
  <c r="L10" i="4" s="1"/>
  <c r="T51" i="3"/>
  <c r="K10" i="4" s="1"/>
  <c r="R51" i="3"/>
  <c r="J10" i="4" s="1"/>
  <c r="P51" i="3"/>
  <c r="N51" i="3"/>
  <c r="L51" i="3"/>
  <c r="J51" i="3"/>
  <c r="F10" i="4" s="1"/>
  <c r="H51" i="3"/>
  <c r="E10" i="4" s="1"/>
  <c r="F51" i="3"/>
  <c r="D10" i="4" s="1"/>
  <c r="C10" i="4"/>
  <c r="BF49" i="3"/>
  <c r="AA8" i="4"/>
  <c r="Z8" i="4"/>
  <c r="AV49" i="3"/>
  <c r="Y8" i="4" s="1"/>
  <c r="AT49" i="3"/>
  <c r="X8" i="4" s="1"/>
  <c r="W8" i="4"/>
  <c r="U8" i="4"/>
  <c r="T8" i="4"/>
  <c r="AJ49" i="3"/>
  <c r="S8" i="4" s="1"/>
  <c r="AH49" i="3"/>
  <c r="R8" i="4" s="1"/>
  <c r="Q8" i="4"/>
  <c r="P8" i="4"/>
  <c r="X49" i="3"/>
  <c r="M8" i="4" s="1"/>
  <c r="V49" i="3"/>
  <c r="L8" i="4" s="1"/>
  <c r="T49" i="3"/>
  <c r="K8" i="4" s="1"/>
  <c r="R49" i="3"/>
  <c r="J8" i="4" s="1"/>
  <c r="P49" i="3"/>
  <c r="N49" i="3"/>
  <c r="L49" i="3"/>
  <c r="J49" i="3"/>
  <c r="F8" i="4" s="1"/>
  <c r="H49" i="3"/>
  <c r="E8" i="4" s="1"/>
  <c r="F49" i="3"/>
  <c r="D8" i="4" s="1"/>
  <c r="C8" i="4"/>
  <c r="BF48" i="3"/>
  <c r="AA7" i="4"/>
  <c r="Z7" i="4"/>
  <c r="AV48" i="3"/>
  <c r="Y7" i="4" s="1"/>
  <c r="AT48" i="3"/>
  <c r="X7" i="4" s="1"/>
  <c r="W7" i="4"/>
  <c r="V7" i="4"/>
  <c r="U7" i="4"/>
  <c r="T7" i="4"/>
  <c r="AJ48" i="3"/>
  <c r="S7" i="4" s="1"/>
  <c r="AH48" i="3"/>
  <c r="R7" i="4" s="1"/>
  <c r="Q7" i="4"/>
  <c r="P7" i="4"/>
  <c r="X48" i="3"/>
  <c r="M7" i="4" s="1"/>
  <c r="V48" i="3"/>
  <c r="L7" i="4" s="1"/>
  <c r="T48" i="3"/>
  <c r="K7" i="4" s="1"/>
  <c r="R48" i="3"/>
  <c r="J7" i="4" s="1"/>
  <c r="P48" i="3"/>
  <c r="N48" i="3"/>
  <c r="L48" i="3"/>
  <c r="J48" i="3"/>
  <c r="F7" i="4" s="1"/>
  <c r="H48" i="3"/>
  <c r="E7" i="4" s="1"/>
  <c r="F48" i="3"/>
  <c r="D7" i="4" s="1"/>
  <c r="C7" i="4"/>
  <c r="BF47" i="3"/>
  <c r="AA6" i="4"/>
  <c r="Z6" i="4"/>
  <c r="AV47" i="3"/>
  <c r="Y6" i="4" s="1"/>
  <c r="X6" i="4"/>
  <c r="W6" i="4"/>
  <c r="V6" i="4"/>
  <c r="U6" i="4"/>
  <c r="T6" i="4"/>
  <c r="AJ47" i="3"/>
  <c r="S6" i="4" s="1"/>
  <c r="AH47" i="3"/>
  <c r="R6" i="4" s="1"/>
  <c r="Q6" i="4"/>
  <c r="P6" i="4"/>
  <c r="X47" i="3"/>
  <c r="M6" i="4" s="1"/>
  <c r="V47" i="3"/>
  <c r="L6" i="4" s="1"/>
  <c r="T47" i="3"/>
  <c r="K6" i="4" s="1"/>
  <c r="R47" i="3"/>
  <c r="J6" i="4" s="1"/>
  <c r="P47" i="3"/>
  <c r="N47" i="3"/>
  <c r="L47" i="3"/>
  <c r="J47" i="3"/>
  <c r="F6" i="4" s="1"/>
  <c r="H47" i="3"/>
  <c r="E6" i="4" s="1"/>
  <c r="F47" i="3"/>
  <c r="D6" i="4" s="1"/>
  <c r="C6" i="4"/>
  <c r="BF46" i="3"/>
  <c r="AA5" i="4"/>
  <c r="Z5" i="4"/>
  <c r="AV46" i="3"/>
  <c r="Y5" i="4" s="1"/>
  <c r="X5" i="4"/>
  <c r="W5" i="4"/>
  <c r="V5" i="4"/>
  <c r="U5" i="4"/>
  <c r="U37" i="4" s="1"/>
  <c r="T5" i="4"/>
  <c r="AJ46" i="3"/>
  <c r="S5" i="4" s="1"/>
  <c r="AH46" i="3"/>
  <c r="R5" i="4" s="1"/>
  <c r="Q5" i="4"/>
  <c r="P5" i="4"/>
  <c r="X46" i="3"/>
  <c r="M5" i="4" s="1"/>
  <c r="V46" i="3"/>
  <c r="L5" i="4" s="1"/>
  <c r="T46" i="3"/>
  <c r="K5" i="4" s="1"/>
  <c r="R46" i="3"/>
  <c r="J5" i="4" s="1"/>
  <c r="P46" i="3"/>
  <c r="N46" i="3"/>
  <c r="J46" i="3"/>
  <c r="F5" i="4" s="1"/>
  <c r="H46" i="3"/>
  <c r="E5" i="4" s="1"/>
  <c r="F46" i="3"/>
  <c r="D5" i="4" s="1"/>
  <c r="C5" i="4"/>
  <c r="BG39" i="3"/>
  <c r="E199" i="2" s="1"/>
  <c r="BF39" i="3"/>
  <c r="D199" i="2" s="1"/>
  <c r="AW39" i="3"/>
  <c r="E164" i="2" s="1"/>
  <c r="AV39" i="3"/>
  <c r="D164" i="2" s="1"/>
  <c r="AU39" i="3"/>
  <c r="E157" i="2" s="1"/>
  <c r="AT39" i="3"/>
  <c r="D157" i="2" s="1"/>
  <c r="E150" i="2"/>
  <c r="D150" i="2"/>
  <c r="E143" i="2"/>
  <c r="D143" i="2"/>
  <c r="E129" i="2"/>
  <c r="D129" i="2"/>
  <c r="AK39" i="3"/>
  <c r="D122" i="2"/>
  <c r="AI39" i="3"/>
  <c r="E115" i="2" s="1"/>
  <c r="AH39" i="3"/>
  <c r="D115" i="2" s="1"/>
  <c r="E108" i="2"/>
  <c r="D108" i="2"/>
  <c r="Y39" i="3"/>
  <c r="E80" i="2" s="1"/>
  <c r="X39" i="3"/>
  <c r="D80" i="2" s="1"/>
  <c r="W39" i="3"/>
  <c r="E73" i="2" s="1"/>
  <c r="V39" i="3"/>
  <c r="D73" i="2" s="1"/>
  <c r="U39" i="3"/>
  <c r="T39" i="3"/>
  <c r="S39" i="3"/>
  <c r="E59" i="2" s="1"/>
  <c r="Q39" i="3"/>
  <c r="E52" i="2" s="1"/>
  <c r="P39" i="3"/>
  <c r="D52" i="2" s="1"/>
  <c r="O39" i="3"/>
  <c r="E45" i="2" s="1"/>
  <c r="N39" i="3"/>
  <c r="D45" i="2" s="1"/>
  <c r="M39" i="3"/>
  <c r="E38" i="2" s="1"/>
  <c r="K39" i="3"/>
  <c r="E31" i="2" s="1"/>
  <c r="J39" i="3"/>
  <c r="D31" i="2" s="1"/>
  <c r="I39" i="3"/>
  <c r="E24" i="2" s="1"/>
  <c r="H39" i="3"/>
  <c r="D24" i="2" s="1"/>
  <c r="G39" i="3"/>
  <c r="E17" i="2" s="1"/>
  <c r="F39" i="3"/>
  <c r="D17" i="2" s="1"/>
  <c r="BG37" i="3"/>
  <c r="E197" i="2" s="1"/>
  <c r="BF37" i="3"/>
  <c r="D197" i="2" s="1"/>
  <c r="AW37" i="3"/>
  <c r="E162" i="2" s="1"/>
  <c r="AV37" i="3"/>
  <c r="D162" i="2" s="1"/>
  <c r="AU37" i="3"/>
  <c r="E155" i="2" s="1"/>
  <c r="AT37" i="3"/>
  <c r="D155" i="2" s="1"/>
  <c r="E148" i="2"/>
  <c r="D148" i="2"/>
  <c r="E141" i="2"/>
  <c r="D141" i="2"/>
  <c r="E127" i="2"/>
  <c r="D127" i="2"/>
  <c r="AK37" i="3"/>
  <c r="E120" i="2" s="1"/>
  <c r="D120" i="2"/>
  <c r="AI37" i="3"/>
  <c r="E113" i="2" s="1"/>
  <c r="AH37" i="3"/>
  <c r="D113" i="2" s="1"/>
  <c r="E106" i="2"/>
  <c r="D106" i="2"/>
  <c r="Y37" i="3"/>
  <c r="E78" i="2" s="1"/>
  <c r="X37" i="3"/>
  <c r="D78" i="2" s="1"/>
  <c r="W37" i="3"/>
  <c r="E71" i="2" s="1"/>
  <c r="V37" i="3"/>
  <c r="D71" i="2" s="1"/>
  <c r="E64" i="2"/>
  <c r="T37" i="3"/>
  <c r="D64" i="2" s="1"/>
  <c r="S37" i="3"/>
  <c r="E57" i="2" s="1"/>
  <c r="Q37" i="3"/>
  <c r="E50" i="2" s="1"/>
  <c r="P37" i="3"/>
  <c r="D50" i="2" s="1"/>
  <c r="O37" i="3"/>
  <c r="E43" i="2" s="1"/>
  <c r="N37" i="3"/>
  <c r="D43" i="2" s="1"/>
  <c r="M37" i="3"/>
  <c r="E36" i="2" s="1"/>
  <c r="K37" i="3"/>
  <c r="E29" i="2" s="1"/>
  <c r="J37" i="3"/>
  <c r="D29" i="2" s="1"/>
  <c r="I37" i="3"/>
  <c r="E22" i="2" s="1"/>
  <c r="H37" i="3"/>
  <c r="D22" i="2" s="1"/>
  <c r="G37" i="3"/>
  <c r="E15" i="2" s="1"/>
  <c r="F37" i="3"/>
  <c r="D15" i="2" s="1"/>
  <c r="BG36" i="3"/>
  <c r="E196" i="2" s="1"/>
  <c r="AW36" i="3"/>
  <c r="E161" i="2" s="1"/>
  <c r="AV36" i="3"/>
  <c r="D161" i="2" s="1"/>
  <c r="AU36" i="3"/>
  <c r="E154" i="2" s="1"/>
  <c r="AT36" i="3"/>
  <c r="E147" i="2"/>
  <c r="D147" i="2"/>
  <c r="E140" i="2"/>
  <c r="D140" i="2"/>
  <c r="E126" i="2"/>
  <c r="D126" i="2"/>
  <c r="AK36" i="3"/>
  <c r="E119" i="2" s="1"/>
  <c r="D119" i="2"/>
  <c r="AI36" i="3"/>
  <c r="E112" i="2" s="1"/>
  <c r="AH36" i="3"/>
  <c r="D112" i="2" s="1"/>
  <c r="E105" i="2"/>
  <c r="D105" i="2"/>
  <c r="Y36" i="3"/>
  <c r="E77" i="2" s="1"/>
  <c r="X36" i="3"/>
  <c r="D77" i="2" s="1"/>
  <c r="W36" i="3"/>
  <c r="E70" i="2" s="1"/>
  <c r="U36" i="3"/>
  <c r="E63" i="2" s="1"/>
  <c r="T36" i="3"/>
  <c r="D63" i="2" s="1"/>
  <c r="S36" i="3"/>
  <c r="E56" i="2" s="1"/>
  <c r="Q36" i="3"/>
  <c r="E49" i="2" s="1"/>
  <c r="P36" i="3"/>
  <c r="D49" i="2" s="1"/>
  <c r="O36" i="3"/>
  <c r="E42" i="2" s="1"/>
  <c r="N36" i="3"/>
  <c r="D42" i="2" s="1"/>
  <c r="M36" i="3"/>
  <c r="E35" i="2" s="1"/>
  <c r="K36" i="3"/>
  <c r="E28" i="2" s="1"/>
  <c r="J36" i="3"/>
  <c r="D28" i="2" s="1"/>
  <c r="I36" i="3"/>
  <c r="E21" i="2" s="1"/>
  <c r="H36" i="3"/>
  <c r="D21" i="2" s="1"/>
  <c r="G36" i="3"/>
  <c r="E14" i="2" s="1"/>
  <c r="F36" i="3"/>
  <c r="D14" i="2" s="1"/>
  <c r="AW35" i="3"/>
  <c r="E160" i="2" s="1"/>
  <c r="AV35" i="3"/>
  <c r="D160" i="2" s="1"/>
  <c r="AU35" i="3"/>
  <c r="E153" i="2" s="1"/>
  <c r="E146" i="2"/>
  <c r="D146" i="2"/>
  <c r="E139" i="2"/>
  <c r="D139" i="2"/>
  <c r="E125" i="2"/>
  <c r="D125" i="2"/>
  <c r="AK35" i="3"/>
  <c r="E118" i="2" s="1"/>
  <c r="D118" i="2"/>
  <c r="AI35" i="3"/>
  <c r="E111" i="2" s="1"/>
  <c r="AH35" i="3"/>
  <c r="D111" i="2" s="1"/>
  <c r="E104" i="2"/>
  <c r="D104" i="2"/>
  <c r="Y35" i="3"/>
  <c r="E76" i="2" s="1"/>
  <c r="X35" i="3"/>
  <c r="D76" i="2" s="1"/>
  <c r="W35" i="3"/>
  <c r="E69" i="2" s="1"/>
  <c r="V35" i="3"/>
  <c r="D69" i="2" s="1"/>
  <c r="E62" i="2"/>
  <c r="T35" i="3"/>
  <c r="D62" i="2" s="1"/>
  <c r="S35" i="3"/>
  <c r="E55" i="2" s="1"/>
  <c r="Q35" i="3"/>
  <c r="E48" i="2" s="1"/>
  <c r="P35" i="3"/>
  <c r="D48" i="2" s="1"/>
  <c r="O35" i="3"/>
  <c r="E41" i="2" s="1"/>
  <c r="N35" i="3"/>
  <c r="D41" i="2" s="1"/>
  <c r="M35" i="3"/>
  <c r="E34" i="2" s="1"/>
  <c r="K35" i="3"/>
  <c r="E27" i="2" s="1"/>
  <c r="J35" i="3"/>
  <c r="D27" i="2" s="1"/>
  <c r="I35" i="3"/>
  <c r="E20" i="2" s="1"/>
  <c r="H35" i="3"/>
  <c r="D20" i="2" s="1"/>
  <c r="G35" i="3"/>
  <c r="E13" i="2" s="1"/>
  <c r="F35" i="3"/>
  <c r="D13" i="2" s="1"/>
  <c r="BG34" i="3"/>
  <c r="BF34" i="3"/>
  <c r="AW34" i="3"/>
  <c r="E159" i="2" s="1"/>
  <c r="AU34" i="3"/>
  <c r="E145" i="2"/>
  <c r="D145" i="2"/>
  <c r="E138" i="2"/>
  <c r="E124" i="2"/>
  <c r="D124" i="2"/>
  <c r="AK34" i="3"/>
  <c r="E117" i="2" s="1"/>
  <c r="D117" i="2"/>
  <c r="AI34" i="3"/>
  <c r="E110" i="2" s="1"/>
  <c r="AH34" i="3"/>
  <c r="D110" i="2" s="1"/>
  <c r="Y34" i="3"/>
  <c r="X34" i="3"/>
  <c r="W34" i="3"/>
  <c r="V34" i="3"/>
  <c r="U34" i="3"/>
  <c r="E61" i="2" s="1"/>
  <c r="S34" i="3"/>
  <c r="E54" i="2" s="1"/>
  <c r="Q34" i="3"/>
  <c r="O34" i="3"/>
  <c r="E40" i="2" s="1"/>
  <c r="N34" i="3"/>
  <c r="D40" i="2" s="1"/>
  <c r="M34" i="3"/>
  <c r="E33" i="2" s="1"/>
  <c r="K34" i="3"/>
  <c r="J34" i="3"/>
  <c r="D26" i="2" s="1"/>
  <c r="I34" i="3"/>
  <c r="H34" i="3"/>
  <c r="D19" i="2" s="1"/>
  <c r="G34" i="3"/>
  <c r="F34" i="3"/>
  <c r="S37" i="4" l="1"/>
  <c r="L36" i="4"/>
  <c r="L38" i="4" s="1"/>
  <c r="AB37" i="4"/>
  <c r="W37" i="4"/>
  <c r="X37" i="4"/>
  <c r="K37" i="4"/>
  <c r="L37" i="4"/>
  <c r="V37" i="4"/>
  <c r="C37" i="4"/>
  <c r="AC37" i="4"/>
  <c r="K36" i="4"/>
  <c r="K38" i="4" s="1"/>
  <c r="D37" i="4"/>
  <c r="H233" i="2"/>
  <c r="I233" i="2"/>
  <c r="W43" i="3"/>
  <c r="L34" i="4"/>
  <c r="V43" i="3"/>
  <c r="L35" i="4"/>
  <c r="L40" i="4" s="1"/>
  <c r="D66" i="2"/>
  <c r="D67" i="2" s="1"/>
  <c r="T43" i="3"/>
  <c r="E66" i="2"/>
  <c r="U43" i="3"/>
  <c r="H36" i="2"/>
  <c r="J36" i="2" s="1"/>
  <c r="AA36" i="4"/>
  <c r="AA38" i="4" s="1"/>
  <c r="M36" i="4"/>
  <c r="M38" i="4" s="1"/>
  <c r="T37" i="4"/>
  <c r="E46" i="2"/>
  <c r="G40" i="2"/>
  <c r="H40" i="2"/>
  <c r="D46" i="2"/>
  <c r="G43" i="2"/>
  <c r="I43" i="2" s="1"/>
  <c r="K43" i="2" s="1"/>
  <c r="H43" i="2"/>
  <c r="G45" i="2"/>
  <c r="I45" i="2" s="1"/>
  <c r="K45" i="2" s="1"/>
  <c r="H45" i="2"/>
  <c r="G42" i="2"/>
  <c r="I42" i="2" s="1"/>
  <c r="K42" i="2" s="1"/>
  <c r="H42" i="2"/>
  <c r="G44" i="2"/>
  <c r="I44" i="2" s="1"/>
  <c r="K44" i="2" s="1"/>
  <c r="H44" i="2"/>
  <c r="H41" i="2"/>
  <c r="G41" i="2"/>
  <c r="I41" i="2" s="1"/>
  <c r="K41" i="2" s="1"/>
  <c r="G38" i="2"/>
  <c r="I38" i="2" s="1"/>
  <c r="K38" i="2" s="1"/>
  <c r="H38" i="2"/>
  <c r="G36" i="2"/>
  <c r="I36" i="2" s="1"/>
  <c r="K36" i="2" s="1"/>
  <c r="G35" i="2"/>
  <c r="I35" i="2" s="1"/>
  <c r="K35" i="2" s="1"/>
  <c r="H35" i="2"/>
  <c r="E39" i="2"/>
  <c r="D39" i="2"/>
  <c r="H34" i="2"/>
  <c r="G34" i="2"/>
  <c r="I34" i="2" s="1"/>
  <c r="K34" i="2" s="1"/>
  <c r="G33" i="2"/>
  <c r="H33" i="2"/>
  <c r="G37" i="2"/>
  <c r="I37" i="2" s="1"/>
  <c r="K37" i="2" s="1"/>
  <c r="H37" i="2"/>
  <c r="H142" i="2"/>
  <c r="G142" i="2"/>
  <c r="I142" i="2" s="1"/>
  <c r="H149" i="2"/>
  <c r="G149" i="2"/>
  <c r="I149" i="2" s="1"/>
  <c r="G140" i="2"/>
  <c r="I140" i="2" s="1"/>
  <c r="H140" i="2"/>
  <c r="G141" i="2"/>
  <c r="I141" i="2" s="1"/>
  <c r="H141" i="2"/>
  <c r="H147" i="2"/>
  <c r="G147" i="2"/>
  <c r="I147" i="2" s="1"/>
  <c r="K147" i="2" s="1"/>
  <c r="H148" i="2"/>
  <c r="G148" i="2"/>
  <c r="I148" i="2" s="1"/>
  <c r="H143" i="2"/>
  <c r="G143" i="2"/>
  <c r="I143" i="2" s="1"/>
  <c r="G145" i="2"/>
  <c r="I145" i="2" s="1"/>
  <c r="K145" i="2" s="1"/>
  <c r="H145" i="2"/>
  <c r="G146" i="2"/>
  <c r="I146" i="2" s="1"/>
  <c r="K146" i="2" s="1"/>
  <c r="H146" i="2"/>
  <c r="H138" i="2"/>
  <c r="G138" i="2"/>
  <c r="I138" i="2" s="1"/>
  <c r="H139" i="2"/>
  <c r="G139" i="2"/>
  <c r="I139" i="2" s="1"/>
  <c r="H150" i="2"/>
  <c r="G150" i="2"/>
  <c r="I150" i="2" s="1"/>
  <c r="AQ43" i="3"/>
  <c r="AS43" i="3"/>
  <c r="AP43" i="3"/>
  <c r="W35" i="4"/>
  <c r="W40" i="4" s="1"/>
  <c r="AR43" i="3"/>
  <c r="D154" i="2"/>
  <c r="D158" i="2" s="1"/>
  <c r="AT43" i="3"/>
  <c r="V34" i="4"/>
  <c r="W34" i="4"/>
  <c r="X34" i="4"/>
  <c r="X35" i="4"/>
  <c r="X38" i="4"/>
  <c r="AU43" i="3"/>
  <c r="E152" i="2"/>
  <c r="E158" i="2" s="1"/>
  <c r="V35" i="4"/>
  <c r="V40" i="4" s="1"/>
  <c r="U38" i="4"/>
  <c r="U35" i="4"/>
  <c r="U40" i="4" s="1"/>
  <c r="U34" i="4"/>
  <c r="S35" i="4"/>
  <c r="S40" i="4" s="1"/>
  <c r="S38" i="4"/>
  <c r="S34" i="4"/>
  <c r="E122" i="2"/>
  <c r="E123" i="2" s="1"/>
  <c r="AK43" i="3"/>
  <c r="D123" i="2"/>
  <c r="G22" i="2"/>
  <c r="I22" i="2" s="1"/>
  <c r="K22" i="2" s="1"/>
  <c r="R36" i="4"/>
  <c r="R38" i="4" s="1"/>
  <c r="F36" i="4"/>
  <c r="F38" i="4" s="1"/>
  <c r="Z36" i="4"/>
  <c r="Y36" i="4"/>
  <c r="T36" i="4"/>
  <c r="T38" i="4" s="1"/>
  <c r="E36" i="4"/>
  <c r="E38" i="4" s="1"/>
  <c r="AB36" i="4"/>
  <c r="AB38" i="4" s="1"/>
  <c r="AC36" i="4"/>
  <c r="Q36" i="4"/>
  <c r="Q38" i="4" s="1"/>
  <c r="N36" i="4"/>
  <c r="N38" i="4" s="1"/>
  <c r="J36" i="4"/>
  <c r="H49" i="2"/>
  <c r="J49" i="2" s="1"/>
  <c r="G49" i="2"/>
  <c r="I49" i="2" s="1"/>
  <c r="K49" i="2" s="1"/>
  <c r="H50" i="2"/>
  <c r="J50" i="2" s="1"/>
  <c r="G50" i="2"/>
  <c r="I50" i="2" s="1"/>
  <c r="K50" i="2" s="1"/>
  <c r="G48" i="2"/>
  <c r="I48" i="2" s="1"/>
  <c r="K48" i="2" s="1"/>
  <c r="H48" i="2"/>
  <c r="J48" i="2" s="1"/>
  <c r="G52" i="2"/>
  <c r="I52" i="2" s="1"/>
  <c r="K52" i="2" s="1"/>
  <c r="H52" i="2"/>
  <c r="J52" i="2" s="1"/>
  <c r="G51" i="2"/>
  <c r="I51" i="2" s="1"/>
  <c r="K51" i="2" s="1"/>
  <c r="H51" i="2"/>
  <c r="J51" i="2" s="1"/>
  <c r="C36" i="4"/>
  <c r="D34" i="4"/>
  <c r="E12" i="2"/>
  <c r="E18" i="2" s="1"/>
  <c r="G43" i="3"/>
  <c r="D12" i="2"/>
  <c r="D18" i="2" s="1"/>
  <c r="F43" i="3"/>
  <c r="C35" i="4"/>
  <c r="C34" i="4"/>
  <c r="AB35" i="4"/>
  <c r="AB40" i="4" s="1"/>
  <c r="AB34" i="4"/>
  <c r="AC34" i="4"/>
  <c r="AC35" i="4"/>
  <c r="AC40" i="4" s="1"/>
  <c r="E194" i="2"/>
  <c r="BG43" i="3"/>
  <c r="D194" i="2"/>
  <c r="BF43" i="3"/>
  <c r="H199" i="2"/>
  <c r="G199" i="2"/>
  <c r="I199" i="2" s="1"/>
  <c r="K199" i="2" s="1"/>
  <c r="H65" i="2"/>
  <c r="J65" i="2" s="1"/>
  <c r="G65" i="2"/>
  <c r="I65" i="2" s="1"/>
  <c r="G61" i="2"/>
  <c r="H61" i="2"/>
  <c r="H62" i="2"/>
  <c r="L62" i="2" s="1"/>
  <c r="G62" i="2"/>
  <c r="I62" i="2" s="1"/>
  <c r="H57" i="2"/>
  <c r="G57" i="2"/>
  <c r="I57" i="2" s="1"/>
  <c r="K57" i="2" s="1"/>
  <c r="G55" i="2"/>
  <c r="H55" i="2"/>
  <c r="J55" i="2" s="1"/>
  <c r="H56" i="2"/>
  <c r="G56" i="2"/>
  <c r="I56" i="2" s="1"/>
  <c r="K56" i="2" s="1"/>
  <c r="G59" i="2"/>
  <c r="H59" i="2"/>
  <c r="J59" i="2" s="1"/>
  <c r="H58" i="2"/>
  <c r="G58" i="2"/>
  <c r="I58" i="2" s="1"/>
  <c r="K58" i="2" s="1"/>
  <c r="E60" i="2"/>
  <c r="G54" i="2"/>
  <c r="I54" i="2" s="1"/>
  <c r="U54" i="2" s="1"/>
  <c r="H54" i="2"/>
  <c r="J54" i="2" s="1"/>
  <c r="H197" i="2"/>
  <c r="G197" i="2"/>
  <c r="I197" i="2" s="1"/>
  <c r="K197" i="2" s="1"/>
  <c r="H196" i="2"/>
  <c r="G196" i="2"/>
  <c r="I196" i="2" s="1"/>
  <c r="K196" i="2" s="1"/>
  <c r="H195" i="2"/>
  <c r="G195" i="2"/>
  <c r="I195" i="2" s="1"/>
  <c r="U195" i="2" s="1"/>
  <c r="G198" i="2"/>
  <c r="I198" i="2" s="1"/>
  <c r="K198" i="2" s="1"/>
  <c r="H198" i="2"/>
  <c r="H164" i="2"/>
  <c r="G164" i="2"/>
  <c r="I164" i="2" s="1"/>
  <c r="K164" i="2" s="1"/>
  <c r="G163" i="2"/>
  <c r="I163" i="2" s="1"/>
  <c r="K163" i="2" s="1"/>
  <c r="H163" i="2"/>
  <c r="G160" i="2"/>
  <c r="I160" i="2" s="1"/>
  <c r="K160" i="2" s="1"/>
  <c r="H160" i="2"/>
  <c r="G161" i="2"/>
  <c r="I161" i="2" s="1"/>
  <c r="K161" i="2" s="1"/>
  <c r="H161" i="2"/>
  <c r="G159" i="2"/>
  <c r="I159" i="2" s="1"/>
  <c r="H159" i="2"/>
  <c r="H162" i="2"/>
  <c r="G162" i="2"/>
  <c r="I162" i="2" s="1"/>
  <c r="K162" i="2" s="1"/>
  <c r="H120" i="2"/>
  <c r="G120" i="2"/>
  <c r="I120" i="2" s="1"/>
  <c r="K120" i="2" s="1"/>
  <c r="G121" i="2"/>
  <c r="I121" i="2" s="1"/>
  <c r="K121" i="2" s="1"/>
  <c r="H121" i="2"/>
  <c r="G119" i="2"/>
  <c r="I119" i="2" s="1"/>
  <c r="K119" i="2" s="1"/>
  <c r="H119" i="2"/>
  <c r="G117" i="2"/>
  <c r="H117" i="2"/>
  <c r="G118" i="2"/>
  <c r="I118" i="2" s="1"/>
  <c r="K118" i="2" s="1"/>
  <c r="H118" i="2"/>
  <c r="H115" i="2"/>
  <c r="G115" i="2"/>
  <c r="I115" i="2" s="1"/>
  <c r="K115" i="2" s="1"/>
  <c r="H114" i="2"/>
  <c r="G114" i="2"/>
  <c r="I114" i="2" s="1"/>
  <c r="K114" i="2" s="1"/>
  <c r="G110" i="2"/>
  <c r="I110" i="2" s="1"/>
  <c r="U110" i="2" s="1"/>
  <c r="H110" i="2"/>
  <c r="G111" i="2"/>
  <c r="I111" i="2" s="1"/>
  <c r="K111" i="2" s="1"/>
  <c r="H111" i="2"/>
  <c r="H112" i="2"/>
  <c r="G112" i="2"/>
  <c r="I112" i="2" s="1"/>
  <c r="K112" i="2" s="1"/>
  <c r="H113" i="2"/>
  <c r="G113" i="2"/>
  <c r="I113" i="2" s="1"/>
  <c r="K113" i="2" s="1"/>
  <c r="G93" i="2"/>
  <c r="I93" i="2" s="1"/>
  <c r="K93" i="2" s="1"/>
  <c r="H93" i="2"/>
  <c r="H89" i="2"/>
  <c r="G89" i="2"/>
  <c r="I89" i="2" s="1"/>
  <c r="H90" i="2"/>
  <c r="G90" i="2"/>
  <c r="I90" i="2" s="1"/>
  <c r="K90" i="2" s="1"/>
  <c r="G91" i="2"/>
  <c r="I91" i="2" s="1"/>
  <c r="K91" i="2" s="1"/>
  <c r="H91" i="2"/>
  <c r="H92" i="2"/>
  <c r="G92" i="2"/>
  <c r="I92" i="2" s="1"/>
  <c r="K92" i="2" s="1"/>
  <c r="H94" i="2"/>
  <c r="G94" i="2"/>
  <c r="I94" i="2" s="1"/>
  <c r="K94" i="2" s="1"/>
  <c r="P37" i="4"/>
  <c r="O37" i="4"/>
  <c r="Q37" i="4"/>
  <c r="Y37" i="4"/>
  <c r="R37" i="4"/>
  <c r="Z37" i="4"/>
  <c r="M37" i="4"/>
  <c r="AA37" i="4"/>
  <c r="N37" i="4"/>
  <c r="J37" i="4"/>
  <c r="F37" i="4"/>
  <c r="E37" i="4"/>
  <c r="N35" i="4"/>
  <c r="N40" i="4" s="1"/>
  <c r="G125" i="2"/>
  <c r="I125" i="2" s="1"/>
  <c r="K125" i="2" s="1"/>
  <c r="H125" i="2"/>
  <c r="H128" i="2"/>
  <c r="G128" i="2"/>
  <c r="I128" i="2" s="1"/>
  <c r="K128" i="2" s="1"/>
  <c r="H126" i="2"/>
  <c r="G126" i="2"/>
  <c r="I126" i="2" s="1"/>
  <c r="K126" i="2" s="1"/>
  <c r="H124" i="2"/>
  <c r="G124" i="2"/>
  <c r="D130" i="2"/>
  <c r="H127" i="2"/>
  <c r="G127" i="2"/>
  <c r="I127" i="2" s="1"/>
  <c r="K127" i="2" s="1"/>
  <c r="E130" i="2"/>
  <c r="H129" i="2"/>
  <c r="G129" i="2"/>
  <c r="I129" i="2" s="1"/>
  <c r="K129" i="2" s="1"/>
  <c r="H13" i="2"/>
  <c r="G13" i="2"/>
  <c r="I13" i="2" s="1"/>
  <c r="K13" i="2" s="1"/>
  <c r="G16" i="2"/>
  <c r="I16" i="2" s="1"/>
  <c r="K16" i="2" s="1"/>
  <c r="H16" i="2"/>
  <c r="G15" i="2"/>
  <c r="I15" i="2" s="1"/>
  <c r="K15" i="2" s="1"/>
  <c r="H15" i="2"/>
  <c r="H14" i="2"/>
  <c r="G14" i="2"/>
  <c r="I14" i="2" s="1"/>
  <c r="K14" i="2" s="1"/>
  <c r="H17" i="2"/>
  <c r="G17" i="2"/>
  <c r="I17" i="2" s="1"/>
  <c r="K17" i="2" s="1"/>
  <c r="M43" i="3"/>
  <c r="E47" i="2"/>
  <c r="E53" i="2" s="1"/>
  <c r="Q43" i="3"/>
  <c r="D68" i="2"/>
  <c r="D74" i="2" s="1"/>
  <c r="D116" i="2"/>
  <c r="AH43" i="3"/>
  <c r="AY43" i="3"/>
  <c r="E82" i="2"/>
  <c r="E88" i="2" s="1"/>
  <c r="AA43" i="3"/>
  <c r="AV43" i="3"/>
  <c r="N43" i="3"/>
  <c r="E68" i="2"/>
  <c r="E74" i="2" s="1"/>
  <c r="E116" i="2"/>
  <c r="AI43" i="3"/>
  <c r="D144" i="2"/>
  <c r="AB43" i="3"/>
  <c r="D32" i="2"/>
  <c r="J43" i="3"/>
  <c r="O43" i="3"/>
  <c r="S43" i="3"/>
  <c r="D75" i="2"/>
  <c r="D81" i="2" s="1"/>
  <c r="X43" i="3"/>
  <c r="D103" i="2"/>
  <c r="D109" i="2" s="1"/>
  <c r="AF43" i="3"/>
  <c r="E144" i="2"/>
  <c r="AW43" i="3"/>
  <c r="AC43" i="3"/>
  <c r="E131" i="2"/>
  <c r="E137" i="2" s="1"/>
  <c r="H43" i="3"/>
  <c r="D102" i="2"/>
  <c r="AD43" i="3"/>
  <c r="AL43" i="3"/>
  <c r="E151" i="2"/>
  <c r="E19" i="2"/>
  <c r="E25" i="2" s="1"/>
  <c r="I43" i="3"/>
  <c r="AE43" i="3"/>
  <c r="AM43" i="3"/>
  <c r="L43" i="3"/>
  <c r="E26" i="2"/>
  <c r="E32" i="2" s="1"/>
  <c r="K43" i="3"/>
  <c r="D47" i="2"/>
  <c r="P43" i="3"/>
  <c r="E75" i="2"/>
  <c r="E81" i="2" s="1"/>
  <c r="Y43" i="3"/>
  <c r="E109" i="2"/>
  <c r="AG43" i="3"/>
  <c r="D172" i="2"/>
  <c r="AX43" i="3"/>
  <c r="D82" i="2"/>
  <c r="D88" i="2" s="1"/>
  <c r="Z43" i="3"/>
  <c r="D137" i="2"/>
  <c r="K35" i="4"/>
  <c r="K40" i="4" s="1"/>
  <c r="K34" i="4"/>
  <c r="D180" i="2"/>
  <c r="D186" i="2" s="1"/>
  <c r="E180" i="2"/>
  <c r="AZ43" i="3"/>
  <c r="BA43" i="3"/>
  <c r="AD5" i="4"/>
  <c r="AD6" i="4"/>
  <c r="AD7" i="4"/>
  <c r="AD8" i="4"/>
  <c r="AD15" i="4"/>
  <c r="AD17" i="4"/>
  <c r="AD18" i="4"/>
  <c r="AD19" i="4"/>
  <c r="H23" i="2"/>
  <c r="L23" i="2" s="1"/>
  <c r="G23" i="2"/>
  <c r="I23" i="2" s="1"/>
  <c r="K23" i="2" s="1"/>
  <c r="H20" i="2"/>
  <c r="L20" i="2" s="1"/>
  <c r="G20" i="2"/>
  <c r="I20" i="2" s="1"/>
  <c r="K20" i="2" s="1"/>
  <c r="H22" i="2"/>
  <c r="L22" i="2" s="1"/>
  <c r="H21" i="2"/>
  <c r="L21" i="2" s="1"/>
  <c r="G21" i="2"/>
  <c r="I21" i="2" s="1"/>
  <c r="K21" i="2" s="1"/>
  <c r="G24" i="2"/>
  <c r="I24" i="2" s="1"/>
  <c r="K24" i="2" s="1"/>
  <c r="H24" i="2"/>
  <c r="L24" i="2" s="1"/>
  <c r="O36" i="4"/>
  <c r="D17" i="4"/>
  <c r="D18" i="4"/>
  <c r="G64" i="2"/>
  <c r="I64" i="2" s="1"/>
  <c r="U64" i="2" s="1"/>
  <c r="H64" i="2"/>
  <c r="J64" i="2" s="1"/>
  <c r="G63" i="2"/>
  <c r="I63" i="2" s="1"/>
  <c r="U63" i="2" s="1"/>
  <c r="H63" i="2"/>
  <c r="J63" i="2" s="1"/>
  <c r="I5" i="4"/>
  <c r="I6" i="4"/>
  <c r="I7" i="4"/>
  <c r="I8" i="4"/>
  <c r="I10" i="4"/>
  <c r="I15" i="4"/>
  <c r="I36" i="4" s="1"/>
  <c r="O35" i="4"/>
  <c r="Y35" i="4"/>
  <c r="Y40" i="4" s="1"/>
  <c r="AA35" i="4"/>
  <c r="AA40" i="4" s="1"/>
  <c r="Q35" i="4"/>
  <c r="Q40" i="4" s="1"/>
  <c r="F35" i="4"/>
  <c r="T35" i="4"/>
  <c r="T40" i="4" s="1"/>
  <c r="Z35" i="4"/>
  <c r="Z40" i="4" s="1"/>
  <c r="M35" i="4"/>
  <c r="M40" i="4" s="1"/>
  <c r="P35" i="4"/>
  <c r="R35" i="4"/>
  <c r="E35" i="4"/>
  <c r="E40" i="4" s="1"/>
  <c r="J35" i="4"/>
  <c r="J40" i="4" s="1"/>
  <c r="H105" i="2"/>
  <c r="L105" i="2" s="1"/>
  <c r="G105" i="2"/>
  <c r="I105" i="2" s="1"/>
  <c r="K105" i="2" s="1"/>
  <c r="H106" i="2"/>
  <c r="L106" i="2" s="1"/>
  <c r="G106" i="2"/>
  <c r="I106" i="2" s="1"/>
  <c r="K106" i="2" s="1"/>
  <c r="H108" i="2"/>
  <c r="L108" i="2" s="1"/>
  <c r="G108" i="2"/>
  <c r="I108" i="2" s="1"/>
  <c r="K108" i="2" s="1"/>
  <c r="H104" i="2"/>
  <c r="L104" i="2" s="1"/>
  <c r="G104" i="2"/>
  <c r="I104" i="2" s="1"/>
  <c r="K104" i="2" s="1"/>
  <c r="H107" i="2"/>
  <c r="L107" i="2" s="1"/>
  <c r="G107" i="2"/>
  <c r="I107" i="2" s="1"/>
  <c r="K107" i="2" s="1"/>
  <c r="A47" i="2"/>
  <c r="U97" i="2"/>
  <c r="H29" i="2"/>
  <c r="L29" i="2" s="1"/>
  <c r="G29" i="2"/>
  <c r="I29" i="2" s="1"/>
  <c r="K29" i="2" s="1"/>
  <c r="G28" i="2"/>
  <c r="I28" i="2" s="1"/>
  <c r="K28" i="2" s="1"/>
  <c r="H28" i="2"/>
  <c r="L28" i="2" s="1"/>
  <c r="G31" i="2"/>
  <c r="I31" i="2" s="1"/>
  <c r="K31" i="2" s="1"/>
  <c r="H31" i="2"/>
  <c r="L31" i="2" s="1"/>
  <c r="H27" i="2"/>
  <c r="L27" i="2" s="1"/>
  <c r="G27" i="2"/>
  <c r="I27" i="2" s="1"/>
  <c r="U27" i="2" s="1"/>
  <c r="H30" i="2"/>
  <c r="L30" i="2" s="1"/>
  <c r="G30" i="2"/>
  <c r="I30" i="2" s="1"/>
  <c r="K30" i="2" s="1"/>
  <c r="H5" i="4"/>
  <c r="H6" i="4"/>
  <c r="H7" i="4"/>
  <c r="H8" i="4"/>
  <c r="H10" i="4"/>
  <c r="H15" i="4"/>
  <c r="G6" i="4"/>
  <c r="G7" i="4"/>
  <c r="G8" i="4"/>
  <c r="G10" i="4"/>
  <c r="G15" i="4"/>
  <c r="G36" i="4" s="1"/>
  <c r="G5" i="4"/>
  <c r="D244" i="2"/>
  <c r="G71" i="2"/>
  <c r="I71" i="2" s="1"/>
  <c r="D234" i="2"/>
  <c r="E234" i="2" s="1"/>
  <c r="H70" i="2"/>
  <c r="G184" i="2"/>
  <c r="I184" i="2" s="1"/>
  <c r="G85" i="2"/>
  <c r="I85" i="2" s="1"/>
  <c r="K85" i="2" s="1"/>
  <c r="H71" i="2"/>
  <c r="H80" i="2"/>
  <c r="L80" i="2" s="1"/>
  <c r="G73" i="2"/>
  <c r="I73" i="2" s="1"/>
  <c r="H73" i="2"/>
  <c r="M34" i="4"/>
  <c r="H76" i="2"/>
  <c r="G183" i="2"/>
  <c r="I183" i="2" s="1"/>
  <c r="F234" i="2"/>
  <c r="G234" i="2" s="1"/>
  <c r="D230" i="2"/>
  <c r="E230" i="2" s="1"/>
  <c r="P34" i="4"/>
  <c r="G76" i="2"/>
  <c r="I76" i="2" s="1"/>
  <c r="G80" i="2"/>
  <c r="I80" i="2" s="1"/>
  <c r="K80" i="2" s="1"/>
  <c r="D231" i="2"/>
  <c r="E231" i="2" s="1"/>
  <c r="N34" i="4"/>
  <c r="E34" i="4"/>
  <c r="H83" i="2"/>
  <c r="L83" i="2" s="1"/>
  <c r="G83" i="2"/>
  <c r="I83" i="2" s="1"/>
  <c r="H77" i="2"/>
  <c r="L77" i="2" s="1"/>
  <c r="G77" i="2"/>
  <c r="I77" i="2" s="1"/>
  <c r="K77" i="2" s="1"/>
  <c r="F34" i="4"/>
  <c r="H69" i="2"/>
  <c r="L69" i="2" s="1"/>
  <c r="G72" i="2"/>
  <c r="I72" i="2" s="1"/>
  <c r="G70" i="2"/>
  <c r="I70" i="2" s="1"/>
  <c r="H155" i="2"/>
  <c r="L155" i="2" s="1"/>
  <c r="G155" i="2"/>
  <c r="I155" i="2" s="1"/>
  <c r="H153" i="2"/>
  <c r="L153" i="2" s="1"/>
  <c r="G153" i="2"/>
  <c r="I153" i="2" s="1"/>
  <c r="U153" i="2" s="1"/>
  <c r="H157" i="2"/>
  <c r="L157" i="2" s="1"/>
  <c r="G157" i="2"/>
  <c r="I157" i="2" s="1"/>
  <c r="H156" i="2"/>
  <c r="L156" i="2" s="1"/>
  <c r="G156" i="2"/>
  <c r="I156" i="2" s="1"/>
  <c r="D229" i="2"/>
  <c r="E229" i="2" s="1"/>
  <c r="F230" i="2"/>
  <c r="G230" i="2" s="1"/>
  <c r="G231" i="2"/>
  <c r="H185" i="2"/>
  <c r="L185" i="2" s="1"/>
  <c r="G185" i="2"/>
  <c r="I185" i="2" s="1"/>
  <c r="H86" i="2"/>
  <c r="L86" i="2" s="1"/>
  <c r="G86" i="2"/>
  <c r="I86" i="2" s="1"/>
  <c r="K86" i="2" s="1"/>
  <c r="G69" i="2"/>
  <c r="I69" i="2" s="1"/>
  <c r="U69" i="2" s="1"/>
  <c r="H79" i="2"/>
  <c r="L79" i="2" s="1"/>
  <c r="G79" i="2"/>
  <c r="I79" i="2" s="1"/>
  <c r="K79" i="2" s="1"/>
  <c r="H72" i="2"/>
  <c r="L72" i="2" s="1"/>
  <c r="J34" i="4"/>
  <c r="H181" i="2"/>
  <c r="L181" i="2" s="1"/>
  <c r="G181" i="2"/>
  <c r="I181" i="2" s="1"/>
  <c r="U181" i="2" s="1"/>
  <c r="H183" i="2"/>
  <c r="L183" i="2" s="1"/>
  <c r="H84" i="2"/>
  <c r="L84" i="2" s="1"/>
  <c r="G84" i="2"/>
  <c r="I84" i="2" s="1"/>
  <c r="K84" i="2" s="1"/>
  <c r="O34" i="4"/>
  <c r="H87" i="2"/>
  <c r="L87" i="2" s="1"/>
  <c r="G87" i="2"/>
  <c r="I87" i="2" s="1"/>
  <c r="K87" i="2" s="1"/>
  <c r="H85" i="2"/>
  <c r="L85" i="2" s="1"/>
  <c r="B21" i="13"/>
  <c r="M193" i="2"/>
  <c r="B28" i="13"/>
  <c r="B14" i="13"/>
  <c r="B13" i="13"/>
  <c r="Y34" i="4"/>
  <c r="Z34" i="4"/>
  <c r="AA34" i="4"/>
  <c r="H184" i="2"/>
  <c r="L184" i="2" s="1"/>
  <c r="B22" i="13"/>
  <c r="F229" i="2"/>
  <c r="F233" i="2"/>
  <c r="G232" i="2"/>
  <c r="D232" i="2"/>
  <c r="E232" i="2" s="1"/>
  <c r="D233" i="2"/>
  <c r="H134" i="2"/>
  <c r="L134" i="2" s="1"/>
  <c r="G134" i="2"/>
  <c r="G132" i="2"/>
  <c r="I132" i="2" s="1"/>
  <c r="U132" i="2" s="1"/>
  <c r="H132" i="2"/>
  <c r="L132" i="2" s="1"/>
  <c r="G133" i="2"/>
  <c r="H133" i="2"/>
  <c r="L133" i="2" s="1"/>
  <c r="G135" i="2"/>
  <c r="I135" i="2" s="1"/>
  <c r="K135" i="2" s="1"/>
  <c r="H135" i="2"/>
  <c r="L135" i="2" s="1"/>
  <c r="T34" i="4"/>
  <c r="R34" i="4"/>
  <c r="Q34" i="4"/>
  <c r="F239" i="2" l="1"/>
  <c r="H66" i="2"/>
  <c r="J66" i="2" s="1"/>
  <c r="AD37" i="4"/>
  <c r="I234" i="2"/>
  <c r="G66" i="2"/>
  <c r="I66" i="2" s="1"/>
  <c r="U66" i="2" s="1"/>
  <c r="L36" i="2"/>
  <c r="L231" i="2"/>
  <c r="D200" i="2"/>
  <c r="E200" i="2"/>
  <c r="L146" i="2"/>
  <c r="J146" i="2"/>
  <c r="L145" i="2"/>
  <c r="J145" i="2"/>
  <c r="L147" i="2"/>
  <c r="J147" i="2"/>
  <c r="L149" i="2"/>
  <c r="J149" i="2"/>
  <c r="L150" i="2"/>
  <c r="J150" i="2"/>
  <c r="L148" i="2"/>
  <c r="J148" i="2"/>
  <c r="K138" i="2"/>
  <c r="U138" i="2"/>
  <c r="K141" i="2"/>
  <c r="U141" i="2"/>
  <c r="K140" i="2"/>
  <c r="U140" i="2"/>
  <c r="K143" i="2"/>
  <c r="U143" i="2"/>
  <c r="K142" i="2"/>
  <c r="U142" i="2"/>
  <c r="K139" i="2"/>
  <c r="U139" i="2"/>
  <c r="E67" i="2"/>
  <c r="H11" i="13" s="1"/>
  <c r="K73" i="2"/>
  <c r="U73" i="2"/>
  <c r="K70" i="2"/>
  <c r="U70" i="2"/>
  <c r="K72" i="2"/>
  <c r="U72" i="2"/>
  <c r="K71" i="2"/>
  <c r="U71" i="2"/>
  <c r="H67" i="2"/>
  <c r="I61" i="2"/>
  <c r="K65" i="2"/>
  <c r="U65" i="2"/>
  <c r="K149" i="2"/>
  <c r="U149" i="2"/>
  <c r="K150" i="2"/>
  <c r="U150" i="2"/>
  <c r="K148" i="2"/>
  <c r="U148" i="2"/>
  <c r="E186" i="2"/>
  <c r="P40" i="4"/>
  <c r="L41" i="2"/>
  <c r="J41" i="2"/>
  <c r="L44" i="2"/>
  <c r="J44" i="2"/>
  <c r="L42" i="2"/>
  <c r="J42" i="2"/>
  <c r="J45" i="2"/>
  <c r="L45" i="2"/>
  <c r="J43" i="2"/>
  <c r="L43" i="2"/>
  <c r="J40" i="2"/>
  <c r="H46" i="2"/>
  <c r="L40" i="2"/>
  <c r="G46" i="2"/>
  <c r="I40" i="2"/>
  <c r="U40" i="2" s="1"/>
  <c r="I33" i="2"/>
  <c r="G39" i="2"/>
  <c r="J34" i="2"/>
  <c r="L34" i="2"/>
  <c r="J35" i="2"/>
  <c r="L35" i="2"/>
  <c r="J38" i="2"/>
  <c r="L38" i="2"/>
  <c r="J37" i="2"/>
  <c r="L37" i="2"/>
  <c r="J33" i="2"/>
  <c r="L33" i="2"/>
  <c r="H39" i="2"/>
  <c r="L139" i="2"/>
  <c r="J139" i="2"/>
  <c r="L141" i="2"/>
  <c r="J141" i="2"/>
  <c r="L138" i="2"/>
  <c r="J138" i="2"/>
  <c r="L140" i="2"/>
  <c r="J140" i="2"/>
  <c r="L143" i="2"/>
  <c r="J143" i="2"/>
  <c r="L142" i="2"/>
  <c r="J142" i="2"/>
  <c r="G122" i="2"/>
  <c r="I122" i="2" s="1"/>
  <c r="K122" i="2" s="1"/>
  <c r="H122" i="2"/>
  <c r="J122" i="2" s="1"/>
  <c r="G229" i="2"/>
  <c r="I117" i="2"/>
  <c r="F40" i="4"/>
  <c r="D36" i="4"/>
  <c r="D38" i="4" s="1"/>
  <c r="U145" i="2"/>
  <c r="AD36" i="4"/>
  <c r="K159" i="2"/>
  <c r="U159" i="2"/>
  <c r="G12" i="2"/>
  <c r="I12" i="2" s="1"/>
  <c r="U12" i="2" s="1"/>
  <c r="I59" i="2"/>
  <c r="K59" i="2" s="1"/>
  <c r="K89" i="2"/>
  <c r="U89" i="2"/>
  <c r="K110" i="2"/>
  <c r="I55" i="2"/>
  <c r="U55" i="2" s="1"/>
  <c r="H12" i="2"/>
  <c r="L12" i="2" s="1"/>
  <c r="H47" i="2"/>
  <c r="J47" i="2" s="1"/>
  <c r="G47" i="2"/>
  <c r="I47" i="2" s="1"/>
  <c r="L51" i="2"/>
  <c r="L52" i="2"/>
  <c r="L48" i="2"/>
  <c r="L50" i="2"/>
  <c r="L49" i="2"/>
  <c r="D35" i="4"/>
  <c r="D40" i="4" s="1"/>
  <c r="L65" i="2"/>
  <c r="H194" i="2"/>
  <c r="H200" i="2" s="1"/>
  <c r="G194" i="2"/>
  <c r="I194" i="2" s="1"/>
  <c r="L66" i="2"/>
  <c r="AD35" i="4"/>
  <c r="AD40" i="4" s="1"/>
  <c r="AD34" i="4"/>
  <c r="K195" i="2"/>
  <c r="I35" i="4"/>
  <c r="I40" i="4" s="1"/>
  <c r="K64" i="2"/>
  <c r="A54" i="2"/>
  <c r="A61" i="2" s="1"/>
  <c r="A68" i="2" s="1"/>
  <c r="A75" i="2" s="1"/>
  <c r="A82" i="2" s="1"/>
  <c r="A89" i="2" s="1"/>
  <c r="A96" i="2" s="1"/>
  <c r="A103" i="2" s="1"/>
  <c r="A110" i="2" s="1"/>
  <c r="A117" i="2" s="1"/>
  <c r="L64" i="2"/>
  <c r="L63" i="2"/>
  <c r="K63" i="2"/>
  <c r="U44" i="2"/>
  <c r="G60" i="2"/>
  <c r="L58" i="2"/>
  <c r="J58" i="2"/>
  <c r="L59" i="2"/>
  <c r="J56" i="2"/>
  <c r="L56" i="2"/>
  <c r="L55" i="2"/>
  <c r="L54" i="2"/>
  <c r="H60" i="2"/>
  <c r="J57" i="2"/>
  <c r="L57" i="2"/>
  <c r="J195" i="2"/>
  <c r="L195" i="2"/>
  <c r="L196" i="2"/>
  <c r="J196" i="2"/>
  <c r="J198" i="2"/>
  <c r="L198" i="2"/>
  <c r="L197" i="2"/>
  <c r="J197" i="2"/>
  <c r="L199" i="2"/>
  <c r="J199" i="2"/>
  <c r="L162" i="2"/>
  <c r="J162" i="2"/>
  <c r="L159" i="2"/>
  <c r="J159" i="2"/>
  <c r="L161" i="2"/>
  <c r="J161" i="2"/>
  <c r="J160" i="2"/>
  <c r="L160" i="2"/>
  <c r="L163" i="2"/>
  <c r="J163" i="2"/>
  <c r="J164" i="2"/>
  <c r="L164" i="2"/>
  <c r="J117" i="2"/>
  <c r="L117" i="2"/>
  <c r="J119" i="2"/>
  <c r="L119" i="2"/>
  <c r="L118" i="2"/>
  <c r="J118" i="2"/>
  <c r="L121" i="2"/>
  <c r="J121" i="2"/>
  <c r="L120" i="2"/>
  <c r="J120" i="2"/>
  <c r="J113" i="2"/>
  <c r="L113" i="2"/>
  <c r="L112" i="2"/>
  <c r="J112" i="2"/>
  <c r="J111" i="2"/>
  <c r="L111" i="2"/>
  <c r="J110" i="2"/>
  <c r="L110" i="2"/>
  <c r="L114" i="2"/>
  <c r="J114" i="2"/>
  <c r="L115" i="2"/>
  <c r="J115" i="2"/>
  <c r="L94" i="2"/>
  <c r="J94" i="2"/>
  <c r="J92" i="2"/>
  <c r="L92" i="2"/>
  <c r="J91" i="2"/>
  <c r="L91" i="2"/>
  <c r="J90" i="2"/>
  <c r="L90" i="2"/>
  <c r="L89" i="2"/>
  <c r="J89" i="2"/>
  <c r="J93" i="2"/>
  <c r="L93" i="2"/>
  <c r="H37" i="4"/>
  <c r="G37" i="4"/>
  <c r="I37" i="4"/>
  <c r="L232" i="2"/>
  <c r="O38" i="4"/>
  <c r="J127" i="2"/>
  <c r="L127" i="2"/>
  <c r="G130" i="2"/>
  <c r="I124" i="2"/>
  <c r="U124" i="2" s="1"/>
  <c r="L124" i="2"/>
  <c r="J124" i="2"/>
  <c r="H130" i="2"/>
  <c r="L126" i="2"/>
  <c r="J126" i="2"/>
  <c r="L128" i="2"/>
  <c r="J128" i="2"/>
  <c r="L129" i="2"/>
  <c r="J129" i="2"/>
  <c r="L125" i="2"/>
  <c r="J125" i="2"/>
  <c r="L17" i="2"/>
  <c r="J17" i="2"/>
  <c r="L15" i="2"/>
  <c r="J15" i="2"/>
  <c r="J16" i="2"/>
  <c r="L16" i="2"/>
  <c r="J14" i="2"/>
  <c r="L14" i="2"/>
  <c r="L13" i="2"/>
  <c r="J13" i="2"/>
  <c r="H131" i="2"/>
  <c r="H82" i="2"/>
  <c r="U62" i="2"/>
  <c r="G131" i="2"/>
  <c r="I131" i="2" s="1"/>
  <c r="U131" i="2" s="1"/>
  <c r="G75" i="2"/>
  <c r="I75" i="2" s="1"/>
  <c r="U75" i="2" s="1"/>
  <c r="H75" i="2"/>
  <c r="L75" i="2" s="1"/>
  <c r="G180" i="2"/>
  <c r="H8" i="13"/>
  <c r="H19" i="2"/>
  <c r="L19" i="2" s="1"/>
  <c r="G152" i="2"/>
  <c r="H103" i="2"/>
  <c r="L103" i="2" s="1"/>
  <c r="G26" i="2"/>
  <c r="I26" i="2" s="1"/>
  <c r="U26" i="2" s="1"/>
  <c r="E172" i="2"/>
  <c r="H26" i="13" s="1"/>
  <c r="H14" i="13"/>
  <c r="H152" i="2"/>
  <c r="H26" i="2"/>
  <c r="L26" i="2" s="1"/>
  <c r="G82" i="2"/>
  <c r="G88" i="2" s="1"/>
  <c r="H154" i="2"/>
  <c r="L154" i="2" s="1"/>
  <c r="G103" i="2"/>
  <c r="I103" i="2" s="1"/>
  <c r="U103" i="2" s="1"/>
  <c r="H24" i="13"/>
  <c r="D25" i="2"/>
  <c r="H5" i="13" s="1"/>
  <c r="G19" i="2"/>
  <c r="I19" i="2" s="1"/>
  <c r="G154" i="2"/>
  <c r="I154" i="2" s="1"/>
  <c r="U154" i="2" s="1"/>
  <c r="H180" i="2"/>
  <c r="C38" i="4"/>
  <c r="E179" i="2"/>
  <c r="U176" i="2"/>
  <c r="P41" i="4"/>
  <c r="K16" i="13" s="1"/>
  <c r="P38" i="4"/>
  <c r="U127" i="2"/>
  <c r="U168" i="2"/>
  <c r="U91" i="2"/>
  <c r="K181" i="2"/>
  <c r="U157" i="2"/>
  <c r="K157" i="2"/>
  <c r="U155" i="2"/>
  <c r="K155" i="2"/>
  <c r="U198" i="2"/>
  <c r="U94" i="2"/>
  <c r="U177" i="2"/>
  <c r="U178" i="2"/>
  <c r="U76" i="2"/>
  <c r="K76" i="2"/>
  <c r="J73" i="2"/>
  <c r="L73" i="2"/>
  <c r="J70" i="2"/>
  <c r="L70" i="2"/>
  <c r="Z41" i="4"/>
  <c r="K26" i="13" s="1"/>
  <c r="Z38" i="4"/>
  <c r="Y39" i="4"/>
  <c r="Y38" i="4"/>
  <c r="U128" i="2"/>
  <c r="U126" i="2"/>
  <c r="U190" i="2"/>
  <c r="U129" i="2"/>
  <c r="U93" i="2"/>
  <c r="J76" i="2"/>
  <c r="L76" i="2"/>
  <c r="J71" i="2"/>
  <c r="L71" i="2"/>
  <c r="J39" i="4"/>
  <c r="J38" i="4"/>
  <c r="W39" i="4"/>
  <c r="W38" i="4"/>
  <c r="U90" i="2"/>
  <c r="U83" i="2"/>
  <c r="K83" i="2"/>
  <c r="U164" i="2"/>
  <c r="K27" i="2"/>
  <c r="U191" i="2"/>
  <c r="U92" i="2"/>
  <c r="K69" i="2"/>
  <c r="U185" i="2"/>
  <c r="K185" i="2"/>
  <c r="U156" i="2"/>
  <c r="K156" i="2"/>
  <c r="K153" i="2"/>
  <c r="U199" i="2"/>
  <c r="U183" i="2"/>
  <c r="K183" i="2"/>
  <c r="U184" i="2"/>
  <c r="K184" i="2"/>
  <c r="U48" i="2"/>
  <c r="V39" i="4"/>
  <c r="V38" i="4"/>
  <c r="AC41" i="4"/>
  <c r="K29" i="13" s="1"/>
  <c r="AC38" i="4"/>
  <c r="E233" i="2"/>
  <c r="E239" i="2" s="1"/>
  <c r="D239" i="2"/>
  <c r="D6" i="11" s="1"/>
  <c r="G233" i="2"/>
  <c r="X40" i="4"/>
  <c r="X41" i="4"/>
  <c r="O40" i="4"/>
  <c r="H32" i="13"/>
  <c r="B29" i="13"/>
  <c r="U24" i="2"/>
  <c r="J24" i="2"/>
  <c r="J22" i="2"/>
  <c r="U20" i="2"/>
  <c r="J20" i="2"/>
  <c r="U21" i="2"/>
  <c r="U23" i="2"/>
  <c r="U22" i="2"/>
  <c r="J21" i="2"/>
  <c r="J23" i="2"/>
  <c r="I133" i="2"/>
  <c r="K132" i="2"/>
  <c r="I134" i="2"/>
  <c r="K134" i="2" s="1"/>
  <c r="G35" i="4"/>
  <c r="G40" i="4" s="1"/>
  <c r="U104" i="2"/>
  <c r="U118" i="2"/>
  <c r="U111" i="2"/>
  <c r="H7" i="13"/>
  <c r="I34" i="4"/>
  <c r="J62" i="2"/>
  <c r="K66" i="2"/>
  <c r="H35" i="4"/>
  <c r="H40" i="4" s="1"/>
  <c r="J106" i="2"/>
  <c r="J105" i="2"/>
  <c r="J108" i="2"/>
  <c r="J107" i="2"/>
  <c r="J104" i="2"/>
  <c r="B16" i="13"/>
  <c r="U135" i="2"/>
  <c r="C241" i="2"/>
  <c r="D5" i="11" s="1"/>
  <c r="U77" i="2"/>
  <c r="U38" i="2"/>
  <c r="U28" i="2"/>
  <c r="U114" i="2"/>
  <c r="U115" i="2"/>
  <c r="U87" i="2"/>
  <c r="U79" i="2"/>
  <c r="U108" i="2"/>
  <c r="U30" i="2"/>
  <c r="U31" i="2"/>
  <c r="U37" i="2"/>
  <c r="U98" i="2"/>
  <c r="U112" i="2"/>
  <c r="U105" i="2"/>
  <c r="U29" i="2"/>
  <c r="U113" i="2"/>
  <c r="U107" i="2"/>
  <c r="U84" i="2"/>
  <c r="U86" i="2"/>
  <c r="U80" i="2"/>
  <c r="U85" i="2"/>
  <c r="U100" i="2"/>
  <c r="U99" i="2"/>
  <c r="U101" i="2"/>
  <c r="U16" i="2"/>
  <c r="U14" i="2"/>
  <c r="U17" i="2"/>
  <c r="U15" i="2"/>
  <c r="U9" i="2"/>
  <c r="U8" i="2"/>
  <c r="U10" i="2"/>
  <c r="U7" i="2"/>
  <c r="H34" i="4"/>
  <c r="J27" i="2"/>
  <c r="J28" i="2"/>
  <c r="J29" i="2"/>
  <c r="J30" i="2"/>
  <c r="J31" i="2"/>
  <c r="D53" i="2"/>
  <c r="H9" i="13" s="1"/>
  <c r="H13" i="13"/>
  <c r="G34" i="4"/>
  <c r="H21" i="13"/>
  <c r="H22" i="13"/>
  <c r="H12" i="13"/>
  <c r="H4" i="13"/>
  <c r="C40" i="4"/>
  <c r="C39" i="4"/>
  <c r="C41" i="4"/>
  <c r="G78" i="2"/>
  <c r="I78" i="2" s="1"/>
  <c r="K78" i="2" s="1"/>
  <c r="H18" i="13"/>
  <c r="E165" i="2"/>
  <c r="H78" i="2"/>
  <c r="L78" i="2" s="1"/>
  <c r="D179" i="2"/>
  <c r="D95" i="2"/>
  <c r="P39" i="4"/>
  <c r="J80" i="2"/>
  <c r="R41" i="4"/>
  <c r="K18" i="13" s="1"/>
  <c r="R39" i="4"/>
  <c r="Q39" i="4"/>
  <c r="Q41" i="4"/>
  <c r="K17" i="13" s="1"/>
  <c r="N39" i="4"/>
  <c r="N41" i="4"/>
  <c r="K14" i="13" s="1"/>
  <c r="M41" i="4"/>
  <c r="K13" i="13" s="1"/>
  <c r="M39" i="4"/>
  <c r="D165" i="2"/>
  <c r="J69" i="2"/>
  <c r="K39" i="4"/>
  <c r="K41" i="4"/>
  <c r="K11" i="13" s="1"/>
  <c r="J41" i="4"/>
  <c r="K10" i="13" s="1"/>
  <c r="Z39" i="4"/>
  <c r="J77" i="2"/>
  <c r="J83" i="2"/>
  <c r="H136" i="2"/>
  <c r="H68" i="2"/>
  <c r="E41" i="4"/>
  <c r="K5" i="13" s="1"/>
  <c r="E39" i="4"/>
  <c r="J157" i="2"/>
  <c r="J153" i="2"/>
  <c r="X39" i="4"/>
  <c r="J156" i="2"/>
  <c r="J155" i="2"/>
  <c r="L41" i="4"/>
  <c r="K12" i="13" s="1"/>
  <c r="L39" i="4"/>
  <c r="J72" i="2"/>
  <c r="J87" i="2"/>
  <c r="J185" i="2"/>
  <c r="Y41" i="4"/>
  <c r="K25" i="13" s="1"/>
  <c r="E95" i="2"/>
  <c r="F41" i="4"/>
  <c r="F39" i="4"/>
  <c r="E102" i="2"/>
  <c r="H16" i="13" s="1"/>
  <c r="H6" i="13"/>
  <c r="O41" i="4"/>
  <c r="O39" i="4"/>
  <c r="J181" i="2"/>
  <c r="G136" i="2"/>
  <c r="J85" i="2"/>
  <c r="J84" i="2"/>
  <c r="J183" i="2"/>
  <c r="J79" i="2"/>
  <c r="G68" i="2"/>
  <c r="G74" i="2" s="1"/>
  <c r="J86" i="2"/>
  <c r="W41" i="4"/>
  <c r="K23" i="13" s="1"/>
  <c r="V41" i="4"/>
  <c r="K22" i="13" s="1"/>
  <c r="AC39" i="4"/>
  <c r="AB41" i="4"/>
  <c r="K28" i="13" s="1"/>
  <c r="AB39" i="4"/>
  <c r="D151" i="2"/>
  <c r="H23" i="13" s="1"/>
  <c r="G182" i="2"/>
  <c r="H182" i="2"/>
  <c r="L182" i="2" s="1"/>
  <c r="AA41" i="4"/>
  <c r="K27" i="13" s="1"/>
  <c r="AA39" i="4"/>
  <c r="J184" i="2"/>
  <c r="C3" i="13"/>
  <c r="U41" i="4"/>
  <c r="K21" i="13" s="1"/>
  <c r="U39" i="4"/>
  <c r="J133" i="2"/>
  <c r="J132" i="2"/>
  <c r="J135" i="2"/>
  <c r="J134" i="2"/>
  <c r="H20" i="13"/>
  <c r="T41" i="4"/>
  <c r="K20" i="13" s="1"/>
  <c r="T39" i="4"/>
  <c r="S41" i="4"/>
  <c r="K19" i="13" s="1"/>
  <c r="S39" i="4"/>
  <c r="R40" i="4"/>
  <c r="G239" i="2" l="1"/>
  <c r="H244" i="2" s="1"/>
  <c r="G67" i="2"/>
  <c r="H30" i="13"/>
  <c r="L234" i="2"/>
  <c r="M234" i="2" s="1"/>
  <c r="L68" i="2"/>
  <c r="L74" i="2" s="1"/>
  <c r="H74" i="2"/>
  <c r="U61" i="2"/>
  <c r="U67" i="2" s="1"/>
  <c r="I67" i="2"/>
  <c r="B34" i="4"/>
  <c r="B37" i="4"/>
  <c r="B35" i="4"/>
  <c r="B40" i="4"/>
  <c r="J46" i="2"/>
  <c r="K40" i="2"/>
  <c r="K46" i="2" s="1"/>
  <c r="I46" i="2"/>
  <c r="J39" i="2"/>
  <c r="L46" i="2"/>
  <c r="L39" i="2"/>
  <c r="K33" i="2"/>
  <c r="K39" i="2" s="1"/>
  <c r="I39" i="2"/>
  <c r="U146" i="2"/>
  <c r="L152" i="2"/>
  <c r="L158" i="2" s="1"/>
  <c r="H158" i="2"/>
  <c r="I152" i="2"/>
  <c r="K152" i="2" s="1"/>
  <c r="G158" i="2"/>
  <c r="H123" i="2"/>
  <c r="U144" i="2"/>
  <c r="D22" i="13" s="1"/>
  <c r="G123" i="2"/>
  <c r="I123" i="2"/>
  <c r="L122" i="2"/>
  <c r="L123" i="2" s="1"/>
  <c r="G137" i="2"/>
  <c r="L131" i="2"/>
  <c r="H137" i="2"/>
  <c r="D8" i="11"/>
  <c r="U117" i="2"/>
  <c r="J123" i="2"/>
  <c r="K117" i="2"/>
  <c r="K123" i="2" s="1"/>
  <c r="A124" i="2"/>
  <c r="A131" i="2" s="1"/>
  <c r="A138" i="2" s="1"/>
  <c r="A145" i="2" s="1"/>
  <c r="A152" i="2" s="1"/>
  <c r="A159" i="2" s="1"/>
  <c r="A166" i="2" s="1"/>
  <c r="A173" i="2" s="1"/>
  <c r="A180" i="2" s="1"/>
  <c r="A187" i="2" s="1"/>
  <c r="A194" i="2" s="1"/>
  <c r="A201" i="2" s="1"/>
  <c r="A208" i="2" s="1"/>
  <c r="A217" i="2" s="1"/>
  <c r="K6" i="13"/>
  <c r="K19" i="2"/>
  <c r="K25" i="2" s="1"/>
  <c r="U19" i="2"/>
  <c r="U25" i="2" s="1"/>
  <c r="N25" i="2" s="1"/>
  <c r="K47" i="2"/>
  <c r="U47" i="2"/>
  <c r="L194" i="2"/>
  <c r="L200" i="2" s="1"/>
  <c r="J194" i="2"/>
  <c r="J200" i="2" s="1"/>
  <c r="K194" i="2"/>
  <c r="K200" i="2" s="1"/>
  <c r="U194" i="2"/>
  <c r="G18" i="2"/>
  <c r="H18" i="2"/>
  <c r="J12" i="2"/>
  <c r="J18" i="2" s="1"/>
  <c r="K55" i="2"/>
  <c r="L47" i="2"/>
  <c r="U34" i="2"/>
  <c r="H36" i="4" s="1"/>
  <c r="L18" i="2"/>
  <c r="G200" i="2"/>
  <c r="K12" i="2"/>
  <c r="K18" i="2" s="1"/>
  <c r="I18" i="2"/>
  <c r="I180" i="2"/>
  <c r="U180" i="2" s="1"/>
  <c r="G186" i="2"/>
  <c r="L180" i="2"/>
  <c r="L186" i="2" s="1"/>
  <c r="H186" i="2"/>
  <c r="I200" i="2"/>
  <c r="L60" i="2"/>
  <c r="U41" i="2"/>
  <c r="U51" i="2"/>
  <c r="I60" i="2"/>
  <c r="K54" i="2"/>
  <c r="J60" i="2"/>
  <c r="K131" i="2"/>
  <c r="B34" i="13"/>
  <c r="L82" i="2"/>
  <c r="L88" i="2" s="1"/>
  <c r="H88" i="2"/>
  <c r="I102" i="2"/>
  <c r="U102" i="2"/>
  <c r="D16" i="13" s="1"/>
  <c r="K124" i="2"/>
  <c r="K130" i="2" s="1"/>
  <c r="I130" i="2"/>
  <c r="J130" i="2"/>
  <c r="L130" i="2"/>
  <c r="J116" i="2"/>
  <c r="H165" i="2"/>
  <c r="I82" i="2"/>
  <c r="U82" i="2" s="1"/>
  <c r="G109" i="2"/>
  <c r="J75" i="2"/>
  <c r="J172" i="2"/>
  <c r="H27" i="13"/>
  <c r="J82" i="2"/>
  <c r="J88" i="2" s="1"/>
  <c r="J131" i="2"/>
  <c r="G116" i="2"/>
  <c r="J165" i="2"/>
  <c r="G144" i="2"/>
  <c r="H172" i="2"/>
  <c r="G32" i="2"/>
  <c r="J19" i="2"/>
  <c r="J25" i="2" s="1"/>
  <c r="K62" i="2"/>
  <c r="H32" i="2"/>
  <c r="H116" i="2"/>
  <c r="J152" i="2"/>
  <c r="K102" i="2"/>
  <c r="G172" i="2"/>
  <c r="H109" i="2"/>
  <c r="J103" i="2"/>
  <c r="J109" i="2" s="1"/>
  <c r="H10" i="13"/>
  <c r="K154" i="2"/>
  <c r="J144" i="2"/>
  <c r="H144" i="2"/>
  <c r="J26" i="2"/>
  <c r="J32" i="2" s="1"/>
  <c r="J154" i="2"/>
  <c r="H28" i="13"/>
  <c r="J180" i="2"/>
  <c r="G179" i="2"/>
  <c r="U189" i="2"/>
  <c r="U162" i="2"/>
  <c r="U161" i="2"/>
  <c r="K103" i="2"/>
  <c r="K109" i="2" s="1"/>
  <c r="L61" i="2"/>
  <c r="L67" i="2" s="1"/>
  <c r="G41" i="4"/>
  <c r="K7" i="13" s="1"/>
  <c r="G38" i="4"/>
  <c r="U196" i="2"/>
  <c r="U6" i="2"/>
  <c r="H179" i="2"/>
  <c r="L179" i="2"/>
  <c r="K144" i="2"/>
  <c r="U169" i="2"/>
  <c r="U170" i="2"/>
  <c r="I39" i="4"/>
  <c r="I38" i="4"/>
  <c r="U133" i="2"/>
  <c r="K133" i="2"/>
  <c r="U125" i="2"/>
  <c r="U160" i="2"/>
  <c r="U171" i="2"/>
  <c r="AD39" i="4"/>
  <c r="AD38" i="4"/>
  <c r="U175" i="2"/>
  <c r="K75" i="2"/>
  <c r="U13" i="2"/>
  <c r="U95" i="2"/>
  <c r="D15" i="13" s="1"/>
  <c r="L136" i="2"/>
  <c r="U197" i="2"/>
  <c r="U163" i="2"/>
  <c r="U32" i="2"/>
  <c r="N32" i="2" s="1"/>
  <c r="K26" i="2"/>
  <c r="K32" i="2" s="1"/>
  <c r="U167" i="2"/>
  <c r="U116" i="2"/>
  <c r="D18" i="13" s="1"/>
  <c r="K116" i="2"/>
  <c r="K24" i="13"/>
  <c r="K15" i="13"/>
  <c r="AD41" i="4"/>
  <c r="K30" i="13" s="1"/>
  <c r="U206" i="2"/>
  <c r="U205" i="2"/>
  <c r="U204" i="2"/>
  <c r="U213" i="2"/>
  <c r="U216" i="2" s="1"/>
  <c r="C4" i="13"/>
  <c r="U122" i="2"/>
  <c r="U119" i="2"/>
  <c r="U120" i="2"/>
  <c r="I136" i="2"/>
  <c r="U134" i="2"/>
  <c r="U121" i="2"/>
  <c r="D41" i="4"/>
  <c r="K4" i="13" s="1"/>
  <c r="I95" i="2"/>
  <c r="D39" i="4"/>
  <c r="I116" i="2"/>
  <c r="L116" i="2"/>
  <c r="U57" i="2"/>
  <c r="U58" i="2"/>
  <c r="U36" i="2"/>
  <c r="U33" i="2"/>
  <c r="U35" i="2"/>
  <c r="I41" i="4"/>
  <c r="K9" i="13" s="1"/>
  <c r="J61" i="2"/>
  <c r="J67" i="2" s="1"/>
  <c r="L109" i="2"/>
  <c r="I109" i="2"/>
  <c r="G39" i="4"/>
  <c r="I172" i="2"/>
  <c r="H29" i="13"/>
  <c r="M232" i="2"/>
  <c r="I144" i="2"/>
  <c r="U106" i="2"/>
  <c r="U45" i="2"/>
  <c r="U78" i="2"/>
  <c r="U50" i="2"/>
  <c r="U59" i="2"/>
  <c r="U43" i="2"/>
  <c r="I32" i="2"/>
  <c r="L32" i="2"/>
  <c r="H53" i="2"/>
  <c r="G53" i="2"/>
  <c r="B245" i="2"/>
  <c r="C245" i="2"/>
  <c r="H25" i="13"/>
  <c r="H15" i="13"/>
  <c r="H19" i="13"/>
  <c r="H17" i="13"/>
  <c r="H3" i="13"/>
  <c r="K3" i="13"/>
  <c r="H81" i="2"/>
  <c r="J78" i="2"/>
  <c r="G102" i="2"/>
  <c r="G81" i="2"/>
  <c r="J233" i="2"/>
  <c r="I25" i="2"/>
  <c r="J232" i="2"/>
  <c r="K232" i="2" s="1"/>
  <c r="H25" i="2"/>
  <c r="L25" i="2"/>
  <c r="J136" i="2"/>
  <c r="L233" i="2"/>
  <c r="G25" i="2"/>
  <c r="M231" i="2"/>
  <c r="J68" i="2"/>
  <c r="J74" i="2" s="1"/>
  <c r="G165" i="2"/>
  <c r="J234" i="2"/>
  <c r="K234" i="2" s="1"/>
  <c r="I81" i="2"/>
  <c r="I68" i="2"/>
  <c r="U5" i="2"/>
  <c r="H102" i="2"/>
  <c r="L144" i="2" s="1"/>
  <c r="J230" i="2"/>
  <c r="K230" i="2" s="1"/>
  <c r="L81" i="2"/>
  <c r="H95" i="2"/>
  <c r="L165" i="2"/>
  <c r="G95" i="2"/>
  <c r="L230" i="2"/>
  <c r="M230" i="2" s="1"/>
  <c r="J182" i="2"/>
  <c r="J231" i="2"/>
  <c r="K231" i="2" s="1"/>
  <c r="I179" i="2"/>
  <c r="I165" i="2"/>
  <c r="L172" i="2"/>
  <c r="G151" i="2"/>
  <c r="I182" i="2"/>
  <c r="U182" i="2" s="1"/>
  <c r="H151" i="2"/>
  <c r="L151" i="2"/>
  <c r="D7" i="11"/>
  <c r="G244" i="2"/>
  <c r="U200" i="2" l="1"/>
  <c r="D30" i="13" s="1"/>
  <c r="U68" i="2"/>
  <c r="U74" i="2" s="1"/>
  <c r="I74" i="2"/>
  <c r="H38" i="4"/>
  <c r="B38" i="4" s="1"/>
  <c r="B36" i="4"/>
  <c r="H41" i="4"/>
  <c r="H39" i="4"/>
  <c r="B39" i="4" s="1"/>
  <c r="J158" i="2"/>
  <c r="I158" i="2"/>
  <c r="U152" i="2"/>
  <c r="U158" i="2" s="1"/>
  <c r="D24" i="13" s="1"/>
  <c r="K158" i="2"/>
  <c r="D9" i="11"/>
  <c r="L137" i="2"/>
  <c r="J137" i="2"/>
  <c r="I137" i="2"/>
  <c r="F244" i="2"/>
  <c r="U123" i="2"/>
  <c r="K180" i="2"/>
  <c r="U186" i="2"/>
  <c r="K60" i="2"/>
  <c r="I88" i="2"/>
  <c r="U52" i="2"/>
  <c r="U18" i="2"/>
  <c r="N18" i="2" s="1"/>
  <c r="F4" i="13" s="1"/>
  <c r="U11" i="2"/>
  <c r="N67" i="2"/>
  <c r="J186" i="2"/>
  <c r="I186" i="2"/>
  <c r="U193" i="2"/>
  <c r="D29" i="13" s="1"/>
  <c r="H34" i="13"/>
  <c r="U81" i="2"/>
  <c r="D13" i="13" s="1"/>
  <c r="K82" i="2"/>
  <c r="K88" i="2" s="1"/>
  <c r="J81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J151" i="2"/>
  <c r="K61" i="2"/>
  <c r="K67" i="2" s="1"/>
  <c r="J95" i="2"/>
  <c r="J179" i="2"/>
  <c r="U165" i="2"/>
  <c r="N165" i="2" s="1"/>
  <c r="F25" i="13" s="1"/>
  <c r="U130" i="2"/>
  <c r="U172" i="2"/>
  <c r="N172" i="2" s="1"/>
  <c r="F26" i="13" s="1"/>
  <c r="U179" i="2"/>
  <c r="D27" i="13" s="1"/>
  <c r="K182" i="2"/>
  <c r="K68" i="2"/>
  <c r="K74" i="2" s="1"/>
  <c r="K136" i="2"/>
  <c r="K137" i="2" s="1"/>
  <c r="U39" i="2"/>
  <c r="D7" i="13" s="1"/>
  <c r="I151" i="2"/>
  <c r="K151" i="2"/>
  <c r="M233" i="2"/>
  <c r="K233" i="2"/>
  <c r="U203" i="2"/>
  <c r="U207" i="2" s="1"/>
  <c r="D6" i="13"/>
  <c r="D5" i="13"/>
  <c r="U136" i="2"/>
  <c r="N102" i="2"/>
  <c r="F16" i="13" s="1"/>
  <c r="U56" i="2"/>
  <c r="N116" i="2"/>
  <c r="F18" i="13" s="1"/>
  <c r="F6" i="13"/>
  <c r="K179" i="2"/>
  <c r="N144" i="2"/>
  <c r="F22" i="13" s="1"/>
  <c r="K165" i="2"/>
  <c r="K172" i="2"/>
  <c r="U49" i="2"/>
  <c r="I53" i="2"/>
  <c r="U42" i="2"/>
  <c r="U46" i="2" s="1"/>
  <c r="U109" i="2"/>
  <c r="D17" i="13" s="1"/>
  <c r="F5" i="13"/>
  <c r="K81" i="2"/>
  <c r="U147" i="2"/>
  <c r="L53" i="2"/>
  <c r="J53" i="2"/>
  <c r="L95" i="2"/>
  <c r="J102" i="2"/>
  <c r="L102" i="2"/>
  <c r="D245" i="2"/>
  <c r="N11" i="2" l="1"/>
  <c r="D32" i="13"/>
  <c r="K8" i="13"/>
  <c r="K34" i="13" s="1"/>
  <c r="B41" i="4"/>
  <c r="N158" i="2"/>
  <c r="F24" i="13" s="1"/>
  <c r="U137" i="2"/>
  <c r="D21" i="13" s="1"/>
  <c r="K186" i="2"/>
  <c r="D12" i="13"/>
  <c r="N74" i="2"/>
  <c r="F12" i="13" s="1"/>
  <c r="U53" i="2"/>
  <c r="D9" i="13" s="1"/>
  <c r="D8" i="13"/>
  <c r="N46" i="2"/>
  <c r="F8" i="13" s="1"/>
  <c r="C32" i="13"/>
  <c r="C33" i="13" s="1"/>
  <c r="K53" i="2"/>
  <c r="N193" i="2"/>
  <c r="F29" i="13" s="1"/>
  <c r="D28" i="13"/>
  <c r="U88" i="2"/>
  <c r="D14" i="13" s="1"/>
  <c r="D20" i="13"/>
  <c r="N130" i="2"/>
  <c r="F20" i="13" s="1"/>
  <c r="N81" i="2"/>
  <c r="F13" i="13" s="1"/>
  <c r="F11" i="13"/>
  <c r="D4" i="13"/>
  <c r="N200" i="2"/>
  <c r="F30" i="13" s="1"/>
  <c r="D25" i="13"/>
  <c r="D26" i="13"/>
  <c r="N186" i="2"/>
  <c r="F28" i="13" s="1"/>
  <c r="N179" i="2"/>
  <c r="F27" i="13" s="1"/>
  <c r="N216" i="2"/>
  <c r="F32" i="13" s="1"/>
  <c r="D3" i="13"/>
  <c r="D19" i="13"/>
  <c r="N123" i="2"/>
  <c r="F19" i="13" s="1"/>
  <c r="N39" i="2"/>
  <c r="F7" i="13" s="1"/>
  <c r="U60" i="2"/>
  <c r="N109" i="2"/>
  <c r="F17" i="13" s="1"/>
  <c r="U151" i="2"/>
  <c r="F3" i="13"/>
  <c r="G245" i="2"/>
  <c r="F245" i="2"/>
  <c r="H245" i="2"/>
  <c r="U229" i="2" l="1"/>
  <c r="N137" i="2"/>
  <c r="F21" i="13" s="1"/>
  <c r="N53" i="2"/>
  <c r="F9" i="13" s="1"/>
  <c r="C34" i="13"/>
  <c r="D10" i="13"/>
  <c r="N60" i="2"/>
  <c r="F10" i="13" s="1"/>
  <c r="N88" i="2"/>
  <c r="F14" i="13" s="1"/>
  <c r="D11" i="13"/>
  <c r="N207" i="2"/>
  <c r="F31" i="13" s="1"/>
  <c r="D31" i="13"/>
  <c r="D23" i="13"/>
  <c r="N151" i="2"/>
  <c r="F23" i="13" s="1"/>
  <c r="E3" i="13"/>
  <c r="K95" i="2"/>
  <c r="N95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I246" i="2" l="1"/>
  <c r="C5" i="11" s="1"/>
  <c r="B5" i="11" s="1"/>
  <c r="G241" i="2"/>
  <c r="J229" i="2"/>
  <c r="J239" i="2" s="1"/>
  <c r="L229" i="2"/>
  <c r="L239" i="2" s="1"/>
  <c r="K229" i="2" l="1"/>
  <c r="K239" i="2" s="1"/>
  <c r="C6" i="11"/>
  <c r="B6" i="11" s="1"/>
  <c r="M229" i="2"/>
  <c r="M239" i="2" s="1"/>
  <c r="C7" i="11"/>
  <c r="B7" i="11" s="1"/>
  <c r="C9" i="11" l="1"/>
  <c r="B9" i="11" s="1"/>
  <c r="C8" i="11"/>
  <c r="B8" i="11" s="1"/>
  <c r="F34" i="13"/>
  <c r="D34" i="13" l="1"/>
  <c r="E34" i="13"/>
</calcChain>
</file>

<file path=xl/comments1.xml><?xml version="1.0" encoding="utf-8"?>
<comments xmlns="http://schemas.openxmlformats.org/spreadsheetml/2006/main">
  <authors>
    <author>Autor</author>
  </authors>
  <commentList>
    <comment ref="P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10599</t>
        </r>
      </text>
    </comment>
    <comment ref="P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10681
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10682</t>
        </r>
      </text>
    </comment>
    <comment ref="S2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10683</t>
        </r>
      </text>
    </comment>
    <comment ref="P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10689</t>
        </r>
      </text>
    </comment>
    <comment ref="S3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10688</t>
        </r>
      </text>
    </comment>
    <comment ref="P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10762</t>
        </r>
      </text>
    </comment>
    <comment ref="S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10839</t>
        </r>
      </text>
    </comment>
    <comment ref="P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10854</t>
        </r>
      </text>
    </comment>
    <comment ref="P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10892</t>
        </r>
      </text>
    </comment>
    <comment ref="S6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10899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10926</t>
        </r>
      </text>
    </comment>
    <comment ref="S7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10933
Incidente 10959</t>
        </r>
      </text>
    </comment>
    <comment ref="P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10960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11021 </t>
        </r>
      </text>
    </comment>
    <comment ref="S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10985 </t>
        </r>
      </text>
    </comment>
    <comment ref="S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11035
Estación El Belloto, anden 1. Servicio 604 XT-20-09 (viaje 62), 607 XT 21-17 (viaje 68), 608 XT 18-07 (viaje 70), 609 XT 11-02 (viaje 72), 610 XT 12-16 (viaje 74), 611 XT 03-05(viaje 76), 612 XT 08-14 (viaje 78) son acoplados.</t>
        </r>
      </text>
    </comment>
    <comment ref="S10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11086</t>
        </r>
      </text>
    </comment>
    <comment ref="P1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11100
Estación El Belloto, anden 1. Servicio 659 XT-21-24 (viaje 44), 654 XT 34-33 (viaje 68), 655 XT 23-08 (viaje 70) son desacoplados.</t>
        </r>
      </text>
    </comment>
    <comment ref="P1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11125 
Estación El Belloto, anden 1. Servicio 658 XT-19-22 (viaje 40), 659 XT 33-35 (viaje 44), 653 XT 01-13 (viaje 66) 657 XT 24-03 (viaje 74) son desacoplados.</t>
        </r>
      </text>
    </comment>
    <comment ref="S11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11187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11191
Estación El Belloto, anden 1. Servicio 653 XT-07-10 (viaje 66), 654 XT 26-11 (viaje 68), 655 XT 09-27 (viaje 70) 656 XT 04-15 (viaje 72) son desacoplados.</t>
        </r>
      </text>
    </comment>
    <comment ref="P1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11224
Estación El Belloto, anden 1. Servicio 658 XT-31-32 (viaje 40), 653 XT 27-15 (viaje 66), 654 XT 14-21(viaje 68) son desacoplados.</t>
        </r>
      </text>
    </comment>
    <comment ref="P1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11299 
Estación El Belloto, anden 1. Servicio 656 XT-11-21 (viaje 32) y 658 XT-31-35 (viaje 40) son desacoplados.</t>
        </r>
      </text>
    </comment>
    <comment ref="P16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11325
Estación El Belloto, anden 1. Servicio 653 XT-14-08 (viaje 66) y 657 XT-24-16 (viaje 74) son desacoplados.</t>
        </r>
      </text>
    </comment>
    <comment ref="S16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11364
Estación El Belloto, anden 2. Servicio 658 XT-30-35 (viaje 95), 659 XT-31-28 (viaje 97), 652 XT-19-21 (viaje 107), 653 XT-08-10 (viaje 109), 654 XT-22-20 (viaje 111) son acoplados para cumplir con oferta de equipos en unidad múltiple.</t>
        </r>
      </text>
    </comment>
    <comment ref="P18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11370</t>
        </r>
      </text>
    </comment>
    <comment ref="S18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11377
Estación El Belloto, anden 2. Servicio 659 XT-05-11 (viaje 97) es acoplado para cumplir con oferta de equipos en unidad múltiple.</t>
        </r>
      </text>
    </comment>
    <comment ref="P1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11415
</t>
        </r>
      </text>
    </comment>
    <comment ref="S1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11422</t>
        </r>
      </text>
    </comment>
    <comment ref="S18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11423</t>
        </r>
      </text>
    </comment>
    <comment ref="P20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30
Estación El Belloto, anden 1. Servicio 659 XT-32-32 (viaje 44), 654 XT-12-19 (viaje 68) y 656 XT-16-11 (viaje 72) son desacoplados.</t>
        </r>
      </text>
    </comment>
    <comment ref="S20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34
Estación El Belloto, anden 1. Servicio 609 XT-09 (viaje 78) es acoplado para cumplir con oferta de equipos en unidad múltiple.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11502 Estación El Belloto, anden 1. Servicio 658 XT-30-33 (viaje 40), 654 XT-18-06 (viaje 68) y 656 XT-28-31 (viaje 72) son desacoplados.</t>
        </r>
      </text>
    </comment>
    <comment ref="S21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11504</t>
        </r>
        <r>
          <rPr>
            <sz val="9"/>
            <color indexed="81"/>
            <rFont val="Tahoma"/>
            <family val="2"/>
          </rPr>
          <t xml:space="preserve">
Estación El Belloto, anden 2. Servicio 651 XT-34-28 (viaje 105), 652 XT-19-21 (viaje 107) y 654 XT-05-22 (viaje 111) son acoplados para cumplir con oferta de equipos en unidad múltiple.</t>
        </r>
      </text>
    </comment>
  </commentList>
</comments>
</file>

<file path=xl/sharedStrings.xml><?xml version="1.0" encoding="utf-8"?>
<sst xmlns="http://schemas.openxmlformats.org/spreadsheetml/2006/main" count="727" uniqueCount="187">
  <si>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</si>
  <si>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</si>
  <si>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</si>
  <si>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</si>
  <si>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</si>
  <si>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</si>
  <si>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</si>
  <si>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</si>
  <si>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</si>
  <si>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</si>
  <si>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</si>
  <si>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</si>
  <si>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</si>
  <si>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</si>
  <si>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</si>
  <si>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</si>
  <si>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</si>
  <si>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</si>
  <si>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</si>
  <si>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</si>
  <si>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</si>
  <si>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</si>
  <si>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</si>
  <si>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</si>
  <si>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</si>
  <si>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</si>
  <si>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</si>
  <si>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</si>
  <si>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</si>
  <si>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</si>
  <si>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</si>
  <si>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</si>
  <si>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</si>
  <si>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</si>
  <si>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</si>
  <si>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</si>
  <si>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</si>
  <si>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</si>
  <si>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</si>
  <si>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</si>
  <si>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</si>
  <si>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</si>
  <si>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</si>
  <si>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</si>
  <si>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</si>
  <si>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</si>
  <si>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</si>
  <si>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</si>
  <si>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</si>
  <si>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</si>
  <si>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</si>
  <si>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</si>
  <si>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</si>
  <si>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</si>
  <si>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</si>
  <si>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</si>
  <si>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</si>
  <si>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</si>
  <si>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</si>
  <si>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</si>
  <si>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</si>
  <si>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</si>
  <si>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</si>
  <si>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</si>
  <si>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</si>
  <si>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</si>
  <si>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</si>
  <si>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</si>
  <si>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</si>
  <si>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</si>
  <si>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</si>
  <si>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</si>
  <si>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</si>
  <si>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</si>
  <si>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</si>
  <si>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</si>
  <si>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</si>
  <si>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</si>
  <si>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</si>
  <si>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</si>
  <si>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</si>
  <si>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</si>
  <si>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</si>
  <si>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</si>
  <si>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</si>
  <si>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</si>
  <si>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</si>
  <si>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</si>
  <si>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</si>
  <si>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</si>
  <si>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</si>
  <si>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</si>
  <si>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</si>
  <si>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</si>
  <si>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</si>
  <si>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</si>
  <si>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</si>
  <si>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</si>
  <si>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</si>
  <si>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</si>
  <si>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</si>
  <si>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</si>
  <si>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</si>
  <si>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</si>
  <si>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</si>
  <si>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</si>
  <si>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</si>
  <si>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</si>
  <si>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</si>
  <si>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</si>
  <si>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</si>
  <si>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</si>
  <si>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</si>
  <si>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</si>
  <si>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</si>
  <si>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</si>
  <si>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</si>
  <si>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</si>
  <si>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</si>
  <si>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</si>
  <si>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</si>
  <si>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</si>
  <si>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</si>
  <si>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</si>
  <si>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</si>
  <si>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</si>
  <si>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</si>
  <si>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</si>
  <si>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</si>
  <si>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</si>
  <si>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</si>
  <si>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</si>
  <si>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</si>
  <si>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</si>
  <si>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</si>
  <si>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</si>
  <si>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</si>
  <si>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</si>
  <si>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</si>
  <si>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</si>
  <si>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</si>
  <si>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</si>
  <si>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</si>
  <si>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</si>
  <si>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</si>
  <si>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</si>
  <si>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</si>
  <si>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</si>
  <si>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</si>
  <si>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</si>
  <si>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</si>
  <si>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</si>
  <si>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</si>
  <si>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</si>
  <si>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</si>
  <si>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</si>
  <si>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</si>
  <si>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</si>
  <si>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</si>
  <si>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</si>
  <si>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</si>
  <si>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</t>
  </si>
  <si>
    <t>Corte PE (600) vía 1</t>
  </si>
  <si>
    <t>Corte PE (600)</t>
  </si>
  <si>
    <t>Corte EB (600) vía 2</t>
  </si>
  <si>
    <t>PE-LI</t>
  </si>
  <si>
    <t>PU-QU</t>
  </si>
  <si>
    <t>Oferta Diciembre 2024</t>
  </si>
  <si>
    <t>Diciembre 2024</t>
  </si>
  <si>
    <t>PLANILLA NUEVA 1 DICIEMBRE DOMINGO</t>
  </si>
  <si>
    <t>Planilla especial Sabado por evento musical (Rockodromo Valparaiso)</t>
  </si>
  <si>
    <t>Planilla especial Domingo por evento musical (Rockodromo Valparaiso)</t>
  </si>
  <si>
    <t>Tren del Recuerdo +2 dobles</t>
  </si>
  <si>
    <t xml:space="preserve">Marejadas, evacuacion 604 </t>
  </si>
  <si>
    <t>MI-LI</t>
  </si>
  <si>
    <t>LI-MI</t>
  </si>
  <si>
    <t>Servicios MI-LI</t>
  </si>
  <si>
    <t>Servicios LI-MI</t>
  </si>
  <si>
    <t>Trenes MI-LI</t>
  </si>
  <si>
    <t>Trenes LI-MI</t>
  </si>
  <si>
    <t xml:space="preserve">Planilla Navidad, aumento numero servicios multiples. </t>
  </si>
  <si>
    <t>EVENTO MAREJADAS SECTOR COSTERO, BUCLE MI-LI y LI-MI.</t>
  </si>
  <si>
    <t>Servicios LI-BA</t>
  </si>
  <si>
    <t>LI-BA</t>
  </si>
  <si>
    <t xml:space="preserve">LI-BA </t>
  </si>
  <si>
    <t xml:space="preserve">Servicio Especial 31 de Dic </t>
  </si>
  <si>
    <t>Trenes LI-BA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</si>
</sst>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4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59"/>
      </left>
      <right/>
      <top style="medium">
        <color indexed="59"/>
      </top>
      <bottom style="medium">
        <color indexed="59"/>
      </bottom>
      <diagonal/>
    </border>
    <border>
      <left/>
      <right style="thin">
        <color indexed="59"/>
      </right>
      <top style="medium">
        <color indexed="59"/>
      </top>
      <bottom style="medium">
        <color indexed="59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12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2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6" borderId="0" applyNumberFormat="0" applyBorder="0" applyAlignment="0" applyProtection="0"/>
    <xf numFmtId="0" fontId="24" fillId="25" borderId="0" applyNumberFormat="0" applyBorder="0" applyAlignment="0" applyProtection="0"/>
    <xf numFmtId="0" fontId="24" fillId="11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0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1" borderId="0" applyNumberFormat="0" applyBorder="0" applyAlignment="0" applyProtection="0"/>
    <xf numFmtId="0" fontId="24" fillId="6" borderId="0" applyNumberFormat="0" applyBorder="0" applyAlignment="0" applyProtection="0"/>
    <xf numFmtId="0" fontId="24" fillId="32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33" borderId="0" applyNumberFormat="0" applyBorder="0" applyAlignment="0" applyProtection="0"/>
    <xf numFmtId="0" fontId="30" fillId="24" borderId="51" applyNumberFormat="0" applyAlignment="0" applyProtection="0"/>
    <xf numFmtId="0" fontId="31" fillId="21" borderId="0" applyNumberFormat="0" applyBorder="0" applyAlignment="0" applyProtection="0"/>
    <xf numFmtId="0" fontId="32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5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73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0" fontId="9" fillId="0" borderId="0" xfId="0" applyFont="1" applyFill="1" applyBorder="1"/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8" borderId="0" xfId="0" applyFont="1" applyFill="1" applyBorder="1" applyAlignment="1">
      <alignment horizontal="center"/>
    </xf>
    <xf numFmtId="0" fontId="6" fillId="38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7" borderId="2" xfId="6" applyFill="1" applyBorder="1" applyAlignment="1" applyProtection="1">
      <alignment horizontal="center"/>
      <protection locked="0"/>
    </xf>
    <xf numFmtId="0" fontId="8" fillId="39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1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3" borderId="15" xfId="0" applyFont="1" applyFill="1" applyBorder="1" applyAlignment="1">
      <alignment horizontal="center" vertical="center"/>
    </xf>
    <xf numFmtId="0" fontId="44" fillId="43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6" borderId="0" xfId="0" applyFill="1"/>
    <xf numFmtId="0" fontId="0" fillId="41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1" borderId="72" xfId="0" applyFill="1" applyBorder="1" applyAlignment="1">
      <alignment horizontal="center"/>
    </xf>
    <xf numFmtId="0" fontId="0" fillId="0" borderId="75" xfId="0" applyBorder="1"/>
    <xf numFmtId="0" fontId="0" fillId="45" borderId="71" xfId="0" applyFill="1" applyBorder="1" applyAlignment="1">
      <alignment horizontal="center"/>
    </xf>
    <xf numFmtId="0" fontId="0" fillId="45" borderId="72" xfId="0" applyFill="1" applyBorder="1"/>
    <xf numFmtId="0" fontId="0" fillId="45" borderId="71" xfId="0" applyFill="1" applyBorder="1"/>
    <xf numFmtId="0" fontId="0" fillId="45" borderId="0" xfId="0" applyFill="1"/>
    <xf numFmtId="0" fontId="0" fillId="45" borderId="72" xfId="0" applyFill="1" applyBorder="1" applyAlignment="1">
      <alignment horizontal="center"/>
    </xf>
    <xf numFmtId="0" fontId="0" fillId="45" borderId="73" xfId="0" applyFill="1" applyBorder="1" applyAlignment="1">
      <alignment horizontal="center"/>
    </xf>
    <xf numFmtId="0" fontId="0" fillId="46" borderId="0" xfId="0" applyFill="1" applyAlignment="1">
      <alignment vertical="center" wrapText="1"/>
    </xf>
    <xf numFmtId="3" fontId="6" fillId="47" borderId="2" xfId="2" applyNumberFormat="1" applyFont="1" applyFill="1" applyBorder="1" applyAlignment="1">
      <alignment horizontal="center"/>
    </xf>
    <xf numFmtId="0" fontId="6" fillId="48" borderId="24" xfId="2" applyFont="1" applyFill="1" applyBorder="1" applyAlignment="1">
      <alignment horizontal="center" vertical="center" wrapText="1"/>
    </xf>
    <xf numFmtId="0" fontId="6" fillId="48" borderId="25" xfId="2" applyFont="1" applyFill="1" applyBorder="1" applyAlignment="1">
      <alignment horizontal="center" vertical="center" wrapText="1"/>
    </xf>
    <xf numFmtId="0" fontId="0" fillId="49" borderId="25" xfId="0" applyFont="1" applyFill="1" applyBorder="1" applyAlignment="1">
      <alignment horizontal="center" vertical="center"/>
    </xf>
    <xf numFmtId="0" fontId="0" fillId="49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4" fillId="50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5" borderId="0" xfId="0" applyFill="1" applyBorder="1"/>
    <xf numFmtId="0" fontId="0" fillId="37" borderId="0" xfId="0" applyFill="1"/>
    <xf numFmtId="0" fontId="0" fillId="51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2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48" borderId="61" xfId="2" applyFont="1" applyFill="1" applyBorder="1" applyAlignment="1">
      <alignment horizontal="center" vertical="center" wrapText="1"/>
    </xf>
    <xf numFmtId="0" fontId="6" fillId="48" borderId="2" xfId="2" applyFont="1" applyFill="1" applyBorder="1" applyAlignment="1">
      <alignment vertical="center" wrapText="1"/>
    </xf>
    <xf numFmtId="0" fontId="0" fillId="49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3" borderId="2" xfId="0" applyFont="1" applyFill="1" applyBorder="1" applyAlignment="1">
      <alignment horizontal="center" vertical="center"/>
    </xf>
    <xf numFmtId="3" fontId="16" fillId="53" borderId="2" xfId="0" applyNumberFormat="1" applyFont="1" applyFill="1" applyBorder="1" applyAlignment="1">
      <alignment horizontal="center" vertical="center"/>
    </xf>
    <xf numFmtId="0" fontId="0" fillId="53" borderId="0" xfId="0" applyFill="1"/>
    <xf numFmtId="0" fontId="6" fillId="38" borderId="66" xfId="0" applyFont="1" applyFill="1" applyBorder="1" applyAlignment="1">
      <alignment horizontal="center"/>
    </xf>
    <xf numFmtId="0" fontId="6" fillId="38" borderId="17" xfId="0" applyFont="1" applyFill="1" applyBorder="1" applyAlignment="1">
      <alignment horizontal="center"/>
    </xf>
    <xf numFmtId="0" fontId="6" fillId="38" borderId="65" xfId="0" applyFont="1" applyFill="1" applyBorder="1" applyAlignment="1">
      <alignment horizontal="center"/>
    </xf>
    <xf numFmtId="0" fontId="6" fillId="38" borderId="9" xfId="0" applyFont="1" applyFill="1" applyBorder="1" applyAlignment="1">
      <alignment horizontal="center"/>
    </xf>
    <xf numFmtId="0" fontId="6" fillId="38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6" fillId="55" borderId="2" xfId="0" applyFont="1" applyFill="1" applyBorder="1" applyAlignment="1">
      <alignment horizontal="center" vertical="center"/>
    </xf>
    <xf numFmtId="0" fontId="16" fillId="37" borderId="2" xfId="0" applyFont="1" applyFill="1" applyBorder="1" applyAlignment="1">
      <alignment horizontal="center" vertical="center"/>
    </xf>
    <xf numFmtId="3" fontId="21" fillId="55" borderId="0" xfId="0" applyNumberFormat="1" applyFont="1" applyFill="1" applyAlignment="1">
      <alignment horizontal="right"/>
    </xf>
    <xf numFmtId="0" fontId="0" fillId="45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3" fontId="39" fillId="51" borderId="0" xfId="0" applyNumberFormat="1" applyFont="1" applyFill="1"/>
    <xf numFmtId="0" fontId="49" fillId="54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49" borderId="6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1" borderId="72" xfId="0" applyFill="1" applyBorder="1"/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8" fillId="56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39" fillId="51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5" borderId="0" xfId="0" applyFill="1" applyAlignment="1">
      <alignment horizontal="center"/>
    </xf>
    <xf numFmtId="0" fontId="0" fillId="4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51" borderId="0" xfId="0" applyFill="1" applyAlignment="1">
      <alignment horizontal="center"/>
    </xf>
    <xf numFmtId="0" fontId="6" fillId="36" borderId="6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6" borderId="0" xfId="0" applyFont="1" applyFill="1" applyBorder="1" applyAlignment="1">
      <alignment horizontal="center"/>
    </xf>
    <xf numFmtId="0" fontId="6" fillId="36" borderId="2" xfId="0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1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9" borderId="6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65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57" borderId="2" xfId="6" applyFill="1" applyBorder="1" applyAlignment="1" applyProtection="1">
      <alignment horizontal="center"/>
      <protection locked="0"/>
    </xf>
    <xf numFmtId="0" fontId="8" fillId="58" borderId="45" xfId="0" applyFont="1" applyFill="1" applyBorder="1" applyAlignment="1" applyProtection="1">
      <alignment horizontal="center"/>
    </xf>
    <xf numFmtId="0" fontId="8" fillId="16" borderId="78" xfId="0" applyFont="1" applyFill="1" applyBorder="1" applyAlignment="1" applyProtection="1">
      <alignment horizontal="left"/>
    </xf>
    <xf numFmtId="0" fontId="8" fillId="0" borderId="0" xfId="0" applyFont="1" applyFill="1" applyBorder="1" applyAlignment="1"/>
    <xf numFmtId="0" fontId="6" fillId="12" borderId="2" xfId="2" applyFont="1" applyFill="1" applyBorder="1" applyAlignment="1">
      <alignment horizontal="center"/>
    </xf>
    <xf numFmtId="2" fontId="6" fillId="12" borderId="2" xfId="2" applyNumberFormat="1" applyFont="1" applyFill="1" applyBorder="1" applyAlignment="1">
      <alignment horizontal="center"/>
    </xf>
    <xf numFmtId="0" fontId="0" fillId="59" borderId="1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54" borderId="0" xfId="0" applyFont="1" applyFill="1" applyAlignment="1">
      <alignment horizontal="center"/>
    </xf>
    <xf numFmtId="0" fontId="0" fillId="0" borderId="71" xfId="0" applyBorder="1" applyAlignment="1">
      <alignment horizontal="center"/>
    </xf>
    <xf numFmtId="0" fontId="51" fillId="0" borderId="0" xfId="2" applyFont="1" applyFill="1" applyAlignment="1">
      <alignment vertical="center" wrapText="1"/>
    </xf>
    <xf numFmtId="0" fontId="52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6" fillId="36" borderId="17" xfId="0" applyFont="1" applyFill="1" applyBorder="1" applyAlignment="1">
      <alignment horizontal="center"/>
    </xf>
    <xf numFmtId="0" fontId="6" fillId="36" borderId="65" xfId="0" applyFont="1" applyFill="1" applyBorder="1" applyAlignment="1">
      <alignment horizontal="center"/>
    </xf>
    <xf numFmtId="0" fontId="6" fillId="36" borderId="9" xfId="0" applyFont="1" applyFill="1" applyBorder="1" applyAlignment="1">
      <alignment horizontal="center"/>
    </xf>
    <xf numFmtId="0" fontId="6" fillId="36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39" borderId="85" xfId="0" applyFont="1" applyFill="1" applyBorder="1" applyAlignment="1" applyProtection="1">
      <alignment horizontal="center"/>
    </xf>
    <xf numFmtId="0" fontId="8" fillId="39" borderId="2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9" borderId="67" xfId="0" applyFont="1" applyFill="1" applyBorder="1" applyAlignment="1">
      <alignment horizontal="center"/>
    </xf>
    <xf numFmtId="0" fontId="8" fillId="39" borderId="86" xfId="0" applyFont="1" applyFill="1" applyBorder="1" applyAlignment="1" applyProtection="1">
      <alignment horizontal="center"/>
    </xf>
    <xf numFmtId="0" fontId="8" fillId="61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8" fillId="16" borderId="0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3" fontId="6" fillId="12" borderId="11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6" borderId="87" xfId="2" applyFont="1" applyFill="1" applyBorder="1" applyAlignment="1">
      <alignment horizontal="center"/>
    </xf>
    <xf numFmtId="0" fontId="14" fillId="6" borderId="15" xfId="2" applyFont="1" applyFill="1" applyBorder="1" applyAlignment="1">
      <alignment horizontal="center"/>
    </xf>
    <xf numFmtId="0" fontId="14" fillId="6" borderId="16" xfId="2" applyFont="1" applyFill="1" applyBorder="1" applyAlignment="1">
      <alignment horizontal="center"/>
    </xf>
    <xf numFmtId="0" fontId="5" fillId="0" borderId="0" xfId="2" applyFont="1" applyFill="1" applyAlignment="1">
      <alignment horizontal="center"/>
    </xf>
    <xf numFmtId="0" fontId="14" fillId="7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14" fillId="6" borderId="76" xfId="2" applyFont="1" applyFill="1" applyBorder="1" applyAlignment="1">
      <alignment horizontal="center"/>
    </xf>
    <xf numFmtId="0" fontId="15" fillId="60" borderId="0" xfId="2" applyFont="1" applyFill="1" applyAlignment="1">
      <alignment horizontal="center" vertical="center" wrapText="1"/>
    </xf>
    <xf numFmtId="0" fontId="0" fillId="49" borderId="78" xfId="0" applyFill="1" applyBorder="1" applyAlignment="1">
      <alignment horizontal="center" vertical="center" wrapText="1"/>
    </xf>
    <xf numFmtId="0" fontId="0" fillId="49" borderId="79" xfId="0" applyFill="1" applyBorder="1" applyAlignment="1">
      <alignment horizontal="center" vertical="center" wrapText="1"/>
    </xf>
    <xf numFmtId="0" fontId="0" fillId="49" borderId="50" xfId="0" applyFill="1" applyBorder="1" applyAlignment="1">
      <alignment horizontal="center" vertical="center" wrapText="1"/>
    </xf>
    <xf numFmtId="0" fontId="0" fillId="49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4" fillId="7" borderId="88" xfId="2" applyFont="1" applyFill="1" applyBorder="1" applyAlignment="1">
      <alignment horizontal="center" vertical="center"/>
    </xf>
    <xf numFmtId="0" fontId="14" fillId="7" borderId="5" xfId="2" applyFont="1" applyFill="1" applyBorder="1" applyAlignment="1">
      <alignment horizontal="center" vertical="center"/>
    </xf>
    <xf numFmtId="0" fontId="11" fillId="44" borderId="10" xfId="0" applyFont="1" applyFill="1" applyBorder="1" applyAlignment="1">
      <alignment horizontal="center"/>
    </xf>
    <xf numFmtId="0" fontId="11" fillId="44" borderId="11" xfId="0" applyFont="1" applyFill="1" applyBorder="1" applyAlignment="1">
      <alignment horizontal="center"/>
    </xf>
    <xf numFmtId="0" fontId="11" fillId="44" borderId="12" xfId="0" applyFont="1" applyFill="1" applyBorder="1" applyAlignment="1">
      <alignment horizontal="center"/>
    </xf>
    <xf numFmtId="0" fontId="10" fillId="63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5" fillId="48" borderId="80" xfId="2" applyFont="1" applyFill="1" applyBorder="1" applyAlignment="1">
      <alignment horizontal="center" vertical="top"/>
    </xf>
    <xf numFmtId="0" fontId="15" fillId="48" borderId="81" xfId="2" applyFont="1" applyFill="1" applyBorder="1" applyAlignment="1">
      <alignment horizontal="center" vertical="top"/>
    </xf>
    <xf numFmtId="0" fontId="15" fillId="48" borderId="82" xfId="2" applyFont="1" applyFill="1" applyBorder="1" applyAlignment="1">
      <alignment horizontal="center" vertical="top"/>
    </xf>
    <xf numFmtId="0" fontId="40" fillId="49" borderId="83" xfId="0" applyFont="1" applyFill="1" applyBorder="1" applyAlignment="1">
      <alignment horizontal="center"/>
    </xf>
    <xf numFmtId="0" fontId="40" fillId="49" borderId="84" xfId="0" applyFont="1" applyFill="1" applyBorder="1" applyAlignment="1">
      <alignment horizontal="center"/>
    </xf>
    <xf numFmtId="0" fontId="15" fillId="48" borderId="0" xfId="2" applyFont="1" applyFill="1" applyBorder="1" applyAlignment="1">
      <alignment horizontal="center" vertical="top"/>
    </xf>
    <xf numFmtId="0" fontId="15" fillId="48" borderId="17" xfId="2" applyFont="1" applyFill="1" applyBorder="1" applyAlignment="1">
      <alignment horizontal="center" vertical="top"/>
    </xf>
    <xf numFmtId="0" fontId="14" fillId="7" borderId="6" xfId="2" applyFont="1" applyFill="1" applyBorder="1" applyAlignment="1">
      <alignment horizontal="center" vertical="center"/>
    </xf>
    <xf numFmtId="0" fontId="50" fillId="62" borderId="0" xfId="2" applyFont="1" applyFill="1" applyAlignment="1">
      <alignment horizontal="center" vertical="center" wrapText="1"/>
    </xf>
    <xf numFmtId="0" fontId="50" fillId="0" borderId="0" xfId="2" applyFont="1" applyFill="1" applyAlignment="1">
      <alignment horizontal="center" vertical="center" wrapText="1"/>
    </xf>
    <xf numFmtId="0" fontId="15" fillId="0" borderId="0" xfId="2" applyFont="1" applyFill="1" applyAlignment="1">
      <alignment horizontal="center" vertical="center" wrapText="1"/>
    </xf>
    <xf numFmtId="0" fontId="13" fillId="0" borderId="0" xfId="2" applyFont="1" applyFill="1" applyAlignment="1">
      <alignment horizontal="center" vertical="center" wrapText="1"/>
    </xf>
    <xf numFmtId="14" fontId="18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3" fillId="42" borderId="69" xfId="0" applyNumberFormat="1" applyFont="1" applyFill="1" applyBorder="1" applyAlignment="1">
      <alignment horizontal="center" vertical="center"/>
    </xf>
    <xf numFmtId="49" fontId="43" fillId="42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2" fillId="18" borderId="10" xfId="0" applyNumberFormat="1" applyFont="1" applyFill="1" applyBorder="1" applyAlignment="1">
      <alignment horizontal="center"/>
    </xf>
    <xf numFmtId="17" fontId="22" fillId="18" borderId="11" xfId="0" applyNumberFormat="1" applyFont="1" applyFill="1" applyBorder="1" applyAlignment="1">
      <alignment horizontal="center"/>
    </xf>
    <xf numFmtId="17" fontId="22" fillId="18" borderId="12" xfId="0" applyNumberFormat="1" applyFont="1" applyFill="1" applyBorder="1" applyAlignment="1">
      <alignment horizontal="center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39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F82"/>
  <sheetViews>
    <sheetView topLeftCell="A52" zoomScaleNormal="100" workbookViewId="0">
      <selection activeCell="AF5" sqref="AF5:AF39"/>
    </sheetView>
  </sheetViews>
  <sheetFormatPr baseColWidth="10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28" t="s">
        <v>0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</row>
    <row r="2" spans="1:32" x14ac:dyDescent="0.25">
      <c r="A2" s="1"/>
      <c r="B2" s="62">
        <v>45627</v>
      </c>
      <c r="C2" s="62">
        <v>45628</v>
      </c>
      <c r="D2" s="62">
        <v>45629</v>
      </c>
      <c r="E2" s="62">
        <v>45630</v>
      </c>
      <c r="F2" s="62">
        <v>45631</v>
      </c>
      <c r="G2" s="62">
        <v>45632</v>
      </c>
      <c r="H2" s="62">
        <v>45633</v>
      </c>
      <c r="I2" s="62">
        <v>45634</v>
      </c>
      <c r="J2" s="62">
        <v>45635</v>
      </c>
      <c r="K2" s="62">
        <v>45636</v>
      </c>
      <c r="L2" s="62">
        <v>45637</v>
      </c>
      <c r="M2" s="62">
        <v>45638</v>
      </c>
      <c r="N2" s="62">
        <v>45639</v>
      </c>
      <c r="O2" s="62">
        <v>45640</v>
      </c>
      <c r="P2" s="62">
        <v>45641</v>
      </c>
      <c r="Q2" s="62">
        <v>45642</v>
      </c>
      <c r="R2" s="62">
        <v>45643</v>
      </c>
      <c r="S2" s="62">
        <v>45644</v>
      </c>
      <c r="T2" s="62">
        <v>45645</v>
      </c>
      <c r="U2" s="62">
        <v>45646</v>
      </c>
      <c r="V2" s="62">
        <v>45647</v>
      </c>
      <c r="W2" s="62">
        <v>45648</v>
      </c>
      <c r="X2" s="62">
        <v>45649</v>
      </c>
      <c r="Y2" s="62">
        <v>45650</v>
      </c>
      <c r="Z2" s="62">
        <v>45651</v>
      </c>
      <c r="AA2" s="62">
        <v>45652</v>
      </c>
      <c r="AB2" s="62">
        <v>45653</v>
      </c>
      <c r="AC2" s="62">
        <v>45654</v>
      </c>
      <c r="AD2" s="62">
        <v>45655</v>
      </c>
      <c r="AE2" s="62">
        <v>45656</v>
      </c>
      <c r="AF2" s="62">
        <v>45657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272">
        <v>1960665</v>
      </c>
      <c r="C5" s="272">
        <v>1961015</v>
      </c>
      <c r="D5" s="272">
        <v>1961578</v>
      </c>
      <c r="E5" s="272">
        <v>1962139</v>
      </c>
      <c r="F5" s="272">
        <v>1962531</v>
      </c>
      <c r="G5" s="272">
        <v>1963135</v>
      </c>
      <c r="H5" s="272">
        <v>1963178</v>
      </c>
      <c r="I5" s="272">
        <v>1963656</v>
      </c>
      <c r="J5" s="272">
        <v>1964098</v>
      </c>
      <c r="K5" s="272">
        <v>1964581</v>
      </c>
      <c r="L5" s="272">
        <v>1964847</v>
      </c>
      <c r="M5" s="272">
        <v>1965084</v>
      </c>
      <c r="N5" s="272">
        <v>1965279</v>
      </c>
      <c r="O5" s="272">
        <v>1965279</v>
      </c>
      <c r="P5" s="272">
        <v>1965279</v>
      </c>
      <c r="Q5" s="272">
        <v>1965447</v>
      </c>
      <c r="R5" s="272">
        <v>1965738</v>
      </c>
      <c r="S5" s="272">
        <v>1965933</v>
      </c>
      <c r="T5" s="272">
        <v>1966127</v>
      </c>
      <c r="U5" s="272">
        <v>1966714</v>
      </c>
      <c r="V5" s="272">
        <v>1967146</v>
      </c>
      <c r="W5" s="272">
        <v>1967149</v>
      </c>
      <c r="X5" s="272">
        <v>1967584</v>
      </c>
      <c r="Y5" s="272">
        <v>1968103</v>
      </c>
      <c r="Z5" s="272">
        <v>1968535</v>
      </c>
      <c r="AA5" s="272">
        <v>1969012</v>
      </c>
      <c r="AB5" s="272">
        <v>1969530</v>
      </c>
      <c r="AC5" s="272">
        <v>1969851</v>
      </c>
      <c r="AD5" s="272">
        <v>1969851</v>
      </c>
      <c r="AE5" s="272">
        <v>1970042</v>
      </c>
      <c r="AF5" s="272">
        <v>1970294</v>
      </c>
    </row>
    <row r="6" spans="1:32" x14ac:dyDescent="0.25">
      <c r="A6" s="5" t="s">
        <v>5</v>
      </c>
      <c r="B6" s="272">
        <v>1946264</v>
      </c>
      <c r="C6" s="272">
        <v>1946825</v>
      </c>
      <c r="D6" s="272">
        <v>1947188</v>
      </c>
      <c r="E6" s="272">
        <v>1947663</v>
      </c>
      <c r="F6" s="272">
        <v>1948113</v>
      </c>
      <c r="G6" s="272">
        <v>1948365</v>
      </c>
      <c r="H6" s="272">
        <v>1948884</v>
      </c>
      <c r="I6" s="272">
        <v>1949317</v>
      </c>
      <c r="J6" s="272">
        <v>1949834</v>
      </c>
      <c r="K6" s="272">
        <v>1950105</v>
      </c>
      <c r="L6" s="272">
        <v>1950589</v>
      </c>
      <c r="M6" s="272">
        <v>1950878</v>
      </c>
      <c r="N6" s="272">
        <v>1951081</v>
      </c>
      <c r="O6" s="272">
        <v>1951316</v>
      </c>
      <c r="P6" s="272">
        <v>1951752</v>
      </c>
      <c r="Q6" s="272">
        <v>1952229</v>
      </c>
      <c r="R6" s="272">
        <v>1952791</v>
      </c>
      <c r="S6" s="272">
        <v>1953394</v>
      </c>
      <c r="T6" s="272">
        <v>1953914</v>
      </c>
      <c r="U6" s="272">
        <v>1954475</v>
      </c>
      <c r="V6" s="272">
        <v>1954992</v>
      </c>
      <c r="W6" s="272">
        <v>1955426</v>
      </c>
      <c r="X6" s="272">
        <v>1955878</v>
      </c>
      <c r="Y6" s="272">
        <v>1956141</v>
      </c>
      <c r="Z6" s="272">
        <v>1956141</v>
      </c>
      <c r="AA6" s="272">
        <v>1956500</v>
      </c>
      <c r="AB6" s="272">
        <v>1956842</v>
      </c>
      <c r="AC6" s="272">
        <v>1957316</v>
      </c>
      <c r="AD6" s="272">
        <v>1957793</v>
      </c>
      <c r="AE6" s="272">
        <v>1958244</v>
      </c>
      <c r="AF6" s="272">
        <v>1958496</v>
      </c>
    </row>
    <row r="7" spans="1:32" x14ac:dyDescent="0.25">
      <c r="A7" s="5" t="s">
        <v>6</v>
      </c>
      <c r="B7" s="272">
        <v>2016578</v>
      </c>
      <c r="C7" s="272">
        <v>2016867</v>
      </c>
      <c r="D7" s="272">
        <v>2017061</v>
      </c>
      <c r="E7" s="272">
        <v>2017312</v>
      </c>
      <c r="F7" s="272">
        <v>2017729</v>
      </c>
      <c r="G7" s="272">
        <v>2017920</v>
      </c>
      <c r="H7" s="272">
        <v>2017920</v>
      </c>
      <c r="I7" s="272">
        <v>2017920</v>
      </c>
      <c r="J7" s="272">
        <v>2018389</v>
      </c>
      <c r="K7" s="272">
        <v>2018992</v>
      </c>
      <c r="L7" s="272">
        <v>2019496</v>
      </c>
      <c r="M7" s="272">
        <v>2019686</v>
      </c>
      <c r="N7" s="272">
        <v>2019888</v>
      </c>
      <c r="O7" s="272">
        <v>2020270</v>
      </c>
      <c r="P7" s="272">
        <v>2020270</v>
      </c>
      <c r="Q7" s="272">
        <v>2020584</v>
      </c>
      <c r="R7" s="272">
        <v>2021144</v>
      </c>
      <c r="S7" s="272">
        <v>2021470</v>
      </c>
      <c r="T7" s="272">
        <v>2021810</v>
      </c>
      <c r="U7" s="272">
        <v>2022259</v>
      </c>
      <c r="V7" s="272">
        <v>2022259</v>
      </c>
      <c r="W7" s="272">
        <v>2022259</v>
      </c>
      <c r="X7" s="272">
        <v>2022455</v>
      </c>
      <c r="Y7" s="272">
        <v>2022613</v>
      </c>
      <c r="Z7" s="272">
        <v>2023048</v>
      </c>
      <c r="AA7" s="272">
        <v>2023608</v>
      </c>
      <c r="AB7" s="272">
        <v>2023998</v>
      </c>
      <c r="AC7" s="272">
        <v>2023998</v>
      </c>
      <c r="AD7" s="272">
        <v>2023999</v>
      </c>
      <c r="AE7" s="272">
        <v>2024449</v>
      </c>
      <c r="AF7" s="272">
        <v>2024548</v>
      </c>
    </row>
    <row r="8" spans="1:32" x14ac:dyDescent="0.25">
      <c r="A8" s="6" t="s">
        <v>7</v>
      </c>
      <c r="B8" s="272">
        <v>2020625</v>
      </c>
      <c r="C8" s="272">
        <v>2020988</v>
      </c>
      <c r="D8" s="272">
        <v>2021154</v>
      </c>
      <c r="E8" s="272">
        <v>2021604</v>
      </c>
      <c r="F8" s="272">
        <v>2021994</v>
      </c>
      <c r="G8" s="272">
        <v>2022229</v>
      </c>
      <c r="H8" s="272">
        <v>2022708</v>
      </c>
      <c r="I8" s="272">
        <v>2022751</v>
      </c>
      <c r="J8" s="272">
        <v>2023356</v>
      </c>
      <c r="K8" s="272">
        <v>2023808</v>
      </c>
      <c r="L8" s="272">
        <v>2024061</v>
      </c>
      <c r="M8" s="272">
        <v>2024351</v>
      </c>
      <c r="N8" s="272">
        <v>2024604</v>
      </c>
      <c r="O8" s="272">
        <v>2025123</v>
      </c>
      <c r="P8" s="272">
        <v>2025382</v>
      </c>
      <c r="Q8" s="272">
        <v>2025901</v>
      </c>
      <c r="R8" s="272">
        <v>2026240</v>
      </c>
      <c r="S8" s="272">
        <v>2026581</v>
      </c>
      <c r="T8" s="272">
        <v>2027068</v>
      </c>
      <c r="U8" s="272">
        <v>2027630</v>
      </c>
      <c r="V8" s="272">
        <v>2028106</v>
      </c>
      <c r="W8" s="272">
        <v>2028538</v>
      </c>
      <c r="X8" s="272">
        <v>2029058</v>
      </c>
      <c r="Y8" s="272">
        <v>2029578</v>
      </c>
      <c r="Z8" s="272">
        <v>2030011</v>
      </c>
      <c r="AA8" s="272">
        <v>2030282</v>
      </c>
      <c r="AB8" s="272">
        <v>2030535</v>
      </c>
      <c r="AC8" s="272">
        <v>2031055</v>
      </c>
      <c r="AD8" s="272">
        <v>2031078</v>
      </c>
      <c r="AE8" s="272">
        <v>2031286</v>
      </c>
      <c r="AF8" s="272">
        <v>2031809</v>
      </c>
    </row>
    <row r="9" spans="1:32" x14ac:dyDescent="0.25">
      <c r="A9" s="6" t="s">
        <v>8</v>
      </c>
      <c r="B9" s="272">
        <v>1923435</v>
      </c>
      <c r="C9" s="272">
        <v>1923433</v>
      </c>
      <c r="D9" s="272">
        <v>1923953</v>
      </c>
      <c r="E9" s="272">
        <v>1924276</v>
      </c>
      <c r="F9" s="272">
        <v>1924746</v>
      </c>
      <c r="G9" s="272">
        <v>1925307</v>
      </c>
      <c r="H9" s="272">
        <v>1925827</v>
      </c>
      <c r="I9" s="272">
        <v>1926261</v>
      </c>
      <c r="J9" s="272">
        <v>1926586</v>
      </c>
      <c r="K9" s="272">
        <v>1926840</v>
      </c>
      <c r="L9" s="272">
        <v>1927401</v>
      </c>
      <c r="M9" s="272">
        <v>1927977</v>
      </c>
      <c r="N9" s="272">
        <v>1928428</v>
      </c>
      <c r="O9" s="272">
        <v>1928639</v>
      </c>
      <c r="P9" s="272">
        <v>1928639</v>
      </c>
      <c r="Q9" s="272">
        <v>1928892</v>
      </c>
      <c r="R9" s="272">
        <v>1929498</v>
      </c>
      <c r="S9" s="272">
        <v>1929922</v>
      </c>
      <c r="T9" s="272">
        <v>1930116</v>
      </c>
      <c r="U9" s="272">
        <v>1930376</v>
      </c>
      <c r="V9" s="272">
        <v>1930854</v>
      </c>
      <c r="W9" s="272">
        <v>1931287</v>
      </c>
      <c r="X9" s="272">
        <v>1931593</v>
      </c>
      <c r="Y9" s="272">
        <v>1932198</v>
      </c>
      <c r="Z9" s="272">
        <v>1932674</v>
      </c>
      <c r="AA9" s="272">
        <v>1933235</v>
      </c>
      <c r="AB9" s="272">
        <v>1933525</v>
      </c>
      <c r="AC9" s="272">
        <v>1933525</v>
      </c>
      <c r="AD9" s="272">
        <v>1933525</v>
      </c>
      <c r="AE9" s="272">
        <v>1933949</v>
      </c>
      <c r="AF9" s="272">
        <v>1934553</v>
      </c>
    </row>
    <row r="10" spans="1:32" x14ac:dyDescent="0.25">
      <c r="A10" s="6" t="s">
        <v>9</v>
      </c>
      <c r="B10" s="272">
        <v>2035743</v>
      </c>
      <c r="C10" s="272">
        <v>2035743</v>
      </c>
      <c r="D10" s="272">
        <v>2036271</v>
      </c>
      <c r="E10" s="272">
        <v>2036623</v>
      </c>
      <c r="F10" s="272">
        <v>2037148</v>
      </c>
      <c r="G10" s="272">
        <v>2037673</v>
      </c>
      <c r="H10" s="272">
        <v>2038198</v>
      </c>
      <c r="I10" s="272">
        <v>2038635</v>
      </c>
      <c r="J10" s="272">
        <v>2038916</v>
      </c>
      <c r="K10" s="272">
        <v>2039171</v>
      </c>
      <c r="L10" s="272">
        <v>2039458</v>
      </c>
      <c r="M10" s="272">
        <v>2039653</v>
      </c>
      <c r="N10" s="272">
        <v>2039992</v>
      </c>
      <c r="O10" s="272">
        <v>2040084</v>
      </c>
      <c r="P10" s="272">
        <v>2040086</v>
      </c>
      <c r="Q10" s="272">
        <v>2040450</v>
      </c>
      <c r="R10" s="272">
        <v>2040639</v>
      </c>
      <c r="S10" s="272">
        <v>2040833</v>
      </c>
      <c r="T10" s="272">
        <v>2041359</v>
      </c>
      <c r="U10" s="272">
        <v>2041922</v>
      </c>
      <c r="V10" s="272">
        <v>2042439</v>
      </c>
      <c r="W10" s="272">
        <v>2042443</v>
      </c>
      <c r="X10" s="272">
        <v>2042708</v>
      </c>
      <c r="Y10" s="272">
        <v>2043045</v>
      </c>
      <c r="Z10" s="272">
        <v>2043045</v>
      </c>
      <c r="AA10" s="272">
        <v>2043384</v>
      </c>
      <c r="AB10" s="272">
        <v>2043883</v>
      </c>
      <c r="AC10" s="272">
        <v>2044357</v>
      </c>
      <c r="AD10" s="272">
        <v>2044401</v>
      </c>
      <c r="AE10" s="272">
        <v>2044989</v>
      </c>
      <c r="AF10" s="272">
        <v>2045515</v>
      </c>
    </row>
    <row r="11" spans="1:32" x14ac:dyDescent="0.25">
      <c r="A11" s="6" t="s">
        <v>10</v>
      </c>
      <c r="B11" s="272">
        <v>2062099</v>
      </c>
      <c r="C11" s="272">
        <v>2062508</v>
      </c>
      <c r="D11" s="272">
        <v>2062703</v>
      </c>
      <c r="E11" s="272">
        <v>2063192</v>
      </c>
      <c r="F11" s="272">
        <v>2063688</v>
      </c>
      <c r="G11" s="272">
        <v>2064251</v>
      </c>
      <c r="H11" s="272">
        <v>2064728</v>
      </c>
      <c r="I11" s="272">
        <v>2065162</v>
      </c>
      <c r="J11" s="272">
        <v>2065700</v>
      </c>
      <c r="K11" s="272">
        <v>2066058</v>
      </c>
      <c r="L11" s="272">
        <v>2066512</v>
      </c>
      <c r="M11" s="272">
        <v>2066644</v>
      </c>
      <c r="N11" s="272">
        <v>2066932</v>
      </c>
      <c r="O11" s="272">
        <v>2067144</v>
      </c>
      <c r="P11" s="272">
        <v>2067380</v>
      </c>
      <c r="Q11" s="272">
        <v>2067860</v>
      </c>
      <c r="R11" s="272">
        <v>2068382</v>
      </c>
      <c r="S11" s="272">
        <v>2068904</v>
      </c>
      <c r="T11" s="272">
        <v>2069195</v>
      </c>
      <c r="U11" s="272">
        <v>2069682</v>
      </c>
      <c r="V11" s="272">
        <v>2069769</v>
      </c>
      <c r="W11" s="272">
        <v>2069773</v>
      </c>
      <c r="X11" s="272">
        <v>2070293</v>
      </c>
      <c r="Y11" s="272">
        <v>2070727</v>
      </c>
      <c r="Z11" s="272">
        <v>2070727</v>
      </c>
      <c r="AA11" s="272">
        <v>2071179</v>
      </c>
      <c r="AB11" s="272">
        <v>2071374</v>
      </c>
      <c r="AC11" s="272">
        <v>2071374</v>
      </c>
      <c r="AD11" s="272">
        <v>2071374</v>
      </c>
      <c r="AE11" s="272">
        <v>2071894</v>
      </c>
      <c r="AF11" s="272">
        <v>2072556</v>
      </c>
    </row>
    <row r="12" spans="1:32" x14ac:dyDescent="0.25">
      <c r="A12" s="5" t="s">
        <v>11</v>
      </c>
      <c r="B12" s="272">
        <v>1969965</v>
      </c>
      <c r="C12" s="272">
        <v>1970536</v>
      </c>
      <c r="D12" s="272">
        <v>1971054</v>
      </c>
      <c r="E12" s="272">
        <v>1971344</v>
      </c>
      <c r="F12" s="272">
        <v>1971930</v>
      </c>
      <c r="G12" s="272">
        <v>1972365</v>
      </c>
      <c r="H12" s="272">
        <v>1972365</v>
      </c>
      <c r="I12" s="272">
        <v>1972367</v>
      </c>
      <c r="J12" s="272">
        <v>1972718</v>
      </c>
      <c r="K12" s="272">
        <v>1973067</v>
      </c>
      <c r="L12" s="272">
        <v>1973628</v>
      </c>
      <c r="M12" s="272">
        <v>1974231</v>
      </c>
      <c r="N12" s="272">
        <v>1974748</v>
      </c>
      <c r="O12" s="272">
        <v>1975241</v>
      </c>
      <c r="P12" s="272">
        <v>1975432</v>
      </c>
      <c r="Q12" s="272">
        <v>1975885</v>
      </c>
      <c r="R12" s="272">
        <v>1976139</v>
      </c>
      <c r="S12" s="272">
        <v>1976699</v>
      </c>
      <c r="T12" s="272">
        <v>1977191</v>
      </c>
      <c r="U12" s="272">
        <v>1977386</v>
      </c>
      <c r="V12" s="272">
        <v>1977386</v>
      </c>
      <c r="W12" s="272">
        <v>1977386</v>
      </c>
      <c r="X12" s="272">
        <v>1977811</v>
      </c>
      <c r="Y12" s="272">
        <v>1978297</v>
      </c>
      <c r="Z12" s="272">
        <v>1978297</v>
      </c>
      <c r="AA12" s="272">
        <v>1978765</v>
      </c>
      <c r="AB12" s="272">
        <v>1979029</v>
      </c>
      <c r="AC12" s="272">
        <v>1979029</v>
      </c>
      <c r="AD12" s="272">
        <v>1979029</v>
      </c>
      <c r="AE12" s="272">
        <v>1979515</v>
      </c>
      <c r="AF12" s="272">
        <v>1980120</v>
      </c>
    </row>
    <row r="13" spans="1:32" x14ac:dyDescent="0.25">
      <c r="A13" s="5" t="s">
        <v>12</v>
      </c>
      <c r="B13" s="272">
        <v>1952184</v>
      </c>
      <c r="C13" s="272">
        <v>1952381</v>
      </c>
      <c r="D13" s="272">
        <v>1952637</v>
      </c>
      <c r="E13" s="272">
        <v>1953164</v>
      </c>
      <c r="F13" s="272">
        <v>1953732</v>
      </c>
      <c r="G13" s="272">
        <v>1954233</v>
      </c>
      <c r="H13" s="272">
        <v>1954233</v>
      </c>
      <c r="I13" s="272">
        <v>1954233</v>
      </c>
      <c r="J13" s="272">
        <v>1954439</v>
      </c>
      <c r="K13" s="272">
        <v>1954836</v>
      </c>
      <c r="L13" s="272">
        <v>1955405</v>
      </c>
      <c r="M13" s="272">
        <v>1955975</v>
      </c>
      <c r="N13" s="272">
        <v>1956222</v>
      </c>
      <c r="O13" s="272">
        <v>1956505</v>
      </c>
      <c r="P13" s="272">
        <v>1956943</v>
      </c>
      <c r="Q13" s="272">
        <v>1957468</v>
      </c>
      <c r="R13" s="272">
        <v>1958081</v>
      </c>
      <c r="S13" s="272">
        <v>1958694</v>
      </c>
      <c r="T13" s="272">
        <v>1959228</v>
      </c>
      <c r="U13" s="272">
        <v>1959800</v>
      </c>
      <c r="V13" s="272">
        <v>1960282</v>
      </c>
      <c r="W13" s="272">
        <v>1960326</v>
      </c>
      <c r="X13" s="272">
        <v>1960781</v>
      </c>
      <c r="Y13" s="272">
        <v>1960865</v>
      </c>
      <c r="Z13" s="272">
        <v>1960865</v>
      </c>
      <c r="AA13" s="272">
        <v>1961322</v>
      </c>
      <c r="AB13" s="272">
        <v>1961520</v>
      </c>
      <c r="AC13" s="272">
        <v>1961520</v>
      </c>
      <c r="AD13" s="272">
        <v>1961520</v>
      </c>
      <c r="AE13" s="272">
        <v>1962065</v>
      </c>
      <c r="AF13" s="272">
        <v>1962677</v>
      </c>
    </row>
    <row r="14" spans="1:32" x14ac:dyDescent="0.25">
      <c r="A14" s="5" t="s">
        <v>13</v>
      </c>
      <c r="B14" s="272">
        <v>2028177</v>
      </c>
      <c r="C14" s="272">
        <v>2028565</v>
      </c>
      <c r="D14" s="272">
        <v>2029168</v>
      </c>
      <c r="E14" s="272">
        <v>2029688</v>
      </c>
      <c r="F14" s="272">
        <v>2029991</v>
      </c>
      <c r="G14" s="272">
        <v>2030466</v>
      </c>
      <c r="H14" s="272">
        <v>2030941</v>
      </c>
      <c r="I14" s="272">
        <v>2031329</v>
      </c>
      <c r="J14" s="272">
        <v>2031702</v>
      </c>
      <c r="K14" s="272">
        <v>2032219</v>
      </c>
      <c r="L14" s="272">
        <v>2032676</v>
      </c>
      <c r="M14" s="272">
        <v>2032927</v>
      </c>
      <c r="N14" s="272">
        <v>2033344</v>
      </c>
      <c r="O14" s="272">
        <v>2033344</v>
      </c>
      <c r="P14" s="272">
        <v>2033344</v>
      </c>
      <c r="Q14" s="272">
        <v>2033539</v>
      </c>
      <c r="R14" s="272">
        <v>2033791</v>
      </c>
      <c r="S14" s="272">
        <v>2034260</v>
      </c>
      <c r="T14" s="272">
        <v>2034606</v>
      </c>
      <c r="U14" s="272">
        <v>2035123</v>
      </c>
      <c r="V14" s="272">
        <v>2035597</v>
      </c>
      <c r="W14" s="272">
        <v>2035641</v>
      </c>
      <c r="X14" s="272">
        <v>2036090</v>
      </c>
      <c r="Y14" s="272">
        <v>2036360</v>
      </c>
      <c r="Z14" s="272">
        <v>2036360</v>
      </c>
      <c r="AA14" s="272">
        <v>2036728</v>
      </c>
      <c r="AB14" s="272">
        <v>2037180</v>
      </c>
      <c r="AC14" s="272">
        <v>2037180</v>
      </c>
      <c r="AD14" s="272">
        <v>2037180</v>
      </c>
      <c r="AE14" s="272">
        <v>2037371</v>
      </c>
      <c r="AF14" s="272">
        <v>2037972</v>
      </c>
    </row>
    <row r="15" spans="1:32" x14ac:dyDescent="0.25">
      <c r="A15" s="6" t="s">
        <v>14</v>
      </c>
      <c r="B15" s="272">
        <v>2044698</v>
      </c>
      <c r="C15" s="272">
        <v>2044892</v>
      </c>
      <c r="D15" s="272">
        <v>2045144</v>
      </c>
      <c r="E15" s="272">
        <v>2045338</v>
      </c>
      <c r="F15" s="272">
        <v>2045591</v>
      </c>
      <c r="G15" s="272">
        <v>2045749</v>
      </c>
      <c r="H15" s="272">
        <v>2045749</v>
      </c>
      <c r="I15" s="272">
        <v>2045751</v>
      </c>
      <c r="J15" s="272">
        <v>2046179</v>
      </c>
      <c r="K15" s="272">
        <v>2046431</v>
      </c>
      <c r="L15" s="272">
        <v>2046806</v>
      </c>
      <c r="M15" s="272">
        <v>2047328</v>
      </c>
      <c r="N15" s="272">
        <v>2047935</v>
      </c>
      <c r="O15" s="272">
        <v>2048411</v>
      </c>
      <c r="P15" s="272">
        <v>2048845</v>
      </c>
      <c r="Q15" s="272">
        <v>2049341</v>
      </c>
      <c r="R15" s="272">
        <v>2049537</v>
      </c>
      <c r="S15" s="272">
        <v>2049798</v>
      </c>
      <c r="T15" s="272">
        <v>2050364</v>
      </c>
      <c r="U15" s="272">
        <v>2050843</v>
      </c>
      <c r="V15" s="272">
        <v>2050843</v>
      </c>
      <c r="W15" s="272">
        <v>2050843</v>
      </c>
      <c r="X15" s="272">
        <v>2051364</v>
      </c>
      <c r="Y15" s="272">
        <v>2051730</v>
      </c>
      <c r="Z15" s="272">
        <v>2051730</v>
      </c>
      <c r="AA15" s="272">
        <v>2052124</v>
      </c>
      <c r="AB15" s="272">
        <v>2052688</v>
      </c>
      <c r="AC15" s="272">
        <v>2053166</v>
      </c>
      <c r="AD15" s="272">
        <v>2053602</v>
      </c>
      <c r="AE15" s="272">
        <v>2054102</v>
      </c>
      <c r="AF15" s="272">
        <v>2054765</v>
      </c>
    </row>
    <row r="16" spans="1:32" x14ac:dyDescent="0.25">
      <c r="A16" s="6" t="s">
        <v>15</v>
      </c>
      <c r="B16" s="272">
        <v>1882981</v>
      </c>
      <c r="C16" s="272">
        <v>1883185</v>
      </c>
      <c r="D16" s="272">
        <v>1883437</v>
      </c>
      <c r="E16" s="272">
        <v>1883923</v>
      </c>
      <c r="F16" s="272">
        <v>1884373</v>
      </c>
      <c r="G16" s="272">
        <v>1884567</v>
      </c>
      <c r="H16" s="272">
        <v>1884567</v>
      </c>
      <c r="I16" s="272">
        <v>1884567</v>
      </c>
      <c r="J16" s="272">
        <v>1885095</v>
      </c>
      <c r="K16" s="272">
        <v>1885655</v>
      </c>
      <c r="L16" s="272">
        <v>1886019</v>
      </c>
      <c r="M16" s="272">
        <v>1886300</v>
      </c>
      <c r="N16" s="272">
        <v>1886904</v>
      </c>
      <c r="O16" s="272">
        <v>1887379</v>
      </c>
      <c r="P16" s="272">
        <v>1887613</v>
      </c>
      <c r="Q16" s="272">
        <v>1887875</v>
      </c>
      <c r="R16" s="272">
        <v>1888229</v>
      </c>
      <c r="S16" s="272">
        <v>1888533</v>
      </c>
      <c r="T16" s="272">
        <v>1888803</v>
      </c>
      <c r="U16" s="272">
        <v>1889056</v>
      </c>
      <c r="V16" s="272">
        <v>1889574</v>
      </c>
      <c r="W16" s="272">
        <v>1890005</v>
      </c>
      <c r="X16" s="272">
        <v>1890540</v>
      </c>
      <c r="Y16" s="272">
        <v>1891015</v>
      </c>
      <c r="Z16" s="272">
        <v>1891446</v>
      </c>
      <c r="AA16" s="272">
        <v>1892010</v>
      </c>
      <c r="AB16" s="272">
        <v>1892614</v>
      </c>
      <c r="AC16" s="272">
        <v>1892657</v>
      </c>
      <c r="AD16" s="272">
        <v>1893134</v>
      </c>
      <c r="AE16" s="272">
        <v>1893379</v>
      </c>
      <c r="AF16" s="272">
        <v>1893804</v>
      </c>
    </row>
    <row r="17" spans="1:32" x14ac:dyDescent="0.25">
      <c r="A17" s="6" t="s">
        <v>16</v>
      </c>
      <c r="B17" s="272">
        <v>2002771</v>
      </c>
      <c r="C17" s="272">
        <v>2003334</v>
      </c>
      <c r="D17" s="272">
        <v>2003742</v>
      </c>
      <c r="E17" s="272">
        <v>2003994</v>
      </c>
      <c r="F17" s="272">
        <v>2004281</v>
      </c>
      <c r="G17" s="272">
        <v>2004508</v>
      </c>
      <c r="H17" s="272">
        <v>2004508</v>
      </c>
      <c r="I17" s="272">
        <v>2004765</v>
      </c>
      <c r="J17" s="272">
        <v>2005327</v>
      </c>
      <c r="K17" s="272">
        <v>2005932</v>
      </c>
      <c r="L17" s="272">
        <v>2006389</v>
      </c>
      <c r="M17" s="272">
        <v>2006654</v>
      </c>
      <c r="N17" s="272">
        <v>2006905</v>
      </c>
      <c r="O17" s="272">
        <v>2007183</v>
      </c>
      <c r="P17" s="272">
        <v>2007659</v>
      </c>
      <c r="Q17" s="272">
        <v>2008135</v>
      </c>
      <c r="R17" s="272">
        <v>2008590</v>
      </c>
      <c r="S17" s="272">
        <v>2008784</v>
      </c>
      <c r="T17" s="272">
        <v>2009218</v>
      </c>
      <c r="U17" s="272">
        <v>2009514</v>
      </c>
      <c r="V17" s="272">
        <v>2009557</v>
      </c>
      <c r="W17" s="272">
        <v>2010033</v>
      </c>
      <c r="X17" s="272">
        <v>2010637</v>
      </c>
      <c r="Y17" s="272">
        <v>2011044</v>
      </c>
      <c r="Z17" s="272">
        <v>2011044</v>
      </c>
      <c r="AA17" s="272">
        <v>2011125</v>
      </c>
      <c r="AB17" s="272">
        <v>2011381</v>
      </c>
      <c r="AC17" s="272">
        <v>2011381</v>
      </c>
      <c r="AD17" s="272">
        <v>2011401</v>
      </c>
      <c r="AE17" s="272">
        <v>2011852</v>
      </c>
      <c r="AF17" s="272">
        <v>2012196</v>
      </c>
    </row>
    <row r="18" spans="1:32" x14ac:dyDescent="0.25">
      <c r="A18" s="6" t="s">
        <v>17</v>
      </c>
      <c r="B18" s="272">
        <v>1979497</v>
      </c>
      <c r="C18" s="272">
        <v>1979971</v>
      </c>
      <c r="D18" s="272">
        <v>1980300</v>
      </c>
      <c r="E18" s="272">
        <v>1980551</v>
      </c>
      <c r="F18" s="272">
        <v>1980865</v>
      </c>
      <c r="G18" s="272">
        <v>1981322</v>
      </c>
      <c r="H18" s="272">
        <v>1981322</v>
      </c>
      <c r="I18" s="272">
        <v>1981322</v>
      </c>
      <c r="J18" s="272">
        <v>1981516</v>
      </c>
      <c r="K18" s="272">
        <v>1981950</v>
      </c>
      <c r="L18" s="272">
        <v>1982202</v>
      </c>
      <c r="M18" s="272">
        <v>1982653</v>
      </c>
      <c r="N18" s="272">
        <v>1982846</v>
      </c>
      <c r="O18" s="272">
        <v>1983056</v>
      </c>
      <c r="P18" s="272">
        <v>1983056</v>
      </c>
      <c r="Q18" s="272">
        <v>1983138</v>
      </c>
      <c r="R18" s="272">
        <v>1983596</v>
      </c>
      <c r="S18" s="272">
        <v>1984012</v>
      </c>
      <c r="T18" s="272">
        <v>1984353</v>
      </c>
      <c r="U18" s="272">
        <v>1984640</v>
      </c>
      <c r="V18" s="272">
        <v>1984640</v>
      </c>
      <c r="W18" s="272">
        <v>1984640</v>
      </c>
      <c r="X18" s="272">
        <v>1985066</v>
      </c>
      <c r="Y18" s="272">
        <v>1985355</v>
      </c>
      <c r="Z18" s="272">
        <v>1985355</v>
      </c>
      <c r="AA18" s="272">
        <v>1985608</v>
      </c>
      <c r="AB18" s="272">
        <v>1985952</v>
      </c>
      <c r="AC18" s="272">
        <v>1985952</v>
      </c>
      <c r="AD18" s="272">
        <v>1986217</v>
      </c>
      <c r="AE18" s="272">
        <v>1986567</v>
      </c>
      <c r="AF18" s="272">
        <v>1987169</v>
      </c>
    </row>
    <row r="19" spans="1:32" x14ac:dyDescent="0.25">
      <c r="A19" s="6" t="s">
        <v>18</v>
      </c>
      <c r="B19" s="272">
        <v>2061230</v>
      </c>
      <c r="C19" s="272">
        <v>2061751</v>
      </c>
      <c r="D19" s="272">
        <v>2062188</v>
      </c>
      <c r="E19" s="272">
        <v>2062456</v>
      </c>
      <c r="F19" s="272">
        <v>2062957</v>
      </c>
      <c r="G19" s="272">
        <v>2063265</v>
      </c>
      <c r="H19" s="272">
        <v>2063265</v>
      </c>
      <c r="I19" s="272">
        <v>2063265</v>
      </c>
      <c r="J19" s="272">
        <v>2063469</v>
      </c>
      <c r="K19" s="272">
        <v>2063663</v>
      </c>
      <c r="L19" s="272">
        <v>2064149</v>
      </c>
      <c r="M19" s="272">
        <v>2064672</v>
      </c>
      <c r="N19" s="272">
        <v>2065193</v>
      </c>
      <c r="O19" s="272">
        <v>2065713</v>
      </c>
      <c r="P19" s="272">
        <v>2066148</v>
      </c>
      <c r="Q19" s="272">
        <v>2066600</v>
      </c>
      <c r="R19" s="272">
        <v>2067097</v>
      </c>
      <c r="S19" s="272">
        <v>2067450</v>
      </c>
      <c r="T19" s="272">
        <v>2067970</v>
      </c>
      <c r="U19" s="272">
        <v>2068257</v>
      </c>
      <c r="V19" s="272">
        <v>2068257</v>
      </c>
      <c r="W19" s="272">
        <v>2068257</v>
      </c>
      <c r="X19" s="272">
        <v>2068507</v>
      </c>
      <c r="Y19" s="272">
        <v>2068837</v>
      </c>
      <c r="Z19" s="272">
        <v>2068837</v>
      </c>
      <c r="AA19" s="272">
        <v>2069391</v>
      </c>
      <c r="AB19" s="272">
        <v>2069993</v>
      </c>
      <c r="AC19" s="272">
        <v>2070466</v>
      </c>
      <c r="AD19" s="272">
        <v>2070603</v>
      </c>
      <c r="AE19" s="272">
        <v>2070950</v>
      </c>
      <c r="AF19" s="272">
        <v>2071432</v>
      </c>
    </row>
    <row r="20" spans="1:32" x14ac:dyDescent="0.25">
      <c r="A20" s="6" t="s">
        <v>19</v>
      </c>
      <c r="B20" s="272">
        <v>2019983</v>
      </c>
      <c r="C20" s="272">
        <v>2020504</v>
      </c>
      <c r="D20" s="272">
        <v>2020941</v>
      </c>
      <c r="E20" s="272">
        <v>2021508</v>
      </c>
      <c r="F20" s="272">
        <v>2021916</v>
      </c>
      <c r="G20" s="272">
        <v>2022111</v>
      </c>
      <c r="H20" s="272">
        <v>2022130</v>
      </c>
      <c r="I20" s="272">
        <v>2022407</v>
      </c>
      <c r="J20" s="272">
        <v>2022708</v>
      </c>
      <c r="K20" s="272">
        <v>2022963</v>
      </c>
      <c r="L20" s="272">
        <v>2023440</v>
      </c>
      <c r="M20" s="272">
        <v>2023684</v>
      </c>
      <c r="N20" s="272">
        <v>2023937</v>
      </c>
      <c r="O20" s="272">
        <v>2024173</v>
      </c>
      <c r="P20" s="272">
        <v>2024408</v>
      </c>
      <c r="Q20" s="272">
        <v>2024911</v>
      </c>
      <c r="R20" s="272">
        <v>2025370</v>
      </c>
      <c r="S20" s="272">
        <v>2025702</v>
      </c>
      <c r="T20" s="272">
        <v>2026310</v>
      </c>
      <c r="U20" s="272">
        <v>2026831</v>
      </c>
      <c r="V20" s="272">
        <v>2027098</v>
      </c>
      <c r="W20" s="272">
        <v>2027575</v>
      </c>
      <c r="X20" s="272">
        <v>2028181</v>
      </c>
      <c r="Y20" s="272">
        <v>2028513</v>
      </c>
      <c r="Z20" s="272">
        <v>2028513</v>
      </c>
      <c r="AA20" s="272">
        <v>2028914</v>
      </c>
      <c r="AB20" s="272">
        <v>2029450</v>
      </c>
      <c r="AC20" s="272">
        <v>2029646</v>
      </c>
      <c r="AD20" s="272">
        <v>2030082</v>
      </c>
      <c r="AE20" s="272">
        <v>2030371</v>
      </c>
      <c r="AF20" s="272">
        <v>2030858</v>
      </c>
    </row>
    <row r="21" spans="1:32" x14ac:dyDescent="0.25">
      <c r="A21" s="6" t="s">
        <v>20</v>
      </c>
      <c r="B21" s="272">
        <v>2028144</v>
      </c>
      <c r="C21" s="272">
        <v>2028667</v>
      </c>
      <c r="D21" s="272">
        <v>2028954</v>
      </c>
      <c r="E21" s="272">
        <v>2029200</v>
      </c>
      <c r="F21" s="272">
        <v>2029721</v>
      </c>
      <c r="G21" s="272">
        <v>2030326</v>
      </c>
      <c r="H21" s="272">
        <v>2030846</v>
      </c>
      <c r="I21" s="272">
        <v>2031278</v>
      </c>
      <c r="J21" s="272">
        <v>2031841</v>
      </c>
      <c r="K21" s="272">
        <v>2032172</v>
      </c>
      <c r="L21" s="272">
        <v>2032366</v>
      </c>
      <c r="M21" s="272">
        <v>2032799</v>
      </c>
      <c r="N21" s="272">
        <v>2032994</v>
      </c>
      <c r="O21" s="272">
        <v>2033272</v>
      </c>
      <c r="P21" s="272">
        <v>2033723</v>
      </c>
      <c r="Q21" s="272">
        <v>2033975</v>
      </c>
      <c r="R21" s="272">
        <v>2034462</v>
      </c>
      <c r="S21" s="272">
        <v>2034913</v>
      </c>
      <c r="T21" s="272">
        <v>2035097</v>
      </c>
      <c r="U21" s="272">
        <v>2035301</v>
      </c>
      <c r="V21" s="272">
        <v>2035301</v>
      </c>
      <c r="W21" s="272">
        <v>2035301</v>
      </c>
      <c r="X21" s="272">
        <v>2035787</v>
      </c>
      <c r="Y21" s="272">
        <v>2036305</v>
      </c>
      <c r="Z21" s="272">
        <v>2036781</v>
      </c>
      <c r="AA21" s="272">
        <v>2037344</v>
      </c>
      <c r="AB21" s="272">
        <v>2037690</v>
      </c>
      <c r="AC21" s="272">
        <v>2037690</v>
      </c>
      <c r="AD21" s="272">
        <v>2037714</v>
      </c>
      <c r="AE21" s="272">
        <v>2037917</v>
      </c>
      <c r="AF21" s="272">
        <v>2038180</v>
      </c>
    </row>
    <row r="22" spans="1:32" x14ac:dyDescent="0.25">
      <c r="A22" s="6" t="s">
        <v>21</v>
      </c>
      <c r="B22" s="272">
        <v>1955958</v>
      </c>
      <c r="C22" s="272">
        <v>1956476</v>
      </c>
      <c r="D22" s="272">
        <v>1956678</v>
      </c>
      <c r="E22" s="272">
        <v>1957103</v>
      </c>
      <c r="F22" s="272">
        <v>1957534</v>
      </c>
      <c r="G22" s="272">
        <v>1958053</v>
      </c>
      <c r="H22" s="272">
        <v>1958570</v>
      </c>
      <c r="I22" s="272">
        <v>1959000</v>
      </c>
      <c r="J22" s="272">
        <v>1959280</v>
      </c>
      <c r="K22" s="272">
        <v>1959474</v>
      </c>
      <c r="L22" s="272">
        <v>1959667</v>
      </c>
      <c r="M22" s="272">
        <v>1959918</v>
      </c>
      <c r="N22" s="272">
        <v>1960401</v>
      </c>
      <c r="O22" s="272">
        <v>1960850</v>
      </c>
      <c r="P22" s="272">
        <v>1961060</v>
      </c>
      <c r="Q22" s="272">
        <v>1961323</v>
      </c>
      <c r="R22" s="272">
        <v>1961637</v>
      </c>
      <c r="S22" s="272">
        <v>1962055</v>
      </c>
      <c r="T22" s="272">
        <v>1962267</v>
      </c>
      <c r="U22" s="272">
        <v>1962461</v>
      </c>
      <c r="V22" s="272">
        <v>1962461</v>
      </c>
      <c r="W22" s="272">
        <v>1962461</v>
      </c>
      <c r="X22" s="272">
        <v>1962972</v>
      </c>
      <c r="Y22" s="272">
        <v>1963403</v>
      </c>
      <c r="Z22" s="272">
        <v>1963837</v>
      </c>
      <c r="AA22" s="272">
        <v>1964269</v>
      </c>
      <c r="AB22" s="272">
        <v>1964829</v>
      </c>
      <c r="AC22" s="272">
        <v>1964873</v>
      </c>
      <c r="AD22" s="272">
        <v>1965049</v>
      </c>
      <c r="AE22" s="272">
        <v>1965570</v>
      </c>
      <c r="AF22" s="272">
        <v>1965859</v>
      </c>
    </row>
    <row r="23" spans="1:32" x14ac:dyDescent="0.25">
      <c r="A23" s="6" t="s">
        <v>22</v>
      </c>
      <c r="B23" s="272">
        <v>2001405</v>
      </c>
      <c r="C23" s="272">
        <v>2001485</v>
      </c>
      <c r="D23" s="272">
        <v>2001814</v>
      </c>
      <c r="E23" s="272">
        <v>2001973</v>
      </c>
      <c r="F23" s="272">
        <v>2002226</v>
      </c>
      <c r="G23" s="272">
        <v>2002512</v>
      </c>
      <c r="H23" s="272">
        <v>2002512</v>
      </c>
      <c r="I23" s="272">
        <v>2002512</v>
      </c>
      <c r="J23" s="272">
        <v>2002683</v>
      </c>
      <c r="K23" s="272">
        <v>2003201</v>
      </c>
      <c r="L23" s="272">
        <v>2003760</v>
      </c>
      <c r="M23" s="272">
        <v>2004281</v>
      </c>
      <c r="N23" s="272">
        <v>2004884</v>
      </c>
      <c r="O23" s="272">
        <v>2005099</v>
      </c>
      <c r="P23" s="272">
        <v>2005529</v>
      </c>
      <c r="Q23" s="272">
        <v>2005892</v>
      </c>
      <c r="R23" s="272">
        <v>2006137</v>
      </c>
      <c r="S23" s="272">
        <v>2006666</v>
      </c>
      <c r="T23" s="272">
        <v>2007142</v>
      </c>
      <c r="U23" s="272">
        <v>2007435</v>
      </c>
      <c r="V23" s="272">
        <v>2007911</v>
      </c>
      <c r="W23" s="272">
        <v>2008346</v>
      </c>
      <c r="X23" s="272">
        <v>2008905</v>
      </c>
      <c r="Y23" s="272">
        <v>2009508</v>
      </c>
      <c r="Z23" s="272">
        <v>2009509</v>
      </c>
      <c r="AA23" s="272">
        <v>2009713</v>
      </c>
      <c r="AB23" s="272">
        <v>2009964</v>
      </c>
      <c r="AC23" s="272">
        <v>2009964</v>
      </c>
      <c r="AD23" s="272">
        <v>2010198</v>
      </c>
      <c r="AE23" s="272">
        <v>2010637</v>
      </c>
      <c r="AF23" s="272">
        <v>2011223</v>
      </c>
    </row>
    <row r="24" spans="1:32" x14ac:dyDescent="0.25">
      <c r="A24" s="5" t="s">
        <v>23</v>
      </c>
      <c r="B24" s="272">
        <v>2026057</v>
      </c>
      <c r="C24" s="272">
        <v>2026531</v>
      </c>
      <c r="D24" s="272">
        <v>2026818</v>
      </c>
      <c r="E24" s="272">
        <v>2027243</v>
      </c>
      <c r="F24" s="272">
        <v>2027532</v>
      </c>
      <c r="G24" s="272">
        <v>2027783</v>
      </c>
      <c r="H24" s="272">
        <v>2027783</v>
      </c>
      <c r="I24" s="272">
        <v>2027783</v>
      </c>
      <c r="J24" s="272">
        <v>2028045</v>
      </c>
      <c r="K24" s="272">
        <v>2028296</v>
      </c>
      <c r="L24" s="272">
        <v>2028713</v>
      </c>
      <c r="M24" s="272">
        <v>2029232</v>
      </c>
      <c r="N24" s="272">
        <v>2029651</v>
      </c>
      <c r="O24" s="272">
        <v>2030168</v>
      </c>
      <c r="P24" s="272">
        <v>2030598</v>
      </c>
      <c r="Q24" s="272">
        <v>2031115</v>
      </c>
      <c r="R24" s="272">
        <v>2031720</v>
      </c>
      <c r="S24" s="272">
        <v>2032238</v>
      </c>
      <c r="T24" s="272">
        <v>2032673</v>
      </c>
      <c r="U24" s="272">
        <v>2033232</v>
      </c>
      <c r="V24" s="272">
        <v>2033275</v>
      </c>
      <c r="W24" s="272">
        <v>2033706</v>
      </c>
      <c r="X24" s="272">
        <v>2034155</v>
      </c>
      <c r="Y24" s="272">
        <v>2034502</v>
      </c>
      <c r="Z24" s="272">
        <v>2034933</v>
      </c>
      <c r="AA24" s="272">
        <v>2035236</v>
      </c>
      <c r="AB24" s="272">
        <v>2035498</v>
      </c>
      <c r="AC24" s="272">
        <v>2036015</v>
      </c>
      <c r="AD24" s="272">
        <v>2036533</v>
      </c>
      <c r="AE24" s="272">
        <v>2036643</v>
      </c>
      <c r="AF24" s="272">
        <v>2036836</v>
      </c>
    </row>
    <row r="25" spans="1:32" x14ac:dyDescent="0.25">
      <c r="A25" s="6" t="s">
        <v>24</v>
      </c>
      <c r="B25" s="272">
        <v>2039899</v>
      </c>
      <c r="C25" s="272">
        <v>2040504</v>
      </c>
      <c r="D25" s="272">
        <v>2041026</v>
      </c>
      <c r="E25" s="272">
        <v>2041548</v>
      </c>
      <c r="F25" s="272">
        <v>2041834</v>
      </c>
      <c r="G25" s="272">
        <v>2042028</v>
      </c>
      <c r="H25" s="272">
        <v>2042028</v>
      </c>
      <c r="I25" s="272">
        <v>2042028</v>
      </c>
      <c r="J25" s="272">
        <v>2042601</v>
      </c>
      <c r="K25" s="272">
        <v>2043165</v>
      </c>
      <c r="L25" s="272">
        <v>2043384</v>
      </c>
      <c r="M25" s="272">
        <v>2043862</v>
      </c>
      <c r="N25" s="272">
        <v>2044424</v>
      </c>
      <c r="O25" s="272">
        <v>2044942</v>
      </c>
      <c r="P25" s="272">
        <v>2044946</v>
      </c>
      <c r="Q25" s="272">
        <v>2045149</v>
      </c>
      <c r="R25" s="272">
        <v>2045566</v>
      </c>
      <c r="S25" s="272">
        <v>2045819</v>
      </c>
      <c r="T25" s="272">
        <v>2046221</v>
      </c>
      <c r="U25" s="272">
        <v>2046827</v>
      </c>
      <c r="V25" s="272">
        <v>2047178</v>
      </c>
      <c r="W25" s="272">
        <v>2047178</v>
      </c>
      <c r="X25" s="272">
        <v>2047379</v>
      </c>
      <c r="Y25" s="272">
        <v>2047771</v>
      </c>
      <c r="Z25" s="272">
        <v>2048206</v>
      </c>
      <c r="AA25" s="272">
        <v>2048552</v>
      </c>
      <c r="AB25" s="272">
        <v>2049073</v>
      </c>
      <c r="AC25" s="272">
        <v>2049592</v>
      </c>
      <c r="AD25" s="272">
        <v>2050062</v>
      </c>
      <c r="AE25" s="272">
        <v>2050246</v>
      </c>
      <c r="AF25" s="272">
        <v>2050517</v>
      </c>
    </row>
    <row r="26" spans="1:32" x14ac:dyDescent="0.25">
      <c r="A26" s="6" t="s">
        <v>25</v>
      </c>
      <c r="B26" s="272">
        <v>2049648</v>
      </c>
      <c r="C26" s="272">
        <v>2050211</v>
      </c>
      <c r="D26" s="272">
        <v>2050687</v>
      </c>
      <c r="E26" s="272">
        <v>2050975</v>
      </c>
      <c r="F26" s="272">
        <v>2051169</v>
      </c>
      <c r="G26" s="272">
        <v>2051485</v>
      </c>
      <c r="H26" s="272">
        <v>2052008</v>
      </c>
      <c r="I26" s="272">
        <v>2052483</v>
      </c>
      <c r="J26" s="272">
        <v>2052810</v>
      </c>
      <c r="K26" s="272">
        <v>2053005</v>
      </c>
      <c r="L26" s="272">
        <v>2053199</v>
      </c>
      <c r="M26" s="272">
        <v>2053453</v>
      </c>
      <c r="N26" s="272">
        <v>2054021</v>
      </c>
      <c r="O26" s="272">
        <v>2054498</v>
      </c>
      <c r="P26" s="272">
        <v>2054932</v>
      </c>
      <c r="Q26" s="272">
        <v>2055495</v>
      </c>
      <c r="R26" s="272">
        <v>2056057</v>
      </c>
      <c r="S26" s="272">
        <v>2056347</v>
      </c>
      <c r="T26" s="272">
        <v>2056600</v>
      </c>
      <c r="U26" s="272">
        <v>2056862</v>
      </c>
      <c r="V26" s="272">
        <v>2056862</v>
      </c>
      <c r="W26" s="272">
        <v>2056862</v>
      </c>
      <c r="X26" s="272">
        <v>2057451</v>
      </c>
      <c r="Y26" s="272">
        <v>2058013</v>
      </c>
      <c r="Z26" s="272">
        <v>2058451</v>
      </c>
      <c r="AA26" s="272">
        <v>2058695</v>
      </c>
      <c r="AB26" s="272">
        <v>2059184</v>
      </c>
      <c r="AC26" s="272">
        <v>2059705</v>
      </c>
      <c r="AD26" s="272">
        <v>2060225</v>
      </c>
      <c r="AE26" s="272">
        <v>2060731</v>
      </c>
      <c r="AF26" s="272">
        <v>2061200</v>
      </c>
    </row>
    <row r="27" spans="1:32" x14ac:dyDescent="0.25">
      <c r="A27" s="6" t="s">
        <v>26</v>
      </c>
      <c r="B27" s="272">
        <v>2009149</v>
      </c>
      <c r="C27" s="272">
        <v>2009710</v>
      </c>
      <c r="D27" s="272">
        <v>2010143</v>
      </c>
      <c r="E27" s="272">
        <v>2010580</v>
      </c>
      <c r="F27" s="272">
        <v>2010886</v>
      </c>
      <c r="G27" s="272">
        <v>2011491</v>
      </c>
      <c r="H27" s="272">
        <v>2011534</v>
      </c>
      <c r="I27" s="272">
        <v>2011969</v>
      </c>
      <c r="J27" s="272">
        <v>2012489</v>
      </c>
      <c r="K27" s="272">
        <v>2012922</v>
      </c>
      <c r="L27" s="272">
        <v>2013442</v>
      </c>
      <c r="M27" s="272">
        <v>2014047</v>
      </c>
      <c r="N27" s="272">
        <v>2014480</v>
      </c>
      <c r="O27" s="272">
        <v>2014740</v>
      </c>
      <c r="P27" s="272">
        <v>2015175</v>
      </c>
      <c r="Q27" s="272">
        <v>2015464</v>
      </c>
      <c r="R27" s="272">
        <v>2015658</v>
      </c>
      <c r="S27" s="272">
        <v>2015852</v>
      </c>
      <c r="T27" s="272">
        <v>2016038</v>
      </c>
      <c r="U27" s="272">
        <v>2016209</v>
      </c>
      <c r="V27" s="272">
        <v>2016643</v>
      </c>
      <c r="W27" s="272">
        <v>2017075</v>
      </c>
      <c r="X27" s="272">
        <v>2017252</v>
      </c>
      <c r="Y27" s="272">
        <v>2017616</v>
      </c>
      <c r="Z27" s="272">
        <v>2017616</v>
      </c>
      <c r="AA27" s="272">
        <v>2017870</v>
      </c>
      <c r="AB27" s="272">
        <v>2018142</v>
      </c>
      <c r="AC27" s="272">
        <v>2018142</v>
      </c>
      <c r="AD27" s="272">
        <v>2018142</v>
      </c>
      <c r="AE27" s="272">
        <v>2018645</v>
      </c>
      <c r="AF27" s="272">
        <v>2018787</v>
      </c>
    </row>
    <row r="28" spans="1:32" x14ac:dyDescent="0.25">
      <c r="A28" s="6" t="s">
        <v>27</v>
      </c>
      <c r="B28" s="272">
        <v>2017282</v>
      </c>
      <c r="C28" s="272">
        <v>2017535</v>
      </c>
      <c r="D28" s="272">
        <v>2017983</v>
      </c>
      <c r="E28" s="272">
        <v>2018124</v>
      </c>
      <c r="F28" s="272">
        <v>2018642</v>
      </c>
      <c r="G28" s="272">
        <v>2019091</v>
      </c>
      <c r="H28" s="272">
        <v>2019091</v>
      </c>
      <c r="I28" s="272">
        <v>2019091</v>
      </c>
      <c r="J28" s="272">
        <v>2019218</v>
      </c>
      <c r="K28" s="272">
        <v>2019705</v>
      </c>
      <c r="L28" s="272">
        <v>2020138</v>
      </c>
      <c r="M28" s="272">
        <v>2020486</v>
      </c>
      <c r="N28" s="272">
        <v>2020833</v>
      </c>
      <c r="O28" s="272">
        <v>2020923</v>
      </c>
      <c r="P28" s="272">
        <v>2021011</v>
      </c>
      <c r="Q28" s="272">
        <v>2021530</v>
      </c>
      <c r="R28" s="272">
        <v>2021824</v>
      </c>
      <c r="S28" s="272">
        <v>2022300</v>
      </c>
      <c r="T28" s="272">
        <v>2022775</v>
      </c>
      <c r="U28" s="272">
        <v>2023079</v>
      </c>
      <c r="V28" s="272">
        <v>2023552</v>
      </c>
      <c r="W28" s="272">
        <v>2023983</v>
      </c>
      <c r="X28" s="272">
        <v>2024377</v>
      </c>
      <c r="Y28" s="272">
        <v>2024936</v>
      </c>
      <c r="Z28" s="272">
        <v>2025367</v>
      </c>
      <c r="AA28" s="272">
        <v>2025970</v>
      </c>
      <c r="AB28" s="272">
        <v>2026573</v>
      </c>
      <c r="AC28" s="272">
        <v>2027089</v>
      </c>
      <c r="AD28" s="272">
        <v>2027559</v>
      </c>
      <c r="AE28" s="272">
        <v>2027559</v>
      </c>
      <c r="AF28" s="272">
        <v>2027559</v>
      </c>
    </row>
    <row r="29" spans="1:32" x14ac:dyDescent="0.25">
      <c r="A29" s="5" t="s">
        <v>28</v>
      </c>
      <c r="B29" s="272">
        <v>1935727</v>
      </c>
      <c r="C29" s="272">
        <v>1936296</v>
      </c>
      <c r="D29" s="272">
        <v>1936643</v>
      </c>
      <c r="E29" s="272">
        <v>1937180</v>
      </c>
      <c r="F29" s="272">
        <v>1937374</v>
      </c>
      <c r="G29" s="272">
        <v>1937791</v>
      </c>
      <c r="H29" s="272">
        <v>1937810</v>
      </c>
      <c r="I29" s="272">
        <v>1937810</v>
      </c>
      <c r="J29" s="272">
        <v>1937810</v>
      </c>
      <c r="K29" s="272">
        <v>1937810</v>
      </c>
      <c r="L29" s="272">
        <v>1937810</v>
      </c>
      <c r="M29" s="272">
        <v>1937810</v>
      </c>
      <c r="N29" s="272">
        <v>1937810</v>
      </c>
      <c r="O29" s="272">
        <v>1937810</v>
      </c>
      <c r="P29" s="272">
        <v>1937810</v>
      </c>
      <c r="Q29" s="272">
        <v>1937810</v>
      </c>
      <c r="R29" s="272">
        <v>1937810</v>
      </c>
      <c r="S29" s="272">
        <v>1937810</v>
      </c>
      <c r="T29" s="272">
        <v>1937810</v>
      </c>
      <c r="U29" s="272">
        <v>1937810</v>
      </c>
      <c r="V29" s="272">
        <v>1937810</v>
      </c>
      <c r="W29" s="272">
        <v>1937810</v>
      </c>
      <c r="X29" s="272">
        <v>1937810</v>
      </c>
      <c r="Y29" s="272">
        <v>1937810</v>
      </c>
      <c r="Z29" s="272">
        <v>1937810</v>
      </c>
      <c r="AA29" s="272">
        <v>1937810</v>
      </c>
      <c r="AB29" s="272">
        <v>1937810</v>
      </c>
      <c r="AC29" s="272">
        <v>1937810</v>
      </c>
      <c r="AD29" s="272">
        <v>1937810</v>
      </c>
      <c r="AE29" s="272">
        <v>1937810</v>
      </c>
      <c r="AF29" s="272">
        <v>1937810</v>
      </c>
    </row>
    <row r="30" spans="1:32" x14ac:dyDescent="0.25">
      <c r="A30" s="6" t="s">
        <v>29</v>
      </c>
      <c r="B30" s="272">
        <v>1671779</v>
      </c>
      <c r="C30" s="272">
        <v>1672041</v>
      </c>
      <c r="D30" s="272">
        <v>1672628</v>
      </c>
      <c r="E30" s="272">
        <v>1673078</v>
      </c>
      <c r="F30" s="272">
        <v>1673245</v>
      </c>
      <c r="G30" s="272">
        <v>1673605</v>
      </c>
      <c r="H30" s="272">
        <v>1674079</v>
      </c>
      <c r="I30" s="272">
        <v>1674122</v>
      </c>
      <c r="J30" s="272">
        <v>1674640</v>
      </c>
      <c r="K30" s="272">
        <v>1675158</v>
      </c>
      <c r="L30" s="272">
        <v>1675762</v>
      </c>
      <c r="M30" s="272">
        <v>1676282</v>
      </c>
      <c r="N30" s="272">
        <v>1676675</v>
      </c>
      <c r="O30" s="272">
        <v>1676891</v>
      </c>
      <c r="P30" s="272">
        <v>1677322</v>
      </c>
      <c r="Q30" s="272">
        <v>1677882</v>
      </c>
      <c r="R30" s="272">
        <v>1678289</v>
      </c>
      <c r="S30" s="272">
        <v>1678630</v>
      </c>
      <c r="T30" s="272">
        <v>1678920</v>
      </c>
      <c r="U30" s="272">
        <v>1679406</v>
      </c>
      <c r="V30" s="272">
        <v>1679924</v>
      </c>
      <c r="W30" s="272">
        <v>1680358</v>
      </c>
      <c r="X30" s="272">
        <v>1680533</v>
      </c>
      <c r="Y30" s="272">
        <v>1680966</v>
      </c>
      <c r="Z30" s="272">
        <v>1680966</v>
      </c>
      <c r="AA30" s="272">
        <v>1681253</v>
      </c>
      <c r="AB30" s="272">
        <v>1681505</v>
      </c>
      <c r="AC30" s="272">
        <v>1681505</v>
      </c>
      <c r="AD30" s="272">
        <v>1681505</v>
      </c>
      <c r="AE30" s="272">
        <v>1681709</v>
      </c>
      <c r="AF30" s="272">
        <v>1682309</v>
      </c>
    </row>
    <row r="31" spans="1:32" x14ac:dyDescent="0.25">
      <c r="A31" s="7" t="s">
        <v>30</v>
      </c>
      <c r="B31" s="272">
        <v>1980964</v>
      </c>
      <c r="C31" s="272">
        <v>1981456</v>
      </c>
      <c r="D31" s="272">
        <v>1982017</v>
      </c>
      <c r="E31" s="272">
        <v>1982577</v>
      </c>
      <c r="F31" s="272">
        <v>1983015</v>
      </c>
      <c r="G31" s="272">
        <v>1983361</v>
      </c>
      <c r="H31" s="272">
        <v>1983361</v>
      </c>
      <c r="I31" s="272">
        <v>1983364</v>
      </c>
      <c r="J31" s="272">
        <v>1983884</v>
      </c>
      <c r="K31" s="272">
        <v>1984358</v>
      </c>
      <c r="L31" s="272">
        <v>1984662</v>
      </c>
      <c r="M31" s="272">
        <v>1985112</v>
      </c>
      <c r="N31" s="272">
        <v>1985699</v>
      </c>
      <c r="O31" s="272">
        <v>1986217</v>
      </c>
      <c r="P31" s="272">
        <v>1986477</v>
      </c>
      <c r="Q31" s="272">
        <v>1987038</v>
      </c>
      <c r="R31" s="272">
        <v>1987387</v>
      </c>
      <c r="S31" s="272">
        <v>1987947</v>
      </c>
      <c r="T31" s="272">
        <v>1988464</v>
      </c>
      <c r="U31" s="272">
        <v>1988914</v>
      </c>
      <c r="V31" s="272">
        <v>1988914</v>
      </c>
      <c r="W31" s="272">
        <v>1988914</v>
      </c>
      <c r="X31" s="272">
        <v>1989117</v>
      </c>
      <c r="Y31" s="272">
        <v>1989369</v>
      </c>
      <c r="Z31" s="272">
        <v>1989369</v>
      </c>
      <c r="AA31" s="272">
        <v>1989898</v>
      </c>
      <c r="AB31" s="272">
        <v>1990236</v>
      </c>
      <c r="AC31" s="272">
        <v>1990325</v>
      </c>
      <c r="AD31" s="272">
        <v>1990584</v>
      </c>
      <c r="AE31" s="272">
        <v>1990745</v>
      </c>
      <c r="AF31" s="272">
        <v>1991181</v>
      </c>
    </row>
    <row r="32" spans="1:32" s="126" customFormat="1" x14ac:dyDescent="0.25">
      <c r="A32" s="6" t="s">
        <v>111</v>
      </c>
      <c r="B32" s="272">
        <v>624699</v>
      </c>
      <c r="C32" s="272">
        <v>624894</v>
      </c>
      <c r="D32" s="272">
        <v>625064</v>
      </c>
      <c r="E32" s="272">
        <v>625539</v>
      </c>
      <c r="F32" s="272">
        <v>625757</v>
      </c>
      <c r="G32" s="272">
        <v>625933</v>
      </c>
      <c r="H32" s="272">
        <v>625937</v>
      </c>
      <c r="I32" s="272">
        <v>625938</v>
      </c>
      <c r="J32" s="272">
        <v>626457</v>
      </c>
      <c r="K32" s="272">
        <v>626890</v>
      </c>
      <c r="L32" s="272">
        <v>627092</v>
      </c>
      <c r="M32" s="272">
        <v>627576</v>
      </c>
      <c r="N32" s="272">
        <v>628008</v>
      </c>
      <c r="O32" s="272">
        <v>628182</v>
      </c>
      <c r="P32" s="272">
        <v>628356</v>
      </c>
      <c r="Q32" s="272">
        <v>628874</v>
      </c>
      <c r="R32" s="272">
        <v>629306</v>
      </c>
      <c r="S32" s="272">
        <v>629508</v>
      </c>
      <c r="T32" s="272">
        <v>629702</v>
      </c>
      <c r="U32" s="272">
        <v>629953</v>
      </c>
      <c r="V32" s="272">
        <v>629953</v>
      </c>
      <c r="W32" s="272">
        <v>629953</v>
      </c>
      <c r="X32" s="272">
        <v>630217</v>
      </c>
      <c r="Y32" s="272">
        <v>630445</v>
      </c>
      <c r="Z32" s="272">
        <v>630445</v>
      </c>
      <c r="AA32" s="272">
        <v>630876</v>
      </c>
      <c r="AB32" s="272">
        <v>631073</v>
      </c>
      <c r="AC32" s="272">
        <v>631073</v>
      </c>
      <c r="AD32" s="272">
        <v>631073</v>
      </c>
      <c r="AE32" s="272">
        <v>631437</v>
      </c>
      <c r="AF32" s="272">
        <v>631837</v>
      </c>
    </row>
    <row r="33" spans="1:32" s="126" customFormat="1" x14ac:dyDescent="0.25">
      <c r="A33" s="5" t="s">
        <v>112</v>
      </c>
      <c r="B33" s="272">
        <v>609597</v>
      </c>
      <c r="C33" s="272">
        <v>609597</v>
      </c>
      <c r="D33" s="272">
        <v>609597</v>
      </c>
      <c r="E33" s="272">
        <v>609597</v>
      </c>
      <c r="F33" s="272">
        <v>609597</v>
      </c>
      <c r="G33" s="272">
        <v>609597</v>
      </c>
      <c r="H33" s="272">
        <v>609597</v>
      </c>
      <c r="I33" s="272">
        <v>609597</v>
      </c>
      <c r="J33" s="272">
        <v>609597</v>
      </c>
      <c r="K33" s="272">
        <v>609597</v>
      </c>
      <c r="L33" s="272">
        <v>609597</v>
      </c>
      <c r="M33" s="272">
        <v>609597</v>
      </c>
      <c r="N33" s="272">
        <v>609597</v>
      </c>
      <c r="O33" s="272">
        <v>609597</v>
      </c>
      <c r="P33" s="272">
        <v>609597</v>
      </c>
      <c r="Q33" s="272">
        <v>609597</v>
      </c>
      <c r="R33" s="272">
        <v>609597</v>
      </c>
      <c r="S33" s="272">
        <v>609597</v>
      </c>
      <c r="T33" s="272">
        <v>609597</v>
      </c>
      <c r="U33" s="272">
        <v>609597</v>
      </c>
      <c r="V33" s="272">
        <v>609597</v>
      </c>
      <c r="W33" s="272">
        <v>609597</v>
      </c>
      <c r="X33" s="272">
        <v>609597</v>
      </c>
      <c r="Y33" s="272">
        <v>609597</v>
      </c>
      <c r="Z33" s="272">
        <v>609597</v>
      </c>
      <c r="AA33" s="272">
        <v>609597</v>
      </c>
      <c r="AB33" s="272">
        <v>609597</v>
      </c>
      <c r="AC33" s="272">
        <v>609597</v>
      </c>
      <c r="AD33" s="272">
        <v>609597</v>
      </c>
      <c r="AE33" s="272">
        <v>609597</v>
      </c>
      <c r="AF33" s="272">
        <v>609597</v>
      </c>
    </row>
    <row r="34" spans="1:32" s="126" customFormat="1" x14ac:dyDescent="0.25">
      <c r="A34" s="6" t="s">
        <v>113</v>
      </c>
      <c r="B34" s="272">
        <v>607315</v>
      </c>
      <c r="C34" s="272">
        <v>607542</v>
      </c>
      <c r="D34" s="272">
        <v>607974</v>
      </c>
      <c r="E34" s="272">
        <v>608492</v>
      </c>
      <c r="F34" s="272">
        <v>608695</v>
      </c>
      <c r="G34" s="272">
        <v>609120</v>
      </c>
      <c r="H34" s="272">
        <v>609594</v>
      </c>
      <c r="I34" s="272">
        <v>609660</v>
      </c>
      <c r="J34" s="272">
        <v>609912</v>
      </c>
      <c r="K34" s="272">
        <v>610175</v>
      </c>
      <c r="L34" s="272">
        <v>610403</v>
      </c>
      <c r="M34" s="272">
        <v>610854</v>
      </c>
      <c r="N34" s="272">
        <v>611048</v>
      </c>
      <c r="O34" s="272">
        <v>611048</v>
      </c>
      <c r="P34" s="272">
        <v>611048</v>
      </c>
      <c r="Q34" s="272">
        <v>611299</v>
      </c>
      <c r="R34" s="272">
        <v>611466</v>
      </c>
      <c r="S34" s="272">
        <v>611755</v>
      </c>
      <c r="T34" s="272">
        <v>612004</v>
      </c>
      <c r="U34" s="272">
        <v>612062</v>
      </c>
      <c r="V34" s="272">
        <v>612062</v>
      </c>
      <c r="W34" s="272">
        <v>612083</v>
      </c>
      <c r="X34" s="272">
        <v>612173</v>
      </c>
      <c r="Y34" s="272">
        <v>612735</v>
      </c>
      <c r="Z34" s="272">
        <v>612779</v>
      </c>
      <c r="AA34" s="272">
        <v>613068</v>
      </c>
      <c r="AB34" s="272">
        <v>613200</v>
      </c>
      <c r="AC34" s="272">
        <v>613675</v>
      </c>
      <c r="AD34" s="272">
        <v>613720</v>
      </c>
      <c r="AE34" s="272">
        <v>614281</v>
      </c>
      <c r="AF34" s="272">
        <v>614527</v>
      </c>
    </row>
    <row r="35" spans="1:32" s="126" customFormat="1" x14ac:dyDescent="0.25">
      <c r="A35" s="7" t="s">
        <v>114</v>
      </c>
      <c r="B35" s="272">
        <v>623131</v>
      </c>
      <c r="C35" s="272">
        <v>623581</v>
      </c>
      <c r="D35" s="272">
        <v>623775</v>
      </c>
      <c r="E35" s="272">
        <v>624174</v>
      </c>
      <c r="F35" s="272">
        <v>624521</v>
      </c>
      <c r="G35" s="272">
        <v>624869</v>
      </c>
      <c r="H35" s="272">
        <v>624869</v>
      </c>
      <c r="I35" s="272">
        <v>624869</v>
      </c>
      <c r="J35" s="272">
        <v>625047</v>
      </c>
      <c r="K35" s="272">
        <v>625395</v>
      </c>
      <c r="L35" s="272">
        <v>625915</v>
      </c>
      <c r="M35" s="272">
        <v>626370</v>
      </c>
      <c r="N35" s="272">
        <v>626538</v>
      </c>
      <c r="O35" s="272">
        <v>626559</v>
      </c>
      <c r="P35" s="272">
        <v>626559</v>
      </c>
      <c r="Q35" s="272">
        <v>626753</v>
      </c>
      <c r="R35" s="272">
        <v>626946</v>
      </c>
      <c r="S35" s="272">
        <v>627347</v>
      </c>
      <c r="T35" s="272">
        <v>627693</v>
      </c>
      <c r="U35" s="272">
        <v>628061</v>
      </c>
      <c r="V35" s="272">
        <v>628061</v>
      </c>
      <c r="W35" s="272">
        <v>628081</v>
      </c>
      <c r="X35" s="272">
        <v>628343</v>
      </c>
      <c r="Y35" s="272">
        <v>628690</v>
      </c>
      <c r="Z35" s="272">
        <v>628690</v>
      </c>
      <c r="AA35" s="272">
        <v>629122</v>
      </c>
      <c r="AB35" s="272">
        <v>629403</v>
      </c>
      <c r="AC35" s="272">
        <v>629510</v>
      </c>
      <c r="AD35" s="272">
        <v>629510</v>
      </c>
      <c r="AE35" s="272">
        <v>629857</v>
      </c>
      <c r="AF35" s="272">
        <v>630223</v>
      </c>
    </row>
    <row r="36" spans="1:32" s="126" customFormat="1" x14ac:dyDescent="0.25">
      <c r="A36" s="5" t="s">
        <v>115</v>
      </c>
      <c r="B36" s="272">
        <v>602447</v>
      </c>
      <c r="C36" s="272">
        <v>602873</v>
      </c>
      <c r="D36" s="272">
        <v>603205</v>
      </c>
      <c r="E36" s="272">
        <v>603304</v>
      </c>
      <c r="F36" s="272">
        <v>603498</v>
      </c>
      <c r="G36" s="272">
        <v>603726</v>
      </c>
      <c r="H36" s="272">
        <v>603726</v>
      </c>
      <c r="I36" s="272">
        <v>603726</v>
      </c>
      <c r="J36" s="272">
        <v>604247</v>
      </c>
      <c r="K36" s="272">
        <v>604699</v>
      </c>
      <c r="L36" s="272">
        <v>604963</v>
      </c>
      <c r="M36" s="272">
        <v>605131</v>
      </c>
      <c r="N36" s="272">
        <v>605565</v>
      </c>
      <c r="O36" s="272">
        <v>605739</v>
      </c>
      <c r="P36" s="272">
        <v>605913</v>
      </c>
      <c r="Q36" s="272">
        <v>606431</v>
      </c>
      <c r="R36" s="272">
        <v>606694</v>
      </c>
      <c r="S36" s="272">
        <v>607126</v>
      </c>
      <c r="T36" s="272">
        <v>607557</v>
      </c>
      <c r="U36" s="272">
        <v>608008</v>
      </c>
      <c r="V36" s="272">
        <v>608008</v>
      </c>
      <c r="W36" s="272">
        <v>608008</v>
      </c>
      <c r="X36" s="272">
        <v>608202</v>
      </c>
      <c r="Y36" s="272">
        <v>608405</v>
      </c>
      <c r="Z36" s="272">
        <v>608405</v>
      </c>
      <c r="AA36" s="272">
        <v>608657</v>
      </c>
      <c r="AB36" s="272">
        <v>609055</v>
      </c>
      <c r="AC36" s="272">
        <v>609055</v>
      </c>
      <c r="AD36" s="272">
        <v>609055</v>
      </c>
      <c r="AE36" s="272">
        <v>609257</v>
      </c>
      <c r="AF36" s="272">
        <v>609810</v>
      </c>
    </row>
    <row r="37" spans="1:32" s="126" customFormat="1" x14ac:dyDescent="0.25">
      <c r="A37" s="6" t="s">
        <v>116</v>
      </c>
      <c r="B37" s="272">
        <v>649994</v>
      </c>
      <c r="C37" s="272">
        <v>650245</v>
      </c>
      <c r="D37" s="272">
        <v>650326</v>
      </c>
      <c r="E37" s="272">
        <v>650631</v>
      </c>
      <c r="F37" s="272">
        <v>651022</v>
      </c>
      <c r="G37" s="272">
        <v>651370</v>
      </c>
      <c r="H37" s="272">
        <v>651803</v>
      </c>
      <c r="I37" s="272">
        <v>651824</v>
      </c>
      <c r="J37" s="272">
        <v>652075</v>
      </c>
      <c r="K37" s="272">
        <v>652269</v>
      </c>
      <c r="L37" s="272">
        <v>652661</v>
      </c>
      <c r="M37" s="272">
        <v>652925</v>
      </c>
      <c r="N37" s="272">
        <v>653191</v>
      </c>
      <c r="O37" s="272">
        <v>653709</v>
      </c>
      <c r="P37" s="272">
        <v>653971</v>
      </c>
      <c r="Q37" s="272">
        <v>654404</v>
      </c>
      <c r="R37" s="272">
        <v>654802</v>
      </c>
      <c r="S37" s="272">
        <v>654980</v>
      </c>
      <c r="T37" s="272">
        <v>655155</v>
      </c>
      <c r="U37" s="272">
        <v>655301</v>
      </c>
      <c r="V37" s="272">
        <v>655301</v>
      </c>
      <c r="W37" s="272">
        <v>655301</v>
      </c>
      <c r="X37" s="272">
        <v>655563</v>
      </c>
      <c r="Y37" s="272">
        <v>655816</v>
      </c>
      <c r="Z37" s="272">
        <v>655816</v>
      </c>
      <c r="AA37" s="272">
        <v>656080</v>
      </c>
      <c r="AB37" s="272">
        <v>656504</v>
      </c>
      <c r="AC37" s="272">
        <v>656935</v>
      </c>
      <c r="AD37" s="272">
        <v>656935</v>
      </c>
      <c r="AE37" s="272">
        <v>657499</v>
      </c>
      <c r="AF37" s="272">
        <v>657906</v>
      </c>
    </row>
    <row r="38" spans="1:32" x14ac:dyDescent="0.25">
      <c r="A38" s="7" t="s">
        <v>117</v>
      </c>
      <c r="B38" s="272">
        <v>295001</v>
      </c>
      <c r="C38" s="272">
        <v>295253</v>
      </c>
      <c r="D38" s="272">
        <v>295737</v>
      </c>
      <c r="E38" s="272">
        <v>296008</v>
      </c>
      <c r="F38" s="272">
        <v>296259</v>
      </c>
      <c r="G38" s="272">
        <v>296609</v>
      </c>
      <c r="H38" s="272">
        <v>297084</v>
      </c>
      <c r="I38" s="272">
        <v>297146</v>
      </c>
      <c r="J38" s="272">
        <v>297562</v>
      </c>
      <c r="K38" s="272">
        <v>297931</v>
      </c>
      <c r="L38" s="272">
        <v>298115</v>
      </c>
      <c r="M38" s="272">
        <v>298600</v>
      </c>
      <c r="N38" s="272">
        <v>299120</v>
      </c>
      <c r="O38" s="272">
        <v>299641</v>
      </c>
      <c r="P38" s="272">
        <v>299903</v>
      </c>
      <c r="Q38" s="272">
        <v>300190</v>
      </c>
      <c r="R38" s="272">
        <v>300673</v>
      </c>
      <c r="S38" s="272">
        <v>301106</v>
      </c>
      <c r="T38" s="272">
        <v>301538</v>
      </c>
      <c r="U38" s="272">
        <v>301903</v>
      </c>
      <c r="V38" s="272">
        <v>301903</v>
      </c>
      <c r="W38" s="272">
        <v>301903</v>
      </c>
      <c r="X38" s="272">
        <v>302155</v>
      </c>
      <c r="Y38" s="272">
        <v>302350</v>
      </c>
      <c r="Z38" s="272">
        <v>302350</v>
      </c>
      <c r="AA38" s="272">
        <v>302544</v>
      </c>
      <c r="AB38" s="272">
        <v>302968</v>
      </c>
      <c r="AC38" s="272">
        <v>303332</v>
      </c>
      <c r="AD38" s="272">
        <v>303332</v>
      </c>
      <c r="AE38" s="272">
        <v>303526</v>
      </c>
      <c r="AF38" s="272">
        <v>303959</v>
      </c>
    </row>
    <row r="39" spans="1:32" x14ac:dyDescent="0.25">
      <c r="A39" s="5" t="s">
        <v>118</v>
      </c>
      <c r="B39" s="272">
        <v>625599</v>
      </c>
      <c r="C39" s="272">
        <v>625793</v>
      </c>
      <c r="D39" s="272">
        <v>626107</v>
      </c>
      <c r="E39" s="272">
        <v>626348</v>
      </c>
      <c r="F39" s="272">
        <v>626832</v>
      </c>
      <c r="G39" s="272">
        <v>627181</v>
      </c>
      <c r="H39" s="272">
        <v>627183</v>
      </c>
      <c r="I39" s="272">
        <v>627185</v>
      </c>
      <c r="J39" s="272">
        <v>627277</v>
      </c>
      <c r="K39" s="272">
        <v>627453</v>
      </c>
      <c r="L39" s="272">
        <v>627725</v>
      </c>
      <c r="M39" s="272">
        <v>627918</v>
      </c>
      <c r="N39" s="272">
        <v>628253</v>
      </c>
      <c r="O39" s="272">
        <v>628253</v>
      </c>
      <c r="P39" s="272">
        <v>628253</v>
      </c>
      <c r="Q39" s="272">
        <v>628421</v>
      </c>
      <c r="R39" s="272">
        <v>628683</v>
      </c>
      <c r="S39" s="272">
        <v>629118</v>
      </c>
      <c r="T39" s="272">
        <v>629550</v>
      </c>
      <c r="U39" s="272">
        <v>629914</v>
      </c>
      <c r="V39" s="272">
        <v>629914</v>
      </c>
      <c r="W39" s="272">
        <v>629934</v>
      </c>
      <c r="X39" s="272">
        <v>630136</v>
      </c>
      <c r="Y39" s="272">
        <v>630638</v>
      </c>
      <c r="Z39" s="272">
        <v>630682</v>
      </c>
      <c r="AA39" s="272">
        <v>631033</v>
      </c>
      <c r="AB39" s="272">
        <v>631484</v>
      </c>
      <c r="AC39" s="272">
        <v>631484</v>
      </c>
      <c r="AD39" s="272">
        <v>631484</v>
      </c>
      <c r="AE39" s="272">
        <v>631784</v>
      </c>
      <c r="AF39" s="272">
        <v>632352</v>
      </c>
    </row>
    <row r="40" spans="1:32" s="126" customFormat="1" ht="18" x14ac:dyDescent="0.25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</row>
    <row r="41" spans="1:32" ht="18" x14ac:dyDescent="0.25">
      <c r="A41" s="328" t="s">
        <v>31</v>
      </c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Y41" s="328"/>
      <c r="Z41" s="328"/>
      <c r="AA41" s="328"/>
      <c r="AB41" s="328"/>
      <c r="AC41" s="328"/>
    </row>
    <row r="42" spans="1:32" x14ac:dyDescent="0.25">
      <c r="A42" s="9"/>
      <c r="B42" s="63">
        <v>45627</v>
      </c>
      <c r="C42" s="63">
        <v>45628</v>
      </c>
      <c r="D42" s="63">
        <v>45629</v>
      </c>
      <c r="E42" s="63">
        <v>45630</v>
      </c>
      <c r="F42" s="63">
        <v>45631</v>
      </c>
      <c r="G42" s="63">
        <v>45632</v>
      </c>
      <c r="H42" s="63">
        <v>45633</v>
      </c>
      <c r="I42" s="63">
        <v>45634</v>
      </c>
      <c r="J42" s="63">
        <v>45635</v>
      </c>
      <c r="K42" s="63">
        <v>45636</v>
      </c>
      <c r="L42" s="63">
        <v>45637</v>
      </c>
      <c r="M42" s="63">
        <v>45638</v>
      </c>
      <c r="N42" s="63">
        <v>45639</v>
      </c>
      <c r="O42" s="63">
        <v>45640</v>
      </c>
      <c r="P42" s="63">
        <v>45641</v>
      </c>
      <c r="Q42" s="63">
        <v>45642</v>
      </c>
      <c r="R42" s="63">
        <v>45643</v>
      </c>
      <c r="S42" s="63">
        <v>45644</v>
      </c>
      <c r="T42" s="63">
        <v>45645</v>
      </c>
      <c r="U42" s="63">
        <v>45646</v>
      </c>
      <c r="V42" s="63">
        <v>45647</v>
      </c>
      <c r="W42" s="63">
        <v>45648</v>
      </c>
      <c r="X42" s="63">
        <v>45649</v>
      </c>
      <c r="Y42" s="63">
        <v>45650</v>
      </c>
      <c r="Z42" s="63">
        <v>45651</v>
      </c>
      <c r="AA42" s="63">
        <v>45652</v>
      </c>
      <c r="AB42" s="63">
        <v>45653</v>
      </c>
      <c r="AC42" s="63">
        <v>45654</v>
      </c>
      <c r="AD42" s="63">
        <v>45655</v>
      </c>
      <c r="AE42" s="63">
        <v>45656</v>
      </c>
      <c r="AF42" s="63">
        <v>45657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38">
        <v>434</v>
      </c>
      <c r="C45" s="12">
        <f t="shared" ref="C45:D64" si="0">C5-B5</f>
        <v>350</v>
      </c>
      <c r="D45" s="12">
        <f t="shared" si="0"/>
        <v>563</v>
      </c>
      <c r="E45" s="12">
        <f t="shared" ref="E45:F64" si="1">E5-D5</f>
        <v>561</v>
      </c>
      <c r="F45" s="12">
        <f t="shared" si="1"/>
        <v>392</v>
      </c>
      <c r="G45" s="12">
        <f t="shared" ref="G45:P45" si="2">G5-F5</f>
        <v>604</v>
      </c>
      <c r="H45" s="12">
        <f t="shared" si="2"/>
        <v>43</v>
      </c>
      <c r="I45" s="12">
        <f t="shared" si="2"/>
        <v>478</v>
      </c>
      <c r="J45" s="12">
        <f t="shared" si="2"/>
        <v>442</v>
      </c>
      <c r="K45" s="12">
        <f t="shared" si="2"/>
        <v>483</v>
      </c>
      <c r="L45" s="12">
        <f t="shared" si="2"/>
        <v>266</v>
      </c>
      <c r="M45" s="12">
        <f t="shared" si="2"/>
        <v>237</v>
      </c>
      <c r="N45" s="12">
        <f t="shared" si="2"/>
        <v>195</v>
      </c>
      <c r="O45" s="12">
        <f t="shared" si="2"/>
        <v>0</v>
      </c>
      <c r="P45" s="12">
        <f t="shared" si="2"/>
        <v>0</v>
      </c>
      <c r="Q45" s="12">
        <f>Q5-P5</f>
        <v>168</v>
      </c>
      <c r="R45" s="12">
        <f>R5-Q5</f>
        <v>291</v>
      </c>
      <c r="S45" s="12">
        <f>S5-R5</f>
        <v>195</v>
      </c>
      <c r="T45" s="12">
        <f t="shared" ref="T45:AF45" si="3">T5-S5</f>
        <v>194</v>
      </c>
      <c r="U45" s="12">
        <f t="shared" si="3"/>
        <v>587</v>
      </c>
      <c r="V45" s="12">
        <f>V5-U5</f>
        <v>432</v>
      </c>
      <c r="W45" s="12">
        <f>W5-V5</f>
        <v>3</v>
      </c>
      <c r="X45" s="12">
        <f t="shared" si="3"/>
        <v>435</v>
      </c>
      <c r="Y45" s="12">
        <f t="shared" si="3"/>
        <v>519</v>
      </c>
      <c r="Z45" s="12">
        <f t="shared" si="3"/>
        <v>432</v>
      </c>
      <c r="AA45" s="12">
        <f t="shared" si="3"/>
        <v>477</v>
      </c>
      <c r="AB45" s="12">
        <f t="shared" si="3"/>
        <v>518</v>
      </c>
      <c r="AC45" s="12">
        <f t="shared" si="3"/>
        <v>321</v>
      </c>
      <c r="AD45" s="12">
        <f t="shared" si="3"/>
        <v>0</v>
      </c>
      <c r="AE45" s="12">
        <f t="shared" si="3"/>
        <v>191</v>
      </c>
      <c r="AF45" s="12">
        <f t="shared" si="3"/>
        <v>252</v>
      </c>
    </row>
    <row r="46" spans="1:32" x14ac:dyDescent="0.25">
      <c r="A46" s="11" t="s">
        <v>5</v>
      </c>
      <c r="B46" s="238">
        <v>217</v>
      </c>
      <c r="C46" s="12">
        <f t="shared" si="0"/>
        <v>561</v>
      </c>
      <c r="D46" s="12">
        <f t="shared" si="0"/>
        <v>363</v>
      </c>
      <c r="E46" s="12">
        <f t="shared" si="1"/>
        <v>475</v>
      </c>
      <c r="F46" s="12">
        <f t="shared" si="1"/>
        <v>450</v>
      </c>
      <c r="G46" s="12">
        <f t="shared" ref="G46:P62" si="4">G6-F6</f>
        <v>252</v>
      </c>
      <c r="H46" s="12">
        <f t="shared" si="4"/>
        <v>519</v>
      </c>
      <c r="I46" s="12">
        <f t="shared" si="4"/>
        <v>433</v>
      </c>
      <c r="J46" s="12">
        <f t="shared" si="4"/>
        <v>517</v>
      </c>
      <c r="K46" s="12">
        <f t="shared" si="4"/>
        <v>271</v>
      </c>
      <c r="L46" s="12">
        <f t="shared" si="4"/>
        <v>484</v>
      </c>
      <c r="M46" s="12">
        <f t="shared" si="4"/>
        <v>289</v>
      </c>
      <c r="N46" s="12">
        <f t="shared" si="4"/>
        <v>203</v>
      </c>
      <c r="O46" s="12">
        <f t="shared" si="4"/>
        <v>235</v>
      </c>
      <c r="P46" s="12">
        <f t="shared" si="4"/>
        <v>436</v>
      </c>
      <c r="Q46" s="12">
        <f t="shared" ref="Q46:Q79" si="5">Q6-P6</f>
        <v>477</v>
      </c>
      <c r="R46" s="12">
        <f t="shared" ref="R46:S79" si="6">R6-Q6</f>
        <v>562</v>
      </c>
      <c r="S46" s="12">
        <f t="shared" si="6"/>
        <v>603</v>
      </c>
      <c r="T46" s="12">
        <f t="shared" ref="T46:AF46" si="7">T6-S6</f>
        <v>520</v>
      </c>
      <c r="U46" s="12">
        <f t="shared" si="7"/>
        <v>561</v>
      </c>
      <c r="V46" s="12">
        <f t="shared" si="7"/>
        <v>517</v>
      </c>
      <c r="W46" s="12">
        <f t="shared" si="7"/>
        <v>434</v>
      </c>
      <c r="X46" s="12">
        <f t="shared" si="7"/>
        <v>452</v>
      </c>
      <c r="Y46" s="12">
        <f t="shared" si="7"/>
        <v>263</v>
      </c>
      <c r="Z46" s="12">
        <f t="shared" si="7"/>
        <v>0</v>
      </c>
      <c r="AA46" s="12">
        <f t="shared" si="7"/>
        <v>359</v>
      </c>
      <c r="AB46" s="12">
        <f t="shared" si="7"/>
        <v>342</v>
      </c>
      <c r="AC46" s="12">
        <f t="shared" si="7"/>
        <v>474</v>
      </c>
      <c r="AD46" s="12">
        <f t="shared" si="7"/>
        <v>477</v>
      </c>
      <c r="AE46" s="12">
        <f t="shared" si="7"/>
        <v>451</v>
      </c>
      <c r="AF46" s="12">
        <f t="shared" si="7"/>
        <v>252</v>
      </c>
    </row>
    <row r="47" spans="1:32" x14ac:dyDescent="0.25">
      <c r="A47" s="11" t="s">
        <v>6</v>
      </c>
      <c r="B47" s="238">
        <v>2</v>
      </c>
      <c r="C47" s="12">
        <f t="shared" si="0"/>
        <v>289</v>
      </c>
      <c r="D47" s="12">
        <f t="shared" si="0"/>
        <v>194</v>
      </c>
      <c r="E47" s="12">
        <f t="shared" si="1"/>
        <v>251</v>
      </c>
      <c r="F47" s="12">
        <f t="shared" si="1"/>
        <v>417</v>
      </c>
      <c r="G47" s="12">
        <f t="shared" si="4"/>
        <v>191</v>
      </c>
      <c r="H47" s="12">
        <f t="shared" si="4"/>
        <v>0</v>
      </c>
      <c r="I47" s="12">
        <f t="shared" si="4"/>
        <v>0</v>
      </c>
      <c r="J47" s="12">
        <f t="shared" si="4"/>
        <v>469</v>
      </c>
      <c r="K47" s="12">
        <f t="shared" si="4"/>
        <v>603</v>
      </c>
      <c r="L47" s="12">
        <f t="shared" si="4"/>
        <v>504</v>
      </c>
      <c r="M47" s="12">
        <f t="shared" si="4"/>
        <v>190</v>
      </c>
      <c r="N47" s="12">
        <f t="shared" si="4"/>
        <v>202</v>
      </c>
      <c r="O47" s="12">
        <f t="shared" si="4"/>
        <v>382</v>
      </c>
      <c r="P47" s="12">
        <f t="shared" si="4"/>
        <v>0</v>
      </c>
      <c r="Q47" s="12">
        <f t="shared" si="5"/>
        <v>314</v>
      </c>
      <c r="R47" s="12">
        <f t="shared" si="6"/>
        <v>560</v>
      </c>
      <c r="S47" s="12">
        <f t="shared" si="6"/>
        <v>326</v>
      </c>
      <c r="T47" s="12">
        <f t="shared" ref="T47:AF47" si="8">T7-S7</f>
        <v>340</v>
      </c>
      <c r="U47" s="12">
        <f t="shared" si="8"/>
        <v>449</v>
      </c>
      <c r="V47" s="12">
        <f t="shared" si="8"/>
        <v>0</v>
      </c>
      <c r="W47" s="12">
        <f t="shared" si="8"/>
        <v>0</v>
      </c>
      <c r="X47" s="12">
        <f t="shared" si="8"/>
        <v>196</v>
      </c>
      <c r="Y47" s="12">
        <f t="shared" si="8"/>
        <v>158</v>
      </c>
      <c r="Z47" s="12">
        <f t="shared" si="8"/>
        <v>435</v>
      </c>
      <c r="AA47" s="12">
        <f t="shared" si="8"/>
        <v>560</v>
      </c>
      <c r="AB47" s="12">
        <f t="shared" si="8"/>
        <v>390</v>
      </c>
      <c r="AC47" s="12">
        <f t="shared" si="8"/>
        <v>0</v>
      </c>
      <c r="AD47" s="12">
        <f t="shared" si="8"/>
        <v>1</v>
      </c>
      <c r="AE47" s="12">
        <f t="shared" si="8"/>
        <v>450</v>
      </c>
      <c r="AF47" s="12">
        <f t="shared" si="8"/>
        <v>99</v>
      </c>
    </row>
    <row r="48" spans="1:32" x14ac:dyDescent="0.25">
      <c r="A48" s="13" t="s">
        <v>7</v>
      </c>
      <c r="B48" s="238">
        <v>434</v>
      </c>
      <c r="C48" s="12">
        <f t="shared" si="0"/>
        <v>363</v>
      </c>
      <c r="D48" s="12">
        <f t="shared" si="0"/>
        <v>166</v>
      </c>
      <c r="E48" s="12">
        <f t="shared" si="1"/>
        <v>450</v>
      </c>
      <c r="F48" s="12">
        <f t="shared" si="1"/>
        <v>390</v>
      </c>
      <c r="G48" s="12">
        <f t="shared" si="4"/>
        <v>235</v>
      </c>
      <c r="H48" s="12">
        <f t="shared" si="4"/>
        <v>479</v>
      </c>
      <c r="I48" s="12">
        <f t="shared" si="4"/>
        <v>43</v>
      </c>
      <c r="J48" s="12">
        <f t="shared" si="4"/>
        <v>605</v>
      </c>
      <c r="K48" s="12">
        <f t="shared" si="4"/>
        <v>452</v>
      </c>
      <c r="L48" s="12">
        <f t="shared" si="4"/>
        <v>253</v>
      </c>
      <c r="M48" s="12">
        <f t="shared" si="4"/>
        <v>290</v>
      </c>
      <c r="N48" s="12">
        <f t="shared" si="4"/>
        <v>253</v>
      </c>
      <c r="O48" s="12">
        <f t="shared" si="4"/>
        <v>519</v>
      </c>
      <c r="P48" s="12">
        <f t="shared" si="4"/>
        <v>259</v>
      </c>
      <c r="Q48" s="12">
        <f t="shared" si="5"/>
        <v>519</v>
      </c>
      <c r="R48" s="12">
        <f t="shared" si="6"/>
        <v>339</v>
      </c>
      <c r="S48" s="12">
        <f t="shared" si="6"/>
        <v>341</v>
      </c>
      <c r="T48" s="12">
        <f t="shared" ref="T48:AF48" si="9">T8-S8</f>
        <v>487</v>
      </c>
      <c r="U48" s="12">
        <f t="shared" si="9"/>
        <v>562</v>
      </c>
      <c r="V48" s="12">
        <f t="shared" si="9"/>
        <v>476</v>
      </c>
      <c r="W48" s="12">
        <f t="shared" si="9"/>
        <v>432</v>
      </c>
      <c r="X48" s="12">
        <f t="shared" si="9"/>
        <v>520</v>
      </c>
      <c r="Y48" s="12">
        <f t="shared" si="9"/>
        <v>520</v>
      </c>
      <c r="Z48" s="12">
        <f t="shared" si="9"/>
        <v>433</v>
      </c>
      <c r="AA48" s="12">
        <f t="shared" si="9"/>
        <v>271</v>
      </c>
      <c r="AB48" s="12">
        <f t="shared" si="9"/>
        <v>253</v>
      </c>
      <c r="AC48" s="12">
        <f t="shared" si="9"/>
        <v>520</v>
      </c>
      <c r="AD48" s="12">
        <f t="shared" si="9"/>
        <v>23</v>
      </c>
      <c r="AE48" s="12">
        <f t="shared" si="9"/>
        <v>208</v>
      </c>
      <c r="AF48" s="12">
        <f t="shared" si="9"/>
        <v>523</v>
      </c>
    </row>
    <row r="49" spans="1:32" x14ac:dyDescent="0.25">
      <c r="A49" s="13" t="s">
        <v>8</v>
      </c>
      <c r="B49" s="238">
        <v>0</v>
      </c>
      <c r="C49" s="12">
        <f t="shared" si="0"/>
        <v>-2</v>
      </c>
      <c r="D49" s="12">
        <f t="shared" si="0"/>
        <v>520</v>
      </c>
      <c r="E49" s="12">
        <f t="shared" si="1"/>
        <v>323</v>
      </c>
      <c r="F49" s="12">
        <f t="shared" si="1"/>
        <v>470</v>
      </c>
      <c r="G49" s="12">
        <f t="shared" si="4"/>
        <v>561</v>
      </c>
      <c r="H49" s="12">
        <f t="shared" si="4"/>
        <v>520</v>
      </c>
      <c r="I49" s="12">
        <f t="shared" si="4"/>
        <v>434</v>
      </c>
      <c r="J49" s="12">
        <f t="shared" si="4"/>
        <v>325</v>
      </c>
      <c r="K49" s="12">
        <f t="shared" si="4"/>
        <v>254</v>
      </c>
      <c r="L49" s="12">
        <f t="shared" si="4"/>
        <v>561</v>
      </c>
      <c r="M49" s="12">
        <f t="shared" si="4"/>
        <v>576</v>
      </c>
      <c r="N49" s="12">
        <f t="shared" si="4"/>
        <v>451</v>
      </c>
      <c r="O49" s="12">
        <f t="shared" si="4"/>
        <v>211</v>
      </c>
      <c r="P49" s="12">
        <f t="shared" si="4"/>
        <v>0</v>
      </c>
      <c r="Q49" s="12">
        <f t="shared" si="5"/>
        <v>253</v>
      </c>
      <c r="R49" s="12">
        <f t="shared" si="6"/>
        <v>606</v>
      </c>
      <c r="S49" s="12">
        <f t="shared" si="6"/>
        <v>424</v>
      </c>
      <c r="T49" s="12">
        <f t="shared" ref="T49:AF49" si="10">T9-S9</f>
        <v>194</v>
      </c>
      <c r="U49" s="12">
        <f t="shared" si="10"/>
        <v>260</v>
      </c>
      <c r="V49" s="12">
        <f t="shared" si="10"/>
        <v>478</v>
      </c>
      <c r="W49" s="12">
        <f t="shared" si="10"/>
        <v>433</v>
      </c>
      <c r="X49" s="12">
        <f t="shared" si="10"/>
        <v>306</v>
      </c>
      <c r="Y49" s="12">
        <f t="shared" si="10"/>
        <v>605</v>
      </c>
      <c r="Z49" s="12">
        <f t="shared" si="10"/>
        <v>476</v>
      </c>
      <c r="AA49" s="12">
        <f t="shared" si="10"/>
        <v>561</v>
      </c>
      <c r="AB49" s="12">
        <f t="shared" si="10"/>
        <v>290</v>
      </c>
      <c r="AC49" s="12">
        <f t="shared" si="10"/>
        <v>0</v>
      </c>
      <c r="AD49" s="12">
        <f t="shared" si="10"/>
        <v>0</v>
      </c>
      <c r="AE49" s="12">
        <f t="shared" si="10"/>
        <v>424</v>
      </c>
      <c r="AF49" s="12">
        <f t="shared" si="10"/>
        <v>604</v>
      </c>
    </row>
    <row r="50" spans="1:32" x14ac:dyDescent="0.25">
      <c r="A50" s="13" t="s">
        <v>9</v>
      </c>
      <c r="B50" s="238">
        <v>0</v>
      </c>
      <c r="C50" s="12">
        <f t="shared" si="0"/>
        <v>0</v>
      </c>
      <c r="D50" s="12">
        <f t="shared" si="0"/>
        <v>528</v>
      </c>
      <c r="E50" s="12">
        <f t="shared" si="1"/>
        <v>352</v>
      </c>
      <c r="F50" s="12">
        <f t="shared" si="1"/>
        <v>525</v>
      </c>
      <c r="G50" s="12">
        <f t="shared" si="4"/>
        <v>525</v>
      </c>
      <c r="H50" s="12">
        <f t="shared" si="4"/>
        <v>525</v>
      </c>
      <c r="I50" s="12">
        <f t="shared" si="4"/>
        <v>437</v>
      </c>
      <c r="J50" s="12">
        <f t="shared" si="4"/>
        <v>281</v>
      </c>
      <c r="K50" s="12">
        <f t="shared" si="4"/>
        <v>255</v>
      </c>
      <c r="L50" s="12">
        <f t="shared" si="4"/>
        <v>287</v>
      </c>
      <c r="M50" s="12">
        <f t="shared" si="4"/>
        <v>195</v>
      </c>
      <c r="N50" s="12">
        <f t="shared" si="4"/>
        <v>339</v>
      </c>
      <c r="O50" s="12">
        <f t="shared" si="4"/>
        <v>92</v>
      </c>
      <c r="P50" s="12">
        <f t="shared" si="4"/>
        <v>2</v>
      </c>
      <c r="Q50" s="12">
        <f t="shared" si="5"/>
        <v>364</v>
      </c>
      <c r="R50" s="12">
        <f t="shared" si="6"/>
        <v>189</v>
      </c>
      <c r="S50" s="12">
        <f t="shared" si="6"/>
        <v>194</v>
      </c>
      <c r="T50" s="12">
        <f t="shared" ref="T50:AF50" si="11">T10-S10</f>
        <v>526</v>
      </c>
      <c r="U50" s="12">
        <f t="shared" si="11"/>
        <v>563</v>
      </c>
      <c r="V50" s="12">
        <f t="shared" si="11"/>
        <v>517</v>
      </c>
      <c r="W50" s="12">
        <f t="shared" si="11"/>
        <v>4</v>
      </c>
      <c r="X50" s="12">
        <f t="shared" si="11"/>
        <v>265</v>
      </c>
      <c r="Y50" s="12">
        <f t="shared" si="11"/>
        <v>337</v>
      </c>
      <c r="Z50" s="12">
        <f t="shared" si="11"/>
        <v>0</v>
      </c>
      <c r="AA50" s="12">
        <f t="shared" si="11"/>
        <v>339</v>
      </c>
      <c r="AB50" s="12">
        <f t="shared" si="11"/>
        <v>499</v>
      </c>
      <c r="AC50" s="12">
        <f t="shared" si="11"/>
        <v>474</v>
      </c>
      <c r="AD50" s="12">
        <f t="shared" si="11"/>
        <v>44</v>
      </c>
      <c r="AE50" s="12">
        <f t="shared" si="11"/>
        <v>588</v>
      </c>
      <c r="AF50" s="12">
        <f t="shared" si="11"/>
        <v>526</v>
      </c>
    </row>
    <row r="51" spans="1:32" x14ac:dyDescent="0.25">
      <c r="A51" s="13" t="s">
        <v>10</v>
      </c>
      <c r="B51" s="238">
        <v>220</v>
      </c>
      <c r="C51" s="12">
        <f t="shared" si="0"/>
        <v>409</v>
      </c>
      <c r="D51" s="12">
        <f t="shared" si="0"/>
        <v>195</v>
      </c>
      <c r="E51" s="12">
        <f t="shared" si="1"/>
        <v>489</v>
      </c>
      <c r="F51" s="12">
        <f t="shared" si="1"/>
        <v>496</v>
      </c>
      <c r="G51" s="12">
        <f t="shared" si="4"/>
        <v>563</v>
      </c>
      <c r="H51" s="12">
        <f t="shared" si="4"/>
        <v>477</v>
      </c>
      <c r="I51" s="12">
        <f t="shared" si="4"/>
        <v>434</v>
      </c>
      <c r="J51" s="12">
        <f t="shared" si="4"/>
        <v>538</v>
      </c>
      <c r="K51" s="12">
        <f t="shared" si="4"/>
        <v>358</v>
      </c>
      <c r="L51" s="12">
        <f t="shared" si="4"/>
        <v>454</v>
      </c>
      <c r="M51" s="12">
        <f t="shared" si="4"/>
        <v>132</v>
      </c>
      <c r="N51" s="12">
        <f t="shared" si="4"/>
        <v>288</v>
      </c>
      <c r="O51" s="12">
        <f t="shared" si="4"/>
        <v>212</v>
      </c>
      <c r="P51" s="12">
        <f t="shared" si="4"/>
        <v>236</v>
      </c>
      <c r="Q51" s="12">
        <f t="shared" si="5"/>
        <v>480</v>
      </c>
      <c r="R51" s="12">
        <f t="shared" si="6"/>
        <v>522</v>
      </c>
      <c r="S51" s="12">
        <f t="shared" si="6"/>
        <v>522</v>
      </c>
      <c r="T51" s="12">
        <f t="shared" ref="T51:AF51" si="12">T11-S11</f>
        <v>291</v>
      </c>
      <c r="U51" s="12">
        <f t="shared" si="12"/>
        <v>487</v>
      </c>
      <c r="V51" s="12">
        <f t="shared" si="12"/>
        <v>87</v>
      </c>
      <c r="W51" s="12">
        <f t="shared" si="12"/>
        <v>4</v>
      </c>
      <c r="X51" s="12">
        <f t="shared" si="12"/>
        <v>520</v>
      </c>
      <c r="Y51" s="12">
        <f t="shared" si="12"/>
        <v>434</v>
      </c>
      <c r="Z51" s="12">
        <f t="shared" si="12"/>
        <v>0</v>
      </c>
      <c r="AA51" s="12">
        <f t="shared" si="12"/>
        <v>452</v>
      </c>
      <c r="AB51" s="12">
        <f t="shared" si="12"/>
        <v>195</v>
      </c>
      <c r="AC51" s="12">
        <f t="shared" si="12"/>
        <v>0</v>
      </c>
      <c r="AD51" s="12">
        <f t="shared" si="12"/>
        <v>0</v>
      </c>
      <c r="AE51" s="12">
        <f t="shared" si="12"/>
        <v>520</v>
      </c>
      <c r="AF51" s="12">
        <f t="shared" si="12"/>
        <v>662</v>
      </c>
    </row>
    <row r="52" spans="1:32" x14ac:dyDescent="0.25">
      <c r="A52" s="11" t="s">
        <v>11</v>
      </c>
      <c r="B52" s="238">
        <v>0</v>
      </c>
      <c r="C52" s="12">
        <f t="shared" si="0"/>
        <v>571</v>
      </c>
      <c r="D52" s="12">
        <f t="shared" si="0"/>
        <v>518</v>
      </c>
      <c r="E52" s="12">
        <f t="shared" si="1"/>
        <v>290</v>
      </c>
      <c r="F52" s="12">
        <f t="shared" si="1"/>
        <v>586</v>
      </c>
      <c r="G52" s="12">
        <f t="shared" si="4"/>
        <v>435</v>
      </c>
      <c r="H52" s="12">
        <f t="shared" si="4"/>
        <v>0</v>
      </c>
      <c r="I52" s="12">
        <f t="shared" si="4"/>
        <v>2</v>
      </c>
      <c r="J52" s="12">
        <f t="shared" si="4"/>
        <v>351</v>
      </c>
      <c r="K52" s="12">
        <f t="shared" si="4"/>
        <v>349</v>
      </c>
      <c r="L52" s="12">
        <f t="shared" si="4"/>
        <v>561</v>
      </c>
      <c r="M52" s="12">
        <f t="shared" si="4"/>
        <v>603</v>
      </c>
      <c r="N52" s="12">
        <f t="shared" si="4"/>
        <v>517</v>
      </c>
      <c r="O52" s="12">
        <f t="shared" si="4"/>
        <v>493</v>
      </c>
      <c r="P52" s="12">
        <f t="shared" si="4"/>
        <v>191</v>
      </c>
      <c r="Q52" s="12">
        <f t="shared" si="5"/>
        <v>453</v>
      </c>
      <c r="R52" s="12">
        <f t="shared" si="6"/>
        <v>254</v>
      </c>
      <c r="S52" s="12">
        <f t="shared" si="6"/>
        <v>560</v>
      </c>
      <c r="T52" s="12">
        <f t="shared" ref="T52:AF52" si="13">T12-S12</f>
        <v>492</v>
      </c>
      <c r="U52" s="12">
        <f t="shared" si="13"/>
        <v>195</v>
      </c>
      <c r="V52" s="12">
        <f t="shared" si="13"/>
        <v>0</v>
      </c>
      <c r="W52" s="12">
        <f t="shared" si="13"/>
        <v>0</v>
      </c>
      <c r="X52" s="12">
        <f t="shared" si="13"/>
        <v>425</v>
      </c>
      <c r="Y52" s="12">
        <f t="shared" si="13"/>
        <v>486</v>
      </c>
      <c r="Z52" s="12">
        <f t="shared" si="13"/>
        <v>0</v>
      </c>
      <c r="AA52" s="12">
        <f t="shared" si="13"/>
        <v>468</v>
      </c>
      <c r="AB52" s="12">
        <f t="shared" si="13"/>
        <v>264</v>
      </c>
      <c r="AC52" s="12">
        <f t="shared" si="13"/>
        <v>0</v>
      </c>
      <c r="AD52" s="12">
        <f t="shared" si="13"/>
        <v>0</v>
      </c>
      <c r="AE52" s="12">
        <f t="shared" si="13"/>
        <v>486</v>
      </c>
      <c r="AF52" s="12">
        <f t="shared" si="13"/>
        <v>605</v>
      </c>
    </row>
    <row r="53" spans="1:32" x14ac:dyDescent="0.25">
      <c r="A53" s="11" t="s">
        <v>12</v>
      </c>
      <c r="B53" s="238">
        <v>0</v>
      </c>
      <c r="C53" s="12">
        <f t="shared" si="0"/>
        <v>197</v>
      </c>
      <c r="D53" s="12">
        <f t="shared" si="0"/>
        <v>256</v>
      </c>
      <c r="E53" s="12">
        <f t="shared" si="1"/>
        <v>527</v>
      </c>
      <c r="F53" s="12">
        <f t="shared" si="1"/>
        <v>568</v>
      </c>
      <c r="G53" s="12">
        <f t="shared" si="4"/>
        <v>501</v>
      </c>
      <c r="H53" s="12">
        <f t="shared" si="4"/>
        <v>0</v>
      </c>
      <c r="I53" s="12">
        <f t="shared" si="4"/>
        <v>0</v>
      </c>
      <c r="J53" s="12">
        <f t="shared" si="4"/>
        <v>206</v>
      </c>
      <c r="K53" s="12">
        <f t="shared" si="4"/>
        <v>397</v>
      </c>
      <c r="L53" s="12">
        <f t="shared" si="4"/>
        <v>569</v>
      </c>
      <c r="M53" s="12">
        <f t="shared" si="4"/>
        <v>570</v>
      </c>
      <c r="N53" s="12">
        <f t="shared" si="4"/>
        <v>247</v>
      </c>
      <c r="O53" s="12">
        <f t="shared" si="4"/>
        <v>283</v>
      </c>
      <c r="P53" s="12">
        <f t="shared" si="4"/>
        <v>438</v>
      </c>
      <c r="Q53" s="12">
        <f t="shared" si="5"/>
        <v>525</v>
      </c>
      <c r="R53" s="12">
        <f t="shared" si="6"/>
        <v>613</v>
      </c>
      <c r="S53" s="12">
        <f t="shared" si="6"/>
        <v>613</v>
      </c>
      <c r="T53" s="12">
        <f t="shared" ref="T53:AF53" si="14">T13-S13</f>
        <v>534</v>
      </c>
      <c r="U53" s="12">
        <f t="shared" si="14"/>
        <v>572</v>
      </c>
      <c r="V53" s="12">
        <f t="shared" si="14"/>
        <v>482</v>
      </c>
      <c r="W53" s="12">
        <f t="shared" si="14"/>
        <v>44</v>
      </c>
      <c r="X53" s="12">
        <f t="shared" si="14"/>
        <v>455</v>
      </c>
      <c r="Y53" s="12">
        <f t="shared" si="14"/>
        <v>84</v>
      </c>
      <c r="Z53" s="12">
        <f t="shared" si="14"/>
        <v>0</v>
      </c>
      <c r="AA53" s="12">
        <f t="shared" si="14"/>
        <v>457</v>
      </c>
      <c r="AB53" s="12">
        <f t="shared" si="14"/>
        <v>198</v>
      </c>
      <c r="AC53" s="12">
        <f t="shared" si="14"/>
        <v>0</v>
      </c>
      <c r="AD53" s="12">
        <f t="shared" si="14"/>
        <v>0</v>
      </c>
      <c r="AE53" s="12">
        <f t="shared" si="14"/>
        <v>545</v>
      </c>
      <c r="AF53" s="12">
        <f t="shared" si="14"/>
        <v>612</v>
      </c>
    </row>
    <row r="54" spans="1:32" x14ac:dyDescent="0.25">
      <c r="A54" s="11" t="s">
        <v>13</v>
      </c>
      <c r="B54" s="238">
        <v>477</v>
      </c>
      <c r="C54" s="12">
        <f t="shared" si="0"/>
        <v>388</v>
      </c>
      <c r="D54" s="12">
        <f t="shared" si="0"/>
        <v>603</v>
      </c>
      <c r="E54" s="12">
        <f t="shared" si="1"/>
        <v>520</v>
      </c>
      <c r="F54" s="12">
        <f t="shared" si="1"/>
        <v>303</v>
      </c>
      <c r="G54" s="12">
        <f t="shared" si="4"/>
        <v>475</v>
      </c>
      <c r="H54" s="12">
        <f t="shared" si="4"/>
        <v>475</v>
      </c>
      <c r="I54" s="12">
        <f t="shared" si="4"/>
        <v>388</v>
      </c>
      <c r="J54" s="12">
        <f t="shared" si="4"/>
        <v>373</v>
      </c>
      <c r="K54" s="12">
        <f t="shared" si="4"/>
        <v>517</v>
      </c>
      <c r="L54" s="12">
        <f t="shared" si="4"/>
        <v>457</v>
      </c>
      <c r="M54" s="12">
        <f t="shared" si="4"/>
        <v>251</v>
      </c>
      <c r="N54" s="12">
        <f t="shared" si="4"/>
        <v>417</v>
      </c>
      <c r="O54" s="12">
        <f t="shared" si="4"/>
        <v>0</v>
      </c>
      <c r="P54" s="12">
        <f t="shared" si="4"/>
        <v>0</v>
      </c>
      <c r="Q54" s="12">
        <f t="shared" si="5"/>
        <v>195</v>
      </c>
      <c r="R54" s="12">
        <f t="shared" si="6"/>
        <v>252</v>
      </c>
      <c r="S54" s="12">
        <f t="shared" si="6"/>
        <v>469</v>
      </c>
      <c r="T54" s="12">
        <f t="shared" ref="T54:AF54" si="15">T14-S14</f>
        <v>346</v>
      </c>
      <c r="U54" s="12">
        <f t="shared" si="15"/>
        <v>517</v>
      </c>
      <c r="V54" s="12">
        <f t="shared" si="15"/>
        <v>474</v>
      </c>
      <c r="W54" s="12">
        <f t="shared" si="15"/>
        <v>44</v>
      </c>
      <c r="X54" s="12">
        <f t="shared" si="15"/>
        <v>449</v>
      </c>
      <c r="Y54" s="12">
        <f t="shared" si="15"/>
        <v>270</v>
      </c>
      <c r="Z54" s="12">
        <f t="shared" si="15"/>
        <v>0</v>
      </c>
      <c r="AA54" s="12">
        <f t="shared" si="15"/>
        <v>368</v>
      </c>
      <c r="AB54" s="12">
        <f t="shared" si="15"/>
        <v>452</v>
      </c>
      <c r="AC54" s="12">
        <f t="shared" si="15"/>
        <v>0</v>
      </c>
      <c r="AD54" s="12">
        <f t="shared" si="15"/>
        <v>0</v>
      </c>
      <c r="AE54" s="12">
        <f t="shared" si="15"/>
        <v>191</v>
      </c>
      <c r="AF54" s="12">
        <f t="shared" si="15"/>
        <v>601</v>
      </c>
    </row>
    <row r="55" spans="1:32" x14ac:dyDescent="0.25">
      <c r="A55" s="13" t="s">
        <v>14</v>
      </c>
      <c r="B55" s="238">
        <v>246</v>
      </c>
      <c r="C55" s="12">
        <f t="shared" si="0"/>
        <v>194</v>
      </c>
      <c r="D55" s="12">
        <f t="shared" si="0"/>
        <v>252</v>
      </c>
      <c r="E55" s="12">
        <f t="shared" si="1"/>
        <v>194</v>
      </c>
      <c r="F55" s="12">
        <f t="shared" si="1"/>
        <v>253</v>
      </c>
      <c r="G55" s="12">
        <f t="shared" si="4"/>
        <v>158</v>
      </c>
      <c r="H55" s="12">
        <f t="shared" si="4"/>
        <v>0</v>
      </c>
      <c r="I55" s="12">
        <f t="shared" si="4"/>
        <v>2</v>
      </c>
      <c r="J55" s="12">
        <f t="shared" si="4"/>
        <v>428</v>
      </c>
      <c r="K55" s="12">
        <f t="shared" si="4"/>
        <v>252</v>
      </c>
      <c r="L55" s="12">
        <f t="shared" si="4"/>
        <v>375</v>
      </c>
      <c r="M55" s="12">
        <f t="shared" si="4"/>
        <v>522</v>
      </c>
      <c r="N55" s="12">
        <f t="shared" si="4"/>
        <v>607</v>
      </c>
      <c r="O55" s="12">
        <f t="shared" si="4"/>
        <v>476</v>
      </c>
      <c r="P55" s="12">
        <f t="shared" si="4"/>
        <v>434</v>
      </c>
      <c r="Q55" s="12">
        <f t="shared" si="5"/>
        <v>496</v>
      </c>
      <c r="R55" s="12">
        <f t="shared" si="6"/>
        <v>196</v>
      </c>
      <c r="S55" s="12">
        <f t="shared" si="6"/>
        <v>261</v>
      </c>
      <c r="T55" s="12">
        <f t="shared" ref="T55:AF55" si="16">T15-S15</f>
        <v>566</v>
      </c>
      <c r="U55" s="12">
        <f t="shared" si="16"/>
        <v>479</v>
      </c>
      <c r="V55" s="12">
        <f t="shared" si="16"/>
        <v>0</v>
      </c>
      <c r="W55" s="12">
        <f t="shared" si="16"/>
        <v>0</v>
      </c>
      <c r="X55" s="12">
        <f t="shared" si="16"/>
        <v>521</v>
      </c>
      <c r="Y55" s="12">
        <f t="shared" si="16"/>
        <v>366</v>
      </c>
      <c r="Z55" s="12">
        <f t="shared" si="16"/>
        <v>0</v>
      </c>
      <c r="AA55" s="12">
        <f t="shared" si="16"/>
        <v>394</v>
      </c>
      <c r="AB55" s="12">
        <f t="shared" si="16"/>
        <v>564</v>
      </c>
      <c r="AC55" s="12">
        <f t="shared" si="16"/>
        <v>478</v>
      </c>
      <c r="AD55" s="12">
        <f t="shared" si="16"/>
        <v>436</v>
      </c>
      <c r="AE55" s="12">
        <f t="shared" si="16"/>
        <v>500</v>
      </c>
      <c r="AF55" s="12">
        <f t="shared" si="16"/>
        <v>663</v>
      </c>
    </row>
    <row r="56" spans="1:32" x14ac:dyDescent="0.25">
      <c r="A56" s="13" t="s">
        <v>15</v>
      </c>
      <c r="B56" s="238">
        <v>0</v>
      </c>
      <c r="C56" s="12">
        <f t="shared" si="0"/>
        <v>204</v>
      </c>
      <c r="D56" s="12">
        <f t="shared" si="0"/>
        <v>252</v>
      </c>
      <c r="E56" s="12">
        <f t="shared" si="1"/>
        <v>486</v>
      </c>
      <c r="F56" s="12">
        <f t="shared" si="1"/>
        <v>450</v>
      </c>
      <c r="G56" s="12">
        <f t="shared" si="4"/>
        <v>194</v>
      </c>
      <c r="H56" s="12">
        <f t="shared" si="4"/>
        <v>0</v>
      </c>
      <c r="I56" s="12">
        <f t="shared" si="4"/>
        <v>0</v>
      </c>
      <c r="J56" s="12">
        <f t="shared" si="4"/>
        <v>528</v>
      </c>
      <c r="K56" s="12">
        <f t="shared" si="4"/>
        <v>560</v>
      </c>
      <c r="L56" s="12">
        <f t="shared" si="4"/>
        <v>364</v>
      </c>
      <c r="M56" s="12">
        <f t="shared" si="4"/>
        <v>281</v>
      </c>
      <c r="N56" s="12">
        <f t="shared" si="4"/>
        <v>604</v>
      </c>
      <c r="O56" s="12">
        <f t="shared" si="4"/>
        <v>475</v>
      </c>
      <c r="P56" s="12">
        <f t="shared" si="4"/>
        <v>234</v>
      </c>
      <c r="Q56" s="12">
        <f t="shared" si="5"/>
        <v>262</v>
      </c>
      <c r="R56" s="12">
        <f t="shared" si="6"/>
        <v>354</v>
      </c>
      <c r="S56" s="12">
        <f t="shared" si="6"/>
        <v>304</v>
      </c>
      <c r="T56" s="12">
        <f t="shared" ref="T56:AF56" si="17">T16-S16</f>
        <v>270</v>
      </c>
      <c r="U56" s="12">
        <f t="shared" si="17"/>
        <v>253</v>
      </c>
      <c r="V56" s="12">
        <f t="shared" si="17"/>
        <v>518</v>
      </c>
      <c r="W56" s="12">
        <f t="shared" si="17"/>
        <v>431</v>
      </c>
      <c r="X56" s="12">
        <f t="shared" si="17"/>
        <v>535</v>
      </c>
      <c r="Y56" s="12">
        <f t="shared" si="17"/>
        <v>475</v>
      </c>
      <c r="Z56" s="12">
        <f t="shared" si="17"/>
        <v>431</v>
      </c>
      <c r="AA56" s="12">
        <f t="shared" si="17"/>
        <v>564</v>
      </c>
      <c r="AB56" s="12">
        <f t="shared" si="17"/>
        <v>604</v>
      </c>
      <c r="AC56" s="12">
        <f t="shared" si="17"/>
        <v>43</v>
      </c>
      <c r="AD56" s="12">
        <f t="shared" si="17"/>
        <v>477</v>
      </c>
      <c r="AE56" s="12">
        <f t="shared" si="17"/>
        <v>245</v>
      </c>
      <c r="AF56" s="12">
        <f t="shared" si="17"/>
        <v>425</v>
      </c>
    </row>
    <row r="57" spans="1:32" x14ac:dyDescent="0.25">
      <c r="A57" s="13" t="s">
        <v>16</v>
      </c>
      <c r="B57" s="238">
        <v>436</v>
      </c>
      <c r="C57" s="12">
        <f t="shared" si="0"/>
        <v>563</v>
      </c>
      <c r="D57" s="12">
        <f t="shared" si="0"/>
        <v>408</v>
      </c>
      <c r="E57" s="12">
        <f t="shared" si="1"/>
        <v>252</v>
      </c>
      <c r="F57" s="12">
        <f t="shared" si="1"/>
        <v>287</v>
      </c>
      <c r="G57" s="12">
        <f t="shared" si="4"/>
        <v>227</v>
      </c>
      <c r="H57" s="12">
        <f t="shared" si="4"/>
        <v>0</v>
      </c>
      <c r="I57" s="12">
        <f t="shared" si="4"/>
        <v>257</v>
      </c>
      <c r="J57" s="12">
        <f t="shared" si="4"/>
        <v>562</v>
      </c>
      <c r="K57" s="12">
        <f t="shared" si="4"/>
        <v>605</v>
      </c>
      <c r="L57" s="12">
        <f t="shared" si="4"/>
        <v>457</v>
      </c>
      <c r="M57" s="12">
        <f t="shared" si="4"/>
        <v>265</v>
      </c>
      <c r="N57" s="12">
        <f t="shared" si="4"/>
        <v>251</v>
      </c>
      <c r="O57" s="12">
        <f t="shared" si="4"/>
        <v>278</v>
      </c>
      <c r="P57" s="12">
        <f t="shared" si="4"/>
        <v>476</v>
      </c>
      <c r="Q57" s="12">
        <f t="shared" si="5"/>
        <v>476</v>
      </c>
      <c r="R57" s="12">
        <f t="shared" si="6"/>
        <v>455</v>
      </c>
      <c r="S57" s="12">
        <f t="shared" si="6"/>
        <v>194</v>
      </c>
      <c r="T57" s="12">
        <f t="shared" ref="T57:AF57" si="18">T17-S17</f>
        <v>434</v>
      </c>
      <c r="U57" s="12">
        <f t="shared" si="18"/>
        <v>296</v>
      </c>
      <c r="V57" s="12">
        <f t="shared" si="18"/>
        <v>43</v>
      </c>
      <c r="W57" s="12">
        <f t="shared" si="18"/>
        <v>476</v>
      </c>
      <c r="X57" s="12">
        <f t="shared" si="18"/>
        <v>604</v>
      </c>
      <c r="Y57" s="12">
        <f t="shared" si="18"/>
        <v>407</v>
      </c>
      <c r="Z57" s="12">
        <f t="shared" si="18"/>
        <v>0</v>
      </c>
      <c r="AA57" s="12">
        <f t="shared" si="18"/>
        <v>81</v>
      </c>
      <c r="AB57" s="12">
        <f t="shared" si="18"/>
        <v>256</v>
      </c>
      <c r="AC57" s="12">
        <f t="shared" si="18"/>
        <v>0</v>
      </c>
      <c r="AD57" s="12">
        <f t="shared" si="18"/>
        <v>20</v>
      </c>
      <c r="AE57" s="12">
        <f t="shared" si="18"/>
        <v>451</v>
      </c>
      <c r="AF57" s="12">
        <f t="shared" si="18"/>
        <v>344</v>
      </c>
    </row>
    <row r="58" spans="1:32" x14ac:dyDescent="0.25">
      <c r="A58" s="13" t="s">
        <v>17</v>
      </c>
      <c r="B58" s="238">
        <v>2</v>
      </c>
      <c r="C58" s="12">
        <f t="shared" si="0"/>
        <v>474</v>
      </c>
      <c r="D58" s="12">
        <f t="shared" si="0"/>
        <v>329</v>
      </c>
      <c r="E58" s="12">
        <f t="shared" si="1"/>
        <v>251</v>
      </c>
      <c r="F58" s="12">
        <f t="shared" si="1"/>
        <v>314</v>
      </c>
      <c r="G58" s="12">
        <f t="shared" si="4"/>
        <v>457</v>
      </c>
      <c r="H58" s="12">
        <f t="shared" si="4"/>
        <v>0</v>
      </c>
      <c r="I58" s="12">
        <f t="shared" si="4"/>
        <v>0</v>
      </c>
      <c r="J58" s="12">
        <f t="shared" si="4"/>
        <v>194</v>
      </c>
      <c r="K58" s="12">
        <f t="shared" si="4"/>
        <v>434</v>
      </c>
      <c r="L58" s="12">
        <f t="shared" si="4"/>
        <v>252</v>
      </c>
      <c r="M58" s="12">
        <f t="shared" si="4"/>
        <v>451</v>
      </c>
      <c r="N58" s="12">
        <f t="shared" si="4"/>
        <v>193</v>
      </c>
      <c r="O58" s="12">
        <f t="shared" si="4"/>
        <v>210</v>
      </c>
      <c r="P58" s="12">
        <f t="shared" si="4"/>
        <v>0</v>
      </c>
      <c r="Q58" s="12">
        <f t="shared" si="5"/>
        <v>82</v>
      </c>
      <c r="R58" s="12">
        <f t="shared" si="6"/>
        <v>458</v>
      </c>
      <c r="S58" s="12">
        <f t="shared" si="6"/>
        <v>416</v>
      </c>
      <c r="T58" s="12">
        <f t="shared" ref="T58:AF58" si="19">T18-S18</f>
        <v>341</v>
      </c>
      <c r="U58" s="12">
        <f t="shared" si="19"/>
        <v>287</v>
      </c>
      <c r="V58" s="12">
        <f t="shared" si="19"/>
        <v>0</v>
      </c>
      <c r="W58" s="12">
        <f t="shared" si="19"/>
        <v>0</v>
      </c>
      <c r="X58" s="12">
        <f t="shared" si="19"/>
        <v>426</v>
      </c>
      <c r="Y58" s="12">
        <f t="shared" si="19"/>
        <v>289</v>
      </c>
      <c r="Z58" s="12">
        <f t="shared" si="19"/>
        <v>0</v>
      </c>
      <c r="AA58" s="12">
        <f t="shared" si="19"/>
        <v>253</v>
      </c>
      <c r="AB58" s="12">
        <f t="shared" si="19"/>
        <v>344</v>
      </c>
      <c r="AC58" s="12">
        <f t="shared" si="19"/>
        <v>0</v>
      </c>
      <c r="AD58" s="12">
        <f t="shared" si="19"/>
        <v>265</v>
      </c>
      <c r="AE58" s="12">
        <f t="shared" si="19"/>
        <v>350</v>
      </c>
      <c r="AF58" s="12">
        <f t="shared" si="19"/>
        <v>602</v>
      </c>
    </row>
    <row r="59" spans="1:32" x14ac:dyDescent="0.25">
      <c r="A59" s="13" t="s">
        <v>18</v>
      </c>
      <c r="B59" s="238">
        <v>0</v>
      </c>
      <c r="C59" s="12">
        <f t="shared" si="0"/>
        <v>521</v>
      </c>
      <c r="D59" s="12">
        <f t="shared" si="0"/>
        <v>437</v>
      </c>
      <c r="E59" s="12">
        <f t="shared" si="1"/>
        <v>268</v>
      </c>
      <c r="F59" s="12">
        <f t="shared" si="1"/>
        <v>501</v>
      </c>
      <c r="G59" s="12">
        <f t="shared" si="4"/>
        <v>308</v>
      </c>
      <c r="H59" s="12">
        <f t="shared" si="4"/>
        <v>0</v>
      </c>
      <c r="I59" s="12">
        <f t="shared" si="4"/>
        <v>0</v>
      </c>
      <c r="J59" s="12">
        <f t="shared" si="4"/>
        <v>204</v>
      </c>
      <c r="K59" s="12">
        <f t="shared" si="4"/>
        <v>194</v>
      </c>
      <c r="L59" s="12">
        <f t="shared" si="4"/>
        <v>486</v>
      </c>
      <c r="M59" s="12">
        <f t="shared" si="4"/>
        <v>523</v>
      </c>
      <c r="N59" s="12">
        <f t="shared" si="4"/>
        <v>521</v>
      </c>
      <c r="O59" s="12">
        <f t="shared" si="4"/>
        <v>520</v>
      </c>
      <c r="P59" s="12">
        <f t="shared" si="4"/>
        <v>435</v>
      </c>
      <c r="Q59" s="12">
        <f t="shared" si="5"/>
        <v>452</v>
      </c>
      <c r="R59" s="12">
        <f t="shared" si="6"/>
        <v>497</v>
      </c>
      <c r="S59" s="12">
        <f t="shared" si="6"/>
        <v>353</v>
      </c>
      <c r="T59" s="12">
        <f t="shared" ref="T59:AF59" si="20">T19-S19</f>
        <v>520</v>
      </c>
      <c r="U59" s="12">
        <f t="shared" si="20"/>
        <v>287</v>
      </c>
      <c r="V59" s="12">
        <f t="shared" si="20"/>
        <v>0</v>
      </c>
      <c r="W59" s="12">
        <f t="shared" si="20"/>
        <v>0</v>
      </c>
      <c r="X59" s="12">
        <f t="shared" si="20"/>
        <v>250</v>
      </c>
      <c r="Y59" s="12">
        <f t="shared" si="20"/>
        <v>330</v>
      </c>
      <c r="Z59" s="12">
        <f t="shared" si="20"/>
        <v>0</v>
      </c>
      <c r="AA59" s="12">
        <f t="shared" si="20"/>
        <v>554</v>
      </c>
      <c r="AB59" s="12">
        <f t="shared" si="20"/>
        <v>602</v>
      </c>
      <c r="AC59" s="12">
        <f t="shared" si="20"/>
        <v>473</v>
      </c>
      <c r="AD59" s="12">
        <f t="shared" si="20"/>
        <v>137</v>
      </c>
      <c r="AE59" s="12">
        <f t="shared" si="20"/>
        <v>347</v>
      </c>
      <c r="AF59" s="12">
        <f t="shared" si="20"/>
        <v>482</v>
      </c>
    </row>
    <row r="60" spans="1:32" x14ac:dyDescent="0.25">
      <c r="A60" s="13" t="s">
        <v>19</v>
      </c>
      <c r="B60" s="238">
        <v>1</v>
      </c>
      <c r="C60" s="12">
        <f t="shared" si="0"/>
        <v>521</v>
      </c>
      <c r="D60" s="12">
        <f t="shared" si="0"/>
        <v>437</v>
      </c>
      <c r="E60" s="12">
        <f t="shared" si="1"/>
        <v>567</v>
      </c>
      <c r="F60" s="12">
        <f t="shared" si="1"/>
        <v>408</v>
      </c>
      <c r="G60" s="12">
        <f t="shared" si="4"/>
        <v>195</v>
      </c>
      <c r="H60" s="12">
        <f t="shared" si="4"/>
        <v>19</v>
      </c>
      <c r="I60" s="12">
        <f t="shared" si="4"/>
        <v>277</v>
      </c>
      <c r="J60" s="12">
        <f t="shared" si="4"/>
        <v>301</v>
      </c>
      <c r="K60" s="12">
        <f t="shared" si="4"/>
        <v>255</v>
      </c>
      <c r="L60" s="12">
        <f t="shared" si="4"/>
        <v>477</v>
      </c>
      <c r="M60" s="12">
        <f t="shared" si="4"/>
        <v>244</v>
      </c>
      <c r="N60" s="12">
        <f t="shared" si="4"/>
        <v>253</v>
      </c>
      <c r="O60" s="12">
        <f t="shared" si="4"/>
        <v>236</v>
      </c>
      <c r="P60" s="12">
        <f t="shared" si="4"/>
        <v>235</v>
      </c>
      <c r="Q60" s="12">
        <f t="shared" si="5"/>
        <v>503</v>
      </c>
      <c r="R60" s="12">
        <f t="shared" si="6"/>
        <v>459</v>
      </c>
      <c r="S60" s="12">
        <f t="shared" si="6"/>
        <v>332</v>
      </c>
      <c r="T60" s="12">
        <f t="shared" ref="T60:AF60" si="21">T20-S20</f>
        <v>608</v>
      </c>
      <c r="U60" s="12">
        <f t="shared" si="21"/>
        <v>521</v>
      </c>
      <c r="V60" s="12">
        <f t="shared" si="21"/>
        <v>267</v>
      </c>
      <c r="W60" s="12">
        <f t="shared" si="21"/>
        <v>477</v>
      </c>
      <c r="X60" s="12">
        <f t="shared" si="21"/>
        <v>606</v>
      </c>
      <c r="Y60" s="12">
        <f t="shared" si="21"/>
        <v>332</v>
      </c>
      <c r="Z60" s="12">
        <f t="shared" si="21"/>
        <v>0</v>
      </c>
      <c r="AA60" s="12">
        <f t="shared" si="21"/>
        <v>401</v>
      </c>
      <c r="AB60" s="12">
        <f t="shared" si="21"/>
        <v>536</v>
      </c>
      <c r="AC60" s="12">
        <f t="shared" si="21"/>
        <v>196</v>
      </c>
      <c r="AD60" s="12">
        <f t="shared" si="21"/>
        <v>436</v>
      </c>
      <c r="AE60" s="12">
        <f t="shared" si="21"/>
        <v>289</v>
      </c>
      <c r="AF60" s="12">
        <f t="shared" si="21"/>
        <v>487</v>
      </c>
    </row>
    <row r="61" spans="1:32" x14ac:dyDescent="0.25">
      <c r="A61" s="13" t="s">
        <v>20</v>
      </c>
      <c r="B61" s="238">
        <v>433</v>
      </c>
      <c r="C61" s="12">
        <f t="shared" si="0"/>
        <v>523</v>
      </c>
      <c r="D61" s="12">
        <f t="shared" si="0"/>
        <v>287</v>
      </c>
      <c r="E61" s="12">
        <f t="shared" si="1"/>
        <v>246</v>
      </c>
      <c r="F61" s="12">
        <f t="shared" si="1"/>
        <v>521</v>
      </c>
      <c r="G61" s="12">
        <f t="shared" si="4"/>
        <v>605</v>
      </c>
      <c r="H61" s="12">
        <f t="shared" si="4"/>
        <v>520</v>
      </c>
      <c r="I61" s="12">
        <f t="shared" si="4"/>
        <v>432</v>
      </c>
      <c r="J61" s="12">
        <f t="shared" si="4"/>
        <v>563</v>
      </c>
      <c r="K61" s="12">
        <f t="shared" si="4"/>
        <v>331</v>
      </c>
      <c r="L61" s="12">
        <f t="shared" si="4"/>
        <v>194</v>
      </c>
      <c r="M61" s="12">
        <f t="shared" si="4"/>
        <v>433</v>
      </c>
      <c r="N61" s="12">
        <f t="shared" si="4"/>
        <v>195</v>
      </c>
      <c r="O61" s="12">
        <f t="shared" si="4"/>
        <v>278</v>
      </c>
      <c r="P61" s="12">
        <f t="shared" si="4"/>
        <v>451</v>
      </c>
      <c r="Q61" s="12">
        <f t="shared" si="5"/>
        <v>252</v>
      </c>
      <c r="R61" s="12">
        <f t="shared" si="6"/>
        <v>487</v>
      </c>
      <c r="S61" s="12">
        <f t="shared" si="6"/>
        <v>451</v>
      </c>
      <c r="T61" s="12">
        <f t="shared" ref="T61:AF61" si="22">T21-S21</f>
        <v>184</v>
      </c>
      <c r="U61" s="12">
        <f t="shared" si="22"/>
        <v>204</v>
      </c>
      <c r="V61" s="12">
        <f t="shared" si="22"/>
        <v>0</v>
      </c>
      <c r="W61" s="12">
        <f t="shared" si="22"/>
        <v>0</v>
      </c>
      <c r="X61" s="12">
        <f t="shared" si="22"/>
        <v>486</v>
      </c>
      <c r="Y61" s="12">
        <f t="shared" si="22"/>
        <v>518</v>
      </c>
      <c r="Z61" s="12">
        <f t="shared" si="22"/>
        <v>476</v>
      </c>
      <c r="AA61" s="12">
        <f t="shared" si="22"/>
        <v>563</v>
      </c>
      <c r="AB61" s="12">
        <f t="shared" si="22"/>
        <v>346</v>
      </c>
      <c r="AC61" s="12">
        <f t="shared" si="22"/>
        <v>0</v>
      </c>
      <c r="AD61" s="12">
        <f t="shared" si="22"/>
        <v>24</v>
      </c>
      <c r="AE61" s="12">
        <f t="shared" si="22"/>
        <v>203</v>
      </c>
      <c r="AF61" s="12">
        <f t="shared" si="22"/>
        <v>263</v>
      </c>
    </row>
    <row r="62" spans="1:32" x14ac:dyDescent="0.25">
      <c r="A62" s="13" t="s">
        <v>21</v>
      </c>
      <c r="B62" s="238">
        <v>43</v>
      </c>
      <c r="C62" s="12">
        <f t="shared" si="0"/>
        <v>518</v>
      </c>
      <c r="D62" s="12">
        <f t="shared" si="0"/>
        <v>202</v>
      </c>
      <c r="E62" s="12">
        <f t="shared" si="1"/>
        <v>425</v>
      </c>
      <c r="F62" s="12">
        <f t="shared" si="1"/>
        <v>431</v>
      </c>
      <c r="G62" s="12">
        <f t="shared" si="4"/>
        <v>519</v>
      </c>
      <c r="H62" s="12">
        <f t="shared" si="4"/>
        <v>517</v>
      </c>
      <c r="I62" s="12">
        <f t="shared" si="4"/>
        <v>430</v>
      </c>
      <c r="J62" s="12">
        <f t="shared" si="4"/>
        <v>280</v>
      </c>
      <c r="K62" s="12">
        <f t="shared" si="4"/>
        <v>194</v>
      </c>
      <c r="L62" s="12">
        <f t="shared" si="4"/>
        <v>193</v>
      </c>
      <c r="M62" s="12">
        <f t="shared" si="4"/>
        <v>251</v>
      </c>
      <c r="N62" s="12">
        <f t="shared" si="4"/>
        <v>483</v>
      </c>
      <c r="O62" s="12">
        <f t="shared" si="4"/>
        <v>449</v>
      </c>
      <c r="P62" s="12">
        <f t="shared" si="4"/>
        <v>210</v>
      </c>
      <c r="Q62" s="12">
        <f t="shared" si="5"/>
        <v>263</v>
      </c>
      <c r="R62" s="12">
        <f t="shared" si="6"/>
        <v>314</v>
      </c>
      <c r="S62" s="12">
        <f t="shared" si="6"/>
        <v>418</v>
      </c>
      <c r="T62" s="12">
        <f t="shared" ref="T62:AF62" si="23">T22-S22</f>
        <v>212</v>
      </c>
      <c r="U62" s="12">
        <f t="shared" si="23"/>
        <v>194</v>
      </c>
      <c r="V62" s="12">
        <f t="shared" si="23"/>
        <v>0</v>
      </c>
      <c r="W62" s="12">
        <f t="shared" si="23"/>
        <v>0</v>
      </c>
      <c r="X62" s="12">
        <f t="shared" si="23"/>
        <v>511</v>
      </c>
      <c r="Y62" s="12">
        <f t="shared" si="23"/>
        <v>431</v>
      </c>
      <c r="Z62" s="12">
        <f t="shared" si="23"/>
        <v>434</v>
      </c>
      <c r="AA62" s="12">
        <f t="shared" si="23"/>
        <v>432</v>
      </c>
      <c r="AB62" s="12">
        <f t="shared" si="23"/>
        <v>560</v>
      </c>
      <c r="AC62" s="12">
        <f t="shared" si="23"/>
        <v>44</v>
      </c>
      <c r="AD62" s="12">
        <f t="shared" si="23"/>
        <v>176</v>
      </c>
      <c r="AE62" s="12">
        <f t="shared" si="23"/>
        <v>521</v>
      </c>
      <c r="AF62" s="12">
        <f t="shared" si="23"/>
        <v>289</v>
      </c>
    </row>
    <row r="63" spans="1:32" x14ac:dyDescent="0.25">
      <c r="A63" s="13" t="s">
        <v>22</v>
      </c>
      <c r="B63" s="238">
        <v>0</v>
      </c>
      <c r="C63" s="12">
        <f t="shared" si="0"/>
        <v>80</v>
      </c>
      <c r="D63" s="12">
        <f t="shared" si="0"/>
        <v>329</v>
      </c>
      <c r="E63" s="12">
        <f t="shared" si="1"/>
        <v>159</v>
      </c>
      <c r="F63" s="12">
        <f t="shared" si="1"/>
        <v>253</v>
      </c>
      <c r="G63" s="12">
        <f t="shared" ref="G63:P78" si="24">G23-F23</f>
        <v>286</v>
      </c>
      <c r="H63" s="12">
        <f t="shared" si="24"/>
        <v>0</v>
      </c>
      <c r="I63" s="12">
        <f t="shared" si="24"/>
        <v>0</v>
      </c>
      <c r="J63" s="12">
        <f t="shared" si="24"/>
        <v>171</v>
      </c>
      <c r="K63" s="12">
        <f t="shared" si="24"/>
        <v>518</v>
      </c>
      <c r="L63" s="12">
        <f t="shared" si="24"/>
        <v>559</v>
      </c>
      <c r="M63" s="12">
        <f t="shared" si="24"/>
        <v>521</v>
      </c>
      <c r="N63" s="12">
        <f t="shared" si="24"/>
        <v>603</v>
      </c>
      <c r="O63" s="12">
        <f t="shared" si="24"/>
        <v>215</v>
      </c>
      <c r="P63" s="12">
        <f t="shared" si="24"/>
        <v>430</v>
      </c>
      <c r="Q63" s="12">
        <f t="shared" si="5"/>
        <v>363</v>
      </c>
      <c r="R63" s="12">
        <f t="shared" si="6"/>
        <v>245</v>
      </c>
      <c r="S63" s="12">
        <f t="shared" si="6"/>
        <v>529</v>
      </c>
      <c r="T63" s="12">
        <f t="shared" ref="T63:AF63" si="25">T23-S23</f>
        <v>476</v>
      </c>
      <c r="U63" s="12">
        <f t="shared" si="25"/>
        <v>293</v>
      </c>
      <c r="V63" s="12">
        <f t="shared" si="25"/>
        <v>476</v>
      </c>
      <c r="W63" s="12">
        <f t="shared" si="25"/>
        <v>435</v>
      </c>
      <c r="X63" s="12">
        <f t="shared" si="25"/>
        <v>559</v>
      </c>
      <c r="Y63" s="12">
        <f t="shared" si="25"/>
        <v>603</v>
      </c>
      <c r="Z63" s="12">
        <f t="shared" si="25"/>
        <v>1</v>
      </c>
      <c r="AA63" s="12">
        <f t="shared" si="25"/>
        <v>204</v>
      </c>
      <c r="AB63" s="12">
        <f t="shared" si="25"/>
        <v>251</v>
      </c>
      <c r="AC63" s="12">
        <f t="shared" si="25"/>
        <v>0</v>
      </c>
      <c r="AD63" s="12">
        <f t="shared" si="25"/>
        <v>234</v>
      </c>
      <c r="AE63" s="12">
        <f t="shared" si="25"/>
        <v>439</v>
      </c>
      <c r="AF63" s="12">
        <f t="shared" si="25"/>
        <v>586</v>
      </c>
    </row>
    <row r="64" spans="1:32" x14ac:dyDescent="0.25">
      <c r="A64" s="11" t="s">
        <v>23</v>
      </c>
      <c r="B64" s="238">
        <v>432</v>
      </c>
      <c r="C64" s="12">
        <f t="shared" si="0"/>
        <v>474</v>
      </c>
      <c r="D64" s="12">
        <f t="shared" si="0"/>
        <v>287</v>
      </c>
      <c r="E64" s="12">
        <f t="shared" si="1"/>
        <v>425</v>
      </c>
      <c r="F64" s="12">
        <f t="shared" si="1"/>
        <v>289</v>
      </c>
      <c r="G64" s="12">
        <f t="shared" si="24"/>
        <v>251</v>
      </c>
      <c r="H64" s="12">
        <f t="shared" si="24"/>
        <v>0</v>
      </c>
      <c r="I64" s="12">
        <f t="shared" si="24"/>
        <v>0</v>
      </c>
      <c r="J64" s="12">
        <f t="shared" si="24"/>
        <v>262</v>
      </c>
      <c r="K64" s="12">
        <f t="shared" si="24"/>
        <v>251</v>
      </c>
      <c r="L64" s="12">
        <f t="shared" si="24"/>
        <v>417</v>
      </c>
      <c r="M64" s="12">
        <f t="shared" si="24"/>
        <v>519</v>
      </c>
      <c r="N64" s="12">
        <f t="shared" si="24"/>
        <v>419</v>
      </c>
      <c r="O64" s="12">
        <f t="shared" si="24"/>
        <v>517</v>
      </c>
      <c r="P64" s="12">
        <f t="shared" si="24"/>
        <v>430</v>
      </c>
      <c r="Q64" s="12">
        <f t="shared" si="5"/>
        <v>517</v>
      </c>
      <c r="R64" s="12">
        <f t="shared" si="6"/>
        <v>605</v>
      </c>
      <c r="S64" s="12">
        <f t="shared" si="6"/>
        <v>518</v>
      </c>
      <c r="T64" s="12">
        <f t="shared" ref="T64:AF64" si="26">T24-S24</f>
        <v>435</v>
      </c>
      <c r="U64" s="12">
        <f t="shared" si="26"/>
        <v>559</v>
      </c>
      <c r="V64" s="12">
        <f t="shared" si="26"/>
        <v>43</v>
      </c>
      <c r="W64" s="12">
        <f t="shared" si="26"/>
        <v>431</v>
      </c>
      <c r="X64" s="12">
        <f t="shared" si="26"/>
        <v>449</v>
      </c>
      <c r="Y64" s="12">
        <f t="shared" si="26"/>
        <v>347</v>
      </c>
      <c r="Z64" s="12">
        <f t="shared" si="26"/>
        <v>431</v>
      </c>
      <c r="AA64" s="12">
        <f t="shared" si="26"/>
        <v>303</v>
      </c>
      <c r="AB64" s="12">
        <f t="shared" si="26"/>
        <v>262</v>
      </c>
      <c r="AC64" s="12">
        <f t="shared" si="26"/>
        <v>517</v>
      </c>
      <c r="AD64" s="12">
        <f t="shared" si="26"/>
        <v>518</v>
      </c>
      <c r="AE64" s="12">
        <f t="shared" si="26"/>
        <v>110</v>
      </c>
      <c r="AF64" s="12">
        <f t="shared" si="26"/>
        <v>193</v>
      </c>
    </row>
    <row r="65" spans="1:32" x14ac:dyDescent="0.25">
      <c r="A65" s="13" t="s">
        <v>24</v>
      </c>
      <c r="B65" s="238">
        <v>432</v>
      </c>
      <c r="C65" s="12">
        <f t="shared" ref="C65:D79" si="27">C25-B25</f>
        <v>605</v>
      </c>
      <c r="D65" s="12">
        <f t="shared" si="27"/>
        <v>522</v>
      </c>
      <c r="E65" s="12">
        <f t="shared" ref="E65:F79" si="28">E25-D25</f>
        <v>522</v>
      </c>
      <c r="F65" s="12">
        <f t="shared" si="28"/>
        <v>286</v>
      </c>
      <c r="G65" s="12">
        <f t="shared" si="24"/>
        <v>194</v>
      </c>
      <c r="H65" s="12">
        <f t="shared" si="24"/>
        <v>0</v>
      </c>
      <c r="I65" s="12">
        <f t="shared" si="24"/>
        <v>0</v>
      </c>
      <c r="J65" s="12">
        <f t="shared" si="24"/>
        <v>573</v>
      </c>
      <c r="K65" s="12">
        <f t="shared" si="24"/>
        <v>564</v>
      </c>
      <c r="L65" s="12">
        <f t="shared" si="24"/>
        <v>219</v>
      </c>
      <c r="M65" s="12">
        <f t="shared" si="24"/>
        <v>478</v>
      </c>
      <c r="N65" s="12">
        <f t="shared" si="24"/>
        <v>562</v>
      </c>
      <c r="O65" s="12">
        <f t="shared" si="24"/>
        <v>518</v>
      </c>
      <c r="P65" s="12">
        <f t="shared" si="24"/>
        <v>4</v>
      </c>
      <c r="Q65" s="12">
        <f t="shared" si="5"/>
        <v>203</v>
      </c>
      <c r="R65" s="12">
        <f t="shared" si="6"/>
        <v>417</v>
      </c>
      <c r="S65" s="12">
        <f t="shared" si="6"/>
        <v>253</v>
      </c>
      <c r="T65" s="12">
        <f t="shared" ref="T65:AF65" si="29">T25-S25</f>
        <v>402</v>
      </c>
      <c r="U65" s="12">
        <f t="shared" si="29"/>
        <v>606</v>
      </c>
      <c r="V65" s="12">
        <f t="shared" si="29"/>
        <v>351</v>
      </c>
      <c r="W65" s="12">
        <f t="shared" si="29"/>
        <v>0</v>
      </c>
      <c r="X65" s="12">
        <f t="shared" si="29"/>
        <v>201</v>
      </c>
      <c r="Y65" s="12">
        <f t="shared" si="29"/>
        <v>392</v>
      </c>
      <c r="Z65" s="12">
        <f t="shared" si="29"/>
        <v>435</v>
      </c>
      <c r="AA65" s="12">
        <f t="shared" si="29"/>
        <v>346</v>
      </c>
      <c r="AB65" s="12">
        <f t="shared" si="29"/>
        <v>521</v>
      </c>
      <c r="AC65" s="12">
        <f t="shared" si="29"/>
        <v>519</v>
      </c>
      <c r="AD65" s="12">
        <f t="shared" si="29"/>
        <v>470</v>
      </c>
      <c r="AE65" s="12">
        <f t="shared" si="29"/>
        <v>184</v>
      </c>
      <c r="AF65" s="12">
        <f t="shared" si="29"/>
        <v>271</v>
      </c>
    </row>
    <row r="66" spans="1:32" x14ac:dyDescent="0.25">
      <c r="A66" s="13" t="s">
        <v>25</v>
      </c>
      <c r="B66" s="238">
        <v>432</v>
      </c>
      <c r="C66" s="12">
        <f t="shared" si="27"/>
        <v>563</v>
      </c>
      <c r="D66" s="12">
        <f t="shared" si="27"/>
        <v>476</v>
      </c>
      <c r="E66" s="12">
        <f t="shared" si="28"/>
        <v>288</v>
      </c>
      <c r="F66" s="12">
        <f t="shared" si="28"/>
        <v>194</v>
      </c>
      <c r="G66" s="12">
        <f t="shared" si="24"/>
        <v>316</v>
      </c>
      <c r="H66" s="12">
        <f t="shared" si="24"/>
        <v>523</v>
      </c>
      <c r="I66" s="12">
        <f t="shared" si="24"/>
        <v>475</v>
      </c>
      <c r="J66" s="12">
        <f t="shared" si="24"/>
        <v>327</v>
      </c>
      <c r="K66" s="12">
        <f t="shared" si="24"/>
        <v>195</v>
      </c>
      <c r="L66" s="12">
        <f t="shared" si="24"/>
        <v>194</v>
      </c>
      <c r="M66" s="12">
        <f t="shared" si="24"/>
        <v>254</v>
      </c>
      <c r="N66" s="12">
        <f t="shared" si="24"/>
        <v>568</v>
      </c>
      <c r="O66" s="12">
        <f t="shared" si="24"/>
        <v>477</v>
      </c>
      <c r="P66" s="12">
        <f t="shared" si="24"/>
        <v>434</v>
      </c>
      <c r="Q66" s="12">
        <f t="shared" si="5"/>
        <v>563</v>
      </c>
      <c r="R66" s="12">
        <f t="shared" si="6"/>
        <v>562</v>
      </c>
      <c r="S66" s="12">
        <f t="shared" si="6"/>
        <v>290</v>
      </c>
      <c r="T66" s="12">
        <f t="shared" ref="T66:AF66" si="30">T26-S26</f>
        <v>253</v>
      </c>
      <c r="U66" s="12">
        <f t="shared" si="30"/>
        <v>262</v>
      </c>
      <c r="V66" s="12">
        <f t="shared" si="30"/>
        <v>0</v>
      </c>
      <c r="W66" s="12">
        <f t="shared" si="30"/>
        <v>0</v>
      </c>
      <c r="X66" s="12">
        <f t="shared" si="30"/>
        <v>589</v>
      </c>
      <c r="Y66" s="12">
        <f t="shared" si="30"/>
        <v>562</v>
      </c>
      <c r="Z66" s="12">
        <f t="shared" si="30"/>
        <v>438</v>
      </c>
      <c r="AA66" s="12">
        <f t="shared" si="30"/>
        <v>244</v>
      </c>
      <c r="AB66" s="12">
        <f t="shared" si="30"/>
        <v>489</v>
      </c>
      <c r="AC66" s="12">
        <f t="shared" si="30"/>
        <v>521</v>
      </c>
      <c r="AD66" s="12">
        <f t="shared" si="30"/>
        <v>520</v>
      </c>
      <c r="AE66" s="12">
        <f t="shared" si="30"/>
        <v>506</v>
      </c>
      <c r="AF66" s="12">
        <f t="shared" si="30"/>
        <v>469</v>
      </c>
    </row>
    <row r="67" spans="1:32" x14ac:dyDescent="0.25">
      <c r="A67" s="13" t="s">
        <v>26</v>
      </c>
      <c r="B67" s="238">
        <v>475</v>
      </c>
      <c r="C67" s="12">
        <f t="shared" si="27"/>
        <v>561</v>
      </c>
      <c r="D67" s="12">
        <f t="shared" si="27"/>
        <v>433</v>
      </c>
      <c r="E67" s="12">
        <f t="shared" si="28"/>
        <v>437</v>
      </c>
      <c r="F67" s="12">
        <f t="shared" si="28"/>
        <v>306</v>
      </c>
      <c r="G67" s="12">
        <f t="shared" si="24"/>
        <v>605</v>
      </c>
      <c r="H67" s="12">
        <f t="shared" si="24"/>
        <v>43</v>
      </c>
      <c r="I67" s="12">
        <f t="shared" si="24"/>
        <v>435</v>
      </c>
      <c r="J67" s="12">
        <f t="shared" si="24"/>
        <v>520</v>
      </c>
      <c r="K67" s="12">
        <f t="shared" si="24"/>
        <v>433</v>
      </c>
      <c r="L67" s="12">
        <f t="shared" si="24"/>
        <v>520</v>
      </c>
      <c r="M67" s="12">
        <f t="shared" si="24"/>
        <v>605</v>
      </c>
      <c r="N67" s="12">
        <f t="shared" si="24"/>
        <v>433</v>
      </c>
      <c r="O67" s="12">
        <f t="shared" si="24"/>
        <v>260</v>
      </c>
      <c r="P67" s="12">
        <f t="shared" si="24"/>
        <v>435</v>
      </c>
      <c r="Q67" s="12">
        <f t="shared" si="5"/>
        <v>289</v>
      </c>
      <c r="R67" s="12">
        <f t="shared" si="6"/>
        <v>194</v>
      </c>
      <c r="S67" s="12">
        <f t="shared" si="6"/>
        <v>194</v>
      </c>
      <c r="T67" s="12">
        <f t="shared" ref="T67:AF67" si="31">T27-S27</f>
        <v>186</v>
      </c>
      <c r="U67" s="12">
        <f t="shared" si="31"/>
        <v>171</v>
      </c>
      <c r="V67" s="12">
        <f t="shared" si="31"/>
        <v>434</v>
      </c>
      <c r="W67" s="12">
        <f t="shared" si="31"/>
        <v>432</v>
      </c>
      <c r="X67" s="12">
        <f t="shared" si="31"/>
        <v>177</v>
      </c>
      <c r="Y67" s="12">
        <f t="shared" si="31"/>
        <v>364</v>
      </c>
      <c r="Z67" s="12">
        <f t="shared" si="31"/>
        <v>0</v>
      </c>
      <c r="AA67" s="12">
        <f t="shared" si="31"/>
        <v>254</v>
      </c>
      <c r="AB67" s="12">
        <f t="shared" si="31"/>
        <v>272</v>
      </c>
      <c r="AC67" s="12">
        <f t="shared" si="31"/>
        <v>0</v>
      </c>
      <c r="AD67" s="12">
        <f t="shared" si="31"/>
        <v>0</v>
      </c>
      <c r="AE67" s="12">
        <f t="shared" si="31"/>
        <v>503</v>
      </c>
      <c r="AF67" s="12">
        <f t="shared" si="31"/>
        <v>142</v>
      </c>
    </row>
    <row r="68" spans="1:32" x14ac:dyDescent="0.25">
      <c r="A68" s="13" t="s">
        <v>27</v>
      </c>
      <c r="B68" s="238">
        <v>0</v>
      </c>
      <c r="C68" s="12">
        <f t="shared" si="27"/>
        <v>253</v>
      </c>
      <c r="D68" s="12">
        <f t="shared" si="27"/>
        <v>448</v>
      </c>
      <c r="E68" s="12">
        <f t="shared" si="28"/>
        <v>141</v>
      </c>
      <c r="F68" s="12">
        <f t="shared" si="28"/>
        <v>518</v>
      </c>
      <c r="G68" s="12">
        <f t="shared" si="24"/>
        <v>449</v>
      </c>
      <c r="H68" s="12">
        <f t="shared" si="24"/>
        <v>0</v>
      </c>
      <c r="I68" s="12">
        <f t="shared" si="24"/>
        <v>0</v>
      </c>
      <c r="J68" s="12">
        <f t="shared" si="24"/>
        <v>127</v>
      </c>
      <c r="K68" s="12">
        <f t="shared" si="24"/>
        <v>487</v>
      </c>
      <c r="L68" s="12">
        <f t="shared" si="24"/>
        <v>433</v>
      </c>
      <c r="M68" s="12">
        <f t="shared" si="24"/>
        <v>348</v>
      </c>
      <c r="N68" s="12">
        <f t="shared" si="24"/>
        <v>347</v>
      </c>
      <c r="O68" s="12">
        <f t="shared" si="24"/>
        <v>90</v>
      </c>
      <c r="P68" s="12">
        <f t="shared" si="24"/>
        <v>88</v>
      </c>
      <c r="Q68" s="12">
        <f t="shared" si="5"/>
        <v>519</v>
      </c>
      <c r="R68" s="12">
        <f t="shared" si="6"/>
        <v>294</v>
      </c>
      <c r="S68" s="12">
        <f t="shared" si="6"/>
        <v>476</v>
      </c>
      <c r="T68" s="12">
        <f t="shared" ref="T68:AF68" si="32">T28-S28</f>
        <v>475</v>
      </c>
      <c r="U68" s="12">
        <f t="shared" si="32"/>
        <v>304</v>
      </c>
      <c r="V68" s="12">
        <f t="shared" si="32"/>
        <v>473</v>
      </c>
      <c r="W68" s="12">
        <f t="shared" si="32"/>
        <v>431</v>
      </c>
      <c r="X68" s="12">
        <f t="shared" si="32"/>
        <v>394</v>
      </c>
      <c r="Y68" s="12">
        <f t="shared" si="32"/>
        <v>559</v>
      </c>
      <c r="Z68" s="12">
        <f t="shared" si="32"/>
        <v>431</v>
      </c>
      <c r="AA68" s="12">
        <f t="shared" si="32"/>
        <v>603</v>
      </c>
      <c r="AB68" s="12">
        <f t="shared" si="32"/>
        <v>603</v>
      </c>
      <c r="AC68" s="12">
        <f t="shared" si="32"/>
        <v>516</v>
      </c>
      <c r="AD68" s="12">
        <f t="shared" si="32"/>
        <v>470</v>
      </c>
      <c r="AE68" s="12">
        <f t="shared" si="32"/>
        <v>0</v>
      </c>
      <c r="AF68" s="12">
        <f t="shared" si="32"/>
        <v>0</v>
      </c>
    </row>
    <row r="69" spans="1:32" x14ac:dyDescent="0.25">
      <c r="A69" s="11" t="s">
        <v>28</v>
      </c>
      <c r="B69" s="238">
        <v>0</v>
      </c>
      <c r="C69" s="12">
        <f t="shared" si="27"/>
        <v>569</v>
      </c>
      <c r="D69" s="12">
        <f t="shared" si="27"/>
        <v>347</v>
      </c>
      <c r="E69" s="12">
        <f t="shared" si="28"/>
        <v>537</v>
      </c>
      <c r="F69" s="12">
        <f t="shared" si="28"/>
        <v>194</v>
      </c>
      <c r="G69" s="12">
        <f t="shared" si="24"/>
        <v>417</v>
      </c>
      <c r="H69" s="12">
        <f t="shared" si="24"/>
        <v>19</v>
      </c>
      <c r="I69" s="12">
        <f t="shared" si="24"/>
        <v>0</v>
      </c>
      <c r="J69" s="12">
        <f t="shared" si="24"/>
        <v>0</v>
      </c>
      <c r="K69" s="12">
        <f t="shared" si="24"/>
        <v>0</v>
      </c>
      <c r="L69" s="12">
        <f t="shared" si="24"/>
        <v>0</v>
      </c>
      <c r="M69" s="12">
        <f t="shared" si="24"/>
        <v>0</v>
      </c>
      <c r="N69" s="12">
        <f t="shared" si="24"/>
        <v>0</v>
      </c>
      <c r="O69" s="12">
        <f t="shared" si="24"/>
        <v>0</v>
      </c>
      <c r="P69" s="12">
        <f t="shared" si="24"/>
        <v>0</v>
      </c>
      <c r="Q69" s="12">
        <f t="shared" si="5"/>
        <v>0</v>
      </c>
      <c r="R69" s="12">
        <f t="shared" si="6"/>
        <v>0</v>
      </c>
      <c r="S69" s="12">
        <f t="shared" si="6"/>
        <v>0</v>
      </c>
      <c r="T69" s="12">
        <f t="shared" ref="T69:AF69" si="33">T29-S29</f>
        <v>0</v>
      </c>
      <c r="U69" s="12">
        <f t="shared" si="33"/>
        <v>0</v>
      </c>
      <c r="V69" s="12">
        <f t="shared" si="33"/>
        <v>0</v>
      </c>
      <c r="W69" s="12">
        <f t="shared" si="33"/>
        <v>0</v>
      </c>
      <c r="X69" s="12">
        <f t="shared" si="33"/>
        <v>0</v>
      </c>
      <c r="Y69" s="12">
        <f t="shared" si="33"/>
        <v>0</v>
      </c>
      <c r="Z69" s="12">
        <f t="shared" si="33"/>
        <v>0</v>
      </c>
      <c r="AA69" s="12">
        <f t="shared" si="33"/>
        <v>0</v>
      </c>
      <c r="AB69" s="12">
        <f t="shared" si="33"/>
        <v>0</v>
      </c>
      <c r="AC69" s="12">
        <f t="shared" si="33"/>
        <v>0</v>
      </c>
      <c r="AD69" s="12">
        <f t="shared" si="33"/>
        <v>0</v>
      </c>
      <c r="AE69" s="12">
        <f t="shared" si="33"/>
        <v>0</v>
      </c>
      <c r="AF69" s="12">
        <f t="shared" si="33"/>
        <v>0</v>
      </c>
    </row>
    <row r="70" spans="1:32" x14ac:dyDescent="0.25">
      <c r="A70" s="13" t="s">
        <v>29</v>
      </c>
      <c r="B70" s="238">
        <v>0</v>
      </c>
      <c r="C70" s="12">
        <f t="shared" si="27"/>
        <v>262</v>
      </c>
      <c r="D70" s="12">
        <f t="shared" si="27"/>
        <v>587</v>
      </c>
      <c r="E70" s="12">
        <f t="shared" si="28"/>
        <v>450</v>
      </c>
      <c r="F70" s="12">
        <f t="shared" si="28"/>
        <v>167</v>
      </c>
      <c r="G70" s="12">
        <f t="shared" si="24"/>
        <v>360</v>
      </c>
      <c r="H70" s="12">
        <f t="shared" si="24"/>
        <v>474</v>
      </c>
      <c r="I70" s="12">
        <f t="shared" si="24"/>
        <v>43</v>
      </c>
      <c r="J70" s="12">
        <f t="shared" si="24"/>
        <v>518</v>
      </c>
      <c r="K70" s="12">
        <f t="shared" si="24"/>
        <v>518</v>
      </c>
      <c r="L70" s="12">
        <f t="shared" si="24"/>
        <v>604</v>
      </c>
      <c r="M70" s="12">
        <f t="shared" si="24"/>
        <v>520</v>
      </c>
      <c r="N70" s="12">
        <f t="shared" si="24"/>
        <v>393</v>
      </c>
      <c r="O70" s="12">
        <f t="shared" si="24"/>
        <v>216</v>
      </c>
      <c r="P70" s="12">
        <f t="shared" si="24"/>
        <v>431</v>
      </c>
      <c r="Q70" s="12">
        <f t="shared" si="5"/>
        <v>560</v>
      </c>
      <c r="R70" s="12">
        <f t="shared" si="6"/>
        <v>407</v>
      </c>
      <c r="S70" s="12">
        <f t="shared" si="6"/>
        <v>341</v>
      </c>
      <c r="T70" s="12">
        <f t="shared" ref="T70:AF70" si="34">T30-S30</f>
        <v>290</v>
      </c>
      <c r="U70" s="12">
        <f t="shared" si="34"/>
        <v>486</v>
      </c>
      <c r="V70" s="12">
        <f t="shared" si="34"/>
        <v>518</v>
      </c>
      <c r="W70" s="12">
        <f t="shared" si="34"/>
        <v>434</v>
      </c>
      <c r="X70" s="12">
        <f t="shared" si="34"/>
        <v>175</v>
      </c>
      <c r="Y70" s="12">
        <f t="shared" si="34"/>
        <v>433</v>
      </c>
      <c r="Z70" s="12">
        <f t="shared" si="34"/>
        <v>0</v>
      </c>
      <c r="AA70" s="12">
        <f t="shared" si="34"/>
        <v>287</v>
      </c>
      <c r="AB70" s="12">
        <f t="shared" si="34"/>
        <v>252</v>
      </c>
      <c r="AC70" s="12">
        <f t="shared" si="34"/>
        <v>0</v>
      </c>
      <c r="AD70" s="12">
        <f t="shared" si="34"/>
        <v>0</v>
      </c>
      <c r="AE70" s="12">
        <f t="shared" si="34"/>
        <v>204</v>
      </c>
      <c r="AF70" s="12">
        <f t="shared" si="34"/>
        <v>600</v>
      </c>
    </row>
    <row r="71" spans="1:32" x14ac:dyDescent="0.25">
      <c r="A71" s="11" t="s">
        <v>30</v>
      </c>
      <c r="B71" s="238">
        <v>43</v>
      </c>
      <c r="C71" s="12">
        <f t="shared" si="27"/>
        <v>492</v>
      </c>
      <c r="D71" s="12">
        <f t="shared" si="27"/>
        <v>561</v>
      </c>
      <c r="E71" s="12">
        <f t="shared" si="28"/>
        <v>560</v>
      </c>
      <c r="F71" s="12">
        <f t="shared" si="28"/>
        <v>438</v>
      </c>
      <c r="G71" s="12">
        <f t="shared" si="24"/>
        <v>346</v>
      </c>
      <c r="H71" s="12">
        <f t="shared" si="24"/>
        <v>0</v>
      </c>
      <c r="I71" s="12">
        <f t="shared" si="24"/>
        <v>3</v>
      </c>
      <c r="J71" s="12">
        <f t="shared" si="24"/>
        <v>520</v>
      </c>
      <c r="K71" s="12">
        <f t="shared" si="24"/>
        <v>474</v>
      </c>
      <c r="L71" s="12">
        <f t="shared" si="24"/>
        <v>304</v>
      </c>
      <c r="M71" s="12">
        <f t="shared" si="24"/>
        <v>450</v>
      </c>
      <c r="N71" s="12">
        <f t="shared" si="24"/>
        <v>587</v>
      </c>
      <c r="O71" s="12">
        <f t="shared" si="24"/>
        <v>518</v>
      </c>
      <c r="P71" s="12">
        <f t="shared" si="24"/>
        <v>260</v>
      </c>
      <c r="Q71" s="12">
        <f t="shared" si="5"/>
        <v>561</v>
      </c>
      <c r="R71" s="12">
        <f t="shared" si="6"/>
        <v>349</v>
      </c>
      <c r="S71" s="12">
        <f t="shared" si="6"/>
        <v>560</v>
      </c>
      <c r="T71" s="12">
        <f t="shared" ref="T71:AF71" si="35">T31-S31</f>
        <v>517</v>
      </c>
      <c r="U71" s="12">
        <f t="shared" si="35"/>
        <v>450</v>
      </c>
      <c r="V71" s="12">
        <f t="shared" si="35"/>
        <v>0</v>
      </c>
      <c r="W71" s="12">
        <f t="shared" si="35"/>
        <v>0</v>
      </c>
      <c r="X71" s="12">
        <f t="shared" si="35"/>
        <v>203</v>
      </c>
      <c r="Y71" s="12">
        <f t="shared" si="35"/>
        <v>252</v>
      </c>
      <c r="Z71" s="12">
        <f t="shared" si="35"/>
        <v>0</v>
      </c>
      <c r="AA71" s="12">
        <f t="shared" si="35"/>
        <v>529</v>
      </c>
      <c r="AB71" s="12">
        <f t="shared" si="35"/>
        <v>338</v>
      </c>
      <c r="AC71" s="12">
        <f t="shared" si="35"/>
        <v>89</v>
      </c>
      <c r="AD71" s="12">
        <f t="shared" si="35"/>
        <v>259</v>
      </c>
      <c r="AE71" s="12">
        <f t="shared" si="35"/>
        <v>161</v>
      </c>
      <c r="AF71" s="12">
        <f t="shared" si="35"/>
        <v>436</v>
      </c>
    </row>
    <row r="72" spans="1:32" s="126" customFormat="1" x14ac:dyDescent="0.25">
      <c r="A72" s="13" t="s">
        <v>111</v>
      </c>
      <c r="B72" s="238">
        <v>0</v>
      </c>
      <c r="C72" s="12">
        <f t="shared" si="27"/>
        <v>195</v>
      </c>
      <c r="D72" s="12">
        <f t="shared" si="27"/>
        <v>170</v>
      </c>
      <c r="E72" s="12">
        <f t="shared" si="28"/>
        <v>475</v>
      </c>
      <c r="F72" s="12">
        <f t="shared" si="28"/>
        <v>218</v>
      </c>
      <c r="G72" s="12">
        <f t="shared" si="24"/>
        <v>176</v>
      </c>
      <c r="H72" s="12">
        <f t="shared" si="24"/>
        <v>4</v>
      </c>
      <c r="I72" s="12">
        <f t="shared" si="24"/>
        <v>1</v>
      </c>
      <c r="J72" s="12">
        <f t="shared" si="24"/>
        <v>519</v>
      </c>
      <c r="K72" s="12">
        <f t="shared" si="24"/>
        <v>433</v>
      </c>
      <c r="L72" s="12">
        <f t="shared" si="24"/>
        <v>202</v>
      </c>
      <c r="M72" s="12">
        <f t="shared" si="24"/>
        <v>484</v>
      </c>
      <c r="N72" s="12">
        <f t="shared" si="24"/>
        <v>432</v>
      </c>
      <c r="O72" s="12">
        <f t="shared" si="24"/>
        <v>174</v>
      </c>
      <c r="P72" s="12">
        <f t="shared" si="24"/>
        <v>174</v>
      </c>
      <c r="Q72" s="12">
        <f t="shared" si="5"/>
        <v>518</v>
      </c>
      <c r="R72" s="12">
        <f t="shared" si="6"/>
        <v>432</v>
      </c>
      <c r="S72" s="12">
        <f t="shared" si="6"/>
        <v>202</v>
      </c>
      <c r="T72" s="12">
        <f t="shared" ref="T72:AF72" si="36">T32-S32</f>
        <v>194</v>
      </c>
      <c r="U72" s="12">
        <f t="shared" si="36"/>
        <v>251</v>
      </c>
      <c r="V72" s="12">
        <f t="shared" si="36"/>
        <v>0</v>
      </c>
      <c r="W72" s="12">
        <f t="shared" si="36"/>
        <v>0</v>
      </c>
      <c r="X72" s="12">
        <f t="shared" si="36"/>
        <v>264</v>
      </c>
      <c r="Y72" s="12">
        <f t="shared" si="36"/>
        <v>228</v>
      </c>
      <c r="Z72" s="12">
        <f t="shared" si="36"/>
        <v>0</v>
      </c>
      <c r="AA72" s="12">
        <f t="shared" si="36"/>
        <v>431</v>
      </c>
      <c r="AB72" s="12">
        <f t="shared" si="36"/>
        <v>197</v>
      </c>
      <c r="AC72" s="12">
        <f t="shared" si="36"/>
        <v>0</v>
      </c>
      <c r="AD72" s="12">
        <f t="shared" si="36"/>
        <v>0</v>
      </c>
      <c r="AE72" s="12">
        <f t="shared" si="36"/>
        <v>364</v>
      </c>
      <c r="AF72" s="12">
        <f t="shared" si="36"/>
        <v>400</v>
      </c>
    </row>
    <row r="73" spans="1:32" s="126" customFormat="1" x14ac:dyDescent="0.25">
      <c r="A73" s="11" t="s">
        <v>112</v>
      </c>
      <c r="B73" s="238">
        <v>0</v>
      </c>
      <c r="C73" s="12">
        <f t="shared" si="27"/>
        <v>0</v>
      </c>
      <c r="D73" s="12">
        <f t="shared" si="27"/>
        <v>0</v>
      </c>
      <c r="E73" s="12">
        <f t="shared" si="28"/>
        <v>0</v>
      </c>
      <c r="F73" s="12">
        <f t="shared" si="28"/>
        <v>0</v>
      </c>
      <c r="G73" s="12">
        <f t="shared" si="24"/>
        <v>0</v>
      </c>
      <c r="H73" s="12">
        <f t="shared" si="24"/>
        <v>0</v>
      </c>
      <c r="I73" s="12">
        <f t="shared" si="24"/>
        <v>0</v>
      </c>
      <c r="J73" s="12">
        <f t="shared" si="24"/>
        <v>0</v>
      </c>
      <c r="K73" s="12">
        <f t="shared" si="24"/>
        <v>0</v>
      </c>
      <c r="L73" s="12">
        <f t="shared" si="24"/>
        <v>0</v>
      </c>
      <c r="M73" s="12">
        <f t="shared" si="24"/>
        <v>0</v>
      </c>
      <c r="N73" s="12">
        <f t="shared" si="24"/>
        <v>0</v>
      </c>
      <c r="O73" s="12">
        <f t="shared" si="24"/>
        <v>0</v>
      </c>
      <c r="P73" s="12">
        <f t="shared" si="24"/>
        <v>0</v>
      </c>
      <c r="Q73" s="12">
        <f t="shared" si="5"/>
        <v>0</v>
      </c>
      <c r="R73" s="12">
        <f t="shared" si="6"/>
        <v>0</v>
      </c>
      <c r="S73" s="12">
        <f t="shared" si="6"/>
        <v>0</v>
      </c>
      <c r="T73" s="12">
        <f t="shared" ref="T73:AF73" si="37">T33-S33</f>
        <v>0</v>
      </c>
      <c r="U73" s="12">
        <f t="shared" si="37"/>
        <v>0</v>
      </c>
      <c r="V73" s="12">
        <f t="shared" si="37"/>
        <v>0</v>
      </c>
      <c r="W73" s="12">
        <f t="shared" si="37"/>
        <v>0</v>
      </c>
      <c r="X73" s="12">
        <f t="shared" si="37"/>
        <v>0</v>
      </c>
      <c r="Y73" s="12">
        <f t="shared" si="37"/>
        <v>0</v>
      </c>
      <c r="Z73" s="12">
        <f t="shared" si="37"/>
        <v>0</v>
      </c>
      <c r="AA73" s="12">
        <f t="shared" si="37"/>
        <v>0</v>
      </c>
      <c r="AB73" s="12">
        <f t="shared" si="37"/>
        <v>0</v>
      </c>
      <c r="AC73" s="12">
        <f t="shared" si="37"/>
        <v>0</v>
      </c>
      <c r="AD73" s="12">
        <f t="shared" si="37"/>
        <v>0</v>
      </c>
      <c r="AE73" s="12">
        <f t="shared" si="37"/>
        <v>0</v>
      </c>
      <c r="AF73" s="12">
        <f t="shared" si="37"/>
        <v>0</v>
      </c>
    </row>
    <row r="74" spans="1:32" s="126" customFormat="1" x14ac:dyDescent="0.25">
      <c r="A74" s="13" t="s">
        <v>113</v>
      </c>
      <c r="B74" s="238">
        <v>0</v>
      </c>
      <c r="C74" s="12">
        <f t="shared" si="27"/>
        <v>227</v>
      </c>
      <c r="D74" s="12">
        <f t="shared" si="27"/>
        <v>432</v>
      </c>
      <c r="E74" s="12">
        <f t="shared" si="28"/>
        <v>518</v>
      </c>
      <c r="F74" s="12">
        <f t="shared" si="28"/>
        <v>203</v>
      </c>
      <c r="G74" s="12">
        <f t="shared" si="24"/>
        <v>425</v>
      </c>
      <c r="H74" s="12">
        <f t="shared" si="24"/>
        <v>474</v>
      </c>
      <c r="I74" s="12">
        <f t="shared" si="24"/>
        <v>66</v>
      </c>
      <c r="J74" s="12">
        <f t="shared" si="24"/>
        <v>252</v>
      </c>
      <c r="K74" s="12">
        <f t="shared" si="24"/>
        <v>263</v>
      </c>
      <c r="L74" s="12">
        <f t="shared" si="24"/>
        <v>228</v>
      </c>
      <c r="M74" s="12">
        <f t="shared" si="24"/>
        <v>451</v>
      </c>
      <c r="N74" s="12">
        <f t="shared" si="24"/>
        <v>194</v>
      </c>
      <c r="O74" s="12">
        <f t="shared" si="24"/>
        <v>0</v>
      </c>
      <c r="P74" s="12">
        <f t="shared" si="24"/>
        <v>0</v>
      </c>
      <c r="Q74" s="12">
        <f t="shared" si="5"/>
        <v>251</v>
      </c>
      <c r="R74" s="12">
        <f t="shared" si="6"/>
        <v>167</v>
      </c>
      <c r="S74" s="12">
        <f t="shared" si="6"/>
        <v>289</v>
      </c>
      <c r="T74" s="12">
        <f t="shared" ref="T74:AF74" si="38">T34-S34</f>
        <v>249</v>
      </c>
      <c r="U74" s="12">
        <f t="shared" si="38"/>
        <v>58</v>
      </c>
      <c r="V74" s="12">
        <f t="shared" si="38"/>
        <v>0</v>
      </c>
      <c r="W74" s="12">
        <f t="shared" si="38"/>
        <v>21</v>
      </c>
      <c r="X74" s="12">
        <f t="shared" si="38"/>
        <v>90</v>
      </c>
      <c r="Y74" s="12">
        <f t="shared" si="38"/>
        <v>562</v>
      </c>
      <c r="Z74" s="12">
        <f t="shared" si="38"/>
        <v>44</v>
      </c>
      <c r="AA74" s="12">
        <f t="shared" si="38"/>
        <v>289</v>
      </c>
      <c r="AB74" s="12">
        <f t="shared" si="38"/>
        <v>132</v>
      </c>
      <c r="AC74" s="12">
        <f t="shared" si="38"/>
        <v>475</v>
      </c>
      <c r="AD74" s="12">
        <f t="shared" si="38"/>
        <v>45</v>
      </c>
      <c r="AE74" s="12">
        <f t="shared" si="38"/>
        <v>561</v>
      </c>
      <c r="AF74" s="12">
        <f t="shared" si="38"/>
        <v>246</v>
      </c>
    </row>
    <row r="75" spans="1:32" s="126" customFormat="1" x14ac:dyDescent="0.25">
      <c r="A75" s="11" t="s">
        <v>114</v>
      </c>
      <c r="B75" s="238">
        <v>0</v>
      </c>
      <c r="C75" s="12">
        <f t="shared" si="27"/>
        <v>450</v>
      </c>
      <c r="D75" s="12">
        <f t="shared" si="27"/>
        <v>194</v>
      </c>
      <c r="E75" s="12">
        <f t="shared" si="28"/>
        <v>399</v>
      </c>
      <c r="F75" s="12">
        <f t="shared" si="28"/>
        <v>347</v>
      </c>
      <c r="G75" s="12">
        <f t="shared" si="24"/>
        <v>348</v>
      </c>
      <c r="H75" s="12">
        <f t="shared" si="24"/>
        <v>0</v>
      </c>
      <c r="I75" s="12">
        <f t="shared" si="24"/>
        <v>0</v>
      </c>
      <c r="J75" s="12">
        <f t="shared" si="24"/>
        <v>178</v>
      </c>
      <c r="K75" s="12">
        <f t="shared" si="24"/>
        <v>348</v>
      </c>
      <c r="L75" s="12">
        <f t="shared" si="24"/>
        <v>520</v>
      </c>
      <c r="M75" s="12">
        <f t="shared" si="24"/>
        <v>455</v>
      </c>
      <c r="N75" s="12">
        <f t="shared" si="24"/>
        <v>168</v>
      </c>
      <c r="O75" s="12">
        <f t="shared" si="24"/>
        <v>21</v>
      </c>
      <c r="P75" s="12">
        <f t="shared" si="24"/>
        <v>0</v>
      </c>
      <c r="Q75" s="12">
        <f t="shared" si="5"/>
        <v>194</v>
      </c>
      <c r="R75" s="12">
        <f t="shared" si="6"/>
        <v>193</v>
      </c>
      <c r="S75" s="12">
        <f t="shared" si="6"/>
        <v>401</v>
      </c>
      <c r="T75" s="12">
        <f t="shared" ref="T75:AF75" si="39">T35-S35</f>
        <v>346</v>
      </c>
      <c r="U75" s="12">
        <f t="shared" si="39"/>
        <v>368</v>
      </c>
      <c r="V75" s="12">
        <f t="shared" si="39"/>
        <v>0</v>
      </c>
      <c r="W75" s="12">
        <f t="shared" si="39"/>
        <v>20</v>
      </c>
      <c r="X75" s="12">
        <f t="shared" si="39"/>
        <v>262</v>
      </c>
      <c r="Y75" s="12">
        <f t="shared" si="39"/>
        <v>347</v>
      </c>
      <c r="Z75" s="12">
        <f t="shared" si="39"/>
        <v>0</v>
      </c>
      <c r="AA75" s="12">
        <f t="shared" si="39"/>
        <v>432</v>
      </c>
      <c r="AB75" s="12">
        <f t="shared" si="39"/>
        <v>281</v>
      </c>
      <c r="AC75" s="12">
        <f t="shared" si="39"/>
        <v>107</v>
      </c>
      <c r="AD75" s="12">
        <f t="shared" si="39"/>
        <v>0</v>
      </c>
      <c r="AE75" s="12">
        <f t="shared" si="39"/>
        <v>347</v>
      </c>
      <c r="AF75" s="12">
        <f t="shared" si="39"/>
        <v>366</v>
      </c>
    </row>
    <row r="76" spans="1:32" s="126" customFormat="1" x14ac:dyDescent="0.25">
      <c r="A76" s="13" t="s">
        <v>115</v>
      </c>
      <c r="B76" s="238">
        <v>0</v>
      </c>
      <c r="C76" s="12">
        <f t="shared" si="27"/>
        <v>426</v>
      </c>
      <c r="D76" s="12">
        <f t="shared" si="27"/>
        <v>332</v>
      </c>
      <c r="E76" s="12">
        <f t="shared" si="28"/>
        <v>99</v>
      </c>
      <c r="F76" s="12">
        <f t="shared" si="28"/>
        <v>194</v>
      </c>
      <c r="G76" s="12">
        <f t="shared" si="24"/>
        <v>228</v>
      </c>
      <c r="H76" s="12">
        <f t="shared" si="24"/>
        <v>0</v>
      </c>
      <c r="I76" s="12">
        <f t="shared" si="24"/>
        <v>0</v>
      </c>
      <c r="J76" s="12">
        <f t="shared" si="24"/>
        <v>521</v>
      </c>
      <c r="K76" s="12">
        <f t="shared" si="24"/>
        <v>452</v>
      </c>
      <c r="L76" s="12">
        <f t="shared" si="24"/>
        <v>264</v>
      </c>
      <c r="M76" s="12">
        <f t="shared" si="24"/>
        <v>168</v>
      </c>
      <c r="N76" s="12">
        <f t="shared" si="24"/>
        <v>434</v>
      </c>
      <c r="O76" s="12">
        <f t="shared" si="24"/>
        <v>174</v>
      </c>
      <c r="P76" s="12">
        <f t="shared" si="24"/>
        <v>174</v>
      </c>
      <c r="Q76" s="12">
        <f t="shared" si="5"/>
        <v>518</v>
      </c>
      <c r="R76" s="12">
        <f t="shared" si="6"/>
        <v>263</v>
      </c>
      <c r="S76" s="12">
        <f t="shared" si="6"/>
        <v>432</v>
      </c>
      <c r="T76" s="12">
        <f t="shared" ref="T76:AF76" si="40">T36-S36</f>
        <v>431</v>
      </c>
      <c r="U76" s="12">
        <f t="shared" si="40"/>
        <v>451</v>
      </c>
      <c r="V76" s="12">
        <f t="shared" si="40"/>
        <v>0</v>
      </c>
      <c r="W76" s="12">
        <f t="shared" si="40"/>
        <v>0</v>
      </c>
      <c r="X76" s="12">
        <f t="shared" si="40"/>
        <v>194</v>
      </c>
      <c r="Y76" s="12">
        <f t="shared" si="40"/>
        <v>203</v>
      </c>
      <c r="Z76" s="12">
        <f t="shared" si="40"/>
        <v>0</v>
      </c>
      <c r="AA76" s="12">
        <f t="shared" si="40"/>
        <v>252</v>
      </c>
      <c r="AB76" s="12">
        <f t="shared" si="40"/>
        <v>398</v>
      </c>
      <c r="AC76" s="12">
        <f t="shared" si="40"/>
        <v>0</v>
      </c>
      <c r="AD76" s="12">
        <f t="shared" si="40"/>
        <v>0</v>
      </c>
      <c r="AE76" s="12">
        <f t="shared" si="40"/>
        <v>202</v>
      </c>
      <c r="AF76" s="12">
        <f t="shared" si="40"/>
        <v>553</v>
      </c>
    </row>
    <row r="77" spans="1:32" s="126" customFormat="1" x14ac:dyDescent="0.25">
      <c r="A77" s="11" t="s">
        <v>116</v>
      </c>
      <c r="B77" s="238">
        <v>0</v>
      </c>
      <c r="C77" s="12">
        <f t="shared" si="27"/>
        <v>251</v>
      </c>
      <c r="D77" s="12">
        <f t="shared" si="27"/>
        <v>81</v>
      </c>
      <c r="E77" s="12">
        <f t="shared" si="28"/>
        <v>305</v>
      </c>
      <c r="F77" s="12">
        <f t="shared" si="28"/>
        <v>391</v>
      </c>
      <c r="G77" s="12">
        <f t="shared" si="24"/>
        <v>348</v>
      </c>
      <c r="H77" s="12">
        <f t="shared" si="24"/>
        <v>433</v>
      </c>
      <c r="I77" s="12">
        <f t="shared" si="24"/>
        <v>21</v>
      </c>
      <c r="J77" s="12">
        <f t="shared" si="24"/>
        <v>251</v>
      </c>
      <c r="K77" s="12">
        <f t="shared" si="24"/>
        <v>194</v>
      </c>
      <c r="L77" s="12">
        <f t="shared" si="24"/>
        <v>392</v>
      </c>
      <c r="M77" s="12">
        <f t="shared" si="24"/>
        <v>264</v>
      </c>
      <c r="N77" s="12">
        <f t="shared" si="24"/>
        <v>266</v>
      </c>
      <c r="O77" s="12">
        <f t="shared" si="24"/>
        <v>518</v>
      </c>
      <c r="P77" s="12">
        <f t="shared" si="24"/>
        <v>262</v>
      </c>
      <c r="Q77" s="12">
        <f t="shared" si="5"/>
        <v>433</v>
      </c>
      <c r="R77" s="12">
        <f t="shared" si="6"/>
        <v>398</v>
      </c>
      <c r="S77" s="12">
        <f t="shared" si="6"/>
        <v>178</v>
      </c>
      <c r="T77" s="12">
        <f t="shared" ref="T77:AF77" si="41">T37-S37</f>
        <v>175</v>
      </c>
      <c r="U77" s="12">
        <f t="shared" si="41"/>
        <v>146</v>
      </c>
      <c r="V77" s="12">
        <f t="shared" si="41"/>
        <v>0</v>
      </c>
      <c r="W77" s="12">
        <f t="shared" si="41"/>
        <v>0</v>
      </c>
      <c r="X77" s="12">
        <f t="shared" si="41"/>
        <v>262</v>
      </c>
      <c r="Y77" s="12">
        <f t="shared" si="41"/>
        <v>253</v>
      </c>
      <c r="Z77" s="12">
        <f t="shared" si="41"/>
        <v>0</v>
      </c>
      <c r="AA77" s="12">
        <f t="shared" si="41"/>
        <v>264</v>
      </c>
      <c r="AB77" s="12">
        <f t="shared" si="41"/>
        <v>424</v>
      </c>
      <c r="AC77" s="12">
        <f t="shared" si="41"/>
        <v>431</v>
      </c>
      <c r="AD77" s="12">
        <f t="shared" si="41"/>
        <v>0</v>
      </c>
      <c r="AE77" s="12">
        <f t="shared" si="41"/>
        <v>564</v>
      </c>
      <c r="AF77" s="12">
        <f t="shared" si="41"/>
        <v>407</v>
      </c>
    </row>
    <row r="78" spans="1:32" s="126" customFormat="1" x14ac:dyDescent="0.25">
      <c r="A78" s="13" t="s">
        <v>117</v>
      </c>
      <c r="B78" s="238">
        <v>0</v>
      </c>
      <c r="C78" s="12">
        <f t="shared" si="27"/>
        <v>252</v>
      </c>
      <c r="D78" s="12">
        <f t="shared" si="27"/>
        <v>484</v>
      </c>
      <c r="E78" s="12">
        <f t="shared" si="28"/>
        <v>271</v>
      </c>
      <c r="F78" s="12">
        <f t="shared" si="28"/>
        <v>251</v>
      </c>
      <c r="G78" s="12">
        <f t="shared" si="24"/>
        <v>350</v>
      </c>
      <c r="H78" s="12">
        <f t="shared" si="24"/>
        <v>475</v>
      </c>
      <c r="I78" s="12">
        <f t="shared" si="24"/>
        <v>62</v>
      </c>
      <c r="J78" s="12">
        <f t="shared" si="24"/>
        <v>416</v>
      </c>
      <c r="K78" s="12">
        <f t="shared" si="24"/>
        <v>369</v>
      </c>
      <c r="L78" s="12">
        <f t="shared" si="24"/>
        <v>184</v>
      </c>
      <c r="M78" s="12">
        <f t="shared" si="24"/>
        <v>485</v>
      </c>
      <c r="N78" s="12">
        <f t="shared" si="24"/>
        <v>520</v>
      </c>
      <c r="O78" s="12">
        <f t="shared" si="24"/>
        <v>521</v>
      </c>
      <c r="P78" s="12">
        <f t="shared" si="24"/>
        <v>262</v>
      </c>
      <c r="Q78" s="12">
        <f t="shared" si="5"/>
        <v>287</v>
      </c>
      <c r="R78" s="12">
        <f t="shared" si="6"/>
        <v>483</v>
      </c>
      <c r="S78" s="12">
        <f t="shared" si="6"/>
        <v>433</v>
      </c>
      <c r="T78" s="12">
        <f t="shared" ref="T78:AF78" si="42">T38-S38</f>
        <v>432</v>
      </c>
      <c r="U78" s="12">
        <f t="shared" si="42"/>
        <v>365</v>
      </c>
      <c r="V78" s="12">
        <f t="shared" si="42"/>
        <v>0</v>
      </c>
      <c r="W78" s="12">
        <f t="shared" si="42"/>
        <v>0</v>
      </c>
      <c r="X78" s="12">
        <f t="shared" si="42"/>
        <v>252</v>
      </c>
      <c r="Y78" s="12">
        <f t="shared" si="42"/>
        <v>195</v>
      </c>
      <c r="Z78" s="12">
        <f t="shared" si="42"/>
        <v>0</v>
      </c>
      <c r="AA78" s="12">
        <f t="shared" si="42"/>
        <v>194</v>
      </c>
      <c r="AB78" s="12">
        <f t="shared" si="42"/>
        <v>424</v>
      </c>
      <c r="AC78" s="12">
        <f t="shared" si="42"/>
        <v>364</v>
      </c>
      <c r="AD78" s="12">
        <f t="shared" si="42"/>
        <v>0</v>
      </c>
      <c r="AE78" s="12">
        <f t="shared" si="42"/>
        <v>194</v>
      </c>
      <c r="AF78" s="12">
        <f t="shared" si="42"/>
        <v>433</v>
      </c>
    </row>
    <row r="79" spans="1:32" s="126" customFormat="1" x14ac:dyDescent="0.25">
      <c r="A79" s="11" t="s">
        <v>118</v>
      </c>
      <c r="B79" s="238">
        <v>0</v>
      </c>
      <c r="C79" s="12">
        <f t="shared" si="27"/>
        <v>194</v>
      </c>
      <c r="D79" s="12">
        <f t="shared" si="27"/>
        <v>314</v>
      </c>
      <c r="E79" s="12">
        <f t="shared" si="28"/>
        <v>241</v>
      </c>
      <c r="F79" s="12">
        <f t="shared" si="28"/>
        <v>484</v>
      </c>
      <c r="G79" s="12">
        <f t="shared" ref="G79:P79" si="43">G39-F39</f>
        <v>349</v>
      </c>
      <c r="H79" s="12">
        <f t="shared" si="43"/>
        <v>2</v>
      </c>
      <c r="I79" s="12">
        <f t="shared" si="43"/>
        <v>2</v>
      </c>
      <c r="J79" s="12">
        <f t="shared" si="43"/>
        <v>92</v>
      </c>
      <c r="K79" s="12">
        <f t="shared" si="43"/>
        <v>176</v>
      </c>
      <c r="L79" s="12">
        <f t="shared" si="43"/>
        <v>272</v>
      </c>
      <c r="M79" s="12">
        <f t="shared" si="43"/>
        <v>193</v>
      </c>
      <c r="N79" s="12">
        <f t="shared" si="43"/>
        <v>335</v>
      </c>
      <c r="O79" s="12">
        <f t="shared" si="43"/>
        <v>0</v>
      </c>
      <c r="P79" s="12">
        <f t="shared" si="43"/>
        <v>0</v>
      </c>
      <c r="Q79" s="12">
        <f t="shared" si="5"/>
        <v>168</v>
      </c>
      <c r="R79" s="12">
        <f t="shared" si="6"/>
        <v>262</v>
      </c>
      <c r="S79" s="12">
        <f t="shared" si="6"/>
        <v>435</v>
      </c>
      <c r="T79" s="12">
        <f t="shared" ref="T79:AF79" si="44">T39-S39</f>
        <v>432</v>
      </c>
      <c r="U79" s="12">
        <f t="shared" si="44"/>
        <v>364</v>
      </c>
      <c r="V79" s="12">
        <f t="shared" si="44"/>
        <v>0</v>
      </c>
      <c r="W79" s="12">
        <f t="shared" si="44"/>
        <v>20</v>
      </c>
      <c r="X79" s="12">
        <f t="shared" si="44"/>
        <v>202</v>
      </c>
      <c r="Y79" s="12">
        <f t="shared" si="44"/>
        <v>502</v>
      </c>
      <c r="Z79" s="12">
        <f t="shared" si="44"/>
        <v>44</v>
      </c>
      <c r="AA79" s="12">
        <f t="shared" si="44"/>
        <v>351</v>
      </c>
      <c r="AB79" s="12">
        <f t="shared" si="44"/>
        <v>451</v>
      </c>
      <c r="AC79" s="12">
        <f t="shared" si="44"/>
        <v>0</v>
      </c>
      <c r="AD79" s="12">
        <f t="shared" si="44"/>
        <v>0</v>
      </c>
      <c r="AE79" s="12">
        <f t="shared" si="44"/>
        <v>300</v>
      </c>
      <c r="AF79" s="12">
        <f t="shared" si="44"/>
        <v>568</v>
      </c>
    </row>
    <row r="80" spans="1:32" ht="15.75" thickBot="1" x14ac:dyDescent="0.3">
      <c r="A80" s="14"/>
      <c r="B80" s="174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E80" s="126"/>
      <c r="AF80" s="126"/>
    </row>
    <row r="81" spans="1:32" ht="15.75" thickBot="1" x14ac:dyDescent="0.3">
      <c r="A81" s="15" t="s">
        <v>34</v>
      </c>
      <c r="B81" s="16">
        <f t="shared" ref="B81:P81" si="45">SUM(B45:B79)</f>
        <v>4759</v>
      </c>
      <c r="C81" s="16">
        <f t="shared" si="45"/>
        <v>12498</v>
      </c>
      <c r="D81" s="16">
        <f t="shared" si="45"/>
        <v>12507</v>
      </c>
      <c r="E81" s="16">
        <f t="shared" si="45"/>
        <v>12754</v>
      </c>
      <c r="F81" s="16">
        <f t="shared" si="45"/>
        <v>12495</v>
      </c>
      <c r="G81" s="16">
        <f t="shared" si="45"/>
        <v>12453</v>
      </c>
      <c r="H81" s="16">
        <f t="shared" si="45"/>
        <v>6541</v>
      </c>
      <c r="I81" s="16">
        <f t="shared" si="45"/>
        <v>5155</v>
      </c>
      <c r="J81" s="16">
        <f t="shared" si="45"/>
        <v>12414</v>
      </c>
      <c r="K81" s="16">
        <f t="shared" si="45"/>
        <v>12439</v>
      </c>
      <c r="L81" s="16">
        <f t="shared" si="45"/>
        <v>12506</v>
      </c>
      <c r="M81" s="16">
        <f t="shared" si="45"/>
        <v>12498</v>
      </c>
      <c r="N81" s="16">
        <f t="shared" si="45"/>
        <v>12480</v>
      </c>
      <c r="O81" s="16">
        <f t="shared" si="45"/>
        <v>9568</v>
      </c>
      <c r="P81" s="16">
        <f t="shared" si="45"/>
        <v>7421</v>
      </c>
      <c r="Q81" s="16">
        <f>SUM(Q45:Q79)</f>
        <v>12478</v>
      </c>
      <c r="R81" s="16">
        <f t="shared" ref="R81:AD81" si="46">SUM(R45:R79)</f>
        <v>12679</v>
      </c>
      <c r="S81" s="16">
        <f t="shared" si="46"/>
        <v>12507</v>
      </c>
      <c r="T81" s="16">
        <f t="shared" si="46"/>
        <v>12352</v>
      </c>
      <c r="U81" s="16">
        <f t="shared" si="46"/>
        <v>12408</v>
      </c>
      <c r="V81" s="16">
        <f t="shared" si="46"/>
        <v>6586</v>
      </c>
      <c r="W81" s="16">
        <f t="shared" ref="W81" si="47">SUM(W45:W79)</f>
        <v>5006</v>
      </c>
      <c r="X81" s="16">
        <f t="shared" si="46"/>
        <v>12235</v>
      </c>
      <c r="Y81" s="16">
        <f t="shared" si="46"/>
        <v>12626</v>
      </c>
      <c r="Z81" s="16">
        <f t="shared" si="46"/>
        <v>4941</v>
      </c>
      <c r="AA81" s="16">
        <f t="shared" si="46"/>
        <v>12537</v>
      </c>
      <c r="AB81" s="16">
        <f t="shared" si="46"/>
        <v>12508</v>
      </c>
      <c r="AC81" s="16">
        <f t="shared" si="46"/>
        <v>6562</v>
      </c>
      <c r="AD81" s="16">
        <f t="shared" si="46"/>
        <v>5032</v>
      </c>
      <c r="AE81" s="16">
        <f t="shared" ref="AE81:AF81" si="48">SUM(AE45:AE79)</f>
        <v>11599</v>
      </c>
      <c r="AF81" s="16">
        <f t="shared" si="48"/>
        <v>13961</v>
      </c>
    </row>
    <row r="82" spans="1:32" s="126" customFormat="1" x14ac:dyDescent="0.25">
      <c r="A82" s="256"/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  <c r="AA82" s="257"/>
      <c r="AB82" s="257"/>
      <c r="AC82" s="257"/>
      <c r="AD82" s="257"/>
      <c r="AE82" s="257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248"/>
  <sheetViews>
    <sheetView tabSelected="1" zoomScaleNormal="100" workbookViewId="0">
      <pane ySplit="4" topLeftCell="A202" activePane="bottomLeft" state="frozen"/>
      <selection pane="bottomLeft" activeCell="V238" sqref="V238"/>
    </sheetView>
  </sheetViews>
  <sheetFormatPr baseColWidth="10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3.28515625" customWidth="1"/>
    <col min="11" max="11" width="14.140625" customWidth="1"/>
    <col min="13" max="13" width="15.140625" customWidth="1"/>
    <col min="15" max="15" width="12" customWidth="1"/>
    <col min="16" max="16" width="6.7109375" customWidth="1"/>
    <col min="17" max="17" width="6.28515625" customWidth="1"/>
    <col min="18" max="18" width="6" style="126" customWidth="1"/>
    <col min="19" max="19" width="7.140625" customWidth="1"/>
    <col min="20" max="20" width="7" customWidth="1"/>
  </cols>
  <sheetData>
    <row r="1" spans="1:21" x14ac:dyDescent="0.25">
      <c r="A1" s="17"/>
      <c r="B1" s="18"/>
      <c r="C1" s="18"/>
      <c r="D1" s="18"/>
      <c r="E1" s="18"/>
      <c r="F1" s="326" t="s">
        <v>184</v>
      </c>
      <c r="G1" s="325" t="s">
        <v>125</v>
      </c>
      <c r="H1" s="159">
        <v>21.7</v>
      </c>
      <c r="I1" s="159" t="s">
        <v>35</v>
      </c>
      <c r="J1" s="159">
        <v>25.4</v>
      </c>
      <c r="K1" s="159" t="s">
        <v>36</v>
      </c>
      <c r="L1" s="159">
        <v>29.11</v>
      </c>
      <c r="M1" s="159" t="s">
        <v>119</v>
      </c>
      <c r="N1" s="159">
        <v>21.7</v>
      </c>
      <c r="O1" s="247" t="s">
        <v>157</v>
      </c>
      <c r="P1" s="263">
        <v>8.3000000000000007</v>
      </c>
      <c r="Q1" s="247" t="s">
        <v>158</v>
      </c>
      <c r="R1" s="263">
        <v>34.83</v>
      </c>
      <c r="S1" s="247" t="s">
        <v>161</v>
      </c>
      <c r="T1" s="275">
        <v>11.7</v>
      </c>
      <c r="U1" s="301" t="s">
        <v>166</v>
      </c>
    </row>
    <row r="2" spans="1:21" ht="15.75" thickBot="1" x14ac:dyDescent="0.3">
      <c r="A2" s="17"/>
      <c r="B2" s="329" t="s">
        <v>37</v>
      </c>
      <c r="C2" s="329"/>
      <c r="D2" s="330" t="s">
        <v>37</v>
      </c>
      <c r="E2" s="331"/>
      <c r="F2" s="327">
        <v>39.4</v>
      </c>
      <c r="G2" s="325" t="s">
        <v>150</v>
      </c>
      <c r="H2" s="213">
        <v>30.4</v>
      </c>
      <c r="I2" s="159" t="s">
        <v>121</v>
      </c>
      <c r="J2" s="159">
        <v>25.4</v>
      </c>
      <c r="K2" s="159" t="s">
        <v>38</v>
      </c>
      <c r="L2" s="159">
        <v>43.13</v>
      </c>
      <c r="M2" s="159" t="s">
        <v>110</v>
      </c>
      <c r="N2" s="159">
        <v>35.729999999999997</v>
      </c>
      <c r="O2" s="247" t="s">
        <v>156</v>
      </c>
      <c r="P2" s="245">
        <v>33.97</v>
      </c>
      <c r="Q2" s="247" t="s">
        <v>159</v>
      </c>
      <c r="R2" s="274">
        <v>7.4</v>
      </c>
      <c r="S2" s="247" t="s">
        <v>165</v>
      </c>
      <c r="T2" s="281">
        <v>12.73</v>
      </c>
      <c r="U2" s="301">
        <v>21.4</v>
      </c>
    </row>
    <row r="3" spans="1:21" ht="14.1" customHeight="1" x14ac:dyDescent="0.25">
      <c r="A3" s="17"/>
      <c r="B3" s="329" t="s">
        <v>39</v>
      </c>
      <c r="C3" s="329"/>
      <c r="D3" s="330" t="s">
        <v>40</v>
      </c>
      <c r="E3" s="330"/>
      <c r="F3" s="339" t="s">
        <v>41</v>
      </c>
      <c r="G3" s="340" t="s">
        <v>42</v>
      </c>
      <c r="H3" s="340" t="s">
        <v>43</v>
      </c>
      <c r="I3" s="340" t="s">
        <v>44</v>
      </c>
      <c r="J3" s="340" t="s">
        <v>45</v>
      </c>
      <c r="K3" s="340" t="s">
        <v>46</v>
      </c>
      <c r="L3" s="340" t="s">
        <v>47</v>
      </c>
      <c r="M3" s="338" t="s">
        <v>48</v>
      </c>
      <c r="N3" s="338" t="s">
        <v>49</v>
      </c>
      <c r="O3" s="337"/>
      <c r="P3" s="347" t="s">
        <v>142</v>
      </c>
      <c r="Q3" s="348"/>
      <c r="R3" s="349"/>
      <c r="S3" s="350" t="s">
        <v>145</v>
      </c>
      <c r="T3" s="351"/>
      <c r="U3" s="335" t="s">
        <v>146</v>
      </c>
    </row>
    <row r="4" spans="1:21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40"/>
      <c r="G4" s="354"/>
      <c r="H4" s="340"/>
      <c r="I4" s="340"/>
      <c r="J4" s="340"/>
      <c r="K4" s="340"/>
      <c r="L4" s="340"/>
      <c r="M4" s="338"/>
      <c r="N4" s="338"/>
      <c r="O4" s="337"/>
      <c r="P4" s="199" t="s">
        <v>143</v>
      </c>
      <c r="Q4" s="200" t="s">
        <v>144</v>
      </c>
      <c r="R4" s="200" t="s">
        <v>149</v>
      </c>
      <c r="S4" s="201" t="s">
        <v>143</v>
      </c>
      <c r="T4" s="250" t="s">
        <v>144</v>
      </c>
      <c r="U4" s="336"/>
    </row>
    <row r="5" spans="1:21" x14ac:dyDescent="0.25">
      <c r="A5" s="211">
        <v>45627</v>
      </c>
      <c r="B5" s="229">
        <v>33</v>
      </c>
      <c r="C5" s="229">
        <v>14</v>
      </c>
      <c r="D5" s="139">
        <f>'Data Ocupacion'!D34</f>
        <v>23</v>
      </c>
      <c r="E5" s="139">
        <f>'Data Ocupacion'!E34</f>
        <v>16</v>
      </c>
      <c r="F5" s="229" t="s">
        <v>38</v>
      </c>
      <c r="G5" s="229">
        <f t="shared" ref="G5:G10" si="0">D5+E5*2</f>
        <v>55</v>
      </c>
      <c r="H5" s="229">
        <f t="shared" ref="H5:H10" si="1">D5+E5</f>
        <v>39</v>
      </c>
      <c r="I5" s="229">
        <f>G5*L$2</f>
        <v>2372.15</v>
      </c>
      <c r="J5" s="155">
        <f>H5*L$2</f>
        <v>1682.0700000000002</v>
      </c>
      <c r="K5" s="229">
        <f t="shared" ref="K5:K10" si="2">I5*104</f>
        <v>246703.6</v>
      </c>
      <c r="L5" s="229">
        <f t="shared" ref="L5:L10" si="3">H5*104</f>
        <v>4056</v>
      </c>
      <c r="M5" s="19"/>
      <c r="N5" s="19"/>
      <c r="O5" s="148"/>
      <c r="P5" s="187"/>
      <c r="Q5" s="187"/>
      <c r="R5" s="214"/>
      <c r="S5" s="283"/>
      <c r="T5" s="196"/>
      <c r="U5" s="189">
        <f>I5-((P5*($L$2-$J$1)))-(S5*($J$1))</f>
        <v>2372.15</v>
      </c>
    </row>
    <row r="6" spans="1:21" ht="15" customHeight="1" x14ac:dyDescent="0.25">
      <c r="A6" s="332" t="s">
        <v>169</v>
      </c>
      <c r="B6" s="229">
        <v>36</v>
      </c>
      <c r="C6" s="229">
        <v>11</v>
      </c>
      <c r="D6" s="139">
        <f>'Data Ocupacion'!D35</f>
        <v>25</v>
      </c>
      <c r="E6" s="139">
        <f>'Data Ocupacion'!E35</f>
        <v>15</v>
      </c>
      <c r="F6" s="229" t="s">
        <v>52</v>
      </c>
      <c r="G6" s="229">
        <f t="shared" si="0"/>
        <v>55</v>
      </c>
      <c r="H6" s="229">
        <f t="shared" si="1"/>
        <v>40</v>
      </c>
      <c r="I6" s="229">
        <f>G6*L$2</f>
        <v>2372.15</v>
      </c>
      <c r="J6" s="155">
        <f>H6*L$2</f>
        <v>1725.2</v>
      </c>
      <c r="K6" s="229">
        <f t="shared" si="2"/>
        <v>246703.6</v>
      </c>
      <c r="L6" s="229">
        <f t="shared" si="3"/>
        <v>4160</v>
      </c>
      <c r="M6" s="19"/>
      <c r="N6" s="19"/>
      <c r="O6" s="148"/>
      <c r="P6" s="191"/>
      <c r="Q6" s="191"/>
      <c r="R6" s="191"/>
      <c r="S6" s="187"/>
      <c r="T6" s="212"/>
      <c r="U6" s="189">
        <f>I6-(S6*($L$2-$J$1)+(T6*($L$2-$L$1)))</f>
        <v>2372.15</v>
      </c>
    </row>
    <row r="7" spans="1:21" ht="15" customHeight="1" x14ac:dyDescent="0.25">
      <c r="A7" s="332"/>
      <c r="B7" s="229">
        <v>0</v>
      </c>
      <c r="C7" s="229">
        <v>0</v>
      </c>
      <c r="D7" s="139">
        <f>'Data Ocupacion'!D36</f>
        <v>0</v>
      </c>
      <c r="E7" s="139">
        <f>'Data Ocupacion'!E36</f>
        <v>0</v>
      </c>
      <c r="F7" s="229" t="s">
        <v>36</v>
      </c>
      <c r="G7" s="229">
        <f t="shared" si="0"/>
        <v>0</v>
      </c>
      <c r="H7" s="229">
        <f t="shared" si="1"/>
        <v>0</v>
      </c>
      <c r="I7" s="229">
        <f>G7*L$1</f>
        <v>0</v>
      </c>
      <c r="J7" s="155">
        <f>H7*L$1</f>
        <v>0</v>
      </c>
      <c r="K7" s="229">
        <f t="shared" si="2"/>
        <v>0</v>
      </c>
      <c r="L7" s="229">
        <f t="shared" si="3"/>
        <v>0</v>
      </c>
      <c r="M7" s="19"/>
      <c r="N7" s="19"/>
      <c r="O7" s="148"/>
      <c r="P7" s="190"/>
      <c r="Q7" s="192"/>
      <c r="R7" s="215"/>
      <c r="S7" s="193"/>
      <c r="T7" s="194"/>
      <c r="U7" s="186">
        <f>I7-(P7*($L$1-$J$1))</f>
        <v>0</v>
      </c>
    </row>
    <row r="8" spans="1:21" ht="15" customHeight="1" x14ac:dyDescent="0.25">
      <c r="A8" s="332"/>
      <c r="B8" s="229">
        <v>0</v>
      </c>
      <c r="C8" s="229">
        <v>0</v>
      </c>
      <c r="D8" s="139">
        <f>'Data Ocupacion'!D37</f>
        <v>0</v>
      </c>
      <c r="E8" s="139">
        <f>'Data Ocupacion'!E37</f>
        <v>0</v>
      </c>
      <c r="F8" s="229" t="s">
        <v>53</v>
      </c>
      <c r="G8" s="229">
        <f t="shared" si="0"/>
        <v>0</v>
      </c>
      <c r="H8" s="229">
        <f t="shared" si="1"/>
        <v>0</v>
      </c>
      <c r="I8" s="229">
        <f>G8*L$1</f>
        <v>0</v>
      </c>
      <c r="J8" s="155">
        <f>H8*L$1</f>
        <v>0</v>
      </c>
      <c r="K8" s="229">
        <f t="shared" si="2"/>
        <v>0</v>
      </c>
      <c r="L8" s="229">
        <f t="shared" si="3"/>
        <v>0</v>
      </c>
      <c r="M8" s="167"/>
      <c r="N8" s="19"/>
      <c r="O8" s="148"/>
      <c r="P8" s="194"/>
      <c r="Q8" s="194"/>
      <c r="R8" s="194"/>
      <c r="S8" s="194"/>
      <c r="T8" s="194"/>
      <c r="U8" s="186">
        <f t="shared" ref="U8:U9" si="4">I8</f>
        <v>0</v>
      </c>
    </row>
    <row r="9" spans="1:21" s="126" customFormat="1" ht="15" customHeight="1" x14ac:dyDescent="0.25">
      <c r="A9" s="332"/>
      <c r="B9" s="229">
        <v>0</v>
      </c>
      <c r="C9" s="229">
        <v>0</v>
      </c>
      <c r="D9" s="139">
        <f>'Data Ocupacion'!D38</f>
        <v>0</v>
      </c>
      <c r="E9" s="139">
        <f>'Data Ocupacion'!E38</f>
        <v>0</v>
      </c>
      <c r="F9" s="229" t="s">
        <v>122</v>
      </c>
      <c r="G9" s="229">
        <f t="shared" si="0"/>
        <v>0</v>
      </c>
      <c r="H9" s="229">
        <f t="shared" si="1"/>
        <v>0</v>
      </c>
      <c r="I9" s="229">
        <f>G9*J$1</f>
        <v>0</v>
      </c>
      <c r="J9" s="155">
        <f>H9*J$1</f>
        <v>0</v>
      </c>
      <c r="K9" s="229">
        <f t="shared" si="2"/>
        <v>0</v>
      </c>
      <c r="L9" s="229">
        <f t="shared" si="3"/>
        <v>0</v>
      </c>
      <c r="M9" s="167"/>
      <c r="N9" s="19"/>
      <c r="O9" s="148"/>
      <c r="P9" s="194"/>
      <c r="Q9" s="194"/>
      <c r="R9" s="194"/>
      <c r="S9" s="194"/>
      <c r="T9" s="194"/>
      <c r="U9" s="186">
        <f t="shared" si="4"/>
        <v>0</v>
      </c>
    </row>
    <row r="10" spans="1:21" ht="15.75" customHeight="1" thickBot="1" x14ac:dyDescent="0.3">
      <c r="A10" s="332"/>
      <c r="B10" s="229">
        <v>0</v>
      </c>
      <c r="C10" s="229">
        <v>0</v>
      </c>
      <c r="D10" s="139">
        <f>'Data Ocupacion'!D39</f>
        <v>0</v>
      </c>
      <c r="E10" s="139">
        <f>'Data Ocupacion'!E39</f>
        <v>0</v>
      </c>
      <c r="F10" s="229" t="s">
        <v>35</v>
      </c>
      <c r="G10" s="229">
        <f t="shared" si="0"/>
        <v>0</v>
      </c>
      <c r="H10" s="229">
        <f t="shared" si="1"/>
        <v>0</v>
      </c>
      <c r="I10" s="229">
        <f>G10*J$1</f>
        <v>0</v>
      </c>
      <c r="J10" s="155">
        <f>H10*J$1</f>
        <v>0</v>
      </c>
      <c r="K10" s="229">
        <f t="shared" si="2"/>
        <v>0</v>
      </c>
      <c r="L10" s="229">
        <f t="shared" si="3"/>
        <v>0</v>
      </c>
      <c r="M10" s="19"/>
      <c r="N10" s="19"/>
      <c r="O10" s="148"/>
      <c r="P10" s="194"/>
      <c r="Q10" s="194"/>
      <c r="R10" s="194"/>
      <c r="S10" s="194"/>
      <c r="T10" s="194"/>
      <c r="U10" s="186">
        <f>I10</f>
        <v>0</v>
      </c>
    </row>
    <row r="11" spans="1:21" ht="15.75" thickBot="1" x14ac:dyDescent="0.3">
      <c r="A11" s="20"/>
      <c r="B11" s="228">
        <f>SUM(B5:B10)</f>
        <v>69</v>
      </c>
      <c r="C11" s="228">
        <f>SUM(C5:C10)</f>
        <v>25</v>
      </c>
      <c r="D11" s="154">
        <f>SUM(D5:D10)</f>
        <v>48</v>
      </c>
      <c r="E11" s="154">
        <f>SUM(E5:E10)</f>
        <v>31</v>
      </c>
      <c r="F11" s="120"/>
      <c r="G11" s="120">
        <f t="shared" ref="G11:L11" si="5">SUM(G5:G10)</f>
        <v>110</v>
      </c>
      <c r="H11" s="120">
        <f t="shared" si="5"/>
        <v>79</v>
      </c>
      <c r="I11" s="120">
        <f t="shared" si="5"/>
        <v>4744.3</v>
      </c>
      <c r="J11" s="120">
        <f t="shared" si="5"/>
        <v>3407.2700000000004</v>
      </c>
      <c r="K11" s="119">
        <f t="shared" si="5"/>
        <v>493407.2</v>
      </c>
      <c r="L11" s="153">
        <f t="shared" si="5"/>
        <v>8216</v>
      </c>
      <c r="M11" s="125">
        <f>'Odometro-Kilometraje'!B81</f>
        <v>4759</v>
      </c>
      <c r="N11" s="21">
        <f>(U11/M11)*100</f>
        <v>99.691111578062618</v>
      </c>
      <c r="O11" s="197"/>
      <c r="P11" s="185"/>
      <c r="Q11" s="185"/>
      <c r="R11" s="185"/>
      <c r="S11" s="185"/>
      <c r="T11" s="185"/>
      <c r="U11" s="198">
        <f>SUM(U5:U10)</f>
        <v>4744.3</v>
      </c>
    </row>
    <row r="12" spans="1:21" x14ac:dyDescent="0.25">
      <c r="A12" s="61">
        <f>A5+1</f>
        <v>45628</v>
      </c>
      <c r="B12" s="127">
        <v>42</v>
      </c>
      <c r="C12" s="127">
        <v>37</v>
      </c>
      <c r="D12" s="280">
        <f>'Data Ocupacion'!F34</f>
        <v>41</v>
      </c>
      <c r="E12" s="280">
        <f>'Data Ocupacion'!G34</f>
        <v>38</v>
      </c>
      <c r="F12" s="127" t="s">
        <v>38</v>
      </c>
      <c r="G12" s="127">
        <f t="shared" ref="G12:G17" si="6">D12+E12*2</f>
        <v>117</v>
      </c>
      <c r="H12" s="127">
        <f t="shared" ref="H12:H17" si="7">D12+E12</f>
        <v>79</v>
      </c>
      <c r="I12" s="127">
        <f>G12*L$2</f>
        <v>5046.21</v>
      </c>
      <c r="J12" s="155">
        <f>H12*L$2</f>
        <v>3407.27</v>
      </c>
      <c r="K12" s="127">
        <f t="shared" ref="K12:K17" si="8">I12*104</f>
        <v>524805.84</v>
      </c>
      <c r="L12" s="127">
        <f t="shared" ref="L12:L17" si="9">H12*104</f>
        <v>8216</v>
      </c>
      <c r="M12" s="19"/>
      <c r="N12" s="19"/>
      <c r="O12" s="148"/>
      <c r="P12" s="187">
        <v>3</v>
      </c>
      <c r="Q12" s="187"/>
      <c r="R12" s="214"/>
      <c r="S12" s="187"/>
      <c r="T12" s="196"/>
      <c r="U12" s="189">
        <f>I12-((P12*($L$2-$J$1)))-(S12*($J$1))</f>
        <v>4993.0200000000004</v>
      </c>
    </row>
    <row r="13" spans="1:21" ht="15" customHeight="1" x14ac:dyDescent="0.25">
      <c r="A13" s="271"/>
      <c r="B13" s="127">
        <v>40</v>
      </c>
      <c r="C13" s="127">
        <v>38</v>
      </c>
      <c r="D13" s="280">
        <f>'Data Ocupacion'!F35</f>
        <v>39</v>
      </c>
      <c r="E13" s="280">
        <f>'Data Ocupacion'!G35</f>
        <v>39</v>
      </c>
      <c r="F13" s="127" t="s">
        <v>52</v>
      </c>
      <c r="G13" s="127">
        <f t="shared" si="6"/>
        <v>117</v>
      </c>
      <c r="H13" s="127">
        <f t="shared" si="7"/>
        <v>78</v>
      </c>
      <c r="I13" s="127">
        <f>G13*L$2</f>
        <v>5046.21</v>
      </c>
      <c r="J13" s="155">
        <f>H13*L$2</f>
        <v>3364.1400000000003</v>
      </c>
      <c r="K13" s="127">
        <f t="shared" si="8"/>
        <v>524805.84</v>
      </c>
      <c r="L13" s="127">
        <f t="shared" si="9"/>
        <v>8112</v>
      </c>
      <c r="M13" s="19"/>
      <c r="N13" s="19"/>
      <c r="O13" s="148"/>
      <c r="P13" s="191"/>
      <c r="Q13" s="191"/>
      <c r="R13" s="191"/>
      <c r="S13" s="187"/>
      <c r="T13" s="187"/>
      <c r="U13" s="189">
        <f>I13-(S13*($L$2-$J$1)+(T13*($L$2-$L$1)))</f>
        <v>5046.21</v>
      </c>
    </row>
    <row r="14" spans="1:21" ht="15.75" customHeight="1" x14ac:dyDescent="0.25">
      <c r="A14" s="271"/>
      <c r="B14" s="127">
        <v>29</v>
      </c>
      <c r="C14" s="127">
        <v>4</v>
      </c>
      <c r="D14" s="280">
        <f>'Data Ocupacion'!F36</f>
        <v>29</v>
      </c>
      <c r="E14" s="280">
        <f>'Data Ocupacion'!G36</f>
        <v>4</v>
      </c>
      <c r="F14" s="127" t="s">
        <v>36</v>
      </c>
      <c r="G14" s="127">
        <f t="shared" si="6"/>
        <v>37</v>
      </c>
      <c r="H14" s="127">
        <f t="shared" si="7"/>
        <v>33</v>
      </c>
      <c r="I14" s="127">
        <f>G14*L$1</f>
        <v>1077.07</v>
      </c>
      <c r="J14" s="155">
        <f>H14*L$1</f>
        <v>960.63</v>
      </c>
      <c r="K14" s="127">
        <f t="shared" si="8"/>
        <v>112015.28</v>
      </c>
      <c r="L14" s="127">
        <f t="shared" si="9"/>
        <v>3432</v>
      </c>
      <c r="M14" s="19"/>
      <c r="N14" s="19"/>
      <c r="O14" s="148"/>
      <c r="P14" s="190"/>
      <c r="Q14" s="192"/>
      <c r="R14" s="215"/>
      <c r="S14" s="193"/>
      <c r="T14" s="194"/>
      <c r="U14" s="186">
        <f>I14-(P14*($L$1-$J$1))</f>
        <v>1077.07</v>
      </c>
    </row>
    <row r="15" spans="1:21" ht="15" customHeight="1" x14ac:dyDescent="0.25">
      <c r="A15" s="271"/>
      <c r="B15" s="127">
        <v>28</v>
      </c>
      <c r="C15" s="127">
        <v>4</v>
      </c>
      <c r="D15" s="280">
        <f>'Data Ocupacion'!F37</f>
        <v>28</v>
      </c>
      <c r="E15" s="280">
        <f>'Data Ocupacion'!G37</f>
        <v>4</v>
      </c>
      <c r="F15" s="127" t="s">
        <v>53</v>
      </c>
      <c r="G15" s="127">
        <f t="shared" si="6"/>
        <v>36</v>
      </c>
      <c r="H15" s="127">
        <f t="shared" si="7"/>
        <v>32</v>
      </c>
      <c r="I15" s="127">
        <f>G15*L$1</f>
        <v>1047.96</v>
      </c>
      <c r="J15" s="155">
        <f>H15*L$1</f>
        <v>931.52</v>
      </c>
      <c r="K15" s="127">
        <f t="shared" si="8"/>
        <v>108987.84</v>
      </c>
      <c r="L15" s="127">
        <f t="shared" si="9"/>
        <v>3328</v>
      </c>
      <c r="M15" s="167"/>
      <c r="N15" s="19"/>
      <c r="O15" s="148"/>
      <c r="P15" s="194"/>
      <c r="Q15" s="194"/>
      <c r="R15" s="194"/>
      <c r="S15" s="194"/>
      <c r="T15" s="194"/>
      <c r="U15" s="186">
        <f t="shared" ref="U15:U16" si="10">I15</f>
        <v>1047.96</v>
      </c>
    </row>
    <row r="16" spans="1:21" s="126" customFormat="1" ht="15" customHeight="1" x14ac:dyDescent="0.25">
      <c r="A16" s="271"/>
      <c r="B16" s="127">
        <v>0</v>
      </c>
      <c r="C16" s="127">
        <v>0</v>
      </c>
      <c r="D16" s="128">
        <f>'Data Ocupacion'!F38</f>
        <v>0</v>
      </c>
      <c r="E16" s="128">
        <f>'Data Ocupacion'!G38</f>
        <v>0</v>
      </c>
      <c r="F16" s="127" t="s">
        <v>122</v>
      </c>
      <c r="G16" s="127">
        <f t="shared" si="6"/>
        <v>0</v>
      </c>
      <c r="H16" s="127">
        <f t="shared" si="7"/>
        <v>0</v>
      </c>
      <c r="I16" s="127">
        <f>G16*J$1</f>
        <v>0</v>
      </c>
      <c r="J16" s="155">
        <f>H16*J$1</f>
        <v>0</v>
      </c>
      <c r="K16" s="127">
        <f t="shared" si="8"/>
        <v>0</v>
      </c>
      <c r="L16" s="127">
        <f t="shared" si="9"/>
        <v>0</v>
      </c>
      <c r="M16" s="167"/>
      <c r="N16" s="19"/>
      <c r="O16" s="148"/>
      <c r="P16" s="194"/>
      <c r="Q16" s="194"/>
      <c r="R16" s="194"/>
      <c r="S16" s="194"/>
      <c r="T16" s="194"/>
      <c r="U16" s="186">
        <f t="shared" si="10"/>
        <v>0</v>
      </c>
    </row>
    <row r="17" spans="1:22" ht="15.75" customHeight="1" thickBot="1" x14ac:dyDescent="0.3">
      <c r="A17" s="271"/>
      <c r="B17" s="127">
        <v>1</v>
      </c>
      <c r="C17" s="127">
        <v>0</v>
      </c>
      <c r="D17" s="128">
        <f>'Data Ocupacion'!F39</f>
        <v>1</v>
      </c>
      <c r="E17" s="128">
        <f>'Data Ocupacion'!G39</f>
        <v>0</v>
      </c>
      <c r="F17" s="127" t="s">
        <v>35</v>
      </c>
      <c r="G17" s="127">
        <f t="shared" si="6"/>
        <v>1</v>
      </c>
      <c r="H17" s="127">
        <f t="shared" si="7"/>
        <v>1</v>
      </c>
      <c r="I17" s="127">
        <f>G17*J$1</f>
        <v>25.4</v>
      </c>
      <c r="J17" s="155">
        <f>H17*J$1</f>
        <v>25.4</v>
      </c>
      <c r="K17" s="127">
        <f t="shared" si="8"/>
        <v>2641.6</v>
      </c>
      <c r="L17" s="127">
        <f t="shared" si="9"/>
        <v>104</v>
      </c>
      <c r="M17" s="19"/>
      <c r="N17" s="19"/>
      <c r="O17" s="148"/>
      <c r="P17" s="194"/>
      <c r="Q17" s="194"/>
      <c r="R17" s="194"/>
      <c r="S17" s="194"/>
      <c r="T17" s="194"/>
      <c r="U17" s="186">
        <f>I17</f>
        <v>25.4</v>
      </c>
    </row>
    <row r="18" spans="1:22" ht="15.75" thickBot="1" x14ac:dyDescent="0.3">
      <c r="A18" s="20"/>
      <c r="B18" s="228">
        <f>SUM(B12:B17)</f>
        <v>140</v>
      </c>
      <c r="C18" s="228">
        <f>SUM(C12:C17)</f>
        <v>83</v>
      </c>
      <c r="D18" s="154">
        <f>SUM(D12:D17)</f>
        <v>138</v>
      </c>
      <c r="E18" s="154">
        <f>SUM(E12:E17)</f>
        <v>85</v>
      </c>
      <c r="F18" s="120"/>
      <c r="G18" s="120">
        <f t="shared" ref="G18:L18" si="11">SUM(G12:G17)</f>
        <v>308</v>
      </c>
      <c r="H18" s="120">
        <f t="shared" si="11"/>
        <v>223</v>
      </c>
      <c r="I18" s="120">
        <f t="shared" si="11"/>
        <v>12242.85</v>
      </c>
      <c r="J18" s="120">
        <f t="shared" si="11"/>
        <v>8688.9599999999991</v>
      </c>
      <c r="K18" s="119">
        <f t="shared" si="11"/>
        <v>1273256.4000000001</v>
      </c>
      <c r="L18" s="153">
        <f t="shared" si="11"/>
        <v>23192</v>
      </c>
      <c r="M18" s="125">
        <f>'Odometro-Kilometraje'!C81</f>
        <v>12498</v>
      </c>
      <c r="N18" s="21">
        <f>(U18/M18)*100</f>
        <v>97.532885261641837</v>
      </c>
      <c r="O18" s="197"/>
      <c r="P18" s="185"/>
      <c r="Q18" s="185"/>
      <c r="R18" s="185"/>
      <c r="S18" s="185"/>
      <c r="T18" s="185"/>
      <c r="U18" s="198">
        <f>SUM(U12:U17)</f>
        <v>12189.659999999998</v>
      </c>
    </row>
    <row r="19" spans="1:22" x14ac:dyDescent="0.25">
      <c r="A19" s="61">
        <f>A12+1</f>
        <v>45629</v>
      </c>
      <c r="B19" s="127">
        <v>42</v>
      </c>
      <c r="C19" s="127">
        <v>37</v>
      </c>
      <c r="D19" s="128">
        <f>'Data Ocupacion'!H34</f>
        <v>42</v>
      </c>
      <c r="E19" s="128">
        <f>'Data Ocupacion'!I34</f>
        <v>37</v>
      </c>
      <c r="F19" s="127" t="s">
        <v>38</v>
      </c>
      <c r="G19" s="127">
        <f t="shared" ref="G19:G24" si="12">D19+E19*2</f>
        <v>116</v>
      </c>
      <c r="H19" s="127">
        <f t="shared" ref="H19:H24" si="13">D19+E19</f>
        <v>79</v>
      </c>
      <c r="I19" s="127">
        <f>G19*L$2</f>
        <v>5003.08</v>
      </c>
      <c r="J19" s="155">
        <f>H19*L$2</f>
        <v>3407.27</v>
      </c>
      <c r="K19" s="127">
        <f t="shared" ref="K19:K24" si="14">I19*104</f>
        <v>520320.32</v>
      </c>
      <c r="L19" s="127">
        <f t="shared" ref="L19:L24" si="15">H19*104</f>
        <v>8216</v>
      </c>
      <c r="M19" s="19"/>
      <c r="N19" s="19"/>
      <c r="O19" s="148"/>
      <c r="P19" s="187">
        <v>4</v>
      </c>
      <c r="Q19" s="187"/>
      <c r="R19" s="214"/>
      <c r="S19" s="208"/>
      <c r="T19" s="196"/>
      <c r="U19" s="189">
        <f>I19-((P19*($L$2-$J$1)))-(S19*($J$1))</f>
        <v>4932.16</v>
      </c>
    </row>
    <row r="20" spans="1:22" ht="15.75" customHeight="1" x14ac:dyDescent="0.25">
      <c r="A20" s="271"/>
      <c r="B20" s="127">
        <v>40</v>
      </c>
      <c r="C20" s="127">
        <v>38</v>
      </c>
      <c r="D20" s="128">
        <f>'Data Ocupacion'!H35</f>
        <v>40</v>
      </c>
      <c r="E20" s="128">
        <f>'Data Ocupacion'!I35</f>
        <v>38</v>
      </c>
      <c r="F20" s="127" t="s">
        <v>52</v>
      </c>
      <c r="G20" s="127">
        <f t="shared" si="12"/>
        <v>116</v>
      </c>
      <c r="H20" s="127">
        <f t="shared" si="13"/>
        <v>78</v>
      </c>
      <c r="I20" s="127">
        <f>G20*L$2</f>
        <v>5003.08</v>
      </c>
      <c r="J20" s="155">
        <f>H20*L$2</f>
        <v>3364.1400000000003</v>
      </c>
      <c r="K20" s="127">
        <f t="shared" si="14"/>
        <v>520320.32</v>
      </c>
      <c r="L20" s="127">
        <f t="shared" si="15"/>
        <v>8112</v>
      </c>
      <c r="M20" s="19"/>
      <c r="N20" s="19"/>
      <c r="O20" s="148"/>
      <c r="P20" s="191"/>
      <c r="Q20" s="191"/>
      <c r="R20" s="191"/>
      <c r="S20" s="187"/>
      <c r="T20" s="188"/>
      <c r="U20" s="189">
        <f>I20-(S20*($L$2-$J$1)+(T20*($L$2-$L$1)))</f>
        <v>5003.08</v>
      </c>
    </row>
    <row r="21" spans="1:22" ht="15" customHeight="1" x14ac:dyDescent="0.25">
      <c r="A21" s="271"/>
      <c r="B21" s="127">
        <v>29</v>
      </c>
      <c r="C21" s="127">
        <v>4</v>
      </c>
      <c r="D21" s="139">
        <f>'Data Ocupacion'!H36</f>
        <v>29</v>
      </c>
      <c r="E21" s="139">
        <f>'Data Ocupacion'!I36</f>
        <v>4</v>
      </c>
      <c r="F21" s="127" t="s">
        <v>36</v>
      </c>
      <c r="G21" s="127">
        <f t="shared" si="12"/>
        <v>37</v>
      </c>
      <c r="H21" s="127">
        <f t="shared" si="13"/>
        <v>33</v>
      </c>
      <c r="I21" s="127">
        <f>G21*L$1</f>
        <v>1077.07</v>
      </c>
      <c r="J21" s="155">
        <f>H21*L$1</f>
        <v>960.63</v>
      </c>
      <c r="K21" s="127">
        <f t="shared" si="14"/>
        <v>112015.28</v>
      </c>
      <c r="L21" s="127">
        <f t="shared" si="15"/>
        <v>3432</v>
      </c>
      <c r="M21" s="19"/>
      <c r="N21" s="19"/>
      <c r="O21" s="148"/>
      <c r="P21" s="190"/>
      <c r="Q21" s="192"/>
      <c r="R21" s="215"/>
      <c r="S21" s="193"/>
      <c r="T21" s="194"/>
      <c r="U21" s="186">
        <f>I21-(P21*($L$1-$J$1))</f>
        <v>1077.07</v>
      </c>
    </row>
    <row r="22" spans="1:22" ht="15" customHeight="1" x14ac:dyDescent="0.25">
      <c r="A22" s="271"/>
      <c r="B22" s="127">
        <v>28</v>
      </c>
      <c r="C22" s="127">
        <v>4</v>
      </c>
      <c r="D22" s="139">
        <f>'Data Ocupacion'!H37</f>
        <v>28</v>
      </c>
      <c r="E22" s="139">
        <f>'Data Ocupacion'!I37</f>
        <v>4</v>
      </c>
      <c r="F22" s="127" t="s">
        <v>53</v>
      </c>
      <c r="G22" s="127">
        <f t="shared" si="12"/>
        <v>36</v>
      </c>
      <c r="H22" s="127">
        <f t="shared" si="13"/>
        <v>32</v>
      </c>
      <c r="I22" s="127">
        <f>G22*L$1</f>
        <v>1047.96</v>
      </c>
      <c r="J22" s="155">
        <f>H22*L$1</f>
        <v>931.52</v>
      </c>
      <c r="K22" s="127">
        <f t="shared" si="14"/>
        <v>108987.84</v>
      </c>
      <c r="L22" s="127">
        <f t="shared" si="15"/>
        <v>3328</v>
      </c>
      <c r="M22" s="19"/>
      <c r="N22" s="19"/>
      <c r="O22" s="148"/>
      <c r="P22" s="194"/>
      <c r="Q22" s="194"/>
      <c r="R22" s="194"/>
      <c r="S22" s="194"/>
      <c r="T22" s="194"/>
      <c r="U22" s="186">
        <f t="shared" ref="U22:U23" si="16">I22</f>
        <v>1047.96</v>
      </c>
    </row>
    <row r="23" spans="1:22" s="126" customFormat="1" ht="15" customHeight="1" x14ac:dyDescent="0.25">
      <c r="A23" s="271"/>
      <c r="B23" s="127">
        <v>0</v>
      </c>
      <c r="C23" s="127">
        <v>0</v>
      </c>
      <c r="D23" s="128">
        <f>'Data Ocupacion'!H38</f>
        <v>0</v>
      </c>
      <c r="E23" s="128">
        <f>'Data Ocupacion'!I38</f>
        <v>0</v>
      </c>
      <c r="F23" s="127" t="s">
        <v>122</v>
      </c>
      <c r="G23" s="127">
        <f t="shared" si="12"/>
        <v>0</v>
      </c>
      <c r="H23" s="127">
        <f t="shared" si="13"/>
        <v>0</v>
      </c>
      <c r="I23" s="127">
        <f>G23*J$1</f>
        <v>0</v>
      </c>
      <c r="J23" s="155">
        <f>H23*J$1</f>
        <v>0</v>
      </c>
      <c r="K23" s="127">
        <f t="shared" si="14"/>
        <v>0</v>
      </c>
      <c r="L23" s="127">
        <f t="shared" si="15"/>
        <v>0</v>
      </c>
      <c r="M23" s="19"/>
      <c r="N23" s="19"/>
      <c r="O23" s="148"/>
      <c r="P23" s="194"/>
      <c r="Q23" s="194"/>
      <c r="R23" s="194"/>
      <c r="S23" s="194"/>
      <c r="T23" s="194"/>
      <c r="U23" s="186">
        <f t="shared" si="16"/>
        <v>0</v>
      </c>
    </row>
    <row r="24" spans="1:22" ht="13.5" customHeight="1" thickBot="1" x14ac:dyDescent="0.3">
      <c r="A24" s="271"/>
      <c r="B24" s="127">
        <v>1</v>
      </c>
      <c r="C24" s="127">
        <v>0</v>
      </c>
      <c r="D24" s="128">
        <f>'Data Ocupacion'!H39</f>
        <v>1</v>
      </c>
      <c r="E24" s="128">
        <f>'Data Ocupacion'!I39</f>
        <v>0</v>
      </c>
      <c r="F24" s="127" t="s">
        <v>35</v>
      </c>
      <c r="G24" s="127">
        <f t="shared" si="12"/>
        <v>1</v>
      </c>
      <c r="H24" s="127">
        <f t="shared" si="13"/>
        <v>1</v>
      </c>
      <c r="I24" s="127">
        <f>G24*J$1</f>
        <v>25.4</v>
      </c>
      <c r="J24" s="155">
        <f>H24*J$1</f>
        <v>25.4</v>
      </c>
      <c r="K24" s="127">
        <f t="shared" si="14"/>
        <v>2641.6</v>
      </c>
      <c r="L24" s="127">
        <f t="shared" si="15"/>
        <v>104</v>
      </c>
      <c r="M24" s="19"/>
      <c r="N24" s="19"/>
      <c r="O24" s="148"/>
      <c r="P24" s="194"/>
      <c r="Q24" s="194"/>
      <c r="R24" s="194"/>
      <c r="S24" s="194"/>
      <c r="T24" s="194"/>
      <c r="U24" s="186">
        <f>I24</f>
        <v>25.4</v>
      </c>
    </row>
    <row r="25" spans="1:22" ht="15.75" customHeight="1" thickBot="1" x14ac:dyDescent="0.3">
      <c r="A25" s="20"/>
      <c r="B25" s="228">
        <f>SUM(B19:B24)</f>
        <v>140</v>
      </c>
      <c r="C25" s="228">
        <f>SUM(C19:C24)</f>
        <v>83</v>
      </c>
      <c r="D25" s="154">
        <f>SUM(D19:D24)</f>
        <v>140</v>
      </c>
      <c r="E25" s="154">
        <f>SUM(E19:E24)</f>
        <v>83</v>
      </c>
      <c r="F25" s="120"/>
      <c r="G25" s="120">
        <f t="shared" ref="G25:L25" si="17">SUM(G19:G24)</f>
        <v>306</v>
      </c>
      <c r="H25" s="120">
        <f t="shared" si="17"/>
        <v>223</v>
      </c>
      <c r="I25" s="121">
        <f t="shared" si="17"/>
        <v>12156.589999999998</v>
      </c>
      <c r="J25" s="120">
        <f t="shared" si="17"/>
        <v>8688.9599999999991</v>
      </c>
      <c r="K25" s="119">
        <f t="shared" si="17"/>
        <v>1264285.3600000001</v>
      </c>
      <c r="L25" s="153">
        <f t="shared" si="17"/>
        <v>23192</v>
      </c>
      <c r="M25" s="184">
        <f>'Odometro-Kilometraje'!D81</f>
        <v>12507</v>
      </c>
      <c r="N25" s="21">
        <f>(U25/M25)*100</f>
        <v>96.631246501958898</v>
      </c>
      <c r="O25" s="197"/>
      <c r="P25" s="185"/>
      <c r="Q25" s="185"/>
      <c r="R25" s="185"/>
      <c r="S25" s="185"/>
      <c r="T25" s="185"/>
      <c r="U25" s="198">
        <f>SUM(U19:U24)</f>
        <v>12085.67</v>
      </c>
    </row>
    <row r="26" spans="1:22" x14ac:dyDescent="0.25">
      <c r="A26" s="61">
        <f>A19+1</f>
        <v>45630</v>
      </c>
      <c r="B26" s="127">
        <v>42</v>
      </c>
      <c r="C26" s="127">
        <v>37</v>
      </c>
      <c r="D26" s="128">
        <f>'Data Ocupacion'!J34</f>
        <v>42</v>
      </c>
      <c r="E26" s="128">
        <f>'Data Ocupacion'!K34</f>
        <v>37</v>
      </c>
      <c r="F26" s="127" t="s">
        <v>38</v>
      </c>
      <c r="G26" s="234">
        <f t="shared" ref="G26:G31" si="18">D26+E26*2</f>
        <v>116</v>
      </c>
      <c r="H26" s="235">
        <f t="shared" ref="H26:H31" si="19">D26+E26</f>
        <v>79</v>
      </c>
      <c r="I26" s="127">
        <f>G26*L$2</f>
        <v>5003.08</v>
      </c>
      <c r="J26" s="155">
        <f>H26*L$2</f>
        <v>3407.27</v>
      </c>
      <c r="K26" s="127">
        <f t="shared" ref="K26:K31" si="20">I26*104</f>
        <v>520320.32</v>
      </c>
      <c r="L26" s="127">
        <f t="shared" ref="L26:L31" si="21">H26*104</f>
        <v>8216</v>
      </c>
      <c r="M26" s="19"/>
      <c r="N26" s="19"/>
      <c r="O26" s="148"/>
      <c r="P26" s="187">
        <v>3</v>
      </c>
      <c r="Q26" s="187"/>
      <c r="R26" s="214"/>
      <c r="S26" s="283">
        <v>2</v>
      </c>
      <c r="T26" s="196"/>
      <c r="U26" s="189">
        <f>I26-((P26*($L$2-$J$1)))-(S26*($J$1))</f>
        <v>4899.09</v>
      </c>
    </row>
    <row r="27" spans="1:22" ht="17.25" customHeight="1" x14ac:dyDescent="0.25">
      <c r="A27" s="271"/>
      <c r="B27" s="127">
        <v>40</v>
      </c>
      <c r="C27" s="127">
        <v>38</v>
      </c>
      <c r="D27" s="128">
        <f>'Data Ocupacion'!J35</f>
        <v>40</v>
      </c>
      <c r="E27" s="128">
        <f>'Data Ocupacion'!K35</f>
        <v>38</v>
      </c>
      <c r="F27" s="127" t="s">
        <v>52</v>
      </c>
      <c r="G27" s="234">
        <f t="shared" si="18"/>
        <v>116</v>
      </c>
      <c r="H27" s="127">
        <f t="shared" si="19"/>
        <v>78</v>
      </c>
      <c r="I27" s="127">
        <f>G27*L$2</f>
        <v>5003.08</v>
      </c>
      <c r="J27" s="155">
        <f>H27*L$2</f>
        <v>3364.1400000000003</v>
      </c>
      <c r="K27" s="127">
        <f t="shared" si="20"/>
        <v>520320.32</v>
      </c>
      <c r="L27" s="127">
        <f t="shared" si="21"/>
        <v>8112</v>
      </c>
      <c r="M27" s="19"/>
      <c r="N27" s="19"/>
      <c r="O27" s="148"/>
      <c r="P27" s="191"/>
      <c r="Q27" s="191"/>
      <c r="R27" s="191"/>
      <c r="S27" s="187"/>
      <c r="T27" s="212"/>
      <c r="U27" s="189">
        <f>I27-(S27*($L$2-$J$1)+(T27*($L$2-$L$1)))</f>
        <v>5003.08</v>
      </c>
    </row>
    <row r="28" spans="1:22" ht="15" customHeight="1" x14ac:dyDescent="0.25">
      <c r="A28" s="271"/>
      <c r="B28" s="127">
        <v>29</v>
      </c>
      <c r="C28" s="127">
        <v>4</v>
      </c>
      <c r="D28" s="128">
        <f>'Data Ocupacion'!J36</f>
        <v>29</v>
      </c>
      <c r="E28" s="128">
        <f>'Data Ocupacion'!K36</f>
        <v>4</v>
      </c>
      <c r="F28" s="233" t="s">
        <v>36</v>
      </c>
      <c r="G28" s="234">
        <f t="shared" si="18"/>
        <v>37</v>
      </c>
      <c r="H28" s="127">
        <f t="shared" si="19"/>
        <v>33</v>
      </c>
      <c r="I28" s="127">
        <f>G28*L$1</f>
        <v>1077.07</v>
      </c>
      <c r="J28" s="155">
        <f>H28*L$1</f>
        <v>960.63</v>
      </c>
      <c r="K28" s="127">
        <f t="shared" si="20"/>
        <v>112015.28</v>
      </c>
      <c r="L28" s="127">
        <f t="shared" si="21"/>
        <v>3432</v>
      </c>
      <c r="M28" s="19"/>
      <c r="N28" s="19"/>
      <c r="O28" s="148"/>
      <c r="P28" s="190"/>
      <c r="Q28" s="192"/>
      <c r="R28" s="215"/>
      <c r="S28" s="193"/>
      <c r="T28" s="194"/>
      <c r="U28" s="186">
        <f>I28-(P28*($L$1-$J$1))</f>
        <v>1077.07</v>
      </c>
    </row>
    <row r="29" spans="1:22" ht="15" customHeight="1" x14ac:dyDescent="0.25">
      <c r="A29" s="271"/>
      <c r="B29" s="127">
        <v>28</v>
      </c>
      <c r="C29" s="127">
        <v>4</v>
      </c>
      <c r="D29" s="128">
        <f>'Data Ocupacion'!J37</f>
        <v>28</v>
      </c>
      <c r="E29" s="128">
        <f>'Data Ocupacion'!K37</f>
        <v>4</v>
      </c>
      <c r="F29" s="233" t="s">
        <v>53</v>
      </c>
      <c r="G29" s="234">
        <f t="shared" si="18"/>
        <v>36</v>
      </c>
      <c r="H29" s="127">
        <f t="shared" si="19"/>
        <v>32</v>
      </c>
      <c r="I29" s="127">
        <f>G29*L$1</f>
        <v>1047.96</v>
      </c>
      <c r="J29" s="155">
        <f>H29*L$1</f>
        <v>931.52</v>
      </c>
      <c r="K29" s="127">
        <f t="shared" si="20"/>
        <v>108987.84</v>
      </c>
      <c r="L29" s="127">
        <f t="shared" si="21"/>
        <v>3328</v>
      </c>
      <c r="M29" s="19"/>
      <c r="N29" s="19"/>
      <c r="O29" s="148"/>
      <c r="P29" s="194"/>
      <c r="Q29" s="194"/>
      <c r="R29" s="194"/>
      <c r="S29" s="194"/>
      <c r="T29" s="194"/>
      <c r="U29" s="186">
        <f t="shared" ref="U29:U30" si="22">I29</f>
        <v>1047.96</v>
      </c>
    </row>
    <row r="30" spans="1:22" s="126" customFormat="1" ht="15" customHeight="1" x14ac:dyDescent="0.25">
      <c r="A30" s="271"/>
      <c r="B30" s="127">
        <v>0</v>
      </c>
      <c r="C30" s="127">
        <v>0</v>
      </c>
      <c r="D30" s="128">
        <f>'Data Ocupacion'!J38</f>
        <v>0</v>
      </c>
      <c r="E30" s="128">
        <f>'Data Ocupacion'!K38</f>
        <v>0</v>
      </c>
      <c r="F30" s="127" t="s">
        <v>122</v>
      </c>
      <c r="G30" s="234">
        <f t="shared" si="18"/>
        <v>0</v>
      </c>
      <c r="H30" s="127">
        <f t="shared" si="19"/>
        <v>0</v>
      </c>
      <c r="I30" s="236">
        <f>G30*J$1</f>
        <v>0</v>
      </c>
      <c r="J30" s="155">
        <f>H30*J$1</f>
        <v>0</v>
      </c>
      <c r="K30" s="127">
        <f t="shared" si="20"/>
        <v>0</v>
      </c>
      <c r="L30" s="127">
        <f t="shared" si="21"/>
        <v>0</v>
      </c>
      <c r="M30" s="19"/>
      <c r="O30" s="148"/>
      <c r="P30" s="194"/>
      <c r="Q30" s="194"/>
      <c r="R30" s="194"/>
      <c r="S30" s="194"/>
      <c r="T30" s="194"/>
      <c r="U30" s="186">
        <f t="shared" si="22"/>
        <v>0</v>
      </c>
    </row>
    <row r="31" spans="1:22" ht="15.75" customHeight="1" thickBot="1" x14ac:dyDescent="0.3">
      <c r="A31" s="271"/>
      <c r="B31" s="127">
        <v>1</v>
      </c>
      <c r="C31" s="127">
        <v>0</v>
      </c>
      <c r="D31" s="128">
        <f>'Data Ocupacion'!J39</f>
        <v>1</v>
      </c>
      <c r="E31" s="128">
        <f>'Data Ocupacion'!K39</f>
        <v>0</v>
      </c>
      <c r="F31" s="127" t="s">
        <v>35</v>
      </c>
      <c r="G31" s="234">
        <f t="shared" si="18"/>
        <v>1</v>
      </c>
      <c r="H31" s="237">
        <f t="shared" si="19"/>
        <v>1</v>
      </c>
      <c r="I31" s="237">
        <f>G31*J$1</f>
        <v>25.4</v>
      </c>
      <c r="J31" s="155">
        <f>H31*J$1</f>
        <v>25.4</v>
      </c>
      <c r="K31" s="127">
        <f t="shared" si="20"/>
        <v>2641.6</v>
      </c>
      <c r="L31" s="127">
        <f t="shared" si="21"/>
        <v>104</v>
      </c>
      <c r="M31" s="19"/>
      <c r="O31" s="148"/>
      <c r="P31" s="194"/>
      <c r="Q31" s="194"/>
      <c r="R31" s="194"/>
      <c r="S31" s="194"/>
      <c r="T31" s="194"/>
      <c r="U31" s="186">
        <f>I31</f>
        <v>25.4</v>
      </c>
    </row>
    <row r="32" spans="1:22" ht="15.75" thickBot="1" x14ac:dyDescent="0.3">
      <c r="A32" s="20"/>
      <c r="B32" s="228">
        <f>SUM(B26:B31)</f>
        <v>140</v>
      </c>
      <c r="C32" s="228">
        <f>SUM(C26:C31)</f>
        <v>83</v>
      </c>
      <c r="D32" s="150">
        <f>SUM(D26:D31)</f>
        <v>140</v>
      </c>
      <c r="E32" s="150">
        <f>SUM(E26:E31)</f>
        <v>83</v>
      </c>
      <c r="F32" s="120"/>
      <c r="G32" s="120">
        <f t="shared" ref="G32:L32" si="23">SUM(G26:G31)</f>
        <v>306</v>
      </c>
      <c r="H32" s="120">
        <f t="shared" si="23"/>
        <v>223</v>
      </c>
      <c r="I32" s="121">
        <f t="shared" si="23"/>
        <v>12156.589999999998</v>
      </c>
      <c r="J32" s="120">
        <f t="shared" si="23"/>
        <v>8688.9599999999991</v>
      </c>
      <c r="K32" s="120">
        <f t="shared" si="23"/>
        <v>1264285.3600000001</v>
      </c>
      <c r="L32" s="120">
        <f t="shared" si="23"/>
        <v>23192</v>
      </c>
      <c r="M32" s="125">
        <f>'Odometro-Kilometraje'!E81</f>
        <v>12754</v>
      </c>
      <c r="N32" s="21">
        <f>(U32/M32)*100</f>
        <v>94.500548847420418</v>
      </c>
      <c r="O32" s="197"/>
      <c r="P32" s="185"/>
      <c r="Q32" s="185"/>
      <c r="R32" s="185"/>
      <c r="S32" s="185"/>
      <c r="T32" s="185"/>
      <c r="U32" s="198">
        <f>SUM(U26:U31)</f>
        <v>12052.6</v>
      </c>
      <c r="V32" s="126"/>
    </row>
    <row r="33" spans="1:30" x14ac:dyDescent="0.25">
      <c r="A33" s="61">
        <f>A26+1</f>
        <v>45631</v>
      </c>
      <c r="B33" s="127">
        <v>42</v>
      </c>
      <c r="C33" s="127">
        <v>37</v>
      </c>
      <c r="D33" s="128">
        <f>'Data Ocupacion'!L34</f>
        <v>42</v>
      </c>
      <c r="E33" s="128">
        <f>'Data Ocupacion'!M34</f>
        <v>37</v>
      </c>
      <c r="F33" s="127" t="s">
        <v>38</v>
      </c>
      <c r="G33" s="127">
        <f t="shared" ref="G33:G38" si="24">D33+E33*2</f>
        <v>116</v>
      </c>
      <c r="H33" s="127">
        <f t="shared" ref="H33:H38" si="25">D33+E33</f>
        <v>79</v>
      </c>
      <c r="I33" s="127">
        <f>G33*L$2</f>
        <v>5003.08</v>
      </c>
      <c r="J33" s="155">
        <f>H33*L$2</f>
        <v>3407.27</v>
      </c>
      <c r="K33" s="127">
        <f t="shared" ref="K33:K38" si="26">I33*104</f>
        <v>520320.32</v>
      </c>
      <c r="L33" s="127">
        <f t="shared" ref="L33:L38" si="27">H33*104</f>
        <v>8216</v>
      </c>
      <c r="M33" s="19"/>
      <c r="N33" s="19"/>
      <c r="O33" s="148"/>
      <c r="P33" s="187">
        <v>4</v>
      </c>
      <c r="Q33" s="191"/>
      <c r="R33" s="191"/>
      <c r="S33" s="254"/>
      <c r="T33" s="196"/>
      <c r="U33" s="189">
        <f>I33-((P33*($L$2-$J$1)))-(S33*($J$1))</f>
        <v>4932.16</v>
      </c>
    </row>
    <row r="34" spans="1:30" ht="15" customHeight="1" x14ac:dyDescent="0.25">
      <c r="A34" s="207"/>
      <c r="B34" s="127">
        <v>40</v>
      </c>
      <c r="C34" s="127">
        <v>38</v>
      </c>
      <c r="D34" s="128">
        <f>'Data Ocupacion'!L35</f>
        <v>40</v>
      </c>
      <c r="E34" s="128">
        <f>'Data Ocupacion'!M35</f>
        <v>38</v>
      </c>
      <c r="F34" s="127" t="s">
        <v>52</v>
      </c>
      <c r="G34" s="127">
        <f t="shared" si="24"/>
        <v>116</v>
      </c>
      <c r="H34" s="127">
        <f t="shared" si="25"/>
        <v>78</v>
      </c>
      <c r="I34" s="127">
        <f>G34*L$2</f>
        <v>5003.08</v>
      </c>
      <c r="J34" s="155">
        <f>H34*L$2</f>
        <v>3364.1400000000003</v>
      </c>
      <c r="K34" s="127">
        <f t="shared" si="26"/>
        <v>520320.32</v>
      </c>
      <c r="L34" s="127">
        <f t="shared" si="27"/>
        <v>8112</v>
      </c>
      <c r="M34" s="19"/>
      <c r="N34" s="19"/>
      <c r="O34" s="148"/>
      <c r="P34" s="191"/>
      <c r="Q34" s="191"/>
      <c r="R34" s="191"/>
      <c r="S34" s="254">
        <v>1</v>
      </c>
      <c r="T34" s="227"/>
      <c r="U34" s="189">
        <f>I34-(S34*($L$2-$J$1)+(T34*($L$2-$L$1)))</f>
        <v>4985.3500000000004</v>
      </c>
    </row>
    <row r="35" spans="1:30" ht="15" customHeight="1" x14ac:dyDescent="0.25">
      <c r="A35" s="207"/>
      <c r="B35" s="127">
        <v>29</v>
      </c>
      <c r="C35" s="127">
        <v>4</v>
      </c>
      <c r="D35" s="128">
        <f>'Data Ocupacion'!L36</f>
        <v>29</v>
      </c>
      <c r="E35" s="128">
        <f>'Data Ocupacion'!M36</f>
        <v>4</v>
      </c>
      <c r="F35" s="127" t="s">
        <v>36</v>
      </c>
      <c r="G35" s="127">
        <f t="shared" si="24"/>
        <v>37</v>
      </c>
      <c r="H35" s="127">
        <f t="shared" si="25"/>
        <v>33</v>
      </c>
      <c r="I35" s="127">
        <f>G35*L$1</f>
        <v>1077.07</v>
      </c>
      <c r="J35" s="155">
        <f>H35*L$1</f>
        <v>960.63</v>
      </c>
      <c r="K35" s="127">
        <f t="shared" si="26"/>
        <v>112015.28</v>
      </c>
      <c r="L35" s="127">
        <f t="shared" si="27"/>
        <v>3432</v>
      </c>
      <c r="M35" s="19"/>
      <c r="N35" s="19"/>
      <c r="O35" s="148"/>
      <c r="P35" s="191"/>
      <c r="Q35" s="255"/>
      <c r="R35" s="215"/>
      <c r="S35" s="193"/>
      <c r="T35" s="194"/>
      <c r="U35" s="186">
        <f>I35-(P35*($L$1-$J$1))</f>
        <v>1077.07</v>
      </c>
    </row>
    <row r="36" spans="1:30" ht="15" customHeight="1" x14ac:dyDescent="0.25">
      <c r="A36" s="207"/>
      <c r="B36" s="127">
        <v>28</v>
      </c>
      <c r="C36" s="127">
        <v>4</v>
      </c>
      <c r="D36" s="128">
        <f>'Data Ocupacion'!L37</f>
        <v>28</v>
      </c>
      <c r="E36" s="128">
        <f>'Data Ocupacion'!M37</f>
        <v>4</v>
      </c>
      <c r="F36" s="127" t="s">
        <v>53</v>
      </c>
      <c r="G36" s="127">
        <f t="shared" si="24"/>
        <v>36</v>
      </c>
      <c r="H36" s="127">
        <f t="shared" si="25"/>
        <v>32</v>
      </c>
      <c r="I36" s="127">
        <f>G36*L$1</f>
        <v>1047.96</v>
      </c>
      <c r="J36" s="155">
        <f>H36*L$1</f>
        <v>931.52</v>
      </c>
      <c r="K36" s="127">
        <f t="shared" si="26"/>
        <v>108987.84</v>
      </c>
      <c r="L36" s="127">
        <f t="shared" si="27"/>
        <v>3328</v>
      </c>
      <c r="M36" s="19"/>
      <c r="N36" s="19"/>
      <c r="O36" s="148"/>
      <c r="P36" s="194"/>
      <c r="Q36" s="194"/>
      <c r="R36" s="194"/>
      <c r="S36" s="194"/>
      <c r="T36" s="194"/>
      <c r="U36" s="186">
        <f t="shared" ref="U36:U37" si="28">I36</f>
        <v>1047.96</v>
      </c>
    </row>
    <row r="37" spans="1:30" s="126" customFormat="1" ht="15" customHeight="1" x14ac:dyDescent="0.25">
      <c r="A37" s="207"/>
      <c r="B37" s="127">
        <v>0</v>
      </c>
      <c r="C37" s="127">
        <v>0</v>
      </c>
      <c r="D37" s="128">
        <f>'Data Ocupacion'!L38</f>
        <v>0</v>
      </c>
      <c r="E37" s="128">
        <f>'Data Ocupacion'!M38</f>
        <v>0</v>
      </c>
      <c r="F37" s="127" t="s">
        <v>122</v>
      </c>
      <c r="G37" s="127">
        <f t="shared" si="24"/>
        <v>0</v>
      </c>
      <c r="H37" s="127">
        <f t="shared" si="25"/>
        <v>0</v>
      </c>
      <c r="I37" s="127">
        <f>G37*J$1</f>
        <v>0</v>
      </c>
      <c r="J37" s="155">
        <f>H37*J$1</f>
        <v>0</v>
      </c>
      <c r="K37" s="127">
        <f t="shared" si="26"/>
        <v>0</v>
      </c>
      <c r="L37" s="127">
        <f t="shared" si="27"/>
        <v>0</v>
      </c>
      <c r="M37" s="19"/>
      <c r="N37" s="19"/>
      <c r="O37" s="148"/>
      <c r="P37" s="194"/>
      <c r="Q37" s="194"/>
      <c r="R37" s="194"/>
      <c r="S37" s="194"/>
      <c r="T37" s="194"/>
      <c r="U37" s="186">
        <f t="shared" si="28"/>
        <v>0</v>
      </c>
    </row>
    <row r="38" spans="1:30" ht="15.75" customHeight="1" thickBot="1" x14ac:dyDescent="0.3">
      <c r="A38" s="207"/>
      <c r="B38" s="127">
        <v>1</v>
      </c>
      <c r="C38" s="127">
        <v>0</v>
      </c>
      <c r="D38" s="128">
        <f>'Data Ocupacion'!L39</f>
        <v>1</v>
      </c>
      <c r="E38" s="128">
        <f>'Data Ocupacion'!M39</f>
        <v>0</v>
      </c>
      <c r="F38" s="127" t="s">
        <v>35</v>
      </c>
      <c r="G38" s="127">
        <f t="shared" si="24"/>
        <v>1</v>
      </c>
      <c r="H38" s="127">
        <f t="shared" si="25"/>
        <v>1</v>
      </c>
      <c r="I38" s="127">
        <f>G38*J$1</f>
        <v>25.4</v>
      </c>
      <c r="J38" s="155">
        <f>H38*J$1</f>
        <v>25.4</v>
      </c>
      <c r="K38" s="127">
        <f t="shared" si="26"/>
        <v>2641.6</v>
      </c>
      <c r="L38" s="127">
        <f t="shared" si="27"/>
        <v>104</v>
      </c>
      <c r="M38" s="19"/>
      <c r="N38" s="19"/>
      <c r="O38" s="148"/>
      <c r="P38" s="194"/>
      <c r="Q38" s="194"/>
      <c r="R38" s="194"/>
      <c r="S38" s="194"/>
      <c r="T38" s="194"/>
      <c r="U38" s="186">
        <f>I38</f>
        <v>25.4</v>
      </c>
    </row>
    <row r="39" spans="1:30" ht="15.75" thickBot="1" x14ac:dyDescent="0.3">
      <c r="A39" s="20"/>
      <c r="B39" s="228">
        <f>SUM(B33:B38)</f>
        <v>140</v>
      </c>
      <c r="C39" s="228">
        <f>SUM(C33:C38)</f>
        <v>83</v>
      </c>
      <c r="D39" s="154">
        <f>SUM(D33:D38)</f>
        <v>140</v>
      </c>
      <c r="E39" s="154">
        <f>SUM(E33:E38)</f>
        <v>83</v>
      </c>
      <c r="F39" s="120"/>
      <c r="G39" s="120">
        <f t="shared" ref="G39:L39" si="29">SUM(G33:G38)</f>
        <v>306</v>
      </c>
      <c r="H39" s="120">
        <f t="shared" si="29"/>
        <v>223</v>
      </c>
      <c r="I39" s="121">
        <f t="shared" si="29"/>
        <v>12156.589999999998</v>
      </c>
      <c r="J39" s="120">
        <f t="shared" si="29"/>
        <v>8688.9599999999991</v>
      </c>
      <c r="K39" s="119">
        <f t="shared" si="29"/>
        <v>1264285.3600000001</v>
      </c>
      <c r="L39" s="153">
        <f t="shared" si="29"/>
        <v>23192</v>
      </c>
      <c r="M39" s="125">
        <f>'Odometro-Kilometraje'!F81</f>
        <v>12495</v>
      </c>
      <c r="N39" s="21">
        <f>(U39/M39)*100</f>
        <v>96.582152861144465</v>
      </c>
      <c r="O39" s="197"/>
      <c r="P39" s="185"/>
      <c r="Q39" s="185"/>
      <c r="R39" s="185"/>
      <c r="S39" s="185"/>
      <c r="T39" s="185"/>
      <c r="U39" s="198">
        <f>SUM(U33:U38)</f>
        <v>12067.94</v>
      </c>
    </row>
    <row r="40" spans="1:30" x14ac:dyDescent="0.25">
      <c r="A40" s="61">
        <f>A33+1</f>
        <v>45632</v>
      </c>
      <c r="B40" s="127">
        <v>42</v>
      </c>
      <c r="C40" s="127">
        <v>37</v>
      </c>
      <c r="D40" s="280">
        <f>'Data Ocupacion'!N34</f>
        <v>43</v>
      </c>
      <c r="E40" s="280">
        <f>'Data Ocupacion'!O34</f>
        <v>36</v>
      </c>
      <c r="F40" s="127" t="s">
        <v>38</v>
      </c>
      <c r="G40" s="234">
        <f t="shared" ref="G40:G45" si="30">D40+E40*2</f>
        <v>115</v>
      </c>
      <c r="H40" s="235">
        <f t="shared" ref="H40:H45" si="31">D40+E40</f>
        <v>79</v>
      </c>
      <c r="I40" s="235">
        <f>G40*L$2</f>
        <v>4959.9500000000007</v>
      </c>
      <c r="J40" s="155">
        <f>H40*L$2</f>
        <v>3407.27</v>
      </c>
      <c r="K40" s="127">
        <f t="shared" ref="K40:K45" si="32">I40*104</f>
        <v>515834.80000000005</v>
      </c>
      <c r="L40" s="127">
        <f t="shared" ref="L40:L45" si="33">H40*104</f>
        <v>8216</v>
      </c>
      <c r="M40" s="19"/>
      <c r="N40" s="19"/>
      <c r="O40" s="148"/>
      <c r="P40" s="208">
        <v>3</v>
      </c>
      <c r="Q40" s="187"/>
      <c r="R40" s="214"/>
      <c r="S40" s="214"/>
      <c r="T40" s="226"/>
      <c r="U40" s="189">
        <f>I40-((P40*($L$2-$J$1)))-(S40*($J$1))</f>
        <v>4906.7600000000011</v>
      </c>
    </row>
    <row r="41" spans="1:30" ht="15" customHeight="1" x14ac:dyDescent="0.25">
      <c r="A41" s="207"/>
      <c r="B41" s="127">
        <v>40</v>
      </c>
      <c r="C41" s="127">
        <v>38</v>
      </c>
      <c r="D41" s="128">
        <f>'Data Ocupacion'!N35</f>
        <v>41</v>
      </c>
      <c r="E41" s="128">
        <f>'Data Ocupacion'!O35</f>
        <v>38</v>
      </c>
      <c r="F41" s="127" t="s">
        <v>52</v>
      </c>
      <c r="G41" s="234">
        <f t="shared" si="30"/>
        <v>117</v>
      </c>
      <c r="H41" s="127">
        <f t="shared" si="31"/>
        <v>79</v>
      </c>
      <c r="I41" s="127">
        <f>G41*L$2</f>
        <v>5046.21</v>
      </c>
      <c r="J41" s="155">
        <f>H41*L$2</f>
        <v>3407.27</v>
      </c>
      <c r="K41" s="127">
        <f t="shared" si="32"/>
        <v>524805.84</v>
      </c>
      <c r="L41" s="127">
        <f t="shared" si="33"/>
        <v>8216</v>
      </c>
      <c r="M41" s="19"/>
      <c r="N41" s="19"/>
      <c r="O41" s="148"/>
      <c r="P41" s="191"/>
      <c r="Q41" s="227"/>
      <c r="R41" s="191"/>
      <c r="S41" s="187"/>
      <c r="T41" s="212"/>
      <c r="U41" s="189">
        <f>I41-(S41*($L$2-$J$1)+(T41*($L$2-$L$1)))</f>
        <v>5046.21</v>
      </c>
    </row>
    <row r="42" spans="1:30" ht="15" customHeight="1" x14ac:dyDescent="0.25">
      <c r="A42" s="207"/>
      <c r="B42" s="127">
        <v>29</v>
      </c>
      <c r="C42" s="127">
        <v>4</v>
      </c>
      <c r="D42" s="128">
        <f>'Data Ocupacion'!N36</f>
        <v>29</v>
      </c>
      <c r="E42" s="128">
        <f>'Data Ocupacion'!O36</f>
        <v>4</v>
      </c>
      <c r="F42" s="127" t="s">
        <v>36</v>
      </c>
      <c r="G42" s="234">
        <f t="shared" si="30"/>
        <v>37</v>
      </c>
      <c r="H42" s="127">
        <f t="shared" si="31"/>
        <v>33</v>
      </c>
      <c r="I42" s="127">
        <f>G42*L$1</f>
        <v>1077.07</v>
      </c>
      <c r="J42" s="155">
        <f>H42*L$1</f>
        <v>960.63</v>
      </c>
      <c r="K42" s="127">
        <f t="shared" si="32"/>
        <v>112015.28</v>
      </c>
      <c r="L42" s="127">
        <f t="shared" si="33"/>
        <v>3432</v>
      </c>
      <c r="M42" s="19"/>
      <c r="N42" s="19"/>
      <c r="O42" s="148"/>
      <c r="P42" s="190"/>
      <c r="Q42" s="192"/>
      <c r="R42" s="215"/>
      <c r="S42" s="193"/>
      <c r="T42" s="194"/>
      <c r="U42" s="186">
        <f>I42-(P42*($L$1-$J$1))</f>
        <v>1077.07</v>
      </c>
      <c r="X42" s="273"/>
      <c r="Y42" s="273"/>
      <c r="Z42" s="273"/>
      <c r="AA42" s="273"/>
      <c r="AB42" s="273"/>
      <c r="AC42" s="273"/>
      <c r="AD42" s="273"/>
    </row>
    <row r="43" spans="1:30" x14ac:dyDescent="0.25">
      <c r="A43" s="207"/>
      <c r="B43" s="127">
        <v>28</v>
      </c>
      <c r="C43" s="127">
        <v>4</v>
      </c>
      <c r="D43" s="128">
        <f>'Data Ocupacion'!N37</f>
        <v>28</v>
      </c>
      <c r="E43" s="128">
        <f>'Data Ocupacion'!O37</f>
        <v>4</v>
      </c>
      <c r="F43" s="127" t="s">
        <v>53</v>
      </c>
      <c r="G43" s="234">
        <f t="shared" si="30"/>
        <v>36</v>
      </c>
      <c r="H43" s="127">
        <f t="shared" si="31"/>
        <v>32</v>
      </c>
      <c r="I43" s="127">
        <f>G43*L$1</f>
        <v>1047.96</v>
      </c>
      <c r="J43" s="155">
        <f>H43*L$1</f>
        <v>931.52</v>
      </c>
      <c r="K43" s="127">
        <f t="shared" si="32"/>
        <v>108987.84</v>
      </c>
      <c r="L43" s="127">
        <f t="shared" si="33"/>
        <v>3328</v>
      </c>
      <c r="M43" s="167"/>
      <c r="N43" s="19"/>
      <c r="O43" s="148"/>
      <c r="P43" s="194"/>
      <c r="Q43" s="194"/>
      <c r="R43" s="194"/>
      <c r="S43" s="194"/>
      <c r="T43" s="194"/>
      <c r="U43" s="186">
        <f t="shared" ref="U43:U44" si="34">I43</f>
        <v>1047.96</v>
      </c>
      <c r="X43" s="273"/>
      <c r="Y43" s="273"/>
      <c r="Z43" s="273"/>
      <c r="AA43" s="273"/>
      <c r="AB43" s="273"/>
      <c r="AC43" s="273"/>
      <c r="AD43" s="273"/>
    </row>
    <row r="44" spans="1:30" s="126" customFormat="1" x14ac:dyDescent="0.25">
      <c r="A44" s="207"/>
      <c r="B44" s="127">
        <v>0</v>
      </c>
      <c r="C44" s="127">
        <v>0</v>
      </c>
      <c r="D44" s="128">
        <f>'Data Ocupacion'!N38</f>
        <v>0</v>
      </c>
      <c r="E44" s="128">
        <f>'Data Ocupacion'!O38</f>
        <v>0</v>
      </c>
      <c r="F44" s="127" t="s">
        <v>122</v>
      </c>
      <c r="G44" s="234">
        <f t="shared" si="30"/>
        <v>0</v>
      </c>
      <c r="H44" s="127">
        <f t="shared" si="31"/>
        <v>0</v>
      </c>
      <c r="I44" s="236">
        <f>G44*J$1</f>
        <v>0</v>
      </c>
      <c r="J44" s="155">
        <f>H44*J$1</f>
        <v>0</v>
      </c>
      <c r="K44" s="127">
        <f t="shared" si="32"/>
        <v>0</v>
      </c>
      <c r="L44" s="127">
        <f t="shared" si="33"/>
        <v>0</v>
      </c>
      <c r="M44" s="167"/>
      <c r="N44" s="19"/>
      <c r="O44" s="148"/>
      <c r="P44" s="194"/>
      <c r="Q44" s="194"/>
      <c r="R44" s="194"/>
      <c r="S44" s="194"/>
      <c r="T44" s="194"/>
      <c r="U44" s="186">
        <f t="shared" si="34"/>
        <v>0</v>
      </c>
      <c r="X44" s="273"/>
      <c r="Y44" s="273"/>
      <c r="Z44" s="273"/>
      <c r="AA44" s="273"/>
      <c r="AB44" s="273"/>
      <c r="AC44" s="273"/>
      <c r="AD44" s="273"/>
    </row>
    <row r="45" spans="1:30" ht="15.75" thickBot="1" x14ac:dyDescent="0.3">
      <c r="A45" s="207"/>
      <c r="B45" s="127">
        <v>1</v>
      </c>
      <c r="C45" s="127">
        <v>0</v>
      </c>
      <c r="D45" s="128">
        <f>'Data Ocupacion'!N39</f>
        <v>1</v>
      </c>
      <c r="E45" s="128">
        <f>'Data Ocupacion'!O39</f>
        <v>0</v>
      </c>
      <c r="F45" s="127" t="s">
        <v>35</v>
      </c>
      <c r="G45" s="234">
        <f t="shared" si="30"/>
        <v>1</v>
      </c>
      <c r="H45" s="237">
        <f t="shared" si="31"/>
        <v>1</v>
      </c>
      <c r="I45" s="237">
        <f>G45*J$1</f>
        <v>25.4</v>
      </c>
      <c r="J45" s="155">
        <f>H45*J$1</f>
        <v>25.4</v>
      </c>
      <c r="K45" s="127">
        <f t="shared" si="32"/>
        <v>2641.6</v>
      </c>
      <c r="L45" s="127">
        <f t="shared" si="33"/>
        <v>104</v>
      </c>
      <c r="M45" s="19"/>
      <c r="N45" s="19"/>
      <c r="O45" s="148"/>
      <c r="P45" s="194"/>
      <c r="Q45" s="194"/>
      <c r="R45" s="194"/>
      <c r="S45" s="194"/>
      <c r="T45" s="194"/>
      <c r="U45" s="186">
        <f>I45</f>
        <v>25.4</v>
      </c>
      <c r="X45" s="273"/>
      <c r="Y45" s="273"/>
      <c r="Z45" s="273"/>
      <c r="AA45" s="273"/>
      <c r="AB45" s="273"/>
      <c r="AC45" s="273"/>
      <c r="AD45" s="273"/>
    </row>
    <row r="46" spans="1:30" ht="15.75" thickBot="1" x14ac:dyDescent="0.3">
      <c r="A46" s="205"/>
      <c r="B46" s="228">
        <f>SUM(B40:B45)</f>
        <v>140</v>
      </c>
      <c r="C46" s="228">
        <f>SUM(C40:C45)</f>
        <v>83</v>
      </c>
      <c r="D46" s="150">
        <f>SUM(D40:D45)</f>
        <v>142</v>
      </c>
      <c r="E46" s="150">
        <f>SUM(E40:E45)</f>
        <v>82</v>
      </c>
      <c r="F46" s="120"/>
      <c r="G46" s="120">
        <f t="shared" ref="G46:L46" si="35">SUM(G40:G45)</f>
        <v>306</v>
      </c>
      <c r="H46" s="120">
        <f t="shared" si="35"/>
        <v>224</v>
      </c>
      <c r="I46" s="121">
        <f t="shared" si="35"/>
        <v>12156.589999999998</v>
      </c>
      <c r="J46" s="120">
        <f t="shared" si="35"/>
        <v>8732.09</v>
      </c>
      <c r="K46" s="120">
        <f t="shared" si="35"/>
        <v>1264285.3600000001</v>
      </c>
      <c r="L46" s="120">
        <f t="shared" si="35"/>
        <v>23296</v>
      </c>
      <c r="M46" s="125">
        <f>'Odometro-Kilometraje'!G81</f>
        <v>12453</v>
      </c>
      <c r="N46" s="21">
        <f>(U46/M46)*100</f>
        <v>97.192644342728656</v>
      </c>
      <c r="O46" s="197"/>
      <c r="P46" s="185"/>
      <c r="Q46" s="185"/>
      <c r="R46" s="185"/>
      <c r="S46" s="185"/>
      <c r="T46" s="185"/>
      <c r="U46" s="198">
        <f>SUM(U40:U45)</f>
        <v>12103.4</v>
      </c>
      <c r="X46" s="273"/>
      <c r="Y46" s="273"/>
      <c r="Z46" s="273"/>
      <c r="AA46" s="273"/>
      <c r="AB46" s="273"/>
      <c r="AC46" s="273"/>
      <c r="AD46" s="273"/>
    </row>
    <row r="47" spans="1:30" x14ac:dyDescent="0.25">
      <c r="A47" s="61">
        <f>A40+1</f>
        <v>45633</v>
      </c>
      <c r="B47" s="279">
        <v>69</v>
      </c>
      <c r="C47" s="279">
        <v>3</v>
      </c>
      <c r="D47" s="280">
        <f>'Data Ocupacion'!P34</f>
        <v>69</v>
      </c>
      <c r="E47" s="280">
        <f>'Data Ocupacion'!Q34</f>
        <v>3</v>
      </c>
      <c r="F47" s="279" t="s">
        <v>38</v>
      </c>
      <c r="G47" s="306">
        <f t="shared" ref="G47:G52" si="36">D47+E47*2</f>
        <v>75</v>
      </c>
      <c r="H47" s="307">
        <f t="shared" ref="H47:H52" si="37">D47+E47</f>
        <v>72</v>
      </c>
      <c r="I47" s="279">
        <f>G47*L$2</f>
        <v>3234.75</v>
      </c>
      <c r="J47" s="155">
        <f>H47*L$2</f>
        <v>3105.36</v>
      </c>
      <c r="K47" s="279">
        <f t="shared" ref="K47:K52" si="38">I47*104</f>
        <v>336414</v>
      </c>
      <c r="L47" s="279">
        <f t="shared" ref="L47:L52" si="39">H47*104</f>
        <v>7488</v>
      </c>
      <c r="M47" s="19"/>
      <c r="N47" s="19"/>
      <c r="O47" s="148"/>
      <c r="P47" s="187"/>
      <c r="Q47" s="187"/>
      <c r="R47" s="214"/>
      <c r="S47" s="214"/>
      <c r="T47" s="196"/>
      <c r="U47" s="189">
        <f>I47-((P47*($L$2-$J$1)))-(S47*($J$1))</f>
        <v>3234.75</v>
      </c>
      <c r="X47" s="273"/>
      <c r="Y47" s="273"/>
      <c r="Z47" s="273"/>
      <c r="AA47" s="273"/>
      <c r="AB47" s="273"/>
      <c r="AC47" s="273"/>
      <c r="AD47" s="273"/>
    </row>
    <row r="48" spans="1:30" ht="15" customHeight="1" x14ac:dyDescent="0.25">
      <c r="A48" s="271"/>
      <c r="B48" s="279">
        <v>75</v>
      </c>
      <c r="C48" s="279">
        <v>0</v>
      </c>
      <c r="D48" s="280">
        <f>'Data Ocupacion'!P35</f>
        <v>75</v>
      </c>
      <c r="E48" s="280">
        <f>'Data Ocupacion'!Q35</f>
        <v>0</v>
      </c>
      <c r="F48" s="279" t="s">
        <v>52</v>
      </c>
      <c r="G48" s="306">
        <f t="shared" si="36"/>
        <v>75</v>
      </c>
      <c r="H48" s="279">
        <f t="shared" si="37"/>
        <v>75</v>
      </c>
      <c r="I48" s="279">
        <f>G48*L$2</f>
        <v>3234.75</v>
      </c>
      <c r="J48" s="155">
        <f>H48*L$2</f>
        <v>3234.75</v>
      </c>
      <c r="K48" s="279">
        <f t="shared" si="38"/>
        <v>336414</v>
      </c>
      <c r="L48" s="279">
        <f t="shared" si="39"/>
        <v>7800</v>
      </c>
      <c r="M48" s="19"/>
      <c r="N48" s="19"/>
      <c r="O48" s="148"/>
      <c r="P48" s="191"/>
      <c r="Q48" s="191"/>
      <c r="R48" s="191"/>
      <c r="S48" s="214"/>
      <c r="T48" s="212"/>
      <c r="U48" s="189">
        <f>I48-(S48*($L$2-$J$1)+(T48*($L$2-$L$1)))</f>
        <v>3234.75</v>
      </c>
    </row>
    <row r="49" spans="1:63" ht="16.5" customHeight="1" x14ac:dyDescent="0.25">
      <c r="A49" s="271"/>
      <c r="B49" s="279">
        <v>0</v>
      </c>
      <c r="C49" s="279">
        <v>0</v>
      </c>
      <c r="D49" s="280">
        <f>'Data Ocupacion'!P36</f>
        <v>0</v>
      </c>
      <c r="E49" s="280">
        <f>'Data Ocupacion'!Q36</f>
        <v>0</v>
      </c>
      <c r="F49" s="277" t="s">
        <v>36</v>
      </c>
      <c r="G49" s="306">
        <f t="shared" si="36"/>
        <v>0</v>
      </c>
      <c r="H49" s="279">
        <f t="shared" si="37"/>
        <v>0</v>
      </c>
      <c r="I49" s="279">
        <f>G49*L$1</f>
        <v>0</v>
      </c>
      <c r="J49" s="155">
        <f>H49*L$1</f>
        <v>0</v>
      </c>
      <c r="K49" s="279">
        <f t="shared" si="38"/>
        <v>0</v>
      </c>
      <c r="L49" s="279">
        <f t="shared" si="39"/>
        <v>0</v>
      </c>
      <c r="M49" s="19"/>
      <c r="N49" s="19"/>
      <c r="O49" s="148"/>
      <c r="P49" s="191"/>
      <c r="Q49" s="192"/>
      <c r="R49" s="215"/>
      <c r="S49" s="193"/>
      <c r="T49" s="194"/>
      <c r="U49" s="186">
        <f>I49-(P49*($L$1-$J$1))</f>
        <v>0</v>
      </c>
    </row>
    <row r="50" spans="1:63" x14ac:dyDescent="0.25">
      <c r="A50" s="271"/>
      <c r="B50" s="279">
        <v>0</v>
      </c>
      <c r="C50" s="279">
        <v>0</v>
      </c>
      <c r="D50" s="280">
        <f>'Data Ocupacion'!P37</f>
        <v>0</v>
      </c>
      <c r="E50" s="280">
        <f>'Data Ocupacion'!Q37</f>
        <v>0</v>
      </c>
      <c r="F50" s="277" t="s">
        <v>53</v>
      </c>
      <c r="G50" s="306">
        <f t="shared" si="36"/>
        <v>0</v>
      </c>
      <c r="H50" s="279">
        <f t="shared" si="37"/>
        <v>0</v>
      </c>
      <c r="I50" s="279">
        <f>G50*L$1</f>
        <v>0</v>
      </c>
      <c r="J50" s="155">
        <f>H50*L$1</f>
        <v>0</v>
      </c>
      <c r="K50" s="279">
        <f t="shared" si="38"/>
        <v>0</v>
      </c>
      <c r="L50" s="279">
        <f t="shared" si="39"/>
        <v>0</v>
      </c>
      <c r="M50" s="19"/>
      <c r="N50" s="19"/>
      <c r="O50" s="148"/>
      <c r="P50" s="194"/>
      <c r="Q50" s="194"/>
      <c r="R50" s="194"/>
      <c r="S50" s="194"/>
      <c r="T50" s="194"/>
      <c r="U50" s="186">
        <f t="shared" ref="U50:U51" si="40">I50</f>
        <v>0</v>
      </c>
    </row>
    <row r="51" spans="1:63" s="126" customFormat="1" x14ac:dyDescent="0.25">
      <c r="A51" s="271"/>
      <c r="B51" s="279">
        <v>0</v>
      </c>
      <c r="C51" s="279">
        <v>0</v>
      </c>
      <c r="D51" s="280">
        <f>'Data Ocupacion'!P38</f>
        <v>0</v>
      </c>
      <c r="E51" s="280">
        <f>'Data Ocupacion'!Q38</f>
        <v>0</v>
      </c>
      <c r="F51" s="279" t="s">
        <v>122</v>
      </c>
      <c r="G51" s="306">
        <f t="shared" si="36"/>
        <v>0</v>
      </c>
      <c r="H51" s="279">
        <f t="shared" si="37"/>
        <v>0</v>
      </c>
      <c r="I51" s="308">
        <f>G51*J$1</f>
        <v>0</v>
      </c>
      <c r="J51" s="155">
        <f>H51*J$1</f>
        <v>0</v>
      </c>
      <c r="K51" s="279">
        <f t="shared" si="38"/>
        <v>0</v>
      </c>
      <c r="L51" s="279">
        <f t="shared" si="39"/>
        <v>0</v>
      </c>
      <c r="M51" s="19"/>
      <c r="N51" s="19"/>
      <c r="O51" s="148"/>
      <c r="P51" s="194"/>
      <c r="Q51" s="194"/>
      <c r="R51" s="194"/>
      <c r="S51" s="194"/>
      <c r="T51" s="194"/>
      <c r="U51" s="186">
        <f t="shared" si="40"/>
        <v>0</v>
      </c>
    </row>
    <row r="52" spans="1:63" ht="15.75" thickBot="1" x14ac:dyDescent="0.3">
      <c r="A52" s="271"/>
      <c r="B52" s="279">
        <v>0</v>
      </c>
      <c r="C52" s="279">
        <v>0</v>
      </c>
      <c r="D52" s="280">
        <f>'Data Ocupacion'!P39</f>
        <v>0</v>
      </c>
      <c r="E52" s="280">
        <f>'Data Ocupacion'!Q39</f>
        <v>0</v>
      </c>
      <c r="F52" s="279" t="s">
        <v>35</v>
      </c>
      <c r="G52" s="306">
        <f t="shared" si="36"/>
        <v>0</v>
      </c>
      <c r="H52" s="309">
        <f t="shared" si="37"/>
        <v>0</v>
      </c>
      <c r="I52" s="309">
        <f>G52*J$1</f>
        <v>0</v>
      </c>
      <c r="J52" s="155">
        <f>H52*J$1</f>
        <v>0</v>
      </c>
      <c r="K52" s="279">
        <f t="shared" si="38"/>
        <v>0</v>
      </c>
      <c r="L52" s="279">
        <f t="shared" si="39"/>
        <v>0</v>
      </c>
      <c r="M52" s="19"/>
      <c r="N52" s="19"/>
      <c r="O52" s="148"/>
      <c r="P52" s="194"/>
      <c r="Q52" s="194"/>
      <c r="R52" s="194"/>
      <c r="S52" s="194"/>
      <c r="T52" s="194"/>
      <c r="U52" s="186">
        <f>I52</f>
        <v>0</v>
      </c>
    </row>
    <row r="53" spans="1:63" ht="18" customHeight="1" thickBot="1" x14ac:dyDescent="0.3">
      <c r="A53" s="20"/>
      <c r="B53" s="228">
        <f>SUM(B47:B52)</f>
        <v>144</v>
      </c>
      <c r="C53" s="228">
        <f>SUM(C47:C52)</f>
        <v>3</v>
      </c>
      <c r="D53" s="150">
        <f>SUM(D47:D52)</f>
        <v>144</v>
      </c>
      <c r="E53" s="150">
        <f>SUM(E47:E52)</f>
        <v>3</v>
      </c>
      <c r="F53" s="120"/>
      <c r="G53" s="120">
        <f t="shared" ref="G53:L53" si="41">SUM(G47:G52)</f>
        <v>150</v>
      </c>
      <c r="H53" s="120">
        <f t="shared" si="41"/>
        <v>147</v>
      </c>
      <c r="I53" s="121">
        <f t="shared" si="41"/>
        <v>6469.5</v>
      </c>
      <c r="J53" s="120">
        <f t="shared" si="41"/>
        <v>6340.1100000000006</v>
      </c>
      <c r="K53" s="120">
        <f t="shared" si="41"/>
        <v>672828</v>
      </c>
      <c r="L53" s="120">
        <f t="shared" si="41"/>
        <v>15288</v>
      </c>
      <c r="M53" s="125">
        <f>'Odometro-Kilometraje'!H81</f>
        <v>6541</v>
      </c>
      <c r="N53" s="21">
        <f>(U53/M53)*100</f>
        <v>98.906894970188048</v>
      </c>
      <c r="O53" s="197"/>
      <c r="P53" s="185"/>
      <c r="Q53" s="185"/>
      <c r="R53" s="185"/>
      <c r="S53" s="185"/>
      <c r="T53" s="185"/>
      <c r="U53" s="198">
        <f>SUM(U47:U52)</f>
        <v>6469.5</v>
      </c>
    </row>
    <row r="54" spans="1:63" x14ac:dyDescent="0.25">
      <c r="A54" s="61">
        <f>A47+1</f>
        <v>45634</v>
      </c>
      <c r="B54" s="229">
        <v>51</v>
      </c>
      <c r="C54" s="229">
        <v>3</v>
      </c>
      <c r="D54" s="128">
        <f>'Data Ocupacion'!R34</f>
        <v>49</v>
      </c>
      <c r="E54" s="128">
        <f>'Data Ocupacion'!S34</f>
        <v>5</v>
      </c>
      <c r="F54" s="229" t="s">
        <v>38</v>
      </c>
      <c r="G54" s="288">
        <f t="shared" ref="G54:G59" si="42">D54+E54*2</f>
        <v>59</v>
      </c>
      <c r="H54" s="289">
        <f t="shared" ref="H54:H59" si="43">D54+E54</f>
        <v>54</v>
      </c>
      <c r="I54" s="229">
        <f>G54*L2</f>
        <v>2544.67</v>
      </c>
      <c r="J54" s="155">
        <f>H54*L$2</f>
        <v>2329.02</v>
      </c>
      <c r="K54" s="229">
        <f t="shared" ref="K54:K59" si="44">I54*104</f>
        <v>264645.68</v>
      </c>
      <c r="L54" s="229">
        <f t="shared" ref="L54:L59" si="45">H54*104</f>
        <v>5616</v>
      </c>
      <c r="M54" s="19"/>
      <c r="N54" s="19"/>
      <c r="O54" s="148"/>
      <c r="P54" s="261"/>
      <c r="Q54" s="187"/>
      <c r="R54" s="214"/>
      <c r="S54" s="261">
        <v>1</v>
      </c>
      <c r="T54" s="196"/>
      <c r="U54" s="189">
        <f>I54-((P54*($L$2-$J$1)))-(S54*($J$1))</f>
        <v>2519.27</v>
      </c>
    </row>
    <row r="55" spans="1:63" ht="15" customHeight="1" x14ac:dyDescent="0.25">
      <c r="A55" s="207"/>
      <c r="B55" s="229">
        <v>57</v>
      </c>
      <c r="C55" s="229">
        <v>0</v>
      </c>
      <c r="D55" s="128">
        <f>'Data Ocupacion'!R35</f>
        <v>55</v>
      </c>
      <c r="E55" s="128">
        <f>'Data Ocupacion'!S35</f>
        <v>2</v>
      </c>
      <c r="F55" s="229" t="s">
        <v>52</v>
      </c>
      <c r="G55" s="288">
        <f t="shared" si="42"/>
        <v>59</v>
      </c>
      <c r="H55" s="229">
        <f t="shared" si="43"/>
        <v>57</v>
      </c>
      <c r="I55" s="229">
        <f>G55*L2</f>
        <v>2544.67</v>
      </c>
      <c r="J55" s="155">
        <f>H55*L$2</f>
        <v>2458.4100000000003</v>
      </c>
      <c r="K55" s="229">
        <f t="shared" si="44"/>
        <v>264645.68</v>
      </c>
      <c r="L55" s="229">
        <f t="shared" si="45"/>
        <v>5928</v>
      </c>
      <c r="M55" s="19"/>
      <c r="N55" s="19"/>
      <c r="O55" s="148"/>
      <c r="P55" s="191"/>
      <c r="Q55" s="191"/>
      <c r="R55" s="191"/>
      <c r="S55" s="187"/>
      <c r="T55" s="188"/>
      <c r="U55" s="189">
        <f>I55-(S55*($L$2-$J$1)+(T55*($L$2-$L$1)))</f>
        <v>2544.67</v>
      </c>
    </row>
    <row r="56" spans="1:63" ht="15" customHeight="1" x14ac:dyDescent="0.25">
      <c r="A56" s="207"/>
      <c r="B56" s="229">
        <v>0</v>
      </c>
      <c r="C56" s="229">
        <v>0</v>
      </c>
      <c r="D56" s="139">
        <f>'Data Ocupacion'!R36</f>
        <v>0</v>
      </c>
      <c r="E56" s="139">
        <f>'Data Ocupacion'!S36</f>
        <v>0</v>
      </c>
      <c r="F56" s="287" t="s">
        <v>36</v>
      </c>
      <c r="G56" s="288">
        <f t="shared" si="42"/>
        <v>0</v>
      </c>
      <c r="H56" s="229">
        <f t="shared" si="43"/>
        <v>0</v>
      </c>
      <c r="I56" s="229">
        <f>G56*L$1</f>
        <v>0</v>
      </c>
      <c r="J56" s="155">
        <f>H56*L$1</f>
        <v>0</v>
      </c>
      <c r="K56" s="229">
        <f t="shared" si="44"/>
        <v>0</v>
      </c>
      <c r="L56" s="229">
        <f t="shared" si="45"/>
        <v>0</v>
      </c>
      <c r="M56" s="19"/>
      <c r="N56" s="19"/>
      <c r="O56" s="148"/>
      <c r="P56" s="190"/>
      <c r="Q56" s="192"/>
      <c r="R56" s="215"/>
      <c r="S56" s="193"/>
      <c r="T56" s="194"/>
      <c r="U56" s="186">
        <f>I56-(P56*($L$1-$J$1))</f>
        <v>0</v>
      </c>
    </row>
    <row r="57" spans="1:63" x14ac:dyDescent="0.25">
      <c r="A57" s="207"/>
      <c r="B57" s="229">
        <v>0</v>
      </c>
      <c r="C57" s="229">
        <v>0</v>
      </c>
      <c r="D57" s="139">
        <f>'Data Ocupacion'!R37</f>
        <v>0</v>
      </c>
      <c r="E57" s="139">
        <f>'Data Ocupacion'!S37</f>
        <v>0</v>
      </c>
      <c r="F57" s="287" t="s">
        <v>53</v>
      </c>
      <c r="G57" s="288">
        <f t="shared" si="42"/>
        <v>0</v>
      </c>
      <c r="H57" s="229">
        <f t="shared" si="43"/>
        <v>0</v>
      </c>
      <c r="I57" s="229">
        <f>G57*L$1</f>
        <v>0</v>
      </c>
      <c r="J57" s="155">
        <f>H57*L$1</f>
        <v>0</v>
      </c>
      <c r="K57" s="229">
        <f t="shared" si="44"/>
        <v>0</v>
      </c>
      <c r="L57" s="229">
        <f t="shared" si="45"/>
        <v>0</v>
      </c>
      <c r="M57" s="19"/>
      <c r="N57" s="19"/>
      <c r="O57" s="148"/>
      <c r="P57" s="194"/>
      <c r="Q57" s="194"/>
      <c r="R57" s="194"/>
      <c r="S57" s="194"/>
      <c r="T57" s="194"/>
      <c r="U57" s="186">
        <f t="shared" ref="U57:U58" si="46">I57</f>
        <v>0</v>
      </c>
      <c r="BK57" t="s">
        <v>120</v>
      </c>
    </row>
    <row r="58" spans="1:63" s="126" customFormat="1" ht="15" customHeight="1" x14ac:dyDescent="0.25">
      <c r="A58" s="207"/>
      <c r="B58" s="229">
        <v>0</v>
      </c>
      <c r="C58" s="229">
        <v>0</v>
      </c>
      <c r="D58" s="139">
        <f>'Data Ocupacion'!R38</f>
        <v>0</v>
      </c>
      <c r="E58" s="139">
        <f>'Data Ocupacion'!S38</f>
        <v>0</v>
      </c>
      <c r="F58" s="229" t="s">
        <v>122</v>
      </c>
      <c r="G58" s="288">
        <f t="shared" si="42"/>
        <v>0</v>
      </c>
      <c r="H58" s="229">
        <f t="shared" si="43"/>
        <v>0</v>
      </c>
      <c r="I58" s="290">
        <f>G58*T$1</f>
        <v>0</v>
      </c>
      <c r="J58" s="155">
        <f>H58*T$1</f>
        <v>0</v>
      </c>
      <c r="K58" s="229">
        <f t="shared" si="44"/>
        <v>0</v>
      </c>
      <c r="L58" s="229">
        <f t="shared" si="45"/>
        <v>0</v>
      </c>
      <c r="M58" s="19"/>
      <c r="N58" s="19"/>
      <c r="O58" s="148"/>
      <c r="P58" s="194"/>
      <c r="Q58" s="194"/>
      <c r="R58" s="194"/>
      <c r="S58" s="194"/>
      <c r="T58" s="194"/>
      <c r="U58" s="186">
        <f t="shared" si="46"/>
        <v>0</v>
      </c>
    </row>
    <row r="59" spans="1:63" ht="15.75" thickBot="1" x14ac:dyDescent="0.3">
      <c r="A59" s="207"/>
      <c r="B59" s="229">
        <v>0</v>
      </c>
      <c r="C59" s="229">
        <v>0</v>
      </c>
      <c r="D59" s="139">
        <f>'Data Ocupacion'!R39</f>
        <v>0</v>
      </c>
      <c r="E59" s="139">
        <f>'Data Ocupacion'!S39</f>
        <v>0</v>
      </c>
      <c r="F59" s="229" t="s">
        <v>35</v>
      </c>
      <c r="G59" s="288">
        <f t="shared" si="42"/>
        <v>0</v>
      </c>
      <c r="H59" s="317">
        <f t="shared" si="43"/>
        <v>0</v>
      </c>
      <c r="I59" s="317">
        <f>G59*J$1</f>
        <v>0</v>
      </c>
      <c r="J59" s="155">
        <f>H59*J$1</f>
        <v>0</v>
      </c>
      <c r="K59" s="229">
        <f t="shared" si="44"/>
        <v>0</v>
      </c>
      <c r="L59" s="229">
        <f t="shared" si="45"/>
        <v>0</v>
      </c>
      <c r="M59" s="19"/>
      <c r="N59" s="19"/>
      <c r="O59" s="148"/>
      <c r="P59" s="194"/>
      <c r="Q59" s="194"/>
      <c r="R59" s="194"/>
      <c r="S59" s="194"/>
      <c r="T59" s="194"/>
      <c r="U59" s="186">
        <f>I59</f>
        <v>0</v>
      </c>
    </row>
    <row r="60" spans="1:63" ht="15.75" thickBot="1" x14ac:dyDescent="0.3">
      <c r="A60" s="20"/>
      <c r="B60" s="228">
        <f>SUM(B54:B59)</f>
        <v>108</v>
      </c>
      <c r="C60" s="228">
        <f>SUM(C54:C59)</f>
        <v>3</v>
      </c>
      <c r="D60" s="150">
        <f>SUM(D54:D59)</f>
        <v>104</v>
      </c>
      <c r="E60" s="150">
        <f>SUM(E54:E59)</f>
        <v>7</v>
      </c>
      <c r="F60" s="120"/>
      <c r="G60" s="120">
        <f t="shared" ref="G60:L60" si="47">SUM(G54:G59)</f>
        <v>118</v>
      </c>
      <c r="H60" s="120">
        <f t="shared" si="47"/>
        <v>111</v>
      </c>
      <c r="I60" s="121">
        <f t="shared" si="47"/>
        <v>5089.34</v>
      </c>
      <c r="J60" s="120">
        <f t="shared" si="47"/>
        <v>4787.43</v>
      </c>
      <c r="K60" s="120">
        <f t="shared" si="47"/>
        <v>529291.36</v>
      </c>
      <c r="L60" s="120">
        <f t="shared" si="47"/>
        <v>11544</v>
      </c>
      <c r="M60" s="125">
        <f>'Odometro-Kilometraje'!I81</f>
        <v>5155</v>
      </c>
      <c r="N60" s="21">
        <f>(U60/M60)*100</f>
        <v>98.233559650824446</v>
      </c>
      <c r="O60" s="197"/>
      <c r="P60" s="185"/>
      <c r="Q60" s="185"/>
      <c r="R60" s="185"/>
      <c r="S60" s="185"/>
      <c r="T60" s="185"/>
      <c r="U60" s="198">
        <f>SUM(U54:U59)</f>
        <v>5063.9400000000005</v>
      </c>
    </row>
    <row r="61" spans="1:63" x14ac:dyDescent="0.25">
      <c r="A61" s="61">
        <f>A54+1</f>
        <v>45635</v>
      </c>
      <c r="B61" s="127">
        <v>42</v>
      </c>
      <c r="C61" s="127">
        <v>37</v>
      </c>
      <c r="D61" s="280">
        <f>'Data Ocupacion'!T34</f>
        <v>44</v>
      </c>
      <c r="E61" s="280">
        <f>'Data Ocupacion'!U34</f>
        <v>35</v>
      </c>
      <c r="F61" s="127" t="s">
        <v>38</v>
      </c>
      <c r="G61" s="127">
        <f t="shared" ref="G61:G62" si="48">D61+E61*2</f>
        <v>114</v>
      </c>
      <c r="H61" s="127">
        <f t="shared" ref="H61:H62" si="49">D61+E61</f>
        <v>79</v>
      </c>
      <c r="I61" s="127">
        <f>G61*L$2</f>
        <v>4916.8200000000006</v>
      </c>
      <c r="J61" s="155">
        <f>H61*L$2</f>
        <v>3407.27</v>
      </c>
      <c r="K61" s="127">
        <f>I61*104</f>
        <v>511349.28000000009</v>
      </c>
      <c r="L61" s="127">
        <f t="shared" ref="L61:L66" si="50">H61*104</f>
        <v>8216</v>
      </c>
      <c r="M61" s="19"/>
      <c r="N61" s="19"/>
      <c r="O61" s="148"/>
      <c r="P61" s="187">
        <v>1</v>
      </c>
      <c r="Q61" s="187"/>
      <c r="R61" s="214"/>
      <c r="S61" s="283"/>
      <c r="T61" s="196"/>
      <c r="U61" s="189">
        <f>I61-((P61*($L$2-$J$1)))-(S61*($J$1))</f>
        <v>4899.0900000000011</v>
      </c>
    </row>
    <row r="62" spans="1:63" ht="15" customHeight="1" x14ac:dyDescent="0.25">
      <c r="A62" s="183"/>
      <c r="B62" s="127">
        <v>40</v>
      </c>
      <c r="C62" s="127">
        <v>38</v>
      </c>
      <c r="D62" s="280">
        <f>'Data Ocupacion'!T35</f>
        <v>42</v>
      </c>
      <c r="E62" s="280">
        <f>'Data Ocupacion'!U35</f>
        <v>36</v>
      </c>
      <c r="F62" s="127" t="s">
        <v>52</v>
      </c>
      <c r="G62" s="127">
        <f t="shared" si="48"/>
        <v>114</v>
      </c>
      <c r="H62" s="127">
        <f t="shared" si="49"/>
        <v>78</v>
      </c>
      <c r="I62" s="127">
        <f>G62*L$2</f>
        <v>4916.8200000000006</v>
      </c>
      <c r="J62" s="155">
        <f>H62*L$2</f>
        <v>3364.1400000000003</v>
      </c>
      <c r="K62" s="127">
        <f>I62*104</f>
        <v>511349.28000000009</v>
      </c>
      <c r="L62" s="127">
        <f t="shared" si="50"/>
        <v>8112</v>
      </c>
      <c r="M62" s="19"/>
      <c r="N62" s="19"/>
      <c r="O62" s="148"/>
      <c r="P62" s="191"/>
      <c r="Q62" s="191"/>
      <c r="R62" s="191"/>
      <c r="S62" s="187"/>
      <c r="T62" s="187"/>
      <c r="U62" s="189">
        <f>I62-(S62*($L$2-$J$1)+(T62*($L$2-$L$1)))</f>
        <v>4916.8200000000006</v>
      </c>
      <c r="W62" s="251"/>
      <c r="Y62" s="126"/>
      <c r="Z62" s="126"/>
    </row>
    <row r="63" spans="1:63" x14ac:dyDescent="0.25">
      <c r="A63" s="183"/>
      <c r="B63" s="127">
        <v>29</v>
      </c>
      <c r="C63" s="127">
        <v>4</v>
      </c>
      <c r="D63" s="128">
        <f>'Data Ocupacion'!T36</f>
        <v>30</v>
      </c>
      <c r="E63" s="128">
        <f>'Data Ocupacion'!U36</f>
        <v>3</v>
      </c>
      <c r="F63" s="127" t="s">
        <v>36</v>
      </c>
      <c r="G63" s="127">
        <f t="shared" ref="G63:G66" si="51">D63+E63*2</f>
        <v>36</v>
      </c>
      <c r="H63" s="127">
        <f t="shared" ref="H63:H66" si="52">D63+E63</f>
        <v>33</v>
      </c>
      <c r="I63" s="127">
        <f>G63*L$1</f>
        <v>1047.96</v>
      </c>
      <c r="J63" s="155">
        <f>H63*L$1</f>
        <v>960.63</v>
      </c>
      <c r="K63" s="127">
        <f>I63*104</f>
        <v>108987.84</v>
      </c>
      <c r="L63" s="127">
        <f t="shared" si="50"/>
        <v>3432</v>
      </c>
      <c r="M63" s="19"/>
      <c r="N63" s="19"/>
      <c r="O63" s="148"/>
      <c r="P63" s="190"/>
      <c r="Q63" s="192"/>
      <c r="R63" s="215"/>
      <c r="S63" s="193"/>
      <c r="T63" s="194"/>
      <c r="U63" s="189">
        <f t="shared" ref="U63:U66" si="53">I63-(S63*($L$2-$J$1)+(T63*($L$2-$L$1)))</f>
        <v>1047.96</v>
      </c>
      <c r="W63" s="251"/>
    </row>
    <row r="64" spans="1:63" x14ac:dyDescent="0.25">
      <c r="A64" s="183"/>
      <c r="B64" s="127">
        <v>28</v>
      </c>
      <c r="C64" s="127">
        <v>4</v>
      </c>
      <c r="D64" s="280">
        <f>'Data Ocupacion'!T37</f>
        <v>28</v>
      </c>
      <c r="E64" s="128">
        <f>'Data Ocupacion'!U37</f>
        <v>3</v>
      </c>
      <c r="F64" s="127" t="s">
        <v>53</v>
      </c>
      <c r="G64" s="127">
        <f t="shared" si="51"/>
        <v>34</v>
      </c>
      <c r="H64" s="127">
        <f t="shared" si="52"/>
        <v>31</v>
      </c>
      <c r="I64" s="127">
        <f>G64*L$1</f>
        <v>989.74</v>
      </c>
      <c r="J64" s="155">
        <f>H64*L$1</f>
        <v>902.41</v>
      </c>
      <c r="K64" s="127">
        <f>I64*104</f>
        <v>102932.96</v>
      </c>
      <c r="L64" s="127">
        <f t="shared" si="50"/>
        <v>3224</v>
      </c>
      <c r="M64" s="167"/>
      <c r="N64" s="19"/>
      <c r="O64" s="148"/>
      <c r="P64" s="194"/>
      <c r="Q64" s="194"/>
      <c r="R64" s="194"/>
      <c r="S64" s="194"/>
      <c r="T64" s="194"/>
      <c r="U64" s="189">
        <f t="shared" si="53"/>
        <v>989.74</v>
      </c>
    </row>
    <row r="65" spans="1:23" s="126" customFormat="1" x14ac:dyDescent="0.25">
      <c r="A65" s="183"/>
      <c r="B65" s="127">
        <v>0</v>
      </c>
      <c r="C65" s="127">
        <v>0</v>
      </c>
      <c r="D65" s="128">
        <f>'Data Ocupacion'!T38</f>
        <v>0</v>
      </c>
      <c r="E65" s="128">
        <f>'Data Ocupacion'!U38</f>
        <v>0</v>
      </c>
      <c r="F65" s="127" t="s">
        <v>122</v>
      </c>
      <c r="G65" s="127">
        <f t="shared" si="51"/>
        <v>0</v>
      </c>
      <c r="H65" s="127">
        <f t="shared" si="52"/>
        <v>0</v>
      </c>
      <c r="I65" s="127">
        <f>G65*T$1</f>
        <v>0</v>
      </c>
      <c r="J65" s="155">
        <f>H65*T$1</f>
        <v>0</v>
      </c>
      <c r="K65" s="127">
        <f t="shared" ref="K65" si="54">I65*104</f>
        <v>0</v>
      </c>
      <c r="L65" s="127">
        <f t="shared" si="50"/>
        <v>0</v>
      </c>
      <c r="M65" s="167"/>
      <c r="N65" s="19"/>
      <c r="O65" s="148"/>
      <c r="P65" s="194"/>
      <c r="Q65" s="194"/>
      <c r="R65" s="194"/>
      <c r="S65" s="194"/>
      <c r="T65" s="194"/>
      <c r="U65" s="189">
        <f t="shared" si="53"/>
        <v>0</v>
      </c>
    </row>
    <row r="66" spans="1:23" ht="15.75" thickBot="1" x14ac:dyDescent="0.3">
      <c r="A66" s="183"/>
      <c r="B66" s="127">
        <v>1</v>
      </c>
      <c r="C66" s="127">
        <v>0</v>
      </c>
      <c r="D66" s="128">
        <f>'Data Ocupacion'!T39</f>
        <v>1</v>
      </c>
      <c r="E66" s="128">
        <f>'Data Ocupacion'!U39</f>
        <v>0</v>
      </c>
      <c r="F66" s="127" t="s">
        <v>35</v>
      </c>
      <c r="G66" s="127">
        <f t="shared" si="51"/>
        <v>1</v>
      </c>
      <c r="H66" s="127">
        <f t="shared" si="52"/>
        <v>1</v>
      </c>
      <c r="I66" s="127">
        <f>G66*J$1</f>
        <v>25.4</v>
      </c>
      <c r="J66" s="155">
        <f>H66*J$1</f>
        <v>25.4</v>
      </c>
      <c r="K66" s="127">
        <f>I66*104</f>
        <v>2641.6</v>
      </c>
      <c r="L66" s="127">
        <f t="shared" si="50"/>
        <v>104</v>
      </c>
      <c r="M66" s="19"/>
      <c r="N66" s="19"/>
      <c r="O66" s="148"/>
      <c r="P66" s="194"/>
      <c r="Q66" s="194"/>
      <c r="R66" s="194"/>
      <c r="S66" s="194"/>
      <c r="T66" s="194"/>
      <c r="U66" s="189">
        <f t="shared" si="53"/>
        <v>25.4</v>
      </c>
    </row>
    <row r="67" spans="1:23" s="126" customFormat="1" ht="18.75" customHeight="1" thickBot="1" x14ac:dyDescent="0.3">
      <c r="A67" s="20"/>
      <c r="B67" s="228">
        <f>SUM(B61:B66)</f>
        <v>140</v>
      </c>
      <c r="C67" s="228">
        <f>SUM(C61:C66)</f>
        <v>83</v>
      </c>
      <c r="D67" s="154">
        <f>SUM(D61:D66)</f>
        <v>145</v>
      </c>
      <c r="E67" s="154">
        <f>SUM(E61:E66)</f>
        <v>77</v>
      </c>
      <c r="F67" s="120"/>
      <c r="G67" s="120">
        <f t="shared" ref="G67:L67" si="55">SUM(G61:G66)</f>
        <v>299</v>
      </c>
      <c r="H67" s="120">
        <f t="shared" si="55"/>
        <v>222</v>
      </c>
      <c r="I67" s="120">
        <f t="shared" si="55"/>
        <v>11896.740000000002</v>
      </c>
      <c r="J67" s="120">
        <f t="shared" si="55"/>
        <v>8659.85</v>
      </c>
      <c r="K67" s="119">
        <f t="shared" si="55"/>
        <v>1237260.9600000002</v>
      </c>
      <c r="L67" s="153">
        <f t="shared" si="55"/>
        <v>23088</v>
      </c>
      <c r="M67" s="125">
        <f>'Odometro-Kilometraje'!J81</f>
        <v>12414</v>
      </c>
      <c r="N67" s="21">
        <f>(U67/M67)*100</f>
        <v>95.690430159497353</v>
      </c>
      <c r="O67" s="197"/>
      <c r="P67" s="185"/>
      <c r="Q67" s="185"/>
      <c r="R67" s="185"/>
      <c r="S67" s="185"/>
      <c r="T67" s="185"/>
      <c r="U67" s="198">
        <f>SUM(U61:U66)</f>
        <v>11879.010000000002</v>
      </c>
      <c r="W67" s="252"/>
    </row>
    <row r="68" spans="1:23" s="126" customFormat="1" x14ac:dyDescent="0.25">
      <c r="A68" s="61">
        <f>A61+1</f>
        <v>45636</v>
      </c>
      <c r="B68" s="127">
        <v>42</v>
      </c>
      <c r="C68" s="127">
        <v>37</v>
      </c>
      <c r="D68" s="139">
        <f>'Data Ocupacion'!V34</f>
        <v>43</v>
      </c>
      <c r="E68" s="139">
        <f>'Data Ocupacion'!W34</f>
        <v>36</v>
      </c>
      <c r="F68" s="127" t="s">
        <v>38</v>
      </c>
      <c r="G68" s="127">
        <f t="shared" ref="G68:G73" si="56">D68+E68*2</f>
        <v>115</v>
      </c>
      <c r="H68" s="127">
        <f t="shared" ref="H68:H73" si="57">D68+E68</f>
        <v>79</v>
      </c>
      <c r="I68" s="127">
        <f>G68*L$2</f>
        <v>4959.9500000000007</v>
      </c>
      <c r="J68" s="155">
        <f>H68*L$2</f>
        <v>3407.27</v>
      </c>
      <c r="K68" s="127">
        <f t="shared" ref="K68:K73" si="58">I68*104</f>
        <v>515834.80000000005</v>
      </c>
      <c r="L68" s="127">
        <f t="shared" ref="L68:L73" si="59">H68*104</f>
        <v>8216</v>
      </c>
      <c r="M68" s="19"/>
      <c r="N68" s="19"/>
      <c r="O68" s="148"/>
      <c r="P68" s="187">
        <v>2</v>
      </c>
      <c r="Q68" s="187"/>
      <c r="R68" s="214"/>
      <c r="S68" s="283"/>
      <c r="T68" s="196"/>
      <c r="U68" s="189">
        <f>I68-((P68*($L$2-$J$1)))-(S68*($J$1))</f>
        <v>4924.4900000000007</v>
      </c>
    </row>
    <row r="69" spans="1:23" ht="15" customHeight="1" x14ac:dyDescent="0.25">
      <c r="A69" s="183"/>
      <c r="B69" s="127">
        <v>40</v>
      </c>
      <c r="C69" s="127">
        <v>38</v>
      </c>
      <c r="D69" s="139">
        <f>'Data Ocupacion'!V35</f>
        <v>41</v>
      </c>
      <c r="E69" s="139">
        <f>'Data Ocupacion'!W35</f>
        <v>37</v>
      </c>
      <c r="F69" s="127" t="s">
        <v>52</v>
      </c>
      <c r="G69" s="127">
        <f t="shared" si="56"/>
        <v>115</v>
      </c>
      <c r="H69" s="127">
        <f t="shared" si="57"/>
        <v>78</v>
      </c>
      <c r="I69" s="127">
        <f>G69*L$2</f>
        <v>4959.9500000000007</v>
      </c>
      <c r="J69" s="155">
        <f>H69*L$2</f>
        <v>3364.1400000000003</v>
      </c>
      <c r="K69" s="127">
        <f t="shared" si="58"/>
        <v>515834.80000000005</v>
      </c>
      <c r="L69" s="127">
        <f t="shared" si="59"/>
        <v>8112</v>
      </c>
      <c r="M69" s="19"/>
      <c r="N69" s="19"/>
      <c r="O69" s="148"/>
      <c r="P69" s="191"/>
      <c r="Q69" s="191"/>
      <c r="R69" s="191"/>
      <c r="S69" s="187">
        <v>1</v>
      </c>
      <c r="T69" s="188"/>
      <c r="U69" s="189">
        <f>I69-(S69*($L$2-$J$1)+(T69*($L$2-$L$1)))</f>
        <v>4942.2200000000012</v>
      </c>
    </row>
    <row r="70" spans="1:23" x14ac:dyDescent="0.25">
      <c r="A70" s="183"/>
      <c r="B70" s="127">
        <v>29</v>
      </c>
      <c r="C70" s="127">
        <v>4</v>
      </c>
      <c r="D70" s="139">
        <f>'Data Ocupacion'!V36</f>
        <v>29</v>
      </c>
      <c r="E70" s="139">
        <f>'Data Ocupacion'!W36</f>
        <v>4</v>
      </c>
      <c r="F70" s="127" t="s">
        <v>36</v>
      </c>
      <c r="G70" s="127">
        <f t="shared" si="56"/>
        <v>37</v>
      </c>
      <c r="H70" s="127">
        <f t="shared" si="57"/>
        <v>33</v>
      </c>
      <c r="I70" s="127">
        <f>G70*L$1</f>
        <v>1077.07</v>
      </c>
      <c r="J70" s="155">
        <f>H70*L$1</f>
        <v>960.63</v>
      </c>
      <c r="K70" s="127">
        <f t="shared" si="58"/>
        <v>112015.28</v>
      </c>
      <c r="L70" s="127">
        <f t="shared" si="59"/>
        <v>3432</v>
      </c>
      <c r="M70" s="19"/>
      <c r="N70" s="19"/>
      <c r="O70" s="148"/>
      <c r="P70" s="190"/>
      <c r="Q70" s="192"/>
      <c r="R70" s="215"/>
      <c r="S70" s="193"/>
      <c r="T70" s="194"/>
      <c r="U70" s="189">
        <f t="shared" ref="U70:U73" si="60">I70-(S70*($L$2-$J$1)+(T70*($L$2-$L$1)))</f>
        <v>1077.07</v>
      </c>
    </row>
    <row r="71" spans="1:23" ht="15" customHeight="1" x14ac:dyDescent="0.25">
      <c r="A71" s="183"/>
      <c r="B71" s="127">
        <v>28</v>
      </c>
      <c r="C71" s="127">
        <v>4</v>
      </c>
      <c r="D71" s="139">
        <f>'Data Ocupacion'!V37</f>
        <v>28</v>
      </c>
      <c r="E71" s="139">
        <f>'Data Ocupacion'!W37</f>
        <v>4</v>
      </c>
      <c r="F71" s="127" t="s">
        <v>53</v>
      </c>
      <c r="G71" s="127">
        <f t="shared" si="56"/>
        <v>36</v>
      </c>
      <c r="H71" s="127">
        <f t="shared" si="57"/>
        <v>32</v>
      </c>
      <c r="I71" s="127">
        <f>G71*L$1</f>
        <v>1047.96</v>
      </c>
      <c r="J71" s="155">
        <f>H71*L$1</f>
        <v>931.52</v>
      </c>
      <c r="K71" s="127">
        <f t="shared" si="58"/>
        <v>108987.84</v>
      </c>
      <c r="L71" s="127">
        <f t="shared" si="59"/>
        <v>3328</v>
      </c>
      <c r="M71" s="19"/>
      <c r="N71" s="19"/>
      <c r="O71" s="148"/>
      <c r="P71" s="194"/>
      <c r="Q71" s="194"/>
      <c r="R71" s="194"/>
      <c r="S71" s="194"/>
      <c r="T71" s="194"/>
      <c r="U71" s="189">
        <f t="shared" si="60"/>
        <v>1047.96</v>
      </c>
    </row>
    <row r="72" spans="1:23" ht="15" customHeight="1" x14ac:dyDescent="0.25">
      <c r="A72" s="183"/>
      <c r="B72" s="127">
        <v>0</v>
      </c>
      <c r="C72" s="127">
        <v>0</v>
      </c>
      <c r="D72" s="128">
        <f>'Data Ocupacion'!V38</f>
        <v>0</v>
      </c>
      <c r="E72" s="128">
        <f>'Data Ocupacion'!W38</f>
        <v>0</v>
      </c>
      <c r="F72" s="127" t="s">
        <v>122</v>
      </c>
      <c r="G72" s="127">
        <f t="shared" si="56"/>
        <v>0</v>
      </c>
      <c r="H72" s="127">
        <f t="shared" si="57"/>
        <v>0</v>
      </c>
      <c r="I72" s="127">
        <f>G72*J$1</f>
        <v>0</v>
      </c>
      <c r="J72" s="155">
        <f>H72*J$1</f>
        <v>0</v>
      </c>
      <c r="K72" s="127">
        <f t="shared" si="58"/>
        <v>0</v>
      </c>
      <c r="L72" s="127">
        <f t="shared" si="59"/>
        <v>0</v>
      </c>
      <c r="M72" s="19"/>
      <c r="N72" s="19"/>
      <c r="O72" s="148"/>
      <c r="P72" s="194"/>
      <c r="Q72" s="194"/>
      <c r="R72" s="194"/>
      <c r="S72" s="194"/>
      <c r="T72" s="194"/>
      <c r="U72" s="189">
        <f t="shared" si="60"/>
        <v>0</v>
      </c>
    </row>
    <row r="73" spans="1:23" ht="14.25" customHeight="1" thickBot="1" x14ac:dyDescent="0.3">
      <c r="A73" s="183"/>
      <c r="B73" s="127">
        <v>1</v>
      </c>
      <c r="C73" s="127">
        <v>0</v>
      </c>
      <c r="D73" s="128">
        <f>'Data Ocupacion'!V39</f>
        <v>1</v>
      </c>
      <c r="E73" s="128">
        <f>'Data Ocupacion'!W39</f>
        <v>0</v>
      </c>
      <c r="F73" s="127" t="s">
        <v>35</v>
      </c>
      <c r="G73" s="127">
        <f t="shared" si="56"/>
        <v>1</v>
      </c>
      <c r="H73" s="127">
        <f t="shared" si="57"/>
        <v>1</v>
      </c>
      <c r="I73" s="127">
        <f>G73*J$1</f>
        <v>25.4</v>
      </c>
      <c r="J73" s="155">
        <f>H73*J$1</f>
        <v>25.4</v>
      </c>
      <c r="K73" s="127">
        <f t="shared" si="58"/>
        <v>2641.6</v>
      </c>
      <c r="L73" s="127">
        <f t="shared" si="59"/>
        <v>104</v>
      </c>
      <c r="M73" s="19"/>
      <c r="N73" s="19"/>
      <c r="O73" s="148"/>
      <c r="P73" s="194"/>
      <c r="Q73" s="194"/>
      <c r="R73" s="194"/>
      <c r="S73" s="194"/>
      <c r="T73" s="194"/>
      <c r="U73" s="189">
        <f t="shared" si="60"/>
        <v>25.4</v>
      </c>
    </row>
    <row r="74" spans="1:23" s="126" customFormat="1" ht="15.75" thickBot="1" x14ac:dyDescent="0.3">
      <c r="A74" s="20"/>
      <c r="B74" s="228">
        <f>SUM(B68:B73)</f>
        <v>140</v>
      </c>
      <c r="C74" s="228">
        <f>SUM(C68:C73)</f>
        <v>83</v>
      </c>
      <c r="D74" s="154">
        <f>SUM(D68:D73)</f>
        <v>142</v>
      </c>
      <c r="E74" s="154">
        <f>SUM(E68:E73)</f>
        <v>81</v>
      </c>
      <c r="F74" s="120"/>
      <c r="G74" s="120">
        <f t="shared" ref="G74:L74" si="61">SUM(G68:G73)</f>
        <v>304</v>
      </c>
      <c r="H74" s="120">
        <f t="shared" si="61"/>
        <v>223</v>
      </c>
      <c r="I74" s="121">
        <f t="shared" si="61"/>
        <v>12070.33</v>
      </c>
      <c r="J74" s="120">
        <f t="shared" si="61"/>
        <v>8688.9599999999991</v>
      </c>
      <c r="K74" s="119">
        <f t="shared" si="61"/>
        <v>1255314.3200000003</v>
      </c>
      <c r="L74" s="153">
        <f t="shared" si="61"/>
        <v>23192</v>
      </c>
      <c r="M74" s="184">
        <f>'Odometro-Kilometraje'!K81</f>
        <v>12439</v>
      </c>
      <c r="N74" s="21">
        <f>(U74/M74)*100</f>
        <v>96.608569820725137</v>
      </c>
      <c r="O74" s="197"/>
      <c r="P74" s="185"/>
      <c r="Q74" s="185"/>
      <c r="R74" s="185"/>
      <c r="S74" s="185"/>
      <c r="T74" s="185"/>
      <c r="U74" s="198">
        <f>SUM(U68:U73)</f>
        <v>12017.140000000001</v>
      </c>
    </row>
    <row r="75" spans="1:23" x14ac:dyDescent="0.25">
      <c r="A75" s="61">
        <f>A68+1</f>
        <v>45637</v>
      </c>
      <c r="B75" s="127">
        <v>42</v>
      </c>
      <c r="C75" s="127">
        <v>37</v>
      </c>
      <c r="D75" s="128">
        <f>'Data Ocupacion'!X34</f>
        <v>42</v>
      </c>
      <c r="E75" s="128">
        <f>'Data Ocupacion'!Y34</f>
        <v>37</v>
      </c>
      <c r="F75" s="127" t="s">
        <v>38</v>
      </c>
      <c r="G75" s="127">
        <f t="shared" ref="G75:G80" si="62">D75+E75*2</f>
        <v>116</v>
      </c>
      <c r="H75" s="127">
        <f t="shared" ref="H75:H80" si="63">D75+E75</f>
        <v>79</v>
      </c>
      <c r="I75" s="127">
        <f>G75*L$2</f>
        <v>5003.08</v>
      </c>
      <c r="J75" s="155">
        <f>H75*L$2</f>
        <v>3407.27</v>
      </c>
      <c r="K75" s="127">
        <f t="shared" ref="K75:K80" si="64">I75*104</f>
        <v>520320.32</v>
      </c>
      <c r="L75" s="127">
        <f t="shared" ref="L75:L80" si="65">H75*104</f>
        <v>8216</v>
      </c>
      <c r="M75" s="19"/>
      <c r="N75" s="19"/>
      <c r="O75" s="148"/>
      <c r="P75" s="261">
        <v>3</v>
      </c>
      <c r="Q75" s="187"/>
      <c r="R75" s="214"/>
      <c r="S75" s="261"/>
      <c r="T75" s="196"/>
      <c r="U75" s="189">
        <f>I75-((P75*($L$2-$J$1)))-(S75*($J$1))</f>
        <v>4949.8900000000003</v>
      </c>
    </row>
    <row r="76" spans="1:23" ht="15" customHeight="1" x14ac:dyDescent="0.25">
      <c r="A76" s="183"/>
      <c r="B76" s="127">
        <v>40</v>
      </c>
      <c r="C76" s="127">
        <v>38</v>
      </c>
      <c r="D76" s="128">
        <f>'Data Ocupacion'!X35</f>
        <v>40</v>
      </c>
      <c r="E76" s="128">
        <f>'Data Ocupacion'!Y35</f>
        <v>38</v>
      </c>
      <c r="F76" s="127" t="s">
        <v>52</v>
      </c>
      <c r="G76" s="127">
        <f t="shared" si="62"/>
        <v>116</v>
      </c>
      <c r="H76" s="127">
        <f t="shared" si="63"/>
        <v>78</v>
      </c>
      <c r="I76" s="127">
        <f>G76*L$2</f>
        <v>5003.08</v>
      </c>
      <c r="J76" s="155">
        <f>H76*L$2</f>
        <v>3364.1400000000003</v>
      </c>
      <c r="K76" s="127">
        <f t="shared" si="64"/>
        <v>520320.32</v>
      </c>
      <c r="L76" s="127">
        <f t="shared" si="65"/>
        <v>8112</v>
      </c>
      <c r="M76" s="19"/>
      <c r="N76" s="19"/>
      <c r="O76" s="148"/>
      <c r="P76" s="191"/>
      <c r="Q76" s="191"/>
      <c r="R76" s="191"/>
      <c r="S76" s="261">
        <v>3</v>
      </c>
      <c r="T76" s="212"/>
      <c r="U76" s="189">
        <f>I76-(S76*($L$2-$J$1)+(T76*($L$2-$L$1)))</f>
        <v>4949.8900000000003</v>
      </c>
    </row>
    <row r="77" spans="1:23" ht="15" customHeight="1" x14ac:dyDescent="0.25">
      <c r="A77" s="183"/>
      <c r="B77" s="127">
        <v>29</v>
      </c>
      <c r="C77" s="127">
        <v>4</v>
      </c>
      <c r="D77" s="128">
        <f>'Data Ocupacion'!X36</f>
        <v>29</v>
      </c>
      <c r="E77" s="128">
        <f>'Data Ocupacion'!Y36</f>
        <v>4</v>
      </c>
      <c r="F77" s="127" t="s">
        <v>36</v>
      </c>
      <c r="G77" s="127">
        <f t="shared" si="62"/>
        <v>37</v>
      </c>
      <c r="H77" s="127">
        <f t="shared" si="63"/>
        <v>33</v>
      </c>
      <c r="I77" s="127">
        <f>G77*L$1</f>
        <v>1077.07</v>
      </c>
      <c r="J77" s="155">
        <f>H77*L$1</f>
        <v>960.63</v>
      </c>
      <c r="K77" s="127">
        <f t="shared" si="64"/>
        <v>112015.28</v>
      </c>
      <c r="L77" s="127">
        <f t="shared" si="65"/>
        <v>3432</v>
      </c>
      <c r="M77" s="19"/>
      <c r="N77" s="19"/>
      <c r="O77" s="148"/>
      <c r="P77" s="190"/>
      <c r="Q77" s="192"/>
      <c r="R77" s="215"/>
      <c r="S77" s="193"/>
      <c r="T77" s="194"/>
      <c r="U77" s="186">
        <f>I77-(P77*($L$1-$J$1))</f>
        <v>1077.07</v>
      </c>
    </row>
    <row r="78" spans="1:23" ht="13.5" customHeight="1" x14ac:dyDescent="0.25">
      <c r="A78" s="183"/>
      <c r="B78" s="127">
        <v>28</v>
      </c>
      <c r="C78" s="127">
        <v>4</v>
      </c>
      <c r="D78" s="128">
        <f>'Data Ocupacion'!X37</f>
        <v>28</v>
      </c>
      <c r="E78" s="128">
        <f>'Data Ocupacion'!Y37</f>
        <v>4</v>
      </c>
      <c r="F78" s="127" t="s">
        <v>53</v>
      </c>
      <c r="G78" s="127">
        <f t="shared" si="62"/>
        <v>36</v>
      </c>
      <c r="H78" s="127">
        <f t="shared" si="63"/>
        <v>32</v>
      </c>
      <c r="I78" s="127">
        <f>G78*L$1</f>
        <v>1047.96</v>
      </c>
      <c r="J78" s="155">
        <f>H78*L$1</f>
        <v>931.52</v>
      </c>
      <c r="K78" s="127">
        <f t="shared" si="64"/>
        <v>108987.84</v>
      </c>
      <c r="L78" s="127">
        <f t="shared" si="65"/>
        <v>3328</v>
      </c>
      <c r="M78" s="19"/>
      <c r="N78" s="19"/>
      <c r="O78" s="148"/>
      <c r="P78" s="194"/>
      <c r="Q78" s="194"/>
      <c r="R78" s="194"/>
      <c r="S78" s="194"/>
      <c r="T78" s="194"/>
      <c r="U78" s="186">
        <f t="shared" ref="U78:U79" si="66">I78</f>
        <v>1047.96</v>
      </c>
    </row>
    <row r="79" spans="1:23" s="126" customFormat="1" ht="15" customHeight="1" x14ac:dyDescent="0.25">
      <c r="A79" s="183"/>
      <c r="B79" s="127">
        <v>0</v>
      </c>
      <c r="C79" s="127">
        <v>0</v>
      </c>
      <c r="D79" s="128">
        <f>'Data Ocupacion'!X38</f>
        <v>0</v>
      </c>
      <c r="E79" s="128">
        <f>'Data Ocupacion'!Y38</f>
        <v>0</v>
      </c>
      <c r="F79" s="127" t="s">
        <v>122</v>
      </c>
      <c r="G79" s="127">
        <f t="shared" si="62"/>
        <v>0</v>
      </c>
      <c r="H79" s="127">
        <f>D79+E79</f>
        <v>0</v>
      </c>
      <c r="I79" s="127">
        <f>G79*J$1</f>
        <v>0</v>
      </c>
      <c r="J79" s="155">
        <f>H79*J$1</f>
        <v>0</v>
      </c>
      <c r="K79" s="127">
        <f t="shared" si="64"/>
        <v>0</v>
      </c>
      <c r="L79" s="127">
        <f t="shared" si="65"/>
        <v>0</v>
      </c>
      <c r="M79" s="19"/>
      <c r="N79" s="19"/>
      <c r="O79" s="148"/>
      <c r="P79" s="194"/>
      <c r="Q79" s="194"/>
      <c r="R79" s="194"/>
      <c r="S79" s="194"/>
      <c r="T79" s="194"/>
      <c r="U79" s="186">
        <f t="shared" si="66"/>
        <v>0</v>
      </c>
    </row>
    <row r="80" spans="1:23" s="126" customFormat="1" ht="15" customHeight="1" thickBot="1" x14ac:dyDescent="0.3">
      <c r="A80" s="183"/>
      <c r="B80" s="127">
        <v>1</v>
      </c>
      <c r="C80" s="127">
        <v>0</v>
      </c>
      <c r="D80" s="128">
        <f>'Data Ocupacion'!X39</f>
        <v>1</v>
      </c>
      <c r="E80" s="128">
        <f>'Data Ocupacion'!Y39</f>
        <v>0</v>
      </c>
      <c r="F80" s="127" t="s">
        <v>35</v>
      </c>
      <c r="G80" s="127">
        <f t="shared" si="62"/>
        <v>1</v>
      </c>
      <c r="H80" s="127">
        <f t="shared" si="63"/>
        <v>1</v>
      </c>
      <c r="I80" s="127">
        <f>G80*J$1</f>
        <v>25.4</v>
      </c>
      <c r="J80" s="155">
        <f>H80*J$1</f>
        <v>25.4</v>
      </c>
      <c r="K80" s="127">
        <f t="shared" si="64"/>
        <v>2641.6</v>
      </c>
      <c r="L80" s="127">
        <f t="shared" si="65"/>
        <v>104</v>
      </c>
      <c r="M80" s="19"/>
      <c r="N80" s="19"/>
      <c r="O80" s="148"/>
      <c r="P80" s="194"/>
      <c r="Q80" s="194"/>
      <c r="R80" s="194"/>
      <c r="S80" s="194"/>
      <c r="T80" s="194"/>
      <c r="U80" s="186">
        <f>I80</f>
        <v>25.4</v>
      </c>
    </row>
    <row r="81" spans="1:21" ht="15" customHeight="1" thickBot="1" x14ac:dyDescent="0.3">
      <c r="A81" s="20"/>
      <c r="B81" s="228">
        <f>SUM(B75:B80)</f>
        <v>140</v>
      </c>
      <c r="C81" s="228">
        <f>SUM(C75:C80)</f>
        <v>83</v>
      </c>
      <c r="D81" s="154">
        <f>SUM(D75:D80)</f>
        <v>140</v>
      </c>
      <c r="E81" s="154">
        <f>SUM(E75:E80)</f>
        <v>83</v>
      </c>
      <c r="F81" s="120"/>
      <c r="G81" s="120">
        <f t="shared" ref="G81:L81" si="67">SUM(G75:G80)</f>
        <v>306</v>
      </c>
      <c r="H81" s="120">
        <f t="shared" si="67"/>
        <v>223</v>
      </c>
      <c r="I81" s="121">
        <f t="shared" si="67"/>
        <v>12156.589999999998</v>
      </c>
      <c r="J81" s="120">
        <f t="shared" si="67"/>
        <v>8688.9599999999991</v>
      </c>
      <c r="K81" s="119">
        <f t="shared" si="67"/>
        <v>1264285.3600000001</v>
      </c>
      <c r="L81" s="153">
        <f t="shared" si="67"/>
        <v>23192</v>
      </c>
      <c r="M81" s="125">
        <f>'Odometro-Kilometraje'!L81</f>
        <v>12506</v>
      </c>
      <c r="N81" s="21">
        <f>(U81/M81)*100</f>
        <v>96.35542939389093</v>
      </c>
      <c r="O81" s="197"/>
      <c r="P81" s="185"/>
      <c r="Q81" s="185"/>
      <c r="R81" s="185"/>
      <c r="S81" s="185"/>
      <c r="T81" s="185"/>
      <c r="U81" s="198">
        <f>SUM(U75:U80)</f>
        <v>12050.210000000001</v>
      </c>
    </row>
    <row r="82" spans="1:21" ht="15.75" customHeight="1" x14ac:dyDescent="0.25">
      <c r="A82" s="61">
        <f>A75+1</f>
        <v>45638</v>
      </c>
      <c r="B82" s="127">
        <v>42</v>
      </c>
      <c r="C82" s="127">
        <v>37</v>
      </c>
      <c r="D82" s="128">
        <f>'Data Ocupacion'!Z34</f>
        <v>43</v>
      </c>
      <c r="E82" s="128">
        <f>'Data Ocupacion'!AA34</f>
        <v>36</v>
      </c>
      <c r="F82" s="127" t="s">
        <v>38</v>
      </c>
      <c r="G82" s="127">
        <f t="shared" ref="G82:G87" si="68">D82+E82*2</f>
        <v>115</v>
      </c>
      <c r="H82" s="127">
        <f t="shared" ref="H82:H87" si="69">D82+E82</f>
        <v>79</v>
      </c>
      <c r="I82" s="127">
        <f>G82*L$2</f>
        <v>4959.9500000000007</v>
      </c>
      <c r="J82" s="155">
        <f>H82*L$2</f>
        <v>3407.27</v>
      </c>
      <c r="K82" s="127">
        <f t="shared" ref="K82:K87" si="70">I82*104</f>
        <v>515834.80000000005</v>
      </c>
      <c r="L82" s="127">
        <f t="shared" ref="L82:L87" si="71">H82*104</f>
        <v>8216</v>
      </c>
      <c r="M82" s="19"/>
      <c r="N82" s="19"/>
      <c r="O82" s="148"/>
      <c r="P82" s="261">
        <v>3</v>
      </c>
      <c r="Q82" s="187"/>
      <c r="R82" s="214"/>
      <c r="S82" s="283"/>
      <c r="T82" s="196"/>
      <c r="U82" s="189">
        <f>I82-((P82*($L$2-$J$1)))-(S82*($J$1))</f>
        <v>4906.7600000000011</v>
      </c>
    </row>
    <row r="83" spans="1:21" ht="15" customHeight="1" x14ac:dyDescent="0.25">
      <c r="A83" s="183"/>
      <c r="B83" s="127">
        <v>40</v>
      </c>
      <c r="C83" s="127">
        <v>38</v>
      </c>
      <c r="D83" s="128">
        <f>'Data Ocupacion'!Z35</f>
        <v>41</v>
      </c>
      <c r="E83" s="128">
        <f>'Data Ocupacion'!AA35</f>
        <v>37</v>
      </c>
      <c r="F83" s="127" t="s">
        <v>52</v>
      </c>
      <c r="G83" s="127">
        <f t="shared" si="68"/>
        <v>115</v>
      </c>
      <c r="H83" s="127">
        <f t="shared" si="69"/>
        <v>78</v>
      </c>
      <c r="I83" s="127">
        <f>G83*L$2</f>
        <v>4959.9500000000007</v>
      </c>
      <c r="J83" s="155">
        <f>H83*L$2</f>
        <v>3364.1400000000003</v>
      </c>
      <c r="K83" s="127">
        <f t="shared" si="70"/>
        <v>515834.80000000005</v>
      </c>
      <c r="L83" s="127">
        <f t="shared" si="71"/>
        <v>8112</v>
      </c>
      <c r="M83" s="19"/>
      <c r="N83" s="19"/>
      <c r="O83" s="148"/>
      <c r="P83" s="191"/>
      <c r="Q83" s="191"/>
      <c r="R83" s="191"/>
      <c r="S83" s="261"/>
      <c r="T83" s="187"/>
      <c r="U83" s="189">
        <f>I83-(S83*($L$2-$J$1)+(T83*($L$2-$L$1)))</f>
        <v>4959.9500000000007</v>
      </c>
    </row>
    <row r="84" spans="1:21" ht="15" customHeight="1" x14ac:dyDescent="0.25">
      <c r="A84" s="183"/>
      <c r="B84" s="127">
        <v>29</v>
      </c>
      <c r="C84" s="127">
        <v>4</v>
      </c>
      <c r="D84" s="128">
        <f>'Data Ocupacion'!Z36</f>
        <v>30</v>
      </c>
      <c r="E84" s="128">
        <f>'Data Ocupacion'!AA36</f>
        <v>3</v>
      </c>
      <c r="F84" s="127" t="s">
        <v>36</v>
      </c>
      <c r="G84" s="127">
        <f t="shared" si="68"/>
        <v>36</v>
      </c>
      <c r="H84" s="127">
        <f t="shared" si="69"/>
        <v>33</v>
      </c>
      <c r="I84" s="127">
        <f>G84*L$1</f>
        <v>1047.96</v>
      </c>
      <c r="J84" s="155">
        <f>H84*L$1</f>
        <v>960.63</v>
      </c>
      <c r="K84" s="127">
        <f t="shared" si="70"/>
        <v>108987.84</v>
      </c>
      <c r="L84" s="127">
        <f t="shared" si="71"/>
        <v>3432</v>
      </c>
      <c r="M84" s="19"/>
      <c r="N84" s="19"/>
      <c r="O84" s="148"/>
      <c r="P84" s="190"/>
      <c r="Q84" s="192"/>
      <c r="R84" s="215"/>
      <c r="S84" s="193"/>
      <c r="T84" s="194"/>
      <c r="U84" s="186">
        <f>I84-(P84*($L$1-$J$1))</f>
        <v>1047.96</v>
      </c>
    </row>
    <row r="85" spans="1:21" ht="15" customHeight="1" x14ac:dyDescent="0.25">
      <c r="A85" s="183"/>
      <c r="B85" s="127">
        <v>28</v>
      </c>
      <c r="C85" s="127">
        <v>4</v>
      </c>
      <c r="D85" s="128">
        <f>'Data Ocupacion'!Z37</f>
        <v>29</v>
      </c>
      <c r="E85" s="128">
        <f>'Data Ocupacion'!AA37</f>
        <v>3</v>
      </c>
      <c r="F85" s="127" t="s">
        <v>53</v>
      </c>
      <c r="G85" s="127">
        <f t="shared" si="68"/>
        <v>35</v>
      </c>
      <c r="H85" s="127">
        <f t="shared" si="69"/>
        <v>32</v>
      </c>
      <c r="I85" s="127">
        <f>G85*L$1</f>
        <v>1018.85</v>
      </c>
      <c r="J85" s="155">
        <f>H85*L$1</f>
        <v>931.52</v>
      </c>
      <c r="K85" s="127">
        <f t="shared" si="70"/>
        <v>105960.40000000001</v>
      </c>
      <c r="L85" s="127">
        <f t="shared" si="71"/>
        <v>3328</v>
      </c>
      <c r="M85" s="19"/>
      <c r="N85" s="19"/>
      <c r="O85" s="148"/>
      <c r="P85" s="194"/>
      <c r="Q85" s="194"/>
      <c r="R85" s="194"/>
      <c r="S85" s="194"/>
      <c r="T85" s="194"/>
      <c r="U85" s="186">
        <f t="shared" ref="U85:U86" si="72">I85</f>
        <v>1018.85</v>
      </c>
    </row>
    <row r="86" spans="1:21" ht="15" customHeight="1" x14ac:dyDescent="0.25">
      <c r="A86" s="183"/>
      <c r="B86" s="127">
        <v>0</v>
      </c>
      <c r="C86" s="127">
        <v>0</v>
      </c>
      <c r="D86" s="128">
        <f>'Data Ocupacion'!Z38</f>
        <v>0</v>
      </c>
      <c r="E86" s="128">
        <f>'Data Ocupacion'!AA38</f>
        <v>0</v>
      </c>
      <c r="F86" s="127" t="s">
        <v>122</v>
      </c>
      <c r="G86" s="127">
        <f t="shared" si="68"/>
        <v>0</v>
      </c>
      <c r="H86" s="127">
        <f t="shared" si="69"/>
        <v>0</v>
      </c>
      <c r="I86" s="127">
        <f>G86*J$1</f>
        <v>0</v>
      </c>
      <c r="J86" s="155">
        <f>H86*J$1</f>
        <v>0</v>
      </c>
      <c r="K86" s="127">
        <f t="shared" si="70"/>
        <v>0</v>
      </c>
      <c r="L86" s="127">
        <f t="shared" si="71"/>
        <v>0</v>
      </c>
      <c r="M86" s="19"/>
      <c r="N86" s="19"/>
      <c r="O86" s="148"/>
      <c r="P86" s="194"/>
      <c r="Q86" s="194"/>
      <c r="R86" s="194"/>
      <c r="S86" s="194"/>
      <c r="T86" s="194"/>
      <c r="U86" s="186">
        <f t="shared" si="72"/>
        <v>0</v>
      </c>
    </row>
    <row r="87" spans="1:21" ht="15.75" thickBot="1" x14ac:dyDescent="0.3">
      <c r="A87" s="183"/>
      <c r="B87" s="127">
        <v>1</v>
      </c>
      <c r="C87" s="127">
        <v>0</v>
      </c>
      <c r="D87" s="128">
        <f>'Data Ocupacion'!Z39</f>
        <v>1</v>
      </c>
      <c r="E87" s="128">
        <f>'Data Ocupacion'!AA39</f>
        <v>0</v>
      </c>
      <c r="F87" s="127" t="s">
        <v>35</v>
      </c>
      <c r="G87" s="127">
        <f t="shared" si="68"/>
        <v>1</v>
      </c>
      <c r="H87" s="127">
        <f t="shared" si="69"/>
        <v>1</v>
      </c>
      <c r="I87" s="127">
        <f>G87*J$1</f>
        <v>25.4</v>
      </c>
      <c r="J87" s="155">
        <f>H87*J$1</f>
        <v>25.4</v>
      </c>
      <c r="K87" s="127">
        <f t="shared" si="70"/>
        <v>2641.6</v>
      </c>
      <c r="L87" s="127">
        <f t="shared" si="71"/>
        <v>104</v>
      </c>
      <c r="M87" s="19"/>
      <c r="N87" s="19"/>
      <c r="O87" s="148"/>
      <c r="P87" s="194"/>
      <c r="Q87" s="194"/>
      <c r="R87" s="194"/>
      <c r="S87" s="194"/>
      <c r="T87" s="194"/>
      <c r="U87" s="186">
        <f>I87</f>
        <v>25.4</v>
      </c>
    </row>
    <row r="88" spans="1:21" s="126" customFormat="1" ht="15.75" thickBot="1" x14ac:dyDescent="0.3">
      <c r="A88" s="124"/>
      <c r="B88" s="228">
        <f>SUM(B82:B87)</f>
        <v>140</v>
      </c>
      <c r="C88" s="228">
        <f>SUM(C82:C87)</f>
        <v>83</v>
      </c>
      <c r="D88" s="154">
        <f>SUM(D82:D87)</f>
        <v>144</v>
      </c>
      <c r="E88" s="154">
        <f>SUM(E82:E87)</f>
        <v>79</v>
      </c>
      <c r="F88" s="120"/>
      <c r="G88" s="120">
        <f t="shared" ref="G88:L88" si="73">SUM(G82:G87)</f>
        <v>302</v>
      </c>
      <c r="H88" s="120">
        <f t="shared" si="73"/>
        <v>223</v>
      </c>
      <c r="I88" s="121">
        <f t="shared" si="73"/>
        <v>12012.11</v>
      </c>
      <c r="J88" s="120">
        <f t="shared" si="73"/>
        <v>8688.9599999999991</v>
      </c>
      <c r="K88" s="119">
        <f t="shared" si="73"/>
        <v>1249259.4400000002</v>
      </c>
      <c r="L88" s="153">
        <f t="shared" si="73"/>
        <v>23192</v>
      </c>
      <c r="M88" s="125">
        <f>'Odometro-Kilometraje'!M81</f>
        <v>12498</v>
      </c>
      <c r="N88" s="21">
        <f>(U88/M88)*100</f>
        <v>95.686669867178765</v>
      </c>
      <c r="O88" s="197"/>
      <c r="P88" s="185"/>
      <c r="Q88" s="185"/>
      <c r="R88" s="185"/>
      <c r="S88" s="185"/>
      <c r="T88" s="185"/>
      <c r="U88" s="198">
        <f>SUM(U82:U87)</f>
        <v>11958.920000000002</v>
      </c>
    </row>
    <row r="89" spans="1:21" x14ac:dyDescent="0.25">
      <c r="A89" s="123">
        <f>A82+1</f>
        <v>45639</v>
      </c>
      <c r="B89" s="127">
        <v>42</v>
      </c>
      <c r="C89" s="127">
        <v>37</v>
      </c>
      <c r="D89" s="128">
        <f>'Data Ocupacion'!AB34</f>
        <v>41</v>
      </c>
      <c r="E89" s="128">
        <f>'Data Ocupacion'!AC34</f>
        <v>38</v>
      </c>
      <c r="F89" s="127" t="s">
        <v>38</v>
      </c>
      <c r="G89" s="127">
        <f t="shared" ref="G89:G94" si="74">D89+E89*2</f>
        <v>117</v>
      </c>
      <c r="H89" s="127">
        <f t="shared" ref="H89:H94" si="75">D89+E89</f>
        <v>79</v>
      </c>
      <c r="I89" s="127">
        <f>G89*L$2</f>
        <v>5046.21</v>
      </c>
      <c r="J89" s="155">
        <f>H89*L$2</f>
        <v>3407.27</v>
      </c>
      <c r="K89" s="127">
        <f t="shared" ref="K89:K94" si="76">I89*104</f>
        <v>524805.84</v>
      </c>
      <c r="L89" s="127">
        <f t="shared" ref="L89:L94" si="77">H89*104</f>
        <v>8216</v>
      </c>
      <c r="M89" s="19"/>
      <c r="N89" s="19"/>
      <c r="O89" s="148"/>
      <c r="P89" s="187">
        <v>3</v>
      </c>
      <c r="Q89" s="187"/>
      <c r="R89" s="214"/>
      <c r="S89" s="283">
        <v>2</v>
      </c>
      <c r="T89" s="196"/>
      <c r="U89" s="189">
        <f>I89-((P89*($L$2-$J$1)))-(S89*($J$1))</f>
        <v>4942.22</v>
      </c>
    </row>
    <row r="90" spans="1:21" ht="17.25" customHeight="1" x14ac:dyDescent="0.25">
      <c r="A90" s="183"/>
      <c r="B90" s="127">
        <v>40</v>
      </c>
      <c r="C90" s="127">
        <v>38</v>
      </c>
      <c r="D90" s="128">
        <f>'Data Ocupacion'!AB35</f>
        <v>41</v>
      </c>
      <c r="E90" s="128">
        <f>'Data Ocupacion'!AC35</f>
        <v>37</v>
      </c>
      <c r="F90" s="127" t="s">
        <v>52</v>
      </c>
      <c r="G90" s="127">
        <f t="shared" si="74"/>
        <v>115</v>
      </c>
      <c r="H90" s="127">
        <f t="shared" si="75"/>
        <v>78</v>
      </c>
      <c r="I90" s="127">
        <f>G90*L$2</f>
        <v>4959.9500000000007</v>
      </c>
      <c r="J90" s="155">
        <f>H90*L$2</f>
        <v>3364.1400000000003</v>
      </c>
      <c r="K90" s="127">
        <f t="shared" si="76"/>
        <v>515834.80000000005</v>
      </c>
      <c r="L90" s="127">
        <f t="shared" si="77"/>
        <v>8112</v>
      </c>
      <c r="M90" s="19"/>
      <c r="N90" s="19"/>
      <c r="O90" s="148"/>
      <c r="P90" s="191"/>
      <c r="Q90" s="191"/>
      <c r="R90" s="191"/>
      <c r="S90" s="261"/>
      <c r="T90" s="188"/>
      <c r="U90" s="189">
        <f>I90-(S90*($L$2-$J$1)+(T90*($L$2-$L$1)))</f>
        <v>4959.9500000000007</v>
      </c>
    </row>
    <row r="91" spans="1:21" x14ac:dyDescent="0.25">
      <c r="A91" s="183"/>
      <c r="B91" s="127">
        <v>29</v>
      </c>
      <c r="C91" s="127">
        <v>4</v>
      </c>
      <c r="D91" s="128">
        <f>'Data Ocupacion'!AB36</f>
        <v>29</v>
      </c>
      <c r="E91" s="128">
        <f>'Data Ocupacion'!AC36</f>
        <v>4</v>
      </c>
      <c r="F91" s="127" t="s">
        <v>36</v>
      </c>
      <c r="G91" s="127">
        <f t="shared" si="74"/>
        <v>37</v>
      </c>
      <c r="H91" s="127">
        <f t="shared" si="75"/>
        <v>33</v>
      </c>
      <c r="I91" s="127">
        <f>G91*L$1</f>
        <v>1077.07</v>
      </c>
      <c r="J91" s="155">
        <f>H91*L$1</f>
        <v>960.63</v>
      </c>
      <c r="K91" s="127">
        <f t="shared" si="76"/>
        <v>112015.28</v>
      </c>
      <c r="L91" s="127">
        <f t="shared" si="77"/>
        <v>3432</v>
      </c>
      <c r="M91" s="19"/>
      <c r="N91" s="19"/>
      <c r="O91" s="148"/>
      <c r="P91" s="261"/>
      <c r="Q91" s="195"/>
      <c r="R91" s="242"/>
      <c r="S91" s="191"/>
      <c r="T91" s="194"/>
      <c r="U91" s="186">
        <f>I91-(P91*($L$1-$J$1))</f>
        <v>1077.07</v>
      </c>
    </row>
    <row r="92" spans="1:21" ht="15" customHeight="1" x14ac:dyDescent="0.25">
      <c r="A92" s="183"/>
      <c r="B92" s="127">
        <v>28</v>
      </c>
      <c r="C92" s="127">
        <v>4</v>
      </c>
      <c r="D92" s="128">
        <f>'Data Ocupacion'!AB37</f>
        <v>28</v>
      </c>
      <c r="E92" s="128">
        <f>'Data Ocupacion'!AC37</f>
        <v>4</v>
      </c>
      <c r="F92" s="127" t="s">
        <v>53</v>
      </c>
      <c r="G92" s="127">
        <f t="shared" si="74"/>
        <v>36</v>
      </c>
      <c r="H92" s="127">
        <f t="shared" si="75"/>
        <v>32</v>
      </c>
      <c r="I92" s="127">
        <f>G92*L$1</f>
        <v>1047.96</v>
      </c>
      <c r="J92" s="155">
        <f>H92*L$1</f>
        <v>931.52</v>
      </c>
      <c r="K92" s="127">
        <f t="shared" si="76"/>
        <v>108987.84</v>
      </c>
      <c r="L92" s="127">
        <f t="shared" si="77"/>
        <v>3328</v>
      </c>
      <c r="M92" s="19"/>
      <c r="N92" s="19"/>
      <c r="O92" s="148"/>
      <c r="P92" s="266"/>
      <c r="Q92" s="266"/>
      <c r="R92" s="266"/>
      <c r="S92" s="266"/>
      <c r="T92" s="194"/>
      <c r="U92" s="186">
        <f t="shared" ref="U92:U93" si="78">I92</f>
        <v>1047.96</v>
      </c>
    </row>
    <row r="93" spans="1:21" ht="15" customHeight="1" x14ac:dyDescent="0.25">
      <c r="A93" s="183"/>
      <c r="B93" s="127">
        <v>0</v>
      </c>
      <c r="C93" s="127">
        <v>0</v>
      </c>
      <c r="D93" s="128">
        <f>'Data Ocupacion'!AB38</f>
        <v>0</v>
      </c>
      <c r="E93" s="128">
        <f>'Data Ocupacion'!AC38</f>
        <v>0</v>
      </c>
      <c r="F93" s="127" t="s">
        <v>122</v>
      </c>
      <c r="G93" s="127">
        <f t="shared" si="74"/>
        <v>0</v>
      </c>
      <c r="H93" s="127">
        <f t="shared" si="75"/>
        <v>0</v>
      </c>
      <c r="I93" s="127">
        <f>G93*J$1</f>
        <v>0</v>
      </c>
      <c r="J93" s="155">
        <f>H93*J$1</f>
        <v>0</v>
      </c>
      <c r="K93" s="127">
        <f t="shared" si="76"/>
        <v>0</v>
      </c>
      <c r="L93" s="127">
        <f t="shared" si="77"/>
        <v>0</v>
      </c>
      <c r="M93" s="19"/>
      <c r="N93" s="19"/>
      <c r="O93" s="148"/>
      <c r="P93" s="266"/>
      <c r="Q93" s="266"/>
      <c r="R93" s="266"/>
      <c r="S93" s="266"/>
      <c r="T93" s="194"/>
      <c r="U93" s="186">
        <f t="shared" si="78"/>
        <v>0</v>
      </c>
    </row>
    <row r="94" spans="1:21" ht="15.75" thickBot="1" x14ac:dyDescent="0.3">
      <c r="A94" s="183"/>
      <c r="B94" s="127">
        <v>1</v>
      </c>
      <c r="C94" s="127">
        <v>0</v>
      </c>
      <c r="D94" s="128">
        <f>'Data Ocupacion'!AB39</f>
        <v>1</v>
      </c>
      <c r="E94" s="128">
        <f>'Data Ocupacion'!AC39</f>
        <v>0</v>
      </c>
      <c r="F94" s="127" t="s">
        <v>35</v>
      </c>
      <c r="G94" s="127">
        <f t="shared" si="74"/>
        <v>1</v>
      </c>
      <c r="H94" s="127">
        <f t="shared" si="75"/>
        <v>1</v>
      </c>
      <c r="I94" s="127">
        <f>G94*J$1</f>
        <v>25.4</v>
      </c>
      <c r="J94" s="155">
        <f>H94*J$1</f>
        <v>25.4</v>
      </c>
      <c r="K94" s="127">
        <f t="shared" si="76"/>
        <v>2641.6</v>
      </c>
      <c r="L94" s="127">
        <f t="shared" si="77"/>
        <v>104</v>
      </c>
      <c r="M94" s="19"/>
      <c r="N94" s="19"/>
      <c r="O94" s="148"/>
      <c r="P94" s="266"/>
      <c r="Q94" s="266"/>
      <c r="R94" s="266"/>
      <c r="S94" s="266"/>
      <c r="T94" s="194"/>
      <c r="U94" s="186">
        <f>I94</f>
        <v>25.4</v>
      </c>
    </row>
    <row r="95" spans="1:21" s="126" customFormat="1" ht="15.75" thickBot="1" x14ac:dyDescent="0.3">
      <c r="A95" s="20"/>
      <c r="B95" s="228">
        <f>SUM(B89:B94)</f>
        <v>140</v>
      </c>
      <c r="C95" s="228">
        <f>SUM(C89:C94)</f>
        <v>83</v>
      </c>
      <c r="D95" s="154">
        <f>SUM(D89:D94)</f>
        <v>140</v>
      </c>
      <c r="E95" s="154">
        <f>SUM(E89:E94)</f>
        <v>83</v>
      </c>
      <c r="F95" s="120"/>
      <c r="G95" s="120">
        <f t="shared" ref="G95:L95" si="79">SUM(G89:G94)</f>
        <v>306</v>
      </c>
      <c r="H95" s="120">
        <f t="shared" si="79"/>
        <v>223</v>
      </c>
      <c r="I95" s="121">
        <f t="shared" si="79"/>
        <v>12156.589999999998</v>
      </c>
      <c r="J95" s="120">
        <f t="shared" si="79"/>
        <v>8688.9599999999991</v>
      </c>
      <c r="K95" s="119">
        <f t="shared" si="79"/>
        <v>1264285.3600000001</v>
      </c>
      <c r="L95" s="153">
        <f t="shared" si="79"/>
        <v>23192</v>
      </c>
      <c r="M95" s="125">
        <f>'Odometro-Kilometraje'!N81</f>
        <v>12480</v>
      </c>
      <c r="N95" s="21">
        <f>(U95/M95)*100</f>
        <v>96.575320512820511</v>
      </c>
      <c r="O95" s="197"/>
      <c r="P95" s="267"/>
      <c r="Q95" s="267"/>
      <c r="R95" s="267"/>
      <c r="S95" s="267"/>
      <c r="T95" s="185"/>
      <c r="U95" s="198">
        <f>SUM(U89:U94)</f>
        <v>12052.6</v>
      </c>
    </row>
    <row r="96" spans="1:21" ht="17.25" customHeight="1" x14ac:dyDescent="0.25">
      <c r="A96" s="61">
        <f>A89+1</f>
        <v>45640</v>
      </c>
      <c r="B96" s="279">
        <v>41</v>
      </c>
      <c r="C96" s="279">
        <v>32</v>
      </c>
      <c r="D96" s="280">
        <f>'Data Ocupacion'!AD34</f>
        <v>39</v>
      </c>
      <c r="E96" s="280">
        <f>'Data Ocupacion'!AE34</f>
        <v>34</v>
      </c>
      <c r="F96" s="279" t="s">
        <v>38</v>
      </c>
      <c r="G96" s="279">
        <f t="shared" ref="G96:G101" si="80">D96+E96*2</f>
        <v>107</v>
      </c>
      <c r="H96" s="279">
        <f t="shared" ref="H96:H101" si="81">D96+E96</f>
        <v>73</v>
      </c>
      <c r="I96" s="279">
        <f>G96*L$2</f>
        <v>4614.91</v>
      </c>
      <c r="J96" s="155">
        <f>H96*L$2</f>
        <v>3148.4900000000002</v>
      </c>
      <c r="K96" s="279">
        <f t="shared" ref="K96:K101" si="82">I96*104</f>
        <v>479950.64</v>
      </c>
      <c r="L96" s="279">
        <f t="shared" ref="L96:L101" si="83">H96*104</f>
        <v>7592</v>
      </c>
      <c r="M96" s="19"/>
      <c r="N96" s="19"/>
      <c r="O96" s="148"/>
      <c r="P96" s="261"/>
      <c r="Q96" s="187"/>
      <c r="R96" s="214"/>
      <c r="S96" s="283">
        <v>7</v>
      </c>
      <c r="T96" s="196"/>
      <c r="U96" s="189">
        <f>I96-((P96*($L$2-$J$1)))-(S96*($J$1))</f>
        <v>4437.1099999999997</v>
      </c>
    </row>
    <row r="97" spans="1:23" ht="15" customHeight="1" x14ac:dyDescent="0.25">
      <c r="A97" s="271"/>
      <c r="B97" s="279">
        <v>45</v>
      </c>
      <c r="C97" s="279">
        <v>30</v>
      </c>
      <c r="D97" s="280">
        <f>'Data Ocupacion'!AD35</f>
        <v>43</v>
      </c>
      <c r="E97" s="280">
        <f>'Data Ocupacion'!AE35</f>
        <v>32</v>
      </c>
      <c r="F97" s="279" t="s">
        <v>52</v>
      </c>
      <c r="G97" s="279">
        <f t="shared" si="80"/>
        <v>107</v>
      </c>
      <c r="H97" s="279">
        <f t="shared" si="81"/>
        <v>75</v>
      </c>
      <c r="I97" s="279">
        <f>G97*L$2</f>
        <v>4614.91</v>
      </c>
      <c r="J97" s="155">
        <f>H97*L$2</f>
        <v>3234.75</v>
      </c>
      <c r="K97" s="279">
        <f t="shared" si="82"/>
        <v>479950.64</v>
      </c>
      <c r="L97" s="279">
        <f t="shared" si="83"/>
        <v>7800</v>
      </c>
      <c r="M97" s="19"/>
      <c r="N97" s="19"/>
      <c r="O97" s="148"/>
      <c r="P97" s="191"/>
      <c r="Q97" s="191"/>
      <c r="R97" s="191"/>
      <c r="S97" s="261"/>
      <c r="T97" s="212"/>
      <c r="U97" s="189">
        <f>I97-(S97*($L$2-$J$1)+(T97*($L$2-$L$1)))</f>
        <v>4614.91</v>
      </c>
    </row>
    <row r="98" spans="1:23" ht="15" customHeight="1" x14ac:dyDescent="0.25">
      <c r="A98" s="355" t="s">
        <v>170</v>
      </c>
      <c r="B98" s="279">
        <v>0</v>
      </c>
      <c r="C98" s="279">
        <v>0</v>
      </c>
      <c r="D98" s="280">
        <f>'Data Ocupacion'!AD36</f>
        <v>0</v>
      </c>
      <c r="E98" s="280">
        <f>'Data Ocupacion'!AE36</f>
        <v>0</v>
      </c>
      <c r="F98" s="279" t="s">
        <v>36</v>
      </c>
      <c r="G98" s="279">
        <f t="shared" si="80"/>
        <v>0</v>
      </c>
      <c r="H98" s="279">
        <f t="shared" si="81"/>
        <v>0</v>
      </c>
      <c r="I98" s="279">
        <f>G98*L$1</f>
        <v>0</v>
      </c>
      <c r="J98" s="155">
        <f>H98*L$1</f>
        <v>0</v>
      </c>
      <c r="K98" s="279">
        <f t="shared" si="82"/>
        <v>0</v>
      </c>
      <c r="L98" s="279">
        <f t="shared" si="83"/>
        <v>0</v>
      </c>
      <c r="M98" s="19"/>
      <c r="N98" s="19"/>
      <c r="O98" s="148"/>
      <c r="P98" s="190"/>
      <c r="Q98" s="192"/>
      <c r="R98" s="215"/>
      <c r="S98" s="193"/>
      <c r="T98" s="194"/>
      <c r="U98" s="186">
        <f>I98-(P98*($L$1-$J$1))</f>
        <v>0</v>
      </c>
    </row>
    <row r="99" spans="1:23" ht="15" customHeight="1" x14ac:dyDescent="0.25">
      <c r="A99" s="355"/>
      <c r="B99" s="279">
        <v>0</v>
      </c>
      <c r="C99" s="279">
        <v>0</v>
      </c>
      <c r="D99" s="280">
        <f>'Data Ocupacion'!AD37</f>
        <v>0</v>
      </c>
      <c r="E99" s="280">
        <f>'Data Ocupacion'!AE37</f>
        <v>0</v>
      </c>
      <c r="F99" s="279" t="s">
        <v>53</v>
      </c>
      <c r="G99" s="279">
        <f t="shared" si="80"/>
        <v>0</v>
      </c>
      <c r="H99" s="279">
        <f t="shared" si="81"/>
        <v>0</v>
      </c>
      <c r="I99" s="279">
        <f>G99*L$1</f>
        <v>0</v>
      </c>
      <c r="J99" s="155">
        <f>H99*L$1</f>
        <v>0</v>
      </c>
      <c r="K99" s="279">
        <f t="shared" si="82"/>
        <v>0</v>
      </c>
      <c r="L99" s="279">
        <f t="shared" si="83"/>
        <v>0</v>
      </c>
      <c r="M99" s="19"/>
      <c r="N99" s="19"/>
      <c r="O99" s="148"/>
      <c r="P99" s="194"/>
      <c r="Q99" s="194"/>
      <c r="R99" s="194"/>
      <c r="S99" s="194"/>
      <c r="T99" s="194"/>
      <c r="U99" s="186">
        <f t="shared" ref="U99:U100" si="84">I99</f>
        <v>0</v>
      </c>
    </row>
    <row r="100" spans="1:23" ht="15" customHeight="1" x14ac:dyDescent="0.25">
      <c r="A100" s="355"/>
      <c r="B100" s="279">
        <v>0</v>
      </c>
      <c r="C100" s="279">
        <v>0</v>
      </c>
      <c r="D100" s="280">
        <f>'Data Ocupacion'!AD38</f>
        <v>0</v>
      </c>
      <c r="E100" s="280">
        <f>'Data Ocupacion'!AE38</f>
        <v>0</v>
      </c>
      <c r="F100" s="279" t="s">
        <v>122</v>
      </c>
      <c r="G100" s="279">
        <f t="shared" si="80"/>
        <v>0</v>
      </c>
      <c r="H100" s="279">
        <f t="shared" si="81"/>
        <v>0</v>
      </c>
      <c r="I100" s="279">
        <f>G100*J$1</f>
        <v>0</v>
      </c>
      <c r="J100" s="155">
        <f>H100*J$1</f>
        <v>0</v>
      </c>
      <c r="K100" s="279">
        <f t="shared" si="82"/>
        <v>0</v>
      </c>
      <c r="L100" s="279">
        <f t="shared" si="83"/>
        <v>0</v>
      </c>
      <c r="M100" s="19"/>
      <c r="N100" s="19"/>
      <c r="O100" s="148"/>
      <c r="P100" s="194"/>
      <c r="Q100" s="194"/>
      <c r="R100" s="194"/>
      <c r="S100" s="194"/>
      <c r="T100" s="194"/>
      <c r="U100" s="186">
        <f t="shared" si="84"/>
        <v>0</v>
      </c>
    </row>
    <row r="101" spans="1:23" ht="15" customHeight="1" thickBot="1" x14ac:dyDescent="0.3">
      <c r="A101" s="271"/>
      <c r="B101" s="279">
        <v>0</v>
      </c>
      <c r="C101" s="279">
        <v>0</v>
      </c>
      <c r="D101" s="280">
        <f>'Data Ocupacion'!AD39</f>
        <v>0</v>
      </c>
      <c r="E101" s="280">
        <f>'Data Ocupacion'!AE39</f>
        <v>0</v>
      </c>
      <c r="F101" s="279" t="s">
        <v>35</v>
      </c>
      <c r="G101" s="279">
        <f t="shared" si="80"/>
        <v>0</v>
      </c>
      <c r="H101" s="279">
        <f t="shared" si="81"/>
        <v>0</v>
      </c>
      <c r="I101" s="279">
        <f>G101*J$1</f>
        <v>0</v>
      </c>
      <c r="J101" s="155">
        <f>H101*J$1</f>
        <v>0</v>
      </c>
      <c r="K101" s="279">
        <f t="shared" si="82"/>
        <v>0</v>
      </c>
      <c r="L101" s="279">
        <f t="shared" si="83"/>
        <v>0</v>
      </c>
      <c r="M101" s="19"/>
      <c r="N101" s="19"/>
      <c r="O101" s="148"/>
      <c r="P101" s="194"/>
      <c r="Q101" s="194"/>
      <c r="R101" s="194"/>
      <c r="S101" s="194"/>
      <c r="T101" s="194"/>
      <c r="U101" s="186">
        <f>I101</f>
        <v>0</v>
      </c>
    </row>
    <row r="102" spans="1:23" s="126" customFormat="1" ht="15" customHeight="1" thickBot="1" x14ac:dyDescent="0.3">
      <c r="A102" s="20"/>
      <c r="B102" s="228">
        <f>SUM(B96:B101)</f>
        <v>86</v>
      </c>
      <c r="C102" s="228">
        <f>SUM(C96:C101)</f>
        <v>62</v>
      </c>
      <c r="D102" s="154">
        <f>SUM(D96:D101)</f>
        <v>82</v>
      </c>
      <c r="E102" s="154">
        <f>SUM(E96:E101)</f>
        <v>66</v>
      </c>
      <c r="F102" s="120"/>
      <c r="G102" s="120">
        <f t="shared" ref="G102:L102" si="85">SUM(G96:G101)</f>
        <v>214</v>
      </c>
      <c r="H102" s="120">
        <f t="shared" si="85"/>
        <v>148</v>
      </c>
      <c r="I102" s="121">
        <f t="shared" si="85"/>
        <v>9229.82</v>
      </c>
      <c r="J102" s="120">
        <f t="shared" si="85"/>
        <v>6383.24</v>
      </c>
      <c r="K102" s="119">
        <f t="shared" si="85"/>
        <v>959901.28</v>
      </c>
      <c r="L102" s="153">
        <f t="shared" si="85"/>
        <v>15392</v>
      </c>
      <c r="M102" s="125">
        <f>'Odometro-Kilometraje'!O81</f>
        <v>9568</v>
      </c>
      <c r="N102" s="21">
        <f>(U102/M102)*100</f>
        <v>94.607232441471581</v>
      </c>
      <c r="O102" s="197"/>
      <c r="P102" s="185"/>
      <c r="Q102" s="185"/>
      <c r="R102" s="185"/>
      <c r="S102" s="185"/>
      <c r="T102" s="185"/>
      <c r="U102" s="198">
        <f>SUM(U96:U101)</f>
        <v>9052.02</v>
      </c>
    </row>
    <row r="103" spans="1:23" ht="15.75" customHeight="1" x14ac:dyDescent="0.25">
      <c r="A103" s="61">
        <f>A96+1</f>
        <v>45641</v>
      </c>
      <c r="B103" s="229">
        <v>28</v>
      </c>
      <c r="C103" s="229">
        <v>27</v>
      </c>
      <c r="D103" s="128">
        <f>'Data Ocupacion'!AF34</f>
        <v>23</v>
      </c>
      <c r="E103" s="128">
        <f>'Data Ocupacion'!AG34</f>
        <v>32</v>
      </c>
      <c r="F103" s="229" t="s">
        <v>38</v>
      </c>
      <c r="G103" s="229">
        <f t="shared" ref="G103:G108" si="86">D103+E103*2</f>
        <v>87</v>
      </c>
      <c r="H103" s="229">
        <f t="shared" ref="H103:H108" si="87">D103+E103</f>
        <v>55</v>
      </c>
      <c r="I103" s="229">
        <f>G103*L$2</f>
        <v>3752.3100000000004</v>
      </c>
      <c r="J103" s="155">
        <f>H103*L$2</f>
        <v>2372.15</v>
      </c>
      <c r="K103" s="229">
        <f t="shared" ref="K103:K108" si="88">I103*104</f>
        <v>390240.24000000005</v>
      </c>
      <c r="L103" s="229">
        <f t="shared" ref="L103:L108" si="89">H103*104</f>
        <v>5720</v>
      </c>
      <c r="M103" s="19"/>
      <c r="N103" s="19"/>
      <c r="O103" s="148"/>
      <c r="P103" s="261"/>
      <c r="Q103" s="187"/>
      <c r="R103" s="214"/>
      <c r="S103" s="283">
        <v>3</v>
      </c>
      <c r="T103" s="196"/>
      <c r="U103" s="189">
        <f>I103-((P103*($L$2-$J$1)))-(S103*($J$1))</f>
        <v>3676.1100000000006</v>
      </c>
    </row>
    <row r="104" spans="1:23" ht="15" customHeight="1" x14ac:dyDescent="0.25">
      <c r="A104" s="271"/>
      <c r="B104" s="229">
        <v>32</v>
      </c>
      <c r="C104" s="229">
        <v>25</v>
      </c>
      <c r="D104" s="128">
        <f>'Data Ocupacion'!AF35</f>
        <v>30</v>
      </c>
      <c r="E104" s="128">
        <f>'Data Ocupacion'!AG35</f>
        <v>27</v>
      </c>
      <c r="F104" s="229" t="s">
        <v>52</v>
      </c>
      <c r="G104" s="229">
        <f t="shared" si="86"/>
        <v>84</v>
      </c>
      <c r="H104" s="229">
        <f t="shared" si="87"/>
        <v>57</v>
      </c>
      <c r="I104" s="229">
        <f>G104*L$2</f>
        <v>3622.92</v>
      </c>
      <c r="J104" s="155">
        <f>H104*L$2</f>
        <v>2458.4100000000003</v>
      </c>
      <c r="K104" s="229">
        <f t="shared" si="88"/>
        <v>376783.68</v>
      </c>
      <c r="L104" s="229">
        <f t="shared" si="89"/>
        <v>5928</v>
      </c>
      <c r="M104" s="19"/>
      <c r="N104" s="19"/>
      <c r="O104" s="148"/>
      <c r="P104" s="191"/>
      <c r="Q104" s="191"/>
      <c r="R104" s="191"/>
      <c r="S104" s="254"/>
      <c r="T104" s="188"/>
      <c r="U104" s="189">
        <f>I104-(S104*($L$2-$J$1)+(T104*($L$2-$L$1)))</f>
        <v>3622.92</v>
      </c>
    </row>
    <row r="105" spans="1:23" ht="14.25" customHeight="1" x14ac:dyDescent="0.25">
      <c r="A105" s="355" t="s">
        <v>171</v>
      </c>
      <c r="B105" s="229">
        <v>0</v>
      </c>
      <c r="C105" s="229">
        <v>0</v>
      </c>
      <c r="D105" s="139">
        <f>'Data Ocupacion'!AF36</f>
        <v>0</v>
      </c>
      <c r="E105" s="139">
        <f>'Data Ocupacion'!AG36</f>
        <v>0</v>
      </c>
      <c r="F105" s="229" t="s">
        <v>36</v>
      </c>
      <c r="G105" s="229">
        <f t="shared" si="86"/>
        <v>0</v>
      </c>
      <c r="H105" s="229">
        <f t="shared" si="87"/>
        <v>0</v>
      </c>
      <c r="I105" s="229">
        <f>G105*L$1</f>
        <v>0</v>
      </c>
      <c r="J105" s="155">
        <f>H105*L$1</f>
        <v>0</v>
      </c>
      <c r="K105" s="229">
        <f t="shared" si="88"/>
        <v>0</v>
      </c>
      <c r="L105" s="229">
        <f t="shared" si="89"/>
        <v>0</v>
      </c>
      <c r="M105" s="19"/>
      <c r="N105" s="19"/>
      <c r="O105" s="148"/>
      <c r="P105" s="190"/>
      <c r="Q105" s="192"/>
      <c r="R105" s="215"/>
      <c r="S105" s="193"/>
      <c r="T105" s="194"/>
      <c r="U105" s="186">
        <f>I105-(P105*($L$1-$J$1))</f>
        <v>0</v>
      </c>
    </row>
    <row r="106" spans="1:23" ht="15" customHeight="1" x14ac:dyDescent="0.25">
      <c r="A106" s="355"/>
      <c r="B106" s="229">
        <v>0</v>
      </c>
      <c r="C106" s="229">
        <v>0</v>
      </c>
      <c r="D106" s="139">
        <f>'Data Ocupacion'!AF37</f>
        <v>0</v>
      </c>
      <c r="E106" s="139">
        <f>'Data Ocupacion'!AG37</f>
        <v>0</v>
      </c>
      <c r="F106" s="229" t="s">
        <v>53</v>
      </c>
      <c r="G106" s="229">
        <f t="shared" si="86"/>
        <v>0</v>
      </c>
      <c r="H106" s="229">
        <f t="shared" si="87"/>
        <v>0</v>
      </c>
      <c r="I106" s="229">
        <f>G106*L$1</f>
        <v>0</v>
      </c>
      <c r="J106" s="155">
        <f>H106*L$1</f>
        <v>0</v>
      </c>
      <c r="K106" s="229">
        <f t="shared" si="88"/>
        <v>0</v>
      </c>
      <c r="L106" s="229">
        <f t="shared" si="89"/>
        <v>0</v>
      </c>
      <c r="M106" s="19"/>
      <c r="N106" s="19"/>
      <c r="O106" s="148"/>
      <c r="P106" s="194"/>
      <c r="Q106" s="194"/>
      <c r="R106" s="194"/>
      <c r="S106" s="194"/>
      <c r="T106" s="194"/>
      <c r="U106" s="186">
        <f t="shared" ref="U106:U107" si="90">I106</f>
        <v>0</v>
      </c>
    </row>
    <row r="107" spans="1:23" ht="15" customHeight="1" x14ac:dyDescent="0.25">
      <c r="A107" s="355"/>
      <c r="B107" s="229">
        <v>0</v>
      </c>
      <c r="C107" s="229">
        <v>0</v>
      </c>
      <c r="D107" s="139">
        <f>'Data Ocupacion'!AF38</f>
        <v>0</v>
      </c>
      <c r="E107" s="139">
        <f>'Data Ocupacion'!AG38</f>
        <v>0</v>
      </c>
      <c r="F107" s="229" t="s">
        <v>122</v>
      </c>
      <c r="G107" s="229">
        <f t="shared" si="86"/>
        <v>0</v>
      </c>
      <c r="H107" s="229">
        <f t="shared" si="87"/>
        <v>0</v>
      </c>
      <c r="I107" s="229">
        <f>G107*J$1</f>
        <v>0</v>
      </c>
      <c r="J107" s="155">
        <f>H107*J$1</f>
        <v>0</v>
      </c>
      <c r="K107" s="229">
        <f t="shared" si="88"/>
        <v>0</v>
      </c>
      <c r="L107" s="229">
        <f t="shared" si="89"/>
        <v>0</v>
      </c>
      <c r="M107" s="19"/>
      <c r="N107" s="19"/>
      <c r="O107" s="148"/>
      <c r="P107" s="194"/>
      <c r="Q107" s="194"/>
      <c r="R107" s="194"/>
      <c r="S107" s="194"/>
      <c r="T107" s="194"/>
      <c r="U107" s="186">
        <f t="shared" si="90"/>
        <v>0</v>
      </c>
    </row>
    <row r="108" spans="1:23" ht="15" customHeight="1" thickBot="1" x14ac:dyDescent="0.3">
      <c r="A108" s="271"/>
      <c r="B108" s="229">
        <v>0</v>
      </c>
      <c r="C108" s="229">
        <v>0</v>
      </c>
      <c r="D108" s="139">
        <f>'Data Ocupacion'!AF39</f>
        <v>0</v>
      </c>
      <c r="E108" s="139">
        <f>'Data Ocupacion'!AG39</f>
        <v>0</v>
      </c>
      <c r="F108" s="229" t="s">
        <v>35</v>
      </c>
      <c r="G108" s="229">
        <f t="shared" si="86"/>
        <v>0</v>
      </c>
      <c r="H108" s="229">
        <f t="shared" si="87"/>
        <v>0</v>
      </c>
      <c r="I108" s="229">
        <f>G108*J$1</f>
        <v>0</v>
      </c>
      <c r="J108" s="155">
        <f>H108*J$1</f>
        <v>0</v>
      </c>
      <c r="K108" s="229">
        <f t="shared" si="88"/>
        <v>0</v>
      </c>
      <c r="L108" s="229">
        <f t="shared" si="89"/>
        <v>0</v>
      </c>
      <c r="M108" s="19"/>
      <c r="N108" s="19"/>
      <c r="O108" s="148"/>
      <c r="P108" s="194"/>
      <c r="Q108" s="194"/>
      <c r="R108" s="194"/>
      <c r="S108" s="194"/>
      <c r="T108" s="194"/>
      <c r="U108" s="186">
        <f>I108</f>
        <v>0</v>
      </c>
    </row>
    <row r="109" spans="1:23" s="126" customFormat="1" ht="15" customHeight="1" thickBot="1" x14ac:dyDescent="0.3">
      <c r="A109" s="20"/>
      <c r="B109" s="228">
        <f>SUM(B103:B108)</f>
        <v>60</v>
      </c>
      <c r="C109" s="228">
        <f>SUM(C103:C108)</f>
        <v>52</v>
      </c>
      <c r="D109" s="154">
        <f>SUM(D103:D108)</f>
        <v>53</v>
      </c>
      <c r="E109" s="154">
        <f>SUM(E103:E108)</f>
        <v>59</v>
      </c>
      <c r="F109" s="120"/>
      <c r="G109" s="120">
        <f t="shared" ref="G109:L109" si="91">SUM(G103:G108)</f>
        <v>171</v>
      </c>
      <c r="H109" s="120">
        <f t="shared" si="91"/>
        <v>112</v>
      </c>
      <c r="I109" s="121">
        <f t="shared" si="91"/>
        <v>7375.2300000000005</v>
      </c>
      <c r="J109" s="120">
        <f t="shared" si="91"/>
        <v>4830.5600000000004</v>
      </c>
      <c r="K109" s="119">
        <f t="shared" si="91"/>
        <v>767023.92</v>
      </c>
      <c r="L109" s="153">
        <f t="shared" si="91"/>
        <v>11648</v>
      </c>
      <c r="M109" s="125">
        <f>'Odometro-Kilometraje'!P81</f>
        <v>7421</v>
      </c>
      <c r="N109" s="21">
        <f>(U109/M109)*100</f>
        <v>98.356420967524599</v>
      </c>
      <c r="O109" s="197"/>
      <c r="P109" s="185"/>
      <c r="Q109" s="185"/>
      <c r="R109" s="185"/>
      <c r="S109" s="185"/>
      <c r="T109" s="185"/>
      <c r="U109" s="198">
        <f>SUM(U103:U108)</f>
        <v>7299.0300000000007</v>
      </c>
    </row>
    <row r="110" spans="1:23" ht="15.75" customHeight="1" x14ac:dyDescent="0.25">
      <c r="A110" s="61">
        <f>A103+1</f>
        <v>45642</v>
      </c>
      <c r="B110" s="127">
        <v>42</v>
      </c>
      <c r="C110" s="127">
        <v>37</v>
      </c>
      <c r="D110" s="128">
        <f>'Data Ocupacion'!AH34</f>
        <v>42</v>
      </c>
      <c r="E110" s="128">
        <f>'Data Ocupacion'!AI34</f>
        <v>37</v>
      </c>
      <c r="F110" s="233" t="s">
        <v>38</v>
      </c>
      <c r="G110" s="234">
        <f t="shared" ref="G110:G115" si="92">D110+E110*2</f>
        <v>116</v>
      </c>
      <c r="H110" s="235">
        <f t="shared" ref="H110:H115" si="93">D110+E110</f>
        <v>79</v>
      </c>
      <c r="I110" s="235">
        <f>G110*L$2</f>
        <v>5003.08</v>
      </c>
      <c r="J110" s="155">
        <f>H110*L$2</f>
        <v>3407.27</v>
      </c>
      <c r="K110" s="127">
        <f t="shared" ref="K110:K115" si="94">I110*104</f>
        <v>520320.32</v>
      </c>
      <c r="L110" s="127">
        <f t="shared" ref="L110:L115" si="95">H110*104</f>
        <v>8216</v>
      </c>
      <c r="M110" s="19"/>
      <c r="N110" s="19"/>
      <c r="O110" s="148"/>
      <c r="P110" s="187">
        <v>3</v>
      </c>
      <c r="Q110" s="187"/>
      <c r="R110" s="214"/>
      <c r="S110" s="283"/>
      <c r="T110" s="196"/>
      <c r="U110" s="189">
        <f>I110-((P110*($L$2-$J$1)))-(S110*($J$1))</f>
        <v>4949.8900000000003</v>
      </c>
    </row>
    <row r="111" spans="1:23" ht="15" customHeight="1" x14ac:dyDescent="0.25">
      <c r="A111" s="271"/>
      <c r="B111" s="127">
        <v>40</v>
      </c>
      <c r="C111" s="127">
        <v>38</v>
      </c>
      <c r="D111" s="128">
        <f>'Data Ocupacion'!AH35</f>
        <v>40</v>
      </c>
      <c r="E111" s="128">
        <f>'Data Ocupacion'!AI35</f>
        <v>38</v>
      </c>
      <c r="F111" s="233" t="s">
        <v>52</v>
      </c>
      <c r="G111" s="234">
        <f t="shared" si="92"/>
        <v>116</v>
      </c>
      <c r="H111" s="127">
        <f t="shared" si="93"/>
        <v>78</v>
      </c>
      <c r="I111" s="127">
        <f>G111*L$2</f>
        <v>5003.08</v>
      </c>
      <c r="J111" s="155">
        <f>H111*L$2</f>
        <v>3364.1400000000003</v>
      </c>
      <c r="K111" s="127">
        <f t="shared" si="94"/>
        <v>520320.32</v>
      </c>
      <c r="L111" s="127">
        <f t="shared" si="95"/>
        <v>8112</v>
      </c>
      <c r="M111" s="19"/>
      <c r="N111" s="19"/>
      <c r="O111" s="148"/>
      <c r="P111" s="191"/>
      <c r="Q111" s="191"/>
      <c r="R111" s="191"/>
      <c r="S111" s="187"/>
      <c r="T111" s="188"/>
      <c r="U111" s="189">
        <f>I111-(S111*($L$2-$J$1)+(T111*($L$2-$L$1)))</f>
        <v>5003.08</v>
      </c>
      <c r="W111" s="174"/>
    </row>
    <row r="112" spans="1:23" x14ac:dyDescent="0.25">
      <c r="A112" s="271"/>
      <c r="B112" s="127">
        <v>29</v>
      </c>
      <c r="C112" s="127">
        <v>4</v>
      </c>
      <c r="D112" s="128">
        <f>'Data Ocupacion'!AH36</f>
        <v>30</v>
      </c>
      <c r="E112" s="128">
        <f>'Data Ocupacion'!AI36</f>
        <v>3</v>
      </c>
      <c r="F112" s="233" t="s">
        <v>36</v>
      </c>
      <c r="G112" s="234">
        <f t="shared" si="92"/>
        <v>36</v>
      </c>
      <c r="H112" s="127">
        <f t="shared" si="93"/>
        <v>33</v>
      </c>
      <c r="I112" s="127">
        <f>G112*L$1</f>
        <v>1047.96</v>
      </c>
      <c r="J112" s="155">
        <f>H112*L$1</f>
        <v>960.63</v>
      </c>
      <c r="K112" s="127">
        <f t="shared" si="94"/>
        <v>108987.84</v>
      </c>
      <c r="L112" s="127">
        <f t="shared" si="95"/>
        <v>3432</v>
      </c>
      <c r="M112" s="19"/>
      <c r="N112" s="19"/>
      <c r="O112" s="148"/>
      <c r="P112" s="190"/>
      <c r="Q112" s="192"/>
      <c r="R112" s="215"/>
      <c r="S112" s="193"/>
      <c r="T112" s="194"/>
      <c r="U112" s="186">
        <f>I112-(P112*($L$1-$J$1))</f>
        <v>1047.96</v>
      </c>
    </row>
    <row r="113" spans="1:24" ht="15.75" customHeight="1" x14ac:dyDescent="0.25">
      <c r="A113" s="271"/>
      <c r="B113" s="127">
        <v>28</v>
      </c>
      <c r="C113" s="127">
        <v>4</v>
      </c>
      <c r="D113" s="128">
        <f>'Data Ocupacion'!AH37</f>
        <v>29</v>
      </c>
      <c r="E113" s="128">
        <f>'Data Ocupacion'!AI37</f>
        <v>3</v>
      </c>
      <c r="F113" s="233" t="s">
        <v>53</v>
      </c>
      <c r="G113" s="234">
        <f t="shared" si="92"/>
        <v>35</v>
      </c>
      <c r="H113" s="127">
        <f t="shared" si="93"/>
        <v>32</v>
      </c>
      <c r="I113" s="127">
        <f>G113*L$1</f>
        <v>1018.85</v>
      </c>
      <c r="J113" s="155">
        <f>H113*L$1</f>
        <v>931.52</v>
      </c>
      <c r="K113" s="127">
        <f t="shared" si="94"/>
        <v>105960.40000000001</v>
      </c>
      <c r="L113" s="127">
        <f t="shared" si="95"/>
        <v>3328</v>
      </c>
      <c r="M113" s="19"/>
      <c r="N113" s="19"/>
      <c r="O113" s="148"/>
      <c r="P113" s="194"/>
      <c r="Q113" s="194"/>
      <c r="R113" s="194"/>
      <c r="S113" s="194"/>
      <c r="T113" s="194"/>
      <c r="U113" s="186">
        <f t="shared" ref="U113:U114" si="96">I113</f>
        <v>1018.85</v>
      </c>
    </row>
    <row r="114" spans="1:24" ht="15" customHeight="1" x14ac:dyDescent="0.25">
      <c r="A114" s="271"/>
      <c r="B114" s="127">
        <v>0</v>
      </c>
      <c r="C114" s="127">
        <v>0</v>
      </c>
      <c r="D114" s="128">
        <f>'Data Ocupacion'!AH38</f>
        <v>0</v>
      </c>
      <c r="E114" s="128">
        <f>'Data Ocupacion'!AI38</f>
        <v>0</v>
      </c>
      <c r="F114" s="233" t="s">
        <v>122</v>
      </c>
      <c r="G114" s="234">
        <f t="shared" si="92"/>
        <v>0</v>
      </c>
      <c r="H114" s="127">
        <f t="shared" si="93"/>
        <v>0</v>
      </c>
      <c r="I114" s="236">
        <f>G114*J$1</f>
        <v>0</v>
      </c>
      <c r="J114" s="155">
        <f>H114*J$1</f>
        <v>0</v>
      </c>
      <c r="K114" s="127">
        <f t="shared" si="94"/>
        <v>0</v>
      </c>
      <c r="L114" s="127">
        <f t="shared" si="95"/>
        <v>0</v>
      </c>
      <c r="M114" s="19"/>
      <c r="N114" s="19"/>
      <c r="O114" s="148"/>
      <c r="P114" s="194"/>
      <c r="Q114" s="194"/>
      <c r="R114" s="194"/>
      <c r="S114" s="194"/>
      <c r="T114" s="194"/>
      <c r="U114" s="186">
        <f t="shared" si="96"/>
        <v>0</v>
      </c>
    </row>
    <row r="115" spans="1:24" ht="15" customHeight="1" thickBot="1" x14ac:dyDescent="0.3">
      <c r="A115" s="271"/>
      <c r="B115" s="127">
        <v>1</v>
      </c>
      <c r="C115" s="127">
        <v>0</v>
      </c>
      <c r="D115" s="128">
        <f>'Data Ocupacion'!AH39</f>
        <v>1</v>
      </c>
      <c r="E115" s="128">
        <f>'Data Ocupacion'!AI39</f>
        <v>0</v>
      </c>
      <c r="F115" s="233" t="s">
        <v>35</v>
      </c>
      <c r="G115" s="234">
        <f t="shared" si="92"/>
        <v>1</v>
      </c>
      <c r="H115" s="237">
        <f t="shared" si="93"/>
        <v>1</v>
      </c>
      <c r="I115" s="237">
        <f>G115*J$1</f>
        <v>25.4</v>
      </c>
      <c r="J115" s="155">
        <f>H115*J$1</f>
        <v>25.4</v>
      </c>
      <c r="K115" s="127">
        <f t="shared" si="94"/>
        <v>2641.6</v>
      </c>
      <c r="L115" s="127">
        <f t="shared" si="95"/>
        <v>104</v>
      </c>
      <c r="M115" s="19"/>
      <c r="N115" s="19"/>
      <c r="O115" s="148"/>
      <c r="P115" s="194"/>
      <c r="Q115" s="194"/>
      <c r="R115" s="194"/>
      <c r="S115" s="194"/>
      <c r="T115" s="194"/>
      <c r="U115" s="186">
        <f>I115</f>
        <v>25.4</v>
      </c>
    </row>
    <row r="116" spans="1:24" s="126" customFormat="1" ht="15" customHeight="1" thickBot="1" x14ac:dyDescent="0.3">
      <c r="A116" s="20"/>
      <c r="B116" s="228">
        <f>SUM(B110:B115)</f>
        <v>140</v>
      </c>
      <c r="C116" s="228">
        <f>SUM(C110:C115)</f>
        <v>83</v>
      </c>
      <c r="D116" s="150">
        <f>SUM(D110:D115)</f>
        <v>142</v>
      </c>
      <c r="E116" s="150">
        <f>SUM(E110:E115)</f>
        <v>81</v>
      </c>
      <c r="F116" s="120"/>
      <c r="G116" s="120">
        <f t="shared" ref="G116:L116" si="97">SUM(G110:G115)</f>
        <v>304</v>
      </c>
      <c r="H116" s="120">
        <f t="shared" si="97"/>
        <v>223</v>
      </c>
      <c r="I116" s="121">
        <f t="shared" si="97"/>
        <v>12098.369999999999</v>
      </c>
      <c r="J116" s="120">
        <f t="shared" si="97"/>
        <v>8688.9599999999991</v>
      </c>
      <c r="K116" s="120">
        <f t="shared" si="97"/>
        <v>1258230.48</v>
      </c>
      <c r="L116" s="120">
        <f t="shared" si="97"/>
        <v>23192</v>
      </c>
      <c r="M116" s="125">
        <f>'Odometro-Kilometraje'!Q81</f>
        <v>12478</v>
      </c>
      <c r="N116" s="21">
        <f>(U116/M116)*100</f>
        <v>96.531335149863764</v>
      </c>
      <c r="O116" s="197"/>
      <c r="P116" s="185"/>
      <c r="Q116" s="185"/>
      <c r="R116" s="185"/>
      <c r="S116" s="185"/>
      <c r="T116" s="185"/>
      <c r="U116" s="198">
        <f>SUM(U110:U115)</f>
        <v>12045.18</v>
      </c>
    </row>
    <row r="117" spans="1:24" ht="15.75" customHeight="1" x14ac:dyDescent="0.25">
      <c r="A117" s="61">
        <f>A110+1</f>
        <v>45643</v>
      </c>
      <c r="B117" s="127">
        <v>42</v>
      </c>
      <c r="C117" s="127">
        <v>37</v>
      </c>
      <c r="D117" s="128">
        <f>'Data Ocupacion'!AJ34</f>
        <v>42</v>
      </c>
      <c r="E117" s="128">
        <f>'Data Ocupacion'!AK34</f>
        <v>37</v>
      </c>
      <c r="F117" s="233" t="s">
        <v>38</v>
      </c>
      <c r="G117" s="234">
        <f t="shared" ref="G117:G122" si="98">D117+E117*2</f>
        <v>116</v>
      </c>
      <c r="H117" s="235">
        <f t="shared" ref="H117:H122" si="99">D117+E117</f>
        <v>79</v>
      </c>
      <c r="I117" s="235">
        <f>G117*L$2</f>
        <v>5003.08</v>
      </c>
      <c r="J117" s="155">
        <f>H117*L$2</f>
        <v>3407.27</v>
      </c>
      <c r="K117" s="127">
        <f t="shared" ref="K117:K122" si="100">I117*104</f>
        <v>520320.32</v>
      </c>
      <c r="L117" s="127">
        <f t="shared" ref="L117:L122" si="101">H117*104</f>
        <v>8216</v>
      </c>
      <c r="M117" s="19"/>
      <c r="N117" s="19"/>
      <c r="O117" s="148"/>
      <c r="P117" s="187">
        <v>4</v>
      </c>
      <c r="Q117" s="187"/>
      <c r="R117" s="214"/>
      <c r="S117" s="208"/>
      <c r="T117" s="196"/>
      <c r="U117" s="189">
        <f>I117-((P117*($L$2-$J$1)))-(S117*($J$1))</f>
        <v>4932.16</v>
      </c>
    </row>
    <row r="118" spans="1:24" ht="15" customHeight="1" x14ac:dyDescent="0.25">
      <c r="A118" s="271"/>
      <c r="B118" s="127">
        <v>40</v>
      </c>
      <c r="C118" s="127">
        <v>38</v>
      </c>
      <c r="D118" s="128">
        <f>'Data Ocupacion'!AJ35</f>
        <v>40</v>
      </c>
      <c r="E118" s="128">
        <f>'Data Ocupacion'!AK35</f>
        <v>38</v>
      </c>
      <c r="F118" s="233" t="s">
        <v>52</v>
      </c>
      <c r="G118" s="234">
        <f t="shared" si="98"/>
        <v>116</v>
      </c>
      <c r="H118" s="127">
        <f t="shared" si="99"/>
        <v>78</v>
      </c>
      <c r="I118" s="127">
        <f>G118*L$2</f>
        <v>5003.08</v>
      </c>
      <c r="J118" s="155">
        <f>H118*L$2</f>
        <v>3364.1400000000003</v>
      </c>
      <c r="K118" s="127">
        <f t="shared" si="100"/>
        <v>520320.32</v>
      </c>
      <c r="L118" s="127">
        <f t="shared" si="101"/>
        <v>8112</v>
      </c>
      <c r="M118" s="19"/>
      <c r="N118" s="19"/>
      <c r="O118" s="148"/>
      <c r="P118" s="191"/>
      <c r="Q118" s="191"/>
      <c r="R118" s="191"/>
      <c r="S118" s="187">
        <v>1</v>
      </c>
      <c r="T118" s="188"/>
      <c r="U118" s="189">
        <f>I118-(S118*($L$2-$J$1)+(T118*($L$2-$L$1)))</f>
        <v>4985.3500000000004</v>
      </c>
      <c r="W118" s="174"/>
    </row>
    <row r="119" spans="1:24" ht="15" customHeight="1" x14ac:dyDescent="0.25">
      <c r="A119" s="271"/>
      <c r="B119" s="127">
        <v>29</v>
      </c>
      <c r="C119" s="127">
        <v>4</v>
      </c>
      <c r="D119" s="128">
        <f>'Data Ocupacion'!AJ36</f>
        <v>29</v>
      </c>
      <c r="E119" s="128">
        <f>'Data Ocupacion'!AK36</f>
        <v>4</v>
      </c>
      <c r="F119" s="233" t="s">
        <v>36</v>
      </c>
      <c r="G119" s="234">
        <f t="shared" si="98"/>
        <v>37</v>
      </c>
      <c r="H119" s="127">
        <f t="shared" si="99"/>
        <v>33</v>
      </c>
      <c r="I119" s="127">
        <f>G119*L$1</f>
        <v>1077.07</v>
      </c>
      <c r="J119" s="155">
        <f>H119*L$1</f>
        <v>960.63</v>
      </c>
      <c r="K119" s="127">
        <f t="shared" si="100"/>
        <v>112015.28</v>
      </c>
      <c r="L119" s="127">
        <f t="shared" si="101"/>
        <v>3432</v>
      </c>
      <c r="M119" s="19"/>
      <c r="N119" s="19"/>
      <c r="O119" s="148"/>
      <c r="P119" s="190"/>
      <c r="Q119" s="192"/>
      <c r="R119" s="215"/>
      <c r="S119" s="193"/>
      <c r="T119" s="194"/>
      <c r="U119" s="186">
        <f>I119-(P119*($L$1-$J$1))</f>
        <v>1077.07</v>
      </c>
    </row>
    <row r="120" spans="1:24" ht="15" customHeight="1" x14ac:dyDescent="0.25">
      <c r="A120" s="271"/>
      <c r="B120" s="127">
        <v>28</v>
      </c>
      <c r="C120" s="127">
        <v>4</v>
      </c>
      <c r="D120" s="128">
        <f>'Data Ocupacion'!AJ37</f>
        <v>28</v>
      </c>
      <c r="E120" s="128">
        <f>'Data Ocupacion'!AK37</f>
        <v>4</v>
      </c>
      <c r="F120" s="233" t="s">
        <v>53</v>
      </c>
      <c r="G120" s="234">
        <f t="shared" si="98"/>
        <v>36</v>
      </c>
      <c r="H120" s="127">
        <f t="shared" si="99"/>
        <v>32</v>
      </c>
      <c r="I120" s="127">
        <f>G120*L$1</f>
        <v>1047.96</v>
      </c>
      <c r="J120" s="155">
        <f>H120*L$1</f>
        <v>931.52</v>
      </c>
      <c r="K120" s="127">
        <f t="shared" si="100"/>
        <v>108987.84</v>
      </c>
      <c r="L120" s="127">
        <f t="shared" si="101"/>
        <v>3328</v>
      </c>
      <c r="M120" s="19"/>
      <c r="N120" s="19"/>
      <c r="O120" s="148"/>
      <c r="P120" s="194"/>
      <c r="Q120" s="194"/>
      <c r="R120" s="194"/>
      <c r="S120" s="194"/>
      <c r="T120" s="194"/>
      <c r="U120" s="186">
        <f t="shared" ref="U120:U121" si="102">I120</f>
        <v>1047.96</v>
      </c>
      <c r="X120" s="203"/>
    </row>
    <row r="121" spans="1:24" ht="15" customHeight="1" x14ac:dyDescent="0.25">
      <c r="A121" s="271"/>
      <c r="B121" s="127">
        <v>0</v>
      </c>
      <c r="C121" s="127">
        <v>0</v>
      </c>
      <c r="D121" s="128">
        <f>'Data Ocupacion'!AJ38</f>
        <v>0</v>
      </c>
      <c r="E121" s="128">
        <f>'Data Ocupacion'!AK38</f>
        <v>0</v>
      </c>
      <c r="F121" s="233" t="s">
        <v>122</v>
      </c>
      <c r="G121" s="234">
        <f t="shared" si="98"/>
        <v>0</v>
      </c>
      <c r="H121" s="127">
        <f t="shared" si="99"/>
        <v>0</v>
      </c>
      <c r="I121" s="236">
        <f>G121*J$1</f>
        <v>0</v>
      </c>
      <c r="J121" s="155">
        <f>H121*J$1</f>
        <v>0</v>
      </c>
      <c r="K121" s="127">
        <f t="shared" si="100"/>
        <v>0</v>
      </c>
      <c r="L121" s="127">
        <f t="shared" si="101"/>
        <v>0</v>
      </c>
      <c r="M121" s="19"/>
      <c r="N121" s="19"/>
      <c r="O121" s="148"/>
      <c r="P121" s="194"/>
      <c r="Q121" s="194"/>
      <c r="R121" s="194"/>
      <c r="S121" s="194"/>
      <c r="T121" s="194"/>
      <c r="U121" s="186">
        <f t="shared" si="102"/>
        <v>0</v>
      </c>
    </row>
    <row r="122" spans="1:24" ht="14.25" customHeight="1" thickBot="1" x14ac:dyDescent="0.3">
      <c r="A122" s="271"/>
      <c r="B122" s="127">
        <v>1</v>
      </c>
      <c r="C122" s="127">
        <v>0</v>
      </c>
      <c r="D122" s="128">
        <f>'Data Ocupacion'!AJ39</f>
        <v>1</v>
      </c>
      <c r="E122" s="128">
        <f>'Data Ocupacion'!AK39</f>
        <v>0</v>
      </c>
      <c r="F122" s="233" t="s">
        <v>35</v>
      </c>
      <c r="G122" s="127">
        <f t="shared" si="98"/>
        <v>1</v>
      </c>
      <c r="H122" s="127">
        <f t="shared" si="99"/>
        <v>1</v>
      </c>
      <c r="I122" s="127">
        <f>G122*J$1</f>
        <v>25.4</v>
      </c>
      <c r="J122" s="155">
        <f>H122*J$1</f>
        <v>25.4</v>
      </c>
      <c r="K122" s="127">
        <f t="shared" si="100"/>
        <v>2641.6</v>
      </c>
      <c r="L122" s="127">
        <f t="shared" si="101"/>
        <v>104</v>
      </c>
      <c r="M122" s="19"/>
      <c r="N122" s="19"/>
      <c r="O122" s="148"/>
      <c r="P122" s="194"/>
      <c r="Q122" s="194"/>
      <c r="R122" s="194"/>
      <c r="S122" s="194"/>
      <c r="T122" s="194"/>
      <c r="U122" s="186">
        <f>I122</f>
        <v>25.4</v>
      </c>
    </row>
    <row r="123" spans="1:24" s="126" customFormat="1" ht="15" customHeight="1" thickBot="1" x14ac:dyDescent="0.3">
      <c r="A123" s="20"/>
      <c r="B123" s="228">
        <f>SUM(B117:B122)</f>
        <v>140</v>
      </c>
      <c r="C123" s="228">
        <f>SUM(C117:C122)</f>
        <v>83</v>
      </c>
      <c r="D123" s="150">
        <f>SUM(D117:D122)</f>
        <v>140</v>
      </c>
      <c r="E123" s="150">
        <f>SUM(E117:E122)</f>
        <v>83</v>
      </c>
      <c r="F123" s="120"/>
      <c r="G123" s="120">
        <f t="shared" ref="G123:L123" si="103">SUM(G117:G122)</f>
        <v>306</v>
      </c>
      <c r="H123" s="296">
        <f t="shared" si="103"/>
        <v>223</v>
      </c>
      <c r="I123" s="297">
        <f t="shared" si="103"/>
        <v>12156.589999999998</v>
      </c>
      <c r="J123" s="120">
        <f t="shared" si="103"/>
        <v>8688.9599999999991</v>
      </c>
      <c r="K123" s="120">
        <f t="shared" si="103"/>
        <v>1264285.3600000001</v>
      </c>
      <c r="L123" s="120">
        <f t="shared" si="103"/>
        <v>23192</v>
      </c>
      <c r="M123" s="125">
        <f>'Odometro-Kilometraje'!R81</f>
        <v>12679</v>
      </c>
      <c r="N123" s="21">
        <f>(U123/M123)*100</f>
        <v>95.180534742487581</v>
      </c>
      <c r="O123" s="197"/>
      <c r="P123" s="185"/>
      <c r="Q123" s="185"/>
      <c r="R123" s="185"/>
      <c r="S123" s="185"/>
      <c r="T123" s="185"/>
      <c r="U123" s="198">
        <f>SUM(U117:U122)</f>
        <v>12067.94</v>
      </c>
    </row>
    <row r="124" spans="1:24" ht="15.75" customHeight="1" x14ac:dyDescent="0.25">
      <c r="A124" s="61">
        <f>A117+1</f>
        <v>45644</v>
      </c>
      <c r="B124" s="127">
        <v>42</v>
      </c>
      <c r="C124" s="127">
        <v>37</v>
      </c>
      <c r="D124" s="128">
        <f>'Data Ocupacion'!AL34</f>
        <v>44</v>
      </c>
      <c r="E124" s="128">
        <f>'Data Ocupacion'!AM34</f>
        <v>35</v>
      </c>
      <c r="F124" s="233" t="s">
        <v>38</v>
      </c>
      <c r="G124" s="234">
        <f t="shared" ref="G124:G129" si="104">D124+E124*2</f>
        <v>114</v>
      </c>
      <c r="H124" s="235">
        <f t="shared" ref="H124:H127" si="105">D124+E124</f>
        <v>79</v>
      </c>
      <c r="I124" s="235">
        <f>G124*L$2</f>
        <v>4916.8200000000006</v>
      </c>
      <c r="J124" s="155">
        <f>H124*L$2</f>
        <v>3407.27</v>
      </c>
      <c r="K124" s="127">
        <f t="shared" ref="K124:K129" si="106">I124*104</f>
        <v>511349.28000000009</v>
      </c>
      <c r="L124" s="127">
        <f t="shared" ref="L124:L129" si="107">H124*104</f>
        <v>8216</v>
      </c>
      <c r="M124" s="19"/>
      <c r="N124" s="19"/>
      <c r="O124" s="148"/>
      <c r="P124" s="187"/>
      <c r="Q124" s="187"/>
      <c r="R124" s="214"/>
      <c r="S124" s="283"/>
      <c r="T124" s="196"/>
      <c r="U124" s="189">
        <f>I124-((P124*($L$2-$J$1)))-(S124*($J$1))</f>
        <v>4916.8200000000006</v>
      </c>
    </row>
    <row r="125" spans="1:24" ht="15" customHeight="1" x14ac:dyDescent="0.25">
      <c r="A125" s="271"/>
      <c r="B125" s="127">
        <v>40</v>
      </c>
      <c r="C125" s="127">
        <v>38</v>
      </c>
      <c r="D125" s="128">
        <f>'Data Ocupacion'!AL35</f>
        <v>42</v>
      </c>
      <c r="E125" s="128">
        <f>'Data Ocupacion'!AM35</f>
        <v>36</v>
      </c>
      <c r="F125" s="233" t="s">
        <v>52</v>
      </c>
      <c r="G125" s="234">
        <f t="shared" si="104"/>
        <v>114</v>
      </c>
      <c r="H125" s="127">
        <f t="shared" si="105"/>
        <v>78</v>
      </c>
      <c r="I125" s="127">
        <f>G125*L$2</f>
        <v>4916.8200000000006</v>
      </c>
      <c r="J125" s="155">
        <f>H125*L$2</f>
        <v>3364.1400000000003</v>
      </c>
      <c r="K125" s="127">
        <f t="shared" si="106"/>
        <v>511349.28000000009</v>
      </c>
      <c r="L125" s="127">
        <f t="shared" si="107"/>
        <v>8112</v>
      </c>
      <c r="M125" s="19"/>
      <c r="N125" s="19"/>
      <c r="O125" s="148"/>
      <c r="P125" s="191"/>
      <c r="Q125" s="191"/>
      <c r="R125" s="191"/>
      <c r="S125" s="187"/>
      <c r="T125" s="188"/>
      <c r="U125" s="189">
        <f>I125-(S125*($L$2-$J$1)+(T125*($L$2-$L$1)))</f>
        <v>4916.8200000000006</v>
      </c>
      <c r="V125" s="174"/>
    </row>
    <row r="126" spans="1:24" ht="15" customHeight="1" x14ac:dyDescent="0.25">
      <c r="A126" s="271"/>
      <c r="B126" s="127">
        <v>29</v>
      </c>
      <c r="C126" s="127">
        <v>4</v>
      </c>
      <c r="D126" s="128">
        <f>'Data Ocupacion'!AL36</f>
        <v>29</v>
      </c>
      <c r="E126" s="128">
        <f>'Data Ocupacion'!AM36</f>
        <v>4</v>
      </c>
      <c r="F126" s="233" t="s">
        <v>36</v>
      </c>
      <c r="G126" s="234">
        <f t="shared" si="104"/>
        <v>37</v>
      </c>
      <c r="H126" s="127">
        <f t="shared" si="105"/>
        <v>33</v>
      </c>
      <c r="I126" s="127">
        <f>G126*L$1</f>
        <v>1077.07</v>
      </c>
      <c r="J126" s="155">
        <f>H126*L$1</f>
        <v>960.63</v>
      </c>
      <c r="K126" s="127">
        <f t="shared" si="106"/>
        <v>112015.28</v>
      </c>
      <c r="L126" s="127">
        <f t="shared" si="107"/>
        <v>3432</v>
      </c>
      <c r="M126" s="19"/>
      <c r="N126" s="19"/>
      <c r="O126" s="148"/>
      <c r="P126" s="190"/>
      <c r="Q126" s="192"/>
      <c r="R126" s="215"/>
      <c r="S126" s="193"/>
      <c r="T126" s="194"/>
      <c r="U126" s="186">
        <f>I126-(P126*($L$1-$J$1))</f>
        <v>1077.07</v>
      </c>
    </row>
    <row r="127" spans="1:24" ht="15" customHeight="1" x14ac:dyDescent="0.25">
      <c r="A127" s="271"/>
      <c r="B127" s="127">
        <v>28</v>
      </c>
      <c r="C127" s="127">
        <v>4</v>
      </c>
      <c r="D127" s="128">
        <f>'Data Ocupacion'!AL37</f>
        <v>28</v>
      </c>
      <c r="E127" s="128">
        <f>'Data Ocupacion'!AM37</f>
        <v>4</v>
      </c>
      <c r="F127" s="233" t="s">
        <v>53</v>
      </c>
      <c r="G127" s="234">
        <f t="shared" si="104"/>
        <v>36</v>
      </c>
      <c r="H127" s="127">
        <f t="shared" si="105"/>
        <v>32</v>
      </c>
      <c r="I127" s="127">
        <f>G127*L$1</f>
        <v>1047.96</v>
      </c>
      <c r="J127" s="155">
        <f>H127*L$1</f>
        <v>931.52</v>
      </c>
      <c r="K127" s="127">
        <f t="shared" si="106"/>
        <v>108987.84</v>
      </c>
      <c r="L127" s="127">
        <f t="shared" si="107"/>
        <v>3328</v>
      </c>
      <c r="M127" s="19"/>
      <c r="N127" s="19"/>
      <c r="O127" s="148"/>
      <c r="P127" s="194"/>
      <c r="Q127" s="194"/>
      <c r="R127" s="194"/>
      <c r="S127" s="194"/>
      <c r="T127" s="194"/>
      <c r="U127" s="186">
        <f t="shared" ref="U127:U128" si="108">I127</f>
        <v>1047.96</v>
      </c>
    </row>
    <row r="128" spans="1:24" s="126" customFormat="1" ht="15" customHeight="1" x14ac:dyDescent="0.25">
      <c r="A128" s="271"/>
      <c r="B128" s="127">
        <v>0</v>
      </c>
      <c r="C128" s="127">
        <v>0</v>
      </c>
      <c r="D128" s="128">
        <f>'Data Ocupacion'!AL38</f>
        <v>0</v>
      </c>
      <c r="E128" s="128">
        <f>'Data Ocupacion'!AM38</f>
        <v>0</v>
      </c>
      <c r="F128" s="233" t="s">
        <v>122</v>
      </c>
      <c r="G128" s="234">
        <f t="shared" si="104"/>
        <v>0</v>
      </c>
      <c r="H128" s="127">
        <f>D128+E128</f>
        <v>0</v>
      </c>
      <c r="I128" s="236">
        <f>G128*J$1</f>
        <v>0</v>
      </c>
      <c r="J128" s="155">
        <f>H128*J$1</f>
        <v>0</v>
      </c>
      <c r="K128" s="127">
        <f t="shared" si="106"/>
        <v>0</v>
      </c>
      <c r="L128" s="127">
        <f t="shared" si="107"/>
        <v>0</v>
      </c>
      <c r="M128" s="19"/>
      <c r="N128" s="19"/>
      <c r="O128" s="148"/>
      <c r="P128" s="194"/>
      <c r="Q128" s="194"/>
      <c r="R128" s="194"/>
      <c r="S128" s="194"/>
      <c r="T128" s="194"/>
      <c r="U128" s="186">
        <f t="shared" si="108"/>
        <v>0</v>
      </c>
    </row>
    <row r="129" spans="1:21" s="126" customFormat="1" ht="15" customHeight="1" thickBot="1" x14ac:dyDescent="0.3">
      <c r="A129" s="271"/>
      <c r="B129" s="127">
        <v>1</v>
      </c>
      <c r="C129" s="127">
        <v>0</v>
      </c>
      <c r="D129" s="128">
        <f>'Data Ocupacion'!AL39</f>
        <v>1</v>
      </c>
      <c r="E129" s="128">
        <f>'Data Ocupacion'!AM39</f>
        <v>0</v>
      </c>
      <c r="F129" s="233" t="s">
        <v>35</v>
      </c>
      <c r="G129" s="127">
        <f t="shared" si="104"/>
        <v>1</v>
      </c>
      <c r="H129" s="127">
        <f t="shared" ref="H129" si="109">D129+E129</f>
        <v>1</v>
      </c>
      <c r="I129" s="127">
        <f>G129*J$1</f>
        <v>25.4</v>
      </c>
      <c r="J129" s="155">
        <f>H129*J$1</f>
        <v>25.4</v>
      </c>
      <c r="K129" s="127">
        <f t="shared" si="106"/>
        <v>2641.6</v>
      </c>
      <c r="L129" s="127">
        <f t="shared" si="107"/>
        <v>104</v>
      </c>
      <c r="M129" s="19"/>
      <c r="N129" s="19"/>
      <c r="O129" s="148"/>
      <c r="P129" s="194"/>
      <c r="Q129" s="194"/>
      <c r="R129" s="194"/>
      <c r="S129" s="194"/>
      <c r="T129" s="194"/>
      <c r="U129" s="186">
        <f>I129</f>
        <v>25.4</v>
      </c>
    </row>
    <row r="130" spans="1:21" s="126" customFormat="1" ht="15" customHeight="1" thickBot="1" x14ac:dyDescent="0.3">
      <c r="A130" s="20"/>
      <c r="B130" s="228">
        <f>SUM(B124:B129)</f>
        <v>140</v>
      </c>
      <c r="C130" s="228">
        <f>SUM(C124:C129)</f>
        <v>83</v>
      </c>
      <c r="D130" s="150">
        <f>SUM(D124:D129)</f>
        <v>144</v>
      </c>
      <c r="E130" s="150">
        <f>SUM(E124:E129)</f>
        <v>79</v>
      </c>
      <c r="F130" s="120"/>
      <c r="G130" s="120">
        <f t="shared" ref="G130:L130" si="110">SUM(G124:G129)</f>
        <v>302</v>
      </c>
      <c r="H130" s="296">
        <f t="shared" si="110"/>
        <v>223</v>
      </c>
      <c r="I130" s="297">
        <f t="shared" si="110"/>
        <v>11984.070000000002</v>
      </c>
      <c r="J130" s="120">
        <f t="shared" si="110"/>
        <v>8688.9599999999991</v>
      </c>
      <c r="K130" s="120">
        <f t="shared" si="110"/>
        <v>1246343.2800000003</v>
      </c>
      <c r="L130" s="120">
        <f t="shared" si="110"/>
        <v>23192</v>
      </c>
      <c r="M130" s="125">
        <f>'Odometro-Kilometraje'!S81</f>
        <v>12507</v>
      </c>
      <c r="N130" s="21">
        <f>(U130/M130)*100</f>
        <v>95.818901415207492</v>
      </c>
      <c r="O130" s="197"/>
      <c r="P130" s="185"/>
      <c r="Q130" s="185"/>
      <c r="R130" s="185"/>
      <c r="S130" s="185"/>
      <c r="T130" s="185"/>
      <c r="U130" s="198">
        <f>SUM(U124:U129)</f>
        <v>11984.070000000002</v>
      </c>
    </row>
    <row r="131" spans="1:21" ht="15" customHeight="1" x14ac:dyDescent="0.25">
      <c r="A131" s="61">
        <f>A124+1</f>
        <v>45645</v>
      </c>
      <c r="B131" s="127">
        <v>42</v>
      </c>
      <c r="C131" s="127">
        <v>37</v>
      </c>
      <c r="D131" s="128">
        <f>'Data Ocupacion'!AN34</f>
        <v>43</v>
      </c>
      <c r="E131" s="128">
        <f>'Data Ocupacion'!AO34</f>
        <v>36</v>
      </c>
      <c r="F131" s="233" t="s">
        <v>38</v>
      </c>
      <c r="G131" s="127">
        <f t="shared" ref="G131:G136" si="111">D131+E131*2</f>
        <v>115</v>
      </c>
      <c r="H131" s="127">
        <f t="shared" ref="H131:H136" si="112">D131+E131</f>
        <v>79</v>
      </c>
      <c r="I131" s="127">
        <f>G131*L$2</f>
        <v>4959.9500000000007</v>
      </c>
      <c r="J131" s="155">
        <f>H131*L$2</f>
        <v>3407.27</v>
      </c>
      <c r="K131" s="127">
        <f t="shared" ref="K131:K136" si="113">I131*104</f>
        <v>515834.80000000005</v>
      </c>
      <c r="L131" s="127">
        <f t="shared" ref="L131:L136" si="114">H131*104</f>
        <v>8216</v>
      </c>
      <c r="M131" s="19"/>
      <c r="N131" s="19"/>
      <c r="O131" s="148"/>
      <c r="P131" s="187">
        <v>4</v>
      </c>
      <c r="Q131" s="187"/>
      <c r="R131" s="214"/>
      <c r="S131" s="208"/>
      <c r="T131" s="196"/>
      <c r="U131" s="189">
        <f>I131-((P131*($L$2-$J$1)))-(S131*($J$1))</f>
        <v>4889.0300000000007</v>
      </c>
    </row>
    <row r="132" spans="1:21" ht="15" customHeight="1" x14ac:dyDescent="0.25">
      <c r="A132" s="207"/>
      <c r="B132" s="127">
        <v>40</v>
      </c>
      <c r="C132" s="127">
        <v>38</v>
      </c>
      <c r="D132" s="128">
        <f>'Data Ocupacion'!AN35</f>
        <v>41</v>
      </c>
      <c r="E132" s="128">
        <f>'Data Ocupacion'!AO35</f>
        <v>37</v>
      </c>
      <c r="F132" s="233" t="s">
        <v>52</v>
      </c>
      <c r="G132" s="127">
        <f t="shared" si="111"/>
        <v>115</v>
      </c>
      <c r="H132" s="127">
        <f t="shared" si="112"/>
        <v>78</v>
      </c>
      <c r="I132" s="127">
        <f>G132*L$2</f>
        <v>4959.9500000000007</v>
      </c>
      <c r="J132" s="155">
        <f>H132*L$2</f>
        <v>3364.1400000000003</v>
      </c>
      <c r="K132" s="127">
        <f t="shared" si="113"/>
        <v>515834.80000000005</v>
      </c>
      <c r="L132" s="127">
        <f t="shared" si="114"/>
        <v>8112</v>
      </c>
      <c r="M132" s="19"/>
      <c r="N132" s="19"/>
      <c r="O132" s="148"/>
      <c r="P132" s="191"/>
      <c r="Q132" s="191"/>
      <c r="R132" s="191"/>
      <c r="S132" s="187"/>
      <c r="T132" s="188"/>
      <c r="U132" s="189">
        <f>I132-(S132*($L$2-$J$1)+(T132*($L$2-$L$1)))</f>
        <v>4959.9500000000007</v>
      </c>
    </row>
    <row r="133" spans="1:21" ht="15" customHeight="1" x14ac:dyDescent="0.25">
      <c r="A133" s="207"/>
      <c r="B133" s="127">
        <v>29</v>
      </c>
      <c r="C133" s="127">
        <v>4</v>
      </c>
      <c r="D133" s="128">
        <f>'Data Ocupacion'!AN36</f>
        <v>29</v>
      </c>
      <c r="E133" s="128">
        <f>'Data Ocupacion'!AO36</f>
        <v>4</v>
      </c>
      <c r="F133" s="233" t="s">
        <v>36</v>
      </c>
      <c r="G133" s="127">
        <f t="shared" si="111"/>
        <v>37</v>
      </c>
      <c r="H133" s="127">
        <f t="shared" si="112"/>
        <v>33</v>
      </c>
      <c r="I133" s="127">
        <f>G133*L$1</f>
        <v>1077.07</v>
      </c>
      <c r="J133" s="155">
        <f>H133*L$1</f>
        <v>960.63</v>
      </c>
      <c r="K133" s="127">
        <f t="shared" si="113"/>
        <v>112015.28</v>
      </c>
      <c r="L133" s="127">
        <f t="shared" si="114"/>
        <v>3432</v>
      </c>
      <c r="M133" s="19"/>
      <c r="N133" s="19"/>
      <c r="O133" s="148"/>
      <c r="P133" s="190"/>
      <c r="Q133" s="192"/>
      <c r="R133" s="215"/>
      <c r="S133" s="193"/>
      <c r="T133" s="194"/>
      <c r="U133" s="186">
        <f>I133-(P133*($L$1-$J$1))</f>
        <v>1077.07</v>
      </c>
    </row>
    <row r="134" spans="1:21" ht="15" customHeight="1" x14ac:dyDescent="0.25">
      <c r="A134" s="207"/>
      <c r="B134" s="127">
        <v>28</v>
      </c>
      <c r="C134" s="127">
        <v>4</v>
      </c>
      <c r="D134" s="128">
        <f>'Data Ocupacion'!AN37</f>
        <v>28</v>
      </c>
      <c r="E134" s="128">
        <f>'Data Ocupacion'!AO37</f>
        <v>4</v>
      </c>
      <c r="F134" s="233" t="s">
        <v>53</v>
      </c>
      <c r="G134" s="127">
        <f t="shared" si="111"/>
        <v>36</v>
      </c>
      <c r="H134" s="127">
        <f t="shared" si="112"/>
        <v>32</v>
      </c>
      <c r="I134" s="127">
        <f>G134*L$1</f>
        <v>1047.96</v>
      </c>
      <c r="J134" s="155">
        <f>H134*L$1</f>
        <v>931.52</v>
      </c>
      <c r="K134" s="127">
        <f t="shared" si="113"/>
        <v>108987.84</v>
      </c>
      <c r="L134" s="127">
        <f t="shared" si="114"/>
        <v>3328</v>
      </c>
      <c r="M134" s="19"/>
      <c r="N134" s="19"/>
      <c r="O134" s="148"/>
      <c r="P134" s="194"/>
      <c r="Q134" s="194"/>
      <c r="R134" s="194"/>
      <c r="S134" s="194"/>
      <c r="T134" s="194"/>
      <c r="U134" s="186">
        <f t="shared" ref="U134:U135" si="115">I134</f>
        <v>1047.96</v>
      </c>
    </row>
    <row r="135" spans="1:21" ht="15" customHeight="1" x14ac:dyDescent="0.25">
      <c r="A135" s="207"/>
      <c r="B135" s="127">
        <v>0</v>
      </c>
      <c r="C135" s="127">
        <v>0</v>
      </c>
      <c r="D135" s="128">
        <f>'Data Ocupacion'!AN38</f>
        <v>0</v>
      </c>
      <c r="E135" s="128">
        <f>'Data Ocupacion'!AO38</f>
        <v>0</v>
      </c>
      <c r="F135" s="233" t="s">
        <v>122</v>
      </c>
      <c r="G135" s="127">
        <f t="shared" si="111"/>
        <v>0</v>
      </c>
      <c r="H135" s="127">
        <f t="shared" si="112"/>
        <v>0</v>
      </c>
      <c r="I135" s="127">
        <f>G135*J$1</f>
        <v>0</v>
      </c>
      <c r="J135" s="155">
        <f>H135*J$1</f>
        <v>0</v>
      </c>
      <c r="K135" s="127">
        <f t="shared" si="113"/>
        <v>0</v>
      </c>
      <c r="L135" s="127">
        <f t="shared" si="114"/>
        <v>0</v>
      </c>
      <c r="M135" s="19"/>
      <c r="N135" s="19"/>
      <c r="O135" s="148"/>
      <c r="P135" s="194"/>
      <c r="Q135" s="194"/>
      <c r="R135" s="194"/>
      <c r="S135" s="194"/>
      <c r="T135" s="194"/>
      <c r="U135" s="186">
        <f t="shared" si="115"/>
        <v>0</v>
      </c>
    </row>
    <row r="136" spans="1:21" ht="15" customHeight="1" thickBot="1" x14ac:dyDescent="0.3">
      <c r="A136" s="207"/>
      <c r="B136" s="127">
        <v>1</v>
      </c>
      <c r="C136" s="127">
        <v>0</v>
      </c>
      <c r="D136" s="128">
        <f>'Data Ocupacion'!AN39</f>
        <v>1</v>
      </c>
      <c r="E136" s="128">
        <f>'Data Ocupacion'!AO39</f>
        <v>0</v>
      </c>
      <c r="F136" s="233" t="s">
        <v>35</v>
      </c>
      <c r="G136" s="127">
        <f t="shared" si="111"/>
        <v>1</v>
      </c>
      <c r="H136" s="127">
        <f t="shared" si="112"/>
        <v>1</v>
      </c>
      <c r="I136" s="127">
        <f>G136*J$1</f>
        <v>25.4</v>
      </c>
      <c r="J136" s="155">
        <f>H136*J$1</f>
        <v>25.4</v>
      </c>
      <c r="K136" s="127">
        <f t="shared" si="113"/>
        <v>2641.6</v>
      </c>
      <c r="L136" s="127">
        <f t="shared" si="114"/>
        <v>104</v>
      </c>
      <c r="M136" s="19"/>
      <c r="N136" s="19"/>
      <c r="O136" s="148"/>
      <c r="P136" s="194"/>
      <c r="Q136" s="194"/>
      <c r="R136" s="194"/>
      <c r="S136" s="194"/>
      <c r="T136" s="194"/>
      <c r="U136" s="186">
        <f>I136</f>
        <v>25.4</v>
      </c>
    </row>
    <row r="137" spans="1:21" s="126" customFormat="1" ht="15" customHeight="1" thickBot="1" x14ac:dyDescent="0.3">
      <c r="A137" s="20"/>
      <c r="B137" s="228">
        <f>SUM(B131:B136)</f>
        <v>140</v>
      </c>
      <c r="C137" s="228">
        <f>SUM(C131:C136)</f>
        <v>83</v>
      </c>
      <c r="D137" s="150">
        <f>SUM(D131:D136)</f>
        <v>142</v>
      </c>
      <c r="E137" s="150">
        <f>SUM(E131:E136)</f>
        <v>81</v>
      </c>
      <c r="F137" s="120"/>
      <c r="G137" s="120">
        <f t="shared" ref="G137:L137" si="116">SUM(G131:G136)</f>
        <v>304</v>
      </c>
      <c r="H137" s="120">
        <f t="shared" si="116"/>
        <v>223</v>
      </c>
      <c r="I137" s="121">
        <f t="shared" si="116"/>
        <v>12070.33</v>
      </c>
      <c r="J137" s="120">
        <f t="shared" si="116"/>
        <v>8688.9599999999991</v>
      </c>
      <c r="K137" s="120">
        <f t="shared" si="116"/>
        <v>1255314.3200000003</v>
      </c>
      <c r="L137" s="120">
        <f t="shared" si="116"/>
        <v>23192</v>
      </c>
      <c r="M137" s="125">
        <f>'Odometro-Kilometraje'!T81</f>
        <v>12352</v>
      </c>
      <c r="N137" s="21">
        <f>(U137/M137)*100</f>
        <v>97.145482512953379</v>
      </c>
      <c r="O137" s="197"/>
      <c r="P137" s="185"/>
      <c r="Q137" s="185"/>
      <c r="R137" s="185"/>
      <c r="S137" s="185"/>
      <c r="T137" s="185"/>
      <c r="U137" s="198">
        <f>SUM(U131:U136)</f>
        <v>11999.410000000002</v>
      </c>
    </row>
    <row r="138" spans="1:21" ht="15.75" customHeight="1" x14ac:dyDescent="0.25">
      <c r="A138" s="61">
        <f>A131+1</f>
        <v>45646</v>
      </c>
      <c r="B138" s="127">
        <v>42</v>
      </c>
      <c r="C138" s="127">
        <v>37</v>
      </c>
      <c r="D138" s="139">
        <f>'Data Ocupacion'!AP34</f>
        <v>44</v>
      </c>
      <c r="E138" s="139">
        <f>'Data Ocupacion'!AQ34</f>
        <v>35</v>
      </c>
      <c r="F138" s="233" t="s">
        <v>38</v>
      </c>
      <c r="G138" s="234">
        <f t="shared" ref="G138:G143" si="117">D138+E138*2</f>
        <v>114</v>
      </c>
      <c r="H138" s="235">
        <f t="shared" ref="H138:H143" si="118">D138+E138</f>
        <v>79</v>
      </c>
      <c r="I138" s="235">
        <f>G138*L$2</f>
        <v>4916.8200000000006</v>
      </c>
      <c r="J138" s="155">
        <f>H138*L$2</f>
        <v>3407.27</v>
      </c>
      <c r="K138" s="127">
        <f t="shared" ref="K138:K143" si="119">I138*104</f>
        <v>511349.28000000009</v>
      </c>
      <c r="L138" s="127">
        <f t="shared" ref="L138:L143" si="120">H138*104</f>
        <v>8216</v>
      </c>
      <c r="M138" s="19"/>
      <c r="N138" s="19"/>
      <c r="O138" s="148"/>
      <c r="P138" s="261">
        <v>3</v>
      </c>
      <c r="Q138" s="187"/>
      <c r="R138" s="214"/>
      <c r="S138" s="283"/>
      <c r="T138" s="196"/>
      <c r="U138" s="189">
        <f>I138-((P138*($L$2-$J$1)))-(S138*($J$1))</f>
        <v>4863.630000000001</v>
      </c>
    </row>
    <row r="139" spans="1:21" ht="15" customHeight="1" x14ac:dyDescent="0.25">
      <c r="A139" s="271"/>
      <c r="B139" s="127">
        <v>40</v>
      </c>
      <c r="C139" s="127">
        <v>38</v>
      </c>
      <c r="D139" s="139">
        <f>'Data Ocupacion'!AP35</f>
        <v>42</v>
      </c>
      <c r="E139" s="139">
        <f>'Data Ocupacion'!AQ35</f>
        <v>36</v>
      </c>
      <c r="F139" s="233" t="s">
        <v>52</v>
      </c>
      <c r="G139" s="234">
        <f t="shared" si="117"/>
        <v>114</v>
      </c>
      <c r="H139" s="127">
        <f t="shared" si="118"/>
        <v>78</v>
      </c>
      <c r="I139" s="127">
        <f>G139*L$2</f>
        <v>4916.8200000000006</v>
      </c>
      <c r="J139" s="155">
        <f>H139*L$2</f>
        <v>3364.1400000000003</v>
      </c>
      <c r="K139" s="127">
        <f t="shared" si="119"/>
        <v>511349.28000000009</v>
      </c>
      <c r="L139" s="127">
        <f t="shared" si="120"/>
        <v>8112</v>
      </c>
      <c r="M139" s="19"/>
      <c r="N139" s="19"/>
      <c r="O139" s="148"/>
      <c r="P139" s="191"/>
      <c r="Q139" s="191"/>
      <c r="R139" s="191"/>
      <c r="S139" s="261"/>
      <c r="T139" s="188"/>
      <c r="U139" s="189">
        <f>I139-(S139*($L$2-$J$1)+(T139*($L$2-$L$1)))</f>
        <v>4916.8200000000006</v>
      </c>
    </row>
    <row r="140" spans="1:21" s="126" customFormat="1" ht="15" customHeight="1" x14ac:dyDescent="0.25">
      <c r="A140" s="271"/>
      <c r="B140" s="127">
        <v>29</v>
      </c>
      <c r="C140" s="127">
        <v>4</v>
      </c>
      <c r="D140" s="128">
        <f>'Data Ocupacion'!AP36</f>
        <v>28</v>
      </c>
      <c r="E140" s="128">
        <f>'Data Ocupacion'!AQ36</f>
        <v>4</v>
      </c>
      <c r="F140" s="233" t="s">
        <v>36</v>
      </c>
      <c r="G140" s="234">
        <f t="shared" si="117"/>
        <v>36</v>
      </c>
      <c r="H140" s="127">
        <f t="shared" si="118"/>
        <v>32</v>
      </c>
      <c r="I140" s="127">
        <f>G140*L$1</f>
        <v>1047.96</v>
      </c>
      <c r="J140" s="155">
        <f>H140*L$1</f>
        <v>931.52</v>
      </c>
      <c r="K140" s="127">
        <f t="shared" si="119"/>
        <v>108987.84</v>
      </c>
      <c r="L140" s="127">
        <f t="shared" si="120"/>
        <v>3328</v>
      </c>
      <c r="M140" s="19"/>
      <c r="N140" s="19"/>
      <c r="O140" s="148"/>
      <c r="P140" s="191"/>
      <c r="Q140" s="242"/>
      <c r="R140" s="242"/>
      <c r="S140" s="302"/>
      <c r="T140" s="262"/>
      <c r="U140" s="186">
        <f>I140-(P140*($L$1-$J$1))</f>
        <v>1047.96</v>
      </c>
    </row>
    <row r="141" spans="1:21" s="126" customFormat="1" ht="15" customHeight="1" x14ac:dyDescent="0.25">
      <c r="A141" s="271"/>
      <c r="B141" s="127">
        <v>28</v>
      </c>
      <c r="C141" s="127">
        <v>4</v>
      </c>
      <c r="D141" s="128">
        <f>'Data Ocupacion'!AP37</f>
        <v>28</v>
      </c>
      <c r="E141" s="128">
        <f>'Data Ocupacion'!AQ37</f>
        <v>4</v>
      </c>
      <c r="F141" s="233" t="s">
        <v>53</v>
      </c>
      <c r="G141" s="234">
        <f t="shared" si="117"/>
        <v>36</v>
      </c>
      <c r="H141" s="127">
        <f t="shared" si="118"/>
        <v>32</v>
      </c>
      <c r="I141" s="127">
        <f>G141*L$1</f>
        <v>1047.96</v>
      </c>
      <c r="J141" s="155">
        <f>H141*L$1</f>
        <v>931.52</v>
      </c>
      <c r="K141" s="127">
        <f t="shared" si="119"/>
        <v>108987.84</v>
      </c>
      <c r="L141" s="127">
        <f t="shared" si="120"/>
        <v>3328</v>
      </c>
      <c r="M141" s="19"/>
      <c r="N141" s="19"/>
      <c r="O141" s="148"/>
      <c r="P141" s="191"/>
      <c r="Q141" s="242"/>
      <c r="R141" s="242"/>
      <c r="S141" s="302"/>
      <c r="T141" s="262"/>
      <c r="U141" s="186">
        <f t="shared" ref="U141:U142" si="121">I141</f>
        <v>1047.96</v>
      </c>
    </row>
    <row r="142" spans="1:21" ht="15" customHeight="1" x14ac:dyDescent="0.25">
      <c r="A142" s="271"/>
      <c r="B142" s="127">
        <v>0</v>
      </c>
      <c r="C142" s="127">
        <v>0</v>
      </c>
      <c r="D142" s="128">
        <f>'Data Ocupacion'!AP38</f>
        <v>0</v>
      </c>
      <c r="E142" s="128">
        <f>'Data Ocupacion'!AQ38</f>
        <v>0</v>
      </c>
      <c r="F142" s="233" t="s">
        <v>122</v>
      </c>
      <c r="G142" s="234">
        <f t="shared" si="117"/>
        <v>0</v>
      </c>
      <c r="H142" s="127">
        <f t="shared" si="118"/>
        <v>0</v>
      </c>
      <c r="I142" s="236">
        <f>G142*J$1</f>
        <v>0</v>
      </c>
      <c r="J142" s="155">
        <f>H142*J$1</f>
        <v>0</v>
      </c>
      <c r="K142" s="127">
        <f t="shared" si="119"/>
        <v>0</v>
      </c>
      <c r="L142" s="127">
        <f t="shared" si="120"/>
        <v>0</v>
      </c>
      <c r="M142" s="19"/>
      <c r="N142" s="19"/>
      <c r="O142" s="148"/>
      <c r="P142" s="190"/>
      <c r="Q142" s="192"/>
      <c r="R142" s="215"/>
      <c r="S142" s="193"/>
      <c r="T142" s="194"/>
      <c r="U142" s="186">
        <f t="shared" si="121"/>
        <v>0</v>
      </c>
    </row>
    <row r="143" spans="1:21" ht="15" customHeight="1" thickBot="1" x14ac:dyDescent="0.3">
      <c r="A143" s="271"/>
      <c r="B143" s="127">
        <v>1</v>
      </c>
      <c r="C143" s="127">
        <v>0</v>
      </c>
      <c r="D143" s="128">
        <f>'Data Ocupacion'!AP39</f>
        <v>1</v>
      </c>
      <c r="E143" s="128">
        <f>'Data Ocupacion'!AQ39</f>
        <v>0</v>
      </c>
      <c r="F143" s="233" t="s">
        <v>35</v>
      </c>
      <c r="G143" s="234">
        <f t="shared" si="117"/>
        <v>1</v>
      </c>
      <c r="H143" s="237">
        <f t="shared" si="118"/>
        <v>1</v>
      </c>
      <c r="I143" s="237">
        <f>G143*J$1</f>
        <v>25.4</v>
      </c>
      <c r="J143" s="155">
        <f>H143*J$1</f>
        <v>25.4</v>
      </c>
      <c r="K143" s="127">
        <f t="shared" si="119"/>
        <v>2641.6</v>
      </c>
      <c r="L143" s="127">
        <f t="shared" si="120"/>
        <v>104</v>
      </c>
      <c r="M143" s="19"/>
      <c r="N143" s="19"/>
      <c r="O143" s="148"/>
      <c r="P143" s="194"/>
      <c r="Q143" s="194"/>
      <c r="R143" s="194"/>
      <c r="S143" s="194"/>
      <c r="T143" s="194"/>
      <c r="U143" s="186">
        <f>I143</f>
        <v>25.4</v>
      </c>
    </row>
    <row r="144" spans="1:21" s="126" customFormat="1" ht="15" customHeight="1" thickBot="1" x14ac:dyDescent="0.3">
      <c r="A144" s="20"/>
      <c r="B144" s="228">
        <f>SUM(B138:B143)</f>
        <v>140</v>
      </c>
      <c r="C144" s="228">
        <f>SUM(C138:C143)</f>
        <v>83</v>
      </c>
      <c r="D144" s="150">
        <f>SUM(D138:D143)</f>
        <v>143</v>
      </c>
      <c r="E144" s="150">
        <f>SUM(E138:E143)</f>
        <v>79</v>
      </c>
      <c r="F144" s="120"/>
      <c r="G144" s="120">
        <f t="shared" ref="G144:L144" si="122">SUM(G138:G143)</f>
        <v>301</v>
      </c>
      <c r="H144" s="120">
        <f t="shared" si="122"/>
        <v>222</v>
      </c>
      <c r="I144" s="121">
        <f t="shared" si="122"/>
        <v>11954.960000000001</v>
      </c>
      <c r="J144" s="120">
        <f t="shared" si="122"/>
        <v>8659.85</v>
      </c>
      <c r="K144" s="120">
        <f t="shared" si="122"/>
        <v>1243315.8400000003</v>
      </c>
      <c r="L144" s="120">
        <f t="shared" si="122"/>
        <v>23088</v>
      </c>
      <c r="M144" s="125">
        <f>'Odometro-Kilometraje'!U81</f>
        <v>12408</v>
      </c>
      <c r="N144" s="21">
        <f>(U144/M144)*100</f>
        <v>95.920132172791739</v>
      </c>
      <c r="O144" s="197"/>
      <c r="P144" s="185"/>
      <c r="Q144" s="185"/>
      <c r="R144" s="185"/>
      <c r="S144" s="185"/>
      <c r="T144" s="185"/>
      <c r="U144" s="198">
        <f>SUM(U138:U143)</f>
        <v>11901.769999999999</v>
      </c>
    </row>
    <row r="145" spans="1:24" x14ac:dyDescent="0.25">
      <c r="A145" s="61">
        <f>A138+1</f>
        <v>45647</v>
      </c>
      <c r="B145" s="279">
        <v>68</v>
      </c>
      <c r="C145" s="279">
        <v>4</v>
      </c>
      <c r="D145" s="280">
        <f>'Data Ocupacion'!AR34</f>
        <v>68</v>
      </c>
      <c r="E145" s="280">
        <f>'Data Ocupacion'!AS34</f>
        <v>4</v>
      </c>
      <c r="F145" s="279" t="s">
        <v>38</v>
      </c>
      <c r="G145" s="279">
        <f t="shared" ref="G145:G150" si="123">D145+E145*2</f>
        <v>76</v>
      </c>
      <c r="H145" s="279">
        <f t="shared" ref="H145:H150" si="124">D145+E145</f>
        <v>72</v>
      </c>
      <c r="I145" s="279">
        <f>G145*L$2</f>
        <v>3277.88</v>
      </c>
      <c r="J145" s="155">
        <f>H145*L$2</f>
        <v>3105.36</v>
      </c>
      <c r="K145" s="279">
        <f t="shared" ref="K145:K150" si="125">I145*104</f>
        <v>340899.52</v>
      </c>
      <c r="L145" s="279">
        <f t="shared" ref="L145:L150" si="126">H145*104</f>
        <v>7488</v>
      </c>
      <c r="M145" s="19"/>
      <c r="N145" s="19"/>
      <c r="O145" s="148"/>
      <c r="P145" s="261"/>
      <c r="Q145" s="187"/>
      <c r="R145" s="214"/>
      <c r="S145" s="195"/>
      <c r="T145" s="196"/>
      <c r="U145" s="189">
        <f>I145-((P145*($L$2-$J$1)))-(S145*($J$1))</f>
        <v>3277.88</v>
      </c>
    </row>
    <row r="146" spans="1:24" ht="15" customHeight="1" x14ac:dyDescent="0.25">
      <c r="A146" s="271"/>
      <c r="B146" s="279">
        <v>74</v>
      </c>
      <c r="C146" s="279">
        <v>1</v>
      </c>
      <c r="D146" s="280">
        <f>'Data Ocupacion'!AR35</f>
        <v>74</v>
      </c>
      <c r="E146" s="280">
        <f>'Data Ocupacion'!AS35</f>
        <v>1</v>
      </c>
      <c r="F146" s="279" t="s">
        <v>52</v>
      </c>
      <c r="G146" s="279">
        <f t="shared" si="123"/>
        <v>76</v>
      </c>
      <c r="H146" s="279">
        <f t="shared" si="124"/>
        <v>75</v>
      </c>
      <c r="I146" s="279">
        <f>G146*L$2</f>
        <v>3277.88</v>
      </c>
      <c r="J146" s="155">
        <f t="shared" ref="J146:J149" si="127">H146*L$2</f>
        <v>3234.75</v>
      </c>
      <c r="K146" s="279">
        <f t="shared" si="125"/>
        <v>340899.52</v>
      </c>
      <c r="L146" s="279">
        <f t="shared" si="126"/>
        <v>7800</v>
      </c>
      <c r="M146" s="19"/>
      <c r="N146" s="19"/>
      <c r="O146" s="148"/>
      <c r="P146" s="191"/>
      <c r="Q146" s="191"/>
      <c r="R146" s="191"/>
      <c r="S146" s="261"/>
      <c r="T146" s="188"/>
      <c r="U146" s="189">
        <f>I146-(S146*($L$2-$J$1)+(T146*($L$2-$L$1)))</f>
        <v>3277.88</v>
      </c>
    </row>
    <row r="147" spans="1:24" ht="15.75" customHeight="1" x14ac:dyDescent="0.25">
      <c r="A147" s="344" t="s">
        <v>172</v>
      </c>
      <c r="B147" s="279">
        <v>0</v>
      </c>
      <c r="C147" s="279">
        <v>0</v>
      </c>
      <c r="D147" s="280">
        <f>'Data Ocupacion'!AR36</f>
        <v>0</v>
      </c>
      <c r="E147" s="280">
        <f>'Data Ocupacion'!AS36</f>
        <v>0</v>
      </c>
      <c r="F147" s="279" t="s">
        <v>36</v>
      </c>
      <c r="G147" s="279">
        <f t="shared" si="123"/>
        <v>0</v>
      </c>
      <c r="H147" s="279">
        <f t="shared" si="124"/>
        <v>0</v>
      </c>
      <c r="I147" s="279">
        <f>G147*L$1</f>
        <v>0</v>
      </c>
      <c r="J147" s="155">
        <f>H147*L$1</f>
        <v>0</v>
      </c>
      <c r="K147" s="279">
        <f t="shared" si="125"/>
        <v>0</v>
      </c>
      <c r="L147" s="279">
        <f t="shared" si="126"/>
        <v>0</v>
      </c>
      <c r="M147" s="19"/>
      <c r="N147" s="19"/>
      <c r="O147" s="148"/>
      <c r="P147" s="190"/>
      <c r="Q147" s="192"/>
      <c r="R147" s="215"/>
      <c r="S147" s="193"/>
      <c r="T147" s="194"/>
      <c r="U147" s="186">
        <f>I147-(P147*($L$1-$J$1))</f>
        <v>0</v>
      </c>
    </row>
    <row r="148" spans="1:24" s="126" customFormat="1" ht="15.75" customHeight="1" x14ac:dyDescent="0.25">
      <c r="A148" s="344"/>
      <c r="B148" s="279">
        <v>0</v>
      </c>
      <c r="C148" s="279">
        <v>0</v>
      </c>
      <c r="D148" s="280">
        <f>'Data Ocupacion'!AR37</f>
        <v>0</v>
      </c>
      <c r="E148" s="280">
        <f>'Data Ocupacion'!AS37</f>
        <v>0</v>
      </c>
      <c r="F148" s="279" t="s">
        <v>53</v>
      </c>
      <c r="G148" s="279">
        <f t="shared" si="123"/>
        <v>0</v>
      </c>
      <c r="H148" s="279">
        <f t="shared" si="124"/>
        <v>0</v>
      </c>
      <c r="I148" s="279">
        <f>G148*L$1</f>
        <v>0</v>
      </c>
      <c r="J148" s="155">
        <f>H148*L$1</f>
        <v>0</v>
      </c>
      <c r="K148" s="279">
        <f t="shared" si="125"/>
        <v>0</v>
      </c>
      <c r="L148" s="279">
        <f t="shared" si="126"/>
        <v>0</v>
      </c>
      <c r="M148" s="19"/>
      <c r="N148" s="19"/>
      <c r="O148" s="148"/>
      <c r="P148" s="262"/>
      <c r="Q148" s="215"/>
      <c r="R148" s="215"/>
      <c r="S148" s="215"/>
      <c r="T148" s="194"/>
      <c r="U148" s="186">
        <f t="shared" ref="U148:U150" si="128">I148-(P148*($L$1-$J$1))</f>
        <v>0</v>
      </c>
    </row>
    <row r="149" spans="1:24" s="126" customFormat="1" ht="15.75" customHeight="1" x14ac:dyDescent="0.25">
      <c r="A149" s="344"/>
      <c r="B149" s="279">
        <v>0</v>
      </c>
      <c r="C149" s="279">
        <v>0</v>
      </c>
      <c r="D149" s="280">
        <f>'Data Ocupacion'!AR38</f>
        <v>0</v>
      </c>
      <c r="E149" s="280">
        <f>'Data Ocupacion'!AS38</f>
        <v>0</v>
      </c>
      <c r="F149" s="279" t="s">
        <v>122</v>
      </c>
      <c r="G149" s="279">
        <f t="shared" si="123"/>
        <v>0</v>
      </c>
      <c r="H149" s="279">
        <f t="shared" si="124"/>
        <v>0</v>
      </c>
      <c r="I149" s="279">
        <f>G149*J$1</f>
        <v>0</v>
      </c>
      <c r="J149" s="155">
        <f t="shared" si="127"/>
        <v>0</v>
      </c>
      <c r="K149" s="279">
        <f t="shared" si="125"/>
        <v>0</v>
      </c>
      <c r="L149" s="279">
        <f t="shared" si="126"/>
        <v>0</v>
      </c>
      <c r="M149" s="19"/>
      <c r="N149" s="19"/>
      <c r="O149" s="148"/>
      <c r="P149" s="262"/>
      <c r="Q149" s="215"/>
      <c r="R149" s="215"/>
      <c r="S149" s="215"/>
      <c r="T149" s="194"/>
      <c r="U149" s="186">
        <f t="shared" si="128"/>
        <v>0</v>
      </c>
    </row>
    <row r="150" spans="1:24" ht="15.75" thickBot="1" x14ac:dyDescent="0.3">
      <c r="A150" s="271"/>
      <c r="B150" s="279">
        <v>0</v>
      </c>
      <c r="C150" s="279">
        <v>0</v>
      </c>
      <c r="D150" s="280">
        <f>'Data Ocupacion'!AR39</f>
        <v>0</v>
      </c>
      <c r="E150" s="280">
        <f>'Data Ocupacion'!AS39</f>
        <v>0</v>
      </c>
      <c r="F150" s="279" t="s">
        <v>35</v>
      </c>
      <c r="G150" s="279">
        <f t="shared" si="123"/>
        <v>0</v>
      </c>
      <c r="H150" s="279">
        <f t="shared" si="124"/>
        <v>0</v>
      </c>
      <c r="I150" s="279">
        <f>G150*J$1</f>
        <v>0</v>
      </c>
      <c r="J150" s="155">
        <f>H150*J$1</f>
        <v>0</v>
      </c>
      <c r="K150" s="279">
        <f t="shared" si="125"/>
        <v>0</v>
      </c>
      <c r="L150" s="279">
        <f t="shared" si="126"/>
        <v>0</v>
      </c>
      <c r="M150" s="19"/>
      <c r="N150" s="19"/>
      <c r="O150" s="259"/>
      <c r="P150" s="194"/>
      <c r="Q150" s="194"/>
      <c r="R150" s="194"/>
      <c r="S150" s="194"/>
      <c r="T150" s="194"/>
      <c r="U150" s="186">
        <f t="shared" si="128"/>
        <v>0</v>
      </c>
    </row>
    <row r="151" spans="1:24" s="126" customFormat="1" ht="15.75" thickBot="1" x14ac:dyDescent="0.3">
      <c r="A151" s="20"/>
      <c r="B151" s="228">
        <f>SUM(B145:B150)</f>
        <v>142</v>
      </c>
      <c r="C151" s="228">
        <f>SUM(C145:C150)</f>
        <v>5</v>
      </c>
      <c r="D151" s="150">
        <f>SUM(D145:D150)</f>
        <v>142</v>
      </c>
      <c r="E151" s="150">
        <f>SUM(E145:E150)</f>
        <v>5</v>
      </c>
      <c r="F151" s="120"/>
      <c r="G151" s="120">
        <f t="shared" ref="G151:L151" si="129">SUM(G145:G150)</f>
        <v>152</v>
      </c>
      <c r="H151" s="120">
        <f t="shared" si="129"/>
        <v>147</v>
      </c>
      <c r="I151" s="121">
        <f t="shared" si="129"/>
        <v>6555.76</v>
      </c>
      <c r="J151" s="120">
        <f t="shared" si="129"/>
        <v>6340.1100000000006</v>
      </c>
      <c r="K151" s="120">
        <f t="shared" si="129"/>
        <v>681799.04</v>
      </c>
      <c r="L151" s="120">
        <f t="shared" si="129"/>
        <v>15288</v>
      </c>
      <c r="M151" s="125">
        <f>'Odometro-Kilometraje'!V81</f>
        <v>6586</v>
      </c>
      <c r="N151" s="21">
        <f>(U151/M151)*100</f>
        <v>99.540844215001528</v>
      </c>
      <c r="O151" s="197"/>
      <c r="P151" s="185"/>
      <c r="Q151" s="185"/>
      <c r="R151" s="185"/>
      <c r="S151" s="185"/>
      <c r="T151" s="185"/>
      <c r="U151" s="198">
        <f>SUM(U145:U150)</f>
        <v>6555.76</v>
      </c>
    </row>
    <row r="152" spans="1:24" x14ac:dyDescent="0.25">
      <c r="A152" s="61">
        <f>A145+1</f>
        <v>45648</v>
      </c>
      <c r="B152" s="229">
        <v>51</v>
      </c>
      <c r="C152" s="229">
        <v>3</v>
      </c>
      <c r="D152" s="139">
        <f>'Data Ocupacion'!AT34</f>
        <v>51</v>
      </c>
      <c r="E152" s="139">
        <f>'Data Ocupacion'!AU34</f>
        <v>3</v>
      </c>
      <c r="F152" s="229" t="s">
        <v>38</v>
      </c>
      <c r="G152" s="229">
        <f>D152+E152*2</f>
        <v>57</v>
      </c>
      <c r="H152" s="229">
        <f>D152+E152</f>
        <v>54</v>
      </c>
      <c r="I152" s="229">
        <f>G152*L$2</f>
        <v>2458.4100000000003</v>
      </c>
      <c r="J152" s="155">
        <f>H152*L$2</f>
        <v>2329.02</v>
      </c>
      <c r="K152" s="229">
        <f t="shared" ref="K152:K157" si="130">I152*104</f>
        <v>255674.64000000004</v>
      </c>
      <c r="L152" s="229">
        <f t="shared" ref="L152:L157" si="131">H152*104</f>
        <v>5616</v>
      </c>
      <c r="M152" s="19"/>
      <c r="N152" s="19"/>
      <c r="O152" s="148"/>
      <c r="P152" s="261"/>
      <c r="Q152" s="187"/>
      <c r="R152" s="214"/>
      <c r="S152" s="208"/>
      <c r="T152" s="196"/>
      <c r="U152" s="189">
        <f>I152-((P152*($L$2-$J$1)))-(S152*($J$1))</f>
        <v>2458.4100000000003</v>
      </c>
    </row>
    <row r="153" spans="1:24" ht="15" customHeight="1" x14ac:dyDescent="0.25">
      <c r="A153" s="303"/>
      <c r="B153" s="229">
        <v>57</v>
      </c>
      <c r="C153" s="229">
        <v>0</v>
      </c>
      <c r="D153" s="139">
        <f>'Data Ocupacion'!AT35</f>
        <v>57</v>
      </c>
      <c r="E153" s="139">
        <f>'Data Ocupacion'!AU35</f>
        <v>0</v>
      </c>
      <c r="F153" s="229" t="s">
        <v>52</v>
      </c>
      <c r="G153" s="229">
        <f>D153+E153*2</f>
        <v>57</v>
      </c>
      <c r="H153" s="229">
        <f>D153+E153</f>
        <v>57</v>
      </c>
      <c r="I153" s="229">
        <f>G153*L$2</f>
        <v>2458.4100000000003</v>
      </c>
      <c r="J153" s="155">
        <f>H153*L$2</f>
        <v>2458.4100000000003</v>
      </c>
      <c r="K153" s="229">
        <f t="shared" si="130"/>
        <v>255674.64000000004</v>
      </c>
      <c r="L153" s="229">
        <f t="shared" si="131"/>
        <v>5928</v>
      </c>
      <c r="M153" s="19"/>
      <c r="N153" s="19"/>
      <c r="O153" s="148"/>
      <c r="P153" s="191"/>
      <c r="Q153" s="191"/>
      <c r="R153" s="191"/>
      <c r="S153" s="261"/>
      <c r="T153" s="212"/>
      <c r="U153" s="189">
        <f>I153-(S153*($L$2-$J$1)+(T153*($L$2-$L$1)))</f>
        <v>2458.4100000000003</v>
      </c>
      <c r="V153" s="126"/>
      <c r="W153" s="126"/>
      <c r="X153" s="126"/>
    </row>
    <row r="154" spans="1:24" ht="15.75" customHeight="1" x14ac:dyDescent="0.25">
      <c r="A154" s="303"/>
      <c r="B154" s="229">
        <v>0</v>
      </c>
      <c r="C154" s="229">
        <v>0</v>
      </c>
      <c r="D154" s="139">
        <f>'Data Ocupacion'!AT36</f>
        <v>0</v>
      </c>
      <c r="E154" s="139">
        <f>'Data Ocupacion'!AU36</f>
        <v>0</v>
      </c>
      <c r="F154" s="229" t="s">
        <v>36</v>
      </c>
      <c r="G154" s="229">
        <f t="shared" ref="G154:G157" si="132">D154+E154*2</f>
        <v>0</v>
      </c>
      <c r="H154" s="229">
        <f t="shared" ref="H154:H157" si="133">D154+E154</f>
        <v>0</v>
      </c>
      <c r="I154" s="229">
        <f>G154*L$1</f>
        <v>0</v>
      </c>
      <c r="J154" s="155">
        <f>H154*L$1</f>
        <v>0</v>
      </c>
      <c r="K154" s="229">
        <f t="shared" si="130"/>
        <v>0</v>
      </c>
      <c r="L154" s="229">
        <f t="shared" si="131"/>
        <v>0</v>
      </c>
      <c r="M154" s="19"/>
      <c r="N154" s="19"/>
      <c r="O154" s="148"/>
      <c r="P154" s="190"/>
      <c r="Q154" s="192"/>
      <c r="R154" s="215"/>
      <c r="S154" s="193"/>
      <c r="T154" s="194"/>
      <c r="U154" s="186">
        <f>I154-(P154*($L$1-$J$1))</f>
        <v>0</v>
      </c>
      <c r="V154" s="126"/>
      <c r="W154" s="126"/>
      <c r="X154" s="126"/>
    </row>
    <row r="155" spans="1:24" ht="15" customHeight="1" x14ac:dyDescent="0.25">
      <c r="A155" s="303"/>
      <c r="B155" s="229">
        <v>0</v>
      </c>
      <c r="C155" s="229">
        <v>0</v>
      </c>
      <c r="D155" s="139">
        <f>'Data Ocupacion'!AT37</f>
        <v>0</v>
      </c>
      <c r="E155" s="139">
        <f>'Data Ocupacion'!AU37</f>
        <v>0</v>
      </c>
      <c r="F155" s="229" t="s">
        <v>53</v>
      </c>
      <c r="G155" s="229">
        <f t="shared" si="132"/>
        <v>0</v>
      </c>
      <c r="H155" s="229">
        <f t="shared" si="133"/>
        <v>0</v>
      </c>
      <c r="I155" s="229">
        <f>G155*L$1</f>
        <v>0</v>
      </c>
      <c r="J155" s="155">
        <f>H155*L$1</f>
        <v>0</v>
      </c>
      <c r="K155" s="229">
        <f t="shared" si="130"/>
        <v>0</v>
      </c>
      <c r="L155" s="229">
        <f t="shared" si="131"/>
        <v>0</v>
      </c>
      <c r="M155" s="19"/>
      <c r="N155" s="19"/>
      <c r="O155" s="148"/>
      <c r="P155" s="194"/>
      <c r="Q155" s="194"/>
      <c r="R155" s="194"/>
      <c r="S155" s="194"/>
      <c r="T155" s="194"/>
      <c r="U155" s="186">
        <f t="shared" ref="U155:U156" si="134">I155</f>
        <v>0</v>
      </c>
      <c r="V155" s="126"/>
      <c r="W155" s="126"/>
      <c r="X155" s="126"/>
    </row>
    <row r="156" spans="1:24" ht="13.5" customHeight="1" x14ac:dyDescent="0.25">
      <c r="A156" s="303"/>
      <c r="B156" s="229">
        <v>0</v>
      </c>
      <c r="C156" s="229">
        <v>0</v>
      </c>
      <c r="D156" s="139">
        <f>'Data Ocupacion'!AT38</f>
        <v>0</v>
      </c>
      <c r="E156" s="139">
        <f>'Data Ocupacion'!AU38</f>
        <v>0</v>
      </c>
      <c r="F156" s="229" t="s">
        <v>122</v>
      </c>
      <c r="G156" s="229">
        <f t="shared" si="132"/>
        <v>0</v>
      </c>
      <c r="H156" s="229">
        <f t="shared" si="133"/>
        <v>0</v>
      </c>
      <c r="I156" s="229">
        <f>G156*J$1</f>
        <v>0</v>
      </c>
      <c r="J156" s="155">
        <f>H156*L$1</f>
        <v>0</v>
      </c>
      <c r="K156" s="229">
        <f t="shared" si="130"/>
        <v>0</v>
      </c>
      <c r="L156" s="229">
        <f t="shared" si="131"/>
        <v>0</v>
      </c>
      <c r="M156" s="19"/>
      <c r="N156" s="19"/>
      <c r="O156" s="148"/>
      <c r="P156" s="194"/>
      <c r="Q156" s="194"/>
      <c r="R156" s="194"/>
      <c r="S156" s="194"/>
      <c r="T156" s="194"/>
      <c r="U156" s="186">
        <f t="shared" si="134"/>
        <v>0</v>
      </c>
      <c r="V156" s="126"/>
      <c r="W156" s="126"/>
      <c r="X156" s="126"/>
    </row>
    <row r="157" spans="1:24" ht="15.75" customHeight="1" thickBot="1" x14ac:dyDescent="0.3">
      <c r="A157" s="303"/>
      <c r="B157" s="229">
        <v>0</v>
      </c>
      <c r="C157" s="229">
        <v>0</v>
      </c>
      <c r="D157" s="139">
        <f>'Data Ocupacion'!AT39</f>
        <v>0</v>
      </c>
      <c r="E157" s="139">
        <f>'Data Ocupacion'!AU39</f>
        <v>0</v>
      </c>
      <c r="F157" s="229" t="s">
        <v>35</v>
      </c>
      <c r="G157" s="229">
        <f t="shared" si="132"/>
        <v>0</v>
      </c>
      <c r="H157" s="229">
        <f t="shared" si="133"/>
        <v>0</v>
      </c>
      <c r="I157" s="229">
        <f>G157*J$1</f>
        <v>0</v>
      </c>
      <c r="J157" s="155">
        <f>H157*J$1</f>
        <v>0</v>
      </c>
      <c r="K157" s="229">
        <f t="shared" si="130"/>
        <v>0</v>
      </c>
      <c r="L157" s="229">
        <f t="shared" si="131"/>
        <v>0</v>
      </c>
      <c r="M157" s="19"/>
      <c r="N157" s="19"/>
      <c r="O157" s="148"/>
      <c r="P157" s="194"/>
      <c r="Q157" s="194"/>
      <c r="R157" s="194"/>
      <c r="S157" s="194"/>
      <c r="T157" s="194"/>
      <c r="U157" s="186">
        <f>I157</f>
        <v>0</v>
      </c>
    </row>
    <row r="158" spans="1:24" s="126" customFormat="1" ht="15.75" thickBot="1" x14ac:dyDescent="0.3">
      <c r="A158" s="20"/>
      <c r="B158" s="228">
        <f>SUM(B152:B157)</f>
        <v>108</v>
      </c>
      <c r="C158" s="228">
        <f>SUM(C152:C157)</f>
        <v>3</v>
      </c>
      <c r="D158" s="150">
        <f>SUM(D152:D157)</f>
        <v>108</v>
      </c>
      <c r="E158" s="150">
        <f>SUM(E152:E157)</f>
        <v>3</v>
      </c>
      <c r="F158" s="120"/>
      <c r="G158" s="120">
        <f t="shared" ref="G158:L158" si="135">SUM(G152:G157)</f>
        <v>114</v>
      </c>
      <c r="H158" s="120">
        <f t="shared" si="135"/>
        <v>111</v>
      </c>
      <c r="I158" s="121">
        <f t="shared" si="135"/>
        <v>4916.8200000000006</v>
      </c>
      <c r="J158" s="120">
        <f t="shared" si="135"/>
        <v>4787.43</v>
      </c>
      <c r="K158" s="120">
        <f t="shared" si="135"/>
        <v>511349.28000000009</v>
      </c>
      <c r="L158" s="120">
        <f t="shared" si="135"/>
        <v>11544</v>
      </c>
      <c r="M158" s="125">
        <f>'Odometro-Kilometraje'!W81</f>
        <v>5006</v>
      </c>
      <c r="N158" s="21">
        <f>(U158/M158)*100</f>
        <v>98.218537754694381</v>
      </c>
      <c r="O158" s="197"/>
      <c r="P158" s="185"/>
      <c r="Q158" s="185"/>
      <c r="R158" s="185"/>
      <c r="S158" s="185"/>
      <c r="T158" s="185"/>
      <c r="U158" s="198">
        <f>SUM(U152:U157)</f>
        <v>4916.8200000000006</v>
      </c>
    </row>
    <row r="159" spans="1:24" s="126" customFormat="1" x14ac:dyDescent="0.25">
      <c r="A159" s="61">
        <f>A152+1</f>
        <v>45649</v>
      </c>
      <c r="B159" s="127">
        <v>42</v>
      </c>
      <c r="C159" s="127">
        <v>37</v>
      </c>
      <c r="D159" s="280">
        <f>'Data Ocupacion'!AV34</f>
        <v>45</v>
      </c>
      <c r="E159" s="280">
        <f>'Data Ocupacion'!AW34</f>
        <v>34</v>
      </c>
      <c r="F159" s="233" t="s">
        <v>38</v>
      </c>
      <c r="G159" s="234">
        <f t="shared" ref="G159:G164" si="136">D159+E159*2</f>
        <v>113</v>
      </c>
      <c r="H159" s="235">
        <f t="shared" ref="H159:H164" si="137">D159+E159</f>
        <v>79</v>
      </c>
      <c r="I159" s="235">
        <f>G159*L$2</f>
        <v>4873.6900000000005</v>
      </c>
      <c r="J159" s="155">
        <f>H159*L$2</f>
        <v>3407.27</v>
      </c>
      <c r="K159" s="127">
        <f t="shared" ref="K159:K164" si="138">I159*104</f>
        <v>506863.76000000007</v>
      </c>
      <c r="L159" s="127">
        <f t="shared" ref="L159:L164" si="139">H159*104</f>
        <v>8216</v>
      </c>
      <c r="M159" s="19"/>
      <c r="N159" s="19"/>
      <c r="O159" s="148"/>
      <c r="P159" s="261">
        <v>2</v>
      </c>
      <c r="Q159" s="187"/>
      <c r="R159" s="214"/>
      <c r="S159" s="187"/>
      <c r="T159" s="196"/>
      <c r="U159" s="189">
        <f>I159-((P159*($L$2-$J$1)))-(S159*($J$1))</f>
        <v>4838.2300000000005</v>
      </c>
    </row>
    <row r="160" spans="1:24" ht="15" customHeight="1" x14ac:dyDescent="0.25">
      <c r="A160" s="207"/>
      <c r="B160" s="127">
        <v>40</v>
      </c>
      <c r="C160" s="127">
        <v>38</v>
      </c>
      <c r="D160" s="280">
        <f>'Data Ocupacion'!AV35</f>
        <v>43</v>
      </c>
      <c r="E160" s="280">
        <f>'Data Ocupacion'!AW35</f>
        <v>35</v>
      </c>
      <c r="F160" s="233" t="s">
        <v>52</v>
      </c>
      <c r="G160" s="234">
        <f t="shared" si="136"/>
        <v>113</v>
      </c>
      <c r="H160" s="127">
        <f t="shared" si="137"/>
        <v>78</v>
      </c>
      <c r="I160" s="127">
        <f>G160*L$2</f>
        <v>4873.6900000000005</v>
      </c>
      <c r="J160" s="155">
        <f>H160*L$2</f>
        <v>3364.1400000000003</v>
      </c>
      <c r="K160" s="127">
        <f t="shared" si="138"/>
        <v>506863.76000000007</v>
      </c>
      <c r="L160" s="127">
        <f t="shared" si="139"/>
        <v>8112</v>
      </c>
      <c r="M160" s="19"/>
      <c r="N160" s="19"/>
      <c r="O160" s="148"/>
      <c r="P160" s="191"/>
      <c r="Q160" s="191"/>
      <c r="R160" s="227"/>
      <c r="S160" s="187"/>
      <c r="T160" s="227"/>
      <c r="U160" s="189">
        <f>I160-(S160*($L$2-$J$1)+(T160*($L$2-$L$1)))</f>
        <v>4873.6900000000005</v>
      </c>
      <c r="W160" s="174"/>
    </row>
    <row r="161" spans="1:23" x14ac:dyDescent="0.25">
      <c r="A161" s="207"/>
      <c r="B161" s="127">
        <v>29</v>
      </c>
      <c r="C161" s="127">
        <v>4</v>
      </c>
      <c r="D161" s="128">
        <f>'Data Ocupacion'!AV36</f>
        <v>30</v>
      </c>
      <c r="E161" s="128">
        <f>'Data Ocupacion'!AW36</f>
        <v>3</v>
      </c>
      <c r="F161" s="233" t="s">
        <v>36</v>
      </c>
      <c r="G161" s="234">
        <f t="shared" si="136"/>
        <v>36</v>
      </c>
      <c r="H161" s="127">
        <f t="shared" si="137"/>
        <v>33</v>
      </c>
      <c r="I161" s="127">
        <f>G161*L$1</f>
        <v>1047.96</v>
      </c>
      <c r="J161" s="155">
        <f>H161*L$1</f>
        <v>960.63</v>
      </c>
      <c r="K161" s="127">
        <f t="shared" si="138"/>
        <v>108987.84</v>
      </c>
      <c r="L161" s="127">
        <f t="shared" si="139"/>
        <v>3432</v>
      </c>
      <c r="M161" s="19"/>
      <c r="N161" s="19"/>
      <c r="O161" s="148"/>
      <c r="P161" s="190"/>
      <c r="Q161" s="192"/>
      <c r="R161" s="215"/>
      <c r="S161" s="193"/>
      <c r="T161" s="194"/>
      <c r="U161" s="186">
        <f>I161-(P161*($L$1-$J$1))</f>
        <v>1047.96</v>
      </c>
    </row>
    <row r="162" spans="1:23" ht="15" customHeight="1" x14ac:dyDescent="0.25">
      <c r="A162" s="207"/>
      <c r="B162" s="127">
        <v>28</v>
      </c>
      <c r="C162" s="127">
        <v>4</v>
      </c>
      <c r="D162" s="128">
        <f>'Data Ocupacion'!AV37</f>
        <v>29</v>
      </c>
      <c r="E162" s="128">
        <f>'Data Ocupacion'!AW37</f>
        <v>3</v>
      </c>
      <c r="F162" s="233" t="s">
        <v>53</v>
      </c>
      <c r="G162" s="234">
        <f t="shared" si="136"/>
        <v>35</v>
      </c>
      <c r="H162" s="127">
        <f t="shared" si="137"/>
        <v>32</v>
      </c>
      <c r="I162" s="127">
        <f>G162*L$1</f>
        <v>1018.85</v>
      </c>
      <c r="J162" s="155">
        <f>H162*L$1</f>
        <v>931.52</v>
      </c>
      <c r="K162" s="127">
        <f t="shared" si="138"/>
        <v>105960.40000000001</v>
      </c>
      <c r="L162" s="127">
        <f t="shared" si="139"/>
        <v>3328</v>
      </c>
      <c r="M162" s="19"/>
      <c r="N162" s="19"/>
      <c r="O162" s="148"/>
      <c r="P162" s="194"/>
      <c r="Q162" s="194"/>
      <c r="R162" s="194"/>
      <c r="S162" s="194"/>
      <c r="T162" s="194"/>
      <c r="U162" s="186">
        <f t="shared" ref="U162:U163" si="140">I162</f>
        <v>1018.85</v>
      </c>
    </row>
    <row r="163" spans="1:23" ht="13.5" customHeight="1" x14ac:dyDescent="0.25">
      <c r="A163" s="207"/>
      <c r="B163" s="127">
        <v>0</v>
      </c>
      <c r="C163" s="127">
        <v>0</v>
      </c>
      <c r="D163" s="128">
        <f>'Data Ocupacion'!AV38</f>
        <v>0</v>
      </c>
      <c r="E163" s="128">
        <f>'Data Ocupacion'!AW38</f>
        <v>0</v>
      </c>
      <c r="F163" s="233" t="s">
        <v>122</v>
      </c>
      <c r="G163" s="234">
        <f t="shared" si="136"/>
        <v>0</v>
      </c>
      <c r="H163" s="127">
        <f t="shared" si="137"/>
        <v>0</v>
      </c>
      <c r="I163" s="236">
        <f>G163*J$1</f>
        <v>0</v>
      </c>
      <c r="J163" s="155">
        <f>H163*J$1</f>
        <v>0</v>
      </c>
      <c r="K163" s="127">
        <f t="shared" si="138"/>
        <v>0</v>
      </c>
      <c r="L163" s="127">
        <f t="shared" si="139"/>
        <v>0</v>
      </c>
      <c r="M163" s="19"/>
      <c r="N163" s="19"/>
      <c r="O163" s="148"/>
      <c r="P163" s="194"/>
      <c r="Q163" s="194"/>
      <c r="R163" s="194"/>
      <c r="S163" s="194"/>
      <c r="T163" s="194"/>
      <c r="U163" s="186">
        <f t="shared" si="140"/>
        <v>0</v>
      </c>
    </row>
    <row r="164" spans="1:23" ht="15.75" thickBot="1" x14ac:dyDescent="0.3">
      <c r="A164" s="207"/>
      <c r="B164" s="127">
        <v>1</v>
      </c>
      <c r="C164" s="127">
        <v>0</v>
      </c>
      <c r="D164" s="128">
        <f>'Data Ocupacion'!AV39</f>
        <v>1</v>
      </c>
      <c r="E164" s="128">
        <f>'Data Ocupacion'!AW39</f>
        <v>0</v>
      </c>
      <c r="F164" s="233" t="s">
        <v>35</v>
      </c>
      <c r="G164" s="234">
        <f t="shared" si="136"/>
        <v>1</v>
      </c>
      <c r="H164" s="237">
        <f t="shared" si="137"/>
        <v>1</v>
      </c>
      <c r="I164" s="237">
        <f>G164*J$1</f>
        <v>25.4</v>
      </c>
      <c r="J164" s="155">
        <f>H164*J$1</f>
        <v>25.4</v>
      </c>
      <c r="K164" s="127">
        <f t="shared" si="138"/>
        <v>2641.6</v>
      </c>
      <c r="L164" s="127">
        <f t="shared" si="139"/>
        <v>104</v>
      </c>
      <c r="M164" s="19"/>
      <c r="N164" s="19"/>
      <c r="O164" s="148"/>
      <c r="P164" s="194"/>
      <c r="Q164" s="194"/>
      <c r="R164" s="194"/>
      <c r="S164" s="194"/>
      <c r="T164" s="194"/>
      <c r="U164" s="186">
        <f>I164</f>
        <v>25.4</v>
      </c>
    </row>
    <row r="165" spans="1:23" s="126" customFormat="1" ht="15" customHeight="1" thickBot="1" x14ac:dyDescent="0.3">
      <c r="A165" s="20"/>
      <c r="B165" s="228">
        <f>SUM(B159:B164)</f>
        <v>140</v>
      </c>
      <c r="C165" s="228">
        <f>SUM(C159:C164)</f>
        <v>83</v>
      </c>
      <c r="D165" s="150">
        <f>SUM(D159:D164)</f>
        <v>148</v>
      </c>
      <c r="E165" s="150">
        <f>SUM(E159:E164)</f>
        <v>75</v>
      </c>
      <c r="F165" s="120"/>
      <c r="G165" s="120">
        <f t="shared" ref="G165:L165" si="141">SUM(G159:G164)</f>
        <v>298</v>
      </c>
      <c r="H165" s="120">
        <f t="shared" si="141"/>
        <v>223</v>
      </c>
      <c r="I165" s="121">
        <f t="shared" si="141"/>
        <v>11839.59</v>
      </c>
      <c r="J165" s="120">
        <f t="shared" si="141"/>
        <v>8688.9599999999991</v>
      </c>
      <c r="K165" s="120">
        <f t="shared" si="141"/>
        <v>1231317.3600000001</v>
      </c>
      <c r="L165" s="120">
        <f t="shared" si="141"/>
        <v>23192</v>
      </c>
      <c r="M165" s="125">
        <f>'Odometro-Kilometraje'!X81</f>
        <v>12235</v>
      </c>
      <c r="N165" s="21">
        <f>(U165/M165)*100</f>
        <v>96.478381691867597</v>
      </c>
      <c r="O165" s="197"/>
      <c r="P165" s="185"/>
      <c r="Q165" s="185"/>
      <c r="R165" s="185"/>
      <c r="S165" s="185"/>
      <c r="T165" s="185"/>
      <c r="U165" s="198">
        <f>SUM(U159:U164)</f>
        <v>11804.130000000001</v>
      </c>
    </row>
    <row r="166" spans="1:23" x14ac:dyDescent="0.25">
      <c r="A166" s="61">
        <f>A159+1</f>
        <v>45650</v>
      </c>
      <c r="B166" s="127">
        <v>37</v>
      </c>
      <c r="C166" s="127">
        <v>42</v>
      </c>
      <c r="D166" s="128">
        <f>'Data Ocupacion'!AX34</f>
        <v>40</v>
      </c>
      <c r="E166" s="128">
        <f>'Data Ocupacion'!AY34</f>
        <v>39</v>
      </c>
      <c r="F166" s="233" t="s">
        <v>38</v>
      </c>
      <c r="G166" s="234">
        <f t="shared" ref="G166:G171" si="142">D166+E166*2</f>
        <v>118</v>
      </c>
      <c r="H166" s="235">
        <f t="shared" ref="H166:H171" si="143">D166+E166</f>
        <v>79</v>
      </c>
      <c r="I166" s="235">
        <f>G166*L$2</f>
        <v>5089.34</v>
      </c>
      <c r="J166" s="155">
        <f>H166*L$2</f>
        <v>3407.27</v>
      </c>
      <c r="K166" s="127">
        <f t="shared" ref="K166:K171" si="144">I166*104</f>
        <v>529291.36</v>
      </c>
      <c r="L166" s="127">
        <f t="shared" ref="L166:L171" si="145">H166*104</f>
        <v>8216</v>
      </c>
      <c r="M166" s="19"/>
      <c r="N166" s="19"/>
      <c r="O166" s="148"/>
      <c r="P166" s="187">
        <v>2</v>
      </c>
      <c r="Q166" s="187"/>
      <c r="R166" s="214"/>
      <c r="S166" s="208"/>
      <c r="T166" s="196"/>
      <c r="U166" s="189">
        <f>I166-((P166*($L$2-$J$1)))-(S166*($J$1))</f>
        <v>5053.88</v>
      </c>
    </row>
    <row r="167" spans="1:23" ht="15" customHeight="1" x14ac:dyDescent="0.25">
      <c r="A167" s="271"/>
      <c r="B167" s="127">
        <v>35</v>
      </c>
      <c r="C167" s="127">
        <v>43</v>
      </c>
      <c r="D167" s="128">
        <f>'Data Ocupacion'!AX35</f>
        <v>38</v>
      </c>
      <c r="E167" s="128">
        <f>'Data Ocupacion'!AY35</f>
        <v>40</v>
      </c>
      <c r="F167" s="233" t="s">
        <v>52</v>
      </c>
      <c r="G167" s="234">
        <f t="shared" si="142"/>
        <v>118</v>
      </c>
      <c r="H167" s="127">
        <f t="shared" si="143"/>
        <v>78</v>
      </c>
      <c r="I167" s="127">
        <f>G167*L$2</f>
        <v>5089.34</v>
      </c>
      <c r="J167" s="155">
        <f>H167*L$2</f>
        <v>3364.1400000000003</v>
      </c>
      <c r="K167" s="127">
        <f t="shared" si="144"/>
        <v>529291.36</v>
      </c>
      <c r="L167" s="127">
        <f t="shared" si="145"/>
        <v>8112</v>
      </c>
      <c r="M167" s="19"/>
      <c r="N167" s="19"/>
      <c r="O167" s="148"/>
      <c r="P167" s="191"/>
      <c r="Q167" s="191"/>
      <c r="R167" s="191"/>
      <c r="S167" s="208">
        <v>5</v>
      </c>
      <c r="T167" s="212"/>
      <c r="U167" s="189">
        <f>I167-(S167*($L$2-$J$1)+(T167*($L$2-$L$1)))</f>
        <v>5000.6900000000005</v>
      </c>
      <c r="W167" s="174"/>
    </row>
    <row r="168" spans="1:23" x14ac:dyDescent="0.25">
      <c r="A168" s="356" t="s">
        <v>180</v>
      </c>
      <c r="B168" s="127">
        <v>29</v>
      </c>
      <c r="C168" s="127">
        <v>4</v>
      </c>
      <c r="D168" s="128">
        <f>'Data Ocupacion'!AX36</f>
        <v>29</v>
      </c>
      <c r="E168" s="128">
        <f>'Data Ocupacion'!AY36</f>
        <v>4</v>
      </c>
      <c r="F168" s="233" t="s">
        <v>36</v>
      </c>
      <c r="G168" s="234">
        <f t="shared" si="142"/>
        <v>37</v>
      </c>
      <c r="H168" s="127">
        <f t="shared" si="143"/>
        <v>33</v>
      </c>
      <c r="I168" s="127">
        <f>G168*L$1</f>
        <v>1077.07</v>
      </c>
      <c r="J168" s="155">
        <f>H168*L$1</f>
        <v>960.63</v>
      </c>
      <c r="K168" s="127">
        <f t="shared" si="144"/>
        <v>112015.28</v>
      </c>
      <c r="L168" s="127">
        <f t="shared" si="145"/>
        <v>3432</v>
      </c>
      <c r="M168" s="19"/>
      <c r="N168" s="19"/>
      <c r="O168" s="148"/>
      <c r="P168" s="190"/>
      <c r="Q168" s="192"/>
      <c r="R168" s="215"/>
      <c r="S168" s="193"/>
      <c r="T168" s="194"/>
      <c r="U168" s="186">
        <f>I168-(P168*($L$1-$J$1))</f>
        <v>1077.07</v>
      </c>
    </row>
    <row r="169" spans="1:23" ht="15" customHeight="1" x14ac:dyDescent="0.25">
      <c r="A169" s="356"/>
      <c r="B169" s="127">
        <v>28</v>
      </c>
      <c r="C169" s="127">
        <v>4</v>
      </c>
      <c r="D169" s="128">
        <f>'Data Ocupacion'!AX37</f>
        <v>28</v>
      </c>
      <c r="E169" s="128">
        <f>'Data Ocupacion'!AY37</f>
        <v>4</v>
      </c>
      <c r="F169" s="233" t="s">
        <v>53</v>
      </c>
      <c r="G169" s="234">
        <f t="shared" si="142"/>
        <v>36</v>
      </c>
      <c r="H169" s="127">
        <f t="shared" si="143"/>
        <v>32</v>
      </c>
      <c r="I169" s="127">
        <f>G169*L$1</f>
        <v>1047.96</v>
      </c>
      <c r="J169" s="155">
        <f>H169*L$1</f>
        <v>931.52</v>
      </c>
      <c r="K169" s="127">
        <f t="shared" si="144"/>
        <v>108987.84</v>
      </c>
      <c r="L169" s="127">
        <f t="shared" si="145"/>
        <v>3328</v>
      </c>
      <c r="M169" s="19"/>
      <c r="N169" s="19"/>
      <c r="O169" s="148"/>
      <c r="P169" s="194"/>
      <c r="Q169" s="194"/>
      <c r="R169" s="194"/>
      <c r="S169" s="194"/>
      <c r="T169" s="194"/>
      <c r="U169" s="186">
        <f t="shared" ref="U169:U170" si="146">I169</f>
        <v>1047.96</v>
      </c>
    </row>
    <row r="170" spans="1:23" ht="15" customHeight="1" x14ac:dyDescent="0.25">
      <c r="A170" s="356"/>
      <c r="B170" s="127">
        <v>0</v>
      </c>
      <c r="C170" s="127">
        <v>0</v>
      </c>
      <c r="D170" s="128">
        <f>'Data Ocupacion'!AX38</f>
        <v>0</v>
      </c>
      <c r="E170" s="128">
        <f>'Data Ocupacion'!AY38</f>
        <v>0</v>
      </c>
      <c r="F170" s="233" t="s">
        <v>122</v>
      </c>
      <c r="G170" s="234">
        <f t="shared" si="142"/>
        <v>0</v>
      </c>
      <c r="H170" s="127">
        <f t="shared" si="143"/>
        <v>0</v>
      </c>
      <c r="I170" s="236">
        <f>G170*J$1</f>
        <v>0</v>
      </c>
      <c r="J170" s="155">
        <f>H170*J$1</f>
        <v>0</v>
      </c>
      <c r="K170" s="127">
        <f t="shared" si="144"/>
        <v>0</v>
      </c>
      <c r="L170" s="127">
        <f t="shared" si="145"/>
        <v>0</v>
      </c>
      <c r="M170" s="19"/>
      <c r="N170" s="19"/>
      <c r="O170" s="148"/>
      <c r="P170" s="194"/>
      <c r="Q170" s="194"/>
      <c r="R170" s="194"/>
      <c r="S170" s="194"/>
      <c r="T170" s="194"/>
      <c r="U170" s="186">
        <f t="shared" si="146"/>
        <v>0</v>
      </c>
    </row>
    <row r="171" spans="1:23" ht="15.75" thickBot="1" x14ac:dyDescent="0.3">
      <c r="A171" s="271"/>
      <c r="B171" s="127">
        <v>1</v>
      </c>
      <c r="C171" s="127">
        <v>0</v>
      </c>
      <c r="D171" s="128">
        <f>'Data Ocupacion'!AX39</f>
        <v>1</v>
      </c>
      <c r="E171" s="128">
        <f>'Data Ocupacion'!AY39</f>
        <v>0</v>
      </c>
      <c r="F171" s="233" t="s">
        <v>35</v>
      </c>
      <c r="G171" s="127">
        <f t="shared" si="142"/>
        <v>1</v>
      </c>
      <c r="H171" s="127">
        <f t="shared" si="143"/>
        <v>1</v>
      </c>
      <c r="I171" s="127">
        <f>G171*J$1</f>
        <v>25.4</v>
      </c>
      <c r="J171" s="155">
        <f>H171*J$1</f>
        <v>25.4</v>
      </c>
      <c r="K171" s="127">
        <f t="shared" si="144"/>
        <v>2641.6</v>
      </c>
      <c r="L171" s="127">
        <f t="shared" si="145"/>
        <v>104</v>
      </c>
      <c r="M171" s="19"/>
      <c r="N171" s="19"/>
      <c r="O171" s="148"/>
      <c r="P171" s="194"/>
      <c r="Q171" s="194"/>
      <c r="R171" s="194"/>
      <c r="S171" s="194"/>
      <c r="T171" s="194"/>
      <c r="U171" s="186">
        <f>I171</f>
        <v>25.4</v>
      </c>
    </row>
    <row r="172" spans="1:23" s="126" customFormat="1" ht="15.75" thickBot="1" x14ac:dyDescent="0.3">
      <c r="A172" s="20"/>
      <c r="B172" s="228">
        <f>SUM(B166:B171)</f>
        <v>130</v>
      </c>
      <c r="C172" s="228">
        <f>SUM(C166:C171)</f>
        <v>93</v>
      </c>
      <c r="D172" s="150">
        <f>SUM(D166:D171)</f>
        <v>136</v>
      </c>
      <c r="E172" s="150">
        <f>SUM(E166:E171)</f>
        <v>87</v>
      </c>
      <c r="F172" s="120"/>
      <c r="G172" s="120">
        <f t="shared" ref="G172:L172" si="147">SUM(G166:G171)</f>
        <v>310</v>
      </c>
      <c r="H172" s="296">
        <f t="shared" si="147"/>
        <v>223</v>
      </c>
      <c r="I172" s="297">
        <f t="shared" si="147"/>
        <v>12329.109999999999</v>
      </c>
      <c r="J172" s="120">
        <f t="shared" si="147"/>
        <v>8688.9599999999991</v>
      </c>
      <c r="K172" s="120">
        <f t="shared" si="147"/>
        <v>1282227.4400000002</v>
      </c>
      <c r="L172" s="120">
        <f t="shared" si="147"/>
        <v>23192</v>
      </c>
      <c r="M172" s="125">
        <f>'Odometro-Kilometraje'!Y81</f>
        <v>12626</v>
      </c>
      <c r="N172" s="21">
        <f>(U172/M172)*100</f>
        <v>96.665610644701388</v>
      </c>
      <c r="O172" s="197"/>
      <c r="P172" s="185"/>
      <c r="Q172" s="185"/>
      <c r="R172" s="185"/>
      <c r="S172" s="185"/>
      <c r="T172" s="185"/>
      <c r="U172" s="198">
        <f>SUM(U166:U171)</f>
        <v>12204.999999999998</v>
      </c>
    </row>
    <row r="173" spans="1:23" x14ac:dyDescent="0.25">
      <c r="A173" s="61">
        <f>A166+1</f>
        <v>45651</v>
      </c>
      <c r="B173" s="229">
        <v>51</v>
      </c>
      <c r="C173" s="229">
        <v>3</v>
      </c>
      <c r="D173" s="139">
        <f>'Data Ocupacion'!AZ34</f>
        <v>51</v>
      </c>
      <c r="E173" s="139">
        <f>'Data Ocupacion'!BA34</f>
        <v>3</v>
      </c>
      <c r="F173" s="229" t="s">
        <v>38</v>
      </c>
      <c r="G173" s="229">
        <f t="shared" ref="G173:G178" si="148">D173+E173*2</f>
        <v>57</v>
      </c>
      <c r="H173" s="229">
        <f t="shared" ref="H173:H178" si="149">D173+E173</f>
        <v>54</v>
      </c>
      <c r="I173" s="229">
        <f>G173*L$2</f>
        <v>2458.4100000000003</v>
      </c>
      <c r="J173" s="155">
        <f>H173*L$2</f>
        <v>2329.02</v>
      </c>
      <c r="K173" s="229">
        <f t="shared" ref="K173:K178" si="150">I173*104</f>
        <v>255674.64000000004</v>
      </c>
      <c r="L173" s="229">
        <f t="shared" ref="L173:L178" si="151">H173*104</f>
        <v>5616</v>
      </c>
      <c r="M173" s="19"/>
      <c r="N173" s="19"/>
      <c r="O173" s="148"/>
      <c r="P173" s="261"/>
      <c r="Q173" s="187"/>
      <c r="R173" s="208"/>
      <c r="S173" s="190"/>
      <c r="T173" s="196"/>
      <c r="U173" s="189">
        <f>I173-((P173*($L$2-$J$1)))-(S173*($J$1))</f>
        <v>2458.4100000000003</v>
      </c>
    </row>
    <row r="174" spans="1:23" ht="18" customHeight="1" x14ac:dyDescent="0.25">
      <c r="A174" s="207"/>
      <c r="B174" s="229">
        <v>57</v>
      </c>
      <c r="C174" s="229">
        <v>0</v>
      </c>
      <c r="D174" s="139">
        <f>'Data Ocupacion'!AZ35</f>
        <v>57</v>
      </c>
      <c r="E174" s="139">
        <f>'Data Ocupacion'!BA35</f>
        <v>0</v>
      </c>
      <c r="F174" s="229" t="s">
        <v>52</v>
      </c>
      <c r="G174" s="229">
        <f t="shared" si="148"/>
        <v>57</v>
      </c>
      <c r="H174" s="229">
        <f t="shared" si="149"/>
        <v>57</v>
      </c>
      <c r="I174" s="229">
        <f>G174*L$2</f>
        <v>2458.4100000000003</v>
      </c>
      <c r="J174" s="155">
        <f>H174*L$2</f>
        <v>2458.4100000000003</v>
      </c>
      <c r="K174" s="229">
        <f t="shared" si="150"/>
        <v>255674.64000000004</v>
      </c>
      <c r="L174" s="229">
        <f t="shared" si="151"/>
        <v>5928</v>
      </c>
      <c r="M174" s="19"/>
      <c r="N174" s="19"/>
      <c r="O174" s="148"/>
      <c r="P174" s="191"/>
      <c r="Q174" s="191"/>
      <c r="R174" s="227"/>
      <c r="S174" s="261"/>
      <c r="T174" s="188"/>
      <c r="U174" s="189">
        <f>I174-((S174*($L$2-$J$1)+(T174*($L$2-$L$1)))-(R174*($L$2-$H$2)))</f>
        <v>2458.4100000000003</v>
      </c>
      <c r="W174" s="174"/>
    </row>
    <row r="175" spans="1:23" x14ac:dyDescent="0.25">
      <c r="A175" s="207"/>
      <c r="B175" s="229">
        <v>0</v>
      </c>
      <c r="C175" s="229">
        <v>0</v>
      </c>
      <c r="D175" s="139">
        <f>'Data Ocupacion'!AZ36</f>
        <v>0</v>
      </c>
      <c r="E175" s="139">
        <f>'Data Ocupacion'!BA36</f>
        <v>0</v>
      </c>
      <c r="F175" s="229" t="s">
        <v>36</v>
      </c>
      <c r="G175" s="229">
        <f t="shared" si="148"/>
        <v>0</v>
      </c>
      <c r="H175" s="229">
        <f t="shared" si="149"/>
        <v>0</v>
      </c>
      <c r="I175" s="229">
        <f>G175*L$1</f>
        <v>0</v>
      </c>
      <c r="J175" s="155">
        <f>H175*L$1</f>
        <v>0</v>
      </c>
      <c r="K175" s="229">
        <f t="shared" si="150"/>
        <v>0</v>
      </c>
      <c r="L175" s="229">
        <f t="shared" si="151"/>
        <v>0</v>
      </c>
      <c r="M175" s="19"/>
      <c r="N175" s="19"/>
      <c r="O175" s="148"/>
      <c r="P175" s="190"/>
      <c r="Q175" s="192"/>
      <c r="R175" s="215"/>
      <c r="S175" s="193"/>
      <c r="T175" s="194"/>
      <c r="U175" s="186">
        <f>I175-(P175*($L$1-$J$1))</f>
        <v>0</v>
      </c>
    </row>
    <row r="176" spans="1:23" ht="15" customHeight="1" x14ac:dyDescent="0.25">
      <c r="A176" s="207"/>
      <c r="B176" s="229">
        <v>0</v>
      </c>
      <c r="C176" s="229">
        <v>0</v>
      </c>
      <c r="D176" s="139">
        <f>'Data Ocupacion'!AZ37</f>
        <v>0</v>
      </c>
      <c r="E176" s="139">
        <f>'Data Ocupacion'!BA37</f>
        <v>0</v>
      </c>
      <c r="F176" s="229" t="s">
        <v>53</v>
      </c>
      <c r="G176" s="229">
        <f t="shared" si="148"/>
        <v>0</v>
      </c>
      <c r="H176" s="229">
        <f t="shared" si="149"/>
        <v>0</v>
      </c>
      <c r="I176" s="229">
        <f>G176*L$1</f>
        <v>0</v>
      </c>
      <c r="J176" s="155">
        <f>H176*L$1</f>
        <v>0</v>
      </c>
      <c r="K176" s="229">
        <f t="shared" si="150"/>
        <v>0</v>
      </c>
      <c r="L176" s="229">
        <f t="shared" si="151"/>
        <v>0</v>
      </c>
      <c r="M176" s="19"/>
      <c r="N176" s="19"/>
      <c r="O176" s="148"/>
      <c r="P176" s="194"/>
      <c r="Q176" s="194"/>
      <c r="R176" s="194"/>
      <c r="S176" s="194"/>
      <c r="T176" s="194"/>
      <c r="U176" s="186">
        <f t="shared" ref="U176:U177" si="152">I176</f>
        <v>0</v>
      </c>
    </row>
    <row r="177" spans="1:21" ht="15.75" customHeight="1" x14ac:dyDescent="0.25">
      <c r="A177" s="207"/>
      <c r="B177" s="229">
        <v>0</v>
      </c>
      <c r="C177" s="229">
        <v>0</v>
      </c>
      <c r="D177" s="139">
        <f>'Data Ocupacion'!AZ38</f>
        <v>0</v>
      </c>
      <c r="E177" s="139">
        <f>'Data Ocupacion'!BA38</f>
        <v>0</v>
      </c>
      <c r="F177" s="229" t="s">
        <v>122</v>
      </c>
      <c r="G177" s="229">
        <f t="shared" si="148"/>
        <v>0</v>
      </c>
      <c r="H177" s="229">
        <f t="shared" si="149"/>
        <v>0</v>
      </c>
      <c r="I177" s="229">
        <f>G177*J$1</f>
        <v>0</v>
      </c>
      <c r="J177" s="155">
        <f>H177*J$1</f>
        <v>0</v>
      </c>
      <c r="K177" s="229">
        <f t="shared" si="150"/>
        <v>0</v>
      </c>
      <c r="L177" s="229">
        <f t="shared" si="151"/>
        <v>0</v>
      </c>
      <c r="M177" s="19"/>
      <c r="N177" s="19"/>
      <c r="O177" s="148"/>
      <c r="P177" s="194"/>
      <c r="Q177" s="194"/>
      <c r="R177" s="194"/>
      <c r="S177" s="194"/>
      <c r="T177" s="194"/>
      <c r="U177" s="186">
        <f t="shared" si="152"/>
        <v>0</v>
      </c>
    </row>
    <row r="178" spans="1:21" ht="15.75" thickBot="1" x14ac:dyDescent="0.3">
      <c r="A178" s="207"/>
      <c r="B178" s="229">
        <v>0</v>
      </c>
      <c r="C178" s="229">
        <v>0</v>
      </c>
      <c r="D178" s="139">
        <f>'Data Ocupacion'!AZ39</f>
        <v>0</v>
      </c>
      <c r="E178" s="139">
        <f>'Data Ocupacion'!BA39</f>
        <v>0</v>
      </c>
      <c r="F178" s="229" t="s">
        <v>35</v>
      </c>
      <c r="G178" s="229">
        <f t="shared" si="148"/>
        <v>0</v>
      </c>
      <c r="H178" s="229">
        <f t="shared" si="149"/>
        <v>0</v>
      </c>
      <c r="I178" s="229">
        <f>G178*J$1</f>
        <v>0</v>
      </c>
      <c r="J178" s="155">
        <f>H178*J$1</f>
        <v>0</v>
      </c>
      <c r="K178" s="229">
        <f t="shared" si="150"/>
        <v>0</v>
      </c>
      <c r="L178" s="229">
        <f t="shared" si="151"/>
        <v>0</v>
      </c>
      <c r="M178" s="19"/>
      <c r="N178" s="19"/>
      <c r="O178" s="148"/>
      <c r="P178" s="194"/>
      <c r="Q178" s="194"/>
      <c r="R178" s="194"/>
      <c r="S178" s="194"/>
      <c r="T178" s="194"/>
      <c r="U178" s="186">
        <f>I178</f>
        <v>0</v>
      </c>
    </row>
    <row r="179" spans="1:21" s="126" customFormat="1" ht="15.75" thickBot="1" x14ac:dyDescent="0.3">
      <c r="A179" s="206"/>
      <c r="B179" s="228">
        <f>SUM(B173:B178)</f>
        <v>108</v>
      </c>
      <c r="C179" s="228">
        <f>SUM(C173:C178)</f>
        <v>3</v>
      </c>
      <c r="D179" s="150">
        <f>SUM(D173:D178)</f>
        <v>108</v>
      </c>
      <c r="E179" s="150">
        <f>SUM(E173:E178)</f>
        <v>3</v>
      </c>
      <c r="F179" s="120"/>
      <c r="G179" s="120">
        <f t="shared" ref="G179:L179" si="153">SUM(G173:G178)</f>
        <v>114</v>
      </c>
      <c r="H179" s="120">
        <f t="shared" si="153"/>
        <v>111</v>
      </c>
      <c r="I179" s="121">
        <f t="shared" si="153"/>
        <v>4916.8200000000006</v>
      </c>
      <c r="J179" s="120">
        <f t="shared" si="153"/>
        <v>4787.43</v>
      </c>
      <c r="K179" s="120">
        <f t="shared" si="153"/>
        <v>511349.28000000009</v>
      </c>
      <c r="L179" s="120">
        <f t="shared" si="153"/>
        <v>11544</v>
      </c>
      <c r="M179" s="125">
        <f>'Odometro-Kilometraje'!Z81</f>
        <v>4941</v>
      </c>
      <c r="N179" s="21">
        <f>(U179/M179)*100</f>
        <v>99.510625379477844</v>
      </c>
      <c r="O179" s="197"/>
      <c r="P179" s="185"/>
      <c r="Q179" s="185"/>
      <c r="R179" s="185"/>
      <c r="S179" s="185"/>
      <c r="T179" s="185"/>
      <c r="U179" s="198">
        <f>SUM(U173:U178)</f>
        <v>4916.8200000000006</v>
      </c>
    </row>
    <row r="180" spans="1:21" x14ac:dyDescent="0.25">
      <c r="A180" s="61">
        <f>A173+1</f>
        <v>45652</v>
      </c>
      <c r="B180" s="127">
        <v>42</v>
      </c>
      <c r="C180" s="127">
        <v>37</v>
      </c>
      <c r="D180" s="128">
        <f>'Data Ocupacion'!BB34</f>
        <v>42</v>
      </c>
      <c r="E180" s="128">
        <f>'Data Ocupacion'!BC34</f>
        <v>37</v>
      </c>
      <c r="F180" s="127" t="s">
        <v>38</v>
      </c>
      <c r="G180" s="127">
        <f t="shared" ref="G180:G185" si="154">D180+E180*2</f>
        <v>116</v>
      </c>
      <c r="H180" s="127">
        <f t="shared" ref="H180:H185" si="155">D180+E180</f>
        <v>79</v>
      </c>
      <c r="I180" s="127">
        <f>G180*L$2</f>
        <v>5003.08</v>
      </c>
      <c r="J180" s="155">
        <f>H180*L$2</f>
        <v>3407.27</v>
      </c>
      <c r="K180" s="127">
        <f t="shared" ref="K180:K185" si="156">I180*104</f>
        <v>520320.32</v>
      </c>
      <c r="L180" s="127">
        <f t="shared" ref="L180:L185" si="157">H180*104</f>
        <v>8216</v>
      </c>
      <c r="M180" s="19"/>
      <c r="N180" s="19"/>
      <c r="O180" s="148"/>
      <c r="P180" s="261">
        <v>4</v>
      </c>
      <c r="Q180" s="187"/>
      <c r="R180" s="214"/>
      <c r="S180" s="261"/>
      <c r="T180" s="196"/>
      <c r="U180" s="189">
        <f>I180-((P180*($L$2-$J$1)))-(S180*($J$1))</f>
        <v>4932.16</v>
      </c>
    </row>
    <row r="181" spans="1:21" ht="15" customHeight="1" x14ac:dyDescent="0.25">
      <c r="A181" s="207"/>
      <c r="B181" s="127">
        <v>40</v>
      </c>
      <c r="C181" s="127">
        <v>38</v>
      </c>
      <c r="D181" s="128">
        <f>'Data Ocupacion'!BB35</f>
        <v>40</v>
      </c>
      <c r="E181" s="128">
        <f>'Data Ocupacion'!BC35</f>
        <v>38</v>
      </c>
      <c r="F181" s="127" t="s">
        <v>52</v>
      </c>
      <c r="G181" s="127">
        <f t="shared" si="154"/>
        <v>116</v>
      </c>
      <c r="H181" s="127">
        <f t="shared" si="155"/>
        <v>78</v>
      </c>
      <c r="I181" s="127">
        <f>G181*L$2</f>
        <v>5003.08</v>
      </c>
      <c r="J181" s="155">
        <f>H181*L$2</f>
        <v>3364.1400000000003</v>
      </c>
      <c r="K181" s="127">
        <f t="shared" si="156"/>
        <v>520320.32</v>
      </c>
      <c r="L181" s="127">
        <f t="shared" si="157"/>
        <v>8112</v>
      </c>
      <c r="M181" s="19"/>
      <c r="N181" s="19"/>
      <c r="O181" s="148"/>
      <c r="P181" s="191"/>
      <c r="Q181" s="191"/>
      <c r="R181" s="191"/>
      <c r="S181" s="261">
        <v>1</v>
      </c>
      <c r="T181" s="187"/>
      <c r="U181" s="189">
        <f>I181-(S181*($L$2-$J$1)+(T181*($L$2-$L$1)))</f>
        <v>4985.3500000000004</v>
      </c>
    </row>
    <row r="182" spans="1:21" x14ac:dyDescent="0.25">
      <c r="A182" s="207"/>
      <c r="B182" s="127">
        <v>29</v>
      </c>
      <c r="C182" s="127">
        <v>4</v>
      </c>
      <c r="D182" s="128">
        <f>'Data Ocupacion'!BB36</f>
        <v>30</v>
      </c>
      <c r="E182" s="128">
        <f>'Data Ocupacion'!BC36</f>
        <v>3</v>
      </c>
      <c r="F182" s="127" t="s">
        <v>36</v>
      </c>
      <c r="G182" s="127">
        <f t="shared" si="154"/>
        <v>36</v>
      </c>
      <c r="H182" s="127">
        <f t="shared" si="155"/>
        <v>33</v>
      </c>
      <c r="I182" s="127">
        <f>G182*L$1</f>
        <v>1047.96</v>
      </c>
      <c r="J182" s="155">
        <f>H182*L$1</f>
        <v>960.63</v>
      </c>
      <c r="K182" s="127">
        <f t="shared" si="156"/>
        <v>108987.84</v>
      </c>
      <c r="L182" s="127">
        <f t="shared" si="157"/>
        <v>3432</v>
      </c>
      <c r="M182" s="19"/>
      <c r="N182" s="19" t="s">
        <v>147</v>
      </c>
      <c r="O182" s="148"/>
      <c r="P182" s="190"/>
      <c r="Q182" s="192"/>
      <c r="R182" s="215"/>
      <c r="S182" s="193"/>
      <c r="T182" s="194"/>
      <c r="U182" s="186">
        <f>I182-(P182*($L$1-$J$1))</f>
        <v>1047.96</v>
      </c>
    </row>
    <row r="183" spans="1:21" ht="15" customHeight="1" x14ac:dyDescent="0.25">
      <c r="A183" s="207"/>
      <c r="B183" s="127">
        <v>28</v>
      </c>
      <c r="C183" s="127">
        <v>4</v>
      </c>
      <c r="D183" s="128">
        <f>'Data Ocupacion'!BB37</f>
        <v>29</v>
      </c>
      <c r="E183" s="128">
        <f>'Data Ocupacion'!BC37</f>
        <v>3</v>
      </c>
      <c r="F183" s="127" t="s">
        <v>53</v>
      </c>
      <c r="G183" s="127">
        <f t="shared" si="154"/>
        <v>35</v>
      </c>
      <c r="H183" s="127">
        <f t="shared" si="155"/>
        <v>32</v>
      </c>
      <c r="I183" s="127">
        <f>G183*L$1</f>
        <v>1018.85</v>
      </c>
      <c r="J183" s="155">
        <f>H183*L$1</f>
        <v>931.52</v>
      </c>
      <c r="K183" s="127">
        <f t="shared" si="156"/>
        <v>105960.40000000001</v>
      </c>
      <c r="L183" s="127">
        <f t="shared" si="157"/>
        <v>3328</v>
      </c>
      <c r="M183" s="19"/>
      <c r="N183" s="19"/>
      <c r="O183" s="148"/>
      <c r="P183" s="194"/>
      <c r="Q183" s="194"/>
      <c r="R183" s="194"/>
      <c r="S183" s="194"/>
      <c r="T183" s="194"/>
      <c r="U183" s="186">
        <f t="shared" ref="U183:U184" si="158">I183</f>
        <v>1018.85</v>
      </c>
    </row>
    <row r="184" spans="1:21" ht="15" customHeight="1" x14ac:dyDescent="0.25">
      <c r="A184" s="207"/>
      <c r="B184" s="127">
        <v>0</v>
      </c>
      <c r="C184" s="127">
        <v>0</v>
      </c>
      <c r="D184" s="128">
        <f>'Data Ocupacion'!BB38</f>
        <v>0</v>
      </c>
      <c r="E184" s="128">
        <f>'Data Ocupacion'!BC38</f>
        <v>0</v>
      </c>
      <c r="F184" s="127" t="s">
        <v>122</v>
      </c>
      <c r="G184" s="127">
        <f t="shared" si="154"/>
        <v>0</v>
      </c>
      <c r="H184" s="127">
        <f t="shared" si="155"/>
        <v>0</v>
      </c>
      <c r="I184" s="127">
        <f>G184*J$1</f>
        <v>0</v>
      </c>
      <c r="J184" s="155">
        <f>H184*J$1</f>
        <v>0</v>
      </c>
      <c r="K184" s="127">
        <f t="shared" si="156"/>
        <v>0</v>
      </c>
      <c r="L184" s="127">
        <f t="shared" si="157"/>
        <v>0</v>
      </c>
      <c r="M184" s="19"/>
      <c r="N184" s="19"/>
      <c r="O184" s="148"/>
      <c r="P184" s="194"/>
      <c r="Q184" s="194"/>
      <c r="R184" s="194"/>
      <c r="S184" s="194"/>
      <c r="T184" s="194"/>
      <c r="U184" s="186">
        <f t="shared" si="158"/>
        <v>0</v>
      </c>
    </row>
    <row r="185" spans="1:21" ht="15" customHeight="1" thickBot="1" x14ac:dyDescent="0.3">
      <c r="A185" s="207"/>
      <c r="B185" s="127">
        <v>1</v>
      </c>
      <c r="C185" s="127">
        <v>0</v>
      </c>
      <c r="D185" s="128">
        <f>'Data Ocupacion'!BB39</f>
        <v>1</v>
      </c>
      <c r="E185" s="128">
        <f>'Data Ocupacion'!BC39</f>
        <v>0</v>
      </c>
      <c r="F185" s="127" t="s">
        <v>35</v>
      </c>
      <c r="G185" s="127">
        <f t="shared" si="154"/>
        <v>1</v>
      </c>
      <c r="H185" s="127">
        <f t="shared" si="155"/>
        <v>1</v>
      </c>
      <c r="I185" s="127">
        <f>G185*J$1</f>
        <v>25.4</v>
      </c>
      <c r="J185" s="155">
        <f>H185*J$1</f>
        <v>25.4</v>
      </c>
      <c r="K185" s="127">
        <f t="shared" si="156"/>
        <v>2641.6</v>
      </c>
      <c r="L185" s="127">
        <f t="shared" si="157"/>
        <v>104</v>
      </c>
      <c r="M185" s="19"/>
      <c r="N185" s="19"/>
      <c r="O185" s="148"/>
      <c r="P185" s="194"/>
      <c r="Q185" s="194"/>
      <c r="R185" s="194"/>
      <c r="S185" s="194"/>
      <c r="T185" s="194"/>
      <c r="U185" s="186">
        <f>I185</f>
        <v>25.4</v>
      </c>
    </row>
    <row r="186" spans="1:21" s="126" customFormat="1" ht="15.75" thickBot="1" x14ac:dyDescent="0.3">
      <c r="A186" s="20"/>
      <c r="B186" s="228">
        <f>SUM(B180:B185)</f>
        <v>140</v>
      </c>
      <c r="C186" s="228">
        <f>SUM(C180:C185)</f>
        <v>83</v>
      </c>
      <c r="D186" s="150">
        <f>SUM(D180:D185)</f>
        <v>142</v>
      </c>
      <c r="E186" s="150">
        <f>SUM(E180:E185)</f>
        <v>81</v>
      </c>
      <c r="F186" s="120"/>
      <c r="G186" s="120">
        <f t="shared" ref="G186:L186" si="159">SUM(G180:G185)</f>
        <v>304</v>
      </c>
      <c r="H186" s="120">
        <f t="shared" si="159"/>
        <v>223</v>
      </c>
      <c r="I186" s="121">
        <f t="shared" si="159"/>
        <v>12098.369999999999</v>
      </c>
      <c r="J186" s="120">
        <f t="shared" si="159"/>
        <v>8688.9599999999991</v>
      </c>
      <c r="K186" s="120">
        <f t="shared" si="159"/>
        <v>1258230.48</v>
      </c>
      <c r="L186" s="120">
        <f t="shared" si="159"/>
        <v>23192</v>
      </c>
      <c r="M186" s="125">
        <f>'Odometro-Kilometraje'!AA81</f>
        <v>12537</v>
      </c>
      <c r="N186" s="21">
        <f>(U186/M186)*100</f>
        <v>95.794209140942826</v>
      </c>
      <c r="O186" s="197"/>
      <c r="P186" s="185"/>
      <c r="Q186" s="185"/>
      <c r="R186" s="185"/>
      <c r="S186" s="185"/>
      <c r="T186" s="185"/>
      <c r="U186" s="198">
        <f>SUM(U180:U185)</f>
        <v>12009.720000000001</v>
      </c>
    </row>
    <row r="187" spans="1:21" x14ac:dyDescent="0.25">
      <c r="A187" s="61">
        <f>A180+1</f>
        <v>45653</v>
      </c>
      <c r="B187" s="127">
        <v>42</v>
      </c>
      <c r="C187" s="127">
        <v>37</v>
      </c>
      <c r="D187" s="128">
        <f>'Data Ocupacion'!BD34</f>
        <v>43</v>
      </c>
      <c r="E187" s="128">
        <f>'Data Ocupacion'!BE34</f>
        <v>36</v>
      </c>
      <c r="F187" s="127" t="s">
        <v>38</v>
      </c>
      <c r="G187" s="127">
        <f t="shared" ref="G187:G192" si="160">D187+E187*2</f>
        <v>115</v>
      </c>
      <c r="H187" s="127">
        <f t="shared" ref="H187:H192" si="161">D187+E187</f>
        <v>79</v>
      </c>
      <c r="I187" s="127">
        <f>G187*L$2</f>
        <v>4959.9500000000007</v>
      </c>
      <c r="J187" s="155">
        <f>H187*L$2</f>
        <v>3407.27</v>
      </c>
      <c r="K187" s="127">
        <f t="shared" ref="K187:K192" si="162">I187*104</f>
        <v>515834.80000000005</v>
      </c>
      <c r="L187" s="127">
        <f t="shared" ref="L187:L192" si="163">H187*104</f>
        <v>8216</v>
      </c>
      <c r="M187" s="19"/>
      <c r="N187" s="19"/>
      <c r="O187" s="148"/>
      <c r="P187" s="261">
        <v>4</v>
      </c>
      <c r="Q187" s="187"/>
      <c r="R187" s="214"/>
      <c r="S187" s="261">
        <v>1</v>
      </c>
      <c r="T187" s="196"/>
      <c r="U187" s="189">
        <f>I187-((P187*($L$2-$J$1)))-(S187*($J$1))</f>
        <v>4863.630000000001</v>
      </c>
    </row>
    <row r="188" spans="1:21" ht="18" customHeight="1" x14ac:dyDescent="0.25">
      <c r="A188" s="207"/>
      <c r="B188" s="127">
        <v>40</v>
      </c>
      <c r="C188" s="127">
        <v>38</v>
      </c>
      <c r="D188" s="128">
        <f>'Data Ocupacion'!BD35</f>
        <v>41</v>
      </c>
      <c r="E188" s="128">
        <f>'Data Ocupacion'!BE35</f>
        <v>37</v>
      </c>
      <c r="F188" s="127" t="s">
        <v>52</v>
      </c>
      <c r="G188" s="127">
        <f t="shared" si="160"/>
        <v>115</v>
      </c>
      <c r="H188" s="127">
        <f t="shared" si="161"/>
        <v>78</v>
      </c>
      <c r="I188" s="127">
        <f>G188*L$2</f>
        <v>4959.9500000000007</v>
      </c>
      <c r="J188" s="155">
        <f>H188*L$2</f>
        <v>3364.1400000000003</v>
      </c>
      <c r="K188" s="127">
        <f t="shared" si="162"/>
        <v>515834.80000000005</v>
      </c>
      <c r="L188" s="127">
        <f t="shared" si="163"/>
        <v>8112</v>
      </c>
      <c r="M188" s="19"/>
      <c r="N188" s="19"/>
      <c r="O188" s="148"/>
      <c r="P188" s="261"/>
      <c r="Q188" s="191"/>
      <c r="R188" s="191"/>
      <c r="S188" s="261">
        <v>1</v>
      </c>
      <c r="T188" s="212"/>
      <c r="U188" s="189">
        <f>I188-(S188*($L$2-$J$1)+(T188*($L$2-$L$1)))</f>
        <v>4942.2200000000012</v>
      </c>
    </row>
    <row r="189" spans="1:21" ht="15" customHeight="1" x14ac:dyDescent="0.25">
      <c r="A189" s="207"/>
      <c r="B189" s="127">
        <v>29</v>
      </c>
      <c r="C189" s="127">
        <v>4</v>
      </c>
      <c r="D189" s="128">
        <f>'Data Ocupacion'!BD36</f>
        <v>29</v>
      </c>
      <c r="E189" s="128">
        <f>'Data Ocupacion'!BE36</f>
        <v>4</v>
      </c>
      <c r="F189" s="127" t="s">
        <v>36</v>
      </c>
      <c r="G189" s="127">
        <f t="shared" si="160"/>
        <v>37</v>
      </c>
      <c r="H189" s="127">
        <f t="shared" si="161"/>
        <v>33</v>
      </c>
      <c r="I189" s="127">
        <f>G189*L$1</f>
        <v>1077.07</v>
      </c>
      <c r="J189" s="155">
        <f>H189*L$1</f>
        <v>960.63</v>
      </c>
      <c r="K189" s="127">
        <f t="shared" si="162"/>
        <v>112015.28</v>
      </c>
      <c r="L189" s="127">
        <f t="shared" si="163"/>
        <v>3432</v>
      </c>
      <c r="M189" s="19"/>
      <c r="N189" s="19"/>
      <c r="O189" s="148"/>
      <c r="P189" s="190"/>
      <c r="Q189" s="192"/>
      <c r="R189" s="215"/>
      <c r="S189" s="193"/>
      <c r="T189" s="194"/>
      <c r="U189" s="186">
        <f>I189-(P189*($L$1-$J$1))</f>
        <v>1077.07</v>
      </c>
    </row>
    <row r="190" spans="1:21" ht="15" customHeight="1" x14ac:dyDescent="0.25">
      <c r="A190" s="207"/>
      <c r="B190" s="127">
        <v>28</v>
      </c>
      <c r="C190" s="127">
        <v>4</v>
      </c>
      <c r="D190" s="128">
        <f>'Data Ocupacion'!BD37</f>
        <v>28</v>
      </c>
      <c r="E190" s="128">
        <f>'Data Ocupacion'!BE37</f>
        <v>4</v>
      </c>
      <c r="F190" s="127" t="s">
        <v>53</v>
      </c>
      <c r="G190" s="127">
        <f t="shared" si="160"/>
        <v>36</v>
      </c>
      <c r="H190" s="127">
        <f t="shared" si="161"/>
        <v>32</v>
      </c>
      <c r="I190" s="127">
        <f>G190*L$1</f>
        <v>1047.96</v>
      </c>
      <c r="J190" s="155">
        <f>H190*L$1</f>
        <v>931.52</v>
      </c>
      <c r="K190" s="127">
        <f t="shared" si="162"/>
        <v>108987.84</v>
      </c>
      <c r="L190" s="127">
        <f t="shared" si="163"/>
        <v>3328</v>
      </c>
      <c r="M190" s="19"/>
      <c r="N190" s="19"/>
      <c r="O190" s="148"/>
      <c r="P190" s="194"/>
      <c r="Q190" s="194"/>
      <c r="R190" s="194"/>
      <c r="S190" s="194"/>
      <c r="T190" s="194"/>
      <c r="U190" s="186">
        <f t="shared" ref="U190:U191" si="164">I190</f>
        <v>1047.96</v>
      </c>
    </row>
    <row r="191" spans="1:21" ht="15" customHeight="1" x14ac:dyDescent="0.25">
      <c r="A191" s="207"/>
      <c r="B191" s="127">
        <v>0</v>
      </c>
      <c r="C191" s="127">
        <v>0</v>
      </c>
      <c r="D191" s="128">
        <f>'Data Ocupacion'!BD38</f>
        <v>0</v>
      </c>
      <c r="E191" s="128">
        <f>'Data Ocupacion'!BE38</f>
        <v>0</v>
      </c>
      <c r="F191" s="127" t="s">
        <v>122</v>
      </c>
      <c r="G191" s="127">
        <f t="shared" si="160"/>
        <v>0</v>
      </c>
      <c r="H191" s="127">
        <f t="shared" si="161"/>
        <v>0</v>
      </c>
      <c r="I191" s="127">
        <f>G191*J$1</f>
        <v>0</v>
      </c>
      <c r="J191" s="155">
        <f>H191*J$1</f>
        <v>0</v>
      </c>
      <c r="K191" s="127">
        <f t="shared" si="162"/>
        <v>0</v>
      </c>
      <c r="L191" s="127">
        <f t="shared" si="163"/>
        <v>0</v>
      </c>
      <c r="M191" s="19"/>
      <c r="N191" s="19"/>
      <c r="O191" s="148"/>
      <c r="P191" s="194"/>
      <c r="Q191" s="194"/>
      <c r="R191" s="194"/>
      <c r="S191" s="194"/>
      <c r="T191" s="194"/>
      <c r="U191" s="186">
        <f t="shared" si="164"/>
        <v>0</v>
      </c>
    </row>
    <row r="192" spans="1:21" ht="15.75" customHeight="1" thickBot="1" x14ac:dyDescent="0.3">
      <c r="A192" s="207"/>
      <c r="B192" s="127">
        <v>1</v>
      </c>
      <c r="C192" s="127">
        <v>0</v>
      </c>
      <c r="D192" s="128">
        <f>'Data Ocupacion'!BD39</f>
        <v>1</v>
      </c>
      <c r="E192" s="128">
        <f>'Data Ocupacion'!BE39</f>
        <v>0</v>
      </c>
      <c r="F192" s="127" t="s">
        <v>35</v>
      </c>
      <c r="G192" s="127">
        <f t="shared" si="160"/>
        <v>1</v>
      </c>
      <c r="H192" s="127">
        <f t="shared" si="161"/>
        <v>1</v>
      </c>
      <c r="I192" s="127">
        <f>G192*J$1</f>
        <v>25.4</v>
      </c>
      <c r="J192" s="155">
        <f>H192*J$1</f>
        <v>25.4</v>
      </c>
      <c r="K192" s="127">
        <f t="shared" si="162"/>
        <v>2641.6</v>
      </c>
      <c r="L192" s="127">
        <f t="shared" si="163"/>
        <v>104</v>
      </c>
      <c r="M192" s="19"/>
      <c r="N192" s="19"/>
      <c r="O192" s="148"/>
      <c r="P192" s="194"/>
      <c r="Q192" s="194"/>
      <c r="R192" s="194"/>
      <c r="S192" s="194"/>
      <c r="T192" s="194"/>
      <c r="U192" s="186">
        <f>I192</f>
        <v>25.4</v>
      </c>
    </row>
    <row r="193" spans="1:23" s="126" customFormat="1" ht="15.75" thickBot="1" x14ac:dyDescent="0.3">
      <c r="A193" s="20"/>
      <c r="B193" s="228">
        <f>SUM(B187:B192)</f>
        <v>140</v>
      </c>
      <c r="C193" s="228">
        <f>SUM(C187:C192)</f>
        <v>83</v>
      </c>
      <c r="D193" s="150">
        <f>SUM(D187:D192)</f>
        <v>142</v>
      </c>
      <c r="E193" s="150">
        <f>SUM(E187:E192)</f>
        <v>81</v>
      </c>
      <c r="F193" s="120"/>
      <c r="G193" s="120">
        <f t="shared" ref="G193:L193" si="165">SUM(G187:G192)</f>
        <v>304</v>
      </c>
      <c r="H193" s="120">
        <f t="shared" si="165"/>
        <v>223</v>
      </c>
      <c r="I193" s="121">
        <f t="shared" si="165"/>
        <v>12070.33</v>
      </c>
      <c r="J193" s="120">
        <f t="shared" si="165"/>
        <v>8688.9599999999991</v>
      </c>
      <c r="K193" s="120">
        <f t="shared" si="165"/>
        <v>1255314.3200000003</v>
      </c>
      <c r="L193" s="120">
        <f t="shared" si="165"/>
        <v>23192</v>
      </c>
      <c r="M193" s="125">
        <f>'Odometro-Kilometraje'!AB81</f>
        <v>12508</v>
      </c>
      <c r="N193" s="21">
        <f>(U193/M193)*100</f>
        <v>95.589062999680209</v>
      </c>
      <c r="O193" s="197"/>
      <c r="P193" s="185"/>
      <c r="Q193" s="185"/>
      <c r="R193" s="185"/>
      <c r="S193" s="185"/>
      <c r="T193" s="185"/>
      <c r="U193" s="198">
        <f>SUM(U187:U192)</f>
        <v>11956.28</v>
      </c>
    </row>
    <row r="194" spans="1:23" x14ac:dyDescent="0.25">
      <c r="A194" s="61">
        <f>A187+1</f>
        <v>45654</v>
      </c>
      <c r="B194" s="279">
        <v>69</v>
      </c>
      <c r="C194" s="279">
        <v>3</v>
      </c>
      <c r="D194" s="280">
        <f>'Data Ocupacion'!BF34</f>
        <v>69</v>
      </c>
      <c r="E194" s="280">
        <f>'Data Ocupacion'!BG34</f>
        <v>3</v>
      </c>
      <c r="F194" s="279" t="s">
        <v>38</v>
      </c>
      <c r="G194" s="279">
        <f t="shared" ref="G194:G199" si="166">D194+E194*2</f>
        <v>75</v>
      </c>
      <c r="H194" s="279">
        <f t="shared" ref="H194:H199" si="167">D194+E194</f>
        <v>72</v>
      </c>
      <c r="I194" s="279">
        <f>G194*L$2</f>
        <v>3234.75</v>
      </c>
      <c r="J194" s="155">
        <f>H194*L$2</f>
        <v>3105.36</v>
      </c>
      <c r="K194" s="279">
        <f t="shared" ref="K194:K199" si="168">I194*104</f>
        <v>336414</v>
      </c>
      <c r="L194" s="279">
        <f t="shared" ref="L194:L199" si="169">H194*104</f>
        <v>7488</v>
      </c>
      <c r="M194" s="19"/>
      <c r="N194" s="19"/>
      <c r="O194" s="148"/>
      <c r="P194" s="190"/>
      <c r="Q194" s="187"/>
      <c r="R194" s="214"/>
      <c r="S194" s="283"/>
      <c r="T194" s="196"/>
      <c r="U194" s="189">
        <f>I194-((P194*($L$2-$J$1)))-(S194*($J$1))</f>
        <v>3234.75</v>
      </c>
    </row>
    <row r="195" spans="1:23" ht="15" customHeight="1" x14ac:dyDescent="0.25">
      <c r="A195" s="207"/>
      <c r="B195" s="279">
        <v>75</v>
      </c>
      <c r="C195" s="279">
        <v>0</v>
      </c>
      <c r="D195" s="280">
        <f>'Data Ocupacion'!BF35</f>
        <v>75</v>
      </c>
      <c r="E195" s="280">
        <f>'Data Ocupacion'!BG35</f>
        <v>0</v>
      </c>
      <c r="F195" s="279" t="s">
        <v>52</v>
      </c>
      <c r="G195" s="279">
        <f t="shared" si="166"/>
        <v>75</v>
      </c>
      <c r="H195" s="279">
        <f t="shared" si="167"/>
        <v>75</v>
      </c>
      <c r="I195" s="279">
        <f>G195*L$2</f>
        <v>3234.75</v>
      </c>
      <c r="J195" s="155">
        <f>H195*L$2</f>
        <v>3234.75</v>
      </c>
      <c r="K195" s="279">
        <f t="shared" si="168"/>
        <v>336414</v>
      </c>
      <c r="L195" s="279">
        <f t="shared" si="169"/>
        <v>7800</v>
      </c>
      <c r="M195" s="19"/>
      <c r="N195" s="19"/>
      <c r="O195" s="148"/>
      <c r="P195" s="191"/>
      <c r="Q195" s="191"/>
      <c r="R195" s="191"/>
      <c r="S195" s="261"/>
      <c r="T195" s="187"/>
      <c r="U195" s="189">
        <f>I195-(S195*($L$2-$J$1)+(T195*($L$2-$L$1)))</f>
        <v>3234.75</v>
      </c>
    </row>
    <row r="196" spans="1:23" ht="15" customHeight="1" x14ac:dyDescent="0.25">
      <c r="A196" s="207"/>
      <c r="B196" s="279">
        <v>0</v>
      </c>
      <c r="C196" s="279">
        <v>0</v>
      </c>
      <c r="D196" s="280">
        <f>'Data Ocupacion'!BF36</f>
        <v>0</v>
      </c>
      <c r="E196" s="280">
        <f>'Data Ocupacion'!BG36</f>
        <v>0</v>
      </c>
      <c r="F196" s="279" t="s">
        <v>36</v>
      </c>
      <c r="G196" s="279">
        <f t="shared" si="166"/>
        <v>0</v>
      </c>
      <c r="H196" s="279">
        <f t="shared" si="167"/>
        <v>0</v>
      </c>
      <c r="I196" s="279">
        <f>G196*L$1</f>
        <v>0</v>
      </c>
      <c r="J196" s="155">
        <f>H196*L$1</f>
        <v>0</v>
      </c>
      <c r="K196" s="279">
        <f t="shared" si="168"/>
        <v>0</v>
      </c>
      <c r="L196" s="279">
        <f t="shared" si="169"/>
        <v>0</v>
      </c>
      <c r="M196" s="19"/>
      <c r="N196" s="19" t="s">
        <v>147</v>
      </c>
      <c r="O196" s="148"/>
      <c r="P196" s="190"/>
      <c r="Q196" s="192"/>
      <c r="R196" s="215"/>
      <c r="S196" s="193"/>
      <c r="T196" s="194"/>
      <c r="U196" s="186">
        <f>I196-(P196*($L$1-$J$1))</f>
        <v>0</v>
      </c>
    </row>
    <row r="197" spans="1:23" ht="15" customHeight="1" x14ac:dyDescent="0.25">
      <c r="A197" s="207"/>
      <c r="B197" s="279">
        <v>0</v>
      </c>
      <c r="C197" s="279">
        <v>0</v>
      </c>
      <c r="D197" s="280">
        <f>'Data Ocupacion'!BF37</f>
        <v>0</v>
      </c>
      <c r="E197" s="280">
        <f>'Data Ocupacion'!BG37</f>
        <v>0</v>
      </c>
      <c r="F197" s="279" t="s">
        <v>53</v>
      </c>
      <c r="G197" s="279">
        <f t="shared" si="166"/>
        <v>0</v>
      </c>
      <c r="H197" s="279">
        <f t="shared" si="167"/>
        <v>0</v>
      </c>
      <c r="I197" s="279">
        <f>G197*L$1</f>
        <v>0</v>
      </c>
      <c r="J197" s="155">
        <f>H197*L$1</f>
        <v>0</v>
      </c>
      <c r="K197" s="279">
        <f t="shared" si="168"/>
        <v>0</v>
      </c>
      <c r="L197" s="279">
        <f t="shared" si="169"/>
        <v>0</v>
      </c>
      <c r="M197" s="19"/>
      <c r="N197" s="19" t="s">
        <v>147</v>
      </c>
      <c r="O197" s="148"/>
      <c r="P197" s="194"/>
      <c r="Q197" s="194"/>
      <c r="R197" s="194"/>
      <c r="S197" s="194"/>
      <c r="T197" s="194"/>
      <c r="U197" s="186">
        <f t="shared" ref="U197:U198" si="170">I197</f>
        <v>0</v>
      </c>
    </row>
    <row r="198" spans="1:23" ht="15" customHeight="1" x14ac:dyDescent="0.25">
      <c r="A198" s="207"/>
      <c r="B198" s="279">
        <v>0</v>
      </c>
      <c r="C198" s="279">
        <v>0</v>
      </c>
      <c r="D198" s="280">
        <f>'Data Ocupacion'!BF38</f>
        <v>0</v>
      </c>
      <c r="E198" s="280">
        <f>'Data Ocupacion'!BG38</f>
        <v>0</v>
      </c>
      <c r="F198" s="279" t="s">
        <v>122</v>
      </c>
      <c r="G198" s="279">
        <f t="shared" si="166"/>
        <v>0</v>
      </c>
      <c r="H198" s="279">
        <f t="shared" si="167"/>
        <v>0</v>
      </c>
      <c r="I198" s="279">
        <f>G198*J$1</f>
        <v>0</v>
      </c>
      <c r="J198" s="155">
        <f>H198*J$1</f>
        <v>0</v>
      </c>
      <c r="K198" s="279">
        <f t="shared" si="168"/>
        <v>0</v>
      </c>
      <c r="L198" s="279">
        <f t="shared" si="169"/>
        <v>0</v>
      </c>
      <c r="M198" s="19"/>
      <c r="N198" s="19"/>
      <c r="O198" s="148"/>
      <c r="P198" s="194"/>
      <c r="Q198" s="194"/>
      <c r="R198" s="194"/>
      <c r="S198" s="194"/>
      <c r="T198" s="194"/>
      <c r="U198" s="186">
        <f t="shared" si="170"/>
        <v>0</v>
      </c>
    </row>
    <row r="199" spans="1:23" ht="15.75" customHeight="1" thickBot="1" x14ac:dyDescent="0.3">
      <c r="A199" s="207"/>
      <c r="B199" s="279">
        <v>0</v>
      </c>
      <c r="C199" s="279">
        <v>0</v>
      </c>
      <c r="D199" s="280">
        <f>'Data Ocupacion'!BF39</f>
        <v>0</v>
      </c>
      <c r="E199" s="280">
        <f>'Data Ocupacion'!BG39</f>
        <v>0</v>
      </c>
      <c r="F199" s="279" t="s">
        <v>35</v>
      </c>
      <c r="G199" s="279">
        <f t="shared" si="166"/>
        <v>0</v>
      </c>
      <c r="H199" s="279">
        <f t="shared" si="167"/>
        <v>0</v>
      </c>
      <c r="I199" s="279">
        <f>G199*J$1</f>
        <v>0</v>
      </c>
      <c r="J199" s="155">
        <f>H199*J$1</f>
        <v>0</v>
      </c>
      <c r="K199" s="279">
        <f t="shared" si="168"/>
        <v>0</v>
      </c>
      <c r="L199" s="279">
        <f t="shared" si="169"/>
        <v>0</v>
      </c>
      <c r="M199" s="19"/>
      <c r="N199" s="19"/>
      <c r="O199" s="148"/>
      <c r="P199" s="194"/>
      <c r="Q199" s="194"/>
      <c r="R199" s="194"/>
      <c r="S199" s="194"/>
      <c r="T199" s="194"/>
      <c r="U199" s="186">
        <f>I199</f>
        <v>0</v>
      </c>
    </row>
    <row r="200" spans="1:23" s="126" customFormat="1" ht="15.75" thickBot="1" x14ac:dyDescent="0.3">
      <c r="A200" s="20"/>
      <c r="B200" s="228">
        <f>SUM(B194:B199)</f>
        <v>144</v>
      </c>
      <c r="C200" s="228">
        <f>SUM(C194:C199)</f>
        <v>3</v>
      </c>
      <c r="D200" s="150">
        <f>SUM(D194:D199)</f>
        <v>144</v>
      </c>
      <c r="E200" s="150">
        <f>SUM(E194:E199)</f>
        <v>3</v>
      </c>
      <c r="F200" s="120"/>
      <c r="G200" s="120">
        <f t="shared" ref="G200:L200" si="171">SUM(G194:G199)</f>
        <v>150</v>
      </c>
      <c r="H200" s="120">
        <f t="shared" si="171"/>
        <v>147</v>
      </c>
      <c r="I200" s="120">
        <f t="shared" si="171"/>
        <v>6469.5</v>
      </c>
      <c r="J200" s="120">
        <f t="shared" si="171"/>
        <v>6340.1100000000006</v>
      </c>
      <c r="K200" s="120">
        <f t="shared" si="171"/>
        <v>672828</v>
      </c>
      <c r="L200" s="120">
        <f t="shared" si="171"/>
        <v>15288</v>
      </c>
      <c r="M200" s="125">
        <f>'Odometro-Kilometraje'!AC81</f>
        <v>6562</v>
      </c>
      <c r="N200" s="21">
        <f>(U200/M200)*100</f>
        <v>98.590368790003041</v>
      </c>
      <c r="O200" s="197"/>
      <c r="P200" s="185"/>
      <c r="Q200" s="185"/>
      <c r="R200" s="185"/>
      <c r="S200" s="185"/>
      <c r="T200" s="185"/>
      <c r="U200" s="198">
        <f>SUM(U194:U199)</f>
        <v>6469.5</v>
      </c>
    </row>
    <row r="201" spans="1:23" x14ac:dyDescent="0.25">
      <c r="A201" s="61">
        <f>A194+1</f>
        <v>45655</v>
      </c>
      <c r="B201" s="229">
        <v>51</v>
      </c>
      <c r="C201" s="229">
        <v>3</v>
      </c>
      <c r="D201" s="139">
        <f>'Data Ocupacion'!BH34</f>
        <v>51</v>
      </c>
      <c r="E201" s="139">
        <f>'Data Ocupacion'!BI34</f>
        <v>3</v>
      </c>
      <c r="F201" s="229" t="s">
        <v>38</v>
      </c>
      <c r="G201" s="229">
        <f>D201+E201*2</f>
        <v>57</v>
      </c>
      <c r="H201" s="229">
        <f>D201+E201</f>
        <v>54</v>
      </c>
      <c r="I201" s="229">
        <f>G201*L$2</f>
        <v>2458.4100000000003</v>
      </c>
      <c r="J201" s="155">
        <f>H201*L$2</f>
        <v>2329.02</v>
      </c>
      <c r="K201" s="229">
        <f t="shared" ref="K201:K206" si="172">I201*104</f>
        <v>255674.64000000004</v>
      </c>
      <c r="L201" s="229">
        <f t="shared" ref="L201:L206" si="173">H201*104</f>
        <v>5616</v>
      </c>
      <c r="M201" s="19"/>
      <c r="N201" s="19"/>
      <c r="O201" s="148"/>
      <c r="P201" s="261"/>
      <c r="Q201" s="187"/>
      <c r="R201" s="214"/>
      <c r="S201" s="283"/>
      <c r="T201" s="196"/>
      <c r="U201" s="189">
        <f>I201-((P201*($L$2-$J$1)))-(S201*($J$1))</f>
        <v>2458.4100000000003</v>
      </c>
    </row>
    <row r="202" spans="1:23" ht="15" customHeight="1" x14ac:dyDescent="0.25">
      <c r="A202" s="207"/>
      <c r="B202" s="229">
        <v>57</v>
      </c>
      <c r="C202" s="229">
        <v>0</v>
      </c>
      <c r="D202" s="139">
        <f>'Data Ocupacion'!BH35</f>
        <v>57</v>
      </c>
      <c r="E202" s="139">
        <f>'Data Ocupacion'!BI35</f>
        <v>0</v>
      </c>
      <c r="F202" s="229" t="s">
        <v>52</v>
      </c>
      <c r="G202" s="229">
        <f t="shared" ref="G202:G206" si="174">D202+E202*2</f>
        <v>57</v>
      </c>
      <c r="H202" s="229">
        <f t="shared" ref="H202:H206" si="175">D202+E202</f>
        <v>57</v>
      </c>
      <c r="I202" s="229">
        <f>G202*L$2</f>
        <v>2458.4100000000003</v>
      </c>
      <c r="J202" s="155">
        <f>H202*L$2</f>
        <v>2458.4100000000003</v>
      </c>
      <c r="K202" s="229">
        <f t="shared" si="172"/>
        <v>255674.64000000004</v>
      </c>
      <c r="L202" s="229">
        <f t="shared" si="173"/>
        <v>5928</v>
      </c>
      <c r="M202" s="19"/>
      <c r="N202" s="19"/>
      <c r="O202" s="148"/>
      <c r="P202" s="191"/>
      <c r="Q202" s="191"/>
      <c r="R202" s="191"/>
      <c r="S202" s="190"/>
      <c r="T202" s="187"/>
      <c r="U202" s="189">
        <f>I202-(S202*($L$2-$J$1)+(T202*($L$2-$L$1)))</f>
        <v>2458.4100000000003</v>
      </c>
    </row>
    <row r="203" spans="1:23" s="126" customFormat="1" x14ac:dyDescent="0.25">
      <c r="A203" s="207" t="s">
        <v>173</v>
      </c>
      <c r="B203" s="229">
        <v>0</v>
      </c>
      <c r="C203" s="229">
        <v>0</v>
      </c>
      <c r="D203" s="139">
        <f>'Data Ocupacion'!BH36</f>
        <v>0</v>
      </c>
      <c r="E203" s="139">
        <f>'Data Ocupacion'!BI36</f>
        <v>0</v>
      </c>
      <c r="F203" s="229" t="s">
        <v>36</v>
      </c>
      <c r="G203" s="229">
        <f t="shared" si="174"/>
        <v>0</v>
      </c>
      <c r="H203" s="229">
        <f t="shared" si="175"/>
        <v>0</v>
      </c>
      <c r="I203" s="229">
        <f>G203*L$1</f>
        <v>0</v>
      </c>
      <c r="J203" s="155">
        <f>H203*L$1</f>
        <v>0</v>
      </c>
      <c r="K203" s="229">
        <f t="shared" si="172"/>
        <v>0</v>
      </c>
      <c r="L203" s="229">
        <f t="shared" si="173"/>
        <v>0</v>
      </c>
      <c r="M203" s="19"/>
      <c r="N203" s="19" t="s">
        <v>147</v>
      </c>
      <c r="O203" s="148"/>
      <c r="P203" s="190"/>
      <c r="Q203" s="192"/>
      <c r="R203" s="215"/>
      <c r="S203" s="193"/>
      <c r="T203" s="194"/>
      <c r="U203" s="186">
        <f>I203-(P203*($L$1-$J$1))</f>
        <v>0</v>
      </c>
    </row>
    <row r="204" spans="1:23" s="126" customFormat="1" ht="15" customHeight="1" x14ac:dyDescent="0.25">
      <c r="A204" s="207"/>
      <c r="B204" s="229">
        <v>0</v>
      </c>
      <c r="C204" s="229">
        <v>0</v>
      </c>
      <c r="D204" s="139">
        <f>'Data Ocupacion'!BH37</f>
        <v>0</v>
      </c>
      <c r="E204" s="139">
        <f>'Data Ocupacion'!BI37</f>
        <v>0</v>
      </c>
      <c r="F204" s="229" t="s">
        <v>53</v>
      </c>
      <c r="G204" s="229">
        <f>D204+E204*2</f>
        <v>0</v>
      </c>
      <c r="H204" s="229">
        <f>D204+E204</f>
        <v>0</v>
      </c>
      <c r="I204" s="229">
        <f>G204*L$1</f>
        <v>0</v>
      </c>
      <c r="J204" s="155">
        <f>H204*L$1</f>
        <v>0</v>
      </c>
      <c r="K204" s="229">
        <f t="shared" si="172"/>
        <v>0</v>
      </c>
      <c r="L204" s="229">
        <f t="shared" si="173"/>
        <v>0</v>
      </c>
      <c r="M204" s="19"/>
      <c r="N204" s="19" t="s">
        <v>147</v>
      </c>
      <c r="O204" s="148"/>
      <c r="P204" s="194"/>
      <c r="Q204" s="194"/>
      <c r="R204" s="194"/>
      <c r="S204" s="194"/>
      <c r="T204" s="194"/>
      <c r="U204" s="186">
        <f t="shared" ref="U204:U205" si="176">I204</f>
        <v>0</v>
      </c>
    </row>
    <row r="205" spans="1:23" s="126" customFormat="1" x14ac:dyDescent="0.25">
      <c r="A205" s="207"/>
      <c r="B205" s="229">
        <v>0</v>
      </c>
      <c r="C205" s="229">
        <v>0</v>
      </c>
      <c r="D205" s="139">
        <f>'Data Ocupacion'!BH38</f>
        <v>0</v>
      </c>
      <c r="E205" s="139">
        <f>'Data Ocupacion'!BI38</f>
        <v>0</v>
      </c>
      <c r="F205" s="229" t="s">
        <v>122</v>
      </c>
      <c r="G205" s="229">
        <f t="shared" si="174"/>
        <v>0</v>
      </c>
      <c r="H205" s="229">
        <f t="shared" si="175"/>
        <v>0</v>
      </c>
      <c r="I205" s="229">
        <f>G205*J$1</f>
        <v>0</v>
      </c>
      <c r="J205" s="155">
        <f>H205*J$1</f>
        <v>0</v>
      </c>
      <c r="K205" s="229">
        <f t="shared" si="172"/>
        <v>0</v>
      </c>
      <c r="L205" s="229">
        <f t="shared" si="173"/>
        <v>0</v>
      </c>
      <c r="M205" s="19"/>
      <c r="N205" s="19"/>
      <c r="O205" s="148"/>
      <c r="P205" s="194"/>
      <c r="Q205" s="194"/>
      <c r="R205" s="194"/>
      <c r="S205" s="194"/>
      <c r="T205" s="194"/>
      <c r="U205" s="186">
        <f t="shared" si="176"/>
        <v>0</v>
      </c>
    </row>
    <row r="206" spans="1:23" s="126" customFormat="1" ht="15.75" thickBot="1" x14ac:dyDescent="0.3">
      <c r="A206" s="207"/>
      <c r="B206" s="229">
        <v>0</v>
      </c>
      <c r="C206" s="229">
        <v>0</v>
      </c>
      <c r="D206" s="139">
        <f>'Data Ocupacion'!BH39</f>
        <v>0</v>
      </c>
      <c r="E206" s="139">
        <f>'Data Ocupacion'!BI39</f>
        <v>0</v>
      </c>
      <c r="F206" s="229" t="s">
        <v>35</v>
      </c>
      <c r="G206" s="229">
        <f t="shared" si="174"/>
        <v>0</v>
      </c>
      <c r="H206" s="229">
        <f t="shared" si="175"/>
        <v>0</v>
      </c>
      <c r="I206" s="229">
        <f>G206*J$1</f>
        <v>0</v>
      </c>
      <c r="J206" s="155">
        <f>H206*J$1</f>
        <v>0</v>
      </c>
      <c r="K206" s="229">
        <f t="shared" si="172"/>
        <v>0</v>
      </c>
      <c r="L206" s="229">
        <f t="shared" si="173"/>
        <v>0</v>
      </c>
      <c r="M206" s="19"/>
      <c r="N206" s="19"/>
      <c r="O206" s="148"/>
      <c r="P206" s="194"/>
      <c r="Q206" s="194"/>
      <c r="R206" s="194"/>
      <c r="S206" s="194"/>
      <c r="T206" s="194"/>
      <c r="U206" s="186">
        <f>I206</f>
        <v>0</v>
      </c>
    </row>
    <row r="207" spans="1:23" s="126" customFormat="1" ht="15.75" thickBot="1" x14ac:dyDescent="0.3">
      <c r="A207" s="20"/>
      <c r="B207" s="228">
        <f>SUM(B201:B206)</f>
        <v>108</v>
      </c>
      <c r="C207" s="228">
        <f>SUM(C201:C206)</f>
        <v>3</v>
      </c>
      <c r="D207" s="150">
        <f>SUM(D201:D206)</f>
        <v>108</v>
      </c>
      <c r="E207" s="150">
        <f>SUM(E201:E206)</f>
        <v>3</v>
      </c>
      <c r="F207" s="120"/>
      <c r="G207" s="120">
        <f t="shared" ref="G207:L207" si="177">SUM(G201:G206)</f>
        <v>114</v>
      </c>
      <c r="H207" s="120">
        <f t="shared" si="177"/>
        <v>111</v>
      </c>
      <c r="I207" s="120">
        <f t="shared" si="177"/>
        <v>4916.8200000000006</v>
      </c>
      <c r="J207" s="120">
        <f t="shared" si="177"/>
        <v>4787.43</v>
      </c>
      <c r="K207" s="120">
        <f t="shared" si="177"/>
        <v>511349.28000000009</v>
      </c>
      <c r="L207" s="120">
        <f t="shared" si="177"/>
        <v>11544</v>
      </c>
      <c r="M207" s="125">
        <f>'Odometro-Kilometraje'!AD81</f>
        <v>5032</v>
      </c>
      <c r="N207" s="21">
        <f>(U207/M207)*100</f>
        <v>97.711049284578706</v>
      </c>
      <c r="O207" s="197"/>
      <c r="P207" s="185"/>
      <c r="Q207" s="185"/>
      <c r="R207" s="185"/>
      <c r="S207" s="185"/>
      <c r="T207" s="185"/>
      <c r="U207" s="198">
        <f>SUM(U201:U206)</f>
        <v>4916.8200000000006</v>
      </c>
      <c r="W207" s="260"/>
    </row>
    <row r="208" spans="1:23" s="126" customFormat="1" x14ac:dyDescent="0.25">
      <c r="A208" s="61">
        <f>A201+1</f>
        <v>45656</v>
      </c>
      <c r="B208" s="127">
        <v>42</v>
      </c>
      <c r="C208" s="127">
        <v>37</v>
      </c>
      <c r="D208" s="280">
        <f>'Data Ocupacion'!BJ34</f>
        <v>34</v>
      </c>
      <c r="E208" s="280">
        <f>'Data Ocupacion'!BK34</f>
        <v>36</v>
      </c>
      <c r="F208" s="127" t="s">
        <v>38</v>
      </c>
      <c r="G208" s="127">
        <f t="shared" ref="G208:G213" si="178">D208+E208*2</f>
        <v>106</v>
      </c>
      <c r="H208" s="127">
        <f t="shared" ref="H208:H213" si="179">D208+E208</f>
        <v>70</v>
      </c>
      <c r="I208" s="127">
        <f>G208*L$2</f>
        <v>4571.7800000000007</v>
      </c>
      <c r="J208" s="155">
        <f>H208*L$2</f>
        <v>3019.1000000000004</v>
      </c>
      <c r="K208" s="127">
        <f t="shared" ref="K208:K213" si="180">I208*104</f>
        <v>475465.12000000005</v>
      </c>
      <c r="L208" s="127">
        <f t="shared" ref="L208:L213" si="181">H208*104</f>
        <v>7280</v>
      </c>
      <c r="M208" s="19"/>
      <c r="N208" s="19"/>
      <c r="O208" s="148"/>
      <c r="P208" s="187">
        <v>3</v>
      </c>
      <c r="Q208" s="187"/>
      <c r="R208" s="214"/>
      <c r="S208" s="283">
        <v>1</v>
      </c>
      <c r="T208" s="196"/>
      <c r="U208" s="189">
        <f>I208-((P208*($L$2-$J$1)))-(S208*($J$1))</f>
        <v>4493.1900000000014</v>
      </c>
    </row>
    <row r="209" spans="1:21" s="126" customFormat="1" ht="15" customHeight="1" x14ac:dyDescent="0.25">
      <c r="A209" s="357" t="s">
        <v>181</v>
      </c>
      <c r="B209" s="127">
        <v>40</v>
      </c>
      <c r="C209" s="127">
        <v>38</v>
      </c>
      <c r="D209" s="280">
        <f>'Data Ocupacion'!BJ35</f>
        <v>33</v>
      </c>
      <c r="E209" s="280">
        <f>'Data Ocupacion'!BK35</f>
        <v>36</v>
      </c>
      <c r="F209" s="127" t="s">
        <v>52</v>
      </c>
      <c r="G209" s="127">
        <f t="shared" si="178"/>
        <v>105</v>
      </c>
      <c r="H209" s="127">
        <f t="shared" si="179"/>
        <v>69</v>
      </c>
      <c r="I209" s="127">
        <f>G209*L$2</f>
        <v>4528.6500000000005</v>
      </c>
      <c r="J209" s="155">
        <f>H209*L$2</f>
        <v>2975.9700000000003</v>
      </c>
      <c r="K209" s="127">
        <f t="shared" si="180"/>
        <v>470979.60000000003</v>
      </c>
      <c r="L209" s="127">
        <f t="shared" si="181"/>
        <v>7176</v>
      </c>
      <c r="M209" s="19"/>
      <c r="N209" s="19"/>
      <c r="O209" s="148"/>
      <c r="P209" s="191"/>
      <c r="Q209" s="191"/>
      <c r="R209" s="191"/>
      <c r="S209" s="187"/>
      <c r="T209" s="187"/>
      <c r="U209" s="189">
        <f>I209-(S209*($L$2-$J$1)+(T209*($L$2-$L$1)))</f>
        <v>4528.6500000000005</v>
      </c>
    </row>
    <row r="210" spans="1:21" s="126" customFormat="1" x14ac:dyDescent="0.25">
      <c r="A210" s="357"/>
      <c r="B210" s="127">
        <v>29</v>
      </c>
      <c r="C210" s="127">
        <v>4</v>
      </c>
      <c r="D210" s="280">
        <f>'Data Ocupacion'!BJ36</f>
        <v>20</v>
      </c>
      <c r="E210" s="280">
        <f>'Data Ocupacion'!BK36</f>
        <v>2</v>
      </c>
      <c r="F210" s="127" t="s">
        <v>36</v>
      </c>
      <c r="G210" s="127">
        <f t="shared" si="178"/>
        <v>24</v>
      </c>
      <c r="H210" s="127">
        <f t="shared" si="179"/>
        <v>22</v>
      </c>
      <c r="I210" s="127">
        <f>G210*L$1</f>
        <v>698.64</v>
      </c>
      <c r="J210" s="155">
        <f>H210*L$1</f>
        <v>640.41999999999996</v>
      </c>
      <c r="K210" s="127">
        <f t="shared" si="180"/>
        <v>72658.559999999998</v>
      </c>
      <c r="L210" s="127">
        <f t="shared" si="181"/>
        <v>2288</v>
      </c>
      <c r="M210" s="19"/>
      <c r="N210" s="19" t="s">
        <v>147</v>
      </c>
      <c r="O210" s="148"/>
      <c r="P210" s="190"/>
      <c r="Q210" s="192"/>
      <c r="R210" s="215"/>
      <c r="S210" s="193"/>
      <c r="T210" s="194"/>
      <c r="U210" s="186">
        <f>I210-(P210*($L$1-$J$1))</f>
        <v>698.64</v>
      </c>
    </row>
    <row r="211" spans="1:21" s="126" customFormat="1" x14ac:dyDescent="0.25">
      <c r="A211" s="357"/>
      <c r="B211" s="127">
        <v>28</v>
      </c>
      <c r="C211" s="127">
        <v>4</v>
      </c>
      <c r="D211" s="280">
        <f>'Data Ocupacion'!BJ37</f>
        <v>20</v>
      </c>
      <c r="E211" s="280">
        <f>'Data Ocupacion'!BK37</f>
        <v>2</v>
      </c>
      <c r="F211" s="127" t="s">
        <v>53</v>
      </c>
      <c r="G211" s="127">
        <f t="shared" si="178"/>
        <v>24</v>
      </c>
      <c r="H211" s="127">
        <f t="shared" si="179"/>
        <v>22</v>
      </c>
      <c r="I211" s="127">
        <f>G211*L$1</f>
        <v>698.64</v>
      </c>
      <c r="J211" s="155">
        <f>H211*L$1</f>
        <v>640.41999999999996</v>
      </c>
      <c r="K211" s="127">
        <f t="shared" si="180"/>
        <v>72658.559999999998</v>
      </c>
      <c r="L211" s="127">
        <f t="shared" si="181"/>
        <v>2288</v>
      </c>
      <c r="M211" s="19"/>
      <c r="N211" s="19" t="s">
        <v>147</v>
      </c>
      <c r="O211" s="148"/>
      <c r="P211" s="194"/>
      <c r="Q211" s="194"/>
      <c r="R211" s="194"/>
      <c r="S211" s="194"/>
      <c r="T211" s="194"/>
      <c r="U211" s="186">
        <f t="shared" ref="U211:U212" si="182">I211</f>
        <v>698.64</v>
      </c>
    </row>
    <row r="212" spans="1:21" s="126" customFormat="1" x14ac:dyDescent="0.25">
      <c r="A212" s="357"/>
      <c r="B212" s="127">
        <v>0</v>
      </c>
      <c r="C212" s="127">
        <v>0</v>
      </c>
      <c r="D212" s="128">
        <f>'Data Ocupacion'!BJ38</f>
        <v>0</v>
      </c>
      <c r="E212" s="128">
        <f>'Data Ocupacion'!BK38</f>
        <v>0</v>
      </c>
      <c r="F212" s="127" t="s">
        <v>122</v>
      </c>
      <c r="G212" s="127">
        <f t="shared" si="178"/>
        <v>0</v>
      </c>
      <c r="H212" s="127">
        <f t="shared" si="179"/>
        <v>0</v>
      </c>
      <c r="I212" s="127">
        <f>G212*J$1</f>
        <v>0</v>
      </c>
      <c r="J212" s="155">
        <f>H212*J$1</f>
        <v>0</v>
      </c>
      <c r="K212" s="127">
        <f t="shared" si="180"/>
        <v>0</v>
      </c>
      <c r="L212" s="127">
        <f t="shared" si="181"/>
        <v>0</v>
      </c>
      <c r="M212" s="19"/>
      <c r="N212" s="19"/>
      <c r="O212" s="148"/>
      <c r="P212" s="194"/>
      <c r="Q212" s="194"/>
      <c r="R212" s="194"/>
      <c r="S212" s="194"/>
      <c r="T212" s="194"/>
      <c r="U212" s="186">
        <f t="shared" si="182"/>
        <v>0</v>
      </c>
    </row>
    <row r="213" spans="1:21" s="126" customFormat="1" x14ac:dyDescent="0.25">
      <c r="A213" s="357"/>
      <c r="B213" s="127">
        <v>1</v>
      </c>
      <c r="C213" s="127">
        <v>0</v>
      </c>
      <c r="D213" s="280">
        <f>'Data Ocupacion'!BJ39</f>
        <v>0</v>
      </c>
      <c r="E213" s="280">
        <f>'Data Ocupacion'!BK39</f>
        <v>0</v>
      </c>
      <c r="F213" s="127" t="s">
        <v>35</v>
      </c>
      <c r="G213" s="127">
        <f t="shared" si="178"/>
        <v>0</v>
      </c>
      <c r="H213" s="127">
        <f t="shared" si="179"/>
        <v>0</v>
      </c>
      <c r="I213" s="127">
        <f>G213*J$1</f>
        <v>0</v>
      </c>
      <c r="J213" s="155">
        <f>H213*J$1</f>
        <v>0</v>
      </c>
      <c r="K213" s="127">
        <f t="shared" si="180"/>
        <v>0</v>
      </c>
      <c r="L213" s="127">
        <f t="shared" si="181"/>
        <v>0</v>
      </c>
      <c r="M213" s="19"/>
      <c r="N213" s="19"/>
      <c r="O213" s="148"/>
      <c r="P213" s="194"/>
      <c r="Q213" s="194"/>
      <c r="R213" s="194"/>
      <c r="S213" s="194"/>
      <c r="T213" s="194"/>
      <c r="U213" s="186">
        <f>I213</f>
        <v>0</v>
      </c>
    </row>
    <row r="214" spans="1:21" s="126" customFormat="1" x14ac:dyDescent="0.25">
      <c r="A214" s="357"/>
      <c r="B214" s="127">
        <v>0</v>
      </c>
      <c r="C214" s="127">
        <v>0</v>
      </c>
      <c r="D214" s="280">
        <f>'Data Ocupacion'!BJ40</f>
        <v>2</v>
      </c>
      <c r="E214" s="280">
        <f>'Data Ocupacion'!BK40</f>
        <v>1</v>
      </c>
      <c r="F214" s="127" t="s">
        <v>174</v>
      </c>
      <c r="G214" s="127">
        <f t="shared" ref="G214:G215" si="183">D214+E214*2</f>
        <v>4</v>
      </c>
      <c r="H214" s="127">
        <f t="shared" ref="H214:H215" si="184">D214+E214</f>
        <v>3</v>
      </c>
      <c r="I214" s="127">
        <f>G214*N$2</f>
        <v>142.91999999999999</v>
      </c>
      <c r="J214" s="155">
        <f>H214*N$2</f>
        <v>107.19</v>
      </c>
      <c r="K214" s="127">
        <f t="shared" ref="K214:K215" si="185">I214*104</f>
        <v>14863.679999999998</v>
      </c>
      <c r="L214" s="127">
        <f t="shared" ref="L214:L215" si="186">H214*104</f>
        <v>312</v>
      </c>
      <c r="M214" s="19"/>
      <c r="N214" s="19"/>
      <c r="O214" s="148"/>
      <c r="P214" s="194"/>
      <c r="Q214" s="194"/>
      <c r="R214" s="194"/>
      <c r="S214" s="194"/>
      <c r="T214" s="194"/>
      <c r="U214" s="186">
        <f t="shared" ref="U214:U215" si="187">I214</f>
        <v>142.91999999999999</v>
      </c>
    </row>
    <row r="215" spans="1:21" s="126" customFormat="1" ht="15.75" thickBot="1" x14ac:dyDescent="0.3">
      <c r="A215" s="357"/>
      <c r="B215" s="127">
        <v>0</v>
      </c>
      <c r="C215" s="127">
        <v>0</v>
      </c>
      <c r="D215" s="280">
        <f>'Data Ocupacion'!BJ41</f>
        <v>2</v>
      </c>
      <c r="E215" s="280">
        <f>'Data Ocupacion'!BK41</f>
        <v>3</v>
      </c>
      <c r="F215" s="127" t="s">
        <v>175</v>
      </c>
      <c r="G215" s="127">
        <f t="shared" si="183"/>
        <v>8</v>
      </c>
      <c r="H215" s="127">
        <f t="shared" si="184"/>
        <v>5</v>
      </c>
      <c r="I215" s="127">
        <f>G215*N$2</f>
        <v>285.83999999999997</v>
      </c>
      <c r="J215" s="155">
        <f>H215*N$2</f>
        <v>178.64999999999998</v>
      </c>
      <c r="K215" s="127">
        <f t="shared" si="185"/>
        <v>29727.359999999997</v>
      </c>
      <c r="L215" s="127">
        <f t="shared" si="186"/>
        <v>520</v>
      </c>
      <c r="M215" s="19"/>
      <c r="N215" s="19"/>
      <c r="O215" s="148"/>
      <c r="P215" s="194"/>
      <c r="Q215" s="194"/>
      <c r="R215" s="194"/>
      <c r="S215" s="194"/>
      <c r="T215" s="194"/>
      <c r="U215" s="186">
        <f t="shared" si="187"/>
        <v>285.83999999999997</v>
      </c>
    </row>
    <row r="216" spans="1:21" s="126" customFormat="1" ht="15.75" thickBot="1" x14ac:dyDescent="0.3">
      <c r="A216" s="20"/>
      <c r="B216" s="228">
        <f>SUM(B208:B215)</f>
        <v>140</v>
      </c>
      <c r="C216" s="228">
        <f>SUM(C208:C215)</f>
        <v>83</v>
      </c>
      <c r="D216" s="150">
        <f>SUM(D208:D215)</f>
        <v>111</v>
      </c>
      <c r="E216" s="150">
        <f>SUM(E208:E215)</f>
        <v>80</v>
      </c>
      <c r="F216" s="120"/>
      <c r="G216" s="120">
        <f t="shared" ref="G216:L216" si="188">SUM(G208:G215)</f>
        <v>271</v>
      </c>
      <c r="H216" s="120">
        <f t="shared" si="188"/>
        <v>191</v>
      </c>
      <c r="I216" s="120">
        <f t="shared" si="188"/>
        <v>10926.47</v>
      </c>
      <c r="J216" s="120">
        <f t="shared" si="188"/>
        <v>7561.75</v>
      </c>
      <c r="K216" s="120">
        <f t="shared" si="188"/>
        <v>1136352.8800000001</v>
      </c>
      <c r="L216" s="120">
        <f t="shared" si="188"/>
        <v>19864</v>
      </c>
      <c r="M216" s="125">
        <f>'Odometro-Kilometraje'!AE81</f>
        <v>11599</v>
      </c>
      <c r="N216" s="21">
        <f>(U216/M216)*100</f>
        <v>93.524269333563254</v>
      </c>
      <c r="O216" s="197"/>
      <c r="P216" s="185"/>
      <c r="Q216" s="185"/>
      <c r="R216" s="185"/>
      <c r="S216" s="185"/>
      <c r="T216" s="185"/>
      <c r="U216" s="198">
        <f>SUM(U208:U215)</f>
        <v>10847.880000000001</v>
      </c>
    </row>
    <row r="217" spans="1:21" s="126" customFormat="1" x14ac:dyDescent="0.25">
      <c r="A217" s="61">
        <f>A208+1</f>
        <v>45657</v>
      </c>
      <c r="B217" s="127">
        <v>26</v>
      </c>
      <c r="C217" s="127">
        <v>53</v>
      </c>
      <c r="D217" s="128">
        <f>'Data Ocupacion'!BL34</f>
        <v>29</v>
      </c>
      <c r="E217" s="128">
        <f>'Data Ocupacion'!BM34</f>
        <v>50</v>
      </c>
      <c r="F217" s="127" t="s">
        <v>38</v>
      </c>
      <c r="G217" s="127">
        <f t="shared" ref="G217:G223" si="189">D217+E217*2</f>
        <v>129</v>
      </c>
      <c r="H217" s="127">
        <f t="shared" ref="H217:H223" si="190">D217+E217</f>
        <v>79</v>
      </c>
      <c r="I217" s="127">
        <f>G217*L$2</f>
        <v>5563.77</v>
      </c>
      <c r="J217" s="155">
        <f>H217*L$2</f>
        <v>3407.27</v>
      </c>
      <c r="K217" s="127">
        <f t="shared" ref="K217:K223" si="191">I217*104</f>
        <v>578632.08000000007</v>
      </c>
      <c r="L217" s="127">
        <f t="shared" ref="L217:L223" si="192">H217*104</f>
        <v>8216</v>
      </c>
      <c r="M217" s="19"/>
      <c r="N217" s="19"/>
      <c r="O217" s="148"/>
      <c r="P217" s="254">
        <v>3</v>
      </c>
      <c r="Q217" s="187"/>
      <c r="R217" s="214"/>
      <c r="S217" s="208"/>
      <c r="T217" s="196"/>
      <c r="U217" s="189">
        <f>I217-((P217*($L$2-$J$1)))-(S217*($J$1))</f>
        <v>5510.5800000000008</v>
      </c>
    </row>
    <row r="218" spans="1:21" s="126" customFormat="1" x14ac:dyDescent="0.25">
      <c r="A218" s="358" t="s">
        <v>185</v>
      </c>
      <c r="B218" s="127">
        <v>22</v>
      </c>
      <c r="C218" s="127">
        <v>54</v>
      </c>
      <c r="D218" s="128">
        <f>'Data Ocupacion'!BL35</f>
        <v>25</v>
      </c>
      <c r="E218" s="128">
        <f>'Data Ocupacion'!BM35</f>
        <v>51</v>
      </c>
      <c r="F218" s="127" t="s">
        <v>52</v>
      </c>
      <c r="G218" s="127">
        <f t="shared" si="189"/>
        <v>127</v>
      </c>
      <c r="H218" s="127">
        <f t="shared" si="190"/>
        <v>76</v>
      </c>
      <c r="I218" s="127">
        <f>G218*L$2</f>
        <v>5477.51</v>
      </c>
      <c r="J218" s="155">
        <f>H218*L$2</f>
        <v>3277.88</v>
      </c>
      <c r="K218" s="127">
        <f t="shared" si="191"/>
        <v>569661.04</v>
      </c>
      <c r="L218" s="127">
        <f t="shared" si="192"/>
        <v>7904</v>
      </c>
      <c r="M218" s="19"/>
      <c r="N218" s="19"/>
      <c r="O218" s="148"/>
      <c r="P218" s="191"/>
      <c r="Q218" s="191"/>
      <c r="R218" s="191"/>
      <c r="S218" s="187">
        <v>3</v>
      </c>
      <c r="T218" s="187"/>
      <c r="U218" s="189">
        <f>I218-(S218*($L$2-$J$1)+(T218*($L$2-$L$1)))</f>
        <v>5424.3200000000006</v>
      </c>
    </row>
    <row r="219" spans="1:21" s="126" customFormat="1" x14ac:dyDescent="0.25">
      <c r="A219" s="358"/>
      <c r="B219" s="127">
        <v>29</v>
      </c>
      <c r="C219" s="127">
        <v>4</v>
      </c>
      <c r="D219" s="128">
        <f>'Data Ocupacion'!BL36</f>
        <v>31</v>
      </c>
      <c r="E219" s="128">
        <f>'Data Ocupacion'!BM36</f>
        <v>2</v>
      </c>
      <c r="F219" s="127" t="s">
        <v>36</v>
      </c>
      <c r="G219" s="127">
        <f t="shared" si="189"/>
        <v>35</v>
      </c>
      <c r="H219" s="127">
        <f t="shared" si="190"/>
        <v>33</v>
      </c>
      <c r="I219" s="127">
        <f>G219*L$1</f>
        <v>1018.85</v>
      </c>
      <c r="J219" s="155">
        <f>H219*L$1</f>
        <v>960.63</v>
      </c>
      <c r="K219" s="127">
        <f t="shared" si="191"/>
        <v>105960.40000000001</v>
      </c>
      <c r="L219" s="127">
        <f t="shared" si="192"/>
        <v>3432</v>
      </c>
      <c r="M219" s="19"/>
      <c r="N219" s="19"/>
      <c r="O219" s="148"/>
      <c r="P219" s="190"/>
      <c r="Q219" s="192"/>
      <c r="R219" s="215"/>
      <c r="S219" s="193"/>
      <c r="T219" s="194"/>
      <c r="U219" s="186">
        <f>I219-(P219*($L$1-$J$1))</f>
        <v>1018.85</v>
      </c>
    </row>
    <row r="220" spans="1:21" s="126" customFormat="1" x14ac:dyDescent="0.25">
      <c r="A220" s="358"/>
      <c r="B220" s="127">
        <v>28</v>
      </c>
      <c r="C220" s="127">
        <v>4</v>
      </c>
      <c r="D220" s="128">
        <f>'Data Ocupacion'!BL37</f>
        <v>30</v>
      </c>
      <c r="E220" s="128">
        <f>'Data Ocupacion'!BM37</f>
        <v>2</v>
      </c>
      <c r="F220" s="127" t="s">
        <v>53</v>
      </c>
      <c r="G220" s="127">
        <f t="shared" si="189"/>
        <v>34</v>
      </c>
      <c r="H220" s="127">
        <f t="shared" si="190"/>
        <v>32</v>
      </c>
      <c r="I220" s="127">
        <f>G220*L$1</f>
        <v>989.74</v>
      </c>
      <c r="J220" s="155">
        <f>H220*L$1</f>
        <v>931.52</v>
      </c>
      <c r="K220" s="127">
        <f t="shared" si="191"/>
        <v>102932.96</v>
      </c>
      <c r="L220" s="127">
        <f t="shared" si="192"/>
        <v>3328</v>
      </c>
      <c r="M220" s="19"/>
      <c r="N220" s="19"/>
      <c r="O220" s="148"/>
      <c r="P220" s="194"/>
      <c r="Q220" s="194"/>
      <c r="R220" s="194"/>
      <c r="S220" s="194"/>
      <c r="T220" s="194"/>
      <c r="U220" s="186">
        <f t="shared" ref="U220:U221" si="193">I220</f>
        <v>989.74</v>
      </c>
    </row>
    <row r="221" spans="1:21" s="126" customFormat="1" x14ac:dyDescent="0.25">
      <c r="A221" s="358"/>
      <c r="B221" s="127">
        <v>0</v>
      </c>
      <c r="C221" s="127">
        <v>0</v>
      </c>
      <c r="D221" s="128">
        <f>'Data Ocupacion'!BL38</f>
        <v>0</v>
      </c>
      <c r="E221" s="128">
        <f>'Data Ocupacion'!BM38</f>
        <v>0</v>
      </c>
      <c r="F221" s="127" t="s">
        <v>122</v>
      </c>
      <c r="G221" s="127">
        <f t="shared" si="189"/>
        <v>0</v>
      </c>
      <c r="H221" s="127">
        <f t="shared" si="190"/>
        <v>0</v>
      </c>
      <c r="I221" s="127">
        <f>G221*J$1</f>
        <v>0</v>
      </c>
      <c r="J221" s="155">
        <f>H221*J$1</f>
        <v>0</v>
      </c>
      <c r="K221" s="127">
        <f t="shared" si="191"/>
        <v>0</v>
      </c>
      <c r="L221" s="127">
        <f t="shared" si="192"/>
        <v>0</v>
      </c>
      <c r="M221" s="19"/>
      <c r="N221" s="19"/>
      <c r="O221" s="148"/>
      <c r="P221" s="194"/>
      <c r="Q221" s="194"/>
      <c r="R221" s="194"/>
      <c r="S221" s="194"/>
      <c r="T221" s="194"/>
      <c r="U221" s="186">
        <f t="shared" si="193"/>
        <v>0</v>
      </c>
    </row>
    <row r="222" spans="1:21" s="126" customFormat="1" x14ac:dyDescent="0.25">
      <c r="A222" s="358"/>
      <c r="B222" s="127">
        <v>1</v>
      </c>
      <c r="C222" s="127">
        <v>0</v>
      </c>
      <c r="D222" s="128">
        <f>'Data Ocupacion'!BL39</f>
        <v>1</v>
      </c>
      <c r="E222" s="128">
        <f>'Data Ocupacion'!BM39</f>
        <v>0</v>
      </c>
      <c r="F222" s="127" t="s">
        <v>35</v>
      </c>
      <c r="G222" s="127">
        <f t="shared" si="189"/>
        <v>1</v>
      </c>
      <c r="H222" s="127">
        <f t="shared" si="190"/>
        <v>1</v>
      </c>
      <c r="I222" s="127">
        <f>G222*J$1</f>
        <v>25.4</v>
      </c>
      <c r="J222" s="155">
        <f>H222*J$1</f>
        <v>25.4</v>
      </c>
      <c r="K222" s="127">
        <f t="shared" si="191"/>
        <v>2641.6</v>
      </c>
      <c r="L222" s="127">
        <f t="shared" si="192"/>
        <v>104</v>
      </c>
      <c r="M222" s="19"/>
      <c r="N222" s="19"/>
      <c r="O222" s="148"/>
      <c r="P222" s="194"/>
      <c r="Q222" s="194"/>
      <c r="R222" s="194"/>
      <c r="S222" s="194"/>
      <c r="T222" s="194"/>
      <c r="U222" s="186">
        <f>I222</f>
        <v>25.4</v>
      </c>
    </row>
    <row r="223" spans="1:21" s="126" customFormat="1" ht="18.75" thickBot="1" x14ac:dyDescent="0.3">
      <c r="A223" s="304"/>
      <c r="B223" s="127">
        <v>0</v>
      </c>
      <c r="C223" s="127">
        <v>2</v>
      </c>
      <c r="D223" s="128">
        <f>'Data Ocupacion'!BL40</f>
        <v>0</v>
      </c>
      <c r="E223" s="128">
        <f>'Data Ocupacion'!BM42</f>
        <v>2</v>
      </c>
      <c r="F223" s="127" t="s">
        <v>183</v>
      </c>
      <c r="G223" s="127">
        <f t="shared" si="189"/>
        <v>4</v>
      </c>
      <c r="H223" s="127">
        <f t="shared" si="190"/>
        <v>2</v>
      </c>
      <c r="I223" s="127">
        <f>G223*F$2</f>
        <v>157.6</v>
      </c>
      <c r="J223" s="155">
        <f>H223*F$2</f>
        <v>78.8</v>
      </c>
      <c r="K223" s="127">
        <f t="shared" si="191"/>
        <v>16390.399999999998</v>
      </c>
      <c r="L223" s="127">
        <f t="shared" si="192"/>
        <v>208</v>
      </c>
      <c r="M223" s="19"/>
      <c r="N223" s="19"/>
      <c r="O223" s="148"/>
      <c r="P223" s="194"/>
      <c r="Q223" s="194"/>
      <c r="R223" s="194"/>
      <c r="S223" s="194"/>
      <c r="T223" s="194"/>
      <c r="U223" s="186">
        <f>I223</f>
        <v>157.6</v>
      </c>
    </row>
    <row r="224" spans="1:21" s="126" customFormat="1" ht="15.75" thickBot="1" x14ac:dyDescent="0.3">
      <c r="A224" s="20"/>
      <c r="B224" s="228">
        <f>SUM(B217:B223)</f>
        <v>106</v>
      </c>
      <c r="C224" s="228">
        <f>SUM(C217:C223)</f>
        <v>117</v>
      </c>
      <c r="D224" s="228">
        <f>SUM(D217:D223)</f>
        <v>116</v>
      </c>
      <c r="E224" s="228">
        <f>SUM(E217:E223)</f>
        <v>107</v>
      </c>
      <c r="F224" s="150"/>
      <c r="G224" s="150">
        <f t="shared" ref="G224:L224" si="194">SUM(G217:G223)</f>
        <v>330</v>
      </c>
      <c r="H224" s="120">
        <f t="shared" si="194"/>
        <v>223</v>
      </c>
      <c r="I224" s="120">
        <f t="shared" si="194"/>
        <v>13232.87</v>
      </c>
      <c r="J224" s="120">
        <f t="shared" si="194"/>
        <v>8681.4999999999982</v>
      </c>
      <c r="K224" s="120">
        <f t="shared" si="194"/>
        <v>1376218.48</v>
      </c>
      <c r="L224" s="120">
        <f t="shared" si="194"/>
        <v>23192</v>
      </c>
      <c r="M224" s="323">
        <f>'Odometro-Kilometraje'!AF81</f>
        <v>13961</v>
      </c>
      <c r="N224" s="21">
        <f>(U224/M224)*100</f>
        <v>94.0225628536638</v>
      </c>
      <c r="O224" s="197"/>
      <c r="P224" s="185"/>
      <c r="Q224" s="185"/>
      <c r="R224" s="185"/>
      <c r="S224" s="185"/>
      <c r="T224" s="185"/>
      <c r="U224" s="198">
        <f>SUM(U217:U223)</f>
        <v>13126.490000000002</v>
      </c>
    </row>
    <row r="225" spans="1:27" s="126" customFormat="1" x14ac:dyDescent="0.25"/>
    <row r="226" spans="1:27" s="126" customFormat="1" ht="15.75" thickBot="1" x14ac:dyDescent="0.3"/>
    <row r="227" spans="1:27" s="126" customFormat="1" ht="15.75" thickBot="1" x14ac:dyDescent="0.3">
      <c r="A227"/>
      <c r="B227" s="341" t="s">
        <v>56</v>
      </c>
      <c r="C227" s="342"/>
      <c r="D227" s="342"/>
      <c r="E227" s="342"/>
      <c r="F227" s="342"/>
      <c r="G227" s="343"/>
      <c r="H227" s="341" t="s">
        <v>57</v>
      </c>
      <c r="I227" s="342"/>
      <c r="J227" s="342"/>
      <c r="K227" s="342"/>
      <c r="L227" s="342"/>
      <c r="M227" s="343"/>
      <c r="O227" s="352" t="s">
        <v>142</v>
      </c>
      <c r="P227" s="352"/>
      <c r="Q227" s="352"/>
      <c r="R227" s="353"/>
      <c r="S227" s="350" t="s">
        <v>145</v>
      </c>
      <c r="T227" s="351"/>
      <c r="U227" s="333" t="s">
        <v>146</v>
      </c>
    </row>
    <row r="228" spans="1:27" s="126" customFormat="1" ht="24.75" thickBot="1" x14ac:dyDescent="0.3">
      <c r="A228" s="22" t="s">
        <v>56</v>
      </c>
      <c r="B228" s="182" t="s">
        <v>58</v>
      </c>
      <c r="C228" s="182" t="s">
        <v>59</v>
      </c>
      <c r="D228" s="182" t="s">
        <v>60</v>
      </c>
      <c r="E228" s="182" t="s">
        <v>61</v>
      </c>
      <c r="F228" s="182" t="s">
        <v>62</v>
      </c>
      <c r="G228" s="182" t="s">
        <v>63</v>
      </c>
      <c r="H228" s="182" t="s">
        <v>58</v>
      </c>
      <c r="I228" s="182" t="s">
        <v>59</v>
      </c>
      <c r="J228" s="182" t="s">
        <v>60</v>
      </c>
      <c r="K228" s="182" t="s">
        <v>61</v>
      </c>
      <c r="L228" s="182" t="s">
        <v>62</v>
      </c>
      <c r="M228" s="182" t="s">
        <v>63</v>
      </c>
      <c r="O228" s="222" t="s">
        <v>143</v>
      </c>
      <c r="P228" s="200" t="s">
        <v>144</v>
      </c>
      <c r="Q228" s="221" t="s">
        <v>151</v>
      </c>
      <c r="R228" s="223" t="s">
        <v>149</v>
      </c>
      <c r="S228" s="201" t="s">
        <v>143</v>
      </c>
      <c r="T228" s="202" t="s">
        <v>144</v>
      </c>
      <c r="U228" s="334"/>
    </row>
    <row r="229" spans="1:27" ht="15.75" customHeight="1" x14ac:dyDescent="0.25">
      <c r="A229" s="23" t="s">
        <v>38</v>
      </c>
      <c r="B229" s="114">
        <f t="shared" ref="B229:C234" si="195">B5+B12+B19+B26+B33+B40+B47+B54+B61+B68+B75+B82+B89+B96+B103+B110+B117+B124+B131+B138+B145+B152+B159+B166+B173+B180+B187+B194+B201+B208+B217</f>
        <v>1373</v>
      </c>
      <c r="C229" s="114">
        <f t="shared" si="195"/>
        <v>893</v>
      </c>
      <c r="D229" s="114">
        <f t="shared" ref="D229:D236" si="196">B229+C229</f>
        <v>2266</v>
      </c>
      <c r="E229" s="141">
        <f>D229*43.13</f>
        <v>97732.58</v>
      </c>
      <c r="F229" s="141">
        <f>B229*43.13+C229*86.26</f>
        <v>136247.67000000001</v>
      </c>
      <c r="G229" s="141">
        <f t="shared" ref="G229:G236" si="197">F229*104</f>
        <v>14169757.680000002</v>
      </c>
      <c r="H229" s="114">
        <f t="shared" ref="H229:I232" si="198">D5+D12+D19+D26+D33+D40+D47+D54+D61+D68+D75+D82+D89+D96+D103+D110+D117+D124+D131+D138+D145+D152+D159+D166+D173+D180+D187+D194+D201+D208+D217</f>
        <v>1364</v>
      </c>
      <c r="I229" s="114">
        <f t="shared" si="198"/>
        <v>885</v>
      </c>
      <c r="J229" s="140">
        <f>H229+I229</f>
        <v>2249</v>
      </c>
      <c r="K229" s="141">
        <f>J229*43.13</f>
        <v>96999.37000000001</v>
      </c>
      <c r="L229" s="141">
        <f>H229*43.13+I229*86.26</f>
        <v>135169.42000000001</v>
      </c>
      <c r="M229" s="141">
        <f t="shared" ref="M229:M234" si="199">L229*104</f>
        <v>14057619.680000002</v>
      </c>
      <c r="N229" s="126"/>
      <c r="O229" s="8">
        <f>SUM(P194,P187,P180,P173,P166,P159,P152,P145,P138,P131,P124,P117,P110,P103,P96,P89,P82,P75,P68,P61,P54,P47,P40,P33,P26,P19,P12,P5,P201,P208,P217)</f>
        <v>61</v>
      </c>
      <c r="P229" s="217">
        <f>SUM(Q194,Q187,Q180,Q173,Q166,Q159,Q152,Q145,Q138,Q131,Q124,Q117,Q110,Q103,Q96,Q89,Q82,Q75,Q68,Q61,Q54,Q47,Q40,Q33,Q26,Q19,Q12,Q5,Q201,Q208,Q217)</f>
        <v>0</v>
      </c>
      <c r="Q229" s="126">
        <f>SUM(P196,P189,P182,P175,P168,P161,P154,P147,P142,P133,P126,P119,P112,P105,P98,P91,P84,P77,P70,P63,P56,P49,P42,P35,P28,P21,P14,P7,P203,P210,P219)</f>
        <v>0</v>
      </c>
      <c r="R229" s="126">
        <f>SUM(R194,R187,R180,R173,R166,R159,R152,R145,R138,R131,R124,R117,R110,R103,R96,R89,R82,R75,R68,R61,R54,R47,R40,R33,R26,R19,R12,R5,R201,R208,R217)</f>
        <v>0</v>
      </c>
      <c r="S229" s="126">
        <f>SUM(S195,S188,S181,S174,S167,S160,S153,S146,S139,S132,S125,S118,S111,S104,S97,S90,S83,S76,S69,S62,S55,S48,S41,S34,S27,S20,S13,S6,S202,S209,S218)+SUM(S5,S12,S19,S26,S33,S40,S47,S54,S61,S68,S75,S82,S89,S96,S103,S110,S117,S124,S131,S138,S145,S152,S159,S166,S173,S180,S187,S194,S201,S208,S217)</f>
        <v>33</v>
      </c>
      <c r="T229" s="126">
        <f>SUM(T195,T188,T181,T174,T167,T160,T153,T146,T139,T132,T125,T118,T111,T104,T97,T90,T83,T76,T69,T62,T55,T48,T41,T34,T27,T20,T13,T6,T202,T209,T218)</f>
        <v>0</v>
      </c>
      <c r="U229" s="246">
        <f>U11+U18+U25+U32+U39+U46+U53+U60+U67+U74+U81+U88+U95+U102+U109+U116+U123+U130+U137+U144+U151+U158+U165+U172+U179+U186+U193+U200+U207+U216+U224</f>
        <v>312809.53000000009</v>
      </c>
    </row>
    <row r="230" spans="1:27" ht="17.25" customHeight="1" x14ac:dyDescent="0.25">
      <c r="A230" s="23" t="s">
        <v>52</v>
      </c>
      <c r="B230" s="114">
        <f t="shared" si="195"/>
        <v>1382</v>
      </c>
      <c r="C230" s="114">
        <f t="shared" si="195"/>
        <v>886</v>
      </c>
      <c r="D230" s="114">
        <f t="shared" si="196"/>
        <v>2268</v>
      </c>
      <c r="E230" s="141">
        <f>D230*43.13</f>
        <v>97818.840000000011</v>
      </c>
      <c r="F230" s="141">
        <f>B230*43.13+C230*86.26</f>
        <v>136032.02000000002</v>
      </c>
      <c r="G230" s="141">
        <f t="shared" si="197"/>
        <v>14147330.080000002</v>
      </c>
      <c r="H230" s="114">
        <f t="shared" si="198"/>
        <v>1378</v>
      </c>
      <c r="I230" s="114">
        <f t="shared" si="198"/>
        <v>875</v>
      </c>
      <c r="J230" s="140">
        <f t="shared" ref="J230:J234" si="200">H230+I230</f>
        <v>2253</v>
      </c>
      <c r="K230" s="141">
        <f>J230*43.13</f>
        <v>97171.89</v>
      </c>
      <c r="L230" s="141">
        <f>H230*43.13+I230*86.26</f>
        <v>134910.64000000001</v>
      </c>
      <c r="M230" s="141">
        <f t="shared" si="199"/>
        <v>14030706.560000002</v>
      </c>
      <c r="N230" s="126"/>
      <c r="U230" s="216"/>
      <c r="Y230" s="8"/>
    </row>
    <row r="231" spans="1:27" x14ac:dyDescent="0.25">
      <c r="A231" s="23" t="s">
        <v>36</v>
      </c>
      <c r="B231" s="114">
        <f t="shared" si="195"/>
        <v>609</v>
      </c>
      <c r="C231" s="114">
        <f t="shared" si="195"/>
        <v>84</v>
      </c>
      <c r="D231" s="114">
        <f t="shared" si="196"/>
        <v>693</v>
      </c>
      <c r="E231" s="141">
        <f>D231*29.11</f>
        <v>20173.23</v>
      </c>
      <c r="F231" s="141">
        <f>B231*29.11+C231*58.22</f>
        <v>22618.469999999998</v>
      </c>
      <c r="G231" s="141">
        <f t="shared" si="197"/>
        <v>2352320.88</v>
      </c>
      <c r="H231" s="114">
        <f t="shared" si="198"/>
        <v>606</v>
      </c>
      <c r="I231" s="114">
        <f t="shared" si="198"/>
        <v>75</v>
      </c>
      <c r="J231" s="140">
        <f t="shared" si="200"/>
        <v>681</v>
      </c>
      <c r="K231" s="141">
        <f>J231*29.11</f>
        <v>19823.91</v>
      </c>
      <c r="L231" s="141">
        <f>H231*29.11+I231*58.22</f>
        <v>22007.16</v>
      </c>
      <c r="M231" s="141">
        <f t="shared" si="199"/>
        <v>2288744.64</v>
      </c>
      <c r="N231" s="126"/>
      <c r="U231" s="216"/>
    </row>
    <row r="232" spans="1:27" x14ac:dyDescent="0.25">
      <c r="A232" s="23" t="s">
        <v>53</v>
      </c>
      <c r="B232" s="114">
        <f t="shared" si="195"/>
        <v>588</v>
      </c>
      <c r="C232" s="114">
        <f t="shared" si="195"/>
        <v>84</v>
      </c>
      <c r="D232" s="114">
        <f t="shared" si="196"/>
        <v>672</v>
      </c>
      <c r="E232" s="141">
        <f>D232*29.11</f>
        <v>19561.919999999998</v>
      </c>
      <c r="F232" s="141">
        <f>B232*29.11+C232*58.22</f>
        <v>22007.16</v>
      </c>
      <c r="G232" s="141">
        <f t="shared" si="197"/>
        <v>2288744.64</v>
      </c>
      <c r="H232" s="114">
        <f t="shared" si="198"/>
        <v>586</v>
      </c>
      <c r="I232" s="114">
        <f t="shared" si="198"/>
        <v>75</v>
      </c>
      <c r="J232" s="140">
        <f t="shared" si="200"/>
        <v>661</v>
      </c>
      <c r="K232" s="141">
        <f>J232*29.11</f>
        <v>19241.71</v>
      </c>
      <c r="L232" s="141">
        <f>H232*29.11+I232*58.22</f>
        <v>21424.959999999999</v>
      </c>
      <c r="M232" s="141">
        <f t="shared" si="199"/>
        <v>2228195.84</v>
      </c>
      <c r="N232" s="126"/>
      <c r="U232" s="216"/>
      <c r="Y232" s="101"/>
      <c r="Z232" s="101"/>
      <c r="AA232" s="101"/>
    </row>
    <row r="233" spans="1:27" x14ac:dyDescent="0.25">
      <c r="A233" s="23" t="s">
        <v>122</v>
      </c>
      <c r="B233" s="114">
        <f t="shared" si="195"/>
        <v>0</v>
      </c>
      <c r="C233" s="114">
        <f t="shared" si="195"/>
        <v>0</v>
      </c>
      <c r="D233" s="114">
        <f t="shared" si="196"/>
        <v>0</v>
      </c>
      <c r="E233" s="141">
        <f>D233*25.4</f>
        <v>0</v>
      </c>
      <c r="F233" s="141">
        <f>B233*25.4+C233*50.8</f>
        <v>0</v>
      </c>
      <c r="G233" s="141">
        <f t="shared" si="197"/>
        <v>0</v>
      </c>
      <c r="H233" s="114">
        <f t="shared" ref="H233:I234" si="201">D9+D16+D23+D30+D37+D44+D51+D58+D65+D72+D79+D86+D93+D100+D107+D114+D121+D128+D135+D142+D149+D156+D163+D170+D177+D184+D191+D198+D205+D212</f>
        <v>0</v>
      </c>
      <c r="I233" s="114">
        <f t="shared" si="201"/>
        <v>0</v>
      </c>
      <c r="J233" s="140">
        <f t="shared" si="200"/>
        <v>0</v>
      </c>
      <c r="K233" s="141">
        <f>J233*25.4</f>
        <v>0</v>
      </c>
      <c r="L233" s="141">
        <f>H233*25.4+I233*50.8</f>
        <v>0</v>
      </c>
      <c r="M233" s="141">
        <f t="shared" si="199"/>
        <v>0</v>
      </c>
      <c r="N233" s="126"/>
      <c r="U233" s="216"/>
    </row>
    <row r="234" spans="1:27" x14ac:dyDescent="0.25">
      <c r="A234" s="23" t="s">
        <v>35</v>
      </c>
      <c r="B234" s="114">
        <f t="shared" si="195"/>
        <v>21</v>
      </c>
      <c r="C234" s="114">
        <f t="shared" si="195"/>
        <v>0</v>
      </c>
      <c r="D234" s="114">
        <f t="shared" si="196"/>
        <v>21</v>
      </c>
      <c r="E234" s="141">
        <f>D234*25.4</f>
        <v>533.4</v>
      </c>
      <c r="F234" s="141">
        <f>B234*25.4+C234*50.8</f>
        <v>533.4</v>
      </c>
      <c r="G234" s="141">
        <f t="shared" si="197"/>
        <v>55473.599999999999</v>
      </c>
      <c r="H234" s="114">
        <f>D10+D17+D24+D31+D38+D45+D52+D59+D66+D73+D80+D87+D94+D101+D108+D115+D122+D129+D136+D143+D150+D157+D164+D171+D178+D185+D192+D199+D206+D213+D222</f>
        <v>20</v>
      </c>
      <c r="I234" s="114">
        <f t="shared" si="201"/>
        <v>0</v>
      </c>
      <c r="J234" s="140">
        <f t="shared" si="200"/>
        <v>20</v>
      </c>
      <c r="K234" s="141">
        <f>J234*25.4</f>
        <v>508</v>
      </c>
      <c r="L234" s="141">
        <f>H234*25.4+I234*50.8</f>
        <v>508</v>
      </c>
      <c r="M234" s="141">
        <f t="shared" si="199"/>
        <v>52832</v>
      </c>
      <c r="N234" s="126"/>
      <c r="O234" s="126"/>
      <c r="P234" s="126"/>
      <c r="Q234" s="126"/>
      <c r="S234" s="126"/>
      <c r="T234" s="126"/>
      <c r="U234" s="216"/>
      <c r="Y234" s="101"/>
      <c r="Z234" s="101"/>
      <c r="AA234" s="101"/>
    </row>
    <row r="235" spans="1:27" s="126" customFormat="1" x14ac:dyDescent="0.25">
      <c r="A235" s="23" t="s">
        <v>174</v>
      </c>
      <c r="B235" s="114">
        <f>B214</f>
        <v>0</v>
      </c>
      <c r="C235" s="114">
        <f>C214</f>
        <v>0</v>
      </c>
      <c r="D235" s="114">
        <f t="shared" si="196"/>
        <v>0</v>
      </c>
      <c r="E235" s="141">
        <f>D235*35.73</f>
        <v>0</v>
      </c>
      <c r="F235" s="141">
        <f>B235*35.73+C235*71.46</f>
        <v>0</v>
      </c>
      <c r="G235" s="141">
        <f t="shared" si="197"/>
        <v>0</v>
      </c>
      <c r="H235" s="114">
        <f>D214</f>
        <v>2</v>
      </c>
      <c r="I235" s="114">
        <f>E214</f>
        <v>1</v>
      </c>
      <c r="J235" s="140">
        <f t="shared" ref="J235:J236" si="202">H235+I235</f>
        <v>3</v>
      </c>
      <c r="K235" s="141">
        <f>J235*35.73</f>
        <v>107.19</v>
      </c>
      <c r="L235" s="141">
        <f>H235*35.73+I235*71.46</f>
        <v>142.91999999999999</v>
      </c>
      <c r="M235" s="141">
        <f t="shared" ref="M235:M236" si="203">L235*104</f>
        <v>14863.679999999998</v>
      </c>
      <c r="U235" s="216"/>
      <c r="Y235" s="101"/>
      <c r="Z235" s="101"/>
      <c r="AA235" s="101"/>
    </row>
    <row r="236" spans="1:27" s="126" customFormat="1" x14ac:dyDescent="0.25">
      <c r="A236" s="23" t="s">
        <v>175</v>
      </c>
      <c r="B236" s="114">
        <f>B215</f>
        <v>0</v>
      </c>
      <c r="C236" s="114">
        <f>C215</f>
        <v>0</v>
      </c>
      <c r="D236" s="114">
        <f t="shared" si="196"/>
        <v>0</v>
      </c>
      <c r="E236" s="141">
        <f>D236*35.73</f>
        <v>0</v>
      </c>
      <c r="F236" s="141">
        <f>B236*35.73+C236*71.46</f>
        <v>0</v>
      </c>
      <c r="G236" s="141">
        <f t="shared" si="197"/>
        <v>0</v>
      </c>
      <c r="H236" s="114">
        <f>D215</f>
        <v>2</v>
      </c>
      <c r="I236" s="114">
        <f>E215</f>
        <v>3</v>
      </c>
      <c r="J236" s="140">
        <f t="shared" si="202"/>
        <v>5</v>
      </c>
      <c r="K236" s="141">
        <f>J236*35.73</f>
        <v>178.64999999999998</v>
      </c>
      <c r="L236" s="141">
        <f>H236*35.73+I236*71.46</f>
        <v>285.83999999999997</v>
      </c>
      <c r="M236" s="141">
        <f t="shared" si="203"/>
        <v>29727.359999999997</v>
      </c>
      <c r="U236" s="216"/>
      <c r="Y236" s="101"/>
      <c r="Z236" s="101"/>
      <c r="AA236" s="101"/>
    </row>
    <row r="237" spans="1:27" s="126" customFormat="1" x14ac:dyDescent="0.25">
      <c r="A237" s="23" t="s">
        <v>183</v>
      </c>
      <c r="B237" s="114">
        <f>B223</f>
        <v>0</v>
      </c>
      <c r="C237" s="114">
        <f>C223</f>
        <v>2</v>
      </c>
      <c r="D237" s="114">
        <f t="shared" ref="D237" si="204">B237+C237</f>
        <v>2</v>
      </c>
      <c r="E237" s="141">
        <f>D237*39.4</f>
        <v>78.8</v>
      </c>
      <c r="F237" s="141">
        <f>B237*39.4+C237*78.8</f>
        <v>157.6</v>
      </c>
      <c r="G237" s="141">
        <f t="shared" ref="G237" si="205">F237*104</f>
        <v>16390.399999999998</v>
      </c>
      <c r="H237" s="114">
        <f>D223</f>
        <v>0</v>
      </c>
      <c r="I237" s="114">
        <f>E223</f>
        <v>2</v>
      </c>
      <c r="J237" s="140">
        <f t="shared" ref="J237" si="206">H237+I237</f>
        <v>2</v>
      </c>
      <c r="K237" s="141">
        <f>J237*39.4</f>
        <v>78.8</v>
      </c>
      <c r="L237" s="141">
        <f>H237*39.4+I237*78.8</f>
        <v>157.6</v>
      </c>
      <c r="M237" s="141">
        <f t="shared" ref="M237" si="207">L237*104</f>
        <v>16390.399999999998</v>
      </c>
      <c r="U237" s="216"/>
      <c r="Y237" s="101"/>
      <c r="Z237" s="101"/>
      <c r="AA237" s="101"/>
    </row>
    <row r="238" spans="1:27" s="126" customFormat="1" x14ac:dyDescent="0.25">
      <c r="A238" s="22"/>
      <c r="B238" s="114"/>
      <c r="C238" s="1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O238"/>
      <c r="P238"/>
      <c r="Q238"/>
      <c r="S238"/>
      <c r="T238"/>
      <c r="U238" s="216"/>
    </row>
    <row r="239" spans="1:27" s="126" customFormat="1" x14ac:dyDescent="0.25">
      <c r="A239" s="180" t="s">
        <v>64</v>
      </c>
      <c r="B239" s="240">
        <f>SUM(B229:B238)</f>
        <v>3973</v>
      </c>
      <c r="C239" s="240">
        <f>SUM(C229:C238)</f>
        <v>1949</v>
      </c>
      <c r="D239" s="240">
        <f>SUM(D229:D238)</f>
        <v>5922</v>
      </c>
      <c r="E239" s="181">
        <f t="shared" ref="E239:M239" si="208">SUM(E229:E237)</f>
        <v>235898.77</v>
      </c>
      <c r="F239" s="181">
        <f t="shared" si="208"/>
        <v>317596.32</v>
      </c>
      <c r="G239" s="181">
        <f t="shared" si="208"/>
        <v>33030017.280000005</v>
      </c>
      <c r="H239" s="239">
        <f t="shared" si="208"/>
        <v>3958</v>
      </c>
      <c r="I239" s="239">
        <f t="shared" si="208"/>
        <v>1916</v>
      </c>
      <c r="J239" s="230">
        <f t="shared" si="208"/>
        <v>5874</v>
      </c>
      <c r="K239" s="231">
        <f t="shared" si="208"/>
        <v>234109.52</v>
      </c>
      <c r="L239" s="231">
        <f t="shared" si="208"/>
        <v>314606.54000000004</v>
      </c>
      <c r="M239" s="231">
        <f t="shared" si="208"/>
        <v>32719080.16</v>
      </c>
      <c r="O239"/>
      <c r="P239"/>
      <c r="Q239"/>
      <c r="S239"/>
      <c r="T239"/>
      <c r="U239" s="216"/>
    </row>
    <row r="240" spans="1:27" x14ac:dyDescent="0.25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U240" s="216"/>
    </row>
    <row r="241" spans="1:21" ht="42" customHeight="1" thickBot="1" x14ac:dyDescent="0.3">
      <c r="B241" s="126" t="s">
        <v>65</v>
      </c>
      <c r="C241" s="126">
        <f>(B239)+(C239*2)</f>
        <v>7871</v>
      </c>
      <c r="D241" s="126"/>
      <c r="E241" s="126"/>
      <c r="F241" s="126" t="s">
        <v>65</v>
      </c>
      <c r="G241" s="126">
        <f>(H239)+(I239*2)</f>
        <v>7790</v>
      </c>
      <c r="H241" s="126"/>
      <c r="I241" s="203"/>
      <c r="J241" s="126"/>
      <c r="K241" s="126"/>
      <c r="L241" s="126"/>
      <c r="M241" s="126"/>
      <c r="N241" s="126"/>
      <c r="U241" s="216"/>
    </row>
    <row r="242" spans="1:21" x14ac:dyDescent="0.25">
      <c r="A242" s="24"/>
      <c r="B242" s="345" t="s">
        <v>55</v>
      </c>
      <c r="C242" s="346"/>
      <c r="D242" s="25" t="s">
        <v>65</v>
      </c>
      <c r="E242" s="26"/>
      <c r="F242" s="27" t="s">
        <v>61</v>
      </c>
      <c r="G242" s="27" t="s">
        <v>66</v>
      </c>
      <c r="H242" s="28" t="s">
        <v>67</v>
      </c>
      <c r="I242" s="126"/>
      <c r="J242" s="126"/>
      <c r="K242" s="126"/>
      <c r="L242" s="126"/>
      <c r="M242" s="126"/>
      <c r="N242" s="126"/>
      <c r="U242" s="216"/>
    </row>
    <row r="243" spans="1:21" x14ac:dyDescent="0.25">
      <c r="A243" s="29"/>
      <c r="B243" s="30" t="s">
        <v>58</v>
      </c>
      <c r="C243" s="30" t="s">
        <v>68</v>
      </c>
      <c r="D243" s="31"/>
      <c r="E243" s="32"/>
      <c r="F243" s="30"/>
      <c r="G243" s="30"/>
      <c r="H243" s="33"/>
      <c r="I243" s="126"/>
      <c r="J243" s="126"/>
      <c r="K243" s="126"/>
      <c r="L243" s="126"/>
      <c r="M243" s="126"/>
      <c r="N243" s="126"/>
      <c r="U243" s="216"/>
    </row>
    <row r="244" spans="1:21" ht="15" hidden="1" customHeight="1" x14ac:dyDescent="0.25">
      <c r="A244" s="34" t="s">
        <v>69</v>
      </c>
      <c r="B244" s="146" t="e">
        <f>+#REF!</f>
        <v>#REF!</v>
      </c>
      <c r="C244" s="146" t="e">
        <f>+#REF!</f>
        <v>#REF!</v>
      </c>
      <c r="D244" s="146" t="e">
        <f>+B244+2*C244</f>
        <v>#REF!</v>
      </c>
      <c r="E244" s="35" t="s">
        <v>69</v>
      </c>
      <c r="F244" s="36">
        <f>+E239</f>
        <v>235898.77</v>
      </c>
      <c r="G244" s="36">
        <f>+F239</f>
        <v>317596.32</v>
      </c>
      <c r="H244" s="37">
        <f>+G239</f>
        <v>33030017.280000005</v>
      </c>
      <c r="I244" s="126"/>
      <c r="J244" s="126"/>
      <c r="K244" s="126"/>
      <c r="L244" s="126"/>
      <c r="M244" s="126"/>
      <c r="N244" s="126"/>
      <c r="U244" s="216"/>
    </row>
    <row r="245" spans="1:21" ht="15.75" hidden="1" customHeight="1" thickBot="1" x14ac:dyDescent="0.3">
      <c r="A245" s="38" t="s">
        <v>70</v>
      </c>
      <c r="B245" s="179" t="e">
        <f>+#REF!</f>
        <v>#REF!</v>
      </c>
      <c r="C245" s="179" t="e">
        <f>+#REF!</f>
        <v>#REF!</v>
      </c>
      <c r="D245" s="146" t="e">
        <f>+B245+2*C245</f>
        <v>#REF!</v>
      </c>
      <c r="E245" s="38" t="s">
        <v>70</v>
      </c>
      <c r="F245" s="39" t="e">
        <f>+#REF!</f>
        <v>#REF!</v>
      </c>
      <c r="G245" s="39" t="e">
        <f>+#REF!</f>
        <v>#REF!</v>
      </c>
      <c r="H245" s="40" t="e">
        <f>+#REF!</f>
        <v>#REF!</v>
      </c>
      <c r="I245" s="126"/>
      <c r="J245" s="126"/>
      <c r="K245" s="126"/>
      <c r="L245" s="126"/>
      <c r="M245" s="126"/>
      <c r="N245" s="126"/>
      <c r="U245" s="216"/>
    </row>
    <row r="246" spans="1:21" ht="15" hidden="1" customHeight="1" x14ac:dyDescent="0.25">
      <c r="C246" s="126"/>
      <c r="D246" s="126"/>
      <c r="E246" s="126"/>
      <c r="F246" s="126"/>
      <c r="G246" s="126"/>
      <c r="H246" s="126" t="s">
        <v>65</v>
      </c>
      <c r="I246" s="232">
        <f>(H239)+(I239*2)</f>
        <v>7790</v>
      </c>
      <c r="J246" s="126"/>
      <c r="K246" s="12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</row>
    <row r="247" spans="1:21" ht="15" hidden="1" customHeight="1" x14ac:dyDescent="0.25"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</row>
    <row r="248" spans="1:21" x14ac:dyDescent="0.25">
      <c r="C248" s="126"/>
    </row>
  </sheetData>
  <dataConsolidate>
    <dataRefs count="1">
      <dataRef name="=suma($G$5:$G$9)" r:id="rId1"/>
    </dataRefs>
  </dataConsolidate>
  <mergeCells count="30">
    <mergeCell ref="A147:A149"/>
    <mergeCell ref="B242:C242"/>
    <mergeCell ref="B227:G227"/>
    <mergeCell ref="P3:R3"/>
    <mergeCell ref="S227:T227"/>
    <mergeCell ref="O227:R227"/>
    <mergeCell ref="G3:G4"/>
    <mergeCell ref="S3:T3"/>
    <mergeCell ref="A98:A100"/>
    <mergeCell ref="A105:A107"/>
    <mergeCell ref="A168:A170"/>
    <mergeCell ref="A209:A215"/>
    <mergeCell ref="A218:A222"/>
    <mergeCell ref="U227:U228"/>
    <mergeCell ref="U3:U4"/>
    <mergeCell ref="O3:O4"/>
    <mergeCell ref="N3:N4"/>
    <mergeCell ref="F3:F4"/>
    <mergeCell ref="H227:M227"/>
    <mergeCell ref="H3:H4"/>
    <mergeCell ref="J3:J4"/>
    <mergeCell ref="K3:K4"/>
    <mergeCell ref="L3:L4"/>
    <mergeCell ref="M3:M4"/>
    <mergeCell ref="I3:I4"/>
    <mergeCell ref="B2:C2"/>
    <mergeCell ref="D2:E2"/>
    <mergeCell ref="B3:C3"/>
    <mergeCell ref="D3:E3"/>
    <mergeCell ref="A6:A10"/>
  </mergeCells>
  <conditionalFormatting sqref="D12:D17 D117:E122 D68:D73">
    <cfRule type="expression" dxfId="38" priority="380">
      <formula>AND($B12&lt;&gt;$D12)</formula>
    </cfRule>
  </conditionalFormatting>
  <conditionalFormatting sqref="E12:E17 E68:E73">
    <cfRule type="expression" dxfId="37" priority="254">
      <formula>AND($C12&lt;&gt;$E12)</formula>
    </cfRule>
  </conditionalFormatting>
  <conditionalFormatting sqref="D110:E115">
    <cfRule type="expression" dxfId="36" priority="142">
      <formula>AND($B110&lt;&gt;$D110)</formula>
    </cfRule>
  </conditionalFormatting>
  <conditionalFormatting sqref="D208 D209:E215">
    <cfRule type="expression" dxfId="35" priority="101">
      <formula>AND($B208&lt;&gt;$D208)</formula>
    </cfRule>
  </conditionalFormatting>
  <conditionalFormatting sqref="D19:D24">
    <cfRule type="expression" dxfId="34" priority="100">
      <formula>AND($B19&lt;&gt;$D19)</formula>
    </cfRule>
  </conditionalFormatting>
  <conditionalFormatting sqref="E19:E24">
    <cfRule type="expression" dxfId="33" priority="99">
      <formula>AND($C19&lt;&gt;$E19)</formula>
    </cfRule>
  </conditionalFormatting>
  <conditionalFormatting sqref="D159:E164">
    <cfRule type="expression" dxfId="32" priority="92">
      <formula>AND($B159&lt;&gt;$D159)</formula>
    </cfRule>
  </conditionalFormatting>
  <conditionalFormatting sqref="D26:E31">
    <cfRule type="expression" dxfId="31" priority="89">
      <formula>AND($B26&lt;&gt;$D26)</formula>
    </cfRule>
  </conditionalFormatting>
  <conditionalFormatting sqref="E208">
    <cfRule type="expression" dxfId="30" priority="51">
      <formula>AND($B208&lt;&gt;$D208)</formula>
    </cfRule>
  </conditionalFormatting>
  <conditionalFormatting sqref="D75:E80">
    <cfRule type="expression" dxfId="29" priority="50">
      <formula>AND($B75&lt;&gt;$D75)</formula>
    </cfRule>
  </conditionalFormatting>
  <conditionalFormatting sqref="D5:D10">
    <cfRule type="expression" dxfId="28" priority="47">
      <formula>AND($B5&lt;&gt;$D5)</formula>
    </cfRule>
  </conditionalFormatting>
  <conditionalFormatting sqref="E5:E10">
    <cfRule type="expression" dxfId="27" priority="46">
      <formula>AND($C5&lt;&gt;$E5)</formula>
    </cfRule>
  </conditionalFormatting>
  <conditionalFormatting sqref="D33:E38">
    <cfRule type="expression" dxfId="26" priority="44">
      <formula>AND($B33&lt;&gt;$D33)</formula>
    </cfRule>
  </conditionalFormatting>
  <conditionalFormatting sqref="D47:E52">
    <cfRule type="expression" dxfId="25" priority="43">
      <formula>AND($B47&lt;&gt;$D47)</formula>
    </cfRule>
  </conditionalFormatting>
  <conditionalFormatting sqref="D54:E59">
    <cfRule type="expression" dxfId="24" priority="42">
      <formula>AND($B54&lt;&gt;$D54)</formula>
    </cfRule>
  </conditionalFormatting>
  <conditionalFormatting sqref="D96:E101">
    <cfRule type="expression" dxfId="23" priority="39">
      <formula>AND($B96&lt;&gt;$D96)</formula>
    </cfRule>
  </conditionalFormatting>
  <conditionalFormatting sqref="D103:E108">
    <cfRule type="expression" dxfId="22" priority="38">
      <formula>AND($B103&lt;&gt;$D103)</formula>
    </cfRule>
  </conditionalFormatting>
  <conditionalFormatting sqref="D124:E129">
    <cfRule type="expression" dxfId="21" priority="37">
      <formula>AND($B124&lt;&gt;$D124)</formula>
    </cfRule>
  </conditionalFormatting>
  <conditionalFormatting sqref="D138:E143">
    <cfRule type="expression" dxfId="20" priority="36">
      <formula>AND($B138&lt;&gt;$D138)</formula>
    </cfRule>
  </conditionalFormatting>
  <conditionalFormatting sqref="D131:E136">
    <cfRule type="expression" dxfId="19" priority="35">
      <formula>AND($B131&lt;&gt;$D131)</formula>
    </cfRule>
  </conditionalFormatting>
  <conditionalFormatting sqref="D145:E150">
    <cfRule type="expression" dxfId="18" priority="34">
      <formula>AND($B145&lt;&gt;$D145)</formula>
    </cfRule>
  </conditionalFormatting>
  <conditionalFormatting sqref="D152:E157">
    <cfRule type="expression" dxfId="17" priority="33">
      <formula>AND($B152&lt;&gt;$D152)</formula>
    </cfRule>
  </conditionalFormatting>
  <conditionalFormatting sqref="D195:E199 D194 E194:E197">
    <cfRule type="expression" dxfId="16" priority="30">
      <formula>AND($B194&lt;&gt;$D194)</formula>
    </cfRule>
  </conditionalFormatting>
  <conditionalFormatting sqref="E194">
    <cfRule type="expression" dxfId="15" priority="29">
      <formula>AND($B194&lt;&gt;$D194)</formula>
    </cfRule>
  </conditionalFormatting>
  <conditionalFormatting sqref="D201:E206">
    <cfRule type="expression" dxfId="14" priority="28">
      <formula>AND($B201&lt;&gt;$D201)</formula>
    </cfRule>
  </conditionalFormatting>
  <conditionalFormatting sqref="E201">
    <cfRule type="expression" dxfId="13" priority="27">
      <formula>AND($B201&lt;&gt;$D201)</formula>
    </cfRule>
  </conditionalFormatting>
  <conditionalFormatting sqref="D40:E45">
    <cfRule type="expression" dxfId="12" priority="24">
      <formula>AND($B40&lt;&gt;$D40)</formula>
    </cfRule>
  </conditionalFormatting>
  <conditionalFormatting sqref="D61:D66">
    <cfRule type="expression" dxfId="11" priority="23">
      <formula>AND($B61&lt;&gt;$D61)</formula>
    </cfRule>
  </conditionalFormatting>
  <conditionalFormatting sqref="E61:E66">
    <cfRule type="expression" dxfId="10" priority="22">
      <formula>AND($C61&lt;&gt;$E61)</formula>
    </cfRule>
  </conditionalFormatting>
  <conditionalFormatting sqref="D82:E87">
    <cfRule type="expression" dxfId="9" priority="17">
      <formula>AND($B82&lt;&gt;$D82)</formula>
    </cfRule>
  </conditionalFormatting>
  <conditionalFormatting sqref="D89:E94">
    <cfRule type="expression" dxfId="8" priority="16">
      <formula>AND($B89&lt;&gt;$D89)</formula>
    </cfRule>
  </conditionalFormatting>
  <conditionalFormatting sqref="D166:E171">
    <cfRule type="expression" dxfId="7" priority="14">
      <formula>AND($B166&lt;&gt;$D166)</formula>
    </cfRule>
  </conditionalFormatting>
  <conditionalFormatting sqref="D180:E185">
    <cfRule type="expression" dxfId="6" priority="13">
      <formula>AND($B180&lt;&gt;$D180)</formula>
    </cfRule>
  </conditionalFormatting>
  <conditionalFormatting sqref="D187:E192">
    <cfRule type="expression" dxfId="5" priority="12">
      <formula>AND($B187&lt;&gt;$D187)</formula>
    </cfRule>
  </conditionalFormatting>
  <conditionalFormatting sqref="D166:E171">
    <cfRule type="expression" dxfId="4" priority="11">
      <formula>AND($B166&lt;&gt;$D166)</formula>
    </cfRule>
  </conditionalFormatting>
  <conditionalFormatting sqref="D159:E164">
    <cfRule type="expression" dxfId="3" priority="10">
      <formula>AND($B159&lt;&gt;$D159)</formula>
    </cfRule>
  </conditionalFormatting>
  <conditionalFormatting sqref="D173:E178">
    <cfRule type="expression" dxfId="2" priority="9">
      <formula>AND($B173&lt;&gt;$D173)</formula>
    </cfRule>
  </conditionalFormatting>
  <conditionalFormatting sqref="D217:E222">
    <cfRule type="expression" dxfId="1" priority="2">
      <formula>AND($B217&lt;&gt;$D217)</formula>
    </cfRule>
  </conditionalFormatting>
  <conditionalFormatting sqref="D223:E223">
    <cfRule type="expression" dxfId="0" priority="1">
      <formula>AND($B223&lt;&gt;$D223)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C64"/>
  <sheetViews>
    <sheetView zoomScaleNormal="100" workbookViewId="0">
      <pane xSplit="1" topLeftCell="M1" activePane="topRight" state="frozen"/>
      <selection pane="topRight" activeCell="BJ17" sqref="BJ17"/>
    </sheetView>
  </sheetViews>
  <sheetFormatPr baseColWidth="10" defaultColWidth="5.140625" defaultRowHeight="15" x14ac:dyDescent="0.25"/>
  <cols>
    <col min="1" max="1" width="19.28515625" customWidth="1"/>
    <col min="2" max="2" width="3.85546875" customWidth="1"/>
    <col min="3" max="3" width="2.5703125" customWidth="1"/>
    <col min="4" max="4" width="5.28515625" customWidth="1"/>
    <col min="5" max="5" width="6.42578125" customWidth="1"/>
    <col min="6" max="6" width="5.5703125" customWidth="1"/>
    <col min="8" max="8" width="6.28515625" customWidth="1"/>
    <col min="11" max="11" width="6" customWidth="1"/>
    <col min="12" max="12" width="5.85546875" customWidth="1"/>
    <col min="13" max="13" width="6.140625" customWidth="1"/>
    <col min="15" max="15" width="7.42578125" customWidth="1"/>
    <col min="17" max="17" width="5.85546875" customWidth="1"/>
    <col min="19" max="19" width="6.7109375" customWidth="1"/>
    <col min="20" max="20" width="5.28515625" customWidth="1"/>
    <col min="23" max="23" width="6.140625" customWidth="1"/>
    <col min="25" max="25" width="7.28515625" customWidth="1"/>
    <col min="27" max="27" width="7.28515625" customWidth="1"/>
    <col min="29" max="29" width="5.28515625" customWidth="1"/>
    <col min="31" max="31" width="6.28515625" customWidth="1"/>
    <col min="33" max="33" width="7.28515625" customWidth="1"/>
    <col min="34" max="34" width="5.42578125" customWidth="1"/>
    <col min="37" max="37" width="6" customWidth="1"/>
    <col min="39" max="39" width="6" customWidth="1"/>
    <col min="41" max="41" width="5.7109375" customWidth="1"/>
    <col min="43" max="43" width="6.28515625" customWidth="1"/>
    <col min="45" max="45" width="6.140625" customWidth="1"/>
    <col min="47" max="47" width="7.140625" customWidth="1"/>
    <col min="49" max="49" width="7.140625" customWidth="1"/>
    <col min="51" max="51" width="6.7109375" customWidth="1"/>
    <col min="53" max="53" width="6.85546875" customWidth="1"/>
    <col min="54" max="54" width="5.42578125" customWidth="1"/>
    <col min="55" max="55" width="4.85546875" customWidth="1"/>
    <col min="56" max="56" width="6.42578125" customWidth="1"/>
    <col min="58" max="59" width="5.5703125" customWidth="1"/>
    <col min="61" max="61" width="6.85546875" customWidth="1"/>
    <col min="63" max="63" width="6.28515625" customWidth="1"/>
    <col min="65" max="65" width="6.42578125" customWidth="1"/>
  </cols>
  <sheetData>
    <row r="1" spans="1:66" x14ac:dyDescent="0.25">
      <c r="C1" s="8"/>
      <c r="D1" s="359">
        <v>45627</v>
      </c>
      <c r="E1" s="359"/>
      <c r="F1" s="359">
        <v>45628</v>
      </c>
      <c r="G1" s="359"/>
      <c r="H1" s="359">
        <v>45629</v>
      </c>
      <c r="I1" s="359"/>
      <c r="J1" s="359">
        <v>45630</v>
      </c>
      <c r="K1" s="359"/>
      <c r="L1" s="359">
        <v>45631</v>
      </c>
      <c r="M1" s="359"/>
      <c r="N1" s="359">
        <v>45632</v>
      </c>
      <c r="O1" s="359"/>
      <c r="P1" s="359">
        <v>45633</v>
      </c>
      <c r="Q1" s="359"/>
      <c r="R1" s="359">
        <v>45634</v>
      </c>
      <c r="S1" s="359"/>
      <c r="T1" s="359">
        <v>45635</v>
      </c>
      <c r="U1" s="359"/>
      <c r="V1" s="359">
        <v>45636</v>
      </c>
      <c r="W1" s="359"/>
      <c r="X1" s="359">
        <v>45637</v>
      </c>
      <c r="Y1" s="359"/>
      <c r="Z1" s="359">
        <v>45638</v>
      </c>
      <c r="AA1" s="359"/>
      <c r="AB1" s="359">
        <v>45639</v>
      </c>
      <c r="AC1" s="359"/>
      <c r="AD1" s="359">
        <v>45640</v>
      </c>
      <c r="AE1" s="359"/>
      <c r="AF1" s="359">
        <v>45641</v>
      </c>
      <c r="AG1" s="359"/>
      <c r="AH1" s="359">
        <v>45642</v>
      </c>
      <c r="AI1" s="359"/>
      <c r="AJ1" s="359">
        <v>45643</v>
      </c>
      <c r="AK1" s="359"/>
      <c r="AL1" s="359">
        <v>45644</v>
      </c>
      <c r="AM1" s="359"/>
      <c r="AN1" s="359">
        <v>45645</v>
      </c>
      <c r="AO1" s="359"/>
      <c r="AP1" s="359">
        <v>45646</v>
      </c>
      <c r="AQ1" s="359"/>
      <c r="AR1" s="359">
        <v>45647</v>
      </c>
      <c r="AS1" s="359"/>
      <c r="AT1" s="359">
        <v>45648</v>
      </c>
      <c r="AU1" s="359"/>
      <c r="AV1" s="359">
        <v>45649</v>
      </c>
      <c r="AW1" s="359"/>
      <c r="AX1" s="359">
        <v>45650</v>
      </c>
      <c r="AY1" s="359"/>
      <c r="AZ1" s="359">
        <v>45651</v>
      </c>
      <c r="BA1" s="359"/>
      <c r="BB1" s="359">
        <v>45652</v>
      </c>
      <c r="BC1" s="359"/>
      <c r="BD1" s="359">
        <v>45653</v>
      </c>
      <c r="BE1" s="359"/>
      <c r="BF1" s="359">
        <v>45654</v>
      </c>
      <c r="BG1" s="359"/>
      <c r="BH1" s="359">
        <v>45655</v>
      </c>
      <c r="BI1" s="359"/>
      <c r="BJ1" s="359">
        <v>45656</v>
      </c>
      <c r="BK1" s="359"/>
      <c r="BL1" s="359">
        <v>45657</v>
      </c>
      <c r="BM1" s="359"/>
    </row>
    <row r="2" spans="1:66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46" t="s">
        <v>71</v>
      </c>
      <c r="BK2" s="47" t="s">
        <v>72</v>
      </c>
      <c r="BL2" s="46" t="s">
        <v>71</v>
      </c>
      <c r="BM2" s="47" t="s">
        <v>72</v>
      </c>
    </row>
    <row r="3" spans="1:66" ht="15.75" thickBot="1" x14ac:dyDescent="0.3">
      <c r="A3" s="65" t="s">
        <v>73</v>
      </c>
      <c r="B3" s="66"/>
      <c r="C3" s="8"/>
      <c r="D3" s="292">
        <v>0</v>
      </c>
      <c r="E3" s="292">
        <v>0</v>
      </c>
      <c r="F3" s="158">
        <v>6</v>
      </c>
      <c r="G3" s="158">
        <v>4</v>
      </c>
      <c r="H3" s="158">
        <v>6</v>
      </c>
      <c r="I3" s="158">
        <v>4</v>
      </c>
      <c r="J3" s="158">
        <v>6</v>
      </c>
      <c r="K3" s="158">
        <v>4</v>
      </c>
      <c r="L3" s="158">
        <v>6</v>
      </c>
      <c r="M3" s="158">
        <v>4</v>
      </c>
      <c r="N3" s="158">
        <v>6</v>
      </c>
      <c r="O3" s="158">
        <v>4</v>
      </c>
      <c r="P3" s="137">
        <v>0</v>
      </c>
      <c r="Q3" s="137">
        <v>0</v>
      </c>
      <c r="R3" s="292">
        <v>0</v>
      </c>
      <c r="S3" s="292">
        <v>0</v>
      </c>
      <c r="T3" s="158">
        <v>7</v>
      </c>
      <c r="U3" s="158">
        <v>3</v>
      </c>
      <c r="V3" s="158">
        <v>6</v>
      </c>
      <c r="W3" s="158">
        <v>4</v>
      </c>
      <c r="X3" s="158">
        <v>6</v>
      </c>
      <c r="Y3" s="158">
        <v>4</v>
      </c>
      <c r="Z3" s="158">
        <v>7</v>
      </c>
      <c r="AA3" s="158">
        <v>3</v>
      </c>
      <c r="AB3" s="158">
        <v>6</v>
      </c>
      <c r="AC3" s="158">
        <v>4</v>
      </c>
      <c r="AD3" s="137">
        <v>0</v>
      </c>
      <c r="AE3" s="137">
        <v>0</v>
      </c>
      <c r="AF3" s="292">
        <v>0</v>
      </c>
      <c r="AG3" s="292">
        <v>0</v>
      </c>
      <c r="AH3" s="158">
        <v>7</v>
      </c>
      <c r="AI3" s="158">
        <v>3</v>
      </c>
      <c r="AJ3" s="158">
        <v>6</v>
      </c>
      <c r="AK3" s="158">
        <v>4</v>
      </c>
      <c r="AL3" s="158">
        <v>6</v>
      </c>
      <c r="AM3" s="158">
        <v>4</v>
      </c>
      <c r="AN3" s="158">
        <v>6</v>
      </c>
      <c r="AO3" s="158">
        <v>4</v>
      </c>
      <c r="AP3" s="158">
        <v>6</v>
      </c>
      <c r="AQ3" s="158">
        <v>4</v>
      </c>
      <c r="AR3" s="137">
        <v>0</v>
      </c>
      <c r="AS3" s="137">
        <v>0</v>
      </c>
      <c r="AT3" s="292">
        <v>0</v>
      </c>
      <c r="AU3" s="292">
        <v>0</v>
      </c>
      <c r="AV3" s="158">
        <v>7</v>
      </c>
      <c r="AW3" s="158">
        <v>3</v>
      </c>
      <c r="AX3" s="158">
        <v>6</v>
      </c>
      <c r="AY3" s="158">
        <v>4</v>
      </c>
      <c r="AZ3" s="292">
        <v>0</v>
      </c>
      <c r="BA3" s="292">
        <v>0</v>
      </c>
      <c r="BB3" s="158">
        <v>7</v>
      </c>
      <c r="BC3" s="158">
        <v>3</v>
      </c>
      <c r="BD3" s="158">
        <v>6</v>
      </c>
      <c r="BE3" s="158">
        <v>4</v>
      </c>
      <c r="BF3" s="137">
        <v>0</v>
      </c>
      <c r="BG3" s="137">
        <v>0</v>
      </c>
      <c r="BH3" s="292">
        <v>0</v>
      </c>
      <c r="BI3" s="292">
        <v>0</v>
      </c>
      <c r="BJ3" s="158">
        <v>0</v>
      </c>
      <c r="BK3" s="158">
        <v>2</v>
      </c>
      <c r="BL3" s="158">
        <v>8</v>
      </c>
      <c r="BM3" s="158">
        <v>2</v>
      </c>
    </row>
    <row r="4" spans="1:66" s="126" customFormat="1" x14ac:dyDescent="0.25">
      <c r="A4" s="65" t="s">
        <v>123</v>
      </c>
      <c r="B4" s="157"/>
      <c r="C4" s="8"/>
      <c r="D4" s="292">
        <v>0</v>
      </c>
      <c r="E4" s="292">
        <v>0</v>
      </c>
      <c r="F4" s="158">
        <v>0</v>
      </c>
      <c r="G4" s="158">
        <v>0</v>
      </c>
      <c r="H4" s="158">
        <v>0</v>
      </c>
      <c r="I4" s="158">
        <v>0</v>
      </c>
      <c r="J4" s="158">
        <v>0</v>
      </c>
      <c r="K4" s="158">
        <v>0</v>
      </c>
      <c r="L4" s="158">
        <v>0</v>
      </c>
      <c r="M4" s="158">
        <v>0</v>
      </c>
      <c r="N4" s="158">
        <v>0</v>
      </c>
      <c r="O4" s="158">
        <v>0</v>
      </c>
      <c r="P4" s="137">
        <v>0</v>
      </c>
      <c r="Q4" s="137">
        <v>0</v>
      </c>
      <c r="R4" s="292">
        <v>0</v>
      </c>
      <c r="S4" s="292">
        <v>0</v>
      </c>
      <c r="T4" s="158">
        <v>0</v>
      </c>
      <c r="U4" s="158">
        <v>0</v>
      </c>
      <c r="V4" s="158">
        <v>0</v>
      </c>
      <c r="W4" s="158">
        <v>0</v>
      </c>
      <c r="X4" s="158">
        <v>0</v>
      </c>
      <c r="Y4" s="158">
        <v>0</v>
      </c>
      <c r="Z4" s="158">
        <v>0</v>
      </c>
      <c r="AA4" s="158">
        <v>0</v>
      </c>
      <c r="AB4" s="158">
        <v>0</v>
      </c>
      <c r="AC4" s="158">
        <v>0</v>
      </c>
      <c r="AD4" s="137">
        <v>0</v>
      </c>
      <c r="AE4" s="137">
        <v>0</v>
      </c>
      <c r="AF4" s="292">
        <v>0</v>
      </c>
      <c r="AG4" s="292">
        <v>0</v>
      </c>
      <c r="AH4" s="158">
        <v>0</v>
      </c>
      <c r="AI4" s="158">
        <v>0</v>
      </c>
      <c r="AJ4" s="158">
        <v>0</v>
      </c>
      <c r="AK4" s="158">
        <v>0</v>
      </c>
      <c r="AL4" s="158">
        <v>0</v>
      </c>
      <c r="AM4" s="158">
        <v>0</v>
      </c>
      <c r="AN4" s="158">
        <v>0</v>
      </c>
      <c r="AO4" s="158">
        <v>0</v>
      </c>
      <c r="AP4" s="158">
        <v>0</v>
      </c>
      <c r="AQ4" s="158">
        <v>0</v>
      </c>
      <c r="AR4" s="137">
        <v>0</v>
      </c>
      <c r="AS4" s="137">
        <v>0</v>
      </c>
      <c r="AT4" s="292">
        <v>0</v>
      </c>
      <c r="AU4" s="292">
        <v>0</v>
      </c>
      <c r="AV4" s="158">
        <v>0</v>
      </c>
      <c r="AW4" s="158">
        <v>0</v>
      </c>
      <c r="AX4" s="158">
        <v>0</v>
      </c>
      <c r="AY4" s="158">
        <v>0</v>
      </c>
      <c r="AZ4" s="292">
        <v>0</v>
      </c>
      <c r="BA4" s="292">
        <v>0</v>
      </c>
      <c r="BB4" s="158">
        <v>0</v>
      </c>
      <c r="BC4" s="158">
        <v>0</v>
      </c>
      <c r="BD4" s="158">
        <v>0</v>
      </c>
      <c r="BE4" s="158">
        <v>0</v>
      </c>
      <c r="BF4" s="137">
        <v>0</v>
      </c>
      <c r="BG4" s="137">
        <v>0</v>
      </c>
      <c r="BH4" s="292">
        <v>0</v>
      </c>
      <c r="BI4" s="292">
        <v>0</v>
      </c>
      <c r="BJ4" s="158">
        <v>0</v>
      </c>
      <c r="BK4" s="158">
        <v>0</v>
      </c>
      <c r="BL4" s="158">
        <v>0</v>
      </c>
      <c r="BM4" s="158">
        <v>0</v>
      </c>
    </row>
    <row r="5" spans="1:66" x14ac:dyDescent="0.25">
      <c r="A5" s="67" t="s">
        <v>74</v>
      </c>
      <c r="B5" s="68"/>
      <c r="C5" s="8"/>
      <c r="D5" s="292">
        <v>0</v>
      </c>
      <c r="E5" s="292">
        <v>0</v>
      </c>
      <c r="F5" s="158">
        <v>1</v>
      </c>
      <c r="G5" s="158">
        <v>9</v>
      </c>
      <c r="H5" s="158">
        <v>1</v>
      </c>
      <c r="I5" s="158">
        <v>9</v>
      </c>
      <c r="J5" s="158">
        <v>1</v>
      </c>
      <c r="K5" s="158">
        <v>9</v>
      </c>
      <c r="L5" s="158">
        <v>1</v>
      </c>
      <c r="M5" s="158">
        <v>9</v>
      </c>
      <c r="N5" s="158">
        <v>1</v>
      </c>
      <c r="O5" s="158">
        <v>9</v>
      </c>
      <c r="P5" s="137">
        <v>0</v>
      </c>
      <c r="Q5" s="137">
        <v>0</v>
      </c>
      <c r="R5" s="292">
        <v>0</v>
      </c>
      <c r="S5" s="292">
        <v>0</v>
      </c>
      <c r="T5" s="158">
        <v>1</v>
      </c>
      <c r="U5" s="158">
        <v>9</v>
      </c>
      <c r="V5" s="158">
        <v>1</v>
      </c>
      <c r="W5" s="158">
        <v>9</v>
      </c>
      <c r="X5" s="158">
        <v>1</v>
      </c>
      <c r="Y5" s="158">
        <v>9</v>
      </c>
      <c r="Z5" s="158">
        <v>1</v>
      </c>
      <c r="AA5" s="158">
        <v>9</v>
      </c>
      <c r="AB5" s="158">
        <v>1</v>
      </c>
      <c r="AC5" s="158">
        <v>9</v>
      </c>
      <c r="AD5" s="137">
        <v>0</v>
      </c>
      <c r="AE5" s="137">
        <v>0</v>
      </c>
      <c r="AF5" s="292">
        <v>0</v>
      </c>
      <c r="AG5" s="292">
        <v>0</v>
      </c>
      <c r="AH5" s="158">
        <v>1</v>
      </c>
      <c r="AI5" s="158">
        <v>9</v>
      </c>
      <c r="AJ5" s="158">
        <v>1</v>
      </c>
      <c r="AK5" s="158">
        <v>9</v>
      </c>
      <c r="AL5" s="158">
        <v>1</v>
      </c>
      <c r="AM5" s="158">
        <v>9</v>
      </c>
      <c r="AN5" s="158">
        <v>1</v>
      </c>
      <c r="AO5" s="158">
        <v>9</v>
      </c>
      <c r="AP5" s="158">
        <v>2</v>
      </c>
      <c r="AQ5" s="158">
        <v>8</v>
      </c>
      <c r="AR5" s="137">
        <v>0</v>
      </c>
      <c r="AS5" s="137">
        <v>0</v>
      </c>
      <c r="AT5" s="292">
        <v>0</v>
      </c>
      <c r="AU5" s="292">
        <v>0</v>
      </c>
      <c r="AV5" s="158">
        <v>1</v>
      </c>
      <c r="AW5" s="158">
        <v>9</v>
      </c>
      <c r="AX5" s="158">
        <v>1</v>
      </c>
      <c r="AY5" s="158">
        <v>9</v>
      </c>
      <c r="AZ5" s="292">
        <v>0</v>
      </c>
      <c r="BA5" s="292">
        <v>0</v>
      </c>
      <c r="BB5" s="158">
        <v>1</v>
      </c>
      <c r="BC5" s="158">
        <v>9</v>
      </c>
      <c r="BD5" s="158">
        <v>1</v>
      </c>
      <c r="BE5" s="158">
        <v>9</v>
      </c>
      <c r="BF5" s="137">
        <v>0</v>
      </c>
      <c r="BG5" s="137">
        <v>0</v>
      </c>
      <c r="BH5" s="292">
        <v>0</v>
      </c>
      <c r="BI5" s="292">
        <v>0</v>
      </c>
      <c r="BJ5" s="158">
        <v>0</v>
      </c>
      <c r="BK5" s="158">
        <v>9</v>
      </c>
      <c r="BL5" s="158">
        <v>1</v>
      </c>
      <c r="BM5" s="158">
        <v>9</v>
      </c>
    </row>
    <row r="6" spans="1:66" x14ac:dyDescent="0.25">
      <c r="A6" s="67" t="s">
        <v>75</v>
      </c>
      <c r="B6" s="68"/>
      <c r="C6" s="8"/>
      <c r="D6" s="292">
        <v>0</v>
      </c>
      <c r="E6" s="292">
        <v>0</v>
      </c>
      <c r="F6" s="158">
        <v>9</v>
      </c>
      <c r="G6" s="158">
        <v>1</v>
      </c>
      <c r="H6" s="158">
        <v>9</v>
      </c>
      <c r="I6" s="158">
        <v>1</v>
      </c>
      <c r="J6" s="158">
        <v>9</v>
      </c>
      <c r="K6" s="158">
        <v>1</v>
      </c>
      <c r="L6" s="158">
        <v>9</v>
      </c>
      <c r="M6" s="158">
        <v>1</v>
      </c>
      <c r="N6" s="158">
        <v>9</v>
      </c>
      <c r="O6" s="158">
        <v>1</v>
      </c>
      <c r="P6" s="137">
        <v>0</v>
      </c>
      <c r="Q6" s="137">
        <v>0</v>
      </c>
      <c r="R6" s="292">
        <v>0</v>
      </c>
      <c r="S6" s="292">
        <v>0</v>
      </c>
      <c r="T6" s="158">
        <v>9</v>
      </c>
      <c r="U6" s="158">
        <v>0</v>
      </c>
      <c r="V6" s="158">
        <v>9</v>
      </c>
      <c r="W6" s="158">
        <v>1</v>
      </c>
      <c r="X6" s="158">
        <v>9</v>
      </c>
      <c r="Y6" s="158">
        <v>1</v>
      </c>
      <c r="Z6" s="158">
        <v>10</v>
      </c>
      <c r="AA6" s="158">
        <v>0</v>
      </c>
      <c r="AB6" s="158">
        <v>9</v>
      </c>
      <c r="AC6" s="158">
        <v>1</v>
      </c>
      <c r="AD6" s="137">
        <v>0</v>
      </c>
      <c r="AE6" s="137">
        <v>0</v>
      </c>
      <c r="AF6" s="292">
        <v>0</v>
      </c>
      <c r="AG6" s="292">
        <v>0</v>
      </c>
      <c r="AH6" s="158">
        <v>10</v>
      </c>
      <c r="AI6" s="158">
        <v>0</v>
      </c>
      <c r="AJ6" s="158">
        <v>9</v>
      </c>
      <c r="AK6" s="158">
        <v>1</v>
      </c>
      <c r="AL6" s="158">
        <v>9</v>
      </c>
      <c r="AM6" s="158">
        <v>1</v>
      </c>
      <c r="AN6" s="158">
        <v>9</v>
      </c>
      <c r="AO6" s="158">
        <v>1</v>
      </c>
      <c r="AP6" s="158">
        <v>9</v>
      </c>
      <c r="AQ6" s="158">
        <v>1</v>
      </c>
      <c r="AR6" s="137">
        <v>0</v>
      </c>
      <c r="AS6" s="137">
        <v>0</v>
      </c>
      <c r="AT6" s="292">
        <v>0</v>
      </c>
      <c r="AU6" s="292">
        <v>0</v>
      </c>
      <c r="AV6" s="158">
        <v>10</v>
      </c>
      <c r="AW6" s="158">
        <v>0</v>
      </c>
      <c r="AX6" s="158">
        <v>9</v>
      </c>
      <c r="AY6" s="158">
        <v>1</v>
      </c>
      <c r="AZ6" s="292">
        <v>0</v>
      </c>
      <c r="BA6" s="292">
        <v>0</v>
      </c>
      <c r="BB6" s="158">
        <v>10</v>
      </c>
      <c r="BC6" s="158">
        <v>0</v>
      </c>
      <c r="BD6" s="158">
        <v>9</v>
      </c>
      <c r="BE6" s="158">
        <v>1</v>
      </c>
      <c r="BF6" s="137">
        <v>0</v>
      </c>
      <c r="BG6" s="137">
        <v>0</v>
      </c>
      <c r="BH6" s="292">
        <v>0</v>
      </c>
      <c r="BI6" s="292">
        <v>0</v>
      </c>
      <c r="BJ6" s="158">
        <v>2</v>
      </c>
      <c r="BK6" s="158">
        <v>2</v>
      </c>
      <c r="BL6" s="158">
        <v>10</v>
      </c>
      <c r="BM6" s="158">
        <v>0</v>
      </c>
    </row>
    <row r="7" spans="1:66" x14ac:dyDescent="0.25">
      <c r="A7" s="67" t="s">
        <v>76</v>
      </c>
      <c r="B7" s="68"/>
      <c r="C7" s="8"/>
      <c r="D7" s="292">
        <v>0</v>
      </c>
      <c r="E7" s="292">
        <v>0</v>
      </c>
      <c r="F7" s="158">
        <v>0</v>
      </c>
      <c r="G7" s="158">
        <v>0</v>
      </c>
      <c r="H7" s="158">
        <v>0</v>
      </c>
      <c r="I7" s="158">
        <v>0</v>
      </c>
      <c r="J7" s="158">
        <v>0</v>
      </c>
      <c r="K7" s="158">
        <v>0</v>
      </c>
      <c r="L7" s="158">
        <v>0</v>
      </c>
      <c r="M7" s="158">
        <v>0</v>
      </c>
      <c r="N7" s="158">
        <v>0</v>
      </c>
      <c r="O7" s="158">
        <v>0</v>
      </c>
      <c r="P7" s="137">
        <v>0</v>
      </c>
      <c r="Q7" s="137">
        <v>0</v>
      </c>
      <c r="R7" s="292">
        <v>0</v>
      </c>
      <c r="S7" s="292">
        <v>0</v>
      </c>
      <c r="T7" s="158">
        <v>0</v>
      </c>
      <c r="U7" s="158">
        <v>0</v>
      </c>
      <c r="V7" s="158">
        <v>0</v>
      </c>
      <c r="W7" s="158">
        <v>0</v>
      </c>
      <c r="X7" s="158">
        <v>0</v>
      </c>
      <c r="Y7" s="158">
        <v>0</v>
      </c>
      <c r="Z7" s="158">
        <v>0</v>
      </c>
      <c r="AA7" s="158">
        <v>0</v>
      </c>
      <c r="AB7" s="158">
        <v>0</v>
      </c>
      <c r="AC7" s="158">
        <v>0</v>
      </c>
      <c r="AD7" s="137">
        <v>0</v>
      </c>
      <c r="AE7" s="137">
        <v>0</v>
      </c>
      <c r="AF7" s="292">
        <v>0</v>
      </c>
      <c r="AG7" s="292">
        <v>0</v>
      </c>
      <c r="AH7" s="158">
        <v>0</v>
      </c>
      <c r="AI7" s="158">
        <v>0</v>
      </c>
      <c r="AJ7" s="158">
        <v>0</v>
      </c>
      <c r="AK7" s="158">
        <v>0</v>
      </c>
      <c r="AL7" s="158">
        <v>0</v>
      </c>
      <c r="AM7" s="158">
        <v>0</v>
      </c>
      <c r="AN7" s="158">
        <v>0</v>
      </c>
      <c r="AO7" s="158">
        <v>0</v>
      </c>
      <c r="AP7" s="158">
        <v>0</v>
      </c>
      <c r="AQ7" s="158">
        <v>0</v>
      </c>
      <c r="AR7" s="137">
        <v>0</v>
      </c>
      <c r="AS7" s="137">
        <v>0</v>
      </c>
      <c r="AT7" s="292">
        <v>0</v>
      </c>
      <c r="AU7" s="292">
        <v>0</v>
      </c>
      <c r="AV7" s="158">
        <v>0</v>
      </c>
      <c r="AW7" s="158">
        <v>0</v>
      </c>
      <c r="AX7" s="158">
        <v>0</v>
      </c>
      <c r="AY7" s="158">
        <v>0</v>
      </c>
      <c r="AZ7" s="292">
        <v>0</v>
      </c>
      <c r="BA7" s="292">
        <v>0</v>
      </c>
      <c r="BB7" s="158">
        <v>0</v>
      </c>
      <c r="BC7" s="158">
        <v>0</v>
      </c>
      <c r="BD7" s="158">
        <v>0</v>
      </c>
      <c r="BE7" s="158">
        <v>0</v>
      </c>
      <c r="BF7" s="137">
        <v>0</v>
      </c>
      <c r="BG7" s="137">
        <v>0</v>
      </c>
      <c r="BH7" s="292">
        <v>0</v>
      </c>
      <c r="BI7" s="292">
        <v>0</v>
      </c>
      <c r="BJ7" s="158">
        <v>0</v>
      </c>
      <c r="BK7" s="158">
        <v>0</v>
      </c>
      <c r="BL7" s="158">
        <v>0</v>
      </c>
      <c r="BM7" s="158">
        <v>0</v>
      </c>
    </row>
    <row r="8" spans="1:66" ht="15.75" thickBot="1" x14ac:dyDescent="0.3">
      <c r="A8" s="67" t="s">
        <v>77</v>
      </c>
      <c r="B8" s="69"/>
      <c r="C8" s="8"/>
      <c r="D8" s="292">
        <v>0</v>
      </c>
      <c r="E8" s="292">
        <v>0</v>
      </c>
      <c r="F8" s="158">
        <v>2</v>
      </c>
      <c r="G8" s="158">
        <v>8</v>
      </c>
      <c r="H8" s="158">
        <v>3</v>
      </c>
      <c r="I8" s="158">
        <v>7</v>
      </c>
      <c r="J8" s="158">
        <v>3</v>
      </c>
      <c r="K8" s="158">
        <v>7</v>
      </c>
      <c r="L8" s="158">
        <v>3</v>
      </c>
      <c r="M8" s="158">
        <v>7</v>
      </c>
      <c r="N8" s="158">
        <v>3</v>
      </c>
      <c r="O8" s="158">
        <v>7</v>
      </c>
      <c r="P8" s="137">
        <v>0</v>
      </c>
      <c r="Q8" s="137">
        <v>0</v>
      </c>
      <c r="R8" s="292">
        <v>0</v>
      </c>
      <c r="S8" s="292">
        <v>0</v>
      </c>
      <c r="T8" s="158">
        <v>4</v>
      </c>
      <c r="U8" s="158">
        <v>6</v>
      </c>
      <c r="V8" s="158">
        <v>4</v>
      </c>
      <c r="W8" s="158">
        <v>6</v>
      </c>
      <c r="X8" s="158">
        <v>4</v>
      </c>
      <c r="Y8" s="158">
        <v>6</v>
      </c>
      <c r="Z8" s="158">
        <v>4</v>
      </c>
      <c r="AA8" s="158">
        <v>6</v>
      </c>
      <c r="AB8" s="158">
        <v>4</v>
      </c>
      <c r="AC8" s="158">
        <v>6</v>
      </c>
      <c r="AD8" s="137">
        <v>0</v>
      </c>
      <c r="AE8" s="137">
        <v>0</v>
      </c>
      <c r="AF8" s="292">
        <v>0</v>
      </c>
      <c r="AG8" s="292">
        <v>0</v>
      </c>
      <c r="AH8" s="158">
        <v>3</v>
      </c>
      <c r="AI8" s="158">
        <v>7</v>
      </c>
      <c r="AJ8" s="158">
        <v>4</v>
      </c>
      <c r="AK8" s="158">
        <v>6</v>
      </c>
      <c r="AL8" s="158">
        <v>5</v>
      </c>
      <c r="AM8" s="158">
        <v>5</v>
      </c>
      <c r="AN8" s="158">
        <v>4</v>
      </c>
      <c r="AO8" s="158">
        <v>6</v>
      </c>
      <c r="AP8" s="158">
        <v>5</v>
      </c>
      <c r="AQ8" s="158">
        <v>5</v>
      </c>
      <c r="AR8" s="137">
        <v>0</v>
      </c>
      <c r="AS8" s="137">
        <v>0</v>
      </c>
      <c r="AT8" s="292">
        <v>0</v>
      </c>
      <c r="AU8" s="292">
        <v>0</v>
      </c>
      <c r="AV8" s="158">
        <v>4</v>
      </c>
      <c r="AW8" s="158">
        <v>6</v>
      </c>
      <c r="AX8" s="158">
        <v>4</v>
      </c>
      <c r="AY8" s="158">
        <v>6</v>
      </c>
      <c r="AZ8" s="292">
        <v>0</v>
      </c>
      <c r="BA8" s="292">
        <v>0</v>
      </c>
      <c r="BB8" s="158">
        <v>3</v>
      </c>
      <c r="BC8" s="158">
        <v>7</v>
      </c>
      <c r="BD8" s="158">
        <v>4</v>
      </c>
      <c r="BE8" s="158">
        <v>6</v>
      </c>
      <c r="BF8" s="137">
        <v>0</v>
      </c>
      <c r="BG8" s="137">
        <v>0</v>
      </c>
      <c r="BH8" s="292">
        <v>0</v>
      </c>
      <c r="BI8" s="292">
        <v>0</v>
      </c>
      <c r="BJ8" s="158">
        <v>2</v>
      </c>
      <c r="BK8" s="158">
        <v>7</v>
      </c>
      <c r="BL8" s="158">
        <v>4</v>
      </c>
      <c r="BM8" s="158">
        <v>6</v>
      </c>
    </row>
    <row r="9" spans="1:66" x14ac:dyDescent="0.25">
      <c r="A9" s="54"/>
      <c r="B9" s="54"/>
      <c r="C9" s="8"/>
      <c r="D9" s="258"/>
      <c r="E9" s="258"/>
      <c r="F9" s="258"/>
      <c r="G9" s="258"/>
      <c r="H9" s="258"/>
      <c r="I9" s="258"/>
      <c r="J9" s="258" t="s">
        <v>147</v>
      </c>
      <c r="K9" s="258" t="s">
        <v>147</v>
      </c>
      <c r="L9" s="258" t="s">
        <v>147</v>
      </c>
      <c r="M9" s="258" t="s">
        <v>147</v>
      </c>
      <c r="N9" s="258"/>
      <c r="O9" s="258"/>
      <c r="P9" s="258"/>
      <c r="Q9" s="258"/>
      <c r="R9" s="258" t="s">
        <v>147</v>
      </c>
      <c r="S9" s="258" t="s">
        <v>147</v>
      </c>
      <c r="T9" s="258" t="s">
        <v>147</v>
      </c>
      <c r="U9" s="258" t="s">
        <v>147</v>
      </c>
      <c r="V9" s="258" t="s">
        <v>147</v>
      </c>
      <c r="W9" s="258" t="s">
        <v>147</v>
      </c>
      <c r="X9" s="258" t="s">
        <v>147</v>
      </c>
      <c r="Y9" s="258" t="s">
        <v>147</v>
      </c>
      <c r="Z9" s="258"/>
      <c r="AA9" s="258"/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 t="s">
        <v>147</v>
      </c>
      <c r="AQ9" s="258" t="s">
        <v>147</v>
      </c>
      <c r="AR9" s="258" t="s">
        <v>147</v>
      </c>
      <c r="AS9" s="258" t="s">
        <v>147</v>
      </c>
      <c r="AT9" s="258" t="s">
        <v>147</v>
      </c>
      <c r="AU9" s="258" t="s">
        <v>147</v>
      </c>
      <c r="AV9" s="258" t="s">
        <v>147</v>
      </c>
      <c r="AW9" s="258" t="s">
        <v>147</v>
      </c>
      <c r="AX9" s="258"/>
      <c r="AY9" s="258"/>
      <c r="AZ9" s="258"/>
      <c r="BA9" s="258"/>
      <c r="BB9" s="258"/>
      <c r="BC9" s="258"/>
      <c r="BD9" s="258" t="s">
        <v>147</v>
      </c>
      <c r="BE9" s="258" t="s">
        <v>147</v>
      </c>
      <c r="BF9" s="258"/>
      <c r="BG9" s="258"/>
      <c r="BH9" s="258"/>
      <c r="BI9" s="258"/>
      <c r="BJ9" s="258"/>
      <c r="BK9" s="258"/>
      <c r="BL9" s="258"/>
      <c r="BM9" s="258"/>
    </row>
    <row r="10" spans="1:66" x14ac:dyDescent="0.25">
      <c r="A10" s="70" t="s">
        <v>73</v>
      </c>
      <c r="B10" s="71"/>
      <c r="C10" s="8"/>
      <c r="D10" s="292">
        <v>0</v>
      </c>
      <c r="E10" s="292">
        <v>0</v>
      </c>
      <c r="F10" s="158">
        <v>16</v>
      </c>
      <c r="G10" s="158">
        <v>0</v>
      </c>
      <c r="H10" s="158">
        <v>16</v>
      </c>
      <c r="I10" s="158">
        <v>0</v>
      </c>
      <c r="J10" s="158">
        <v>16</v>
      </c>
      <c r="K10" s="158">
        <v>0</v>
      </c>
      <c r="L10" s="158">
        <v>16</v>
      </c>
      <c r="M10" s="158">
        <v>0</v>
      </c>
      <c r="N10" s="158">
        <v>16</v>
      </c>
      <c r="O10" s="158">
        <v>0</v>
      </c>
      <c r="P10" s="137">
        <v>0</v>
      </c>
      <c r="Q10" s="137">
        <v>0</v>
      </c>
      <c r="R10" s="292">
        <v>0</v>
      </c>
      <c r="S10" s="292">
        <v>0</v>
      </c>
      <c r="T10" s="158">
        <v>16</v>
      </c>
      <c r="U10" s="158">
        <v>0</v>
      </c>
      <c r="V10" s="158">
        <v>16</v>
      </c>
      <c r="W10" s="158">
        <v>0</v>
      </c>
      <c r="X10" s="158">
        <v>16</v>
      </c>
      <c r="Y10" s="158">
        <v>0</v>
      </c>
      <c r="Z10" s="158">
        <v>16</v>
      </c>
      <c r="AA10" s="158">
        <v>0</v>
      </c>
      <c r="AB10" s="158">
        <v>16</v>
      </c>
      <c r="AC10" s="158">
        <v>0</v>
      </c>
      <c r="AD10" s="137">
        <v>0</v>
      </c>
      <c r="AE10" s="137">
        <v>0</v>
      </c>
      <c r="AF10" s="292">
        <v>0</v>
      </c>
      <c r="AG10" s="292">
        <v>0</v>
      </c>
      <c r="AH10" s="158">
        <v>16</v>
      </c>
      <c r="AI10" s="158">
        <v>0</v>
      </c>
      <c r="AJ10" s="158">
        <v>16</v>
      </c>
      <c r="AK10" s="158">
        <v>0</v>
      </c>
      <c r="AL10" s="158">
        <v>16</v>
      </c>
      <c r="AM10" s="158">
        <v>0</v>
      </c>
      <c r="AN10" s="158">
        <v>16</v>
      </c>
      <c r="AO10" s="158">
        <v>0</v>
      </c>
      <c r="AP10" s="158">
        <v>15</v>
      </c>
      <c r="AQ10" s="158">
        <v>0</v>
      </c>
      <c r="AR10" s="137">
        <v>0</v>
      </c>
      <c r="AS10" s="137">
        <v>0</v>
      </c>
      <c r="AT10" s="292">
        <v>0</v>
      </c>
      <c r="AU10" s="292">
        <v>0</v>
      </c>
      <c r="AV10" s="158">
        <v>16</v>
      </c>
      <c r="AW10" s="158">
        <v>0</v>
      </c>
      <c r="AX10" s="158">
        <v>16</v>
      </c>
      <c r="AY10" s="158">
        <v>0</v>
      </c>
      <c r="AZ10" s="292">
        <v>0</v>
      </c>
      <c r="BA10" s="292">
        <v>0</v>
      </c>
      <c r="BB10" s="158">
        <v>16</v>
      </c>
      <c r="BC10" s="158">
        <v>0</v>
      </c>
      <c r="BD10" s="158">
        <v>16</v>
      </c>
      <c r="BE10" s="158">
        <v>0</v>
      </c>
      <c r="BF10" s="137">
        <v>0</v>
      </c>
      <c r="BG10" s="137">
        <v>0</v>
      </c>
      <c r="BH10" s="292">
        <v>0</v>
      </c>
      <c r="BI10" s="292">
        <v>0</v>
      </c>
      <c r="BJ10" s="158">
        <v>13</v>
      </c>
      <c r="BK10" s="158">
        <v>0</v>
      </c>
      <c r="BL10" s="158">
        <v>16</v>
      </c>
      <c r="BM10" s="158">
        <v>0</v>
      </c>
    </row>
    <row r="11" spans="1:66" s="126" customFormat="1" x14ac:dyDescent="0.25">
      <c r="A11" s="70" t="s">
        <v>123</v>
      </c>
      <c r="B11" s="71"/>
      <c r="C11" s="8"/>
      <c r="D11" s="292">
        <v>0</v>
      </c>
      <c r="E11" s="292">
        <v>0</v>
      </c>
      <c r="F11" s="158">
        <v>0</v>
      </c>
      <c r="G11" s="158">
        <v>0</v>
      </c>
      <c r="H11" s="158">
        <v>0</v>
      </c>
      <c r="I11" s="158">
        <v>0</v>
      </c>
      <c r="J11" s="158">
        <v>0</v>
      </c>
      <c r="K11" s="158">
        <v>0</v>
      </c>
      <c r="L11" s="158">
        <v>0</v>
      </c>
      <c r="M11" s="158">
        <v>0</v>
      </c>
      <c r="N11" s="158">
        <v>0</v>
      </c>
      <c r="O11" s="158">
        <v>0</v>
      </c>
      <c r="P11" s="137">
        <v>0</v>
      </c>
      <c r="Q11" s="137">
        <v>0</v>
      </c>
      <c r="R11" s="292">
        <v>0</v>
      </c>
      <c r="S11" s="292">
        <v>0</v>
      </c>
      <c r="T11" s="158">
        <v>0</v>
      </c>
      <c r="U11" s="158">
        <v>0</v>
      </c>
      <c r="V11" s="158">
        <v>0</v>
      </c>
      <c r="W11" s="158">
        <v>0</v>
      </c>
      <c r="X11" s="158">
        <v>0</v>
      </c>
      <c r="Y11" s="158">
        <v>0</v>
      </c>
      <c r="Z11" s="158">
        <v>0</v>
      </c>
      <c r="AA11" s="158">
        <v>0</v>
      </c>
      <c r="AB11" s="158">
        <v>0</v>
      </c>
      <c r="AC11" s="158">
        <v>0</v>
      </c>
      <c r="AD11" s="137">
        <v>0</v>
      </c>
      <c r="AE11" s="137">
        <v>0</v>
      </c>
      <c r="AF11" s="292">
        <v>0</v>
      </c>
      <c r="AG11" s="292">
        <v>0</v>
      </c>
      <c r="AH11" s="158">
        <v>0</v>
      </c>
      <c r="AI11" s="158">
        <v>0</v>
      </c>
      <c r="AJ11" s="158">
        <v>0</v>
      </c>
      <c r="AK11" s="158">
        <v>0</v>
      </c>
      <c r="AL11" s="158">
        <v>0</v>
      </c>
      <c r="AM11" s="158">
        <v>0</v>
      </c>
      <c r="AN11" s="158">
        <v>0</v>
      </c>
      <c r="AO11" s="158">
        <v>0</v>
      </c>
      <c r="AP11" s="158">
        <v>0</v>
      </c>
      <c r="AQ11" s="158">
        <v>0</v>
      </c>
      <c r="AR11" s="137">
        <v>0</v>
      </c>
      <c r="AS11" s="137">
        <v>0</v>
      </c>
      <c r="AT11" s="292">
        <v>0</v>
      </c>
      <c r="AU11" s="292">
        <v>0</v>
      </c>
      <c r="AV11" s="158">
        <v>0</v>
      </c>
      <c r="AW11" s="158">
        <v>0</v>
      </c>
      <c r="AX11" s="158">
        <v>0</v>
      </c>
      <c r="AY11" s="158">
        <v>0</v>
      </c>
      <c r="AZ11" s="292">
        <v>0</v>
      </c>
      <c r="BA11" s="292">
        <v>0</v>
      </c>
      <c r="BB11" s="158">
        <v>0</v>
      </c>
      <c r="BC11" s="158">
        <v>0</v>
      </c>
      <c r="BD11" s="158">
        <v>0</v>
      </c>
      <c r="BE11" s="158">
        <v>0</v>
      </c>
      <c r="BF11" s="137">
        <v>0</v>
      </c>
      <c r="BG11" s="137">
        <v>0</v>
      </c>
      <c r="BH11" s="292">
        <v>0</v>
      </c>
      <c r="BI11" s="292">
        <v>0</v>
      </c>
      <c r="BJ11" s="158">
        <v>0</v>
      </c>
      <c r="BK11" s="158">
        <v>0</v>
      </c>
      <c r="BL11" s="158">
        <v>0</v>
      </c>
      <c r="BM11" s="158">
        <v>0</v>
      </c>
    </row>
    <row r="12" spans="1:66" x14ac:dyDescent="0.25">
      <c r="A12" s="72" t="s">
        <v>74</v>
      </c>
      <c r="B12" s="73"/>
      <c r="C12" s="8"/>
      <c r="D12" s="292">
        <v>23</v>
      </c>
      <c r="E12" s="292">
        <v>16</v>
      </c>
      <c r="F12" s="158">
        <v>38</v>
      </c>
      <c r="G12" s="158">
        <v>23</v>
      </c>
      <c r="H12" s="158">
        <v>39</v>
      </c>
      <c r="I12" s="158">
        <v>22</v>
      </c>
      <c r="J12" s="158">
        <v>39</v>
      </c>
      <c r="K12" s="158">
        <v>22</v>
      </c>
      <c r="L12" s="158">
        <v>39</v>
      </c>
      <c r="M12" s="158">
        <v>22</v>
      </c>
      <c r="N12" s="158">
        <v>40</v>
      </c>
      <c r="O12" s="158">
        <v>21</v>
      </c>
      <c r="P12" s="137">
        <v>69</v>
      </c>
      <c r="Q12" s="137">
        <v>3</v>
      </c>
      <c r="R12" s="292">
        <v>49</v>
      </c>
      <c r="S12" s="292">
        <v>5</v>
      </c>
      <c r="T12" s="158">
        <v>40</v>
      </c>
      <c r="U12" s="158">
        <v>21</v>
      </c>
      <c r="V12" s="158">
        <v>40</v>
      </c>
      <c r="W12" s="158">
        <v>21</v>
      </c>
      <c r="X12" s="158">
        <v>39</v>
      </c>
      <c r="Y12" s="158">
        <v>22</v>
      </c>
      <c r="Z12" s="158">
        <v>40</v>
      </c>
      <c r="AA12" s="158">
        <v>21</v>
      </c>
      <c r="AB12" s="158">
        <v>38</v>
      </c>
      <c r="AC12" s="158">
        <v>23</v>
      </c>
      <c r="AD12" s="137">
        <v>39</v>
      </c>
      <c r="AE12" s="137">
        <v>34</v>
      </c>
      <c r="AF12" s="292">
        <v>23</v>
      </c>
      <c r="AG12" s="292">
        <v>32</v>
      </c>
      <c r="AH12" s="158">
        <v>39</v>
      </c>
      <c r="AI12" s="158">
        <v>22</v>
      </c>
      <c r="AJ12" s="158">
        <v>39</v>
      </c>
      <c r="AK12" s="158">
        <v>22</v>
      </c>
      <c r="AL12" s="158">
        <v>41</v>
      </c>
      <c r="AM12" s="158">
        <v>20</v>
      </c>
      <c r="AN12" s="158">
        <v>40</v>
      </c>
      <c r="AO12" s="158">
        <v>21</v>
      </c>
      <c r="AP12" s="158">
        <v>40</v>
      </c>
      <c r="AQ12" s="158">
        <v>21</v>
      </c>
      <c r="AR12" s="137">
        <v>68</v>
      </c>
      <c r="AS12" s="137">
        <v>4</v>
      </c>
      <c r="AT12" s="292">
        <v>51</v>
      </c>
      <c r="AU12" s="292">
        <v>3</v>
      </c>
      <c r="AV12" s="158">
        <v>42</v>
      </c>
      <c r="AW12" s="158">
        <v>19</v>
      </c>
      <c r="AX12" s="158">
        <v>32</v>
      </c>
      <c r="AY12" s="158">
        <v>29</v>
      </c>
      <c r="AZ12" s="292">
        <v>51</v>
      </c>
      <c r="BA12" s="292">
        <v>3</v>
      </c>
      <c r="BB12" s="158">
        <v>38</v>
      </c>
      <c r="BC12" s="158">
        <v>23</v>
      </c>
      <c r="BD12" s="158">
        <v>40</v>
      </c>
      <c r="BE12" s="158">
        <v>21</v>
      </c>
      <c r="BF12" s="137">
        <v>69</v>
      </c>
      <c r="BG12" s="137">
        <v>3</v>
      </c>
      <c r="BH12" s="292">
        <v>51</v>
      </c>
      <c r="BI12" s="292">
        <v>3</v>
      </c>
      <c r="BJ12" s="158">
        <v>31</v>
      </c>
      <c r="BK12" s="158">
        <v>22</v>
      </c>
      <c r="BL12" s="158">
        <v>21</v>
      </c>
      <c r="BM12" s="158">
        <v>40</v>
      </c>
    </row>
    <row r="13" spans="1:66" x14ac:dyDescent="0.25">
      <c r="A13" s="72" t="s">
        <v>75</v>
      </c>
      <c r="B13" s="73"/>
      <c r="C13" s="8"/>
      <c r="D13" s="292">
        <v>0</v>
      </c>
      <c r="E13" s="292">
        <v>0</v>
      </c>
      <c r="F13" s="158">
        <v>13</v>
      </c>
      <c r="G13" s="158">
        <v>3</v>
      </c>
      <c r="H13" s="158">
        <v>13</v>
      </c>
      <c r="I13" s="158">
        <v>3</v>
      </c>
      <c r="J13" s="158">
        <v>13</v>
      </c>
      <c r="K13" s="158">
        <v>3</v>
      </c>
      <c r="L13" s="158">
        <v>13</v>
      </c>
      <c r="M13" s="158">
        <v>3</v>
      </c>
      <c r="N13" s="158">
        <v>13</v>
      </c>
      <c r="O13" s="158">
        <v>3</v>
      </c>
      <c r="P13" s="137">
        <v>0</v>
      </c>
      <c r="Q13" s="137">
        <v>0</v>
      </c>
      <c r="R13" s="292">
        <v>0</v>
      </c>
      <c r="S13" s="292">
        <v>0</v>
      </c>
      <c r="T13" s="158">
        <v>13</v>
      </c>
      <c r="U13" s="158">
        <v>3</v>
      </c>
      <c r="V13" s="158">
        <v>13</v>
      </c>
      <c r="W13" s="158">
        <v>3</v>
      </c>
      <c r="X13" s="158">
        <v>13</v>
      </c>
      <c r="Y13" s="158">
        <v>3</v>
      </c>
      <c r="Z13" s="158">
        <v>13</v>
      </c>
      <c r="AA13" s="158">
        <v>3</v>
      </c>
      <c r="AB13" s="158">
        <v>13</v>
      </c>
      <c r="AC13" s="158">
        <v>3</v>
      </c>
      <c r="AD13" s="137">
        <v>0</v>
      </c>
      <c r="AE13" s="137">
        <v>0</v>
      </c>
      <c r="AF13" s="292">
        <v>0</v>
      </c>
      <c r="AG13" s="292">
        <v>0</v>
      </c>
      <c r="AH13" s="158">
        <v>13</v>
      </c>
      <c r="AI13" s="158">
        <v>3</v>
      </c>
      <c r="AJ13" s="158">
        <v>13</v>
      </c>
      <c r="AK13" s="158">
        <v>3</v>
      </c>
      <c r="AL13" s="158">
        <v>13</v>
      </c>
      <c r="AM13" s="158">
        <v>3</v>
      </c>
      <c r="AN13" s="158">
        <v>13</v>
      </c>
      <c r="AO13" s="158">
        <v>3</v>
      </c>
      <c r="AP13" s="158">
        <v>13</v>
      </c>
      <c r="AQ13" s="158">
        <v>3</v>
      </c>
      <c r="AR13" s="137">
        <v>0</v>
      </c>
      <c r="AS13" s="137">
        <v>0</v>
      </c>
      <c r="AT13" s="292">
        <v>0</v>
      </c>
      <c r="AU13" s="292">
        <v>0</v>
      </c>
      <c r="AV13" s="158">
        <v>13</v>
      </c>
      <c r="AW13" s="158">
        <v>3</v>
      </c>
      <c r="AX13" s="158">
        <v>13</v>
      </c>
      <c r="AY13" s="158">
        <v>3</v>
      </c>
      <c r="AZ13" s="292">
        <v>0</v>
      </c>
      <c r="BA13" s="292">
        <v>0</v>
      </c>
      <c r="BB13" s="158">
        <v>13</v>
      </c>
      <c r="BC13" s="158">
        <v>3</v>
      </c>
      <c r="BD13" s="158">
        <v>13</v>
      </c>
      <c r="BE13" s="158">
        <v>3</v>
      </c>
      <c r="BF13" s="137">
        <v>0</v>
      </c>
      <c r="BG13" s="137">
        <v>0</v>
      </c>
      <c r="BH13" s="292">
        <v>0</v>
      </c>
      <c r="BI13" s="292">
        <v>0</v>
      </c>
      <c r="BJ13" s="158">
        <v>12</v>
      </c>
      <c r="BK13" s="158">
        <v>0</v>
      </c>
      <c r="BL13" s="158">
        <v>14</v>
      </c>
      <c r="BM13" s="158">
        <v>2</v>
      </c>
    </row>
    <row r="14" spans="1:66" ht="15.75" thickBot="1" x14ac:dyDescent="0.3">
      <c r="A14" s="74" t="s">
        <v>76</v>
      </c>
      <c r="B14" s="75"/>
      <c r="C14" s="8"/>
      <c r="D14" s="292">
        <v>0</v>
      </c>
      <c r="E14" s="292">
        <v>0</v>
      </c>
      <c r="F14" s="158">
        <v>1</v>
      </c>
      <c r="G14" s="158">
        <v>0</v>
      </c>
      <c r="H14" s="158">
        <v>1</v>
      </c>
      <c r="I14" s="158">
        <v>0</v>
      </c>
      <c r="J14" s="158">
        <v>1</v>
      </c>
      <c r="K14" s="158">
        <v>0</v>
      </c>
      <c r="L14" s="158">
        <v>1</v>
      </c>
      <c r="M14" s="158">
        <v>0</v>
      </c>
      <c r="N14" s="158">
        <v>1</v>
      </c>
      <c r="O14" s="158">
        <v>0</v>
      </c>
      <c r="P14" s="137">
        <v>0</v>
      </c>
      <c r="Q14" s="137">
        <v>0</v>
      </c>
      <c r="R14" s="292">
        <v>0</v>
      </c>
      <c r="S14" s="292">
        <v>0</v>
      </c>
      <c r="T14" s="158">
        <v>1</v>
      </c>
      <c r="U14" s="158">
        <v>0</v>
      </c>
      <c r="V14" s="158">
        <v>1</v>
      </c>
      <c r="W14" s="158">
        <v>0</v>
      </c>
      <c r="X14" s="158">
        <v>1</v>
      </c>
      <c r="Y14" s="158">
        <v>0</v>
      </c>
      <c r="Z14" s="158">
        <v>1</v>
      </c>
      <c r="AA14" s="158">
        <v>0</v>
      </c>
      <c r="AB14" s="158">
        <v>1</v>
      </c>
      <c r="AC14" s="158">
        <v>0</v>
      </c>
      <c r="AD14" s="137">
        <v>0</v>
      </c>
      <c r="AE14" s="137">
        <v>0</v>
      </c>
      <c r="AF14" s="292">
        <v>0</v>
      </c>
      <c r="AG14" s="292">
        <v>0</v>
      </c>
      <c r="AH14" s="158">
        <v>1</v>
      </c>
      <c r="AI14" s="158">
        <v>0</v>
      </c>
      <c r="AJ14" s="158">
        <v>1</v>
      </c>
      <c r="AK14" s="158">
        <v>0</v>
      </c>
      <c r="AL14" s="158">
        <v>1</v>
      </c>
      <c r="AM14" s="158">
        <v>0</v>
      </c>
      <c r="AN14" s="158">
        <v>1</v>
      </c>
      <c r="AO14" s="158">
        <v>0</v>
      </c>
      <c r="AP14" s="158">
        <v>1</v>
      </c>
      <c r="AQ14" s="158">
        <v>0</v>
      </c>
      <c r="AR14" s="137">
        <v>0</v>
      </c>
      <c r="AS14" s="137">
        <v>0</v>
      </c>
      <c r="AT14" s="292">
        <v>0</v>
      </c>
      <c r="AU14" s="292">
        <v>0</v>
      </c>
      <c r="AV14" s="158">
        <v>1</v>
      </c>
      <c r="AW14" s="158">
        <v>0</v>
      </c>
      <c r="AX14" s="158">
        <v>1</v>
      </c>
      <c r="AY14" s="158">
        <v>0</v>
      </c>
      <c r="AZ14" s="292">
        <v>0</v>
      </c>
      <c r="BA14" s="292">
        <v>0</v>
      </c>
      <c r="BB14" s="158">
        <v>1</v>
      </c>
      <c r="BC14" s="158">
        <v>0</v>
      </c>
      <c r="BD14" s="158">
        <v>1</v>
      </c>
      <c r="BE14" s="158">
        <v>0</v>
      </c>
      <c r="BF14" s="137">
        <v>0</v>
      </c>
      <c r="BG14" s="137">
        <v>0</v>
      </c>
      <c r="BH14" s="292">
        <v>0</v>
      </c>
      <c r="BI14" s="292">
        <v>0</v>
      </c>
      <c r="BJ14" s="158">
        <v>0</v>
      </c>
      <c r="BK14" s="158">
        <v>0</v>
      </c>
      <c r="BL14" s="158">
        <v>1</v>
      </c>
      <c r="BM14" s="158">
        <v>0</v>
      </c>
    </row>
    <row r="15" spans="1:66" ht="15.75" thickBot="1" x14ac:dyDescent="0.3">
      <c r="A15" s="294" t="s">
        <v>77</v>
      </c>
      <c r="B15" s="294"/>
      <c r="C15" s="8"/>
      <c r="D15" s="292">
        <v>25</v>
      </c>
      <c r="E15" s="292">
        <v>15</v>
      </c>
      <c r="F15" s="158">
        <v>32</v>
      </c>
      <c r="G15" s="158">
        <v>29</v>
      </c>
      <c r="H15" s="158">
        <v>32</v>
      </c>
      <c r="I15" s="158">
        <v>29</v>
      </c>
      <c r="J15" s="158">
        <v>32</v>
      </c>
      <c r="K15" s="158">
        <v>29</v>
      </c>
      <c r="L15" s="158">
        <v>32</v>
      </c>
      <c r="M15" s="158">
        <v>29</v>
      </c>
      <c r="N15" s="158">
        <v>33</v>
      </c>
      <c r="O15" s="158">
        <v>29</v>
      </c>
      <c r="P15" s="137">
        <v>75</v>
      </c>
      <c r="Q15" s="137">
        <v>0</v>
      </c>
      <c r="R15" s="292">
        <v>55</v>
      </c>
      <c r="S15" s="292">
        <v>2</v>
      </c>
      <c r="T15" s="158">
        <v>33</v>
      </c>
      <c r="U15" s="158">
        <v>28</v>
      </c>
      <c r="V15" s="158">
        <v>32</v>
      </c>
      <c r="W15" s="158">
        <v>29</v>
      </c>
      <c r="X15" s="158">
        <v>31</v>
      </c>
      <c r="Y15" s="158">
        <v>30</v>
      </c>
      <c r="Z15" s="158">
        <v>32</v>
      </c>
      <c r="AA15" s="158">
        <v>29</v>
      </c>
      <c r="AB15" s="158">
        <v>32</v>
      </c>
      <c r="AC15" s="158">
        <v>29</v>
      </c>
      <c r="AD15" s="137">
        <v>43</v>
      </c>
      <c r="AE15" s="137">
        <v>32</v>
      </c>
      <c r="AF15" s="292">
        <v>30</v>
      </c>
      <c r="AG15" s="292">
        <v>27</v>
      </c>
      <c r="AH15" s="158">
        <v>32</v>
      </c>
      <c r="AI15" s="158">
        <v>29</v>
      </c>
      <c r="AJ15" s="158">
        <v>31</v>
      </c>
      <c r="AK15" s="158">
        <v>30</v>
      </c>
      <c r="AL15" s="158">
        <v>32</v>
      </c>
      <c r="AM15" s="158">
        <v>29</v>
      </c>
      <c r="AN15" s="158">
        <v>32</v>
      </c>
      <c r="AO15" s="158">
        <v>29</v>
      </c>
      <c r="AP15" s="158">
        <v>32</v>
      </c>
      <c r="AQ15" s="158">
        <v>29</v>
      </c>
      <c r="AR15" s="137">
        <v>74</v>
      </c>
      <c r="AS15" s="137">
        <v>1</v>
      </c>
      <c r="AT15" s="292">
        <v>57</v>
      </c>
      <c r="AU15" s="292">
        <v>0</v>
      </c>
      <c r="AV15" s="158">
        <v>34</v>
      </c>
      <c r="AW15" s="158">
        <v>27</v>
      </c>
      <c r="AX15" s="158">
        <v>29</v>
      </c>
      <c r="AY15" s="158">
        <v>32</v>
      </c>
      <c r="AZ15" s="292">
        <v>57</v>
      </c>
      <c r="BA15" s="292">
        <v>0</v>
      </c>
      <c r="BB15" s="158">
        <v>32</v>
      </c>
      <c r="BC15" s="158">
        <v>29</v>
      </c>
      <c r="BD15" s="158">
        <v>32</v>
      </c>
      <c r="BE15" s="158">
        <v>29</v>
      </c>
      <c r="BF15" s="137">
        <v>75</v>
      </c>
      <c r="BG15" s="137">
        <v>0</v>
      </c>
      <c r="BH15" s="292">
        <v>57</v>
      </c>
      <c r="BI15" s="292">
        <v>0</v>
      </c>
      <c r="BJ15" s="158">
        <v>26</v>
      </c>
      <c r="BK15" s="158">
        <v>27</v>
      </c>
      <c r="BL15" s="158">
        <v>18</v>
      </c>
      <c r="BM15" s="158">
        <v>41</v>
      </c>
    </row>
    <row r="16" spans="1:66" s="126" customFormat="1" ht="15.75" thickBot="1" x14ac:dyDescent="0.3">
      <c r="A16" s="294" t="s">
        <v>176</v>
      </c>
      <c r="B16" s="32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58">
        <v>2</v>
      </c>
      <c r="BK16" s="158">
        <v>1</v>
      </c>
      <c r="BL16" s="8"/>
      <c r="BM16" s="8"/>
      <c r="BN16" s="8"/>
    </row>
    <row r="17" spans="1:66 16305:16305" s="126" customFormat="1" ht="15.75" thickBot="1" x14ac:dyDescent="0.3">
      <c r="A17" s="294" t="s">
        <v>177</v>
      </c>
      <c r="B17" s="32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58">
        <v>2</v>
      </c>
      <c r="BK17" s="158">
        <v>3</v>
      </c>
      <c r="BL17" s="8"/>
      <c r="BN17" s="8"/>
    </row>
    <row r="18" spans="1:66 16305:16305" x14ac:dyDescent="0.25">
      <c r="A18" s="294" t="s">
        <v>182</v>
      </c>
      <c r="B18" s="295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158">
        <v>2</v>
      </c>
      <c r="BN18" s="8"/>
    </row>
    <row r="19" spans="1:66 16305:16305" x14ac:dyDescent="0.25">
      <c r="A19" s="67" t="s">
        <v>73</v>
      </c>
      <c r="B19" s="68"/>
      <c r="C19" s="8"/>
      <c r="D19" s="292">
        <v>0</v>
      </c>
      <c r="E19" s="292">
        <v>0</v>
      </c>
      <c r="F19" s="158">
        <v>7</v>
      </c>
      <c r="G19" s="158">
        <v>0</v>
      </c>
      <c r="H19" s="158">
        <v>7</v>
      </c>
      <c r="I19" s="158">
        <v>0</v>
      </c>
      <c r="J19" s="158">
        <v>7</v>
      </c>
      <c r="K19" s="158">
        <v>0</v>
      </c>
      <c r="L19" s="158">
        <v>7</v>
      </c>
      <c r="M19" s="158">
        <v>0</v>
      </c>
      <c r="N19" s="158">
        <v>7</v>
      </c>
      <c r="O19" s="158">
        <v>0</v>
      </c>
      <c r="P19" s="137">
        <v>0</v>
      </c>
      <c r="Q19" s="137">
        <v>0</v>
      </c>
      <c r="R19" s="292">
        <v>0</v>
      </c>
      <c r="S19" s="292">
        <v>0</v>
      </c>
      <c r="T19" s="158">
        <v>7</v>
      </c>
      <c r="U19" s="158">
        <v>0</v>
      </c>
      <c r="V19" s="158">
        <v>7</v>
      </c>
      <c r="W19" s="158">
        <v>0</v>
      </c>
      <c r="X19" s="158">
        <v>7</v>
      </c>
      <c r="Y19" s="158">
        <v>0</v>
      </c>
      <c r="Z19" s="158">
        <v>7</v>
      </c>
      <c r="AA19" s="158">
        <v>0</v>
      </c>
      <c r="AB19" s="158">
        <v>7</v>
      </c>
      <c r="AC19" s="158">
        <v>0</v>
      </c>
      <c r="AD19" s="137">
        <v>0</v>
      </c>
      <c r="AE19" s="137">
        <v>0</v>
      </c>
      <c r="AF19" s="292">
        <v>0</v>
      </c>
      <c r="AG19" s="292">
        <v>0</v>
      </c>
      <c r="AH19" s="158">
        <v>7</v>
      </c>
      <c r="AI19" s="158">
        <v>0</v>
      </c>
      <c r="AJ19" s="158">
        <v>7</v>
      </c>
      <c r="AK19" s="158">
        <v>0</v>
      </c>
      <c r="AL19" s="158">
        <v>7</v>
      </c>
      <c r="AM19" s="158">
        <v>0</v>
      </c>
      <c r="AN19" s="158">
        <v>7</v>
      </c>
      <c r="AO19" s="158">
        <v>0</v>
      </c>
      <c r="AP19" s="158">
        <v>7</v>
      </c>
      <c r="AQ19" s="158">
        <v>0</v>
      </c>
      <c r="AR19" s="137">
        <v>0</v>
      </c>
      <c r="AS19" s="137">
        <v>0</v>
      </c>
      <c r="AT19" s="292">
        <v>0</v>
      </c>
      <c r="AU19" s="292">
        <v>0</v>
      </c>
      <c r="AV19" s="158">
        <v>7</v>
      </c>
      <c r="AW19" s="158">
        <v>0</v>
      </c>
      <c r="AX19" s="158">
        <v>7</v>
      </c>
      <c r="AY19" s="158">
        <v>0</v>
      </c>
      <c r="AZ19" s="292">
        <v>0</v>
      </c>
      <c r="BA19" s="292">
        <v>0</v>
      </c>
      <c r="BB19" s="158">
        <v>7</v>
      </c>
      <c r="BC19" s="158">
        <v>0</v>
      </c>
      <c r="BD19" s="158">
        <v>7</v>
      </c>
      <c r="BE19" s="158">
        <v>0</v>
      </c>
      <c r="BF19" s="137">
        <v>0</v>
      </c>
      <c r="BG19" s="137">
        <v>0</v>
      </c>
      <c r="BH19" s="292">
        <v>0</v>
      </c>
      <c r="BI19" s="292">
        <v>0</v>
      </c>
      <c r="BJ19" s="158">
        <v>7</v>
      </c>
      <c r="BK19" s="158">
        <v>0</v>
      </c>
      <c r="BL19" s="158">
        <v>7</v>
      </c>
      <c r="BM19" s="158">
        <v>0</v>
      </c>
    </row>
    <row r="20" spans="1:66 16305:16305" s="126" customFormat="1" x14ac:dyDescent="0.25">
      <c r="A20" s="67" t="s">
        <v>123</v>
      </c>
      <c r="B20" s="68"/>
      <c r="C20" s="8"/>
      <c r="D20" s="292">
        <v>0</v>
      </c>
      <c r="E20" s="292">
        <v>0</v>
      </c>
      <c r="F20" s="158">
        <v>0</v>
      </c>
      <c r="G20" s="158">
        <v>0</v>
      </c>
      <c r="H20" s="158">
        <v>0</v>
      </c>
      <c r="I20" s="158">
        <v>0</v>
      </c>
      <c r="J20" s="158">
        <v>0</v>
      </c>
      <c r="K20" s="158">
        <v>0</v>
      </c>
      <c r="L20" s="158">
        <v>0</v>
      </c>
      <c r="M20" s="158">
        <v>0</v>
      </c>
      <c r="N20" s="158">
        <v>0</v>
      </c>
      <c r="O20" s="158">
        <v>0</v>
      </c>
      <c r="P20" s="137">
        <v>0</v>
      </c>
      <c r="Q20" s="137">
        <v>0</v>
      </c>
      <c r="R20" s="292">
        <v>0</v>
      </c>
      <c r="S20" s="292">
        <v>0</v>
      </c>
      <c r="T20" s="158">
        <v>0</v>
      </c>
      <c r="U20" s="158">
        <v>0</v>
      </c>
      <c r="V20" s="158">
        <v>0</v>
      </c>
      <c r="W20" s="158">
        <v>0</v>
      </c>
      <c r="X20" s="158">
        <v>0</v>
      </c>
      <c r="Y20" s="158">
        <v>0</v>
      </c>
      <c r="Z20" s="158">
        <v>0</v>
      </c>
      <c r="AA20" s="158">
        <v>0</v>
      </c>
      <c r="AB20" s="158">
        <v>0</v>
      </c>
      <c r="AC20" s="158">
        <v>0</v>
      </c>
      <c r="AD20" s="137">
        <v>0</v>
      </c>
      <c r="AE20" s="137">
        <v>0</v>
      </c>
      <c r="AF20" s="292">
        <v>0</v>
      </c>
      <c r="AG20" s="292">
        <v>0</v>
      </c>
      <c r="AH20" s="158">
        <v>0</v>
      </c>
      <c r="AI20" s="158">
        <v>0</v>
      </c>
      <c r="AJ20" s="158">
        <v>0</v>
      </c>
      <c r="AK20" s="158">
        <v>0</v>
      </c>
      <c r="AL20" s="158">
        <v>0</v>
      </c>
      <c r="AM20" s="158">
        <v>0</v>
      </c>
      <c r="AN20" s="158">
        <v>0</v>
      </c>
      <c r="AO20" s="158">
        <v>0</v>
      </c>
      <c r="AP20" s="158">
        <v>0</v>
      </c>
      <c r="AQ20" s="158">
        <v>0</v>
      </c>
      <c r="AR20" s="137">
        <v>0</v>
      </c>
      <c r="AS20" s="137">
        <v>0</v>
      </c>
      <c r="AT20" s="292">
        <v>0</v>
      </c>
      <c r="AU20" s="292">
        <v>0</v>
      </c>
      <c r="AV20" s="158">
        <v>0</v>
      </c>
      <c r="AW20" s="158">
        <v>0</v>
      </c>
      <c r="AX20" s="158">
        <v>0</v>
      </c>
      <c r="AY20" s="158">
        <v>0</v>
      </c>
      <c r="AZ20" s="292">
        <v>0</v>
      </c>
      <c r="BA20" s="292">
        <v>0</v>
      </c>
      <c r="BB20" s="158">
        <v>0</v>
      </c>
      <c r="BC20" s="158">
        <v>0</v>
      </c>
      <c r="BD20" s="158">
        <v>0</v>
      </c>
      <c r="BE20" s="158">
        <v>0</v>
      </c>
      <c r="BF20" s="137">
        <v>0</v>
      </c>
      <c r="BG20" s="137">
        <v>0</v>
      </c>
      <c r="BH20" s="292">
        <v>0</v>
      </c>
      <c r="BI20" s="292">
        <v>0</v>
      </c>
      <c r="BJ20" s="158">
        <v>0</v>
      </c>
      <c r="BK20" s="158">
        <v>0</v>
      </c>
      <c r="BL20" s="158">
        <v>0</v>
      </c>
      <c r="BM20" s="158">
        <v>0</v>
      </c>
    </row>
    <row r="21" spans="1:66 16305:16305" x14ac:dyDescent="0.25">
      <c r="A21" s="67" t="s">
        <v>74</v>
      </c>
      <c r="B21" s="68"/>
      <c r="C21" s="8"/>
      <c r="D21" s="292">
        <v>0</v>
      </c>
      <c r="E21" s="292">
        <v>0</v>
      </c>
      <c r="F21" s="158">
        <v>2</v>
      </c>
      <c r="G21" s="158">
        <v>6</v>
      </c>
      <c r="H21" s="158">
        <v>2</v>
      </c>
      <c r="I21" s="158">
        <v>6</v>
      </c>
      <c r="J21" s="158">
        <v>2</v>
      </c>
      <c r="K21" s="158">
        <v>6</v>
      </c>
      <c r="L21" s="158">
        <v>2</v>
      </c>
      <c r="M21" s="158">
        <v>6</v>
      </c>
      <c r="N21" s="158">
        <v>2</v>
      </c>
      <c r="O21" s="158">
        <v>6</v>
      </c>
      <c r="P21" s="137">
        <v>0</v>
      </c>
      <c r="Q21" s="137">
        <v>0</v>
      </c>
      <c r="R21" s="292">
        <v>0</v>
      </c>
      <c r="S21" s="292">
        <v>0</v>
      </c>
      <c r="T21" s="158">
        <v>3</v>
      </c>
      <c r="U21" s="158">
        <v>5</v>
      </c>
      <c r="V21" s="158">
        <v>2</v>
      </c>
      <c r="W21" s="158">
        <v>6</v>
      </c>
      <c r="X21" s="158">
        <v>2</v>
      </c>
      <c r="Y21" s="158">
        <v>6</v>
      </c>
      <c r="Z21" s="158">
        <v>2</v>
      </c>
      <c r="AA21" s="158">
        <v>6</v>
      </c>
      <c r="AB21" s="158">
        <v>2</v>
      </c>
      <c r="AC21" s="158">
        <v>6</v>
      </c>
      <c r="AD21" s="137">
        <v>0</v>
      </c>
      <c r="AE21" s="137">
        <v>0</v>
      </c>
      <c r="AF21" s="292">
        <v>0</v>
      </c>
      <c r="AG21" s="292">
        <v>0</v>
      </c>
      <c r="AH21" s="158">
        <v>2</v>
      </c>
      <c r="AI21" s="158">
        <v>6</v>
      </c>
      <c r="AJ21" s="158">
        <v>2</v>
      </c>
      <c r="AK21" s="158">
        <v>6</v>
      </c>
      <c r="AL21" s="158">
        <v>2</v>
      </c>
      <c r="AM21" s="158">
        <v>6</v>
      </c>
      <c r="AN21" s="158">
        <v>2</v>
      </c>
      <c r="AO21" s="158">
        <v>6</v>
      </c>
      <c r="AP21" s="158">
        <v>2</v>
      </c>
      <c r="AQ21" s="158">
        <v>6</v>
      </c>
      <c r="AR21" s="137">
        <v>0</v>
      </c>
      <c r="AS21" s="137">
        <v>0</v>
      </c>
      <c r="AT21" s="292">
        <v>0</v>
      </c>
      <c r="AU21" s="292">
        <v>0</v>
      </c>
      <c r="AV21" s="158">
        <v>2</v>
      </c>
      <c r="AW21" s="158">
        <v>6</v>
      </c>
      <c r="AX21" s="158">
        <v>7</v>
      </c>
      <c r="AY21" s="158">
        <v>1</v>
      </c>
      <c r="AZ21" s="292">
        <v>0</v>
      </c>
      <c r="BA21" s="292">
        <v>0</v>
      </c>
      <c r="BB21" s="158">
        <v>3</v>
      </c>
      <c r="BC21" s="158">
        <v>5</v>
      </c>
      <c r="BD21" s="158">
        <v>2</v>
      </c>
      <c r="BE21" s="158">
        <v>6</v>
      </c>
      <c r="BF21" s="137">
        <v>0</v>
      </c>
      <c r="BG21" s="137">
        <v>0</v>
      </c>
      <c r="BH21" s="292">
        <v>0</v>
      </c>
      <c r="BI21" s="292">
        <v>0</v>
      </c>
      <c r="BJ21" s="158">
        <v>3</v>
      </c>
      <c r="BK21" s="158">
        <v>5</v>
      </c>
      <c r="BL21" s="158">
        <v>7</v>
      </c>
      <c r="BM21" s="158">
        <v>1</v>
      </c>
    </row>
    <row r="22" spans="1:66 16305:16305" x14ac:dyDescent="0.25">
      <c r="A22" s="67" t="s">
        <v>75</v>
      </c>
      <c r="B22" s="68"/>
      <c r="C22" s="8"/>
      <c r="D22" s="292">
        <v>0</v>
      </c>
      <c r="E22" s="292">
        <v>0</v>
      </c>
      <c r="F22" s="158">
        <v>6</v>
      </c>
      <c r="G22" s="158">
        <v>0</v>
      </c>
      <c r="H22" s="158">
        <v>6</v>
      </c>
      <c r="I22" s="158">
        <v>0</v>
      </c>
      <c r="J22" s="158">
        <v>6</v>
      </c>
      <c r="K22" s="158">
        <v>0</v>
      </c>
      <c r="L22" s="158">
        <v>6</v>
      </c>
      <c r="M22" s="158">
        <v>0</v>
      </c>
      <c r="N22" s="158">
        <v>6</v>
      </c>
      <c r="O22" s="158">
        <v>0</v>
      </c>
      <c r="P22" s="137">
        <v>0</v>
      </c>
      <c r="Q22" s="137">
        <v>0</v>
      </c>
      <c r="R22" s="292">
        <v>0</v>
      </c>
      <c r="S22" s="292">
        <v>0</v>
      </c>
      <c r="T22" s="158">
        <v>6</v>
      </c>
      <c r="U22" s="158">
        <v>0</v>
      </c>
      <c r="V22" s="158">
        <v>6</v>
      </c>
      <c r="W22" s="158">
        <v>0</v>
      </c>
      <c r="X22" s="158">
        <v>6</v>
      </c>
      <c r="Y22" s="158">
        <v>0</v>
      </c>
      <c r="Z22" s="158">
        <v>6</v>
      </c>
      <c r="AA22" s="158">
        <v>0</v>
      </c>
      <c r="AB22" s="158">
        <v>6</v>
      </c>
      <c r="AC22" s="158">
        <v>0</v>
      </c>
      <c r="AD22" s="137">
        <v>0</v>
      </c>
      <c r="AE22" s="137">
        <v>0</v>
      </c>
      <c r="AF22" s="292">
        <v>0</v>
      </c>
      <c r="AG22" s="292">
        <v>0</v>
      </c>
      <c r="AH22" s="158">
        <v>6</v>
      </c>
      <c r="AI22" s="158">
        <v>0</v>
      </c>
      <c r="AJ22" s="158">
        <v>6</v>
      </c>
      <c r="AK22" s="158">
        <v>0</v>
      </c>
      <c r="AL22" s="158">
        <v>6</v>
      </c>
      <c r="AM22" s="158">
        <v>0</v>
      </c>
      <c r="AN22" s="158">
        <v>6</v>
      </c>
      <c r="AO22" s="158">
        <v>0</v>
      </c>
      <c r="AP22" s="158">
        <v>6</v>
      </c>
      <c r="AQ22" s="158">
        <v>0</v>
      </c>
      <c r="AR22" s="137">
        <v>0</v>
      </c>
      <c r="AS22" s="137">
        <v>0</v>
      </c>
      <c r="AT22" s="292">
        <v>0</v>
      </c>
      <c r="AU22" s="292">
        <v>0</v>
      </c>
      <c r="AV22" s="158">
        <v>6</v>
      </c>
      <c r="AW22" s="158">
        <v>0</v>
      </c>
      <c r="AX22" s="158">
        <v>6</v>
      </c>
      <c r="AY22" s="158">
        <v>0</v>
      </c>
      <c r="AZ22" s="292">
        <v>0</v>
      </c>
      <c r="BA22" s="292">
        <v>0</v>
      </c>
      <c r="BB22" s="158">
        <v>6</v>
      </c>
      <c r="BC22" s="158">
        <v>0</v>
      </c>
      <c r="BD22" s="158">
        <v>6</v>
      </c>
      <c r="BE22" s="158">
        <v>0</v>
      </c>
      <c r="BF22" s="137">
        <v>0</v>
      </c>
      <c r="BG22" s="137">
        <v>0</v>
      </c>
      <c r="BH22" s="292">
        <v>0</v>
      </c>
      <c r="BI22" s="292">
        <v>0</v>
      </c>
      <c r="BJ22" s="158">
        <v>6</v>
      </c>
      <c r="BK22" s="158">
        <v>0</v>
      </c>
      <c r="BL22" s="158">
        <v>6</v>
      </c>
      <c r="BM22" s="158">
        <v>0</v>
      </c>
    </row>
    <row r="23" spans="1:66 16305:16305" x14ac:dyDescent="0.25">
      <c r="A23" s="67" t="s">
        <v>76</v>
      </c>
      <c r="B23" s="68"/>
      <c r="C23" s="8"/>
      <c r="D23" s="292">
        <v>0</v>
      </c>
      <c r="E23" s="292">
        <v>0</v>
      </c>
      <c r="F23" s="158">
        <v>0</v>
      </c>
      <c r="G23" s="158">
        <v>0</v>
      </c>
      <c r="H23" s="158">
        <v>0</v>
      </c>
      <c r="I23" s="158">
        <v>0</v>
      </c>
      <c r="J23" s="158">
        <v>0</v>
      </c>
      <c r="K23" s="158">
        <v>0</v>
      </c>
      <c r="L23" s="158">
        <v>0</v>
      </c>
      <c r="M23" s="158">
        <v>0</v>
      </c>
      <c r="N23" s="158">
        <v>0</v>
      </c>
      <c r="O23" s="158">
        <v>0</v>
      </c>
      <c r="P23" s="137">
        <v>0</v>
      </c>
      <c r="Q23" s="137">
        <v>0</v>
      </c>
      <c r="R23" s="292">
        <v>0</v>
      </c>
      <c r="S23" s="292">
        <v>0</v>
      </c>
      <c r="T23" s="158">
        <v>0</v>
      </c>
      <c r="U23" s="158">
        <v>0</v>
      </c>
      <c r="V23" s="158">
        <v>0</v>
      </c>
      <c r="W23" s="158">
        <v>0</v>
      </c>
      <c r="X23" s="158">
        <v>0</v>
      </c>
      <c r="Y23" s="158">
        <v>0</v>
      </c>
      <c r="Z23" s="158">
        <v>0</v>
      </c>
      <c r="AA23" s="158">
        <v>0</v>
      </c>
      <c r="AB23" s="158">
        <v>0</v>
      </c>
      <c r="AC23" s="158">
        <v>0</v>
      </c>
      <c r="AD23" s="137">
        <v>0</v>
      </c>
      <c r="AE23" s="137">
        <v>0</v>
      </c>
      <c r="AF23" s="292">
        <v>0</v>
      </c>
      <c r="AG23" s="292">
        <v>0</v>
      </c>
      <c r="AH23" s="158">
        <v>0</v>
      </c>
      <c r="AI23" s="158">
        <v>0</v>
      </c>
      <c r="AJ23" s="158">
        <v>0</v>
      </c>
      <c r="AK23" s="158">
        <v>0</v>
      </c>
      <c r="AL23" s="158">
        <v>0</v>
      </c>
      <c r="AM23" s="158">
        <v>0</v>
      </c>
      <c r="AN23" s="158">
        <v>0</v>
      </c>
      <c r="AO23" s="158">
        <v>0</v>
      </c>
      <c r="AP23" s="158">
        <v>0</v>
      </c>
      <c r="AQ23" s="158">
        <v>0</v>
      </c>
      <c r="AR23" s="137">
        <v>0</v>
      </c>
      <c r="AS23" s="137">
        <v>0</v>
      </c>
      <c r="AT23" s="292">
        <v>0</v>
      </c>
      <c r="AU23" s="292">
        <v>0</v>
      </c>
      <c r="AV23" s="158">
        <v>0</v>
      </c>
      <c r="AW23" s="158">
        <v>0</v>
      </c>
      <c r="AX23" s="158">
        <v>0</v>
      </c>
      <c r="AY23" s="158">
        <v>0</v>
      </c>
      <c r="AZ23" s="292">
        <v>0</v>
      </c>
      <c r="BA23" s="292">
        <v>0</v>
      </c>
      <c r="BB23" s="158">
        <v>0</v>
      </c>
      <c r="BC23" s="158">
        <v>0</v>
      </c>
      <c r="BD23" s="158">
        <v>0</v>
      </c>
      <c r="BE23" s="158">
        <v>0</v>
      </c>
      <c r="BF23" s="137">
        <v>0</v>
      </c>
      <c r="BG23" s="137">
        <v>0</v>
      </c>
      <c r="BH23" s="292">
        <v>0</v>
      </c>
      <c r="BI23" s="292">
        <v>0</v>
      </c>
      <c r="BJ23" s="158">
        <v>0</v>
      </c>
      <c r="BK23" s="158">
        <v>0</v>
      </c>
      <c r="BL23" s="158">
        <v>0</v>
      </c>
      <c r="BM23" s="158">
        <v>0</v>
      </c>
    </row>
    <row r="24" spans="1:66 16305:16305" ht="15.75" thickBot="1" x14ac:dyDescent="0.3">
      <c r="A24" s="67" t="s">
        <v>77</v>
      </c>
      <c r="B24" s="76"/>
      <c r="C24" s="8"/>
      <c r="D24" s="292">
        <v>0</v>
      </c>
      <c r="E24" s="292">
        <v>0</v>
      </c>
      <c r="F24" s="158">
        <v>5</v>
      </c>
      <c r="G24" s="158">
        <v>2</v>
      </c>
      <c r="H24" s="158">
        <v>5</v>
      </c>
      <c r="I24" s="158">
        <v>2</v>
      </c>
      <c r="J24" s="158">
        <v>5</v>
      </c>
      <c r="K24" s="158">
        <v>2</v>
      </c>
      <c r="L24" s="158">
        <v>5</v>
      </c>
      <c r="M24" s="158">
        <v>2</v>
      </c>
      <c r="N24" s="158">
        <v>5</v>
      </c>
      <c r="O24" s="158">
        <v>2</v>
      </c>
      <c r="P24" s="137">
        <v>0</v>
      </c>
      <c r="Q24" s="137">
        <v>0</v>
      </c>
      <c r="R24" s="292">
        <v>0</v>
      </c>
      <c r="S24" s="292">
        <v>0</v>
      </c>
      <c r="T24" s="158">
        <v>5</v>
      </c>
      <c r="U24" s="158">
        <v>2</v>
      </c>
      <c r="V24" s="158">
        <v>5</v>
      </c>
      <c r="W24" s="158">
        <v>2</v>
      </c>
      <c r="X24" s="158">
        <v>5</v>
      </c>
      <c r="Y24" s="158">
        <v>2</v>
      </c>
      <c r="Z24" s="158">
        <v>5</v>
      </c>
      <c r="AA24" s="158">
        <v>2</v>
      </c>
      <c r="AB24" s="158">
        <v>5</v>
      </c>
      <c r="AC24" s="158">
        <v>2</v>
      </c>
      <c r="AD24" s="137">
        <v>0</v>
      </c>
      <c r="AE24" s="137">
        <v>0</v>
      </c>
      <c r="AF24" s="292">
        <v>0</v>
      </c>
      <c r="AG24" s="292">
        <v>0</v>
      </c>
      <c r="AH24" s="158">
        <v>5</v>
      </c>
      <c r="AI24" s="158">
        <v>2</v>
      </c>
      <c r="AJ24" s="158">
        <v>5</v>
      </c>
      <c r="AK24" s="158">
        <v>2</v>
      </c>
      <c r="AL24" s="158">
        <v>5</v>
      </c>
      <c r="AM24" s="158">
        <v>2</v>
      </c>
      <c r="AN24" s="158">
        <v>5</v>
      </c>
      <c r="AO24" s="158">
        <v>2</v>
      </c>
      <c r="AP24" s="158">
        <v>5</v>
      </c>
      <c r="AQ24" s="158">
        <v>2</v>
      </c>
      <c r="AR24" s="137">
        <v>0</v>
      </c>
      <c r="AS24" s="137">
        <v>0</v>
      </c>
      <c r="AT24" s="292">
        <v>0</v>
      </c>
      <c r="AU24" s="292">
        <v>0</v>
      </c>
      <c r="AV24" s="158">
        <v>5</v>
      </c>
      <c r="AW24" s="158">
        <v>2</v>
      </c>
      <c r="AX24" s="158">
        <v>5</v>
      </c>
      <c r="AY24" s="158">
        <v>2</v>
      </c>
      <c r="AZ24" s="292">
        <v>0</v>
      </c>
      <c r="BA24" s="292">
        <v>0</v>
      </c>
      <c r="BB24" s="158">
        <v>5</v>
      </c>
      <c r="BC24" s="158">
        <v>2</v>
      </c>
      <c r="BD24" s="158">
        <v>5</v>
      </c>
      <c r="BE24" s="158">
        <v>2</v>
      </c>
      <c r="BF24" s="137">
        <v>0</v>
      </c>
      <c r="BG24" s="137">
        <v>0</v>
      </c>
      <c r="BH24" s="292">
        <v>0</v>
      </c>
      <c r="BI24" s="292">
        <v>0</v>
      </c>
      <c r="BJ24" s="158">
        <v>5</v>
      </c>
      <c r="BK24" s="158">
        <v>2</v>
      </c>
      <c r="BL24" s="158">
        <v>3</v>
      </c>
      <c r="BM24" s="158">
        <v>4</v>
      </c>
    </row>
    <row r="25" spans="1:66 16305:16305" x14ac:dyDescent="0.25">
      <c r="A25" s="54"/>
      <c r="B25" s="54"/>
      <c r="C25" s="8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</row>
    <row r="26" spans="1:66 16305:16305" ht="15.75" thickBot="1" x14ac:dyDescent="0.3">
      <c r="C26" s="8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</row>
    <row r="27" spans="1:66 16305:16305" ht="15.75" thickBot="1" x14ac:dyDescent="0.3">
      <c r="C27" s="8"/>
      <c r="D27" s="293">
        <f t="shared" ref="D27:AI27" si="0">SUM(D3:D24)</f>
        <v>48</v>
      </c>
      <c r="E27" s="293">
        <f t="shared" si="0"/>
        <v>31</v>
      </c>
      <c r="F27" s="138">
        <f t="shared" si="0"/>
        <v>138</v>
      </c>
      <c r="G27" s="138">
        <f t="shared" si="0"/>
        <v>85</v>
      </c>
      <c r="H27" s="138">
        <f t="shared" si="0"/>
        <v>140</v>
      </c>
      <c r="I27" s="138">
        <f t="shared" si="0"/>
        <v>83</v>
      </c>
      <c r="J27" s="138">
        <f t="shared" si="0"/>
        <v>140</v>
      </c>
      <c r="K27" s="138">
        <f t="shared" si="0"/>
        <v>83</v>
      </c>
      <c r="L27" s="138">
        <f t="shared" si="0"/>
        <v>140</v>
      </c>
      <c r="M27" s="138">
        <f t="shared" si="0"/>
        <v>83</v>
      </c>
      <c r="N27" s="138">
        <f t="shared" si="0"/>
        <v>142</v>
      </c>
      <c r="O27" s="138">
        <f t="shared" si="0"/>
        <v>82</v>
      </c>
      <c r="P27" s="319">
        <f t="shared" si="0"/>
        <v>144</v>
      </c>
      <c r="Q27" s="319">
        <f t="shared" si="0"/>
        <v>3</v>
      </c>
      <c r="R27" s="293">
        <f t="shared" si="0"/>
        <v>104</v>
      </c>
      <c r="S27" s="293">
        <f t="shared" si="0"/>
        <v>7</v>
      </c>
      <c r="T27" s="138">
        <f t="shared" si="0"/>
        <v>145</v>
      </c>
      <c r="U27" s="138">
        <f t="shared" si="0"/>
        <v>77</v>
      </c>
      <c r="V27" s="138">
        <f t="shared" si="0"/>
        <v>142</v>
      </c>
      <c r="W27" s="138">
        <f t="shared" si="0"/>
        <v>81</v>
      </c>
      <c r="X27" s="138">
        <f t="shared" si="0"/>
        <v>140</v>
      </c>
      <c r="Y27" s="138">
        <f t="shared" si="0"/>
        <v>83</v>
      </c>
      <c r="Z27" s="138">
        <f t="shared" si="0"/>
        <v>144</v>
      </c>
      <c r="AA27" s="138">
        <f t="shared" si="0"/>
        <v>79</v>
      </c>
      <c r="AB27" s="138">
        <f t="shared" si="0"/>
        <v>140</v>
      </c>
      <c r="AC27" s="138">
        <f t="shared" si="0"/>
        <v>83</v>
      </c>
      <c r="AD27" s="319">
        <f t="shared" si="0"/>
        <v>82</v>
      </c>
      <c r="AE27" s="319">
        <f t="shared" si="0"/>
        <v>66</v>
      </c>
      <c r="AF27" s="293">
        <f t="shared" si="0"/>
        <v>53</v>
      </c>
      <c r="AG27" s="293">
        <f t="shared" si="0"/>
        <v>59</v>
      </c>
      <c r="AH27" s="138">
        <f t="shared" si="0"/>
        <v>142</v>
      </c>
      <c r="AI27" s="138">
        <f t="shared" si="0"/>
        <v>81</v>
      </c>
      <c r="AJ27" s="138">
        <f t="shared" ref="AJ27:BM27" si="1">SUM(AJ3:AJ24)</f>
        <v>140</v>
      </c>
      <c r="AK27" s="138">
        <f t="shared" si="1"/>
        <v>83</v>
      </c>
      <c r="AL27" s="138">
        <f t="shared" si="1"/>
        <v>144</v>
      </c>
      <c r="AM27" s="312">
        <f t="shared" si="1"/>
        <v>79</v>
      </c>
      <c r="AN27" s="313">
        <f t="shared" si="1"/>
        <v>142</v>
      </c>
      <c r="AO27" s="313">
        <f t="shared" si="1"/>
        <v>81</v>
      </c>
      <c r="AP27" s="318">
        <f t="shared" si="1"/>
        <v>143</v>
      </c>
      <c r="AQ27" s="138">
        <f t="shared" si="1"/>
        <v>79</v>
      </c>
      <c r="AR27" s="319">
        <f t="shared" si="1"/>
        <v>142</v>
      </c>
      <c r="AS27" s="319">
        <f t="shared" si="1"/>
        <v>5</v>
      </c>
      <c r="AT27" s="293">
        <f t="shared" si="1"/>
        <v>108</v>
      </c>
      <c r="AU27" s="293">
        <f t="shared" si="1"/>
        <v>3</v>
      </c>
      <c r="AV27" s="138">
        <f t="shared" si="1"/>
        <v>148</v>
      </c>
      <c r="AW27" s="138">
        <f t="shared" si="1"/>
        <v>75</v>
      </c>
      <c r="AX27" s="138">
        <f t="shared" si="1"/>
        <v>136</v>
      </c>
      <c r="AY27" s="138">
        <f t="shared" si="1"/>
        <v>87</v>
      </c>
      <c r="AZ27" s="293">
        <f t="shared" si="1"/>
        <v>108</v>
      </c>
      <c r="BA27" s="293">
        <f t="shared" si="1"/>
        <v>3</v>
      </c>
      <c r="BB27" s="138">
        <f t="shared" si="1"/>
        <v>142</v>
      </c>
      <c r="BC27" s="138">
        <f t="shared" si="1"/>
        <v>81</v>
      </c>
      <c r="BD27" s="138">
        <f t="shared" si="1"/>
        <v>142</v>
      </c>
      <c r="BE27" s="138">
        <f t="shared" si="1"/>
        <v>81</v>
      </c>
      <c r="BF27" s="319">
        <f t="shared" si="1"/>
        <v>144</v>
      </c>
      <c r="BG27" s="319">
        <f t="shared" si="1"/>
        <v>3</v>
      </c>
      <c r="BH27" s="293">
        <f t="shared" si="1"/>
        <v>108</v>
      </c>
      <c r="BI27" s="293">
        <f t="shared" si="1"/>
        <v>3</v>
      </c>
      <c r="BJ27" s="138">
        <f t="shared" si="1"/>
        <v>111</v>
      </c>
      <c r="BK27" s="138">
        <f t="shared" si="1"/>
        <v>80</v>
      </c>
      <c r="BL27" s="138">
        <f t="shared" si="1"/>
        <v>116</v>
      </c>
      <c r="BM27" s="138">
        <f t="shared" si="1"/>
        <v>107</v>
      </c>
      <c r="XCC27" s="64"/>
    </row>
    <row r="28" spans="1:66 16305:16305" x14ac:dyDescent="0.25">
      <c r="C28" s="8"/>
      <c r="L28" s="126"/>
      <c r="Z28" s="126"/>
      <c r="AA28" s="126"/>
      <c r="AB28" s="126"/>
      <c r="AC28" s="126"/>
      <c r="AG28" s="126"/>
      <c r="AH28" s="126"/>
      <c r="AI28" s="126"/>
      <c r="AJ28" s="126"/>
      <c r="AR28" s="55"/>
      <c r="AS28" s="55"/>
      <c r="AT28" s="55"/>
      <c r="AU28" s="55"/>
      <c r="AV28" s="55"/>
      <c r="AW28" s="55"/>
      <c r="AX28" s="55"/>
      <c r="AY28" s="55"/>
      <c r="AZ28" s="55"/>
      <c r="BH28" s="55"/>
      <c r="BI28" s="55"/>
      <c r="BJ28" s="55"/>
      <c r="BK28" s="55"/>
      <c r="BL28" s="55"/>
      <c r="BM28" s="55"/>
    </row>
    <row r="29" spans="1:66 16305:16305" ht="18" x14ac:dyDescent="0.25">
      <c r="C29" s="8"/>
      <c r="L29" s="126"/>
      <c r="Z29" s="56"/>
      <c r="AJ29" s="126"/>
      <c r="AR29" s="55"/>
      <c r="AS29" s="55"/>
      <c r="AT29" s="55"/>
      <c r="AU29" s="55"/>
      <c r="AV29" s="55"/>
      <c r="AW29" s="55"/>
      <c r="AX29" s="55"/>
      <c r="AY29" s="55"/>
      <c r="AZ29" s="55"/>
      <c r="BH29" s="55"/>
      <c r="BI29" s="55"/>
      <c r="BJ29" s="55"/>
      <c r="BK29" s="55"/>
      <c r="BL29" s="55"/>
      <c r="BM29" s="55"/>
    </row>
    <row r="30" spans="1:66 16305:16305" x14ac:dyDescent="0.25">
      <c r="C30" s="8"/>
      <c r="F30" s="126"/>
      <c r="G30" s="126"/>
      <c r="H30" s="126"/>
      <c r="I30" s="126"/>
      <c r="J30" s="8"/>
      <c r="K30" s="8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J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</row>
    <row r="31" spans="1:66 16305:16305" x14ac:dyDescent="0.25">
      <c r="C31" s="8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J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</row>
    <row r="32" spans="1:66 16305:16305" x14ac:dyDescent="0.25">
      <c r="C32" s="8"/>
      <c r="L32" s="126"/>
      <c r="AJ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</row>
    <row r="33" spans="1:65" x14ac:dyDescent="0.25">
      <c r="A33" s="57" t="s">
        <v>78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</row>
    <row r="34" spans="1:65" x14ac:dyDescent="0.25">
      <c r="A34" t="s">
        <v>79</v>
      </c>
      <c r="C34" s="8"/>
      <c r="D34" s="58">
        <f t="shared" ref="D34:AI34" si="2">D5+D12+D21</f>
        <v>23</v>
      </c>
      <c r="E34" s="285">
        <f t="shared" si="2"/>
        <v>16</v>
      </c>
      <c r="F34" s="58">
        <f t="shared" si="2"/>
        <v>41</v>
      </c>
      <c r="G34" s="58">
        <f t="shared" si="2"/>
        <v>38</v>
      </c>
      <c r="H34" s="58">
        <f t="shared" si="2"/>
        <v>42</v>
      </c>
      <c r="I34" s="58">
        <f t="shared" si="2"/>
        <v>37</v>
      </c>
      <c r="J34" s="58">
        <f t="shared" si="2"/>
        <v>42</v>
      </c>
      <c r="K34" s="58">
        <f t="shared" si="2"/>
        <v>37</v>
      </c>
      <c r="L34" s="152">
        <f t="shared" si="2"/>
        <v>42</v>
      </c>
      <c r="M34" s="58">
        <f t="shared" si="2"/>
        <v>37</v>
      </c>
      <c r="N34" s="58">
        <f t="shared" si="2"/>
        <v>43</v>
      </c>
      <c r="O34" s="276">
        <f t="shared" si="2"/>
        <v>36</v>
      </c>
      <c r="P34" s="58">
        <f t="shared" si="2"/>
        <v>69</v>
      </c>
      <c r="Q34" s="58">
        <f t="shared" si="2"/>
        <v>3</v>
      </c>
      <c r="R34" s="225">
        <f t="shared" si="2"/>
        <v>49</v>
      </c>
      <c r="S34" s="58">
        <f t="shared" si="2"/>
        <v>5</v>
      </c>
      <c r="T34" s="58">
        <f t="shared" si="2"/>
        <v>44</v>
      </c>
      <c r="U34" s="58">
        <f t="shared" si="2"/>
        <v>35</v>
      </c>
      <c r="V34" s="58">
        <f t="shared" si="2"/>
        <v>43</v>
      </c>
      <c r="W34" s="58">
        <f t="shared" si="2"/>
        <v>36</v>
      </c>
      <c r="X34" s="58">
        <f t="shared" si="2"/>
        <v>42</v>
      </c>
      <c r="Y34" s="58">
        <f t="shared" si="2"/>
        <v>37</v>
      </c>
      <c r="Z34" s="116">
        <f t="shared" si="2"/>
        <v>43</v>
      </c>
      <c r="AA34" s="116">
        <f t="shared" si="2"/>
        <v>36</v>
      </c>
      <c r="AB34" s="117">
        <f t="shared" si="2"/>
        <v>41</v>
      </c>
      <c r="AC34" s="117">
        <f t="shared" si="2"/>
        <v>38</v>
      </c>
      <c r="AD34" s="58">
        <f t="shared" si="2"/>
        <v>39</v>
      </c>
      <c r="AE34" s="58">
        <f t="shared" si="2"/>
        <v>34</v>
      </c>
      <c r="AF34" s="58">
        <f t="shared" si="2"/>
        <v>23</v>
      </c>
      <c r="AG34" s="251">
        <f t="shared" si="2"/>
        <v>32</v>
      </c>
      <c r="AH34" s="251">
        <f t="shared" si="2"/>
        <v>42</v>
      </c>
      <c r="AI34" s="251">
        <f t="shared" si="2"/>
        <v>37</v>
      </c>
      <c r="AJ34" s="251">
        <f t="shared" ref="AJ34:BM34" si="3">AJ5+AJ12+AJ21</f>
        <v>42</v>
      </c>
      <c r="AK34" s="251">
        <f t="shared" si="3"/>
        <v>37</v>
      </c>
      <c r="AL34" s="251">
        <f t="shared" si="3"/>
        <v>44</v>
      </c>
      <c r="AM34" s="251">
        <f t="shared" si="3"/>
        <v>35</v>
      </c>
      <c r="AN34" s="251">
        <f t="shared" si="3"/>
        <v>43</v>
      </c>
      <c r="AO34" s="251">
        <f t="shared" si="3"/>
        <v>36</v>
      </c>
      <c r="AP34" s="251">
        <f t="shared" si="3"/>
        <v>44</v>
      </c>
      <c r="AQ34" s="251">
        <f t="shared" si="3"/>
        <v>35</v>
      </c>
      <c r="AR34" s="251">
        <f t="shared" si="3"/>
        <v>68</v>
      </c>
      <c r="AS34" s="251">
        <f t="shared" si="3"/>
        <v>4</v>
      </c>
      <c r="AT34" s="248">
        <f t="shared" si="3"/>
        <v>51</v>
      </c>
      <c r="AU34" s="58">
        <f t="shared" si="3"/>
        <v>3</v>
      </c>
      <c r="AV34" s="149">
        <f t="shared" si="3"/>
        <v>45</v>
      </c>
      <c r="AW34" s="58">
        <f t="shared" si="3"/>
        <v>34</v>
      </c>
      <c r="AX34" s="58">
        <f t="shared" si="3"/>
        <v>40</v>
      </c>
      <c r="AY34" s="268">
        <f t="shared" si="3"/>
        <v>39</v>
      </c>
      <c r="AZ34" s="58">
        <f t="shared" si="3"/>
        <v>51</v>
      </c>
      <c r="BA34" s="269">
        <f t="shared" si="3"/>
        <v>3</v>
      </c>
      <c r="BB34" s="284">
        <f t="shared" si="3"/>
        <v>42</v>
      </c>
      <c r="BC34" s="284">
        <f t="shared" si="3"/>
        <v>37</v>
      </c>
      <c r="BD34" s="282">
        <f t="shared" si="3"/>
        <v>43</v>
      </c>
      <c r="BE34" s="282">
        <f t="shared" si="3"/>
        <v>36</v>
      </c>
      <c r="BF34" s="175">
        <f t="shared" si="3"/>
        <v>69</v>
      </c>
      <c r="BG34" s="175">
        <f t="shared" si="3"/>
        <v>3</v>
      </c>
      <c r="BH34" s="243">
        <f t="shared" si="3"/>
        <v>51</v>
      </c>
      <c r="BI34" s="243">
        <f t="shared" si="3"/>
        <v>3</v>
      </c>
      <c r="BJ34" s="316">
        <f t="shared" si="3"/>
        <v>34</v>
      </c>
      <c r="BK34" s="316">
        <f t="shared" si="3"/>
        <v>36</v>
      </c>
      <c r="BL34" s="305">
        <f t="shared" si="3"/>
        <v>29</v>
      </c>
      <c r="BM34" s="305">
        <f t="shared" si="3"/>
        <v>50</v>
      </c>
    </row>
    <row r="35" spans="1:65" x14ac:dyDescent="0.25">
      <c r="A35" t="s">
        <v>80</v>
      </c>
      <c r="C35" s="8"/>
      <c r="D35" s="285">
        <f t="shared" ref="D35:AI35" si="4">D8+D15+D24</f>
        <v>25</v>
      </c>
      <c r="E35" s="285">
        <f t="shared" si="4"/>
        <v>15</v>
      </c>
      <c r="F35" s="58">
        <f t="shared" si="4"/>
        <v>39</v>
      </c>
      <c r="G35" s="58">
        <f t="shared" si="4"/>
        <v>39</v>
      </c>
      <c r="H35" s="58">
        <f t="shared" si="4"/>
        <v>40</v>
      </c>
      <c r="I35" s="58">
        <f t="shared" si="4"/>
        <v>38</v>
      </c>
      <c r="J35" s="58">
        <f t="shared" si="4"/>
        <v>40</v>
      </c>
      <c r="K35" s="58">
        <f t="shared" si="4"/>
        <v>38</v>
      </c>
      <c r="L35" s="152">
        <f t="shared" si="4"/>
        <v>40</v>
      </c>
      <c r="M35" s="58">
        <f t="shared" si="4"/>
        <v>38</v>
      </c>
      <c r="N35" s="58">
        <f t="shared" si="4"/>
        <v>41</v>
      </c>
      <c r="O35" s="276">
        <f t="shared" si="4"/>
        <v>38</v>
      </c>
      <c r="P35" s="58">
        <f t="shared" si="4"/>
        <v>75</v>
      </c>
      <c r="Q35" s="58">
        <f t="shared" si="4"/>
        <v>0</v>
      </c>
      <c r="R35" s="225">
        <f t="shared" si="4"/>
        <v>55</v>
      </c>
      <c r="S35" s="58">
        <f t="shared" si="4"/>
        <v>2</v>
      </c>
      <c r="T35" s="58">
        <f t="shared" si="4"/>
        <v>42</v>
      </c>
      <c r="U35" s="285">
        <f t="shared" si="4"/>
        <v>36</v>
      </c>
      <c r="V35" s="58">
        <f t="shared" si="4"/>
        <v>41</v>
      </c>
      <c r="W35" s="58">
        <f t="shared" si="4"/>
        <v>37</v>
      </c>
      <c r="X35" s="58">
        <f t="shared" si="4"/>
        <v>40</v>
      </c>
      <c r="Y35" s="58">
        <f t="shared" si="4"/>
        <v>38</v>
      </c>
      <c r="Z35" s="116">
        <f t="shared" si="4"/>
        <v>41</v>
      </c>
      <c r="AA35" s="116">
        <f t="shared" si="4"/>
        <v>37</v>
      </c>
      <c r="AB35" s="117">
        <f t="shared" si="4"/>
        <v>41</v>
      </c>
      <c r="AC35" s="117">
        <f t="shared" si="4"/>
        <v>37</v>
      </c>
      <c r="AD35" s="58">
        <f t="shared" si="4"/>
        <v>43</v>
      </c>
      <c r="AE35" s="264">
        <f t="shared" si="4"/>
        <v>32</v>
      </c>
      <c r="AF35" s="265">
        <f t="shared" si="4"/>
        <v>30</v>
      </c>
      <c r="AG35" s="251">
        <f t="shared" si="4"/>
        <v>27</v>
      </c>
      <c r="AH35" s="251">
        <f t="shared" si="4"/>
        <v>40</v>
      </c>
      <c r="AI35" s="251">
        <f t="shared" si="4"/>
        <v>38</v>
      </c>
      <c r="AJ35" s="251">
        <f t="shared" ref="AJ35:BM35" si="5">AJ8+AJ15+AJ24</f>
        <v>40</v>
      </c>
      <c r="AK35" s="251">
        <f t="shared" si="5"/>
        <v>38</v>
      </c>
      <c r="AL35" s="251">
        <f t="shared" si="5"/>
        <v>42</v>
      </c>
      <c r="AM35" s="251">
        <f t="shared" si="5"/>
        <v>36</v>
      </c>
      <c r="AN35" s="251">
        <f t="shared" si="5"/>
        <v>41</v>
      </c>
      <c r="AO35" s="251">
        <f t="shared" si="5"/>
        <v>37</v>
      </c>
      <c r="AP35" s="251">
        <f t="shared" si="5"/>
        <v>42</v>
      </c>
      <c r="AQ35" s="251">
        <f t="shared" si="5"/>
        <v>36</v>
      </c>
      <c r="AR35" s="251">
        <f t="shared" si="5"/>
        <v>74</v>
      </c>
      <c r="AS35" s="251">
        <f t="shared" si="5"/>
        <v>1</v>
      </c>
      <c r="AT35" s="248">
        <f t="shared" si="5"/>
        <v>57</v>
      </c>
      <c r="AU35" s="58">
        <f t="shared" si="5"/>
        <v>0</v>
      </c>
      <c r="AV35" s="58">
        <f t="shared" si="5"/>
        <v>43</v>
      </c>
      <c r="AW35" s="58">
        <f t="shared" si="5"/>
        <v>35</v>
      </c>
      <c r="AX35" s="268">
        <f t="shared" si="5"/>
        <v>38</v>
      </c>
      <c r="AY35" s="268">
        <f t="shared" si="5"/>
        <v>40</v>
      </c>
      <c r="AZ35" s="269">
        <f t="shared" si="5"/>
        <v>57</v>
      </c>
      <c r="BA35" s="269">
        <f t="shared" si="5"/>
        <v>0</v>
      </c>
      <c r="BB35" s="284">
        <f t="shared" si="5"/>
        <v>40</v>
      </c>
      <c r="BC35" s="284">
        <f t="shared" si="5"/>
        <v>38</v>
      </c>
      <c r="BD35" s="282">
        <f t="shared" si="5"/>
        <v>41</v>
      </c>
      <c r="BE35" s="282">
        <f t="shared" si="5"/>
        <v>37</v>
      </c>
      <c r="BF35" s="175">
        <f t="shared" si="5"/>
        <v>75</v>
      </c>
      <c r="BG35" s="175">
        <f t="shared" si="5"/>
        <v>0</v>
      </c>
      <c r="BH35" s="243">
        <f t="shared" si="5"/>
        <v>57</v>
      </c>
      <c r="BI35" s="243">
        <f t="shared" si="5"/>
        <v>0</v>
      </c>
      <c r="BJ35" s="316">
        <f t="shared" si="5"/>
        <v>33</v>
      </c>
      <c r="BK35" s="316">
        <f t="shared" si="5"/>
        <v>36</v>
      </c>
      <c r="BL35" s="305">
        <f t="shared" si="5"/>
        <v>25</v>
      </c>
      <c r="BM35" s="305">
        <f t="shared" si="5"/>
        <v>51</v>
      </c>
    </row>
    <row r="36" spans="1:65" x14ac:dyDescent="0.25">
      <c r="A36" t="s">
        <v>81</v>
      </c>
      <c r="C36" s="8"/>
      <c r="D36" s="58">
        <f t="shared" ref="D36:AI36" si="6">D3+D10+D19</f>
        <v>0</v>
      </c>
      <c r="E36" s="285">
        <f t="shared" si="6"/>
        <v>0</v>
      </c>
      <c r="F36" s="58">
        <f t="shared" si="6"/>
        <v>29</v>
      </c>
      <c r="G36" s="58">
        <f t="shared" si="6"/>
        <v>4</v>
      </c>
      <c r="H36" s="58">
        <f t="shared" si="6"/>
        <v>29</v>
      </c>
      <c r="I36" s="58">
        <f t="shared" si="6"/>
        <v>4</v>
      </c>
      <c r="J36" s="58">
        <f t="shared" si="6"/>
        <v>29</v>
      </c>
      <c r="K36" s="58">
        <f t="shared" si="6"/>
        <v>4</v>
      </c>
      <c r="L36" s="152">
        <f t="shared" si="6"/>
        <v>29</v>
      </c>
      <c r="M36" s="58">
        <f t="shared" si="6"/>
        <v>4</v>
      </c>
      <c r="N36" s="58">
        <f t="shared" si="6"/>
        <v>29</v>
      </c>
      <c r="O36" s="58">
        <f t="shared" si="6"/>
        <v>4</v>
      </c>
      <c r="P36" s="58">
        <f t="shared" si="6"/>
        <v>0</v>
      </c>
      <c r="Q36" s="58">
        <f t="shared" si="6"/>
        <v>0</v>
      </c>
      <c r="R36" s="225">
        <f t="shared" si="6"/>
        <v>0</v>
      </c>
      <c r="S36" s="58">
        <f t="shared" si="6"/>
        <v>0</v>
      </c>
      <c r="T36" s="58">
        <f t="shared" si="6"/>
        <v>30</v>
      </c>
      <c r="U36" s="58">
        <f t="shared" si="6"/>
        <v>3</v>
      </c>
      <c r="V36" s="58">
        <f t="shared" si="6"/>
        <v>29</v>
      </c>
      <c r="W36" s="58">
        <f t="shared" si="6"/>
        <v>4</v>
      </c>
      <c r="X36" s="58">
        <f t="shared" si="6"/>
        <v>29</v>
      </c>
      <c r="Y36" s="58">
        <f t="shared" si="6"/>
        <v>4</v>
      </c>
      <c r="Z36" s="116">
        <f t="shared" si="6"/>
        <v>30</v>
      </c>
      <c r="AA36" s="116">
        <f t="shared" si="6"/>
        <v>3</v>
      </c>
      <c r="AB36" s="117">
        <f t="shared" si="6"/>
        <v>29</v>
      </c>
      <c r="AC36" s="117">
        <f t="shared" si="6"/>
        <v>4</v>
      </c>
      <c r="AD36" s="58">
        <f t="shared" si="6"/>
        <v>0</v>
      </c>
      <c r="AE36" s="264">
        <f t="shared" si="6"/>
        <v>0</v>
      </c>
      <c r="AF36" s="58">
        <f t="shared" si="6"/>
        <v>0</v>
      </c>
      <c r="AG36" s="265">
        <f t="shared" si="6"/>
        <v>0</v>
      </c>
      <c r="AH36" s="58">
        <f t="shared" si="6"/>
        <v>30</v>
      </c>
      <c r="AI36" s="58">
        <f t="shared" si="6"/>
        <v>3</v>
      </c>
      <c r="AJ36" s="278">
        <f t="shared" ref="AJ36:BM36" si="7">AJ3+AJ10+AJ19</f>
        <v>29</v>
      </c>
      <c r="AK36" s="58">
        <f t="shared" si="7"/>
        <v>4</v>
      </c>
      <c r="AL36" s="310">
        <f t="shared" si="7"/>
        <v>29</v>
      </c>
      <c r="AM36" s="310">
        <f t="shared" si="7"/>
        <v>4</v>
      </c>
      <c r="AN36" s="311">
        <f t="shared" si="7"/>
        <v>29</v>
      </c>
      <c r="AO36" s="311">
        <f t="shared" si="7"/>
        <v>4</v>
      </c>
      <c r="AP36" s="314">
        <f t="shared" si="7"/>
        <v>28</v>
      </c>
      <c r="AQ36" s="314">
        <f t="shared" si="7"/>
        <v>4</v>
      </c>
      <c r="AR36" s="315">
        <f t="shared" si="7"/>
        <v>0</v>
      </c>
      <c r="AS36" s="315">
        <f t="shared" si="7"/>
        <v>0</v>
      </c>
      <c r="AT36" s="58">
        <f t="shared" si="7"/>
        <v>0</v>
      </c>
      <c r="AU36" s="58">
        <f t="shared" si="7"/>
        <v>0</v>
      </c>
      <c r="AV36" s="58">
        <f t="shared" si="7"/>
        <v>30</v>
      </c>
      <c r="AW36" s="58">
        <f t="shared" si="7"/>
        <v>3</v>
      </c>
      <c r="AX36" s="268">
        <f t="shared" si="7"/>
        <v>29</v>
      </c>
      <c r="AY36" s="268">
        <f t="shared" si="7"/>
        <v>4</v>
      </c>
      <c r="AZ36" s="58">
        <f t="shared" si="7"/>
        <v>0</v>
      </c>
      <c r="BA36" s="269">
        <f t="shared" si="7"/>
        <v>0</v>
      </c>
      <c r="BB36" s="284">
        <f t="shared" si="7"/>
        <v>30</v>
      </c>
      <c r="BC36" s="284">
        <f t="shared" si="7"/>
        <v>3</v>
      </c>
      <c r="BD36" s="282">
        <f t="shared" si="7"/>
        <v>29</v>
      </c>
      <c r="BE36" s="282">
        <f t="shared" si="7"/>
        <v>4</v>
      </c>
      <c r="BF36" s="270">
        <f t="shared" si="7"/>
        <v>0</v>
      </c>
      <c r="BG36" s="175">
        <f t="shared" si="7"/>
        <v>0</v>
      </c>
      <c r="BH36" s="243">
        <f t="shared" si="7"/>
        <v>0</v>
      </c>
      <c r="BI36" s="243">
        <f t="shared" si="7"/>
        <v>0</v>
      </c>
      <c r="BJ36" s="316">
        <f t="shared" si="7"/>
        <v>20</v>
      </c>
      <c r="BK36" s="316">
        <f t="shared" si="7"/>
        <v>2</v>
      </c>
      <c r="BL36" s="305">
        <f t="shared" si="7"/>
        <v>31</v>
      </c>
      <c r="BM36" s="305">
        <f t="shared" si="7"/>
        <v>2</v>
      </c>
    </row>
    <row r="37" spans="1:65" x14ac:dyDescent="0.25">
      <c r="A37" t="s">
        <v>82</v>
      </c>
      <c r="C37" s="8"/>
      <c r="D37" s="58">
        <f t="shared" ref="D37:AI37" si="8">D6+D13+D22</f>
        <v>0</v>
      </c>
      <c r="E37" s="285">
        <f t="shared" si="8"/>
        <v>0</v>
      </c>
      <c r="F37" s="58">
        <f t="shared" si="8"/>
        <v>28</v>
      </c>
      <c r="G37" s="58">
        <f t="shared" si="8"/>
        <v>4</v>
      </c>
      <c r="H37" s="58">
        <f t="shared" si="8"/>
        <v>28</v>
      </c>
      <c r="I37" s="58">
        <f t="shared" si="8"/>
        <v>4</v>
      </c>
      <c r="J37" s="58">
        <f t="shared" si="8"/>
        <v>28</v>
      </c>
      <c r="K37" s="58">
        <f t="shared" si="8"/>
        <v>4</v>
      </c>
      <c r="L37" s="152">
        <f t="shared" si="8"/>
        <v>28</v>
      </c>
      <c r="M37" s="58">
        <f t="shared" si="8"/>
        <v>4</v>
      </c>
      <c r="N37" s="58">
        <f t="shared" si="8"/>
        <v>28</v>
      </c>
      <c r="O37" s="58">
        <f t="shared" si="8"/>
        <v>4</v>
      </c>
      <c r="P37" s="58">
        <f t="shared" si="8"/>
        <v>0</v>
      </c>
      <c r="Q37" s="58">
        <f t="shared" si="8"/>
        <v>0</v>
      </c>
      <c r="R37" s="225">
        <f t="shared" si="8"/>
        <v>0</v>
      </c>
      <c r="S37" s="58">
        <f t="shared" si="8"/>
        <v>0</v>
      </c>
      <c r="T37" s="58">
        <f t="shared" si="8"/>
        <v>28</v>
      </c>
      <c r="U37" s="285">
        <f t="shared" si="8"/>
        <v>3</v>
      </c>
      <c r="V37" s="58">
        <f t="shared" si="8"/>
        <v>28</v>
      </c>
      <c r="W37" s="58">
        <f t="shared" si="8"/>
        <v>4</v>
      </c>
      <c r="X37" s="58">
        <f t="shared" si="8"/>
        <v>28</v>
      </c>
      <c r="Y37" s="58">
        <f t="shared" si="8"/>
        <v>4</v>
      </c>
      <c r="Z37" s="116">
        <f t="shared" si="8"/>
        <v>29</v>
      </c>
      <c r="AA37" s="116">
        <f t="shared" si="8"/>
        <v>3</v>
      </c>
      <c r="AB37" s="117">
        <f t="shared" si="8"/>
        <v>28</v>
      </c>
      <c r="AC37" s="117">
        <f t="shared" si="8"/>
        <v>4</v>
      </c>
      <c r="AD37" s="58">
        <f t="shared" si="8"/>
        <v>0</v>
      </c>
      <c r="AE37" s="264">
        <f t="shared" si="8"/>
        <v>0</v>
      </c>
      <c r="AF37" s="58">
        <f t="shared" si="8"/>
        <v>0</v>
      </c>
      <c r="AG37" s="265">
        <f t="shared" si="8"/>
        <v>0</v>
      </c>
      <c r="AH37" s="58">
        <f t="shared" si="8"/>
        <v>29</v>
      </c>
      <c r="AI37" s="58">
        <f t="shared" si="8"/>
        <v>3</v>
      </c>
      <c r="AJ37" s="278">
        <f t="shared" ref="AJ37:BM37" si="9">AJ6+AJ13+AJ22</f>
        <v>28</v>
      </c>
      <c r="AK37" s="58">
        <f t="shared" si="9"/>
        <v>4</v>
      </c>
      <c r="AL37" s="310">
        <f t="shared" si="9"/>
        <v>28</v>
      </c>
      <c r="AM37" s="310">
        <f t="shared" si="9"/>
        <v>4</v>
      </c>
      <c r="AN37" s="311">
        <f t="shared" si="9"/>
        <v>28</v>
      </c>
      <c r="AO37" s="311">
        <f t="shared" si="9"/>
        <v>4</v>
      </c>
      <c r="AP37" s="314">
        <f t="shared" si="9"/>
        <v>28</v>
      </c>
      <c r="AQ37" s="314">
        <f t="shared" si="9"/>
        <v>4</v>
      </c>
      <c r="AR37" s="315">
        <f t="shared" si="9"/>
        <v>0</v>
      </c>
      <c r="AS37" s="315">
        <f t="shared" si="9"/>
        <v>0</v>
      </c>
      <c r="AT37" s="58">
        <f t="shared" si="9"/>
        <v>0</v>
      </c>
      <c r="AU37" s="58">
        <f t="shared" si="9"/>
        <v>0</v>
      </c>
      <c r="AV37" s="58">
        <f t="shared" si="9"/>
        <v>29</v>
      </c>
      <c r="AW37" s="58">
        <f t="shared" si="9"/>
        <v>3</v>
      </c>
      <c r="AX37" s="58">
        <f t="shared" si="9"/>
        <v>28</v>
      </c>
      <c r="AY37" s="268">
        <f t="shared" si="9"/>
        <v>4</v>
      </c>
      <c r="AZ37" s="58">
        <f t="shared" si="9"/>
        <v>0</v>
      </c>
      <c r="BA37" s="269">
        <f t="shared" si="9"/>
        <v>0</v>
      </c>
      <c r="BB37" s="284">
        <f t="shared" si="9"/>
        <v>29</v>
      </c>
      <c r="BC37" s="284">
        <f t="shared" si="9"/>
        <v>3</v>
      </c>
      <c r="BD37" s="282">
        <f t="shared" si="9"/>
        <v>28</v>
      </c>
      <c r="BE37" s="282">
        <f t="shared" si="9"/>
        <v>4</v>
      </c>
      <c r="BF37" s="175">
        <f t="shared" si="9"/>
        <v>0</v>
      </c>
      <c r="BG37" s="175">
        <f t="shared" si="9"/>
        <v>0</v>
      </c>
      <c r="BH37" s="243">
        <f t="shared" si="9"/>
        <v>0</v>
      </c>
      <c r="BI37" s="243">
        <f t="shared" si="9"/>
        <v>0</v>
      </c>
      <c r="BJ37" s="316">
        <f t="shared" si="9"/>
        <v>20</v>
      </c>
      <c r="BK37" s="316">
        <f t="shared" si="9"/>
        <v>2</v>
      </c>
      <c r="BL37" s="305">
        <f t="shared" si="9"/>
        <v>30</v>
      </c>
      <c r="BM37" s="305">
        <f t="shared" si="9"/>
        <v>2</v>
      </c>
    </row>
    <row r="38" spans="1:65" s="126" customFormat="1" x14ac:dyDescent="0.25">
      <c r="A38" s="126" t="s">
        <v>122</v>
      </c>
      <c r="C38" s="8"/>
      <c r="D38" s="156">
        <f t="shared" ref="D38:AI38" si="10">D4+D11+D20</f>
        <v>0</v>
      </c>
      <c r="E38" s="285">
        <f t="shared" si="10"/>
        <v>0</v>
      </c>
      <c r="F38" s="156">
        <f t="shared" si="10"/>
        <v>0</v>
      </c>
      <c r="G38" s="156">
        <f t="shared" si="10"/>
        <v>0</v>
      </c>
      <c r="H38" s="156">
        <f t="shared" si="10"/>
        <v>0</v>
      </c>
      <c r="I38" s="156">
        <f t="shared" si="10"/>
        <v>0</v>
      </c>
      <c r="J38" s="156">
        <f t="shared" si="10"/>
        <v>0</v>
      </c>
      <c r="K38" s="156">
        <f t="shared" si="10"/>
        <v>0</v>
      </c>
      <c r="L38" s="156">
        <f t="shared" si="10"/>
        <v>0</v>
      </c>
      <c r="M38" s="156">
        <f t="shared" si="10"/>
        <v>0</v>
      </c>
      <c r="N38" s="156">
        <f t="shared" si="10"/>
        <v>0</v>
      </c>
      <c r="O38" s="276">
        <f t="shared" si="10"/>
        <v>0</v>
      </c>
      <c r="P38" s="156">
        <f t="shared" si="10"/>
        <v>0</v>
      </c>
      <c r="Q38" s="156">
        <f t="shared" si="10"/>
        <v>0</v>
      </c>
      <c r="R38" s="225">
        <f t="shared" si="10"/>
        <v>0</v>
      </c>
      <c r="S38" s="156">
        <f t="shared" si="10"/>
        <v>0</v>
      </c>
      <c r="T38" s="156">
        <f t="shared" si="10"/>
        <v>0</v>
      </c>
      <c r="U38" s="156">
        <f t="shared" si="10"/>
        <v>0</v>
      </c>
      <c r="V38" s="156">
        <f t="shared" si="10"/>
        <v>0</v>
      </c>
      <c r="W38" s="156">
        <f t="shared" si="10"/>
        <v>0</v>
      </c>
      <c r="X38" s="156">
        <f t="shared" si="10"/>
        <v>0</v>
      </c>
      <c r="Y38" s="156">
        <f t="shared" si="10"/>
        <v>0</v>
      </c>
      <c r="Z38" s="156">
        <f t="shared" si="10"/>
        <v>0</v>
      </c>
      <c r="AA38" s="156">
        <f t="shared" si="10"/>
        <v>0</v>
      </c>
      <c r="AB38" s="156">
        <f t="shared" si="10"/>
        <v>0</v>
      </c>
      <c r="AC38" s="156">
        <f t="shared" si="10"/>
        <v>0</v>
      </c>
      <c r="AD38" s="156">
        <f t="shared" si="10"/>
        <v>0</v>
      </c>
      <c r="AE38" s="264">
        <f t="shared" si="10"/>
        <v>0</v>
      </c>
      <c r="AF38" s="156">
        <f t="shared" si="10"/>
        <v>0</v>
      </c>
      <c r="AG38" s="265">
        <f t="shared" si="10"/>
        <v>0</v>
      </c>
      <c r="AH38" s="156">
        <f t="shared" si="10"/>
        <v>0</v>
      </c>
      <c r="AI38" s="156">
        <f t="shared" si="10"/>
        <v>0</v>
      </c>
      <c r="AJ38" s="278">
        <f t="shared" ref="AJ38:BM38" si="11">AJ4+AJ11+AJ20</f>
        <v>0</v>
      </c>
      <c r="AK38" s="156">
        <f t="shared" si="11"/>
        <v>0</v>
      </c>
      <c r="AL38" s="310">
        <f t="shared" si="11"/>
        <v>0</v>
      </c>
      <c r="AM38" s="310">
        <f t="shared" si="11"/>
        <v>0</v>
      </c>
      <c r="AN38" s="311">
        <f t="shared" si="11"/>
        <v>0</v>
      </c>
      <c r="AO38" s="311">
        <f t="shared" si="11"/>
        <v>0</v>
      </c>
      <c r="AP38" s="314">
        <f t="shared" si="11"/>
        <v>0</v>
      </c>
      <c r="AQ38" s="314">
        <f t="shared" si="11"/>
        <v>0</v>
      </c>
      <c r="AR38" s="315">
        <f t="shared" si="11"/>
        <v>0</v>
      </c>
      <c r="AS38" s="315">
        <f t="shared" si="11"/>
        <v>0</v>
      </c>
      <c r="AT38" s="156">
        <f t="shared" si="11"/>
        <v>0</v>
      </c>
      <c r="AU38" s="156">
        <f t="shared" si="11"/>
        <v>0</v>
      </c>
      <c r="AV38" s="156">
        <f t="shared" si="11"/>
        <v>0</v>
      </c>
      <c r="AW38" s="156">
        <f t="shared" si="11"/>
        <v>0</v>
      </c>
      <c r="AX38" s="268">
        <f t="shared" si="11"/>
        <v>0</v>
      </c>
      <c r="AY38" s="268">
        <f t="shared" si="11"/>
        <v>0</v>
      </c>
      <c r="AZ38" s="156">
        <f t="shared" si="11"/>
        <v>0</v>
      </c>
      <c r="BA38" s="269">
        <f t="shared" si="11"/>
        <v>0</v>
      </c>
      <c r="BB38" s="284">
        <f t="shared" si="11"/>
        <v>0</v>
      </c>
      <c r="BC38" s="284">
        <f t="shared" si="11"/>
        <v>0</v>
      </c>
      <c r="BD38" s="282">
        <f t="shared" si="11"/>
        <v>0</v>
      </c>
      <c r="BE38" s="282">
        <f t="shared" si="11"/>
        <v>0</v>
      </c>
      <c r="BF38" s="175">
        <f t="shared" si="11"/>
        <v>0</v>
      </c>
      <c r="BG38" s="175">
        <f t="shared" si="11"/>
        <v>0</v>
      </c>
      <c r="BH38" s="243">
        <f t="shared" si="11"/>
        <v>0</v>
      </c>
      <c r="BI38" s="243">
        <f t="shared" si="11"/>
        <v>0</v>
      </c>
      <c r="BJ38" s="316">
        <f t="shared" si="11"/>
        <v>0</v>
      </c>
      <c r="BK38" s="316">
        <f t="shared" si="11"/>
        <v>0</v>
      </c>
      <c r="BL38" s="305">
        <f t="shared" si="11"/>
        <v>0</v>
      </c>
      <c r="BM38" s="305">
        <f t="shared" si="11"/>
        <v>0</v>
      </c>
    </row>
    <row r="39" spans="1:65" x14ac:dyDescent="0.25">
      <c r="A39" t="s">
        <v>35</v>
      </c>
      <c r="C39" s="8"/>
      <c r="D39" s="285">
        <f t="shared" ref="D39:AI39" si="12">D7+D14+D23</f>
        <v>0</v>
      </c>
      <c r="E39" s="285">
        <f t="shared" si="12"/>
        <v>0</v>
      </c>
      <c r="F39" s="58">
        <f t="shared" si="12"/>
        <v>1</v>
      </c>
      <c r="G39" s="58">
        <f t="shared" si="12"/>
        <v>0</v>
      </c>
      <c r="H39" s="58">
        <f t="shared" si="12"/>
        <v>1</v>
      </c>
      <c r="I39" s="58">
        <f t="shared" si="12"/>
        <v>0</v>
      </c>
      <c r="J39" s="58">
        <f t="shared" si="12"/>
        <v>1</v>
      </c>
      <c r="K39" s="58">
        <f t="shared" si="12"/>
        <v>0</v>
      </c>
      <c r="L39" s="152">
        <f t="shared" si="12"/>
        <v>1</v>
      </c>
      <c r="M39" s="58">
        <f t="shared" si="12"/>
        <v>0</v>
      </c>
      <c r="N39" s="58">
        <f t="shared" si="12"/>
        <v>1</v>
      </c>
      <c r="O39" s="276">
        <f t="shared" si="12"/>
        <v>0</v>
      </c>
      <c r="P39" s="58">
        <f t="shared" si="12"/>
        <v>0</v>
      </c>
      <c r="Q39" s="58">
        <f t="shared" si="12"/>
        <v>0</v>
      </c>
      <c r="R39" s="225">
        <f t="shared" si="12"/>
        <v>0</v>
      </c>
      <c r="S39" s="58">
        <f t="shared" si="12"/>
        <v>0</v>
      </c>
      <c r="T39" s="58">
        <f t="shared" si="12"/>
        <v>1</v>
      </c>
      <c r="U39" s="58">
        <f t="shared" si="12"/>
        <v>0</v>
      </c>
      <c r="V39" s="58">
        <f t="shared" si="12"/>
        <v>1</v>
      </c>
      <c r="W39" s="58">
        <f t="shared" si="12"/>
        <v>0</v>
      </c>
      <c r="X39" s="58">
        <f t="shared" si="12"/>
        <v>1</v>
      </c>
      <c r="Y39" s="58">
        <f t="shared" si="12"/>
        <v>0</v>
      </c>
      <c r="Z39" s="116">
        <f t="shared" si="12"/>
        <v>1</v>
      </c>
      <c r="AA39" s="116">
        <f t="shared" si="12"/>
        <v>0</v>
      </c>
      <c r="AB39" s="117">
        <f t="shared" si="12"/>
        <v>1</v>
      </c>
      <c r="AC39" s="117">
        <f t="shared" si="12"/>
        <v>0</v>
      </c>
      <c r="AD39" s="58">
        <f t="shared" si="12"/>
        <v>0</v>
      </c>
      <c r="AE39" s="264">
        <f t="shared" si="12"/>
        <v>0</v>
      </c>
      <c r="AF39" s="265">
        <f t="shared" si="12"/>
        <v>0</v>
      </c>
      <c r="AG39" s="265">
        <f t="shared" si="12"/>
        <v>0</v>
      </c>
      <c r="AH39" s="58">
        <f t="shared" si="12"/>
        <v>1</v>
      </c>
      <c r="AI39" s="58">
        <f t="shared" si="12"/>
        <v>0</v>
      </c>
      <c r="AJ39" s="278">
        <f t="shared" ref="AJ39:BM39" si="13">AJ7+AJ14+AJ23</f>
        <v>1</v>
      </c>
      <c r="AK39" s="58">
        <f t="shared" si="13"/>
        <v>0</v>
      </c>
      <c r="AL39" s="310">
        <f t="shared" si="13"/>
        <v>1</v>
      </c>
      <c r="AM39" s="310">
        <f t="shared" si="13"/>
        <v>0</v>
      </c>
      <c r="AN39" s="311">
        <f t="shared" si="13"/>
        <v>1</v>
      </c>
      <c r="AO39" s="311">
        <f t="shared" si="13"/>
        <v>0</v>
      </c>
      <c r="AP39" s="314">
        <f t="shared" si="13"/>
        <v>1</v>
      </c>
      <c r="AQ39" s="314">
        <f t="shared" si="13"/>
        <v>0</v>
      </c>
      <c r="AR39" s="315">
        <f t="shared" si="13"/>
        <v>0</v>
      </c>
      <c r="AS39" s="315">
        <f t="shared" si="13"/>
        <v>0</v>
      </c>
      <c r="AT39" s="58">
        <f t="shared" si="13"/>
        <v>0</v>
      </c>
      <c r="AU39" s="58">
        <f t="shared" si="13"/>
        <v>0</v>
      </c>
      <c r="AV39" s="58">
        <f t="shared" si="13"/>
        <v>1</v>
      </c>
      <c r="AW39" s="58">
        <f t="shared" si="13"/>
        <v>0</v>
      </c>
      <c r="AX39" s="268">
        <f t="shared" si="13"/>
        <v>1</v>
      </c>
      <c r="AY39" s="268">
        <f t="shared" si="13"/>
        <v>0</v>
      </c>
      <c r="AZ39" s="269">
        <f t="shared" si="13"/>
        <v>0</v>
      </c>
      <c r="BA39" s="269">
        <f t="shared" si="13"/>
        <v>0</v>
      </c>
      <c r="BB39" s="284">
        <f t="shared" si="13"/>
        <v>1</v>
      </c>
      <c r="BC39" s="284">
        <f t="shared" si="13"/>
        <v>0</v>
      </c>
      <c r="BD39" s="282">
        <f t="shared" si="13"/>
        <v>1</v>
      </c>
      <c r="BE39" s="282">
        <f t="shared" si="13"/>
        <v>0</v>
      </c>
      <c r="BF39" s="175">
        <f t="shared" si="13"/>
        <v>0</v>
      </c>
      <c r="BG39" s="175">
        <f t="shared" si="13"/>
        <v>0</v>
      </c>
      <c r="BH39" s="243">
        <f t="shared" si="13"/>
        <v>0</v>
      </c>
      <c r="BI39" s="243">
        <f t="shared" si="13"/>
        <v>0</v>
      </c>
      <c r="BJ39" s="316">
        <f t="shared" si="13"/>
        <v>0</v>
      </c>
      <c r="BK39" s="316">
        <f t="shared" si="13"/>
        <v>0</v>
      </c>
      <c r="BL39" s="305">
        <f t="shared" si="13"/>
        <v>1</v>
      </c>
      <c r="BM39" s="305">
        <f t="shared" si="13"/>
        <v>0</v>
      </c>
    </row>
    <row r="40" spans="1:65" s="126" customFormat="1" x14ac:dyDescent="0.25">
      <c r="A40" s="126" t="s">
        <v>174</v>
      </c>
      <c r="C40" s="8"/>
      <c r="D40" s="320"/>
      <c r="E40" s="320"/>
      <c r="F40" s="320"/>
      <c r="G40" s="320"/>
      <c r="H40" s="320"/>
      <c r="I40" s="320"/>
      <c r="J40" s="320"/>
      <c r="K40" s="320"/>
      <c r="L40" s="320"/>
      <c r="M40" s="320"/>
      <c r="N40" s="320"/>
      <c r="O40" s="276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Z40" s="320"/>
      <c r="AA40" s="320"/>
      <c r="AB40" s="320"/>
      <c r="AC40" s="320"/>
      <c r="AD40" s="320"/>
      <c r="AE40" s="320"/>
      <c r="AF40" s="320"/>
      <c r="AG40" s="320"/>
      <c r="AH40" s="320"/>
      <c r="AI40" s="320"/>
      <c r="AJ40" s="320"/>
      <c r="AK40" s="320"/>
      <c r="AL40" s="320"/>
      <c r="AM40" s="320"/>
      <c r="AN40" s="320"/>
      <c r="AO40" s="320"/>
      <c r="AP40" s="320"/>
      <c r="AQ40" s="320"/>
      <c r="AR40" s="320"/>
      <c r="AS40" s="320"/>
      <c r="AT40" s="320"/>
      <c r="AU40" s="320"/>
      <c r="AV40" s="320"/>
      <c r="AW40" s="320"/>
      <c r="AX40" s="320"/>
      <c r="AY40" s="320"/>
      <c r="AZ40" s="320"/>
      <c r="BA40" s="320"/>
      <c r="BB40" s="320"/>
      <c r="BC40" s="320"/>
      <c r="BD40" s="320"/>
      <c r="BE40" s="320"/>
      <c r="BF40" s="320"/>
      <c r="BG40" s="320"/>
      <c r="BH40" s="320"/>
      <c r="BI40" s="320"/>
      <c r="BJ40" s="320">
        <f>BJ16</f>
        <v>2</v>
      </c>
      <c r="BK40" s="320">
        <f>BK16</f>
        <v>1</v>
      </c>
      <c r="BL40" s="320"/>
      <c r="BM40" s="320"/>
    </row>
    <row r="41" spans="1:65" s="126" customFormat="1" x14ac:dyDescent="0.25">
      <c r="A41" s="126" t="s">
        <v>175</v>
      </c>
      <c r="C41" s="8"/>
      <c r="D41" s="320"/>
      <c r="E41" s="320"/>
      <c r="F41" s="320"/>
      <c r="G41" s="320"/>
      <c r="H41" s="320"/>
      <c r="I41" s="320"/>
      <c r="J41" s="320"/>
      <c r="K41" s="320"/>
      <c r="L41" s="320"/>
      <c r="M41" s="320"/>
      <c r="N41" s="320"/>
      <c r="O41" s="276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Z41" s="320"/>
      <c r="AA41" s="320"/>
      <c r="AB41" s="320"/>
      <c r="AC41" s="320"/>
      <c r="AD41" s="320"/>
      <c r="AE41" s="320"/>
      <c r="AF41" s="320"/>
      <c r="AG41" s="320"/>
      <c r="AH41" s="320"/>
      <c r="AI41" s="320"/>
      <c r="AJ41" s="320"/>
      <c r="AK41" s="320"/>
      <c r="AL41" s="320"/>
      <c r="AM41" s="320"/>
      <c r="AN41" s="320"/>
      <c r="AO41" s="320"/>
      <c r="AP41" s="320"/>
      <c r="AQ41" s="320"/>
      <c r="AR41" s="320"/>
      <c r="AS41" s="320"/>
      <c r="AT41" s="320"/>
      <c r="AU41" s="320"/>
      <c r="AV41" s="320"/>
      <c r="AW41" s="320"/>
      <c r="AX41" s="320"/>
      <c r="AY41" s="320"/>
      <c r="AZ41" s="320"/>
      <c r="BA41" s="320"/>
      <c r="BB41" s="320"/>
      <c r="BC41" s="320"/>
      <c r="BD41" s="320"/>
      <c r="BE41" s="320"/>
      <c r="BF41" s="320"/>
      <c r="BG41" s="320"/>
      <c r="BH41" s="320"/>
      <c r="BI41" s="320"/>
      <c r="BJ41" s="320">
        <f>BJ17</f>
        <v>2</v>
      </c>
      <c r="BK41" s="320">
        <f>BK17</f>
        <v>3</v>
      </c>
      <c r="BL41" s="320"/>
      <c r="BM41" s="320"/>
    </row>
    <row r="42" spans="1:65" s="126" customFormat="1" x14ac:dyDescent="0.25">
      <c r="A42" s="126" t="s">
        <v>183</v>
      </c>
      <c r="C42" s="8"/>
      <c r="D42" s="322"/>
      <c r="E42" s="322"/>
      <c r="F42" s="322"/>
      <c r="G42" s="322"/>
      <c r="H42" s="322"/>
      <c r="I42" s="322"/>
      <c r="J42" s="322"/>
      <c r="K42" s="322"/>
      <c r="L42" s="322"/>
      <c r="M42" s="322"/>
      <c r="N42" s="322"/>
      <c r="O42" s="276"/>
      <c r="P42" s="322"/>
      <c r="Q42" s="322"/>
      <c r="R42" s="322"/>
      <c r="S42" s="322"/>
      <c r="T42" s="322"/>
      <c r="U42" s="322"/>
      <c r="V42" s="322"/>
      <c r="W42" s="322"/>
      <c r="X42" s="322"/>
      <c r="Y42" s="322"/>
      <c r="Z42" s="322"/>
      <c r="AA42" s="322"/>
      <c r="AB42" s="322"/>
      <c r="AC42" s="322"/>
      <c r="AD42" s="322"/>
      <c r="AE42" s="322"/>
      <c r="AF42" s="322"/>
      <c r="AG42" s="322"/>
      <c r="AH42" s="322"/>
      <c r="AI42" s="322"/>
      <c r="AJ42" s="322"/>
      <c r="AK42" s="322"/>
      <c r="AL42" s="322"/>
      <c r="AM42" s="322"/>
      <c r="AN42" s="322"/>
      <c r="AO42" s="322"/>
      <c r="AP42" s="322"/>
      <c r="AQ42" s="322"/>
      <c r="AR42" s="322"/>
      <c r="AS42" s="322"/>
      <c r="AT42" s="322"/>
      <c r="AU42" s="322"/>
      <c r="AV42" s="322"/>
      <c r="AW42" s="322"/>
      <c r="AX42" s="322"/>
      <c r="AY42" s="322"/>
      <c r="AZ42" s="322"/>
      <c r="BA42" s="322"/>
      <c r="BB42" s="322"/>
      <c r="BC42" s="322"/>
      <c r="BD42" s="322"/>
      <c r="BE42" s="322"/>
      <c r="BF42" s="322"/>
      <c r="BG42" s="322"/>
      <c r="BH42" s="322"/>
      <c r="BI42" s="322"/>
      <c r="BJ42" s="322"/>
      <c r="BK42" s="322"/>
      <c r="BL42" s="322"/>
      <c r="BM42" s="322">
        <f>BM18</f>
        <v>2</v>
      </c>
    </row>
    <row r="43" spans="1:65" x14ac:dyDescent="0.25">
      <c r="A43" s="360" t="s">
        <v>83</v>
      </c>
      <c r="B43" s="360"/>
      <c r="C43" s="8"/>
      <c r="D43" s="151">
        <f t="shared" ref="D43:AI43" si="14">SUM(D34:D39)</f>
        <v>48</v>
      </c>
      <c r="E43" s="248">
        <f t="shared" si="14"/>
        <v>31</v>
      </c>
      <c r="F43" s="291">
        <f t="shared" si="14"/>
        <v>138</v>
      </c>
      <c r="G43" s="291">
        <f t="shared" si="14"/>
        <v>85</v>
      </c>
      <c r="H43" s="248">
        <f t="shared" si="14"/>
        <v>140</v>
      </c>
      <c r="I43" s="248">
        <f t="shared" si="14"/>
        <v>83</v>
      </c>
      <c r="J43" s="248">
        <f t="shared" si="14"/>
        <v>140</v>
      </c>
      <c r="K43" s="248">
        <f t="shared" si="14"/>
        <v>83</v>
      </c>
      <c r="L43" s="248">
        <f t="shared" si="14"/>
        <v>140</v>
      </c>
      <c r="M43" s="248">
        <f t="shared" si="14"/>
        <v>83</v>
      </c>
      <c r="N43" s="248">
        <f t="shared" si="14"/>
        <v>142</v>
      </c>
      <c r="O43" s="248">
        <f t="shared" si="14"/>
        <v>82</v>
      </c>
      <c r="P43" s="248">
        <f t="shared" si="14"/>
        <v>144</v>
      </c>
      <c r="Q43" s="248">
        <f t="shared" si="14"/>
        <v>3</v>
      </c>
      <c r="R43" s="248">
        <f t="shared" si="14"/>
        <v>104</v>
      </c>
      <c r="S43" s="248">
        <f t="shared" si="14"/>
        <v>7</v>
      </c>
      <c r="T43" s="248">
        <f>SUM(T34:T39)</f>
        <v>145</v>
      </c>
      <c r="U43" s="248">
        <f>SUM(U34:U39)</f>
        <v>77</v>
      </c>
      <c r="V43" s="248">
        <f>SUM(V34:V39)</f>
        <v>142</v>
      </c>
      <c r="W43" s="248">
        <f>SUM(W34:W39)</f>
        <v>81</v>
      </c>
      <c r="X43" s="248">
        <f t="shared" si="14"/>
        <v>140</v>
      </c>
      <c r="Y43" s="248">
        <f t="shared" si="14"/>
        <v>83</v>
      </c>
      <c r="Z43" s="248">
        <f t="shared" si="14"/>
        <v>144</v>
      </c>
      <c r="AA43" s="248">
        <f t="shared" si="14"/>
        <v>79</v>
      </c>
      <c r="AB43" s="248">
        <f t="shared" si="14"/>
        <v>140</v>
      </c>
      <c r="AC43" s="248">
        <f t="shared" si="14"/>
        <v>83</v>
      </c>
      <c r="AD43" s="248">
        <f t="shared" si="14"/>
        <v>82</v>
      </c>
      <c r="AE43" s="248">
        <f t="shared" si="14"/>
        <v>66</v>
      </c>
      <c r="AF43" s="248">
        <f t="shared" si="14"/>
        <v>53</v>
      </c>
      <c r="AG43" s="248">
        <f t="shared" si="14"/>
        <v>59</v>
      </c>
      <c r="AH43" s="248">
        <f t="shared" si="14"/>
        <v>142</v>
      </c>
      <c r="AI43" s="248">
        <f t="shared" si="14"/>
        <v>81</v>
      </c>
      <c r="AJ43" s="248">
        <f t="shared" ref="AJ43:BI43" si="15">SUM(AJ34:AJ39)</f>
        <v>140</v>
      </c>
      <c r="AK43" s="248">
        <f t="shared" si="15"/>
        <v>83</v>
      </c>
      <c r="AL43" s="248">
        <f t="shared" si="15"/>
        <v>144</v>
      </c>
      <c r="AM43" s="248">
        <f t="shared" si="15"/>
        <v>79</v>
      </c>
      <c r="AN43" s="248">
        <f t="shared" si="15"/>
        <v>142</v>
      </c>
      <c r="AO43" s="248">
        <f t="shared" si="15"/>
        <v>81</v>
      </c>
      <c r="AP43" s="299">
        <f t="shared" si="15"/>
        <v>143</v>
      </c>
      <c r="AQ43" s="299">
        <f t="shared" si="15"/>
        <v>79</v>
      </c>
      <c r="AR43" s="300">
        <f t="shared" si="15"/>
        <v>142</v>
      </c>
      <c r="AS43" s="300">
        <f t="shared" si="15"/>
        <v>5</v>
      </c>
      <c r="AT43" s="248">
        <f t="shared" si="15"/>
        <v>108</v>
      </c>
      <c r="AU43" s="248">
        <f t="shared" si="15"/>
        <v>3</v>
      </c>
      <c r="AV43" s="248">
        <f t="shared" si="15"/>
        <v>148</v>
      </c>
      <c r="AW43" s="248">
        <f t="shared" si="15"/>
        <v>75</v>
      </c>
      <c r="AX43" s="248">
        <f t="shared" si="15"/>
        <v>136</v>
      </c>
      <c r="AY43" s="248">
        <f t="shared" si="15"/>
        <v>87</v>
      </c>
      <c r="AZ43" s="248">
        <f t="shared" si="15"/>
        <v>108</v>
      </c>
      <c r="BA43" s="248">
        <f t="shared" si="15"/>
        <v>3</v>
      </c>
      <c r="BB43" s="248">
        <f t="shared" si="15"/>
        <v>142</v>
      </c>
      <c r="BC43" s="248">
        <f t="shared" si="15"/>
        <v>81</v>
      </c>
      <c r="BD43" s="248">
        <f t="shared" si="15"/>
        <v>142</v>
      </c>
      <c r="BE43" s="248">
        <f t="shared" si="15"/>
        <v>81</v>
      </c>
      <c r="BF43" s="248">
        <f t="shared" si="15"/>
        <v>144</v>
      </c>
      <c r="BG43" s="248">
        <f t="shared" si="15"/>
        <v>3</v>
      </c>
      <c r="BH43" s="248">
        <f t="shared" si="15"/>
        <v>108</v>
      </c>
      <c r="BI43" s="248">
        <f t="shared" si="15"/>
        <v>3</v>
      </c>
      <c r="BJ43" s="286">
        <f>SUM(BJ34:BJ41)</f>
        <v>111</v>
      </c>
      <c r="BK43" s="286">
        <f>SUM(BK34:BK41)</f>
        <v>80</v>
      </c>
      <c r="BL43" s="305">
        <f t="shared" ref="BL43" si="16">SUM(BL34:BL39)</f>
        <v>116</v>
      </c>
      <c r="BM43" s="305">
        <f>SUM(BM34:BM42)</f>
        <v>107</v>
      </c>
    </row>
    <row r="44" spans="1:65" x14ac:dyDescent="0.25">
      <c r="C44" s="8"/>
      <c r="L44" s="126"/>
      <c r="AR44" s="55"/>
      <c r="AS44" s="55"/>
      <c r="AT44" s="55"/>
      <c r="AU44" s="55"/>
      <c r="AV44" s="55"/>
      <c r="AW44" s="55"/>
      <c r="AX44" s="55"/>
      <c r="AY44" s="55"/>
      <c r="AZ44" s="55"/>
      <c r="BB44" s="55"/>
      <c r="BD44" s="55"/>
      <c r="BH44" s="55"/>
      <c r="BI44" s="55"/>
      <c r="BJ44" s="55"/>
      <c r="BK44" s="55"/>
      <c r="BL44" s="55"/>
      <c r="BM44" s="55"/>
    </row>
    <row r="45" spans="1:65" x14ac:dyDescent="0.25">
      <c r="A45" s="57" t="s">
        <v>84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9"/>
      <c r="AS45" s="59"/>
      <c r="AT45" s="59"/>
      <c r="AU45" s="59"/>
      <c r="AV45" s="59"/>
      <c r="AW45" s="59"/>
      <c r="AX45" s="59"/>
      <c r="AY45" s="59"/>
      <c r="AZ45" s="59"/>
      <c r="BA45" s="57"/>
      <c r="BB45" s="59"/>
      <c r="BC45" s="57"/>
      <c r="BD45" s="59"/>
      <c r="BE45" s="57"/>
      <c r="BF45" s="57"/>
      <c r="BG45" s="57"/>
      <c r="BH45" s="59"/>
      <c r="BI45" s="59"/>
      <c r="BJ45" s="59"/>
      <c r="BK45" s="59"/>
      <c r="BL45" s="59"/>
      <c r="BM45" s="59"/>
    </row>
    <row r="46" spans="1:65" x14ac:dyDescent="0.25">
      <c r="A46" t="s">
        <v>79</v>
      </c>
      <c r="C46" s="8"/>
      <c r="D46" s="58">
        <f>D5+E5+D12+E12+D21+E21</f>
        <v>39</v>
      </c>
      <c r="E46" s="58"/>
      <c r="F46" s="58">
        <f>F5+G5+F12+G12+F21+G21</f>
        <v>79</v>
      </c>
      <c r="G46" s="58"/>
      <c r="H46" s="58">
        <f>H5+I5+H12+I12+H21+I21</f>
        <v>79</v>
      </c>
      <c r="I46" s="58"/>
      <c r="J46" s="58">
        <f>J5+K5+J12+K12+J21+K21</f>
        <v>79</v>
      </c>
      <c r="K46" s="58"/>
      <c r="L46" s="152">
        <f>L5+M5+L12+M12+L21+M21</f>
        <v>79</v>
      </c>
      <c r="M46" s="58"/>
      <c r="N46" s="276">
        <f>N5+O5+N12+O12+N21+O21</f>
        <v>79</v>
      </c>
      <c r="O46" s="58"/>
      <c r="P46" s="58">
        <f>P5+Q5+P12+Q12+P21+Q21</f>
        <v>72</v>
      </c>
      <c r="Q46" s="58"/>
      <c r="R46" s="58">
        <f>R5+S5+R12+S12+R21+S21</f>
        <v>54</v>
      </c>
      <c r="S46" s="58"/>
      <c r="T46" s="58">
        <f>T5+U5+T12+U12+T21+U21</f>
        <v>79</v>
      </c>
      <c r="U46" s="58"/>
      <c r="V46" s="58">
        <f>V5+W5+V12+W12+V21+W21</f>
        <v>79</v>
      </c>
      <c r="W46" s="58"/>
      <c r="X46" s="58">
        <f>X5+Y5+X12+Y12+X21+Y21</f>
        <v>79</v>
      </c>
      <c r="Y46" s="58"/>
      <c r="Z46" s="118">
        <f>Z5+AA5+Z12+AA12+Z21+AA21</f>
        <v>79</v>
      </c>
      <c r="AA46" s="58"/>
      <c r="AB46" s="58">
        <f>AB5+AC5+AB12+AC12+AB21+AC21</f>
        <v>79</v>
      </c>
      <c r="AC46" s="58"/>
      <c r="AD46" s="58">
        <f>AD5+AE5+AD12+AE12+AD21+AE21</f>
        <v>73</v>
      </c>
      <c r="AE46" s="58"/>
      <c r="AF46" s="58">
        <f>AF5+AG5+AF12+AG12+AF21+AG21</f>
        <v>55</v>
      </c>
      <c r="AG46" s="58"/>
      <c r="AH46" s="58">
        <f>AH5+AI5+AH12+AI12+AH21+AI21</f>
        <v>79</v>
      </c>
      <c r="AI46" s="58"/>
      <c r="AJ46" s="58">
        <f>AJ5+AK5+AJ12+AK12+AJ21+AK21</f>
        <v>79</v>
      </c>
      <c r="AK46" s="58"/>
      <c r="AL46" s="58">
        <f>AL5+AM5+AL12+AM12+AL21+AM21</f>
        <v>79</v>
      </c>
      <c r="AM46" s="311"/>
      <c r="AN46" s="311">
        <f>AN5+AO5+AN12+AO12+AN21+AO21</f>
        <v>79</v>
      </c>
      <c r="AO46" s="314"/>
      <c r="AP46" s="314">
        <f>AP5+AQ5+AP12+AQ12+AP21+AQ21</f>
        <v>79</v>
      </c>
      <c r="AQ46" s="315"/>
      <c r="AR46" s="315">
        <f>AR5+AS5+AR12+AS12+AR21+AS21</f>
        <v>72</v>
      </c>
      <c r="AS46" s="58"/>
      <c r="AT46" s="253">
        <f>AT5+AU5+AT12+AU12+AT21+AU21</f>
        <v>54</v>
      </c>
      <c r="AU46" s="58"/>
      <c r="AV46" s="58">
        <f>AV5+AW5+AV12+AW12+AV21+AW21</f>
        <v>79</v>
      </c>
      <c r="AW46" s="58"/>
      <c r="AX46" s="58">
        <f>AX5+AY5+AX12+AY12+AX21+AY21</f>
        <v>79</v>
      </c>
      <c r="AY46" s="58"/>
      <c r="AZ46" s="58">
        <f>AZ5+BA5+AZ12+BA12+AZ21+BA21</f>
        <v>54</v>
      </c>
      <c r="BA46" s="58"/>
      <c r="BB46" s="284">
        <f>BB5+BC5+BB12+BC12+BB21+BC21</f>
        <v>79</v>
      </c>
      <c r="BC46" s="284"/>
      <c r="BD46" s="282">
        <f>BD5+BE5+BD12+BE12+BD21+BE21</f>
        <v>79</v>
      </c>
      <c r="BE46" s="282"/>
      <c r="BF46" s="58">
        <f>BF5+BG5+BF12+BG12+BF21+BG21</f>
        <v>72</v>
      </c>
      <c r="BG46" s="58"/>
      <c r="BH46" s="243">
        <f>BH5+BI5+BH12+BI12+BH21+BI21</f>
        <v>54</v>
      </c>
      <c r="BI46" s="316"/>
      <c r="BJ46" s="316">
        <f>BJ5+BK5+BJ12+BK12+BJ21+BK21</f>
        <v>70</v>
      </c>
      <c r="BK46" s="316"/>
      <c r="BL46" s="316">
        <f>BL5+BM5+BL12+BM12+BL21+BM21</f>
        <v>79</v>
      </c>
      <c r="BM46" s="316"/>
    </row>
    <row r="47" spans="1:65" x14ac:dyDescent="0.25">
      <c r="A47" t="s">
        <v>80</v>
      </c>
      <c r="C47" s="8"/>
      <c r="D47" s="285">
        <f>D8+E8+D15+E15+D24+E24</f>
        <v>40</v>
      </c>
      <c r="E47" s="58"/>
      <c r="F47" s="58">
        <f>F8+G8+F15+G15+F24+G24</f>
        <v>78</v>
      </c>
      <c r="G47" s="58"/>
      <c r="H47" s="58">
        <f>H8+I8+H15+I15+H24+I24</f>
        <v>78</v>
      </c>
      <c r="I47" s="58"/>
      <c r="J47" s="58">
        <f>J8+K8+J15+K15+J24+K24</f>
        <v>78</v>
      </c>
      <c r="K47" s="58"/>
      <c r="L47" s="58">
        <f>L8+M8+L15+M15+L24+M24</f>
        <v>78</v>
      </c>
      <c r="M47" s="58"/>
      <c r="N47" s="276">
        <f>N8+O8+N15+O15+N24+O24</f>
        <v>79</v>
      </c>
      <c r="O47" s="58"/>
      <c r="P47" s="58">
        <f>P8+Q8+P15+Q15+P24+Q24</f>
        <v>75</v>
      </c>
      <c r="Q47" s="58"/>
      <c r="R47" s="58">
        <f>R8+S8+R15+S15+R24+S24</f>
        <v>57</v>
      </c>
      <c r="S47" s="58"/>
      <c r="T47" s="58">
        <f>T8+U8+T15+U15+T24+U24</f>
        <v>78</v>
      </c>
      <c r="U47" s="58"/>
      <c r="V47" s="58">
        <f>V8+W8+V15+W15+V24+W24</f>
        <v>78</v>
      </c>
      <c r="W47" s="58"/>
      <c r="X47" s="58">
        <f>X8+Y8+X15+Y15+X24+Y24</f>
        <v>78</v>
      </c>
      <c r="Y47" s="58"/>
      <c r="Z47" s="118">
        <f>Z8+AA8+Z15+AA15+Z24+AA24</f>
        <v>78</v>
      </c>
      <c r="AA47" s="58"/>
      <c r="AB47" s="118">
        <f>AB8+AC8+AB15+AC15+AB24+AC24</f>
        <v>78</v>
      </c>
      <c r="AC47" s="58"/>
      <c r="AD47" s="58">
        <f>AD8+AE8+AD15+AE15+AD24+AE24</f>
        <v>75</v>
      </c>
      <c r="AE47" s="58"/>
      <c r="AF47" s="265">
        <f>AF8+AG8+AF15+AG15+AF24+AG24</f>
        <v>57</v>
      </c>
      <c r="AG47" s="58"/>
      <c r="AH47" s="58">
        <f>AH8+AI8+AH15+AI15+AH24+AI24</f>
        <v>78</v>
      </c>
      <c r="AI47" s="58"/>
      <c r="AJ47" s="58">
        <f>AJ8+AK8+AJ15+AK15+AJ24+AK24</f>
        <v>78</v>
      </c>
      <c r="AK47" s="310"/>
      <c r="AL47" s="310">
        <f>AL8+AM8+AL15+AM15+AL24+AM24</f>
        <v>78</v>
      </c>
      <c r="AM47" s="311"/>
      <c r="AN47" s="311">
        <f>AN8+AO8+AN15+AO15+AN24+AO24</f>
        <v>78</v>
      </c>
      <c r="AO47" s="314"/>
      <c r="AP47" s="314">
        <f>AP8+AQ8+AP15+AQ15+AP24+AQ24</f>
        <v>78</v>
      </c>
      <c r="AQ47" s="315"/>
      <c r="AR47" s="315">
        <f>AR8+AS8+AR15+AS15+AR24+AS24</f>
        <v>75</v>
      </c>
      <c r="AS47" s="58"/>
      <c r="AT47" s="253">
        <f>AT8+AU8+AT15+AU15+AT24+AU24</f>
        <v>57</v>
      </c>
      <c r="AU47" s="58"/>
      <c r="AV47" s="58">
        <f>AV8+AW8+AV15+AW15+AV24+AW24</f>
        <v>78</v>
      </c>
      <c r="AW47" s="58"/>
      <c r="AX47" s="268">
        <f>AX8+AY8+AX15+AY15+AX24+AY24</f>
        <v>78</v>
      </c>
      <c r="AY47" s="58"/>
      <c r="AZ47" s="269">
        <f>AZ8+BA8+AZ15+BA15+AZ24+BA24</f>
        <v>57</v>
      </c>
      <c r="BA47" s="58"/>
      <c r="BB47" s="284">
        <f>BB8+BC8+BB15+BC15+BB24+BC24</f>
        <v>78</v>
      </c>
      <c r="BC47" s="284"/>
      <c r="BD47" s="282">
        <f>BD8+BE8+BD15+BE15+BD24+BE24</f>
        <v>78</v>
      </c>
      <c r="BE47" s="282"/>
      <c r="BF47" s="58">
        <f>BF8+BG8+BF15+BG15+BF24+BG24</f>
        <v>75</v>
      </c>
      <c r="BG47" s="58"/>
      <c r="BH47" s="243">
        <f>BH8+BI8+BH15+BI15+BH24+BI24</f>
        <v>57</v>
      </c>
      <c r="BI47" s="316"/>
      <c r="BJ47" s="316">
        <f>BJ8+BK8+BJ15+BK15+BJ24+BK24</f>
        <v>69</v>
      </c>
      <c r="BK47" s="316"/>
      <c r="BL47" s="316">
        <f>BL8+BM8+BL15+BM15+BL24+BM24</f>
        <v>76</v>
      </c>
      <c r="BM47" s="316"/>
    </row>
    <row r="48" spans="1:65" x14ac:dyDescent="0.25">
      <c r="A48" t="s">
        <v>81</v>
      </c>
      <c r="C48" s="8"/>
      <c r="D48" s="285">
        <f>D3+E3+D10+E10+D19+E19</f>
        <v>0</v>
      </c>
      <c r="E48" s="58"/>
      <c r="F48" s="58">
        <f>F3+G3+F10+G10+F19+G19</f>
        <v>33</v>
      </c>
      <c r="G48" s="58"/>
      <c r="H48" s="58">
        <f>H3+I3+H10+I10+H19+I19</f>
        <v>33</v>
      </c>
      <c r="I48" s="58"/>
      <c r="J48" s="58">
        <f>J3+K3+J10+K10+J19+K19</f>
        <v>33</v>
      </c>
      <c r="K48" s="58"/>
      <c r="L48" s="58">
        <f>L3+M3+L10+M10+L19+M19</f>
        <v>33</v>
      </c>
      <c r="M48" s="58"/>
      <c r="N48" s="58">
        <f>N3+O3+N10+O10+N19+O19</f>
        <v>33</v>
      </c>
      <c r="O48" s="58"/>
      <c r="P48" s="58">
        <f>P3+Q3+P10+Q10+P19+Q19</f>
        <v>0</v>
      </c>
      <c r="Q48" s="58"/>
      <c r="R48" s="58">
        <f>R3+S3+R10+S10+R19+S19</f>
        <v>0</v>
      </c>
      <c r="S48" s="58"/>
      <c r="T48" s="58">
        <f>T3+U3+T10+U10+T19+U19</f>
        <v>33</v>
      </c>
      <c r="U48" s="58"/>
      <c r="V48" s="58">
        <f>V3+W3+V10+W10+V19+W19</f>
        <v>33</v>
      </c>
      <c r="W48" s="58"/>
      <c r="X48" s="58">
        <f>X3+Y3+X10+Y10+X19+Y19</f>
        <v>33</v>
      </c>
      <c r="Y48" s="58"/>
      <c r="Z48" s="118">
        <f>Z3+AA3+Z10+AA10+Z19+AA19</f>
        <v>33</v>
      </c>
      <c r="AA48" s="58"/>
      <c r="AB48" s="122">
        <f>AB3+AC3+AB10+AC10+AB19+AC19</f>
        <v>33</v>
      </c>
      <c r="AC48" s="58"/>
      <c r="AD48" s="58">
        <f>AD3+AE3+AD10+AE10+AD19+AE19</f>
        <v>0</v>
      </c>
      <c r="AE48" s="58"/>
      <c r="AF48" s="58">
        <f>AF3+AG3+AF10+AG10+AF19+AG19</f>
        <v>0</v>
      </c>
      <c r="AG48" s="58"/>
      <c r="AH48" s="58">
        <f>AH3+AI3+AH10+AI10+AH19+AI19</f>
        <v>33</v>
      </c>
      <c r="AI48" s="58"/>
      <c r="AJ48" s="58">
        <f>AJ3+AK3+AJ10+AK10+AJ19+AK19</f>
        <v>33</v>
      </c>
      <c r="AK48" s="310"/>
      <c r="AL48" s="310">
        <f>AL3+AM3+AL10+AM10+AL19+AM19</f>
        <v>33</v>
      </c>
      <c r="AM48" s="311"/>
      <c r="AN48" s="311">
        <f>AN3+AO3+AN10+AO10+AN19+AO19</f>
        <v>33</v>
      </c>
      <c r="AO48" s="314"/>
      <c r="AP48" s="314">
        <f>AP3+AQ3+AP10+AQ10+AP19+AQ19</f>
        <v>32</v>
      </c>
      <c r="AQ48" s="315"/>
      <c r="AR48" s="315">
        <f>AR3+AS3+AR10+AS10+AR19+AS19</f>
        <v>0</v>
      </c>
      <c r="AS48" s="58"/>
      <c r="AT48" s="58">
        <f>AT3+AU3+AT10+AU10+AT19+AU19</f>
        <v>0</v>
      </c>
      <c r="AU48" s="58"/>
      <c r="AV48" s="58">
        <f>AV3+AW3+AV10+AW10+AV19+AW19</f>
        <v>33</v>
      </c>
      <c r="AW48" s="58"/>
      <c r="AX48" s="58">
        <f>AX3+AY3+AX10+AY10+AX19+AY19</f>
        <v>33</v>
      </c>
      <c r="AY48" s="58"/>
      <c r="AZ48" s="58">
        <f>AZ3+BA3+AZ10+BA10+AZ19+BA19</f>
        <v>0</v>
      </c>
      <c r="BA48" s="58"/>
      <c r="BB48" s="284">
        <f>BB3+BC3+BB10+BC10+BB19+BC19</f>
        <v>33</v>
      </c>
      <c r="BC48" s="284"/>
      <c r="BD48" s="282">
        <f>BD3+BE3+BD10+BE10+BD19+BE19</f>
        <v>33</v>
      </c>
      <c r="BE48" s="282"/>
      <c r="BF48" s="58">
        <f>BF3+BG3+BF10+BG10+BF19+BG19</f>
        <v>0</v>
      </c>
      <c r="BG48" s="58"/>
      <c r="BH48" s="243">
        <f>BH3+BI3+BH10+BI10+BH19+BI19</f>
        <v>0</v>
      </c>
      <c r="BI48" s="316"/>
      <c r="BJ48" s="316">
        <f>BJ3+BK3+BJ10+BK10+BJ19+BK19</f>
        <v>22</v>
      </c>
      <c r="BK48" s="316"/>
      <c r="BL48" s="316">
        <f>BL3+BM3+BL10+BM10+BL19+BM19</f>
        <v>33</v>
      </c>
      <c r="BM48" s="316"/>
    </row>
    <row r="49" spans="1:65" x14ac:dyDescent="0.25">
      <c r="A49" t="s">
        <v>82</v>
      </c>
      <c r="C49" s="8"/>
      <c r="D49" s="285">
        <f>D6+E6+D13+E13+D22+E22</f>
        <v>0</v>
      </c>
      <c r="E49" s="58"/>
      <c r="F49" s="58">
        <f>F6+G6+F13+G13+F22+G22</f>
        <v>32</v>
      </c>
      <c r="G49" s="58"/>
      <c r="H49" s="58">
        <f>H6+I6+H13+I13+H22+I22</f>
        <v>32</v>
      </c>
      <c r="I49" s="58"/>
      <c r="J49" s="58">
        <f>J6+K6+J13+K13+J22+K22</f>
        <v>32</v>
      </c>
      <c r="K49" s="58"/>
      <c r="L49" s="58">
        <f>L6+M6+L13+M13+L22+M22</f>
        <v>32</v>
      </c>
      <c r="M49" s="58"/>
      <c r="N49" s="58">
        <f>N6+O6+N13+O13+N22+O22</f>
        <v>32</v>
      </c>
      <c r="O49" s="58"/>
      <c r="P49" s="58">
        <f>P6+Q6+P13+Q13+P22+Q22</f>
        <v>0</v>
      </c>
      <c r="Q49" s="58"/>
      <c r="R49" s="58">
        <f>R6+S6+R13+S13+R22+S22</f>
        <v>0</v>
      </c>
      <c r="S49" s="58"/>
      <c r="T49" s="58">
        <f>T6+U6+T13+U13+T22+U22</f>
        <v>31</v>
      </c>
      <c r="U49" s="58"/>
      <c r="V49" s="58">
        <f>V6+W6+V13+W13+V22+W22</f>
        <v>32</v>
      </c>
      <c r="W49" s="58"/>
      <c r="X49" s="58">
        <f>X6+Y6+X13+Y13+X22+Y22</f>
        <v>32</v>
      </c>
      <c r="Y49" s="58"/>
      <c r="Z49" s="118">
        <f>Z6+AA6+Z13+AA13+Z22+AA22</f>
        <v>32</v>
      </c>
      <c r="AA49" s="58"/>
      <c r="AB49" s="122">
        <f>AB6+AC6+AB13+AC13+AB22+AC22</f>
        <v>32</v>
      </c>
      <c r="AC49" s="58"/>
      <c r="AD49" s="58">
        <f>AD6+AE6+AD13+AE13+AD22+AE22</f>
        <v>0</v>
      </c>
      <c r="AE49" s="58"/>
      <c r="AF49" s="58">
        <f>AF6+AG6+AF13+AG13+AF22+AG22</f>
        <v>0</v>
      </c>
      <c r="AG49" s="58"/>
      <c r="AH49" s="58">
        <f>AH6+AI6+AH13+AI13+AH22+AI22</f>
        <v>32</v>
      </c>
      <c r="AI49" s="58"/>
      <c r="AJ49" s="58">
        <f>AJ6+AK6+AJ13+AK13+AJ22+AK22</f>
        <v>32</v>
      </c>
      <c r="AK49" s="310"/>
      <c r="AL49" s="310">
        <f>AL6+AM6+AL13+AM13+AL22+AM22</f>
        <v>32</v>
      </c>
      <c r="AM49" s="311"/>
      <c r="AN49" s="311">
        <f>AN6+AO6+AN13+AO13+AN22+AO22</f>
        <v>32</v>
      </c>
      <c r="AO49" s="314"/>
      <c r="AP49" s="314">
        <f>AP6+AQ6+AP13+AQ13+AP22+AQ22</f>
        <v>32</v>
      </c>
      <c r="AQ49" s="315"/>
      <c r="AR49" s="315">
        <f>AR6+AS6+AR13+AS13+AR22+AS22</f>
        <v>0</v>
      </c>
      <c r="AS49" s="58"/>
      <c r="AT49" s="58">
        <f>AT6+AU6+AT13+AU13+AT22+AU22</f>
        <v>0</v>
      </c>
      <c r="AU49" s="58"/>
      <c r="AV49" s="58">
        <f>AV6+AW6+AV13+AW13+AV22+AW22</f>
        <v>32</v>
      </c>
      <c r="AW49" s="58"/>
      <c r="AX49" s="58">
        <f>AX6+AY6+AX13+AY13+AX22+AY22</f>
        <v>32</v>
      </c>
      <c r="AY49" s="58"/>
      <c r="AZ49" s="58">
        <f>AZ6+BA6+AZ13+BA13+AZ22+BA22</f>
        <v>0</v>
      </c>
      <c r="BA49" s="58"/>
      <c r="BB49" s="284">
        <f>BB6+BC6+BB13+BC13+BB22+BC22</f>
        <v>32</v>
      </c>
      <c r="BC49" s="284"/>
      <c r="BD49" s="282">
        <f>BD6+BE6+BD13+BE13+BD22+BE22</f>
        <v>32</v>
      </c>
      <c r="BE49" s="282"/>
      <c r="BF49" s="58">
        <f>BF6+BG6+BF13+BG13+BF22+BG22</f>
        <v>0</v>
      </c>
      <c r="BG49" s="58"/>
      <c r="BH49" s="243">
        <f>BH6+BI6+BH13+BI13+BH22+BI22</f>
        <v>0</v>
      </c>
      <c r="BI49" s="316"/>
      <c r="BJ49" s="316">
        <f>BJ6+BK6+BJ13+BK13+BJ22+BK22</f>
        <v>22</v>
      </c>
      <c r="BK49" s="316"/>
      <c r="BL49" s="316">
        <f>BL6+BM6+BL13+BM13+BL22+BM22</f>
        <v>32</v>
      </c>
      <c r="BM49" s="316"/>
    </row>
    <row r="50" spans="1:65" s="126" customFormat="1" x14ac:dyDescent="0.25">
      <c r="A50" s="126" t="s">
        <v>122</v>
      </c>
      <c r="C50" s="8"/>
      <c r="D50" s="285">
        <f>D4+E4+D11+E11+D20+E20</f>
        <v>0</v>
      </c>
      <c r="E50" s="156"/>
      <c r="F50" s="156">
        <f>F4+G4+F11+G11+F20+G20</f>
        <v>0</v>
      </c>
      <c r="G50" s="156"/>
      <c r="H50" s="156">
        <f>H4+I4+H11+I11+H20+I20</f>
        <v>0</v>
      </c>
      <c r="I50" s="156"/>
      <c r="J50" s="156">
        <f>J4+K4+J11+K11+J20+K20</f>
        <v>0</v>
      </c>
      <c r="K50" s="156"/>
      <c r="L50" s="156">
        <f>L4+M4+L11+M11+L20+M20</f>
        <v>0</v>
      </c>
      <c r="M50" s="156"/>
      <c r="N50" s="276">
        <f>N4+O4+N11+O11+N20+O20</f>
        <v>0</v>
      </c>
      <c r="O50" s="156"/>
      <c r="P50" s="156">
        <f>P4+Q4+P11+Q11+P20+Q20</f>
        <v>0</v>
      </c>
      <c r="Q50" s="156"/>
      <c r="R50" s="156">
        <f>R4+S4+R11+S11+R20+S20</f>
        <v>0</v>
      </c>
      <c r="S50" s="156"/>
      <c r="T50" s="156">
        <f>T4+U4+T11+U11+T20+U20</f>
        <v>0</v>
      </c>
      <c r="U50" s="156"/>
      <c r="V50" s="156">
        <f>V4+W4+V11+W11+V20+W20</f>
        <v>0</v>
      </c>
      <c r="W50" s="156"/>
      <c r="X50" s="156">
        <f>X4+Y4+X11+Y11+X20+Y20</f>
        <v>0</v>
      </c>
      <c r="Y50" s="156"/>
      <c r="Z50" s="156">
        <f>Z4+AA4+Z11+AA11+Z20+AA20</f>
        <v>0</v>
      </c>
      <c r="AA50" s="156"/>
      <c r="AB50" s="156">
        <f>AB4+AC4+AB11+AC11+AB20+AC20</f>
        <v>0</v>
      </c>
      <c r="AC50" s="156"/>
      <c r="AD50" s="156">
        <f>AD4+AE4+AD11+AE11+AD20+AE20</f>
        <v>0</v>
      </c>
      <c r="AE50" s="156"/>
      <c r="AF50" s="156">
        <f>AF4+AG4+AF11+AG11+AF20+AG20</f>
        <v>0</v>
      </c>
      <c r="AG50" s="156"/>
      <c r="AH50" s="156">
        <f>AH4+AI4+AH11+AI11+AH20+AI20</f>
        <v>0</v>
      </c>
      <c r="AI50" s="156"/>
      <c r="AJ50" s="156">
        <f>AJ4+AK4+AJ11+AK11+AJ20+AK20</f>
        <v>0</v>
      </c>
      <c r="AK50" s="310"/>
      <c r="AL50" s="310">
        <f>AL4+AM4+AL11+AM11+AL20+AM20</f>
        <v>0</v>
      </c>
      <c r="AM50" s="311"/>
      <c r="AN50" s="311">
        <f>AN4+AO4+AN11+AO11+AN20+AO20</f>
        <v>0</v>
      </c>
      <c r="AO50" s="314"/>
      <c r="AP50" s="314">
        <f>AP4+AQ4+AP11+AQ11+AP20+AQ20</f>
        <v>0</v>
      </c>
      <c r="AQ50" s="315"/>
      <c r="AR50" s="315">
        <f>AR4+AS4+AR11+AS11+AR20+AS20</f>
        <v>0</v>
      </c>
      <c r="AS50" s="156"/>
      <c r="AT50" s="156">
        <f>AT4+AU4+AT11+AU11+AT20+AU20</f>
        <v>0</v>
      </c>
      <c r="AU50" s="156"/>
      <c r="AV50" s="156">
        <f>AV4+AW4+AV11+AW11+AV20+AW20</f>
        <v>0</v>
      </c>
      <c r="AW50" s="156"/>
      <c r="AX50" s="156">
        <f>AX4+AY4+AX11+AY11+AX20+AY20</f>
        <v>0</v>
      </c>
      <c r="AY50" s="156"/>
      <c r="AZ50" s="156">
        <f>AZ4+BA4+AZ11+BA11+AZ20+BA20</f>
        <v>0</v>
      </c>
      <c r="BA50" s="156"/>
      <c r="BB50" s="284">
        <f>BB4+BC4+BB11+BC11+BB20+BC20</f>
        <v>0</v>
      </c>
      <c r="BC50" s="284"/>
      <c r="BD50" s="282">
        <f>BD4+BE4+BD11+BE11+BD20+BE20</f>
        <v>0</v>
      </c>
      <c r="BE50" s="282"/>
      <c r="BF50" s="156">
        <f>BF4+BG4+BF11+BG11+BF20+BG20</f>
        <v>0</v>
      </c>
      <c r="BG50" s="156"/>
      <c r="BH50" s="243">
        <f>BH4+BI4+BH11+BI11+BH20+BI20</f>
        <v>0</v>
      </c>
      <c r="BI50" s="316"/>
      <c r="BJ50" s="316">
        <f>BJ4+BK4+BJ11+BK11+BJ20+BK20</f>
        <v>0</v>
      </c>
      <c r="BK50" s="316"/>
      <c r="BL50" s="316">
        <f>BL4+BM4+BL11+BM11+BL20+BM20</f>
        <v>0</v>
      </c>
      <c r="BM50" s="316"/>
    </row>
    <row r="51" spans="1:65" x14ac:dyDescent="0.25">
      <c r="A51" t="s">
        <v>35</v>
      </c>
      <c r="C51" s="8"/>
      <c r="D51" s="285">
        <f>D7+E7+D14+E14+D23+E23</f>
        <v>0</v>
      </c>
      <c r="E51" s="58"/>
      <c r="F51" s="58">
        <f>F7+G7+F14+G14+F23+G23</f>
        <v>1</v>
      </c>
      <c r="G51" s="58"/>
      <c r="H51" s="58">
        <f>H7+I7+H14+I14+H23+I23</f>
        <v>1</v>
      </c>
      <c r="I51" s="58"/>
      <c r="J51" s="58">
        <f>J7+K7+J14+K14+J23+K23</f>
        <v>1</v>
      </c>
      <c r="K51" s="58"/>
      <c r="L51" s="58">
        <f>L7+M7+L14+M14+L23+M23</f>
        <v>1</v>
      </c>
      <c r="M51" s="58"/>
      <c r="N51" s="276">
        <f>N7+O7+N14+O14+N23+O23</f>
        <v>1</v>
      </c>
      <c r="O51" s="58"/>
      <c r="P51" s="58">
        <f>P7+Q7+P14+Q14+P23+Q23</f>
        <v>0</v>
      </c>
      <c r="Q51" s="58"/>
      <c r="R51" s="58">
        <f>R7+S7+R14+S14+R23+S23</f>
        <v>0</v>
      </c>
      <c r="S51" s="58"/>
      <c r="T51" s="58">
        <f>T7+U7+T14+U14+T23+U23</f>
        <v>1</v>
      </c>
      <c r="U51" s="58"/>
      <c r="V51" s="58">
        <f>V7+W7+V14+W14+V23+W23</f>
        <v>1</v>
      </c>
      <c r="W51" s="58"/>
      <c r="X51" s="58">
        <f>X7+Y7+X14+Y14+X23+Y23</f>
        <v>1</v>
      </c>
      <c r="Y51" s="58"/>
      <c r="Z51" s="118">
        <f>Z7+AA7+Z14+AA14+Z23+AA23</f>
        <v>1</v>
      </c>
      <c r="AA51" s="58"/>
      <c r="AB51" s="122">
        <f>AB7+AC7+AB14+AC14+AB23+AC23</f>
        <v>1</v>
      </c>
      <c r="AC51" s="58"/>
      <c r="AD51" s="58">
        <f>AD7+AE7+AD14+AE14+AD23+AE23</f>
        <v>0</v>
      </c>
      <c r="AE51" s="58"/>
      <c r="AF51" s="265">
        <f>AF7+AG7+AF14+AG14+AF23+AG23</f>
        <v>0</v>
      </c>
      <c r="AG51" s="58"/>
      <c r="AH51" s="58">
        <f>AH7+AI7+AH14+AI14+AH23+AI23</f>
        <v>1</v>
      </c>
      <c r="AI51" s="58"/>
      <c r="AJ51" s="58">
        <f>AJ7+AK7+AJ14+AK14+AJ23+AK23</f>
        <v>1</v>
      </c>
      <c r="AK51" s="310"/>
      <c r="AL51" s="310">
        <f>AL7+AM7+AL14+AM14+AL23+AM23</f>
        <v>1</v>
      </c>
      <c r="AM51" s="311"/>
      <c r="AN51" s="311">
        <f>AN7+AO7+AN14+AO14+AN23+AO23</f>
        <v>1</v>
      </c>
      <c r="AO51" s="314"/>
      <c r="AP51" s="314">
        <f>AP7+AQ7+AP14+AQ14+AP23+AQ23</f>
        <v>1</v>
      </c>
      <c r="AQ51" s="315"/>
      <c r="AR51" s="315">
        <f>AR7+AS7+AR14+AS14+AR23+AS23</f>
        <v>0</v>
      </c>
      <c r="AS51" s="58"/>
      <c r="AT51" s="58">
        <f>AT7+AU7+AT14+AU14+AT23+AU23</f>
        <v>0</v>
      </c>
      <c r="AU51" s="58"/>
      <c r="AV51" s="58">
        <f>AV7+AW7+AV14+AW14+AV23+AW23</f>
        <v>1</v>
      </c>
      <c r="AW51" s="58"/>
      <c r="AX51" s="268">
        <f>AX7+AY7+AX14+AY14+AX23+AY23</f>
        <v>1</v>
      </c>
      <c r="AY51" s="58"/>
      <c r="AZ51" s="269">
        <f>AZ7+BA7+AZ14+BA14+AZ23+BA23</f>
        <v>0</v>
      </c>
      <c r="BA51" s="58"/>
      <c r="BB51" s="284">
        <f>BB7+BC7+BB14+BC14+BB23+BC23</f>
        <v>1</v>
      </c>
      <c r="BC51" s="284"/>
      <c r="BD51" s="282">
        <f>BD7+BE7+BD14+BE14+BD23+BE23</f>
        <v>1</v>
      </c>
      <c r="BE51" s="282"/>
      <c r="BF51" s="58">
        <f>BF7+BG7+BF14+BG14+BF23+BG23</f>
        <v>0</v>
      </c>
      <c r="BG51" s="58"/>
      <c r="BH51" s="243">
        <f>BH7+BI7+BH14+BI14+BH23+BI23</f>
        <v>0</v>
      </c>
      <c r="BI51" s="316"/>
      <c r="BJ51" s="316">
        <f>BJ7+BK7+BJ14+BK14+BJ23+BK23</f>
        <v>0</v>
      </c>
      <c r="BK51" s="316"/>
      <c r="BL51" s="316">
        <f>BL7+BM7+BL14+BM14+BL23+BM23</f>
        <v>1</v>
      </c>
      <c r="BM51" s="316"/>
    </row>
    <row r="52" spans="1:65" s="126" customFormat="1" x14ac:dyDescent="0.25">
      <c r="A52" s="126" t="s">
        <v>174</v>
      </c>
      <c r="C52" s="8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276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20"/>
      <c r="AA52" s="320"/>
      <c r="AB52" s="320"/>
      <c r="AC52" s="320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  <c r="AU52" s="320"/>
      <c r="AV52" s="320"/>
      <c r="AW52" s="320"/>
      <c r="AX52" s="320"/>
      <c r="AY52" s="320"/>
      <c r="AZ52" s="320"/>
      <c r="BA52" s="320"/>
      <c r="BB52" s="320"/>
      <c r="BC52" s="320"/>
      <c r="BD52" s="320"/>
      <c r="BE52" s="320"/>
      <c r="BF52" s="320"/>
      <c r="BG52" s="320"/>
      <c r="BH52" s="320"/>
      <c r="BI52" s="320"/>
      <c r="BJ52" s="320">
        <f>BJ16+BK16</f>
        <v>3</v>
      </c>
      <c r="BK52" s="320"/>
      <c r="BL52" s="320"/>
      <c r="BM52" s="320"/>
    </row>
    <row r="53" spans="1:65" x14ac:dyDescent="0.25">
      <c r="A53" s="126" t="s">
        <v>175</v>
      </c>
      <c r="C53" s="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5"/>
      <c r="AS53" s="55"/>
      <c r="AT53" s="55"/>
      <c r="AU53" s="55"/>
      <c r="AV53" s="55"/>
      <c r="AW53" s="55"/>
      <c r="AX53" s="55"/>
      <c r="AY53" s="55"/>
      <c r="AZ53" s="55"/>
      <c r="BA53" s="58"/>
      <c r="BB53" s="55"/>
      <c r="BC53" s="115"/>
      <c r="BD53" s="55"/>
      <c r="BE53" s="115"/>
      <c r="BF53" s="58"/>
      <c r="BG53" s="58"/>
      <c r="BH53" s="55"/>
      <c r="BI53" s="55"/>
      <c r="BJ53" s="320">
        <f>BJ17+BK17</f>
        <v>5</v>
      </c>
      <c r="BK53" s="55"/>
      <c r="BL53" s="55"/>
      <c r="BM53" s="55"/>
    </row>
    <row r="54" spans="1:65" s="126" customFormat="1" x14ac:dyDescent="0.25">
      <c r="A54" s="126" t="s">
        <v>183</v>
      </c>
      <c r="C54" s="8"/>
      <c r="D54" s="324"/>
      <c r="E54" s="324"/>
      <c r="F54" s="324"/>
      <c r="G54" s="324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  <c r="Z54" s="324"/>
      <c r="AA54" s="324"/>
      <c r="AB54" s="324"/>
      <c r="AC54" s="324"/>
      <c r="AD54" s="324"/>
      <c r="AE54" s="324"/>
      <c r="AF54" s="324"/>
      <c r="AG54" s="324"/>
      <c r="AH54" s="324"/>
      <c r="AI54" s="324"/>
      <c r="AJ54" s="324"/>
      <c r="AK54" s="324"/>
      <c r="AL54" s="324"/>
      <c r="AM54" s="324"/>
      <c r="AN54" s="324"/>
      <c r="AO54" s="324"/>
      <c r="AP54" s="324"/>
      <c r="AQ54" s="324"/>
      <c r="AR54" s="55"/>
      <c r="AS54" s="55"/>
      <c r="AT54" s="55"/>
      <c r="AU54" s="55"/>
      <c r="AV54" s="55"/>
      <c r="AW54" s="55"/>
      <c r="AX54" s="55"/>
      <c r="AY54" s="55"/>
      <c r="AZ54" s="55"/>
      <c r="BA54" s="324"/>
      <c r="BB54" s="55"/>
      <c r="BC54" s="324"/>
      <c r="BD54" s="55"/>
      <c r="BE54" s="324"/>
      <c r="BF54" s="324"/>
      <c r="BG54" s="324"/>
      <c r="BH54" s="55"/>
      <c r="BI54" s="55"/>
      <c r="BJ54" s="324"/>
      <c r="BK54" s="324"/>
      <c r="BL54" s="324">
        <f t="shared" ref="BL54" si="17">BL18+BM18</f>
        <v>2</v>
      </c>
      <c r="BM54" s="55"/>
    </row>
    <row r="55" spans="1:65" x14ac:dyDescent="0.25">
      <c r="A55" s="57" t="s">
        <v>65</v>
      </c>
      <c r="B55" s="57"/>
      <c r="C55" s="57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59"/>
      <c r="AS55" s="59"/>
      <c r="AT55" s="59"/>
      <c r="AU55" s="59"/>
      <c r="AV55" s="59"/>
      <c r="AW55" s="59"/>
      <c r="AX55" s="59"/>
      <c r="AY55" s="59"/>
      <c r="AZ55" s="59"/>
      <c r="BA55" s="60"/>
      <c r="BB55" s="59"/>
      <c r="BC55" s="60"/>
      <c r="BD55" s="59"/>
      <c r="BE55" s="60"/>
      <c r="BF55" s="60"/>
      <c r="BG55" s="60"/>
      <c r="BH55" s="59"/>
      <c r="BI55" s="59"/>
      <c r="BJ55" s="59"/>
      <c r="BK55" s="59"/>
      <c r="BL55" s="59"/>
      <c r="BM55" s="59"/>
    </row>
    <row r="56" spans="1:65" x14ac:dyDescent="0.25">
      <c r="A56" t="s">
        <v>79</v>
      </c>
      <c r="C56" s="8"/>
      <c r="D56" s="58">
        <f>(D5+D12+D21)+2*(E5+E12+E21)</f>
        <v>55</v>
      </c>
      <c r="E56" s="58"/>
      <c r="F56" s="58">
        <f>(F5+F12+F21)+2*(G5+G12+G21)</f>
        <v>117</v>
      </c>
      <c r="G56" s="58"/>
      <c r="H56" s="58">
        <f>(H5+H12+H21)+2*(I5+I12+I21)</f>
        <v>116</v>
      </c>
      <c r="I56" s="58"/>
      <c r="J56" s="58">
        <f>(J5+J12+J21)+2*(K5+K12+K21)</f>
        <v>116</v>
      </c>
      <c r="K56" s="58"/>
      <c r="L56" s="58">
        <f>(L5+L12+L21)+2*(M5+M12+M21)</f>
        <v>116</v>
      </c>
      <c r="M56" s="58"/>
      <c r="N56" s="276">
        <f>(N5+N12+N21)+2*(O5+O12+O21)</f>
        <v>115</v>
      </c>
      <c r="O56" s="58"/>
      <c r="P56" s="58">
        <f>(P5+P12+P21)+2*(Q5+Q12+Q21)</f>
        <v>75</v>
      </c>
      <c r="Q56" s="58"/>
      <c r="R56" s="58">
        <f>(R5+R12+R21)+2*(S5+S12+S21)</f>
        <v>59</v>
      </c>
      <c r="S56" s="58"/>
      <c r="T56" s="58">
        <f>(T5+T12+T21)+2*(U5+U12+U21)</f>
        <v>114</v>
      </c>
      <c r="U56" s="58"/>
      <c r="V56" s="58">
        <f>(V5+V12+V21)+2*(W5+W12+W21)</f>
        <v>115</v>
      </c>
      <c r="W56" s="58"/>
      <c r="X56" s="58">
        <f>(X5+X12+X21)+2*(Y5+Y12+Y21)</f>
        <v>116</v>
      </c>
      <c r="Y56" s="58"/>
      <c r="Z56" s="118">
        <f>(Z5+Z12+Z21)+2*(AA5+AA12+AA21)</f>
        <v>115</v>
      </c>
      <c r="AA56" s="58"/>
      <c r="AB56" s="118">
        <f>(AB5+AB12+AB21)+2*(AC5+AC12+AC21)</f>
        <v>117</v>
      </c>
      <c r="AC56" s="58"/>
      <c r="AD56" s="58">
        <f>(AD5+AD12+AD21)+2*(AE5+AE12+AE21)</f>
        <v>107</v>
      </c>
      <c r="AE56" s="58"/>
      <c r="AF56" s="58">
        <f>(AF5+AF12+AF21)+2*(AG5+AG12+AG21)</f>
        <v>87</v>
      </c>
      <c r="AG56" s="58"/>
      <c r="AH56" s="58">
        <f>(AH5+AH12+AH21)+2*(AI5+AI12+AI21)</f>
        <v>116</v>
      </c>
      <c r="AI56" s="58"/>
      <c r="AJ56" s="58">
        <f>(AJ5+AJ12+AJ21)+2*(AK5+AK12+AK21)</f>
        <v>116</v>
      </c>
      <c r="AK56" s="58"/>
      <c r="AL56" s="58">
        <f>(AL5+AL12+AL21)+2*(AM5+AM12+AM21)</f>
        <v>114</v>
      </c>
      <c r="AM56" s="311"/>
      <c r="AN56" s="311">
        <f>(AN5+AN12+AN21)+2*(AO5+AO12+AO21)</f>
        <v>115</v>
      </c>
      <c r="AO56" s="314"/>
      <c r="AP56" s="314">
        <f>(AP5+AP12+AP21)+2*(AQ5+AQ12+AQ21)</f>
        <v>114</v>
      </c>
      <c r="AQ56" s="315"/>
      <c r="AR56" s="315">
        <f>(AR5+AR12+AR21)+2*(AS5+AS12+AS21)</f>
        <v>76</v>
      </c>
      <c r="AS56" s="58"/>
      <c r="AT56" s="253">
        <f>(AT5+AT12+AT21)+2*(AU5+AU12+AU21)</f>
        <v>57</v>
      </c>
      <c r="AU56" s="58"/>
      <c r="AV56" s="58">
        <f>(AV5+AV12+AV21)+2*(AW5+AW12+AW21)</f>
        <v>113</v>
      </c>
      <c r="AW56" s="58"/>
      <c r="AX56" s="58">
        <f>(AX5+AX12+AX21)+2*(AY5+AY12+AY21)</f>
        <v>118</v>
      </c>
      <c r="AY56" s="58"/>
      <c r="AZ56" s="58">
        <f>(AZ5+AZ12+AZ21)+2*(BA5+BA12+BA21)</f>
        <v>57</v>
      </c>
      <c r="BA56" s="118"/>
      <c r="BB56" s="284">
        <f>(BB5+BB12+BB21)+2*(BC5+BC12+BC21)</f>
        <v>116</v>
      </c>
      <c r="BC56" s="284"/>
      <c r="BD56" s="282">
        <f>(BD5+BD12+BD21)+2*(BE5+BE12+BE21)</f>
        <v>115</v>
      </c>
      <c r="BE56" s="282"/>
      <c r="BF56" s="58">
        <f>(BF5+BF12+BF21)+2*(BG5+BG12+BG21)</f>
        <v>75</v>
      </c>
      <c r="BG56" s="244"/>
      <c r="BH56" s="243">
        <f>(BH5+BH12+BH21)+2*(BI5+BI12+BI21)</f>
        <v>57</v>
      </c>
      <c r="BI56" s="316"/>
      <c r="BJ56" s="316">
        <f>(BJ5+BJ12+BJ21)+2*(BK5+BK12+BK21)</f>
        <v>106</v>
      </c>
      <c r="BK56" s="316"/>
      <c r="BL56" s="316">
        <f>(BL5+BL12+BL21)+2*(BM5+BM12+BM21)</f>
        <v>129</v>
      </c>
      <c r="BM56" s="316"/>
    </row>
    <row r="57" spans="1:65" x14ac:dyDescent="0.25">
      <c r="A57" t="s">
        <v>80</v>
      </c>
      <c r="C57" s="8"/>
      <c r="D57" s="285">
        <f>(D8+D15+D24)+2*(E8+E15+E24)</f>
        <v>55</v>
      </c>
      <c r="E57" s="58"/>
      <c r="F57" s="58">
        <f>(F8+F15+F24)+2*(G8+G15+G24)</f>
        <v>117</v>
      </c>
      <c r="G57" s="58"/>
      <c r="H57" s="58">
        <f>(H8+H15+H24)+2*(I8+I15+I24)</f>
        <v>116</v>
      </c>
      <c r="I57" s="58"/>
      <c r="J57" s="58">
        <f>(J8+J15+J24)+2*(K8+K15+K24)</f>
        <v>116</v>
      </c>
      <c r="K57" s="58"/>
      <c r="L57" s="58">
        <f>(L8+L15+L24)+2*(M8+M15+M24)</f>
        <v>116</v>
      </c>
      <c r="M57" s="58"/>
      <c r="N57" s="276">
        <f>(N8+N15+N24)+2*(O8+O15+O24)</f>
        <v>117</v>
      </c>
      <c r="O57" s="58"/>
      <c r="P57" s="58">
        <f>(P8+P15+P24)+2*(Q8+Q15+Q24)</f>
        <v>75</v>
      </c>
      <c r="Q57" s="58"/>
      <c r="R57" s="58">
        <f>(R8+R15+R24)+2*(S8+S15+S24)</f>
        <v>59</v>
      </c>
      <c r="S57" s="58"/>
      <c r="T57" s="58">
        <f>(T8+T15+T24)+2*(U8+U15+U24)</f>
        <v>114</v>
      </c>
      <c r="U57" s="58"/>
      <c r="V57" s="58">
        <f>(V8+V15+V24)+2*(W8+W15+W24)</f>
        <v>115</v>
      </c>
      <c r="W57" s="58"/>
      <c r="X57" s="58">
        <f>(X8+X15+X24)+2*(Y8+Y15+Y24)</f>
        <v>116</v>
      </c>
      <c r="Y57" s="58"/>
      <c r="Z57" s="118">
        <f>(Z8+Z15+Z24)+2*(AA8+AA15+AA24)</f>
        <v>115</v>
      </c>
      <c r="AA57" s="58"/>
      <c r="AB57" s="118">
        <f>(AB8+AB15+AB24)+2*(AC8+AC15+AC24)</f>
        <v>115</v>
      </c>
      <c r="AC57" s="58"/>
      <c r="AD57" s="58">
        <f>(AD8+AD15+AD24)+2*(AE8+AE15+AE24)</f>
        <v>107</v>
      </c>
      <c r="AE57" s="58"/>
      <c r="AF57" s="265">
        <f>(AF8+AF15+AF24)+2*(AG8+AG15+AG24)</f>
        <v>84</v>
      </c>
      <c r="AG57" s="58"/>
      <c r="AH57" s="58">
        <f>(AH8+AH15+AH24)+2*(AI8+AI15+AI24)</f>
        <v>116</v>
      </c>
      <c r="AI57" s="58"/>
      <c r="AJ57" s="58">
        <f>(AJ8+AJ15+AJ24)+2*(AK8+AK15+AK24)</f>
        <v>116</v>
      </c>
      <c r="AK57" s="310"/>
      <c r="AL57" s="310">
        <f>(AL8+AL15+AL24)+2*(AM8+AM15+AM24)</f>
        <v>114</v>
      </c>
      <c r="AM57" s="311"/>
      <c r="AN57" s="311">
        <f>(AN8+AN15+AN24)+2*(AO8+AO15+AO24)</f>
        <v>115</v>
      </c>
      <c r="AO57" s="314"/>
      <c r="AP57" s="314">
        <f>(AP8+AP15+AP24)+2*(AQ8+AQ15+AQ24)</f>
        <v>114</v>
      </c>
      <c r="AQ57" s="315"/>
      <c r="AR57" s="315">
        <f>(AR8+AR15+AR24)+2*(AS8+AS15+AS24)</f>
        <v>76</v>
      </c>
      <c r="AS57" s="58"/>
      <c r="AT57" s="253">
        <f>(AT8+AT15+AT24)+2*(AU8+AU15+AU24)</f>
        <v>57</v>
      </c>
      <c r="AU57" s="58"/>
      <c r="AV57" s="58">
        <f>(AV8+AV15+AV24)+2*(AW8+AW15+AW24)</f>
        <v>113</v>
      </c>
      <c r="AW57" s="58"/>
      <c r="AX57" s="268">
        <f>(AX8+AX15+AX24)+2*(AY8+AY15+AY24)</f>
        <v>118</v>
      </c>
      <c r="AY57" s="58"/>
      <c r="AZ57" s="269">
        <f>(AZ8+AZ15+AZ24)+2*(BA8+BA15+BA24)</f>
        <v>57</v>
      </c>
      <c r="BA57" s="118"/>
      <c r="BB57" s="284">
        <f>(BB8+BB15+BB24)+2*(BC8+BC15+BC24)</f>
        <v>116</v>
      </c>
      <c r="BC57" s="284"/>
      <c r="BD57" s="282">
        <f>(BD8+BD15+BD24)+2*(BE8+BE15+BE24)</f>
        <v>115</v>
      </c>
      <c r="BE57" s="282"/>
      <c r="BF57" s="58">
        <f>(BF8+BF15+BF24)+2*(BG8+BG15+BG24)</f>
        <v>75</v>
      </c>
      <c r="BG57" s="244"/>
      <c r="BH57" s="243">
        <f>(BH8+BH15+BH24)+2*(BI8+BI15+BI24)</f>
        <v>57</v>
      </c>
      <c r="BI57" s="316"/>
      <c r="BJ57" s="316">
        <f>(BJ8+BJ15+BJ24)+2*(BK8+BK15+BK24)</f>
        <v>105</v>
      </c>
      <c r="BK57" s="316"/>
      <c r="BL57" s="316">
        <f>(BL8+BL15+BL24)+2*(BM8+BM15+BM24)</f>
        <v>127</v>
      </c>
      <c r="BM57" s="316"/>
    </row>
    <row r="58" spans="1:65" x14ac:dyDescent="0.25">
      <c r="A58" t="s">
        <v>81</v>
      </c>
      <c r="C58" s="8"/>
      <c r="D58" s="285">
        <f>(D3+D10+D19)+2*(E3+E10+E19)</f>
        <v>0</v>
      </c>
      <c r="E58" s="58"/>
      <c r="F58" s="58">
        <f>(F3+F10+F19)+2*(G3+G10+G19)</f>
        <v>37</v>
      </c>
      <c r="G58" s="58"/>
      <c r="H58" s="58">
        <f>(H3+H10+H19)+2*(I3+I10+I19)</f>
        <v>37</v>
      </c>
      <c r="I58" s="58"/>
      <c r="J58" s="58">
        <f>(J3+J10+J19)+2*(K3+K10+K19)</f>
        <v>37</v>
      </c>
      <c r="K58" s="58"/>
      <c r="L58" s="58">
        <f>(L3+L10+L19)+2*(M3+M10+M19)</f>
        <v>37</v>
      </c>
      <c r="M58" s="58"/>
      <c r="N58" s="58">
        <f>(N3+N10+N19)+2*(O3+O10+O19)</f>
        <v>37</v>
      </c>
      <c r="O58" s="58"/>
      <c r="P58" s="58">
        <f>(P3+P10+P19)+2*(Q3+Q10+Q19)</f>
        <v>0</v>
      </c>
      <c r="Q58" s="58"/>
      <c r="R58" s="58">
        <f>(R3+R10+R19)+2*(S3+S10+S19)</f>
        <v>0</v>
      </c>
      <c r="S58" s="58"/>
      <c r="T58" s="58">
        <f>(T3+T10+T19)+2*(U3+U10+U19)</f>
        <v>36</v>
      </c>
      <c r="U58" s="58"/>
      <c r="V58" s="58">
        <f>(V3+V10+V19)+2*(W3+W10+W19)</f>
        <v>37</v>
      </c>
      <c r="W58" s="58"/>
      <c r="X58" s="58">
        <f>(X3+X10+X19)+2*(Y3+Y10+Y19)</f>
        <v>37</v>
      </c>
      <c r="Y58" s="58"/>
      <c r="Z58" s="118">
        <f>(Z3+Z10+Z19)+2*(AA3+AA10+AA19)</f>
        <v>36</v>
      </c>
      <c r="AA58" s="58"/>
      <c r="AB58" s="118">
        <f>(AB3+AB10+AB19)+2*(AC3+AC10+AC19)</f>
        <v>37</v>
      </c>
      <c r="AC58" s="58"/>
      <c r="AD58" s="58">
        <f>(AD3+AD10+AD19)+2*(AE3+AE10+AE19)</f>
        <v>0</v>
      </c>
      <c r="AE58" s="58"/>
      <c r="AF58" s="58">
        <f>(AF3+AF10+AF19)+2*(AG3+AG10+AG19)</f>
        <v>0</v>
      </c>
      <c r="AG58" s="58"/>
      <c r="AH58" s="58">
        <f>(AH3+AH10+AH19)+2*(AI3+AI10+AI19)</f>
        <v>36</v>
      </c>
      <c r="AI58" s="58"/>
      <c r="AJ58" s="58">
        <f>(AJ3+AJ10+AJ19)+2*(AK3+AK10+AK19)</f>
        <v>37</v>
      </c>
      <c r="AK58" s="310"/>
      <c r="AL58" s="310">
        <f>(AL3+AL10+AL19)+2*(AM3+AM10+AM19)</f>
        <v>37</v>
      </c>
      <c r="AM58" s="311"/>
      <c r="AN58" s="311">
        <f>(AN3+AN10+AN19)+2*(AO3+AO10+AO19)</f>
        <v>37</v>
      </c>
      <c r="AO58" s="314"/>
      <c r="AP58" s="314">
        <f>(AP3+AP10+AP19)+2*(AQ3+AQ10+AQ19)</f>
        <v>36</v>
      </c>
      <c r="AQ58" s="315"/>
      <c r="AR58" s="315">
        <f>(AR3+AR10+AR19)+2*(AS3+AS10+AS19)</f>
        <v>0</v>
      </c>
      <c r="AS58" s="58"/>
      <c r="AT58" s="58">
        <f>(AT3+AT10+AT19)+2*(AU3+AU10+AU19)</f>
        <v>0</v>
      </c>
      <c r="AU58" s="58"/>
      <c r="AV58" s="58">
        <f>(AV3+AV10+AV19)+2*(AW3+AW10+AW19)</f>
        <v>36</v>
      </c>
      <c r="AW58" s="58"/>
      <c r="AX58" s="58">
        <f>(AX3+AX10+AX19)+2*(AY3+AY10+AY19)</f>
        <v>37</v>
      </c>
      <c r="AY58" s="58"/>
      <c r="AZ58" s="58">
        <f>(AZ3+AZ10+AZ19)+2*(BA3+BA10+BA19)</f>
        <v>0</v>
      </c>
      <c r="BA58" s="118"/>
      <c r="BB58" s="284">
        <f>(BB3+BB10+BB19)+2*(BC3+BC10+BC19)</f>
        <v>36</v>
      </c>
      <c r="BC58" s="284"/>
      <c r="BD58" s="282">
        <f>(BD3+BD10+BD19)+2*(BE3+BE10+BE19)</f>
        <v>37</v>
      </c>
      <c r="BE58" s="282"/>
      <c r="BF58" s="58">
        <f>(BF3+BF10+BF19)+2*(BG3+BG10+BG19)</f>
        <v>0</v>
      </c>
      <c r="BG58" s="244"/>
      <c r="BH58" s="243">
        <f>(BH3+BH10+BH19)+2*(BI3+BI10+BI19)</f>
        <v>0</v>
      </c>
      <c r="BI58" s="316"/>
      <c r="BJ58" s="316">
        <f>(BJ3+BJ10+BJ19)+2*(BK3+BK10+BK19)</f>
        <v>24</v>
      </c>
      <c r="BK58" s="316"/>
      <c r="BL58" s="316">
        <f>(BL3+BL10+BL19)+2*(BM3+BM10+BM19)</f>
        <v>35</v>
      </c>
      <c r="BM58" s="316"/>
    </row>
    <row r="59" spans="1:65" x14ac:dyDescent="0.25">
      <c r="A59" t="s">
        <v>82</v>
      </c>
      <c r="C59" s="8"/>
      <c r="D59" s="285">
        <f>(D6+D13+D22)+2*(E6+E13+E22)</f>
        <v>0</v>
      </c>
      <c r="E59" s="58"/>
      <c r="F59" s="58">
        <f>(F6+F13+F22)+2*(G6+G13+G22)</f>
        <v>36</v>
      </c>
      <c r="G59" s="58"/>
      <c r="H59" s="58">
        <f>(H6+H13+H22)+2*(I6+I13+I22)</f>
        <v>36</v>
      </c>
      <c r="I59" s="58"/>
      <c r="J59" s="58">
        <f>(J6+J13+J22)+2*(K6+K13+K22)</f>
        <v>36</v>
      </c>
      <c r="K59" s="58"/>
      <c r="L59" s="58">
        <f>(L6+L13+L22)+2*(M6+M13+M22)</f>
        <v>36</v>
      </c>
      <c r="M59" s="58"/>
      <c r="N59" s="58">
        <f>(N6+N13+N22)+2*(O6+O13+O22)</f>
        <v>36</v>
      </c>
      <c r="O59" s="58"/>
      <c r="P59" s="58">
        <f>(P6+P13+P22)+2*(Q6+Q13+Q22)</f>
        <v>0</v>
      </c>
      <c r="Q59" s="58"/>
      <c r="R59" s="58">
        <f>(R6+R13+R22)+2*(S6+S13+S22)</f>
        <v>0</v>
      </c>
      <c r="S59" s="58"/>
      <c r="T59" s="58">
        <f>(T6+T13+T22)+2*(U6+U13+U22)</f>
        <v>34</v>
      </c>
      <c r="U59" s="58"/>
      <c r="V59" s="58">
        <f>(V6+V13+V22)+2*(W6+W13+W22)</f>
        <v>36</v>
      </c>
      <c r="W59" s="58"/>
      <c r="X59" s="58">
        <f>(X6+X13+X22)+2*(Y6+Y13+Y22)</f>
        <v>36</v>
      </c>
      <c r="Y59" s="58"/>
      <c r="Z59" s="118">
        <f>(Z6+Z13+Z22)+2*(AA6+AA13+AA22)</f>
        <v>35</v>
      </c>
      <c r="AA59" s="58"/>
      <c r="AB59" s="118">
        <f>(AB6+AB13+AB22)+2*(AC6+AC13+AC22)</f>
        <v>36</v>
      </c>
      <c r="AC59" s="58"/>
      <c r="AD59" s="58">
        <f>(AD6+AD13+AD22)+2*(AE6+AE13+AE22)</f>
        <v>0</v>
      </c>
      <c r="AE59" s="58"/>
      <c r="AF59" s="58">
        <f>(AF6+AF13+AF22)+2*(AG6+AG13+AG22)</f>
        <v>0</v>
      </c>
      <c r="AG59" s="58"/>
      <c r="AH59" s="58">
        <f>(AH6+AH13+AH22)+2*(AI6+AI13+AI22)</f>
        <v>35</v>
      </c>
      <c r="AI59" s="58"/>
      <c r="AJ59" s="58">
        <f>(AJ6+AJ13+AJ22)+2*(AK6+AK13+AK22)</f>
        <v>36</v>
      </c>
      <c r="AK59" s="310"/>
      <c r="AL59" s="310">
        <f>(AL6+AL13+AL22)+2*(AM6+AM13+AM22)</f>
        <v>36</v>
      </c>
      <c r="AM59" s="311"/>
      <c r="AN59" s="311">
        <f>(AN6+AN13+AN22)+2*(AO6+AO13+AO22)</f>
        <v>36</v>
      </c>
      <c r="AO59" s="314"/>
      <c r="AP59" s="314">
        <f>(AP6+AP13+AP22)+2*(AQ6+AQ13+AQ22)</f>
        <v>36</v>
      </c>
      <c r="AQ59" s="315"/>
      <c r="AR59" s="315">
        <f>(AR6+AR13+AR22)+2*(AS6+AS13+AS22)</f>
        <v>0</v>
      </c>
      <c r="AS59" s="58"/>
      <c r="AT59" s="58">
        <f>(AT6+AT13+AT22)+2*(AU6+AU13+AU22)</f>
        <v>0</v>
      </c>
      <c r="AU59" s="58"/>
      <c r="AV59" s="58">
        <f>(AV6+AV13+AV22)+2*(AW6+AW13+AW22)</f>
        <v>35</v>
      </c>
      <c r="AW59" s="58"/>
      <c r="AX59" s="58">
        <f>(AX6+AX13+AX22)+2*(AY6+AY13+AY22)</f>
        <v>36</v>
      </c>
      <c r="AY59" s="58"/>
      <c r="AZ59" s="58">
        <f>(AZ6+AZ13+AZ22)+2*(BA6+BA13+BA22)</f>
        <v>0</v>
      </c>
      <c r="BA59" s="118"/>
      <c r="BB59" s="284">
        <f>(BB6+BB13+BB22)+2*(BC6+BC13+BC22)</f>
        <v>35</v>
      </c>
      <c r="BC59" s="284"/>
      <c r="BD59" s="282">
        <f>(BD6+BD13+BD22)+2*(BE6+BE13+BE22)</f>
        <v>36</v>
      </c>
      <c r="BE59" s="282"/>
      <c r="BF59" s="58">
        <f>(BF6+BF13+BF22)+2*(BG6+BG13+BG22)</f>
        <v>0</v>
      </c>
      <c r="BG59" s="244"/>
      <c r="BH59" s="243">
        <f>(BH6+BH13+BH22)+2*(BI6+BI13+BI22)</f>
        <v>0</v>
      </c>
      <c r="BI59" s="316"/>
      <c r="BJ59" s="316">
        <f>(BJ6+BJ13+BJ22)+2*(BK6+BK13+BK22)</f>
        <v>24</v>
      </c>
      <c r="BK59" s="316"/>
      <c r="BL59" s="316">
        <f>(BL6+BL13+BL22)+2*(BM6+BM13+BM22)</f>
        <v>34</v>
      </c>
      <c r="BM59" s="316"/>
    </row>
    <row r="60" spans="1:65" s="126" customFormat="1" x14ac:dyDescent="0.25">
      <c r="A60" s="126" t="s">
        <v>122</v>
      </c>
      <c r="C60" s="8"/>
      <c r="D60" s="285">
        <f>(D4+D11+D20)+2*(E4+E11+E20)</f>
        <v>0</v>
      </c>
      <c r="E60" s="156"/>
      <c r="F60" s="156">
        <f>(F4+F11+F20)+2*(G4+G11+G20)</f>
        <v>0</v>
      </c>
      <c r="G60" s="156"/>
      <c r="H60" s="156">
        <f>(H4+H11+H20)+2*(I4+I11+I20)</f>
        <v>0</v>
      </c>
      <c r="I60" s="156"/>
      <c r="J60" s="156">
        <f>(J4+J11+J20)+2*(K4+K11+K20)</f>
        <v>0</v>
      </c>
      <c r="K60" s="156"/>
      <c r="L60" s="156">
        <f>(L4+L11+L20)+2*(M4+M11+M20)</f>
        <v>0</v>
      </c>
      <c r="M60" s="156"/>
      <c r="N60" s="276">
        <f>(N4+N11+N20)+2*(O4+O11+O20)</f>
        <v>0</v>
      </c>
      <c r="O60" s="156"/>
      <c r="P60" s="156">
        <f>(P4+P11+P20)+2*(Q4+Q11+Q20)</f>
        <v>0</v>
      </c>
      <c r="Q60" s="156"/>
      <c r="R60" s="156">
        <f>(R4+R11+R20)+2*(S4+S11+S20)</f>
        <v>0</v>
      </c>
      <c r="S60" s="156"/>
      <c r="T60" s="156">
        <f>(T4+T11+T20)+2*(U4+U11+U20)</f>
        <v>0</v>
      </c>
      <c r="U60" s="156"/>
      <c r="V60" s="156">
        <f>(V4+V11+V20)+2*(W4+W11+W20)</f>
        <v>0</v>
      </c>
      <c r="W60" s="156"/>
      <c r="X60" s="156">
        <f>(X4+X11+X20)+2*(Y4+Y11+Y20)</f>
        <v>0</v>
      </c>
      <c r="Y60" s="156"/>
      <c r="Z60" s="156">
        <f>(Z4+Z11+Z20)+2*(AA4+AA11+AA20)</f>
        <v>0</v>
      </c>
      <c r="AA60" s="156"/>
      <c r="AB60" s="156">
        <f>(AB4+AB11+AB20)+2*(AC4+AC11+AC20)</f>
        <v>0</v>
      </c>
      <c r="AC60" s="156"/>
      <c r="AD60" s="156">
        <f>(AD4+AD11+AD20)+2*(AE4+AE11+AE20)</f>
        <v>0</v>
      </c>
      <c r="AE60" s="156"/>
      <c r="AF60" s="156">
        <f>(AF4+AF11+AF20)+2*(AG4+AG11+AG20)</f>
        <v>0</v>
      </c>
      <c r="AG60" s="156"/>
      <c r="AH60" s="156">
        <f>(AH4+AH11+AH20)+2*(AI4+AI11+AI20)</f>
        <v>0</v>
      </c>
      <c r="AI60" s="156"/>
      <c r="AJ60" s="156">
        <f>(AJ4+AJ11+AJ20)+2*(AK4+AK11+AK20)</f>
        <v>0</v>
      </c>
      <c r="AK60" s="310"/>
      <c r="AL60" s="310">
        <f>(AL4+AL11+AL20)+2*(AM4+AM11+AM20)</f>
        <v>0</v>
      </c>
      <c r="AM60" s="311"/>
      <c r="AN60" s="311">
        <f>(AN4+AN11+AN20)+2*(AO4+AO11+AO20)</f>
        <v>0</v>
      </c>
      <c r="AO60" s="314"/>
      <c r="AP60" s="314">
        <f>(AP4+AP11+AP20)+2*(AQ4+AQ11+AQ20)</f>
        <v>0</v>
      </c>
      <c r="AQ60" s="315"/>
      <c r="AR60" s="315">
        <f>(AR4+AR11+AR20)+2*(AS4+AS11+AS20)</f>
        <v>0</v>
      </c>
      <c r="AS60" s="156"/>
      <c r="AT60" s="156">
        <f>(AT4+AT11+AT20)+2*(AU4+AU11+AU20)</f>
        <v>0</v>
      </c>
      <c r="AU60" s="156"/>
      <c r="AV60" s="156">
        <f>(AV4+AV11+AV20)+2*(AW4+AW11+AW20)</f>
        <v>0</v>
      </c>
      <c r="AW60" s="156"/>
      <c r="AX60" s="156">
        <f>(AX4+AX11+AX20)+2*(AY4+AY11+AY20)</f>
        <v>0</v>
      </c>
      <c r="AY60" s="156"/>
      <c r="AZ60" s="156">
        <f>(AZ4+AZ11+AZ20)+2*(BA4+BA11+BA20)</f>
        <v>0</v>
      </c>
      <c r="BA60" s="156"/>
      <c r="BB60" s="284">
        <f>(BB4+BB11+BB20)+2*(BC4+BC11+BC20)</f>
        <v>0</v>
      </c>
      <c r="BC60" s="284"/>
      <c r="BD60" s="282">
        <f>(BD4+BD11+BD20)+2*(BE4+BE11+BE20)</f>
        <v>0</v>
      </c>
      <c r="BE60" s="282"/>
      <c r="BF60" s="156">
        <f>(BF4+BF11+BF20)+2*(BG4+BG11+BG20)</f>
        <v>0</v>
      </c>
      <c r="BG60" s="210"/>
      <c r="BH60" s="243">
        <f>(BH4+BH11+BH20)+2*(BI4+BI11+BI20)</f>
        <v>0</v>
      </c>
      <c r="BI60" s="316"/>
      <c r="BJ60" s="316">
        <f>(BJ4+BJ11+BJ20)+2*(BK4+BK11+BK20)</f>
        <v>0</v>
      </c>
      <c r="BK60" s="316"/>
      <c r="BL60" s="316">
        <f>(BL4+BL11+BL20)+2*(BM4+BM11+BM20)</f>
        <v>0</v>
      </c>
      <c r="BM60" s="316"/>
    </row>
    <row r="61" spans="1:65" ht="15.75" thickBot="1" x14ac:dyDescent="0.3">
      <c r="A61" t="s">
        <v>35</v>
      </c>
      <c r="C61" s="8"/>
      <c r="D61" s="285">
        <f>(D7+D14+D23)+2*(E7+E14+E23)</f>
        <v>0</v>
      </c>
      <c r="E61" s="58"/>
      <c r="F61" s="58">
        <f>(F7+F14+F23)+2*(G7+G14+G23)</f>
        <v>1</v>
      </c>
      <c r="G61" s="58"/>
      <c r="H61" s="58">
        <f>(H7+H14+H23)+2*(I7+I14+I23)</f>
        <v>1</v>
      </c>
      <c r="I61" s="58"/>
      <c r="J61" s="58">
        <f>(J7+J14+J23)+2*(K7+K14+K23)</f>
        <v>1</v>
      </c>
      <c r="K61" s="58"/>
      <c r="L61" s="58">
        <f>(L7+L14+L23)+2*(M7+M14+M23)</f>
        <v>1</v>
      </c>
      <c r="M61" s="58"/>
      <c r="N61" s="276">
        <f>(N7+N14+N23)+2*(O7+O14+O23)</f>
        <v>1</v>
      </c>
      <c r="O61" s="58"/>
      <c r="P61" s="58">
        <f>(P7+P14+P23)+2*(Q7+Q14+Q23)</f>
        <v>0</v>
      </c>
      <c r="Q61" s="58"/>
      <c r="R61" s="58">
        <f>(R7+R14+R23)+2*(S7+S14+S23)</f>
        <v>0</v>
      </c>
      <c r="S61" s="58"/>
      <c r="T61" s="58">
        <f>(T7+T14+T23)+2*(U7+U14+U23)</f>
        <v>1</v>
      </c>
      <c r="U61" s="58"/>
      <c r="V61" s="58">
        <f>(V7+V14+V23)+2*(W7+W14+W23)</f>
        <v>1</v>
      </c>
      <c r="W61" s="58"/>
      <c r="X61" s="58">
        <f>(X7+X14+X23)+2*(Y7+Y14+Y23)</f>
        <v>1</v>
      </c>
      <c r="Y61" s="58"/>
      <c r="Z61" s="118">
        <f>(Z7+Z14+Z23)+2*(AA7+AA14+AA23)</f>
        <v>1</v>
      </c>
      <c r="AA61" s="58"/>
      <c r="AB61" s="118">
        <f>(AB7+AB14+AB23)+2*(AC7+AC14+AC23)</f>
        <v>1</v>
      </c>
      <c r="AC61" s="58"/>
      <c r="AD61" s="58">
        <f>(AD7+AD14+AD23)+2*(AE7+AE14+AE23)</f>
        <v>0</v>
      </c>
      <c r="AE61" s="58"/>
      <c r="AF61" s="265">
        <f>(AF7+AF14+AF23)+2*(AG7+AG14+AG23)</f>
        <v>0</v>
      </c>
      <c r="AG61" s="58"/>
      <c r="AH61" s="58">
        <f>(AH7+AH14+AH23)+2*(AI7+AI14+AI23)</f>
        <v>1</v>
      </c>
      <c r="AI61" s="58"/>
      <c r="AJ61" s="58">
        <f>(AJ7+AJ14+AJ23)+2*(AK7+AK14+AK23)</f>
        <v>1</v>
      </c>
      <c r="AK61" s="310"/>
      <c r="AL61" s="310">
        <f>(AL7+AL14+AL23)+2*(AM7+AM14+AM23)</f>
        <v>1</v>
      </c>
      <c r="AM61" s="311"/>
      <c r="AN61" s="311">
        <f>(AN7+AN14+AN23)+2*(AO7+AO14+AO23)</f>
        <v>1</v>
      </c>
      <c r="AO61" s="314"/>
      <c r="AP61" s="314">
        <f>(AP7+AP14+AP23)+2*(AQ7+AQ14+AQ23)</f>
        <v>1</v>
      </c>
      <c r="AQ61" s="315"/>
      <c r="AR61" s="315">
        <f>(AR7+AR14+AR23)+2*(AS7+AS14+AS23)</f>
        <v>0</v>
      </c>
      <c r="AS61" s="58"/>
      <c r="AT61" s="58">
        <f>(AT7+AT14+AT23)+2*(AU7+AU14+AU23)</f>
        <v>0</v>
      </c>
      <c r="AU61" s="58"/>
      <c r="AV61" s="58">
        <f>(AV7+AV14+AV23)+2*(AW7+AW14+AW23)</f>
        <v>1</v>
      </c>
      <c r="AW61" s="58"/>
      <c r="AX61" s="268">
        <f>(AX7+AX14+AX23)+2*(AY7+AY14+AY23)</f>
        <v>1</v>
      </c>
      <c r="AY61" s="58"/>
      <c r="AZ61" s="269">
        <f>(AZ7+AZ14+AZ23)+2*(BA7+BA14+BA23)</f>
        <v>0</v>
      </c>
      <c r="BA61" s="118"/>
      <c r="BB61" s="284">
        <f>(BB7+BB14+BB23)+2*(BC7+BC14+BC23)</f>
        <v>1</v>
      </c>
      <c r="BC61" s="284"/>
      <c r="BD61" s="282">
        <f>(BD7+BD14+BD23)+2*(BE7+BE14+BE23)</f>
        <v>1</v>
      </c>
      <c r="BE61" s="282"/>
      <c r="BF61" s="58">
        <f>(BF7+BF14+BF23)+2*(BG7+BG14+BG23)</f>
        <v>0</v>
      </c>
      <c r="BG61" s="244"/>
      <c r="BH61" s="243">
        <f>(BH7+BH14+BH23)+2*(BI7+BI14+BI23)</f>
        <v>0</v>
      </c>
      <c r="BI61" s="316"/>
      <c r="BJ61" s="316">
        <f>(BJ7+BJ14+BJ23)+2*(BK7+BK14+BK23)</f>
        <v>0</v>
      </c>
      <c r="BK61" s="316"/>
      <c r="BL61" s="316">
        <f>(BL7+BL14+BL23)+2*(BM7+BM14+BM23)</f>
        <v>1</v>
      </c>
      <c r="BM61" s="316"/>
    </row>
    <row r="62" spans="1:65" ht="15.75" thickBot="1" x14ac:dyDescent="0.3">
      <c r="A62" s="126" t="s">
        <v>174</v>
      </c>
      <c r="B62" s="298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  <c r="W62" s="298"/>
      <c r="X62" s="298"/>
      <c r="Y62" s="298"/>
      <c r="Z62" s="298"/>
      <c r="AA62" s="298"/>
      <c r="AB62" s="298"/>
      <c r="AC62" s="298"/>
      <c r="AD62" s="298"/>
      <c r="AE62" s="298"/>
      <c r="AF62" s="298"/>
      <c r="AG62" s="298"/>
      <c r="AH62" s="298"/>
      <c r="AI62" s="298"/>
      <c r="AJ62" s="298"/>
      <c r="AK62" s="298"/>
      <c r="AL62" s="298"/>
      <c r="AM62" s="298"/>
      <c r="AN62" s="298"/>
      <c r="AO62" s="298"/>
      <c r="AP62" s="298"/>
      <c r="AQ62" s="298"/>
      <c r="AR62" s="298"/>
      <c r="AS62" s="298"/>
      <c r="AT62" s="298"/>
      <c r="AU62" s="298"/>
      <c r="AV62" s="298"/>
      <c r="AW62" s="298"/>
      <c r="AX62" s="298"/>
      <c r="AY62" s="298"/>
      <c r="AZ62" s="298"/>
      <c r="BA62" s="298"/>
      <c r="BB62" s="298"/>
      <c r="BC62" s="298"/>
      <c r="BD62" s="298"/>
      <c r="BE62" s="298"/>
      <c r="BF62" s="298"/>
      <c r="BG62" s="298"/>
      <c r="BH62" s="298"/>
      <c r="BI62" s="298"/>
      <c r="BJ62" s="320">
        <f>(BJ16)+2*(BK16)</f>
        <v>4</v>
      </c>
      <c r="BK62" s="298"/>
      <c r="BL62" s="298"/>
      <c r="BM62" s="298"/>
    </row>
    <row r="63" spans="1:65" x14ac:dyDescent="0.25">
      <c r="A63" s="126" t="s">
        <v>175</v>
      </c>
      <c r="BJ63" s="320">
        <f>(BJ17)+2*(BK17)</f>
        <v>8</v>
      </c>
    </row>
    <row r="64" spans="1:65" x14ac:dyDescent="0.25">
      <c r="A64" t="s">
        <v>183</v>
      </c>
      <c r="BJ64" s="324"/>
      <c r="BK64" s="324"/>
      <c r="BL64" s="324">
        <f t="shared" ref="BL64" si="18">(BL18)+2*(BM18)</f>
        <v>4</v>
      </c>
    </row>
  </sheetData>
  <mergeCells count="32">
    <mergeCell ref="AF1:AG1"/>
    <mergeCell ref="AL1:AM1"/>
    <mergeCell ref="BF1:BG1"/>
    <mergeCell ref="AH1:AI1"/>
    <mergeCell ref="AT1:AU1"/>
    <mergeCell ref="AN1:AO1"/>
    <mergeCell ref="BD1:BE1"/>
    <mergeCell ref="AR1:AS1"/>
    <mergeCell ref="AP1:AQ1"/>
    <mergeCell ref="BB1:BC1"/>
    <mergeCell ref="A43:B43"/>
    <mergeCell ref="D1:E1"/>
    <mergeCell ref="F1:G1"/>
    <mergeCell ref="L1:M1"/>
    <mergeCell ref="H1:I1"/>
    <mergeCell ref="J1:K1"/>
    <mergeCell ref="BL1:BM1"/>
    <mergeCell ref="AX1:AY1"/>
    <mergeCell ref="AZ1:BA1"/>
    <mergeCell ref="N1:O1"/>
    <mergeCell ref="P1:Q1"/>
    <mergeCell ref="Z1:AA1"/>
    <mergeCell ref="V1:W1"/>
    <mergeCell ref="T1:U1"/>
    <mergeCell ref="X1:Y1"/>
    <mergeCell ref="R1:S1"/>
    <mergeCell ref="BJ1:BK1"/>
    <mergeCell ref="AB1:AC1"/>
    <mergeCell ref="AV1:AW1"/>
    <mergeCell ref="AD1:AE1"/>
    <mergeCell ref="BH1:BI1"/>
    <mergeCell ref="AJ1:A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9"/>
  <sheetViews>
    <sheetView zoomScaleNormal="100" workbookViewId="0">
      <selection activeCell="AF30" sqref="AF30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</cols>
  <sheetData>
    <row r="1" spans="1:33" ht="24.75" x14ac:dyDescent="0.45">
      <c r="A1" s="129" t="s">
        <v>167</v>
      </c>
      <c r="B1" s="77"/>
    </row>
    <row r="3" spans="1:33" x14ac:dyDescent="0.25">
      <c r="A3" s="78"/>
      <c r="B3" s="78"/>
      <c r="C3" s="93">
        <v>45627</v>
      </c>
      <c r="D3" s="93">
        <v>45628</v>
      </c>
      <c r="E3" s="93">
        <v>45629</v>
      </c>
      <c r="F3" s="93">
        <v>45630</v>
      </c>
      <c r="G3" s="93">
        <v>45631</v>
      </c>
      <c r="H3" s="93">
        <v>45632</v>
      </c>
      <c r="I3" s="93">
        <v>45633</v>
      </c>
      <c r="J3" s="93">
        <v>45634</v>
      </c>
      <c r="K3" s="93">
        <v>45635</v>
      </c>
      <c r="L3" s="93">
        <v>45636</v>
      </c>
      <c r="M3" s="93">
        <v>45637</v>
      </c>
      <c r="N3" s="93">
        <v>45638</v>
      </c>
      <c r="O3" s="93">
        <v>45639</v>
      </c>
      <c r="P3" s="93">
        <v>45640</v>
      </c>
      <c r="Q3" s="93">
        <v>45641</v>
      </c>
      <c r="R3" s="93">
        <v>45642</v>
      </c>
      <c r="S3" s="93">
        <v>45643</v>
      </c>
      <c r="T3" s="93">
        <v>45644</v>
      </c>
      <c r="U3" s="93">
        <v>45645</v>
      </c>
      <c r="V3" s="93">
        <v>45646</v>
      </c>
      <c r="W3" s="93">
        <v>45647</v>
      </c>
      <c r="X3" s="93">
        <v>45648</v>
      </c>
      <c r="Y3" s="93">
        <v>45649</v>
      </c>
      <c r="Z3" s="93">
        <v>45650</v>
      </c>
      <c r="AA3" s="93">
        <v>45651</v>
      </c>
      <c r="AB3" s="93">
        <v>45652</v>
      </c>
      <c r="AC3" s="93">
        <v>45653</v>
      </c>
      <c r="AD3" s="93">
        <v>45654</v>
      </c>
      <c r="AE3" s="93">
        <v>45655</v>
      </c>
      <c r="AF3" s="93">
        <v>45656</v>
      </c>
      <c r="AG3" s="93">
        <v>45657</v>
      </c>
    </row>
    <row r="4" spans="1:33" x14ac:dyDescent="0.25">
      <c r="A4" s="79" t="s">
        <v>85</v>
      </c>
      <c r="B4" s="80" t="s">
        <v>86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</row>
    <row r="5" spans="1:33" s="85" customFormat="1" ht="14.25" x14ac:dyDescent="0.2">
      <c r="A5" s="81" t="s">
        <v>74</v>
      </c>
      <c r="B5" s="82">
        <v>43.13</v>
      </c>
      <c r="C5" s="95">
        <f>'Data Ocupacion'!D46</f>
        <v>39</v>
      </c>
      <c r="D5" s="95">
        <f>'Data Ocupacion'!F46</f>
        <v>79</v>
      </c>
      <c r="E5" s="95">
        <f>'Data Ocupacion'!H46</f>
        <v>79</v>
      </c>
      <c r="F5" s="95">
        <f>'Data Ocupacion'!J46</f>
        <v>79</v>
      </c>
      <c r="G5" s="95">
        <f>'Data Ocupacion'!L46</f>
        <v>79</v>
      </c>
      <c r="H5" s="95">
        <f>'Data Ocupacion'!N46</f>
        <v>79</v>
      </c>
      <c r="I5" s="95">
        <f>'Data Ocupacion'!P46</f>
        <v>72</v>
      </c>
      <c r="J5" s="95">
        <f>'Data Ocupacion'!R46</f>
        <v>54</v>
      </c>
      <c r="K5" s="95">
        <f>'Data Ocupacion'!T46</f>
        <v>79</v>
      </c>
      <c r="L5" s="95">
        <f>'Data Ocupacion'!V46</f>
        <v>79</v>
      </c>
      <c r="M5" s="95">
        <f>'Data Ocupacion'!X46</f>
        <v>79</v>
      </c>
      <c r="N5" s="95">
        <f>'Data Ocupacion'!Z46</f>
        <v>79</v>
      </c>
      <c r="O5" s="95">
        <f>'Data Ocupacion'!AB46</f>
        <v>79</v>
      </c>
      <c r="P5" s="95">
        <f>'Data Ocupacion'!AD46</f>
        <v>73</v>
      </c>
      <c r="Q5" s="95">
        <f>'Data Ocupacion'!AF46</f>
        <v>55</v>
      </c>
      <c r="R5" s="95">
        <f>'Data Ocupacion'!AH46</f>
        <v>79</v>
      </c>
      <c r="S5" s="95">
        <f>'Data Ocupacion'!AJ46</f>
        <v>79</v>
      </c>
      <c r="T5" s="95">
        <f>'Data Ocupacion'!AL46</f>
        <v>79</v>
      </c>
      <c r="U5" s="95">
        <f>'Data Ocupacion'!AN46</f>
        <v>79</v>
      </c>
      <c r="V5" s="95">
        <f>'Data Ocupacion'!AP46</f>
        <v>79</v>
      </c>
      <c r="W5" s="95">
        <f>'Data Ocupacion'!AR46</f>
        <v>72</v>
      </c>
      <c r="X5" s="95">
        <f>'Data Ocupacion'!AT46</f>
        <v>54</v>
      </c>
      <c r="Y5" s="95">
        <f>'Data Ocupacion'!AV46</f>
        <v>79</v>
      </c>
      <c r="Z5" s="95">
        <f>'Data Ocupacion'!AX46</f>
        <v>79</v>
      </c>
      <c r="AA5" s="95">
        <f>'Data Ocupacion'!AZ46</f>
        <v>54</v>
      </c>
      <c r="AB5" s="95">
        <f>'Data Ocupacion'!BB46</f>
        <v>79</v>
      </c>
      <c r="AC5" s="95">
        <f>'Data Ocupacion'!BD46</f>
        <v>79</v>
      </c>
      <c r="AD5" s="95">
        <f>'Data Ocupacion'!BF46</f>
        <v>72</v>
      </c>
      <c r="AE5" s="95">
        <f>'Data Ocupacion'!BH46</f>
        <v>54</v>
      </c>
      <c r="AF5" s="95">
        <f>'Data Ocupacion'!BJ46</f>
        <v>70</v>
      </c>
      <c r="AG5" s="95">
        <f>'Data Ocupacion'!BL46</f>
        <v>79</v>
      </c>
    </row>
    <row r="6" spans="1:33" s="85" customFormat="1" ht="14.25" x14ac:dyDescent="0.2">
      <c r="A6" s="81" t="s">
        <v>77</v>
      </c>
      <c r="B6" s="82">
        <v>43.13</v>
      </c>
      <c r="C6" s="95">
        <f>'Data Ocupacion'!D47</f>
        <v>40</v>
      </c>
      <c r="D6" s="95">
        <f>'Data Ocupacion'!F47</f>
        <v>78</v>
      </c>
      <c r="E6" s="95">
        <f>'Data Ocupacion'!H47</f>
        <v>78</v>
      </c>
      <c r="F6" s="95">
        <f>'Data Ocupacion'!J47</f>
        <v>78</v>
      </c>
      <c r="G6" s="95">
        <f>'Data Ocupacion'!L47</f>
        <v>78</v>
      </c>
      <c r="H6" s="95">
        <f>'Data Ocupacion'!N47</f>
        <v>79</v>
      </c>
      <c r="I6" s="95">
        <f>'Data Ocupacion'!P47</f>
        <v>75</v>
      </c>
      <c r="J6" s="95">
        <f>'Data Ocupacion'!R47</f>
        <v>57</v>
      </c>
      <c r="K6" s="95">
        <f>'Data Ocupacion'!T47</f>
        <v>78</v>
      </c>
      <c r="L6" s="95">
        <f>'Data Ocupacion'!V47</f>
        <v>78</v>
      </c>
      <c r="M6" s="95">
        <f>'Data Ocupacion'!X47</f>
        <v>78</v>
      </c>
      <c r="N6" s="95">
        <f>'Data Ocupacion'!Z47</f>
        <v>78</v>
      </c>
      <c r="O6" s="95">
        <f>'Data Ocupacion'!AB47</f>
        <v>78</v>
      </c>
      <c r="P6" s="95">
        <f>'Data Ocupacion'!AD47</f>
        <v>75</v>
      </c>
      <c r="Q6" s="95">
        <f>'Data Ocupacion'!AF47</f>
        <v>57</v>
      </c>
      <c r="R6" s="95">
        <f>'Data Ocupacion'!AH47</f>
        <v>78</v>
      </c>
      <c r="S6" s="95">
        <f>'Data Ocupacion'!AJ47</f>
        <v>78</v>
      </c>
      <c r="T6" s="95">
        <f>'Data Ocupacion'!AL47</f>
        <v>78</v>
      </c>
      <c r="U6" s="95">
        <f>'Data Ocupacion'!AN47</f>
        <v>78</v>
      </c>
      <c r="V6" s="95">
        <f>'Data Ocupacion'!AP47</f>
        <v>78</v>
      </c>
      <c r="W6" s="95">
        <f>'Data Ocupacion'!AR47</f>
        <v>75</v>
      </c>
      <c r="X6" s="95">
        <f>'Data Ocupacion'!AT47</f>
        <v>57</v>
      </c>
      <c r="Y6" s="95">
        <f>'Data Ocupacion'!AV47</f>
        <v>78</v>
      </c>
      <c r="Z6" s="95">
        <f>'Data Ocupacion'!AX47</f>
        <v>78</v>
      </c>
      <c r="AA6" s="95">
        <f>'Data Ocupacion'!AZ47</f>
        <v>57</v>
      </c>
      <c r="AB6" s="95">
        <f>'Data Ocupacion'!BB47</f>
        <v>78</v>
      </c>
      <c r="AC6" s="95">
        <f>'Data Ocupacion'!BD47</f>
        <v>78</v>
      </c>
      <c r="AD6" s="95">
        <f>'Data Ocupacion'!BF47</f>
        <v>75</v>
      </c>
      <c r="AE6" s="95">
        <f>'Data Ocupacion'!BH47</f>
        <v>57</v>
      </c>
      <c r="AF6" s="95">
        <f>'Data Ocupacion'!BJ47</f>
        <v>69</v>
      </c>
      <c r="AG6" s="95">
        <f>'Data Ocupacion'!BL47</f>
        <v>76</v>
      </c>
    </row>
    <row r="7" spans="1:33" s="85" customFormat="1" ht="14.25" x14ac:dyDescent="0.2">
      <c r="A7" s="81" t="s">
        <v>73</v>
      </c>
      <c r="B7" s="82">
        <v>29.11</v>
      </c>
      <c r="C7" s="95">
        <f>'Data Ocupacion'!D48</f>
        <v>0</v>
      </c>
      <c r="D7" s="95">
        <f>'Data Ocupacion'!F48</f>
        <v>33</v>
      </c>
      <c r="E7" s="95">
        <f>'Data Ocupacion'!H48</f>
        <v>33</v>
      </c>
      <c r="F7" s="95">
        <f>'Data Ocupacion'!J48</f>
        <v>33</v>
      </c>
      <c r="G7" s="95">
        <f>'Data Ocupacion'!L48</f>
        <v>33</v>
      </c>
      <c r="H7" s="95">
        <f>'Data Ocupacion'!N48</f>
        <v>33</v>
      </c>
      <c r="I7" s="95">
        <f>'Data Ocupacion'!P48</f>
        <v>0</v>
      </c>
      <c r="J7" s="95">
        <f>'Data Ocupacion'!R48</f>
        <v>0</v>
      </c>
      <c r="K7" s="95">
        <f>'Data Ocupacion'!T48</f>
        <v>33</v>
      </c>
      <c r="L7" s="95">
        <f>'Data Ocupacion'!V48</f>
        <v>33</v>
      </c>
      <c r="M7" s="95">
        <f>'Data Ocupacion'!X48</f>
        <v>33</v>
      </c>
      <c r="N7" s="95">
        <f>'Data Ocupacion'!Z48</f>
        <v>33</v>
      </c>
      <c r="O7" s="95">
        <f>'Data Ocupacion'!AB48</f>
        <v>33</v>
      </c>
      <c r="P7" s="95">
        <f>'Data Ocupacion'!AD48</f>
        <v>0</v>
      </c>
      <c r="Q7" s="95">
        <f>'Data Ocupacion'!AF48</f>
        <v>0</v>
      </c>
      <c r="R7" s="95">
        <f>'Data Ocupacion'!AH48</f>
        <v>33</v>
      </c>
      <c r="S7" s="95">
        <f>'Data Ocupacion'!AJ48</f>
        <v>33</v>
      </c>
      <c r="T7" s="95">
        <f>'Data Ocupacion'!AL48</f>
        <v>33</v>
      </c>
      <c r="U7" s="95">
        <f>'Data Ocupacion'!AN48</f>
        <v>33</v>
      </c>
      <c r="V7" s="95">
        <f>'Data Ocupacion'!AP48</f>
        <v>32</v>
      </c>
      <c r="W7" s="95">
        <f>'Data Ocupacion'!AR48</f>
        <v>0</v>
      </c>
      <c r="X7" s="95">
        <f>'Data Ocupacion'!AT48</f>
        <v>0</v>
      </c>
      <c r="Y7" s="95">
        <f>'Data Ocupacion'!AV48</f>
        <v>33</v>
      </c>
      <c r="Z7" s="95">
        <f>'Data Ocupacion'!AX48</f>
        <v>33</v>
      </c>
      <c r="AA7" s="95">
        <f>'Data Ocupacion'!AZ48</f>
        <v>0</v>
      </c>
      <c r="AB7" s="95">
        <f>'Data Ocupacion'!BB48</f>
        <v>33</v>
      </c>
      <c r="AC7" s="95">
        <f>'Data Ocupacion'!BD48</f>
        <v>33</v>
      </c>
      <c r="AD7" s="95">
        <f>'Data Ocupacion'!BF48</f>
        <v>0</v>
      </c>
      <c r="AE7" s="95">
        <f>'Data Ocupacion'!BH48</f>
        <v>0</v>
      </c>
      <c r="AF7" s="95">
        <f>'Data Ocupacion'!BJ48</f>
        <v>22</v>
      </c>
      <c r="AG7" s="95">
        <f>'Data Ocupacion'!BL48</f>
        <v>33</v>
      </c>
    </row>
    <row r="8" spans="1:33" s="85" customFormat="1" ht="14.25" x14ac:dyDescent="0.2">
      <c r="A8" s="81" t="s">
        <v>75</v>
      </c>
      <c r="B8" s="82">
        <v>29.11</v>
      </c>
      <c r="C8" s="95">
        <f>'Data Ocupacion'!D49</f>
        <v>0</v>
      </c>
      <c r="D8" s="95">
        <f>'Data Ocupacion'!F49</f>
        <v>32</v>
      </c>
      <c r="E8" s="95">
        <f>'Data Ocupacion'!H49</f>
        <v>32</v>
      </c>
      <c r="F8" s="95">
        <f>'Data Ocupacion'!J49</f>
        <v>32</v>
      </c>
      <c r="G8" s="95">
        <f>'Data Ocupacion'!L49</f>
        <v>32</v>
      </c>
      <c r="H8" s="95">
        <f>'Data Ocupacion'!N49</f>
        <v>32</v>
      </c>
      <c r="I8" s="95">
        <f>'Data Ocupacion'!P49</f>
        <v>0</v>
      </c>
      <c r="J8" s="95">
        <f>'Data Ocupacion'!R49</f>
        <v>0</v>
      </c>
      <c r="K8" s="95">
        <f>'Data Ocupacion'!T49</f>
        <v>31</v>
      </c>
      <c r="L8" s="95">
        <f>'Data Ocupacion'!V49</f>
        <v>32</v>
      </c>
      <c r="M8" s="95">
        <f>'Data Ocupacion'!X49</f>
        <v>32</v>
      </c>
      <c r="N8" s="95">
        <f>'Data Ocupacion'!Z49</f>
        <v>32</v>
      </c>
      <c r="O8" s="95">
        <f>'Data Ocupacion'!AB49</f>
        <v>32</v>
      </c>
      <c r="P8" s="95">
        <f>'Data Ocupacion'!AD49</f>
        <v>0</v>
      </c>
      <c r="Q8" s="95">
        <f>'Data Ocupacion'!AF49</f>
        <v>0</v>
      </c>
      <c r="R8" s="95">
        <f>'Data Ocupacion'!AH49</f>
        <v>32</v>
      </c>
      <c r="S8" s="95">
        <f>'Data Ocupacion'!AJ49</f>
        <v>32</v>
      </c>
      <c r="T8" s="95">
        <f>'Data Ocupacion'!AL49</f>
        <v>32</v>
      </c>
      <c r="U8" s="95">
        <f>'Data Ocupacion'!AN49</f>
        <v>32</v>
      </c>
      <c r="V8" s="95">
        <f>'Data Ocupacion'!AP49</f>
        <v>32</v>
      </c>
      <c r="W8" s="95">
        <f>'Data Ocupacion'!AR49</f>
        <v>0</v>
      </c>
      <c r="X8" s="95">
        <f>'Data Ocupacion'!AT49</f>
        <v>0</v>
      </c>
      <c r="Y8" s="95">
        <f>'Data Ocupacion'!AV49</f>
        <v>32</v>
      </c>
      <c r="Z8" s="95">
        <f>'Data Ocupacion'!AX49</f>
        <v>32</v>
      </c>
      <c r="AA8" s="95">
        <f>'Data Ocupacion'!AZ49</f>
        <v>0</v>
      </c>
      <c r="AB8" s="95">
        <f>'Data Ocupacion'!BB49</f>
        <v>32</v>
      </c>
      <c r="AC8" s="95">
        <f>'Data Ocupacion'!BD49</f>
        <v>32</v>
      </c>
      <c r="AD8" s="95">
        <f>'Data Ocupacion'!BF49</f>
        <v>0</v>
      </c>
      <c r="AE8" s="95">
        <f>'Data Ocupacion'!BH49</f>
        <v>0</v>
      </c>
      <c r="AF8" s="95">
        <f>'Data Ocupacion'!BJ49</f>
        <v>22</v>
      </c>
      <c r="AG8" s="95">
        <f>'Data Ocupacion'!BL49</f>
        <v>32</v>
      </c>
    </row>
    <row r="9" spans="1:33" s="85" customFormat="1" ht="14.25" x14ac:dyDescent="0.2">
      <c r="A9" s="81" t="s">
        <v>123</v>
      </c>
      <c r="B9" s="82">
        <v>25.4</v>
      </c>
      <c r="C9" s="95">
        <f>'Data Ocupacion'!D50</f>
        <v>0</v>
      </c>
      <c r="D9" s="95">
        <f>'Data Ocupacion'!F50</f>
        <v>0</v>
      </c>
      <c r="E9" s="95">
        <f>'Data Ocupacion'!H50</f>
        <v>0</v>
      </c>
      <c r="F9" s="95">
        <f>'Data Ocupacion'!J50</f>
        <v>0</v>
      </c>
      <c r="G9" s="95">
        <f>'Data Ocupacion'!L50</f>
        <v>0</v>
      </c>
      <c r="H9" s="95">
        <f>'Data Ocupacion'!N50</f>
        <v>0</v>
      </c>
      <c r="I9" s="95">
        <f>'Data Ocupacion'!P50</f>
        <v>0</v>
      </c>
      <c r="J9" s="95">
        <f>'Data Ocupacion'!R50</f>
        <v>0</v>
      </c>
      <c r="K9" s="95">
        <f>'Data Ocupacion'!T50</f>
        <v>0</v>
      </c>
      <c r="L9" s="95">
        <f>'Data Ocupacion'!V50</f>
        <v>0</v>
      </c>
      <c r="M9" s="95">
        <f>'Data Ocupacion'!X50</f>
        <v>0</v>
      </c>
      <c r="N9" s="95">
        <f>'Data Ocupacion'!Z50</f>
        <v>0</v>
      </c>
      <c r="O9" s="95">
        <f>'Data Ocupacion'!AB50</f>
        <v>0</v>
      </c>
      <c r="P9" s="95">
        <f>'Data Ocupacion'!AD50</f>
        <v>0</v>
      </c>
      <c r="Q9" s="95">
        <f>'Data Ocupacion'!AF50</f>
        <v>0</v>
      </c>
      <c r="R9" s="95">
        <f>'Data Ocupacion'!AH50</f>
        <v>0</v>
      </c>
      <c r="S9" s="95">
        <f>'Data Ocupacion'!AJ50</f>
        <v>0</v>
      </c>
      <c r="T9" s="95">
        <f>'Data Ocupacion'!AL50</f>
        <v>0</v>
      </c>
      <c r="U9" s="95">
        <f>'Data Ocupacion'!AN50</f>
        <v>0</v>
      </c>
      <c r="V9" s="95">
        <f>'Data Ocupacion'!AP50</f>
        <v>0</v>
      </c>
      <c r="W9" s="95">
        <f>'Data Ocupacion'!AR50</f>
        <v>0</v>
      </c>
      <c r="X9" s="95">
        <f>'Data Ocupacion'!AT50</f>
        <v>0</v>
      </c>
      <c r="Y9" s="95">
        <f>'Data Ocupacion'!AV50</f>
        <v>0</v>
      </c>
      <c r="Z9" s="95">
        <f>'Data Ocupacion'!AX50</f>
        <v>0</v>
      </c>
      <c r="AA9" s="95">
        <f>'Data Ocupacion'!AZ50</f>
        <v>0</v>
      </c>
      <c r="AB9" s="95">
        <f>'Data Ocupacion'!BB50</f>
        <v>0</v>
      </c>
      <c r="AC9" s="95">
        <f>'Data Ocupacion'!BD50</f>
        <v>0</v>
      </c>
      <c r="AD9" s="95">
        <f>'Data Ocupacion'!BF50</f>
        <v>0</v>
      </c>
      <c r="AE9" s="95">
        <f>'Data Ocupacion'!BH50</f>
        <v>0</v>
      </c>
      <c r="AF9" s="95">
        <f>'Data Ocupacion'!BJ50</f>
        <v>0</v>
      </c>
      <c r="AG9" s="95">
        <f>'Data Ocupacion'!BL50</f>
        <v>0</v>
      </c>
    </row>
    <row r="10" spans="1:33" s="85" customFormat="1" ht="14.25" x14ac:dyDescent="0.2">
      <c r="A10" s="219" t="s">
        <v>76</v>
      </c>
      <c r="B10" s="82">
        <v>25.4</v>
      </c>
      <c r="C10" s="95">
        <f>'Data Ocupacion'!D51</f>
        <v>0</v>
      </c>
      <c r="D10" s="95">
        <f>'Data Ocupacion'!F51</f>
        <v>1</v>
      </c>
      <c r="E10" s="95">
        <f>'Data Ocupacion'!H51</f>
        <v>1</v>
      </c>
      <c r="F10" s="95">
        <f>'Data Ocupacion'!J51</f>
        <v>1</v>
      </c>
      <c r="G10" s="95">
        <f>'Data Ocupacion'!L51</f>
        <v>1</v>
      </c>
      <c r="H10" s="95">
        <f>'Data Ocupacion'!N51</f>
        <v>1</v>
      </c>
      <c r="I10" s="95">
        <f>'Data Ocupacion'!P51</f>
        <v>0</v>
      </c>
      <c r="J10" s="95">
        <f>'Data Ocupacion'!R51</f>
        <v>0</v>
      </c>
      <c r="K10" s="95">
        <f>'Data Ocupacion'!T51</f>
        <v>1</v>
      </c>
      <c r="L10" s="95">
        <f>'Data Ocupacion'!V51</f>
        <v>1</v>
      </c>
      <c r="M10" s="95">
        <f>'Data Ocupacion'!X51</f>
        <v>1</v>
      </c>
      <c r="N10" s="95">
        <f>'Data Ocupacion'!Z51</f>
        <v>1</v>
      </c>
      <c r="O10" s="95">
        <f>'Data Ocupacion'!AB51</f>
        <v>1</v>
      </c>
      <c r="P10" s="95">
        <f>'Data Ocupacion'!AD51</f>
        <v>0</v>
      </c>
      <c r="Q10" s="95">
        <f>'Data Ocupacion'!AF51</f>
        <v>0</v>
      </c>
      <c r="R10" s="95">
        <f>'Data Ocupacion'!AH51</f>
        <v>1</v>
      </c>
      <c r="S10" s="95">
        <f>'Data Ocupacion'!AJ51</f>
        <v>1</v>
      </c>
      <c r="T10" s="95">
        <f>'Data Ocupacion'!AL51</f>
        <v>1</v>
      </c>
      <c r="U10" s="95">
        <f>'Data Ocupacion'!AN51</f>
        <v>1</v>
      </c>
      <c r="V10" s="95">
        <f>'Data Ocupacion'!AP51</f>
        <v>1</v>
      </c>
      <c r="W10" s="95">
        <f>'Data Ocupacion'!AR51</f>
        <v>0</v>
      </c>
      <c r="X10" s="95">
        <f>'Data Ocupacion'!AT51</f>
        <v>0</v>
      </c>
      <c r="Y10" s="95">
        <f>'Data Ocupacion'!AV51</f>
        <v>1</v>
      </c>
      <c r="Z10" s="95">
        <f>'Data Ocupacion'!AX51</f>
        <v>1</v>
      </c>
      <c r="AA10" s="95">
        <f>'Data Ocupacion'!AZ51</f>
        <v>0</v>
      </c>
      <c r="AB10" s="95">
        <f>'Data Ocupacion'!BB51</f>
        <v>1</v>
      </c>
      <c r="AC10" s="95">
        <f>'Data Ocupacion'!BD51</f>
        <v>1</v>
      </c>
      <c r="AD10" s="95">
        <f>'Data Ocupacion'!BF51</f>
        <v>0</v>
      </c>
      <c r="AE10" s="95">
        <f>'Data Ocupacion'!BH51</f>
        <v>0</v>
      </c>
      <c r="AF10" s="95">
        <f>'Data Ocupacion'!BJ51</f>
        <v>0</v>
      </c>
      <c r="AG10" s="95">
        <f>'Data Ocupacion'!BL51</f>
        <v>1</v>
      </c>
    </row>
    <row r="11" spans="1:33" s="85" customFormat="1" ht="14.25" customHeight="1" x14ac:dyDescent="0.2">
      <c r="A11" s="219" t="s">
        <v>176</v>
      </c>
      <c r="B11" s="249">
        <v>35.729999999999997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Z11" s="95"/>
      <c r="AB11" s="95"/>
      <c r="AC11" s="95"/>
      <c r="AD11" s="95"/>
      <c r="AE11" s="95"/>
      <c r="AF11" s="95">
        <f>'Data Ocupacion'!BJ52</f>
        <v>3</v>
      </c>
      <c r="AG11" s="95"/>
    </row>
    <row r="12" spans="1:33" s="85" customFormat="1" ht="14.25" customHeight="1" x14ac:dyDescent="0.2">
      <c r="A12" s="219" t="s">
        <v>177</v>
      </c>
      <c r="B12" s="249">
        <v>35.729999999999997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Z12" s="95"/>
      <c r="AB12" s="95"/>
      <c r="AC12" s="95"/>
      <c r="AD12" s="95"/>
      <c r="AE12" s="95"/>
      <c r="AF12" s="95">
        <f>'Data Ocupacion'!BJ53</f>
        <v>5</v>
      </c>
      <c r="AG12" s="95"/>
    </row>
    <row r="13" spans="1:33" s="85" customFormat="1" ht="14.25" customHeight="1" x14ac:dyDescent="0.2">
      <c r="A13" s="219" t="s">
        <v>182</v>
      </c>
      <c r="B13" s="249">
        <v>39.4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Z13" s="95"/>
      <c r="AB13" s="95"/>
      <c r="AC13" s="95"/>
      <c r="AD13" s="95"/>
      <c r="AE13" s="95"/>
      <c r="AF13" s="95"/>
      <c r="AG13" s="95">
        <f>'Data Ocupacion'!BL54</f>
        <v>2</v>
      </c>
    </row>
    <row r="14" spans="1:33" s="85" customFormat="1" ht="14.25" x14ac:dyDescent="0.2">
      <c r="A14" s="81"/>
      <c r="B14" s="82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T14" s="95"/>
      <c r="V14" s="95"/>
      <c r="X14" s="95"/>
      <c r="Z14" s="95"/>
      <c r="AB14" s="95"/>
      <c r="AD14" s="95"/>
      <c r="AE14" s="95"/>
      <c r="AF14" s="95"/>
      <c r="AG14" s="95"/>
    </row>
    <row r="15" spans="1:33" s="85" customFormat="1" ht="14.25" x14ac:dyDescent="0.2">
      <c r="A15" s="81" t="s">
        <v>87</v>
      </c>
      <c r="B15" s="82">
        <v>43.13</v>
      </c>
      <c r="C15" s="95">
        <f>'Data Ocupacion'!D56</f>
        <v>55</v>
      </c>
      <c r="D15" s="95">
        <f>'Data Ocupacion'!F56</f>
        <v>117</v>
      </c>
      <c r="E15" s="95">
        <f>'Data Ocupacion'!H56</f>
        <v>116</v>
      </c>
      <c r="F15" s="95">
        <f>'Data Ocupacion'!J56</f>
        <v>116</v>
      </c>
      <c r="G15" s="95">
        <f>'Data Ocupacion'!L56</f>
        <v>116</v>
      </c>
      <c r="H15" s="95">
        <f>'Data Ocupacion'!N56</f>
        <v>115</v>
      </c>
      <c r="I15" s="95">
        <f>'Data Ocupacion'!P56</f>
        <v>75</v>
      </c>
      <c r="J15" s="95">
        <f>'Data Ocupacion'!R56</f>
        <v>59</v>
      </c>
      <c r="K15" s="95">
        <f>'Data Ocupacion'!T56</f>
        <v>114</v>
      </c>
      <c r="L15" s="95">
        <f>'Data Ocupacion'!V56</f>
        <v>115</v>
      </c>
      <c r="M15" s="95">
        <f>'Data Ocupacion'!X56</f>
        <v>116</v>
      </c>
      <c r="N15" s="95">
        <f>'Data Ocupacion'!Z56</f>
        <v>115</v>
      </c>
      <c r="O15" s="95">
        <f>'Data Ocupacion'!AB56</f>
        <v>117</v>
      </c>
      <c r="P15" s="95">
        <f>'Data Ocupacion'!AD56</f>
        <v>107</v>
      </c>
      <c r="Q15" s="95">
        <f>'Data Ocupacion'!AF56</f>
        <v>87</v>
      </c>
      <c r="R15" s="95">
        <f>'Data Ocupacion'!AH56</f>
        <v>116</v>
      </c>
      <c r="S15" s="95">
        <f>'Data Ocupacion'!AJ56</f>
        <v>116</v>
      </c>
      <c r="T15" s="95">
        <f>'Data Ocupacion'!AL56</f>
        <v>114</v>
      </c>
      <c r="U15" s="95">
        <f>'Data Ocupacion'!AN56</f>
        <v>115</v>
      </c>
      <c r="V15" s="95">
        <f>'Data Ocupacion'!AP56</f>
        <v>114</v>
      </c>
      <c r="W15" s="95">
        <f>'Data Ocupacion'!AR56</f>
        <v>76</v>
      </c>
      <c r="X15" s="95">
        <f>'Data Ocupacion'!AT56</f>
        <v>57</v>
      </c>
      <c r="Y15" s="95">
        <f>'Data Ocupacion'!AV56</f>
        <v>113</v>
      </c>
      <c r="Z15" s="95">
        <f>'Data Ocupacion'!AX56</f>
        <v>118</v>
      </c>
      <c r="AA15" s="95">
        <f>'Data Ocupacion'!AZ56</f>
        <v>57</v>
      </c>
      <c r="AB15" s="95">
        <f>'Data Ocupacion'!BB56</f>
        <v>116</v>
      </c>
      <c r="AC15" s="95">
        <f>'Data Ocupacion'!BD56</f>
        <v>115</v>
      </c>
      <c r="AD15" s="95">
        <f>'Data Ocupacion'!BF56</f>
        <v>75</v>
      </c>
      <c r="AE15" s="95">
        <f>'Data Ocupacion'!BH56</f>
        <v>57</v>
      </c>
      <c r="AF15" s="95">
        <f>'Data Ocupacion'!BJ56</f>
        <v>106</v>
      </c>
      <c r="AG15" s="95">
        <f>'Data Ocupacion'!BL56</f>
        <v>129</v>
      </c>
    </row>
    <row r="16" spans="1:33" s="85" customFormat="1" ht="14.25" x14ac:dyDescent="0.2">
      <c r="A16" s="81" t="s">
        <v>88</v>
      </c>
      <c r="B16" s="82">
        <v>43.13</v>
      </c>
      <c r="C16" s="95">
        <f>'Data Ocupacion'!D57</f>
        <v>55</v>
      </c>
      <c r="D16" s="95">
        <f>'Data Ocupacion'!F57</f>
        <v>117</v>
      </c>
      <c r="E16" s="95">
        <f>'Data Ocupacion'!H57</f>
        <v>116</v>
      </c>
      <c r="F16" s="95">
        <f>'Data Ocupacion'!J57</f>
        <v>116</v>
      </c>
      <c r="G16" s="95">
        <f>'Data Ocupacion'!L57</f>
        <v>116</v>
      </c>
      <c r="H16" s="95">
        <f>'Data Ocupacion'!N57</f>
        <v>117</v>
      </c>
      <c r="I16" s="95">
        <f>'Data Ocupacion'!P57</f>
        <v>75</v>
      </c>
      <c r="J16" s="95">
        <f>'Data Ocupacion'!R57</f>
        <v>59</v>
      </c>
      <c r="K16" s="95">
        <f>'Data Ocupacion'!T57</f>
        <v>114</v>
      </c>
      <c r="L16" s="95">
        <f>'Data Ocupacion'!V57</f>
        <v>115</v>
      </c>
      <c r="M16" s="95">
        <f>'Data Ocupacion'!X57</f>
        <v>116</v>
      </c>
      <c r="N16" s="95">
        <f>'Data Ocupacion'!Z57</f>
        <v>115</v>
      </c>
      <c r="O16" s="95">
        <f>'Data Ocupacion'!AB57</f>
        <v>115</v>
      </c>
      <c r="P16" s="95">
        <f>'Data Ocupacion'!AD57</f>
        <v>107</v>
      </c>
      <c r="Q16" s="95">
        <f>'Data Ocupacion'!AF57</f>
        <v>84</v>
      </c>
      <c r="R16" s="95">
        <f>'Data Ocupacion'!AH57</f>
        <v>116</v>
      </c>
      <c r="S16" s="95">
        <f>'Data Ocupacion'!AJ57</f>
        <v>116</v>
      </c>
      <c r="T16" s="95">
        <f>'Data Ocupacion'!AL57</f>
        <v>114</v>
      </c>
      <c r="U16" s="95">
        <f>'Data Ocupacion'!AN57</f>
        <v>115</v>
      </c>
      <c r="V16" s="95">
        <f>'Data Ocupacion'!AP57</f>
        <v>114</v>
      </c>
      <c r="W16" s="95">
        <f>'Data Ocupacion'!AR57</f>
        <v>76</v>
      </c>
      <c r="X16" s="95">
        <f>'Data Ocupacion'!AT57</f>
        <v>57</v>
      </c>
      <c r="Y16" s="95">
        <f>'Data Ocupacion'!AV57</f>
        <v>113</v>
      </c>
      <c r="Z16" s="95">
        <f>'Data Ocupacion'!AX57</f>
        <v>118</v>
      </c>
      <c r="AA16" s="95">
        <f>'Data Ocupacion'!AZ57</f>
        <v>57</v>
      </c>
      <c r="AB16" s="95">
        <f>'Data Ocupacion'!BB57</f>
        <v>116</v>
      </c>
      <c r="AC16" s="95">
        <f>'Data Ocupacion'!BD57</f>
        <v>115</v>
      </c>
      <c r="AD16" s="95">
        <f>'Data Ocupacion'!BF57</f>
        <v>75</v>
      </c>
      <c r="AE16" s="95">
        <f>'Data Ocupacion'!BH57</f>
        <v>57</v>
      </c>
      <c r="AF16" s="95">
        <f>'Data Ocupacion'!BJ57</f>
        <v>105</v>
      </c>
      <c r="AG16" s="95">
        <f>'Data Ocupacion'!BL57</f>
        <v>127</v>
      </c>
    </row>
    <row r="17" spans="1:33" s="85" customFormat="1" ht="14.25" x14ac:dyDescent="0.2">
      <c r="A17" s="81" t="s">
        <v>89</v>
      </c>
      <c r="B17" s="82">
        <v>29.11</v>
      </c>
      <c r="C17" s="95">
        <f>'Data Ocupacion'!D58</f>
        <v>0</v>
      </c>
      <c r="D17" s="95">
        <f>'Data Ocupacion'!F58</f>
        <v>37</v>
      </c>
      <c r="E17" s="95">
        <f>'Data Ocupacion'!H58</f>
        <v>37</v>
      </c>
      <c r="F17" s="95">
        <f>'Data Ocupacion'!J58</f>
        <v>37</v>
      </c>
      <c r="G17" s="95">
        <f>'Data Ocupacion'!L58</f>
        <v>37</v>
      </c>
      <c r="H17" s="95">
        <f>'Data Ocupacion'!N58</f>
        <v>37</v>
      </c>
      <c r="I17" s="95">
        <f>'Data Ocupacion'!P58</f>
        <v>0</v>
      </c>
      <c r="J17" s="95">
        <f>'Data Ocupacion'!R58</f>
        <v>0</v>
      </c>
      <c r="K17" s="95">
        <f>'Data Ocupacion'!T58</f>
        <v>36</v>
      </c>
      <c r="L17" s="95">
        <f>'Data Ocupacion'!V58</f>
        <v>37</v>
      </c>
      <c r="M17" s="95">
        <f>'Data Ocupacion'!X58</f>
        <v>37</v>
      </c>
      <c r="N17" s="95">
        <f>'Data Ocupacion'!Z58</f>
        <v>36</v>
      </c>
      <c r="O17" s="95">
        <f>'Data Ocupacion'!AB58</f>
        <v>37</v>
      </c>
      <c r="P17" s="95">
        <f>'Data Ocupacion'!AD58</f>
        <v>0</v>
      </c>
      <c r="Q17" s="95">
        <f>'Data Ocupacion'!AF58</f>
        <v>0</v>
      </c>
      <c r="R17" s="95">
        <f>'Data Ocupacion'!AH58</f>
        <v>36</v>
      </c>
      <c r="S17" s="95">
        <f>'Data Ocupacion'!AJ58</f>
        <v>37</v>
      </c>
      <c r="T17" s="95">
        <f>'Data Ocupacion'!AL58</f>
        <v>37</v>
      </c>
      <c r="U17" s="95">
        <f>'Data Ocupacion'!AN58</f>
        <v>37</v>
      </c>
      <c r="V17" s="95">
        <f>'Data Ocupacion'!AP58</f>
        <v>36</v>
      </c>
      <c r="W17" s="95">
        <f>'Data Ocupacion'!AR58</f>
        <v>0</v>
      </c>
      <c r="X17" s="95">
        <f>'Data Ocupacion'!AT58</f>
        <v>0</v>
      </c>
      <c r="Y17" s="95">
        <f>'Data Ocupacion'!AV58</f>
        <v>36</v>
      </c>
      <c r="Z17" s="95">
        <f>'Data Ocupacion'!AX58</f>
        <v>37</v>
      </c>
      <c r="AA17" s="95">
        <f>'Data Ocupacion'!AZ58</f>
        <v>0</v>
      </c>
      <c r="AB17" s="95">
        <f>'Data Ocupacion'!BB58</f>
        <v>36</v>
      </c>
      <c r="AC17" s="95">
        <f>'Data Ocupacion'!BD58</f>
        <v>37</v>
      </c>
      <c r="AD17" s="95">
        <f>'Data Ocupacion'!BF58</f>
        <v>0</v>
      </c>
      <c r="AE17" s="95">
        <f>'Data Ocupacion'!BH58</f>
        <v>0</v>
      </c>
      <c r="AF17" s="95">
        <f>'Data Ocupacion'!BJ58</f>
        <v>24</v>
      </c>
      <c r="AG17" s="95">
        <f>'Data Ocupacion'!BL58</f>
        <v>35</v>
      </c>
    </row>
    <row r="18" spans="1:33" s="85" customFormat="1" ht="14.25" x14ac:dyDescent="0.2">
      <c r="A18" s="81" t="s">
        <v>90</v>
      </c>
      <c r="B18" s="82">
        <v>29.11</v>
      </c>
      <c r="C18" s="95">
        <f>'Data Ocupacion'!D59</f>
        <v>0</v>
      </c>
      <c r="D18" s="95">
        <f>'Data Ocupacion'!F59</f>
        <v>36</v>
      </c>
      <c r="E18" s="95">
        <f>'Data Ocupacion'!H59</f>
        <v>36</v>
      </c>
      <c r="F18" s="95">
        <f>'Data Ocupacion'!J59</f>
        <v>36</v>
      </c>
      <c r="G18" s="95">
        <f>'Data Ocupacion'!L59</f>
        <v>36</v>
      </c>
      <c r="H18" s="95">
        <f>'Data Ocupacion'!N59</f>
        <v>36</v>
      </c>
      <c r="I18" s="95">
        <f>'Data Ocupacion'!P59</f>
        <v>0</v>
      </c>
      <c r="J18" s="95">
        <f>'Data Ocupacion'!R59</f>
        <v>0</v>
      </c>
      <c r="K18" s="95">
        <f>'Data Ocupacion'!T59</f>
        <v>34</v>
      </c>
      <c r="L18" s="95">
        <f>'Data Ocupacion'!V59</f>
        <v>36</v>
      </c>
      <c r="M18" s="95">
        <f>'Data Ocupacion'!X59</f>
        <v>36</v>
      </c>
      <c r="N18" s="95">
        <f>'Data Ocupacion'!Z59</f>
        <v>35</v>
      </c>
      <c r="O18" s="95">
        <f>'Data Ocupacion'!AB59</f>
        <v>36</v>
      </c>
      <c r="P18" s="95">
        <f>'Data Ocupacion'!AD59</f>
        <v>0</v>
      </c>
      <c r="Q18" s="95">
        <f>'Data Ocupacion'!AF59</f>
        <v>0</v>
      </c>
      <c r="R18" s="95">
        <f>'Data Ocupacion'!AH59</f>
        <v>35</v>
      </c>
      <c r="S18" s="95">
        <f>'Data Ocupacion'!AJ59</f>
        <v>36</v>
      </c>
      <c r="T18" s="95">
        <f>'Data Ocupacion'!AL59</f>
        <v>36</v>
      </c>
      <c r="U18" s="95">
        <f>'Data Ocupacion'!AN59</f>
        <v>36</v>
      </c>
      <c r="V18" s="95">
        <f>'Data Ocupacion'!AP59</f>
        <v>36</v>
      </c>
      <c r="W18" s="95">
        <f>'Data Ocupacion'!AR59</f>
        <v>0</v>
      </c>
      <c r="X18" s="95">
        <f>'Data Ocupacion'!AT59</f>
        <v>0</v>
      </c>
      <c r="Y18" s="95">
        <f>'Data Ocupacion'!AV59</f>
        <v>35</v>
      </c>
      <c r="Z18" s="95">
        <f>'Data Ocupacion'!AX59</f>
        <v>36</v>
      </c>
      <c r="AA18" s="95">
        <f>'Data Ocupacion'!AZ59</f>
        <v>0</v>
      </c>
      <c r="AB18" s="95">
        <f>'Data Ocupacion'!BB59</f>
        <v>35</v>
      </c>
      <c r="AC18" s="95">
        <f>'Data Ocupacion'!BD59</f>
        <v>36</v>
      </c>
      <c r="AD18" s="95">
        <f>'Data Ocupacion'!BF59</f>
        <v>0</v>
      </c>
      <c r="AE18" s="95">
        <f>'Data Ocupacion'!BH59</f>
        <v>0</v>
      </c>
      <c r="AF18" s="95">
        <f>'Data Ocupacion'!BJ59</f>
        <v>24</v>
      </c>
      <c r="AG18" s="95">
        <f>'Data Ocupacion'!BL59</f>
        <v>34</v>
      </c>
    </row>
    <row r="19" spans="1:33" s="85" customFormat="1" ht="14.25" x14ac:dyDescent="0.2">
      <c r="A19" s="81" t="s">
        <v>91</v>
      </c>
      <c r="B19" s="82">
        <v>25.4</v>
      </c>
      <c r="C19" s="95">
        <f>'Data Ocupacion'!D61</f>
        <v>0</v>
      </c>
      <c r="D19" s="95">
        <f>'Data Ocupacion'!F61</f>
        <v>1</v>
      </c>
      <c r="E19" s="95">
        <f>'Data Ocupacion'!H61</f>
        <v>1</v>
      </c>
      <c r="F19" s="95">
        <f>'Data Ocupacion'!J61</f>
        <v>1</v>
      </c>
      <c r="G19" s="95">
        <f>'Data Ocupacion'!L61</f>
        <v>1</v>
      </c>
      <c r="H19" s="95">
        <f>'Data Ocupacion'!N61</f>
        <v>1</v>
      </c>
      <c r="I19" s="95">
        <f>'Data Ocupacion'!P61</f>
        <v>0</v>
      </c>
      <c r="J19" s="95">
        <f>'Data Ocupacion'!R61</f>
        <v>0</v>
      </c>
      <c r="K19" s="95">
        <f>'Data Ocupacion'!T61</f>
        <v>1</v>
      </c>
      <c r="L19" s="95">
        <f>'Data Ocupacion'!V61</f>
        <v>1</v>
      </c>
      <c r="M19" s="95">
        <f>'Data Ocupacion'!X61</f>
        <v>1</v>
      </c>
      <c r="N19" s="95">
        <f>'Data Ocupacion'!Z61</f>
        <v>1</v>
      </c>
      <c r="O19" s="95">
        <f>'Data Ocupacion'!AB61</f>
        <v>1</v>
      </c>
      <c r="P19" s="95">
        <f>'Data Ocupacion'!AD61</f>
        <v>0</v>
      </c>
      <c r="Q19" s="95">
        <f>'Data Ocupacion'!AF61</f>
        <v>0</v>
      </c>
      <c r="R19" s="95">
        <f>'Data Ocupacion'!AH61</f>
        <v>1</v>
      </c>
      <c r="S19" s="95">
        <f>'Data Ocupacion'!AJ61</f>
        <v>1</v>
      </c>
      <c r="T19" s="95">
        <f>'Data Ocupacion'!AL61</f>
        <v>1</v>
      </c>
      <c r="U19" s="95">
        <f>'Data Ocupacion'!AN61</f>
        <v>1</v>
      </c>
      <c r="V19" s="95">
        <f>'Data Ocupacion'!AP61</f>
        <v>1</v>
      </c>
      <c r="W19" s="95">
        <f>'Data Ocupacion'!AR61</f>
        <v>0</v>
      </c>
      <c r="X19" s="95">
        <f>'Data Ocupacion'!AT61</f>
        <v>0</v>
      </c>
      <c r="Y19" s="95">
        <f>'Data Ocupacion'!AV61</f>
        <v>1</v>
      </c>
      <c r="Z19" s="95">
        <f>'Data Ocupacion'!AX61</f>
        <v>1</v>
      </c>
      <c r="AA19" s="95">
        <f>'Data Ocupacion'!AZ61</f>
        <v>0</v>
      </c>
      <c r="AB19" s="95">
        <f>'Data Ocupacion'!BB61</f>
        <v>1</v>
      </c>
      <c r="AC19" s="95">
        <f>'Data Ocupacion'!BD61</f>
        <v>1</v>
      </c>
      <c r="AD19" s="95">
        <f>'Data Ocupacion'!BF61</f>
        <v>0</v>
      </c>
      <c r="AE19" s="95">
        <f>'Data Ocupacion'!BH61</f>
        <v>0</v>
      </c>
      <c r="AF19" s="95">
        <f>'Data Ocupacion'!BJ61</f>
        <v>0</v>
      </c>
      <c r="AG19" s="95">
        <f>'Data Ocupacion'!BL61</f>
        <v>1</v>
      </c>
    </row>
    <row r="20" spans="1:33" s="85" customFormat="1" ht="14.25" x14ac:dyDescent="0.2">
      <c r="A20" s="219" t="s">
        <v>124</v>
      </c>
      <c r="B20" s="82">
        <v>25.4</v>
      </c>
      <c r="C20" s="95">
        <v>0</v>
      </c>
      <c r="D20" s="83">
        <v>0</v>
      </c>
      <c r="E20" s="83">
        <v>0</v>
      </c>
      <c r="F20" s="83">
        <v>0</v>
      </c>
      <c r="G20" s="83">
        <v>0</v>
      </c>
      <c r="H20" s="95">
        <f>'Data Ocupacion'!N60</f>
        <v>0</v>
      </c>
      <c r="I20" s="95">
        <f>'Data Ocupacion'!P60</f>
        <v>0</v>
      </c>
      <c r="J20" s="95">
        <f>'Data Ocupacion'!R60</f>
        <v>0</v>
      </c>
      <c r="K20" s="95">
        <f>'Data Ocupacion'!T60</f>
        <v>0</v>
      </c>
      <c r="L20" s="83">
        <v>0</v>
      </c>
      <c r="M20" s="83">
        <v>0</v>
      </c>
      <c r="N20" s="83">
        <v>0</v>
      </c>
      <c r="O20" s="83">
        <v>0</v>
      </c>
      <c r="P20" s="83">
        <v>0</v>
      </c>
      <c r="Q20" s="83">
        <v>0</v>
      </c>
      <c r="R20" s="83">
        <v>0</v>
      </c>
      <c r="S20" s="95">
        <v>0</v>
      </c>
      <c r="T20" s="83">
        <v>0</v>
      </c>
      <c r="U20" s="83">
        <v>0</v>
      </c>
      <c r="V20" s="83">
        <v>0</v>
      </c>
      <c r="W20" s="95">
        <v>0</v>
      </c>
      <c r="X20" s="95">
        <v>0</v>
      </c>
      <c r="Y20" s="83">
        <v>0</v>
      </c>
      <c r="Z20" s="95">
        <v>0</v>
      </c>
      <c r="AA20" s="83">
        <v>0</v>
      </c>
      <c r="AB20" s="83">
        <v>0</v>
      </c>
      <c r="AC20" s="83">
        <v>0</v>
      </c>
      <c r="AD20" s="83">
        <v>0</v>
      </c>
      <c r="AE20" s="95">
        <v>0</v>
      </c>
      <c r="AF20" s="95">
        <v>0</v>
      </c>
      <c r="AG20" s="95">
        <v>0</v>
      </c>
    </row>
    <row r="21" spans="1:33" s="85" customFormat="1" ht="14.25" x14ac:dyDescent="0.2">
      <c r="A21" s="219" t="s">
        <v>178</v>
      </c>
      <c r="B21" s="249">
        <v>35.729999999999997</v>
      </c>
      <c r="C21" s="95"/>
      <c r="D21" s="95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95"/>
      <c r="T21" s="83"/>
      <c r="U21" s="95"/>
      <c r="V21" s="95"/>
      <c r="W21" s="95"/>
      <c r="X21" s="95"/>
      <c r="Y21" s="83"/>
      <c r="Z21" s="95"/>
      <c r="AA21" s="83"/>
      <c r="AB21" s="95"/>
      <c r="AC21" s="95"/>
      <c r="AD21" s="95"/>
      <c r="AE21" s="95"/>
      <c r="AF21" s="95">
        <f>'Data Ocupacion'!BJ62</f>
        <v>4</v>
      </c>
      <c r="AG21" s="95"/>
    </row>
    <row r="22" spans="1:33" s="85" customFormat="1" ht="14.25" x14ac:dyDescent="0.2">
      <c r="A22" s="219" t="s">
        <v>179</v>
      </c>
      <c r="B22" s="249">
        <v>35.729999999999997</v>
      </c>
      <c r="C22" s="95"/>
      <c r="D22" s="95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95"/>
      <c r="T22" s="83"/>
      <c r="U22" s="95"/>
      <c r="V22" s="95"/>
      <c r="W22" s="95"/>
      <c r="X22" s="95"/>
      <c r="Y22" s="83"/>
      <c r="Z22" s="95"/>
      <c r="AA22" s="83"/>
      <c r="AB22" s="95"/>
      <c r="AC22" s="95"/>
      <c r="AD22" s="95"/>
      <c r="AE22" s="95"/>
      <c r="AF22" s="95">
        <f>'Data Ocupacion'!BJ63</f>
        <v>8</v>
      </c>
      <c r="AG22" s="95"/>
    </row>
    <row r="23" spans="1:33" s="85" customFormat="1" ht="14.25" x14ac:dyDescent="0.2">
      <c r="A23" s="219" t="s">
        <v>186</v>
      </c>
      <c r="B23" s="249">
        <v>39.4</v>
      </c>
      <c r="C23" s="95"/>
      <c r="D23" s="95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95"/>
      <c r="T23" s="83"/>
      <c r="U23" s="95"/>
      <c r="V23" s="95"/>
      <c r="W23" s="95"/>
      <c r="X23" s="95"/>
      <c r="Y23" s="83"/>
      <c r="Z23" s="95"/>
      <c r="AA23" s="83"/>
      <c r="AB23" s="95"/>
      <c r="AC23" s="95"/>
      <c r="AD23" s="95"/>
      <c r="AE23" s="95"/>
      <c r="AF23" s="95"/>
      <c r="AG23" s="95">
        <f>'Data Ocupacion'!BL64</f>
        <v>4</v>
      </c>
    </row>
    <row r="24" spans="1:33" s="85" customFormat="1" ht="14.25" x14ac:dyDescent="0.2">
      <c r="A24" s="219"/>
      <c r="B24" s="249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95"/>
      <c r="AA24" s="83"/>
      <c r="AB24" s="83"/>
      <c r="AC24" s="83"/>
      <c r="AD24" s="83"/>
      <c r="AE24" s="95"/>
      <c r="AF24" s="95"/>
      <c r="AG24" s="95"/>
    </row>
    <row r="25" spans="1:33" x14ac:dyDescent="0.25">
      <c r="A25" s="86" t="s">
        <v>152</v>
      </c>
      <c r="B25" s="82">
        <v>-17.73</v>
      </c>
      <c r="C25" s="83">
        <f>'KM-Servicio'!P5</f>
        <v>0</v>
      </c>
      <c r="D25" s="83">
        <f>'KM-Servicio'!P12</f>
        <v>3</v>
      </c>
      <c r="E25" s="83">
        <f>'KM-Servicio'!P19</f>
        <v>4</v>
      </c>
      <c r="F25" s="83">
        <f>'KM-Servicio'!P26</f>
        <v>3</v>
      </c>
      <c r="G25" s="83">
        <f>'KM-Servicio'!P33</f>
        <v>4</v>
      </c>
      <c r="H25" s="83">
        <f>'KM-Servicio'!P40</f>
        <v>3</v>
      </c>
      <c r="I25" s="83">
        <f>'KM-Servicio'!P47</f>
        <v>0</v>
      </c>
      <c r="J25" s="83">
        <f>'KM-Servicio'!P54</f>
        <v>0</v>
      </c>
      <c r="K25" s="83">
        <f>'KM-Servicio'!P61</f>
        <v>1</v>
      </c>
      <c r="L25" s="83">
        <f>'KM-Servicio'!P68</f>
        <v>2</v>
      </c>
      <c r="M25" s="83">
        <f>'KM-Servicio'!P75</f>
        <v>3</v>
      </c>
      <c r="N25" s="83">
        <f>'KM-Servicio'!P82</f>
        <v>3</v>
      </c>
      <c r="O25" s="83">
        <f>'KM-Servicio'!P89</f>
        <v>3</v>
      </c>
      <c r="P25" s="83">
        <f>'KM-Servicio'!P96</f>
        <v>0</v>
      </c>
      <c r="Q25" s="83">
        <f>'KM-Servicio'!P103</f>
        <v>0</v>
      </c>
      <c r="R25" s="83">
        <f>'KM-Servicio'!P110</f>
        <v>3</v>
      </c>
      <c r="S25" s="83">
        <f>'KM-Servicio'!P117</f>
        <v>4</v>
      </c>
      <c r="T25" s="83">
        <f>'KM-Servicio'!P124</f>
        <v>0</v>
      </c>
      <c r="U25" s="83">
        <f>'KM-Servicio'!P131</f>
        <v>4</v>
      </c>
      <c r="V25" s="83">
        <f>'KM-Servicio'!P138</f>
        <v>3</v>
      </c>
      <c r="W25" s="83">
        <f>'KM-Servicio'!P145</f>
        <v>0</v>
      </c>
      <c r="X25" s="83">
        <f>'KM-Servicio'!P152</f>
        <v>0</v>
      </c>
      <c r="Y25" s="83">
        <f>'KM-Servicio'!P159</f>
        <v>2</v>
      </c>
      <c r="Z25" s="83">
        <f>'KM-Servicio'!P166</f>
        <v>2</v>
      </c>
      <c r="AA25" s="83">
        <f>'KM-Servicio'!P173</f>
        <v>0</v>
      </c>
      <c r="AB25" s="83">
        <f>'KM-Servicio'!P180</f>
        <v>4</v>
      </c>
      <c r="AC25" s="83">
        <f>'KM-Servicio'!P187</f>
        <v>4</v>
      </c>
      <c r="AD25" s="83">
        <f>'KM-Servicio'!P194</f>
        <v>0</v>
      </c>
      <c r="AE25" s="83">
        <f>'KM-Servicio'!P201</f>
        <v>0</v>
      </c>
      <c r="AF25" s="83">
        <f>'KM-Servicio'!P208</f>
        <v>3</v>
      </c>
      <c r="AG25" s="83">
        <f>'KM-Servicio'!P217</f>
        <v>3</v>
      </c>
    </row>
    <row r="26" spans="1:33" x14ac:dyDescent="0.25">
      <c r="A26" s="86" t="s">
        <v>153</v>
      </c>
      <c r="B26" s="82">
        <v>-17.73</v>
      </c>
      <c r="C26" s="83">
        <f>'KM-Servicio'!S6</f>
        <v>0</v>
      </c>
      <c r="D26" s="83">
        <f>'KM-Servicio'!S13</f>
        <v>0</v>
      </c>
      <c r="E26" s="83">
        <f>'KM-Servicio'!S20</f>
        <v>0</v>
      </c>
      <c r="F26" s="83">
        <f>'KM-Servicio'!S27</f>
        <v>0</v>
      </c>
      <c r="G26" s="83">
        <f>'KM-Servicio'!S34</f>
        <v>1</v>
      </c>
      <c r="H26" s="83">
        <f>'KM-Servicio'!S41</f>
        <v>0</v>
      </c>
      <c r="I26" s="83">
        <f>'KM-Servicio'!S48</f>
        <v>0</v>
      </c>
      <c r="J26" s="83">
        <f>'KM-Servicio'!S55</f>
        <v>0</v>
      </c>
      <c r="K26" s="83">
        <f>'KM-Servicio'!S62</f>
        <v>0</v>
      </c>
      <c r="L26" s="83">
        <f>'KM-Servicio'!S69</f>
        <v>1</v>
      </c>
      <c r="M26" s="83">
        <f>'KM-Servicio'!S76</f>
        <v>3</v>
      </c>
      <c r="N26" s="83">
        <f>'KM-Servicio'!S83</f>
        <v>0</v>
      </c>
      <c r="O26" s="83">
        <f>'KM-Servicio'!S90</f>
        <v>0</v>
      </c>
      <c r="P26" s="83">
        <f>'KM-Servicio'!S97</f>
        <v>0</v>
      </c>
      <c r="Q26" s="83">
        <f>'KM-Servicio'!S104</f>
        <v>0</v>
      </c>
      <c r="R26" s="83">
        <f>'KM-Servicio'!S111</f>
        <v>0</v>
      </c>
      <c r="S26" s="83">
        <f>'KM-Servicio'!S118</f>
        <v>1</v>
      </c>
      <c r="T26" s="83">
        <f>'KM-Servicio'!S125</f>
        <v>0</v>
      </c>
      <c r="U26" s="83">
        <f>'KM-Servicio'!S132</f>
        <v>0</v>
      </c>
      <c r="V26" s="83">
        <f>'KM-Servicio'!S139</f>
        <v>0</v>
      </c>
      <c r="W26" s="83">
        <f>'KM-Servicio'!S146</f>
        <v>0</v>
      </c>
      <c r="X26" s="83">
        <f>'KM-Servicio'!S153</f>
        <v>0</v>
      </c>
      <c r="Y26" s="83">
        <f>'KM-Servicio'!S160</f>
        <v>0</v>
      </c>
      <c r="Z26" s="83">
        <f>'KM-Servicio'!S167</f>
        <v>5</v>
      </c>
      <c r="AA26" s="83">
        <f>'KM-Servicio'!S174</f>
        <v>0</v>
      </c>
      <c r="AB26" s="83">
        <f>'KM-Servicio'!S181</f>
        <v>1</v>
      </c>
      <c r="AC26" s="83">
        <f>'KM-Servicio'!S188</f>
        <v>1</v>
      </c>
      <c r="AD26" s="83">
        <f>'KM-Servicio'!S195</f>
        <v>0</v>
      </c>
      <c r="AE26" s="83">
        <f>'KM-Servicio'!S202</f>
        <v>0</v>
      </c>
      <c r="AF26" s="83">
        <f>'KM-Servicio'!S209</f>
        <v>0</v>
      </c>
      <c r="AG26" s="83">
        <f>'KM-Servicio'!S218</f>
        <v>3</v>
      </c>
    </row>
    <row r="27" spans="1:33" s="126" customFormat="1" x14ac:dyDescent="0.25">
      <c r="A27" s="86" t="s">
        <v>155</v>
      </c>
      <c r="B27" s="82">
        <v>-14.02</v>
      </c>
      <c r="C27" s="83">
        <f>'KM-Servicio'!T6</f>
        <v>0</v>
      </c>
      <c r="D27" s="83">
        <f>'KM-Servicio'!T13</f>
        <v>0</v>
      </c>
      <c r="E27" s="83">
        <f>'KM-Servicio'!T20</f>
        <v>0</v>
      </c>
      <c r="F27" s="83">
        <f>'KM-Servicio'!T27</f>
        <v>0</v>
      </c>
      <c r="G27" s="83">
        <f>'KM-Servicio'!T34</f>
        <v>0</v>
      </c>
      <c r="H27" s="83">
        <f>'KM-Servicio'!T40</f>
        <v>0</v>
      </c>
      <c r="I27" s="83">
        <f>'KM-Servicio'!T48</f>
        <v>0</v>
      </c>
      <c r="J27" s="83">
        <f>'KM-Servicio'!T55</f>
        <v>0</v>
      </c>
      <c r="K27" s="83">
        <f>'KM-Servicio'!T62</f>
        <v>0</v>
      </c>
      <c r="L27" s="83">
        <f>'KM-Servicio'!T69</f>
        <v>0</v>
      </c>
      <c r="M27" s="83">
        <f>'KM-Servicio'!T76</f>
        <v>0</v>
      </c>
      <c r="N27" s="83">
        <f>'KM-Servicio'!T83</f>
        <v>0</v>
      </c>
      <c r="O27" s="83">
        <f>'KM-Servicio'!T90</f>
        <v>0</v>
      </c>
      <c r="P27" s="83">
        <f>'KM-Servicio'!T97</f>
        <v>0</v>
      </c>
      <c r="Q27" s="83">
        <f>'KM-Servicio'!T104</f>
        <v>0</v>
      </c>
      <c r="R27" s="83">
        <f>'KM-Servicio'!T111</f>
        <v>0</v>
      </c>
      <c r="S27" s="83">
        <f>'KM-Servicio'!T118</f>
        <v>0</v>
      </c>
      <c r="T27" s="83">
        <f>'KM-Servicio'!T125</f>
        <v>0</v>
      </c>
      <c r="U27" s="83">
        <f>'KM-Servicio'!T132</f>
        <v>0</v>
      </c>
      <c r="V27" s="83">
        <f>'KM-Servicio'!T139</f>
        <v>0</v>
      </c>
      <c r="W27" s="83">
        <f>'KM-Servicio'!T146</f>
        <v>0</v>
      </c>
      <c r="X27" s="83">
        <f>'KM-Servicio'!T153</f>
        <v>0</v>
      </c>
      <c r="Y27" s="83">
        <f>'KM-Servicio'!T160</f>
        <v>0</v>
      </c>
      <c r="Z27" s="83">
        <f>'KM-Servicio'!T167</f>
        <v>0</v>
      </c>
      <c r="AA27" s="83">
        <f>'KM-Servicio'!T174</f>
        <v>0</v>
      </c>
      <c r="AB27" s="83">
        <f>'KM-Servicio'!T181</f>
        <v>0</v>
      </c>
      <c r="AC27" s="83">
        <f>'KM-Servicio'!T188</f>
        <v>0</v>
      </c>
      <c r="AD27" s="83">
        <f>'KM-Servicio'!T195</f>
        <v>0</v>
      </c>
      <c r="AE27" s="83">
        <f>'KM-Servicio'!T202</f>
        <v>0</v>
      </c>
      <c r="AF27" s="83">
        <f>'KM-Servicio'!T209</f>
        <v>0</v>
      </c>
      <c r="AG27" s="83">
        <f>'KM-Servicio'!T216</f>
        <v>0</v>
      </c>
    </row>
    <row r="28" spans="1:33" s="126" customFormat="1" x14ac:dyDescent="0.25">
      <c r="A28" s="218" t="s">
        <v>154</v>
      </c>
      <c r="B28" s="82">
        <v>-3.71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</row>
    <row r="29" spans="1:33" s="126" customFormat="1" x14ac:dyDescent="0.25">
      <c r="A29" s="224" t="s">
        <v>160</v>
      </c>
      <c r="B29" s="82">
        <v>-25.4</v>
      </c>
      <c r="C29" s="83"/>
      <c r="D29" s="83"/>
      <c r="E29" s="83"/>
      <c r="F29" s="83">
        <v>2</v>
      </c>
      <c r="G29" s="83"/>
      <c r="H29" s="83"/>
      <c r="I29" s="83"/>
      <c r="J29" s="83">
        <v>1</v>
      </c>
      <c r="K29" s="83"/>
      <c r="L29" s="83"/>
      <c r="M29" s="83"/>
      <c r="N29" s="83"/>
      <c r="O29" s="83">
        <v>2</v>
      </c>
      <c r="P29" s="83">
        <v>7</v>
      </c>
      <c r="Q29" s="83">
        <v>3</v>
      </c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>
        <v>1</v>
      </c>
      <c r="AD29" s="83"/>
      <c r="AE29" s="83"/>
      <c r="AF29" s="83">
        <v>1</v>
      </c>
      <c r="AG29" s="83"/>
    </row>
    <row r="30" spans="1:33" s="126" customFormat="1" x14ac:dyDescent="0.25">
      <c r="A30" s="218" t="s">
        <v>162</v>
      </c>
      <c r="B30" s="82">
        <v>-12.73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</row>
    <row r="31" spans="1:33" s="126" customFormat="1" x14ac:dyDescent="0.25">
      <c r="A31" s="218" t="s">
        <v>163</v>
      </c>
      <c r="B31" s="82">
        <v>-12.73</v>
      </c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</row>
    <row r="32" spans="1:33" s="126" customFormat="1" x14ac:dyDescent="0.25">
      <c r="A32" s="86" t="s">
        <v>164</v>
      </c>
      <c r="B32" s="82">
        <v>-25.4</v>
      </c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</row>
    <row r="33" spans="1:33" x14ac:dyDescent="0.25">
      <c r="A33" s="88"/>
      <c r="B33" s="82"/>
      <c r="C33" s="43"/>
      <c r="D33" s="43"/>
      <c r="E33" s="87"/>
      <c r="F33" s="87"/>
      <c r="G33" s="87"/>
      <c r="H33" s="87"/>
      <c r="I33" s="8"/>
      <c r="J33" s="43"/>
      <c r="K33" s="87"/>
      <c r="L33" s="87"/>
      <c r="M33" s="87"/>
      <c r="N33" s="87"/>
      <c r="O33" s="8"/>
      <c r="P33" s="87"/>
      <c r="Q33" s="8"/>
      <c r="R33" s="8"/>
      <c r="S33" s="8"/>
      <c r="T33" s="8"/>
      <c r="U33" s="87"/>
      <c r="V33" s="8"/>
      <c r="W33" s="8"/>
      <c r="X33" s="8"/>
      <c r="Y33" s="8"/>
      <c r="Z33" s="87"/>
      <c r="AA33" s="87"/>
      <c r="AB33" s="87"/>
      <c r="AC33" s="8"/>
      <c r="AD33" s="8"/>
      <c r="AE33" s="8"/>
      <c r="AF33" s="8"/>
      <c r="AG33" s="8"/>
    </row>
    <row r="34" spans="1:33" x14ac:dyDescent="0.25">
      <c r="A34" s="89" t="s">
        <v>84</v>
      </c>
      <c r="B34" s="241">
        <f>SUM(C34:AG34)</f>
        <v>5874</v>
      </c>
      <c r="C34" s="91">
        <f>SUM(C5:C12)</f>
        <v>79</v>
      </c>
      <c r="D34" s="91">
        <f>SUM(D5:D12)</f>
        <v>223</v>
      </c>
      <c r="E34" s="91">
        <f t="shared" ref="E34:J34" si="0">SUM(E5:E10)</f>
        <v>223</v>
      </c>
      <c r="F34" s="91">
        <f t="shared" si="0"/>
        <v>223</v>
      </c>
      <c r="G34" s="91">
        <f t="shared" si="0"/>
        <v>223</v>
      </c>
      <c r="H34" s="91">
        <f t="shared" si="0"/>
        <v>224</v>
      </c>
      <c r="I34" s="91">
        <f t="shared" si="0"/>
        <v>147</v>
      </c>
      <c r="J34" s="91">
        <f t="shared" si="0"/>
        <v>111</v>
      </c>
      <c r="K34" s="91">
        <f>SUM(K5:K12)</f>
        <v>222</v>
      </c>
      <c r="L34" s="91">
        <f t="shared" ref="L34:R34" si="1">SUM(L5:L10)</f>
        <v>223</v>
      </c>
      <c r="M34" s="91">
        <f t="shared" si="1"/>
        <v>223</v>
      </c>
      <c r="N34" s="91">
        <f t="shared" si="1"/>
        <v>223</v>
      </c>
      <c r="O34" s="91">
        <f t="shared" si="1"/>
        <v>223</v>
      </c>
      <c r="P34" s="91">
        <f t="shared" si="1"/>
        <v>148</v>
      </c>
      <c r="Q34" s="91">
        <f t="shared" si="1"/>
        <v>112</v>
      </c>
      <c r="R34" s="91">
        <f t="shared" si="1"/>
        <v>223</v>
      </c>
      <c r="S34" s="91">
        <f>SUM(S5:S12)</f>
        <v>223</v>
      </c>
      <c r="T34" s="91">
        <f>SUM(T5:T10)</f>
        <v>223</v>
      </c>
      <c r="U34" s="91">
        <f>SUM(U5:U12)</f>
        <v>223</v>
      </c>
      <c r="V34" s="91">
        <f>SUM(V5:V12)</f>
        <v>222</v>
      </c>
      <c r="W34" s="91">
        <f>SUM(W5:W12)</f>
        <v>147</v>
      </c>
      <c r="X34" s="91">
        <f>SUM(X5:X12)</f>
        <v>111</v>
      </c>
      <c r="Y34" s="91">
        <f>SUM(Y5:Y10)</f>
        <v>223</v>
      </c>
      <c r="Z34" s="91">
        <f>SUM(Z5:Z10)</f>
        <v>223</v>
      </c>
      <c r="AA34" s="91">
        <f>SUM(AA5:AA10)</f>
        <v>111</v>
      </c>
      <c r="AB34" s="91">
        <f t="shared" ref="AB34:AF34" si="2">SUM(AB5:AB12)</f>
        <v>223</v>
      </c>
      <c r="AC34" s="91">
        <f t="shared" si="2"/>
        <v>223</v>
      </c>
      <c r="AD34" s="91">
        <f t="shared" si="2"/>
        <v>147</v>
      </c>
      <c r="AE34" s="91">
        <f t="shared" si="2"/>
        <v>111</v>
      </c>
      <c r="AF34" s="91">
        <f t="shared" si="2"/>
        <v>191</v>
      </c>
      <c r="AG34" s="91">
        <f>SUM(AG5:AG13)</f>
        <v>223</v>
      </c>
    </row>
    <row r="35" spans="1:33" x14ac:dyDescent="0.25">
      <c r="A35" s="90" t="s">
        <v>65</v>
      </c>
      <c r="B35" s="241">
        <f t="shared" ref="B35:B41" si="3">SUM(C35:AG35)</f>
        <v>7790</v>
      </c>
      <c r="C35" s="91">
        <f>SUM(C15:C22)</f>
        <v>110</v>
      </c>
      <c r="D35" s="91">
        <f>SUM(D15:D22)</f>
        <v>308</v>
      </c>
      <c r="E35" s="91">
        <f t="shared" ref="E35:R35" si="4">SUM(E15:E20)</f>
        <v>306</v>
      </c>
      <c r="F35" s="91">
        <f t="shared" si="4"/>
        <v>306</v>
      </c>
      <c r="G35" s="91">
        <f t="shared" si="4"/>
        <v>306</v>
      </c>
      <c r="H35" s="91">
        <f t="shared" si="4"/>
        <v>306</v>
      </c>
      <c r="I35" s="91">
        <f t="shared" si="4"/>
        <v>150</v>
      </c>
      <c r="J35" s="91">
        <f t="shared" si="4"/>
        <v>118</v>
      </c>
      <c r="K35" s="91">
        <f t="shared" si="4"/>
        <v>299</v>
      </c>
      <c r="L35" s="91">
        <f t="shared" si="4"/>
        <v>304</v>
      </c>
      <c r="M35" s="91">
        <f t="shared" si="4"/>
        <v>306</v>
      </c>
      <c r="N35" s="91">
        <f t="shared" si="4"/>
        <v>302</v>
      </c>
      <c r="O35" s="91">
        <f t="shared" si="4"/>
        <v>306</v>
      </c>
      <c r="P35" s="91">
        <f t="shared" si="4"/>
        <v>214</v>
      </c>
      <c r="Q35" s="91">
        <f t="shared" si="4"/>
        <v>171</v>
      </c>
      <c r="R35" s="91">
        <f t="shared" si="4"/>
        <v>304</v>
      </c>
      <c r="S35" s="91">
        <f>SUM(S15:S22)</f>
        <v>306</v>
      </c>
      <c r="T35" s="91">
        <f>SUM(T15:T20)</f>
        <v>302</v>
      </c>
      <c r="U35" s="91">
        <f>SUM(U15:U22)</f>
        <v>304</v>
      </c>
      <c r="V35" s="91">
        <f>SUM(V15:V22)</f>
        <v>301</v>
      </c>
      <c r="W35" s="91">
        <f>SUM(W15:W22)</f>
        <v>152</v>
      </c>
      <c r="X35" s="91">
        <f>SUM(X15:X22)</f>
        <v>114</v>
      </c>
      <c r="Y35" s="91">
        <f>SUM(Y15:Y20)</f>
        <v>298</v>
      </c>
      <c r="Z35" s="91">
        <f>SUM(Z15:Z20)</f>
        <v>310</v>
      </c>
      <c r="AA35" s="91">
        <f>SUM(AA15:AA20)</f>
        <v>114</v>
      </c>
      <c r="AB35" s="91">
        <f t="shared" ref="AB35:AF35" si="5">SUM(AB15:AB22)</f>
        <v>304</v>
      </c>
      <c r="AC35" s="91">
        <f t="shared" si="5"/>
        <v>304</v>
      </c>
      <c r="AD35" s="91">
        <f t="shared" si="5"/>
        <v>150</v>
      </c>
      <c r="AE35" s="91">
        <f t="shared" si="5"/>
        <v>114</v>
      </c>
      <c r="AF35" s="91">
        <f t="shared" si="5"/>
        <v>271</v>
      </c>
      <c r="AG35" s="91">
        <f>SUM(AG15:AG23)</f>
        <v>330</v>
      </c>
    </row>
    <row r="36" spans="1:33" x14ac:dyDescent="0.25">
      <c r="A36" s="90" t="s">
        <v>92</v>
      </c>
      <c r="B36" s="241">
        <f t="shared" si="3"/>
        <v>312809.53000000003</v>
      </c>
      <c r="C36" s="91">
        <f>(C15*$B$15+C16*$B$16+C17*$B$17+C18*$B$18+C20*$B$20+C21*B21+C22*B22+C26*$B$26+C19*$B$19+C25*$B$25+C27*B27+C29*B29)</f>
        <v>4744.3</v>
      </c>
      <c r="D36" s="91">
        <f>(D15*$B$15+D16*$B$16+D17*$B$17+D18*$B$18+D20*$B$20+D21*B21+D22*B22+D26*$B$26+D19*$B$19+D25*$B$25+D27*B27+D29*B29)</f>
        <v>12189.66</v>
      </c>
      <c r="E36" s="91">
        <f>(E15*$B$15+E16*$B$16+E17*$B$17+E18*$B$18+E20*$B$20+E21*B21+E22*B22+E26*$B$26+E19*$B$19+E25*$B$25+E27*B27+E29*B29)</f>
        <v>12085.669999999998</v>
      </c>
      <c r="F36" s="91">
        <f>(F15*$B$15+F16*$B$16+F17*$B$17+F18*$B$18+F20*$B$20+F21*B21+F22*B22+F26*$B$26+F19*$B$19+F25*$B$25+F27*B27+F29*B29)</f>
        <v>12052.599999999999</v>
      </c>
      <c r="G36" s="91">
        <f>(G15*$B$15+G16*$B$16+G17*$B$17+G18*$B$18+G20*$B$20+G21*B21+G22*B22+G26*$B$26+G19*$B$19+G25*$B$25+G27*B27+G29*B29)</f>
        <v>12067.939999999999</v>
      </c>
      <c r="H36" s="91">
        <f>(H15*$B$15+H16*$B$16+H17*$B$17+H18*$B$18+H20*$B$20+H21*B21+H22*B22+H26*$B$26+H19*$B$19+H25*$B$25+H27*B27+H29*B29)</f>
        <v>12103.399999999998</v>
      </c>
      <c r="I36" s="91">
        <f>(I15*$B$15+I16*$B$16+I17*$B$17+I18*$B$18+I20*$B$20+I26*$B$26+I19*$B$19+I25*$B$25+I27*B27+I28*B28+I29*B29)</f>
        <v>6469.5</v>
      </c>
      <c r="J36" s="91">
        <f>(J15*$B$15+J16*$B$16+J17*$B$17+J18*$B$18+J20*$B$20+J26*$B$26+J19*$B$19+J25*$B$25+J27*B27+J28*B28+J29*B29)</f>
        <v>5063.9400000000005</v>
      </c>
      <c r="K36" s="91">
        <f>(K15*$B$15+K16*$B$16+K17*$B$17+K18*$B$18+K20*$B$20+K26*$B$26+K19*$B$19+K25*$B$25+K27*B27+K28*B28+K29*B29)</f>
        <v>11879.010000000002</v>
      </c>
      <c r="L36" s="91">
        <f>(L15*$B$15+L16*$B$16+L17*$B$17+L18*$B$18+L20*$B$20+L26*$B$26+L19*$B$19+L25*$B$25+L27*B27+L28*B28+L29*B29)</f>
        <v>12017.140000000001</v>
      </c>
      <c r="M36" s="91">
        <f>(M15*$B$15+M16*$B$16+M17*$B$17+M18*$B$18+M20*$B$20+M26*$B$26+M19*$B$19+M25*$B$25+M29*B29)</f>
        <v>12050.209999999997</v>
      </c>
      <c r="N36" s="91">
        <f>(N15*$B$15+N16*$B$16+N17*$B$17+N18*$B$18+N20*$B$20+N26*$B$26+N19*$B$19+N25*$B$25+N27*B27+N28*B28+N29*B29)</f>
        <v>11958.92</v>
      </c>
      <c r="O36" s="91">
        <f>(O15*$B$15+O16*$B$16+O17*$B$17+O18*$B$18+O20*$B$20+O26*$B$26+O19*$B$19+O25*$B$25+O29*B29)</f>
        <v>12052.599999999999</v>
      </c>
      <c r="P36" s="91">
        <f>(P15*$B$15+P16*$B$16+P17*$B$17+P18*$B$18+P20*$B$20+P26*$B$26+P19*$B$19+P25*$B$25+P29*B29)</f>
        <v>9052.02</v>
      </c>
      <c r="Q36" s="91">
        <f>(Q15*$B$15+Q16*$B$16+Q17*$B$17+Q18*$B$18+Q20*$B$20+Q26*$B$26+Q19*$B$19+Q25*$B$25+Q29*B29)</f>
        <v>7299.0300000000007</v>
      </c>
      <c r="R36" s="91">
        <f>(R15*$B$15+R16*$B$16+R17*$B$17+R18*$B$18+R20*$B$20+R26*$B$26+R19*$B$19+R25*$B$25+R29*B29)</f>
        <v>12045.179999999998</v>
      </c>
      <c r="S36" s="91">
        <f>(S15*$B$15+S16*$B$16+S17*$B$17+S18*$B$18+S20*$B$20+S26*$B$26+S19*$B$19+S25*$B$25+S29*$B$29+S21*B21+S22*B22)</f>
        <v>12067.939999999999</v>
      </c>
      <c r="T36" s="91">
        <f>(T15*$B$15+T16*$B$16+T17*$B$17+T18*$B$18+T20*$B$20+T26*$B$26+T19*$B$19+T25*$B$25+T29*$B$29)</f>
        <v>11984.070000000002</v>
      </c>
      <c r="U36" s="91">
        <f>(U15*$B$15+U16*$B$16+U17*$B$17+U18*$B$18+U20*$B$20+U26*$B$26+U19*$B$19+U25*$B$25+U29*$B$29+U21*B21+U22*B22)</f>
        <v>11999.41</v>
      </c>
      <c r="V36" s="91">
        <f>(V15*$B$15+V16*$B$16+V17*$B$17+V18*$B$18+V20*$B$20+V26*$B$26+V19*$B$19+V25*$B$25+V29*$B$29+V21*B21+V22*B22)</f>
        <v>11901.77</v>
      </c>
      <c r="W36" s="91">
        <f>(W15*$B$15+W16*$B$16+W17*$B$17+W18*$B$18+W20*$B$20+W26*$B$26+W19*$B$19+W25*$B$25+W29*$B$29+W21*B21+W22*B22)</f>
        <v>6555.76</v>
      </c>
      <c r="X36" s="91">
        <f>(X15*$B$15+X16*$B$16+X17*$B$17+X18*$B$18+X20*$B$20+X26*$B$26+X19*$B$19+X25*$B$25+X29*$B$29+X21*B21+X22*B22)</f>
        <v>4916.8200000000006</v>
      </c>
      <c r="Y36" s="91">
        <f t="shared" ref="Y36:AE36" si="6">(Y15*$B$15+Y16*$B$16+Y17*$B$17+Y18*$B$18+Y20*$B$20+Y26*$B$26+Y19*$B$19+Y25*$B$25+Y29*$B$29)</f>
        <v>11804.130000000001</v>
      </c>
      <c r="Z36" s="91">
        <f t="shared" si="6"/>
        <v>12205</v>
      </c>
      <c r="AA36" s="91">
        <f t="shared" si="6"/>
        <v>4916.8200000000006</v>
      </c>
      <c r="AB36" s="91">
        <f t="shared" si="6"/>
        <v>12009.72</v>
      </c>
      <c r="AC36" s="91">
        <f t="shared" si="6"/>
        <v>11956.28</v>
      </c>
      <c r="AD36" s="91">
        <f t="shared" si="6"/>
        <v>6469.5</v>
      </c>
      <c r="AE36" s="91">
        <f t="shared" si="6"/>
        <v>4916.8200000000006</v>
      </c>
      <c r="AF36" s="91">
        <f>(AF15*$B$15+AF16*$B$16+AF17*$B$17+AF18*$B$18+AF20*$B$20+AF26*$B$26+AF19*$B$19+AF25*$B$25+AF29*$B$29+AF21*B21+AF22*B22)</f>
        <v>10847.88</v>
      </c>
      <c r="AG36" s="91">
        <f>(AG15*$B$15+AG16*$B$16+AG17*$B$17+AG18*$B$18+AG20*$B$20+AG26*$B$26+AG19*$B$19+AG25*$B$25+AG29*$B$29+AG21*C21+AG23*B23)</f>
        <v>13126.49</v>
      </c>
    </row>
    <row r="37" spans="1:33" x14ac:dyDescent="0.25">
      <c r="A37" s="90" t="s">
        <v>93</v>
      </c>
      <c r="B37" s="241">
        <f t="shared" si="3"/>
        <v>234109.5199999999</v>
      </c>
      <c r="C37" s="91">
        <f>$B$5*C5+$B$6*C6+$B$7*C7+$B$8*C8+$B$10*C10+$B$9*C9+C12*B12</f>
        <v>3407.2700000000004</v>
      </c>
      <c r="D37" s="91">
        <f>$B$5*D5+$B$6*D6+$B$7*D7+$B$8*D8+$B$10*D10+$B$9*D9+D12*B12</f>
        <v>8688.9599999999991</v>
      </c>
      <c r="E37" s="91">
        <f t="shared" ref="E37:R37" si="7">$B$5*E5+$B$6*E6+$B$7*E7+$B$8*E8+$B$10*E10+$B$9*E9</f>
        <v>8688.9599999999991</v>
      </c>
      <c r="F37" s="91">
        <f t="shared" si="7"/>
        <v>8688.9599999999991</v>
      </c>
      <c r="G37" s="91">
        <f t="shared" si="7"/>
        <v>8688.9599999999991</v>
      </c>
      <c r="H37" s="91">
        <f t="shared" si="7"/>
        <v>8732.09</v>
      </c>
      <c r="I37" s="91">
        <f t="shared" si="7"/>
        <v>6340.1100000000006</v>
      </c>
      <c r="J37" s="91">
        <f t="shared" si="7"/>
        <v>4787.43</v>
      </c>
      <c r="K37" s="91">
        <f t="shared" si="7"/>
        <v>8659.85</v>
      </c>
      <c r="L37" s="91">
        <f t="shared" si="7"/>
        <v>8688.9599999999991</v>
      </c>
      <c r="M37" s="91">
        <f t="shared" si="7"/>
        <v>8688.9599999999991</v>
      </c>
      <c r="N37" s="91">
        <f t="shared" si="7"/>
        <v>8688.9599999999991</v>
      </c>
      <c r="O37" s="91">
        <f t="shared" si="7"/>
        <v>8688.9599999999991</v>
      </c>
      <c r="P37" s="91">
        <f t="shared" si="7"/>
        <v>6383.24</v>
      </c>
      <c r="Q37" s="91">
        <f t="shared" si="7"/>
        <v>4830.5600000000004</v>
      </c>
      <c r="R37" s="91">
        <f t="shared" si="7"/>
        <v>8688.9599999999991</v>
      </c>
      <c r="S37" s="91">
        <f>$B$5*S5+$B$6*S6+$B$7*S7+$B$8*S8+$B$10*S10+$B$9*S9+S11*B11+S12*B12</f>
        <v>8688.9599999999991</v>
      </c>
      <c r="T37" s="91">
        <f>$B$5*T5+$B$6*T6+$B$7*T7+$B$8*T8+$B$10*T10+$B$9*T9</f>
        <v>8688.9599999999991</v>
      </c>
      <c r="U37" s="91">
        <f>$B$5*U5+$B$6*U6+$B$7*U7+$B$8*U8+$B$10*U10+$B$9*U9+U11*B11+U12*B12</f>
        <v>8688.9599999999991</v>
      </c>
      <c r="V37" s="91">
        <f>$B$5*V5+$B$6*V6+$B$7*V7+$B$8*V8+$B$10*V10+$B$9*V9+V11*B11+V12*B12</f>
        <v>8659.85</v>
      </c>
      <c r="W37" s="91">
        <f>$B$5*W5+$B$6*W6+$B$7*W7+$B$8*W8+$B$10*W10+$B$9*W9+W11*B11+W12*B12</f>
        <v>6340.1100000000006</v>
      </c>
      <c r="X37" s="91">
        <f>$B$5*X5+$B$6*X6+$B$7*X7+$B$8*X8+$B$10*X10+$B$9*X9+X11*B11+X12*B12</f>
        <v>4787.43</v>
      </c>
      <c r="Y37" s="91">
        <f>$B$5*Y5+$B$6*Y6+$B$7*Y7+$B$8*Y8+$B$10*Y10+$B$9*Y9</f>
        <v>8688.9599999999991</v>
      </c>
      <c r="Z37" s="91">
        <f>$B$5*Z5+$B$6*Z6+$B$7*Z7+$B$8*Z8+$B$10*Z10+$B$9*Z9</f>
        <v>8688.9599999999991</v>
      </c>
      <c r="AA37" s="91">
        <f>$B$5*AA5+$B$6*AA6+$B$7*AA7+$B$8*AA8+$B$10*AA10+$B$9*AA9</f>
        <v>4787.43</v>
      </c>
      <c r="AB37" s="91">
        <f>$B$5*AB5+$B$6*AB6+$B$7*AB7+$B$8*AB8+$B$10*AB10+$B$9*AB9+AB12*B12</f>
        <v>8688.9599999999991</v>
      </c>
      <c r="AC37" s="91">
        <f>$B$5*AC5+$B$6*AC6+$B$7*AC7+$B$8*AC8+$B$10*AC10+$B$9*AC9+AC12*B12</f>
        <v>8688.9599999999991</v>
      </c>
      <c r="AD37" s="91">
        <f>$B$5*AD5+$B$6*AD6+$B$7*AD7+$B$8*AD8+$B$10*AD10+$B$9*AD9+AD12*B12</f>
        <v>6340.1100000000006</v>
      </c>
      <c r="AE37" s="91">
        <f>$B$5*AE5+$B$6*AE6+$B$7*AE7+$B$8*AE8+$B$10*AE10+$B$9*AE9+AE12*B12</f>
        <v>4787.43</v>
      </c>
      <c r="AF37" s="91">
        <f>$B$5*AF5+$B$6*AF6+$B$7*AF7+$B$8*AF8+$B$10*AF10+$B$9*AF9+AF11*B11+AF12*B12</f>
        <v>7561.75</v>
      </c>
      <c r="AG37" s="91">
        <f>$B$5*AG5+$B$6*AG6+$B$7*AG7+$B$8*AG8+$B$10*AG10+$B$9*AG9+AG13*B13</f>
        <v>8681.4999999999982</v>
      </c>
    </row>
    <row r="38" spans="1:33" x14ac:dyDescent="0.25">
      <c r="A38" s="90" t="s">
        <v>94</v>
      </c>
      <c r="B38" s="241">
        <f t="shared" si="3"/>
        <v>32532191.120000005</v>
      </c>
      <c r="C38" s="91">
        <f t="shared" ref="C38:AE38" si="8">C36*104</f>
        <v>493407.2</v>
      </c>
      <c r="D38" s="91">
        <f t="shared" si="8"/>
        <v>1267724.6399999999</v>
      </c>
      <c r="E38" s="91">
        <f t="shared" si="8"/>
        <v>1256909.6799999997</v>
      </c>
      <c r="F38" s="91">
        <f t="shared" si="8"/>
        <v>1253470.3999999999</v>
      </c>
      <c r="G38" s="91">
        <f t="shared" si="8"/>
        <v>1255065.7599999998</v>
      </c>
      <c r="H38" s="91">
        <f t="shared" si="8"/>
        <v>1258753.5999999999</v>
      </c>
      <c r="I38" s="91">
        <f t="shared" si="8"/>
        <v>672828</v>
      </c>
      <c r="J38" s="91">
        <f t="shared" si="8"/>
        <v>526649.76</v>
      </c>
      <c r="K38" s="91">
        <f t="shared" si="8"/>
        <v>1235417.0400000003</v>
      </c>
      <c r="L38" s="91">
        <f t="shared" si="8"/>
        <v>1249782.56</v>
      </c>
      <c r="M38" s="91">
        <f t="shared" si="8"/>
        <v>1253221.8399999996</v>
      </c>
      <c r="N38" s="91">
        <f t="shared" si="8"/>
        <v>1243727.68</v>
      </c>
      <c r="O38" s="91">
        <f t="shared" si="8"/>
        <v>1253470.3999999999</v>
      </c>
      <c r="P38" s="91">
        <f t="shared" si="8"/>
        <v>941410.08000000007</v>
      </c>
      <c r="Q38" s="91">
        <f t="shared" si="8"/>
        <v>759099.12000000011</v>
      </c>
      <c r="R38" s="91">
        <f t="shared" si="8"/>
        <v>1252698.7199999997</v>
      </c>
      <c r="S38" s="91">
        <f t="shared" si="8"/>
        <v>1255065.7599999998</v>
      </c>
      <c r="T38" s="91">
        <f t="shared" si="8"/>
        <v>1246343.2800000003</v>
      </c>
      <c r="U38" s="91">
        <f t="shared" si="8"/>
        <v>1247938.6399999999</v>
      </c>
      <c r="V38" s="91">
        <f t="shared" si="8"/>
        <v>1237784.08</v>
      </c>
      <c r="W38" s="91">
        <f t="shared" si="8"/>
        <v>681799.04</v>
      </c>
      <c r="X38" s="91">
        <f t="shared" si="8"/>
        <v>511349.28000000009</v>
      </c>
      <c r="Y38" s="91">
        <f t="shared" si="8"/>
        <v>1227629.52</v>
      </c>
      <c r="Z38" s="91">
        <f t="shared" si="8"/>
        <v>1269320</v>
      </c>
      <c r="AA38" s="91">
        <f t="shared" si="8"/>
        <v>511349.28000000009</v>
      </c>
      <c r="AB38" s="91">
        <f t="shared" si="8"/>
        <v>1249010.8799999999</v>
      </c>
      <c r="AC38" s="91">
        <f t="shared" si="8"/>
        <v>1243453.1200000001</v>
      </c>
      <c r="AD38" s="91">
        <f t="shared" si="8"/>
        <v>672828</v>
      </c>
      <c r="AE38" s="91">
        <f t="shared" si="8"/>
        <v>511349.28000000009</v>
      </c>
      <c r="AF38" s="91">
        <f t="shared" ref="AF38:AG38" si="9">AF36*104</f>
        <v>1128179.52</v>
      </c>
      <c r="AG38" s="91">
        <f t="shared" si="9"/>
        <v>1365154.96</v>
      </c>
    </row>
    <row r="39" spans="1:33" x14ac:dyDescent="0.25">
      <c r="A39" s="90" t="s">
        <v>95</v>
      </c>
      <c r="B39" s="241">
        <f t="shared" si="3"/>
        <v>625619.06000000006</v>
      </c>
      <c r="C39" s="91">
        <f>C36*2</f>
        <v>9488.6</v>
      </c>
      <c r="D39" s="91">
        <f t="shared" ref="D39:AD39" si="10">D36*2</f>
        <v>24379.32</v>
      </c>
      <c r="E39" s="91">
        <f t="shared" si="10"/>
        <v>24171.339999999997</v>
      </c>
      <c r="F39" s="91">
        <f t="shared" si="10"/>
        <v>24105.199999999997</v>
      </c>
      <c r="G39" s="91">
        <f t="shared" si="10"/>
        <v>24135.879999999997</v>
      </c>
      <c r="H39" s="91">
        <f t="shared" si="10"/>
        <v>24206.799999999996</v>
      </c>
      <c r="I39" s="91">
        <f t="shared" si="10"/>
        <v>12939</v>
      </c>
      <c r="J39" s="91">
        <f t="shared" si="10"/>
        <v>10127.880000000001</v>
      </c>
      <c r="K39" s="91">
        <f t="shared" si="10"/>
        <v>23758.020000000004</v>
      </c>
      <c r="L39" s="91">
        <f t="shared" si="10"/>
        <v>24034.280000000002</v>
      </c>
      <c r="M39" s="91">
        <f t="shared" si="10"/>
        <v>24100.419999999995</v>
      </c>
      <c r="N39" s="91">
        <f t="shared" si="10"/>
        <v>23917.84</v>
      </c>
      <c r="O39" s="91">
        <f t="shared" si="10"/>
        <v>24105.199999999997</v>
      </c>
      <c r="P39" s="91">
        <f t="shared" si="10"/>
        <v>18104.04</v>
      </c>
      <c r="Q39" s="91">
        <f t="shared" si="10"/>
        <v>14598.060000000001</v>
      </c>
      <c r="R39" s="91">
        <f t="shared" si="10"/>
        <v>24090.359999999997</v>
      </c>
      <c r="S39" s="91">
        <f t="shared" si="10"/>
        <v>24135.879999999997</v>
      </c>
      <c r="T39" s="91">
        <f t="shared" si="10"/>
        <v>23968.140000000003</v>
      </c>
      <c r="U39" s="91">
        <f t="shared" si="10"/>
        <v>23998.82</v>
      </c>
      <c r="V39" s="91">
        <f t="shared" si="10"/>
        <v>23803.54</v>
      </c>
      <c r="W39" s="91">
        <f t="shared" si="10"/>
        <v>13111.52</v>
      </c>
      <c r="X39" s="91">
        <f t="shared" si="10"/>
        <v>9833.6400000000012</v>
      </c>
      <c r="Y39" s="91">
        <f t="shared" si="10"/>
        <v>23608.260000000002</v>
      </c>
      <c r="Z39" s="91">
        <f t="shared" si="10"/>
        <v>24410</v>
      </c>
      <c r="AA39" s="91">
        <f t="shared" si="10"/>
        <v>9833.6400000000012</v>
      </c>
      <c r="AB39" s="91">
        <f t="shared" si="10"/>
        <v>24019.439999999999</v>
      </c>
      <c r="AC39" s="91">
        <f t="shared" si="10"/>
        <v>23912.560000000001</v>
      </c>
      <c r="AD39" s="91">
        <f t="shared" si="10"/>
        <v>12939</v>
      </c>
      <c r="AE39" s="91">
        <f t="shared" ref="AE39:AF39" si="11">AE36*2</f>
        <v>9833.6400000000012</v>
      </c>
      <c r="AF39" s="91">
        <f t="shared" si="11"/>
        <v>21695.759999999998</v>
      </c>
      <c r="AG39" s="91">
        <f t="shared" ref="AG39" si="12">AG36*2</f>
        <v>26252.98</v>
      </c>
    </row>
    <row r="40" spans="1:33" x14ac:dyDescent="0.25">
      <c r="A40" s="90" t="s">
        <v>96</v>
      </c>
      <c r="B40" s="241">
        <f t="shared" si="3"/>
        <v>2819980</v>
      </c>
      <c r="C40" s="91">
        <f>+C35*362</f>
        <v>39820</v>
      </c>
      <c r="D40" s="91">
        <f t="shared" ref="D40:AD40" si="13">+D35*362</f>
        <v>111496</v>
      </c>
      <c r="E40" s="91">
        <f t="shared" si="13"/>
        <v>110772</v>
      </c>
      <c r="F40" s="91">
        <f t="shared" si="13"/>
        <v>110772</v>
      </c>
      <c r="G40" s="91">
        <f t="shared" si="13"/>
        <v>110772</v>
      </c>
      <c r="H40" s="91">
        <f t="shared" si="13"/>
        <v>110772</v>
      </c>
      <c r="I40" s="91">
        <f t="shared" si="13"/>
        <v>54300</v>
      </c>
      <c r="J40" s="91">
        <f t="shared" si="13"/>
        <v>42716</v>
      </c>
      <c r="K40" s="91">
        <f t="shared" si="13"/>
        <v>108238</v>
      </c>
      <c r="L40" s="91">
        <f t="shared" si="13"/>
        <v>110048</v>
      </c>
      <c r="M40" s="91">
        <f t="shared" si="13"/>
        <v>110772</v>
      </c>
      <c r="N40" s="91">
        <f t="shared" si="13"/>
        <v>109324</v>
      </c>
      <c r="O40" s="91">
        <f t="shared" si="13"/>
        <v>110772</v>
      </c>
      <c r="P40" s="91">
        <f t="shared" si="13"/>
        <v>77468</v>
      </c>
      <c r="Q40" s="91">
        <f t="shared" si="13"/>
        <v>61902</v>
      </c>
      <c r="R40" s="91">
        <f t="shared" si="13"/>
        <v>110048</v>
      </c>
      <c r="S40" s="91">
        <f t="shared" si="13"/>
        <v>110772</v>
      </c>
      <c r="T40" s="91">
        <f t="shared" si="13"/>
        <v>109324</v>
      </c>
      <c r="U40" s="91">
        <f t="shared" si="13"/>
        <v>110048</v>
      </c>
      <c r="V40" s="91">
        <f t="shared" si="13"/>
        <v>108962</v>
      </c>
      <c r="W40" s="91">
        <f t="shared" si="13"/>
        <v>55024</v>
      </c>
      <c r="X40" s="91">
        <f t="shared" si="13"/>
        <v>41268</v>
      </c>
      <c r="Y40" s="91">
        <f t="shared" si="13"/>
        <v>107876</v>
      </c>
      <c r="Z40" s="91">
        <f t="shared" si="13"/>
        <v>112220</v>
      </c>
      <c r="AA40" s="91">
        <f t="shared" si="13"/>
        <v>41268</v>
      </c>
      <c r="AB40" s="91">
        <f t="shared" si="13"/>
        <v>110048</v>
      </c>
      <c r="AC40" s="91">
        <f t="shared" si="13"/>
        <v>110048</v>
      </c>
      <c r="AD40" s="91">
        <f t="shared" si="13"/>
        <v>54300</v>
      </c>
      <c r="AE40" s="91">
        <f t="shared" ref="AE40:AF40" si="14">+AE35*362</f>
        <v>41268</v>
      </c>
      <c r="AF40" s="91">
        <f t="shared" si="14"/>
        <v>98102</v>
      </c>
      <c r="AG40" s="91">
        <f t="shared" ref="AG40" si="15">+AG35*362</f>
        <v>119460</v>
      </c>
    </row>
    <row r="41" spans="1:33" ht="14.25" customHeight="1" x14ac:dyDescent="0.25">
      <c r="A41" s="92" t="s">
        <v>97</v>
      </c>
      <c r="B41" s="241">
        <f t="shared" si="3"/>
        <v>24805795.729000006</v>
      </c>
      <c r="C41" s="91">
        <f>C36*79.3</f>
        <v>376222.99</v>
      </c>
      <c r="D41" s="91">
        <f t="shared" ref="D41:AD41" si="16">D36*79.3</f>
        <v>966640.03799999994</v>
      </c>
      <c r="E41" s="91">
        <f t="shared" si="16"/>
        <v>958393.63099999982</v>
      </c>
      <c r="F41" s="91">
        <f t="shared" si="16"/>
        <v>955771.17999999982</v>
      </c>
      <c r="G41" s="91">
        <f t="shared" si="16"/>
        <v>956987.64199999988</v>
      </c>
      <c r="H41" s="91">
        <f t="shared" si="16"/>
        <v>959799.61999999976</v>
      </c>
      <c r="I41" s="91">
        <f t="shared" si="16"/>
        <v>513031.35</v>
      </c>
      <c r="J41" s="91">
        <f t="shared" si="16"/>
        <v>401570.44200000004</v>
      </c>
      <c r="K41" s="91">
        <f t="shared" si="16"/>
        <v>942005.49300000013</v>
      </c>
      <c r="L41" s="91">
        <f t="shared" si="16"/>
        <v>952959.20200000005</v>
      </c>
      <c r="M41" s="91">
        <f t="shared" si="16"/>
        <v>955581.6529999997</v>
      </c>
      <c r="N41" s="91">
        <f t="shared" si="16"/>
        <v>948342.35600000003</v>
      </c>
      <c r="O41" s="91">
        <f t="shared" si="16"/>
        <v>955771.17999999982</v>
      </c>
      <c r="P41" s="91">
        <f t="shared" si="16"/>
        <v>717825.18599999999</v>
      </c>
      <c r="Q41" s="91">
        <f t="shared" si="16"/>
        <v>578813.07900000003</v>
      </c>
      <c r="R41" s="91">
        <f t="shared" si="16"/>
        <v>955182.77399999986</v>
      </c>
      <c r="S41" s="91">
        <f t="shared" si="16"/>
        <v>956987.64199999988</v>
      </c>
      <c r="T41" s="91">
        <f t="shared" si="16"/>
        <v>950336.75100000005</v>
      </c>
      <c r="U41" s="91">
        <f t="shared" si="16"/>
        <v>951553.21299999999</v>
      </c>
      <c r="V41" s="91">
        <f t="shared" si="16"/>
        <v>943810.36100000003</v>
      </c>
      <c r="W41" s="91">
        <f t="shared" si="16"/>
        <v>519871.76799999998</v>
      </c>
      <c r="X41" s="91">
        <f t="shared" si="16"/>
        <v>389903.82600000006</v>
      </c>
      <c r="Y41" s="91">
        <f t="shared" si="16"/>
        <v>936067.50900000008</v>
      </c>
      <c r="Z41" s="91">
        <f t="shared" si="16"/>
        <v>967856.5</v>
      </c>
      <c r="AA41" s="91">
        <f t="shared" si="16"/>
        <v>389903.82600000006</v>
      </c>
      <c r="AB41" s="91">
        <f t="shared" si="16"/>
        <v>952370.79599999986</v>
      </c>
      <c r="AC41" s="91">
        <f>AC36*79.3</f>
        <v>948133.00400000007</v>
      </c>
      <c r="AD41" s="91">
        <f t="shared" si="16"/>
        <v>513031.35</v>
      </c>
      <c r="AE41" s="91">
        <f t="shared" ref="AE41:AF41" si="17">AE36*79.3</f>
        <v>389903.82600000006</v>
      </c>
      <c r="AF41" s="91">
        <f t="shared" si="17"/>
        <v>860236.88399999996</v>
      </c>
      <c r="AG41" s="91">
        <f t="shared" ref="AG41" si="18">AG36*79.3</f>
        <v>1040930.6569999999</v>
      </c>
    </row>
    <row r="42" spans="1:33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91"/>
      <c r="O42" s="8"/>
    </row>
    <row r="43" spans="1:33" x14ac:dyDescent="0.25">
      <c r="C43" s="8"/>
      <c r="D43" s="8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33" x14ac:dyDescent="0.25">
      <c r="C44" s="8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33" x14ac:dyDescent="0.25">
      <c r="E45" s="43"/>
      <c r="F45" s="135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5"/>
      <c r="Y45" s="43"/>
    </row>
    <row r="46" spans="1:33" x14ac:dyDescent="0.25">
      <c r="E46" s="43"/>
      <c r="F46" s="135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5"/>
      <c r="Y46" s="43"/>
    </row>
    <row r="47" spans="1:33" x14ac:dyDescent="0.25"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84"/>
      <c r="R47" s="43"/>
      <c r="S47" s="43"/>
      <c r="T47" s="43"/>
      <c r="U47" s="43"/>
      <c r="V47" s="43"/>
      <c r="W47" s="43"/>
      <c r="X47" s="43"/>
      <c r="Y47" s="43"/>
    </row>
    <row r="48" spans="1:33" x14ac:dyDescent="0.25">
      <c r="Q48" s="84"/>
    </row>
    <row r="49" spans="17:17" x14ac:dyDescent="0.25">
      <c r="Q49" s="84"/>
    </row>
    <row r="50" spans="17:17" x14ac:dyDescent="0.25">
      <c r="Q50" s="84"/>
    </row>
    <row r="51" spans="17:17" x14ac:dyDescent="0.25">
      <c r="Q51" s="84"/>
    </row>
    <row r="52" spans="17:17" x14ac:dyDescent="0.25">
      <c r="Q52" s="84"/>
    </row>
    <row r="53" spans="17:17" x14ac:dyDescent="0.25">
      <c r="Q53" s="84"/>
    </row>
    <row r="54" spans="17:17" x14ac:dyDescent="0.25">
      <c r="Q54" s="84"/>
    </row>
    <row r="55" spans="17:17" x14ac:dyDescent="0.25">
      <c r="Q55" s="84"/>
    </row>
    <row r="56" spans="17:17" x14ac:dyDescent="0.25">
      <c r="Q56" s="84"/>
    </row>
    <row r="57" spans="17:17" x14ac:dyDescent="0.25">
      <c r="Q57" s="84"/>
    </row>
    <row r="58" spans="17:17" x14ac:dyDescent="0.25">
      <c r="Q58" s="8"/>
    </row>
    <row r="59" spans="17:17" x14ac:dyDescent="0.25">
      <c r="Q59" s="8"/>
    </row>
  </sheetData>
  <pageMargins left="0.7" right="0.7" top="0.75" bottom="0.75" header="0.3" footer="0.3"/>
  <pageSetup orientation="portrait" r:id="rId1"/>
  <ignoredErrors>
    <ignoredError sqref="K34:K3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4" sqref="H34"/>
    </sheetView>
  </sheetViews>
  <sheetFormatPr baseColWidth="10" defaultColWidth="11.42578125" defaultRowHeight="15" x14ac:dyDescent="0.25"/>
  <cols>
    <col min="1" max="2" width="11.42578125" style="126"/>
    <col min="3" max="3" width="19.140625" style="126" customWidth="1"/>
    <col min="4" max="4" width="11.42578125" style="126"/>
    <col min="5" max="5" width="18.42578125" style="126" customWidth="1"/>
    <col min="6" max="6" width="14.140625" style="126" customWidth="1"/>
    <col min="7" max="7" width="23.85546875" style="126" customWidth="1"/>
    <col min="8" max="8" width="22.7109375" style="126" customWidth="1"/>
    <col min="9" max="9" width="11.42578125" style="126"/>
    <col min="10" max="10" width="50.85546875" style="126" customWidth="1"/>
    <col min="11" max="11" width="18.5703125" style="126" customWidth="1"/>
    <col min="12" max="12" width="14.28515625" style="126" customWidth="1"/>
    <col min="13" max="13" width="25.5703125" style="126" customWidth="1"/>
    <col min="14" max="16384" width="11.42578125" style="126"/>
  </cols>
  <sheetData>
    <row r="1" spans="1:14" ht="44.25" x14ac:dyDescent="0.25">
      <c r="A1" s="361" t="s">
        <v>168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</row>
    <row r="2" spans="1:14" x14ac:dyDescent="0.25">
      <c r="A2" s="160" t="s">
        <v>126</v>
      </c>
      <c r="B2" s="160" t="s">
        <v>3</v>
      </c>
      <c r="C2" s="160" t="s">
        <v>127</v>
      </c>
      <c r="D2" s="160" t="s">
        <v>128</v>
      </c>
      <c r="E2" s="161" t="s">
        <v>129</v>
      </c>
      <c r="F2" s="161" t="s">
        <v>130</v>
      </c>
      <c r="G2" s="161" t="s">
        <v>131</v>
      </c>
      <c r="H2" s="161" t="s">
        <v>132</v>
      </c>
      <c r="I2" s="161" t="s">
        <v>133</v>
      </c>
      <c r="J2" s="161" t="s">
        <v>134</v>
      </c>
      <c r="K2" s="161" t="s">
        <v>135</v>
      </c>
      <c r="L2" s="161" t="s">
        <v>136</v>
      </c>
      <c r="M2" s="161" t="s">
        <v>137</v>
      </c>
    </row>
    <row r="3" spans="1:14" x14ac:dyDescent="0.25">
      <c r="A3" s="162">
        <v>45627</v>
      </c>
      <c r="B3" s="12">
        <f>'KM-Servicio'!M11</f>
        <v>4759</v>
      </c>
      <c r="C3" s="12">
        <f>B3</f>
        <v>4759</v>
      </c>
      <c r="D3" s="12">
        <f>'KM-Servicio'!U11</f>
        <v>4744.3</v>
      </c>
      <c r="E3" s="12">
        <f>D3</f>
        <v>4744.3</v>
      </c>
      <c r="F3" s="168">
        <f>'KM-Servicio'!N11</f>
        <v>99.691111578062618</v>
      </c>
      <c r="G3" s="169">
        <f>SUM('KM-Servicio'!B11:C11)</f>
        <v>94</v>
      </c>
      <c r="H3" s="169">
        <f>SUM('KM-Servicio'!D11:E11)</f>
        <v>79</v>
      </c>
      <c r="I3" s="146"/>
      <c r="J3" s="146"/>
      <c r="K3" s="12">
        <f>'Oferta Diaria'!C41</f>
        <v>376222.99</v>
      </c>
      <c r="L3" s="176" t="s">
        <v>139</v>
      </c>
      <c r="M3" s="166"/>
      <c r="N3" s="164"/>
    </row>
    <row r="4" spans="1:14" x14ac:dyDescent="0.25">
      <c r="A4" s="162">
        <v>45628</v>
      </c>
      <c r="B4" s="12">
        <f>'KM-Servicio'!M18</f>
        <v>12498</v>
      </c>
      <c r="C4" s="12">
        <f>B4+C3</f>
        <v>17257</v>
      </c>
      <c r="D4" s="12">
        <f>'KM-Servicio'!U18</f>
        <v>12189.659999999998</v>
      </c>
      <c r="E4" s="12">
        <f>D4+E3</f>
        <v>16933.96</v>
      </c>
      <c r="F4" s="168">
        <f>'KM-Servicio'!N18</f>
        <v>97.532885261641837</v>
      </c>
      <c r="G4" s="169">
        <f>SUM('KM-Servicio'!B18:C18)</f>
        <v>223</v>
      </c>
      <c r="H4" s="169">
        <f>SUM('KM-Servicio'!D18:E18)</f>
        <v>223</v>
      </c>
      <c r="I4" s="146"/>
      <c r="J4" s="146"/>
      <c r="K4" s="12">
        <f>'Oferta Diaria'!D41</f>
        <v>966640.03799999994</v>
      </c>
      <c r="L4" s="163" t="s">
        <v>140</v>
      </c>
      <c r="M4" s="166"/>
      <c r="N4" s="164"/>
    </row>
    <row r="5" spans="1:14" x14ac:dyDescent="0.25">
      <c r="A5" s="162">
        <v>45629</v>
      </c>
      <c r="B5" s="12">
        <f>'KM-Servicio'!M25</f>
        <v>12507</v>
      </c>
      <c r="C5" s="12">
        <f t="shared" ref="C5:C30" si="0">B5+C4</f>
        <v>29764</v>
      </c>
      <c r="D5" s="12">
        <f>'KM-Servicio'!U25</f>
        <v>12085.67</v>
      </c>
      <c r="E5" s="12">
        <f t="shared" ref="E5:E30" si="1">D5+E4</f>
        <v>29019.629999999997</v>
      </c>
      <c r="F5" s="168">
        <f>'KM-Servicio'!N25</f>
        <v>96.631246501958898</v>
      </c>
      <c r="G5" s="169">
        <f>SUM('KM-Servicio'!B25:C25)</f>
        <v>223</v>
      </c>
      <c r="H5" s="169">
        <f>SUM('KM-Servicio'!D25:E25)</f>
        <v>223</v>
      </c>
      <c r="I5" s="146"/>
      <c r="J5" s="146"/>
      <c r="K5" s="12">
        <f>'Oferta Diaria'!E41</f>
        <v>958393.63099999982</v>
      </c>
      <c r="L5" s="163" t="s">
        <v>140</v>
      </c>
      <c r="M5" s="166"/>
      <c r="N5" s="164"/>
    </row>
    <row r="6" spans="1:14" x14ac:dyDescent="0.25">
      <c r="A6" s="162">
        <v>45630</v>
      </c>
      <c r="B6" s="12">
        <f>'KM-Servicio'!M32</f>
        <v>12754</v>
      </c>
      <c r="C6" s="12">
        <f t="shared" si="0"/>
        <v>42518</v>
      </c>
      <c r="D6" s="12">
        <f>'KM-Servicio'!U32</f>
        <v>12052.6</v>
      </c>
      <c r="E6" s="12">
        <f t="shared" si="1"/>
        <v>41072.229999999996</v>
      </c>
      <c r="F6" s="168">
        <f>'KM-Servicio'!N32</f>
        <v>94.500548847420418</v>
      </c>
      <c r="G6" s="169">
        <f>SUM('KM-Servicio'!B32:C32)</f>
        <v>223</v>
      </c>
      <c r="H6" s="169">
        <f>SUM('KM-Servicio'!D32:E32)</f>
        <v>223</v>
      </c>
      <c r="I6" s="146"/>
      <c r="J6" s="146"/>
      <c r="K6" s="12">
        <f>'Oferta Diaria'!F41</f>
        <v>955771.17999999982</v>
      </c>
      <c r="L6" s="163" t="s">
        <v>140</v>
      </c>
      <c r="M6" s="166"/>
      <c r="N6" s="164"/>
    </row>
    <row r="7" spans="1:14" ht="16.5" customHeight="1" x14ac:dyDescent="0.25">
      <c r="A7" s="162">
        <v>45631</v>
      </c>
      <c r="B7" s="12">
        <f>'KM-Servicio'!M39</f>
        <v>12495</v>
      </c>
      <c r="C7" s="12">
        <f t="shared" si="0"/>
        <v>55013</v>
      </c>
      <c r="D7" s="12">
        <f>'KM-Servicio'!U39</f>
        <v>12067.94</v>
      </c>
      <c r="E7" s="12">
        <f t="shared" si="1"/>
        <v>53140.17</v>
      </c>
      <c r="F7" s="168">
        <f>'KM-Servicio'!N39</f>
        <v>96.582152861144465</v>
      </c>
      <c r="G7" s="169">
        <f>SUM('KM-Servicio'!B39:C39)</f>
        <v>223</v>
      </c>
      <c r="H7" s="169">
        <f>SUM('KM-Servicio'!D39:E39)</f>
        <v>223</v>
      </c>
      <c r="I7" s="146"/>
      <c r="J7" s="146"/>
      <c r="K7" s="12">
        <f>'Oferta Diaria'!G41</f>
        <v>956987.64199999988</v>
      </c>
      <c r="L7" s="163" t="s">
        <v>140</v>
      </c>
      <c r="M7" s="178"/>
      <c r="N7" s="164"/>
    </row>
    <row r="8" spans="1:14" x14ac:dyDescent="0.25">
      <c r="A8" s="162">
        <v>45632</v>
      </c>
      <c r="B8" s="12">
        <f>'KM-Servicio'!M46</f>
        <v>12453</v>
      </c>
      <c r="C8" s="12">
        <f t="shared" si="0"/>
        <v>67466</v>
      </c>
      <c r="D8" s="12">
        <f>'KM-Servicio'!U46</f>
        <v>12103.4</v>
      </c>
      <c r="E8" s="12">
        <f t="shared" si="1"/>
        <v>65243.57</v>
      </c>
      <c r="F8" s="168">
        <f>'KM-Servicio'!N46</f>
        <v>97.192644342728656</v>
      </c>
      <c r="G8" s="169">
        <f>SUM('KM-Servicio'!B46:C46)</f>
        <v>223</v>
      </c>
      <c r="H8" s="169">
        <f>SUM('KM-Servicio'!D46:E46)</f>
        <v>224</v>
      </c>
      <c r="I8" s="146"/>
      <c r="J8" s="146"/>
      <c r="K8" s="12">
        <f>'Oferta Diaria'!H41</f>
        <v>959799.61999999976</v>
      </c>
      <c r="L8" s="163" t="s">
        <v>140</v>
      </c>
      <c r="M8" s="166"/>
      <c r="N8" s="164"/>
    </row>
    <row r="9" spans="1:14" x14ac:dyDescent="0.25">
      <c r="A9" s="162">
        <v>45633</v>
      </c>
      <c r="B9" s="12">
        <f>'KM-Servicio'!M53</f>
        <v>6541</v>
      </c>
      <c r="C9" s="12">
        <f t="shared" si="0"/>
        <v>74007</v>
      </c>
      <c r="D9" s="12">
        <f>'KM-Servicio'!U53</f>
        <v>6469.5</v>
      </c>
      <c r="E9" s="12">
        <f t="shared" si="1"/>
        <v>71713.070000000007</v>
      </c>
      <c r="F9" s="168">
        <f>'KM-Servicio'!N53</f>
        <v>98.906894970188048</v>
      </c>
      <c r="G9" s="169">
        <f>SUM('KM-Servicio'!B53:C53)</f>
        <v>147</v>
      </c>
      <c r="H9" s="169">
        <f>SUM('KM-Servicio'!D53:E53)</f>
        <v>147</v>
      </c>
      <c r="I9" s="146"/>
      <c r="J9" s="146"/>
      <c r="K9" s="12">
        <f>'Oferta Diaria'!I41</f>
        <v>513031.35</v>
      </c>
      <c r="L9" s="176" t="s">
        <v>141</v>
      </c>
      <c r="M9" s="177"/>
      <c r="N9" s="164"/>
    </row>
    <row r="10" spans="1:14" x14ac:dyDescent="0.25">
      <c r="A10" s="162">
        <v>45634</v>
      </c>
      <c r="B10" s="12">
        <f>'KM-Servicio'!M60</f>
        <v>5155</v>
      </c>
      <c r="C10" s="12">
        <f t="shared" si="0"/>
        <v>79162</v>
      </c>
      <c r="D10" s="12">
        <f>'KM-Servicio'!U60</f>
        <v>5063.9400000000005</v>
      </c>
      <c r="E10" s="12">
        <f t="shared" si="1"/>
        <v>76777.010000000009</v>
      </c>
      <c r="F10" s="168">
        <f>'KM-Servicio'!N60</f>
        <v>98.233559650824446</v>
      </c>
      <c r="G10" s="169">
        <f>SUM('KM-Servicio'!B60:C60)</f>
        <v>111</v>
      </c>
      <c r="H10" s="169">
        <f>SUM('KM-Servicio'!D60:E60)</f>
        <v>111</v>
      </c>
      <c r="I10" s="146"/>
      <c r="J10" s="146"/>
      <c r="K10" s="12">
        <f>'Oferta Diaria'!J41</f>
        <v>401570.44200000004</v>
      </c>
      <c r="L10" s="176" t="s">
        <v>139</v>
      </c>
      <c r="M10" s="166"/>
      <c r="N10" s="164"/>
    </row>
    <row r="11" spans="1:14" x14ac:dyDescent="0.25">
      <c r="A11" s="162">
        <v>45635</v>
      </c>
      <c r="B11" s="12">
        <f>'KM-Servicio'!M67</f>
        <v>12414</v>
      </c>
      <c r="C11" s="12">
        <f t="shared" si="0"/>
        <v>91576</v>
      </c>
      <c r="D11" s="12">
        <f>'KM-Servicio'!U67</f>
        <v>11879.010000000002</v>
      </c>
      <c r="E11" s="12">
        <f t="shared" si="1"/>
        <v>88656.020000000019</v>
      </c>
      <c r="F11" s="168">
        <f>'KM-Servicio'!N67</f>
        <v>95.690430159497353</v>
      </c>
      <c r="G11" s="169">
        <f>SUM('KM-Servicio'!B67:C67)</f>
        <v>223</v>
      </c>
      <c r="H11" s="169">
        <f>SUM('KM-Servicio'!D67:E67)</f>
        <v>222</v>
      </c>
      <c r="I11" s="146"/>
      <c r="J11" s="146"/>
      <c r="K11" s="12">
        <f>'Oferta Diaria'!K41</f>
        <v>942005.49300000013</v>
      </c>
      <c r="L11" s="163" t="s">
        <v>140</v>
      </c>
      <c r="M11" s="166"/>
      <c r="N11" s="164"/>
    </row>
    <row r="12" spans="1:14" x14ac:dyDescent="0.25">
      <c r="A12" s="162">
        <v>45636</v>
      </c>
      <c r="B12" s="12">
        <f>'KM-Servicio'!M74</f>
        <v>12439</v>
      </c>
      <c r="C12" s="12">
        <f t="shared" si="0"/>
        <v>104015</v>
      </c>
      <c r="D12" s="12">
        <f>'KM-Servicio'!U74</f>
        <v>12017.140000000001</v>
      </c>
      <c r="E12" s="12">
        <f t="shared" si="1"/>
        <v>100673.16000000002</v>
      </c>
      <c r="F12" s="168">
        <f>'KM-Servicio'!N74</f>
        <v>96.608569820725137</v>
      </c>
      <c r="G12" s="169">
        <f>SUM('KM-Servicio'!B74:C74)</f>
        <v>223</v>
      </c>
      <c r="H12" s="169">
        <f>SUM('KM-Servicio'!D74:E74)</f>
        <v>223</v>
      </c>
      <c r="I12" s="146"/>
      <c r="J12" s="146"/>
      <c r="K12" s="12">
        <f>'Oferta Diaria'!L41</f>
        <v>952959.20200000005</v>
      </c>
      <c r="L12" s="163" t="s">
        <v>140</v>
      </c>
      <c r="M12" s="166"/>
      <c r="N12" s="164"/>
    </row>
    <row r="13" spans="1:14" x14ac:dyDescent="0.25">
      <c r="A13" s="162">
        <v>45637</v>
      </c>
      <c r="B13" s="12">
        <f>'KM-Servicio'!M81</f>
        <v>12506</v>
      </c>
      <c r="C13" s="12">
        <f t="shared" si="0"/>
        <v>116521</v>
      </c>
      <c r="D13" s="12">
        <f>'KM-Servicio'!U81</f>
        <v>12050.210000000001</v>
      </c>
      <c r="E13" s="12">
        <f t="shared" si="1"/>
        <v>112723.37000000002</v>
      </c>
      <c r="F13" s="168">
        <f>'KM-Servicio'!N81</f>
        <v>96.35542939389093</v>
      </c>
      <c r="G13" s="169">
        <f>SUM('KM-Servicio'!B81:C81)</f>
        <v>223</v>
      </c>
      <c r="H13" s="169">
        <f>SUM('KM-Servicio'!D81:E81)</f>
        <v>223</v>
      </c>
      <c r="I13" s="146"/>
      <c r="J13" s="146"/>
      <c r="K13" s="12">
        <f>'Oferta Diaria'!M41</f>
        <v>955581.6529999997</v>
      </c>
      <c r="L13" s="163" t="s">
        <v>140</v>
      </c>
      <c r="M13" s="166"/>
      <c r="N13" s="164"/>
    </row>
    <row r="14" spans="1:14" x14ac:dyDescent="0.25">
      <c r="A14" s="162">
        <v>45638</v>
      </c>
      <c r="B14" s="12">
        <f>'KM-Servicio'!M88</f>
        <v>12498</v>
      </c>
      <c r="C14" s="12">
        <f t="shared" si="0"/>
        <v>129019</v>
      </c>
      <c r="D14" s="12">
        <f>'KM-Servicio'!U88</f>
        <v>11958.920000000002</v>
      </c>
      <c r="E14" s="12">
        <f t="shared" si="1"/>
        <v>124682.29000000002</v>
      </c>
      <c r="F14" s="168">
        <f>'KM-Servicio'!N88</f>
        <v>95.686669867178765</v>
      </c>
      <c r="G14" s="169">
        <f>SUM('KM-Servicio'!B88:C88)</f>
        <v>223</v>
      </c>
      <c r="H14" s="169">
        <f>SUM('KM-Servicio'!D88:E88)</f>
        <v>223</v>
      </c>
      <c r="I14" s="146"/>
      <c r="J14" s="146"/>
      <c r="K14" s="12">
        <f>'Oferta Diaria'!N41</f>
        <v>948342.35600000003</v>
      </c>
      <c r="L14" s="163" t="s">
        <v>140</v>
      </c>
      <c r="M14" s="166"/>
      <c r="N14" s="164"/>
    </row>
    <row r="15" spans="1:14" ht="16.5" customHeight="1" x14ac:dyDescent="0.25">
      <c r="A15" s="162">
        <v>45639</v>
      </c>
      <c r="B15" s="12">
        <f>'KM-Servicio'!M95</f>
        <v>12480</v>
      </c>
      <c r="C15" s="12">
        <f t="shared" si="0"/>
        <v>141499</v>
      </c>
      <c r="D15" s="12">
        <f>'KM-Servicio'!U95</f>
        <v>12052.6</v>
      </c>
      <c r="E15" s="12">
        <f t="shared" si="1"/>
        <v>136734.89000000001</v>
      </c>
      <c r="F15" s="168">
        <f>'KM-Servicio'!N95</f>
        <v>96.575320512820511</v>
      </c>
      <c r="G15" s="169">
        <f>SUM('KM-Servicio'!B95:C95)</f>
        <v>223</v>
      </c>
      <c r="H15" s="169">
        <f>SUM('KM-Servicio'!D95:E95)</f>
        <v>223</v>
      </c>
      <c r="I15" s="146"/>
      <c r="J15" s="146"/>
      <c r="K15" s="12">
        <f>'Oferta Diaria'!O41</f>
        <v>955771.17999999982</v>
      </c>
      <c r="L15" s="163" t="s">
        <v>140</v>
      </c>
      <c r="M15" s="166"/>
      <c r="N15" s="164"/>
    </row>
    <row r="16" spans="1:14" x14ac:dyDescent="0.25">
      <c r="A16" s="162">
        <v>45640</v>
      </c>
      <c r="B16" s="12">
        <f>'KM-Servicio'!M102</f>
        <v>9568</v>
      </c>
      <c r="C16" s="12">
        <f t="shared" si="0"/>
        <v>151067</v>
      </c>
      <c r="D16" s="12">
        <f>'KM-Servicio'!U102</f>
        <v>9052.02</v>
      </c>
      <c r="E16" s="12">
        <f t="shared" si="1"/>
        <v>145786.91</v>
      </c>
      <c r="F16" s="168">
        <f>'KM-Servicio'!N102</f>
        <v>94.607232441471581</v>
      </c>
      <c r="G16" s="169">
        <f>SUM('KM-Servicio'!B102:C102)</f>
        <v>148</v>
      </c>
      <c r="H16" s="169">
        <f>SUM('KM-Servicio'!D102:E102)</f>
        <v>148</v>
      </c>
      <c r="I16" s="146"/>
      <c r="J16" s="146"/>
      <c r="K16" s="12">
        <f>'Oferta Diaria'!P41</f>
        <v>717825.18599999999</v>
      </c>
      <c r="L16" s="176" t="s">
        <v>141</v>
      </c>
      <c r="M16" s="166"/>
      <c r="N16" s="164"/>
    </row>
    <row r="17" spans="1:16" x14ac:dyDescent="0.25">
      <c r="A17" s="162">
        <v>45641</v>
      </c>
      <c r="B17" s="12">
        <f>'KM-Servicio'!M109</f>
        <v>7421</v>
      </c>
      <c r="C17" s="12">
        <f t="shared" si="0"/>
        <v>158488</v>
      </c>
      <c r="D17" s="12">
        <f>'KM-Servicio'!U109</f>
        <v>7299.0300000000007</v>
      </c>
      <c r="E17" s="12">
        <f t="shared" si="1"/>
        <v>153085.94</v>
      </c>
      <c r="F17" s="168">
        <f>'KM-Servicio'!N109</f>
        <v>98.356420967524599</v>
      </c>
      <c r="G17" s="169">
        <f>SUM('KM-Servicio'!B109:C109)</f>
        <v>112</v>
      </c>
      <c r="H17" s="169">
        <f>SUM('KM-Servicio'!D109:E109)</f>
        <v>112</v>
      </c>
      <c r="I17" s="146"/>
      <c r="J17" s="146"/>
      <c r="K17" s="12">
        <f>'Oferta Diaria'!Q41</f>
        <v>578813.07900000003</v>
      </c>
      <c r="L17" s="176" t="s">
        <v>139</v>
      </c>
      <c r="M17" s="166"/>
      <c r="N17" s="164"/>
    </row>
    <row r="18" spans="1:16" ht="14.25" customHeight="1" x14ac:dyDescent="0.25">
      <c r="A18" s="162">
        <v>45642</v>
      </c>
      <c r="B18" s="12">
        <f>'KM-Servicio'!$M$116</f>
        <v>12478</v>
      </c>
      <c r="C18" s="12">
        <f t="shared" si="0"/>
        <v>170966</v>
      </c>
      <c r="D18" s="12">
        <f>'KM-Servicio'!$U$116</f>
        <v>12045.18</v>
      </c>
      <c r="E18" s="12">
        <f t="shared" si="1"/>
        <v>165131.12</v>
      </c>
      <c r="F18" s="168">
        <f>'KM-Servicio'!N116</f>
        <v>96.531335149863764</v>
      </c>
      <c r="G18" s="169">
        <f>SUM('KM-Servicio'!B116:C116)</f>
        <v>223</v>
      </c>
      <c r="H18" s="169">
        <f>SUM('KM-Servicio'!D116:E116)</f>
        <v>223</v>
      </c>
      <c r="I18" s="146"/>
      <c r="J18" s="146"/>
      <c r="K18" s="12">
        <f>'Oferta Diaria'!R41</f>
        <v>955182.77399999986</v>
      </c>
      <c r="L18" s="163" t="s">
        <v>140</v>
      </c>
      <c r="M18" s="146"/>
    </row>
    <row r="19" spans="1:16" x14ac:dyDescent="0.25">
      <c r="A19" s="162">
        <v>45643</v>
      </c>
      <c r="B19" s="12">
        <f>'KM-Servicio'!$M$123</f>
        <v>12679</v>
      </c>
      <c r="C19" s="12">
        <f t="shared" si="0"/>
        <v>183645</v>
      </c>
      <c r="D19" s="12">
        <f>'KM-Servicio'!$U$123</f>
        <v>12067.94</v>
      </c>
      <c r="E19" s="12">
        <f t="shared" si="1"/>
        <v>177199.06</v>
      </c>
      <c r="F19" s="168">
        <f>'KM-Servicio'!N123</f>
        <v>95.180534742487581</v>
      </c>
      <c r="G19" s="169">
        <f>SUM('KM-Servicio'!B123:C123)</f>
        <v>223</v>
      </c>
      <c r="H19" s="169">
        <f>SUM('KM-Servicio'!D123:E123)</f>
        <v>223</v>
      </c>
      <c r="I19" s="146"/>
      <c r="J19" s="146"/>
      <c r="K19" s="12">
        <f>'Oferta Diaria'!S41</f>
        <v>956987.64199999988</v>
      </c>
      <c r="L19" s="163" t="s">
        <v>140</v>
      </c>
      <c r="M19" s="166"/>
      <c r="N19" s="164"/>
    </row>
    <row r="20" spans="1:16" x14ac:dyDescent="0.25">
      <c r="A20" s="162">
        <v>45644</v>
      </c>
      <c r="B20" s="12">
        <f>'KM-Servicio'!M130</f>
        <v>12507</v>
      </c>
      <c r="C20" s="12">
        <f t="shared" si="0"/>
        <v>196152</v>
      </c>
      <c r="D20" s="12">
        <f>'KM-Servicio'!$U$130</f>
        <v>11984.070000000002</v>
      </c>
      <c r="E20" s="12">
        <f t="shared" si="1"/>
        <v>189183.13</v>
      </c>
      <c r="F20" s="168">
        <f>'KM-Servicio'!N130</f>
        <v>95.818901415207492</v>
      </c>
      <c r="G20" s="169">
        <f>SUM('KM-Servicio'!B130:C130)</f>
        <v>223</v>
      </c>
      <c r="H20" s="169">
        <f>SUM('KM-Servicio'!D130:E130)</f>
        <v>223</v>
      </c>
      <c r="I20" s="146"/>
      <c r="J20" s="146"/>
      <c r="K20" s="12">
        <f>'Oferta Diaria'!T41</f>
        <v>950336.75100000005</v>
      </c>
      <c r="L20" s="163" t="s">
        <v>140</v>
      </c>
      <c r="M20" s="166"/>
      <c r="N20" s="164"/>
    </row>
    <row r="21" spans="1:16" x14ac:dyDescent="0.25">
      <c r="A21" s="162">
        <v>45645</v>
      </c>
      <c r="B21" s="12">
        <f>'KM-Servicio'!M137</f>
        <v>12352</v>
      </c>
      <c r="C21" s="12">
        <f t="shared" si="0"/>
        <v>208504</v>
      </c>
      <c r="D21" s="12">
        <f>'KM-Servicio'!$U$137</f>
        <v>11999.410000000002</v>
      </c>
      <c r="E21" s="12">
        <f t="shared" si="1"/>
        <v>201182.54</v>
      </c>
      <c r="F21" s="173">
        <f>'KM-Servicio'!N137</f>
        <v>97.145482512953379</v>
      </c>
      <c r="G21" s="169">
        <f>SUM('KM-Servicio'!B137:C137)</f>
        <v>223</v>
      </c>
      <c r="H21" s="169">
        <f>SUM('KM-Servicio'!D137:E137)</f>
        <v>223</v>
      </c>
      <c r="I21" s="146"/>
      <c r="J21" s="146"/>
      <c r="K21" s="12">
        <f>'Oferta Diaria'!U41</f>
        <v>951553.21299999999</v>
      </c>
      <c r="L21" s="163" t="s">
        <v>140</v>
      </c>
      <c r="M21" s="166"/>
      <c r="N21" s="164"/>
    </row>
    <row r="22" spans="1:16" x14ac:dyDescent="0.25">
      <c r="A22" s="162">
        <v>45646</v>
      </c>
      <c r="B22" s="12">
        <f>'KM-Servicio'!M144</f>
        <v>12408</v>
      </c>
      <c r="C22" s="12">
        <f t="shared" si="0"/>
        <v>220912</v>
      </c>
      <c r="D22" s="12">
        <f>'KM-Servicio'!$U$144</f>
        <v>11901.769999999999</v>
      </c>
      <c r="E22" s="12">
        <f t="shared" si="1"/>
        <v>213084.31</v>
      </c>
      <c r="F22" s="173">
        <f>'KM-Servicio'!N144</f>
        <v>95.920132172791739</v>
      </c>
      <c r="G22" s="169">
        <f>SUM('KM-Servicio'!B144:C144)</f>
        <v>223</v>
      </c>
      <c r="H22" s="169">
        <f>SUM('KM-Servicio'!D144:E144)</f>
        <v>222</v>
      </c>
      <c r="I22" s="146"/>
      <c r="J22" s="146"/>
      <c r="K22" s="12">
        <f>'Oferta Diaria'!V41</f>
        <v>943810.36100000003</v>
      </c>
      <c r="L22" s="163" t="s">
        <v>140</v>
      </c>
      <c r="M22" s="166"/>
      <c r="N22" s="164"/>
    </row>
    <row r="23" spans="1:16" x14ac:dyDescent="0.25">
      <c r="A23" s="162">
        <v>45647</v>
      </c>
      <c r="B23" s="12">
        <f>'KM-Servicio'!M151</f>
        <v>6586</v>
      </c>
      <c r="C23" s="12">
        <f t="shared" si="0"/>
        <v>227498</v>
      </c>
      <c r="D23" s="12">
        <f>'KM-Servicio'!$U$151</f>
        <v>6555.76</v>
      </c>
      <c r="E23" s="12">
        <f t="shared" si="1"/>
        <v>219640.07</v>
      </c>
      <c r="F23" s="168">
        <f>'KM-Servicio'!N151</f>
        <v>99.540844215001528</v>
      </c>
      <c r="G23" s="169">
        <f>SUM('KM-Servicio'!B151:C151)</f>
        <v>147</v>
      </c>
      <c r="H23" s="169">
        <f>SUM('KM-Servicio'!D151:E151)</f>
        <v>147</v>
      </c>
      <c r="I23" s="146"/>
      <c r="J23" s="146"/>
      <c r="K23" s="12">
        <f>'Oferta Diaria'!W41</f>
        <v>519871.76799999998</v>
      </c>
      <c r="L23" s="176" t="s">
        <v>141</v>
      </c>
      <c r="M23" s="166"/>
      <c r="N23" s="164"/>
    </row>
    <row r="24" spans="1:16" x14ac:dyDescent="0.25">
      <c r="A24" s="162">
        <v>45648</v>
      </c>
      <c r="B24" s="12">
        <f>'KM-Servicio'!M158</f>
        <v>5006</v>
      </c>
      <c r="C24" s="12">
        <f t="shared" si="0"/>
        <v>232504</v>
      </c>
      <c r="D24" s="12">
        <f>'KM-Servicio'!$U$158</f>
        <v>4916.8200000000006</v>
      </c>
      <c r="E24" s="12">
        <f t="shared" si="1"/>
        <v>224556.89</v>
      </c>
      <c r="F24" s="168">
        <f>'KM-Servicio'!N158</f>
        <v>98.218537754694381</v>
      </c>
      <c r="G24" s="169">
        <f>SUM('KM-Servicio'!B158:C158)</f>
        <v>111</v>
      </c>
      <c r="H24" s="169">
        <f>SUM('KM-Servicio'!D158:E158)</f>
        <v>111</v>
      </c>
      <c r="I24" s="146"/>
      <c r="J24" s="146"/>
      <c r="K24" s="12">
        <f>'Oferta Diaria'!X41</f>
        <v>389903.82600000006</v>
      </c>
      <c r="L24" s="176" t="s">
        <v>139</v>
      </c>
      <c r="M24" s="166"/>
      <c r="N24" s="164"/>
    </row>
    <row r="25" spans="1:16" x14ac:dyDescent="0.25">
      <c r="A25" s="162">
        <v>45649</v>
      </c>
      <c r="B25" s="12">
        <f>'KM-Servicio'!M165</f>
        <v>12235</v>
      </c>
      <c r="C25" s="12">
        <f t="shared" si="0"/>
        <v>244739</v>
      </c>
      <c r="D25" s="12">
        <f>'KM-Servicio'!$U$165</f>
        <v>11804.130000000001</v>
      </c>
      <c r="E25" s="12">
        <f t="shared" si="1"/>
        <v>236361.02000000002</v>
      </c>
      <c r="F25" s="168">
        <f>'KM-Servicio'!N165</f>
        <v>96.478381691867597</v>
      </c>
      <c r="G25" s="169">
        <f>SUM('KM-Servicio'!B165:C165)</f>
        <v>223</v>
      </c>
      <c r="H25" s="169">
        <f>SUM('KM-Servicio'!D165:E165)</f>
        <v>223</v>
      </c>
      <c r="I25" s="146"/>
      <c r="J25" s="146"/>
      <c r="K25" s="12">
        <f>'Oferta Diaria'!Y41</f>
        <v>936067.50900000008</v>
      </c>
      <c r="L25" s="163" t="s">
        <v>140</v>
      </c>
      <c r="M25" s="166"/>
      <c r="N25" s="164"/>
    </row>
    <row r="26" spans="1:16" x14ac:dyDescent="0.25">
      <c r="A26" s="162">
        <v>45650</v>
      </c>
      <c r="B26" s="12">
        <f>'KM-Servicio'!M172</f>
        <v>12626</v>
      </c>
      <c r="C26" s="12">
        <f t="shared" si="0"/>
        <v>257365</v>
      </c>
      <c r="D26" s="12">
        <f>'KM-Servicio'!$U$172</f>
        <v>12204.999999999998</v>
      </c>
      <c r="E26" s="12">
        <f t="shared" si="1"/>
        <v>248566.02000000002</v>
      </c>
      <c r="F26" s="168">
        <f>'KM-Servicio'!N172</f>
        <v>96.665610644701388</v>
      </c>
      <c r="G26" s="169">
        <f>SUM('KM-Servicio'!B172:C172)</f>
        <v>223</v>
      </c>
      <c r="H26" s="169">
        <f>SUM('KM-Servicio'!D172:E172)</f>
        <v>223</v>
      </c>
      <c r="I26" s="146"/>
      <c r="J26" s="146"/>
      <c r="K26" s="12">
        <f>'Oferta Diaria'!Z41</f>
        <v>967856.5</v>
      </c>
      <c r="L26" s="163" t="s">
        <v>140</v>
      </c>
      <c r="M26" s="166"/>
      <c r="N26" s="164"/>
    </row>
    <row r="27" spans="1:16" x14ac:dyDescent="0.25">
      <c r="A27" s="162">
        <v>45651</v>
      </c>
      <c r="B27" s="12">
        <f>'KM-Servicio'!M179</f>
        <v>4941</v>
      </c>
      <c r="C27" s="12">
        <f t="shared" si="0"/>
        <v>262306</v>
      </c>
      <c r="D27" s="12">
        <f>'KM-Servicio'!$U$179</f>
        <v>4916.8200000000006</v>
      </c>
      <c r="E27" s="12">
        <f t="shared" si="1"/>
        <v>253482.84000000003</v>
      </c>
      <c r="F27" s="168">
        <f>'KM-Servicio'!N179</f>
        <v>99.510625379477844</v>
      </c>
      <c r="G27" s="169">
        <f>SUM('KM-Servicio'!B179:C179)</f>
        <v>111</v>
      </c>
      <c r="H27" s="169">
        <f>SUM('KM-Servicio'!D179:E179)</f>
        <v>111</v>
      </c>
      <c r="I27" s="146"/>
      <c r="J27" s="146"/>
      <c r="K27" s="12">
        <f>'Oferta Diaria'!AA41</f>
        <v>389903.82600000006</v>
      </c>
      <c r="L27" s="176" t="s">
        <v>139</v>
      </c>
      <c r="M27" s="166"/>
      <c r="N27" s="164"/>
    </row>
    <row r="28" spans="1:16" x14ac:dyDescent="0.25">
      <c r="A28" s="162">
        <v>45652</v>
      </c>
      <c r="B28" s="12">
        <f>'KM-Servicio'!M186</f>
        <v>12537</v>
      </c>
      <c r="C28" s="12">
        <f t="shared" si="0"/>
        <v>274843</v>
      </c>
      <c r="D28" s="12">
        <f>'KM-Servicio'!$U$186</f>
        <v>12009.720000000001</v>
      </c>
      <c r="E28" s="12">
        <f t="shared" si="1"/>
        <v>265492.56000000006</v>
      </c>
      <c r="F28" s="168">
        <f>'KM-Servicio'!N186</f>
        <v>95.794209140942826</v>
      </c>
      <c r="G28" s="169">
        <f>SUM('KM-Servicio'!B186:C186)</f>
        <v>223</v>
      </c>
      <c r="H28" s="169">
        <f>SUM('KM-Servicio'!D186:E186)</f>
        <v>223</v>
      </c>
      <c r="I28" s="146"/>
      <c r="J28" s="146"/>
      <c r="K28" s="12">
        <f>'Oferta Diaria'!AB41</f>
        <v>952370.79599999986</v>
      </c>
      <c r="L28" s="163" t="s">
        <v>140</v>
      </c>
      <c r="M28" s="166"/>
      <c r="N28" s="164"/>
    </row>
    <row r="29" spans="1:16" x14ac:dyDescent="0.25">
      <c r="A29" s="162">
        <v>45653</v>
      </c>
      <c r="B29" s="12">
        <f>'KM-Servicio'!M193</f>
        <v>12508</v>
      </c>
      <c r="C29" s="12">
        <f t="shared" si="0"/>
        <v>287351</v>
      </c>
      <c r="D29" s="12">
        <f>'KM-Servicio'!$U$193</f>
        <v>11956.28</v>
      </c>
      <c r="E29" s="12">
        <f t="shared" si="1"/>
        <v>277448.84000000008</v>
      </c>
      <c r="F29" s="168">
        <f>'KM-Servicio'!N193</f>
        <v>95.589062999680209</v>
      </c>
      <c r="G29" s="169">
        <f>SUM('KM-Servicio'!B193:C193)</f>
        <v>223</v>
      </c>
      <c r="H29" s="169">
        <f>SUM('KM-Servicio'!D193:E193)</f>
        <v>223</v>
      </c>
      <c r="I29" s="146"/>
      <c r="J29" s="146"/>
      <c r="K29" s="12">
        <f>'Oferta Diaria'!AC41</f>
        <v>948133.00400000007</v>
      </c>
      <c r="L29" s="163" t="s">
        <v>140</v>
      </c>
      <c r="M29" s="166"/>
      <c r="N29" s="164"/>
    </row>
    <row r="30" spans="1:16" x14ac:dyDescent="0.25">
      <c r="A30" s="162">
        <v>45654</v>
      </c>
      <c r="B30" s="12">
        <f>'KM-Servicio'!M200</f>
        <v>6562</v>
      </c>
      <c r="C30" s="12">
        <f t="shared" si="0"/>
        <v>293913</v>
      </c>
      <c r="D30" s="12">
        <f>'KM-Servicio'!$U$200</f>
        <v>6469.5</v>
      </c>
      <c r="E30" s="12">
        <f t="shared" si="1"/>
        <v>283918.34000000008</v>
      </c>
      <c r="F30" s="168">
        <f>'KM-Servicio'!N200</f>
        <v>98.590368790003041</v>
      </c>
      <c r="G30" s="169">
        <f>SUM('KM-Servicio'!B200:C200)</f>
        <v>147</v>
      </c>
      <c r="H30" s="169">
        <f>SUM('KM-Servicio'!D200:E200)</f>
        <v>147</v>
      </c>
      <c r="I30" s="146"/>
      <c r="J30" s="146"/>
      <c r="K30" s="12">
        <f>'Oferta Diaria'!AD41</f>
        <v>513031.35</v>
      </c>
      <c r="L30" s="176" t="s">
        <v>141</v>
      </c>
      <c r="M30" s="166"/>
      <c r="N30" s="165"/>
    </row>
    <row r="31" spans="1:16" x14ac:dyDescent="0.25">
      <c r="A31" s="162">
        <v>45655</v>
      </c>
      <c r="B31" s="12">
        <f>'KM-Servicio'!M207</f>
        <v>5032</v>
      </c>
      <c r="C31" s="12">
        <f t="shared" ref="C31" si="2">B31+C30</f>
        <v>298945</v>
      </c>
      <c r="D31" s="12">
        <f>'KM-Servicio'!$U$207</f>
        <v>4916.8200000000006</v>
      </c>
      <c r="E31" s="12">
        <f t="shared" ref="E31" si="3">D31+E30</f>
        <v>288835.16000000009</v>
      </c>
      <c r="F31" s="168">
        <f>'KM-Servicio'!N207</f>
        <v>97.711049284578706</v>
      </c>
      <c r="G31" s="169">
        <f>SUM('KM-Servicio'!B207:C207)</f>
        <v>111</v>
      </c>
      <c r="H31" s="169">
        <f>SUM('KM-Servicio'!D207:E207)</f>
        <v>111</v>
      </c>
      <c r="I31" s="146"/>
      <c r="J31" s="146"/>
      <c r="K31" s="12">
        <f>'Oferta Diaria'!AE41</f>
        <v>389903.82600000006</v>
      </c>
      <c r="L31" s="176" t="s">
        <v>139</v>
      </c>
      <c r="M31" s="166"/>
      <c r="N31" s="165"/>
    </row>
    <row r="32" spans="1:16" x14ac:dyDescent="0.25">
      <c r="A32" s="162">
        <v>45656</v>
      </c>
      <c r="B32" s="12">
        <f>'KM-Servicio'!M216</f>
        <v>11599</v>
      </c>
      <c r="C32" s="12">
        <f t="shared" ref="C32" si="4">B32+C31</f>
        <v>310544</v>
      </c>
      <c r="D32" s="12">
        <f>'KM-Servicio'!$U$216</f>
        <v>10847.880000000001</v>
      </c>
      <c r="E32" s="12">
        <f t="shared" ref="E32" si="5">D32+E31</f>
        <v>299683.0400000001</v>
      </c>
      <c r="F32" s="168">
        <f>'KM-Servicio'!N216</f>
        <v>93.524269333563254</v>
      </c>
      <c r="G32" s="169">
        <f>SUM('KM-Servicio'!B216:C216)</f>
        <v>223</v>
      </c>
      <c r="H32" s="169">
        <f>SUM('KM-Servicio'!D216:E216)</f>
        <v>191</v>
      </c>
      <c r="I32" s="146"/>
      <c r="J32" s="146"/>
      <c r="K32" s="12">
        <f>'Oferta Diaria'!AF41</f>
        <v>860236.88399999996</v>
      </c>
      <c r="L32" s="176" t="s">
        <v>140</v>
      </c>
      <c r="M32" s="166"/>
      <c r="N32" s="165"/>
      <c r="O32" s="262"/>
      <c r="P32" s="262"/>
    </row>
    <row r="33" spans="1:16" x14ac:dyDescent="0.25">
      <c r="A33" s="162">
        <v>45657</v>
      </c>
      <c r="B33" s="12">
        <f>'KM-Servicio'!M224</f>
        <v>13961</v>
      </c>
      <c r="C33" s="12">
        <f t="shared" ref="C33" si="6">B33+C32</f>
        <v>324505</v>
      </c>
      <c r="D33" s="12">
        <f>'KM-Servicio'!$U$224</f>
        <v>13126.490000000002</v>
      </c>
      <c r="E33" s="12">
        <f t="shared" ref="E33" si="7">D33+E32</f>
        <v>312809.53000000009</v>
      </c>
      <c r="F33" s="168">
        <f>'KM-Servicio'!N224</f>
        <v>94.0225628536638</v>
      </c>
      <c r="G33" s="169">
        <f>SUM('KM-Servicio'!B224:C224)</f>
        <v>223</v>
      </c>
      <c r="H33" s="169">
        <f>SUM('KM-Servicio'!D224:E224)</f>
        <v>223</v>
      </c>
      <c r="I33" s="146"/>
      <c r="J33" s="146"/>
      <c r="K33" s="12">
        <f>'Oferta Diaria'!AG41</f>
        <v>1040930.6569999999</v>
      </c>
      <c r="L33" s="176" t="s">
        <v>140</v>
      </c>
      <c r="M33" s="166"/>
      <c r="N33" s="165"/>
      <c r="O33" s="262"/>
      <c r="P33" s="262"/>
    </row>
    <row r="34" spans="1:16" x14ac:dyDescent="0.25">
      <c r="A34" s="170" t="s">
        <v>138</v>
      </c>
      <c r="B34" s="171">
        <f>SUM(B3:B33)</f>
        <v>324505</v>
      </c>
      <c r="C34" s="171">
        <f>SUM(C3:C33)</f>
        <v>5256823</v>
      </c>
      <c r="D34" s="171">
        <f>SUM(D3:D33)</f>
        <v>312809.53000000009</v>
      </c>
      <c r="E34" s="171">
        <f>SUM(E3:E33)</f>
        <v>5077560.99</v>
      </c>
      <c r="F34" s="172">
        <f>AVERAGE(F3:F33)</f>
        <v>96.754613718017936</v>
      </c>
      <c r="G34" s="171">
        <f>SUM(G3:G33)</f>
        <v>5922</v>
      </c>
      <c r="H34" s="171">
        <f>SUM(H3:H33)</f>
        <v>5874</v>
      </c>
      <c r="I34" s="171">
        <f>SUM(I3:I32)</f>
        <v>0</v>
      </c>
      <c r="J34" s="171">
        <f>SUM(J3:J32)</f>
        <v>0</v>
      </c>
      <c r="K34" s="171">
        <f>SUM(K3:K33)</f>
        <v>24805795.729000006</v>
      </c>
      <c r="L34" s="163"/>
      <c r="M34" s="170"/>
      <c r="N34" s="262"/>
      <c r="O34" s="262"/>
      <c r="P34" s="262"/>
    </row>
    <row r="35" spans="1:16" x14ac:dyDescent="0.25">
      <c r="L35" s="209"/>
    </row>
    <row r="38" spans="1:16" x14ac:dyDescent="0.25">
      <c r="F38" s="164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64" t="s">
        <v>98</v>
      </c>
      <c r="B3" s="365"/>
      <c r="C3" s="365"/>
      <c r="D3" s="366"/>
    </row>
    <row r="4" spans="1:15" x14ac:dyDescent="0.25">
      <c r="A4" s="96" t="s">
        <v>99</v>
      </c>
      <c r="B4" s="97" t="s">
        <v>100</v>
      </c>
      <c r="C4" s="98" t="s">
        <v>54</v>
      </c>
      <c r="D4" s="98" t="s">
        <v>101</v>
      </c>
    </row>
    <row r="5" spans="1:15" x14ac:dyDescent="0.25">
      <c r="A5" s="34" t="s">
        <v>102</v>
      </c>
      <c r="B5" s="131">
        <f>C5/30</f>
        <v>259.66666666666669</v>
      </c>
      <c r="C5" s="132">
        <f>'KM-Servicio'!I246</f>
        <v>7790</v>
      </c>
      <c r="D5" s="132">
        <f>'KM-Servicio'!C241</f>
        <v>7871</v>
      </c>
    </row>
    <row r="6" spans="1:15" x14ac:dyDescent="0.25">
      <c r="A6" s="34" t="s">
        <v>103</v>
      </c>
      <c r="B6" s="131">
        <f>C6/30</f>
        <v>195.8</v>
      </c>
      <c r="C6" s="132">
        <f>'KM-Servicio'!J239</f>
        <v>5874</v>
      </c>
      <c r="D6" s="132">
        <f>'KM-Servicio'!D239</f>
        <v>5922</v>
      </c>
    </row>
    <row r="7" spans="1:15" x14ac:dyDescent="0.25">
      <c r="A7" s="34" t="s">
        <v>66</v>
      </c>
      <c r="B7" s="131">
        <f>C7/30</f>
        <v>10486.884666666669</v>
      </c>
      <c r="C7" s="132">
        <f>'KM-Servicio'!L239</f>
        <v>314606.54000000004</v>
      </c>
      <c r="D7" s="132">
        <f>'KM-Servicio'!F239</f>
        <v>317596.32</v>
      </c>
    </row>
    <row r="8" spans="1:15" x14ac:dyDescent="0.25">
      <c r="A8" s="34" t="s">
        <v>104</v>
      </c>
      <c r="B8" s="131">
        <f>C8/30</f>
        <v>7803.6506666666664</v>
      </c>
      <c r="C8" s="132">
        <f>'KM-Servicio'!K239</f>
        <v>234109.52</v>
      </c>
      <c r="D8" s="132">
        <f>'KM-Servicio'!E239</f>
        <v>235898.77</v>
      </c>
    </row>
    <row r="9" spans="1:15" x14ac:dyDescent="0.25">
      <c r="A9" s="34" t="s">
        <v>105</v>
      </c>
      <c r="B9" s="131">
        <f>C9/30</f>
        <v>1090636.0053333333</v>
      </c>
      <c r="C9" s="132">
        <f>'KM-Servicio'!M239</f>
        <v>32719080.16</v>
      </c>
      <c r="D9" s="132">
        <f>'KM-Servicio'!G239</f>
        <v>33030017.280000005</v>
      </c>
    </row>
    <row r="10" spans="1:15" x14ac:dyDescent="0.25">
      <c r="A10" s="34" t="s">
        <v>106</v>
      </c>
      <c r="B10" s="131"/>
      <c r="C10" s="133"/>
      <c r="J10" s="101"/>
    </row>
    <row r="11" spans="1:15" x14ac:dyDescent="0.25">
      <c r="A11" s="34" t="s">
        <v>107</v>
      </c>
      <c r="B11" s="131">
        <f>C11/30</f>
        <v>40531.73333333333</v>
      </c>
      <c r="C11" s="204">
        <v>1215952</v>
      </c>
      <c r="D11" s="134" t="s">
        <v>148</v>
      </c>
      <c r="E11" s="99"/>
      <c r="H11" s="101"/>
      <c r="I11" s="101"/>
      <c r="J11" s="101"/>
      <c r="K11" s="101"/>
      <c r="L11" s="104"/>
      <c r="M11" s="100"/>
      <c r="N11" s="100"/>
    </row>
    <row r="12" spans="1:15" ht="15.75" thickBot="1" x14ac:dyDescent="0.3">
      <c r="A12" s="34" t="s">
        <v>108</v>
      </c>
      <c r="B12" s="134"/>
      <c r="C12" s="131"/>
      <c r="D12" s="134"/>
      <c r="F12" s="100"/>
      <c r="G12" s="101"/>
      <c r="H12" s="101"/>
      <c r="I12" s="101"/>
      <c r="J12" s="101"/>
    </row>
    <row r="13" spans="1:15" ht="15.75" thickBot="1" x14ac:dyDescent="0.3">
      <c r="A13" s="367" t="s">
        <v>109</v>
      </c>
      <c r="B13" s="368"/>
      <c r="C13" s="368"/>
      <c r="D13" s="369"/>
      <c r="F13" s="142"/>
      <c r="G13" s="143"/>
      <c r="H13" s="143"/>
      <c r="I13" s="143"/>
      <c r="J13" s="143"/>
      <c r="K13" s="142"/>
      <c r="L13" s="143"/>
      <c r="M13" s="143"/>
      <c r="N13" s="43"/>
    </row>
    <row r="14" spans="1:15" x14ac:dyDescent="0.25">
      <c r="A14" s="102"/>
      <c r="B14" s="97"/>
      <c r="C14" s="98"/>
      <c r="D14" s="98"/>
      <c r="F14" s="144"/>
      <c r="G14" s="144"/>
      <c r="H14" s="142"/>
      <c r="I14" s="142"/>
      <c r="J14" s="142"/>
      <c r="K14" s="142"/>
      <c r="L14" s="142"/>
      <c r="M14" s="43"/>
      <c r="N14" s="43"/>
    </row>
    <row r="15" spans="1:15" x14ac:dyDescent="0.25">
      <c r="A15" s="105"/>
      <c r="B15" s="146"/>
      <c r="C15" s="146"/>
      <c r="D15" s="107"/>
      <c r="F15" s="142"/>
      <c r="G15" s="142"/>
      <c r="H15" s="142"/>
      <c r="I15" s="142"/>
      <c r="J15" s="142"/>
      <c r="K15" s="143"/>
      <c r="L15" s="143"/>
      <c r="M15" s="143"/>
      <c r="N15" s="143"/>
    </row>
    <row r="16" spans="1:15" x14ac:dyDescent="0.25">
      <c r="A16" s="105"/>
      <c r="B16" s="106"/>
      <c r="C16" s="106"/>
      <c r="D16" s="107"/>
      <c r="F16" s="142"/>
      <c r="G16" s="363"/>
      <c r="H16" s="363"/>
      <c r="I16" s="142"/>
      <c r="J16" s="142"/>
      <c r="K16" s="142"/>
      <c r="L16" s="143"/>
      <c r="M16" s="143"/>
      <c r="N16" s="143"/>
      <c r="O16" s="100"/>
    </row>
    <row r="17" spans="1:15" x14ac:dyDescent="0.25">
      <c r="A17" s="105"/>
      <c r="B17" s="106"/>
      <c r="C17" s="106"/>
      <c r="D17" s="107"/>
      <c r="F17" s="142"/>
      <c r="G17" s="363"/>
      <c r="H17" s="363"/>
      <c r="I17" s="142"/>
      <c r="J17" s="143"/>
      <c r="K17" s="143"/>
      <c r="L17" s="143"/>
      <c r="M17" s="143"/>
      <c r="N17" s="143"/>
      <c r="O17" s="101"/>
    </row>
    <row r="18" spans="1:15" x14ac:dyDescent="0.25">
      <c r="A18" s="105"/>
      <c r="B18" s="106"/>
      <c r="C18" s="106"/>
      <c r="D18" s="107"/>
      <c r="F18" s="142"/>
      <c r="G18" s="363"/>
      <c r="H18" s="363"/>
      <c r="I18" s="143"/>
      <c r="J18" s="143"/>
      <c r="K18" s="43"/>
      <c r="L18" s="43"/>
      <c r="M18" s="43"/>
      <c r="N18" s="43"/>
    </row>
    <row r="19" spans="1:15" x14ac:dyDescent="0.25">
      <c r="A19" s="105"/>
      <c r="B19" s="111"/>
      <c r="C19" s="111"/>
      <c r="D19" s="107"/>
      <c r="F19" s="142"/>
      <c r="G19" s="363"/>
      <c r="H19" s="363"/>
      <c r="I19" s="143"/>
      <c r="J19" s="143"/>
      <c r="K19" s="43"/>
      <c r="L19" s="43"/>
      <c r="M19" s="43"/>
      <c r="N19" s="43"/>
    </row>
    <row r="20" spans="1:15" x14ac:dyDescent="0.25">
      <c r="A20" s="105"/>
      <c r="B20" s="106"/>
      <c r="C20" s="106"/>
      <c r="D20" s="107"/>
      <c r="F20" s="142"/>
      <c r="G20" s="363"/>
      <c r="H20" s="363"/>
      <c r="I20" s="143"/>
      <c r="J20" s="143"/>
      <c r="K20" s="43"/>
      <c r="L20" s="43"/>
      <c r="M20" s="43"/>
      <c r="N20" s="43"/>
    </row>
    <row r="21" spans="1:15" x14ac:dyDescent="0.25">
      <c r="A21" s="105"/>
      <c r="B21" s="106"/>
      <c r="C21" s="106"/>
      <c r="D21" s="107"/>
      <c r="F21" s="142"/>
      <c r="G21" s="363"/>
      <c r="H21" s="363"/>
      <c r="I21" s="142"/>
      <c r="J21" s="43"/>
      <c r="K21" s="43"/>
      <c r="L21" s="43"/>
      <c r="M21" s="43"/>
      <c r="N21" s="43"/>
    </row>
    <row r="22" spans="1:15" x14ac:dyDescent="0.25">
      <c r="A22" s="105"/>
      <c r="B22" s="106"/>
      <c r="C22" s="106"/>
      <c r="D22" s="107"/>
      <c r="F22" s="142"/>
      <c r="G22" s="143"/>
      <c r="H22" s="143"/>
      <c r="I22" s="143"/>
      <c r="J22" s="143"/>
      <c r="K22" s="142"/>
      <c r="L22" s="144"/>
      <c r="M22" s="142"/>
      <c r="N22" s="43"/>
    </row>
    <row r="23" spans="1:15" ht="15.75" thickBot="1" x14ac:dyDescent="0.3">
      <c r="A23" s="108"/>
      <c r="B23" s="370"/>
      <c r="C23" s="371"/>
      <c r="D23" s="372"/>
      <c r="F23" s="145"/>
      <c r="G23" s="143"/>
      <c r="H23" s="143"/>
      <c r="I23" s="143"/>
      <c r="J23" s="43"/>
      <c r="K23" s="43"/>
      <c r="L23" s="43"/>
      <c r="M23" s="43"/>
      <c r="N23" s="43"/>
    </row>
    <row r="24" spans="1:15" ht="15.75" thickBot="1" x14ac:dyDescent="0.3">
      <c r="A24" s="367"/>
      <c r="B24" s="368"/>
      <c r="C24" s="368"/>
      <c r="D24" s="369"/>
      <c r="F24" s="143"/>
      <c r="G24" s="143"/>
      <c r="H24" s="143"/>
      <c r="I24" s="142"/>
      <c r="J24" s="144"/>
      <c r="K24" s="142"/>
      <c r="L24" s="143"/>
      <c r="M24" s="143"/>
      <c r="N24" s="43"/>
    </row>
    <row r="25" spans="1:15" x14ac:dyDescent="0.25">
      <c r="A25" s="102"/>
      <c r="B25" s="97"/>
      <c r="C25" s="98"/>
      <c r="D25" s="98"/>
      <c r="F25" s="142"/>
      <c r="G25" s="100"/>
      <c r="H25" s="100"/>
      <c r="I25" s="103"/>
      <c r="J25" s="100"/>
      <c r="K25" s="101"/>
      <c r="L25" s="101"/>
      <c r="M25" s="101"/>
    </row>
    <row r="26" spans="1:15" x14ac:dyDescent="0.25">
      <c r="A26" s="105"/>
      <c r="B26" s="30"/>
      <c r="C26" s="30"/>
      <c r="D26" s="107"/>
      <c r="F26" s="147"/>
      <c r="G26" s="103"/>
      <c r="H26" s="103"/>
      <c r="I26" s="100"/>
      <c r="J26" s="101"/>
      <c r="K26" s="101"/>
      <c r="L26" s="101"/>
      <c r="M26" s="101"/>
    </row>
    <row r="27" spans="1:15" x14ac:dyDescent="0.25">
      <c r="A27" s="105"/>
      <c r="B27" s="130"/>
      <c r="C27" s="130"/>
      <c r="D27" s="107"/>
      <c r="F27" s="147"/>
      <c r="G27" s="100"/>
      <c r="H27" s="100"/>
      <c r="I27" s="100"/>
      <c r="J27" s="100"/>
      <c r="K27" s="100"/>
      <c r="L27" s="100"/>
    </row>
    <row r="28" spans="1:15" x14ac:dyDescent="0.25">
      <c r="A28" s="105"/>
      <c r="B28" s="109"/>
      <c r="C28" s="109"/>
      <c r="D28" s="107"/>
      <c r="F28" s="147"/>
      <c r="G28" s="101"/>
      <c r="H28" s="101"/>
      <c r="I28" s="101"/>
      <c r="J28" s="101"/>
      <c r="K28" s="101"/>
      <c r="L28" s="101"/>
      <c r="M28" s="101"/>
    </row>
    <row r="29" spans="1:15" x14ac:dyDescent="0.25">
      <c r="A29" s="105"/>
      <c r="B29" s="109"/>
      <c r="C29" s="109"/>
      <c r="D29" s="107"/>
      <c r="F29" s="147"/>
      <c r="G29" s="101"/>
      <c r="I29" s="110"/>
    </row>
    <row r="30" spans="1:15" x14ac:dyDescent="0.25">
      <c r="A30" s="105"/>
      <c r="B30" s="111"/>
      <c r="C30" s="111"/>
      <c r="D30" s="107"/>
      <c r="F30" s="147"/>
      <c r="G30" s="101"/>
      <c r="I30" s="100"/>
    </row>
    <row r="31" spans="1:15" x14ac:dyDescent="0.25">
      <c r="A31" s="105"/>
      <c r="B31" s="130"/>
      <c r="C31" s="130"/>
      <c r="D31" s="107"/>
      <c r="F31" s="147"/>
      <c r="G31" s="101"/>
      <c r="I31" s="100"/>
    </row>
    <row r="32" spans="1:15" x14ac:dyDescent="0.25">
      <c r="A32" s="105"/>
      <c r="B32" s="109"/>
      <c r="C32" s="109"/>
      <c r="D32" s="107"/>
      <c r="F32" s="142"/>
      <c r="G32" s="101"/>
      <c r="I32" s="100"/>
    </row>
    <row r="33" spans="1:9" x14ac:dyDescent="0.25">
      <c r="A33" s="112"/>
      <c r="B33" s="109"/>
      <c r="C33" s="109"/>
      <c r="D33" s="113"/>
      <c r="F33" s="110"/>
      <c r="G33" s="101"/>
      <c r="I33" s="100"/>
    </row>
    <row r="34" spans="1:9" ht="15.75" thickBot="1" x14ac:dyDescent="0.3">
      <c r="A34" s="106"/>
      <c r="B34" s="370"/>
      <c r="C34" s="371"/>
      <c r="D34" s="372"/>
      <c r="F34" s="100"/>
      <c r="I34" s="110"/>
    </row>
    <row r="35" spans="1:9" x14ac:dyDescent="0.25">
      <c r="F35" s="100"/>
      <c r="I35" s="100"/>
    </row>
    <row r="36" spans="1:9" x14ac:dyDescent="0.25">
      <c r="F36" s="100"/>
      <c r="I36" s="100"/>
    </row>
    <row r="37" spans="1:9" x14ac:dyDescent="0.25">
      <c r="F37" s="58"/>
      <c r="I37" s="58"/>
    </row>
    <row r="38" spans="1:9" x14ac:dyDescent="0.25">
      <c r="F38" s="100"/>
      <c r="I38" s="100"/>
    </row>
    <row r="39" spans="1:9" x14ac:dyDescent="0.25">
      <c r="F39" s="100"/>
      <c r="I39" s="100"/>
    </row>
    <row r="40" spans="1:9" x14ac:dyDescent="0.25">
      <c r="F40" s="100"/>
      <c r="I40" s="110"/>
    </row>
    <row r="41" spans="1:9" x14ac:dyDescent="0.25">
      <c r="F41" s="100"/>
      <c r="I41" s="100"/>
    </row>
    <row r="42" spans="1:9" x14ac:dyDescent="0.25">
      <c r="F42" s="58"/>
      <c r="I42" s="100"/>
    </row>
    <row r="43" spans="1:9" x14ac:dyDescent="0.25">
      <c r="F43" s="58"/>
      <c r="I43" s="100"/>
    </row>
    <row r="44" spans="1:9" x14ac:dyDescent="0.25">
      <c r="F44" s="58"/>
      <c r="I44" s="100"/>
    </row>
    <row r="45" spans="1:9" x14ac:dyDescent="0.25">
      <c r="F45" s="110"/>
    </row>
    <row r="46" spans="1:9" x14ac:dyDescent="0.25">
      <c r="F46" s="100"/>
    </row>
    <row r="47" spans="1:9" x14ac:dyDescent="0.25">
      <c r="F47" s="100"/>
    </row>
    <row r="48" spans="1:9" x14ac:dyDescent="0.25">
      <c r="F48" s="100"/>
    </row>
    <row r="49" spans="6:6" x14ac:dyDescent="0.25">
      <c r="F49" s="100"/>
    </row>
    <row r="50" spans="6:6" x14ac:dyDescent="0.25">
      <c r="F50" s="100"/>
    </row>
    <row r="51" spans="6:6" x14ac:dyDescent="0.25">
      <c r="F51" s="100"/>
    </row>
    <row r="52" spans="6:6" x14ac:dyDescent="0.25">
      <c r="F52" s="110"/>
    </row>
    <row r="53" spans="6:6" x14ac:dyDescent="0.25">
      <c r="F53" s="100"/>
    </row>
    <row r="54" spans="6:6" x14ac:dyDescent="0.25">
      <c r="F54" s="100"/>
    </row>
    <row r="55" spans="6:6" x14ac:dyDescent="0.25">
      <c r="F55" s="100"/>
    </row>
    <row r="56" spans="6:6" x14ac:dyDescent="0.25">
      <c r="F56" s="58"/>
    </row>
    <row r="57" spans="6:6" x14ac:dyDescent="0.25">
      <c r="F57" s="100"/>
    </row>
    <row r="58" spans="6:6" x14ac:dyDescent="0.25">
      <c r="F58" s="100"/>
    </row>
    <row r="59" spans="6:6" x14ac:dyDescent="0.25">
      <c r="F59" s="100"/>
    </row>
    <row r="60" spans="6:6" x14ac:dyDescent="0.25">
      <c r="F60" s="100"/>
    </row>
    <row r="61" spans="6:6" x14ac:dyDescent="0.25">
      <c r="F61" s="58"/>
    </row>
    <row r="62" spans="6:6" x14ac:dyDescent="0.25">
      <c r="F62" s="58"/>
    </row>
    <row r="63" spans="6:6" x14ac:dyDescent="0.25">
      <c r="F63" s="58"/>
    </row>
    <row r="64" spans="6:6" x14ac:dyDescent="0.25">
      <c r="F64" s="110"/>
    </row>
    <row r="65" spans="6:6" x14ac:dyDescent="0.25">
      <c r="F65" s="100"/>
    </row>
    <row r="66" spans="6:6" x14ac:dyDescent="0.25">
      <c r="F66" s="100"/>
    </row>
    <row r="67" spans="6:6" x14ac:dyDescent="0.25">
      <c r="F67" s="100"/>
    </row>
    <row r="68" spans="6:6" x14ac:dyDescent="0.25">
      <c r="F68" s="100"/>
    </row>
    <row r="69" spans="6:6" x14ac:dyDescent="0.25">
      <c r="F69" s="100"/>
    </row>
    <row r="70" spans="6:6" x14ac:dyDescent="0.25">
      <c r="F70" s="100"/>
    </row>
    <row r="71" spans="6:6" x14ac:dyDescent="0.25">
      <c r="F71" s="58"/>
    </row>
    <row r="73" spans="6:6" x14ac:dyDescent="0.25">
      <c r="F73" s="58"/>
    </row>
    <row r="74" spans="6:6" x14ac:dyDescent="0.25">
      <c r="F74" s="58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42B04C-EE9D-4221-8CC5-D468AC333B81}"/>
</file>

<file path=customXml/itemProps2.xml><?xml version="1.0" encoding="utf-8"?>
<ds:datastoreItem xmlns:ds="http://schemas.openxmlformats.org/officeDocument/2006/customXml" ds:itemID="{375D3DF0-9E23-4217-9E97-82BCE00597F6}"/>
</file>

<file path=customXml/itemProps3.xml><?xml version="1.0" encoding="utf-8"?>
<ds:datastoreItem xmlns:ds="http://schemas.openxmlformats.org/officeDocument/2006/customXml" ds:itemID="{09DF4F8A-3941-4394-92A2-4CDC874448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2025-01-06T17:11:36Z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