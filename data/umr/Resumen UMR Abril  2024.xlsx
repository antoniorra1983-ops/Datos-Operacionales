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0" yWindow="0" windowWidth="51600" windowHeight="18525" tabRatio="491" activeTab="1"/>
  </bookViews>
  <sheets>
    <sheet name="Odometro-Kilometraje" sheetId="1" r:id="rId1"/>
    <sheet name="KM-Servicio" sheetId="2" r:id="rId2"/>
    <sheet name="Oferta Diaria" sheetId="4" r:id="rId3"/>
    <sheet name="Data Ocupacion" sheetId="3" r:id="rId4"/>
    <sheet name="UMR Resumen" sheetId="13" r:id="rId5"/>
    <sheet name="RESUMEN" sheetId="11" state="hidden" r:id="rId6"/>
  </sheets>
  <calcPr calcId="152511"/>
</workbook>
</file>

<file path=xl/calcChain.xml><?xml version="1.0" encoding="utf-8"?>
<calcChain xmlns="http://schemas.openxmlformats.org/spreadsheetml/2006/main">
  <c r="AH25" i="4" l="1"/>
  <c r="AH29" i="4"/>
  <c r="O225" i="2"/>
  <c r="S225" i="2"/>
  <c r="M11" i="2" l="1"/>
  <c r="B226" i="2" l="1"/>
  <c r="V33" i="2"/>
  <c r="K32" i="13" l="1"/>
  <c r="H32" i="13"/>
  <c r="D32" i="13"/>
  <c r="AF27" i="4"/>
  <c r="AF26" i="4"/>
  <c r="AF25" i="4"/>
  <c r="AF23" i="4"/>
  <c r="AF22" i="4"/>
  <c r="AF18" i="4"/>
  <c r="AF17" i="4"/>
  <c r="AF16" i="4"/>
  <c r="AF15" i="4"/>
  <c r="AF14" i="4"/>
  <c r="AF12" i="4"/>
  <c r="AF11" i="4"/>
  <c r="AF10" i="4"/>
  <c r="AF9" i="4"/>
  <c r="AF8" i="4"/>
  <c r="AF7" i="4"/>
  <c r="AF6" i="4"/>
  <c r="AF5" i="4"/>
  <c r="AB36" i="4" l="1"/>
  <c r="AC36" i="4"/>
  <c r="AD36" i="4"/>
  <c r="AF36" i="4"/>
  <c r="Z36" i="4"/>
  <c r="AA36" i="4"/>
  <c r="V194" i="2" l="1"/>
  <c r="V187" i="2"/>
  <c r="V180" i="2" l="1"/>
  <c r="V166" i="2" l="1"/>
  <c r="U36" i="4" l="1"/>
  <c r="V36" i="4"/>
  <c r="W36" i="4"/>
  <c r="X36" i="4"/>
  <c r="V159" i="2"/>
  <c r="V152" i="2"/>
  <c r="V131" i="2"/>
  <c r="C53" i="2" l="1"/>
  <c r="B53" i="2"/>
  <c r="C46" i="2"/>
  <c r="B46" i="2"/>
  <c r="C81" i="2"/>
  <c r="B81" i="2"/>
  <c r="C74" i="2"/>
  <c r="B74" i="2"/>
  <c r="C67" i="2"/>
  <c r="B67" i="2"/>
  <c r="C60" i="2"/>
  <c r="B60" i="2"/>
  <c r="C200" i="2" l="1"/>
  <c r="B200" i="2"/>
  <c r="C193" i="2"/>
  <c r="B193" i="2"/>
  <c r="C144" i="2" l="1"/>
  <c r="B144" i="2"/>
  <c r="C137" i="2"/>
  <c r="B137" i="2"/>
  <c r="C130" i="2"/>
  <c r="B130" i="2"/>
  <c r="C18" i="2" l="1"/>
  <c r="B18" i="2"/>
  <c r="D22" i="4"/>
  <c r="D23" i="4"/>
  <c r="D11" i="4"/>
  <c r="D12" i="4"/>
  <c r="AE79" i="1" l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BJ58" i="3"/>
  <c r="BJ57" i="3"/>
  <c r="BJ56" i="3"/>
  <c r="BJ55" i="3"/>
  <c r="BJ54" i="3"/>
  <c r="BJ53" i="3"/>
  <c r="BJ48" i="3"/>
  <c r="BJ47" i="3"/>
  <c r="BJ46" i="3"/>
  <c r="BJ45" i="3"/>
  <c r="BJ44" i="3"/>
  <c r="BJ43" i="3"/>
  <c r="BK37" i="3"/>
  <c r="E213" i="2" s="1"/>
  <c r="BJ37" i="3"/>
  <c r="D213" i="2" s="1"/>
  <c r="BK36" i="3"/>
  <c r="E212" i="2" s="1"/>
  <c r="BJ36" i="3"/>
  <c r="D212" i="2" s="1"/>
  <c r="BK35" i="3"/>
  <c r="E211" i="2" s="1"/>
  <c r="BJ35" i="3"/>
  <c r="D211" i="2" s="1"/>
  <c r="BK34" i="3"/>
  <c r="E210" i="2" s="1"/>
  <c r="BJ34" i="3"/>
  <c r="D210" i="2" s="1"/>
  <c r="BK33" i="3"/>
  <c r="E209" i="2" s="1"/>
  <c r="BJ33" i="3"/>
  <c r="D209" i="2" s="1"/>
  <c r="BK32" i="3"/>
  <c r="E208" i="2" s="1"/>
  <c r="BJ32" i="3"/>
  <c r="D208" i="2" s="1"/>
  <c r="BK25" i="3"/>
  <c r="BJ25" i="3"/>
  <c r="AE81" i="1" l="1"/>
  <c r="BK40" i="3"/>
  <c r="BJ40" i="3"/>
  <c r="AF34" i="4"/>
  <c r="AF35" i="4"/>
  <c r="AF40" i="4" s="1"/>
  <c r="C23" i="4" l="1"/>
  <c r="C22" i="4"/>
  <c r="D58" i="3"/>
  <c r="D57" i="3"/>
  <c r="D56" i="3"/>
  <c r="D55" i="3"/>
  <c r="D54" i="3"/>
  <c r="D53" i="3"/>
  <c r="C12" i="4"/>
  <c r="C11" i="4"/>
  <c r="D48" i="3"/>
  <c r="D47" i="3"/>
  <c r="D46" i="3"/>
  <c r="D45" i="3"/>
  <c r="D44" i="3"/>
  <c r="D43" i="3"/>
  <c r="E37" i="3"/>
  <c r="D37" i="3"/>
  <c r="E36" i="3"/>
  <c r="D36" i="3"/>
  <c r="E35" i="3"/>
  <c r="D35" i="3"/>
  <c r="E34" i="3"/>
  <c r="D34" i="3"/>
  <c r="E33" i="3"/>
  <c r="D33" i="3"/>
  <c r="E32" i="3"/>
  <c r="D32" i="3"/>
  <c r="U33" i="3"/>
  <c r="U35" i="3"/>
  <c r="C11" i="2"/>
  <c r="B11" i="2"/>
  <c r="AF37" i="4" l="1"/>
  <c r="D40" i="3"/>
  <c r="E40" i="3"/>
  <c r="BB53" i="3"/>
  <c r="BB54" i="3"/>
  <c r="BB55" i="3"/>
  <c r="BB56" i="3"/>
  <c r="BB57" i="3"/>
  <c r="BB58" i="3"/>
  <c r="AB22" i="4"/>
  <c r="AB23" i="4"/>
  <c r="BB43" i="3"/>
  <c r="BB44" i="3"/>
  <c r="BB45" i="3"/>
  <c r="BB46" i="3"/>
  <c r="BB47" i="3"/>
  <c r="BB48" i="3"/>
  <c r="AB11" i="4"/>
  <c r="AB12" i="4"/>
  <c r="BB32" i="3"/>
  <c r="BC32" i="3"/>
  <c r="BB33" i="3"/>
  <c r="BC33" i="3"/>
  <c r="BB34" i="3"/>
  <c r="BC34" i="3"/>
  <c r="BB35" i="3"/>
  <c r="BC35" i="3"/>
  <c r="BB36" i="3"/>
  <c r="BC36" i="3"/>
  <c r="BB37" i="3"/>
  <c r="BC37" i="3"/>
  <c r="C186" i="2"/>
  <c r="BC40" i="3" l="1"/>
  <c r="BB40" i="3"/>
  <c r="BD32" i="3"/>
  <c r="BE32" i="3"/>
  <c r="BD33" i="3"/>
  <c r="BE33" i="3"/>
  <c r="BD53" i="3"/>
  <c r="BD54" i="3"/>
  <c r="BD55" i="3"/>
  <c r="BD56" i="3"/>
  <c r="BD57" i="3"/>
  <c r="BD58" i="3"/>
  <c r="AC22" i="4"/>
  <c r="AC23" i="4"/>
  <c r="BD43" i="3"/>
  <c r="BD44" i="3"/>
  <c r="BD45" i="3"/>
  <c r="BD46" i="3"/>
  <c r="BD47" i="3"/>
  <c r="BD48" i="3"/>
  <c r="AC11" i="4"/>
  <c r="AC12" i="4"/>
  <c r="BD34" i="3"/>
  <c r="BE34" i="3"/>
  <c r="BD35" i="3"/>
  <c r="BE35" i="3"/>
  <c r="BD36" i="3"/>
  <c r="BE36" i="3"/>
  <c r="BD37" i="3"/>
  <c r="BE37" i="3"/>
  <c r="BD40" i="3" l="1"/>
  <c r="BE40" i="3"/>
  <c r="AD22" i="4"/>
  <c r="AD23" i="4"/>
  <c r="AD11" i="4"/>
  <c r="AD12" i="4"/>
  <c r="AE23" i="4"/>
  <c r="AE22" i="4"/>
  <c r="AE12" i="4"/>
  <c r="AE11" i="4"/>
  <c r="B207" i="2" l="1"/>
  <c r="C207" i="2"/>
  <c r="B186" i="2" l="1"/>
  <c r="AL32" i="3"/>
  <c r="P32" i="3" l="1"/>
  <c r="AJ25" i="3" l="1"/>
  <c r="AJ32" i="3"/>
  <c r="AJ33" i="3"/>
  <c r="AJ34" i="3"/>
  <c r="AJ35" i="3"/>
  <c r="AJ36" i="3"/>
  <c r="AJ37" i="3"/>
  <c r="J72" i="1" l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3" i="1"/>
  <c r="J74" i="1"/>
  <c r="J75" i="1"/>
  <c r="J76" i="1"/>
  <c r="J77" i="1"/>
  <c r="J78" i="1"/>
  <c r="J79" i="1"/>
  <c r="C221" i="2" l="1"/>
  <c r="B221" i="2"/>
  <c r="M221" i="2" l="1"/>
  <c r="D221" i="2" l="1"/>
  <c r="V215" i="2" l="1"/>
  <c r="J215" i="2"/>
  <c r="J217" i="2"/>
  <c r="J219" i="2"/>
  <c r="J218" i="2"/>
  <c r="J216" i="2"/>
  <c r="E221" i="2"/>
  <c r="J220" i="2"/>
  <c r="H221" i="2"/>
  <c r="G221" i="2"/>
  <c r="J221" i="2" l="1"/>
  <c r="K221" i="2"/>
  <c r="I221" i="2"/>
  <c r="L221" i="2"/>
  <c r="H208" i="2" l="1"/>
  <c r="G208" i="2"/>
  <c r="I208" i="2" s="1"/>
  <c r="G209" i="2"/>
  <c r="I209" i="2" s="1"/>
  <c r="K209" i="2" s="1"/>
  <c r="H209" i="2"/>
  <c r="H210" i="2"/>
  <c r="G210" i="2"/>
  <c r="I210" i="2" s="1"/>
  <c r="K210" i="2" s="1"/>
  <c r="H211" i="2"/>
  <c r="G211" i="2"/>
  <c r="I211" i="2" s="1"/>
  <c r="K211" i="2" s="1"/>
  <c r="H212" i="2"/>
  <c r="G212" i="2"/>
  <c r="I212" i="2" s="1"/>
  <c r="K212" i="2" s="1"/>
  <c r="H213" i="2"/>
  <c r="G213" i="2"/>
  <c r="I213" i="2" s="1"/>
  <c r="K213" i="2" s="1"/>
  <c r="K208" i="2" l="1"/>
  <c r="V208" i="2"/>
  <c r="J213" i="2"/>
  <c r="L213" i="2"/>
  <c r="L212" i="2"/>
  <c r="J212" i="2"/>
  <c r="L211" i="2"/>
  <c r="J211" i="2"/>
  <c r="J210" i="2"/>
  <c r="L210" i="2"/>
  <c r="L209" i="2"/>
  <c r="J209" i="2"/>
  <c r="L208" i="2"/>
  <c r="J208" i="2"/>
  <c r="E192" i="2" l="1"/>
  <c r="D192" i="2"/>
  <c r="E191" i="2"/>
  <c r="D191" i="2"/>
  <c r="E190" i="2"/>
  <c r="D190" i="2"/>
  <c r="E189" i="2"/>
  <c r="D189" i="2"/>
  <c r="BF34" i="3"/>
  <c r="D196" i="2" s="1"/>
  <c r="E188" i="2"/>
  <c r="D188" i="2"/>
  <c r="E187" i="2"/>
  <c r="D187" i="2"/>
  <c r="E193" i="2" l="1"/>
  <c r="D193" i="2"/>
  <c r="H192" i="2"/>
  <c r="G192" i="2"/>
  <c r="I192" i="2" s="1"/>
  <c r="H189" i="2"/>
  <c r="G189" i="2"/>
  <c r="I189" i="2" s="1"/>
  <c r="K189" i="2" s="1"/>
  <c r="H188" i="2"/>
  <c r="G188" i="2"/>
  <c r="I188" i="2" s="1"/>
  <c r="V188" i="2" s="1"/>
  <c r="H190" i="2"/>
  <c r="G190" i="2"/>
  <c r="I190" i="2" s="1"/>
  <c r="K190" i="2" s="1"/>
  <c r="H191" i="2"/>
  <c r="G191" i="2"/>
  <c r="I191" i="2" s="1"/>
  <c r="K191" i="2" s="1"/>
  <c r="G187" i="2"/>
  <c r="H187" i="2"/>
  <c r="AB10" i="4"/>
  <c r="AB9" i="4"/>
  <c r="I187" i="2" l="1"/>
  <c r="K187" i="2" s="1"/>
  <c r="G193" i="2"/>
  <c r="H193" i="2"/>
  <c r="K192" i="2"/>
  <c r="V192" i="2"/>
  <c r="K188" i="2"/>
  <c r="L191" i="2"/>
  <c r="J191" i="2"/>
  <c r="L192" i="2"/>
  <c r="J192" i="2"/>
  <c r="J189" i="2"/>
  <c r="L189" i="2"/>
  <c r="J190" i="2"/>
  <c r="L190" i="2"/>
  <c r="J187" i="2"/>
  <c r="L187" i="2"/>
  <c r="L188" i="2"/>
  <c r="J188" i="2"/>
  <c r="AZ58" i="3"/>
  <c r="AZ57" i="3"/>
  <c r="AZ56" i="3"/>
  <c r="AZ55" i="3"/>
  <c r="AZ54" i="3"/>
  <c r="AZ53" i="3"/>
  <c r="AZ48" i="3"/>
  <c r="AA10" i="4" s="1"/>
  <c r="AZ47" i="3"/>
  <c r="AA9" i="4" s="1"/>
  <c r="AZ46" i="3"/>
  <c r="AZ45" i="3"/>
  <c r="AZ44" i="3"/>
  <c r="AZ43" i="3"/>
  <c r="BA37" i="3"/>
  <c r="E178" i="2" s="1"/>
  <c r="AZ37" i="3"/>
  <c r="D178" i="2" s="1"/>
  <c r="BA36" i="3"/>
  <c r="E177" i="2" s="1"/>
  <c r="AZ36" i="3"/>
  <c r="D177" i="2" s="1"/>
  <c r="BA35" i="3"/>
  <c r="E176" i="2" s="1"/>
  <c r="AZ35" i="3"/>
  <c r="D176" i="2" s="1"/>
  <c r="BA34" i="3"/>
  <c r="E175" i="2" s="1"/>
  <c r="AZ34" i="3"/>
  <c r="D175" i="2" s="1"/>
  <c r="BA33" i="3"/>
  <c r="E174" i="2" s="1"/>
  <c r="AZ33" i="3"/>
  <c r="D174" i="2" s="1"/>
  <c r="BA32" i="3"/>
  <c r="E173" i="2" s="1"/>
  <c r="AZ32" i="3"/>
  <c r="D173" i="2" s="1"/>
  <c r="L193" i="2" l="1"/>
  <c r="J193" i="2"/>
  <c r="K193" i="2"/>
  <c r="I193" i="2"/>
  <c r="H173" i="2"/>
  <c r="G173" i="2"/>
  <c r="I173" i="2" s="1"/>
  <c r="V173" i="2" s="1"/>
  <c r="G174" i="2"/>
  <c r="I174" i="2" s="1"/>
  <c r="V174" i="2" s="1"/>
  <c r="H174" i="2"/>
  <c r="H176" i="2"/>
  <c r="G176" i="2"/>
  <c r="I176" i="2" s="1"/>
  <c r="K176" i="2" s="1"/>
  <c r="H175" i="2"/>
  <c r="G175" i="2"/>
  <c r="I175" i="2" s="1"/>
  <c r="K175" i="2" s="1"/>
  <c r="H177" i="2"/>
  <c r="G177" i="2"/>
  <c r="I177" i="2" s="1"/>
  <c r="K177" i="2" s="1"/>
  <c r="H178" i="2"/>
  <c r="G178" i="2"/>
  <c r="I178" i="2" s="1"/>
  <c r="K178" i="2" s="1"/>
  <c r="AX58" i="3"/>
  <c r="AX57" i="3"/>
  <c r="AX56" i="3"/>
  <c r="AX55" i="3"/>
  <c r="AX54" i="3"/>
  <c r="AX53" i="3"/>
  <c r="AX48" i="3"/>
  <c r="AX47" i="3"/>
  <c r="AX46" i="3"/>
  <c r="AX45" i="3"/>
  <c r="AX44" i="3"/>
  <c r="AX43" i="3"/>
  <c r="AY37" i="3"/>
  <c r="E171" i="2" s="1"/>
  <c r="AX37" i="3"/>
  <c r="D171" i="2" s="1"/>
  <c r="AY36" i="3"/>
  <c r="E170" i="2" s="1"/>
  <c r="AX36" i="3"/>
  <c r="D170" i="2" s="1"/>
  <c r="AY35" i="3"/>
  <c r="E169" i="2" s="1"/>
  <c r="AX35" i="3"/>
  <c r="D169" i="2" s="1"/>
  <c r="AY34" i="3"/>
  <c r="E168" i="2" s="1"/>
  <c r="AX34" i="3"/>
  <c r="D168" i="2" s="1"/>
  <c r="AY33" i="3"/>
  <c r="E167" i="2" s="1"/>
  <c r="AX33" i="3"/>
  <c r="D167" i="2" s="1"/>
  <c r="AY32" i="3"/>
  <c r="E166" i="2" s="1"/>
  <c r="AX32" i="3"/>
  <c r="D166" i="2" s="1"/>
  <c r="K173" i="2" l="1"/>
  <c r="K174" i="2"/>
  <c r="L176" i="2"/>
  <c r="J176" i="2"/>
  <c r="L174" i="2"/>
  <c r="J174" i="2"/>
  <c r="J177" i="2"/>
  <c r="L177" i="2"/>
  <c r="J178" i="2"/>
  <c r="L178" i="2"/>
  <c r="J175" i="2"/>
  <c r="L175" i="2"/>
  <c r="L173" i="2"/>
  <c r="J173" i="2"/>
  <c r="G168" i="2"/>
  <c r="I168" i="2" s="1"/>
  <c r="K168" i="2" s="1"/>
  <c r="H168" i="2"/>
  <c r="H169" i="2"/>
  <c r="G169" i="2"/>
  <c r="I169" i="2" s="1"/>
  <c r="K169" i="2" s="1"/>
  <c r="H167" i="2"/>
  <c r="G167" i="2"/>
  <c r="I167" i="2" s="1"/>
  <c r="K167" i="2" s="1"/>
  <c r="H170" i="2"/>
  <c r="G170" i="2"/>
  <c r="I170" i="2" s="1"/>
  <c r="K170" i="2" s="1"/>
  <c r="H166" i="2"/>
  <c r="G166" i="2"/>
  <c r="I166" i="2" s="1"/>
  <c r="H171" i="2"/>
  <c r="G171" i="2"/>
  <c r="I171" i="2" s="1"/>
  <c r="K171" i="2" s="1"/>
  <c r="AN58" i="3"/>
  <c r="AN57" i="3"/>
  <c r="AN56" i="3"/>
  <c r="AN55" i="3"/>
  <c r="AN54" i="3"/>
  <c r="AN53" i="3"/>
  <c r="AN48" i="3"/>
  <c r="U10" i="4" s="1"/>
  <c r="AN47" i="3"/>
  <c r="U9" i="4" s="1"/>
  <c r="AN46" i="3"/>
  <c r="AN45" i="3"/>
  <c r="AN44" i="3"/>
  <c r="AN43" i="3"/>
  <c r="AO37" i="3"/>
  <c r="AN37" i="3"/>
  <c r="AO36" i="3"/>
  <c r="AN36" i="3"/>
  <c r="AO35" i="3"/>
  <c r="AN35" i="3"/>
  <c r="AO34" i="3"/>
  <c r="AN34" i="3"/>
  <c r="AO33" i="3"/>
  <c r="AN33" i="3"/>
  <c r="AO32" i="3"/>
  <c r="AN32" i="3"/>
  <c r="K166" i="2" l="1"/>
  <c r="L167" i="2"/>
  <c r="J167" i="2"/>
  <c r="J171" i="2"/>
  <c r="L171" i="2"/>
  <c r="L166" i="2"/>
  <c r="J166" i="2"/>
  <c r="L169" i="2"/>
  <c r="J169" i="2"/>
  <c r="J170" i="2"/>
  <c r="L170" i="2"/>
  <c r="J168" i="2"/>
  <c r="L168" i="2"/>
  <c r="AL58" i="3"/>
  <c r="AL57" i="3"/>
  <c r="AL56" i="3"/>
  <c r="AL55" i="3"/>
  <c r="AL54" i="3"/>
  <c r="AL53" i="3"/>
  <c r="AL48" i="3"/>
  <c r="T10" i="4" s="1"/>
  <c r="AL47" i="3"/>
  <c r="T9" i="4" s="1"/>
  <c r="AL46" i="3"/>
  <c r="AL45" i="3"/>
  <c r="AL44" i="3"/>
  <c r="AL43" i="3"/>
  <c r="AM37" i="3"/>
  <c r="AL37" i="3"/>
  <c r="AM36" i="3"/>
  <c r="AL36" i="3"/>
  <c r="AM35" i="3"/>
  <c r="AL35" i="3"/>
  <c r="AM34" i="3"/>
  <c r="AL34" i="3"/>
  <c r="AM33" i="3"/>
  <c r="AL33" i="3"/>
  <c r="AM32" i="3"/>
  <c r="AF58" i="3" l="1"/>
  <c r="AF57" i="3"/>
  <c r="AF56" i="3"/>
  <c r="AF55" i="3"/>
  <c r="AF54" i="3"/>
  <c r="AF53" i="3"/>
  <c r="AF48" i="3"/>
  <c r="AF47" i="3"/>
  <c r="AF46" i="3"/>
  <c r="AF45" i="3"/>
  <c r="AF44" i="3"/>
  <c r="AF43" i="3"/>
  <c r="AG37" i="3"/>
  <c r="AF37" i="3"/>
  <c r="AG36" i="3"/>
  <c r="AF36" i="3"/>
  <c r="AG35" i="3"/>
  <c r="AF35" i="3"/>
  <c r="AG34" i="3"/>
  <c r="AF34" i="3"/>
  <c r="AG33" i="3"/>
  <c r="AF33" i="3"/>
  <c r="AG32" i="3"/>
  <c r="AF32" i="3"/>
  <c r="E103" i="2" l="1"/>
  <c r="AD58" i="3"/>
  <c r="AD57" i="3"/>
  <c r="AD56" i="3"/>
  <c r="AD55" i="3"/>
  <c r="AD54" i="3"/>
  <c r="AD53" i="3"/>
  <c r="AD48" i="3"/>
  <c r="AD47" i="3"/>
  <c r="AD46" i="3"/>
  <c r="AD45" i="3"/>
  <c r="AD44" i="3"/>
  <c r="AD43" i="3"/>
  <c r="AE37" i="3"/>
  <c r="E101" i="2" s="1"/>
  <c r="AD37" i="3"/>
  <c r="D101" i="2" s="1"/>
  <c r="AE36" i="3"/>
  <c r="E100" i="2" s="1"/>
  <c r="AD36" i="3"/>
  <c r="D100" i="2" s="1"/>
  <c r="AE35" i="3"/>
  <c r="E99" i="2" s="1"/>
  <c r="AD35" i="3"/>
  <c r="D99" i="2" s="1"/>
  <c r="AE34" i="3"/>
  <c r="E98" i="2" s="1"/>
  <c r="AD34" i="3"/>
  <c r="D98" i="2" s="1"/>
  <c r="AE33" i="3"/>
  <c r="E97" i="2" s="1"/>
  <c r="AD33" i="3"/>
  <c r="D97" i="2" s="1"/>
  <c r="AE32" i="3"/>
  <c r="E96" i="2" s="1"/>
  <c r="AD32" i="3"/>
  <c r="D96" i="2" s="1"/>
  <c r="H97" i="2" l="1"/>
  <c r="G97" i="2"/>
  <c r="I97" i="2" s="1"/>
  <c r="K97" i="2" s="1"/>
  <c r="H96" i="2"/>
  <c r="G96" i="2"/>
  <c r="I96" i="2" s="1"/>
  <c r="G98" i="2"/>
  <c r="I98" i="2" s="1"/>
  <c r="K98" i="2" s="1"/>
  <c r="H98" i="2"/>
  <c r="H99" i="2"/>
  <c r="G99" i="2"/>
  <c r="I99" i="2" s="1"/>
  <c r="K99" i="2" s="1"/>
  <c r="G100" i="2"/>
  <c r="I100" i="2" s="1"/>
  <c r="K100" i="2" s="1"/>
  <c r="H100" i="2"/>
  <c r="H101" i="2"/>
  <c r="G101" i="2"/>
  <c r="I101" i="2" s="1"/>
  <c r="K101" i="2" s="1"/>
  <c r="C88" i="2"/>
  <c r="B88" i="2"/>
  <c r="K96" i="2" l="1"/>
  <c r="V96" i="2"/>
  <c r="L97" i="2"/>
  <c r="J97" i="2"/>
  <c r="L100" i="2"/>
  <c r="J100" i="2"/>
  <c r="L98" i="2"/>
  <c r="J98" i="2"/>
  <c r="J96" i="2"/>
  <c r="L96" i="2"/>
  <c r="L101" i="2"/>
  <c r="J101" i="2"/>
  <c r="L99" i="2"/>
  <c r="J99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217" i="2" l="1"/>
  <c r="V216" i="2"/>
  <c r="V220" i="2"/>
  <c r="V218" i="2"/>
  <c r="V219" i="2" l="1"/>
  <c r="C123" i="2" l="1"/>
  <c r="B123" i="2"/>
  <c r="C109" i="2" l="1"/>
  <c r="B109" i="2"/>
  <c r="O25" i="3" l="1"/>
  <c r="N25" i="3"/>
  <c r="M25" i="3"/>
  <c r="L25" i="3"/>
  <c r="C39" i="2"/>
  <c r="B39" i="2"/>
  <c r="C25" i="2"/>
  <c r="B25" i="2"/>
  <c r="V45" i="1" l="1"/>
  <c r="C214" i="2" l="1"/>
  <c r="B214" i="2"/>
  <c r="G32" i="13" s="1"/>
  <c r="AQ25" i="3" l="1"/>
  <c r="AP25" i="3"/>
  <c r="C32" i="2" l="1"/>
  <c r="B32" i="2"/>
  <c r="AT53" i="3" l="1"/>
  <c r="AT54" i="3"/>
  <c r="AT43" i="3"/>
  <c r="AT44" i="3"/>
  <c r="J34" i="13"/>
  <c r="I34" i="13"/>
  <c r="B230" i="2" l="1"/>
  <c r="B229" i="2"/>
  <c r="B228" i="2"/>
  <c r="B227" i="2"/>
  <c r="B225" i="2"/>
  <c r="U225" i="2" l="1"/>
  <c r="T225" i="2"/>
  <c r="P225" i="2"/>
  <c r="AT32" i="3" l="1"/>
  <c r="D152" i="2" s="1"/>
  <c r="AT33" i="3"/>
  <c r="D153" i="2" s="1"/>
  <c r="C229" i="2" l="1"/>
  <c r="C226" i="2" l="1"/>
  <c r="C227" i="2"/>
  <c r="F227" i="2" s="1"/>
  <c r="C228" i="2"/>
  <c r="F228" i="2" s="1"/>
  <c r="C230" i="2"/>
  <c r="C158" i="2" l="1"/>
  <c r="B158" i="2"/>
  <c r="R225" i="2" l="1"/>
  <c r="Q225" i="2"/>
  <c r="C225" i="2" l="1"/>
  <c r="C232" i="2" s="1"/>
  <c r="B232" i="2"/>
  <c r="B102" i="2" l="1"/>
  <c r="C102" i="2"/>
  <c r="AE27" i="4" l="1"/>
  <c r="AE26" i="4"/>
  <c r="AE25" i="4"/>
  <c r="AE36" i="4" s="1"/>
  <c r="Z25" i="4"/>
  <c r="Z27" i="4"/>
  <c r="Z26" i="4"/>
  <c r="BI25" i="3" l="1"/>
  <c r="BH25" i="3"/>
  <c r="AD81" i="1" l="1"/>
  <c r="M207" i="2" s="1"/>
  <c r="B31" i="13" s="1"/>
  <c r="M214" i="2"/>
  <c r="B32" i="13" s="1"/>
  <c r="G31" i="13" l="1"/>
  <c r="BH58" i="3"/>
  <c r="AE18" i="4" s="1"/>
  <c r="BH57" i="3"/>
  <c r="BH56" i="3"/>
  <c r="AE17" i="4" s="1"/>
  <c r="BH55" i="3"/>
  <c r="AE16" i="4" s="1"/>
  <c r="BH54" i="3"/>
  <c r="AE15" i="4" s="1"/>
  <c r="BH53" i="3"/>
  <c r="AE14" i="4" s="1"/>
  <c r="BH48" i="3"/>
  <c r="AE10" i="4" s="1"/>
  <c r="BH47" i="3"/>
  <c r="BH46" i="3"/>
  <c r="BH45" i="3"/>
  <c r="AE7" i="4" s="1"/>
  <c r="BH44" i="3"/>
  <c r="AE6" i="4" s="1"/>
  <c r="BH43" i="3"/>
  <c r="AE5" i="4" s="1"/>
  <c r="BI37" i="3"/>
  <c r="E206" i="2" s="1"/>
  <c r="BH37" i="3"/>
  <c r="D206" i="2" s="1"/>
  <c r="BI36" i="3"/>
  <c r="E205" i="2" s="1"/>
  <c r="BH36" i="3"/>
  <c r="D205" i="2" s="1"/>
  <c r="BI35" i="3"/>
  <c r="E204" i="2" s="1"/>
  <c r="BH35" i="3"/>
  <c r="D204" i="2" s="1"/>
  <c r="BI34" i="3"/>
  <c r="E203" i="2" s="1"/>
  <c r="BH34" i="3"/>
  <c r="D203" i="2" s="1"/>
  <c r="BI33" i="3"/>
  <c r="E202" i="2" s="1"/>
  <c r="BH33" i="3"/>
  <c r="D202" i="2" s="1"/>
  <c r="BI32" i="3"/>
  <c r="BH32" i="3"/>
  <c r="E201" i="2" l="1"/>
  <c r="E207" i="2" s="1"/>
  <c r="BI40" i="3"/>
  <c r="AE35" i="4"/>
  <c r="D201" i="2"/>
  <c r="D207" i="2" s="1"/>
  <c r="BH40" i="3"/>
  <c r="H202" i="2"/>
  <c r="G202" i="2"/>
  <c r="I202" i="2" s="1"/>
  <c r="G204" i="2"/>
  <c r="I204" i="2" s="1"/>
  <c r="K204" i="2" s="1"/>
  <c r="H204" i="2"/>
  <c r="G203" i="2"/>
  <c r="I203" i="2" s="1"/>
  <c r="K203" i="2" s="1"/>
  <c r="H203" i="2"/>
  <c r="H205" i="2"/>
  <c r="G205" i="2"/>
  <c r="I205" i="2" s="1"/>
  <c r="K205" i="2" s="1"/>
  <c r="G206" i="2"/>
  <c r="I206" i="2" s="1"/>
  <c r="K206" i="2" s="1"/>
  <c r="H206" i="2"/>
  <c r="AE8" i="4"/>
  <c r="AE9" i="4"/>
  <c r="H201" i="2" l="1"/>
  <c r="H207" i="2" s="1"/>
  <c r="G201" i="2"/>
  <c r="AE37" i="4"/>
  <c r="AE34" i="4"/>
  <c r="I201" i="2"/>
  <c r="V201" i="2" s="1"/>
  <c r="G207" i="2"/>
  <c r="K202" i="2"/>
  <c r="V202" i="2"/>
  <c r="K201" i="2"/>
  <c r="K207" i="2" s="1"/>
  <c r="J206" i="2"/>
  <c r="L206" i="2"/>
  <c r="L205" i="2"/>
  <c r="J205" i="2"/>
  <c r="L203" i="2"/>
  <c r="J203" i="2"/>
  <c r="J202" i="2"/>
  <c r="L202" i="2"/>
  <c r="L204" i="2"/>
  <c r="J204" i="2"/>
  <c r="V210" i="2"/>
  <c r="V212" i="2"/>
  <c r="AE40" i="4"/>
  <c r="H31" i="13"/>
  <c r="V209" i="2"/>
  <c r="V211" i="2"/>
  <c r="J201" i="2" l="1"/>
  <c r="J207" i="2" s="1"/>
  <c r="L201" i="2"/>
  <c r="I207" i="2"/>
  <c r="L207" i="2"/>
  <c r="C179" i="2" l="1"/>
  <c r="B179" i="2"/>
  <c r="C172" i="2"/>
  <c r="B172" i="2"/>
  <c r="C165" i="2" l="1"/>
  <c r="B165" i="2"/>
  <c r="C151" i="2" l="1"/>
  <c r="B151" i="2"/>
  <c r="C116" i="2" l="1"/>
  <c r="B116" i="2"/>
  <c r="AU25" i="3"/>
  <c r="AT25" i="3"/>
  <c r="AS25" i="3"/>
  <c r="AR25" i="3"/>
  <c r="AO25" i="3"/>
  <c r="AN25" i="3"/>
  <c r="AM25" i="3"/>
  <c r="AL25" i="3"/>
  <c r="C95" i="2" l="1"/>
  <c r="B95" i="2"/>
  <c r="AG25" i="3" l="1"/>
  <c r="AF25" i="3"/>
  <c r="AE25" i="3"/>
  <c r="AD25" i="3"/>
  <c r="L76" i="1" l="1"/>
  <c r="L77" i="1"/>
  <c r="L78" i="1"/>
  <c r="L79" i="1"/>
  <c r="K76" i="1" l="1"/>
  <c r="K77" i="1"/>
  <c r="K78" i="1"/>
  <c r="K79" i="1"/>
  <c r="BE25" i="3" l="1"/>
  <c r="BD25" i="3"/>
  <c r="BC25" i="3"/>
  <c r="BB25" i="3"/>
  <c r="BA25" i="3"/>
  <c r="AZ25" i="3"/>
  <c r="AY25" i="3"/>
  <c r="AX25" i="3"/>
  <c r="AK25" i="3"/>
  <c r="AC25" i="3"/>
  <c r="AB25" i="3"/>
  <c r="AA25" i="3"/>
  <c r="Z25" i="3"/>
  <c r="Y25" i="3"/>
  <c r="X25" i="3"/>
  <c r="W25" i="3"/>
  <c r="V25" i="3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AW25" i="3" l="1"/>
  <c r="AV25" i="3"/>
  <c r="AI25" i="3"/>
  <c r="AH25" i="3"/>
  <c r="U25" i="3"/>
  <c r="T25" i="3"/>
  <c r="S25" i="3"/>
  <c r="R25" i="3"/>
  <c r="Q25" i="3"/>
  <c r="P25" i="3"/>
  <c r="K25" i="3"/>
  <c r="J25" i="3"/>
  <c r="I25" i="3"/>
  <c r="H25" i="3"/>
  <c r="G25" i="3"/>
  <c r="F25" i="3"/>
  <c r="E25" i="3"/>
  <c r="D25" i="3"/>
  <c r="G3" i="13" l="1"/>
  <c r="D27" i="4"/>
  <c r="B11" i="11" l="1"/>
  <c r="BG25" i="3" l="1"/>
  <c r="BF25" i="3"/>
  <c r="D26" i="4" l="1"/>
  <c r="R37" i="3" l="1"/>
  <c r="D59" i="2" s="1"/>
  <c r="R36" i="3"/>
  <c r="D58" i="2" s="1"/>
  <c r="R35" i="3"/>
  <c r="D57" i="2" s="1"/>
  <c r="R34" i="3"/>
  <c r="D56" i="2" s="1"/>
  <c r="R33" i="3"/>
  <c r="D55" i="2" s="1"/>
  <c r="R32" i="3"/>
  <c r="D54" i="2" s="1"/>
  <c r="D60" i="2" l="1"/>
  <c r="R40" i="3"/>
  <c r="N28" i="4" l="1"/>
  <c r="G28" i="4" l="1"/>
  <c r="D25" i="4" l="1"/>
  <c r="E28" i="4"/>
  <c r="R60" i="1" l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7" i="4" l="1"/>
  <c r="AC27" i="4"/>
  <c r="AB27" i="4"/>
  <c r="AA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G27" i="4"/>
  <c r="F27" i="4"/>
  <c r="E27" i="4"/>
  <c r="I27" i="4"/>
  <c r="H27" i="4"/>
  <c r="C27" i="4"/>
  <c r="AF38" i="4" l="1"/>
  <c r="AF41" i="4"/>
  <c r="AF39" i="4"/>
  <c r="AE38" i="4"/>
  <c r="AE41" i="4"/>
  <c r="AE39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45" i="1"/>
  <c r="K31" i="13" l="1"/>
  <c r="AD26" i="4"/>
  <c r="AD25" i="4"/>
  <c r="G10" i="13" l="1"/>
  <c r="G11" i="13" l="1"/>
  <c r="C45" i="1" l="1"/>
  <c r="D45" i="1"/>
  <c r="F45" i="1"/>
  <c r="G45" i="1"/>
  <c r="H45" i="1"/>
  <c r="I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K61" i="1"/>
  <c r="L61" i="1"/>
  <c r="M61" i="1"/>
  <c r="N61" i="1"/>
  <c r="O61" i="1"/>
  <c r="P61" i="1"/>
  <c r="C62" i="1"/>
  <c r="D62" i="1"/>
  <c r="F62" i="1"/>
  <c r="G62" i="1"/>
  <c r="H62" i="1"/>
  <c r="I62" i="1"/>
  <c r="K62" i="1"/>
  <c r="L62" i="1"/>
  <c r="M62" i="1"/>
  <c r="N62" i="1"/>
  <c r="O62" i="1"/>
  <c r="P62" i="1"/>
  <c r="C63" i="1"/>
  <c r="D63" i="1"/>
  <c r="F63" i="1"/>
  <c r="G63" i="1"/>
  <c r="H63" i="1"/>
  <c r="I63" i="1"/>
  <c r="K63" i="1"/>
  <c r="L63" i="1"/>
  <c r="M63" i="1"/>
  <c r="N63" i="1"/>
  <c r="O63" i="1"/>
  <c r="P63" i="1"/>
  <c r="C64" i="1"/>
  <c r="D64" i="1"/>
  <c r="F64" i="1"/>
  <c r="G64" i="1"/>
  <c r="H64" i="1"/>
  <c r="I64" i="1"/>
  <c r="K64" i="1"/>
  <c r="L64" i="1"/>
  <c r="M64" i="1"/>
  <c r="N64" i="1"/>
  <c r="O64" i="1"/>
  <c r="P64" i="1"/>
  <c r="C65" i="1"/>
  <c r="D65" i="1"/>
  <c r="F65" i="1"/>
  <c r="G65" i="1"/>
  <c r="H65" i="1"/>
  <c r="I65" i="1"/>
  <c r="K65" i="1"/>
  <c r="L65" i="1"/>
  <c r="M65" i="1"/>
  <c r="N65" i="1"/>
  <c r="O65" i="1"/>
  <c r="P65" i="1"/>
  <c r="C66" i="1"/>
  <c r="D66" i="1"/>
  <c r="F66" i="1"/>
  <c r="G66" i="1"/>
  <c r="H66" i="1"/>
  <c r="I66" i="1"/>
  <c r="K66" i="1"/>
  <c r="L66" i="1"/>
  <c r="M66" i="1"/>
  <c r="N66" i="1"/>
  <c r="O66" i="1"/>
  <c r="P66" i="1"/>
  <c r="C67" i="1"/>
  <c r="D67" i="1"/>
  <c r="F67" i="1"/>
  <c r="G67" i="1"/>
  <c r="H67" i="1"/>
  <c r="I67" i="1"/>
  <c r="K67" i="1"/>
  <c r="L67" i="1"/>
  <c r="M67" i="1"/>
  <c r="N67" i="1"/>
  <c r="O67" i="1"/>
  <c r="P67" i="1"/>
  <c r="C68" i="1"/>
  <c r="D68" i="1"/>
  <c r="F68" i="1"/>
  <c r="G68" i="1"/>
  <c r="H68" i="1"/>
  <c r="I68" i="1"/>
  <c r="K68" i="1"/>
  <c r="L68" i="1"/>
  <c r="M68" i="1"/>
  <c r="N68" i="1"/>
  <c r="O68" i="1"/>
  <c r="P68" i="1"/>
  <c r="C69" i="1"/>
  <c r="D69" i="1"/>
  <c r="F69" i="1"/>
  <c r="G69" i="1"/>
  <c r="H69" i="1"/>
  <c r="I69" i="1"/>
  <c r="K69" i="1"/>
  <c r="L69" i="1"/>
  <c r="M69" i="1"/>
  <c r="N69" i="1"/>
  <c r="O69" i="1"/>
  <c r="P69" i="1"/>
  <c r="C70" i="1"/>
  <c r="D70" i="1"/>
  <c r="F70" i="1"/>
  <c r="G70" i="1"/>
  <c r="H70" i="1"/>
  <c r="I70" i="1"/>
  <c r="K70" i="1"/>
  <c r="L70" i="1"/>
  <c r="M70" i="1"/>
  <c r="N70" i="1"/>
  <c r="O70" i="1"/>
  <c r="P70" i="1"/>
  <c r="C71" i="1"/>
  <c r="D71" i="1"/>
  <c r="F71" i="1"/>
  <c r="G71" i="1"/>
  <c r="H71" i="1"/>
  <c r="I71" i="1"/>
  <c r="K71" i="1"/>
  <c r="L71" i="1"/>
  <c r="M71" i="1"/>
  <c r="N71" i="1"/>
  <c r="O71" i="1"/>
  <c r="P71" i="1"/>
  <c r="C72" i="1"/>
  <c r="D72" i="1"/>
  <c r="F72" i="1"/>
  <c r="G72" i="1"/>
  <c r="H72" i="1"/>
  <c r="I72" i="1"/>
  <c r="K72" i="1"/>
  <c r="L72" i="1"/>
  <c r="M72" i="1"/>
  <c r="N72" i="1"/>
  <c r="O72" i="1"/>
  <c r="P72" i="1"/>
  <c r="C73" i="1"/>
  <c r="D73" i="1"/>
  <c r="F73" i="1"/>
  <c r="G73" i="1"/>
  <c r="H73" i="1"/>
  <c r="I73" i="1"/>
  <c r="K73" i="1"/>
  <c r="L73" i="1"/>
  <c r="M73" i="1"/>
  <c r="N73" i="1"/>
  <c r="O73" i="1"/>
  <c r="P73" i="1"/>
  <c r="C74" i="1"/>
  <c r="D74" i="1"/>
  <c r="F74" i="1"/>
  <c r="G74" i="1"/>
  <c r="H74" i="1"/>
  <c r="I74" i="1"/>
  <c r="K74" i="1"/>
  <c r="L74" i="1"/>
  <c r="M74" i="1"/>
  <c r="N74" i="1"/>
  <c r="O74" i="1"/>
  <c r="P74" i="1"/>
  <c r="C75" i="1"/>
  <c r="D75" i="1"/>
  <c r="F75" i="1"/>
  <c r="G75" i="1"/>
  <c r="H75" i="1"/>
  <c r="I75" i="1"/>
  <c r="K75" i="1"/>
  <c r="L75" i="1"/>
  <c r="M75" i="1"/>
  <c r="N75" i="1"/>
  <c r="O75" i="1"/>
  <c r="P75" i="1"/>
  <c r="C76" i="1"/>
  <c r="D76" i="1"/>
  <c r="F76" i="1"/>
  <c r="G76" i="1"/>
  <c r="H76" i="1"/>
  <c r="I76" i="1"/>
  <c r="M76" i="1"/>
  <c r="N76" i="1"/>
  <c r="O76" i="1"/>
  <c r="P76" i="1"/>
  <c r="C77" i="1"/>
  <c r="D77" i="1"/>
  <c r="F77" i="1"/>
  <c r="G77" i="1"/>
  <c r="H77" i="1"/>
  <c r="I77" i="1"/>
  <c r="M77" i="1"/>
  <c r="N77" i="1"/>
  <c r="O77" i="1"/>
  <c r="P77" i="1"/>
  <c r="C78" i="1"/>
  <c r="D78" i="1"/>
  <c r="F78" i="1"/>
  <c r="G78" i="1"/>
  <c r="H78" i="1"/>
  <c r="I78" i="1"/>
  <c r="M78" i="1"/>
  <c r="N78" i="1"/>
  <c r="O78" i="1"/>
  <c r="P78" i="1"/>
  <c r="C79" i="1"/>
  <c r="D79" i="1"/>
  <c r="F79" i="1"/>
  <c r="G79" i="1"/>
  <c r="H79" i="1"/>
  <c r="I79" i="1"/>
  <c r="M79" i="1"/>
  <c r="N79" i="1"/>
  <c r="O79" i="1"/>
  <c r="P79" i="1"/>
  <c r="AC26" i="4" l="1"/>
  <c r="AC25" i="4"/>
  <c r="AB26" i="4" l="1"/>
  <c r="AB25" i="4"/>
  <c r="AA26" i="4" l="1"/>
  <c r="AA25" i="4"/>
  <c r="Y26" i="4" l="1"/>
  <c r="Y25" i="4"/>
  <c r="Y36" i="4" s="1"/>
  <c r="X26" i="4"/>
  <c r="W26" i="4"/>
  <c r="X25" i="4"/>
  <c r="W25" i="4"/>
  <c r="V26" i="4" l="1"/>
  <c r="V25" i="4"/>
  <c r="U26" i="4"/>
  <c r="T26" i="4"/>
  <c r="U25" i="4"/>
  <c r="T25" i="4"/>
  <c r="S25" i="4" l="1"/>
  <c r="S26" i="4"/>
  <c r="R26" i="4"/>
  <c r="R25" i="4"/>
  <c r="Q26" i="4" l="1"/>
  <c r="Q25" i="4"/>
  <c r="P26" i="4" l="1"/>
  <c r="P25" i="4"/>
  <c r="O26" i="4" l="1"/>
  <c r="O25" i="4"/>
  <c r="N26" i="4" l="1"/>
  <c r="N25" i="4"/>
  <c r="M25" i="4" l="1"/>
  <c r="L25" i="4"/>
  <c r="M26" i="4"/>
  <c r="L26" i="4"/>
  <c r="K26" i="4"/>
  <c r="K25" i="4"/>
  <c r="J26" i="4"/>
  <c r="J25" i="4"/>
  <c r="I26" i="4" l="1"/>
  <c r="I25" i="4"/>
  <c r="H26" i="4" l="1"/>
  <c r="H25" i="4"/>
  <c r="G26" i="4"/>
  <c r="G25" i="4"/>
  <c r="F26" i="4"/>
  <c r="F25" i="4"/>
  <c r="E26" i="4"/>
  <c r="E25" i="4"/>
  <c r="C26" i="4"/>
  <c r="C25" i="4"/>
  <c r="E214" i="2" l="1"/>
  <c r="B81" i="1"/>
  <c r="C81" i="1" l="1"/>
  <c r="M18" i="2" s="1"/>
  <c r="Q81" i="1"/>
  <c r="M116" i="2" s="1"/>
  <c r="B18" i="13" s="1"/>
  <c r="AC81" i="1"/>
  <c r="O81" i="1"/>
  <c r="K81" i="1"/>
  <c r="M74" i="2" s="1"/>
  <c r="B12" i="13" s="1"/>
  <c r="G81" i="1"/>
  <c r="F81" i="1"/>
  <c r="M39" i="2" s="1"/>
  <c r="N81" i="1"/>
  <c r="M95" i="2" s="1"/>
  <c r="B15" i="13" s="1"/>
  <c r="J81" i="1"/>
  <c r="M67" i="2" s="1"/>
  <c r="M81" i="1"/>
  <c r="M88" i="2" s="1"/>
  <c r="I81" i="1"/>
  <c r="E81" i="1"/>
  <c r="M32" i="2" s="1"/>
  <c r="P81" i="1"/>
  <c r="M109" i="2" s="1"/>
  <c r="L81" i="1"/>
  <c r="M81" i="2" s="1"/>
  <c r="H81" i="1"/>
  <c r="M53" i="2" s="1"/>
  <c r="B9" i="13" s="1"/>
  <c r="D81" i="1"/>
  <c r="M25" i="2" s="1"/>
  <c r="AB81" i="1"/>
  <c r="AA81" i="1"/>
  <c r="M186" i="2" s="1"/>
  <c r="Z81" i="1"/>
  <c r="M179" i="2" s="1"/>
  <c r="Y81" i="1"/>
  <c r="M172" i="2" s="1"/>
  <c r="X81" i="1"/>
  <c r="M165" i="2" s="1"/>
  <c r="W81" i="1"/>
  <c r="M158" i="2" s="1"/>
  <c r="R81" i="1"/>
  <c r="M123" i="2" s="1"/>
  <c r="B19" i="13" s="1"/>
  <c r="V81" i="1"/>
  <c r="M151" i="2" s="1"/>
  <c r="U81" i="1"/>
  <c r="T81" i="1"/>
  <c r="M137" i="2" s="1"/>
  <c r="S81" i="1"/>
  <c r="AE86" i="1" l="1"/>
  <c r="M200" i="2"/>
  <c r="B30" i="13" s="1"/>
  <c r="M60" i="2"/>
  <c r="B10" i="13" s="1"/>
  <c r="B11" i="13"/>
  <c r="M130" i="2"/>
  <c r="B20" i="13" s="1"/>
  <c r="B27" i="13"/>
  <c r="B26" i="13"/>
  <c r="B24" i="13"/>
  <c r="B23" i="13"/>
  <c r="M46" i="2"/>
  <c r="B8" i="13" s="1"/>
  <c r="B25" i="13"/>
  <c r="B17" i="13"/>
  <c r="B6" i="13"/>
  <c r="B7" i="13"/>
  <c r="B5" i="13"/>
  <c r="B4" i="13"/>
  <c r="G29" i="13"/>
  <c r="G8" i="13" l="1"/>
  <c r="G7" i="13"/>
  <c r="AP46" i="3" l="1"/>
  <c r="V8" i="4" s="1"/>
  <c r="C237" i="2" l="1"/>
  <c r="B3" i="13" l="1"/>
  <c r="T32" i="3" l="1"/>
  <c r="D61" i="2" s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4" i="13" s="1"/>
  <c r="B237" i="2"/>
  <c r="V34" i="3"/>
  <c r="D70" i="2" s="1"/>
  <c r="BF57" i="3"/>
  <c r="AV57" i="3"/>
  <c r="AT57" i="3"/>
  <c r="AR57" i="3"/>
  <c r="AP57" i="3"/>
  <c r="AJ57" i="3"/>
  <c r="AH57" i="3"/>
  <c r="AB57" i="3"/>
  <c r="Z57" i="3"/>
  <c r="X57" i="3"/>
  <c r="V57" i="3"/>
  <c r="T57" i="3"/>
  <c r="K19" i="4" s="1"/>
  <c r="R57" i="3"/>
  <c r="J19" i="4" s="1"/>
  <c r="P57" i="3"/>
  <c r="I19" i="4" s="1"/>
  <c r="N57" i="3"/>
  <c r="H19" i="4" s="1"/>
  <c r="L57" i="3"/>
  <c r="J57" i="3"/>
  <c r="H57" i="3"/>
  <c r="F57" i="3"/>
  <c r="BF47" i="3"/>
  <c r="AD9" i="4" s="1"/>
  <c r="AC9" i="4"/>
  <c r="Z9" i="4"/>
  <c r="AV47" i="3"/>
  <c r="Y9" i="4" s="1"/>
  <c r="AT47" i="3"/>
  <c r="X9" i="4" s="1"/>
  <c r="AR47" i="3"/>
  <c r="W9" i="4" s="1"/>
  <c r="AP47" i="3"/>
  <c r="V9" i="4" s="1"/>
  <c r="AJ47" i="3"/>
  <c r="S9" i="4" s="1"/>
  <c r="AH47" i="3"/>
  <c r="R9" i="4" s="1"/>
  <c r="Q9" i="4"/>
  <c r="P9" i="4"/>
  <c r="AB47" i="3"/>
  <c r="O9" i="4" s="1"/>
  <c r="Z47" i="3"/>
  <c r="N9" i="4" s="1"/>
  <c r="X47" i="3"/>
  <c r="M9" i="4" s="1"/>
  <c r="V47" i="3"/>
  <c r="L9" i="4" s="1"/>
  <c r="T47" i="3"/>
  <c r="K9" i="4" s="1"/>
  <c r="R47" i="3"/>
  <c r="J9" i="4" s="1"/>
  <c r="P47" i="3"/>
  <c r="I9" i="4" s="1"/>
  <c r="N47" i="3"/>
  <c r="H9" i="4" s="1"/>
  <c r="L47" i="3"/>
  <c r="G9" i="4" s="1"/>
  <c r="J47" i="3"/>
  <c r="F9" i="4" s="1"/>
  <c r="H47" i="3"/>
  <c r="E9" i="4" s="1"/>
  <c r="F47" i="3"/>
  <c r="D9" i="4" s="1"/>
  <c r="C9" i="4"/>
  <c r="BG36" i="3"/>
  <c r="E198" i="2" s="1"/>
  <c r="BF36" i="3"/>
  <c r="D198" i="2" s="1"/>
  <c r="E184" i="2"/>
  <c r="D184" i="2"/>
  <c r="AW36" i="3"/>
  <c r="E163" i="2" s="1"/>
  <c r="AV36" i="3"/>
  <c r="D163" i="2" s="1"/>
  <c r="AU36" i="3"/>
  <c r="E156" i="2" s="1"/>
  <c r="AT36" i="3"/>
  <c r="D156" i="2" s="1"/>
  <c r="AS36" i="3"/>
  <c r="E149" i="2" s="1"/>
  <c r="AR36" i="3"/>
  <c r="D149" i="2" s="1"/>
  <c r="AQ36" i="3"/>
  <c r="E142" i="2" s="1"/>
  <c r="AP36" i="3"/>
  <c r="D142" i="2" s="1"/>
  <c r="E135" i="2"/>
  <c r="D135" i="2"/>
  <c r="E128" i="2"/>
  <c r="D128" i="2"/>
  <c r="AK36" i="3"/>
  <c r="E121" i="2" s="1"/>
  <c r="D121" i="2"/>
  <c r="AI36" i="3"/>
  <c r="E114" i="2" s="1"/>
  <c r="AH36" i="3"/>
  <c r="D114" i="2" s="1"/>
  <c r="E107" i="2"/>
  <c r="D107" i="2"/>
  <c r="AC36" i="3"/>
  <c r="E93" i="2" s="1"/>
  <c r="AB36" i="3"/>
  <c r="D93" i="2" s="1"/>
  <c r="AA36" i="3"/>
  <c r="E86" i="2" s="1"/>
  <c r="Z36" i="3"/>
  <c r="D86" i="2" s="1"/>
  <c r="Y36" i="3"/>
  <c r="E79" i="2" s="1"/>
  <c r="X36" i="3"/>
  <c r="D79" i="2" s="1"/>
  <c r="W36" i="3"/>
  <c r="E72" i="2" s="1"/>
  <c r="V36" i="3"/>
  <c r="D72" i="2" s="1"/>
  <c r="U36" i="3"/>
  <c r="E65" i="2" s="1"/>
  <c r="T36" i="3"/>
  <c r="D65" i="2" s="1"/>
  <c r="S36" i="3"/>
  <c r="E58" i="2" s="1"/>
  <c r="Q36" i="3"/>
  <c r="E51" i="2" s="1"/>
  <c r="P36" i="3"/>
  <c r="D51" i="2" s="1"/>
  <c r="O36" i="3"/>
  <c r="E44" i="2" s="1"/>
  <c r="N36" i="3"/>
  <c r="D44" i="2" s="1"/>
  <c r="M36" i="3"/>
  <c r="E37" i="2" s="1"/>
  <c r="L36" i="3"/>
  <c r="D37" i="2" s="1"/>
  <c r="K36" i="3"/>
  <c r="E30" i="2" s="1"/>
  <c r="J36" i="3"/>
  <c r="D30" i="2" s="1"/>
  <c r="I36" i="3"/>
  <c r="E23" i="2" s="1"/>
  <c r="H36" i="3"/>
  <c r="D23" i="2" s="1"/>
  <c r="G36" i="3"/>
  <c r="E16" i="2" s="1"/>
  <c r="F36" i="3"/>
  <c r="D16" i="2" s="1"/>
  <c r="E9" i="2"/>
  <c r="D9" i="2"/>
  <c r="D132" i="2"/>
  <c r="E132" i="2"/>
  <c r="D133" i="2"/>
  <c r="E133" i="2"/>
  <c r="D134" i="2"/>
  <c r="E134" i="2"/>
  <c r="D136" i="2"/>
  <c r="E136" i="2"/>
  <c r="L32" i="3"/>
  <c r="L33" i="3"/>
  <c r="D34" i="2" s="1"/>
  <c r="L34" i="3"/>
  <c r="D35" i="2" s="1"/>
  <c r="L35" i="3"/>
  <c r="D36" i="2" s="1"/>
  <c r="L37" i="3"/>
  <c r="D38" i="2" s="1"/>
  <c r="L43" i="3"/>
  <c r="BG33" i="3"/>
  <c r="E195" i="2" s="1"/>
  <c r="BF33" i="3"/>
  <c r="D195" i="2" s="1"/>
  <c r="A12" i="2"/>
  <c r="A19" i="2" s="1"/>
  <c r="A26" i="2" s="1"/>
  <c r="A33" i="2" s="1"/>
  <c r="A40" i="2" s="1"/>
  <c r="AV32" i="3"/>
  <c r="D159" i="2" s="1"/>
  <c r="AB48" i="3"/>
  <c r="O10" i="4" s="1"/>
  <c r="AB46" i="3"/>
  <c r="O8" i="4" s="1"/>
  <c r="AB45" i="3"/>
  <c r="O7" i="4" s="1"/>
  <c r="AB44" i="3"/>
  <c r="O6" i="4" s="1"/>
  <c r="Z58" i="3"/>
  <c r="N18" i="4" s="1"/>
  <c r="Z56" i="3"/>
  <c r="N17" i="4" s="1"/>
  <c r="Z55" i="3"/>
  <c r="N16" i="4" s="1"/>
  <c r="Z54" i="3"/>
  <c r="N15" i="4" s="1"/>
  <c r="Z53" i="3"/>
  <c r="N14" i="4" s="1"/>
  <c r="Z48" i="3"/>
  <c r="N10" i="4" s="1"/>
  <c r="Z46" i="3"/>
  <c r="N8" i="4" s="1"/>
  <c r="Z45" i="3"/>
  <c r="N7" i="4" s="1"/>
  <c r="Z44" i="3"/>
  <c r="N6" i="4" s="1"/>
  <c r="Z43" i="3"/>
  <c r="N5" i="4" s="1"/>
  <c r="T53" i="3"/>
  <c r="K14" i="4" s="1"/>
  <c r="AB58" i="3"/>
  <c r="O18" i="4" s="1"/>
  <c r="AB56" i="3"/>
  <c r="O17" i="4" s="1"/>
  <c r="AB55" i="3"/>
  <c r="O16" i="4" s="1"/>
  <c r="AB54" i="3"/>
  <c r="O15" i="4" s="1"/>
  <c r="AB53" i="3"/>
  <c r="O14" i="4" s="1"/>
  <c r="AC37" i="3"/>
  <c r="E94" i="2" s="1"/>
  <c r="AB37" i="3"/>
  <c r="D94" i="2" s="1"/>
  <c r="AC35" i="3"/>
  <c r="E92" i="2" s="1"/>
  <c r="AB35" i="3"/>
  <c r="D92" i="2" s="1"/>
  <c r="AC34" i="3"/>
  <c r="E91" i="2" s="1"/>
  <c r="AB34" i="3"/>
  <c r="D91" i="2" s="1"/>
  <c r="AC33" i="3"/>
  <c r="E90" i="2" s="1"/>
  <c r="AB33" i="3"/>
  <c r="D90" i="2" s="1"/>
  <c r="AC32" i="3"/>
  <c r="E89" i="2" s="1"/>
  <c r="AB32" i="3"/>
  <c r="D89" i="2" s="1"/>
  <c r="AA37" i="3"/>
  <c r="E87" i="2" s="1"/>
  <c r="Z37" i="3"/>
  <c r="D87" i="2" s="1"/>
  <c r="AA35" i="3"/>
  <c r="E85" i="2" s="1"/>
  <c r="Z35" i="3"/>
  <c r="D85" i="2" s="1"/>
  <c r="AA34" i="3"/>
  <c r="E84" i="2" s="1"/>
  <c r="Z34" i="3"/>
  <c r="D84" i="2" s="1"/>
  <c r="AA33" i="3"/>
  <c r="E83" i="2" s="1"/>
  <c r="Z33" i="3"/>
  <c r="D83" i="2" s="1"/>
  <c r="AA32" i="3"/>
  <c r="Z32" i="3"/>
  <c r="AB43" i="3"/>
  <c r="O5" i="4" s="1"/>
  <c r="AC18" i="4"/>
  <c r="AC17" i="4"/>
  <c r="AC16" i="4"/>
  <c r="AC15" i="4"/>
  <c r="AC14" i="4"/>
  <c r="AC10" i="4"/>
  <c r="AC8" i="4"/>
  <c r="AC7" i="4"/>
  <c r="AC6" i="4"/>
  <c r="AC5" i="4"/>
  <c r="AB18" i="4"/>
  <c r="AB17" i="4"/>
  <c r="AB16" i="4"/>
  <c r="AB15" i="4"/>
  <c r="AB14" i="4"/>
  <c r="AB8" i="4"/>
  <c r="AB7" i="4"/>
  <c r="AB6" i="4"/>
  <c r="AB5" i="4"/>
  <c r="E185" i="2"/>
  <c r="D185" i="2"/>
  <c r="E183" i="2"/>
  <c r="D183" i="2"/>
  <c r="E182" i="2"/>
  <c r="D182" i="2"/>
  <c r="E181" i="2"/>
  <c r="D181" i="2"/>
  <c r="AP32" i="3"/>
  <c r="D138" i="2" s="1"/>
  <c r="BF58" i="3"/>
  <c r="AA18" i="4"/>
  <c r="Z18" i="4"/>
  <c r="AV58" i="3"/>
  <c r="Y18" i="4" s="1"/>
  <c r="AT58" i="3"/>
  <c r="X18" i="4" s="1"/>
  <c r="AR58" i="3"/>
  <c r="W18" i="4" s="1"/>
  <c r="AP58" i="3"/>
  <c r="V18" i="4" s="1"/>
  <c r="U18" i="4"/>
  <c r="T18" i="4"/>
  <c r="AJ58" i="3"/>
  <c r="S18" i="4" s="1"/>
  <c r="AH58" i="3"/>
  <c r="R18" i="4" s="1"/>
  <c r="Q18" i="4"/>
  <c r="P18" i="4"/>
  <c r="X58" i="3"/>
  <c r="M18" i="4" s="1"/>
  <c r="V58" i="3"/>
  <c r="L18" i="4" s="1"/>
  <c r="T58" i="3"/>
  <c r="K18" i="4" s="1"/>
  <c r="R58" i="3"/>
  <c r="J18" i="4" s="1"/>
  <c r="P58" i="3"/>
  <c r="I18" i="4" s="1"/>
  <c r="N58" i="3"/>
  <c r="H18" i="4" s="1"/>
  <c r="L58" i="3"/>
  <c r="G18" i="4" s="1"/>
  <c r="J58" i="3"/>
  <c r="F18" i="4" s="1"/>
  <c r="H58" i="3"/>
  <c r="E18" i="4" s="1"/>
  <c r="F58" i="3"/>
  <c r="D18" i="4" s="1"/>
  <c r="C18" i="4"/>
  <c r="BF56" i="3"/>
  <c r="AA17" i="4"/>
  <c r="Z17" i="4"/>
  <c r="AV56" i="3"/>
  <c r="Y17" i="4" s="1"/>
  <c r="AT56" i="3"/>
  <c r="X17" i="4" s="1"/>
  <c r="AR56" i="3"/>
  <c r="W17" i="4" s="1"/>
  <c r="AP56" i="3"/>
  <c r="V17" i="4" s="1"/>
  <c r="U17" i="4"/>
  <c r="T17" i="4"/>
  <c r="AJ56" i="3"/>
  <c r="S17" i="4" s="1"/>
  <c r="AH56" i="3"/>
  <c r="R17" i="4" s="1"/>
  <c r="Q17" i="4"/>
  <c r="P17" i="4"/>
  <c r="X56" i="3"/>
  <c r="M17" i="4" s="1"/>
  <c r="V56" i="3"/>
  <c r="L17" i="4" s="1"/>
  <c r="T56" i="3"/>
  <c r="K17" i="4" s="1"/>
  <c r="R56" i="3"/>
  <c r="J17" i="4" s="1"/>
  <c r="P56" i="3"/>
  <c r="I17" i="4" s="1"/>
  <c r="N56" i="3"/>
  <c r="H17" i="4" s="1"/>
  <c r="L56" i="3"/>
  <c r="G17" i="4" s="1"/>
  <c r="J56" i="3"/>
  <c r="F17" i="4" s="1"/>
  <c r="H56" i="3"/>
  <c r="E17" i="4" s="1"/>
  <c r="F56" i="3"/>
  <c r="C17" i="4"/>
  <c r="BF55" i="3"/>
  <c r="AA16" i="4"/>
  <c r="Z16" i="4"/>
  <c r="AV55" i="3"/>
  <c r="Y16" i="4" s="1"/>
  <c r="AT55" i="3"/>
  <c r="X16" i="4" s="1"/>
  <c r="AR55" i="3"/>
  <c r="W16" i="4" s="1"/>
  <c r="AP55" i="3"/>
  <c r="V16" i="4" s="1"/>
  <c r="U16" i="4"/>
  <c r="T16" i="4"/>
  <c r="AJ55" i="3"/>
  <c r="S16" i="4" s="1"/>
  <c r="AH55" i="3"/>
  <c r="R16" i="4" s="1"/>
  <c r="Q16" i="4"/>
  <c r="P16" i="4"/>
  <c r="X55" i="3"/>
  <c r="M16" i="4" s="1"/>
  <c r="V55" i="3"/>
  <c r="L16" i="4" s="1"/>
  <c r="T55" i="3"/>
  <c r="K16" i="4" s="1"/>
  <c r="R55" i="3"/>
  <c r="J16" i="4" s="1"/>
  <c r="P55" i="3"/>
  <c r="I16" i="4" s="1"/>
  <c r="N55" i="3"/>
  <c r="H16" i="4" s="1"/>
  <c r="L55" i="3"/>
  <c r="G16" i="4" s="1"/>
  <c r="J55" i="3"/>
  <c r="F16" i="4" s="1"/>
  <c r="H55" i="3"/>
  <c r="E16" i="4" s="1"/>
  <c r="F55" i="3"/>
  <c r="C16" i="4"/>
  <c r="BF54" i="3"/>
  <c r="AD15" i="4" s="1"/>
  <c r="AA15" i="4"/>
  <c r="Z15" i="4"/>
  <c r="AV54" i="3"/>
  <c r="Y15" i="4" s="1"/>
  <c r="X15" i="4"/>
  <c r="AR54" i="3"/>
  <c r="W15" i="4" s="1"/>
  <c r="AP54" i="3"/>
  <c r="V15" i="4" s="1"/>
  <c r="U15" i="4"/>
  <c r="T15" i="4"/>
  <c r="AJ54" i="3"/>
  <c r="S15" i="4" s="1"/>
  <c r="AH54" i="3"/>
  <c r="R15" i="4" s="1"/>
  <c r="Q15" i="4"/>
  <c r="P15" i="4"/>
  <c r="X54" i="3"/>
  <c r="M15" i="4" s="1"/>
  <c r="V54" i="3"/>
  <c r="L15" i="4" s="1"/>
  <c r="T54" i="3"/>
  <c r="K15" i="4" s="1"/>
  <c r="R54" i="3"/>
  <c r="J15" i="4" s="1"/>
  <c r="P54" i="3"/>
  <c r="I15" i="4" s="1"/>
  <c r="N54" i="3"/>
  <c r="H15" i="4" s="1"/>
  <c r="L54" i="3"/>
  <c r="G15" i="4" s="1"/>
  <c r="J54" i="3"/>
  <c r="F15" i="4" s="1"/>
  <c r="H54" i="3"/>
  <c r="E15" i="4" s="1"/>
  <c r="F54" i="3"/>
  <c r="D15" i="4" s="1"/>
  <c r="C15" i="4"/>
  <c r="BF53" i="3"/>
  <c r="AA14" i="4"/>
  <c r="Z14" i="4"/>
  <c r="AV53" i="3"/>
  <c r="Y14" i="4" s="1"/>
  <c r="X14" i="4"/>
  <c r="AR53" i="3"/>
  <c r="W14" i="4" s="1"/>
  <c r="AP53" i="3"/>
  <c r="V14" i="4" s="1"/>
  <c r="U14" i="4"/>
  <c r="T14" i="4"/>
  <c r="T36" i="4" s="1"/>
  <c r="AJ53" i="3"/>
  <c r="S14" i="4" s="1"/>
  <c r="S36" i="4" s="1"/>
  <c r="AH53" i="3"/>
  <c r="R14" i="4" s="1"/>
  <c r="R36" i="4" s="1"/>
  <c r="Q14" i="4"/>
  <c r="P14" i="4"/>
  <c r="P36" i="4" s="1"/>
  <c r="X53" i="3"/>
  <c r="M14" i="4" s="1"/>
  <c r="M36" i="4" s="1"/>
  <c r="V53" i="3"/>
  <c r="L14" i="4" s="1"/>
  <c r="R53" i="3"/>
  <c r="J14" i="4" s="1"/>
  <c r="P53" i="3"/>
  <c r="N53" i="3"/>
  <c r="L53" i="3"/>
  <c r="J53" i="3"/>
  <c r="F14" i="4" s="1"/>
  <c r="H53" i="3"/>
  <c r="E14" i="4" s="1"/>
  <c r="F53" i="3"/>
  <c r="D14" i="4" s="1"/>
  <c r="C14" i="4"/>
  <c r="BF48" i="3"/>
  <c r="AD10" i="4" s="1"/>
  <c r="Z10" i="4"/>
  <c r="AV48" i="3"/>
  <c r="Y10" i="4" s="1"/>
  <c r="AT48" i="3"/>
  <c r="X10" i="4" s="1"/>
  <c r="AR48" i="3"/>
  <c r="W10" i="4" s="1"/>
  <c r="AP48" i="3"/>
  <c r="V10" i="4" s="1"/>
  <c r="AJ48" i="3"/>
  <c r="S10" i="4" s="1"/>
  <c r="AH48" i="3"/>
  <c r="R10" i="4" s="1"/>
  <c r="Q10" i="4"/>
  <c r="P10" i="4"/>
  <c r="X48" i="3"/>
  <c r="M10" i="4" s="1"/>
  <c r="V48" i="3"/>
  <c r="L10" i="4" s="1"/>
  <c r="T48" i="3"/>
  <c r="K10" i="4" s="1"/>
  <c r="R48" i="3"/>
  <c r="J10" i="4" s="1"/>
  <c r="P48" i="3"/>
  <c r="N48" i="3"/>
  <c r="L48" i="3"/>
  <c r="J48" i="3"/>
  <c r="F10" i="4" s="1"/>
  <c r="H48" i="3"/>
  <c r="E10" i="4" s="1"/>
  <c r="F48" i="3"/>
  <c r="D10" i="4" s="1"/>
  <c r="C10" i="4"/>
  <c r="BF46" i="3"/>
  <c r="AA8" i="4"/>
  <c r="Z8" i="4"/>
  <c r="AV46" i="3"/>
  <c r="Y8" i="4" s="1"/>
  <c r="AT46" i="3"/>
  <c r="X8" i="4" s="1"/>
  <c r="AR46" i="3"/>
  <c r="W8" i="4" s="1"/>
  <c r="U8" i="4"/>
  <c r="T8" i="4"/>
  <c r="AJ46" i="3"/>
  <c r="S8" i="4" s="1"/>
  <c r="AH46" i="3"/>
  <c r="R8" i="4" s="1"/>
  <c r="Q8" i="4"/>
  <c r="P8" i="4"/>
  <c r="X46" i="3"/>
  <c r="M8" i="4" s="1"/>
  <c r="V46" i="3"/>
  <c r="L8" i="4" s="1"/>
  <c r="T46" i="3"/>
  <c r="K8" i="4" s="1"/>
  <c r="R46" i="3"/>
  <c r="J8" i="4" s="1"/>
  <c r="P46" i="3"/>
  <c r="N46" i="3"/>
  <c r="L46" i="3"/>
  <c r="J46" i="3"/>
  <c r="F8" i="4" s="1"/>
  <c r="H46" i="3"/>
  <c r="E8" i="4" s="1"/>
  <c r="F46" i="3"/>
  <c r="D8" i="4" s="1"/>
  <c r="C8" i="4"/>
  <c r="BF45" i="3"/>
  <c r="AA7" i="4"/>
  <c r="Z7" i="4"/>
  <c r="AV45" i="3"/>
  <c r="Y7" i="4" s="1"/>
  <c r="AT45" i="3"/>
  <c r="X7" i="4" s="1"/>
  <c r="AR45" i="3"/>
  <c r="W7" i="4" s="1"/>
  <c r="AP45" i="3"/>
  <c r="V7" i="4" s="1"/>
  <c r="U7" i="4"/>
  <c r="T7" i="4"/>
  <c r="AJ45" i="3"/>
  <c r="S7" i="4" s="1"/>
  <c r="AH45" i="3"/>
  <c r="R7" i="4" s="1"/>
  <c r="Q7" i="4"/>
  <c r="P7" i="4"/>
  <c r="X45" i="3"/>
  <c r="M7" i="4" s="1"/>
  <c r="V45" i="3"/>
  <c r="L7" i="4" s="1"/>
  <c r="T45" i="3"/>
  <c r="K7" i="4" s="1"/>
  <c r="R45" i="3"/>
  <c r="J7" i="4" s="1"/>
  <c r="P45" i="3"/>
  <c r="N45" i="3"/>
  <c r="L45" i="3"/>
  <c r="J45" i="3"/>
  <c r="F7" i="4" s="1"/>
  <c r="H45" i="3"/>
  <c r="E7" i="4" s="1"/>
  <c r="F45" i="3"/>
  <c r="D7" i="4" s="1"/>
  <c r="C7" i="4"/>
  <c r="BF44" i="3"/>
  <c r="AA6" i="4"/>
  <c r="Z6" i="4"/>
  <c r="AV44" i="3"/>
  <c r="Y6" i="4" s="1"/>
  <c r="X6" i="4"/>
  <c r="AR44" i="3"/>
  <c r="W6" i="4" s="1"/>
  <c r="AP44" i="3"/>
  <c r="V6" i="4" s="1"/>
  <c r="U6" i="4"/>
  <c r="T6" i="4"/>
  <c r="AJ44" i="3"/>
  <c r="S6" i="4" s="1"/>
  <c r="AH44" i="3"/>
  <c r="R6" i="4" s="1"/>
  <c r="Q6" i="4"/>
  <c r="P6" i="4"/>
  <c r="X44" i="3"/>
  <c r="M6" i="4" s="1"/>
  <c r="V44" i="3"/>
  <c r="L6" i="4" s="1"/>
  <c r="T44" i="3"/>
  <c r="K6" i="4" s="1"/>
  <c r="R44" i="3"/>
  <c r="J6" i="4" s="1"/>
  <c r="P44" i="3"/>
  <c r="N44" i="3"/>
  <c r="L44" i="3"/>
  <c r="J44" i="3"/>
  <c r="F6" i="4" s="1"/>
  <c r="H44" i="3"/>
  <c r="E6" i="4" s="1"/>
  <c r="F44" i="3"/>
  <c r="D6" i="4" s="1"/>
  <c r="C6" i="4"/>
  <c r="BF43" i="3"/>
  <c r="AA5" i="4"/>
  <c r="Z5" i="4"/>
  <c r="AV43" i="3"/>
  <c r="Y5" i="4" s="1"/>
  <c r="X5" i="4"/>
  <c r="AR43" i="3"/>
  <c r="W5" i="4" s="1"/>
  <c r="AP43" i="3"/>
  <c r="V5" i="4" s="1"/>
  <c r="U5" i="4"/>
  <c r="U37" i="4" s="1"/>
  <c r="T5" i="4"/>
  <c r="T37" i="4" s="1"/>
  <c r="AJ43" i="3"/>
  <c r="S5" i="4" s="1"/>
  <c r="AH43" i="3"/>
  <c r="R5" i="4" s="1"/>
  <c r="Q5" i="4"/>
  <c r="P5" i="4"/>
  <c r="X43" i="3"/>
  <c r="M5" i="4" s="1"/>
  <c r="V43" i="3"/>
  <c r="L5" i="4" s="1"/>
  <c r="T43" i="3"/>
  <c r="K5" i="4" s="1"/>
  <c r="R43" i="3"/>
  <c r="J5" i="4" s="1"/>
  <c r="P43" i="3"/>
  <c r="N43" i="3"/>
  <c r="J43" i="3"/>
  <c r="F5" i="4" s="1"/>
  <c r="H43" i="3"/>
  <c r="E5" i="4" s="1"/>
  <c r="F43" i="3"/>
  <c r="D5" i="4" s="1"/>
  <c r="C5" i="4"/>
  <c r="BG37" i="3"/>
  <c r="E199" i="2" s="1"/>
  <c r="BF37" i="3"/>
  <c r="D199" i="2" s="1"/>
  <c r="AW37" i="3"/>
  <c r="E164" i="2" s="1"/>
  <c r="AV37" i="3"/>
  <c r="D164" i="2" s="1"/>
  <c r="AU37" i="3"/>
  <c r="E157" i="2" s="1"/>
  <c r="AT37" i="3"/>
  <c r="D157" i="2" s="1"/>
  <c r="AS37" i="3"/>
  <c r="E150" i="2" s="1"/>
  <c r="AR37" i="3"/>
  <c r="D150" i="2" s="1"/>
  <c r="AQ37" i="3"/>
  <c r="E143" i="2" s="1"/>
  <c r="AP37" i="3"/>
  <c r="D143" i="2" s="1"/>
  <c r="E129" i="2"/>
  <c r="D129" i="2"/>
  <c r="AK37" i="3"/>
  <c r="E122" i="2" s="1"/>
  <c r="D122" i="2"/>
  <c r="AI37" i="3"/>
  <c r="E115" i="2" s="1"/>
  <c r="AH37" i="3"/>
  <c r="D115" i="2" s="1"/>
  <c r="E108" i="2"/>
  <c r="D108" i="2"/>
  <c r="Y37" i="3"/>
  <c r="E80" i="2" s="1"/>
  <c r="X37" i="3"/>
  <c r="D80" i="2" s="1"/>
  <c r="W37" i="3"/>
  <c r="E73" i="2" s="1"/>
  <c r="V37" i="3"/>
  <c r="D73" i="2" s="1"/>
  <c r="U37" i="3"/>
  <c r="E66" i="2" s="1"/>
  <c r="T37" i="3"/>
  <c r="D66" i="2" s="1"/>
  <c r="S37" i="3"/>
  <c r="E59" i="2" s="1"/>
  <c r="Q37" i="3"/>
  <c r="E52" i="2" s="1"/>
  <c r="P37" i="3"/>
  <c r="D52" i="2" s="1"/>
  <c r="O37" i="3"/>
  <c r="E45" i="2" s="1"/>
  <c r="N37" i="3"/>
  <c r="D45" i="2" s="1"/>
  <c r="M37" i="3"/>
  <c r="E38" i="2" s="1"/>
  <c r="K37" i="3"/>
  <c r="E31" i="2" s="1"/>
  <c r="J37" i="3"/>
  <c r="D31" i="2" s="1"/>
  <c r="I37" i="3"/>
  <c r="E24" i="2" s="1"/>
  <c r="H37" i="3"/>
  <c r="D24" i="2" s="1"/>
  <c r="G37" i="3"/>
  <c r="E17" i="2" s="1"/>
  <c r="F37" i="3"/>
  <c r="D17" i="2" s="1"/>
  <c r="E10" i="2"/>
  <c r="D10" i="2"/>
  <c r="BG35" i="3"/>
  <c r="E197" i="2" s="1"/>
  <c r="BF35" i="3"/>
  <c r="D197" i="2" s="1"/>
  <c r="AW35" i="3"/>
  <c r="E162" i="2" s="1"/>
  <c r="AV35" i="3"/>
  <c r="D162" i="2" s="1"/>
  <c r="AU35" i="3"/>
  <c r="E155" i="2" s="1"/>
  <c r="AT35" i="3"/>
  <c r="D155" i="2" s="1"/>
  <c r="AS35" i="3"/>
  <c r="E148" i="2" s="1"/>
  <c r="AR35" i="3"/>
  <c r="D148" i="2" s="1"/>
  <c r="AQ35" i="3"/>
  <c r="E141" i="2" s="1"/>
  <c r="AP35" i="3"/>
  <c r="D141" i="2" s="1"/>
  <c r="E127" i="2"/>
  <c r="D127" i="2"/>
  <c r="AK35" i="3"/>
  <c r="E120" i="2" s="1"/>
  <c r="D120" i="2"/>
  <c r="AI35" i="3"/>
  <c r="E113" i="2" s="1"/>
  <c r="AH35" i="3"/>
  <c r="D113" i="2" s="1"/>
  <c r="E106" i="2"/>
  <c r="D106" i="2"/>
  <c r="Y35" i="3"/>
  <c r="E78" i="2" s="1"/>
  <c r="X35" i="3"/>
  <c r="D78" i="2" s="1"/>
  <c r="W35" i="3"/>
  <c r="E71" i="2" s="1"/>
  <c r="V35" i="3"/>
  <c r="D71" i="2" s="1"/>
  <c r="E64" i="2"/>
  <c r="T35" i="3"/>
  <c r="D64" i="2" s="1"/>
  <c r="S35" i="3"/>
  <c r="E57" i="2" s="1"/>
  <c r="Q35" i="3"/>
  <c r="E50" i="2" s="1"/>
  <c r="P35" i="3"/>
  <c r="D50" i="2" s="1"/>
  <c r="O35" i="3"/>
  <c r="E43" i="2" s="1"/>
  <c r="N35" i="3"/>
  <c r="D43" i="2" s="1"/>
  <c r="M35" i="3"/>
  <c r="E36" i="2" s="1"/>
  <c r="K35" i="3"/>
  <c r="E29" i="2" s="1"/>
  <c r="J35" i="3"/>
  <c r="D29" i="2" s="1"/>
  <c r="I35" i="3"/>
  <c r="E22" i="2" s="1"/>
  <c r="H35" i="3"/>
  <c r="D22" i="2" s="1"/>
  <c r="G35" i="3"/>
  <c r="E15" i="2" s="1"/>
  <c r="F35" i="3"/>
  <c r="D15" i="2" s="1"/>
  <c r="E8" i="2"/>
  <c r="D8" i="2"/>
  <c r="BG34" i="3"/>
  <c r="E196" i="2" s="1"/>
  <c r="AW34" i="3"/>
  <c r="E161" i="2" s="1"/>
  <c r="AV34" i="3"/>
  <c r="D161" i="2" s="1"/>
  <c r="AU34" i="3"/>
  <c r="E154" i="2" s="1"/>
  <c r="AT34" i="3"/>
  <c r="AS34" i="3"/>
  <c r="E147" i="2" s="1"/>
  <c r="AR34" i="3"/>
  <c r="D147" i="2" s="1"/>
  <c r="AQ34" i="3"/>
  <c r="E140" i="2" s="1"/>
  <c r="AP34" i="3"/>
  <c r="D140" i="2" s="1"/>
  <c r="E126" i="2"/>
  <c r="D126" i="2"/>
  <c r="AK34" i="3"/>
  <c r="E119" i="2" s="1"/>
  <c r="D119" i="2"/>
  <c r="AI34" i="3"/>
  <c r="E112" i="2" s="1"/>
  <c r="AH34" i="3"/>
  <c r="D112" i="2" s="1"/>
  <c r="E105" i="2"/>
  <c r="D105" i="2"/>
  <c r="Y34" i="3"/>
  <c r="E77" i="2" s="1"/>
  <c r="X34" i="3"/>
  <c r="D77" i="2" s="1"/>
  <c r="W34" i="3"/>
  <c r="E70" i="2" s="1"/>
  <c r="U34" i="3"/>
  <c r="E63" i="2" s="1"/>
  <c r="T34" i="3"/>
  <c r="D63" i="2" s="1"/>
  <c r="S34" i="3"/>
  <c r="E56" i="2" s="1"/>
  <c r="Q34" i="3"/>
  <c r="E49" i="2" s="1"/>
  <c r="P34" i="3"/>
  <c r="D49" i="2" s="1"/>
  <c r="O34" i="3"/>
  <c r="E42" i="2" s="1"/>
  <c r="N34" i="3"/>
  <c r="D42" i="2" s="1"/>
  <c r="M34" i="3"/>
  <c r="E35" i="2" s="1"/>
  <c r="K34" i="3"/>
  <c r="E28" i="2" s="1"/>
  <c r="J34" i="3"/>
  <c r="D28" i="2" s="1"/>
  <c r="I34" i="3"/>
  <c r="E21" i="2" s="1"/>
  <c r="H34" i="3"/>
  <c r="D21" i="2" s="1"/>
  <c r="G34" i="3"/>
  <c r="E14" i="2" s="1"/>
  <c r="F34" i="3"/>
  <c r="D14" i="2" s="1"/>
  <c r="E7" i="2"/>
  <c r="D7" i="2"/>
  <c r="AW33" i="3"/>
  <c r="E160" i="2" s="1"/>
  <c r="AV33" i="3"/>
  <c r="D160" i="2" s="1"/>
  <c r="AU33" i="3"/>
  <c r="E153" i="2" s="1"/>
  <c r="AS33" i="3"/>
  <c r="E146" i="2" s="1"/>
  <c r="AR33" i="3"/>
  <c r="D146" i="2" s="1"/>
  <c r="AQ33" i="3"/>
  <c r="E139" i="2" s="1"/>
  <c r="AP33" i="3"/>
  <c r="D139" i="2" s="1"/>
  <c r="E125" i="2"/>
  <c r="D125" i="2"/>
  <c r="AK33" i="3"/>
  <c r="E118" i="2" s="1"/>
  <c r="D118" i="2"/>
  <c r="AI33" i="3"/>
  <c r="E111" i="2" s="1"/>
  <c r="AH33" i="3"/>
  <c r="D111" i="2" s="1"/>
  <c r="E104" i="2"/>
  <c r="D104" i="2"/>
  <c r="Y33" i="3"/>
  <c r="E76" i="2" s="1"/>
  <c r="X33" i="3"/>
  <c r="D76" i="2" s="1"/>
  <c r="W33" i="3"/>
  <c r="E69" i="2" s="1"/>
  <c r="V33" i="3"/>
  <c r="D69" i="2" s="1"/>
  <c r="E62" i="2"/>
  <c r="T33" i="3"/>
  <c r="D62" i="2" s="1"/>
  <c r="S33" i="3"/>
  <c r="E55" i="2" s="1"/>
  <c r="Q33" i="3"/>
  <c r="E48" i="2" s="1"/>
  <c r="P33" i="3"/>
  <c r="D48" i="2" s="1"/>
  <c r="O33" i="3"/>
  <c r="E41" i="2" s="1"/>
  <c r="N33" i="3"/>
  <c r="D41" i="2" s="1"/>
  <c r="M33" i="3"/>
  <c r="E34" i="2" s="1"/>
  <c r="K33" i="3"/>
  <c r="E27" i="2" s="1"/>
  <c r="J33" i="3"/>
  <c r="D27" i="2" s="1"/>
  <c r="I33" i="3"/>
  <c r="E20" i="2" s="1"/>
  <c r="H33" i="3"/>
  <c r="D20" i="2" s="1"/>
  <c r="G33" i="3"/>
  <c r="E13" i="2" s="1"/>
  <c r="F33" i="3"/>
  <c r="D13" i="2" s="1"/>
  <c r="E6" i="2"/>
  <c r="D6" i="2"/>
  <c r="BG32" i="3"/>
  <c r="BF32" i="3"/>
  <c r="AW32" i="3"/>
  <c r="E159" i="2" s="1"/>
  <c r="AU32" i="3"/>
  <c r="AS32" i="3"/>
  <c r="E145" i="2" s="1"/>
  <c r="AR32" i="3"/>
  <c r="D145" i="2" s="1"/>
  <c r="AQ32" i="3"/>
  <c r="E138" i="2" s="1"/>
  <c r="E124" i="2"/>
  <c r="D124" i="2"/>
  <c r="AK32" i="3"/>
  <c r="E117" i="2" s="1"/>
  <c r="D117" i="2"/>
  <c r="AI32" i="3"/>
  <c r="E110" i="2" s="1"/>
  <c r="AH32" i="3"/>
  <c r="D110" i="2" s="1"/>
  <c r="Y32" i="3"/>
  <c r="X32" i="3"/>
  <c r="W32" i="3"/>
  <c r="V32" i="3"/>
  <c r="U32" i="3"/>
  <c r="E61" i="2" s="1"/>
  <c r="S32" i="3"/>
  <c r="E54" i="2" s="1"/>
  <c r="Q32" i="3"/>
  <c r="O32" i="3"/>
  <c r="N32" i="3"/>
  <c r="M32" i="3"/>
  <c r="K32" i="3"/>
  <c r="J32" i="3"/>
  <c r="D26" i="2" s="1"/>
  <c r="I32" i="3"/>
  <c r="H32" i="3"/>
  <c r="D19" i="2" s="1"/>
  <c r="G32" i="3"/>
  <c r="F32" i="3"/>
  <c r="E5" i="2"/>
  <c r="Q36" i="4" l="1"/>
  <c r="K36" i="4"/>
  <c r="K38" i="4" s="1"/>
  <c r="L36" i="4"/>
  <c r="L38" i="4" s="1"/>
  <c r="N36" i="4"/>
  <c r="N38" i="4" s="1"/>
  <c r="J36" i="4"/>
  <c r="T38" i="4"/>
  <c r="H45" i="2"/>
  <c r="J45" i="2" s="1"/>
  <c r="G45" i="2"/>
  <c r="I45" i="2" s="1"/>
  <c r="G44" i="2"/>
  <c r="I44" i="2" s="1"/>
  <c r="H44" i="2"/>
  <c r="J44" i="2" s="1"/>
  <c r="H43" i="2"/>
  <c r="J43" i="2" s="1"/>
  <c r="G43" i="2"/>
  <c r="I43" i="2" s="1"/>
  <c r="K43" i="2" s="1"/>
  <c r="H41" i="2"/>
  <c r="J41" i="2" s="1"/>
  <c r="G41" i="2"/>
  <c r="I41" i="2" s="1"/>
  <c r="H42" i="2"/>
  <c r="J42" i="2" s="1"/>
  <c r="G42" i="2"/>
  <c r="I42" i="2" s="1"/>
  <c r="K42" i="2" s="1"/>
  <c r="H49" i="2"/>
  <c r="J49" i="2" s="1"/>
  <c r="G49" i="2"/>
  <c r="I49" i="2" s="1"/>
  <c r="K49" i="2" s="1"/>
  <c r="H50" i="2"/>
  <c r="J50" i="2" s="1"/>
  <c r="G50" i="2"/>
  <c r="I50" i="2" s="1"/>
  <c r="K50" i="2" s="1"/>
  <c r="G48" i="2"/>
  <c r="I48" i="2" s="1"/>
  <c r="K48" i="2" s="1"/>
  <c r="H48" i="2"/>
  <c r="J48" i="2" s="1"/>
  <c r="G52" i="2"/>
  <c r="I52" i="2" s="1"/>
  <c r="K52" i="2" s="1"/>
  <c r="H52" i="2"/>
  <c r="J52" i="2" s="1"/>
  <c r="G51" i="2"/>
  <c r="I51" i="2" s="1"/>
  <c r="K51" i="2" s="1"/>
  <c r="H51" i="2"/>
  <c r="J51" i="2" s="1"/>
  <c r="C36" i="4"/>
  <c r="D37" i="4"/>
  <c r="D34" i="4"/>
  <c r="E12" i="2"/>
  <c r="E18" i="2" s="1"/>
  <c r="G40" i="3"/>
  <c r="D12" i="2"/>
  <c r="D18" i="2" s="1"/>
  <c r="F40" i="3"/>
  <c r="C35" i="4"/>
  <c r="C37" i="4"/>
  <c r="C34" i="4"/>
  <c r="E11" i="2"/>
  <c r="AB35" i="4"/>
  <c r="AB40" i="4" s="1"/>
  <c r="AB38" i="4"/>
  <c r="AB37" i="4"/>
  <c r="AB34" i="4"/>
  <c r="AC37" i="4"/>
  <c r="AC34" i="4"/>
  <c r="AC35" i="4"/>
  <c r="AC40" i="4" s="1"/>
  <c r="E194" i="2"/>
  <c r="E200" i="2" s="1"/>
  <c r="BG40" i="3"/>
  <c r="D194" i="2"/>
  <c r="D200" i="2" s="1"/>
  <c r="BF40" i="3"/>
  <c r="H199" i="2"/>
  <c r="G199" i="2"/>
  <c r="I199" i="2" s="1"/>
  <c r="K199" i="2" s="1"/>
  <c r="X38" i="4"/>
  <c r="H65" i="2"/>
  <c r="J65" i="2" s="1"/>
  <c r="G65" i="2"/>
  <c r="I65" i="2" s="1"/>
  <c r="K65" i="2" s="1"/>
  <c r="H66" i="2"/>
  <c r="J66" i="2" s="1"/>
  <c r="G66" i="2"/>
  <c r="I66" i="2" s="1"/>
  <c r="G61" i="2"/>
  <c r="I61" i="2" s="1"/>
  <c r="V61" i="2" s="1"/>
  <c r="H61" i="2"/>
  <c r="H62" i="2"/>
  <c r="L62" i="2" s="1"/>
  <c r="G62" i="2"/>
  <c r="I62" i="2" s="1"/>
  <c r="H57" i="2"/>
  <c r="G57" i="2"/>
  <c r="I57" i="2" s="1"/>
  <c r="K57" i="2" s="1"/>
  <c r="G55" i="2"/>
  <c r="H55" i="2"/>
  <c r="J55" i="2" s="1"/>
  <c r="H56" i="2"/>
  <c r="G56" i="2"/>
  <c r="I56" i="2" s="1"/>
  <c r="K56" i="2" s="1"/>
  <c r="G59" i="2"/>
  <c r="H59" i="2"/>
  <c r="J59" i="2" s="1"/>
  <c r="H58" i="2"/>
  <c r="G58" i="2"/>
  <c r="I58" i="2" s="1"/>
  <c r="K58" i="2" s="1"/>
  <c r="E60" i="2"/>
  <c r="G54" i="2"/>
  <c r="I54" i="2" s="1"/>
  <c r="V54" i="2" s="1"/>
  <c r="H54" i="2"/>
  <c r="J54" i="2" s="1"/>
  <c r="H197" i="2"/>
  <c r="G197" i="2"/>
  <c r="I197" i="2" s="1"/>
  <c r="K197" i="2" s="1"/>
  <c r="H196" i="2"/>
  <c r="G196" i="2"/>
  <c r="I196" i="2" s="1"/>
  <c r="K196" i="2" s="1"/>
  <c r="H195" i="2"/>
  <c r="G195" i="2"/>
  <c r="I195" i="2" s="1"/>
  <c r="V195" i="2" s="1"/>
  <c r="G198" i="2"/>
  <c r="I198" i="2" s="1"/>
  <c r="K198" i="2" s="1"/>
  <c r="H198" i="2"/>
  <c r="H164" i="2"/>
  <c r="G164" i="2"/>
  <c r="I164" i="2" s="1"/>
  <c r="K164" i="2" s="1"/>
  <c r="G142" i="2"/>
  <c r="I142" i="2" s="1"/>
  <c r="K142" i="2" s="1"/>
  <c r="H142" i="2"/>
  <c r="H140" i="2"/>
  <c r="G140" i="2"/>
  <c r="I140" i="2" s="1"/>
  <c r="K140" i="2" s="1"/>
  <c r="H139" i="2"/>
  <c r="G139" i="2"/>
  <c r="I139" i="2" s="1"/>
  <c r="K139" i="2" s="1"/>
  <c r="H149" i="2"/>
  <c r="G149" i="2"/>
  <c r="I149" i="2" s="1"/>
  <c r="K149" i="2" s="1"/>
  <c r="G147" i="2"/>
  <c r="I147" i="2" s="1"/>
  <c r="K147" i="2" s="1"/>
  <c r="H147" i="2"/>
  <c r="H141" i="2"/>
  <c r="G141" i="2"/>
  <c r="I141" i="2" s="1"/>
  <c r="K141" i="2" s="1"/>
  <c r="H145" i="2"/>
  <c r="G145" i="2"/>
  <c r="I145" i="2" s="1"/>
  <c r="K145" i="2" s="1"/>
  <c r="H146" i="2"/>
  <c r="G146" i="2"/>
  <c r="I146" i="2" s="1"/>
  <c r="K146" i="2" s="1"/>
  <c r="H148" i="2"/>
  <c r="G148" i="2"/>
  <c r="I148" i="2" s="1"/>
  <c r="K148" i="2" s="1"/>
  <c r="G143" i="2"/>
  <c r="I143" i="2" s="1"/>
  <c r="K143" i="2" s="1"/>
  <c r="H143" i="2"/>
  <c r="G163" i="2"/>
  <c r="I163" i="2" s="1"/>
  <c r="K163" i="2" s="1"/>
  <c r="H163" i="2"/>
  <c r="G160" i="2"/>
  <c r="I160" i="2" s="1"/>
  <c r="K160" i="2" s="1"/>
  <c r="H160" i="2"/>
  <c r="G161" i="2"/>
  <c r="I161" i="2" s="1"/>
  <c r="K161" i="2" s="1"/>
  <c r="H161" i="2"/>
  <c r="G159" i="2"/>
  <c r="I159" i="2" s="1"/>
  <c r="K159" i="2" s="1"/>
  <c r="H159" i="2"/>
  <c r="G150" i="2"/>
  <c r="I150" i="2" s="1"/>
  <c r="K150" i="2" s="1"/>
  <c r="H150" i="2"/>
  <c r="H162" i="2"/>
  <c r="G162" i="2"/>
  <c r="I162" i="2" s="1"/>
  <c r="K162" i="2" s="1"/>
  <c r="H138" i="2"/>
  <c r="G138" i="2"/>
  <c r="I138" i="2" s="1"/>
  <c r="K138" i="2" s="1"/>
  <c r="H122" i="2"/>
  <c r="G122" i="2"/>
  <c r="I122" i="2" s="1"/>
  <c r="K122" i="2" s="1"/>
  <c r="H120" i="2"/>
  <c r="G120" i="2"/>
  <c r="I120" i="2" s="1"/>
  <c r="K120" i="2" s="1"/>
  <c r="G121" i="2"/>
  <c r="I121" i="2" s="1"/>
  <c r="K121" i="2" s="1"/>
  <c r="H121" i="2"/>
  <c r="G119" i="2"/>
  <c r="I119" i="2" s="1"/>
  <c r="K119" i="2" s="1"/>
  <c r="H119" i="2"/>
  <c r="G117" i="2"/>
  <c r="I117" i="2" s="1"/>
  <c r="H117" i="2"/>
  <c r="G118" i="2"/>
  <c r="I118" i="2" s="1"/>
  <c r="K118" i="2" s="1"/>
  <c r="H118" i="2"/>
  <c r="H115" i="2"/>
  <c r="G115" i="2"/>
  <c r="I115" i="2" s="1"/>
  <c r="K115" i="2" s="1"/>
  <c r="H114" i="2"/>
  <c r="G114" i="2"/>
  <c r="I114" i="2" s="1"/>
  <c r="K114" i="2" s="1"/>
  <c r="G110" i="2"/>
  <c r="I110" i="2" s="1"/>
  <c r="V110" i="2" s="1"/>
  <c r="H110" i="2"/>
  <c r="G111" i="2"/>
  <c r="I111" i="2" s="1"/>
  <c r="K111" i="2" s="1"/>
  <c r="H111" i="2"/>
  <c r="H112" i="2"/>
  <c r="G112" i="2"/>
  <c r="I112" i="2" s="1"/>
  <c r="K112" i="2" s="1"/>
  <c r="H113" i="2"/>
  <c r="G113" i="2"/>
  <c r="I113" i="2" s="1"/>
  <c r="K113" i="2" s="1"/>
  <c r="G93" i="2"/>
  <c r="I93" i="2" s="1"/>
  <c r="K93" i="2" s="1"/>
  <c r="H93" i="2"/>
  <c r="H89" i="2"/>
  <c r="G89" i="2"/>
  <c r="I89" i="2" s="1"/>
  <c r="H90" i="2"/>
  <c r="G90" i="2"/>
  <c r="I90" i="2" s="1"/>
  <c r="K90" i="2" s="1"/>
  <c r="G91" i="2"/>
  <c r="I91" i="2" s="1"/>
  <c r="K91" i="2" s="1"/>
  <c r="H91" i="2"/>
  <c r="H92" i="2"/>
  <c r="G92" i="2"/>
  <c r="I92" i="2" s="1"/>
  <c r="K92" i="2" s="1"/>
  <c r="H94" i="2"/>
  <c r="G94" i="2"/>
  <c r="I94" i="2" s="1"/>
  <c r="K94" i="2" s="1"/>
  <c r="P37" i="4"/>
  <c r="X37" i="4"/>
  <c r="O37" i="4"/>
  <c r="Q37" i="4"/>
  <c r="Y37" i="4"/>
  <c r="R37" i="4"/>
  <c r="V37" i="4"/>
  <c r="Z37" i="4"/>
  <c r="M37" i="4"/>
  <c r="S37" i="4"/>
  <c r="W37" i="4"/>
  <c r="AA37" i="4"/>
  <c r="N37" i="4"/>
  <c r="L37" i="4"/>
  <c r="K37" i="4"/>
  <c r="J37" i="4"/>
  <c r="F37" i="4"/>
  <c r="E37" i="4"/>
  <c r="Q38" i="4"/>
  <c r="N35" i="4"/>
  <c r="N40" i="4" s="1"/>
  <c r="M38" i="4"/>
  <c r="R38" i="4"/>
  <c r="F36" i="4"/>
  <c r="F38" i="4" s="1"/>
  <c r="G125" i="2"/>
  <c r="I125" i="2" s="1"/>
  <c r="K125" i="2" s="1"/>
  <c r="H125" i="2"/>
  <c r="S38" i="4"/>
  <c r="H128" i="2"/>
  <c r="G128" i="2"/>
  <c r="I128" i="2" s="1"/>
  <c r="K128" i="2" s="1"/>
  <c r="H126" i="2"/>
  <c r="G126" i="2"/>
  <c r="I126" i="2" s="1"/>
  <c r="K126" i="2" s="1"/>
  <c r="H124" i="2"/>
  <c r="G124" i="2"/>
  <c r="D130" i="2"/>
  <c r="H127" i="2"/>
  <c r="G127" i="2"/>
  <c r="I127" i="2" s="1"/>
  <c r="K127" i="2" s="1"/>
  <c r="E130" i="2"/>
  <c r="H129" i="2"/>
  <c r="G129" i="2"/>
  <c r="I129" i="2" s="1"/>
  <c r="K129" i="2" s="1"/>
  <c r="H13" i="2"/>
  <c r="G13" i="2"/>
  <c r="I13" i="2" s="1"/>
  <c r="K13" i="2" s="1"/>
  <c r="G16" i="2"/>
  <c r="I16" i="2" s="1"/>
  <c r="K16" i="2" s="1"/>
  <c r="H16" i="2"/>
  <c r="G15" i="2"/>
  <c r="I15" i="2" s="1"/>
  <c r="K15" i="2" s="1"/>
  <c r="H15" i="2"/>
  <c r="H14" i="2"/>
  <c r="G14" i="2"/>
  <c r="I14" i="2" s="1"/>
  <c r="K14" i="2" s="1"/>
  <c r="H17" i="2"/>
  <c r="G17" i="2"/>
  <c r="I17" i="2" s="1"/>
  <c r="K17" i="2" s="1"/>
  <c r="E67" i="2"/>
  <c r="D67" i="2"/>
  <c r="D5" i="2"/>
  <c r="D11" i="2" s="1"/>
  <c r="E33" i="2"/>
  <c r="E39" i="2" s="1"/>
  <c r="M40" i="3"/>
  <c r="E47" i="2"/>
  <c r="E53" i="2" s="1"/>
  <c r="Q40" i="3"/>
  <c r="D68" i="2"/>
  <c r="D74" i="2" s="1"/>
  <c r="V40" i="3"/>
  <c r="D116" i="2"/>
  <c r="AH40" i="3"/>
  <c r="AY40" i="3"/>
  <c r="T40" i="3"/>
  <c r="E82" i="2"/>
  <c r="E88" i="2" s="1"/>
  <c r="AA40" i="3"/>
  <c r="AV40" i="3"/>
  <c r="D40" i="2"/>
  <c r="N40" i="3"/>
  <c r="E68" i="2"/>
  <c r="E74" i="2" s="1"/>
  <c r="W40" i="3"/>
  <c r="E116" i="2"/>
  <c r="AI40" i="3"/>
  <c r="E152" i="2"/>
  <c r="E158" i="2" s="1"/>
  <c r="AU40" i="3"/>
  <c r="D144" i="2"/>
  <c r="AP40" i="3"/>
  <c r="AB40" i="3"/>
  <c r="D32" i="2"/>
  <c r="J40" i="3"/>
  <c r="E40" i="2"/>
  <c r="E46" i="2" s="1"/>
  <c r="O40" i="3"/>
  <c r="S40" i="3"/>
  <c r="D75" i="2"/>
  <c r="D81" i="2" s="1"/>
  <c r="X40" i="3"/>
  <c r="D103" i="2"/>
  <c r="D109" i="2" s="1"/>
  <c r="AF40" i="3"/>
  <c r="AJ40" i="3"/>
  <c r="E144" i="2"/>
  <c r="AQ40" i="3"/>
  <c r="AW40" i="3"/>
  <c r="AC40" i="3"/>
  <c r="E131" i="2"/>
  <c r="E137" i="2" s="1"/>
  <c r="AO40" i="3"/>
  <c r="H40" i="3"/>
  <c r="D102" i="2"/>
  <c r="AD40" i="3"/>
  <c r="AL40" i="3"/>
  <c r="E151" i="2"/>
  <c r="AS40" i="3"/>
  <c r="D154" i="2"/>
  <c r="H227" i="2" s="1"/>
  <c r="AT40" i="3"/>
  <c r="E19" i="2"/>
  <c r="E25" i="2" s="1"/>
  <c r="I40" i="3"/>
  <c r="AE40" i="3"/>
  <c r="AM40" i="3"/>
  <c r="D33" i="2"/>
  <c r="L40" i="3"/>
  <c r="E26" i="2"/>
  <c r="E32" i="2" s="1"/>
  <c r="K40" i="3"/>
  <c r="D47" i="2"/>
  <c r="P40" i="3"/>
  <c r="U40" i="3"/>
  <c r="E75" i="2"/>
  <c r="E81" i="2" s="1"/>
  <c r="Y40" i="3"/>
  <c r="E109" i="2"/>
  <c r="AG40" i="3"/>
  <c r="AK40" i="3"/>
  <c r="AR40" i="3"/>
  <c r="D172" i="2"/>
  <c r="AX40" i="3"/>
  <c r="D82" i="2"/>
  <c r="D88" i="2" s="1"/>
  <c r="Z40" i="3"/>
  <c r="D131" i="2"/>
  <c r="D137" i="2" s="1"/>
  <c r="AN40" i="3"/>
  <c r="K35" i="4"/>
  <c r="K40" i="4" s="1"/>
  <c r="K34" i="4"/>
  <c r="D180" i="2"/>
  <c r="D186" i="2" s="1"/>
  <c r="E180" i="2"/>
  <c r="E186" i="2" s="1"/>
  <c r="AZ40" i="3"/>
  <c r="BA40" i="3"/>
  <c r="H229" i="2"/>
  <c r="X35" i="4"/>
  <c r="I229" i="2"/>
  <c r="I226" i="2"/>
  <c r="I227" i="2"/>
  <c r="I228" i="2"/>
  <c r="H230" i="2"/>
  <c r="H228" i="2"/>
  <c r="H226" i="2"/>
  <c r="I230" i="2"/>
  <c r="U38" i="4"/>
  <c r="AD5" i="4"/>
  <c r="AD6" i="4"/>
  <c r="AD7" i="4"/>
  <c r="AD8" i="4"/>
  <c r="AD14" i="4"/>
  <c r="AD16" i="4"/>
  <c r="AD17" i="4"/>
  <c r="AD18" i="4"/>
  <c r="H23" i="2"/>
  <c r="L23" i="2" s="1"/>
  <c r="G23" i="2"/>
  <c r="I23" i="2" s="1"/>
  <c r="K23" i="2" s="1"/>
  <c r="H20" i="2"/>
  <c r="L20" i="2" s="1"/>
  <c r="G20" i="2"/>
  <c r="I20" i="2" s="1"/>
  <c r="K20" i="2" s="1"/>
  <c r="G22" i="2"/>
  <c r="I22" i="2" s="1"/>
  <c r="K22" i="2" s="1"/>
  <c r="H22" i="2"/>
  <c r="L22" i="2" s="1"/>
  <c r="H21" i="2"/>
  <c r="L21" i="2" s="1"/>
  <c r="G21" i="2"/>
  <c r="I21" i="2" s="1"/>
  <c r="K21" i="2" s="1"/>
  <c r="G24" i="2"/>
  <c r="I24" i="2" s="1"/>
  <c r="K24" i="2" s="1"/>
  <c r="H24" i="2"/>
  <c r="L24" i="2" s="1"/>
  <c r="O36" i="4"/>
  <c r="E36" i="4"/>
  <c r="E38" i="4" s="1"/>
  <c r="G38" i="2"/>
  <c r="I38" i="2" s="1"/>
  <c r="K38" i="2" s="1"/>
  <c r="H38" i="2"/>
  <c r="H37" i="2"/>
  <c r="G37" i="2"/>
  <c r="I37" i="2" s="1"/>
  <c r="K37" i="2" s="1"/>
  <c r="D16" i="4"/>
  <c r="D17" i="4"/>
  <c r="G64" i="2"/>
  <c r="I64" i="2" s="1"/>
  <c r="H64" i="2"/>
  <c r="J64" i="2" s="1"/>
  <c r="G63" i="2"/>
  <c r="H63" i="2"/>
  <c r="I5" i="4"/>
  <c r="I6" i="4"/>
  <c r="I7" i="4"/>
  <c r="I8" i="4"/>
  <c r="I10" i="4"/>
  <c r="I14" i="4"/>
  <c r="I36" i="4" s="1"/>
  <c r="O35" i="4"/>
  <c r="U35" i="4"/>
  <c r="U40" i="4" s="1"/>
  <c r="W35" i="4"/>
  <c r="W40" i="4" s="1"/>
  <c r="Y35" i="4"/>
  <c r="Y40" i="4" s="1"/>
  <c r="AA38" i="4"/>
  <c r="AA35" i="4"/>
  <c r="AA40" i="4" s="1"/>
  <c r="L35" i="4"/>
  <c r="L40" i="4" s="1"/>
  <c r="Q35" i="4"/>
  <c r="Q40" i="4" s="1"/>
  <c r="S35" i="4"/>
  <c r="S40" i="4" s="1"/>
  <c r="F35" i="4"/>
  <c r="F40" i="4" s="1"/>
  <c r="T35" i="4"/>
  <c r="T40" i="4" s="1"/>
  <c r="V35" i="4"/>
  <c r="V40" i="4" s="1"/>
  <c r="Z35" i="4"/>
  <c r="Z40" i="4" s="1"/>
  <c r="M35" i="4"/>
  <c r="M40" i="4" s="1"/>
  <c r="P35" i="4"/>
  <c r="P40" i="4" s="1"/>
  <c r="R35" i="4"/>
  <c r="E35" i="4"/>
  <c r="E40" i="4" s="1"/>
  <c r="J35" i="4"/>
  <c r="J40" i="4" s="1"/>
  <c r="H105" i="2"/>
  <c r="L105" i="2" s="1"/>
  <c r="G105" i="2"/>
  <c r="I105" i="2" s="1"/>
  <c r="K105" i="2" s="1"/>
  <c r="H106" i="2"/>
  <c r="L106" i="2" s="1"/>
  <c r="G106" i="2"/>
  <c r="I106" i="2" s="1"/>
  <c r="K106" i="2" s="1"/>
  <c r="H108" i="2"/>
  <c r="L108" i="2" s="1"/>
  <c r="G108" i="2"/>
  <c r="I108" i="2" s="1"/>
  <c r="K108" i="2" s="1"/>
  <c r="H104" i="2"/>
  <c r="L104" i="2" s="1"/>
  <c r="G104" i="2"/>
  <c r="I104" i="2" s="1"/>
  <c r="K104" i="2" s="1"/>
  <c r="H107" i="2"/>
  <c r="L107" i="2" s="1"/>
  <c r="G107" i="2"/>
  <c r="I107" i="2" s="1"/>
  <c r="K107" i="2" s="1"/>
  <c r="A47" i="2"/>
  <c r="V97" i="2"/>
  <c r="H29" i="2"/>
  <c r="L29" i="2" s="1"/>
  <c r="G29" i="2"/>
  <c r="I29" i="2" s="1"/>
  <c r="K29" i="2" s="1"/>
  <c r="G28" i="2"/>
  <c r="I28" i="2" s="1"/>
  <c r="K28" i="2" s="1"/>
  <c r="H28" i="2"/>
  <c r="L28" i="2" s="1"/>
  <c r="G31" i="2"/>
  <c r="I31" i="2" s="1"/>
  <c r="K31" i="2" s="1"/>
  <c r="H31" i="2"/>
  <c r="L31" i="2" s="1"/>
  <c r="H27" i="2"/>
  <c r="L27" i="2" s="1"/>
  <c r="G27" i="2"/>
  <c r="I27" i="2" s="1"/>
  <c r="V27" i="2" s="1"/>
  <c r="H30" i="2"/>
  <c r="L30" i="2" s="1"/>
  <c r="G30" i="2"/>
  <c r="I30" i="2" s="1"/>
  <c r="K30" i="2" s="1"/>
  <c r="H5" i="4"/>
  <c r="H6" i="4"/>
  <c r="H7" i="4"/>
  <c r="H8" i="4"/>
  <c r="H10" i="4"/>
  <c r="H14" i="4"/>
  <c r="H36" i="4" s="1"/>
  <c r="G6" i="4"/>
  <c r="G7" i="4"/>
  <c r="G8" i="4"/>
  <c r="G10" i="4"/>
  <c r="G14" i="4"/>
  <c r="G36" i="4" s="1"/>
  <c r="G5" i="4"/>
  <c r="D237" i="2"/>
  <c r="G71" i="2"/>
  <c r="I71" i="2" s="1"/>
  <c r="K71" i="2" s="1"/>
  <c r="D230" i="2"/>
  <c r="E230" i="2" s="1"/>
  <c r="H70" i="2"/>
  <c r="G184" i="2"/>
  <c r="I184" i="2" s="1"/>
  <c r="H8" i="2"/>
  <c r="G85" i="2"/>
  <c r="I85" i="2" s="1"/>
  <c r="K85" i="2" s="1"/>
  <c r="H71" i="2"/>
  <c r="H10" i="2"/>
  <c r="H80" i="2"/>
  <c r="L80" i="2" s="1"/>
  <c r="G73" i="2"/>
  <c r="I73" i="2" s="1"/>
  <c r="K73" i="2" s="1"/>
  <c r="H73" i="2"/>
  <c r="M34" i="4"/>
  <c r="H76" i="2"/>
  <c r="G183" i="2"/>
  <c r="I183" i="2" s="1"/>
  <c r="F230" i="2"/>
  <c r="G230" i="2" s="1"/>
  <c r="D226" i="2"/>
  <c r="E226" i="2" s="1"/>
  <c r="P34" i="4"/>
  <c r="G76" i="2"/>
  <c r="I76" i="2" s="1"/>
  <c r="G80" i="2"/>
  <c r="I80" i="2" s="1"/>
  <c r="K80" i="2" s="1"/>
  <c r="G8" i="2"/>
  <c r="I8" i="2" s="1"/>
  <c r="K8" i="2" s="1"/>
  <c r="G7" i="2"/>
  <c r="I7" i="2" s="1"/>
  <c r="K7" i="2" s="1"/>
  <c r="D227" i="2"/>
  <c r="E227" i="2" s="1"/>
  <c r="N34" i="4"/>
  <c r="E34" i="4"/>
  <c r="H83" i="2"/>
  <c r="L83" i="2" s="1"/>
  <c r="G83" i="2"/>
  <c r="I83" i="2" s="1"/>
  <c r="H77" i="2"/>
  <c r="L77" i="2" s="1"/>
  <c r="G77" i="2"/>
  <c r="I77" i="2" s="1"/>
  <c r="K77" i="2" s="1"/>
  <c r="F34" i="4"/>
  <c r="G10" i="2"/>
  <c r="I10" i="2" s="1"/>
  <c r="K10" i="2" s="1"/>
  <c r="H69" i="2"/>
  <c r="L69" i="2" s="1"/>
  <c r="G72" i="2"/>
  <c r="I72" i="2" s="1"/>
  <c r="K72" i="2" s="1"/>
  <c r="L34" i="4"/>
  <c r="G70" i="2"/>
  <c r="I70" i="2" s="1"/>
  <c r="K70" i="2" s="1"/>
  <c r="H155" i="2"/>
  <c r="L155" i="2" s="1"/>
  <c r="G155" i="2"/>
  <c r="I155" i="2" s="1"/>
  <c r="H153" i="2"/>
  <c r="L153" i="2" s="1"/>
  <c r="G153" i="2"/>
  <c r="I153" i="2" s="1"/>
  <c r="V153" i="2" s="1"/>
  <c r="H157" i="2"/>
  <c r="L157" i="2" s="1"/>
  <c r="G157" i="2"/>
  <c r="I157" i="2" s="1"/>
  <c r="H156" i="2"/>
  <c r="L156" i="2" s="1"/>
  <c r="G156" i="2"/>
  <c r="I156" i="2" s="1"/>
  <c r="D225" i="2"/>
  <c r="E225" i="2" s="1"/>
  <c r="F226" i="2"/>
  <c r="G226" i="2" s="1"/>
  <c r="G227" i="2"/>
  <c r="H185" i="2"/>
  <c r="L185" i="2" s="1"/>
  <c r="G185" i="2"/>
  <c r="I185" i="2" s="1"/>
  <c r="G9" i="2"/>
  <c r="I9" i="2" s="1"/>
  <c r="K9" i="2" s="1"/>
  <c r="H9" i="2"/>
  <c r="L9" i="2" s="1"/>
  <c r="H86" i="2"/>
  <c r="L86" i="2" s="1"/>
  <c r="G86" i="2"/>
  <c r="I86" i="2" s="1"/>
  <c r="K86" i="2" s="1"/>
  <c r="G69" i="2"/>
  <c r="I69" i="2" s="1"/>
  <c r="H7" i="2"/>
  <c r="L7" i="2" s="1"/>
  <c r="H79" i="2"/>
  <c r="L79" i="2" s="1"/>
  <c r="G79" i="2"/>
  <c r="I79" i="2" s="1"/>
  <c r="K79" i="2" s="1"/>
  <c r="H72" i="2"/>
  <c r="L72" i="2" s="1"/>
  <c r="J34" i="4"/>
  <c r="H181" i="2"/>
  <c r="L181" i="2" s="1"/>
  <c r="G181" i="2"/>
  <c r="I181" i="2" s="1"/>
  <c r="V181" i="2" s="1"/>
  <c r="H183" i="2"/>
  <c r="L183" i="2" s="1"/>
  <c r="H84" i="2"/>
  <c r="L84" i="2" s="1"/>
  <c r="G84" i="2"/>
  <c r="I84" i="2" s="1"/>
  <c r="K84" i="2" s="1"/>
  <c r="O34" i="4"/>
  <c r="H87" i="2"/>
  <c r="L87" i="2" s="1"/>
  <c r="G87" i="2"/>
  <c r="I87" i="2" s="1"/>
  <c r="K87" i="2" s="1"/>
  <c r="H85" i="2"/>
  <c r="L85" i="2" s="1"/>
  <c r="B21" i="13"/>
  <c r="M193" i="2"/>
  <c r="B28" i="13"/>
  <c r="B14" i="13"/>
  <c r="B13" i="13"/>
  <c r="Y34" i="4"/>
  <c r="W34" i="4"/>
  <c r="V34" i="4"/>
  <c r="Z34" i="4"/>
  <c r="X34" i="4"/>
  <c r="AA34" i="4"/>
  <c r="H184" i="2"/>
  <c r="L184" i="2" s="1"/>
  <c r="M144" i="2"/>
  <c r="B22" i="13" s="1"/>
  <c r="F225" i="2"/>
  <c r="G225" i="2" s="1"/>
  <c r="F229" i="2"/>
  <c r="G228" i="2"/>
  <c r="D228" i="2"/>
  <c r="E228" i="2" s="1"/>
  <c r="D229" i="2"/>
  <c r="H134" i="2"/>
  <c r="L134" i="2" s="1"/>
  <c r="G134" i="2"/>
  <c r="U34" i="4"/>
  <c r="G132" i="2"/>
  <c r="H132" i="2"/>
  <c r="L132" i="2" s="1"/>
  <c r="G133" i="2"/>
  <c r="H133" i="2"/>
  <c r="L133" i="2" s="1"/>
  <c r="G135" i="2"/>
  <c r="I135" i="2" s="1"/>
  <c r="K135" i="2" s="1"/>
  <c r="H135" i="2"/>
  <c r="L135" i="2" s="1"/>
  <c r="T34" i="4"/>
  <c r="S34" i="4"/>
  <c r="R34" i="4"/>
  <c r="Q34" i="4"/>
  <c r="K117" i="2" l="1"/>
  <c r="V117" i="2"/>
  <c r="L43" i="2"/>
  <c r="G12" i="2"/>
  <c r="I12" i="2" s="1"/>
  <c r="L42" i="2"/>
  <c r="I59" i="2"/>
  <c r="K59" i="2" s="1"/>
  <c r="L37" i="2"/>
  <c r="J37" i="2"/>
  <c r="K89" i="2"/>
  <c r="V89" i="2"/>
  <c r="K110" i="2"/>
  <c r="I55" i="2"/>
  <c r="V55" i="2" s="1"/>
  <c r="L38" i="2"/>
  <c r="J38" i="2"/>
  <c r="H40" i="2"/>
  <c r="J40" i="2" s="1"/>
  <c r="G40" i="2"/>
  <c r="I40" i="2" s="1"/>
  <c r="V40" i="2" s="1"/>
  <c r="H12" i="2"/>
  <c r="L12" i="2" s="1"/>
  <c r="H47" i="2"/>
  <c r="J47" i="2" s="1"/>
  <c r="G47" i="2"/>
  <c r="I47" i="2" s="1"/>
  <c r="K47" i="2" s="1"/>
  <c r="L51" i="2"/>
  <c r="L52" i="2"/>
  <c r="L48" i="2"/>
  <c r="L50" i="2"/>
  <c r="L49" i="2"/>
  <c r="D35" i="4"/>
  <c r="D40" i="4" s="1"/>
  <c r="D36" i="4"/>
  <c r="D38" i="4" s="1"/>
  <c r="L65" i="2"/>
  <c r="H194" i="2"/>
  <c r="H200" i="2" s="1"/>
  <c r="G194" i="2"/>
  <c r="I194" i="2" s="1"/>
  <c r="K194" i="2" s="1"/>
  <c r="L66" i="2"/>
  <c r="AD35" i="4"/>
  <c r="AD40" i="4" s="1"/>
  <c r="AD37" i="4"/>
  <c r="AD34" i="4"/>
  <c r="K195" i="2"/>
  <c r="I35" i="4"/>
  <c r="I40" i="4" s="1"/>
  <c r="K64" i="2"/>
  <c r="K45" i="2"/>
  <c r="L45" i="2"/>
  <c r="A54" i="2"/>
  <c r="A61" i="2" s="1"/>
  <c r="A68" i="2" s="1"/>
  <c r="A75" i="2" s="1"/>
  <c r="A82" i="2" s="1"/>
  <c r="A89" i="2" s="1"/>
  <c r="A96" i="2" s="1"/>
  <c r="A103" i="2" s="1"/>
  <c r="A110" i="2" s="1"/>
  <c r="A117" i="2" s="1"/>
  <c r="A124" i="2" s="1"/>
  <c r="A131" i="2" s="1"/>
  <c r="A138" i="2" s="1"/>
  <c r="A145" i="2" s="1"/>
  <c r="A152" i="2" s="1"/>
  <c r="A159" i="2" s="1"/>
  <c r="A166" i="2" s="1"/>
  <c r="L41" i="2"/>
  <c r="K41" i="2"/>
  <c r="L64" i="2"/>
  <c r="L63" i="2"/>
  <c r="J63" i="2"/>
  <c r="L44" i="2"/>
  <c r="I63" i="2"/>
  <c r="K63" i="2" s="1"/>
  <c r="V44" i="2"/>
  <c r="G60" i="2"/>
  <c r="L58" i="2"/>
  <c r="J58" i="2"/>
  <c r="L59" i="2"/>
  <c r="J56" i="2"/>
  <c r="L56" i="2"/>
  <c r="L55" i="2"/>
  <c r="L54" i="2"/>
  <c r="H60" i="2"/>
  <c r="J57" i="2"/>
  <c r="L57" i="2"/>
  <c r="J195" i="2"/>
  <c r="L195" i="2"/>
  <c r="L196" i="2"/>
  <c r="J196" i="2"/>
  <c r="J198" i="2"/>
  <c r="L198" i="2"/>
  <c r="J194" i="2"/>
  <c r="L194" i="2"/>
  <c r="L197" i="2"/>
  <c r="J197" i="2"/>
  <c r="L199" i="2"/>
  <c r="J199" i="2"/>
  <c r="J147" i="2"/>
  <c r="L147" i="2"/>
  <c r="J138" i="2"/>
  <c r="L138" i="2"/>
  <c r="L143" i="2"/>
  <c r="J143" i="2"/>
  <c r="L162" i="2"/>
  <c r="J162" i="2"/>
  <c r="L149" i="2"/>
  <c r="J149" i="2"/>
  <c r="L150" i="2"/>
  <c r="J150" i="2"/>
  <c r="L148" i="2"/>
  <c r="J148" i="2"/>
  <c r="L139" i="2"/>
  <c r="J139" i="2"/>
  <c r="L159" i="2"/>
  <c r="J159" i="2"/>
  <c r="L146" i="2"/>
  <c r="J146" i="2"/>
  <c r="L140" i="2"/>
  <c r="J140" i="2"/>
  <c r="L161" i="2"/>
  <c r="J161" i="2"/>
  <c r="L142" i="2"/>
  <c r="J142" i="2"/>
  <c r="J145" i="2"/>
  <c r="L145" i="2"/>
  <c r="J160" i="2"/>
  <c r="L160" i="2"/>
  <c r="L163" i="2"/>
  <c r="J163" i="2"/>
  <c r="L141" i="2"/>
  <c r="J141" i="2"/>
  <c r="J164" i="2"/>
  <c r="L164" i="2"/>
  <c r="J117" i="2"/>
  <c r="L117" i="2"/>
  <c r="J119" i="2"/>
  <c r="L119" i="2"/>
  <c r="L118" i="2"/>
  <c r="J118" i="2"/>
  <c r="L121" i="2"/>
  <c r="J121" i="2"/>
  <c r="L120" i="2"/>
  <c r="J120" i="2"/>
  <c r="J122" i="2"/>
  <c r="L122" i="2"/>
  <c r="J113" i="2"/>
  <c r="L113" i="2"/>
  <c r="L112" i="2"/>
  <c r="J112" i="2"/>
  <c r="J111" i="2"/>
  <c r="L111" i="2"/>
  <c r="J110" i="2"/>
  <c r="L110" i="2"/>
  <c r="L114" i="2"/>
  <c r="J114" i="2"/>
  <c r="L115" i="2"/>
  <c r="J115" i="2"/>
  <c r="L94" i="2"/>
  <c r="J94" i="2"/>
  <c r="J92" i="2"/>
  <c r="L92" i="2"/>
  <c r="J91" i="2"/>
  <c r="L91" i="2"/>
  <c r="J90" i="2"/>
  <c r="L90" i="2"/>
  <c r="L89" i="2"/>
  <c r="J89" i="2"/>
  <c r="J93" i="2"/>
  <c r="L93" i="2"/>
  <c r="V139" i="2"/>
  <c r="H37" i="4"/>
  <c r="G37" i="4"/>
  <c r="I37" i="4"/>
  <c r="L228" i="2"/>
  <c r="L227" i="2"/>
  <c r="V142" i="2"/>
  <c r="O38" i="4"/>
  <c r="J127" i="2"/>
  <c r="L127" i="2"/>
  <c r="G130" i="2"/>
  <c r="I124" i="2"/>
  <c r="V124" i="2" s="1"/>
  <c r="L124" i="2"/>
  <c r="J124" i="2"/>
  <c r="H130" i="2"/>
  <c r="L126" i="2"/>
  <c r="J126" i="2"/>
  <c r="L128" i="2"/>
  <c r="J128" i="2"/>
  <c r="L129" i="2"/>
  <c r="J129" i="2"/>
  <c r="L125" i="2"/>
  <c r="J125" i="2"/>
  <c r="L17" i="2"/>
  <c r="J17" i="2"/>
  <c r="L15" i="2"/>
  <c r="J15" i="2"/>
  <c r="J16" i="2"/>
  <c r="L16" i="2"/>
  <c r="J14" i="2"/>
  <c r="L14" i="2"/>
  <c r="L13" i="2"/>
  <c r="J13" i="2"/>
  <c r="H131" i="2"/>
  <c r="L131" i="2" s="1"/>
  <c r="H82" i="2"/>
  <c r="V62" i="2"/>
  <c r="G131" i="2"/>
  <c r="I131" i="2" s="1"/>
  <c r="G75" i="2"/>
  <c r="I75" i="2" s="1"/>
  <c r="V75" i="2" s="1"/>
  <c r="H75" i="2"/>
  <c r="L75" i="2" s="1"/>
  <c r="G180" i="2"/>
  <c r="D46" i="2"/>
  <c r="H8" i="13" s="1"/>
  <c r="H19" i="2"/>
  <c r="L19" i="2" s="1"/>
  <c r="G152" i="2"/>
  <c r="I152" i="2" s="1"/>
  <c r="H103" i="2"/>
  <c r="L103" i="2" s="1"/>
  <c r="G26" i="2"/>
  <c r="I26" i="2" s="1"/>
  <c r="E172" i="2"/>
  <c r="H26" i="13" s="1"/>
  <c r="H14" i="13"/>
  <c r="V145" i="2"/>
  <c r="H152" i="2"/>
  <c r="L152" i="2" s="1"/>
  <c r="H26" i="2"/>
  <c r="L26" i="2" s="1"/>
  <c r="G82" i="2"/>
  <c r="G88" i="2" s="1"/>
  <c r="H154" i="2"/>
  <c r="L154" i="2" s="1"/>
  <c r="G103" i="2"/>
  <c r="I103" i="2" s="1"/>
  <c r="V103" i="2" s="1"/>
  <c r="D158" i="2"/>
  <c r="H24" i="13" s="1"/>
  <c r="D25" i="2"/>
  <c r="H5" i="13" s="1"/>
  <c r="G19" i="2"/>
  <c r="I19" i="2" s="1"/>
  <c r="K19" i="2" s="1"/>
  <c r="G154" i="2"/>
  <c r="I154" i="2" s="1"/>
  <c r="V154" i="2" s="1"/>
  <c r="I225" i="2"/>
  <c r="I232" i="2" s="1"/>
  <c r="H30" i="13"/>
  <c r="H180" i="2"/>
  <c r="C38" i="4"/>
  <c r="E179" i="2"/>
  <c r="V150" i="2"/>
  <c r="V176" i="2"/>
  <c r="P41" i="4"/>
  <c r="K16" i="13" s="1"/>
  <c r="P38" i="4"/>
  <c r="V127" i="2"/>
  <c r="V168" i="2"/>
  <c r="V149" i="2"/>
  <c r="V91" i="2"/>
  <c r="K181" i="2"/>
  <c r="V157" i="2"/>
  <c r="K157" i="2"/>
  <c r="V155" i="2"/>
  <c r="K155" i="2"/>
  <c r="V198" i="2"/>
  <c r="V94" i="2"/>
  <c r="V177" i="2"/>
  <c r="V178" i="2"/>
  <c r="V76" i="2"/>
  <c r="K76" i="2"/>
  <c r="J73" i="2"/>
  <c r="L73" i="2"/>
  <c r="J8" i="2"/>
  <c r="L8" i="2"/>
  <c r="J70" i="2"/>
  <c r="L70" i="2"/>
  <c r="V140" i="2"/>
  <c r="V143" i="2"/>
  <c r="Z41" i="4"/>
  <c r="K26" i="13" s="1"/>
  <c r="Z38" i="4"/>
  <c r="Y39" i="4"/>
  <c r="Y38" i="4"/>
  <c r="V128" i="2"/>
  <c r="V126" i="2"/>
  <c r="V190" i="2"/>
  <c r="V129" i="2"/>
  <c r="V93" i="2"/>
  <c r="J76" i="2"/>
  <c r="L76" i="2"/>
  <c r="J71" i="2"/>
  <c r="L71" i="2"/>
  <c r="J39" i="4"/>
  <c r="J38" i="4"/>
  <c r="W39" i="4"/>
  <c r="W38" i="4"/>
  <c r="V90" i="2"/>
  <c r="V83" i="2"/>
  <c r="K83" i="2"/>
  <c r="V164" i="2"/>
  <c r="K27" i="2"/>
  <c r="V191" i="2"/>
  <c r="V148" i="2"/>
  <c r="V146" i="2"/>
  <c r="V92" i="2"/>
  <c r="V69" i="2"/>
  <c r="K69" i="2"/>
  <c r="V185" i="2"/>
  <c r="K185" i="2"/>
  <c r="V156" i="2"/>
  <c r="K156" i="2"/>
  <c r="K153" i="2"/>
  <c r="V199" i="2"/>
  <c r="V183" i="2"/>
  <c r="K183" i="2"/>
  <c r="J10" i="2"/>
  <c r="L10" i="2"/>
  <c r="V184" i="2"/>
  <c r="K184" i="2"/>
  <c r="V141" i="2"/>
  <c r="V48" i="2"/>
  <c r="V39" i="4"/>
  <c r="V38" i="4"/>
  <c r="AC41" i="4"/>
  <c r="K29" i="13" s="1"/>
  <c r="AC38" i="4"/>
  <c r="E229" i="2"/>
  <c r="E232" i="2" s="1"/>
  <c r="D8" i="11" s="1"/>
  <c r="D232" i="2"/>
  <c r="D6" i="11" s="1"/>
  <c r="G229" i="2"/>
  <c r="G232" i="2" s="1"/>
  <c r="H237" i="2" s="1"/>
  <c r="F232" i="2"/>
  <c r="X40" i="4"/>
  <c r="X41" i="4"/>
  <c r="O40" i="4"/>
  <c r="D214" i="2"/>
  <c r="B29" i="13"/>
  <c r="V24" i="2"/>
  <c r="J24" i="2"/>
  <c r="J22" i="2"/>
  <c r="V20" i="2"/>
  <c r="J20" i="2"/>
  <c r="V21" i="2"/>
  <c r="V23" i="2"/>
  <c r="V22" i="2"/>
  <c r="J21" i="2"/>
  <c r="J23" i="2"/>
  <c r="I133" i="2"/>
  <c r="I132" i="2"/>
  <c r="K132" i="2" s="1"/>
  <c r="I134" i="2"/>
  <c r="K134" i="2" s="1"/>
  <c r="G35" i="4"/>
  <c r="G40" i="4" s="1"/>
  <c r="V104" i="2"/>
  <c r="V118" i="2"/>
  <c r="V111" i="2"/>
  <c r="H35" i="2"/>
  <c r="G35" i="2"/>
  <c r="I35" i="2" s="1"/>
  <c r="K35" i="2" s="1"/>
  <c r="H34" i="2"/>
  <c r="G34" i="2"/>
  <c r="I34" i="2" s="1"/>
  <c r="H36" i="2"/>
  <c r="G36" i="2"/>
  <c r="I36" i="2" s="1"/>
  <c r="K36" i="2" s="1"/>
  <c r="H33" i="2"/>
  <c r="D39" i="2"/>
  <c r="H7" i="13" s="1"/>
  <c r="G33" i="2"/>
  <c r="I34" i="4"/>
  <c r="J62" i="2"/>
  <c r="H11" i="13"/>
  <c r="H67" i="2"/>
  <c r="K66" i="2"/>
  <c r="H35" i="4"/>
  <c r="H40" i="4" s="1"/>
  <c r="J106" i="2"/>
  <c r="J105" i="2"/>
  <c r="J108" i="2"/>
  <c r="J107" i="2"/>
  <c r="J104" i="2"/>
  <c r="L230" i="2"/>
  <c r="M230" i="2" s="1"/>
  <c r="M102" i="2"/>
  <c r="B16" i="13" s="1"/>
  <c r="V135" i="2"/>
  <c r="C234" i="2"/>
  <c r="D5" i="11" s="1"/>
  <c r="V77" i="2"/>
  <c r="V38" i="2"/>
  <c r="V28" i="2"/>
  <c r="V114" i="2"/>
  <c r="V115" i="2"/>
  <c r="V87" i="2"/>
  <c r="V79" i="2"/>
  <c r="V108" i="2"/>
  <c r="V73" i="2"/>
  <c r="V30" i="2"/>
  <c r="V31" i="2"/>
  <c r="V37" i="2"/>
  <c r="V98" i="2"/>
  <c r="V112" i="2"/>
  <c r="V65" i="2"/>
  <c r="V70" i="2"/>
  <c r="V72" i="2"/>
  <c r="V105" i="2"/>
  <c r="V29" i="2"/>
  <c r="V113" i="2"/>
  <c r="V107" i="2"/>
  <c r="V84" i="2"/>
  <c r="V86" i="2"/>
  <c r="V80" i="2"/>
  <c r="V85" i="2"/>
  <c r="V71" i="2"/>
  <c r="V100" i="2"/>
  <c r="V99" i="2"/>
  <c r="V101" i="2"/>
  <c r="V16" i="2"/>
  <c r="V14" i="2"/>
  <c r="V17" i="2"/>
  <c r="V15" i="2"/>
  <c r="V9" i="2"/>
  <c r="V8" i="2"/>
  <c r="V10" i="2"/>
  <c r="V7" i="2"/>
  <c r="H34" i="4"/>
  <c r="J27" i="2"/>
  <c r="J28" i="2"/>
  <c r="J29" i="2"/>
  <c r="J30" i="2"/>
  <c r="J31" i="2"/>
  <c r="D53" i="2"/>
  <c r="H9" i="13" s="1"/>
  <c r="H13" i="13"/>
  <c r="G34" i="4"/>
  <c r="H21" i="13"/>
  <c r="H22" i="13"/>
  <c r="H12" i="13"/>
  <c r="H4" i="13"/>
  <c r="C40" i="4"/>
  <c r="C39" i="4"/>
  <c r="D123" i="2"/>
  <c r="C41" i="4"/>
  <c r="G78" i="2"/>
  <c r="I78" i="2" s="1"/>
  <c r="K78" i="2" s="1"/>
  <c r="H18" i="13"/>
  <c r="E165" i="2"/>
  <c r="H78" i="2"/>
  <c r="L78" i="2" s="1"/>
  <c r="D179" i="2"/>
  <c r="D95" i="2"/>
  <c r="P39" i="4"/>
  <c r="J80" i="2"/>
  <c r="G6" i="2"/>
  <c r="I6" i="2" s="1"/>
  <c r="R41" i="4"/>
  <c r="K18" i="13" s="1"/>
  <c r="R39" i="4"/>
  <c r="Q39" i="4"/>
  <c r="Q41" i="4"/>
  <c r="K17" i="13" s="1"/>
  <c r="N39" i="4"/>
  <c r="N41" i="4"/>
  <c r="K14" i="13" s="1"/>
  <c r="M41" i="4"/>
  <c r="K13" i="13" s="1"/>
  <c r="M39" i="4"/>
  <c r="E123" i="2"/>
  <c r="D165" i="2"/>
  <c r="J69" i="2"/>
  <c r="K39" i="4"/>
  <c r="K41" i="4"/>
  <c r="K11" i="13" s="1"/>
  <c r="J41" i="4"/>
  <c r="K10" i="13" s="1"/>
  <c r="Z39" i="4"/>
  <c r="J77" i="2"/>
  <c r="J83" i="2"/>
  <c r="H136" i="2"/>
  <c r="H68" i="2"/>
  <c r="L68" i="2" s="1"/>
  <c r="E41" i="4"/>
  <c r="K5" i="13" s="1"/>
  <c r="E39" i="4"/>
  <c r="J157" i="2"/>
  <c r="J153" i="2"/>
  <c r="X39" i="4"/>
  <c r="J156" i="2"/>
  <c r="J155" i="2"/>
  <c r="L41" i="4"/>
  <c r="K12" i="13" s="1"/>
  <c r="L39" i="4"/>
  <c r="J72" i="2"/>
  <c r="J87" i="2"/>
  <c r="H6" i="2"/>
  <c r="L6" i="2" s="1"/>
  <c r="J185" i="2"/>
  <c r="Y41" i="4"/>
  <c r="K25" i="13" s="1"/>
  <c r="E95" i="2"/>
  <c r="F41" i="4"/>
  <c r="K6" i="13" s="1"/>
  <c r="F39" i="4"/>
  <c r="J9" i="2"/>
  <c r="E102" i="2"/>
  <c r="H16" i="13" s="1"/>
  <c r="H6" i="13"/>
  <c r="O41" i="4"/>
  <c r="O39" i="4"/>
  <c r="J181" i="2"/>
  <c r="G5" i="2"/>
  <c r="H5" i="2"/>
  <c r="J7" i="2"/>
  <c r="G136" i="2"/>
  <c r="J85" i="2"/>
  <c r="J84" i="2"/>
  <c r="J183" i="2"/>
  <c r="J79" i="2"/>
  <c r="G68" i="2"/>
  <c r="J86" i="2"/>
  <c r="W41" i="4"/>
  <c r="K23" i="13" s="1"/>
  <c r="V41" i="4"/>
  <c r="K22" i="13" s="1"/>
  <c r="AC39" i="4"/>
  <c r="AB41" i="4"/>
  <c r="K28" i="13" s="1"/>
  <c r="AB39" i="4"/>
  <c r="D151" i="2"/>
  <c r="H23" i="13" s="1"/>
  <c r="G182" i="2"/>
  <c r="H182" i="2"/>
  <c r="L182" i="2" s="1"/>
  <c r="AA41" i="4"/>
  <c r="K27" i="13" s="1"/>
  <c r="AA39" i="4"/>
  <c r="J184" i="2"/>
  <c r="C3" i="13"/>
  <c r="U41" i="4"/>
  <c r="K21" i="13" s="1"/>
  <c r="U39" i="4"/>
  <c r="J133" i="2"/>
  <c r="J132" i="2"/>
  <c r="J135" i="2"/>
  <c r="J134" i="2"/>
  <c r="H20" i="13"/>
  <c r="T41" i="4"/>
  <c r="K20" i="13" s="1"/>
  <c r="T39" i="4"/>
  <c r="S41" i="4"/>
  <c r="K19" i="13" s="1"/>
  <c r="S39" i="4"/>
  <c r="R40" i="4"/>
  <c r="G18" i="2" l="1"/>
  <c r="H18" i="2"/>
  <c r="J12" i="2"/>
  <c r="L33" i="2"/>
  <c r="J33" i="2"/>
  <c r="L36" i="2"/>
  <c r="J36" i="2"/>
  <c r="K55" i="2"/>
  <c r="L34" i="2"/>
  <c r="J34" i="2"/>
  <c r="L35" i="2"/>
  <c r="J35" i="2"/>
  <c r="L47" i="2"/>
  <c r="K34" i="2"/>
  <c r="V34" i="2"/>
  <c r="J18" i="2"/>
  <c r="L18" i="2"/>
  <c r="G200" i="2"/>
  <c r="K12" i="2"/>
  <c r="K18" i="2" s="1"/>
  <c r="I18" i="2"/>
  <c r="G11" i="2"/>
  <c r="L5" i="2"/>
  <c r="L11" i="2" s="1"/>
  <c r="H11" i="2"/>
  <c r="K200" i="2"/>
  <c r="I180" i="2"/>
  <c r="G186" i="2"/>
  <c r="L180" i="2"/>
  <c r="L186" i="2" s="1"/>
  <c r="H186" i="2"/>
  <c r="L200" i="2"/>
  <c r="V64" i="2"/>
  <c r="J200" i="2"/>
  <c r="I200" i="2"/>
  <c r="V63" i="2"/>
  <c r="L60" i="2"/>
  <c r="K44" i="2"/>
  <c r="V41" i="2"/>
  <c r="V47" i="2"/>
  <c r="L40" i="2"/>
  <c r="L46" i="2" s="1"/>
  <c r="J46" i="2"/>
  <c r="V51" i="2"/>
  <c r="I60" i="2"/>
  <c r="K54" i="2"/>
  <c r="J60" i="2"/>
  <c r="K131" i="2"/>
  <c r="B34" i="13"/>
  <c r="L82" i="2"/>
  <c r="L88" i="2" s="1"/>
  <c r="H88" i="2"/>
  <c r="B36" i="4"/>
  <c r="I102" i="2"/>
  <c r="V102" i="2"/>
  <c r="D16" i="13" s="1"/>
  <c r="B37" i="4"/>
  <c r="B34" i="4"/>
  <c r="K123" i="2"/>
  <c r="B35" i="4"/>
  <c r="B40" i="4"/>
  <c r="K124" i="2"/>
  <c r="K130" i="2" s="1"/>
  <c r="I130" i="2"/>
  <c r="J130" i="2"/>
  <c r="H46" i="2"/>
  <c r="L130" i="2"/>
  <c r="J116" i="2"/>
  <c r="G46" i="2"/>
  <c r="H165" i="2"/>
  <c r="I82" i="2"/>
  <c r="G109" i="2"/>
  <c r="J75" i="2"/>
  <c r="J172" i="2"/>
  <c r="H27" i="13"/>
  <c r="I123" i="2"/>
  <c r="J82" i="2"/>
  <c r="J88" i="2" s="1"/>
  <c r="J131" i="2"/>
  <c r="G116" i="2"/>
  <c r="J165" i="2"/>
  <c r="G123" i="2"/>
  <c r="G144" i="2"/>
  <c r="H172" i="2"/>
  <c r="G32" i="2"/>
  <c r="J19" i="2"/>
  <c r="J25" i="2" s="1"/>
  <c r="K62" i="2"/>
  <c r="H32" i="2"/>
  <c r="G67" i="2"/>
  <c r="V19" i="2"/>
  <c r="V25" i="2" s="1"/>
  <c r="N25" i="2" s="1"/>
  <c r="H116" i="2"/>
  <c r="J152" i="2"/>
  <c r="K102" i="2"/>
  <c r="G172" i="2"/>
  <c r="H109" i="2"/>
  <c r="J103" i="2"/>
  <c r="J109" i="2" s="1"/>
  <c r="H10" i="13"/>
  <c r="L158" i="2"/>
  <c r="K154" i="2"/>
  <c r="J144" i="2"/>
  <c r="H158" i="2"/>
  <c r="G158" i="2"/>
  <c r="H144" i="2"/>
  <c r="J26" i="2"/>
  <c r="J32" i="2" s="1"/>
  <c r="J154" i="2"/>
  <c r="H28" i="13"/>
  <c r="J180" i="2"/>
  <c r="G179" i="2"/>
  <c r="V189" i="2"/>
  <c r="K152" i="2"/>
  <c r="V158" i="2"/>
  <c r="V162" i="2"/>
  <c r="V161" i="2"/>
  <c r="K103" i="2"/>
  <c r="K109" i="2" s="1"/>
  <c r="L61" i="2"/>
  <c r="L67" i="2" s="1"/>
  <c r="G41" i="4"/>
  <c r="K7" i="13" s="1"/>
  <c r="G38" i="4"/>
  <c r="V196" i="2"/>
  <c r="V6" i="2"/>
  <c r="K6" i="2"/>
  <c r="V12" i="2"/>
  <c r="H179" i="2"/>
  <c r="L179" i="2"/>
  <c r="V138" i="2"/>
  <c r="V144" i="2" s="1"/>
  <c r="D22" i="13" s="1"/>
  <c r="K144" i="2"/>
  <c r="V169" i="2"/>
  <c r="V170" i="2"/>
  <c r="I39" i="4"/>
  <c r="I38" i="4"/>
  <c r="K40" i="2"/>
  <c r="V133" i="2"/>
  <c r="K133" i="2"/>
  <c r="V125" i="2"/>
  <c r="V160" i="2"/>
  <c r="V171" i="2"/>
  <c r="AD39" i="4"/>
  <c r="AD38" i="4"/>
  <c r="V175" i="2"/>
  <c r="K75" i="2"/>
  <c r="V13" i="2"/>
  <c r="V95" i="2"/>
  <c r="D15" i="13" s="1"/>
  <c r="H137" i="2"/>
  <c r="L136" i="2"/>
  <c r="L137" i="2" s="1"/>
  <c r="V197" i="2"/>
  <c r="V163" i="2"/>
  <c r="V26" i="2"/>
  <c r="V32" i="2" s="1"/>
  <c r="N32" i="2" s="1"/>
  <c r="K26" i="2"/>
  <c r="K32" i="2" s="1"/>
  <c r="V167" i="2"/>
  <c r="H41" i="4"/>
  <c r="K8" i="13" s="1"/>
  <c r="H38" i="4"/>
  <c r="V116" i="2"/>
  <c r="D18" i="13" s="1"/>
  <c r="K116" i="2"/>
  <c r="I158" i="2"/>
  <c r="K24" i="13"/>
  <c r="K15" i="13"/>
  <c r="AD41" i="4"/>
  <c r="K30" i="13" s="1"/>
  <c r="G214" i="2"/>
  <c r="V206" i="2"/>
  <c r="V205" i="2"/>
  <c r="V204" i="2"/>
  <c r="H214" i="2"/>
  <c r="V213" i="2"/>
  <c r="C4" i="13"/>
  <c r="A173" i="2"/>
  <c r="A180" i="2" s="1"/>
  <c r="A187" i="2" s="1"/>
  <c r="A194" i="2" s="1"/>
  <c r="A201" i="2" s="1"/>
  <c r="A208" i="2" s="1"/>
  <c r="V122" i="2"/>
  <c r="V119" i="2"/>
  <c r="V120" i="2"/>
  <c r="I136" i="2"/>
  <c r="V134" i="2"/>
  <c r="V132" i="2"/>
  <c r="V121" i="2"/>
  <c r="D41" i="4"/>
  <c r="K4" i="13" s="1"/>
  <c r="I95" i="2"/>
  <c r="D39" i="4"/>
  <c r="I116" i="2"/>
  <c r="L116" i="2"/>
  <c r="V57" i="2"/>
  <c r="I46" i="2"/>
  <c r="V58" i="2"/>
  <c r="V36" i="2"/>
  <c r="H39" i="2"/>
  <c r="G39" i="2"/>
  <c r="I33" i="2"/>
  <c r="V35" i="2"/>
  <c r="I41" i="4"/>
  <c r="K9" i="13" s="1"/>
  <c r="V66" i="2"/>
  <c r="J61" i="2"/>
  <c r="J67" i="2" s="1"/>
  <c r="H39" i="4"/>
  <c r="L109" i="2"/>
  <c r="I109" i="2"/>
  <c r="G39" i="4"/>
  <c r="I172" i="2"/>
  <c r="H29" i="13"/>
  <c r="M228" i="2"/>
  <c r="I144" i="2"/>
  <c r="V106" i="2"/>
  <c r="V45" i="2"/>
  <c r="V78" i="2"/>
  <c r="V50" i="2"/>
  <c r="V59" i="2"/>
  <c r="V43" i="2"/>
  <c r="K25" i="2"/>
  <c r="I32" i="2"/>
  <c r="L32" i="2"/>
  <c r="H53" i="2"/>
  <c r="G53" i="2"/>
  <c r="B238" i="2"/>
  <c r="C238" i="2"/>
  <c r="H25" i="13"/>
  <c r="H15" i="13"/>
  <c r="H19" i="13"/>
  <c r="H17" i="13"/>
  <c r="H3" i="13"/>
  <c r="K3" i="13"/>
  <c r="H81" i="2"/>
  <c r="J78" i="2"/>
  <c r="H123" i="2"/>
  <c r="L123" i="2"/>
  <c r="G102" i="2"/>
  <c r="G81" i="2"/>
  <c r="H74" i="2"/>
  <c r="J229" i="2"/>
  <c r="I25" i="2"/>
  <c r="J228" i="2"/>
  <c r="K228" i="2" s="1"/>
  <c r="H25" i="2"/>
  <c r="L25" i="2"/>
  <c r="J136" i="2"/>
  <c r="L229" i="2"/>
  <c r="G25" i="2"/>
  <c r="M227" i="2"/>
  <c r="J68" i="2"/>
  <c r="J74" i="2" s="1"/>
  <c r="G165" i="2"/>
  <c r="J230" i="2"/>
  <c r="K230" i="2" s="1"/>
  <c r="G137" i="2"/>
  <c r="D9" i="11"/>
  <c r="F237" i="2"/>
  <c r="I81" i="2"/>
  <c r="J6" i="2"/>
  <c r="G74" i="2"/>
  <c r="I68" i="2"/>
  <c r="V68" i="2" s="1"/>
  <c r="I5" i="2"/>
  <c r="V5" i="2" s="1"/>
  <c r="H102" i="2"/>
  <c r="L144" i="2" s="1"/>
  <c r="J226" i="2"/>
  <c r="K226" i="2" s="1"/>
  <c r="L81" i="2"/>
  <c r="H95" i="2"/>
  <c r="L74" i="2"/>
  <c r="J5" i="2"/>
  <c r="L165" i="2"/>
  <c r="G95" i="2"/>
  <c r="L226" i="2"/>
  <c r="M226" i="2" s="1"/>
  <c r="J182" i="2"/>
  <c r="J227" i="2"/>
  <c r="K227" i="2" s="1"/>
  <c r="I179" i="2"/>
  <c r="I165" i="2"/>
  <c r="L172" i="2"/>
  <c r="G151" i="2"/>
  <c r="I182" i="2"/>
  <c r="V182" i="2" s="1"/>
  <c r="H151" i="2"/>
  <c r="L151" i="2"/>
  <c r="D7" i="11"/>
  <c r="G237" i="2"/>
  <c r="K180" i="2" l="1"/>
  <c r="V186" i="2"/>
  <c r="K60" i="2"/>
  <c r="I88" i="2"/>
  <c r="V82" i="2"/>
  <c r="V52" i="2"/>
  <c r="K46" i="2"/>
  <c r="V18" i="2"/>
  <c r="N18" i="2" s="1"/>
  <c r="F4" i="13" s="1"/>
  <c r="V11" i="2"/>
  <c r="I11" i="2"/>
  <c r="J11" i="2"/>
  <c r="V67" i="2"/>
  <c r="N67" i="2" s="1"/>
  <c r="J186" i="2"/>
  <c r="I186" i="2"/>
  <c r="V193" i="2"/>
  <c r="D29" i="13" s="1"/>
  <c r="V200" i="2"/>
  <c r="D30" i="13" s="1"/>
  <c r="H34" i="13"/>
  <c r="K34" i="13"/>
  <c r="V81" i="2"/>
  <c r="D13" i="13" s="1"/>
  <c r="K82" i="2"/>
  <c r="K88" i="2" s="1"/>
  <c r="B39" i="4"/>
  <c r="B38" i="4"/>
  <c r="B41" i="4"/>
  <c r="J81" i="2"/>
  <c r="J137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J151" i="2"/>
  <c r="J158" i="2"/>
  <c r="K61" i="2"/>
  <c r="K67" i="2" s="1"/>
  <c r="I67" i="2"/>
  <c r="K158" i="2"/>
  <c r="J95" i="2"/>
  <c r="J179" i="2"/>
  <c r="V165" i="2"/>
  <c r="N165" i="2" s="1"/>
  <c r="F25" i="13" s="1"/>
  <c r="V130" i="2"/>
  <c r="V172" i="2"/>
  <c r="N172" i="2" s="1"/>
  <c r="F26" i="13" s="1"/>
  <c r="V179" i="2"/>
  <c r="D27" i="13" s="1"/>
  <c r="K182" i="2"/>
  <c r="K186" i="2" s="1"/>
  <c r="V74" i="2"/>
  <c r="K68" i="2"/>
  <c r="K74" i="2" s="1"/>
  <c r="I137" i="2"/>
  <c r="K136" i="2"/>
  <c r="K137" i="2" s="1"/>
  <c r="K5" i="2"/>
  <c r="K11" i="2" s="1"/>
  <c r="V39" i="2"/>
  <c r="D7" i="13" s="1"/>
  <c r="K33" i="2"/>
  <c r="K39" i="2" s="1"/>
  <c r="I151" i="2"/>
  <c r="K151" i="2"/>
  <c r="M229" i="2"/>
  <c r="K229" i="2"/>
  <c r="L214" i="2"/>
  <c r="J214" i="2"/>
  <c r="V203" i="2"/>
  <c r="V207" i="2" s="1"/>
  <c r="K214" i="2"/>
  <c r="I214" i="2"/>
  <c r="V214" i="2"/>
  <c r="D24" i="13"/>
  <c r="N158" i="2"/>
  <c r="F24" i="13" s="1"/>
  <c r="D6" i="13"/>
  <c r="D5" i="13"/>
  <c r="V136" i="2"/>
  <c r="V137" i="2" s="1"/>
  <c r="V123" i="2"/>
  <c r="N102" i="2"/>
  <c r="F16" i="13" s="1"/>
  <c r="L39" i="2"/>
  <c r="I39" i="2"/>
  <c r="J39" i="2"/>
  <c r="V56" i="2"/>
  <c r="N116" i="2"/>
  <c r="F18" i="13" s="1"/>
  <c r="F6" i="13"/>
  <c r="K179" i="2"/>
  <c r="N144" i="2"/>
  <c r="F22" i="13" s="1"/>
  <c r="K165" i="2"/>
  <c r="K172" i="2"/>
  <c r="I74" i="2"/>
  <c r="V49" i="2"/>
  <c r="I53" i="2"/>
  <c r="V42" i="2"/>
  <c r="V46" i="2" s="1"/>
  <c r="V109" i="2"/>
  <c r="D17" i="13" s="1"/>
  <c r="F5" i="13"/>
  <c r="K81" i="2"/>
  <c r="V147" i="2"/>
  <c r="L53" i="2"/>
  <c r="J53" i="2"/>
  <c r="L95" i="2"/>
  <c r="J123" i="2"/>
  <c r="J102" i="2"/>
  <c r="L102" i="2"/>
  <c r="D238" i="2"/>
  <c r="D12" i="13" l="1"/>
  <c r="N74" i="2"/>
  <c r="F12" i="13" s="1"/>
  <c r="V53" i="2"/>
  <c r="D9" i="13" s="1"/>
  <c r="D8" i="13"/>
  <c r="N46" i="2"/>
  <c r="F8" i="13" s="1"/>
  <c r="C32" i="13"/>
  <c r="K53" i="2"/>
  <c r="N193" i="2"/>
  <c r="F29" i="13" s="1"/>
  <c r="D28" i="13"/>
  <c r="D21" i="13"/>
  <c r="N137" i="2"/>
  <c r="F21" i="13" s="1"/>
  <c r="V88" i="2"/>
  <c r="D14" i="13" s="1"/>
  <c r="D20" i="13"/>
  <c r="N130" i="2"/>
  <c r="F20" i="13" s="1"/>
  <c r="N81" i="2"/>
  <c r="F13" i="13" s="1"/>
  <c r="F11" i="13"/>
  <c r="D4" i="13"/>
  <c r="N200" i="2"/>
  <c r="F30" i="13" s="1"/>
  <c r="D25" i="13"/>
  <c r="D26" i="13"/>
  <c r="N186" i="2"/>
  <c r="F28" i="13" s="1"/>
  <c r="N179" i="2"/>
  <c r="F27" i="13" s="1"/>
  <c r="N214" i="2"/>
  <c r="F32" i="13" s="1"/>
  <c r="D3" i="13"/>
  <c r="D19" i="13"/>
  <c r="N123" i="2"/>
  <c r="F19" i="13" s="1"/>
  <c r="N39" i="2"/>
  <c r="F7" i="13" s="1"/>
  <c r="V60" i="2"/>
  <c r="N109" i="2"/>
  <c r="F17" i="13" s="1"/>
  <c r="V151" i="2"/>
  <c r="N11" i="2"/>
  <c r="F3" i="13" s="1"/>
  <c r="G238" i="2"/>
  <c r="F238" i="2"/>
  <c r="H238" i="2"/>
  <c r="N53" i="2" l="1"/>
  <c r="F9" i="13" s="1"/>
  <c r="C34" i="13"/>
  <c r="D10" i="13"/>
  <c r="N60" i="2"/>
  <c r="F10" i="13" s="1"/>
  <c r="N88" i="2"/>
  <c r="F14" i="13" s="1"/>
  <c r="D11" i="13"/>
  <c r="N207" i="2"/>
  <c r="F31" i="13" s="1"/>
  <c r="D31" i="13"/>
  <c r="D23" i="13"/>
  <c r="N151" i="2"/>
  <c r="F23" i="13" s="1"/>
  <c r="E3" i="13"/>
  <c r="K95" i="2"/>
  <c r="N95" i="2"/>
  <c r="E4" i="13" l="1"/>
  <c r="E5" i="13" s="1"/>
  <c r="E6" i="13" s="1"/>
  <c r="E7" i="13" s="1"/>
  <c r="E8" i="13" s="1"/>
  <c r="E9" i="13" s="1"/>
  <c r="E10" i="13" s="1"/>
  <c r="E11" i="13" s="1"/>
  <c r="F15" i="13"/>
  <c r="E12" i="13" l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H225" i="2" l="1"/>
  <c r="H232" i="2" s="1"/>
  <c r="I239" i="2" l="1"/>
  <c r="C5" i="11" s="1"/>
  <c r="B5" i="11" s="1"/>
  <c r="G234" i="2"/>
  <c r="J225" i="2"/>
  <c r="L225" i="2"/>
  <c r="K225" i="2" l="1"/>
  <c r="K232" i="2" s="1"/>
  <c r="C8" i="11" s="1"/>
  <c r="B8" i="11" s="1"/>
  <c r="J232" i="2"/>
  <c r="C6" i="11" s="1"/>
  <c r="B6" i="11" s="1"/>
  <c r="M225" i="2"/>
  <c r="M232" i="2" s="1"/>
  <c r="C9" i="11" s="1"/>
  <c r="B9" i="11" s="1"/>
  <c r="L232" i="2"/>
  <c r="C7" i="11" s="1"/>
  <c r="B7" i="11" s="1"/>
  <c r="V221" i="2"/>
  <c r="N221" i="2" l="1"/>
  <c r="F34" i="13" s="1"/>
  <c r="V225" i="2"/>
  <c r="D34" i="13" l="1"/>
  <c r="E34" i="13"/>
</calcChain>
</file>

<file path=xl/comments1.xml><?xml version="1.0" encoding="utf-8"?>
<comments xmlns="http://schemas.openxmlformats.org/spreadsheetml/2006/main">
  <authors>
    <author>Autor</author>
  </authors>
  <commentList>
    <comment ref="S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3011</t>
        </r>
      </text>
    </comment>
    <comment ref="P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3042</t>
        </r>
      </text>
    </comment>
    <comment ref="P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3097 Estación El Belloto, anden 1. Servicio 661 XT-29-30 (viaje 34), 662 XT-11-16 (viaje 36), 665 XT-13-21 (viaje 42), 652 XT-26-03 (viaje 52), 653 XT-08-18 (viaje 54) y 657 XT-05-24 (viaje 60) son desacoplados.</t>
        </r>
      </text>
    </comment>
    <comment ref="P2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3144</t>
        </r>
      </text>
    </comment>
    <comment ref="P3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3194</t>
        </r>
      </text>
    </comment>
    <comment ref="S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3295 Estación El Belloto, anden 1. Servicio 616 XT-06-05 (viaje 96), 618 XT-17-24 (viaje 98), 601 XT-04-26 (viaje 100), 603 XT-03-01 (viaje 102), 604 XT-19-21 (viaje 104) y 605 XT-09-14 (viaje 106) son acoplados para cumplir con oferta de equipos en unidad múltiple.</t>
        </r>
      </text>
    </comment>
    <comment ref="N6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 por registro no preciso fiscico digital operador CTC , no es posible confirmar valores verdaderos 
</t>
        </r>
      </text>
    </comment>
    <comment ref="P6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3322 
Estación El Belloto, anden 1. Servicio 657 XT-33-35 (viaje 60), 659 XT-30-28 (viaje 62), 660 XT-10-11 (viaje 64), son desacoplados
Incidente 3328 
Estación El Belloto, anden 1. Servicio 618 XT-13-20 (viaje 98), 601 XT-10-05 (viaje 100) y 603 XT-22-17 (viaje 102) son acoplados para cumplir con oferta de equipos en unidad múltiple</t>
        </r>
      </text>
    </comment>
    <comment ref="S6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3328</t>
        </r>
      </text>
    </comment>
    <comment ref="N6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 por registro no preciso fiscico digital operador CTC , no es posible confirmar valores verdaderos 
</t>
        </r>
      </text>
    </comment>
    <comment ref="P6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3360
</t>
        </r>
      </text>
    </comment>
    <comment ref="S6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3369</t>
        </r>
      </text>
    </comment>
    <comment ref="N7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 por registro no preciso fiscico digital operador CTC , no es posible confirmar valores verdaderos 
</t>
        </r>
      </text>
    </comment>
    <comment ref="S7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3403 Estación El Belloto, anden 1. Servicio 654 XT-15-19 (viaje 56), 655 XT-16-01 (viaje 58), 657 XT-21-06 (viaje 60), 659 XT-03-12 (viaje 62), 660 XT-30-28 (viaje 64) son acoplados para cumplir con oferta de equipos en unidad múltiple. 
Incidente 3407 
Estación El Belloto, anden 1. Servicio 601 XT-03-10 (viaje 100) y 603 XT-21-26 (viaje 102) son acoplados para cumplir con oferta de equipos en unidad múltiple.</t>
        </r>
      </text>
    </comment>
    <comment ref="P8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3429</t>
        </r>
      </text>
    </comment>
    <comment ref="S8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3438</t>
        </r>
      </text>
    </comment>
    <comment ref="N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vacío.</t>
        </r>
      </text>
    </comment>
    <comment ref="P10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3517</t>
        </r>
      </text>
    </comment>
    <comment ref="S10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3543</t>
        </r>
      </text>
    </comment>
    <comment ref="N10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</t>
        </r>
      </text>
    </comment>
    <comment ref="P1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3555</t>
        </r>
      </text>
    </comment>
    <comment ref="S1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3575</t>
        </r>
      </text>
    </comment>
    <comment ref="P1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3590</t>
        </r>
      </text>
    </comment>
    <comment ref="S1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3616</t>
        </r>
      </text>
    </comment>
    <comment ref="P1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3653</t>
        </r>
      </text>
    </comment>
    <comment ref="S1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3666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3695</t>
        </r>
      </text>
    </comment>
    <comment ref="S1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3710</t>
        </r>
      </text>
    </comment>
    <comment ref="N13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vacío.</t>
        </r>
      </text>
    </comment>
    <comment ref="P15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3771 Estación El Belloto, anden 1. Servicio 661 XT-09-19 (viaje 34), 663 XT-33-32 (viaje 38), 664 XT-11-24 (viaje 40) y 666 XT-06-03 (viaje 44) 659, XT 29-30 (viaje 62) son desacoplados.</t>
        </r>
      </text>
    </comment>
    <comment ref="S15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3791
14:16 Estación El Belloto, anden 1. Servicio 616 XT-03-06 (viaje 96), 618 XT 07-19 (viaje 98), 601 XT-16-09 (viaje 100) y 603 XT-10-11 (viaje 102) son acoplados para cumplir con oferta de equipos en unidad múltiple.</t>
        </r>
      </text>
    </comment>
    <comment ref="P15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3809
Estación El Belloto, anden 1. Servicio 661 XT-04-14 (viaje 34), 652 XT-27-07 (viaje 52), 654 XT-10-16 (viaje 56), 657 XT 34-31 (viaje 60) 659, XT 17-24 (viaje 62) y 660 XT 32-28 (viaje 62) son desacoplados.</t>
        </r>
      </text>
    </comment>
    <comment ref="S15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3818 
Estación El Belloto, anden 1. Servicio 601 XT-08-27 (viaje 100), 603 XT 04-05 (viaje 102), 604 XT-07-26 (viaje 104), 605 XT-32-30 (viaje 106), 609 XT-34-31 (viaje 110) y 610 XT-10-24 (viaje 112) son acoplados para cumplir con oferta de equipos en unidad múltiple.
</t>
        </r>
      </text>
    </comment>
    <comment ref="P16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3832</t>
        </r>
      </text>
    </comment>
    <comment ref="S16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3845</t>
        </r>
      </text>
    </comment>
    <comment ref="P17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3863</t>
        </r>
      </text>
    </comment>
    <comment ref="S17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3880</t>
        </r>
      </text>
    </comment>
    <comment ref="P18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3905</t>
        </r>
      </text>
    </comment>
    <comment ref="S18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3915</t>
        </r>
      </text>
    </comment>
    <comment ref="P20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3989</t>
        </r>
      </text>
    </comment>
    <comment ref="S20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4008</t>
        </r>
      </text>
    </comment>
    <comment ref="P20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4015</t>
        </r>
      </text>
    </comment>
    <comment ref="S20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4052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PU-LI</t>
        </r>
      </text>
    </comment>
    <comment ref="H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</t>
        </r>
      </text>
    </comment>
    <comment ref="I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</t>
        </r>
      </text>
    </comment>
    <comment ref="J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
</t>
        </r>
      </text>
    </comment>
    <comment ref="K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LI-PU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</t>
        </r>
      </text>
    </comment>
    <comment ref="H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
</t>
        </r>
      </text>
    </comment>
    <comment ref="I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</t>
        </r>
      </text>
    </comment>
    <comment ref="J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  <comment ref="I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  <comment ref="J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  <comment ref="K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F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 por registro fiscico digital operador CTC , no es posible confirmar valores verdaderos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 por registro no preciso fiscico digital operador CTC , no es posible confirmar valores verdaderos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vacío.</t>
        </r>
      </text>
    </comment>
    <comment ref="F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</t>
        </r>
      </text>
    </comment>
    <comment ref="F2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vacío.</t>
        </r>
      </text>
    </comment>
  </commentList>
</comments>
</file>

<file path=xl/sharedStrings.xml><?xml version="1.0" encoding="utf-8"?>
<sst xmlns="http://schemas.openxmlformats.org/spreadsheetml/2006/main" count="707" uniqueCount="176">
  <si>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</si>
  <si>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</si>
  <si>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</si>
  <si>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</si>
  <si>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</si>
  <si>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</si>
  <si>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</si>
  <si>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</si>
  <si>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</si>
  <si>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</si>
  <si>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</si>
  <si>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</si>
  <si>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</si>
  <si>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</si>
  <si>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</si>
  <si>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</si>
  <si>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</si>
  <si>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</si>
  <si>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</si>
  <si>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</si>
  <si>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</si>
  <si>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</si>
  <si>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</si>
  <si>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</si>
  <si>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</si>
  <si>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</si>
  <si>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</si>
  <si>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</si>
  <si>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</si>
  <si>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</si>
  <si>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</si>
  <si>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</si>
  <si>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</si>
  <si>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</si>
  <si>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</si>
  <si>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</si>
  <si>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</si>
  <si>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</si>
  <si>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</si>
  <si>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</si>
  <si>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</si>
  <si>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</si>
  <si>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</si>
  <si>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</si>
  <si>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</si>
  <si>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</si>
  <si>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</si>
  <si>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</si>
  <si>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</si>
  <si>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</si>
  <si>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</si>
  <si>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</si>
  <si>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</si>
  <si>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</si>
  <si>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</si>
  <si>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</si>
  <si>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</si>
  <si>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</si>
  <si>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</si>
  <si>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</si>
  <si>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</si>
  <si>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</si>
  <si>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</si>
  <si>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</si>
  <si>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</si>
  <si>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</si>
  <si>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</si>
  <si>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</si>
  <si>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</si>
  <si>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</si>
  <si>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</si>
  <si>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</si>
  <si>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</si>
  <si>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</si>
  <si>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</si>
  <si>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</si>
  <si>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</si>
  <si>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</si>
  <si>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</si>
  <si>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</si>
  <si>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</si>
  <si>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</si>
  <si>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</si>
  <si>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</si>
  <si>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</si>
  <si>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</si>
  <si>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</si>
  <si>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</si>
  <si>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</si>
  <si>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</si>
  <si>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</si>
  <si>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</si>
  <si>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</si>
  <si>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</si>
  <si>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</si>
  <si>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</si>
  <si>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</si>
  <si>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</si>
  <si>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</si>
  <si>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</si>
  <si>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</si>
  <si>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</si>
  <si>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</si>
  <si>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</si>
  <si>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</si>
  <si>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</si>
  <si>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</si>
  <si>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</si>
  <si>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</si>
  <si>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</si>
  <si>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</si>
  <si>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</si>
  <si>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</si>
  <si>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</si>
  <si>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</si>
  <si>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</si>
  <si>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</si>
  <si>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</si>
  <si>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</si>
  <si>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</si>
  <si>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</si>
  <si>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</si>
  <si>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</si>
  <si>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</si>
  <si>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</si>
  <si>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</si>
  <si>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</si>
  <si>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</si>
  <si>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</si>
  <si>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</si>
  <si>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</si>
  <si>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</si>
  <si>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</si>
  <si>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IR</t>
  </si>
  <si>
    <t>Indice Regularidad (QU-via 2) 7:10am a 8:10am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</si>
  <si>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</si>
  <si>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</si>
  <si>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</si>
  <si>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</si>
  <si>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</si>
  <si>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</si>
  <si>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</si>
  <si>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</si>
  <si>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</si>
  <si>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</si>
  <si>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</si>
  <si>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</si>
  <si>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</si>
  <si>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</si>
  <si>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</si>
  <si>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</si>
  <si>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</si>
  <si>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</si>
  <si>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</si>
  <si>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</si>
  <si>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</si>
  <si>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</si>
  <si>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VM-PU</t>
  </si>
  <si>
    <t>VM-LI</t>
  </si>
  <si>
    <t>PU-MI</t>
  </si>
  <si>
    <t>Acople EB (600) vía 1</t>
  </si>
  <si>
    <t>PU-ES</t>
  </si>
  <si>
    <t>Trenes PU-ES</t>
  </si>
  <si>
    <t>Trenes LI-QU</t>
  </si>
  <si>
    <t>Corte PE (600) vía 1</t>
  </si>
  <si>
    <t>Corte PE (600)</t>
  </si>
  <si>
    <t>Corte EB (600) vía 2</t>
  </si>
  <si>
    <t>PE-LI</t>
  </si>
  <si>
    <t>Servicios VM-PU</t>
  </si>
  <si>
    <t>Servicios VM-LI</t>
  </si>
  <si>
    <t>Trenes VM-LI</t>
  </si>
  <si>
    <t>Trenes VM-PU</t>
  </si>
  <si>
    <t>Oferta Abril 2024</t>
  </si>
  <si>
    <t>Abril 2024</t>
  </si>
  <si>
    <t>008 Planilla Lun-Vie marzo Ver 9</t>
  </si>
  <si>
    <t xml:space="preserve">12 servicios suprimidos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</si>
</sst>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d/mmm/yy"/>
    <numFmt numFmtId="166" formatCode="d/m/yy;@"/>
    <numFmt numFmtId="167" formatCode="0.0"/>
    <numFmt numFmtId="168" formatCode="dd/mm/yy;@"/>
    <numFmt numFmtId="169" formatCode="_-* #,##0\ _€_-;\-* #,##0\ _€_-;_-* &quot;-&quot;??\ _€_-;_-@_-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4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rgb="FFFFC00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FDFDFD"/>
        <bgColor indexed="64"/>
      </patternFill>
    </fill>
    <fill>
      <patternFill patternType="solid">
        <fgColor rgb="FFD8D8D8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4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12" borderId="0" applyNumberFormat="0" applyBorder="0" applyAlignment="0" applyProtection="0"/>
    <xf numFmtId="0" fontId="12" fillId="26" borderId="0" applyNumberFormat="0" applyBorder="0" applyAlignment="0" applyProtection="0"/>
    <xf numFmtId="0" fontId="12" fillId="11" borderId="0" applyNumberFormat="0" applyBorder="0" applyAlignment="0" applyProtection="0"/>
    <xf numFmtId="0" fontId="12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24" fillId="27" borderId="0" applyNumberFormat="0" applyBorder="0" applyAlignment="0" applyProtection="0"/>
    <xf numFmtId="0" fontId="24" fillId="26" borderId="0" applyNumberFormat="0" applyBorder="0" applyAlignment="0" applyProtection="0"/>
    <xf numFmtId="0" fontId="24" fillId="11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5" fillId="16" borderId="0" applyNumberFormat="0" applyBorder="0" applyAlignment="0" applyProtection="0"/>
    <xf numFmtId="0" fontId="28" fillId="10" borderId="51" applyNumberFormat="0" applyAlignment="0" applyProtection="0"/>
    <xf numFmtId="0" fontId="26" fillId="31" borderId="52" applyNumberFormat="0" applyAlignment="0" applyProtection="0"/>
    <xf numFmtId="0" fontId="27" fillId="0" borderId="53" applyNumberFormat="0" applyFill="0" applyAlignment="0" applyProtection="0"/>
    <xf numFmtId="0" fontId="29" fillId="0" borderId="0" applyNumberFormat="0" applyFill="0" applyBorder="0" applyAlignment="0" applyProtection="0"/>
    <xf numFmtId="0" fontId="24" fillId="32" borderId="0" applyNumberFormat="0" applyBorder="0" applyAlignment="0" applyProtection="0"/>
    <xf numFmtId="0" fontId="24" fillId="6" borderId="0" applyNumberFormat="0" applyBorder="0" applyAlignment="0" applyProtection="0"/>
    <xf numFmtId="0" fontId="24" fillId="33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4" borderId="0" applyNumberFormat="0" applyBorder="0" applyAlignment="0" applyProtection="0"/>
    <xf numFmtId="0" fontId="30" fillId="25" borderId="51" applyNumberFormat="0" applyAlignment="0" applyProtection="0"/>
    <xf numFmtId="0" fontId="31" fillId="22" borderId="0" applyNumberFormat="0" applyBorder="0" applyAlignment="0" applyProtection="0"/>
    <xf numFmtId="0" fontId="32" fillId="3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2" fillId="36" borderId="54" applyNumberFormat="0" applyAlignment="0" applyProtection="0"/>
    <xf numFmtId="0" fontId="33" fillId="10" borderId="5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56" applyNumberFormat="0" applyFill="0" applyAlignment="0" applyProtection="0"/>
    <xf numFmtId="0" fontId="38" fillId="0" borderId="57" applyNumberFormat="0" applyFill="0" applyAlignment="0" applyProtection="0"/>
    <xf numFmtId="0" fontId="29" fillId="0" borderId="58" applyNumberFormat="0" applyFill="0" applyAlignment="0" applyProtection="0"/>
    <xf numFmtId="0" fontId="11" fillId="0" borderId="59" applyNumberFormat="0" applyFill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6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7" fillId="0" borderId="0"/>
    <xf numFmtId="0" fontId="48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4" fillId="0" borderId="0"/>
  </cellStyleXfs>
  <cellXfs count="364">
    <xf numFmtId="0" fontId="0" fillId="0" borderId="0" xfId="0"/>
    <xf numFmtId="17" fontId="4" fillId="0" borderId="0" xfId="2" applyNumberFormat="1"/>
    <xf numFmtId="0" fontId="4" fillId="0" borderId="0" xfId="2"/>
    <xf numFmtId="0" fontId="6" fillId="2" borderId="0" xfId="2" applyFont="1" applyFill="1" applyAlignment="1">
      <alignment horizontal="center"/>
    </xf>
    <xf numFmtId="0" fontId="6" fillId="0" borderId="0" xfId="2" applyFont="1" applyFill="1" applyAlignment="1">
      <alignment horizontal="center"/>
    </xf>
    <xf numFmtId="3" fontId="6" fillId="3" borderId="1" xfId="2" applyNumberFormat="1" applyFont="1" applyFill="1" applyBorder="1" applyAlignment="1">
      <alignment horizontal="center" wrapText="1"/>
    </xf>
    <xf numFmtId="3" fontId="7" fillId="3" borderId="1" xfId="2" applyNumberFormat="1" applyFont="1" applyFill="1" applyBorder="1" applyAlignment="1">
      <alignment horizontal="center" wrapText="1"/>
    </xf>
    <xf numFmtId="3" fontId="6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10" fillId="0" borderId="0" xfId="4" applyFont="1"/>
    <xf numFmtId="0" fontId="4" fillId="4" borderId="0" xfId="4" applyFont="1" applyFill="1" applyAlignment="1">
      <alignment horizontal="center"/>
    </xf>
    <xf numFmtId="3" fontId="4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8" fillId="5" borderId="2" xfId="4" applyNumberFormat="1" applyFont="1" applyFill="1" applyBorder="1" applyAlignment="1">
      <alignment horizontal="center" wrapText="1"/>
    </xf>
    <xf numFmtId="0" fontId="4" fillId="0" borderId="0" xfId="4" applyFont="1"/>
    <xf numFmtId="0" fontId="4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6" fillId="0" borderId="0" xfId="2" applyFont="1"/>
    <xf numFmtId="0" fontId="6" fillId="0" borderId="0" xfId="2" applyFont="1" applyBorder="1"/>
    <xf numFmtId="0" fontId="6" fillId="0" borderId="0" xfId="0" applyFont="1" applyAlignment="1">
      <alignment horizontal="center"/>
    </xf>
    <xf numFmtId="0" fontId="15" fillId="12" borderId="8" xfId="2" applyFont="1" applyFill="1" applyBorder="1" applyAlignment="1">
      <alignment horizontal="center"/>
    </xf>
    <xf numFmtId="167" fontId="6" fillId="13" borderId="0" xfId="2" applyNumberFormat="1" applyFont="1" applyFill="1" applyAlignment="1">
      <alignment horizontal="center"/>
    </xf>
    <xf numFmtId="0" fontId="16" fillId="0" borderId="2" xfId="0" applyFont="1" applyBorder="1"/>
    <xf numFmtId="0" fontId="17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5" fillId="0" borderId="0" xfId="2" applyFont="1" applyBorder="1"/>
    <xf numFmtId="0" fontId="14" fillId="7" borderId="5" xfId="2" applyFont="1" applyFill="1" applyBorder="1" applyAlignment="1">
      <alignment horizontal="center" vertical="center"/>
    </xf>
    <xf numFmtId="0" fontId="14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8" fillId="0" borderId="28" xfId="0" applyFont="1" applyFill="1" applyBorder="1" applyAlignment="1" applyProtection="1">
      <alignment horizontal="center"/>
      <protection locked="0"/>
    </xf>
    <xf numFmtId="0" fontId="8" fillId="0" borderId="29" xfId="0" applyFont="1" applyFill="1" applyBorder="1" applyAlignment="1" applyProtection="1">
      <alignment horizontal="center"/>
      <protection locked="0"/>
    </xf>
    <xf numFmtId="0" fontId="8" fillId="0" borderId="30" xfId="0" applyFont="1" applyFill="1" applyBorder="1" applyAlignment="1" applyProtection="1">
      <alignment horizontal="center"/>
      <protection locked="0"/>
    </xf>
    <xf numFmtId="0" fontId="8" fillId="0" borderId="31" xfId="0" applyFont="1" applyFill="1" applyBorder="1" applyAlignment="1" applyProtection="1">
      <alignment horizontal="center"/>
      <protection locked="0"/>
    </xf>
    <xf numFmtId="0" fontId="8" fillId="0" borderId="32" xfId="0" applyFont="1" applyFill="1" applyBorder="1" applyAlignment="1" applyProtection="1">
      <alignment horizontal="center"/>
      <protection locked="0"/>
    </xf>
    <xf numFmtId="0" fontId="8" fillId="0" borderId="33" xfId="0" applyFont="1" applyFill="1" applyBorder="1" applyAlignment="1" applyProtection="1">
      <alignment horizontal="center"/>
      <protection locked="0"/>
    </xf>
    <xf numFmtId="0" fontId="8" fillId="0" borderId="34" xfId="0" applyFont="1" applyFill="1" applyBorder="1" applyAlignment="1" applyProtection="1">
      <alignment horizontal="center"/>
      <protection locked="0"/>
    </xf>
    <xf numFmtId="0" fontId="8" fillId="0" borderId="35" xfId="0" applyFont="1" applyFill="1" applyBorder="1" applyAlignment="1" applyProtection="1">
      <alignment horizontal="center"/>
      <protection locked="0"/>
    </xf>
    <xf numFmtId="0" fontId="8" fillId="0" borderId="36" xfId="0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8" fillId="0" borderId="37" xfId="0" applyFont="1" applyFill="1" applyBorder="1" applyAlignment="1"/>
    <xf numFmtId="167" fontId="4" fillId="0" borderId="0" xfId="0" applyNumberFormat="1" applyFont="1" applyFill="1" applyAlignment="1">
      <alignment horizontal="center"/>
    </xf>
    <xf numFmtId="0" fontId="19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7" fontId="4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8" fontId="14" fillId="6" borderId="7" xfId="2" applyNumberFormat="1" applyFont="1" applyFill="1" applyBorder="1" applyAlignment="1" applyProtection="1">
      <alignment horizontal="center"/>
      <protection locked="0"/>
    </xf>
    <xf numFmtId="165" fontId="6" fillId="2" borderId="0" xfId="2" applyNumberFormat="1" applyFont="1" applyFill="1" applyAlignment="1" applyProtection="1">
      <alignment horizontal="center"/>
      <protection locked="0"/>
    </xf>
    <xf numFmtId="14" fontId="4" fillId="4" borderId="0" xfId="4" applyNumberFormat="1" applyFont="1" applyFill="1" applyAlignment="1" applyProtection="1">
      <alignment horizontal="center"/>
      <protection locked="0"/>
    </xf>
    <xf numFmtId="0" fontId="8" fillId="17" borderId="45" xfId="0" applyFont="1" applyFill="1" applyBorder="1" applyAlignment="1" applyProtection="1">
      <alignment horizontal="center"/>
    </xf>
    <xf numFmtId="0" fontId="8" fillId="18" borderId="45" xfId="0" applyFont="1" applyFill="1" applyBorder="1" applyAlignment="1" applyProtection="1">
      <alignment horizontal="center"/>
    </xf>
    <xf numFmtId="0" fontId="8" fillId="15" borderId="38" xfId="0" applyFont="1" applyFill="1" applyBorder="1" applyAlignment="1" applyProtection="1"/>
    <xf numFmtId="0" fontId="8" fillId="15" borderId="39" xfId="0" applyFont="1" applyFill="1" applyBorder="1" applyAlignment="1" applyProtection="1"/>
    <xf numFmtId="0" fontId="8" fillId="15" borderId="40" xfId="0" applyFont="1" applyFill="1" applyBorder="1" applyAlignment="1" applyProtection="1"/>
    <xf numFmtId="0" fontId="8" fillId="15" borderId="41" xfId="0" applyFont="1" applyFill="1" applyBorder="1" applyAlignment="1" applyProtection="1"/>
    <xf numFmtId="0" fontId="8" fillId="15" borderId="42" xfId="0" applyFont="1" applyFill="1" applyBorder="1" applyAlignment="1" applyProtection="1">
      <alignment horizontal="left"/>
    </xf>
    <xf numFmtId="0" fontId="8" fillId="16" borderId="40" xfId="0" applyFont="1" applyFill="1" applyBorder="1" applyAlignment="1" applyProtection="1"/>
    <xf numFmtId="0" fontId="8" fillId="16" borderId="41" xfId="0" applyFont="1" applyFill="1" applyBorder="1" applyAlignment="1" applyProtection="1"/>
    <xf numFmtId="0" fontId="8" fillId="16" borderId="43" xfId="0" applyFont="1" applyFill="1" applyBorder="1" applyAlignment="1" applyProtection="1">
      <alignment horizontal="left"/>
    </xf>
    <xf numFmtId="0" fontId="8" fillId="16" borderId="29" xfId="0" applyFont="1" applyFill="1" applyBorder="1" applyAlignment="1" applyProtection="1">
      <alignment horizontal="left"/>
    </xf>
    <xf numFmtId="0" fontId="8" fillId="16" borderId="36" xfId="0" applyFont="1" applyFill="1" applyBorder="1" applyAlignment="1" applyProtection="1">
      <alignment horizontal="left"/>
    </xf>
    <xf numFmtId="0" fontId="8" fillId="16" borderId="31" xfId="0" applyFont="1" applyFill="1" applyBorder="1" applyAlignment="1" applyProtection="1">
      <alignment horizontal="left"/>
    </xf>
    <xf numFmtId="0" fontId="8" fillId="16" borderId="44" xfId="0" applyFont="1" applyFill="1" applyBorder="1" applyAlignment="1" applyProtection="1">
      <alignment horizontal="left"/>
    </xf>
    <xf numFmtId="0" fontId="8" fillId="15" borderId="0" xfId="0" applyFont="1" applyFill="1" applyBorder="1" applyAlignment="1" applyProtection="1">
      <alignment horizontal="left"/>
    </xf>
    <xf numFmtId="0" fontId="20" fillId="0" borderId="0" xfId="0" applyFont="1" applyAlignment="1"/>
    <xf numFmtId="1" fontId="4" fillId="0" borderId="0" xfId="0" applyNumberFormat="1" applyFont="1"/>
    <xf numFmtId="1" fontId="13" fillId="0" borderId="0" xfId="0" applyNumberFormat="1" applyFont="1"/>
    <xf numFmtId="1" fontId="13" fillId="0" borderId="0" xfId="0" applyNumberFormat="1" applyFont="1" applyAlignment="1">
      <alignment horizontal="center"/>
    </xf>
    <xf numFmtId="1" fontId="4" fillId="10" borderId="43" xfId="0" applyNumberFormat="1" applyFont="1" applyFill="1" applyBorder="1" applyAlignment="1">
      <alignment horizontal="left"/>
    </xf>
    <xf numFmtId="167" fontId="4" fillId="0" borderId="0" xfId="0" applyNumberFormat="1" applyFont="1" applyAlignment="1">
      <alignment horizontal="center"/>
    </xf>
    <xf numFmtId="0" fontId="9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/>
    </xf>
    <xf numFmtId="0" fontId="9" fillId="0" borderId="0" xfId="0" applyFont="1"/>
    <xf numFmtId="1" fontId="4" fillId="12" borderId="43" xfId="0" applyNumberFormat="1" applyFont="1" applyFill="1" applyBorder="1" applyAlignment="1">
      <alignment horizontal="left"/>
    </xf>
    <xf numFmtId="0" fontId="9" fillId="0" borderId="0" xfId="0" applyFont="1" applyFill="1" applyBorder="1"/>
    <xf numFmtId="1" fontId="4" fillId="0" borderId="0" xfId="0" applyNumberFormat="1" applyFont="1" applyFill="1"/>
    <xf numFmtId="1" fontId="13" fillId="10" borderId="43" xfId="0" applyNumberFormat="1" applyFont="1" applyFill="1" applyBorder="1"/>
    <xf numFmtId="3" fontId="21" fillId="0" borderId="0" xfId="0" applyNumberFormat="1" applyFont="1" applyAlignment="1">
      <alignment horizontal="right"/>
    </xf>
    <xf numFmtId="3" fontId="13" fillId="10" borderId="43" xfId="0" applyNumberFormat="1" applyFont="1" applyFill="1" applyBorder="1" applyAlignment="1">
      <alignment horizontal="left"/>
    </xf>
    <xf numFmtId="3" fontId="4" fillId="0" borderId="0" xfId="0" applyNumberFormat="1" applyFont="1" applyFill="1"/>
    <xf numFmtId="1" fontId="13" fillId="10" borderId="43" xfId="0" applyNumberFormat="1" applyFont="1" applyFill="1" applyBorder="1" applyAlignment="1">
      <alignment horizontal="left"/>
    </xf>
    <xf numFmtId="14" fontId="4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9" fillId="0" borderId="0" xfId="2" applyFont="1" applyFill="1" applyBorder="1" applyAlignment="1" applyProtection="1">
      <alignment horizontal="center"/>
      <protection locked="0"/>
    </xf>
    <xf numFmtId="0" fontId="22" fillId="0" borderId="23" xfId="0" applyFont="1" applyBorder="1" applyAlignment="1">
      <alignment horizontal="center"/>
    </xf>
    <xf numFmtId="17" fontId="22" fillId="0" borderId="16" xfId="0" applyNumberFormat="1" applyFont="1" applyBorder="1" applyAlignment="1">
      <alignment horizontal="center"/>
    </xf>
    <xf numFmtId="17" fontId="22" fillId="0" borderId="46" xfId="0" applyNumberFormat="1" applyFont="1" applyBorder="1" applyAlignment="1">
      <alignment horizontal="center"/>
    </xf>
    <xf numFmtId="169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2" fillId="0" borderId="23" xfId="0" applyNumberFormat="1" applyFont="1" applyBorder="1" applyAlignment="1">
      <alignment horizontal="center"/>
    </xf>
    <xf numFmtId="21" fontId="11" fillId="0" borderId="0" xfId="0" applyNumberFormat="1" applyFont="1" applyAlignment="1">
      <alignment horizontal="center"/>
    </xf>
    <xf numFmtId="21" fontId="12" fillId="0" borderId="0" xfId="0" applyNumberFormat="1" applyFont="1" applyAlignment="1">
      <alignment horizontal="center"/>
    </xf>
    <xf numFmtId="0" fontId="22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0" fillId="0" borderId="49" xfId="0" applyBorder="1"/>
    <xf numFmtId="0" fontId="1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60" xfId="2" applyFont="1" applyFill="1" applyBorder="1" applyAlignment="1">
      <alignment horizontal="center"/>
    </xf>
    <xf numFmtId="0" fontId="6" fillId="12" borderId="11" xfId="2" applyFont="1" applyFill="1" applyBorder="1" applyAlignment="1">
      <alignment horizontal="center"/>
    </xf>
    <xf numFmtId="2" fontId="6" fillId="12" borderId="1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14" fillId="6" borderId="8" xfId="2" applyNumberFormat="1" applyFont="1" applyFill="1" applyBorder="1" applyAlignment="1" applyProtection="1">
      <alignment horizontal="center"/>
      <protection locked="0"/>
    </xf>
    <xf numFmtId="0" fontId="15" fillId="12" borderId="10" xfId="2" applyFont="1" applyFill="1" applyBorder="1" applyAlignment="1">
      <alignment horizontal="center"/>
    </xf>
    <xf numFmtId="3" fontId="6" fillId="12" borderId="12" xfId="2" applyNumberFormat="1" applyFont="1" applyFill="1" applyBorder="1" applyAlignment="1">
      <alignment horizontal="center"/>
    </xf>
    <xf numFmtId="0" fontId="0" fillId="0" borderId="0" xfId="0"/>
    <xf numFmtId="0" fontId="6" fillId="39" borderId="0" xfId="0" applyFont="1" applyFill="1" applyBorder="1" applyAlignment="1">
      <alignment horizontal="center"/>
    </xf>
    <xf numFmtId="0" fontId="6" fillId="39" borderId="2" xfId="0" applyFont="1" applyFill="1" applyBorder="1" applyAlignment="1">
      <alignment horizontal="center"/>
    </xf>
    <xf numFmtId="0" fontId="41" fillId="0" borderId="0" xfId="0" applyFont="1"/>
    <xf numFmtId="21" fontId="23" fillId="0" borderId="2" xfId="0" applyNumberFormat="1" applyFont="1" applyBorder="1" applyAlignment="1">
      <alignment horizontal="center"/>
    </xf>
    <xf numFmtId="169" fontId="23" fillId="0" borderId="2" xfId="1" applyNumberFormat="1" applyFont="1" applyBorder="1" applyAlignment="1">
      <alignment horizontal="center"/>
    </xf>
    <xf numFmtId="3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9" fontId="23" fillId="0" borderId="21" xfId="1" applyNumberFormat="1" applyFont="1" applyBorder="1" applyAlignment="1">
      <alignment horizontal="center"/>
    </xf>
    <xf numFmtId="0" fontId="4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4" fillId="38" borderId="2" xfId="6" applyFill="1" applyBorder="1" applyAlignment="1" applyProtection="1">
      <alignment horizontal="center"/>
      <protection locked="0"/>
    </xf>
    <xf numFmtId="0" fontId="4" fillId="40" borderId="2" xfId="6" applyFill="1" applyBorder="1" applyAlignment="1" applyProtection="1">
      <alignment horizontal="center"/>
      <protection locked="0"/>
    </xf>
    <xf numFmtId="0" fontId="8" fillId="41" borderId="45" xfId="0" applyFont="1" applyFill="1" applyBorder="1" applyAlignment="1" applyProtection="1">
      <alignment horizontal="center"/>
    </xf>
    <xf numFmtId="0" fontId="6" fillId="9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1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6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44" xfId="2" applyFont="1" applyFill="1" applyBorder="1" applyAlignment="1">
      <alignment horizontal="center"/>
    </xf>
    <xf numFmtId="0" fontId="6" fillId="12" borderId="64" xfId="2" applyFont="1" applyFill="1" applyBorder="1" applyAlignment="1" applyProtection="1">
      <alignment horizontal="center"/>
    </xf>
    <xf numFmtId="0" fontId="6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15" borderId="68" xfId="0" applyFont="1" applyFill="1" applyBorder="1" applyAlignment="1" applyProtection="1"/>
    <xf numFmtId="0" fontId="4" fillId="43" borderId="2" xfId="6" applyFill="1" applyBorder="1" applyAlignment="1" applyProtection="1">
      <alignment horizontal="center"/>
      <protection locked="0"/>
    </xf>
    <xf numFmtId="0" fontId="14" fillId="6" borderId="5" xfId="2" applyFont="1" applyFill="1" applyBorder="1" applyAlignment="1">
      <alignment horizontal="center"/>
    </xf>
    <xf numFmtId="0" fontId="44" fillId="45" borderId="15" xfId="0" applyFont="1" applyFill="1" applyBorder="1" applyAlignment="1">
      <alignment horizontal="center" vertical="center"/>
    </xf>
    <xf numFmtId="0" fontId="44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5" fillId="0" borderId="2" xfId="0" applyFont="1" applyBorder="1" applyAlignment="1">
      <alignment horizontal="center" vertical="center"/>
    </xf>
    <xf numFmtId="167" fontId="0" fillId="0" borderId="0" xfId="0" applyNumberFormat="1"/>
    <xf numFmtId="167" fontId="0" fillId="0" borderId="0" xfId="0" applyNumberFormat="1" applyBorder="1"/>
    <xf numFmtId="0" fontId="42" fillId="0" borderId="2" xfId="0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40" fillId="0" borderId="2" xfId="0" applyNumberFormat="1" applyFont="1" applyBorder="1" applyAlignment="1">
      <alignment horizontal="center" vertical="center"/>
    </xf>
    <xf numFmtId="3" fontId="40" fillId="0" borderId="2" xfId="0" applyNumberFormat="1" applyFont="1" applyBorder="1" applyAlignment="1">
      <alignment horizontal="center" vertical="center"/>
    </xf>
    <xf numFmtId="167" fontId="40" fillId="0" borderId="2" xfId="0" applyNumberFormat="1" applyFont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8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wrapText="1"/>
    </xf>
    <xf numFmtId="0" fontId="42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7" fillId="14" borderId="2" xfId="0" applyFont="1" applyFill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0" borderId="0" xfId="2" applyFont="1" applyFill="1" applyAlignment="1">
      <alignment vertical="center"/>
    </xf>
    <xf numFmtId="3" fontId="6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0" xfId="0" applyBorder="1"/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0" borderId="75" xfId="0" applyBorder="1"/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6" fillId="50" borderId="2" xfId="2" applyNumberFormat="1" applyFont="1" applyFill="1" applyBorder="1" applyAlignment="1">
      <alignment horizontal="center"/>
    </xf>
    <xf numFmtId="0" fontId="6" fillId="51" borderId="24" xfId="2" applyFont="1" applyFill="1" applyBorder="1" applyAlignment="1">
      <alignment horizontal="center" vertical="center" wrapText="1"/>
    </xf>
    <xf numFmtId="0" fontId="6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5" fillId="12" borderId="8" xfId="2" applyFont="1" applyFill="1" applyBorder="1" applyAlignment="1">
      <alignment horizontal="center" vertical="center" wrapText="1"/>
    </xf>
    <xf numFmtId="0" fontId="15" fillId="12" borderId="8" xfId="2" applyFont="1" applyFill="1" applyBorder="1" applyAlignment="1">
      <alignment horizontal="center" wrapText="1"/>
    </xf>
    <xf numFmtId="0" fontId="15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45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14" fillId="53" borderId="7" xfId="2" applyNumberFormat="1" applyFont="1" applyFill="1" applyBorder="1" applyAlignment="1" applyProtection="1">
      <alignment horizontal="center"/>
      <protection locked="0"/>
    </xf>
    <xf numFmtId="0" fontId="0" fillId="0" borderId="74" xfId="0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4" borderId="0" xfId="0" applyFill="1"/>
    <xf numFmtId="1" fontId="4" fillId="12" borderId="0" xfId="0" applyNumberFormat="1" applyFont="1" applyFill="1" applyBorder="1" applyAlignment="1">
      <alignment horizontal="left"/>
    </xf>
    <xf numFmtId="1" fontId="4" fillId="55" borderId="43" xfId="0" applyNumberFormat="1" applyFont="1" applyFill="1" applyBorder="1" applyAlignment="1">
      <alignment horizontal="left"/>
    </xf>
    <xf numFmtId="0" fontId="5" fillId="0" borderId="0" xfId="2" applyFont="1" applyFill="1" applyAlignment="1"/>
    <xf numFmtId="0" fontId="6" fillId="51" borderId="61" xfId="2" applyFont="1" applyFill="1" applyBorder="1" applyAlignment="1">
      <alignment horizontal="center" vertical="center" wrapText="1"/>
    </xf>
    <xf numFmtId="0" fontId="6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73" xfId="0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6" fillId="12" borderId="11" xfId="2" applyFont="1" applyFill="1" applyBorder="1" applyAlignment="1" applyProtection="1">
      <alignment horizontal="center"/>
    </xf>
    <xf numFmtId="0" fontId="6" fillId="9" borderId="0" xfId="0" applyFont="1" applyFill="1" applyBorder="1" applyAlignment="1">
      <alignment horizontal="center"/>
    </xf>
    <xf numFmtId="0" fontId="16" fillId="56" borderId="2" xfId="0" applyFont="1" applyFill="1" applyBorder="1" applyAlignment="1">
      <alignment horizontal="center" vertical="center"/>
    </xf>
    <xf numFmtId="3" fontId="16" fillId="56" borderId="2" xfId="0" applyNumberFormat="1" applyFont="1" applyFill="1" applyBorder="1" applyAlignment="1">
      <alignment horizontal="center" vertical="center"/>
    </xf>
    <xf numFmtId="0" fontId="0" fillId="56" borderId="0" xfId="0" applyFill="1"/>
    <xf numFmtId="0" fontId="6" fillId="39" borderId="66" xfId="0" applyFont="1" applyFill="1" applyBorder="1" applyAlignment="1">
      <alignment horizontal="center"/>
    </xf>
    <xf numFmtId="0" fontId="6" fillId="39" borderId="17" xfId="0" applyFont="1" applyFill="1" applyBorder="1" applyAlignment="1">
      <alignment horizontal="center"/>
    </xf>
    <xf numFmtId="0" fontId="6" fillId="39" borderId="65" xfId="0" applyFont="1" applyFill="1" applyBorder="1" applyAlignment="1">
      <alignment horizontal="center"/>
    </xf>
    <xf numFmtId="0" fontId="6" fillId="39" borderId="9" xfId="0" applyFont="1" applyFill="1" applyBorder="1" applyAlignment="1">
      <alignment horizontal="center"/>
    </xf>
    <xf numFmtId="0" fontId="6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1" fillId="57" borderId="0" xfId="0" applyNumberFormat="1" applyFont="1" applyFill="1" applyAlignment="1">
      <alignment horizontal="right"/>
    </xf>
    <xf numFmtId="0" fontId="16" fillId="58" borderId="2" xfId="0" applyFont="1" applyFill="1" applyBorder="1" applyAlignment="1">
      <alignment horizontal="center" vertical="center"/>
    </xf>
    <xf numFmtId="0" fontId="16" fillId="38" borderId="2" xfId="0" applyFont="1" applyFill="1" applyBorder="1" applyAlignment="1">
      <alignment horizontal="center" vertical="center"/>
    </xf>
    <xf numFmtId="3" fontId="21" fillId="58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3" fontId="39" fillId="54" borderId="0" xfId="0" applyNumberFormat="1" applyFont="1" applyFill="1"/>
    <xf numFmtId="0" fontId="49" fillId="57" borderId="2" xfId="0" applyFont="1" applyFill="1" applyBorder="1"/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0" xfId="0" applyAlignment="1">
      <alignment horizontal="center"/>
    </xf>
    <xf numFmtId="0" fontId="0" fillId="0" borderId="70" xfId="0" applyFill="1" applyBorder="1" applyAlignment="1">
      <alignment horizontal="center"/>
    </xf>
    <xf numFmtId="0" fontId="0" fillId="54" borderId="72" xfId="0" applyFill="1" applyBorder="1"/>
    <xf numFmtId="0" fontId="4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8" fillId="59" borderId="0" xfId="0" applyFont="1" applyFill="1" applyBorder="1" applyAlignment="1" applyProtection="1">
      <alignment horizontal="center"/>
      <protection locked="0"/>
    </xf>
    <xf numFmtId="0" fontId="0" fillId="0" borderId="0" xfId="0" applyFill="1" applyAlignment="1">
      <alignment horizontal="center" vertical="center" wrapText="1"/>
    </xf>
    <xf numFmtId="4" fontId="39" fillId="54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3" fontId="0" fillId="0" borderId="0" xfId="0" applyNumberForma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2" fillId="0" borderId="0" xfId="0" applyFont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4" fillId="43" borderId="0" xfId="6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8" fillId="59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60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/>
    <xf numFmtId="0" fontId="14" fillId="6" borderId="5" xfId="2" applyFont="1" applyFill="1" applyBorder="1" applyAlignment="1">
      <alignment horizontal="center"/>
    </xf>
    <xf numFmtId="0" fontId="53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54" borderId="0" xfId="0" applyFill="1" applyAlignment="1">
      <alignment horizontal="center"/>
    </xf>
    <xf numFmtId="0" fontId="6" fillId="37" borderId="66" xfId="0" applyFont="1" applyFill="1" applyBorder="1" applyAlignment="1">
      <alignment horizontal="center"/>
    </xf>
    <xf numFmtId="0" fontId="6" fillId="37" borderId="17" xfId="0" applyFont="1" applyFill="1" applyBorder="1" applyAlignment="1">
      <alignment horizontal="center"/>
    </xf>
    <xf numFmtId="0" fontId="6" fillId="37" borderId="65" xfId="0" applyFont="1" applyFill="1" applyBorder="1" applyAlignment="1">
      <alignment horizontal="center"/>
    </xf>
    <xf numFmtId="0" fontId="6" fillId="37" borderId="9" xfId="0" applyFont="1" applyFill="1" applyBorder="1" applyAlignment="1">
      <alignment horizontal="center"/>
    </xf>
    <xf numFmtId="0" fontId="6" fillId="37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7" borderId="0" xfId="0" applyFont="1" applyFill="1" applyBorder="1" applyAlignment="1">
      <alignment horizontal="center"/>
    </xf>
    <xf numFmtId="0" fontId="6" fillId="37" borderId="2" xfId="0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54" borderId="7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4" fillId="0" borderId="0" xfId="2" applyFont="1" applyFill="1" applyAlignment="1">
      <alignment vertical="center" wrapText="1"/>
    </xf>
    <xf numFmtId="0" fontId="6" fillId="9" borderId="66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9" borderId="65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9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61" borderId="2" xfId="0" applyFont="1" applyFill="1" applyBorder="1" applyAlignment="1" applyProtection="1">
      <alignment horizontal="center"/>
      <protection locked="0"/>
    </xf>
    <xf numFmtId="0" fontId="0" fillId="62" borderId="85" xfId="0" applyFill="1" applyBorder="1" applyAlignment="1">
      <alignment vertical="center" wrapText="1"/>
    </xf>
    <xf numFmtId="0" fontId="0" fillId="63" borderId="85" xfId="0" applyFill="1" applyBorder="1" applyAlignment="1">
      <alignment vertical="center" wrapText="1"/>
    </xf>
    <xf numFmtId="0" fontId="5" fillId="0" borderId="0" xfId="2" applyFont="1" applyFill="1" applyAlignment="1">
      <alignment horizontal="center"/>
    </xf>
    <xf numFmtId="0" fontId="40" fillId="52" borderId="83" xfId="0" applyFont="1" applyFill="1" applyBorder="1" applyAlignment="1">
      <alignment horizontal="center"/>
    </xf>
    <xf numFmtId="0" fontId="40" fillId="52" borderId="84" xfId="0" applyFont="1" applyFill="1" applyBorder="1" applyAlignment="1">
      <alignment horizontal="center"/>
    </xf>
    <xf numFmtId="0" fontId="40" fillId="52" borderId="50" xfId="0" applyFont="1" applyFill="1" applyBorder="1" applyAlignment="1">
      <alignment horizontal="center"/>
    </xf>
    <xf numFmtId="0" fontId="15" fillId="51" borderId="0" xfId="2" applyFont="1" applyFill="1" applyBorder="1" applyAlignment="1">
      <alignment horizontal="center" vertical="top"/>
    </xf>
    <xf numFmtId="0" fontId="15" fillId="51" borderId="17" xfId="2" applyFont="1" applyFill="1" applyBorder="1" applyAlignment="1">
      <alignment horizontal="center" vertical="top"/>
    </xf>
    <xf numFmtId="0" fontId="14" fillId="7" borderId="5" xfId="2" applyFont="1" applyFill="1" applyBorder="1" applyAlignment="1">
      <alignment horizontal="center" vertical="center"/>
    </xf>
    <xf numFmtId="0" fontId="14" fillId="7" borderId="6" xfId="2" applyFont="1" applyFill="1" applyBorder="1" applyAlignment="1">
      <alignment horizontal="center" vertical="center"/>
    </xf>
    <xf numFmtId="0" fontId="50" fillId="38" borderId="0" xfId="2" applyFont="1" applyFill="1" applyAlignment="1">
      <alignment horizontal="center" vertical="center" wrapText="1"/>
    </xf>
    <xf numFmtId="0" fontId="14" fillId="7" borderId="5" xfId="2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15" fillId="38" borderId="0" xfId="2" applyFont="1" applyFill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1" fillId="47" borderId="10" xfId="0" applyFont="1" applyFill="1" applyBorder="1" applyAlignment="1">
      <alignment horizontal="center"/>
    </xf>
    <xf numFmtId="0" fontId="11" fillId="47" borderId="11" xfId="0" applyFont="1" applyFill="1" applyBorder="1" applyAlignment="1">
      <alignment horizontal="center"/>
    </xf>
    <xf numFmtId="0" fontId="11" fillId="47" borderId="12" xfId="0" applyFont="1" applyFill="1" applyBorder="1" applyAlignment="1">
      <alignment horizontal="center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5" fillId="8" borderId="76" xfId="2" applyFont="1" applyFill="1" applyBorder="1" applyAlignment="1">
      <alignment horizontal="center" vertical="center" wrapText="1"/>
    </xf>
    <xf numFmtId="0" fontId="15" fillId="8" borderId="5" xfId="2" applyFont="1" applyFill="1" applyBorder="1" applyAlignment="1">
      <alignment horizontal="center" vertical="center" wrapText="1"/>
    </xf>
    <xf numFmtId="0" fontId="15" fillId="51" borderId="80" xfId="2" applyFont="1" applyFill="1" applyBorder="1" applyAlignment="1">
      <alignment horizontal="center" vertical="top"/>
    </xf>
    <xf numFmtId="0" fontId="15" fillId="51" borderId="81" xfId="2" applyFont="1" applyFill="1" applyBorder="1" applyAlignment="1">
      <alignment horizontal="center" vertical="top"/>
    </xf>
    <xf numFmtId="0" fontId="15" fillId="51" borderId="82" xfId="2" applyFont="1" applyFill="1" applyBorder="1" applyAlignment="1">
      <alignment horizontal="center" vertical="top"/>
    </xf>
    <xf numFmtId="14" fontId="18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3" fillId="44" borderId="69" xfId="0" applyNumberFormat="1" applyFont="1" applyFill="1" applyBorder="1" applyAlignment="1">
      <alignment horizontal="center" vertical="center"/>
    </xf>
    <xf numFmtId="49" fontId="43" fillId="44" borderId="67" xfId="0" applyNumberFormat="1" applyFont="1" applyFill="1" applyBorder="1" applyAlignment="1">
      <alignment horizontal="center" vertical="center"/>
    </xf>
    <xf numFmtId="17" fontId="22" fillId="19" borderId="10" xfId="0" applyNumberFormat="1" applyFont="1" applyFill="1" applyBorder="1" applyAlignment="1">
      <alignment horizontal="center"/>
    </xf>
    <xf numFmtId="17" fontId="22" fillId="19" borderId="11" xfId="0" applyNumberFormat="1" applyFont="1" applyFill="1" applyBorder="1" applyAlignment="1">
      <alignment horizontal="center"/>
    </xf>
    <xf numFmtId="17" fontId="22" fillId="19" borderId="12" xfId="0" applyNumberFormat="1" applyFont="1" applyFill="1" applyBorder="1" applyAlignment="1">
      <alignment horizontal="center"/>
    </xf>
    <xf numFmtId="17" fontId="22" fillId="20" borderId="10" xfId="0" applyNumberFormat="1" applyFont="1" applyFill="1" applyBorder="1" applyAlignment="1">
      <alignment horizontal="center"/>
    </xf>
    <xf numFmtId="17" fontId="22" fillId="20" borderId="11" xfId="0" applyNumberFormat="1" applyFont="1" applyFill="1" applyBorder="1" applyAlignment="1">
      <alignment horizontal="center"/>
    </xf>
    <xf numFmtId="17" fontId="22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</cellXfs>
  <cellStyles count="84"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Énfasis1 2" xfId="15"/>
    <cellStyle name="40% - Énfasis2 2" xfId="16"/>
    <cellStyle name="40% - Énfasis3 2" xfId="17"/>
    <cellStyle name="40% - Énfasis4 2" xfId="18"/>
    <cellStyle name="40% - Énfasis5 2" xfId="19"/>
    <cellStyle name="40% - Énfasis6 2" xfId="20"/>
    <cellStyle name="60% - Énfasis1 2" xfId="21"/>
    <cellStyle name="60% - Énfasis2 2" xfId="22"/>
    <cellStyle name="60% - Énfasis3 2" xfId="23"/>
    <cellStyle name="60% - Énfasis4 2" xfId="24"/>
    <cellStyle name="60% - Énfasis5 2" xfId="25"/>
    <cellStyle name="60% - Énfasis6 2" xfId="26"/>
    <cellStyle name="Buena 2" xfId="27"/>
    <cellStyle name="Cálculo 2" xfId="28"/>
    <cellStyle name="Celda de comprobación 2" xfId="29"/>
    <cellStyle name="Celda vinculada 2" xfId="30"/>
    <cellStyle name="Encabezado 4 2" xfId="31"/>
    <cellStyle name="Énfasis1 2" xfId="32"/>
    <cellStyle name="Énfasis2 2" xfId="33"/>
    <cellStyle name="Énfasis3 2" xfId="34"/>
    <cellStyle name="Énfasis4 2" xfId="35"/>
    <cellStyle name="Énfasis5 2" xfId="36"/>
    <cellStyle name="Énfasis6 2" xfId="37"/>
    <cellStyle name="Entrada 2" xfId="38"/>
    <cellStyle name="Incorrecto 2" xfId="39"/>
    <cellStyle name="Millares" xfId="1" builtinId="3"/>
    <cellStyle name="Millares 2" xfId="53"/>
    <cellStyle name="Millares 2 2" xfId="56"/>
    <cellStyle name="Millares 2 2 2" xfId="60"/>
    <cellStyle name="Millares 2 2 2 2" xfId="75"/>
    <cellStyle name="Millares 2 2 3" xfId="71"/>
    <cellStyle name="Millares 2 3" xfId="59"/>
    <cellStyle name="Millares 2 3 2" xfId="74"/>
    <cellStyle name="Millares 2 4" xfId="63"/>
    <cellStyle name="Millares 2 4 2" xfId="78"/>
    <cellStyle name="Millares 2 5" xfId="65"/>
    <cellStyle name="Millares 2 5 2" xfId="80"/>
    <cellStyle name="Millares 2 6" xfId="70"/>
    <cellStyle name="Millares 3" xfId="57"/>
    <cellStyle name="Millares 3 2" xfId="61"/>
    <cellStyle name="Millares 3 2 2" xfId="76"/>
    <cellStyle name="Millares 3 3" xfId="64"/>
    <cellStyle name="Millares 3 3 2" xfId="79"/>
    <cellStyle name="Millares 3 4" xfId="66"/>
    <cellStyle name="Millares 3 4 2" xfId="81"/>
    <cellStyle name="Millares 3 5" xfId="72"/>
    <cellStyle name="Millares 4" xfId="58"/>
    <cellStyle name="Millares 4 2" xfId="73"/>
    <cellStyle name="Millares 5" xfId="69"/>
    <cellStyle name="Neutral 2" xfId="40"/>
    <cellStyle name="Normal" xfId="0" builtinId="0"/>
    <cellStyle name="Normal 10" xfId="54"/>
    <cellStyle name="Normal 11" xfId="5"/>
    <cellStyle name="Normal 12" xfId="55"/>
    <cellStyle name="Normal 13" xfId="62"/>
    <cellStyle name="Normal 13 2" xfId="77"/>
    <cellStyle name="Normal 14" xfId="67"/>
    <cellStyle name="Normal 14 2" xfId="82"/>
    <cellStyle name="Normal 15" xfId="68"/>
    <cellStyle name="Normal 15 2" xfId="83"/>
    <cellStyle name="Normal 2" xfId="2"/>
    <cellStyle name="Normal 3" xfId="4"/>
    <cellStyle name="Normal 4" xfId="41"/>
    <cellStyle name="Normal 5" xfId="42"/>
    <cellStyle name="Normal 6" xfId="43"/>
    <cellStyle name="Normal 7" xfId="7"/>
    <cellStyle name="Normal 8" xfId="3"/>
    <cellStyle name="Normal 9" xfId="8"/>
    <cellStyle name="Normal_Data Ocupacion" xfId="6"/>
    <cellStyle name="Notas 2" xfId="44"/>
    <cellStyle name="Salida 2" xfId="45"/>
    <cellStyle name="Texto de advertencia 2" xfId="46"/>
    <cellStyle name="Texto explicativo 2" xfId="47"/>
    <cellStyle name="Título 1" xfId="49"/>
    <cellStyle name="Título 2 2" xfId="50"/>
    <cellStyle name="Título 3 2" xfId="51"/>
    <cellStyle name="Título 4" xfId="48"/>
    <cellStyle name="Total 2" xfId="52"/>
  </cellStyles>
  <dxfs count="3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FFFFCC"/>
      <color rgb="FF66C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E86"/>
  <sheetViews>
    <sheetView topLeftCell="A34" zoomScaleNormal="100" workbookViewId="0">
      <selection activeCell="A90" sqref="A90:XFD133"/>
    </sheetView>
  </sheetViews>
  <sheetFormatPr baseColWidth="10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1" ht="18" x14ac:dyDescent="0.25">
      <c r="A1" s="324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31" x14ac:dyDescent="0.25">
      <c r="A2" s="1"/>
      <c r="B2" s="63">
        <v>45383</v>
      </c>
      <c r="C2" s="63">
        <v>45384</v>
      </c>
      <c r="D2" s="63">
        <v>45385</v>
      </c>
      <c r="E2" s="63">
        <v>45386</v>
      </c>
      <c r="F2" s="63">
        <v>45387</v>
      </c>
      <c r="G2" s="63">
        <v>45388</v>
      </c>
      <c r="H2" s="63">
        <v>45389</v>
      </c>
      <c r="I2" s="63">
        <v>45390</v>
      </c>
      <c r="J2" s="63">
        <v>45391</v>
      </c>
      <c r="K2" s="63">
        <v>45392</v>
      </c>
      <c r="L2" s="63">
        <v>45393</v>
      </c>
      <c r="M2" s="63">
        <v>45394</v>
      </c>
      <c r="N2" s="63">
        <v>45395</v>
      </c>
      <c r="O2" s="63">
        <v>45396</v>
      </c>
      <c r="P2" s="63">
        <v>45397</v>
      </c>
      <c r="Q2" s="63">
        <v>45398</v>
      </c>
      <c r="R2" s="63">
        <v>45399</v>
      </c>
      <c r="S2" s="63">
        <v>45400</v>
      </c>
      <c r="T2" s="63">
        <v>45401</v>
      </c>
      <c r="U2" s="63">
        <v>45402</v>
      </c>
      <c r="V2" s="63">
        <v>45403</v>
      </c>
      <c r="W2" s="63">
        <v>45404</v>
      </c>
      <c r="X2" s="63">
        <v>45405</v>
      </c>
      <c r="Y2" s="63">
        <v>45406</v>
      </c>
      <c r="Z2" s="63">
        <v>45407</v>
      </c>
      <c r="AA2" s="63">
        <v>45408</v>
      </c>
      <c r="AB2" s="63">
        <v>45409</v>
      </c>
      <c r="AC2" s="63">
        <v>45410</v>
      </c>
      <c r="AD2" s="63">
        <v>45411</v>
      </c>
      <c r="AE2" s="63">
        <v>45412</v>
      </c>
    </row>
    <row r="3" spans="1:31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</row>
    <row r="4" spans="1:31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</row>
    <row r="5" spans="1:31" x14ac:dyDescent="0.25">
      <c r="A5" s="5" t="s">
        <v>4</v>
      </c>
      <c r="B5" s="292">
        <v>1886814</v>
      </c>
      <c r="C5" s="292">
        <v>1887077</v>
      </c>
      <c r="D5" s="292">
        <v>1887168</v>
      </c>
      <c r="E5" s="292">
        <v>1887687</v>
      </c>
      <c r="F5" s="292">
        <v>1887969</v>
      </c>
      <c r="G5" s="292">
        <v>1887969</v>
      </c>
      <c r="H5" s="292">
        <v>1887969</v>
      </c>
      <c r="I5" s="292">
        <v>1888303</v>
      </c>
      <c r="J5" s="292">
        <v>1888514</v>
      </c>
      <c r="K5" s="292">
        <v>1888966</v>
      </c>
      <c r="L5" s="292">
        <v>1889316</v>
      </c>
      <c r="M5" s="292">
        <v>1889767</v>
      </c>
      <c r="N5" s="292">
        <v>1889767</v>
      </c>
      <c r="O5" s="292">
        <v>1889767</v>
      </c>
      <c r="P5" s="292">
        <v>1889982</v>
      </c>
      <c r="Q5" s="292">
        <v>1890304</v>
      </c>
      <c r="R5" s="292">
        <v>1890797</v>
      </c>
      <c r="S5" s="292">
        <v>1891266</v>
      </c>
      <c r="T5" s="292">
        <v>1891718</v>
      </c>
      <c r="U5" s="292">
        <v>1892151</v>
      </c>
      <c r="V5" s="292">
        <v>1892540</v>
      </c>
      <c r="W5" s="292">
        <v>1892948</v>
      </c>
      <c r="X5" s="292">
        <v>1893247</v>
      </c>
      <c r="Y5" s="292">
        <v>1893442</v>
      </c>
      <c r="Z5" s="292">
        <v>1893875</v>
      </c>
      <c r="AA5" s="292">
        <v>1894221</v>
      </c>
      <c r="AB5" s="292">
        <v>1894653</v>
      </c>
      <c r="AC5" s="292">
        <v>1895084</v>
      </c>
      <c r="AD5" s="292">
        <v>1895688</v>
      </c>
      <c r="AE5" s="292">
        <v>1896121</v>
      </c>
    </row>
    <row r="6" spans="1:31" x14ac:dyDescent="0.25">
      <c r="A6" s="5" t="s">
        <v>5</v>
      </c>
      <c r="B6" s="292">
        <v>1869918</v>
      </c>
      <c r="C6" s="292">
        <v>1870138</v>
      </c>
      <c r="D6" s="292">
        <v>1870590</v>
      </c>
      <c r="E6" s="292">
        <v>1870843</v>
      </c>
      <c r="F6" s="292">
        <v>1871210</v>
      </c>
      <c r="G6" s="292">
        <v>1871210</v>
      </c>
      <c r="H6" s="292">
        <v>1871210</v>
      </c>
      <c r="I6" s="292">
        <v>1871749</v>
      </c>
      <c r="J6" s="292">
        <v>1872311</v>
      </c>
      <c r="K6" s="292">
        <v>1872613</v>
      </c>
      <c r="L6" s="292">
        <v>1872791</v>
      </c>
      <c r="M6" s="292">
        <v>1873097</v>
      </c>
      <c r="N6" s="292">
        <v>1873097</v>
      </c>
      <c r="O6" s="292">
        <v>1873141</v>
      </c>
      <c r="P6" s="292">
        <v>1873659</v>
      </c>
      <c r="Q6" s="292">
        <v>1873919</v>
      </c>
      <c r="R6" s="292">
        <v>1874370</v>
      </c>
      <c r="S6" s="292">
        <v>1874908</v>
      </c>
      <c r="T6" s="292">
        <v>1874995</v>
      </c>
      <c r="U6" s="292">
        <v>1874995</v>
      </c>
      <c r="V6" s="292">
        <v>1874996</v>
      </c>
      <c r="W6" s="292">
        <v>1875393</v>
      </c>
      <c r="X6" s="292">
        <v>1875784</v>
      </c>
      <c r="Y6" s="292">
        <v>1876067</v>
      </c>
      <c r="Z6" s="292">
        <v>1876501</v>
      </c>
      <c r="AA6" s="292">
        <v>1876783</v>
      </c>
      <c r="AB6" s="292">
        <v>1877261</v>
      </c>
      <c r="AC6" s="292">
        <v>1877304</v>
      </c>
      <c r="AD6" s="292">
        <v>1877823</v>
      </c>
      <c r="AE6" s="292">
        <v>1878041</v>
      </c>
    </row>
    <row r="7" spans="1:31" x14ac:dyDescent="0.25">
      <c r="A7" s="5" t="s">
        <v>6</v>
      </c>
      <c r="B7" s="292">
        <v>1942377</v>
      </c>
      <c r="C7" s="292">
        <v>1942895</v>
      </c>
      <c r="D7" s="292">
        <v>1943285</v>
      </c>
      <c r="E7" s="292">
        <v>1943845</v>
      </c>
      <c r="F7" s="292">
        <v>1944363</v>
      </c>
      <c r="G7" s="292">
        <v>1944365</v>
      </c>
      <c r="H7" s="292">
        <v>1944544</v>
      </c>
      <c r="I7" s="292">
        <v>1945080</v>
      </c>
      <c r="J7" s="292">
        <v>1945408</v>
      </c>
      <c r="K7" s="292">
        <v>1945809</v>
      </c>
      <c r="L7" s="292">
        <v>1946195</v>
      </c>
      <c r="M7" s="292">
        <v>1946559</v>
      </c>
      <c r="N7" s="292">
        <v>1946561</v>
      </c>
      <c r="O7" s="292">
        <v>1946563</v>
      </c>
      <c r="P7" s="292">
        <v>1946996</v>
      </c>
      <c r="Q7" s="292">
        <v>1947560</v>
      </c>
      <c r="R7" s="292">
        <v>1948035</v>
      </c>
      <c r="S7" s="292">
        <v>1948405</v>
      </c>
      <c r="T7" s="292">
        <v>1948590</v>
      </c>
      <c r="U7" s="292">
        <v>1948590</v>
      </c>
      <c r="V7" s="292">
        <v>1948590</v>
      </c>
      <c r="W7" s="292">
        <v>1949109</v>
      </c>
      <c r="X7" s="292">
        <v>1949354</v>
      </c>
      <c r="Y7" s="292">
        <v>1949634</v>
      </c>
      <c r="Z7" s="292">
        <v>1949914</v>
      </c>
      <c r="AA7" s="292">
        <v>1950363</v>
      </c>
      <c r="AB7" s="292">
        <v>1950363</v>
      </c>
      <c r="AC7" s="292">
        <v>1950363</v>
      </c>
      <c r="AD7" s="292">
        <v>1950730</v>
      </c>
      <c r="AE7" s="292">
        <v>1951250</v>
      </c>
    </row>
    <row r="8" spans="1:31" x14ac:dyDescent="0.25">
      <c r="A8" s="6" t="s">
        <v>7</v>
      </c>
      <c r="B8" s="292">
        <v>1947098</v>
      </c>
      <c r="C8" s="292">
        <v>1947661</v>
      </c>
      <c r="D8" s="292">
        <v>1948136</v>
      </c>
      <c r="E8" s="292">
        <v>1948698</v>
      </c>
      <c r="F8" s="292">
        <v>1949192</v>
      </c>
      <c r="G8" s="292">
        <v>1949192</v>
      </c>
      <c r="H8" s="292">
        <v>1949192</v>
      </c>
      <c r="I8" s="292">
        <v>1949682</v>
      </c>
      <c r="J8" s="292">
        <v>1950133</v>
      </c>
      <c r="K8" s="292">
        <v>1950671</v>
      </c>
      <c r="L8" s="292">
        <v>1951122</v>
      </c>
      <c r="M8" s="292">
        <v>1951487</v>
      </c>
      <c r="N8" s="292">
        <v>1952009</v>
      </c>
      <c r="O8" s="292">
        <v>1952485</v>
      </c>
      <c r="P8" s="292">
        <v>1952979</v>
      </c>
      <c r="Q8" s="292">
        <v>1953191</v>
      </c>
      <c r="R8" s="292">
        <v>1953360</v>
      </c>
      <c r="S8" s="292">
        <v>1953626</v>
      </c>
      <c r="T8" s="292">
        <v>1954146</v>
      </c>
      <c r="U8" s="292">
        <v>1954664</v>
      </c>
      <c r="V8" s="292">
        <v>1955140</v>
      </c>
      <c r="W8" s="292">
        <v>1955634</v>
      </c>
      <c r="X8" s="292">
        <v>1955932</v>
      </c>
      <c r="Y8" s="292">
        <v>1956386</v>
      </c>
      <c r="Z8" s="292">
        <v>1956820</v>
      </c>
      <c r="AA8" s="292">
        <v>1957168</v>
      </c>
      <c r="AB8" s="292">
        <v>1957514</v>
      </c>
      <c r="AC8" s="292">
        <v>1957947</v>
      </c>
      <c r="AD8" s="292">
        <v>1958483</v>
      </c>
      <c r="AE8" s="292">
        <v>1958850</v>
      </c>
    </row>
    <row r="9" spans="1:31" x14ac:dyDescent="0.25">
      <c r="A9" s="6" t="s">
        <v>8</v>
      </c>
      <c r="B9" s="292">
        <v>1843964</v>
      </c>
      <c r="C9" s="292">
        <v>1844262</v>
      </c>
      <c r="D9" s="292">
        <v>1844560</v>
      </c>
      <c r="E9" s="292">
        <v>1844752</v>
      </c>
      <c r="F9" s="292">
        <v>1845182</v>
      </c>
      <c r="G9" s="292">
        <v>1845663</v>
      </c>
      <c r="H9" s="292">
        <v>1846095</v>
      </c>
      <c r="I9" s="292">
        <v>1846587</v>
      </c>
      <c r="J9" s="292">
        <v>1847177</v>
      </c>
      <c r="K9" s="292">
        <v>1847569</v>
      </c>
      <c r="L9" s="292">
        <v>1847876</v>
      </c>
      <c r="M9" s="292">
        <v>1848269</v>
      </c>
      <c r="N9" s="292">
        <v>1848314</v>
      </c>
      <c r="O9" s="292">
        <v>1848314</v>
      </c>
      <c r="P9" s="292">
        <v>1848832</v>
      </c>
      <c r="Q9" s="292">
        <v>1849025</v>
      </c>
      <c r="R9" s="292">
        <v>1849478</v>
      </c>
      <c r="S9" s="292">
        <v>1850039</v>
      </c>
      <c r="T9" s="292">
        <v>1850298</v>
      </c>
      <c r="U9" s="292">
        <v>1850342</v>
      </c>
      <c r="V9" s="292">
        <v>1850345</v>
      </c>
      <c r="W9" s="292">
        <v>1850863</v>
      </c>
      <c r="X9" s="292">
        <v>1851317</v>
      </c>
      <c r="Y9" s="292">
        <v>1851502</v>
      </c>
      <c r="Z9" s="292">
        <v>1851603</v>
      </c>
      <c r="AA9" s="292">
        <v>1851798</v>
      </c>
      <c r="AB9" s="292">
        <v>1852275</v>
      </c>
      <c r="AC9" s="292">
        <v>1852318</v>
      </c>
      <c r="AD9" s="292">
        <v>1852665</v>
      </c>
      <c r="AE9" s="292">
        <v>1853120</v>
      </c>
    </row>
    <row r="10" spans="1:31" x14ac:dyDescent="0.25">
      <c r="A10" s="6" t="s">
        <v>9</v>
      </c>
      <c r="B10" s="292">
        <v>1962982</v>
      </c>
      <c r="C10" s="292">
        <v>1963437</v>
      </c>
      <c r="D10" s="292">
        <v>1963980</v>
      </c>
      <c r="E10" s="292">
        <v>1964435</v>
      </c>
      <c r="F10" s="292">
        <v>1964736</v>
      </c>
      <c r="G10" s="292">
        <v>1964736</v>
      </c>
      <c r="H10" s="292">
        <v>1964736</v>
      </c>
      <c r="I10" s="292">
        <v>1965076</v>
      </c>
      <c r="J10" s="292">
        <v>1965532</v>
      </c>
      <c r="K10" s="292">
        <v>1965969</v>
      </c>
      <c r="L10" s="292">
        <v>1966492</v>
      </c>
      <c r="M10" s="292">
        <v>1967102</v>
      </c>
      <c r="N10" s="292">
        <v>1967539</v>
      </c>
      <c r="O10" s="292">
        <v>1967932</v>
      </c>
      <c r="P10" s="292">
        <v>1968259</v>
      </c>
      <c r="Q10" s="292">
        <v>1968802</v>
      </c>
      <c r="R10" s="292">
        <v>1969329</v>
      </c>
      <c r="S10" s="292">
        <v>1969770</v>
      </c>
      <c r="T10" s="292">
        <v>1970227</v>
      </c>
      <c r="U10" s="292">
        <v>1970227</v>
      </c>
      <c r="V10" s="292">
        <v>1970227</v>
      </c>
      <c r="W10" s="292">
        <v>1970599</v>
      </c>
      <c r="X10" s="292">
        <v>1971122</v>
      </c>
      <c r="Y10" s="292">
        <v>1971384</v>
      </c>
      <c r="Z10" s="292">
        <v>1971907</v>
      </c>
      <c r="AA10" s="292">
        <v>1972361</v>
      </c>
      <c r="AB10" s="292">
        <v>1972361</v>
      </c>
      <c r="AC10" s="292">
        <v>1972361</v>
      </c>
      <c r="AD10" s="292">
        <v>1972690</v>
      </c>
      <c r="AE10" s="292">
        <v>1972908</v>
      </c>
    </row>
    <row r="11" spans="1:31" x14ac:dyDescent="0.25">
      <c r="A11" s="6" t="s">
        <v>10</v>
      </c>
      <c r="B11" s="292">
        <v>1988250</v>
      </c>
      <c r="C11" s="292">
        <v>1988746</v>
      </c>
      <c r="D11" s="292">
        <v>1989285</v>
      </c>
      <c r="E11" s="292">
        <v>1989721</v>
      </c>
      <c r="F11" s="292">
        <v>1990072</v>
      </c>
      <c r="G11" s="292">
        <v>1990592</v>
      </c>
      <c r="H11" s="292">
        <v>1991068</v>
      </c>
      <c r="I11" s="292">
        <v>1991546</v>
      </c>
      <c r="J11" s="292">
        <v>1992069</v>
      </c>
      <c r="K11" s="292">
        <v>1992520</v>
      </c>
      <c r="L11" s="292">
        <v>1992932</v>
      </c>
      <c r="M11" s="292">
        <v>1993274</v>
      </c>
      <c r="N11" s="292">
        <v>1993751</v>
      </c>
      <c r="O11" s="292">
        <v>1994145</v>
      </c>
      <c r="P11" s="292">
        <v>1994751</v>
      </c>
      <c r="Q11" s="292">
        <v>1995203</v>
      </c>
      <c r="R11" s="292">
        <v>1995709</v>
      </c>
      <c r="S11" s="292">
        <v>1996229</v>
      </c>
      <c r="T11" s="292">
        <v>1996533</v>
      </c>
      <c r="U11" s="292">
        <v>1997012</v>
      </c>
      <c r="V11" s="292">
        <v>1997446</v>
      </c>
      <c r="W11" s="292">
        <v>1997966</v>
      </c>
      <c r="X11" s="292">
        <v>1998282</v>
      </c>
      <c r="Y11" s="292">
        <v>1998607</v>
      </c>
      <c r="Z11" s="292">
        <v>1999084</v>
      </c>
      <c r="AA11" s="292">
        <v>1999470</v>
      </c>
      <c r="AB11" s="292">
        <v>1999821</v>
      </c>
      <c r="AC11" s="292">
        <v>2000301</v>
      </c>
      <c r="AD11" s="292">
        <v>2000712</v>
      </c>
      <c r="AE11" s="292">
        <v>2000927</v>
      </c>
    </row>
    <row r="12" spans="1:31" x14ac:dyDescent="0.25">
      <c r="A12" s="5" t="s">
        <v>11</v>
      </c>
      <c r="B12" s="292">
        <v>1897666</v>
      </c>
      <c r="C12" s="292">
        <v>1898136</v>
      </c>
      <c r="D12" s="292">
        <v>1898655</v>
      </c>
      <c r="E12" s="292">
        <v>1899003</v>
      </c>
      <c r="F12" s="292">
        <v>1899395</v>
      </c>
      <c r="G12" s="292">
        <v>1899831</v>
      </c>
      <c r="H12" s="292">
        <v>1899875</v>
      </c>
      <c r="I12" s="292">
        <v>1900442</v>
      </c>
      <c r="J12" s="292">
        <v>1900850</v>
      </c>
      <c r="K12" s="292">
        <v>1901253</v>
      </c>
      <c r="L12" s="292">
        <v>1901818</v>
      </c>
      <c r="M12" s="292">
        <v>1902380</v>
      </c>
      <c r="N12" s="292">
        <v>1902901</v>
      </c>
      <c r="O12" s="292">
        <v>1903335</v>
      </c>
      <c r="P12" s="292">
        <v>1903512</v>
      </c>
      <c r="Q12" s="292">
        <v>1903963</v>
      </c>
      <c r="R12" s="292">
        <v>1904326</v>
      </c>
      <c r="S12" s="292">
        <v>1904545</v>
      </c>
      <c r="T12" s="292">
        <v>1905066</v>
      </c>
      <c r="U12" s="292">
        <v>1905542</v>
      </c>
      <c r="V12" s="292">
        <v>1905585</v>
      </c>
      <c r="W12" s="292">
        <v>1905848</v>
      </c>
      <c r="X12" s="292">
        <v>1906299</v>
      </c>
      <c r="Y12" s="292">
        <v>1906667</v>
      </c>
      <c r="Z12" s="292">
        <v>1906947</v>
      </c>
      <c r="AA12" s="292">
        <v>1907313</v>
      </c>
      <c r="AB12" s="292">
        <v>1907400</v>
      </c>
      <c r="AC12" s="292">
        <v>1907406</v>
      </c>
      <c r="AD12" s="292">
        <v>1907842</v>
      </c>
      <c r="AE12" s="292">
        <v>1908295</v>
      </c>
    </row>
    <row r="13" spans="1:31" x14ac:dyDescent="0.25">
      <c r="A13" s="5" t="s">
        <v>12</v>
      </c>
      <c r="B13" s="292">
        <v>1879619</v>
      </c>
      <c r="C13" s="292">
        <v>1879968</v>
      </c>
      <c r="D13" s="292">
        <v>1880361</v>
      </c>
      <c r="E13" s="292">
        <v>1880856</v>
      </c>
      <c r="F13" s="292">
        <v>1881153</v>
      </c>
      <c r="G13" s="292">
        <v>1881153</v>
      </c>
      <c r="H13" s="292">
        <v>1881153</v>
      </c>
      <c r="I13" s="292">
        <v>1881602</v>
      </c>
      <c r="J13" s="292">
        <v>1882078</v>
      </c>
      <c r="K13" s="292">
        <v>1882529</v>
      </c>
      <c r="L13" s="292">
        <v>1882742</v>
      </c>
      <c r="M13" s="292">
        <v>1883212</v>
      </c>
      <c r="N13" s="292">
        <v>1883212</v>
      </c>
      <c r="O13" s="292">
        <v>1883212</v>
      </c>
      <c r="P13" s="292">
        <v>1883625</v>
      </c>
      <c r="Q13" s="292">
        <v>1884019</v>
      </c>
      <c r="R13" s="292">
        <v>1884388</v>
      </c>
      <c r="S13" s="292">
        <v>1884654</v>
      </c>
      <c r="T13" s="292">
        <v>1884868</v>
      </c>
      <c r="U13" s="292">
        <v>1884868</v>
      </c>
      <c r="V13" s="292">
        <v>1884868</v>
      </c>
      <c r="W13" s="292">
        <v>1885083</v>
      </c>
      <c r="X13" s="292">
        <v>1885386</v>
      </c>
      <c r="Y13" s="292">
        <v>1885671</v>
      </c>
      <c r="Z13" s="292">
        <v>1885954</v>
      </c>
      <c r="AA13" s="292">
        <v>1886081</v>
      </c>
      <c r="AB13" s="292">
        <v>1886081</v>
      </c>
      <c r="AC13" s="292">
        <v>1886081</v>
      </c>
      <c r="AD13" s="292">
        <v>1886383</v>
      </c>
      <c r="AE13" s="292">
        <v>1886642</v>
      </c>
    </row>
    <row r="14" spans="1:31" x14ac:dyDescent="0.25">
      <c r="A14" s="5" t="s">
        <v>13</v>
      </c>
      <c r="B14" s="292">
        <v>1960905</v>
      </c>
      <c r="C14" s="292">
        <v>1961274</v>
      </c>
      <c r="D14" s="292">
        <v>1961657</v>
      </c>
      <c r="E14" s="292">
        <v>1962246</v>
      </c>
      <c r="F14" s="292">
        <v>1962699</v>
      </c>
      <c r="G14" s="292">
        <v>1962699</v>
      </c>
      <c r="H14" s="292">
        <v>1962699</v>
      </c>
      <c r="I14" s="292">
        <v>1962885</v>
      </c>
      <c r="J14" s="292">
        <v>1963339</v>
      </c>
      <c r="K14" s="292">
        <v>1963684</v>
      </c>
      <c r="L14" s="292">
        <v>1964138</v>
      </c>
      <c r="M14" s="292">
        <v>1964502</v>
      </c>
      <c r="N14" s="292">
        <v>1964934</v>
      </c>
      <c r="O14" s="292">
        <v>1965366</v>
      </c>
      <c r="P14" s="292">
        <v>1965715</v>
      </c>
      <c r="Q14" s="292">
        <v>1966015</v>
      </c>
      <c r="R14" s="292">
        <v>1966296</v>
      </c>
      <c r="S14" s="292">
        <v>1966481</v>
      </c>
      <c r="T14" s="292">
        <v>1967019</v>
      </c>
      <c r="U14" s="292">
        <v>1967105</v>
      </c>
      <c r="V14" s="292">
        <v>1967106</v>
      </c>
      <c r="W14" s="292">
        <v>1967543</v>
      </c>
      <c r="X14" s="292">
        <v>1967893</v>
      </c>
      <c r="Y14" s="292">
        <v>1968458</v>
      </c>
      <c r="Z14" s="292">
        <v>1968695</v>
      </c>
      <c r="AA14" s="292">
        <v>1968976</v>
      </c>
      <c r="AB14" s="292">
        <v>1969322</v>
      </c>
      <c r="AC14" s="292">
        <v>1969325</v>
      </c>
      <c r="AD14" s="292">
        <v>1969728</v>
      </c>
      <c r="AE14" s="292">
        <v>1970265</v>
      </c>
    </row>
    <row r="15" spans="1:31" x14ac:dyDescent="0.25">
      <c r="A15" s="6" t="s">
        <v>14</v>
      </c>
      <c r="B15" s="292">
        <v>1971176</v>
      </c>
      <c r="C15" s="292">
        <v>1971646</v>
      </c>
      <c r="D15" s="292">
        <v>1971944</v>
      </c>
      <c r="E15" s="292">
        <v>1972137</v>
      </c>
      <c r="F15" s="292">
        <v>1972229</v>
      </c>
      <c r="G15" s="292">
        <v>1972229</v>
      </c>
      <c r="H15" s="292">
        <v>1972406</v>
      </c>
      <c r="I15" s="292">
        <v>1972601</v>
      </c>
      <c r="J15" s="292">
        <v>1973139</v>
      </c>
      <c r="K15" s="292">
        <v>1973658</v>
      </c>
      <c r="L15" s="292">
        <v>1974091</v>
      </c>
      <c r="M15" s="292">
        <v>1974180</v>
      </c>
      <c r="N15" s="292">
        <v>1974232</v>
      </c>
      <c r="O15" s="292">
        <v>1974233</v>
      </c>
      <c r="P15" s="292">
        <v>1974672</v>
      </c>
      <c r="Q15" s="292">
        <v>1975278</v>
      </c>
      <c r="R15" s="292">
        <v>1975797</v>
      </c>
      <c r="S15" s="292">
        <v>1976316</v>
      </c>
      <c r="T15" s="292">
        <v>1976770</v>
      </c>
      <c r="U15" s="292">
        <v>1976770</v>
      </c>
      <c r="V15" s="292">
        <v>1976770</v>
      </c>
      <c r="W15" s="292">
        <v>1976966</v>
      </c>
      <c r="X15" s="292">
        <v>1977056</v>
      </c>
      <c r="Y15" s="292">
        <v>1977508</v>
      </c>
      <c r="Z15" s="292">
        <v>1977978</v>
      </c>
      <c r="AA15" s="292">
        <v>1978413</v>
      </c>
      <c r="AB15" s="292">
        <v>1978413</v>
      </c>
      <c r="AC15" s="292">
        <v>1978413</v>
      </c>
      <c r="AD15" s="292">
        <v>1978625</v>
      </c>
      <c r="AE15" s="292">
        <v>1978861</v>
      </c>
    </row>
    <row r="16" spans="1:31" x14ac:dyDescent="0.25">
      <c r="A16" s="6" t="s">
        <v>15</v>
      </c>
      <c r="B16" s="292">
        <v>1810154</v>
      </c>
      <c r="C16" s="292">
        <v>1810590</v>
      </c>
      <c r="D16" s="292">
        <v>1811152</v>
      </c>
      <c r="E16" s="292">
        <v>1811456</v>
      </c>
      <c r="F16" s="292">
        <v>1812017</v>
      </c>
      <c r="G16" s="292">
        <v>1812060</v>
      </c>
      <c r="H16" s="292">
        <v>1812534</v>
      </c>
      <c r="I16" s="292">
        <v>1812752</v>
      </c>
      <c r="J16" s="292">
        <v>1812974</v>
      </c>
      <c r="K16" s="292">
        <v>1813187</v>
      </c>
      <c r="L16" s="292">
        <v>1813637</v>
      </c>
      <c r="M16" s="292">
        <v>1814021</v>
      </c>
      <c r="N16" s="292">
        <v>1814498</v>
      </c>
      <c r="O16" s="292">
        <v>1814929</v>
      </c>
      <c r="P16" s="292">
        <v>1815163</v>
      </c>
      <c r="Q16" s="292">
        <v>1815471</v>
      </c>
      <c r="R16" s="292">
        <v>1815989</v>
      </c>
      <c r="S16" s="292">
        <v>1816360</v>
      </c>
      <c r="T16" s="292">
        <v>1816641</v>
      </c>
      <c r="U16" s="292">
        <v>1817076</v>
      </c>
      <c r="V16" s="292">
        <v>1817077</v>
      </c>
      <c r="W16" s="292">
        <v>1817637</v>
      </c>
      <c r="X16" s="292">
        <v>1817984</v>
      </c>
      <c r="Y16" s="292">
        <v>1818390</v>
      </c>
      <c r="Z16" s="292">
        <v>1818885</v>
      </c>
      <c r="AA16" s="292">
        <v>1819361</v>
      </c>
      <c r="AB16" s="292">
        <v>1819838</v>
      </c>
      <c r="AC16" s="292">
        <v>1819887</v>
      </c>
      <c r="AD16" s="292">
        <v>1820316</v>
      </c>
      <c r="AE16" s="292">
        <v>1820595</v>
      </c>
    </row>
    <row r="17" spans="1:31" x14ac:dyDescent="0.25">
      <c r="A17" s="6" t="s">
        <v>16</v>
      </c>
      <c r="B17" s="292">
        <v>1931008</v>
      </c>
      <c r="C17" s="292">
        <v>1931331</v>
      </c>
      <c r="D17" s="292">
        <v>1931716</v>
      </c>
      <c r="E17" s="292">
        <v>1931998</v>
      </c>
      <c r="F17" s="292">
        <v>1932516</v>
      </c>
      <c r="G17" s="292">
        <v>1932991</v>
      </c>
      <c r="H17" s="292">
        <v>1933035</v>
      </c>
      <c r="I17" s="292">
        <v>1933598</v>
      </c>
      <c r="J17" s="292">
        <v>1933959</v>
      </c>
      <c r="K17" s="292">
        <v>1934429</v>
      </c>
      <c r="L17" s="292">
        <v>1934931</v>
      </c>
      <c r="M17" s="292">
        <v>1935294</v>
      </c>
      <c r="N17" s="292">
        <v>1935294</v>
      </c>
      <c r="O17" s="292">
        <v>1935294</v>
      </c>
      <c r="P17" s="292">
        <v>1935813</v>
      </c>
      <c r="Q17" s="292">
        <v>1935998</v>
      </c>
      <c r="R17" s="292">
        <v>1936317</v>
      </c>
      <c r="S17" s="292">
        <v>1936796</v>
      </c>
      <c r="T17" s="292">
        <v>1937349</v>
      </c>
      <c r="U17" s="292">
        <v>1937825</v>
      </c>
      <c r="V17" s="292">
        <v>1938260</v>
      </c>
      <c r="W17" s="292">
        <v>1938610</v>
      </c>
      <c r="X17" s="292">
        <v>1939042</v>
      </c>
      <c r="Y17" s="292">
        <v>1939391</v>
      </c>
      <c r="Z17" s="292">
        <v>1939914</v>
      </c>
      <c r="AA17" s="292">
        <v>1940341</v>
      </c>
      <c r="AB17" s="292">
        <v>1940348</v>
      </c>
      <c r="AC17" s="292">
        <v>1940370</v>
      </c>
      <c r="AD17" s="292">
        <v>1940615</v>
      </c>
      <c r="AE17" s="292">
        <v>1940811</v>
      </c>
    </row>
    <row r="18" spans="1:31" x14ac:dyDescent="0.25">
      <c r="A18" s="6" t="s">
        <v>17</v>
      </c>
      <c r="B18" s="292">
        <v>1903131</v>
      </c>
      <c r="C18" s="292">
        <v>1903392</v>
      </c>
      <c r="D18" s="292">
        <v>1903913</v>
      </c>
      <c r="E18" s="292">
        <v>1904348</v>
      </c>
      <c r="F18" s="292">
        <v>1904909</v>
      </c>
      <c r="G18" s="292">
        <v>1905385</v>
      </c>
      <c r="H18" s="292">
        <v>1905817</v>
      </c>
      <c r="I18" s="292">
        <v>1906338</v>
      </c>
      <c r="J18" s="292">
        <v>1906772</v>
      </c>
      <c r="K18" s="292">
        <v>1907078</v>
      </c>
      <c r="L18" s="292">
        <v>1907424</v>
      </c>
      <c r="M18" s="292">
        <v>1907834</v>
      </c>
      <c r="N18" s="292">
        <v>1907834</v>
      </c>
      <c r="O18" s="292">
        <v>1907834</v>
      </c>
      <c r="P18" s="292">
        <v>1908414</v>
      </c>
      <c r="Q18" s="292">
        <v>1908718</v>
      </c>
      <c r="R18" s="292">
        <v>1909280</v>
      </c>
      <c r="S18" s="292">
        <v>1909841</v>
      </c>
      <c r="T18" s="292">
        <v>1910311</v>
      </c>
      <c r="U18" s="292">
        <v>1910786</v>
      </c>
      <c r="V18" s="292">
        <v>1911217</v>
      </c>
      <c r="W18" s="292">
        <v>1911711</v>
      </c>
      <c r="X18" s="292">
        <v>1912291</v>
      </c>
      <c r="Y18" s="292">
        <v>1912854</v>
      </c>
      <c r="Z18" s="292">
        <v>1913203</v>
      </c>
      <c r="AA18" s="292">
        <v>1913569</v>
      </c>
      <c r="AB18" s="292">
        <v>1913569</v>
      </c>
      <c r="AC18" s="292">
        <v>1913569</v>
      </c>
      <c r="AD18" s="292">
        <v>1913739</v>
      </c>
      <c r="AE18" s="292">
        <v>1914131</v>
      </c>
    </row>
    <row r="19" spans="1:31" x14ac:dyDescent="0.25">
      <c r="A19" s="6" t="s">
        <v>18</v>
      </c>
      <c r="B19" s="292">
        <v>1982487</v>
      </c>
      <c r="C19" s="292">
        <v>1982812</v>
      </c>
      <c r="D19" s="292">
        <v>1983306</v>
      </c>
      <c r="E19" s="292">
        <v>1983516</v>
      </c>
      <c r="F19" s="292">
        <v>1983774</v>
      </c>
      <c r="G19" s="292">
        <v>1984317</v>
      </c>
      <c r="H19" s="292">
        <v>1984751</v>
      </c>
      <c r="I19" s="292">
        <v>1985033</v>
      </c>
      <c r="J19" s="292">
        <v>1985289</v>
      </c>
      <c r="K19" s="292">
        <v>1985810</v>
      </c>
      <c r="L19" s="292">
        <v>1986245</v>
      </c>
      <c r="M19" s="292">
        <v>1986765</v>
      </c>
      <c r="N19" s="292">
        <v>1987285</v>
      </c>
      <c r="O19" s="292">
        <v>1987372</v>
      </c>
      <c r="P19" s="292">
        <v>1987809</v>
      </c>
      <c r="Q19" s="292">
        <v>1988333</v>
      </c>
      <c r="R19" s="292">
        <v>1988786</v>
      </c>
      <c r="S19" s="292">
        <v>1989111</v>
      </c>
      <c r="T19" s="292">
        <v>1989346</v>
      </c>
      <c r="U19" s="292">
        <v>1989346</v>
      </c>
      <c r="V19" s="292">
        <v>1989346</v>
      </c>
      <c r="W19" s="292">
        <v>1989533</v>
      </c>
      <c r="X19" s="292">
        <v>1989857</v>
      </c>
      <c r="Y19" s="292">
        <v>1990350</v>
      </c>
      <c r="Z19" s="292">
        <v>1990564</v>
      </c>
      <c r="AA19" s="292">
        <v>1990881</v>
      </c>
      <c r="AB19" s="292">
        <v>1991401</v>
      </c>
      <c r="AC19" s="292">
        <v>1991791</v>
      </c>
      <c r="AD19" s="292">
        <v>1992353</v>
      </c>
      <c r="AE19" s="292">
        <v>1992699</v>
      </c>
    </row>
    <row r="20" spans="1:31" x14ac:dyDescent="0.25">
      <c r="A20" s="6" t="s">
        <v>19</v>
      </c>
      <c r="B20" s="292">
        <v>1938976</v>
      </c>
      <c r="C20" s="292">
        <v>1939447</v>
      </c>
      <c r="D20" s="292">
        <v>1939772</v>
      </c>
      <c r="E20" s="292">
        <v>1940335</v>
      </c>
      <c r="F20" s="292">
        <v>1940511</v>
      </c>
      <c r="G20" s="292">
        <v>1940511</v>
      </c>
      <c r="H20" s="292">
        <v>1940517</v>
      </c>
      <c r="I20" s="292">
        <v>1940865</v>
      </c>
      <c r="J20" s="292">
        <v>1941041</v>
      </c>
      <c r="K20" s="292">
        <v>1941306</v>
      </c>
      <c r="L20" s="292">
        <v>1941660</v>
      </c>
      <c r="M20" s="292">
        <v>1942095</v>
      </c>
      <c r="N20" s="292">
        <v>1942095</v>
      </c>
      <c r="O20" s="292">
        <v>1942095</v>
      </c>
      <c r="P20" s="292">
        <v>1942652</v>
      </c>
      <c r="Q20" s="292">
        <v>1943173</v>
      </c>
      <c r="R20" s="292">
        <v>1943628</v>
      </c>
      <c r="S20" s="292">
        <v>1943995</v>
      </c>
      <c r="T20" s="292">
        <v>1944084</v>
      </c>
      <c r="U20" s="292">
        <v>1944433</v>
      </c>
      <c r="V20" s="292">
        <v>1944866</v>
      </c>
      <c r="W20" s="292">
        <v>1945386</v>
      </c>
      <c r="X20" s="292">
        <v>1945909</v>
      </c>
      <c r="Y20" s="292">
        <v>1946514</v>
      </c>
      <c r="Z20" s="292">
        <v>1946864</v>
      </c>
      <c r="AA20" s="292">
        <v>1947385</v>
      </c>
      <c r="AB20" s="292">
        <v>1947861</v>
      </c>
      <c r="AC20" s="292">
        <v>1948217</v>
      </c>
      <c r="AD20" s="292">
        <v>1948711</v>
      </c>
      <c r="AE20" s="292">
        <v>1949182</v>
      </c>
    </row>
    <row r="21" spans="1:31" x14ac:dyDescent="0.25">
      <c r="A21" s="6" t="s">
        <v>20</v>
      </c>
      <c r="B21" s="292">
        <v>1947703</v>
      </c>
      <c r="C21" s="292">
        <v>1948087</v>
      </c>
      <c r="D21" s="292">
        <v>1948525</v>
      </c>
      <c r="E21" s="292">
        <v>1948848</v>
      </c>
      <c r="F21" s="292">
        <v>1949325</v>
      </c>
      <c r="G21" s="292">
        <v>1949325</v>
      </c>
      <c r="H21" s="292">
        <v>1949327</v>
      </c>
      <c r="I21" s="292">
        <v>1949713</v>
      </c>
      <c r="J21" s="292">
        <v>1950253</v>
      </c>
      <c r="K21" s="292">
        <v>1950833</v>
      </c>
      <c r="L21" s="292">
        <v>1951327</v>
      </c>
      <c r="M21" s="292">
        <v>1951847</v>
      </c>
      <c r="N21" s="292">
        <v>1951847</v>
      </c>
      <c r="O21" s="292">
        <v>1951847</v>
      </c>
      <c r="P21" s="292">
        <v>1952317</v>
      </c>
      <c r="Q21" s="292">
        <v>1952856</v>
      </c>
      <c r="R21" s="292">
        <v>1953290</v>
      </c>
      <c r="S21" s="292">
        <v>1953809</v>
      </c>
      <c r="T21" s="292">
        <v>1954242</v>
      </c>
      <c r="U21" s="292">
        <v>1954332</v>
      </c>
      <c r="V21" s="292">
        <v>1954765</v>
      </c>
      <c r="W21" s="292">
        <v>1955218</v>
      </c>
      <c r="X21" s="292">
        <v>1955586</v>
      </c>
      <c r="Y21" s="292">
        <v>1956037</v>
      </c>
      <c r="Z21" s="292">
        <v>1956506</v>
      </c>
      <c r="AA21" s="292">
        <v>1956699</v>
      </c>
      <c r="AB21" s="292">
        <v>1956699</v>
      </c>
      <c r="AC21" s="292">
        <v>1956699</v>
      </c>
      <c r="AD21" s="292">
        <v>1957133</v>
      </c>
      <c r="AE21" s="292">
        <v>1957414</v>
      </c>
    </row>
    <row r="22" spans="1:31" x14ac:dyDescent="0.25">
      <c r="A22" s="6" t="s">
        <v>21</v>
      </c>
      <c r="B22" s="292">
        <v>1876207</v>
      </c>
      <c r="C22" s="292">
        <v>1876554</v>
      </c>
      <c r="D22" s="292">
        <v>1876901</v>
      </c>
      <c r="E22" s="292">
        <v>1877353</v>
      </c>
      <c r="F22" s="292">
        <v>1877606</v>
      </c>
      <c r="G22" s="292">
        <v>1877606</v>
      </c>
      <c r="H22" s="292">
        <v>1877609</v>
      </c>
      <c r="I22" s="292">
        <v>1877964</v>
      </c>
      <c r="J22" s="292">
        <v>1878269</v>
      </c>
      <c r="K22" s="292">
        <v>1878542</v>
      </c>
      <c r="L22" s="292">
        <v>1878728</v>
      </c>
      <c r="M22" s="292">
        <v>1879266</v>
      </c>
      <c r="N22" s="292">
        <v>1879743</v>
      </c>
      <c r="O22" s="292">
        <v>1879788</v>
      </c>
      <c r="P22" s="292">
        <v>1880304</v>
      </c>
      <c r="Q22" s="292">
        <v>1880753</v>
      </c>
      <c r="R22" s="292">
        <v>1880964</v>
      </c>
      <c r="S22" s="292">
        <v>1881303</v>
      </c>
      <c r="T22" s="292">
        <v>1881626</v>
      </c>
      <c r="U22" s="292">
        <v>1882101</v>
      </c>
      <c r="V22" s="292">
        <v>1882537</v>
      </c>
      <c r="W22" s="292">
        <v>1883058</v>
      </c>
      <c r="X22" s="292">
        <v>1883534</v>
      </c>
      <c r="Y22" s="292">
        <v>1883985</v>
      </c>
      <c r="Z22" s="292">
        <v>1884311</v>
      </c>
      <c r="AA22" s="292">
        <v>1884786</v>
      </c>
      <c r="AB22" s="292">
        <v>1885307</v>
      </c>
      <c r="AC22" s="292">
        <v>1885739</v>
      </c>
      <c r="AD22" s="292">
        <v>1886086</v>
      </c>
      <c r="AE22" s="292">
        <v>1886604</v>
      </c>
    </row>
    <row r="23" spans="1:31" x14ac:dyDescent="0.25">
      <c r="A23" s="6" t="s">
        <v>22</v>
      </c>
      <c r="B23" s="292">
        <v>1927412</v>
      </c>
      <c r="C23" s="292">
        <v>1927949</v>
      </c>
      <c r="D23" s="292">
        <v>1928202</v>
      </c>
      <c r="E23" s="292">
        <v>1928721</v>
      </c>
      <c r="F23" s="292">
        <v>1929176</v>
      </c>
      <c r="G23" s="292">
        <v>1929176</v>
      </c>
      <c r="H23" s="292">
        <v>1929176</v>
      </c>
      <c r="I23" s="292">
        <v>1929579</v>
      </c>
      <c r="J23" s="292">
        <v>1929970</v>
      </c>
      <c r="K23" s="292">
        <v>1930447</v>
      </c>
      <c r="L23" s="292">
        <v>1930799</v>
      </c>
      <c r="M23" s="292">
        <v>1931367</v>
      </c>
      <c r="N23" s="292">
        <v>1931411</v>
      </c>
      <c r="O23" s="292">
        <v>1931844</v>
      </c>
      <c r="P23" s="292">
        <v>1932144</v>
      </c>
      <c r="Q23" s="292">
        <v>1932711</v>
      </c>
      <c r="R23" s="292">
        <v>1933188</v>
      </c>
      <c r="S23" s="292">
        <v>1933558</v>
      </c>
      <c r="T23" s="292">
        <v>1934027</v>
      </c>
      <c r="U23" s="292">
        <v>1934027</v>
      </c>
      <c r="V23" s="292">
        <v>1934027</v>
      </c>
      <c r="W23" s="292">
        <v>1934346</v>
      </c>
      <c r="X23" s="292">
        <v>1934693</v>
      </c>
      <c r="Y23" s="292">
        <v>1935045</v>
      </c>
      <c r="Z23" s="292">
        <v>1935220</v>
      </c>
      <c r="AA23" s="292">
        <v>1935673</v>
      </c>
      <c r="AB23" s="292">
        <v>1935673</v>
      </c>
      <c r="AC23" s="292">
        <v>1935673</v>
      </c>
      <c r="AD23" s="292">
        <v>1936076</v>
      </c>
      <c r="AE23" s="292">
        <v>1936254</v>
      </c>
    </row>
    <row r="24" spans="1:31" x14ac:dyDescent="0.25">
      <c r="A24" s="5" t="s">
        <v>23</v>
      </c>
      <c r="B24" s="292">
        <v>1947669</v>
      </c>
      <c r="C24" s="292">
        <v>1948170</v>
      </c>
      <c r="D24" s="292">
        <v>1948690</v>
      </c>
      <c r="E24" s="292">
        <v>1949124</v>
      </c>
      <c r="F24" s="292">
        <v>1949601</v>
      </c>
      <c r="G24" s="292">
        <v>1949601</v>
      </c>
      <c r="H24" s="292">
        <v>1949601</v>
      </c>
      <c r="I24" s="292">
        <v>1949985</v>
      </c>
      <c r="J24" s="292">
        <v>1950479</v>
      </c>
      <c r="K24" s="292">
        <v>1950980</v>
      </c>
      <c r="L24" s="292">
        <v>1951435</v>
      </c>
      <c r="M24" s="292">
        <v>1951889</v>
      </c>
      <c r="N24" s="292">
        <v>1952408</v>
      </c>
      <c r="O24" s="292">
        <v>1952883</v>
      </c>
      <c r="P24" s="292">
        <v>1953118</v>
      </c>
      <c r="Q24" s="292">
        <v>1953357</v>
      </c>
      <c r="R24" s="292">
        <v>1953490</v>
      </c>
      <c r="S24" s="292">
        <v>1953859</v>
      </c>
      <c r="T24" s="292">
        <v>1954231</v>
      </c>
      <c r="U24" s="292">
        <v>1954231</v>
      </c>
      <c r="V24" s="292">
        <v>1954274</v>
      </c>
      <c r="W24" s="292">
        <v>1954664</v>
      </c>
      <c r="X24" s="292">
        <v>1954881</v>
      </c>
      <c r="Y24" s="292">
        <v>1955144</v>
      </c>
      <c r="Z24" s="292">
        <v>1955407</v>
      </c>
      <c r="AA24" s="292">
        <v>1955624</v>
      </c>
      <c r="AB24" s="292">
        <v>1955667</v>
      </c>
      <c r="AC24" s="292">
        <v>1956100</v>
      </c>
      <c r="AD24" s="292">
        <v>1956618</v>
      </c>
      <c r="AE24" s="292">
        <v>1957136</v>
      </c>
    </row>
    <row r="25" spans="1:31" x14ac:dyDescent="0.25">
      <c r="A25" s="6" t="s">
        <v>24</v>
      </c>
      <c r="B25" s="292">
        <v>1963373</v>
      </c>
      <c r="C25" s="292">
        <v>1963756</v>
      </c>
      <c r="D25" s="292">
        <v>1964039</v>
      </c>
      <c r="E25" s="292">
        <v>1964474</v>
      </c>
      <c r="F25" s="292">
        <v>1965039</v>
      </c>
      <c r="G25" s="292">
        <v>1965082</v>
      </c>
      <c r="H25" s="292">
        <v>1965256</v>
      </c>
      <c r="I25" s="292">
        <v>1965776</v>
      </c>
      <c r="J25" s="292">
        <v>1966229</v>
      </c>
      <c r="K25" s="292">
        <v>1966509</v>
      </c>
      <c r="L25" s="292">
        <v>1966900</v>
      </c>
      <c r="M25" s="292">
        <v>1967247</v>
      </c>
      <c r="N25" s="292">
        <v>1967722</v>
      </c>
      <c r="O25" s="292">
        <v>1967724</v>
      </c>
      <c r="P25" s="292">
        <v>1967991</v>
      </c>
      <c r="Q25" s="292">
        <v>1968513</v>
      </c>
      <c r="R25" s="292">
        <v>1968965</v>
      </c>
      <c r="S25" s="292">
        <v>1969369</v>
      </c>
      <c r="T25" s="292">
        <v>1969801</v>
      </c>
      <c r="U25" s="292">
        <v>1970319</v>
      </c>
      <c r="V25" s="292">
        <v>1970751</v>
      </c>
      <c r="W25" s="292">
        <v>1971202</v>
      </c>
      <c r="X25" s="292">
        <v>1971524</v>
      </c>
      <c r="Y25" s="292">
        <v>1972019</v>
      </c>
      <c r="Z25" s="292">
        <v>1972387</v>
      </c>
      <c r="AA25" s="292">
        <v>1972862</v>
      </c>
      <c r="AB25" s="292">
        <v>1973337</v>
      </c>
      <c r="AC25" s="292">
        <v>1973772</v>
      </c>
      <c r="AD25" s="292">
        <v>1974225</v>
      </c>
      <c r="AE25" s="292">
        <v>1974438</v>
      </c>
    </row>
    <row r="26" spans="1:31" x14ac:dyDescent="0.25">
      <c r="A26" s="6" t="s">
        <v>25</v>
      </c>
      <c r="B26" s="292">
        <v>1972007</v>
      </c>
      <c r="C26" s="292">
        <v>1972569</v>
      </c>
      <c r="D26" s="292">
        <v>1973063</v>
      </c>
      <c r="E26" s="292">
        <v>1973274</v>
      </c>
      <c r="F26" s="292">
        <v>1973858</v>
      </c>
      <c r="G26" s="292">
        <v>1974382</v>
      </c>
      <c r="H26" s="292">
        <v>1974815</v>
      </c>
      <c r="I26" s="292">
        <v>1975248</v>
      </c>
      <c r="J26" s="292">
        <v>1975567</v>
      </c>
      <c r="K26" s="292">
        <v>1976019</v>
      </c>
      <c r="L26" s="292">
        <v>1976387</v>
      </c>
      <c r="M26" s="292">
        <v>1976554</v>
      </c>
      <c r="N26" s="292">
        <v>1976988</v>
      </c>
      <c r="O26" s="292">
        <v>1977423</v>
      </c>
      <c r="P26" s="292">
        <v>1977855</v>
      </c>
      <c r="Q26" s="292">
        <v>1978310</v>
      </c>
      <c r="R26" s="292">
        <v>1978520</v>
      </c>
      <c r="S26" s="292">
        <v>1978887</v>
      </c>
      <c r="T26" s="292">
        <v>1979493</v>
      </c>
      <c r="U26" s="292">
        <v>1980011</v>
      </c>
      <c r="V26" s="292">
        <v>1980444</v>
      </c>
      <c r="W26" s="292">
        <v>1980895</v>
      </c>
      <c r="X26" s="292">
        <v>1981152</v>
      </c>
      <c r="Y26" s="292">
        <v>1981674</v>
      </c>
      <c r="Z26" s="292">
        <v>1981955</v>
      </c>
      <c r="AA26" s="292">
        <v>1982279</v>
      </c>
      <c r="AB26" s="292">
        <v>1982322</v>
      </c>
      <c r="AC26" s="292">
        <v>1982798</v>
      </c>
      <c r="AD26" s="292">
        <v>1983276</v>
      </c>
      <c r="AE26" s="292">
        <v>1983796</v>
      </c>
    </row>
    <row r="27" spans="1:31" x14ac:dyDescent="0.25">
      <c r="A27" s="6" t="s">
        <v>26</v>
      </c>
      <c r="B27" s="292">
        <v>1935660</v>
      </c>
      <c r="C27" s="292">
        <v>1936051</v>
      </c>
      <c r="D27" s="292">
        <v>1936392</v>
      </c>
      <c r="E27" s="292">
        <v>1936827</v>
      </c>
      <c r="F27" s="292">
        <v>1937092</v>
      </c>
      <c r="G27" s="292">
        <v>1937568</v>
      </c>
      <c r="H27" s="292">
        <v>1938004</v>
      </c>
      <c r="I27" s="292">
        <v>1938479</v>
      </c>
      <c r="J27" s="292">
        <v>1938911</v>
      </c>
      <c r="K27" s="292">
        <v>1939298</v>
      </c>
      <c r="L27" s="292">
        <v>1939746</v>
      </c>
      <c r="M27" s="292">
        <v>1940111</v>
      </c>
      <c r="N27" s="292">
        <v>1940111</v>
      </c>
      <c r="O27" s="292">
        <v>1940111</v>
      </c>
      <c r="P27" s="292">
        <v>1940588</v>
      </c>
      <c r="Q27" s="292">
        <v>1940997</v>
      </c>
      <c r="R27" s="292">
        <v>1941448</v>
      </c>
      <c r="S27" s="292">
        <v>1941899</v>
      </c>
      <c r="T27" s="292">
        <v>1942302</v>
      </c>
      <c r="U27" s="292">
        <v>1942390</v>
      </c>
      <c r="V27" s="292">
        <v>1942824</v>
      </c>
      <c r="W27" s="292">
        <v>1943260</v>
      </c>
      <c r="X27" s="292">
        <v>1943778</v>
      </c>
      <c r="Y27" s="292">
        <v>1943969</v>
      </c>
      <c r="Z27" s="292">
        <v>1944096</v>
      </c>
      <c r="AA27" s="292">
        <v>1944332</v>
      </c>
      <c r="AB27" s="292">
        <v>1944807</v>
      </c>
      <c r="AC27" s="292">
        <v>1945243</v>
      </c>
      <c r="AD27" s="292">
        <v>1945594</v>
      </c>
      <c r="AE27" s="292">
        <v>1946027</v>
      </c>
    </row>
    <row r="28" spans="1:31" x14ac:dyDescent="0.25">
      <c r="A28" s="6" t="s">
        <v>27</v>
      </c>
      <c r="B28" s="292">
        <v>1944768</v>
      </c>
      <c r="C28" s="292">
        <v>1944980</v>
      </c>
      <c r="D28" s="292">
        <v>1945436</v>
      </c>
      <c r="E28" s="292">
        <v>1945889</v>
      </c>
      <c r="F28" s="292">
        <v>1946185</v>
      </c>
      <c r="G28" s="292">
        <v>1946185</v>
      </c>
      <c r="H28" s="292">
        <v>1946185</v>
      </c>
      <c r="I28" s="292">
        <v>1946722</v>
      </c>
      <c r="J28" s="292">
        <v>1947173</v>
      </c>
      <c r="K28" s="292">
        <v>1947497</v>
      </c>
      <c r="L28" s="292">
        <v>1947973</v>
      </c>
      <c r="M28" s="292">
        <v>1948336</v>
      </c>
      <c r="N28" s="292">
        <v>1948336</v>
      </c>
      <c r="O28" s="292">
        <v>1948336</v>
      </c>
      <c r="P28" s="292">
        <v>1948875</v>
      </c>
      <c r="Q28" s="292">
        <v>1949312</v>
      </c>
      <c r="R28" s="292">
        <v>1949763</v>
      </c>
      <c r="S28" s="292">
        <v>1950045</v>
      </c>
      <c r="T28" s="292">
        <v>1950497</v>
      </c>
      <c r="U28" s="292">
        <v>1950497</v>
      </c>
      <c r="V28" s="292">
        <v>1950497</v>
      </c>
      <c r="W28" s="292">
        <v>1950882</v>
      </c>
      <c r="X28" s="292">
        <v>1951419</v>
      </c>
      <c r="Y28" s="292">
        <v>1951869</v>
      </c>
      <c r="Z28" s="292">
        <v>1952167</v>
      </c>
      <c r="AA28" s="292">
        <v>1952337</v>
      </c>
      <c r="AB28" s="292">
        <v>1952597</v>
      </c>
      <c r="AC28" s="292">
        <v>1952597</v>
      </c>
      <c r="AD28" s="292">
        <v>1953159</v>
      </c>
      <c r="AE28" s="292">
        <v>1953376</v>
      </c>
    </row>
    <row r="29" spans="1:31" x14ac:dyDescent="0.25">
      <c r="A29" s="5" t="s">
        <v>28</v>
      </c>
      <c r="B29" s="292">
        <v>1876512</v>
      </c>
      <c r="C29" s="292">
        <v>1876512</v>
      </c>
      <c r="D29" s="292">
        <v>1876512</v>
      </c>
      <c r="E29" s="292">
        <v>1876512</v>
      </c>
      <c r="F29" s="292">
        <v>1876512</v>
      </c>
      <c r="G29" s="292">
        <v>1876512</v>
      </c>
      <c r="H29" s="292">
        <v>1876512</v>
      </c>
      <c r="I29" s="292">
        <v>1876512</v>
      </c>
      <c r="J29" s="292">
        <v>1876512</v>
      </c>
      <c r="K29" s="292">
        <v>1876512</v>
      </c>
      <c r="L29" s="292">
        <v>1876512</v>
      </c>
      <c r="M29" s="292">
        <v>1876512</v>
      </c>
      <c r="N29" s="292">
        <v>1876512</v>
      </c>
      <c r="O29" s="292">
        <v>1876512</v>
      </c>
      <c r="P29" s="292">
        <v>1876512</v>
      </c>
      <c r="Q29" s="292">
        <v>1876512</v>
      </c>
      <c r="R29" s="292">
        <v>1876512</v>
      </c>
      <c r="S29" s="292">
        <v>1876512</v>
      </c>
      <c r="T29" s="292">
        <v>1876512</v>
      </c>
      <c r="U29" s="292">
        <v>1876512</v>
      </c>
      <c r="V29" s="292">
        <v>1876512</v>
      </c>
      <c r="W29" s="292">
        <v>1876512</v>
      </c>
      <c r="X29" s="292">
        <v>1876512</v>
      </c>
      <c r="Y29" s="292">
        <v>1876512</v>
      </c>
      <c r="Z29" s="292">
        <v>1876512</v>
      </c>
      <c r="AA29" s="292">
        <v>1876512</v>
      </c>
      <c r="AB29" s="292">
        <v>1876512</v>
      </c>
      <c r="AC29" s="292">
        <v>1876512</v>
      </c>
      <c r="AD29" s="292">
        <v>1876512</v>
      </c>
      <c r="AE29" s="292">
        <v>1876512</v>
      </c>
    </row>
    <row r="30" spans="1:31" x14ac:dyDescent="0.25">
      <c r="A30" s="6" t="s">
        <v>29</v>
      </c>
      <c r="B30" s="292">
        <v>1600077</v>
      </c>
      <c r="C30" s="292">
        <v>1600381</v>
      </c>
      <c r="D30" s="292">
        <v>1600985</v>
      </c>
      <c r="E30" s="292">
        <v>1601545</v>
      </c>
      <c r="F30" s="292">
        <v>1602037</v>
      </c>
      <c r="G30" s="292">
        <v>1602037</v>
      </c>
      <c r="H30" s="292">
        <v>1602037</v>
      </c>
      <c r="I30" s="292">
        <v>1602543</v>
      </c>
      <c r="J30" s="292">
        <v>1603061</v>
      </c>
      <c r="K30" s="292">
        <v>1603533</v>
      </c>
      <c r="L30" s="292">
        <v>1604137</v>
      </c>
      <c r="M30" s="292">
        <v>1604655</v>
      </c>
      <c r="N30" s="292">
        <v>1605090</v>
      </c>
      <c r="O30" s="292">
        <v>1605521</v>
      </c>
      <c r="P30" s="292">
        <v>1605826</v>
      </c>
      <c r="Q30" s="292">
        <v>1606129</v>
      </c>
      <c r="R30" s="292">
        <v>1606477</v>
      </c>
      <c r="S30" s="292">
        <v>1606928</v>
      </c>
      <c r="T30" s="292">
        <v>1607380</v>
      </c>
      <c r="U30" s="292">
        <v>1607380</v>
      </c>
      <c r="V30" s="292">
        <v>1607382</v>
      </c>
      <c r="W30" s="292">
        <v>1607732</v>
      </c>
      <c r="X30" s="292">
        <v>1608180</v>
      </c>
      <c r="Y30" s="292">
        <v>1608498</v>
      </c>
      <c r="Z30" s="292">
        <v>1608948</v>
      </c>
      <c r="AA30" s="292">
        <v>1609054</v>
      </c>
      <c r="AB30" s="292">
        <v>1609054</v>
      </c>
      <c r="AC30" s="292">
        <v>1609147</v>
      </c>
      <c r="AD30" s="292">
        <v>1609499</v>
      </c>
      <c r="AE30" s="292">
        <v>1610018</v>
      </c>
    </row>
    <row r="31" spans="1:31" x14ac:dyDescent="0.25">
      <c r="A31" s="7" t="s">
        <v>30</v>
      </c>
      <c r="B31" s="292">
        <v>1904922</v>
      </c>
      <c r="C31" s="292">
        <v>1905372</v>
      </c>
      <c r="D31" s="292">
        <v>1905739</v>
      </c>
      <c r="E31" s="292">
        <v>1906303</v>
      </c>
      <c r="F31" s="292">
        <v>1906731</v>
      </c>
      <c r="G31" s="292">
        <v>1907250</v>
      </c>
      <c r="H31" s="292">
        <v>1907686</v>
      </c>
      <c r="I31" s="292">
        <v>1907968</v>
      </c>
      <c r="J31" s="292">
        <v>1908333</v>
      </c>
      <c r="K31" s="292">
        <v>1908853</v>
      </c>
      <c r="L31" s="292">
        <v>1909304</v>
      </c>
      <c r="M31" s="292">
        <v>1909841</v>
      </c>
      <c r="N31" s="292">
        <v>1910360</v>
      </c>
      <c r="O31" s="292">
        <v>1910795</v>
      </c>
      <c r="P31" s="292">
        <v>1910905</v>
      </c>
      <c r="Q31" s="292">
        <v>1911309</v>
      </c>
      <c r="R31" s="292">
        <v>1911764</v>
      </c>
      <c r="S31" s="292">
        <v>1912129</v>
      </c>
      <c r="T31" s="292">
        <v>1912649</v>
      </c>
      <c r="U31" s="292">
        <v>1913170</v>
      </c>
      <c r="V31" s="292">
        <v>1913261</v>
      </c>
      <c r="W31" s="292">
        <v>1913780</v>
      </c>
      <c r="X31" s="292">
        <v>1914146</v>
      </c>
      <c r="Y31" s="292">
        <v>1914477</v>
      </c>
      <c r="Z31" s="292">
        <v>1914995</v>
      </c>
      <c r="AA31" s="292">
        <v>1915514</v>
      </c>
      <c r="AB31" s="292">
        <v>1916033</v>
      </c>
      <c r="AC31" s="292">
        <v>1916468</v>
      </c>
      <c r="AD31" s="292">
        <v>1916918</v>
      </c>
      <c r="AE31" s="292">
        <v>1917335</v>
      </c>
    </row>
    <row r="32" spans="1:31" s="130" customFormat="1" x14ac:dyDescent="0.25">
      <c r="A32" s="6" t="s">
        <v>111</v>
      </c>
      <c r="B32" s="292">
        <v>575791</v>
      </c>
      <c r="C32" s="292">
        <v>576051</v>
      </c>
      <c r="D32" s="292">
        <v>576500</v>
      </c>
      <c r="E32" s="292">
        <v>576733</v>
      </c>
      <c r="F32" s="292">
        <v>577184</v>
      </c>
      <c r="G32" s="292">
        <v>577184</v>
      </c>
      <c r="H32" s="292">
        <v>577184</v>
      </c>
      <c r="I32" s="292">
        <v>577395</v>
      </c>
      <c r="J32" s="292">
        <v>577847</v>
      </c>
      <c r="K32" s="292">
        <v>578215</v>
      </c>
      <c r="L32" s="292">
        <v>578617</v>
      </c>
      <c r="M32" s="292">
        <v>578833</v>
      </c>
      <c r="N32" s="292">
        <v>578833</v>
      </c>
      <c r="O32" s="292">
        <v>578833</v>
      </c>
      <c r="P32" s="292">
        <v>579199</v>
      </c>
      <c r="Q32" s="292">
        <v>579667</v>
      </c>
      <c r="R32" s="292">
        <v>579861</v>
      </c>
      <c r="S32" s="292">
        <v>580165</v>
      </c>
      <c r="T32" s="292">
        <v>580471</v>
      </c>
      <c r="U32" s="292">
        <v>580471</v>
      </c>
      <c r="V32" s="292">
        <v>580471</v>
      </c>
      <c r="W32" s="292">
        <v>580645</v>
      </c>
      <c r="X32" s="292">
        <v>580928</v>
      </c>
      <c r="Y32" s="292">
        <v>581286</v>
      </c>
      <c r="Z32" s="292">
        <v>581633</v>
      </c>
      <c r="AA32" s="292">
        <v>582126</v>
      </c>
      <c r="AB32" s="292">
        <v>582126</v>
      </c>
      <c r="AC32" s="292">
        <v>582126</v>
      </c>
      <c r="AD32" s="292">
        <v>582450</v>
      </c>
      <c r="AE32" s="292">
        <v>582926</v>
      </c>
    </row>
    <row r="33" spans="1:31" s="130" customFormat="1" x14ac:dyDescent="0.25">
      <c r="A33" s="5" t="s">
        <v>112</v>
      </c>
      <c r="B33" s="292">
        <v>583221</v>
      </c>
      <c r="C33" s="292">
        <v>583415</v>
      </c>
      <c r="D33" s="292">
        <v>583866</v>
      </c>
      <c r="E33" s="292">
        <v>584336</v>
      </c>
      <c r="F33" s="292">
        <v>584616</v>
      </c>
      <c r="G33" s="292">
        <v>585048</v>
      </c>
      <c r="H33" s="292">
        <v>585048</v>
      </c>
      <c r="I33" s="292">
        <v>585141</v>
      </c>
      <c r="J33" s="292">
        <v>585141</v>
      </c>
      <c r="K33" s="292">
        <v>585141</v>
      </c>
      <c r="L33" s="292">
        <v>585143</v>
      </c>
      <c r="M33" s="292">
        <v>585143</v>
      </c>
      <c r="N33" s="292">
        <v>585143</v>
      </c>
      <c r="O33" s="292">
        <v>585144</v>
      </c>
      <c r="P33" s="292">
        <v>585376</v>
      </c>
      <c r="Q33" s="292">
        <v>585569</v>
      </c>
      <c r="R33" s="292">
        <v>586130</v>
      </c>
      <c r="S33" s="292">
        <v>586520</v>
      </c>
      <c r="T33" s="292">
        <v>586716</v>
      </c>
      <c r="U33" s="292">
        <v>586716</v>
      </c>
      <c r="V33" s="292">
        <v>586716</v>
      </c>
      <c r="W33" s="292">
        <v>586998</v>
      </c>
      <c r="X33" s="292">
        <v>587449</v>
      </c>
      <c r="Y33" s="292">
        <v>587900</v>
      </c>
      <c r="Z33" s="292">
        <v>588291</v>
      </c>
      <c r="AA33" s="292">
        <v>588784</v>
      </c>
      <c r="AB33" s="292">
        <v>588784</v>
      </c>
      <c r="AC33" s="292">
        <v>588784</v>
      </c>
      <c r="AD33" s="292">
        <v>588997</v>
      </c>
      <c r="AE33" s="292">
        <v>589297</v>
      </c>
    </row>
    <row r="34" spans="1:31" s="130" customFormat="1" x14ac:dyDescent="0.25">
      <c r="A34" s="6" t="s">
        <v>113</v>
      </c>
      <c r="B34" s="292">
        <v>559768</v>
      </c>
      <c r="C34" s="292">
        <v>560203</v>
      </c>
      <c r="D34" s="292">
        <v>560467</v>
      </c>
      <c r="E34" s="292">
        <v>560730</v>
      </c>
      <c r="F34" s="292">
        <v>561097</v>
      </c>
      <c r="G34" s="292">
        <v>561097</v>
      </c>
      <c r="H34" s="292">
        <v>561097</v>
      </c>
      <c r="I34" s="292">
        <v>561224</v>
      </c>
      <c r="J34" s="292">
        <v>561507</v>
      </c>
      <c r="K34" s="292">
        <v>561877</v>
      </c>
      <c r="L34" s="292">
        <v>562244</v>
      </c>
      <c r="M34" s="292">
        <v>562679</v>
      </c>
      <c r="N34" s="292">
        <v>562679</v>
      </c>
      <c r="O34" s="292">
        <v>562679</v>
      </c>
      <c r="P34" s="292">
        <v>563045</v>
      </c>
      <c r="Q34" s="292">
        <v>563513</v>
      </c>
      <c r="R34" s="292">
        <v>563837</v>
      </c>
      <c r="S34" s="292">
        <v>564227</v>
      </c>
      <c r="T34" s="292">
        <v>564593</v>
      </c>
      <c r="U34" s="292">
        <v>564593</v>
      </c>
      <c r="V34" s="292">
        <v>564593</v>
      </c>
      <c r="W34" s="292">
        <v>565131</v>
      </c>
      <c r="X34" s="292">
        <v>565651</v>
      </c>
      <c r="Y34" s="292">
        <v>566083</v>
      </c>
      <c r="Z34" s="292">
        <v>566346</v>
      </c>
      <c r="AA34" s="292">
        <v>566602</v>
      </c>
      <c r="AB34" s="292">
        <v>566602</v>
      </c>
      <c r="AC34" s="292">
        <v>566602</v>
      </c>
      <c r="AD34" s="292">
        <v>566924</v>
      </c>
      <c r="AE34" s="292">
        <v>567205</v>
      </c>
    </row>
    <row r="35" spans="1:31" s="130" customFormat="1" x14ac:dyDescent="0.25">
      <c r="A35" s="7" t="s">
        <v>114</v>
      </c>
      <c r="B35" s="292">
        <v>573268</v>
      </c>
      <c r="C35" s="292">
        <v>573546</v>
      </c>
      <c r="D35" s="292">
        <v>573996</v>
      </c>
      <c r="E35" s="292">
        <v>574192</v>
      </c>
      <c r="F35" s="292">
        <v>574549</v>
      </c>
      <c r="G35" s="292">
        <v>574568</v>
      </c>
      <c r="H35" s="292">
        <v>574568</v>
      </c>
      <c r="I35" s="292">
        <v>575019</v>
      </c>
      <c r="J35" s="292">
        <v>575385</v>
      </c>
      <c r="K35" s="292">
        <v>575751</v>
      </c>
      <c r="L35" s="292">
        <v>576029</v>
      </c>
      <c r="M35" s="292">
        <v>576396</v>
      </c>
      <c r="N35" s="292">
        <v>576396</v>
      </c>
      <c r="O35" s="292">
        <v>576396</v>
      </c>
      <c r="P35" s="292">
        <v>576933</v>
      </c>
      <c r="Q35" s="292">
        <v>577383</v>
      </c>
      <c r="R35" s="292">
        <v>577577</v>
      </c>
      <c r="S35" s="292">
        <v>577754</v>
      </c>
      <c r="T35" s="292">
        <v>578017</v>
      </c>
      <c r="U35" s="292">
        <v>578366</v>
      </c>
      <c r="V35" s="292">
        <v>578366</v>
      </c>
      <c r="W35" s="292">
        <v>578627</v>
      </c>
      <c r="X35" s="292">
        <v>579059</v>
      </c>
      <c r="Y35" s="292">
        <v>579407</v>
      </c>
      <c r="Z35" s="292">
        <v>579840</v>
      </c>
      <c r="AA35" s="292">
        <v>580273</v>
      </c>
      <c r="AB35" s="292">
        <v>580273</v>
      </c>
      <c r="AC35" s="292">
        <v>580364</v>
      </c>
      <c r="AD35" s="292">
        <v>580558</v>
      </c>
      <c r="AE35" s="292">
        <v>580857</v>
      </c>
    </row>
    <row r="36" spans="1:31" s="130" customFormat="1" x14ac:dyDescent="0.25">
      <c r="A36" s="5" t="s">
        <v>115</v>
      </c>
      <c r="B36" s="292">
        <v>561167</v>
      </c>
      <c r="C36" s="292">
        <v>561334</v>
      </c>
      <c r="D36" s="292">
        <v>561426</v>
      </c>
      <c r="E36" s="292">
        <v>561602</v>
      </c>
      <c r="F36" s="292">
        <v>562054</v>
      </c>
      <c r="G36" s="292">
        <v>562070</v>
      </c>
      <c r="H36" s="292">
        <v>562070</v>
      </c>
      <c r="I36" s="292">
        <v>562524</v>
      </c>
      <c r="J36" s="292">
        <v>562859</v>
      </c>
      <c r="K36" s="292">
        <v>562941</v>
      </c>
      <c r="L36" s="292">
        <v>563374</v>
      </c>
      <c r="M36" s="292">
        <v>563738</v>
      </c>
      <c r="N36" s="292">
        <v>563738</v>
      </c>
      <c r="O36" s="292">
        <v>563738</v>
      </c>
      <c r="P36" s="292">
        <v>563760</v>
      </c>
      <c r="Q36" s="292">
        <v>564023</v>
      </c>
      <c r="R36" s="292">
        <v>564457</v>
      </c>
      <c r="S36" s="292">
        <v>564719</v>
      </c>
      <c r="T36" s="292">
        <v>564913</v>
      </c>
      <c r="U36" s="292">
        <v>564913</v>
      </c>
      <c r="V36" s="292">
        <v>564913</v>
      </c>
      <c r="W36" s="292">
        <v>565193</v>
      </c>
      <c r="X36" s="292">
        <v>565541</v>
      </c>
      <c r="Y36" s="292">
        <v>565973</v>
      </c>
      <c r="Z36" s="292">
        <v>566320</v>
      </c>
      <c r="AA36" s="292">
        <v>566627</v>
      </c>
      <c r="AB36" s="292">
        <v>566627</v>
      </c>
      <c r="AC36" s="292">
        <v>566627</v>
      </c>
      <c r="AD36" s="292">
        <v>566926</v>
      </c>
      <c r="AE36" s="292">
        <v>567401</v>
      </c>
    </row>
    <row r="37" spans="1:31" s="130" customFormat="1" x14ac:dyDescent="0.25">
      <c r="A37" s="6" t="s">
        <v>116</v>
      </c>
      <c r="B37" s="292">
        <v>599698</v>
      </c>
      <c r="C37" s="292">
        <v>600235</v>
      </c>
      <c r="D37" s="292">
        <v>600326</v>
      </c>
      <c r="E37" s="292">
        <v>600778</v>
      </c>
      <c r="F37" s="292">
        <v>601058</v>
      </c>
      <c r="G37" s="292">
        <v>601489</v>
      </c>
      <c r="H37" s="292">
        <v>601750</v>
      </c>
      <c r="I37" s="292">
        <v>602181</v>
      </c>
      <c r="J37" s="292">
        <v>602529</v>
      </c>
      <c r="K37" s="292">
        <v>602810</v>
      </c>
      <c r="L37" s="292">
        <v>603262</v>
      </c>
      <c r="M37" s="292">
        <v>603455</v>
      </c>
      <c r="N37" s="292">
        <v>603455</v>
      </c>
      <c r="O37" s="292">
        <v>603455</v>
      </c>
      <c r="P37" s="292">
        <v>603667</v>
      </c>
      <c r="Q37" s="292">
        <v>603687</v>
      </c>
      <c r="R37" s="292">
        <v>603948</v>
      </c>
      <c r="S37" s="292">
        <v>604311</v>
      </c>
      <c r="T37" s="292">
        <v>604779</v>
      </c>
      <c r="U37" s="292">
        <v>604779</v>
      </c>
      <c r="V37" s="292">
        <v>604779</v>
      </c>
      <c r="W37" s="292">
        <v>604975</v>
      </c>
      <c r="X37" s="292">
        <v>605426</v>
      </c>
      <c r="Y37" s="292">
        <v>605876</v>
      </c>
      <c r="Z37" s="292">
        <v>606310</v>
      </c>
      <c r="AA37" s="292">
        <v>606761</v>
      </c>
      <c r="AB37" s="292">
        <v>606761</v>
      </c>
      <c r="AC37" s="292">
        <v>606761</v>
      </c>
      <c r="AD37" s="292">
        <v>606973</v>
      </c>
      <c r="AE37" s="292">
        <v>607204</v>
      </c>
    </row>
    <row r="38" spans="1:31" x14ac:dyDescent="0.25">
      <c r="A38" s="7" t="s">
        <v>117</v>
      </c>
      <c r="B38" s="292">
        <v>245155</v>
      </c>
      <c r="C38" s="292">
        <v>245608</v>
      </c>
      <c r="D38" s="292">
        <v>245802</v>
      </c>
      <c r="E38" s="292">
        <v>246017</v>
      </c>
      <c r="F38" s="292">
        <v>246213</v>
      </c>
      <c r="G38" s="292">
        <v>246651</v>
      </c>
      <c r="H38" s="292">
        <v>246913</v>
      </c>
      <c r="I38" s="292">
        <v>247003</v>
      </c>
      <c r="J38" s="292">
        <v>247024</v>
      </c>
      <c r="K38" s="292">
        <v>247024</v>
      </c>
      <c r="L38" s="292">
        <v>247024</v>
      </c>
      <c r="M38" s="292">
        <v>247046</v>
      </c>
      <c r="N38" s="292">
        <v>247046</v>
      </c>
      <c r="O38" s="292">
        <v>247046</v>
      </c>
      <c r="P38" s="292">
        <v>247135</v>
      </c>
      <c r="Q38" s="292">
        <v>247311</v>
      </c>
      <c r="R38" s="292">
        <v>247574</v>
      </c>
      <c r="S38" s="292">
        <v>248093</v>
      </c>
      <c r="T38" s="292">
        <v>248628</v>
      </c>
      <c r="U38" s="292">
        <v>248628</v>
      </c>
      <c r="V38" s="292">
        <v>248628</v>
      </c>
      <c r="W38" s="292">
        <v>248908</v>
      </c>
      <c r="X38" s="292">
        <v>249170</v>
      </c>
      <c r="Y38" s="292">
        <v>249519</v>
      </c>
      <c r="Z38" s="292">
        <v>249951</v>
      </c>
      <c r="AA38" s="292">
        <v>250385</v>
      </c>
      <c r="AB38" s="292">
        <v>250385</v>
      </c>
      <c r="AC38" s="292">
        <v>250388</v>
      </c>
      <c r="AD38" s="292">
        <v>250735</v>
      </c>
      <c r="AE38" s="292">
        <v>251186</v>
      </c>
    </row>
    <row r="39" spans="1:31" x14ac:dyDescent="0.25">
      <c r="A39" s="5" t="s">
        <v>118</v>
      </c>
      <c r="B39" s="292">
        <v>572257</v>
      </c>
      <c r="C39" s="292">
        <v>572606</v>
      </c>
      <c r="D39" s="292">
        <v>572780</v>
      </c>
      <c r="E39" s="292">
        <v>572976</v>
      </c>
      <c r="F39" s="292">
        <v>573145</v>
      </c>
      <c r="G39" s="292">
        <v>573605</v>
      </c>
      <c r="H39" s="292">
        <v>573864</v>
      </c>
      <c r="I39" s="292">
        <v>574296</v>
      </c>
      <c r="J39" s="292">
        <v>574680</v>
      </c>
      <c r="K39" s="292">
        <v>575131</v>
      </c>
      <c r="L39" s="292">
        <v>575409</v>
      </c>
      <c r="M39" s="292">
        <v>575776</v>
      </c>
      <c r="N39" s="292">
        <v>575776</v>
      </c>
      <c r="O39" s="292">
        <v>575776</v>
      </c>
      <c r="P39" s="292">
        <v>576482</v>
      </c>
      <c r="Q39" s="292">
        <v>576933</v>
      </c>
      <c r="R39" s="292">
        <v>577213</v>
      </c>
      <c r="S39" s="292">
        <v>577578</v>
      </c>
      <c r="T39" s="292">
        <v>578046</v>
      </c>
      <c r="U39" s="292">
        <v>578046</v>
      </c>
      <c r="V39" s="292">
        <v>578046</v>
      </c>
      <c r="W39" s="292">
        <v>578327</v>
      </c>
      <c r="X39" s="292">
        <v>578779</v>
      </c>
      <c r="Y39" s="292">
        <v>579139</v>
      </c>
      <c r="Z39" s="292">
        <v>579614</v>
      </c>
      <c r="AA39" s="292">
        <v>580064</v>
      </c>
      <c r="AB39" s="292">
        <v>580064</v>
      </c>
      <c r="AC39" s="292">
        <v>580064</v>
      </c>
      <c r="AD39" s="292">
        <v>580515</v>
      </c>
      <c r="AE39" s="292">
        <v>580967</v>
      </c>
    </row>
    <row r="40" spans="1:31" s="130" customFormat="1" ht="18" x14ac:dyDescent="0.25">
      <c r="A40" s="227"/>
      <c r="B40" s="227"/>
      <c r="C40" s="227"/>
      <c r="D40" s="227"/>
      <c r="E40" s="227"/>
      <c r="F40" s="227"/>
      <c r="G40" s="227"/>
      <c r="H40" s="227"/>
      <c r="I40" s="227"/>
      <c r="J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</row>
    <row r="41" spans="1:31" ht="18" x14ac:dyDescent="0.25">
      <c r="A41" s="324" t="s">
        <v>31</v>
      </c>
      <c r="B41" s="324"/>
      <c r="C41" s="324"/>
      <c r="D41" s="324"/>
      <c r="E41" s="324"/>
      <c r="F41" s="324"/>
      <c r="G41" s="324"/>
      <c r="H41" s="324"/>
      <c r="I41" s="324"/>
      <c r="J41" s="324"/>
      <c r="K41" s="324"/>
      <c r="L41" s="324"/>
      <c r="M41" s="324"/>
      <c r="N41" s="324"/>
      <c r="O41" s="324"/>
      <c r="P41" s="324"/>
      <c r="Q41" s="324"/>
      <c r="R41" s="324"/>
      <c r="S41" s="324"/>
      <c r="T41" s="324"/>
      <c r="U41" s="324"/>
      <c r="V41" s="324"/>
      <c r="W41" s="324"/>
      <c r="X41" s="324"/>
      <c r="Y41" s="324"/>
      <c r="Z41" s="324"/>
      <c r="AA41" s="324"/>
      <c r="AB41" s="324"/>
      <c r="AC41" s="324"/>
    </row>
    <row r="42" spans="1:31" x14ac:dyDescent="0.25">
      <c r="A42" s="9"/>
      <c r="B42" s="64">
        <v>45383</v>
      </c>
      <c r="C42" s="64">
        <v>45384</v>
      </c>
      <c r="D42" s="64">
        <v>45385</v>
      </c>
      <c r="E42" s="64">
        <v>45386</v>
      </c>
      <c r="F42" s="64">
        <v>45387</v>
      </c>
      <c r="G42" s="64">
        <v>45388</v>
      </c>
      <c r="H42" s="64">
        <v>45389</v>
      </c>
      <c r="I42" s="64">
        <v>45390</v>
      </c>
      <c r="J42" s="64">
        <v>45391</v>
      </c>
      <c r="K42" s="64">
        <v>45392</v>
      </c>
      <c r="L42" s="64">
        <v>45393</v>
      </c>
      <c r="M42" s="64">
        <v>45394</v>
      </c>
      <c r="N42" s="64">
        <v>45395</v>
      </c>
      <c r="O42" s="64">
        <v>45396</v>
      </c>
      <c r="P42" s="64">
        <v>45397</v>
      </c>
      <c r="Q42" s="64">
        <v>45398</v>
      </c>
      <c r="R42" s="64">
        <v>45399</v>
      </c>
      <c r="S42" s="64">
        <v>45400</v>
      </c>
      <c r="T42" s="64">
        <v>45401</v>
      </c>
      <c r="U42" s="64">
        <v>45402</v>
      </c>
      <c r="V42" s="64">
        <v>45403</v>
      </c>
      <c r="W42" s="64">
        <v>45404</v>
      </c>
      <c r="X42" s="64">
        <v>45405</v>
      </c>
      <c r="Y42" s="64">
        <v>45406</v>
      </c>
      <c r="Z42" s="64">
        <v>45407</v>
      </c>
      <c r="AA42" s="64">
        <v>45408</v>
      </c>
      <c r="AB42" s="64">
        <v>45409</v>
      </c>
      <c r="AC42" s="64">
        <v>45410</v>
      </c>
      <c r="AD42" s="64">
        <v>45411</v>
      </c>
      <c r="AE42" s="64">
        <v>45412</v>
      </c>
    </row>
    <row r="43" spans="1:31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</row>
    <row r="44" spans="1:31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</row>
    <row r="45" spans="1:31" x14ac:dyDescent="0.25">
      <c r="A45" s="11" t="s">
        <v>4</v>
      </c>
      <c r="B45" s="245">
        <v>436</v>
      </c>
      <c r="C45" s="12">
        <f t="shared" ref="C45:D64" si="0">C5-B5</f>
        <v>263</v>
      </c>
      <c r="D45" s="12">
        <f t="shared" si="0"/>
        <v>91</v>
      </c>
      <c r="E45" s="12">
        <f t="shared" ref="E45:F64" si="1">E5-D5</f>
        <v>519</v>
      </c>
      <c r="F45" s="12">
        <f t="shared" si="1"/>
        <v>282</v>
      </c>
      <c r="G45" s="12">
        <f t="shared" ref="G45:P45" si="2">G5-F5</f>
        <v>0</v>
      </c>
      <c r="H45" s="12">
        <f t="shared" si="2"/>
        <v>0</v>
      </c>
      <c r="I45" s="12">
        <f t="shared" si="2"/>
        <v>334</v>
      </c>
      <c r="J45" s="12">
        <f t="shared" si="2"/>
        <v>211</v>
      </c>
      <c r="K45" s="12">
        <f t="shared" si="2"/>
        <v>452</v>
      </c>
      <c r="L45" s="12">
        <f t="shared" si="2"/>
        <v>350</v>
      </c>
      <c r="M45" s="12">
        <f t="shared" si="2"/>
        <v>451</v>
      </c>
      <c r="N45" s="12">
        <f t="shared" si="2"/>
        <v>0</v>
      </c>
      <c r="O45" s="12">
        <f t="shared" si="2"/>
        <v>0</v>
      </c>
      <c r="P45" s="12">
        <f t="shared" si="2"/>
        <v>215</v>
      </c>
      <c r="Q45" s="12">
        <f>Q5-P5</f>
        <v>322</v>
      </c>
      <c r="R45" s="12">
        <f>R5-Q5</f>
        <v>493</v>
      </c>
      <c r="S45" s="12">
        <f>S5-R5</f>
        <v>469</v>
      </c>
      <c r="T45" s="12">
        <f t="shared" ref="T45:AE45" si="3">T5-S5</f>
        <v>452</v>
      </c>
      <c r="U45" s="12">
        <f t="shared" si="3"/>
        <v>433</v>
      </c>
      <c r="V45" s="12">
        <f>V5-U5</f>
        <v>389</v>
      </c>
      <c r="W45" s="12">
        <f t="shared" si="3"/>
        <v>408</v>
      </c>
      <c r="X45" s="12">
        <f t="shared" si="3"/>
        <v>299</v>
      </c>
      <c r="Y45" s="12">
        <f t="shared" si="3"/>
        <v>195</v>
      </c>
      <c r="Z45" s="12">
        <f t="shared" si="3"/>
        <v>433</v>
      </c>
      <c r="AA45" s="12">
        <f t="shared" si="3"/>
        <v>346</v>
      </c>
      <c r="AB45" s="12">
        <f t="shared" si="3"/>
        <v>432</v>
      </c>
      <c r="AC45" s="12">
        <f t="shared" si="3"/>
        <v>431</v>
      </c>
      <c r="AD45" s="12">
        <f t="shared" si="3"/>
        <v>604</v>
      </c>
      <c r="AE45" s="12">
        <f t="shared" si="3"/>
        <v>433</v>
      </c>
    </row>
    <row r="46" spans="1:31" x14ac:dyDescent="0.25">
      <c r="A46" s="11" t="s">
        <v>5</v>
      </c>
      <c r="B46" s="245">
        <v>581</v>
      </c>
      <c r="C46" s="12">
        <f t="shared" si="0"/>
        <v>220</v>
      </c>
      <c r="D46" s="12">
        <f t="shared" si="0"/>
        <v>452</v>
      </c>
      <c r="E46" s="12">
        <f t="shared" si="1"/>
        <v>253</v>
      </c>
      <c r="F46" s="12">
        <f t="shared" si="1"/>
        <v>367</v>
      </c>
      <c r="G46" s="12">
        <f t="shared" ref="G46:P62" si="4">G6-F6</f>
        <v>0</v>
      </c>
      <c r="H46" s="12">
        <f t="shared" si="4"/>
        <v>0</v>
      </c>
      <c r="I46" s="12">
        <f t="shared" si="4"/>
        <v>539</v>
      </c>
      <c r="J46" s="12">
        <f t="shared" si="4"/>
        <v>562</v>
      </c>
      <c r="K46" s="12">
        <f t="shared" si="4"/>
        <v>302</v>
      </c>
      <c r="L46" s="12">
        <f t="shared" si="4"/>
        <v>178</v>
      </c>
      <c r="M46" s="12">
        <f t="shared" si="4"/>
        <v>306</v>
      </c>
      <c r="N46" s="12">
        <f t="shared" si="4"/>
        <v>0</v>
      </c>
      <c r="O46" s="12">
        <f t="shared" si="4"/>
        <v>44</v>
      </c>
      <c r="P46" s="12">
        <f t="shared" si="4"/>
        <v>518</v>
      </c>
      <c r="Q46" s="12">
        <f t="shared" ref="Q46:Q79" si="5">Q6-P6</f>
        <v>260</v>
      </c>
      <c r="R46" s="12">
        <f t="shared" ref="R46:S79" si="6">R6-Q6</f>
        <v>451</v>
      </c>
      <c r="S46" s="12">
        <f t="shared" si="6"/>
        <v>538</v>
      </c>
      <c r="T46" s="12">
        <f t="shared" ref="T46:AE46" si="7">T6-S6</f>
        <v>87</v>
      </c>
      <c r="U46" s="12">
        <f t="shared" si="7"/>
        <v>0</v>
      </c>
      <c r="V46" s="12">
        <f t="shared" si="7"/>
        <v>1</v>
      </c>
      <c r="W46" s="12">
        <f t="shared" si="7"/>
        <v>397</v>
      </c>
      <c r="X46" s="12">
        <f t="shared" si="7"/>
        <v>391</v>
      </c>
      <c r="Y46" s="12">
        <f t="shared" si="7"/>
        <v>283</v>
      </c>
      <c r="Z46" s="12">
        <f t="shared" si="7"/>
        <v>434</v>
      </c>
      <c r="AA46" s="12">
        <f t="shared" si="7"/>
        <v>282</v>
      </c>
      <c r="AB46" s="12">
        <f t="shared" si="7"/>
        <v>478</v>
      </c>
      <c r="AC46" s="12">
        <f t="shared" si="7"/>
        <v>43</v>
      </c>
      <c r="AD46" s="12">
        <f t="shared" si="7"/>
        <v>519</v>
      </c>
      <c r="AE46" s="12">
        <f t="shared" si="7"/>
        <v>218</v>
      </c>
    </row>
    <row r="47" spans="1:31" x14ac:dyDescent="0.25">
      <c r="A47" s="11" t="s">
        <v>6</v>
      </c>
      <c r="B47" s="245">
        <v>433</v>
      </c>
      <c r="C47" s="12">
        <f t="shared" si="0"/>
        <v>518</v>
      </c>
      <c r="D47" s="12">
        <f t="shared" si="0"/>
        <v>390</v>
      </c>
      <c r="E47" s="12">
        <f t="shared" si="1"/>
        <v>560</v>
      </c>
      <c r="F47" s="12">
        <f t="shared" si="1"/>
        <v>518</v>
      </c>
      <c r="G47" s="12">
        <f t="shared" si="4"/>
        <v>2</v>
      </c>
      <c r="H47" s="12">
        <f t="shared" si="4"/>
        <v>179</v>
      </c>
      <c r="I47" s="12">
        <f t="shared" si="4"/>
        <v>536</v>
      </c>
      <c r="J47" s="12">
        <f t="shared" si="4"/>
        <v>328</v>
      </c>
      <c r="K47" s="12">
        <f t="shared" si="4"/>
        <v>401</v>
      </c>
      <c r="L47" s="12">
        <f t="shared" si="4"/>
        <v>386</v>
      </c>
      <c r="M47" s="12">
        <f t="shared" si="4"/>
        <v>364</v>
      </c>
      <c r="N47" s="12">
        <f t="shared" si="4"/>
        <v>2</v>
      </c>
      <c r="O47" s="12">
        <f t="shared" si="4"/>
        <v>2</v>
      </c>
      <c r="P47" s="12">
        <f t="shared" si="4"/>
        <v>433</v>
      </c>
      <c r="Q47" s="12">
        <f t="shared" si="5"/>
        <v>564</v>
      </c>
      <c r="R47" s="12">
        <f t="shared" si="6"/>
        <v>475</v>
      </c>
      <c r="S47" s="12">
        <f t="shared" si="6"/>
        <v>370</v>
      </c>
      <c r="T47" s="12">
        <f t="shared" ref="T47:AE47" si="8">T7-S7</f>
        <v>185</v>
      </c>
      <c r="U47" s="12">
        <f t="shared" si="8"/>
        <v>0</v>
      </c>
      <c r="V47" s="12">
        <f t="shared" si="8"/>
        <v>0</v>
      </c>
      <c r="W47" s="12">
        <f t="shared" si="8"/>
        <v>519</v>
      </c>
      <c r="X47" s="12">
        <f t="shared" si="8"/>
        <v>245</v>
      </c>
      <c r="Y47" s="12">
        <f t="shared" si="8"/>
        <v>280</v>
      </c>
      <c r="Z47" s="12">
        <f t="shared" si="8"/>
        <v>280</v>
      </c>
      <c r="AA47" s="12">
        <f t="shared" si="8"/>
        <v>449</v>
      </c>
      <c r="AB47" s="12">
        <f t="shared" si="8"/>
        <v>0</v>
      </c>
      <c r="AC47" s="12">
        <f t="shared" si="8"/>
        <v>0</v>
      </c>
      <c r="AD47" s="12">
        <f t="shared" si="8"/>
        <v>367</v>
      </c>
      <c r="AE47" s="12">
        <f t="shared" si="8"/>
        <v>520</v>
      </c>
    </row>
    <row r="48" spans="1:31" x14ac:dyDescent="0.25">
      <c r="A48" s="13" t="s">
        <v>7</v>
      </c>
      <c r="B48" s="245">
        <v>291</v>
      </c>
      <c r="C48" s="12">
        <f t="shared" si="0"/>
        <v>563</v>
      </c>
      <c r="D48" s="12">
        <f t="shared" si="0"/>
        <v>475</v>
      </c>
      <c r="E48" s="12">
        <f t="shared" si="1"/>
        <v>562</v>
      </c>
      <c r="F48" s="12">
        <f t="shared" si="1"/>
        <v>494</v>
      </c>
      <c r="G48" s="12">
        <f t="shared" si="4"/>
        <v>0</v>
      </c>
      <c r="H48" s="12">
        <f t="shared" si="4"/>
        <v>0</v>
      </c>
      <c r="I48" s="12">
        <f t="shared" si="4"/>
        <v>490</v>
      </c>
      <c r="J48" s="12">
        <f t="shared" si="4"/>
        <v>451</v>
      </c>
      <c r="K48" s="12">
        <f t="shared" si="4"/>
        <v>538</v>
      </c>
      <c r="L48" s="12">
        <f t="shared" si="4"/>
        <v>451</v>
      </c>
      <c r="M48" s="12">
        <f t="shared" si="4"/>
        <v>365</v>
      </c>
      <c r="N48" s="12">
        <f t="shared" si="4"/>
        <v>522</v>
      </c>
      <c r="O48" s="12">
        <f t="shared" si="4"/>
        <v>476</v>
      </c>
      <c r="P48" s="12">
        <f t="shared" si="4"/>
        <v>494</v>
      </c>
      <c r="Q48" s="12">
        <f t="shared" si="5"/>
        <v>212</v>
      </c>
      <c r="R48" s="12">
        <f t="shared" si="6"/>
        <v>169</v>
      </c>
      <c r="S48" s="12">
        <f t="shared" si="6"/>
        <v>266</v>
      </c>
      <c r="T48" s="12">
        <f t="shared" ref="T48:AE48" si="9">T8-S8</f>
        <v>520</v>
      </c>
      <c r="U48" s="12">
        <f t="shared" si="9"/>
        <v>518</v>
      </c>
      <c r="V48" s="12">
        <f t="shared" si="9"/>
        <v>476</v>
      </c>
      <c r="W48" s="12">
        <f t="shared" si="9"/>
        <v>494</v>
      </c>
      <c r="X48" s="12">
        <f t="shared" si="9"/>
        <v>298</v>
      </c>
      <c r="Y48" s="12">
        <f t="shared" si="9"/>
        <v>454</v>
      </c>
      <c r="Z48" s="12">
        <f t="shared" si="9"/>
        <v>434</v>
      </c>
      <c r="AA48" s="12">
        <f t="shared" si="9"/>
        <v>348</v>
      </c>
      <c r="AB48" s="12">
        <f t="shared" si="9"/>
        <v>346</v>
      </c>
      <c r="AC48" s="12">
        <f t="shared" si="9"/>
        <v>433</v>
      </c>
      <c r="AD48" s="12">
        <f t="shared" si="9"/>
        <v>536</v>
      </c>
      <c r="AE48" s="12">
        <f t="shared" si="9"/>
        <v>367</v>
      </c>
    </row>
    <row r="49" spans="1:31" x14ac:dyDescent="0.25">
      <c r="A49" s="13" t="s">
        <v>8</v>
      </c>
      <c r="B49" s="245">
        <v>494</v>
      </c>
      <c r="C49" s="12">
        <f t="shared" si="0"/>
        <v>298</v>
      </c>
      <c r="D49" s="12">
        <f t="shared" si="0"/>
        <v>298</v>
      </c>
      <c r="E49" s="12">
        <f t="shared" si="1"/>
        <v>192</v>
      </c>
      <c r="F49" s="12">
        <f t="shared" si="1"/>
        <v>430</v>
      </c>
      <c r="G49" s="12">
        <f t="shared" si="4"/>
        <v>481</v>
      </c>
      <c r="H49" s="12">
        <f t="shared" si="4"/>
        <v>432</v>
      </c>
      <c r="I49" s="12">
        <f t="shared" si="4"/>
        <v>492</v>
      </c>
      <c r="J49" s="12">
        <f t="shared" si="4"/>
        <v>590</v>
      </c>
      <c r="K49" s="12">
        <f t="shared" si="4"/>
        <v>392</v>
      </c>
      <c r="L49" s="12">
        <f t="shared" si="4"/>
        <v>307</v>
      </c>
      <c r="M49" s="12">
        <f t="shared" si="4"/>
        <v>393</v>
      </c>
      <c r="N49" s="12">
        <f t="shared" si="4"/>
        <v>45</v>
      </c>
      <c r="O49" s="12">
        <f t="shared" si="4"/>
        <v>0</v>
      </c>
      <c r="P49" s="12">
        <f t="shared" si="4"/>
        <v>518</v>
      </c>
      <c r="Q49" s="12">
        <f t="shared" si="5"/>
        <v>193</v>
      </c>
      <c r="R49" s="12">
        <f t="shared" si="6"/>
        <v>453</v>
      </c>
      <c r="S49" s="12">
        <f t="shared" si="6"/>
        <v>561</v>
      </c>
      <c r="T49" s="12">
        <f t="shared" ref="T49:AE49" si="10">T9-S9</f>
        <v>259</v>
      </c>
      <c r="U49" s="12">
        <f t="shared" si="10"/>
        <v>44</v>
      </c>
      <c r="V49" s="12">
        <f t="shared" si="10"/>
        <v>3</v>
      </c>
      <c r="W49" s="12">
        <f t="shared" si="10"/>
        <v>518</v>
      </c>
      <c r="X49" s="12">
        <f t="shared" si="10"/>
        <v>454</v>
      </c>
      <c r="Y49" s="12">
        <f t="shared" si="10"/>
        <v>185</v>
      </c>
      <c r="Z49" s="12">
        <f t="shared" si="10"/>
        <v>101</v>
      </c>
      <c r="AA49" s="12">
        <f t="shared" si="10"/>
        <v>195</v>
      </c>
      <c r="AB49" s="12">
        <f t="shared" si="10"/>
        <v>477</v>
      </c>
      <c r="AC49" s="12">
        <f t="shared" si="10"/>
        <v>43</v>
      </c>
      <c r="AD49" s="12">
        <f t="shared" si="10"/>
        <v>347</v>
      </c>
      <c r="AE49" s="12">
        <f t="shared" si="10"/>
        <v>455</v>
      </c>
    </row>
    <row r="50" spans="1:31" x14ac:dyDescent="0.25">
      <c r="A50" s="13" t="s">
        <v>9</v>
      </c>
      <c r="B50" s="245">
        <v>541</v>
      </c>
      <c r="C50" s="12">
        <f t="shared" si="0"/>
        <v>455</v>
      </c>
      <c r="D50" s="12">
        <f t="shared" si="0"/>
        <v>543</v>
      </c>
      <c r="E50" s="12">
        <f t="shared" si="1"/>
        <v>455</v>
      </c>
      <c r="F50" s="12">
        <f t="shared" si="1"/>
        <v>301</v>
      </c>
      <c r="G50" s="12">
        <f t="shared" si="4"/>
        <v>0</v>
      </c>
      <c r="H50" s="12">
        <f t="shared" si="4"/>
        <v>0</v>
      </c>
      <c r="I50" s="12">
        <f t="shared" si="4"/>
        <v>340</v>
      </c>
      <c r="J50" s="12">
        <f t="shared" si="4"/>
        <v>456</v>
      </c>
      <c r="K50" s="12">
        <f t="shared" si="4"/>
        <v>437</v>
      </c>
      <c r="L50" s="12">
        <f t="shared" si="4"/>
        <v>523</v>
      </c>
      <c r="M50" s="12">
        <f t="shared" si="4"/>
        <v>610</v>
      </c>
      <c r="N50" s="12">
        <f t="shared" si="4"/>
        <v>437</v>
      </c>
      <c r="O50" s="12">
        <f t="shared" si="4"/>
        <v>393</v>
      </c>
      <c r="P50" s="12">
        <f t="shared" si="4"/>
        <v>327</v>
      </c>
      <c r="Q50" s="12">
        <f t="shared" si="5"/>
        <v>543</v>
      </c>
      <c r="R50" s="12">
        <f t="shared" si="6"/>
        <v>527</v>
      </c>
      <c r="S50" s="12">
        <f t="shared" si="6"/>
        <v>441</v>
      </c>
      <c r="T50" s="12">
        <f t="shared" ref="T50:AE50" si="11">T10-S10</f>
        <v>457</v>
      </c>
      <c r="U50" s="12">
        <f t="shared" si="11"/>
        <v>0</v>
      </c>
      <c r="V50" s="12">
        <f t="shared" si="11"/>
        <v>0</v>
      </c>
      <c r="W50" s="12">
        <f t="shared" si="11"/>
        <v>372</v>
      </c>
      <c r="X50" s="12">
        <f t="shared" si="11"/>
        <v>523</v>
      </c>
      <c r="Y50" s="12">
        <f t="shared" si="11"/>
        <v>262</v>
      </c>
      <c r="Z50" s="12">
        <f t="shared" si="11"/>
        <v>523</v>
      </c>
      <c r="AA50" s="12">
        <f t="shared" si="11"/>
        <v>454</v>
      </c>
      <c r="AB50" s="12">
        <f t="shared" si="11"/>
        <v>0</v>
      </c>
      <c r="AC50" s="12">
        <f t="shared" si="11"/>
        <v>0</v>
      </c>
      <c r="AD50" s="12">
        <f t="shared" si="11"/>
        <v>329</v>
      </c>
      <c r="AE50" s="12">
        <f t="shared" si="11"/>
        <v>218</v>
      </c>
    </row>
    <row r="51" spans="1:31" x14ac:dyDescent="0.25">
      <c r="A51" s="13" t="s">
        <v>10</v>
      </c>
      <c r="B51" s="245">
        <v>562</v>
      </c>
      <c r="C51" s="12">
        <f t="shared" si="0"/>
        <v>496</v>
      </c>
      <c r="D51" s="12">
        <f t="shared" si="0"/>
        <v>539</v>
      </c>
      <c r="E51" s="12">
        <f t="shared" si="1"/>
        <v>436</v>
      </c>
      <c r="F51" s="12">
        <f t="shared" si="1"/>
        <v>351</v>
      </c>
      <c r="G51" s="12">
        <f t="shared" si="4"/>
        <v>520</v>
      </c>
      <c r="H51" s="12">
        <f t="shared" si="4"/>
        <v>476</v>
      </c>
      <c r="I51" s="12">
        <f t="shared" si="4"/>
        <v>478</v>
      </c>
      <c r="J51" s="12">
        <f t="shared" si="4"/>
        <v>523</v>
      </c>
      <c r="K51" s="12">
        <f t="shared" si="4"/>
        <v>451</v>
      </c>
      <c r="L51" s="12">
        <f t="shared" si="4"/>
        <v>412</v>
      </c>
      <c r="M51" s="12">
        <f t="shared" si="4"/>
        <v>342</v>
      </c>
      <c r="N51" s="12">
        <f t="shared" si="4"/>
        <v>477</v>
      </c>
      <c r="O51" s="12">
        <f t="shared" si="4"/>
        <v>394</v>
      </c>
      <c r="P51" s="12">
        <f t="shared" si="4"/>
        <v>606</v>
      </c>
      <c r="Q51" s="12">
        <f t="shared" si="5"/>
        <v>452</v>
      </c>
      <c r="R51" s="12">
        <f t="shared" si="6"/>
        <v>506</v>
      </c>
      <c r="S51" s="12">
        <f t="shared" si="6"/>
        <v>520</v>
      </c>
      <c r="T51" s="12">
        <f t="shared" ref="T51:AE51" si="12">T11-S11</f>
        <v>304</v>
      </c>
      <c r="U51" s="12">
        <f t="shared" si="12"/>
        <v>479</v>
      </c>
      <c r="V51" s="12">
        <f t="shared" si="12"/>
        <v>434</v>
      </c>
      <c r="W51" s="12">
        <f t="shared" si="12"/>
        <v>520</v>
      </c>
      <c r="X51" s="12">
        <f t="shared" si="12"/>
        <v>316</v>
      </c>
      <c r="Y51" s="12">
        <f t="shared" si="12"/>
        <v>325</v>
      </c>
      <c r="Z51" s="12">
        <f t="shared" si="12"/>
        <v>477</v>
      </c>
      <c r="AA51" s="12">
        <f t="shared" si="12"/>
        <v>386</v>
      </c>
      <c r="AB51" s="12">
        <f t="shared" si="12"/>
        <v>351</v>
      </c>
      <c r="AC51" s="12">
        <f t="shared" si="12"/>
        <v>480</v>
      </c>
      <c r="AD51" s="12">
        <f t="shared" si="12"/>
        <v>411</v>
      </c>
      <c r="AE51" s="12">
        <f t="shared" si="12"/>
        <v>215</v>
      </c>
    </row>
    <row r="52" spans="1:31" x14ac:dyDescent="0.25">
      <c r="A52" s="11" t="s">
        <v>11</v>
      </c>
      <c r="B52" s="245">
        <v>538</v>
      </c>
      <c r="C52" s="12">
        <f t="shared" si="0"/>
        <v>470</v>
      </c>
      <c r="D52" s="12">
        <f t="shared" si="0"/>
        <v>519</v>
      </c>
      <c r="E52" s="12">
        <f t="shared" si="1"/>
        <v>348</v>
      </c>
      <c r="F52" s="12">
        <f t="shared" si="1"/>
        <v>392</v>
      </c>
      <c r="G52" s="12">
        <f t="shared" si="4"/>
        <v>436</v>
      </c>
      <c r="H52" s="12">
        <f t="shared" si="4"/>
        <v>44</v>
      </c>
      <c r="I52" s="12">
        <f t="shared" si="4"/>
        <v>567</v>
      </c>
      <c r="J52" s="12">
        <f t="shared" si="4"/>
        <v>408</v>
      </c>
      <c r="K52" s="12">
        <f t="shared" si="4"/>
        <v>403</v>
      </c>
      <c r="L52" s="12">
        <f t="shared" si="4"/>
        <v>565</v>
      </c>
      <c r="M52" s="12">
        <f t="shared" si="4"/>
        <v>562</v>
      </c>
      <c r="N52" s="12">
        <f t="shared" si="4"/>
        <v>521</v>
      </c>
      <c r="O52" s="12">
        <f t="shared" si="4"/>
        <v>434</v>
      </c>
      <c r="P52" s="12">
        <f t="shared" si="4"/>
        <v>177</v>
      </c>
      <c r="Q52" s="12">
        <f t="shared" si="5"/>
        <v>451</v>
      </c>
      <c r="R52" s="12">
        <f t="shared" si="6"/>
        <v>363</v>
      </c>
      <c r="S52" s="12">
        <f t="shared" si="6"/>
        <v>219</v>
      </c>
      <c r="T52" s="12">
        <f t="shared" ref="T52:AE52" si="13">T12-S12</f>
        <v>521</v>
      </c>
      <c r="U52" s="12">
        <f t="shared" si="13"/>
        <v>476</v>
      </c>
      <c r="V52" s="12">
        <f t="shared" si="13"/>
        <v>43</v>
      </c>
      <c r="W52" s="12">
        <f t="shared" si="13"/>
        <v>263</v>
      </c>
      <c r="X52" s="12">
        <f t="shared" si="13"/>
        <v>451</v>
      </c>
      <c r="Y52" s="12">
        <f t="shared" si="13"/>
        <v>368</v>
      </c>
      <c r="Z52" s="12">
        <f t="shared" si="13"/>
        <v>280</v>
      </c>
      <c r="AA52" s="12">
        <f t="shared" si="13"/>
        <v>366</v>
      </c>
      <c r="AB52" s="12">
        <f t="shared" si="13"/>
        <v>87</v>
      </c>
      <c r="AC52" s="12">
        <f t="shared" si="13"/>
        <v>6</v>
      </c>
      <c r="AD52" s="12">
        <f t="shared" si="13"/>
        <v>436</v>
      </c>
      <c r="AE52" s="12">
        <f t="shared" si="13"/>
        <v>453</v>
      </c>
    </row>
    <row r="53" spans="1:31" x14ac:dyDescent="0.25">
      <c r="A53" s="11" t="s">
        <v>12</v>
      </c>
      <c r="B53" s="245">
        <v>351</v>
      </c>
      <c r="C53" s="12">
        <f t="shared" si="0"/>
        <v>349</v>
      </c>
      <c r="D53" s="12">
        <f t="shared" si="0"/>
        <v>393</v>
      </c>
      <c r="E53" s="12">
        <f t="shared" si="1"/>
        <v>495</v>
      </c>
      <c r="F53" s="12">
        <f t="shared" si="1"/>
        <v>297</v>
      </c>
      <c r="G53" s="12">
        <f t="shared" si="4"/>
        <v>0</v>
      </c>
      <c r="H53" s="12">
        <f t="shared" si="4"/>
        <v>0</v>
      </c>
      <c r="I53" s="12">
        <f t="shared" si="4"/>
        <v>449</v>
      </c>
      <c r="J53" s="12">
        <f t="shared" si="4"/>
        <v>476</v>
      </c>
      <c r="K53" s="12">
        <f t="shared" si="4"/>
        <v>451</v>
      </c>
      <c r="L53" s="12">
        <f t="shared" si="4"/>
        <v>213</v>
      </c>
      <c r="M53" s="12">
        <f t="shared" si="4"/>
        <v>470</v>
      </c>
      <c r="N53" s="12">
        <f t="shared" si="4"/>
        <v>0</v>
      </c>
      <c r="O53" s="12">
        <f t="shared" si="4"/>
        <v>0</v>
      </c>
      <c r="P53" s="12">
        <f t="shared" si="4"/>
        <v>413</v>
      </c>
      <c r="Q53" s="12">
        <f t="shared" si="5"/>
        <v>394</v>
      </c>
      <c r="R53" s="12">
        <f t="shared" si="6"/>
        <v>369</v>
      </c>
      <c r="S53" s="12">
        <f t="shared" si="6"/>
        <v>266</v>
      </c>
      <c r="T53" s="12">
        <f t="shared" ref="T53:AE53" si="14">T13-S13</f>
        <v>214</v>
      </c>
      <c r="U53" s="12">
        <f t="shared" si="14"/>
        <v>0</v>
      </c>
      <c r="V53" s="12">
        <f t="shared" si="14"/>
        <v>0</v>
      </c>
      <c r="W53" s="12">
        <f t="shared" si="14"/>
        <v>215</v>
      </c>
      <c r="X53" s="12">
        <f t="shared" si="14"/>
        <v>303</v>
      </c>
      <c r="Y53" s="12">
        <f t="shared" si="14"/>
        <v>285</v>
      </c>
      <c r="Z53" s="12">
        <f t="shared" si="14"/>
        <v>283</v>
      </c>
      <c r="AA53" s="12">
        <f t="shared" si="14"/>
        <v>127</v>
      </c>
      <c r="AB53" s="12">
        <f t="shared" si="14"/>
        <v>0</v>
      </c>
      <c r="AC53" s="12">
        <f t="shared" si="14"/>
        <v>0</v>
      </c>
      <c r="AD53" s="12">
        <f t="shared" si="14"/>
        <v>302</v>
      </c>
      <c r="AE53" s="12">
        <f t="shared" si="14"/>
        <v>259</v>
      </c>
    </row>
    <row r="54" spans="1:31" x14ac:dyDescent="0.25">
      <c r="A54" s="11" t="s">
        <v>13</v>
      </c>
      <c r="B54" s="245">
        <v>305</v>
      </c>
      <c r="C54" s="12">
        <f t="shared" si="0"/>
        <v>369</v>
      </c>
      <c r="D54" s="12">
        <f t="shared" si="0"/>
        <v>383</v>
      </c>
      <c r="E54" s="12">
        <f t="shared" si="1"/>
        <v>589</v>
      </c>
      <c r="F54" s="12">
        <f t="shared" si="1"/>
        <v>453</v>
      </c>
      <c r="G54" s="12">
        <f t="shared" si="4"/>
        <v>0</v>
      </c>
      <c r="H54" s="12">
        <f t="shared" si="4"/>
        <v>0</v>
      </c>
      <c r="I54" s="12">
        <f t="shared" si="4"/>
        <v>186</v>
      </c>
      <c r="J54" s="12">
        <f t="shared" si="4"/>
        <v>454</v>
      </c>
      <c r="K54" s="12">
        <f t="shared" si="4"/>
        <v>345</v>
      </c>
      <c r="L54" s="12">
        <f t="shared" si="4"/>
        <v>454</v>
      </c>
      <c r="M54" s="12">
        <f t="shared" si="4"/>
        <v>364</v>
      </c>
      <c r="N54" s="12">
        <f t="shared" si="4"/>
        <v>432</v>
      </c>
      <c r="O54" s="12">
        <f t="shared" si="4"/>
        <v>432</v>
      </c>
      <c r="P54" s="12">
        <f t="shared" si="4"/>
        <v>349</v>
      </c>
      <c r="Q54" s="12">
        <f t="shared" si="5"/>
        <v>300</v>
      </c>
      <c r="R54" s="12">
        <f t="shared" si="6"/>
        <v>281</v>
      </c>
      <c r="S54" s="12">
        <f t="shared" si="6"/>
        <v>185</v>
      </c>
      <c r="T54" s="12">
        <f t="shared" ref="T54:AE54" si="15">T14-S14</f>
        <v>538</v>
      </c>
      <c r="U54" s="12">
        <f t="shared" si="15"/>
        <v>86</v>
      </c>
      <c r="V54" s="12">
        <f t="shared" si="15"/>
        <v>1</v>
      </c>
      <c r="W54" s="12">
        <f t="shared" si="15"/>
        <v>437</v>
      </c>
      <c r="X54" s="12">
        <f t="shared" si="15"/>
        <v>350</v>
      </c>
      <c r="Y54" s="12">
        <f t="shared" si="15"/>
        <v>565</v>
      </c>
      <c r="Z54" s="12">
        <f t="shared" si="15"/>
        <v>237</v>
      </c>
      <c r="AA54" s="12">
        <f t="shared" si="15"/>
        <v>281</v>
      </c>
      <c r="AB54" s="12">
        <f t="shared" si="15"/>
        <v>346</v>
      </c>
      <c r="AC54" s="12">
        <f t="shared" si="15"/>
        <v>3</v>
      </c>
      <c r="AD54" s="12">
        <f t="shared" si="15"/>
        <v>403</v>
      </c>
      <c r="AE54" s="12">
        <f t="shared" si="15"/>
        <v>537</v>
      </c>
    </row>
    <row r="55" spans="1:31" x14ac:dyDescent="0.25">
      <c r="A55" s="13" t="s">
        <v>14</v>
      </c>
      <c r="B55" s="245">
        <v>212</v>
      </c>
      <c r="C55" s="12">
        <f t="shared" si="0"/>
        <v>470</v>
      </c>
      <c r="D55" s="12">
        <f t="shared" si="0"/>
        <v>298</v>
      </c>
      <c r="E55" s="12">
        <f t="shared" si="1"/>
        <v>193</v>
      </c>
      <c r="F55" s="12">
        <f t="shared" si="1"/>
        <v>92</v>
      </c>
      <c r="G55" s="12">
        <f t="shared" si="4"/>
        <v>0</v>
      </c>
      <c r="H55" s="12">
        <f t="shared" si="4"/>
        <v>177</v>
      </c>
      <c r="I55" s="12">
        <f t="shared" si="4"/>
        <v>195</v>
      </c>
      <c r="J55" s="12">
        <f t="shared" si="4"/>
        <v>538</v>
      </c>
      <c r="K55" s="12">
        <f t="shared" si="4"/>
        <v>519</v>
      </c>
      <c r="L55" s="12">
        <f t="shared" si="4"/>
        <v>433</v>
      </c>
      <c r="M55" s="12">
        <f t="shared" si="4"/>
        <v>89</v>
      </c>
      <c r="N55" s="12">
        <f t="shared" si="4"/>
        <v>52</v>
      </c>
      <c r="O55" s="12">
        <f t="shared" si="4"/>
        <v>1</v>
      </c>
      <c r="P55" s="12">
        <f t="shared" si="4"/>
        <v>439</v>
      </c>
      <c r="Q55" s="12">
        <f t="shared" si="5"/>
        <v>606</v>
      </c>
      <c r="R55" s="12">
        <f t="shared" si="6"/>
        <v>519</v>
      </c>
      <c r="S55" s="12">
        <f t="shared" si="6"/>
        <v>519</v>
      </c>
      <c r="T55" s="12">
        <f t="shared" ref="T55:AE55" si="16">T15-S15</f>
        <v>454</v>
      </c>
      <c r="U55" s="12">
        <f t="shared" si="16"/>
        <v>0</v>
      </c>
      <c r="V55" s="12">
        <f t="shared" si="16"/>
        <v>0</v>
      </c>
      <c r="W55" s="12">
        <f t="shared" si="16"/>
        <v>196</v>
      </c>
      <c r="X55" s="12">
        <f t="shared" si="16"/>
        <v>90</v>
      </c>
      <c r="Y55" s="12">
        <f t="shared" si="16"/>
        <v>452</v>
      </c>
      <c r="Z55" s="12">
        <f t="shared" si="16"/>
        <v>470</v>
      </c>
      <c r="AA55" s="12">
        <f t="shared" si="16"/>
        <v>435</v>
      </c>
      <c r="AB55" s="12">
        <f t="shared" si="16"/>
        <v>0</v>
      </c>
      <c r="AC55" s="12">
        <f t="shared" si="16"/>
        <v>0</v>
      </c>
      <c r="AD55" s="12">
        <f t="shared" si="16"/>
        <v>212</v>
      </c>
      <c r="AE55" s="12">
        <f t="shared" si="16"/>
        <v>236</v>
      </c>
    </row>
    <row r="56" spans="1:31" x14ac:dyDescent="0.25">
      <c r="A56" s="13" t="s">
        <v>15</v>
      </c>
      <c r="B56" s="245">
        <v>517</v>
      </c>
      <c r="C56" s="12">
        <f t="shared" si="0"/>
        <v>436</v>
      </c>
      <c r="D56" s="12">
        <f t="shared" si="0"/>
        <v>562</v>
      </c>
      <c r="E56" s="12">
        <f t="shared" si="1"/>
        <v>304</v>
      </c>
      <c r="F56" s="12">
        <f t="shared" si="1"/>
        <v>561</v>
      </c>
      <c r="G56" s="12">
        <f t="shared" si="4"/>
        <v>43</v>
      </c>
      <c r="H56" s="12">
        <f t="shared" si="4"/>
        <v>474</v>
      </c>
      <c r="I56" s="12">
        <f t="shared" si="4"/>
        <v>218</v>
      </c>
      <c r="J56" s="12">
        <f t="shared" si="4"/>
        <v>222</v>
      </c>
      <c r="K56" s="12">
        <f t="shared" si="4"/>
        <v>213</v>
      </c>
      <c r="L56" s="12">
        <f t="shared" si="4"/>
        <v>450</v>
      </c>
      <c r="M56" s="12">
        <f t="shared" si="4"/>
        <v>384</v>
      </c>
      <c r="N56" s="12">
        <f t="shared" si="4"/>
        <v>477</v>
      </c>
      <c r="O56" s="12">
        <f t="shared" si="4"/>
        <v>431</v>
      </c>
      <c r="P56" s="12">
        <f t="shared" si="4"/>
        <v>234</v>
      </c>
      <c r="Q56" s="12">
        <f t="shared" si="5"/>
        <v>308</v>
      </c>
      <c r="R56" s="12">
        <f t="shared" si="6"/>
        <v>518</v>
      </c>
      <c r="S56" s="12">
        <f t="shared" si="6"/>
        <v>371</v>
      </c>
      <c r="T56" s="12">
        <f t="shared" ref="T56:AE56" si="17">T16-S16</f>
        <v>281</v>
      </c>
      <c r="U56" s="12">
        <f t="shared" si="17"/>
        <v>435</v>
      </c>
      <c r="V56" s="12">
        <f t="shared" si="17"/>
        <v>1</v>
      </c>
      <c r="W56" s="12">
        <f t="shared" si="17"/>
        <v>560</v>
      </c>
      <c r="X56" s="12">
        <f t="shared" si="17"/>
        <v>347</v>
      </c>
      <c r="Y56" s="12">
        <f t="shared" si="17"/>
        <v>406</v>
      </c>
      <c r="Z56" s="12">
        <f t="shared" si="17"/>
        <v>495</v>
      </c>
      <c r="AA56" s="12">
        <f t="shared" si="17"/>
        <v>476</v>
      </c>
      <c r="AB56" s="12">
        <f t="shared" si="17"/>
        <v>477</v>
      </c>
      <c r="AC56" s="12">
        <f t="shared" si="17"/>
        <v>49</v>
      </c>
      <c r="AD56" s="12">
        <f t="shared" si="17"/>
        <v>429</v>
      </c>
      <c r="AE56" s="12">
        <f t="shared" si="17"/>
        <v>279</v>
      </c>
    </row>
    <row r="57" spans="1:31" x14ac:dyDescent="0.25">
      <c r="A57" s="13" t="s">
        <v>16</v>
      </c>
      <c r="B57" s="245">
        <v>494</v>
      </c>
      <c r="C57" s="12">
        <f t="shared" si="0"/>
        <v>323</v>
      </c>
      <c r="D57" s="12">
        <f t="shared" si="0"/>
        <v>385</v>
      </c>
      <c r="E57" s="12">
        <f t="shared" si="1"/>
        <v>282</v>
      </c>
      <c r="F57" s="12">
        <f t="shared" si="1"/>
        <v>518</v>
      </c>
      <c r="G57" s="12">
        <f t="shared" si="4"/>
        <v>475</v>
      </c>
      <c r="H57" s="12">
        <f t="shared" si="4"/>
        <v>44</v>
      </c>
      <c r="I57" s="12">
        <f t="shared" si="4"/>
        <v>563</v>
      </c>
      <c r="J57" s="12">
        <f t="shared" si="4"/>
        <v>361</v>
      </c>
      <c r="K57" s="12">
        <f t="shared" si="4"/>
        <v>470</v>
      </c>
      <c r="L57" s="12">
        <f t="shared" si="4"/>
        <v>502</v>
      </c>
      <c r="M57" s="12">
        <f t="shared" si="4"/>
        <v>363</v>
      </c>
      <c r="N57" s="12">
        <f t="shared" si="4"/>
        <v>0</v>
      </c>
      <c r="O57" s="12">
        <f t="shared" si="4"/>
        <v>0</v>
      </c>
      <c r="P57" s="12">
        <f t="shared" si="4"/>
        <v>519</v>
      </c>
      <c r="Q57" s="12">
        <f t="shared" si="5"/>
        <v>185</v>
      </c>
      <c r="R57" s="12">
        <f t="shared" si="6"/>
        <v>319</v>
      </c>
      <c r="S57" s="12">
        <f t="shared" si="6"/>
        <v>479</v>
      </c>
      <c r="T57" s="12">
        <f t="shared" ref="T57:AE57" si="18">T17-S17</f>
        <v>553</v>
      </c>
      <c r="U57" s="12">
        <f t="shared" si="18"/>
        <v>476</v>
      </c>
      <c r="V57" s="12">
        <f t="shared" si="18"/>
        <v>435</v>
      </c>
      <c r="W57" s="12">
        <f t="shared" si="18"/>
        <v>350</v>
      </c>
      <c r="X57" s="12">
        <f t="shared" si="18"/>
        <v>432</v>
      </c>
      <c r="Y57" s="12">
        <f t="shared" si="18"/>
        <v>349</v>
      </c>
      <c r="Z57" s="12">
        <f t="shared" si="18"/>
        <v>523</v>
      </c>
      <c r="AA57" s="12">
        <f t="shared" si="18"/>
        <v>427</v>
      </c>
      <c r="AB57" s="12">
        <f t="shared" si="18"/>
        <v>7</v>
      </c>
      <c r="AC57" s="12">
        <f t="shared" si="18"/>
        <v>22</v>
      </c>
      <c r="AD57" s="12">
        <f t="shared" si="18"/>
        <v>245</v>
      </c>
      <c r="AE57" s="12">
        <f t="shared" si="18"/>
        <v>196</v>
      </c>
    </row>
    <row r="58" spans="1:31" x14ac:dyDescent="0.25">
      <c r="A58" s="13" t="s">
        <v>17</v>
      </c>
      <c r="B58" s="245">
        <v>518</v>
      </c>
      <c r="C58" s="12">
        <f t="shared" si="0"/>
        <v>261</v>
      </c>
      <c r="D58" s="12">
        <f t="shared" si="0"/>
        <v>521</v>
      </c>
      <c r="E58" s="12">
        <f t="shared" si="1"/>
        <v>435</v>
      </c>
      <c r="F58" s="12">
        <f t="shared" si="1"/>
        <v>561</v>
      </c>
      <c r="G58" s="12">
        <f t="shared" si="4"/>
        <v>476</v>
      </c>
      <c r="H58" s="12">
        <f t="shared" si="4"/>
        <v>432</v>
      </c>
      <c r="I58" s="12">
        <f t="shared" si="4"/>
        <v>521</v>
      </c>
      <c r="J58" s="12">
        <f t="shared" si="4"/>
        <v>434</v>
      </c>
      <c r="K58" s="12">
        <f t="shared" si="4"/>
        <v>306</v>
      </c>
      <c r="L58" s="12">
        <f t="shared" si="4"/>
        <v>346</v>
      </c>
      <c r="M58" s="12">
        <f t="shared" si="4"/>
        <v>410</v>
      </c>
      <c r="N58" s="12">
        <f t="shared" si="4"/>
        <v>0</v>
      </c>
      <c r="O58" s="12">
        <f t="shared" si="4"/>
        <v>0</v>
      </c>
      <c r="P58" s="12">
        <f t="shared" si="4"/>
        <v>580</v>
      </c>
      <c r="Q58" s="12">
        <f t="shared" si="5"/>
        <v>304</v>
      </c>
      <c r="R58" s="12">
        <f t="shared" si="6"/>
        <v>562</v>
      </c>
      <c r="S58" s="12">
        <f t="shared" si="6"/>
        <v>561</v>
      </c>
      <c r="T58" s="12">
        <f t="shared" ref="T58:AE58" si="19">T18-S18</f>
        <v>470</v>
      </c>
      <c r="U58" s="12">
        <f t="shared" si="19"/>
        <v>475</v>
      </c>
      <c r="V58" s="12">
        <f t="shared" si="19"/>
        <v>431</v>
      </c>
      <c r="W58" s="12">
        <f t="shared" si="19"/>
        <v>494</v>
      </c>
      <c r="X58" s="12">
        <f t="shared" si="19"/>
        <v>580</v>
      </c>
      <c r="Y58" s="12">
        <f t="shared" si="19"/>
        <v>563</v>
      </c>
      <c r="Z58" s="12">
        <f t="shared" si="19"/>
        <v>349</v>
      </c>
      <c r="AA58" s="12">
        <f t="shared" si="19"/>
        <v>366</v>
      </c>
      <c r="AB58" s="12">
        <f t="shared" si="19"/>
        <v>0</v>
      </c>
      <c r="AC58" s="12">
        <f t="shared" si="19"/>
        <v>0</v>
      </c>
      <c r="AD58" s="12">
        <f t="shared" si="19"/>
        <v>170</v>
      </c>
      <c r="AE58" s="12">
        <f t="shared" si="19"/>
        <v>392</v>
      </c>
    </row>
    <row r="59" spans="1:31" x14ac:dyDescent="0.25">
      <c r="A59" s="13" t="s">
        <v>18</v>
      </c>
      <c r="B59" s="245">
        <v>238</v>
      </c>
      <c r="C59" s="12">
        <f t="shared" si="0"/>
        <v>325</v>
      </c>
      <c r="D59" s="12">
        <f t="shared" si="0"/>
        <v>494</v>
      </c>
      <c r="E59" s="12">
        <f t="shared" si="1"/>
        <v>210</v>
      </c>
      <c r="F59" s="12">
        <f t="shared" si="1"/>
        <v>258</v>
      </c>
      <c r="G59" s="12">
        <f t="shared" si="4"/>
        <v>543</v>
      </c>
      <c r="H59" s="12">
        <f t="shared" si="4"/>
        <v>434</v>
      </c>
      <c r="I59" s="12">
        <f t="shared" si="4"/>
        <v>282</v>
      </c>
      <c r="J59" s="12">
        <f t="shared" si="4"/>
        <v>256</v>
      </c>
      <c r="K59" s="12">
        <f t="shared" si="4"/>
        <v>521</v>
      </c>
      <c r="L59" s="12">
        <f t="shared" si="4"/>
        <v>435</v>
      </c>
      <c r="M59" s="12">
        <f t="shared" si="4"/>
        <v>520</v>
      </c>
      <c r="N59" s="12">
        <f t="shared" si="4"/>
        <v>520</v>
      </c>
      <c r="O59" s="12">
        <f t="shared" si="4"/>
        <v>87</v>
      </c>
      <c r="P59" s="12">
        <f t="shared" si="4"/>
        <v>437</v>
      </c>
      <c r="Q59" s="12">
        <f t="shared" si="5"/>
        <v>524</v>
      </c>
      <c r="R59" s="12">
        <f t="shared" si="6"/>
        <v>453</v>
      </c>
      <c r="S59" s="12">
        <f t="shared" si="6"/>
        <v>325</v>
      </c>
      <c r="T59" s="12">
        <f t="shared" ref="T59:AE59" si="20">T19-S19</f>
        <v>235</v>
      </c>
      <c r="U59" s="12">
        <f t="shared" si="20"/>
        <v>0</v>
      </c>
      <c r="V59" s="12">
        <f t="shared" si="20"/>
        <v>0</v>
      </c>
      <c r="W59" s="12">
        <f t="shared" si="20"/>
        <v>187</v>
      </c>
      <c r="X59" s="12">
        <f t="shared" si="20"/>
        <v>324</v>
      </c>
      <c r="Y59" s="12">
        <f t="shared" si="20"/>
        <v>493</v>
      </c>
      <c r="Z59" s="12">
        <f t="shared" si="20"/>
        <v>214</v>
      </c>
      <c r="AA59" s="12">
        <f t="shared" si="20"/>
        <v>317</v>
      </c>
      <c r="AB59" s="12">
        <f t="shared" si="20"/>
        <v>520</v>
      </c>
      <c r="AC59" s="12">
        <f t="shared" si="20"/>
        <v>390</v>
      </c>
      <c r="AD59" s="12">
        <f t="shared" si="20"/>
        <v>562</v>
      </c>
      <c r="AE59" s="12">
        <f t="shared" si="20"/>
        <v>346</v>
      </c>
    </row>
    <row r="60" spans="1:31" x14ac:dyDescent="0.25">
      <c r="A60" s="13" t="s">
        <v>19</v>
      </c>
      <c r="B60" s="245">
        <v>451</v>
      </c>
      <c r="C60" s="12">
        <f t="shared" si="0"/>
        <v>471</v>
      </c>
      <c r="D60" s="12">
        <f t="shared" si="0"/>
        <v>325</v>
      </c>
      <c r="E60" s="12">
        <f t="shared" si="1"/>
        <v>563</v>
      </c>
      <c r="F60" s="12">
        <f t="shared" si="1"/>
        <v>176</v>
      </c>
      <c r="G60" s="12">
        <f t="shared" si="4"/>
        <v>0</v>
      </c>
      <c r="H60" s="12">
        <f t="shared" si="4"/>
        <v>6</v>
      </c>
      <c r="I60" s="12">
        <f t="shared" si="4"/>
        <v>348</v>
      </c>
      <c r="J60" s="12">
        <f t="shared" si="4"/>
        <v>176</v>
      </c>
      <c r="K60" s="12">
        <f t="shared" si="4"/>
        <v>265</v>
      </c>
      <c r="L60" s="12">
        <f t="shared" si="4"/>
        <v>354</v>
      </c>
      <c r="M60" s="12">
        <f t="shared" si="4"/>
        <v>435</v>
      </c>
      <c r="N60" s="12">
        <f t="shared" si="4"/>
        <v>0</v>
      </c>
      <c r="O60" s="12">
        <f t="shared" si="4"/>
        <v>0</v>
      </c>
      <c r="P60" s="12">
        <f t="shared" si="4"/>
        <v>557</v>
      </c>
      <c r="Q60" s="12">
        <f t="shared" si="5"/>
        <v>521</v>
      </c>
      <c r="R60" s="12">
        <f t="shared" si="6"/>
        <v>455</v>
      </c>
      <c r="S60" s="12">
        <f t="shared" si="6"/>
        <v>367</v>
      </c>
      <c r="T60" s="12">
        <f t="shared" ref="T60:AE60" si="21">T20-S20</f>
        <v>89</v>
      </c>
      <c r="U60" s="12">
        <f t="shared" si="21"/>
        <v>349</v>
      </c>
      <c r="V60" s="12">
        <f t="shared" si="21"/>
        <v>433</v>
      </c>
      <c r="W60" s="12">
        <f t="shared" si="21"/>
        <v>520</v>
      </c>
      <c r="X60" s="12">
        <f t="shared" si="21"/>
        <v>523</v>
      </c>
      <c r="Y60" s="12">
        <f t="shared" si="21"/>
        <v>605</v>
      </c>
      <c r="Z60" s="12">
        <f t="shared" si="21"/>
        <v>350</v>
      </c>
      <c r="AA60" s="12">
        <f t="shared" si="21"/>
        <v>521</v>
      </c>
      <c r="AB60" s="12">
        <f t="shared" si="21"/>
        <v>476</v>
      </c>
      <c r="AC60" s="12">
        <f t="shared" si="21"/>
        <v>356</v>
      </c>
      <c r="AD60" s="12">
        <f t="shared" si="21"/>
        <v>494</v>
      </c>
      <c r="AE60" s="12">
        <f t="shared" si="21"/>
        <v>471</v>
      </c>
    </row>
    <row r="61" spans="1:31" x14ac:dyDescent="0.25">
      <c r="A61" s="13" t="s">
        <v>20</v>
      </c>
      <c r="B61" s="245">
        <v>371</v>
      </c>
      <c r="C61" s="12">
        <f t="shared" si="0"/>
        <v>384</v>
      </c>
      <c r="D61" s="12">
        <f t="shared" si="0"/>
        <v>438</v>
      </c>
      <c r="E61" s="12">
        <f t="shared" si="1"/>
        <v>323</v>
      </c>
      <c r="F61" s="12">
        <f t="shared" si="1"/>
        <v>477</v>
      </c>
      <c r="G61" s="12">
        <f t="shared" si="4"/>
        <v>0</v>
      </c>
      <c r="H61" s="12">
        <f t="shared" si="4"/>
        <v>2</v>
      </c>
      <c r="I61" s="12">
        <f t="shared" si="4"/>
        <v>386</v>
      </c>
      <c r="J61" s="12">
        <f t="shared" si="4"/>
        <v>540</v>
      </c>
      <c r="K61" s="12">
        <f t="shared" si="4"/>
        <v>580</v>
      </c>
      <c r="L61" s="12">
        <f t="shared" si="4"/>
        <v>494</v>
      </c>
      <c r="M61" s="12">
        <f t="shared" si="4"/>
        <v>520</v>
      </c>
      <c r="N61" s="12">
        <f t="shared" si="4"/>
        <v>0</v>
      </c>
      <c r="O61" s="12">
        <f t="shared" si="4"/>
        <v>0</v>
      </c>
      <c r="P61" s="12">
        <f t="shared" si="4"/>
        <v>470</v>
      </c>
      <c r="Q61" s="12">
        <f t="shared" si="5"/>
        <v>539</v>
      </c>
      <c r="R61" s="12">
        <f t="shared" si="6"/>
        <v>434</v>
      </c>
      <c r="S61" s="12">
        <f t="shared" si="6"/>
        <v>519</v>
      </c>
      <c r="T61" s="12">
        <f t="shared" ref="T61:AE61" si="22">T21-S21</f>
        <v>433</v>
      </c>
      <c r="U61" s="12">
        <f t="shared" si="22"/>
        <v>90</v>
      </c>
      <c r="V61" s="12">
        <f t="shared" si="22"/>
        <v>433</v>
      </c>
      <c r="W61" s="12">
        <f t="shared" si="22"/>
        <v>453</v>
      </c>
      <c r="X61" s="12">
        <f t="shared" si="22"/>
        <v>368</v>
      </c>
      <c r="Y61" s="12">
        <f t="shared" si="22"/>
        <v>451</v>
      </c>
      <c r="Z61" s="12">
        <f t="shared" si="22"/>
        <v>469</v>
      </c>
      <c r="AA61" s="12">
        <f t="shared" si="22"/>
        <v>193</v>
      </c>
      <c r="AB61" s="12">
        <f t="shared" si="22"/>
        <v>0</v>
      </c>
      <c r="AC61" s="12">
        <f t="shared" si="22"/>
        <v>0</v>
      </c>
      <c r="AD61" s="12">
        <f t="shared" si="22"/>
        <v>434</v>
      </c>
      <c r="AE61" s="12">
        <f t="shared" si="22"/>
        <v>281</v>
      </c>
    </row>
    <row r="62" spans="1:31" x14ac:dyDescent="0.25">
      <c r="A62" s="13" t="s">
        <v>21</v>
      </c>
      <c r="B62" s="245">
        <v>520</v>
      </c>
      <c r="C62" s="12">
        <f t="shared" si="0"/>
        <v>347</v>
      </c>
      <c r="D62" s="12">
        <f t="shared" si="0"/>
        <v>347</v>
      </c>
      <c r="E62" s="12">
        <f t="shared" si="1"/>
        <v>452</v>
      </c>
      <c r="F62" s="12">
        <f t="shared" si="1"/>
        <v>253</v>
      </c>
      <c r="G62" s="12">
        <f t="shared" si="4"/>
        <v>0</v>
      </c>
      <c r="H62" s="12">
        <f t="shared" si="4"/>
        <v>3</v>
      </c>
      <c r="I62" s="12">
        <f t="shared" si="4"/>
        <v>355</v>
      </c>
      <c r="J62" s="12">
        <f t="shared" si="4"/>
        <v>305</v>
      </c>
      <c r="K62" s="12">
        <f t="shared" si="4"/>
        <v>273</v>
      </c>
      <c r="L62" s="12">
        <f t="shared" si="4"/>
        <v>186</v>
      </c>
      <c r="M62" s="12">
        <f t="shared" si="4"/>
        <v>538</v>
      </c>
      <c r="N62" s="12">
        <f t="shared" si="4"/>
        <v>477</v>
      </c>
      <c r="O62" s="12">
        <f t="shared" si="4"/>
        <v>45</v>
      </c>
      <c r="P62" s="12">
        <f t="shared" si="4"/>
        <v>516</v>
      </c>
      <c r="Q62" s="12">
        <f t="shared" si="5"/>
        <v>449</v>
      </c>
      <c r="R62" s="12">
        <f t="shared" si="6"/>
        <v>211</v>
      </c>
      <c r="S62" s="12">
        <f t="shared" si="6"/>
        <v>339</v>
      </c>
      <c r="T62" s="12">
        <f t="shared" ref="T62:AE62" si="23">T22-S22</f>
        <v>323</v>
      </c>
      <c r="U62" s="12">
        <f t="shared" si="23"/>
        <v>475</v>
      </c>
      <c r="V62" s="12">
        <f t="shared" si="23"/>
        <v>436</v>
      </c>
      <c r="W62" s="12">
        <f t="shared" si="23"/>
        <v>521</v>
      </c>
      <c r="X62" s="12">
        <f t="shared" si="23"/>
        <v>476</v>
      </c>
      <c r="Y62" s="12">
        <f t="shared" si="23"/>
        <v>451</v>
      </c>
      <c r="Z62" s="12">
        <f t="shared" si="23"/>
        <v>326</v>
      </c>
      <c r="AA62" s="12">
        <f t="shared" si="23"/>
        <v>475</v>
      </c>
      <c r="AB62" s="12">
        <f t="shared" si="23"/>
        <v>521</v>
      </c>
      <c r="AC62" s="12">
        <f t="shared" si="23"/>
        <v>432</v>
      </c>
      <c r="AD62" s="12">
        <f t="shared" si="23"/>
        <v>347</v>
      </c>
      <c r="AE62" s="12">
        <f t="shared" si="23"/>
        <v>518</v>
      </c>
    </row>
    <row r="63" spans="1:31" x14ac:dyDescent="0.25">
      <c r="A63" s="13" t="s">
        <v>22</v>
      </c>
      <c r="B63" s="245">
        <v>350</v>
      </c>
      <c r="C63" s="12">
        <f t="shared" si="0"/>
        <v>537</v>
      </c>
      <c r="D63" s="12">
        <f t="shared" si="0"/>
        <v>253</v>
      </c>
      <c r="E63" s="12">
        <f t="shared" si="1"/>
        <v>519</v>
      </c>
      <c r="F63" s="12">
        <f t="shared" si="1"/>
        <v>455</v>
      </c>
      <c r="G63" s="12">
        <f t="shared" ref="G63:P78" si="24">G23-F23</f>
        <v>0</v>
      </c>
      <c r="H63" s="12">
        <f t="shared" si="24"/>
        <v>0</v>
      </c>
      <c r="I63" s="12">
        <f t="shared" si="24"/>
        <v>403</v>
      </c>
      <c r="J63" s="12">
        <f t="shared" si="24"/>
        <v>391</v>
      </c>
      <c r="K63" s="12">
        <f t="shared" si="24"/>
        <v>477</v>
      </c>
      <c r="L63" s="12">
        <f t="shared" si="24"/>
        <v>352</v>
      </c>
      <c r="M63" s="12">
        <f t="shared" si="24"/>
        <v>568</v>
      </c>
      <c r="N63" s="12">
        <f t="shared" si="24"/>
        <v>44</v>
      </c>
      <c r="O63" s="12">
        <f t="shared" si="24"/>
        <v>433</v>
      </c>
      <c r="P63" s="12">
        <f t="shared" si="24"/>
        <v>300</v>
      </c>
      <c r="Q63" s="12">
        <f t="shared" si="5"/>
        <v>567</v>
      </c>
      <c r="R63" s="12">
        <f t="shared" si="6"/>
        <v>477</v>
      </c>
      <c r="S63" s="12">
        <f t="shared" si="6"/>
        <v>370</v>
      </c>
      <c r="T63" s="12">
        <f t="shared" ref="T63:AE63" si="25">T23-S23</f>
        <v>469</v>
      </c>
      <c r="U63" s="12">
        <f t="shared" si="25"/>
        <v>0</v>
      </c>
      <c r="V63" s="12">
        <f t="shared" si="25"/>
        <v>0</v>
      </c>
      <c r="W63" s="12">
        <f t="shared" si="25"/>
        <v>319</v>
      </c>
      <c r="X63" s="12">
        <f t="shared" si="25"/>
        <v>347</v>
      </c>
      <c r="Y63" s="12">
        <f t="shared" si="25"/>
        <v>352</v>
      </c>
      <c r="Z63" s="12">
        <f t="shared" si="25"/>
        <v>175</v>
      </c>
      <c r="AA63" s="12">
        <f t="shared" si="25"/>
        <v>453</v>
      </c>
      <c r="AB63" s="12">
        <f t="shared" si="25"/>
        <v>0</v>
      </c>
      <c r="AC63" s="12">
        <f t="shared" si="25"/>
        <v>0</v>
      </c>
      <c r="AD63" s="12">
        <f t="shared" si="25"/>
        <v>403</v>
      </c>
      <c r="AE63" s="12">
        <f t="shared" si="25"/>
        <v>178</v>
      </c>
    </row>
    <row r="64" spans="1:31" x14ac:dyDescent="0.25">
      <c r="A64" s="11" t="s">
        <v>23</v>
      </c>
      <c r="B64" s="245">
        <v>365</v>
      </c>
      <c r="C64" s="12">
        <f t="shared" si="0"/>
        <v>501</v>
      </c>
      <c r="D64" s="12">
        <f t="shared" si="0"/>
        <v>520</v>
      </c>
      <c r="E64" s="12">
        <f t="shared" si="1"/>
        <v>434</v>
      </c>
      <c r="F64" s="12">
        <f t="shared" si="1"/>
        <v>477</v>
      </c>
      <c r="G64" s="12">
        <f t="shared" si="24"/>
        <v>0</v>
      </c>
      <c r="H64" s="12">
        <f t="shared" si="24"/>
        <v>0</v>
      </c>
      <c r="I64" s="12">
        <f t="shared" si="24"/>
        <v>384</v>
      </c>
      <c r="J64" s="12">
        <f t="shared" si="24"/>
        <v>494</v>
      </c>
      <c r="K64" s="12">
        <f t="shared" si="24"/>
        <v>501</v>
      </c>
      <c r="L64" s="12">
        <f t="shared" si="24"/>
        <v>455</v>
      </c>
      <c r="M64" s="12">
        <f t="shared" si="24"/>
        <v>454</v>
      </c>
      <c r="N64" s="12">
        <f t="shared" si="24"/>
        <v>519</v>
      </c>
      <c r="O64" s="12">
        <f t="shared" si="24"/>
        <v>475</v>
      </c>
      <c r="P64" s="12">
        <f t="shared" si="24"/>
        <v>235</v>
      </c>
      <c r="Q64" s="12">
        <f t="shared" si="5"/>
        <v>239</v>
      </c>
      <c r="R64" s="12">
        <f t="shared" si="6"/>
        <v>133</v>
      </c>
      <c r="S64" s="12">
        <f t="shared" si="6"/>
        <v>369</v>
      </c>
      <c r="T64" s="12">
        <f t="shared" ref="T64:AE64" si="26">T24-S24</f>
        <v>372</v>
      </c>
      <c r="U64" s="12">
        <f t="shared" si="26"/>
        <v>0</v>
      </c>
      <c r="V64" s="12">
        <f t="shared" si="26"/>
        <v>43</v>
      </c>
      <c r="W64" s="12">
        <f t="shared" si="26"/>
        <v>390</v>
      </c>
      <c r="X64" s="12">
        <f t="shared" si="26"/>
        <v>217</v>
      </c>
      <c r="Y64" s="12">
        <f t="shared" si="26"/>
        <v>263</v>
      </c>
      <c r="Z64" s="12">
        <f t="shared" si="26"/>
        <v>263</v>
      </c>
      <c r="AA64" s="12">
        <f t="shared" si="26"/>
        <v>217</v>
      </c>
      <c r="AB64" s="12">
        <f t="shared" si="26"/>
        <v>43</v>
      </c>
      <c r="AC64" s="12">
        <f t="shared" si="26"/>
        <v>433</v>
      </c>
      <c r="AD64" s="12">
        <f t="shared" si="26"/>
        <v>518</v>
      </c>
      <c r="AE64" s="12">
        <f t="shared" si="26"/>
        <v>518</v>
      </c>
    </row>
    <row r="65" spans="1:31" x14ac:dyDescent="0.25">
      <c r="A65" s="13" t="s">
        <v>24</v>
      </c>
      <c r="B65" s="245">
        <v>494</v>
      </c>
      <c r="C65" s="12">
        <f t="shared" ref="C65:D79" si="27">C25-B25</f>
        <v>383</v>
      </c>
      <c r="D65" s="12">
        <f t="shared" si="27"/>
        <v>283</v>
      </c>
      <c r="E65" s="12">
        <f t="shared" ref="E65:F79" si="28">E25-D25</f>
        <v>435</v>
      </c>
      <c r="F65" s="12">
        <f t="shared" si="28"/>
        <v>565</v>
      </c>
      <c r="G65" s="12">
        <f t="shared" si="24"/>
        <v>43</v>
      </c>
      <c r="H65" s="12">
        <f t="shared" si="24"/>
        <v>174</v>
      </c>
      <c r="I65" s="12">
        <f t="shared" si="24"/>
        <v>520</v>
      </c>
      <c r="J65" s="12">
        <f t="shared" si="24"/>
        <v>453</v>
      </c>
      <c r="K65" s="12">
        <f t="shared" si="24"/>
        <v>280</v>
      </c>
      <c r="L65" s="12">
        <f t="shared" si="24"/>
        <v>391</v>
      </c>
      <c r="M65" s="12">
        <f t="shared" si="24"/>
        <v>347</v>
      </c>
      <c r="N65" s="12">
        <f t="shared" si="24"/>
        <v>475</v>
      </c>
      <c r="O65" s="12">
        <f t="shared" si="24"/>
        <v>2</v>
      </c>
      <c r="P65" s="12">
        <f t="shared" si="24"/>
        <v>267</v>
      </c>
      <c r="Q65" s="12">
        <f t="shared" si="5"/>
        <v>522</v>
      </c>
      <c r="R65" s="12">
        <f t="shared" si="6"/>
        <v>452</v>
      </c>
      <c r="S65" s="12">
        <f t="shared" si="6"/>
        <v>404</v>
      </c>
      <c r="T65" s="12">
        <f t="shared" ref="T65:AE65" si="29">T25-S25</f>
        <v>432</v>
      </c>
      <c r="U65" s="12">
        <f t="shared" si="29"/>
        <v>518</v>
      </c>
      <c r="V65" s="12">
        <f t="shared" si="29"/>
        <v>432</v>
      </c>
      <c r="W65" s="12">
        <f t="shared" si="29"/>
        <v>451</v>
      </c>
      <c r="X65" s="12">
        <f t="shared" si="29"/>
        <v>322</v>
      </c>
      <c r="Y65" s="12">
        <f t="shared" si="29"/>
        <v>495</v>
      </c>
      <c r="Z65" s="12">
        <f t="shared" si="29"/>
        <v>368</v>
      </c>
      <c r="AA65" s="12">
        <f t="shared" si="29"/>
        <v>475</v>
      </c>
      <c r="AB65" s="12">
        <f t="shared" si="29"/>
        <v>475</v>
      </c>
      <c r="AC65" s="12">
        <f t="shared" si="29"/>
        <v>435</v>
      </c>
      <c r="AD65" s="12">
        <f t="shared" si="29"/>
        <v>453</v>
      </c>
      <c r="AE65" s="12">
        <f t="shared" si="29"/>
        <v>213</v>
      </c>
    </row>
    <row r="66" spans="1:31" x14ac:dyDescent="0.25">
      <c r="A66" s="13" t="s">
        <v>25</v>
      </c>
      <c r="B66" s="245">
        <v>470</v>
      </c>
      <c r="C66" s="12">
        <f t="shared" si="27"/>
        <v>562</v>
      </c>
      <c r="D66" s="12">
        <f t="shared" si="27"/>
        <v>494</v>
      </c>
      <c r="E66" s="12">
        <f t="shared" si="28"/>
        <v>211</v>
      </c>
      <c r="F66" s="12">
        <f t="shared" si="28"/>
        <v>584</v>
      </c>
      <c r="G66" s="12">
        <f t="shared" si="24"/>
        <v>524</v>
      </c>
      <c r="H66" s="12">
        <f t="shared" si="24"/>
        <v>433</v>
      </c>
      <c r="I66" s="12">
        <f t="shared" si="24"/>
        <v>433</v>
      </c>
      <c r="J66" s="12">
        <f t="shared" si="24"/>
        <v>319</v>
      </c>
      <c r="K66" s="12">
        <f t="shared" si="24"/>
        <v>452</v>
      </c>
      <c r="L66" s="12">
        <f t="shared" si="24"/>
        <v>368</v>
      </c>
      <c r="M66" s="12">
        <f t="shared" si="24"/>
        <v>167</v>
      </c>
      <c r="N66" s="12">
        <f t="shared" si="24"/>
        <v>434</v>
      </c>
      <c r="O66" s="12">
        <f t="shared" si="24"/>
        <v>435</v>
      </c>
      <c r="P66" s="12">
        <f t="shared" si="24"/>
        <v>432</v>
      </c>
      <c r="Q66" s="12">
        <f t="shared" si="5"/>
        <v>455</v>
      </c>
      <c r="R66" s="12">
        <f t="shared" si="6"/>
        <v>210</v>
      </c>
      <c r="S66" s="12">
        <f t="shared" si="6"/>
        <v>367</v>
      </c>
      <c r="T66" s="12">
        <f t="shared" ref="T66:AE66" si="30">T26-S26</f>
        <v>606</v>
      </c>
      <c r="U66" s="12">
        <f t="shared" si="30"/>
        <v>518</v>
      </c>
      <c r="V66" s="12">
        <f t="shared" si="30"/>
        <v>433</v>
      </c>
      <c r="W66" s="12">
        <f t="shared" si="30"/>
        <v>451</v>
      </c>
      <c r="X66" s="12">
        <f t="shared" si="30"/>
        <v>257</v>
      </c>
      <c r="Y66" s="12">
        <f t="shared" si="30"/>
        <v>522</v>
      </c>
      <c r="Z66" s="12">
        <f t="shared" si="30"/>
        <v>281</v>
      </c>
      <c r="AA66" s="12">
        <f t="shared" si="30"/>
        <v>324</v>
      </c>
      <c r="AB66" s="12">
        <f t="shared" si="30"/>
        <v>43</v>
      </c>
      <c r="AC66" s="12">
        <f t="shared" si="30"/>
        <v>476</v>
      </c>
      <c r="AD66" s="12">
        <f t="shared" si="30"/>
        <v>478</v>
      </c>
      <c r="AE66" s="12">
        <f t="shared" si="30"/>
        <v>520</v>
      </c>
    </row>
    <row r="67" spans="1:31" x14ac:dyDescent="0.25">
      <c r="A67" s="13" t="s">
        <v>26</v>
      </c>
      <c r="B67" s="245">
        <v>278</v>
      </c>
      <c r="C67" s="12">
        <f t="shared" si="27"/>
        <v>391</v>
      </c>
      <c r="D67" s="12">
        <f t="shared" si="27"/>
        <v>341</v>
      </c>
      <c r="E67" s="12">
        <f t="shared" si="28"/>
        <v>435</v>
      </c>
      <c r="F67" s="12">
        <f t="shared" si="28"/>
        <v>265</v>
      </c>
      <c r="G67" s="12">
        <f t="shared" si="24"/>
        <v>476</v>
      </c>
      <c r="H67" s="12">
        <f t="shared" si="24"/>
        <v>436</v>
      </c>
      <c r="I67" s="12">
        <f t="shared" si="24"/>
        <v>475</v>
      </c>
      <c r="J67" s="12">
        <f t="shared" si="24"/>
        <v>432</v>
      </c>
      <c r="K67" s="12">
        <f t="shared" si="24"/>
        <v>387</v>
      </c>
      <c r="L67" s="12">
        <f t="shared" si="24"/>
        <v>448</v>
      </c>
      <c r="M67" s="12">
        <f t="shared" si="24"/>
        <v>365</v>
      </c>
      <c r="N67" s="12">
        <f t="shared" si="24"/>
        <v>0</v>
      </c>
      <c r="O67" s="12">
        <f t="shared" si="24"/>
        <v>0</v>
      </c>
      <c r="P67" s="12">
        <f t="shared" si="24"/>
        <v>477</v>
      </c>
      <c r="Q67" s="12">
        <f t="shared" si="5"/>
        <v>409</v>
      </c>
      <c r="R67" s="12">
        <f t="shared" si="6"/>
        <v>451</v>
      </c>
      <c r="S67" s="12">
        <f t="shared" si="6"/>
        <v>451</v>
      </c>
      <c r="T67" s="12">
        <f t="shared" ref="T67:AE67" si="31">T27-S27</f>
        <v>403</v>
      </c>
      <c r="U67" s="12">
        <f t="shared" si="31"/>
        <v>88</v>
      </c>
      <c r="V67" s="12">
        <f t="shared" si="31"/>
        <v>434</v>
      </c>
      <c r="W67" s="12">
        <f t="shared" si="31"/>
        <v>436</v>
      </c>
      <c r="X67" s="12">
        <f t="shared" si="31"/>
        <v>518</v>
      </c>
      <c r="Y67" s="12">
        <f t="shared" si="31"/>
        <v>191</v>
      </c>
      <c r="Z67" s="12">
        <f t="shared" si="31"/>
        <v>127</v>
      </c>
      <c r="AA67" s="12">
        <f t="shared" si="31"/>
        <v>236</v>
      </c>
      <c r="AB67" s="12">
        <f t="shared" si="31"/>
        <v>475</v>
      </c>
      <c r="AC67" s="12">
        <f t="shared" si="31"/>
        <v>436</v>
      </c>
      <c r="AD67" s="12">
        <f t="shared" si="31"/>
        <v>351</v>
      </c>
      <c r="AE67" s="12">
        <f t="shared" si="31"/>
        <v>433</v>
      </c>
    </row>
    <row r="68" spans="1:31" x14ac:dyDescent="0.25">
      <c r="A68" s="13" t="s">
        <v>27</v>
      </c>
      <c r="B68" s="245">
        <v>452</v>
      </c>
      <c r="C68" s="12">
        <f t="shared" si="27"/>
        <v>212</v>
      </c>
      <c r="D68" s="12">
        <f t="shared" si="27"/>
        <v>456</v>
      </c>
      <c r="E68" s="12">
        <f t="shared" si="28"/>
        <v>453</v>
      </c>
      <c r="F68" s="12">
        <f t="shared" si="28"/>
        <v>296</v>
      </c>
      <c r="G68" s="12">
        <f t="shared" si="24"/>
        <v>0</v>
      </c>
      <c r="H68" s="12">
        <f t="shared" si="24"/>
        <v>0</v>
      </c>
      <c r="I68" s="12">
        <f t="shared" si="24"/>
        <v>537</v>
      </c>
      <c r="J68" s="12">
        <f t="shared" si="24"/>
        <v>451</v>
      </c>
      <c r="K68" s="12">
        <f t="shared" si="24"/>
        <v>324</v>
      </c>
      <c r="L68" s="12">
        <f t="shared" si="24"/>
        <v>476</v>
      </c>
      <c r="M68" s="12">
        <f t="shared" si="24"/>
        <v>363</v>
      </c>
      <c r="N68" s="12">
        <f t="shared" si="24"/>
        <v>0</v>
      </c>
      <c r="O68" s="12">
        <f t="shared" si="24"/>
        <v>0</v>
      </c>
      <c r="P68" s="12">
        <f t="shared" si="24"/>
        <v>539</v>
      </c>
      <c r="Q68" s="12">
        <f t="shared" si="5"/>
        <v>437</v>
      </c>
      <c r="R68" s="12">
        <f t="shared" si="6"/>
        <v>451</v>
      </c>
      <c r="S68" s="12">
        <f t="shared" si="6"/>
        <v>282</v>
      </c>
      <c r="T68" s="12">
        <f t="shared" ref="T68:AE68" si="32">T28-S28</f>
        <v>452</v>
      </c>
      <c r="U68" s="12">
        <f t="shared" si="32"/>
        <v>0</v>
      </c>
      <c r="V68" s="12">
        <f t="shared" si="32"/>
        <v>0</v>
      </c>
      <c r="W68" s="12">
        <f t="shared" si="32"/>
        <v>385</v>
      </c>
      <c r="X68" s="12">
        <f t="shared" si="32"/>
        <v>537</v>
      </c>
      <c r="Y68" s="12">
        <f t="shared" si="32"/>
        <v>450</v>
      </c>
      <c r="Z68" s="12">
        <f t="shared" si="32"/>
        <v>298</v>
      </c>
      <c r="AA68" s="12">
        <f t="shared" si="32"/>
        <v>170</v>
      </c>
      <c r="AB68" s="12">
        <f t="shared" si="32"/>
        <v>260</v>
      </c>
      <c r="AC68" s="12">
        <f t="shared" si="32"/>
        <v>0</v>
      </c>
      <c r="AD68" s="12">
        <f t="shared" si="32"/>
        <v>562</v>
      </c>
      <c r="AE68" s="12">
        <f t="shared" si="32"/>
        <v>217</v>
      </c>
    </row>
    <row r="69" spans="1:31" x14ac:dyDescent="0.25">
      <c r="A69" s="11" t="s">
        <v>28</v>
      </c>
      <c r="B69" s="245">
        <v>0</v>
      </c>
      <c r="C69" s="12">
        <f t="shared" si="27"/>
        <v>0</v>
      </c>
      <c r="D69" s="12">
        <f t="shared" si="27"/>
        <v>0</v>
      </c>
      <c r="E69" s="12">
        <f t="shared" si="28"/>
        <v>0</v>
      </c>
      <c r="F69" s="12">
        <f t="shared" si="28"/>
        <v>0</v>
      </c>
      <c r="G69" s="12">
        <f t="shared" si="24"/>
        <v>0</v>
      </c>
      <c r="H69" s="12">
        <f t="shared" si="24"/>
        <v>0</v>
      </c>
      <c r="I69" s="12">
        <f t="shared" si="24"/>
        <v>0</v>
      </c>
      <c r="J69" s="12">
        <f t="shared" si="24"/>
        <v>0</v>
      </c>
      <c r="K69" s="12">
        <f t="shared" si="24"/>
        <v>0</v>
      </c>
      <c r="L69" s="12">
        <f t="shared" si="24"/>
        <v>0</v>
      </c>
      <c r="M69" s="12">
        <f t="shared" si="24"/>
        <v>0</v>
      </c>
      <c r="N69" s="12">
        <f t="shared" si="24"/>
        <v>0</v>
      </c>
      <c r="O69" s="12">
        <f t="shared" si="24"/>
        <v>0</v>
      </c>
      <c r="P69" s="12">
        <f t="shared" si="24"/>
        <v>0</v>
      </c>
      <c r="Q69" s="12">
        <f t="shared" si="5"/>
        <v>0</v>
      </c>
      <c r="R69" s="12">
        <f t="shared" si="6"/>
        <v>0</v>
      </c>
      <c r="S69" s="12">
        <f t="shared" si="6"/>
        <v>0</v>
      </c>
      <c r="T69" s="12">
        <f t="shared" ref="T69:AE69" si="33">T29-S29</f>
        <v>0</v>
      </c>
      <c r="U69" s="12">
        <f t="shared" si="33"/>
        <v>0</v>
      </c>
      <c r="V69" s="12">
        <f t="shared" si="33"/>
        <v>0</v>
      </c>
      <c r="W69" s="12">
        <f t="shared" si="33"/>
        <v>0</v>
      </c>
      <c r="X69" s="12">
        <f t="shared" si="33"/>
        <v>0</v>
      </c>
      <c r="Y69" s="12">
        <f t="shared" si="33"/>
        <v>0</v>
      </c>
      <c r="Z69" s="12">
        <f t="shared" si="33"/>
        <v>0</v>
      </c>
      <c r="AA69" s="12">
        <f t="shared" si="33"/>
        <v>0</v>
      </c>
      <c r="AB69" s="12">
        <f t="shared" si="33"/>
        <v>0</v>
      </c>
      <c r="AC69" s="12">
        <f t="shared" si="33"/>
        <v>0</v>
      </c>
      <c r="AD69" s="12">
        <f t="shared" si="33"/>
        <v>0</v>
      </c>
      <c r="AE69" s="12">
        <f t="shared" si="33"/>
        <v>0</v>
      </c>
    </row>
    <row r="70" spans="1:31" x14ac:dyDescent="0.25">
      <c r="A70" s="13" t="s">
        <v>29</v>
      </c>
      <c r="B70" s="245">
        <v>374</v>
      </c>
      <c r="C70" s="12">
        <f t="shared" si="27"/>
        <v>304</v>
      </c>
      <c r="D70" s="12">
        <f t="shared" si="27"/>
        <v>604</v>
      </c>
      <c r="E70" s="12">
        <f t="shared" si="28"/>
        <v>560</v>
      </c>
      <c r="F70" s="12">
        <f t="shared" si="28"/>
        <v>492</v>
      </c>
      <c r="G70" s="12">
        <f t="shared" si="24"/>
        <v>0</v>
      </c>
      <c r="H70" s="12">
        <f t="shared" si="24"/>
        <v>0</v>
      </c>
      <c r="I70" s="12">
        <f t="shared" si="24"/>
        <v>506</v>
      </c>
      <c r="J70" s="12">
        <f t="shared" si="24"/>
        <v>518</v>
      </c>
      <c r="K70" s="12">
        <f t="shared" si="24"/>
        <v>472</v>
      </c>
      <c r="L70" s="12">
        <f t="shared" si="24"/>
        <v>604</v>
      </c>
      <c r="M70" s="12">
        <f t="shared" si="24"/>
        <v>518</v>
      </c>
      <c r="N70" s="12">
        <f t="shared" si="24"/>
        <v>435</v>
      </c>
      <c r="O70" s="12">
        <f t="shared" si="24"/>
        <v>431</v>
      </c>
      <c r="P70" s="12">
        <f t="shared" si="24"/>
        <v>305</v>
      </c>
      <c r="Q70" s="12">
        <f t="shared" si="5"/>
        <v>303</v>
      </c>
      <c r="R70" s="12">
        <f t="shared" si="6"/>
        <v>348</v>
      </c>
      <c r="S70" s="12">
        <f t="shared" si="6"/>
        <v>451</v>
      </c>
      <c r="T70" s="12">
        <f t="shared" ref="T70:AE70" si="34">T30-S30</f>
        <v>452</v>
      </c>
      <c r="U70" s="12">
        <f t="shared" si="34"/>
        <v>0</v>
      </c>
      <c r="V70" s="12">
        <f t="shared" si="34"/>
        <v>2</v>
      </c>
      <c r="W70" s="12">
        <f t="shared" si="34"/>
        <v>350</v>
      </c>
      <c r="X70" s="12">
        <f t="shared" si="34"/>
        <v>448</v>
      </c>
      <c r="Y70" s="12">
        <f t="shared" si="34"/>
        <v>318</v>
      </c>
      <c r="Z70" s="12">
        <f t="shared" si="34"/>
        <v>450</v>
      </c>
      <c r="AA70" s="12">
        <f t="shared" si="34"/>
        <v>106</v>
      </c>
      <c r="AB70" s="12">
        <f t="shared" si="34"/>
        <v>0</v>
      </c>
      <c r="AC70" s="12">
        <f t="shared" si="34"/>
        <v>93</v>
      </c>
      <c r="AD70" s="12">
        <f t="shared" si="34"/>
        <v>352</v>
      </c>
      <c r="AE70" s="12">
        <f t="shared" si="34"/>
        <v>519</v>
      </c>
    </row>
    <row r="71" spans="1:31" x14ac:dyDescent="0.25">
      <c r="A71" s="11" t="s">
        <v>30</v>
      </c>
      <c r="B71" s="245">
        <v>539</v>
      </c>
      <c r="C71" s="12">
        <f t="shared" si="27"/>
        <v>450</v>
      </c>
      <c r="D71" s="12">
        <f t="shared" si="27"/>
        <v>367</v>
      </c>
      <c r="E71" s="12">
        <f t="shared" si="28"/>
        <v>564</v>
      </c>
      <c r="F71" s="12">
        <f t="shared" si="28"/>
        <v>428</v>
      </c>
      <c r="G71" s="12">
        <f t="shared" si="24"/>
        <v>519</v>
      </c>
      <c r="H71" s="12">
        <f t="shared" si="24"/>
        <v>436</v>
      </c>
      <c r="I71" s="12">
        <f t="shared" si="24"/>
        <v>282</v>
      </c>
      <c r="J71" s="12">
        <f t="shared" si="24"/>
        <v>365</v>
      </c>
      <c r="K71" s="12">
        <f t="shared" si="24"/>
        <v>520</v>
      </c>
      <c r="L71" s="12">
        <f t="shared" si="24"/>
        <v>451</v>
      </c>
      <c r="M71" s="12">
        <f t="shared" si="24"/>
        <v>537</v>
      </c>
      <c r="N71" s="12">
        <f t="shared" si="24"/>
        <v>519</v>
      </c>
      <c r="O71" s="12">
        <f t="shared" si="24"/>
        <v>435</v>
      </c>
      <c r="P71" s="12">
        <f t="shared" si="24"/>
        <v>110</v>
      </c>
      <c r="Q71" s="12">
        <f t="shared" si="5"/>
        <v>404</v>
      </c>
      <c r="R71" s="12">
        <f t="shared" si="6"/>
        <v>455</v>
      </c>
      <c r="S71" s="12">
        <f t="shared" si="6"/>
        <v>365</v>
      </c>
      <c r="T71" s="12">
        <f t="shared" ref="T71:AE71" si="35">T31-S31</f>
        <v>520</v>
      </c>
      <c r="U71" s="12">
        <f t="shared" si="35"/>
        <v>521</v>
      </c>
      <c r="V71" s="12">
        <f t="shared" si="35"/>
        <v>91</v>
      </c>
      <c r="W71" s="12">
        <f t="shared" si="35"/>
        <v>519</v>
      </c>
      <c r="X71" s="12">
        <f t="shared" si="35"/>
        <v>366</v>
      </c>
      <c r="Y71" s="12">
        <f t="shared" si="35"/>
        <v>331</v>
      </c>
      <c r="Z71" s="12">
        <f t="shared" si="35"/>
        <v>518</v>
      </c>
      <c r="AA71" s="12">
        <f t="shared" si="35"/>
        <v>519</v>
      </c>
      <c r="AB71" s="12">
        <f t="shared" si="35"/>
        <v>519</v>
      </c>
      <c r="AC71" s="12">
        <f t="shared" si="35"/>
        <v>435</v>
      </c>
      <c r="AD71" s="12">
        <f t="shared" si="35"/>
        <v>450</v>
      </c>
      <c r="AE71" s="12">
        <f t="shared" si="35"/>
        <v>417</v>
      </c>
    </row>
    <row r="72" spans="1:31" s="130" customFormat="1" x14ac:dyDescent="0.25">
      <c r="A72" s="13" t="s">
        <v>111</v>
      </c>
      <c r="B72" s="245">
        <v>452</v>
      </c>
      <c r="C72" s="12">
        <f t="shared" si="27"/>
        <v>260</v>
      </c>
      <c r="D72" s="12">
        <f t="shared" si="27"/>
        <v>449</v>
      </c>
      <c r="E72" s="12">
        <f t="shared" si="28"/>
        <v>233</v>
      </c>
      <c r="F72" s="12">
        <f t="shared" si="28"/>
        <v>451</v>
      </c>
      <c r="G72" s="12">
        <f t="shared" si="24"/>
        <v>0</v>
      </c>
      <c r="H72" s="12">
        <f t="shared" si="24"/>
        <v>0</v>
      </c>
      <c r="I72" s="12">
        <f t="shared" si="24"/>
        <v>211</v>
      </c>
      <c r="J72" s="12">
        <f t="shared" si="24"/>
        <v>452</v>
      </c>
      <c r="K72" s="12">
        <f t="shared" si="24"/>
        <v>368</v>
      </c>
      <c r="L72" s="12">
        <f t="shared" si="24"/>
        <v>402</v>
      </c>
      <c r="M72" s="12">
        <f t="shared" si="24"/>
        <v>216</v>
      </c>
      <c r="N72" s="12">
        <f t="shared" si="24"/>
        <v>0</v>
      </c>
      <c r="O72" s="12">
        <f t="shared" si="24"/>
        <v>0</v>
      </c>
      <c r="P72" s="12">
        <f t="shared" si="24"/>
        <v>366</v>
      </c>
      <c r="Q72" s="12">
        <f t="shared" si="5"/>
        <v>468</v>
      </c>
      <c r="R72" s="12">
        <f t="shared" si="6"/>
        <v>194</v>
      </c>
      <c r="S72" s="12">
        <f t="shared" si="6"/>
        <v>304</v>
      </c>
      <c r="T72" s="12">
        <f t="shared" ref="T72:AE72" si="36">T32-S32</f>
        <v>306</v>
      </c>
      <c r="U72" s="12">
        <f t="shared" si="36"/>
        <v>0</v>
      </c>
      <c r="V72" s="12">
        <f t="shared" si="36"/>
        <v>0</v>
      </c>
      <c r="W72" s="12">
        <f t="shared" si="36"/>
        <v>174</v>
      </c>
      <c r="X72" s="12">
        <f t="shared" si="36"/>
        <v>283</v>
      </c>
      <c r="Y72" s="12">
        <f t="shared" si="36"/>
        <v>358</v>
      </c>
      <c r="Z72" s="12">
        <f t="shared" si="36"/>
        <v>347</v>
      </c>
      <c r="AA72" s="12">
        <f t="shared" si="36"/>
        <v>493</v>
      </c>
      <c r="AB72" s="12">
        <f t="shared" si="36"/>
        <v>0</v>
      </c>
      <c r="AC72" s="12">
        <f t="shared" si="36"/>
        <v>0</v>
      </c>
      <c r="AD72" s="12">
        <f t="shared" si="36"/>
        <v>324</v>
      </c>
      <c r="AE72" s="12">
        <f t="shared" si="36"/>
        <v>476</v>
      </c>
    </row>
    <row r="73" spans="1:31" s="130" customFormat="1" x14ac:dyDescent="0.25">
      <c r="A73" s="11" t="s">
        <v>112</v>
      </c>
      <c r="B73" s="245">
        <v>212</v>
      </c>
      <c r="C73" s="12">
        <f t="shared" si="27"/>
        <v>194</v>
      </c>
      <c r="D73" s="12">
        <f t="shared" si="27"/>
        <v>451</v>
      </c>
      <c r="E73" s="12">
        <f t="shared" si="28"/>
        <v>470</v>
      </c>
      <c r="F73" s="12">
        <f t="shared" si="28"/>
        <v>280</v>
      </c>
      <c r="G73" s="12">
        <f t="shared" si="24"/>
        <v>432</v>
      </c>
      <c r="H73" s="12">
        <f t="shared" si="24"/>
        <v>0</v>
      </c>
      <c r="I73" s="12">
        <f t="shared" si="24"/>
        <v>93</v>
      </c>
      <c r="J73" s="12">
        <f t="shared" si="24"/>
        <v>0</v>
      </c>
      <c r="K73" s="12">
        <f t="shared" si="24"/>
        <v>0</v>
      </c>
      <c r="L73" s="12">
        <f t="shared" si="24"/>
        <v>2</v>
      </c>
      <c r="M73" s="12">
        <f t="shared" si="24"/>
        <v>0</v>
      </c>
      <c r="N73" s="12">
        <f t="shared" si="24"/>
        <v>0</v>
      </c>
      <c r="O73" s="12">
        <f t="shared" si="24"/>
        <v>1</v>
      </c>
      <c r="P73" s="12">
        <f t="shared" si="24"/>
        <v>232</v>
      </c>
      <c r="Q73" s="12">
        <f t="shared" si="5"/>
        <v>193</v>
      </c>
      <c r="R73" s="12">
        <f t="shared" si="6"/>
        <v>561</v>
      </c>
      <c r="S73" s="12">
        <f t="shared" si="6"/>
        <v>390</v>
      </c>
      <c r="T73" s="12">
        <f t="shared" ref="T73:AE73" si="37">T33-S33</f>
        <v>196</v>
      </c>
      <c r="U73" s="12">
        <f t="shared" si="37"/>
        <v>0</v>
      </c>
      <c r="V73" s="12">
        <f t="shared" si="37"/>
        <v>0</v>
      </c>
      <c r="W73" s="12">
        <f t="shared" si="37"/>
        <v>282</v>
      </c>
      <c r="X73" s="12">
        <f t="shared" si="37"/>
        <v>451</v>
      </c>
      <c r="Y73" s="12">
        <f t="shared" si="37"/>
        <v>451</v>
      </c>
      <c r="Z73" s="12">
        <f t="shared" si="37"/>
        <v>391</v>
      </c>
      <c r="AA73" s="12">
        <f t="shared" si="37"/>
        <v>493</v>
      </c>
      <c r="AB73" s="12">
        <f t="shared" si="37"/>
        <v>0</v>
      </c>
      <c r="AC73" s="12">
        <f t="shared" si="37"/>
        <v>0</v>
      </c>
      <c r="AD73" s="12">
        <f t="shared" si="37"/>
        <v>213</v>
      </c>
      <c r="AE73" s="12">
        <f t="shared" si="37"/>
        <v>300</v>
      </c>
    </row>
    <row r="74" spans="1:31" s="130" customFormat="1" x14ac:dyDescent="0.25">
      <c r="A74" s="13" t="s">
        <v>113</v>
      </c>
      <c r="B74" s="245">
        <v>88</v>
      </c>
      <c r="C74" s="12">
        <f t="shared" si="27"/>
        <v>435</v>
      </c>
      <c r="D74" s="12">
        <f t="shared" si="27"/>
        <v>264</v>
      </c>
      <c r="E74" s="12">
        <f t="shared" si="28"/>
        <v>263</v>
      </c>
      <c r="F74" s="12">
        <f t="shared" si="28"/>
        <v>367</v>
      </c>
      <c r="G74" s="12">
        <f t="shared" si="24"/>
        <v>0</v>
      </c>
      <c r="H74" s="12">
        <f t="shared" si="24"/>
        <v>0</v>
      </c>
      <c r="I74" s="12">
        <f t="shared" si="24"/>
        <v>127</v>
      </c>
      <c r="J74" s="12">
        <f t="shared" si="24"/>
        <v>283</v>
      </c>
      <c r="K74" s="12">
        <f t="shared" si="24"/>
        <v>370</v>
      </c>
      <c r="L74" s="12">
        <f t="shared" si="24"/>
        <v>367</v>
      </c>
      <c r="M74" s="12">
        <f t="shared" si="24"/>
        <v>435</v>
      </c>
      <c r="N74" s="12">
        <f t="shared" si="24"/>
        <v>0</v>
      </c>
      <c r="O74" s="12">
        <f t="shared" si="24"/>
        <v>0</v>
      </c>
      <c r="P74" s="12">
        <f t="shared" si="24"/>
        <v>366</v>
      </c>
      <c r="Q74" s="12">
        <f t="shared" si="5"/>
        <v>468</v>
      </c>
      <c r="R74" s="12">
        <f t="shared" si="6"/>
        <v>324</v>
      </c>
      <c r="S74" s="12">
        <f t="shared" si="6"/>
        <v>390</v>
      </c>
      <c r="T74" s="12">
        <f t="shared" ref="T74:AE74" si="38">T34-S34</f>
        <v>366</v>
      </c>
      <c r="U74" s="12">
        <f t="shared" si="38"/>
        <v>0</v>
      </c>
      <c r="V74" s="12">
        <f t="shared" si="38"/>
        <v>0</v>
      </c>
      <c r="W74" s="12">
        <f t="shared" si="38"/>
        <v>538</v>
      </c>
      <c r="X74" s="12">
        <f t="shared" si="38"/>
        <v>520</v>
      </c>
      <c r="Y74" s="12">
        <f t="shared" si="38"/>
        <v>432</v>
      </c>
      <c r="Z74" s="12">
        <f t="shared" si="38"/>
        <v>263</v>
      </c>
      <c r="AA74" s="12">
        <f t="shared" si="38"/>
        <v>256</v>
      </c>
      <c r="AB74" s="12">
        <f t="shared" si="38"/>
        <v>0</v>
      </c>
      <c r="AC74" s="12">
        <f t="shared" si="38"/>
        <v>0</v>
      </c>
      <c r="AD74" s="12">
        <f t="shared" si="38"/>
        <v>322</v>
      </c>
      <c r="AE74" s="12">
        <f t="shared" si="38"/>
        <v>281</v>
      </c>
    </row>
    <row r="75" spans="1:31" s="130" customFormat="1" x14ac:dyDescent="0.25">
      <c r="A75" s="11" t="s">
        <v>114</v>
      </c>
      <c r="B75" s="245">
        <v>212</v>
      </c>
      <c r="C75" s="12">
        <f t="shared" si="27"/>
        <v>278</v>
      </c>
      <c r="D75" s="12">
        <f t="shared" si="27"/>
        <v>450</v>
      </c>
      <c r="E75" s="12">
        <f t="shared" si="28"/>
        <v>196</v>
      </c>
      <c r="F75" s="12">
        <f t="shared" si="28"/>
        <v>357</v>
      </c>
      <c r="G75" s="12">
        <f t="shared" si="24"/>
        <v>19</v>
      </c>
      <c r="H75" s="12">
        <f t="shared" si="24"/>
        <v>0</v>
      </c>
      <c r="I75" s="12">
        <f t="shared" si="24"/>
        <v>451</v>
      </c>
      <c r="J75" s="12">
        <f t="shared" si="24"/>
        <v>366</v>
      </c>
      <c r="K75" s="12">
        <f t="shared" si="24"/>
        <v>366</v>
      </c>
      <c r="L75" s="12">
        <f t="shared" si="24"/>
        <v>278</v>
      </c>
      <c r="M75" s="12">
        <f t="shared" si="24"/>
        <v>367</v>
      </c>
      <c r="N75" s="12">
        <f t="shared" si="24"/>
        <v>0</v>
      </c>
      <c r="O75" s="12">
        <f t="shared" si="24"/>
        <v>0</v>
      </c>
      <c r="P75" s="12">
        <f t="shared" si="24"/>
        <v>537</v>
      </c>
      <c r="Q75" s="12">
        <f t="shared" si="5"/>
        <v>450</v>
      </c>
      <c r="R75" s="12">
        <f t="shared" si="6"/>
        <v>194</v>
      </c>
      <c r="S75" s="12">
        <f t="shared" si="6"/>
        <v>177</v>
      </c>
      <c r="T75" s="12">
        <f t="shared" ref="T75:AE75" si="39">T35-S35</f>
        <v>263</v>
      </c>
      <c r="U75" s="12">
        <f t="shared" si="39"/>
        <v>349</v>
      </c>
      <c r="V75" s="12">
        <f t="shared" si="39"/>
        <v>0</v>
      </c>
      <c r="W75" s="12">
        <f t="shared" si="39"/>
        <v>261</v>
      </c>
      <c r="X75" s="12">
        <f t="shared" si="39"/>
        <v>432</v>
      </c>
      <c r="Y75" s="12">
        <f t="shared" si="39"/>
        <v>348</v>
      </c>
      <c r="Z75" s="12">
        <f t="shared" si="39"/>
        <v>433</v>
      </c>
      <c r="AA75" s="12">
        <f t="shared" si="39"/>
        <v>433</v>
      </c>
      <c r="AB75" s="12">
        <f t="shared" si="39"/>
        <v>0</v>
      </c>
      <c r="AC75" s="12">
        <f t="shared" si="39"/>
        <v>91</v>
      </c>
      <c r="AD75" s="12">
        <f t="shared" si="39"/>
        <v>194</v>
      </c>
      <c r="AE75" s="12">
        <f t="shared" si="39"/>
        <v>299</v>
      </c>
    </row>
    <row r="76" spans="1:31" s="130" customFormat="1" x14ac:dyDescent="0.25">
      <c r="A76" s="13" t="s">
        <v>115</v>
      </c>
      <c r="B76" s="245">
        <v>226</v>
      </c>
      <c r="C76" s="12">
        <f t="shared" si="27"/>
        <v>167</v>
      </c>
      <c r="D76" s="12">
        <f t="shared" si="27"/>
        <v>92</v>
      </c>
      <c r="E76" s="12">
        <f t="shared" si="28"/>
        <v>176</v>
      </c>
      <c r="F76" s="12">
        <f t="shared" si="28"/>
        <v>452</v>
      </c>
      <c r="G76" s="12">
        <f t="shared" si="24"/>
        <v>16</v>
      </c>
      <c r="H76" s="12">
        <f t="shared" si="24"/>
        <v>0</v>
      </c>
      <c r="I76" s="12">
        <f t="shared" si="24"/>
        <v>454</v>
      </c>
      <c r="J76" s="12">
        <f t="shared" si="24"/>
        <v>335</v>
      </c>
      <c r="K76" s="12">
        <f t="shared" si="24"/>
        <v>82</v>
      </c>
      <c r="L76" s="12">
        <f t="shared" si="24"/>
        <v>433</v>
      </c>
      <c r="M76" s="12">
        <f t="shared" si="24"/>
        <v>364</v>
      </c>
      <c r="N76" s="12">
        <f t="shared" si="24"/>
        <v>0</v>
      </c>
      <c r="O76" s="12">
        <f t="shared" si="24"/>
        <v>0</v>
      </c>
      <c r="P76" s="12">
        <f t="shared" si="24"/>
        <v>22</v>
      </c>
      <c r="Q76" s="12">
        <f t="shared" si="5"/>
        <v>263</v>
      </c>
      <c r="R76" s="12">
        <f t="shared" si="6"/>
        <v>434</v>
      </c>
      <c r="S76" s="12">
        <f t="shared" si="6"/>
        <v>262</v>
      </c>
      <c r="T76" s="12">
        <f t="shared" ref="T76:AE76" si="40">T36-S36</f>
        <v>194</v>
      </c>
      <c r="U76" s="12">
        <f t="shared" si="40"/>
        <v>0</v>
      </c>
      <c r="V76" s="12">
        <f t="shared" si="40"/>
        <v>0</v>
      </c>
      <c r="W76" s="12">
        <f t="shared" si="40"/>
        <v>280</v>
      </c>
      <c r="X76" s="12">
        <f t="shared" si="40"/>
        <v>348</v>
      </c>
      <c r="Y76" s="12">
        <f t="shared" si="40"/>
        <v>432</v>
      </c>
      <c r="Z76" s="12">
        <f t="shared" si="40"/>
        <v>347</v>
      </c>
      <c r="AA76" s="12">
        <f t="shared" si="40"/>
        <v>307</v>
      </c>
      <c r="AB76" s="12">
        <f t="shared" si="40"/>
        <v>0</v>
      </c>
      <c r="AC76" s="12">
        <f t="shared" si="40"/>
        <v>0</v>
      </c>
      <c r="AD76" s="12">
        <f t="shared" si="40"/>
        <v>299</v>
      </c>
      <c r="AE76" s="12">
        <f t="shared" si="40"/>
        <v>475</v>
      </c>
    </row>
    <row r="77" spans="1:31" s="130" customFormat="1" x14ac:dyDescent="0.25">
      <c r="A77" s="11" t="s">
        <v>116</v>
      </c>
      <c r="B77" s="245">
        <v>469</v>
      </c>
      <c r="C77" s="12">
        <f t="shared" si="27"/>
        <v>537</v>
      </c>
      <c r="D77" s="12">
        <f t="shared" si="27"/>
        <v>91</v>
      </c>
      <c r="E77" s="12">
        <f t="shared" si="28"/>
        <v>452</v>
      </c>
      <c r="F77" s="12">
        <f t="shared" si="28"/>
        <v>280</v>
      </c>
      <c r="G77" s="12">
        <f t="shared" si="24"/>
        <v>431</v>
      </c>
      <c r="H77" s="12">
        <f t="shared" si="24"/>
        <v>261</v>
      </c>
      <c r="I77" s="12">
        <f t="shared" si="24"/>
        <v>431</v>
      </c>
      <c r="J77" s="12">
        <f t="shared" si="24"/>
        <v>348</v>
      </c>
      <c r="K77" s="12">
        <f t="shared" si="24"/>
        <v>281</v>
      </c>
      <c r="L77" s="12">
        <f t="shared" si="24"/>
        <v>452</v>
      </c>
      <c r="M77" s="12">
        <f t="shared" si="24"/>
        <v>193</v>
      </c>
      <c r="N77" s="12">
        <f t="shared" si="24"/>
        <v>0</v>
      </c>
      <c r="O77" s="12">
        <f t="shared" si="24"/>
        <v>0</v>
      </c>
      <c r="P77" s="12">
        <f t="shared" si="24"/>
        <v>212</v>
      </c>
      <c r="Q77" s="12">
        <f t="shared" si="5"/>
        <v>20</v>
      </c>
      <c r="R77" s="12">
        <f t="shared" si="6"/>
        <v>261</v>
      </c>
      <c r="S77" s="12">
        <f t="shared" si="6"/>
        <v>363</v>
      </c>
      <c r="T77" s="12">
        <f t="shared" ref="T77:AE77" si="41">T37-S37</f>
        <v>468</v>
      </c>
      <c r="U77" s="12">
        <f t="shared" si="41"/>
        <v>0</v>
      </c>
      <c r="V77" s="12">
        <f t="shared" si="41"/>
        <v>0</v>
      </c>
      <c r="W77" s="12">
        <f t="shared" si="41"/>
        <v>196</v>
      </c>
      <c r="X77" s="12">
        <f t="shared" si="41"/>
        <v>451</v>
      </c>
      <c r="Y77" s="12">
        <f t="shared" si="41"/>
        <v>450</v>
      </c>
      <c r="Z77" s="12">
        <f t="shared" si="41"/>
        <v>434</v>
      </c>
      <c r="AA77" s="12">
        <f t="shared" si="41"/>
        <v>451</v>
      </c>
      <c r="AB77" s="12">
        <f t="shared" si="41"/>
        <v>0</v>
      </c>
      <c r="AC77" s="12">
        <f t="shared" si="41"/>
        <v>0</v>
      </c>
      <c r="AD77" s="12">
        <f t="shared" si="41"/>
        <v>212</v>
      </c>
      <c r="AE77" s="12">
        <f t="shared" si="41"/>
        <v>231</v>
      </c>
    </row>
    <row r="78" spans="1:31" s="130" customFormat="1" x14ac:dyDescent="0.25">
      <c r="A78" s="13" t="s">
        <v>117</v>
      </c>
      <c r="B78" s="245">
        <v>231</v>
      </c>
      <c r="C78" s="12">
        <f t="shared" si="27"/>
        <v>453</v>
      </c>
      <c r="D78" s="12">
        <f t="shared" si="27"/>
        <v>194</v>
      </c>
      <c r="E78" s="12">
        <f t="shared" si="28"/>
        <v>215</v>
      </c>
      <c r="F78" s="12">
        <f t="shared" si="28"/>
        <v>196</v>
      </c>
      <c r="G78" s="12">
        <f t="shared" si="24"/>
        <v>438</v>
      </c>
      <c r="H78" s="12">
        <f t="shared" si="24"/>
        <v>262</v>
      </c>
      <c r="I78" s="12">
        <f t="shared" si="24"/>
        <v>90</v>
      </c>
      <c r="J78" s="12">
        <f t="shared" si="24"/>
        <v>21</v>
      </c>
      <c r="K78" s="12">
        <f t="shared" si="24"/>
        <v>0</v>
      </c>
      <c r="L78" s="12">
        <f t="shared" si="24"/>
        <v>0</v>
      </c>
      <c r="M78" s="12">
        <f t="shared" si="24"/>
        <v>22</v>
      </c>
      <c r="N78" s="12">
        <f t="shared" si="24"/>
        <v>0</v>
      </c>
      <c r="O78" s="12">
        <f t="shared" si="24"/>
        <v>0</v>
      </c>
      <c r="P78" s="12">
        <f t="shared" si="24"/>
        <v>89</v>
      </c>
      <c r="Q78" s="12">
        <f t="shared" si="5"/>
        <v>176</v>
      </c>
      <c r="R78" s="12">
        <f t="shared" si="6"/>
        <v>263</v>
      </c>
      <c r="S78" s="12">
        <f t="shared" si="6"/>
        <v>519</v>
      </c>
      <c r="T78" s="12">
        <f t="shared" ref="T78:AE78" si="42">T38-S38</f>
        <v>535</v>
      </c>
      <c r="U78" s="12">
        <f t="shared" si="42"/>
        <v>0</v>
      </c>
      <c r="V78" s="12">
        <f t="shared" si="42"/>
        <v>0</v>
      </c>
      <c r="W78" s="12">
        <f t="shared" si="42"/>
        <v>280</v>
      </c>
      <c r="X78" s="12">
        <f t="shared" si="42"/>
        <v>262</v>
      </c>
      <c r="Y78" s="12">
        <f t="shared" si="42"/>
        <v>349</v>
      </c>
      <c r="Z78" s="12">
        <f t="shared" si="42"/>
        <v>432</v>
      </c>
      <c r="AA78" s="12">
        <f t="shared" si="42"/>
        <v>434</v>
      </c>
      <c r="AB78" s="12">
        <f t="shared" si="42"/>
        <v>0</v>
      </c>
      <c r="AC78" s="12">
        <f t="shared" si="42"/>
        <v>3</v>
      </c>
      <c r="AD78" s="12">
        <f t="shared" si="42"/>
        <v>347</v>
      </c>
      <c r="AE78" s="12">
        <f t="shared" si="42"/>
        <v>451</v>
      </c>
    </row>
    <row r="79" spans="1:31" s="130" customFormat="1" x14ac:dyDescent="0.25">
      <c r="A79" s="11" t="s">
        <v>118</v>
      </c>
      <c r="B79" s="245">
        <v>89</v>
      </c>
      <c r="C79" s="12">
        <f t="shared" si="27"/>
        <v>349</v>
      </c>
      <c r="D79" s="12">
        <f t="shared" si="27"/>
        <v>174</v>
      </c>
      <c r="E79" s="12">
        <f t="shared" si="28"/>
        <v>196</v>
      </c>
      <c r="F79" s="12">
        <f t="shared" si="28"/>
        <v>169</v>
      </c>
      <c r="G79" s="12">
        <f t="shared" ref="G79:P79" si="43">G39-F39</f>
        <v>460</v>
      </c>
      <c r="H79" s="12">
        <f t="shared" si="43"/>
        <v>259</v>
      </c>
      <c r="I79" s="12">
        <f t="shared" si="43"/>
        <v>432</v>
      </c>
      <c r="J79" s="12">
        <f t="shared" si="43"/>
        <v>384</v>
      </c>
      <c r="K79" s="12">
        <f t="shared" si="43"/>
        <v>451</v>
      </c>
      <c r="L79" s="12">
        <f t="shared" si="43"/>
        <v>278</v>
      </c>
      <c r="M79" s="12">
        <f t="shared" si="43"/>
        <v>367</v>
      </c>
      <c r="N79" s="12">
        <f t="shared" si="43"/>
        <v>0</v>
      </c>
      <c r="O79" s="12">
        <f t="shared" si="43"/>
        <v>0</v>
      </c>
      <c r="P79" s="12">
        <f t="shared" si="43"/>
        <v>706</v>
      </c>
      <c r="Q79" s="12">
        <f t="shared" si="5"/>
        <v>451</v>
      </c>
      <c r="R79" s="12">
        <f t="shared" si="6"/>
        <v>280</v>
      </c>
      <c r="S79" s="12">
        <f t="shared" si="6"/>
        <v>365</v>
      </c>
      <c r="T79" s="12">
        <f t="shared" ref="T79:AE79" si="44">T39-S39</f>
        <v>468</v>
      </c>
      <c r="U79" s="12">
        <f t="shared" si="44"/>
        <v>0</v>
      </c>
      <c r="V79" s="12">
        <f t="shared" si="44"/>
        <v>0</v>
      </c>
      <c r="W79" s="12">
        <f t="shared" si="44"/>
        <v>281</v>
      </c>
      <c r="X79" s="12">
        <f t="shared" si="44"/>
        <v>452</v>
      </c>
      <c r="Y79" s="12">
        <f t="shared" si="44"/>
        <v>360</v>
      </c>
      <c r="Z79" s="12">
        <f t="shared" si="44"/>
        <v>475</v>
      </c>
      <c r="AA79" s="12">
        <f t="shared" si="44"/>
        <v>450</v>
      </c>
      <c r="AB79" s="12">
        <f t="shared" si="44"/>
        <v>0</v>
      </c>
      <c r="AC79" s="12">
        <f t="shared" si="44"/>
        <v>0</v>
      </c>
      <c r="AD79" s="12">
        <f t="shared" si="44"/>
        <v>451</v>
      </c>
      <c r="AE79" s="12">
        <f t="shared" si="44"/>
        <v>452</v>
      </c>
    </row>
    <row r="80" spans="1:31" ht="15.75" thickBot="1" x14ac:dyDescent="0.3">
      <c r="A80" s="14"/>
      <c r="B80" s="179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E80" s="130"/>
    </row>
    <row r="81" spans="1:31" ht="15.75" thickBot="1" x14ac:dyDescent="0.3">
      <c r="A81" s="15" t="s">
        <v>34</v>
      </c>
      <c r="B81" s="16">
        <f t="shared" ref="B81:P81" si="45">SUM(B45:B79)</f>
        <v>13154</v>
      </c>
      <c r="C81" s="16">
        <f t="shared" si="45"/>
        <v>13031</v>
      </c>
      <c r="D81" s="16">
        <f t="shared" si="45"/>
        <v>12936</v>
      </c>
      <c r="E81" s="16">
        <f t="shared" si="45"/>
        <v>12983</v>
      </c>
      <c r="F81" s="16">
        <f t="shared" si="45"/>
        <v>12895</v>
      </c>
      <c r="G81" s="16">
        <f t="shared" si="45"/>
        <v>6334</v>
      </c>
      <c r="H81" s="16">
        <f t="shared" si="45"/>
        <v>4964</v>
      </c>
      <c r="I81" s="16">
        <f t="shared" si="45"/>
        <v>13108</v>
      </c>
      <c r="J81" s="16">
        <f t="shared" si="45"/>
        <v>12903</v>
      </c>
      <c r="K81" s="16">
        <f t="shared" si="45"/>
        <v>12650</v>
      </c>
      <c r="L81" s="16">
        <f t="shared" si="45"/>
        <v>12796</v>
      </c>
      <c r="M81" s="16">
        <f t="shared" si="45"/>
        <v>12769</v>
      </c>
      <c r="N81" s="16">
        <f t="shared" si="45"/>
        <v>6388</v>
      </c>
      <c r="O81" s="16">
        <f t="shared" si="45"/>
        <v>4951</v>
      </c>
      <c r="P81" s="16">
        <f t="shared" si="45"/>
        <v>12997</v>
      </c>
      <c r="Q81" s="16">
        <f>SUM(Q45:Q79)</f>
        <v>12952</v>
      </c>
      <c r="R81" s="16">
        <f t="shared" ref="R81:AD81" si="46">SUM(R45:R79)</f>
        <v>13046</v>
      </c>
      <c r="S81" s="16">
        <f t="shared" si="46"/>
        <v>13144</v>
      </c>
      <c r="T81" s="16">
        <f t="shared" si="46"/>
        <v>12877</v>
      </c>
      <c r="U81" s="16">
        <f t="shared" si="46"/>
        <v>6330</v>
      </c>
      <c r="V81" s="16">
        <f t="shared" si="46"/>
        <v>4951</v>
      </c>
      <c r="W81" s="16">
        <f t="shared" si="46"/>
        <v>13017</v>
      </c>
      <c r="X81" s="16">
        <f t="shared" si="46"/>
        <v>12981</v>
      </c>
      <c r="Y81" s="16">
        <f t="shared" si="46"/>
        <v>13074</v>
      </c>
      <c r="Z81" s="16">
        <f t="shared" si="46"/>
        <v>12280</v>
      </c>
      <c r="AA81" s="16">
        <f t="shared" si="46"/>
        <v>12261</v>
      </c>
      <c r="AB81" s="16">
        <f t="shared" si="46"/>
        <v>6333</v>
      </c>
      <c r="AC81" s="16">
        <f t="shared" si="46"/>
        <v>5090</v>
      </c>
      <c r="AD81" s="16">
        <f t="shared" si="46"/>
        <v>13076</v>
      </c>
      <c r="AE81" s="16">
        <f t="shared" ref="AE81" si="47">SUM(AE45:AE79)</f>
        <v>12374</v>
      </c>
    </row>
    <row r="82" spans="1:31" s="130" customFormat="1" x14ac:dyDescent="0.25">
      <c r="A82" s="268"/>
      <c r="B82" s="269"/>
      <c r="C82" s="269"/>
      <c r="D82" s="269"/>
      <c r="E82" s="269"/>
      <c r="F82" s="269"/>
      <c r="G82" s="269"/>
      <c r="H82" s="269"/>
      <c r="I82" s="269"/>
      <c r="J82" s="269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  <c r="AA82" s="269"/>
      <c r="AB82" s="269"/>
      <c r="AC82" s="269"/>
      <c r="AD82" s="269"/>
      <c r="AE82" s="269"/>
    </row>
    <row r="86" spans="1:31" x14ac:dyDescent="0.25">
      <c r="AE86" s="179">
        <f>SUM(B81:AE81)</f>
        <v>328645</v>
      </c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241"/>
  <sheetViews>
    <sheetView tabSelected="1" zoomScaleNormal="100" workbookViewId="0">
      <pane ySplit="4" topLeftCell="A203" activePane="bottomLeft" state="frozen"/>
      <selection pane="bottomLeft" activeCell="Y210" sqref="Y210"/>
    </sheetView>
  </sheetViews>
  <sheetFormatPr baseColWidth="10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3.28515625" customWidth="1"/>
    <col min="11" max="11" width="14.140625" customWidth="1"/>
    <col min="13" max="13" width="15.140625" customWidth="1"/>
    <col min="15" max="15" width="12" customWidth="1"/>
    <col min="16" max="16" width="6.7109375" customWidth="1"/>
    <col min="17" max="17" width="6.28515625" customWidth="1"/>
    <col min="18" max="18" width="6" style="130" customWidth="1"/>
    <col min="19" max="19" width="7.140625" customWidth="1"/>
    <col min="20" max="20" width="7" customWidth="1"/>
    <col min="21" max="21" width="3.85546875" style="130" customWidth="1"/>
  </cols>
  <sheetData>
    <row r="1" spans="1:22" x14ac:dyDescent="0.25">
      <c r="A1" s="17"/>
      <c r="B1" s="18"/>
      <c r="C1" s="18"/>
      <c r="D1" s="18"/>
      <c r="E1" s="18"/>
      <c r="F1" s="18"/>
      <c r="G1" s="164" t="s">
        <v>125</v>
      </c>
      <c r="H1" s="164">
        <v>21.7</v>
      </c>
      <c r="I1" s="164" t="s">
        <v>35</v>
      </c>
      <c r="J1" s="164">
        <v>25.4</v>
      </c>
      <c r="K1" s="164" t="s">
        <v>36</v>
      </c>
      <c r="L1" s="164">
        <v>29.11</v>
      </c>
      <c r="M1" s="164" t="s">
        <v>119</v>
      </c>
      <c r="N1" s="164">
        <v>21.7</v>
      </c>
      <c r="O1" s="257" t="s">
        <v>157</v>
      </c>
      <c r="P1" s="278">
        <v>8.3000000000000007</v>
      </c>
      <c r="Q1" s="257" t="s">
        <v>158</v>
      </c>
      <c r="R1" s="278">
        <v>34.83</v>
      </c>
      <c r="S1" s="257" t="s">
        <v>161</v>
      </c>
      <c r="T1" s="297">
        <v>11.7</v>
      </c>
    </row>
    <row r="2" spans="1:22" ht="15.75" thickBot="1" x14ac:dyDescent="0.3">
      <c r="A2" s="17"/>
      <c r="B2" s="333" t="s">
        <v>37</v>
      </c>
      <c r="C2" s="333"/>
      <c r="D2" s="334" t="s">
        <v>37</v>
      </c>
      <c r="E2" s="334"/>
      <c r="F2" s="41"/>
      <c r="G2" s="220" t="s">
        <v>150</v>
      </c>
      <c r="H2" s="220">
        <v>30.4</v>
      </c>
      <c r="I2" s="164" t="s">
        <v>121</v>
      </c>
      <c r="J2" s="164">
        <v>25.4</v>
      </c>
      <c r="K2" s="164" t="s">
        <v>38</v>
      </c>
      <c r="L2" s="164">
        <v>43.13</v>
      </c>
      <c r="M2" s="164" t="s">
        <v>110</v>
      </c>
      <c r="N2" s="164">
        <v>35.729999999999997</v>
      </c>
      <c r="O2" s="257" t="s">
        <v>156</v>
      </c>
      <c r="P2" s="255">
        <v>33.97</v>
      </c>
      <c r="Q2" s="257" t="s">
        <v>159</v>
      </c>
      <c r="R2" s="294">
        <v>7.4</v>
      </c>
      <c r="S2" s="257" t="s">
        <v>167</v>
      </c>
      <c r="T2" s="307">
        <v>12.73</v>
      </c>
    </row>
    <row r="3" spans="1:22" ht="14.1" customHeight="1" x14ac:dyDescent="0.25">
      <c r="A3" s="17"/>
      <c r="B3" s="333" t="s">
        <v>39</v>
      </c>
      <c r="C3" s="333"/>
      <c r="D3" s="334" t="s">
        <v>40</v>
      </c>
      <c r="E3" s="334"/>
      <c r="F3" s="330" t="s">
        <v>41</v>
      </c>
      <c r="G3" s="330" t="s">
        <v>42</v>
      </c>
      <c r="H3" s="330" t="s">
        <v>43</v>
      </c>
      <c r="I3" s="330" t="s">
        <v>44</v>
      </c>
      <c r="J3" s="330" t="s">
        <v>45</v>
      </c>
      <c r="K3" s="330" t="s">
        <v>46</v>
      </c>
      <c r="L3" s="330" t="s">
        <v>47</v>
      </c>
      <c r="M3" s="346" t="s">
        <v>48</v>
      </c>
      <c r="N3" s="346" t="s">
        <v>49</v>
      </c>
      <c r="O3" s="345"/>
      <c r="P3" s="347" t="s">
        <v>142</v>
      </c>
      <c r="Q3" s="348"/>
      <c r="R3" s="349"/>
      <c r="S3" s="325" t="s">
        <v>145</v>
      </c>
      <c r="T3" s="326"/>
      <c r="U3" s="327"/>
      <c r="V3" s="343" t="s">
        <v>146</v>
      </c>
    </row>
    <row r="4" spans="1:22" ht="17.25" customHeight="1" thickBot="1" x14ac:dyDescent="0.3">
      <c r="A4" s="17"/>
      <c r="B4" s="42" t="s">
        <v>50</v>
      </c>
      <c r="C4" s="42" t="s">
        <v>51</v>
      </c>
      <c r="D4" s="43" t="s">
        <v>50</v>
      </c>
      <c r="E4" s="43" t="s">
        <v>51</v>
      </c>
      <c r="F4" s="330"/>
      <c r="G4" s="331"/>
      <c r="H4" s="330"/>
      <c r="I4" s="330"/>
      <c r="J4" s="330"/>
      <c r="K4" s="330"/>
      <c r="L4" s="330"/>
      <c r="M4" s="346"/>
      <c r="N4" s="346"/>
      <c r="O4" s="345"/>
      <c r="P4" s="206" t="s">
        <v>143</v>
      </c>
      <c r="Q4" s="207" t="s">
        <v>144</v>
      </c>
      <c r="R4" s="207" t="s">
        <v>149</v>
      </c>
      <c r="S4" s="208" t="s">
        <v>143</v>
      </c>
      <c r="T4" s="260" t="s">
        <v>144</v>
      </c>
      <c r="U4" s="261" t="s">
        <v>149</v>
      </c>
      <c r="V4" s="344"/>
    </row>
    <row r="5" spans="1:22" x14ac:dyDescent="0.25">
      <c r="A5" s="218">
        <v>45383</v>
      </c>
      <c r="B5" s="131">
        <v>39</v>
      </c>
      <c r="C5" s="131">
        <v>53</v>
      </c>
      <c r="D5" s="144">
        <f>'Data Ocupacion'!D32</f>
        <v>35</v>
      </c>
      <c r="E5" s="144">
        <f>'Data Ocupacion'!E32</f>
        <v>57</v>
      </c>
      <c r="F5" s="131" t="s">
        <v>38</v>
      </c>
      <c r="G5" s="131">
        <f t="shared" ref="G5:G10" si="0">D5+E5*2</f>
        <v>149</v>
      </c>
      <c r="H5" s="131">
        <f t="shared" ref="H5:H10" si="1">D5+E5</f>
        <v>92</v>
      </c>
      <c r="I5" s="131">
        <f>G5*L$2</f>
        <v>6426.3700000000008</v>
      </c>
      <c r="J5" s="160">
        <f>H5*L$2</f>
        <v>3967.96</v>
      </c>
      <c r="K5" s="131">
        <f t="shared" ref="K5:K10" si="2">I5*104</f>
        <v>668342.4800000001</v>
      </c>
      <c r="L5" s="131">
        <f t="shared" ref="L5:L10" si="3">H5*104</f>
        <v>9568</v>
      </c>
      <c r="M5" s="19"/>
      <c r="N5" s="19"/>
      <c r="O5" s="153"/>
      <c r="P5" s="193"/>
      <c r="Q5" s="193"/>
      <c r="R5" s="221"/>
      <c r="S5" s="310">
        <v>4</v>
      </c>
      <c r="T5" s="203"/>
      <c r="U5" s="251"/>
      <c r="V5" s="192">
        <f>I5-(P5*($L$2-$J$1)+(Q5*($L$2-$L$1))+  (R5*($L$2-$H$2))+ (S5*($J$1)))</f>
        <v>6324.77</v>
      </c>
    </row>
    <row r="6" spans="1:22" ht="15" customHeight="1" x14ac:dyDescent="0.25">
      <c r="A6" s="332" t="s">
        <v>174</v>
      </c>
      <c r="B6" s="131">
        <v>37</v>
      </c>
      <c r="C6" s="131">
        <v>53</v>
      </c>
      <c r="D6" s="132">
        <f>'Data Ocupacion'!D33</f>
        <v>37</v>
      </c>
      <c r="E6" s="132">
        <f>'Data Ocupacion'!E33</f>
        <v>53</v>
      </c>
      <c r="F6" s="131" t="s">
        <v>52</v>
      </c>
      <c r="G6" s="131">
        <f t="shared" si="0"/>
        <v>143</v>
      </c>
      <c r="H6" s="131">
        <f t="shared" si="1"/>
        <v>90</v>
      </c>
      <c r="I6" s="131">
        <f>G6*L$2</f>
        <v>6167.59</v>
      </c>
      <c r="J6" s="160">
        <f>H6*L$2</f>
        <v>3881.7000000000003</v>
      </c>
      <c r="K6" s="131">
        <f t="shared" si="2"/>
        <v>641429.36</v>
      </c>
      <c r="L6" s="131">
        <f t="shared" si="3"/>
        <v>9360</v>
      </c>
      <c r="M6" s="19"/>
      <c r="N6" s="19"/>
      <c r="O6" s="153"/>
      <c r="P6" s="198"/>
      <c r="Q6" s="198"/>
      <c r="R6" s="198"/>
      <c r="S6" s="193"/>
      <c r="T6" s="219"/>
      <c r="U6" s="252"/>
      <c r="V6" s="196">
        <f>I6-(S6*($L$2-$J$1)+(T6*($L$2-$L$1)))</f>
        <v>6167.59</v>
      </c>
    </row>
    <row r="7" spans="1:22" ht="15" customHeight="1" x14ac:dyDescent="0.25">
      <c r="A7" s="332"/>
      <c r="B7" s="131">
        <v>0</v>
      </c>
      <c r="C7" s="131">
        <v>0</v>
      </c>
      <c r="D7" s="132">
        <f>'Data Ocupacion'!D34</f>
        <v>0</v>
      </c>
      <c r="E7" s="132">
        <f>'Data Ocupacion'!E34</f>
        <v>0</v>
      </c>
      <c r="F7" s="131" t="s">
        <v>36</v>
      </c>
      <c r="G7" s="131">
        <f t="shared" si="0"/>
        <v>0</v>
      </c>
      <c r="H7" s="131">
        <f t="shared" si="1"/>
        <v>0</v>
      </c>
      <c r="I7" s="131">
        <f>G7*L$1</f>
        <v>0</v>
      </c>
      <c r="J7" s="160">
        <f>H7*L$1</f>
        <v>0</v>
      </c>
      <c r="K7" s="131">
        <f t="shared" si="2"/>
        <v>0</v>
      </c>
      <c r="L7" s="131">
        <f t="shared" si="3"/>
        <v>0</v>
      </c>
      <c r="M7" s="19"/>
      <c r="N7" s="19"/>
      <c r="O7" s="153"/>
      <c r="P7" s="197"/>
      <c r="Q7" s="199"/>
      <c r="R7" s="222"/>
      <c r="S7" s="200"/>
      <c r="T7" s="201"/>
      <c r="U7" s="201"/>
      <c r="V7" s="192">
        <f>I7-(P7*($L$1-$J$1))</f>
        <v>0</v>
      </c>
    </row>
    <row r="8" spans="1:22" ht="15" customHeight="1" x14ac:dyDescent="0.25">
      <c r="A8" s="332"/>
      <c r="B8" s="131">
        <v>1</v>
      </c>
      <c r="C8" s="131">
        <v>0</v>
      </c>
      <c r="D8" s="132">
        <f>'Data Ocupacion'!D35</f>
        <v>1</v>
      </c>
      <c r="E8" s="132">
        <f>'Data Ocupacion'!E35</f>
        <v>0</v>
      </c>
      <c r="F8" s="131" t="s">
        <v>53</v>
      </c>
      <c r="G8" s="131">
        <f t="shared" si="0"/>
        <v>1</v>
      </c>
      <c r="H8" s="131">
        <f t="shared" si="1"/>
        <v>1</v>
      </c>
      <c r="I8" s="131">
        <f>G8*L$1</f>
        <v>29.11</v>
      </c>
      <c r="J8" s="160">
        <f>H8*L$1</f>
        <v>29.11</v>
      </c>
      <c r="K8" s="131">
        <f t="shared" si="2"/>
        <v>3027.44</v>
      </c>
      <c r="L8" s="131">
        <f t="shared" si="3"/>
        <v>104</v>
      </c>
      <c r="M8" s="19"/>
      <c r="N8" s="19"/>
      <c r="O8" s="153"/>
      <c r="P8" s="201"/>
      <c r="Q8" s="201"/>
      <c r="R8" s="201"/>
      <c r="S8" s="201"/>
      <c r="T8" s="201"/>
      <c r="U8" s="201"/>
      <c r="V8" s="192">
        <f t="shared" ref="V8:V9" si="4">I8</f>
        <v>29.11</v>
      </c>
    </row>
    <row r="9" spans="1:22" s="130" customFormat="1" ht="15" customHeight="1" x14ac:dyDescent="0.25">
      <c r="A9" s="332"/>
      <c r="B9" s="131">
        <v>0</v>
      </c>
      <c r="C9" s="131">
        <v>0</v>
      </c>
      <c r="D9" s="132">
        <f>'Data Ocupacion'!D36</f>
        <v>0</v>
      </c>
      <c r="E9" s="132">
        <f>'Data Ocupacion'!E36</f>
        <v>0</v>
      </c>
      <c r="F9" s="131" t="s">
        <v>122</v>
      </c>
      <c r="G9" s="131">
        <f t="shared" si="0"/>
        <v>0</v>
      </c>
      <c r="H9" s="131">
        <f t="shared" si="1"/>
        <v>0</v>
      </c>
      <c r="I9" s="131">
        <f>G9*J$1</f>
        <v>0</v>
      </c>
      <c r="J9" s="160">
        <f>H9*J$1</f>
        <v>0</v>
      </c>
      <c r="K9" s="131">
        <f t="shared" si="2"/>
        <v>0</v>
      </c>
      <c r="L9" s="131">
        <f t="shared" si="3"/>
        <v>0</v>
      </c>
      <c r="M9" s="19"/>
      <c r="N9" s="19"/>
      <c r="O9" s="153"/>
      <c r="P9" s="201"/>
      <c r="Q9" s="201"/>
      <c r="R9" s="201"/>
      <c r="S9" s="201"/>
      <c r="T9" s="201"/>
      <c r="U9" s="201"/>
      <c r="V9" s="192">
        <f t="shared" si="4"/>
        <v>0</v>
      </c>
    </row>
    <row r="10" spans="1:22" ht="15.75" customHeight="1" thickBot="1" x14ac:dyDescent="0.3">
      <c r="A10" s="332"/>
      <c r="B10" s="131">
        <v>1</v>
      </c>
      <c r="C10" s="131">
        <v>0</v>
      </c>
      <c r="D10" s="132">
        <f>'Data Ocupacion'!D37</f>
        <v>1</v>
      </c>
      <c r="E10" s="132">
        <f>'Data Ocupacion'!E37</f>
        <v>0</v>
      </c>
      <c r="F10" s="131" t="s">
        <v>35</v>
      </c>
      <c r="G10" s="131">
        <f t="shared" si="0"/>
        <v>1</v>
      </c>
      <c r="H10" s="131">
        <f t="shared" si="1"/>
        <v>1</v>
      </c>
      <c r="I10" s="131">
        <f>G10*J$1</f>
        <v>25.4</v>
      </c>
      <c r="J10" s="160">
        <f>H10*J$1</f>
        <v>25.4</v>
      </c>
      <c r="K10" s="131">
        <f t="shared" si="2"/>
        <v>2641.6</v>
      </c>
      <c r="L10" s="131">
        <f t="shared" si="3"/>
        <v>104</v>
      </c>
      <c r="M10" s="19"/>
      <c r="N10" s="19"/>
      <c r="O10" s="153"/>
      <c r="P10" s="201"/>
      <c r="Q10" s="201"/>
      <c r="R10" s="201"/>
      <c r="S10" s="201"/>
      <c r="T10" s="201"/>
      <c r="U10" s="201"/>
      <c r="V10" s="192">
        <f>I10</f>
        <v>25.4</v>
      </c>
    </row>
    <row r="11" spans="1:22" ht="15.75" thickBot="1" x14ac:dyDescent="0.3">
      <c r="A11" s="20"/>
      <c r="B11" s="235">
        <f>SUM(B5:B10)</f>
        <v>78</v>
      </c>
      <c r="C11" s="235">
        <f>SUM(C5:C10)</f>
        <v>106</v>
      </c>
      <c r="D11" s="159">
        <f>SUM(D5:D10)</f>
        <v>74</v>
      </c>
      <c r="E11" s="159">
        <f>SUM(E5:E10)</f>
        <v>110</v>
      </c>
      <c r="F11" s="124"/>
      <c r="G11" s="124">
        <f t="shared" ref="G11:L11" si="5">SUM(G5:G10)</f>
        <v>294</v>
      </c>
      <c r="H11" s="124">
        <f t="shared" si="5"/>
        <v>184</v>
      </c>
      <c r="I11" s="125">
        <f t="shared" si="5"/>
        <v>12648.470000000001</v>
      </c>
      <c r="J11" s="124">
        <f t="shared" si="5"/>
        <v>7904.1699999999992</v>
      </c>
      <c r="K11" s="123">
        <f t="shared" si="5"/>
        <v>1315440.8800000001</v>
      </c>
      <c r="L11" s="158">
        <f t="shared" si="5"/>
        <v>19136</v>
      </c>
      <c r="M11" s="129">
        <f>'Odometro-Kilometraje'!B81</f>
        <v>13154</v>
      </c>
      <c r="N11" s="21">
        <f>(V11/M11)*100</f>
        <v>95.384445795955614</v>
      </c>
      <c r="O11" s="204"/>
      <c r="P11" s="191"/>
      <c r="Q11" s="191"/>
      <c r="R11" s="191"/>
      <c r="S11" s="191"/>
      <c r="T11" s="191"/>
      <c r="U11" s="191"/>
      <c r="V11" s="205">
        <f>SUM(V5:V10)</f>
        <v>12546.87</v>
      </c>
    </row>
    <row r="12" spans="1:22" x14ac:dyDescent="0.25">
      <c r="A12" s="62">
        <f>A5+1</f>
        <v>45384</v>
      </c>
      <c r="B12" s="131">
        <v>39</v>
      </c>
      <c r="C12" s="131">
        <v>53</v>
      </c>
      <c r="D12" s="306">
        <f>'Data Ocupacion'!F32</f>
        <v>33</v>
      </c>
      <c r="E12" s="132">
        <f>'Data Ocupacion'!G32</f>
        <v>59</v>
      </c>
      <c r="F12" s="131" t="s">
        <v>38</v>
      </c>
      <c r="G12" s="131">
        <f t="shared" ref="G12:G17" si="6">D12+E12*2</f>
        <v>151</v>
      </c>
      <c r="H12" s="131">
        <f t="shared" ref="H12:H17" si="7">D12+E12</f>
        <v>92</v>
      </c>
      <c r="I12" s="131">
        <f>G12*L$2</f>
        <v>6512.63</v>
      </c>
      <c r="J12" s="160">
        <f>H12*L$2</f>
        <v>3967.96</v>
      </c>
      <c r="K12" s="131">
        <f t="shared" ref="K12:K17" si="8">I12*104</f>
        <v>677313.52</v>
      </c>
      <c r="L12" s="131">
        <f t="shared" ref="L12:L17" si="9">H12*104</f>
        <v>9568</v>
      </c>
      <c r="M12" s="19"/>
      <c r="N12" s="19"/>
      <c r="O12" s="153"/>
      <c r="P12" s="193">
        <v>5</v>
      </c>
      <c r="Q12" s="193"/>
      <c r="R12" s="221"/>
      <c r="S12" s="194"/>
      <c r="T12" s="203"/>
      <c r="U12" s="251"/>
      <c r="V12" s="192">
        <f>I12-(P12*($L$2-$J$1)+(Q12*($L$2-$L$1))+  (R12*($L$2-$H$2))+ (S12*($L$2-$J$1)))</f>
        <v>6423.9800000000005</v>
      </c>
    </row>
    <row r="13" spans="1:22" ht="15" customHeight="1" x14ac:dyDescent="0.25">
      <c r="A13" s="291"/>
      <c r="B13" s="131">
        <v>37</v>
      </c>
      <c r="C13" s="131">
        <v>53</v>
      </c>
      <c r="D13" s="132">
        <f>'Data Ocupacion'!F33</f>
        <v>37</v>
      </c>
      <c r="E13" s="132">
        <f>'Data Ocupacion'!G33</f>
        <v>53</v>
      </c>
      <c r="F13" s="131" t="s">
        <v>52</v>
      </c>
      <c r="G13" s="131">
        <f t="shared" si="6"/>
        <v>143</v>
      </c>
      <c r="H13" s="131">
        <f t="shared" si="7"/>
        <v>90</v>
      </c>
      <c r="I13" s="131">
        <f>G13*L$2</f>
        <v>6167.59</v>
      </c>
      <c r="J13" s="160">
        <f>H13*L$2</f>
        <v>3881.7000000000003</v>
      </c>
      <c r="K13" s="131">
        <f t="shared" si="8"/>
        <v>641429.36</v>
      </c>
      <c r="L13" s="131">
        <f t="shared" si="9"/>
        <v>9360</v>
      </c>
      <c r="M13" s="19"/>
      <c r="N13" s="19"/>
      <c r="O13" s="153"/>
      <c r="P13" s="198"/>
      <c r="Q13" s="198"/>
      <c r="R13" s="198"/>
      <c r="S13" s="193"/>
      <c r="T13" s="193"/>
      <c r="U13" s="221"/>
      <c r="V13" s="196">
        <f>I13-(S13*($L$2-$J$1)+(T13*($L$2-$L$1)))</f>
        <v>6167.59</v>
      </c>
    </row>
    <row r="14" spans="1:22" ht="15.75" customHeight="1" x14ac:dyDescent="0.25">
      <c r="A14" s="291"/>
      <c r="B14" s="131">
        <v>0</v>
      </c>
      <c r="C14" s="131">
        <v>0</v>
      </c>
      <c r="D14" s="132">
        <f>'Data Ocupacion'!F34</f>
        <v>0</v>
      </c>
      <c r="E14" s="132">
        <f>'Data Ocupacion'!G34</f>
        <v>0</v>
      </c>
      <c r="F14" s="131" t="s">
        <v>36</v>
      </c>
      <c r="G14" s="131">
        <f t="shared" si="6"/>
        <v>0</v>
      </c>
      <c r="H14" s="131">
        <f t="shared" si="7"/>
        <v>0</v>
      </c>
      <c r="I14" s="131">
        <f>G14*L$1</f>
        <v>0</v>
      </c>
      <c r="J14" s="160">
        <f>H14*L$1</f>
        <v>0</v>
      </c>
      <c r="K14" s="131">
        <f t="shared" si="8"/>
        <v>0</v>
      </c>
      <c r="L14" s="131">
        <f t="shared" si="9"/>
        <v>0</v>
      </c>
      <c r="M14" s="19"/>
      <c r="N14" s="19"/>
      <c r="O14" s="153"/>
      <c r="P14" s="197"/>
      <c r="Q14" s="199"/>
      <c r="R14" s="222"/>
      <c r="S14" s="200"/>
      <c r="T14" s="201"/>
      <c r="U14" s="201"/>
      <c r="V14" s="192">
        <f>I14-(P14*($L$1-$J$1))</f>
        <v>0</v>
      </c>
    </row>
    <row r="15" spans="1:22" ht="15" customHeight="1" x14ac:dyDescent="0.25">
      <c r="A15" s="291"/>
      <c r="B15" s="131">
        <v>1</v>
      </c>
      <c r="C15" s="131">
        <v>0</v>
      </c>
      <c r="D15" s="132">
        <f>'Data Ocupacion'!F35</f>
        <v>1</v>
      </c>
      <c r="E15" s="132">
        <f>'Data Ocupacion'!G35</f>
        <v>0</v>
      </c>
      <c r="F15" s="131" t="s">
        <v>53</v>
      </c>
      <c r="G15" s="131">
        <f t="shared" si="6"/>
        <v>1</v>
      </c>
      <c r="H15" s="131">
        <f t="shared" si="7"/>
        <v>1</v>
      </c>
      <c r="I15" s="131">
        <f>G15*L$1</f>
        <v>29.11</v>
      </c>
      <c r="J15" s="160">
        <f>H15*L$1</f>
        <v>29.11</v>
      </c>
      <c r="K15" s="131">
        <f t="shared" si="8"/>
        <v>3027.44</v>
      </c>
      <c r="L15" s="131">
        <f t="shared" si="9"/>
        <v>104</v>
      </c>
      <c r="M15" s="172"/>
      <c r="N15" s="19"/>
      <c r="O15" s="153"/>
      <c r="P15" s="201"/>
      <c r="Q15" s="201"/>
      <c r="R15" s="201"/>
      <c r="S15" s="201"/>
      <c r="T15" s="201"/>
      <c r="U15" s="201"/>
      <c r="V15" s="192">
        <f t="shared" ref="V15:V16" si="10">I15</f>
        <v>29.11</v>
      </c>
    </row>
    <row r="16" spans="1:22" s="130" customFormat="1" ht="15" customHeight="1" x14ac:dyDescent="0.25">
      <c r="A16" s="291"/>
      <c r="B16" s="131">
        <v>0</v>
      </c>
      <c r="C16" s="131">
        <v>0</v>
      </c>
      <c r="D16" s="132">
        <f>'Data Ocupacion'!F36</f>
        <v>0</v>
      </c>
      <c r="E16" s="132">
        <f>'Data Ocupacion'!G36</f>
        <v>0</v>
      </c>
      <c r="F16" s="131" t="s">
        <v>122</v>
      </c>
      <c r="G16" s="131">
        <f t="shared" si="6"/>
        <v>0</v>
      </c>
      <c r="H16" s="131">
        <f t="shared" si="7"/>
        <v>0</v>
      </c>
      <c r="I16" s="131">
        <f>G16*J$1</f>
        <v>0</v>
      </c>
      <c r="J16" s="160">
        <f>H16*J$1</f>
        <v>0</v>
      </c>
      <c r="K16" s="131">
        <f t="shared" si="8"/>
        <v>0</v>
      </c>
      <c r="L16" s="131">
        <f t="shared" si="9"/>
        <v>0</v>
      </c>
      <c r="M16" s="172"/>
      <c r="N16" s="19"/>
      <c r="O16" s="153"/>
      <c r="P16" s="201"/>
      <c r="Q16" s="201"/>
      <c r="R16" s="201"/>
      <c r="S16" s="201"/>
      <c r="T16" s="201"/>
      <c r="U16" s="201"/>
      <c r="V16" s="192">
        <f t="shared" si="10"/>
        <v>0</v>
      </c>
    </row>
    <row r="17" spans="1:23" ht="15.75" customHeight="1" thickBot="1" x14ac:dyDescent="0.3">
      <c r="A17" s="291"/>
      <c r="B17" s="131">
        <v>1</v>
      </c>
      <c r="C17" s="131">
        <v>0</v>
      </c>
      <c r="D17" s="132">
        <f>'Data Ocupacion'!F37</f>
        <v>1</v>
      </c>
      <c r="E17" s="132">
        <f>'Data Ocupacion'!G37</f>
        <v>0</v>
      </c>
      <c r="F17" s="131" t="s">
        <v>35</v>
      </c>
      <c r="G17" s="131">
        <f t="shared" si="6"/>
        <v>1</v>
      </c>
      <c r="H17" s="131">
        <f t="shared" si="7"/>
        <v>1</v>
      </c>
      <c r="I17" s="131">
        <f>G17*J$1</f>
        <v>25.4</v>
      </c>
      <c r="J17" s="160">
        <f>H17*J$1</f>
        <v>25.4</v>
      </c>
      <c r="K17" s="131">
        <f t="shared" si="8"/>
        <v>2641.6</v>
      </c>
      <c r="L17" s="131">
        <f t="shared" si="9"/>
        <v>104</v>
      </c>
      <c r="M17" s="19"/>
      <c r="N17" s="19"/>
      <c r="O17" s="153"/>
      <c r="P17" s="201"/>
      <c r="Q17" s="201"/>
      <c r="R17" s="201"/>
      <c r="S17" s="201"/>
      <c r="T17" s="201"/>
      <c r="U17" s="201"/>
      <c r="V17" s="192">
        <f>I17</f>
        <v>25.4</v>
      </c>
    </row>
    <row r="18" spans="1:23" ht="15.75" thickBot="1" x14ac:dyDescent="0.3">
      <c r="A18" s="20"/>
      <c r="B18" s="235">
        <f>SUM(B12:B17)</f>
        <v>78</v>
      </c>
      <c r="C18" s="235">
        <f>SUM(C12:C17)</f>
        <v>106</v>
      </c>
      <c r="D18" s="159">
        <f>SUM(D12:D17)</f>
        <v>72</v>
      </c>
      <c r="E18" s="159">
        <f>SUM(E12:E17)</f>
        <v>112</v>
      </c>
      <c r="F18" s="124"/>
      <c r="G18" s="124">
        <f t="shared" ref="G18:L18" si="11">SUM(G12:G17)</f>
        <v>296</v>
      </c>
      <c r="H18" s="124">
        <f t="shared" si="11"/>
        <v>184</v>
      </c>
      <c r="I18" s="124">
        <f t="shared" si="11"/>
        <v>12734.730000000001</v>
      </c>
      <c r="J18" s="124">
        <f t="shared" si="11"/>
        <v>7904.1699999999992</v>
      </c>
      <c r="K18" s="123">
        <f t="shared" si="11"/>
        <v>1324411.92</v>
      </c>
      <c r="L18" s="158">
        <f t="shared" si="11"/>
        <v>19136</v>
      </c>
      <c r="M18" s="129">
        <f>'Odometro-Kilometraje'!C81</f>
        <v>13031</v>
      </c>
      <c r="N18" s="21">
        <f>(V18/M18)*100</f>
        <v>97.046120788888032</v>
      </c>
      <c r="O18" s="204"/>
      <c r="P18" s="191"/>
      <c r="Q18" s="191"/>
      <c r="R18" s="191"/>
      <c r="S18" s="191"/>
      <c r="T18" s="191"/>
      <c r="U18" s="191"/>
      <c r="V18" s="205">
        <f>SUM(V12:V17)</f>
        <v>12646.08</v>
      </c>
    </row>
    <row r="19" spans="1:23" x14ac:dyDescent="0.25">
      <c r="A19" s="62">
        <f>A12+1</f>
        <v>45385</v>
      </c>
      <c r="B19" s="131">
        <v>39</v>
      </c>
      <c r="C19" s="131">
        <v>53</v>
      </c>
      <c r="D19" s="132">
        <f>'Data Ocupacion'!H32</f>
        <v>39</v>
      </c>
      <c r="E19" s="132">
        <f>'Data Ocupacion'!I32</f>
        <v>52</v>
      </c>
      <c r="F19" s="131" t="s">
        <v>38</v>
      </c>
      <c r="G19" s="131">
        <f t="shared" ref="G19:G24" si="12">D19+E19*2</f>
        <v>143</v>
      </c>
      <c r="H19" s="131">
        <f t="shared" ref="H19:H24" si="13">D19+E19</f>
        <v>91</v>
      </c>
      <c r="I19" s="131">
        <f>G19*L$2</f>
        <v>6167.59</v>
      </c>
      <c r="J19" s="160">
        <f>H19*L$2</f>
        <v>3924.8300000000004</v>
      </c>
      <c r="K19" s="131">
        <f t="shared" ref="K19:K24" si="14">I19*104</f>
        <v>641429.36</v>
      </c>
      <c r="L19" s="131">
        <f t="shared" ref="L19:L24" si="15">H19*104</f>
        <v>9464</v>
      </c>
      <c r="M19" s="19"/>
      <c r="N19" s="19"/>
      <c r="O19" s="153"/>
      <c r="P19" s="193">
        <v>6</v>
      </c>
      <c r="Q19" s="193"/>
      <c r="R19" s="221"/>
      <c r="S19" s="202"/>
      <c r="T19" s="203"/>
      <c r="U19" s="251"/>
      <c r="V19" s="192">
        <f>I19-(P19*($L$2-$J$1)+(Q19*($L$2-$L$1))+  (R19*($L$2-$H$2)))</f>
        <v>6061.21</v>
      </c>
    </row>
    <row r="20" spans="1:23" ht="15.75" customHeight="1" x14ac:dyDescent="0.25">
      <c r="A20" s="214"/>
      <c r="B20" s="131">
        <v>37</v>
      </c>
      <c r="C20" s="131">
        <v>53</v>
      </c>
      <c r="D20" s="306">
        <f>'Data Ocupacion'!H33</f>
        <v>38</v>
      </c>
      <c r="E20" s="306">
        <f>'Data Ocupacion'!I33</f>
        <v>52</v>
      </c>
      <c r="F20" s="131" t="s">
        <v>52</v>
      </c>
      <c r="G20" s="131">
        <f t="shared" si="12"/>
        <v>142</v>
      </c>
      <c r="H20" s="131">
        <f t="shared" si="13"/>
        <v>90</v>
      </c>
      <c r="I20" s="131">
        <f>G20*L$2</f>
        <v>6124.46</v>
      </c>
      <c r="J20" s="160">
        <f>H20*L$2</f>
        <v>3881.7000000000003</v>
      </c>
      <c r="K20" s="131">
        <f t="shared" si="14"/>
        <v>636943.84</v>
      </c>
      <c r="L20" s="131">
        <f t="shared" si="15"/>
        <v>9360</v>
      </c>
      <c r="M20" s="19"/>
      <c r="N20" s="19"/>
      <c r="O20" s="153"/>
      <c r="P20" s="198"/>
      <c r="Q20" s="198"/>
      <c r="R20" s="198"/>
      <c r="S20" s="193"/>
      <c r="T20" s="195"/>
      <c r="U20" s="252"/>
      <c r="V20" s="196">
        <f>I20-(S20*($L$2-$J$1)+(T20*($L$2-$L$1)))</f>
        <v>6124.46</v>
      </c>
    </row>
    <row r="21" spans="1:23" ht="15" customHeight="1" x14ac:dyDescent="0.25">
      <c r="A21" s="214"/>
      <c r="B21" s="131">
        <v>0</v>
      </c>
      <c r="C21" s="131">
        <v>0</v>
      </c>
      <c r="D21" s="132">
        <f>'Data Ocupacion'!H34</f>
        <v>0</v>
      </c>
      <c r="E21" s="132">
        <f>'Data Ocupacion'!I34</f>
        <v>0</v>
      </c>
      <c r="F21" s="131" t="s">
        <v>36</v>
      </c>
      <c r="G21" s="131">
        <f t="shared" si="12"/>
        <v>0</v>
      </c>
      <c r="H21" s="131">
        <f t="shared" si="13"/>
        <v>0</v>
      </c>
      <c r="I21" s="131">
        <f>G21*L$1</f>
        <v>0</v>
      </c>
      <c r="J21" s="160">
        <f>H21*L$1</f>
        <v>0</v>
      </c>
      <c r="K21" s="131">
        <f t="shared" si="14"/>
        <v>0</v>
      </c>
      <c r="L21" s="131">
        <f t="shared" si="15"/>
        <v>0</v>
      </c>
      <c r="M21" s="19"/>
      <c r="N21" s="19"/>
      <c r="O21" s="153"/>
      <c r="P21" s="197"/>
      <c r="Q21" s="199"/>
      <c r="R21" s="222"/>
      <c r="S21" s="200"/>
      <c r="T21" s="201"/>
      <c r="U21" s="201"/>
      <c r="V21" s="192">
        <f>I21-(P21*($L$1-$J$1))</f>
        <v>0</v>
      </c>
    </row>
    <row r="22" spans="1:23" ht="15" customHeight="1" x14ac:dyDescent="0.25">
      <c r="A22" s="214"/>
      <c r="B22" s="131">
        <v>1</v>
      </c>
      <c r="C22" s="131">
        <v>0</v>
      </c>
      <c r="D22" s="132">
        <f>'Data Ocupacion'!H35</f>
        <v>1</v>
      </c>
      <c r="E22" s="132">
        <f>'Data Ocupacion'!I35</f>
        <v>0</v>
      </c>
      <c r="F22" s="131" t="s">
        <v>53</v>
      </c>
      <c r="G22" s="131">
        <f t="shared" si="12"/>
        <v>1</v>
      </c>
      <c r="H22" s="131">
        <f t="shared" si="13"/>
        <v>1</v>
      </c>
      <c r="I22" s="131">
        <f>G22*L$1</f>
        <v>29.11</v>
      </c>
      <c r="J22" s="160">
        <f>H22*L$1</f>
        <v>29.11</v>
      </c>
      <c r="K22" s="131">
        <f t="shared" si="14"/>
        <v>3027.44</v>
      </c>
      <c r="L22" s="131">
        <f t="shared" si="15"/>
        <v>104</v>
      </c>
      <c r="M22" s="19"/>
      <c r="N22" s="19"/>
      <c r="O22" s="153"/>
      <c r="P22" s="201"/>
      <c r="Q22" s="201"/>
      <c r="R22" s="201"/>
      <c r="S22" s="201"/>
      <c r="T22" s="201"/>
      <c r="U22" s="201"/>
      <c r="V22" s="192">
        <f t="shared" ref="V22:V23" si="16">I22</f>
        <v>29.11</v>
      </c>
    </row>
    <row r="23" spans="1:23" s="130" customFormat="1" ht="15" customHeight="1" x14ac:dyDescent="0.25">
      <c r="A23" s="214"/>
      <c r="B23" s="131">
        <v>0</v>
      </c>
      <c r="C23" s="131">
        <v>0</v>
      </c>
      <c r="D23" s="132">
        <f>'Data Ocupacion'!H36</f>
        <v>0</v>
      </c>
      <c r="E23" s="132">
        <f>'Data Ocupacion'!I36</f>
        <v>0</v>
      </c>
      <c r="F23" s="131" t="s">
        <v>122</v>
      </c>
      <c r="G23" s="131">
        <f t="shared" si="12"/>
        <v>0</v>
      </c>
      <c r="H23" s="131">
        <f t="shared" si="13"/>
        <v>0</v>
      </c>
      <c r="I23" s="131">
        <f>G23*J$1</f>
        <v>0</v>
      </c>
      <c r="J23" s="160">
        <f>H23*J$1</f>
        <v>0</v>
      </c>
      <c r="K23" s="131">
        <f t="shared" si="14"/>
        <v>0</v>
      </c>
      <c r="L23" s="131">
        <f t="shared" si="15"/>
        <v>0</v>
      </c>
      <c r="M23" s="19"/>
      <c r="N23" s="19"/>
      <c r="O23" s="153"/>
      <c r="P23" s="201"/>
      <c r="Q23" s="201"/>
      <c r="R23" s="201"/>
      <c r="S23" s="201"/>
      <c r="T23" s="201"/>
      <c r="U23" s="201"/>
      <c r="V23" s="192">
        <f t="shared" si="16"/>
        <v>0</v>
      </c>
    </row>
    <row r="24" spans="1:23" ht="13.5" customHeight="1" thickBot="1" x14ac:dyDescent="0.3">
      <c r="A24" s="214"/>
      <c r="B24" s="131">
        <v>1</v>
      </c>
      <c r="C24" s="131">
        <v>0</v>
      </c>
      <c r="D24" s="132">
        <f>'Data Ocupacion'!H37</f>
        <v>1</v>
      </c>
      <c r="E24" s="132">
        <f>'Data Ocupacion'!I37</f>
        <v>0</v>
      </c>
      <c r="F24" s="131" t="s">
        <v>35</v>
      </c>
      <c r="G24" s="131">
        <f t="shared" si="12"/>
        <v>1</v>
      </c>
      <c r="H24" s="131">
        <f t="shared" si="13"/>
        <v>1</v>
      </c>
      <c r="I24" s="131">
        <f>G24*J$1</f>
        <v>25.4</v>
      </c>
      <c r="J24" s="160">
        <f>H24*J$1</f>
        <v>25.4</v>
      </c>
      <c r="K24" s="131">
        <f t="shared" si="14"/>
        <v>2641.6</v>
      </c>
      <c r="L24" s="131">
        <f t="shared" si="15"/>
        <v>104</v>
      </c>
      <c r="M24" s="19"/>
      <c r="N24" s="19"/>
      <c r="O24" s="153"/>
      <c r="P24" s="201"/>
      <c r="Q24" s="201"/>
      <c r="R24" s="201"/>
      <c r="S24" s="201"/>
      <c r="T24" s="201"/>
      <c r="U24" s="201"/>
      <c r="V24" s="192">
        <f>I24</f>
        <v>25.4</v>
      </c>
    </row>
    <row r="25" spans="1:23" ht="15.75" customHeight="1" thickBot="1" x14ac:dyDescent="0.3">
      <c r="A25" s="20"/>
      <c r="B25" s="235">
        <f>SUM(B19:B24)</f>
        <v>78</v>
      </c>
      <c r="C25" s="235">
        <f>SUM(C19:C24)</f>
        <v>106</v>
      </c>
      <c r="D25" s="159">
        <f>SUM(D19:D24)</f>
        <v>79</v>
      </c>
      <c r="E25" s="159">
        <f>SUM(E19:E24)</f>
        <v>104</v>
      </c>
      <c r="F25" s="124"/>
      <c r="G25" s="124">
        <f t="shared" ref="G25:L25" si="17">SUM(G19:G24)</f>
        <v>287</v>
      </c>
      <c r="H25" s="124">
        <f t="shared" si="17"/>
        <v>183</v>
      </c>
      <c r="I25" s="125">
        <f t="shared" si="17"/>
        <v>12346.56</v>
      </c>
      <c r="J25" s="124">
        <f t="shared" si="17"/>
        <v>7861.04</v>
      </c>
      <c r="K25" s="123">
        <f t="shared" si="17"/>
        <v>1284042.24</v>
      </c>
      <c r="L25" s="158">
        <f t="shared" si="17"/>
        <v>19032</v>
      </c>
      <c r="M25" s="190">
        <f>'Odometro-Kilometraje'!D81</f>
        <v>12936</v>
      </c>
      <c r="N25" s="21">
        <f>(V25/M25)*100</f>
        <v>94.621057513914664</v>
      </c>
      <c r="O25" s="204"/>
      <c r="P25" s="191"/>
      <c r="Q25" s="191"/>
      <c r="R25" s="191"/>
      <c r="S25" s="191"/>
      <c r="T25" s="191"/>
      <c r="U25" s="191"/>
      <c r="V25" s="205">
        <f>SUM(V19:V24)</f>
        <v>12240.18</v>
      </c>
    </row>
    <row r="26" spans="1:23" x14ac:dyDescent="0.25">
      <c r="A26" s="62">
        <f>A19+1</f>
        <v>45386</v>
      </c>
      <c r="B26" s="131">
        <v>39</v>
      </c>
      <c r="C26" s="131">
        <v>53</v>
      </c>
      <c r="D26" s="132">
        <f>'Data Ocupacion'!J32</f>
        <v>36</v>
      </c>
      <c r="E26" s="132">
        <f>'Data Ocupacion'!K32</f>
        <v>56</v>
      </c>
      <c r="F26" s="131" t="s">
        <v>38</v>
      </c>
      <c r="G26" s="131">
        <f t="shared" ref="G26:G31" si="18">D26+E26*2</f>
        <v>148</v>
      </c>
      <c r="H26" s="131">
        <f t="shared" ref="H26:H31" si="19">D26+E26</f>
        <v>92</v>
      </c>
      <c r="I26" s="131">
        <f>G26*L$2</f>
        <v>6383.2400000000007</v>
      </c>
      <c r="J26" s="160">
        <f>H26*L$2</f>
        <v>3967.96</v>
      </c>
      <c r="K26" s="131">
        <f t="shared" ref="K26:K31" si="20">I26*104</f>
        <v>663856.96000000008</v>
      </c>
      <c r="L26" s="131">
        <f t="shared" ref="L26:L31" si="21">H26*104</f>
        <v>9568</v>
      </c>
      <c r="M26" s="19"/>
      <c r="N26" s="19"/>
      <c r="O26" s="153"/>
      <c r="P26" s="193">
        <v>5</v>
      </c>
      <c r="Q26" s="193"/>
      <c r="R26" s="221"/>
      <c r="S26" s="202"/>
      <c r="T26" s="203"/>
      <c r="U26" s="251"/>
      <c r="V26" s="192">
        <f>I26-(P26*($L$2-$J$1)+(Q26*($L$2-$L$1))+  (R26*($L$2-$H$2)))</f>
        <v>6294.5900000000011</v>
      </c>
    </row>
    <row r="27" spans="1:23" ht="17.25" customHeight="1" x14ac:dyDescent="0.25">
      <c r="A27" s="214"/>
      <c r="B27" s="131">
        <v>37</v>
      </c>
      <c r="C27" s="131">
        <v>53</v>
      </c>
      <c r="D27" s="132">
        <f>'Data Ocupacion'!J33</f>
        <v>37</v>
      </c>
      <c r="E27" s="132">
        <f>'Data Ocupacion'!K33</f>
        <v>53</v>
      </c>
      <c r="F27" s="131" t="s">
        <v>52</v>
      </c>
      <c r="G27" s="131">
        <f t="shared" si="18"/>
        <v>143</v>
      </c>
      <c r="H27" s="131">
        <f t="shared" si="19"/>
        <v>90</v>
      </c>
      <c r="I27" s="131">
        <f>G27*L$2</f>
        <v>6167.59</v>
      </c>
      <c r="J27" s="160">
        <f>H27*L$2</f>
        <v>3881.7000000000003</v>
      </c>
      <c r="K27" s="131">
        <f t="shared" si="20"/>
        <v>641429.36</v>
      </c>
      <c r="L27" s="131">
        <f t="shared" si="21"/>
        <v>9360</v>
      </c>
      <c r="M27" s="19"/>
      <c r="N27" s="19"/>
      <c r="O27" s="153"/>
      <c r="P27" s="198"/>
      <c r="Q27" s="198"/>
      <c r="R27" s="198"/>
      <c r="S27" s="193"/>
      <c r="T27" s="219"/>
      <c r="U27" s="252"/>
      <c r="V27" s="196">
        <f>I27-(S27*($L$2-$J$1)+(T27*($L$2-$L$1))+(U27*($L$2-$H$2)))</f>
        <v>6167.59</v>
      </c>
    </row>
    <row r="28" spans="1:23" ht="15" customHeight="1" x14ac:dyDescent="0.25">
      <c r="A28" s="214"/>
      <c r="B28" s="131">
        <v>0</v>
      </c>
      <c r="C28" s="131">
        <v>0</v>
      </c>
      <c r="D28" s="132">
        <f>'Data Ocupacion'!J34</f>
        <v>0</v>
      </c>
      <c r="E28" s="132">
        <f>'Data Ocupacion'!K34</f>
        <v>0</v>
      </c>
      <c r="F28" s="131" t="s">
        <v>36</v>
      </c>
      <c r="G28" s="131">
        <f t="shared" si="18"/>
        <v>0</v>
      </c>
      <c r="H28" s="131">
        <f t="shared" si="19"/>
        <v>0</v>
      </c>
      <c r="I28" s="131">
        <f>G28*L$1</f>
        <v>0</v>
      </c>
      <c r="J28" s="160">
        <f>H28*L$1</f>
        <v>0</v>
      </c>
      <c r="K28" s="131">
        <f t="shared" si="20"/>
        <v>0</v>
      </c>
      <c r="L28" s="131">
        <f t="shared" si="21"/>
        <v>0</v>
      </c>
      <c r="M28" s="19"/>
      <c r="N28" s="19"/>
      <c r="O28" s="153"/>
      <c r="P28" s="197"/>
      <c r="Q28" s="199"/>
      <c r="R28" s="222"/>
      <c r="S28" s="200"/>
      <c r="T28" s="201"/>
      <c r="U28" s="201"/>
      <c r="V28" s="192">
        <f>I28-(P28*($L$1-$J$1))</f>
        <v>0</v>
      </c>
    </row>
    <row r="29" spans="1:23" ht="15" customHeight="1" x14ac:dyDescent="0.25">
      <c r="A29" s="214"/>
      <c r="B29" s="131">
        <v>1</v>
      </c>
      <c r="C29" s="131">
        <v>0</v>
      </c>
      <c r="D29" s="132">
        <f>'Data Ocupacion'!J35</f>
        <v>1</v>
      </c>
      <c r="E29" s="132">
        <f>'Data Ocupacion'!K35</f>
        <v>0</v>
      </c>
      <c r="F29" s="131" t="s">
        <v>53</v>
      </c>
      <c r="G29" s="131">
        <f t="shared" si="18"/>
        <v>1</v>
      </c>
      <c r="H29" s="131">
        <f t="shared" si="19"/>
        <v>1</v>
      </c>
      <c r="I29" s="131">
        <f>G29*L$1</f>
        <v>29.11</v>
      </c>
      <c r="J29" s="160">
        <f>H29*L$1</f>
        <v>29.11</v>
      </c>
      <c r="K29" s="131">
        <f t="shared" si="20"/>
        <v>3027.44</v>
      </c>
      <c r="L29" s="131">
        <f t="shared" si="21"/>
        <v>104</v>
      </c>
      <c r="M29" s="19"/>
      <c r="N29" s="19"/>
      <c r="O29" s="153"/>
      <c r="P29" s="201"/>
      <c r="Q29" s="201"/>
      <c r="R29" s="201"/>
      <c r="S29" s="201"/>
      <c r="T29" s="201"/>
      <c r="U29" s="201"/>
      <c r="V29" s="192">
        <f t="shared" ref="V29:V30" si="22">I29</f>
        <v>29.11</v>
      </c>
    </row>
    <row r="30" spans="1:23" s="130" customFormat="1" ht="15" customHeight="1" x14ac:dyDescent="0.25">
      <c r="A30" s="214"/>
      <c r="B30" s="131">
        <v>0</v>
      </c>
      <c r="C30" s="131">
        <v>0</v>
      </c>
      <c r="D30" s="132">
        <f>'Data Ocupacion'!J36</f>
        <v>0</v>
      </c>
      <c r="E30" s="132">
        <f>'Data Ocupacion'!K36</f>
        <v>0</v>
      </c>
      <c r="F30" s="131" t="s">
        <v>122</v>
      </c>
      <c r="G30" s="131">
        <f t="shared" si="18"/>
        <v>0</v>
      </c>
      <c r="H30" s="131">
        <f t="shared" si="19"/>
        <v>0</v>
      </c>
      <c r="I30" s="131">
        <f>G30*J$1</f>
        <v>0</v>
      </c>
      <c r="J30" s="160">
        <f>H30*J$1</f>
        <v>0</v>
      </c>
      <c r="K30" s="131">
        <f t="shared" si="20"/>
        <v>0</v>
      </c>
      <c r="L30" s="131">
        <f t="shared" si="21"/>
        <v>0</v>
      </c>
      <c r="M30" s="19"/>
      <c r="O30" s="153"/>
      <c r="P30" s="201"/>
      <c r="Q30" s="201"/>
      <c r="R30" s="201"/>
      <c r="S30" s="201"/>
      <c r="T30" s="201"/>
      <c r="U30" s="201"/>
      <c r="V30" s="192">
        <f t="shared" si="22"/>
        <v>0</v>
      </c>
    </row>
    <row r="31" spans="1:23" ht="15.75" customHeight="1" thickBot="1" x14ac:dyDescent="0.3">
      <c r="A31" s="214"/>
      <c r="B31" s="131">
        <v>1</v>
      </c>
      <c r="C31" s="131">
        <v>0</v>
      </c>
      <c r="D31" s="132">
        <f>'Data Ocupacion'!J37</f>
        <v>1</v>
      </c>
      <c r="E31" s="132">
        <f>'Data Ocupacion'!K37</f>
        <v>0</v>
      </c>
      <c r="F31" s="131" t="s">
        <v>35</v>
      </c>
      <c r="G31" s="131">
        <f t="shared" si="18"/>
        <v>1</v>
      </c>
      <c r="H31" s="131">
        <f t="shared" si="19"/>
        <v>1</v>
      </c>
      <c r="I31" s="131">
        <f>G31*J$1</f>
        <v>25.4</v>
      </c>
      <c r="J31" s="160">
        <f>H31*J$1</f>
        <v>25.4</v>
      </c>
      <c r="K31" s="131">
        <f t="shared" si="20"/>
        <v>2641.6</v>
      </c>
      <c r="L31" s="131">
        <f t="shared" si="21"/>
        <v>104</v>
      </c>
      <c r="M31" s="19"/>
      <c r="O31" s="153"/>
      <c r="P31" s="201"/>
      <c r="Q31" s="201"/>
      <c r="R31" s="201"/>
      <c r="S31" s="201"/>
      <c r="T31" s="201"/>
      <c r="U31" s="201"/>
      <c r="V31" s="192">
        <f>I31</f>
        <v>25.4</v>
      </c>
    </row>
    <row r="32" spans="1:23" ht="15.75" thickBot="1" x14ac:dyDescent="0.3">
      <c r="A32" s="20"/>
      <c r="B32" s="235">
        <f>SUM(B26:B31)</f>
        <v>78</v>
      </c>
      <c r="C32" s="235">
        <f>SUM(C26:C31)</f>
        <v>106</v>
      </c>
      <c r="D32" s="159">
        <f>SUM(D26:D31)</f>
        <v>75</v>
      </c>
      <c r="E32" s="159">
        <f>SUM(E26:E31)</f>
        <v>109</v>
      </c>
      <c r="F32" s="124"/>
      <c r="G32" s="124">
        <f t="shared" ref="G32:L32" si="23">SUM(G26:G31)</f>
        <v>293</v>
      </c>
      <c r="H32" s="124">
        <f t="shared" si="23"/>
        <v>184</v>
      </c>
      <c r="I32" s="125">
        <f t="shared" si="23"/>
        <v>12605.340000000002</v>
      </c>
      <c r="J32" s="124">
        <f t="shared" si="23"/>
        <v>7904.1699999999992</v>
      </c>
      <c r="K32" s="123">
        <f t="shared" si="23"/>
        <v>1310955.3600000001</v>
      </c>
      <c r="L32" s="158">
        <f t="shared" si="23"/>
        <v>19136</v>
      </c>
      <c r="M32" s="129">
        <f>'Odometro-Kilometraje'!E81</f>
        <v>12983</v>
      </c>
      <c r="N32" s="21">
        <f>(V32/M32)*100</f>
        <v>96.408303165678205</v>
      </c>
      <c r="O32" s="204"/>
      <c r="P32" s="191"/>
      <c r="Q32" s="191"/>
      <c r="R32" s="191"/>
      <c r="S32" s="191"/>
      <c r="T32" s="191"/>
      <c r="U32" s="191"/>
      <c r="V32" s="205">
        <f>SUM(V26:V31)</f>
        <v>12516.69</v>
      </c>
      <c r="W32" s="130"/>
    </row>
    <row r="33" spans="1:31" x14ac:dyDescent="0.25">
      <c r="A33" s="62">
        <f>A26+1</f>
        <v>45387</v>
      </c>
      <c r="B33" s="131">
        <v>39</v>
      </c>
      <c r="C33" s="131">
        <v>53</v>
      </c>
      <c r="D33" s="132">
        <f>'Data Ocupacion'!L32</f>
        <v>36</v>
      </c>
      <c r="E33" s="132">
        <f>'Data Ocupacion'!M32</f>
        <v>55</v>
      </c>
      <c r="F33" s="131" t="s">
        <v>38</v>
      </c>
      <c r="G33" s="131">
        <f t="shared" ref="G33:G38" si="24">D33+E33*2</f>
        <v>146</v>
      </c>
      <c r="H33" s="131">
        <f t="shared" ref="H33:H38" si="25">D33+E33</f>
        <v>91</v>
      </c>
      <c r="I33" s="131">
        <f>G33*L$2</f>
        <v>6296.9800000000005</v>
      </c>
      <c r="J33" s="160">
        <f>H33*L$2</f>
        <v>3924.8300000000004</v>
      </c>
      <c r="K33" s="131">
        <f t="shared" ref="K33:K38" si="26">I33*104</f>
        <v>654885.92000000004</v>
      </c>
      <c r="L33" s="131">
        <f t="shared" ref="L33:L38" si="27">H33*104</f>
        <v>9464</v>
      </c>
      <c r="M33" s="19"/>
      <c r="N33" s="19"/>
      <c r="O33" s="153"/>
      <c r="P33" s="193">
        <v>5</v>
      </c>
      <c r="Q33" s="198"/>
      <c r="R33" s="198"/>
      <c r="S33" s="266"/>
      <c r="T33" s="203"/>
      <c r="U33" s="251"/>
      <c r="V33" s="196">
        <f>I33-((P33*($L$2-$J$1)))-(S33*($J$1))</f>
        <v>6208.3300000000008</v>
      </c>
    </row>
    <row r="34" spans="1:31" ht="15" customHeight="1" x14ac:dyDescent="0.25">
      <c r="A34" s="214"/>
      <c r="B34" s="131">
        <v>37</v>
      </c>
      <c r="C34" s="131">
        <v>53</v>
      </c>
      <c r="D34" s="132">
        <f>'Data Ocupacion'!L33</f>
        <v>37</v>
      </c>
      <c r="E34" s="132">
        <f>'Data Ocupacion'!M33</f>
        <v>53</v>
      </c>
      <c r="F34" s="131" t="s">
        <v>52</v>
      </c>
      <c r="G34" s="131">
        <f t="shared" si="24"/>
        <v>143</v>
      </c>
      <c r="H34" s="131">
        <f t="shared" si="25"/>
        <v>90</v>
      </c>
      <c r="I34" s="131">
        <f>G34*L$2</f>
        <v>6167.59</v>
      </c>
      <c r="J34" s="160">
        <f>H34*L$2</f>
        <v>3881.7000000000003</v>
      </c>
      <c r="K34" s="131">
        <f t="shared" si="26"/>
        <v>641429.36</v>
      </c>
      <c r="L34" s="131">
        <f t="shared" si="27"/>
        <v>9360</v>
      </c>
      <c r="M34" s="19"/>
      <c r="N34" s="19"/>
      <c r="O34" s="153"/>
      <c r="P34" s="198"/>
      <c r="Q34" s="198"/>
      <c r="R34" s="198"/>
      <c r="S34" s="266"/>
      <c r="T34" s="234"/>
      <c r="U34" s="198"/>
      <c r="V34" s="196">
        <f>I34-(S34*($L$2-$J$1)+(T34*($L$2-$L$1)))</f>
        <v>6167.59</v>
      </c>
    </row>
    <row r="35" spans="1:31" ht="15" customHeight="1" x14ac:dyDescent="0.25">
      <c r="A35" s="214"/>
      <c r="B35" s="131">
        <v>0</v>
      </c>
      <c r="C35" s="131">
        <v>0</v>
      </c>
      <c r="D35" s="132">
        <f>'Data Ocupacion'!L34</f>
        <v>0</v>
      </c>
      <c r="E35" s="132">
        <f>'Data Ocupacion'!M34</f>
        <v>0</v>
      </c>
      <c r="F35" s="131" t="s">
        <v>36</v>
      </c>
      <c r="G35" s="131">
        <f t="shared" si="24"/>
        <v>0</v>
      </c>
      <c r="H35" s="131">
        <f t="shared" si="25"/>
        <v>0</v>
      </c>
      <c r="I35" s="131">
        <f>G35*L$1</f>
        <v>0</v>
      </c>
      <c r="J35" s="160">
        <f>H35*L$1</f>
        <v>0</v>
      </c>
      <c r="K35" s="131">
        <f t="shared" si="26"/>
        <v>0</v>
      </c>
      <c r="L35" s="131">
        <f t="shared" si="27"/>
        <v>0</v>
      </c>
      <c r="M35" s="19"/>
      <c r="N35" s="19"/>
      <c r="O35" s="153"/>
      <c r="P35" s="198"/>
      <c r="Q35" s="267"/>
      <c r="R35" s="222"/>
      <c r="S35" s="200"/>
      <c r="T35" s="201"/>
      <c r="U35" s="201"/>
      <c r="V35" s="192">
        <f>I35-(P35*($L$1-$J$1))</f>
        <v>0</v>
      </c>
    </row>
    <row r="36" spans="1:31" ht="15" customHeight="1" x14ac:dyDescent="0.25">
      <c r="A36" s="214"/>
      <c r="B36" s="131">
        <v>1</v>
      </c>
      <c r="C36" s="131">
        <v>0</v>
      </c>
      <c r="D36" s="132">
        <f>'Data Ocupacion'!L35</f>
        <v>1</v>
      </c>
      <c r="E36" s="132">
        <f>'Data Ocupacion'!M35</f>
        <v>0</v>
      </c>
      <c r="F36" s="131" t="s">
        <v>53</v>
      </c>
      <c r="G36" s="131">
        <f t="shared" si="24"/>
        <v>1</v>
      </c>
      <c r="H36" s="131">
        <f t="shared" si="25"/>
        <v>1</v>
      </c>
      <c r="I36" s="131">
        <f>G36*L$1</f>
        <v>29.11</v>
      </c>
      <c r="J36" s="160">
        <f>H36*L$1</f>
        <v>29.11</v>
      </c>
      <c r="K36" s="131">
        <f t="shared" si="26"/>
        <v>3027.44</v>
      </c>
      <c r="L36" s="131">
        <f t="shared" si="27"/>
        <v>104</v>
      </c>
      <c r="M36" s="19"/>
      <c r="N36" s="19"/>
      <c r="O36" s="153"/>
      <c r="P36" s="201"/>
      <c r="Q36" s="201"/>
      <c r="R36" s="201"/>
      <c r="S36" s="201"/>
      <c r="T36" s="201"/>
      <c r="U36" s="201"/>
      <c r="V36" s="192">
        <f t="shared" ref="V36:V37" si="28">I36</f>
        <v>29.11</v>
      </c>
    </row>
    <row r="37" spans="1:31" s="130" customFormat="1" ht="15" customHeight="1" x14ac:dyDescent="0.25">
      <c r="A37" s="214"/>
      <c r="B37" s="131">
        <v>0</v>
      </c>
      <c r="C37" s="131">
        <v>0</v>
      </c>
      <c r="D37" s="132">
        <f>'Data Ocupacion'!L36</f>
        <v>0</v>
      </c>
      <c r="E37" s="132">
        <f>'Data Ocupacion'!M36</f>
        <v>0</v>
      </c>
      <c r="F37" s="131" t="s">
        <v>122</v>
      </c>
      <c r="G37" s="131">
        <f t="shared" si="24"/>
        <v>0</v>
      </c>
      <c r="H37" s="131">
        <f t="shared" si="25"/>
        <v>0</v>
      </c>
      <c r="I37" s="131">
        <f>G37*J$1</f>
        <v>0</v>
      </c>
      <c r="J37" s="160">
        <f>H37*J$1</f>
        <v>0</v>
      </c>
      <c r="K37" s="131">
        <f t="shared" si="26"/>
        <v>0</v>
      </c>
      <c r="L37" s="131">
        <f t="shared" si="27"/>
        <v>0</v>
      </c>
      <c r="M37" s="19"/>
      <c r="N37" s="19"/>
      <c r="O37" s="153"/>
      <c r="P37" s="201"/>
      <c r="Q37" s="201"/>
      <c r="R37" s="201"/>
      <c r="S37" s="201"/>
      <c r="T37" s="201"/>
      <c r="U37" s="201"/>
      <c r="V37" s="192">
        <f t="shared" si="28"/>
        <v>0</v>
      </c>
    </row>
    <row r="38" spans="1:31" ht="15.75" customHeight="1" thickBot="1" x14ac:dyDescent="0.3">
      <c r="A38" s="214"/>
      <c r="B38" s="131">
        <v>1</v>
      </c>
      <c r="C38" s="131">
        <v>0</v>
      </c>
      <c r="D38" s="132">
        <f>'Data Ocupacion'!L37</f>
        <v>1</v>
      </c>
      <c r="E38" s="132">
        <f>'Data Ocupacion'!M37</f>
        <v>0</v>
      </c>
      <c r="F38" s="131" t="s">
        <v>35</v>
      </c>
      <c r="G38" s="131">
        <f t="shared" si="24"/>
        <v>1</v>
      </c>
      <c r="H38" s="131">
        <f t="shared" si="25"/>
        <v>1</v>
      </c>
      <c r="I38" s="131">
        <f>G38*J$1</f>
        <v>25.4</v>
      </c>
      <c r="J38" s="160">
        <f>H38*J$1</f>
        <v>25.4</v>
      </c>
      <c r="K38" s="131">
        <f t="shared" si="26"/>
        <v>2641.6</v>
      </c>
      <c r="L38" s="131">
        <f t="shared" si="27"/>
        <v>104</v>
      </c>
      <c r="M38" s="19"/>
      <c r="N38" s="19"/>
      <c r="O38" s="153"/>
      <c r="P38" s="201"/>
      <c r="Q38" s="201"/>
      <c r="R38" s="201"/>
      <c r="S38" s="201"/>
      <c r="T38" s="201"/>
      <c r="U38" s="201"/>
      <c r="V38" s="192">
        <f>I38</f>
        <v>25.4</v>
      </c>
    </row>
    <row r="39" spans="1:31" ht="15.75" thickBot="1" x14ac:dyDescent="0.3">
      <c r="A39" s="20"/>
      <c r="B39" s="235">
        <f>SUM(B33:B38)</f>
        <v>78</v>
      </c>
      <c r="C39" s="235">
        <f>SUM(C33:C38)</f>
        <v>106</v>
      </c>
      <c r="D39" s="159">
        <f>SUM(D33:D38)</f>
        <v>75</v>
      </c>
      <c r="E39" s="159">
        <f>SUM(E33:E38)</f>
        <v>108</v>
      </c>
      <c r="F39" s="124"/>
      <c r="G39" s="124">
        <f t="shared" ref="G39:L39" si="29">SUM(G33:G38)</f>
        <v>291</v>
      </c>
      <c r="H39" s="124">
        <f t="shared" si="29"/>
        <v>183</v>
      </c>
      <c r="I39" s="125">
        <f t="shared" si="29"/>
        <v>12519.08</v>
      </c>
      <c r="J39" s="124">
        <f t="shared" si="29"/>
        <v>7861.04</v>
      </c>
      <c r="K39" s="123">
        <f t="shared" si="29"/>
        <v>1301984.32</v>
      </c>
      <c r="L39" s="158">
        <f t="shared" si="29"/>
        <v>19032</v>
      </c>
      <c r="M39" s="129">
        <f>'Odometro-Kilometraje'!F81</f>
        <v>12895</v>
      </c>
      <c r="N39" s="21">
        <f>(V39/M39)*100</f>
        <v>96.397285769678192</v>
      </c>
      <c r="O39" s="204"/>
      <c r="P39" s="191"/>
      <c r="Q39" s="191"/>
      <c r="R39" s="191"/>
      <c r="S39" s="191"/>
      <c r="T39" s="191"/>
      <c r="U39" s="191"/>
      <c r="V39" s="205">
        <f>SUM(V33:V38)</f>
        <v>12430.430000000002</v>
      </c>
    </row>
    <row r="40" spans="1:31" x14ac:dyDescent="0.25">
      <c r="A40" s="62">
        <f>A33+1</f>
        <v>45388</v>
      </c>
      <c r="B40" s="305">
        <v>67</v>
      </c>
      <c r="C40" s="305">
        <v>3</v>
      </c>
      <c r="D40" s="306">
        <f>'Data Ocupacion'!N32</f>
        <v>67</v>
      </c>
      <c r="E40" s="306">
        <f>'Data Ocupacion'!O32</f>
        <v>3</v>
      </c>
      <c r="F40" s="305" t="s">
        <v>38</v>
      </c>
      <c r="G40" s="300">
        <f t="shared" ref="G40:G45" si="30">D40+E40*2</f>
        <v>73</v>
      </c>
      <c r="H40" s="301">
        <f t="shared" ref="H40:H45" si="31">D40+E40</f>
        <v>70</v>
      </c>
      <c r="I40" s="305">
        <f>G40*L$2</f>
        <v>3148.4900000000002</v>
      </c>
      <c r="J40" s="160">
        <f>H40*L$2</f>
        <v>3019.1000000000004</v>
      </c>
      <c r="K40" s="305">
        <f t="shared" ref="K40:K45" si="32">I40*104</f>
        <v>327442.96000000002</v>
      </c>
      <c r="L40" s="305">
        <f t="shared" ref="L40:L45" si="33">H40*104</f>
        <v>7280</v>
      </c>
      <c r="M40" s="19"/>
      <c r="N40" s="19"/>
      <c r="O40" s="153"/>
      <c r="P40" s="193"/>
      <c r="Q40" s="193"/>
      <c r="R40" s="221"/>
      <c r="S40" s="202"/>
      <c r="T40" s="233"/>
      <c r="U40" s="150"/>
      <c r="V40" s="196">
        <f>I40-((P40*($L$2-$J$1)))-(S40*($J$1))</f>
        <v>3148.4900000000002</v>
      </c>
    </row>
    <row r="41" spans="1:31" ht="15" customHeight="1" x14ac:dyDescent="0.25">
      <c r="A41" s="214"/>
      <c r="B41" s="305">
        <v>73</v>
      </c>
      <c r="C41" s="305">
        <v>0</v>
      </c>
      <c r="D41" s="306">
        <f>'Data Ocupacion'!N33</f>
        <v>73</v>
      </c>
      <c r="E41" s="306">
        <f>'Data Ocupacion'!O33</f>
        <v>0</v>
      </c>
      <c r="F41" s="305" t="s">
        <v>52</v>
      </c>
      <c r="G41" s="300">
        <f t="shared" si="30"/>
        <v>73</v>
      </c>
      <c r="H41" s="305">
        <f t="shared" si="31"/>
        <v>73</v>
      </c>
      <c r="I41" s="305">
        <f>G41*L$2</f>
        <v>3148.4900000000002</v>
      </c>
      <c r="J41" s="160">
        <f>H41*L$2</f>
        <v>3148.4900000000002</v>
      </c>
      <c r="K41" s="305">
        <f t="shared" si="32"/>
        <v>327442.96000000002</v>
      </c>
      <c r="L41" s="305">
        <f t="shared" si="33"/>
        <v>7592</v>
      </c>
      <c r="M41" s="19"/>
      <c r="N41" s="19"/>
      <c r="O41" s="153"/>
      <c r="P41" s="198"/>
      <c r="Q41" s="234"/>
      <c r="R41" s="198"/>
      <c r="S41" s="193"/>
      <c r="T41" s="219"/>
      <c r="U41" s="252"/>
      <c r="V41" s="196">
        <f>I41-(S41*($L$2-$J$1)+(T41*($L$2-$L$1)))</f>
        <v>3148.4900000000002</v>
      </c>
    </row>
    <row r="42" spans="1:31" ht="15" customHeight="1" x14ac:dyDescent="0.25">
      <c r="A42" s="214"/>
      <c r="B42" s="305">
        <v>0</v>
      </c>
      <c r="C42" s="305">
        <v>0</v>
      </c>
      <c r="D42" s="306">
        <f>'Data Ocupacion'!N34</f>
        <v>0</v>
      </c>
      <c r="E42" s="306">
        <f>'Data Ocupacion'!O34</f>
        <v>0</v>
      </c>
      <c r="F42" s="299" t="s">
        <v>36</v>
      </c>
      <c r="G42" s="300">
        <f t="shared" si="30"/>
        <v>0</v>
      </c>
      <c r="H42" s="305">
        <f t="shared" si="31"/>
        <v>0</v>
      </c>
      <c r="I42" s="305">
        <f>G42*L$1</f>
        <v>0</v>
      </c>
      <c r="J42" s="160">
        <f>H42*L$1</f>
        <v>0</v>
      </c>
      <c r="K42" s="305">
        <f t="shared" si="32"/>
        <v>0</v>
      </c>
      <c r="L42" s="305">
        <f t="shared" si="33"/>
        <v>0</v>
      </c>
      <c r="M42" s="19"/>
      <c r="N42" s="19"/>
      <c r="O42" s="153"/>
      <c r="P42" s="197"/>
      <c r="Q42" s="199"/>
      <c r="R42" s="222"/>
      <c r="S42" s="200"/>
      <c r="T42" s="201"/>
      <c r="U42" s="201"/>
      <c r="V42" s="192">
        <f>I42-(P42*($L$1-$J$1))</f>
        <v>0</v>
      </c>
      <c r="Y42" s="293"/>
      <c r="Z42" s="293"/>
      <c r="AA42" s="293"/>
      <c r="AB42" s="293"/>
      <c r="AC42" s="293"/>
      <c r="AD42" s="293"/>
      <c r="AE42" s="293"/>
    </row>
    <row r="43" spans="1:31" x14ac:dyDescent="0.25">
      <c r="A43" s="214"/>
      <c r="B43" s="305">
        <v>0</v>
      </c>
      <c r="C43" s="305">
        <v>0</v>
      </c>
      <c r="D43" s="306">
        <f>'Data Ocupacion'!N35</f>
        <v>0</v>
      </c>
      <c r="E43" s="306">
        <f>'Data Ocupacion'!O35</f>
        <v>0</v>
      </c>
      <c r="F43" s="299" t="s">
        <v>53</v>
      </c>
      <c r="G43" s="300">
        <f t="shared" si="30"/>
        <v>0</v>
      </c>
      <c r="H43" s="305">
        <f t="shared" si="31"/>
        <v>0</v>
      </c>
      <c r="I43" s="305">
        <f>G43*L$1</f>
        <v>0</v>
      </c>
      <c r="J43" s="160">
        <f>H43*L$1</f>
        <v>0</v>
      </c>
      <c r="K43" s="305">
        <f t="shared" si="32"/>
        <v>0</v>
      </c>
      <c r="L43" s="305">
        <f t="shared" si="33"/>
        <v>0</v>
      </c>
      <c r="M43" s="19"/>
      <c r="N43" s="19"/>
      <c r="O43" s="153"/>
      <c r="P43" s="201"/>
      <c r="Q43" s="201"/>
      <c r="R43" s="201"/>
      <c r="S43" s="201"/>
      <c r="T43" s="201"/>
      <c r="U43" s="201"/>
      <c r="V43" s="192">
        <f t="shared" ref="V43:V44" si="34">I43</f>
        <v>0</v>
      </c>
      <c r="Y43" s="293"/>
      <c r="Z43" s="293"/>
      <c r="AA43" s="293"/>
      <c r="AB43" s="293"/>
      <c r="AC43" s="293"/>
      <c r="AD43" s="293"/>
      <c r="AE43" s="293"/>
    </row>
    <row r="44" spans="1:31" s="130" customFormat="1" x14ac:dyDescent="0.25">
      <c r="A44" s="214"/>
      <c r="B44" s="305">
        <v>0</v>
      </c>
      <c r="C44" s="305">
        <v>0</v>
      </c>
      <c r="D44" s="306">
        <f>'Data Ocupacion'!N36</f>
        <v>0</v>
      </c>
      <c r="E44" s="306">
        <f>'Data Ocupacion'!O36</f>
        <v>0</v>
      </c>
      <c r="F44" s="305" t="s">
        <v>122</v>
      </c>
      <c r="G44" s="300">
        <f t="shared" si="30"/>
        <v>0</v>
      </c>
      <c r="H44" s="305">
        <f t="shared" si="31"/>
        <v>0</v>
      </c>
      <c r="I44" s="302">
        <f>G44*J$1</f>
        <v>0</v>
      </c>
      <c r="J44" s="160">
        <f>H44*J$1</f>
        <v>0</v>
      </c>
      <c r="K44" s="305">
        <f t="shared" si="32"/>
        <v>0</v>
      </c>
      <c r="L44" s="305">
        <f t="shared" si="33"/>
        <v>0</v>
      </c>
      <c r="M44" s="19"/>
      <c r="N44" s="19"/>
      <c r="O44" s="153"/>
      <c r="P44" s="201"/>
      <c r="Q44" s="201"/>
      <c r="R44" s="201"/>
      <c r="S44" s="201"/>
      <c r="T44" s="201"/>
      <c r="U44" s="201"/>
      <c r="V44" s="192">
        <f t="shared" si="34"/>
        <v>0</v>
      </c>
      <c r="Y44" s="293"/>
      <c r="Z44" s="293"/>
      <c r="AA44" s="293"/>
      <c r="AB44" s="293"/>
      <c r="AC44" s="293"/>
      <c r="AD44" s="293"/>
      <c r="AE44" s="293"/>
    </row>
    <row r="45" spans="1:31" ht="15.75" thickBot="1" x14ac:dyDescent="0.3">
      <c r="A45" s="214"/>
      <c r="B45" s="305">
        <v>0</v>
      </c>
      <c r="C45" s="305">
        <v>0</v>
      </c>
      <c r="D45" s="306">
        <f>'Data Ocupacion'!N37</f>
        <v>0</v>
      </c>
      <c r="E45" s="306">
        <f>'Data Ocupacion'!O37</f>
        <v>0</v>
      </c>
      <c r="F45" s="305" t="s">
        <v>35</v>
      </c>
      <c r="G45" s="300">
        <f t="shared" si="30"/>
        <v>0</v>
      </c>
      <c r="H45" s="303">
        <f t="shared" si="31"/>
        <v>0</v>
      </c>
      <c r="I45" s="303">
        <f>G45*J$1</f>
        <v>0</v>
      </c>
      <c r="J45" s="160">
        <f>H45*J$1</f>
        <v>0</v>
      </c>
      <c r="K45" s="305">
        <f t="shared" si="32"/>
        <v>0</v>
      </c>
      <c r="L45" s="305">
        <f t="shared" si="33"/>
        <v>0</v>
      </c>
      <c r="M45" s="19"/>
      <c r="N45" s="19"/>
      <c r="O45" s="153"/>
      <c r="P45" s="201"/>
      <c r="Q45" s="201"/>
      <c r="R45" s="201"/>
      <c r="S45" s="201"/>
      <c r="T45" s="201"/>
      <c r="U45" s="201"/>
      <c r="V45" s="192">
        <f>I45</f>
        <v>0</v>
      </c>
      <c r="Y45" s="293"/>
      <c r="Z45" s="293"/>
      <c r="AA45" s="293"/>
      <c r="AB45" s="293"/>
      <c r="AC45" s="293"/>
      <c r="AD45" s="293"/>
      <c r="AE45" s="293"/>
    </row>
    <row r="46" spans="1:31" ht="15.75" thickBot="1" x14ac:dyDescent="0.3">
      <c r="A46" s="212"/>
      <c r="B46" s="235">
        <f>SUM(B40:B45)</f>
        <v>140</v>
      </c>
      <c r="C46" s="235">
        <f>SUM(C40:C45)</f>
        <v>3</v>
      </c>
      <c r="D46" s="155">
        <f>SUM(D40:D45)</f>
        <v>140</v>
      </c>
      <c r="E46" s="155">
        <f>SUM(E40:E45)</f>
        <v>3</v>
      </c>
      <c r="F46" s="124"/>
      <c r="G46" s="124">
        <f t="shared" ref="G46:L46" si="35">SUM(G40:G45)</f>
        <v>146</v>
      </c>
      <c r="H46" s="124">
        <f t="shared" si="35"/>
        <v>143</v>
      </c>
      <c r="I46" s="125">
        <f t="shared" si="35"/>
        <v>6296.9800000000005</v>
      </c>
      <c r="J46" s="124">
        <f t="shared" si="35"/>
        <v>6167.59</v>
      </c>
      <c r="K46" s="124">
        <f t="shared" si="35"/>
        <v>654885.92000000004</v>
      </c>
      <c r="L46" s="124">
        <f t="shared" si="35"/>
        <v>14872</v>
      </c>
      <c r="M46" s="129">
        <f>'Odometro-Kilometraje'!G81</f>
        <v>6334</v>
      </c>
      <c r="N46" s="21">
        <f>(V46/M46)*100</f>
        <v>99.415535206820337</v>
      </c>
      <c r="O46" s="204"/>
      <c r="P46" s="191"/>
      <c r="Q46" s="191"/>
      <c r="R46" s="191"/>
      <c r="S46" s="191"/>
      <c r="T46" s="191"/>
      <c r="U46" s="191"/>
      <c r="V46" s="205">
        <f>SUM(V40:V45)</f>
        <v>6296.9800000000005</v>
      </c>
      <c r="Y46" s="293"/>
      <c r="Z46" s="293"/>
      <c r="AA46" s="293"/>
      <c r="AB46" s="293"/>
      <c r="AC46" s="293"/>
      <c r="AD46" s="293"/>
      <c r="AE46" s="293"/>
    </row>
    <row r="47" spans="1:31" x14ac:dyDescent="0.25">
      <c r="A47" s="62">
        <f>A40+1</f>
        <v>45389</v>
      </c>
      <c r="B47" s="236">
        <v>51</v>
      </c>
      <c r="C47" s="236">
        <v>3</v>
      </c>
      <c r="D47" s="144">
        <f>'Data Ocupacion'!P32</f>
        <v>51</v>
      </c>
      <c r="E47" s="144">
        <f>'Data Ocupacion'!Q32</f>
        <v>3</v>
      </c>
      <c r="F47" s="315" t="s">
        <v>38</v>
      </c>
      <c r="G47" s="316">
        <f t="shared" ref="G47:G52" si="36">D47+E47*2</f>
        <v>57</v>
      </c>
      <c r="H47" s="317">
        <f t="shared" ref="H47:H52" si="37">D47+E47</f>
        <v>54</v>
      </c>
      <c r="I47" s="317">
        <f>G47*L$2</f>
        <v>2458.4100000000003</v>
      </c>
      <c r="J47" s="160">
        <f>H47*L$2</f>
        <v>2329.02</v>
      </c>
      <c r="K47" s="236">
        <f t="shared" ref="K47:K52" si="38">I47*104</f>
        <v>255674.64000000004</v>
      </c>
      <c r="L47" s="236">
        <f t="shared" ref="L47:L52" si="39">H47*104</f>
        <v>5616</v>
      </c>
      <c r="M47" s="19"/>
      <c r="N47" s="19"/>
      <c r="O47" s="153"/>
      <c r="P47" s="193"/>
      <c r="Q47" s="193"/>
      <c r="R47" s="221"/>
      <c r="S47" s="202"/>
      <c r="T47" s="203"/>
      <c r="U47" s="251"/>
      <c r="V47" s="192">
        <f>I47-(P47*($L$2-$J$1)+(Q47*($L$2-$L$1))+  (R47*($L$2-$H$2)))</f>
        <v>2458.4100000000003</v>
      </c>
      <c r="Y47" s="293"/>
      <c r="Z47" s="293"/>
      <c r="AA47" s="293"/>
      <c r="AB47" s="293"/>
      <c r="AC47" s="293"/>
      <c r="AD47" s="293"/>
      <c r="AE47" s="293"/>
    </row>
    <row r="48" spans="1:31" ht="15" customHeight="1" x14ac:dyDescent="0.25">
      <c r="A48" s="214"/>
      <c r="B48" s="236">
        <v>57</v>
      </c>
      <c r="C48" s="236">
        <v>0</v>
      </c>
      <c r="D48" s="144">
        <f>'Data Ocupacion'!P33</f>
        <v>57</v>
      </c>
      <c r="E48" s="144">
        <f>'Data Ocupacion'!Q33</f>
        <v>0</v>
      </c>
      <c r="F48" s="315" t="s">
        <v>52</v>
      </c>
      <c r="G48" s="316">
        <f t="shared" si="36"/>
        <v>57</v>
      </c>
      <c r="H48" s="236">
        <f t="shared" si="37"/>
        <v>57</v>
      </c>
      <c r="I48" s="236">
        <f>G48*L$2</f>
        <v>2458.4100000000003</v>
      </c>
      <c r="J48" s="160">
        <f>H48*L$2</f>
        <v>2458.4100000000003</v>
      </c>
      <c r="K48" s="236">
        <f t="shared" si="38"/>
        <v>255674.64000000004</v>
      </c>
      <c r="L48" s="236">
        <f t="shared" si="39"/>
        <v>5928</v>
      </c>
      <c r="M48" s="19"/>
      <c r="N48" s="19"/>
      <c r="O48" s="153"/>
      <c r="P48" s="198"/>
      <c r="Q48" s="198"/>
      <c r="R48" s="198"/>
      <c r="S48" s="193"/>
      <c r="T48" s="219"/>
      <c r="U48" s="252"/>
      <c r="V48" s="196">
        <f>I48-(S48*($L$2-$J$1)+(T48*($L$2-$L$1)))</f>
        <v>2458.4100000000003</v>
      </c>
    </row>
    <row r="49" spans="1:64" ht="16.5" customHeight="1" x14ac:dyDescent="0.25">
      <c r="A49" s="214"/>
      <c r="B49" s="236">
        <v>0</v>
      </c>
      <c r="C49" s="236">
        <v>0</v>
      </c>
      <c r="D49" s="144">
        <f>'Data Ocupacion'!P34</f>
        <v>0</v>
      </c>
      <c r="E49" s="144">
        <f>'Data Ocupacion'!Q34</f>
        <v>0</v>
      </c>
      <c r="F49" s="315" t="s">
        <v>36</v>
      </c>
      <c r="G49" s="316">
        <f t="shared" si="36"/>
        <v>0</v>
      </c>
      <c r="H49" s="236">
        <f t="shared" si="37"/>
        <v>0</v>
      </c>
      <c r="I49" s="236">
        <f>G49*L$1</f>
        <v>0</v>
      </c>
      <c r="J49" s="160">
        <f>H49*L$1</f>
        <v>0</v>
      </c>
      <c r="K49" s="236">
        <f t="shared" si="38"/>
        <v>0</v>
      </c>
      <c r="L49" s="236">
        <f t="shared" si="39"/>
        <v>0</v>
      </c>
      <c r="M49" s="19"/>
      <c r="N49" s="19"/>
      <c r="O49" s="153"/>
      <c r="P49" s="198"/>
      <c r="Q49" s="199"/>
      <c r="R49" s="222"/>
      <c r="S49" s="200"/>
      <c r="T49" s="201"/>
      <c r="U49" s="201"/>
      <c r="V49" s="192">
        <f>I49-(P49*($L$1-$J$1))</f>
        <v>0</v>
      </c>
    </row>
    <row r="50" spans="1:64" x14ac:dyDescent="0.25">
      <c r="A50" s="214"/>
      <c r="B50" s="236">
        <v>0</v>
      </c>
      <c r="C50" s="236">
        <v>0</v>
      </c>
      <c r="D50" s="144">
        <f>'Data Ocupacion'!P35</f>
        <v>0</v>
      </c>
      <c r="E50" s="144">
        <f>'Data Ocupacion'!Q35</f>
        <v>0</v>
      </c>
      <c r="F50" s="315" t="s">
        <v>53</v>
      </c>
      <c r="G50" s="316">
        <f t="shared" si="36"/>
        <v>0</v>
      </c>
      <c r="H50" s="236">
        <f t="shared" si="37"/>
        <v>0</v>
      </c>
      <c r="I50" s="236">
        <f>G50*L$1</f>
        <v>0</v>
      </c>
      <c r="J50" s="160">
        <f>H50*L$1</f>
        <v>0</v>
      </c>
      <c r="K50" s="236">
        <f t="shared" si="38"/>
        <v>0</v>
      </c>
      <c r="L50" s="236">
        <f t="shared" si="39"/>
        <v>0</v>
      </c>
      <c r="M50" s="19"/>
      <c r="N50" s="19"/>
      <c r="O50" s="153"/>
      <c r="P50" s="201"/>
      <c r="Q50" s="201"/>
      <c r="R50" s="201"/>
      <c r="S50" s="201"/>
      <c r="T50" s="201"/>
      <c r="U50" s="201"/>
      <c r="V50" s="192">
        <f t="shared" ref="V50:V51" si="40">I50</f>
        <v>0</v>
      </c>
    </row>
    <row r="51" spans="1:64" s="130" customFormat="1" x14ac:dyDescent="0.25">
      <c r="A51" s="214"/>
      <c r="B51" s="236">
        <v>0</v>
      </c>
      <c r="C51" s="236">
        <v>0</v>
      </c>
      <c r="D51" s="144">
        <f>'Data Ocupacion'!P36</f>
        <v>0</v>
      </c>
      <c r="E51" s="144">
        <f>'Data Ocupacion'!Q36</f>
        <v>0</v>
      </c>
      <c r="F51" s="315" t="s">
        <v>122</v>
      </c>
      <c r="G51" s="316">
        <f t="shared" si="36"/>
        <v>0</v>
      </c>
      <c r="H51" s="236">
        <f t="shared" si="37"/>
        <v>0</v>
      </c>
      <c r="I51" s="318">
        <f>G51*J$1</f>
        <v>0</v>
      </c>
      <c r="J51" s="160">
        <f>H51*J$1</f>
        <v>0</v>
      </c>
      <c r="K51" s="236">
        <f t="shared" si="38"/>
        <v>0</v>
      </c>
      <c r="L51" s="236">
        <f t="shared" si="39"/>
        <v>0</v>
      </c>
      <c r="M51" s="19"/>
      <c r="N51" s="19"/>
      <c r="O51" s="153"/>
      <c r="P51" s="201"/>
      <c r="Q51" s="201"/>
      <c r="R51" s="201"/>
      <c r="S51" s="201"/>
      <c r="T51" s="201"/>
      <c r="U51" s="201"/>
      <c r="V51" s="192">
        <f t="shared" si="40"/>
        <v>0</v>
      </c>
    </row>
    <row r="52" spans="1:64" ht="15.75" thickBot="1" x14ac:dyDescent="0.3">
      <c r="A52" s="214"/>
      <c r="B52" s="236">
        <v>0</v>
      </c>
      <c r="C52" s="236">
        <v>0</v>
      </c>
      <c r="D52" s="144">
        <f>'Data Ocupacion'!P37</f>
        <v>0</v>
      </c>
      <c r="E52" s="144">
        <f>'Data Ocupacion'!Q37</f>
        <v>0</v>
      </c>
      <c r="F52" s="315" t="s">
        <v>35</v>
      </c>
      <c r="G52" s="316">
        <f t="shared" si="36"/>
        <v>0</v>
      </c>
      <c r="H52" s="319">
        <f t="shared" si="37"/>
        <v>0</v>
      </c>
      <c r="I52" s="319">
        <f>G52*J$1</f>
        <v>0</v>
      </c>
      <c r="J52" s="160">
        <f>H52*J$1</f>
        <v>0</v>
      </c>
      <c r="K52" s="236">
        <f t="shared" si="38"/>
        <v>0</v>
      </c>
      <c r="L52" s="236">
        <f t="shared" si="39"/>
        <v>0</v>
      </c>
      <c r="M52" s="19"/>
      <c r="N52" s="19"/>
      <c r="O52" s="153"/>
      <c r="P52" s="201"/>
      <c r="Q52" s="201"/>
      <c r="R52" s="201"/>
      <c r="S52" s="201"/>
      <c r="T52" s="201"/>
      <c r="U52" s="201"/>
      <c r="V52" s="192">
        <f>I52</f>
        <v>0</v>
      </c>
    </row>
    <row r="53" spans="1:64" ht="18" customHeight="1" thickBot="1" x14ac:dyDescent="0.3">
      <c r="A53" s="20"/>
      <c r="B53" s="235">
        <f>SUM(B47:B52)</f>
        <v>108</v>
      </c>
      <c r="C53" s="235">
        <f>SUM(C47:C52)</f>
        <v>3</v>
      </c>
      <c r="D53" s="155">
        <f>SUM(D47:D52)</f>
        <v>108</v>
      </c>
      <c r="E53" s="155">
        <f>SUM(E47:E52)</f>
        <v>3</v>
      </c>
      <c r="F53" s="124"/>
      <c r="G53" s="124">
        <f t="shared" ref="G53:L53" si="41">SUM(G47:G52)</f>
        <v>114</v>
      </c>
      <c r="H53" s="124">
        <f t="shared" si="41"/>
        <v>111</v>
      </c>
      <c r="I53" s="125">
        <f t="shared" si="41"/>
        <v>4916.8200000000006</v>
      </c>
      <c r="J53" s="124">
        <f t="shared" si="41"/>
        <v>4787.43</v>
      </c>
      <c r="K53" s="124">
        <f t="shared" si="41"/>
        <v>511349.28000000009</v>
      </c>
      <c r="L53" s="124">
        <f t="shared" si="41"/>
        <v>11544</v>
      </c>
      <c r="M53" s="129">
        <f>'Odometro-Kilometraje'!H81</f>
        <v>4964</v>
      </c>
      <c r="N53" s="21">
        <f>(V53/M53)*100</f>
        <v>99.049556809024992</v>
      </c>
      <c r="O53" s="204"/>
      <c r="P53" s="191"/>
      <c r="Q53" s="191"/>
      <c r="R53" s="191"/>
      <c r="S53" s="191"/>
      <c r="T53" s="191"/>
      <c r="U53" s="191"/>
      <c r="V53" s="205">
        <f>SUM(V47:V52)</f>
        <v>4916.8200000000006</v>
      </c>
    </row>
    <row r="54" spans="1:64" x14ac:dyDescent="0.25">
      <c r="A54" s="62">
        <f>A47+1</f>
        <v>45390</v>
      </c>
      <c r="B54" s="131">
        <v>39</v>
      </c>
      <c r="C54" s="131">
        <v>53</v>
      </c>
      <c r="D54" s="132">
        <f>'Data Ocupacion'!R32</f>
        <v>41</v>
      </c>
      <c r="E54" s="132">
        <f>'Data Ocupacion'!S32</f>
        <v>51</v>
      </c>
      <c r="F54" s="131" t="s">
        <v>38</v>
      </c>
      <c r="G54" s="241">
        <f t="shared" ref="G54:G59" si="42">D54+E54*2</f>
        <v>143</v>
      </c>
      <c r="H54" s="242">
        <f t="shared" ref="H54:H59" si="43">D54+E54</f>
        <v>92</v>
      </c>
      <c r="I54" s="242">
        <f>G54*L2</f>
        <v>6167.59</v>
      </c>
      <c r="J54" s="160">
        <f>H54*L$2</f>
        <v>3967.96</v>
      </c>
      <c r="K54" s="131">
        <f t="shared" ref="K54:K59" si="44">I54*104</f>
        <v>641429.36</v>
      </c>
      <c r="L54" s="131">
        <f t="shared" ref="L54:L59" si="45">H54*104</f>
        <v>9568</v>
      </c>
      <c r="M54" s="19"/>
      <c r="N54" s="19"/>
      <c r="O54" s="153"/>
      <c r="P54" s="273"/>
      <c r="Q54" s="193"/>
      <c r="R54" s="221"/>
      <c r="S54" s="273">
        <v>6</v>
      </c>
      <c r="T54" s="203"/>
      <c r="U54" s="251"/>
      <c r="V54" s="196">
        <f>I54-((P54*($L$2-$J$1)))-(S54*($J$1))</f>
        <v>6015.1900000000005</v>
      </c>
    </row>
    <row r="55" spans="1:64" ht="15" customHeight="1" x14ac:dyDescent="0.25">
      <c r="A55" s="214"/>
      <c r="B55" s="131">
        <v>37</v>
      </c>
      <c r="C55" s="131">
        <v>53</v>
      </c>
      <c r="D55" s="132">
        <f>'Data Ocupacion'!R33</f>
        <v>40</v>
      </c>
      <c r="E55" s="132">
        <f>'Data Ocupacion'!S33</f>
        <v>50</v>
      </c>
      <c r="F55" s="131" t="s">
        <v>52</v>
      </c>
      <c r="G55" s="241">
        <f t="shared" si="42"/>
        <v>140</v>
      </c>
      <c r="H55" s="131">
        <f t="shared" si="43"/>
        <v>90</v>
      </c>
      <c r="I55" s="131">
        <f>G55*L2</f>
        <v>6038.2000000000007</v>
      </c>
      <c r="J55" s="160">
        <f>H55*L$2</f>
        <v>3881.7000000000003</v>
      </c>
      <c r="K55" s="131">
        <f t="shared" si="44"/>
        <v>627972.80000000005</v>
      </c>
      <c r="L55" s="131">
        <f t="shared" si="45"/>
        <v>9360</v>
      </c>
      <c r="M55" s="19"/>
      <c r="N55" s="19"/>
      <c r="O55" s="153"/>
      <c r="P55" s="198" t="s">
        <v>147</v>
      </c>
      <c r="Q55" s="198"/>
      <c r="R55" s="198"/>
      <c r="S55" s="193"/>
      <c r="T55" s="195"/>
      <c r="U55" s="252"/>
      <c r="V55" s="196">
        <f>I55-(S55*($L$2-$J$1)+(T55*($L$2-$L$1)))</f>
        <v>6038.2000000000007</v>
      </c>
    </row>
    <row r="56" spans="1:64" ht="15" customHeight="1" x14ac:dyDescent="0.25">
      <c r="A56" s="214"/>
      <c r="B56" s="131">
        <v>0</v>
      </c>
      <c r="C56" s="131">
        <v>0</v>
      </c>
      <c r="D56" s="132">
        <f>'Data Ocupacion'!R34</f>
        <v>0</v>
      </c>
      <c r="E56" s="132">
        <f>'Data Ocupacion'!S34</f>
        <v>0</v>
      </c>
      <c r="F56" s="131" t="s">
        <v>36</v>
      </c>
      <c r="G56" s="241">
        <f t="shared" si="42"/>
        <v>0</v>
      </c>
      <c r="H56" s="131">
        <f t="shared" si="43"/>
        <v>0</v>
      </c>
      <c r="I56" s="131">
        <f>G56*L$1</f>
        <v>0</v>
      </c>
      <c r="J56" s="160">
        <f>H56*L$1</f>
        <v>0</v>
      </c>
      <c r="K56" s="131">
        <f t="shared" si="44"/>
        <v>0</v>
      </c>
      <c r="L56" s="131">
        <f t="shared" si="45"/>
        <v>0</v>
      </c>
      <c r="M56" s="19"/>
      <c r="N56" s="19"/>
      <c r="O56" s="153"/>
      <c r="P56" s="197"/>
      <c r="Q56" s="199"/>
      <c r="R56" s="222"/>
      <c r="S56" s="200"/>
      <c r="T56" s="201"/>
      <c r="U56" s="201"/>
      <c r="V56" s="192">
        <f>I56-(P56*($L$1-$J$1))</f>
        <v>0</v>
      </c>
    </row>
    <row r="57" spans="1:64" x14ac:dyDescent="0.25">
      <c r="A57" s="214"/>
      <c r="B57" s="131">
        <v>1</v>
      </c>
      <c r="C57" s="131">
        <v>0</v>
      </c>
      <c r="D57" s="132">
        <f>'Data Ocupacion'!R35</f>
        <v>1</v>
      </c>
      <c r="E57" s="132">
        <f>'Data Ocupacion'!S35</f>
        <v>0</v>
      </c>
      <c r="F57" s="131" t="s">
        <v>53</v>
      </c>
      <c r="G57" s="241">
        <f t="shared" si="42"/>
        <v>1</v>
      </c>
      <c r="H57" s="131">
        <f t="shared" si="43"/>
        <v>1</v>
      </c>
      <c r="I57" s="131">
        <f>G57*L$1</f>
        <v>29.11</v>
      </c>
      <c r="J57" s="160">
        <f>H57*L$1</f>
        <v>29.11</v>
      </c>
      <c r="K57" s="131">
        <f t="shared" si="44"/>
        <v>3027.44</v>
      </c>
      <c r="L57" s="131">
        <f t="shared" si="45"/>
        <v>104</v>
      </c>
      <c r="M57" s="19"/>
      <c r="N57" s="19"/>
      <c r="O57" s="153"/>
      <c r="P57" s="201"/>
      <c r="Q57" s="201"/>
      <c r="R57" s="201"/>
      <c r="S57" s="201"/>
      <c r="T57" s="201"/>
      <c r="U57" s="201"/>
      <c r="V57" s="192">
        <f t="shared" ref="V57:V58" si="46">I57</f>
        <v>29.11</v>
      </c>
      <c r="BL57" t="s">
        <v>120</v>
      </c>
    </row>
    <row r="58" spans="1:64" s="130" customFormat="1" ht="15" customHeight="1" x14ac:dyDescent="0.25">
      <c r="A58" s="214"/>
      <c r="B58" s="131">
        <v>0</v>
      </c>
      <c r="C58" s="131">
        <v>0</v>
      </c>
      <c r="D58" s="132">
        <f>'Data Ocupacion'!R36</f>
        <v>0</v>
      </c>
      <c r="E58" s="132">
        <f>'Data Ocupacion'!S36</f>
        <v>0</v>
      </c>
      <c r="F58" s="131" t="s">
        <v>122</v>
      </c>
      <c r="G58" s="241">
        <f t="shared" si="42"/>
        <v>0</v>
      </c>
      <c r="H58" s="131">
        <f t="shared" si="43"/>
        <v>0</v>
      </c>
      <c r="I58" s="243">
        <f>G58*T$1</f>
        <v>0</v>
      </c>
      <c r="J58" s="160">
        <f>H58*T$1</f>
        <v>0</v>
      </c>
      <c r="K58" s="131">
        <f t="shared" si="44"/>
        <v>0</v>
      </c>
      <c r="L58" s="131">
        <f t="shared" si="45"/>
        <v>0</v>
      </c>
      <c r="M58" s="19"/>
      <c r="N58" s="19"/>
      <c r="O58" s="153"/>
      <c r="P58" s="201"/>
      <c r="Q58" s="201"/>
      <c r="R58" s="201"/>
      <c r="S58" s="201"/>
      <c r="T58" s="201"/>
      <c r="U58" s="201"/>
      <c r="V58" s="192">
        <f t="shared" si="46"/>
        <v>0</v>
      </c>
    </row>
    <row r="59" spans="1:64" ht="15.75" thickBot="1" x14ac:dyDescent="0.3">
      <c r="A59" s="214"/>
      <c r="B59" s="131">
        <v>1</v>
      </c>
      <c r="C59" s="131">
        <v>0</v>
      </c>
      <c r="D59" s="132">
        <f>'Data Ocupacion'!R37</f>
        <v>1</v>
      </c>
      <c r="E59" s="132">
        <f>'Data Ocupacion'!S37</f>
        <v>0</v>
      </c>
      <c r="F59" s="131" t="s">
        <v>35</v>
      </c>
      <c r="G59" s="241">
        <f t="shared" si="42"/>
        <v>1</v>
      </c>
      <c r="H59" s="244">
        <f t="shared" si="43"/>
        <v>1</v>
      </c>
      <c r="I59" s="244">
        <f>G59*J$1</f>
        <v>25.4</v>
      </c>
      <c r="J59" s="160">
        <f>H59*J$1</f>
        <v>25.4</v>
      </c>
      <c r="K59" s="131">
        <f t="shared" si="44"/>
        <v>2641.6</v>
      </c>
      <c r="L59" s="131">
        <f t="shared" si="45"/>
        <v>104</v>
      </c>
      <c r="M59" s="19"/>
      <c r="N59" s="19"/>
      <c r="O59" s="153"/>
      <c r="P59" s="201"/>
      <c r="Q59" s="201"/>
      <c r="R59" s="201"/>
      <c r="S59" s="201"/>
      <c r="T59" s="201"/>
      <c r="U59" s="201"/>
      <c r="V59" s="192">
        <f>I59</f>
        <v>25.4</v>
      </c>
    </row>
    <row r="60" spans="1:64" ht="15.75" thickBot="1" x14ac:dyDescent="0.3">
      <c r="A60" s="20"/>
      <c r="B60" s="235">
        <f>SUM(B54:B59)</f>
        <v>78</v>
      </c>
      <c r="C60" s="235">
        <f>SUM(C54:C59)</f>
        <v>106</v>
      </c>
      <c r="D60" s="155">
        <f>SUM(D54:D59)</f>
        <v>83</v>
      </c>
      <c r="E60" s="155">
        <f>SUM(E54:E59)</f>
        <v>101</v>
      </c>
      <c r="F60" s="124"/>
      <c r="G60" s="124">
        <f t="shared" ref="G60:L60" si="47">SUM(G54:G59)</f>
        <v>285</v>
      </c>
      <c r="H60" s="124">
        <f t="shared" si="47"/>
        <v>184</v>
      </c>
      <c r="I60" s="125">
        <f t="shared" si="47"/>
        <v>12260.300000000001</v>
      </c>
      <c r="J60" s="124">
        <f t="shared" si="47"/>
        <v>7904.1699999999992</v>
      </c>
      <c r="K60" s="124">
        <f t="shared" si="47"/>
        <v>1275071.2000000002</v>
      </c>
      <c r="L60" s="124">
        <f t="shared" si="47"/>
        <v>19136</v>
      </c>
      <c r="M60" s="129">
        <f>'Odometro-Kilometraje'!I81</f>
        <v>13108</v>
      </c>
      <c r="N60" s="21">
        <f>(V60/M60)*100</f>
        <v>92.370308208727508</v>
      </c>
      <c r="O60" s="204"/>
      <c r="P60" s="191"/>
      <c r="Q60" s="191"/>
      <c r="R60" s="191"/>
      <c r="S60" s="191"/>
      <c r="T60" s="191"/>
      <c r="U60" s="191"/>
      <c r="V60" s="205">
        <f>SUM(V54:V59)</f>
        <v>12107.900000000001</v>
      </c>
    </row>
    <row r="61" spans="1:64" x14ac:dyDescent="0.25">
      <c r="A61" s="62">
        <f>A54+1</f>
        <v>45391</v>
      </c>
      <c r="B61" s="131">
        <v>39</v>
      </c>
      <c r="C61" s="131">
        <v>53</v>
      </c>
      <c r="D61" s="132">
        <f>'Data Ocupacion'!T32</f>
        <v>42</v>
      </c>
      <c r="E61" s="132">
        <f>'Data Ocupacion'!U32</f>
        <v>50</v>
      </c>
      <c r="F61" s="131" t="s">
        <v>38</v>
      </c>
      <c r="G61" s="241">
        <f t="shared" ref="G61:G62" si="48">D61+E61*2</f>
        <v>142</v>
      </c>
      <c r="H61" s="242">
        <f t="shared" ref="H61:H62" si="49">D61+E61</f>
        <v>92</v>
      </c>
      <c r="I61" s="242">
        <f>G61*L$2</f>
        <v>6124.46</v>
      </c>
      <c r="J61" s="160">
        <f>H61*L$2</f>
        <v>3967.96</v>
      </c>
      <c r="K61" s="131">
        <f>I61*104</f>
        <v>636943.84</v>
      </c>
      <c r="L61" s="131">
        <f t="shared" ref="L61:L66" si="50">H61*104</f>
        <v>9568</v>
      </c>
      <c r="M61" s="19"/>
      <c r="N61" s="19"/>
      <c r="O61" s="153"/>
      <c r="P61" s="193">
        <v>3</v>
      </c>
      <c r="Q61" s="193"/>
      <c r="R61" s="221"/>
      <c r="S61" s="310">
        <v>3</v>
      </c>
      <c r="T61" s="203"/>
      <c r="U61" s="251"/>
      <c r="V61" s="192">
        <f>I61-(P61*($L$2-$J$1)+(Q61*($L$2-$L$1))+  (R61*($L$2-$H$2))+ (S61*($J$1)))</f>
        <v>5995.07</v>
      </c>
    </row>
    <row r="62" spans="1:64" ht="15" customHeight="1" x14ac:dyDescent="0.25">
      <c r="A62" s="214"/>
      <c r="B62" s="131">
        <v>37</v>
      </c>
      <c r="C62" s="131">
        <v>53</v>
      </c>
      <c r="D62" s="132">
        <f>'Data Ocupacion'!T33</f>
        <v>40</v>
      </c>
      <c r="E62" s="132">
        <f>'Data Ocupacion'!U33</f>
        <v>50</v>
      </c>
      <c r="F62" s="131" t="s">
        <v>52</v>
      </c>
      <c r="G62" s="241">
        <f t="shared" si="48"/>
        <v>140</v>
      </c>
      <c r="H62" s="131">
        <f t="shared" si="49"/>
        <v>90</v>
      </c>
      <c r="I62" s="131">
        <f>G62*L$2</f>
        <v>6038.2000000000007</v>
      </c>
      <c r="J62" s="160">
        <f>H62*L$2</f>
        <v>3881.7000000000003</v>
      </c>
      <c r="K62" s="131">
        <f>I62*104</f>
        <v>627972.80000000005</v>
      </c>
      <c r="L62" s="131">
        <f t="shared" si="50"/>
        <v>9360</v>
      </c>
      <c r="M62" s="19"/>
      <c r="N62" s="19"/>
      <c r="O62" s="153"/>
      <c r="P62" s="198"/>
      <c r="Q62" s="198"/>
      <c r="R62" s="198"/>
      <c r="S62" s="193"/>
      <c r="T62" s="193"/>
      <c r="U62" s="252"/>
      <c r="V62" s="196">
        <f>I62-(S62*($L$2-$J$1)+(T62*($L$2-$L$1)))</f>
        <v>6038.2000000000007</v>
      </c>
      <c r="X62" s="263"/>
      <c r="Z62" s="130"/>
      <c r="AA62" s="130"/>
    </row>
    <row r="63" spans="1:64" x14ac:dyDescent="0.25">
      <c r="A63" s="214"/>
      <c r="B63" s="131">
        <v>0</v>
      </c>
      <c r="C63" s="131">
        <v>0</v>
      </c>
      <c r="D63" s="132">
        <f>'Data Ocupacion'!T34</f>
        <v>0</v>
      </c>
      <c r="E63" s="132">
        <f>'Data Ocupacion'!U34</f>
        <v>0</v>
      </c>
      <c r="F63" s="131" t="s">
        <v>36</v>
      </c>
      <c r="G63" s="241">
        <f t="shared" ref="G63:G66" si="51">D63+E63*2</f>
        <v>0</v>
      </c>
      <c r="H63" s="131">
        <f t="shared" ref="H63:H66" si="52">D63+E63</f>
        <v>0</v>
      </c>
      <c r="I63" s="131">
        <f>G63*N$1</f>
        <v>0</v>
      </c>
      <c r="J63" s="160">
        <f>H63*N$1</f>
        <v>0</v>
      </c>
      <c r="K63" s="131">
        <f>I63*104</f>
        <v>0</v>
      </c>
      <c r="L63" s="131">
        <f t="shared" si="50"/>
        <v>0</v>
      </c>
      <c r="M63" s="19"/>
      <c r="N63" s="19"/>
      <c r="O63" s="153"/>
      <c r="P63" s="197"/>
      <c r="Q63" s="199"/>
      <c r="R63" s="222"/>
      <c r="S63" s="200"/>
      <c r="T63" s="201"/>
      <c r="U63" s="201"/>
      <c r="V63" s="192">
        <f>I63-(P63*($L$1-$J$1))</f>
        <v>0</v>
      </c>
      <c r="X63" s="263"/>
    </row>
    <row r="64" spans="1:64" x14ac:dyDescent="0.25">
      <c r="A64" s="214"/>
      <c r="B64" s="131">
        <v>1</v>
      </c>
      <c r="C64" s="131">
        <v>0</v>
      </c>
      <c r="D64" s="132">
        <f>'Data Ocupacion'!T35</f>
        <v>1</v>
      </c>
      <c r="E64" s="132">
        <f>'Data Ocupacion'!U35</f>
        <v>0</v>
      </c>
      <c r="F64" s="131" t="s">
        <v>53</v>
      </c>
      <c r="G64" s="241">
        <f t="shared" si="51"/>
        <v>1</v>
      </c>
      <c r="H64" s="131">
        <f t="shared" si="52"/>
        <v>1</v>
      </c>
      <c r="I64" s="131">
        <f>G64*L$1</f>
        <v>29.11</v>
      </c>
      <c r="J64" s="160">
        <f>H64*L$1</f>
        <v>29.11</v>
      </c>
      <c r="K64" s="131">
        <f>I64*104</f>
        <v>3027.44</v>
      </c>
      <c r="L64" s="131">
        <f t="shared" si="50"/>
        <v>104</v>
      </c>
      <c r="M64" s="19"/>
      <c r="N64" s="19"/>
      <c r="O64" s="153"/>
      <c r="P64" s="201"/>
      <c r="Q64" s="201"/>
      <c r="R64" s="201"/>
      <c r="S64" s="201"/>
      <c r="T64" s="201"/>
      <c r="U64" s="201"/>
      <c r="V64" s="192">
        <f t="shared" ref="V64:V65" si="53">I64</f>
        <v>29.11</v>
      </c>
    </row>
    <row r="65" spans="1:24" s="130" customFormat="1" x14ac:dyDescent="0.25">
      <c r="A65" s="214"/>
      <c r="B65" s="131">
        <v>0</v>
      </c>
      <c r="C65" s="131">
        <v>0</v>
      </c>
      <c r="D65" s="132">
        <f>'Data Ocupacion'!T36</f>
        <v>0</v>
      </c>
      <c r="E65" s="132">
        <f>'Data Ocupacion'!U36</f>
        <v>0</v>
      </c>
      <c r="F65" s="131" t="s">
        <v>122</v>
      </c>
      <c r="G65" s="241">
        <f t="shared" si="51"/>
        <v>0</v>
      </c>
      <c r="H65" s="131">
        <f t="shared" si="52"/>
        <v>0</v>
      </c>
      <c r="I65" s="243">
        <f>G65*T$1</f>
        <v>0</v>
      </c>
      <c r="J65" s="160">
        <f>H65*T$1</f>
        <v>0</v>
      </c>
      <c r="K65" s="131">
        <f t="shared" ref="K65" si="54">I65*104</f>
        <v>0</v>
      </c>
      <c r="L65" s="131">
        <f t="shared" si="50"/>
        <v>0</v>
      </c>
      <c r="M65" s="19"/>
      <c r="N65" s="19"/>
      <c r="O65" s="153"/>
      <c r="P65" s="201"/>
      <c r="Q65" s="201"/>
      <c r="R65" s="201"/>
      <c r="S65" s="201"/>
      <c r="T65" s="201"/>
      <c r="U65" s="201"/>
      <c r="V65" s="192">
        <f t="shared" si="53"/>
        <v>0</v>
      </c>
    </row>
    <row r="66" spans="1:24" ht="15.75" thickBot="1" x14ac:dyDescent="0.3">
      <c r="A66" s="214"/>
      <c r="B66" s="131">
        <v>1</v>
      </c>
      <c r="C66" s="131">
        <v>0</v>
      </c>
      <c r="D66" s="132">
        <f>'Data Ocupacion'!T37</f>
        <v>1</v>
      </c>
      <c r="E66" s="132">
        <f>'Data Ocupacion'!U37</f>
        <v>0</v>
      </c>
      <c r="F66" s="131" t="s">
        <v>35</v>
      </c>
      <c r="G66" s="241">
        <f t="shared" si="51"/>
        <v>1</v>
      </c>
      <c r="H66" s="244">
        <f t="shared" si="52"/>
        <v>1</v>
      </c>
      <c r="I66" s="244">
        <f>G66*J$1</f>
        <v>25.4</v>
      </c>
      <c r="J66" s="160">
        <f>H66*J$1</f>
        <v>25.4</v>
      </c>
      <c r="K66" s="131">
        <f>I66*104</f>
        <v>2641.6</v>
      </c>
      <c r="L66" s="131">
        <f t="shared" si="50"/>
        <v>104</v>
      </c>
      <c r="M66" s="19"/>
      <c r="N66" s="19"/>
      <c r="O66" s="153"/>
      <c r="P66" s="201"/>
      <c r="Q66" s="201"/>
      <c r="R66" s="201"/>
      <c r="S66" s="201"/>
      <c r="T66" s="201"/>
      <c r="U66" s="201"/>
      <c r="V66" s="192">
        <f>I66</f>
        <v>25.4</v>
      </c>
    </row>
    <row r="67" spans="1:24" s="130" customFormat="1" ht="18.75" customHeight="1" thickBot="1" x14ac:dyDescent="0.3">
      <c r="A67" s="20"/>
      <c r="B67" s="235">
        <f>SUM(B61:B66)</f>
        <v>78</v>
      </c>
      <c r="C67" s="235">
        <f>SUM(C61:C66)</f>
        <v>106</v>
      </c>
      <c r="D67" s="155">
        <f>SUM(D61:D66)</f>
        <v>84</v>
      </c>
      <c r="E67" s="155">
        <f>SUM(E61:E66)</f>
        <v>100</v>
      </c>
      <c r="F67" s="124"/>
      <c r="G67" s="124">
        <f t="shared" ref="G67:L67" si="55">SUM(G61:G66)</f>
        <v>284</v>
      </c>
      <c r="H67" s="124">
        <f t="shared" si="55"/>
        <v>184</v>
      </c>
      <c r="I67" s="125">
        <f t="shared" si="55"/>
        <v>12217.17</v>
      </c>
      <c r="J67" s="124">
        <f t="shared" si="55"/>
        <v>7904.1699999999992</v>
      </c>
      <c r="K67" s="124">
        <f t="shared" si="55"/>
        <v>1270585.6800000002</v>
      </c>
      <c r="L67" s="124">
        <f t="shared" si="55"/>
        <v>19136</v>
      </c>
      <c r="M67" s="129">
        <f>'Odometro-Kilometraje'!J81</f>
        <v>12903</v>
      </c>
      <c r="N67" s="21">
        <f>(V67/M67)*100</f>
        <v>93.681934433852604</v>
      </c>
      <c r="O67" s="204"/>
      <c r="P67" s="191"/>
      <c r="Q67" s="191"/>
      <c r="R67" s="191"/>
      <c r="S67" s="191"/>
      <c r="T67" s="191"/>
      <c r="U67" s="191"/>
      <c r="V67" s="205">
        <f>SUM(V61:V66)</f>
        <v>12087.78</v>
      </c>
      <c r="X67" s="264"/>
    </row>
    <row r="68" spans="1:24" s="130" customFormat="1" x14ac:dyDescent="0.25">
      <c r="A68" s="62">
        <f>A61+1</f>
        <v>45392</v>
      </c>
      <c r="B68" s="131">
        <v>39</v>
      </c>
      <c r="C68" s="131">
        <v>53</v>
      </c>
      <c r="D68" s="132">
        <f>'Data Ocupacion'!V32</f>
        <v>44</v>
      </c>
      <c r="E68" s="132">
        <f>'Data Ocupacion'!W32</f>
        <v>48</v>
      </c>
      <c r="F68" s="131" t="s">
        <v>38</v>
      </c>
      <c r="G68" s="241">
        <f t="shared" ref="G68:G73" si="56">D68+E68*2</f>
        <v>140</v>
      </c>
      <c r="H68" s="242">
        <f t="shared" ref="H68:H73" si="57">D68+E68</f>
        <v>92</v>
      </c>
      <c r="I68" s="242">
        <f>G68*L$2</f>
        <v>6038.2000000000007</v>
      </c>
      <c r="J68" s="160">
        <f>H68*L$2</f>
        <v>3967.96</v>
      </c>
      <c r="K68" s="131">
        <f t="shared" ref="K68:K73" si="58">I68*104</f>
        <v>627972.80000000005</v>
      </c>
      <c r="L68" s="131">
        <f t="shared" ref="L68:L73" si="59">H68*104</f>
        <v>9568</v>
      </c>
      <c r="M68" s="19"/>
      <c r="N68" s="19"/>
      <c r="O68" s="153"/>
      <c r="P68" s="193">
        <v>2</v>
      </c>
      <c r="Q68" s="193"/>
      <c r="R68" s="221"/>
      <c r="S68" s="310">
        <v>6</v>
      </c>
      <c r="T68" s="203"/>
      <c r="U68" s="251"/>
      <c r="V68" s="192">
        <f>I68-(P68*($L$2-$J$1)+(Q68*($L$2-$L$1))+  (R68*($L$2-$H$2))+ (S68*($J$1)))</f>
        <v>5850.3400000000011</v>
      </c>
    </row>
    <row r="69" spans="1:24" ht="15" customHeight="1" x14ac:dyDescent="0.25">
      <c r="A69" s="214"/>
      <c r="B69" s="131">
        <v>37</v>
      </c>
      <c r="C69" s="131">
        <v>53</v>
      </c>
      <c r="D69" s="132">
        <f>'Data Ocupacion'!V33</f>
        <v>42</v>
      </c>
      <c r="E69" s="132">
        <f>'Data Ocupacion'!W33</f>
        <v>48</v>
      </c>
      <c r="F69" s="131" t="s">
        <v>52</v>
      </c>
      <c r="G69" s="241">
        <f t="shared" si="56"/>
        <v>138</v>
      </c>
      <c r="H69" s="131">
        <f t="shared" si="57"/>
        <v>90</v>
      </c>
      <c r="I69" s="131">
        <f>G69*L$2</f>
        <v>5951.9400000000005</v>
      </c>
      <c r="J69" s="160">
        <f>H69*L$2</f>
        <v>3881.7000000000003</v>
      </c>
      <c r="K69" s="131">
        <f t="shared" si="58"/>
        <v>619001.76</v>
      </c>
      <c r="L69" s="131">
        <f t="shared" si="59"/>
        <v>9360</v>
      </c>
      <c r="M69" s="19"/>
      <c r="N69" s="19"/>
      <c r="O69" s="153"/>
      <c r="P69" s="198"/>
      <c r="Q69" s="198"/>
      <c r="R69" s="198"/>
      <c r="S69" s="193"/>
      <c r="T69" s="195"/>
      <c r="U69" s="252"/>
      <c r="V69" s="196">
        <f>I69-(S69*($L$2-$J$1)+(T69*($L$2-$L$1)))</f>
        <v>5951.9400000000005</v>
      </c>
    </row>
    <row r="70" spans="1:24" x14ac:dyDescent="0.25">
      <c r="A70" s="214"/>
      <c r="B70" s="131">
        <v>0</v>
      </c>
      <c r="C70" s="131">
        <v>0</v>
      </c>
      <c r="D70" s="132">
        <f>'Data Ocupacion'!V34</f>
        <v>0</v>
      </c>
      <c r="E70" s="132">
        <f>'Data Ocupacion'!W34</f>
        <v>0</v>
      </c>
      <c r="F70" s="131" t="s">
        <v>36</v>
      </c>
      <c r="G70" s="241">
        <f t="shared" si="56"/>
        <v>0</v>
      </c>
      <c r="H70" s="131">
        <f t="shared" si="57"/>
        <v>0</v>
      </c>
      <c r="I70" s="131">
        <f>G70*L$1</f>
        <v>0</v>
      </c>
      <c r="J70" s="160">
        <f>H70*L$1</f>
        <v>0</v>
      </c>
      <c r="K70" s="131">
        <f t="shared" si="58"/>
        <v>0</v>
      </c>
      <c r="L70" s="131">
        <f t="shared" si="59"/>
        <v>0</v>
      </c>
      <c r="M70" s="19"/>
      <c r="N70" s="19"/>
      <c r="O70" s="153"/>
      <c r="P70" s="197"/>
      <c r="Q70" s="199"/>
      <c r="R70" s="222"/>
      <c r="S70" s="200"/>
      <c r="T70" s="201"/>
      <c r="U70" s="201"/>
      <c r="V70" s="192">
        <f>I70-(P70*($L$1-$J$1))</f>
        <v>0</v>
      </c>
    </row>
    <row r="71" spans="1:24" ht="15" customHeight="1" x14ac:dyDescent="0.25">
      <c r="A71" s="214"/>
      <c r="B71" s="131">
        <v>1</v>
      </c>
      <c r="C71" s="131">
        <v>0</v>
      </c>
      <c r="D71" s="132">
        <f>'Data Ocupacion'!V35</f>
        <v>1</v>
      </c>
      <c r="E71" s="132">
        <f>'Data Ocupacion'!W35</f>
        <v>0</v>
      </c>
      <c r="F71" s="131" t="s">
        <v>53</v>
      </c>
      <c r="G71" s="241">
        <f t="shared" si="56"/>
        <v>1</v>
      </c>
      <c r="H71" s="131">
        <f t="shared" si="57"/>
        <v>1</v>
      </c>
      <c r="I71" s="131">
        <f>G71*L$1</f>
        <v>29.11</v>
      </c>
      <c r="J71" s="160">
        <f>H71*L$1</f>
        <v>29.11</v>
      </c>
      <c r="K71" s="131">
        <f t="shared" si="58"/>
        <v>3027.44</v>
      </c>
      <c r="L71" s="131">
        <f t="shared" si="59"/>
        <v>104</v>
      </c>
      <c r="M71" s="19"/>
      <c r="N71" s="19"/>
      <c r="O71" s="153"/>
      <c r="P71" s="201"/>
      <c r="Q71" s="201"/>
      <c r="R71" s="201"/>
      <c r="S71" s="201"/>
      <c r="T71" s="201"/>
      <c r="U71" s="201"/>
      <c r="V71" s="192">
        <f t="shared" ref="V71:V72" si="60">I71</f>
        <v>29.11</v>
      </c>
    </row>
    <row r="72" spans="1:24" ht="15" customHeight="1" x14ac:dyDescent="0.25">
      <c r="A72" s="214"/>
      <c r="B72" s="131">
        <v>0</v>
      </c>
      <c r="C72" s="131">
        <v>0</v>
      </c>
      <c r="D72" s="132">
        <f>'Data Ocupacion'!V36</f>
        <v>0</v>
      </c>
      <c r="E72" s="132">
        <f>'Data Ocupacion'!W36</f>
        <v>0</v>
      </c>
      <c r="F72" s="131" t="s">
        <v>122</v>
      </c>
      <c r="G72" s="241">
        <f t="shared" si="56"/>
        <v>0</v>
      </c>
      <c r="H72" s="131">
        <f t="shared" si="57"/>
        <v>0</v>
      </c>
      <c r="I72" s="243">
        <f>G72*J$1</f>
        <v>0</v>
      </c>
      <c r="J72" s="160">
        <f>H72*J$1</f>
        <v>0</v>
      </c>
      <c r="K72" s="131">
        <f t="shared" si="58"/>
        <v>0</v>
      </c>
      <c r="L72" s="131">
        <f t="shared" si="59"/>
        <v>0</v>
      </c>
      <c r="M72" s="19"/>
      <c r="N72" s="19"/>
      <c r="O72" s="153"/>
      <c r="P72" s="201"/>
      <c r="Q72" s="201"/>
      <c r="R72" s="201"/>
      <c r="S72" s="201"/>
      <c r="T72" s="201"/>
      <c r="U72" s="201"/>
      <c r="V72" s="192">
        <f t="shared" si="60"/>
        <v>0</v>
      </c>
    </row>
    <row r="73" spans="1:24" ht="14.25" customHeight="1" thickBot="1" x14ac:dyDescent="0.3">
      <c r="A73" s="214"/>
      <c r="B73" s="131">
        <v>1</v>
      </c>
      <c r="C73" s="131">
        <v>0</v>
      </c>
      <c r="D73" s="132">
        <f>'Data Ocupacion'!V37</f>
        <v>1</v>
      </c>
      <c r="E73" s="132">
        <f>'Data Ocupacion'!W37</f>
        <v>0</v>
      </c>
      <c r="F73" s="131" t="s">
        <v>35</v>
      </c>
      <c r="G73" s="241">
        <f t="shared" si="56"/>
        <v>1</v>
      </c>
      <c r="H73" s="244">
        <f t="shared" si="57"/>
        <v>1</v>
      </c>
      <c r="I73" s="244">
        <f>G73*J$1</f>
        <v>25.4</v>
      </c>
      <c r="J73" s="160">
        <f>H73*J$1</f>
        <v>25.4</v>
      </c>
      <c r="K73" s="131">
        <f t="shared" si="58"/>
        <v>2641.6</v>
      </c>
      <c r="L73" s="131">
        <f t="shared" si="59"/>
        <v>104</v>
      </c>
      <c r="M73" s="19"/>
      <c r="N73" s="19"/>
      <c r="O73" s="153"/>
      <c r="P73" s="201"/>
      <c r="Q73" s="201"/>
      <c r="R73" s="201"/>
      <c r="S73" s="201"/>
      <c r="T73" s="201"/>
      <c r="U73" s="201"/>
      <c r="V73" s="192">
        <f>I73</f>
        <v>25.4</v>
      </c>
    </row>
    <row r="74" spans="1:24" s="130" customFormat="1" ht="15.75" thickBot="1" x14ac:dyDescent="0.3">
      <c r="A74" s="20"/>
      <c r="B74" s="235">
        <f>SUM(B68:B73)</f>
        <v>78</v>
      </c>
      <c r="C74" s="235">
        <f>SUM(C68:C73)</f>
        <v>106</v>
      </c>
      <c r="D74" s="155">
        <f>SUM(D68:D73)</f>
        <v>88</v>
      </c>
      <c r="E74" s="155">
        <f>SUM(E68:E73)</f>
        <v>96</v>
      </c>
      <c r="F74" s="124"/>
      <c r="G74" s="124">
        <f t="shared" ref="G74:L74" si="61">SUM(G68:G73)</f>
        <v>280</v>
      </c>
      <c r="H74" s="124">
        <f t="shared" si="61"/>
        <v>184</v>
      </c>
      <c r="I74" s="125">
        <f>SUM(I68:I73)</f>
        <v>12044.650000000001</v>
      </c>
      <c r="J74" s="124">
        <f t="shared" si="61"/>
        <v>7904.1699999999992</v>
      </c>
      <c r="K74" s="124">
        <f t="shared" si="61"/>
        <v>1252643.6000000001</v>
      </c>
      <c r="L74" s="124">
        <f t="shared" si="61"/>
        <v>19136</v>
      </c>
      <c r="M74" s="129">
        <f>'Odometro-Kilometraje'!K81</f>
        <v>12650</v>
      </c>
      <c r="N74" s="21">
        <f>(V74/M74)*100</f>
        <v>93.729565217391325</v>
      </c>
      <c r="O74" s="204"/>
      <c r="P74" s="191"/>
      <c r="Q74" s="191"/>
      <c r="R74" s="191"/>
      <c r="S74" s="191"/>
      <c r="T74" s="191"/>
      <c r="U74" s="191"/>
      <c r="V74" s="205">
        <f>SUM(V68:V73)</f>
        <v>11856.790000000003</v>
      </c>
    </row>
    <row r="75" spans="1:24" x14ac:dyDescent="0.25">
      <c r="A75" s="62">
        <f>A68+1</f>
        <v>45393</v>
      </c>
      <c r="B75" s="131">
        <v>39</v>
      </c>
      <c r="C75" s="131">
        <v>53</v>
      </c>
      <c r="D75" s="144">
        <f>'Data Ocupacion'!X32</f>
        <v>41</v>
      </c>
      <c r="E75" s="144">
        <f>'Data Ocupacion'!Y32</f>
        <v>51</v>
      </c>
      <c r="F75" s="131" t="s">
        <v>38</v>
      </c>
      <c r="G75" s="131">
        <f t="shared" ref="G75:G80" si="62">D75+E75*2</f>
        <v>143</v>
      </c>
      <c r="H75" s="131">
        <f t="shared" ref="H75:H80" si="63">D75+E75</f>
        <v>92</v>
      </c>
      <c r="I75" s="131">
        <f>G75*L$2</f>
        <v>6167.59</v>
      </c>
      <c r="J75" s="160">
        <f>H75*L$2</f>
        <v>3967.96</v>
      </c>
      <c r="K75" s="131">
        <f t="shared" ref="K75:K80" si="64">I75*104</f>
        <v>641429.36</v>
      </c>
      <c r="L75" s="131">
        <f t="shared" ref="L75:L80" si="65">H75*104</f>
        <v>9568</v>
      </c>
      <c r="M75" s="19"/>
      <c r="N75" s="19"/>
      <c r="O75" s="153"/>
      <c r="P75" s="273"/>
      <c r="Q75" s="193"/>
      <c r="R75" s="221"/>
      <c r="S75" s="273">
        <v>7</v>
      </c>
      <c r="T75" s="203"/>
      <c r="U75" s="251"/>
      <c r="V75" s="192">
        <f>I75-(P75*($L$2-$J$1)+(Q75*($L$2-$L$1))+  (R75*($L$2-$H$2))+ (S75*($J$1)))</f>
        <v>5989.79</v>
      </c>
    </row>
    <row r="76" spans="1:24" ht="15" customHeight="1" x14ac:dyDescent="0.25">
      <c r="A76" s="189"/>
      <c r="B76" s="131">
        <v>37</v>
      </c>
      <c r="C76" s="131">
        <v>53</v>
      </c>
      <c r="D76" s="144">
        <f>'Data Ocupacion'!X33</f>
        <v>39</v>
      </c>
      <c r="E76" s="144">
        <f>'Data Ocupacion'!Y33</f>
        <v>51</v>
      </c>
      <c r="F76" s="131" t="s">
        <v>52</v>
      </c>
      <c r="G76" s="131">
        <f t="shared" si="62"/>
        <v>141</v>
      </c>
      <c r="H76" s="131">
        <f t="shared" si="63"/>
        <v>90</v>
      </c>
      <c r="I76" s="131">
        <f>G76*L$2</f>
        <v>6081.33</v>
      </c>
      <c r="J76" s="160">
        <f>H76*L$2</f>
        <v>3881.7000000000003</v>
      </c>
      <c r="K76" s="131">
        <f t="shared" si="64"/>
        <v>632458.31999999995</v>
      </c>
      <c r="L76" s="131">
        <f t="shared" si="65"/>
        <v>9360</v>
      </c>
      <c r="M76" s="19"/>
      <c r="N76" s="19"/>
      <c r="O76" s="153"/>
      <c r="P76" s="198"/>
      <c r="Q76" s="198"/>
      <c r="R76" s="198"/>
      <c r="S76" s="273"/>
      <c r="T76" s="219"/>
      <c r="U76" s="252"/>
      <c r="V76" s="196">
        <f>I76-(S76*($L$2-$J$1)+(T76*($L$2-$L$1)))</f>
        <v>6081.33</v>
      </c>
    </row>
    <row r="77" spans="1:24" ht="15" customHeight="1" x14ac:dyDescent="0.25">
      <c r="A77" s="189"/>
      <c r="B77" s="131">
        <v>0</v>
      </c>
      <c r="C77" s="131">
        <v>0</v>
      </c>
      <c r="D77" s="132">
        <f>'Data Ocupacion'!X34</f>
        <v>0</v>
      </c>
      <c r="E77" s="132">
        <f>'Data Ocupacion'!Y34</f>
        <v>0</v>
      </c>
      <c r="F77" s="131" t="s">
        <v>36</v>
      </c>
      <c r="G77" s="131">
        <f t="shared" si="62"/>
        <v>0</v>
      </c>
      <c r="H77" s="131">
        <f t="shared" si="63"/>
        <v>0</v>
      </c>
      <c r="I77" s="131">
        <f>G77*L$1</f>
        <v>0</v>
      </c>
      <c r="J77" s="160">
        <f>H77*L$1</f>
        <v>0</v>
      </c>
      <c r="K77" s="131">
        <f t="shared" si="64"/>
        <v>0</v>
      </c>
      <c r="L77" s="131">
        <f t="shared" si="65"/>
        <v>0</v>
      </c>
      <c r="M77" s="19"/>
      <c r="N77" s="19"/>
      <c r="O77" s="153"/>
      <c r="P77" s="197"/>
      <c r="Q77" s="199"/>
      <c r="R77" s="222"/>
      <c r="S77" s="200"/>
      <c r="T77" s="201"/>
      <c r="U77" s="201"/>
      <c r="V77" s="192">
        <f>I77-(P77*($L$1-$J$1))</f>
        <v>0</v>
      </c>
    </row>
    <row r="78" spans="1:24" ht="13.5" customHeight="1" x14ac:dyDescent="0.25">
      <c r="A78" s="189"/>
      <c r="B78" s="131">
        <v>1</v>
      </c>
      <c r="C78" s="131">
        <v>0</v>
      </c>
      <c r="D78" s="132">
        <f>'Data Ocupacion'!X35</f>
        <v>1</v>
      </c>
      <c r="E78" s="132">
        <f>'Data Ocupacion'!Y35</f>
        <v>0</v>
      </c>
      <c r="F78" s="131" t="s">
        <v>53</v>
      </c>
      <c r="G78" s="131">
        <f t="shared" si="62"/>
        <v>1</v>
      </c>
      <c r="H78" s="131">
        <f t="shared" si="63"/>
        <v>1</v>
      </c>
      <c r="I78" s="131">
        <f>G78*L$1</f>
        <v>29.11</v>
      </c>
      <c r="J78" s="160">
        <f>H78*L$1</f>
        <v>29.11</v>
      </c>
      <c r="K78" s="131">
        <f t="shared" si="64"/>
        <v>3027.44</v>
      </c>
      <c r="L78" s="131">
        <f t="shared" si="65"/>
        <v>104</v>
      </c>
      <c r="M78" s="19"/>
      <c r="N78" s="19"/>
      <c r="O78" s="153"/>
      <c r="P78" s="201"/>
      <c r="Q78" s="201"/>
      <c r="R78" s="201"/>
      <c r="S78" s="201"/>
      <c r="T78" s="201"/>
      <c r="U78" s="201"/>
      <c r="V78" s="192">
        <f t="shared" ref="V78:V79" si="66">I78</f>
        <v>29.11</v>
      </c>
    </row>
    <row r="79" spans="1:24" s="130" customFormat="1" ht="15" customHeight="1" x14ac:dyDescent="0.25">
      <c r="A79" s="189"/>
      <c r="B79" s="131">
        <v>0</v>
      </c>
      <c r="C79" s="131">
        <v>0</v>
      </c>
      <c r="D79" s="132">
        <f>'Data Ocupacion'!X36</f>
        <v>0</v>
      </c>
      <c r="E79" s="132">
        <f>'Data Ocupacion'!Y36</f>
        <v>0</v>
      </c>
      <c r="F79" s="131" t="s">
        <v>122</v>
      </c>
      <c r="G79" s="131">
        <f t="shared" si="62"/>
        <v>0</v>
      </c>
      <c r="H79" s="131">
        <f>D79+E79</f>
        <v>0</v>
      </c>
      <c r="I79" s="131">
        <f>G79*J$1</f>
        <v>0</v>
      </c>
      <c r="J79" s="160">
        <f>H79*J$1</f>
        <v>0</v>
      </c>
      <c r="K79" s="131">
        <f t="shared" si="64"/>
        <v>0</v>
      </c>
      <c r="L79" s="131">
        <f t="shared" si="65"/>
        <v>0</v>
      </c>
      <c r="M79" s="19"/>
      <c r="N79" s="19"/>
      <c r="O79" s="153"/>
      <c r="P79" s="201"/>
      <c r="Q79" s="201"/>
      <c r="R79" s="201"/>
      <c r="S79" s="201"/>
      <c r="T79" s="201"/>
      <c r="U79" s="201"/>
      <c r="V79" s="192">
        <f t="shared" si="66"/>
        <v>0</v>
      </c>
    </row>
    <row r="80" spans="1:24" s="130" customFormat="1" ht="15" customHeight="1" thickBot="1" x14ac:dyDescent="0.3">
      <c r="A80" s="189"/>
      <c r="B80" s="131">
        <v>1</v>
      </c>
      <c r="C80" s="131">
        <v>0</v>
      </c>
      <c r="D80" s="132">
        <f>'Data Ocupacion'!X37</f>
        <v>1</v>
      </c>
      <c r="E80" s="132">
        <f>'Data Ocupacion'!Y37</f>
        <v>0</v>
      </c>
      <c r="F80" s="131" t="s">
        <v>35</v>
      </c>
      <c r="G80" s="131">
        <f t="shared" si="62"/>
        <v>1</v>
      </c>
      <c r="H80" s="131">
        <f t="shared" si="63"/>
        <v>1</v>
      </c>
      <c r="I80" s="131">
        <f>G80*J$1</f>
        <v>25.4</v>
      </c>
      <c r="J80" s="160">
        <f>H80*J$1</f>
        <v>25.4</v>
      </c>
      <c r="K80" s="131">
        <f t="shared" si="64"/>
        <v>2641.6</v>
      </c>
      <c r="L80" s="131">
        <f t="shared" si="65"/>
        <v>104</v>
      </c>
      <c r="M80" s="19"/>
      <c r="N80" s="19"/>
      <c r="O80" s="153"/>
      <c r="P80" s="201"/>
      <c r="Q80" s="201"/>
      <c r="R80" s="201"/>
      <c r="S80" s="201"/>
      <c r="T80" s="201"/>
      <c r="U80" s="201"/>
      <c r="V80" s="192">
        <f>I80</f>
        <v>25.4</v>
      </c>
    </row>
    <row r="81" spans="1:22" ht="15" customHeight="1" thickBot="1" x14ac:dyDescent="0.3">
      <c r="A81" s="20"/>
      <c r="B81" s="235">
        <f>SUM(B75:B80)</f>
        <v>78</v>
      </c>
      <c r="C81" s="235">
        <f>SUM(C75:C80)</f>
        <v>106</v>
      </c>
      <c r="D81" s="159">
        <f>SUM(D75:D80)</f>
        <v>82</v>
      </c>
      <c r="E81" s="159">
        <f>SUM(E75:E80)</f>
        <v>102</v>
      </c>
      <c r="F81" s="124"/>
      <c r="G81" s="124">
        <f t="shared" ref="G81:L81" si="67">SUM(G75:G80)</f>
        <v>286</v>
      </c>
      <c r="H81" s="124">
        <f t="shared" si="67"/>
        <v>184</v>
      </c>
      <c r="I81" s="125">
        <f t="shared" si="67"/>
        <v>12303.43</v>
      </c>
      <c r="J81" s="124">
        <f t="shared" si="67"/>
        <v>7904.1699999999992</v>
      </c>
      <c r="K81" s="123">
        <f t="shared" si="67"/>
        <v>1279556.72</v>
      </c>
      <c r="L81" s="158">
        <f t="shared" si="67"/>
        <v>19136</v>
      </c>
      <c r="M81" s="129">
        <f>'Odometro-Kilometraje'!L81</f>
        <v>12796</v>
      </c>
      <c r="N81" s="21">
        <f>(V81/M81)*100</f>
        <v>94.761097217880589</v>
      </c>
      <c r="O81" s="204"/>
      <c r="P81" s="191"/>
      <c r="Q81" s="191"/>
      <c r="R81" s="191"/>
      <c r="S81" s="191"/>
      <c r="T81" s="191"/>
      <c r="U81" s="191"/>
      <c r="V81" s="205">
        <f>SUM(V75:V80)</f>
        <v>12125.63</v>
      </c>
    </row>
    <row r="82" spans="1:22" ht="15.75" customHeight="1" x14ac:dyDescent="0.25">
      <c r="A82" s="62">
        <f>A75+1</f>
        <v>45394</v>
      </c>
      <c r="B82" s="131">
        <v>39</v>
      </c>
      <c r="C82" s="131">
        <v>53</v>
      </c>
      <c r="D82" s="132">
        <f>'Data Ocupacion'!Z32</f>
        <v>42</v>
      </c>
      <c r="E82" s="132">
        <f>'Data Ocupacion'!AA32</f>
        <v>50</v>
      </c>
      <c r="F82" s="131" t="s">
        <v>38</v>
      </c>
      <c r="G82" s="131">
        <f t="shared" ref="G82:G87" si="68">D82+E82*2</f>
        <v>142</v>
      </c>
      <c r="H82" s="131">
        <f t="shared" ref="H82:H87" si="69">D82+E82</f>
        <v>92</v>
      </c>
      <c r="I82" s="131">
        <f>G82*L$2</f>
        <v>6124.46</v>
      </c>
      <c r="J82" s="160">
        <f>H82*L$2</f>
        <v>3967.96</v>
      </c>
      <c r="K82" s="131">
        <f t="shared" ref="K82:K87" si="70">I82*104</f>
        <v>636943.84</v>
      </c>
      <c r="L82" s="131">
        <f t="shared" ref="L82:L87" si="71">H82*104</f>
        <v>9568</v>
      </c>
      <c r="M82" s="19"/>
      <c r="N82" s="19"/>
      <c r="O82" s="153"/>
      <c r="P82" s="273">
        <v>5</v>
      </c>
      <c r="Q82" s="193"/>
      <c r="R82" s="221"/>
      <c r="S82" s="310">
        <v>5</v>
      </c>
      <c r="T82" s="203"/>
      <c r="U82" s="251"/>
      <c r="V82" s="196">
        <f>I82-((P82*($L$2-$J$1)))-(S82*($J$1))</f>
        <v>5908.81</v>
      </c>
    </row>
    <row r="83" spans="1:22" ht="15" customHeight="1" x14ac:dyDescent="0.25">
      <c r="A83" s="189"/>
      <c r="B83" s="131">
        <v>37</v>
      </c>
      <c r="C83" s="131">
        <v>53</v>
      </c>
      <c r="D83" s="132">
        <f>'Data Ocupacion'!Z33</f>
        <v>38</v>
      </c>
      <c r="E83" s="132">
        <f>'Data Ocupacion'!AA33</f>
        <v>51</v>
      </c>
      <c r="F83" s="131" t="s">
        <v>52</v>
      </c>
      <c r="G83" s="131">
        <f t="shared" si="68"/>
        <v>140</v>
      </c>
      <c r="H83" s="131">
        <f t="shared" si="69"/>
        <v>89</v>
      </c>
      <c r="I83" s="131">
        <f>G83*L$2</f>
        <v>6038.2000000000007</v>
      </c>
      <c r="J83" s="160">
        <f>H83*L$2</f>
        <v>3838.57</v>
      </c>
      <c r="K83" s="131">
        <f t="shared" si="70"/>
        <v>627972.80000000005</v>
      </c>
      <c r="L83" s="131">
        <f t="shared" si="71"/>
        <v>9256</v>
      </c>
      <c r="M83" s="19"/>
      <c r="N83" s="19"/>
      <c r="O83" s="153"/>
      <c r="P83" s="198"/>
      <c r="Q83" s="198"/>
      <c r="R83" s="198"/>
      <c r="S83" s="273"/>
      <c r="T83" s="193"/>
      <c r="U83" s="221"/>
      <c r="V83" s="196">
        <f>I83-(S83*($L$2-$J$1)+(T83*($L$2-$L$1)))</f>
        <v>6038.2000000000007</v>
      </c>
    </row>
    <row r="84" spans="1:22" ht="15" customHeight="1" x14ac:dyDescent="0.25">
      <c r="A84" s="189"/>
      <c r="B84" s="131">
        <v>0</v>
      </c>
      <c r="C84" s="131">
        <v>0</v>
      </c>
      <c r="D84" s="132">
        <f>'Data Ocupacion'!Z34</f>
        <v>0</v>
      </c>
      <c r="E84" s="132">
        <f>'Data Ocupacion'!AA34</f>
        <v>0</v>
      </c>
      <c r="F84" s="131" t="s">
        <v>36</v>
      </c>
      <c r="G84" s="131">
        <f t="shared" si="68"/>
        <v>0</v>
      </c>
      <c r="H84" s="131">
        <f t="shared" si="69"/>
        <v>0</v>
      </c>
      <c r="I84" s="131">
        <f>G84*L$1</f>
        <v>0</v>
      </c>
      <c r="J84" s="160">
        <f>H84*L$1</f>
        <v>0</v>
      </c>
      <c r="K84" s="131">
        <f t="shared" si="70"/>
        <v>0</v>
      </c>
      <c r="L84" s="131">
        <f t="shared" si="71"/>
        <v>0</v>
      </c>
      <c r="M84" s="19"/>
      <c r="N84" s="19"/>
      <c r="O84" s="153"/>
      <c r="P84" s="197"/>
      <c r="Q84" s="199"/>
      <c r="R84" s="222"/>
      <c r="S84" s="200"/>
      <c r="T84" s="201"/>
      <c r="U84" s="201"/>
      <c r="V84" s="192">
        <f>I84-(P84*($L$1-$J$1))</f>
        <v>0</v>
      </c>
    </row>
    <row r="85" spans="1:22" ht="15" customHeight="1" x14ac:dyDescent="0.25">
      <c r="A85" s="189"/>
      <c r="B85" s="131">
        <v>1</v>
      </c>
      <c r="C85" s="131">
        <v>0</v>
      </c>
      <c r="D85" s="132">
        <f>'Data Ocupacion'!Z35</f>
        <v>1</v>
      </c>
      <c r="E85" s="132">
        <f>'Data Ocupacion'!AA35</f>
        <v>0</v>
      </c>
      <c r="F85" s="131" t="s">
        <v>53</v>
      </c>
      <c r="G85" s="131">
        <f t="shared" si="68"/>
        <v>1</v>
      </c>
      <c r="H85" s="131">
        <f t="shared" si="69"/>
        <v>1</v>
      </c>
      <c r="I85" s="131">
        <f>G85*L$1</f>
        <v>29.11</v>
      </c>
      <c r="J85" s="160">
        <f>H85*L$1</f>
        <v>29.11</v>
      </c>
      <c r="K85" s="131">
        <f t="shared" si="70"/>
        <v>3027.44</v>
      </c>
      <c r="L85" s="131">
        <f t="shared" si="71"/>
        <v>104</v>
      </c>
      <c r="M85" s="19"/>
      <c r="N85" s="19"/>
      <c r="O85" s="153"/>
      <c r="P85" s="201"/>
      <c r="Q85" s="201"/>
      <c r="R85" s="201"/>
      <c r="S85" s="201"/>
      <c r="T85" s="201"/>
      <c r="U85" s="201"/>
      <c r="V85" s="192">
        <f t="shared" ref="V85:V86" si="72">I85</f>
        <v>29.11</v>
      </c>
    </row>
    <row r="86" spans="1:22" ht="15" customHeight="1" x14ac:dyDescent="0.25">
      <c r="A86" s="189"/>
      <c r="B86" s="131">
        <v>0</v>
      </c>
      <c r="C86" s="131">
        <v>0</v>
      </c>
      <c r="D86" s="132">
        <f>'Data Ocupacion'!Z36</f>
        <v>0</v>
      </c>
      <c r="E86" s="132">
        <f>'Data Ocupacion'!AA36</f>
        <v>0</v>
      </c>
      <c r="F86" s="131" t="s">
        <v>122</v>
      </c>
      <c r="G86" s="131">
        <f t="shared" si="68"/>
        <v>0</v>
      </c>
      <c r="H86" s="131">
        <f t="shared" si="69"/>
        <v>0</v>
      </c>
      <c r="I86" s="131">
        <f>G86*J$1</f>
        <v>0</v>
      </c>
      <c r="J86" s="160">
        <f>H86*J$1</f>
        <v>0</v>
      </c>
      <c r="K86" s="131">
        <f t="shared" si="70"/>
        <v>0</v>
      </c>
      <c r="L86" s="131">
        <f t="shared" si="71"/>
        <v>0</v>
      </c>
      <c r="M86" s="19"/>
      <c r="N86" s="19"/>
      <c r="O86" s="153"/>
      <c r="P86" s="201"/>
      <c r="Q86" s="201"/>
      <c r="R86" s="201"/>
      <c r="S86" s="201"/>
      <c r="T86" s="201"/>
      <c r="U86" s="201"/>
      <c r="V86" s="192">
        <f t="shared" si="72"/>
        <v>0</v>
      </c>
    </row>
    <row r="87" spans="1:22" ht="15.75" thickBot="1" x14ac:dyDescent="0.3">
      <c r="A87" s="189"/>
      <c r="B87" s="131">
        <v>1</v>
      </c>
      <c r="C87" s="131">
        <v>0</v>
      </c>
      <c r="D87" s="132">
        <f>'Data Ocupacion'!Z37</f>
        <v>1</v>
      </c>
      <c r="E87" s="132">
        <f>'Data Ocupacion'!AA37</f>
        <v>0</v>
      </c>
      <c r="F87" s="131" t="s">
        <v>35</v>
      </c>
      <c r="G87" s="131">
        <f t="shared" si="68"/>
        <v>1</v>
      </c>
      <c r="H87" s="131">
        <f t="shared" si="69"/>
        <v>1</v>
      </c>
      <c r="I87" s="131">
        <f>G87*J$1</f>
        <v>25.4</v>
      </c>
      <c r="J87" s="160">
        <f>H87*J$1</f>
        <v>25.4</v>
      </c>
      <c r="K87" s="131">
        <f t="shared" si="70"/>
        <v>2641.6</v>
      </c>
      <c r="L87" s="131">
        <f t="shared" si="71"/>
        <v>104</v>
      </c>
      <c r="M87" s="19"/>
      <c r="N87" s="19"/>
      <c r="O87" s="153"/>
      <c r="P87" s="201"/>
      <c r="Q87" s="201"/>
      <c r="R87" s="201"/>
      <c r="S87" s="201"/>
      <c r="T87" s="201"/>
      <c r="U87" s="201"/>
      <c r="V87" s="192">
        <f>I87</f>
        <v>25.4</v>
      </c>
    </row>
    <row r="88" spans="1:22" s="130" customFormat="1" ht="15.75" thickBot="1" x14ac:dyDescent="0.3">
      <c r="A88" s="128"/>
      <c r="B88" s="235">
        <f>SUM(B82:B87)</f>
        <v>78</v>
      </c>
      <c r="C88" s="235">
        <f>SUM(C82:C87)</f>
        <v>106</v>
      </c>
      <c r="D88" s="159">
        <f>SUM(D82:D87)</f>
        <v>82</v>
      </c>
      <c r="E88" s="159">
        <f>SUM(E82:E87)</f>
        <v>101</v>
      </c>
      <c r="F88" s="124"/>
      <c r="G88" s="124">
        <f t="shared" ref="G88:L88" si="73">SUM(G82:G87)</f>
        <v>284</v>
      </c>
      <c r="H88" s="124">
        <f t="shared" si="73"/>
        <v>183</v>
      </c>
      <c r="I88" s="125">
        <f t="shared" si="73"/>
        <v>12217.17</v>
      </c>
      <c r="J88" s="124">
        <f t="shared" si="73"/>
        <v>7861.04</v>
      </c>
      <c r="K88" s="123">
        <f t="shared" si="73"/>
        <v>1270585.6800000002</v>
      </c>
      <c r="L88" s="158">
        <f t="shared" si="73"/>
        <v>19032</v>
      </c>
      <c r="M88" s="129">
        <f>'Odometro-Kilometraje'!M81</f>
        <v>12769</v>
      </c>
      <c r="N88" s="21">
        <f>(V88/M88)*100</f>
        <v>93.989505834442809</v>
      </c>
      <c r="O88" s="204"/>
      <c r="P88" s="191"/>
      <c r="Q88" s="191"/>
      <c r="R88" s="191"/>
      <c r="S88" s="191"/>
      <c r="T88" s="191"/>
      <c r="U88" s="191"/>
      <c r="V88" s="205">
        <f>SUM(V82:V87)</f>
        <v>12001.520000000002</v>
      </c>
    </row>
    <row r="89" spans="1:22" x14ac:dyDescent="0.25">
      <c r="A89" s="127">
        <f>A82+1</f>
        <v>45395</v>
      </c>
      <c r="B89" s="305">
        <v>67</v>
      </c>
      <c r="C89" s="305">
        <v>3</v>
      </c>
      <c r="D89" s="306">
        <f>'Data Ocupacion'!AB32</f>
        <v>67</v>
      </c>
      <c r="E89" s="306">
        <f>'Data Ocupacion'!AC32</f>
        <v>3</v>
      </c>
      <c r="F89" s="305" t="s">
        <v>38</v>
      </c>
      <c r="G89" s="305">
        <f t="shared" ref="G89:G94" si="74">D89+E89*2</f>
        <v>73</v>
      </c>
      <c r="H89" s="305">
        <f t="shared" ref="H89:H94" si="75">D89+E89</f>
        <v>70</v>
      </c>
      <c r="I89" s="305">
        <f>G89*L$2</f>
        <v>3148.4900000000002</v>
      </c>
      <c r="J89" s="160">
        <f>H89*L$2</f>
        <v>3019.1000000000004</v>
      </c>
      <c r="K89" s="305">
        <f t="shared" ref="K89:K94" si="76">I89*104</f>
        <v>327442.96000000002</v>
      </c>
      <c r="L89" s="305">
        <f t="shared" ref="L89:L94" si="77">H89*104</f>
        <v>7280</v>
      </c>
      <c r="M89" s="19"/>
      <c r="N89" s="19"/>
      <c r="O89" s="153"/>
      <c r="P89" s="193"/>
      <c r="Q89" s="193"/>
      <c r="R89" s="221"/>
      <c r="S89" s="310"/>
      <c r="T89" s="203"/>
      <c r="U89" s="251"/>
      <c r="V89" s="196">
        <f>I89-((P89*($L$2-$J$1)))-(S89*($J$1))</f>
        <v>3148.4900000000002</v>
      </c>
    </row>
    <row r="90" spans="1:22" ht="17.25" customHeight="1" x14ac:dyDescent="0.25">
      <c r="A90" s="189"/>
      <c r="B90" s="305">
        <v>73</v>
      </c>
      <c r="C90" s="305">
        <v>0</v>
      </c>
      <c r="D90" s="306">
        <f>'Data Ocupacion'!AB33</f>
        <v>73</v>
      </c>
      <c r="E90" s="306">
        <f>'Data Ocupacion'!AC33</f>
        <v>0</v>
      </c>
      <c r="F90" s="305" t="s">
        <v>52</v>
      </c>
      <c r="G90" s="305">
        <f t="shared" si="74"/>
        <v>73</v>
      </c>
      <c r="H90" s="305">
        <f t="shared" si="75"/>
        <v>73</v>
      </c>
      <c r="I90" s="305">
        <f>G90*L$2</f>
        <v>3148.4900000000002</v>
      </c>
      <c r="J90" s="160">
        <f>H90*L$2</f>
        <v>3148.4900000000002</v>
      </c>
      <c r="K90" s="305">
        <f t="shared" si="76"/>
        <v>327442.96000000002</v>
      </c>
      <c r="L90" s="305">
        <f t="shared" si="77"/>
        <v>7592</v>
      </c>
      <c r="M90" s="19"/>
      <c r="N90" s="19"/>
      <c r="O90" s="153"/>
      <c r="P90" s="198"/>
      <c r="Q90" s="198"/>
      <c r="R90" s="198"/>
      <c r="S90" s="273"/>
      <c r="T90" s="195"/>
      <c r="U90" s="252"/>
      <c r="V90" s="196">
        <f>I90-(S90*($L$2-$J$1)+(T90*($L$2-$L$1)))</f>
        <v>3148.4900000000002</v>
      </c>
    </row>
    <row r="91" spans="1:22" x14ac:dyDescent="0.25">
      <c r="A91" s="189"/>
      <c r="B91" s="305">
        <v>0</v>
      </c>
      <c r="C91" s="305">
        <v>0</v>
      </c>
      <c r="D91" s="306">
        <f>'Data Ocupacion'!AB34</f>
        <v>0</v>
      </c>
      <c r="E91" s="306">
        <f>'Data Ocupacion'!AC34</f>
        <v>0</v>
      </c>
      <c r="F91" s="305" t="s">
        <v>36</v>
      </c>
      <c r="G91" s="305">
        <f t="shared" si="74"/>
        <v>0</v>
      </c>
      <c r="H91" s="305">
        <f t="shared" si="75"/>
        <v>0</v>
      </c>
      <c r="I91" s="305">
        <f>G91*L$1</f>
        <v>0</v>
      </c>
      <c r="J91" s="160">
        <f>H91*L$1</f>
        <v>0</v>
      </c>
      <c r="K91" s="305">
        <f t="shared" si="76"/>
        <v>0</v>
      </c>
      <c r="L91" s="305">
        <f t="shared" si="77"/>
        <v>0</v>
      </c>
      <c r="M91" s="19"/>
      <c r="N91" s="19"/>
      <c r="O91" s="153"/>
      <c r="P91" s="273"/>
      <c r="Q91" s="202"/>
      <c r="R91" s="251"/>
      <c r="S91" s="198"/>
      <c r="T91" s="201"/>
      <c r="U91" s="201"/>
      <c r="V91" s="192">
        <f>I91-(P91*($L$1-$J$1))</f>
        <v>0</v>
      </c>
    </row>
    <row r="92" spans="1:22" ht="15" customHeight="1" x14ac:dyDescent="0.25">
      <c r="A92" s="189"/>
      <c r="B92" s="305">
        <v>0</v>
      </c>
      <c r="C92" s="305">
        <v>0</v>
      </c>
      <c r="D92" s="306">
        <f>'Data Ocupacion'!AB35</f>
        <v>0</v>
      </c>
      <c r="E92" s="306">
        <f>'Data Ocupacion'!AC35</f>
        <v>0</v>
      </c>
      <c r="F92" s="305" t="s">
        <v>53</v>
      </c>
      <c r="G92" s="305">
        <f t="shared" si="74"/>
        <v>0</v>
      </c>
      <c r="H92" s="305">
        <f t="shared" si="75"/>
        <v>0</v>
      </c>
      <c r="I92" s="305">
        <f>G92*L$1</f>
        <v>0</v>
      </c>
      <c r="J92" s="160">
        <f>H92*L$1</f>
        <v>0</v>
      </c>
      <c r="K92" s="305">
        <f t="shared" si="76"/>
        <v>0</v>
      </c>
      <c r="L92" s="305">
        <f t="shared" si="77"/>
        <v>0</v>
      </c>
      <c r="M92" s="19"/>
      <c r="N92" s="19"/>
      <c r="O92" s="153"/>
      <c r="P92" s="283"/>
      <c r="Q92" s="283"/>
      <c r="R92" s="283"/>
      <c r="S92" s="283"/>
      <c r="T92" s="201"/>
      <c r="U92" s="201"/>
      <c r="V92" s="192">
        <f t="shared" ref="V92:V93" si="78">I92</f>
        <v>0</v>
      </c>
    </row>
    <row r="93" spans="1:22" ht="15" customHeight="1" x14ac:dyDescent="0.25">
      <c r="A93" s="189"/>
      <c r="B93" s="305">
        <v>0</v>
      </c>
      <c r="C93" s="305">
        <v>0</v>
      </c>
      <c r="D93" s="306">
        <f>'Data Ocupacion'!AB36</f>
        <v>0</v>
      </c>
      <c r="E93" s="306">
        <f>'Data Ocupacion'!AC36</f>
        <v>0</v>
      </c>
      <c r="F93" s="305" t="s">
        <v>122</v>
      </c>
      <c r="G93" s="305">
        <f t="shared" si="74"/>
        <v>0</v>
      </c>
      <c r="H93" s="305">
        <f t="shared" si="75"/>
        <v>0</v>
      </c>
      <c r="I93" s="305">
        <f>G93*J$1</f>
        <v>0</v>
      </c>
      <c r="J93" s="160">
        <f>H93*J$1</f>
        <v>0</v>
      </c>
      <c r="K93" s="305">
        <f t="shared" si="76"/>
        <v>0</v>
      </c>
      <c r="L93" s="305">
        <f t="shared" si="77"/>
        <v>0</v>
      </c>
      <c r="M93" s="19"/>
      <c r="N93" s="19"/>
      <c r="O93" s="153"/>
      <c r="P93" s="283"/>
      <c r="Q93" s="283"/>
      <c r="R93" s="283"/>
      <c r="S93" s="283"/>
      <c r="T93" s="201"/>
      <c r="U93" s="201"/>
      <c r="V93" s="192">
        <f t="shared" si="78"/>
        <v>0</v>
      </c>
    </row>
    <row r="94" spans="1:22" ht="15.75" thickBot="1" x14ac:dyDescent="0.3">
      <c r="A94" s="189"/>
      <c r="B94" s="305">
        <v>0</v>
      </c>
      <c r="C94" s="305">
        <v>0</v>
      </c>
      <c r="D94" s="306">
        <f>'Data Ocupacion'!AB37</f>
        <v>0</v>
      </c>
      <c r="E94" s="306">
        <f>'Data Ocupacion'!AC37</f>
        <v>0</v>
      </c>
      <c r="F94" s="305" t="s">
        <v>35</v>
      </c>
      <c r="G94" s="305">
        <f t="shared" si="74"/>
        <v>0</v>
      </c>
      <c r="H94" s="305">
        <f t="shared" si="75"/>
        <v>0</v>
      </c>
      <c r="I94" s="305">
        <f>G94*J$1</f>
        <v>0</v>
      </c>
      <c r="J94" s="160">
        <f>H94*J$1</f>
        <v>0</v>
      </c>
      <c r="K94" s="305">
        <f t="shared" si="76"/>
        <v>0</v>
      </c>
      <c r="L94" s="305">
        <f t="shared" si="77"/>
        <v>0</v>
      </c>
      <c r="M94" s="19"/>
      <c r="N94" s="19"/>
      <c r="O94" s="153"/>
      <c r="P94" s="283"/>
      <c r="Q94" s="283"/>
      <c r="R94" s="283"/>
      <c r="S94" s="283"/>
      <c r="T94" s="201"/>
      <c r="U94" s="201"/>
      <c r="V94" s="192">
        <f>I94</f>
        <v>0</v>
      </c>
    </row>
    <row r="95" spans="1:22" s="130" customFormat="1" ht="15.75" thickBot="1" x14ac:dyDescent="0.3">
      <c r="A95" s="20"/>
      <c r="B95" s="235">
        <f>SUM(B89:B94)</f>
        <v>140</v>
      </c>
      <c r="C95" s="235">
        <f>SUM(C89:C94)</f>
        <v>3</v>
      </c>
      <c r="D95" s="159">
        <f>SUM(D89:D94)</f>
        <v>140</v>
      </c>
      <c r="E95" s="159">
        <f>SUM(E89:E94)</f>
        <v>3</v>
      </c>
      <c r="F95" s="124"/>
      <c r="G95" s="124">
        <f t="shared" ref="G95:L95" si="79">SUM(G89:G94)</f>
        <v>146</v>
      </c>
      <c r="H95" s="124">
        <f t="shared" si="79"/>
        <v>143</v>
      </c>
      <c r="I95" s="125">
        <f t="shared" si="79"/>
        <v>6296.9800000000005</v>
      </c>
      <c r="J95" s="124">
        <f t="shared" si="79"/>
        <v>6167.59</v>
      </c>
      <c r="K95" s="123">
        <f t="shared" si="79"/>
        <v>654885.92000000004</v>
      </c>
      <c r="L95" s="158">
        <f t="shared" si="79"/>
        <v>14872</v>
      </c>
      <c r="M95" s="129">
        <f>'Odometro-Kilometraje'!N81</f>
        <v>6388</v>
      </c>
      <c r="N95" s="21">
        <f>(V95/M95)*100</f>
        <v>98.575140889167201</v>
      </c>
      <c r="O95" s="204"/>
      <c r="P95" s="284"/>
      <c r="Q95" s="284"/>
      <c r="R95" s="284"/>
      <c r="S95" s="284"/>
      <c r="T95" s="191"/>
      <c r="U95" s="191"/>
      <c r="V95" s="205">
        <f>SUM(V89:V94)</f>
        <v>6296.9800000000005</v>
      </c>
    </row>
    <row r="96" spans="1:22" ht="17.25" customHeight="1" x14ac:dyDescent="0.25">
      <c r="A96" s="62">
        <f>A89+1</f>
        <v>45396</v>
      </c>
      <c r="B96" s="236">
        <v>51</v>
      </c>
      <c r="C96" s="236">
        <v>3</v>
      </c>
      <c r="D96" s="144">
        <f>'Data Ocupacion'!AD32</f>
        <v>51</v>
      </c>
      <c r="E96" s="144">
        <f>'Data Ocupacion'!AE32</f>
        <v>3</v>
      </c>
      <c r="F96" s="315" t="s">
        <v>38</v>
      </c>
      <c r="G96" s="316">
        <f t="shared" ref="G96:G101" si="80">D96+E96*2</f>
        <v>57</v>
      </c>
      <c r="H96" s="317">
        <f t="shared" ref="H96:H101" si="81">D96+E96</f>
        <v>54</v>
      </c>
      <c r="I96" s="317">
        <f>G96*L$2</f>
        <v>2458.4100000000003</v>
      </c>
      <c r="J96" s="160">
        <f>H96*L$2</f>
        <v>2329.02</v>
      </c>
      <c r="K96" s="236">
        <f t="shared" ref="K96:K101" si="82">I96*104</f>
        <v>255674.64000000004</v>
      </c>
      <c r="L96" s="236">
        <f t="shared" ref="L96:L101" si="83">H96*104</f>
        <v>5616</v>
      </c>
      <c r="M96" s="19"/>
      <c r="N96" s="19"/>
      <c r="O96" s="153"/>
      <c r="P96" s="273"/>
      <c r="Q96" s="193"/>
      <c r="R96" s="221"/>
      <c r="S96" s="310"/>
      <c r="T96" s="203"/>
      <c r="U96" s="251"/>
      <c r="V96" s="196">
        <f>I96-((P96*($L$2-$J$1)))-(S96*($J$1))</f>
        <v>2458.4100000000003</v>
      </c>
    </row>
    <row r="97" spans="1:24" ht="15" customHeight="1" x14ac:dyDescent="0.25">
      <c r="A97" s="291"/>
      <c r="B97" s="236">
        <v>57</v>
      </c>
      <c r="C97" s="236">
        <v>0</v>
      </c>
      <c r="D97" s="144">
        <f>'Data Ocupacion'!AD33</f>
        <v>57</v>
      </c>
      <c r="E97" s="144">
        <f>'Data Ocupacion'!AE33</f>
        <v>0</v>
      </c>
      <c r="F97" s="315" t="s">
        <v>52</v>
      </c>
      <c r="G97" s="316">
        <f t="shared" si="80"/>
        <v>57</v>
      </c>
      <c r="H97" s="236">
        <f t="shared" si="81"/>
        <v>57</v>
      </c>
      <c r="I97" s="236">
        <f>G97*L$2</f>
        <v>2458.4100000000003</v>
      </c>
      <c r="J97" s="160">
        <f>H97*L$2</f>
        <v>2458.4100000000003</v>
      </c>
      <c r="K97" s="236">
        <f t="shared" si="82"/>
        <v>255674.64000000004</v>
      </c>
      <c r="L97" s="236">
        <f t="shared" si="83"/>
        <v>5928</v>
      </c>
      <c r="M97" s="19"/>
      <c r="N97" s="19"/>
      <c r="O97" s="153"/>
      <c r="P97" s="198"/>
      <c r="Q97" s="198"/>
      <c r="R97" s="198"/>
      <c r="S97" s="273"/>
      <c r="T97" s="219"/>
      <c r="U97" s="221"/>
      <c r="V97" s="196">
        <f>I97-(S97*($L$2-$J$1)+(T97*($L$2-$L$1)))</f>
        <v>2458.4100000000003</v>
      </c>
    </row>
    <row r="98" spans="1:24" ht="15" customHeight="1" x14ac:dyDescent="0.25">
      <c r="A98" s="291"/>
      <c r="B98" s="236">
        <v>0</v>
      </c>
      <c r="C98" s="236">
        <v>0</v>
      </c>
      <c r="D98" s="144">
        <f>'Data Ocupacion'!AD34</f>
        <v>0</v>
      </c>
      <c r="E98" s="144">
        <f>'Data Ocupacion'!AE34</f>
        <v>0</v>
      </c>
      <c r="F98" s="315" t="s">
        <v>36</v>
      </c>
      <c r="G98" s="316">
        <f t="shared" si="80"/>
        <v>0</v>
      </c>
      <c r="H98" s="236">
        <f t="shared" si="81"/>
        <v>0</v>
      </c>
      <c r="I98" s="236">
        <f>G98*L$1</f>
        <v>0</v>
      </c>
      <c r="J98" s="160">
        <f>H98*L$1</f>
        <v>0</v>
      </c>
      <c r="K98" s="236">
        <f t="shared" si="82"/>
        <v>0</v>
      </c>
      <c r="L98" s="236">
        <f t="shared" si="83"/>
        <v>0</v>
      </c>
      <c r="M98" s="19"/>
      <c r="N98" s="19"/>
      <c r="O98" s="153"/>
      <c r="P98" s="197"/>
      <c r="Q98" s="199"/>
      <c r="R98" s="222"/>
      <c r="S98" s="200"/>
      <c r="T98" s="201"/>
      <c r="U98" s="201"/>
      <c r="V98" s="192">
        <f>I98-(P98*($L$1-$J$1))</f>
        <v>0</v>
      </c>
    </row>
    <row r="99" spans="1:24" ht="15" customHeight="1" x14ac:dyDescent="0.25">
      <c r="A99" s="291"/>
      <c r="B99" s="236">
        <v>0</v>
      </c>
      <c r="C99" s="236">
        <v>0</v>
      </c>
      <c r="D99" s="144">
        <f>'Data Ocupacion'!AD35</f>
        <v>0</v>
      </c>
      <c r="E99" s="144">
        <f>'Data Ocupacion'!AE35</f>
        <v>0</v>
      </c>
      <c r="F99" s="315" t="s">
        <v>53</v>
      </c>
      <c r="G99" s="316">
        <f t="shared" si="80"/>
        <v>0</v>
      </c>
      <c r="H99" s="236">
        <f t="shared" si="81"/>
        <v>0</v>
      </c>
      <c r="I99" s="236">
        <f>G99*L$1</f>
        <v>0</v>
      </c>
      <c r="J99" s="160">
        <f>H99*L$1</f>
        <v>0</v>
      </c>
      <c r="K99" s="236">
        <f t="shared" si="82"/>
        <v>0</v>
      </c>
      <c r="L99" s="236">
        <f t="shared" si="83"/>
        <v>0</v>
      </c>
      <c r="M99" s="19"/>
      <c r="N99" s="19"/>
      <c r="O99" s="153"/>
      <c r="P99" s="201"/>
      <c r="Q99" s="201"/>
      <c r="R99" s="201"/>
      <c r="S99" s="201"/>
      <c r="T99" s="201"/>
      <c r="U99" s="201"/>
      <c r="V99" s="192">
        <f t="shared" ref="V99:V100" si="84">I99</f>
        <v>0</v>
      </c>
    </row>
    <row r="100" spans="1:24" ht="15" customHeight="1" x14ac:dyDescent="0.25">
      <c r="A100" s="291"/>
      <c r="B100" s="236">
        <v>0</v>
      </c>
      <c r="C100" s="236">
        <v>0</v>
      </c>
      <c r="D100" s="144">
        <f>'Data Ocupacion'!AD36</f>
        <v>0</v>
      </c>
      <c r="E100" s="144">
        <f>'Data Ocupacion'!AE36</f>
        <v>0</v>
      </c>
      <c r="F100" s="315" t="s">
        <v>122</v>
      </c>
      <c r="G100" s="316">
        <f t="shared" si="80"/>
        <v>0</v>
      </c>
      <c r="H100" s="236">
        <f t="shared" si="81"/>
        <v>0</v>
      </c>
      <c r="I100" s="318">
        <f>G100*J$1</f>
        <v>0</v>
      </c>
      <c r="J100" s="160">
        <f>H100*J$1</f>
        <v>0</v>
      </c>
      <c r="K100" s="236">
        <f t="shared" si="82"/>
        <v>0</v>
      </c>
      <c r="L100" s="236">
        <f t="shared" si="83"/>
        <v>0</v>
      </c>
      <c r="M100" s="19"/>
      <c r="N100" s="19"/>
      <c r="O100" s="153"/>
      <c r="P100" s="201"/>
      <c r="Q100" s="201"/>
      <c r="R100" s="201"/>
      <c r="S100" s="201"/>
      <c r="T100" s="201"/>
      <c r="U100" s="201"/>
      <c r="V100" s="192">
        <f t="shared" si="84"/>
        <v>0</v>
      </c>
    </row>
    <row r="101" spans="1:24" ht="15" customHeight="1" thickBot="1" x14ac:dyDescent="0.3">
      <c r="A101" s="291"/>
      <c r="B101" s="236">
        <v>0</v>
      </c>
      <c r="C101" s="236">
        <v>0</v>
      </c>
      <c r="D101" s="144">
        <f>'Data Ocupacion'!AD37</f>
        <v>0</v>
      </c>
      <c r="E101" s="144">
        <f>'Data Ocupacion'!AE37</f>
        <v>0</v>
      </c>
      <c r="F101" s="315" t="s">
        <v>35</v>
      </c>
      <c r="G101" s="316">
        <f t="shared" si="80"/>
        <v>0</v>
      </c>
      <c r="H101" s="319">
        <f t="shared" si="81"/>
        <v>0</v>
      </c>
      <c r="I101" s="319">
        <f>G101*J$1</f>
        <v>0</v>
      </c>
      <c r="J101" s="160">
        <f>H101*J$1</f>
        <v>0</v>
      </c>
      <c r="K101" s="236">
        <f t="shared" si="82"/>
        <v>0</v>
      </c>
      <c r="L101" s="236">
        <f t="shared" si="83"/>
        <v>0</v>
      </c>
      <c r="M101" s="19"/>
      <c r="N101" s="19"/>
      <c r="O101" s="153"/>
      <c r="P101" s="201"/>
      <c r="Q101" s="201"/>
      <c r="R101" s="201"/>
      <c r="S101" s="201"/>
      <c r="T101" s="201"/>
      <c r="U101" s="201"/>
      <c r="V101" s="192">
        <f>I101</f>
        <v>0</v>
      </c>
    </row>
    <row r="102" spans="1:24" s="130" customFormat="1" ht="15" customHeight="1" thickBot="1" x14ac:dyDescent="0.3">
      <c r="A102" s="20"/>
      <c r="B102" s="235">
        <f>SUM(B96:B101)</f>
        <v>108</v>
      </c>
      <c r="C102" s="235">
        <f>SUM(C96:C101)</f>
        <v>3</v>
      </c>
      <c r="D102" s="155">
        <f>SUM(D96:D101)</f>
        <v>108</v>
      </c>
      <c r="E102" s="155">
        <f>SUM(E96:E101)</f>
        <v>3</v>
      </c>
      <c r="F102" s="124"/>
      <c r="G102" s="124">
        <f t="shared" ref="G102:L102" si="85">SUM(G96:G101)</f>
        <v>114</v>
      </c>
      <c r="H102" s="124">
        <f t="shared" si="85"/>
        <v>111</v>
      </c>
      <c r="I102" s="125">
        <f t="shared" si="85"/>
        <v>4916.8200000000006</v>
      </c>
      <c r="J102" s="124">
        <f t="shared" si="85"/>
        <v>4787.43</v>
      </c>
      <c r="K102" s="124">
        <f t="shared" si="85"/>
        <v>511349.28000000009</v>
      </c>
      <c r="L102" s="124">
        <f t="shared" si="85"/>
        <v>11544</v>
      </c>
      <c r="M102" s="129">
        <f>'Odometro-Kilometraje'!O81</f>
        <v>4951</v>
      </c>
      <c r="N102" s="21">
        <f>(V102/M102)*100</f>
        <v>99.309634417289445</v>
      </c>
      <c r="O102" s="204"/>
      <c r="P102" s="191"/>
      <c r="Q102" s="191"/>
      <c r="R102" s="191"/>
      <c r="S102" s="191"/>
      <c r="T102" s="191"/>
      <c r="U102" s="191"/>
      <c r="V102" s="205">
        <f>SUM(V96:V101)</f>
        <v>4916.8200000000006</v>
      </c>
    </row>
    <row r="103" spans="1:24" ht="15.75" customHeight="1" x14ac:dyDescent="0.25">
      <c r="A103" s="62">
        <f>A96+1</f>
        <v>45397</v>
      </c>
      <c r="B103" s="131">
        <v>39</v>
      </c>
      <c r="C103" s="131">
        <v>53</v>
      </c>
      <c r="D103" s="132">
        <f>'Data Ocupacion'!AF32</f>
        <v>40</v>
      </c>
      <c r="E103" s="132">
        <f>'Data Ocupacion'!AG32</f>
        <v>52</v>
      </c>
      <c r="F103" s="240" t="s">
        <v>38</v>
      </c>
      <c r="G103" s="241">
        <f t="shared" ref="G103:G108" si="86">D103+E103*2</f>
        <v>144</v>
      </c>
      <c r="H103" s="242">
        <f t="shared" ref="H103:H108" si="87">D103+E103</f>
        <v>92</v>
      </c>
      <c r="I103" s="242">
        <f>G103*L$2</f>
        <v>6210.72</v>
      </c>
      <c r="J103" s="160">
        <f>H103*L$2</f>
        <v>3967.96</v>
      </c>
      <c r="K103" s="131">
        <f t="shared" ref="K103:K108" si="88">I103*104</f>
        <v>645914.88</v>
      </c>
      <c r="L103" s="131">
        <f t="shared" ref="L103:L108" si="89">H103*104</f>
        <v>9568</v>
      </c>
      <c r="M103" s="19"/>
      <c r="N103" s="19"/>
      <c r="O103" s="153"/>
      <c r="P103" s="273">
        <v>4</v>
      </c>
      <c r="Q103" s="193"/>
      <c r="R103" s="221"/>
      <c r="S103" s="310">
        <v>4</v>
      </c>
      <c r="T103" s="203"/>
      <c r="U103" s="251"/>
      <c r="V103" s="196">
        <f>I103-((P103*($L$2-$J$1)))-(S103*($J$1))</f>
        <v>6038.2</v>
      </c>
    </row>
    <row r="104" spans="1:24" ht="15" customHeight="1" x14ac:dyDescent="0.25">
      <c r="A104" s="214"/>
      <c r="B104" s="131">
        <v>37</v>
      </c>
      <c r="C104" s="131">
        <v>53</v>
      </c>
      <c r="D104" s="132">
        <f>'Data Ocupacion'!AF33</f>
        <v>38</v>
      </c>
      <c r="E104" s="132">
        <f>'Data Ocupacion'!AG33</f>
        <v>52</v>
      </c>
      <c r="F104" s="240" t="s">
        <v>52</v>
      </c>
      <c r="G104" s="241">
        <f t="shared" si="86"/>
        <v>142</v>
      </c>
      <c r="H104" s="131">
        <f t="shared" si="87"/>
        <v>90</v>
      </c>
      <c r="I104" s="131">
        <f>G104*L$2</f>
        <v>6124.46</v>
      </c>
      <c r="J104" s="160">
        <f>H104*L$2</f>
        <v>3881.7000000000003</v>
      </c>
      <c r="K104" s="131">
        <f t="shared" si="88"/>
        <v>636943.84</v>
      </c>
      <c r="L104" s="131">
        <f t="shared" si="89"/>
        <v>9360</v>
      </c>
      <c r="M104" s="19"/>
      <c r="N104" s="19"/>
      <c r="O104" s="153"/>
      <c r="P104" s="198"/>
      <c r="Q104" s="198"/>
      <c r="R104" s="198"/>
      <c r="S104" s="266"/>
      <c r="T104" s="195"/>
      <c r="U104" s="252"/>
      <c r="V104" s="196">
        <f>I104-(S104*($L$2-$J$1)+(T104*($L$2-$L$1)))</f>
        <v>6124.46</v>
      </c>
    </row>
    <row r="105" spans="1:24" ht="14.25" customHeight="1" x14ac:dyDescent="0.25">
      <c r="A105" s="214"/>
      <c r="B105" s="131">
        <v>0</v>
      </c>
      <c r="C105" s="131">
        <v>0</v>
      </c>
      <c r="D105" s="132">
        <f>'Data Ocupacion'!AF34</f>
        <v>0</v>
      </c>
      <c r="E105" s="132">
        <f>'Data Ocupacion'!AG34</f>
        <v>0</v>
      </c>
      <c r="F105" s="240" t="s">
        <v>36</v>
      </c>
      <c r="G105" s="241">
        <f t="shared" si="86"/>
        <v>0</v>
      </c>
      <c r="H105" s="131">
        <f t="shared" si="87"/>
        <v>0</v>
      </c>
      <c r="I105" s="131">
        <f>G105*L$1</f>
        <v>0</v>
      </c>
      <c r="J105" s="160">
        <f>H105*L$1</f>
        <v>0</v>
      </c>
      <c r="K105" s="131">
        <f t="shared" si="88"/>
        <v>0</v>
      </c>
      <c r="L105" s="131">
        <f t="shared" si="89"/>
        <v>0</v>
      </c>
      <c r="M105" s="19"/>
      <c r="N105" s="19"/>
      <c r="O105" s="153"/>
      <c r="P105" s="197"/>
      <c r="Q105" s="199"/>
      <c r="R105" s="222"/>
      <c r="S105" s="200"/>
      <c r="T105" s="201"/>
      <c r="U105" s="201"/>
      <c r="V105" s="192">
        <f>I105-(P105*($L$1-$J$1))</f>
        <v>0</v>
      </c>
    </row>
    <row r="106" spans="1:24" ht="15" customHeight="1" x14ac:dyDescent="0.25">
      <c r="A106" s="214"/>
      <c r="B106" s="131">
        <v>1</v>
      </c>
      <c r="C106" s="131">
        <v>0</v>
      </c>
      <c r="D106" s="132">
        <f>'Data Ocupacion'!AF35</f>
        <v>1</v>
      </c>
      <c r="E106" s="132">
        <f>'Data Ocupacion'!AG35</f>
        <v>0</v>
      </c>
      <c r="F106" s="240" t="s">
        <v>53</v>
      </c>
      <c r="G106" s="241">
        <f t="shared" si="86"/>
        <v>1</v>
      </c>
      <c r="H106" s="131">
        <f t="shared" si="87"/>
        <v>1</v>
      </c>
      <c r="I106" s="131">
        <f>G106*L$1</f>
        <v>29.11</v>
      </c>
      <c r="J106" s="160">
        <f>H106*L$1</f>
        <v>29.11</v>
      </c>
      <c r="K106" s="131">
        <f t="shared" si="88"/>
        <v>3027.44</v>
      </c>
      <c r="L106" s="131">
        <f t="shared" si="89"/>
        <v>104</v>
      </c>
      <c r="M106" s="19"/>
      <c r="N106" s="19"/>
      <c r="O106" s="153"/>
      <c r="P106" s="201"/>
      <c r="Q106" s="201"/>
      <c r="R106" s="201"/>
      <c r="S106" s="201"/>
      <c r="T106" s="201"/>
      <c r="U106" s="201"/>
      <c r="V106" s="192">
        <f t="shared" ref="V106:V107" si="90">I106</f>
        <v>29.11</v>
      </c>
    </row>
    <row r="107" spans="1:24" ht="15" customHeight="1" x14ac:dyDescent="0.25">
      <c r="A107" s="214"/>
      <c r="B107" s="131">
        <v>0</v>
      </c>
      <c r="C107" s="131">
        <v>0</v>
      </c>
      <c r="D107" s="132">
        <f>'Data Ocupacion'!AF36</f>
        <v>0</v>
      </c>
      <c r="E107" s="132">
        <f>'Data Ocupacion'!AG36</f>
        <v>0</v>
      </c>
      <c r="F107" s="240" t="s">
        <v>122</v>
      </c>
      <c r="G107" s="241">
        <f t="shared" si="86"/>
        <v>0</v>
      </c>
      <c r="H107" s="131">
        <f t="shared" si="87"/>
        <v>0</v>
      </c>
      <c r="I107" s="243">
        <f>G107*J$1</f>
        <v>0</v>
      </c>
      <c r="J107" s="160">
        <f>H107*J$1</f>
        <v>0</v>
      </c>
      <c r="K107" s="131">
        <f t="shared" si="88"/>
        <v>0</v>
      </c>
      <c r="L107" s="131">
        <f t="shared" si="89"/>
        <v>0</v>
      </c>
      <c r="M107" s="19"/>
      <c r="N107" s="19"/>
      <c r="O107" s="153"/>
      <c r="P107" s="201"/>
      <c r="Q107" s="201"/>
      <c r="R107" s="201"/>
      <c r="S107" s="201"/>
      <c r="T107" s="201"/>
      <c r="U107" s="201"/>
      <c r="V107" s="192">
        <f t="shared" si="90"/>
        <v>0</v>
      </c>
    </row>
    <row r="108" spans="1:24" ht="15" customHeight="1" thickBot="1" x14ac:dyDescent="0.3">
      <c r="A108" s="214"/>
      <c r="B108" s="131">
        <v>1</v>
      </c>
      <c r="C108" s="131">
        <v>0</v>
      </c>
      <c r="D108" s="132">
        <f>'Data Ocupacion'!AF37</f>
        <v>1</v>
      </c>
      <c r="E108" s="132">
        <f>'Data Ocupacion'!AG37</f>
        <v>0</v>
      </c>
      <c r="F108" s="240" t="s">
        <v>35</v>
      </c>
      <c r="G108" s="241">
        <f t="shared" si="86"/>
        <v>1</v>
      </c>
      <c r="H108" s="244">
        <f t="shared" si="87"/>
        <v>1</v>
      </c>
      <c r="I108" s="244">
        <f>G108*J$1</f>
        <v>25.4</v>
      </c>
      <c r="J108" s="160">
        <f>H108*J$1</f>
        <v>25.4</v>
      </c>
      <c r="K108" s="131">
        <f t="shared" si="88"/>
        <v>2641.6</v>
      </c>
      <c r="L108" s="131">
        <f t="shared" si="89"/>
        <v>104</v>
      </c>
      <c r="M108" s="19"/>
      <c r="N108" s="19"/>
      <c r="O108" s="153"/>
      <c r="P108" s="201"/>
      <c r="Q108" s="201"/>
      <c r="R108" s="201"/>
      <c r="S108" s="201"/>
      <c r="T108" s="201"/>
      <c r="U108" s="201"/>
      <c r="V108" s="192">
        <f>I108</f>
        <v>25.4</v>
      </c>
    </row>
    <row r="109" spans="1:24" s="130" customFormat="1" ht="15" customHeight="1" thickBot="1" x14ac:dyDescent="0.3">
      <c r="A109" s="20"/>
      <c r="B109" s="235">
        <f>SUM(B103:B108)</f>
        <v>78</v>
      </c>
      <c r="C109" s="235">
        <f>SUM(C103:C108)</f>
        <v>106</v>
      </c>
      <c r="D109" s="155">
        <f>SUM(D103:D108)</f>
        <v>80</v>
      </c>
      <c r="E109" s="155">
        <f>SUM(E103:E108)</f>
        <v>104</v>
      </c>
      <c r="F109" s="124"/>
      <c r="G109" s="124">
        <f t="shared" ref="G109:L109" si="91">SUM(G103:G108)</f>
        <v>288</v>
      </c>
      <c r="H109" s="124">
        <f t="shared" si="91"/>
        <v>184</v>
      </c>
      <c r="I109" s="125">
        <f t="shared" si="91"/>
        <v>12389.69</v>
      </c>
      <c r="J109" s="124">
        <f t="shared" si="91"/>
        <v>7904.1699999999992</v>
      </c>
      <c r="K109" s="124">
        <f t="shared" si="91"/>
        <v>1288527.76</v>
      </c>
      <c r="L109" s="124">
        <f t="shared" si="91"/>
        <v>19136</v>
      </c>
      <c r="M109" s="129">
        <f>'Odometro-Kilometraje'!P81</f>
        <v>12997</v>
      </c>
      <c r="N109" s="21">
        <f>(V109/M109)*100</f>
        <v>93.9999230591675</v>
      </c>
      <c r="O109" s="204"/>
      <c r="P109" s="191"/>
      <c r="Q109" s="191"/>
      <c r="R109" s="191"/>
      <c r="S109" s="191"/>
      <c r="T109" s="191"/>
      <c r="U109" s="191"/>
      <c r="V109" s="205">
        <f>SUM(V103:V108)</f>
        <v>12217.17</v>
      </c>
    </row>
    <row r="110" spans="1:24" ht="15.75" customHeight="1" x14ac:dyDescent="0.25">
      <c r="A110" s="62">
        <f>A103+1</f>
        <v>45398</v>
      </c>
      <c r="B110" s="131">
        <v>39</v>
      </c>
      <c r="C110" s="131">
        <v>53</v>
      </c>
      <c r="D110" s="306">
        <f>'Data Ocupacion'!AH32</f>
        <v>35</v>
      </c>
      <c r="E110" s="306">
        <f>'Data Ocupacion'!AI32</f>
        <v>57</v>
      </c>
      <c r="F110" s="240" t="s">
        <v>38</v>
      </c>
      <c r="G110" s="241">
        <f t="shared" ref="G110:G115" si="92">D110+E110*2</f>
        <v>149</v>
      </c>
      <c r="H110" s="242">
        <f t="shared" ref="H110:H115" si="93">D110+E110</f>
        <v>92</v>
      </c>
      <c r="I110" s="242">
        <f>G110*L$2</f>
        <v>6426.3700000000008</v>
      </c>
      <c r="J110" s="160">
        <f>H110*L$2</f>
        <v>3967.96</v>
      </c>
      <c r="K110" s="131">
        <f t="shared" ref="K110:K115" si="94">I110*104</f>
        <v>668342.4800000001</v>
      </c>
      <c r="L110" s="131">
        <f t="shared" ref="L110:L115" si="95">H110*104</f>
        <v>9568</v>
      </c>
      <c r="M110" s="19"/>
      <c r="N110" s="19"/>
      <c r="O110" s="153"/>
      <c r="P110" s="193">
        <v>4</v>
      </c>
      <c r="Q110" s="193"/>
      <c r="R110" s="221"/>
      <c r="S110" s="310">
        <v>5</v>
      </c>
      <c r="T110" s="203"/>
      <c r="U110" s="251"/>
      <c r="V110" s="196">
        <f>I110-((P110*($L$2-$J$1)))-(S110*($J$1))</f>
        <v>6228.4500000000007</v>
      </c>
    </row>
    <row r="111" spans="1:24" ht="15" customHeight="1" x14ac:dyDescent="0.25">
      <c r="A111" s="291"/>
      <c r="B111" s="131">
        <v>37</v>
      </c>
      <c r="C111" s="131">
        <v>53</v>
      </c>
      <c r="D111" s="306">
        <f>'Data Ocupacion'!AH33</f>
        <v>39</v>
      </c>
      <c r="E111" s="306">
        <f>'Data Ocupacion'!AI33</f>
        <v>51</v>
      </c>
      <c r="F111" s="240" t="s">
        <v>52</v>
      </c>
      <c r="G111" s="241">
        <f t="shared" si="92"/>
        <v>141</v>
      </c>
      <c r="H111" s="131">
        <f t="shared" si="93"/>
        <v>90</v>
      </c>
      <c r="I111" s="131">
        <f>G111*L$2</f>
        <v>6081.33</v>
      </c>
      <c r="J111" s="160">
        <f>H111*L$2</f>
        <v>3881.7000000000003</v>
      </c>
      <c r="K111" s="131">
        <f t="shared" si="94"/>
        <v>632458.31999999995</v>
      </c>
      <c r="L111" s="131">
        <f t="shared" si="95"/>
        <v>9360</v>
      </c>
      <c r="M111" s="19"/>
      <c r="N111" s="19"/>
      <c r="O111" s="153"/>
      <c r="P111" s="198"/>
      <c r="Q111" s="198"/>
      <c r="R111" s="198"/>
      <c r="S111" s="193"/>
      <c r="T111" s="195"/>
      <c r="U111" s="252"/>
      <c r="V111" s="196">
        <f>I111-(S111*($L$2-$J$1)+(T111*($L$2-$L$1)))</f>
        <v>6081.33</v>
      </c>
      <c r="X111" s="179"/>
    </row>
    <row r="112" spans="1:24" x14ac:dyDescent="0.25">
      <c r="A112" s="291"/>
      <c r="B112" s="131">
        <v>0</v>
      </c>
      <c r="C112" s="131">
        <v>0</v>
      </c>
      <c r="D112" s="132">
        <f>'Data Ocupacion'!AH34</f>
        <v>0</v>
      </c>
      <c r="E112" s="132">
        <f>'Data Ocupacion'!AI34</f>
        <v>0</v>
      </c>
      <c r="F112" s="240" t="s">
        <v>36</v>
      </c>
      <c r="G112" s="241">
        <f t="shared" si="92"/>
        <v>0</v>
      </c>
      <c r="H112" s="131">
        <f t="shared" si="93"/>
        <v>0</v>
      </c>
      <c r="I112" s="131">
        <f>G112*L$1</f>
        <v>0</v>
      </c>
      <c r="J112" s="160">
        <f>H112*L$1</f>
        <v>0</v>
      </c>
      <c r="K112" s="131">
        <f t="shared" si="94"/>
        <v>0</v>
      </c>
      <c r="L112" s="131">
        <f t="shared" si="95"/>
        <v>0</v>
      </c>
      <c r="M112" s="19"/>
      <c r="N112" s="19"/>
      <c r="O112" s="153"/>
      <c r="P112" s="197"/>
      <c r="Q112" s="199"/>
      <c r="R112" s="222"/>
      <c r="S112" s="200"/>
      <c r="T112" s="201"/>
      <c r="U112" s="201"/>
      <c r="V112" s="192">
        <f>I112-(P112*($L$1-$J$1))</f>
        <v>0</v>
      </c>
    </row>
    <row r="113" spans="1:25" ht="15.75" customHeight="1" x14ac:dyDescent="0.25">
      <c r="A113" s="291"/>
      <c r="B113" s="131">
        <v>1</v>
      </c>
      <c r="C113" s="131">
        <v>0</v>
      </c>
      <c r="D113" s="132">
        <f>'Data Ocupacion'!AH35</f>
        <v>1</v>
      </c>
      <c r="E113" s="132">
        <f>'Data Ocupacion'!AI35</f>
        <v>0</v>
      </c>
      <c r="F113" s="240" t="s">
        <v>53</v>
      </c>
      <c r="G113" s="241">
        <f t="shared" si="92"/>
        <v>1</v>
      </c>
      <c r="H113" s="131">
        <f t="shared" si="93"/>
        <v>1</v>
      </c>
      <c r="I113" s="131">
        <f>G113*L$1</f>
        <v>29.11</v>
      </c>
      <c r="J113" s="160">
        <f>H113*L$1</f>
        <v>29.11</v>
      </c>
      <c r="K113" s="131">
        <f t="shared" si="94"/>
        <v>3027.44</v>
      </c>
      <c r="L113" s="131">
        <f t="shared" si="95"/>
        <v>104</v>
      </c>
      <c r="M113" s="19"/>
      <c r="N113" s="19"/>
      <c r="O113" s="153"/>
      <c r="P113" s="201"/>
      <c r="Q113" s="201"/>
      <c r="R113" s="201"/>
      <c r="S113" s="201"/>
      <c r="T113" s="201"/>
      <c r="U113" s="201"/>
      <c r="V113" s="192">
        <f t="shared" ref="V113:V114" si="96">I113</f>
        <v>29.11</v>
      </c>
    </row>
    <row r="114" spans="1:25" ht="15" customHeight="1" x14ac:dyDescent="0.25">
      <c r="A114" s="291"/>
      <c r="B114" s="131">
        <v>0</v>
      </c>
      <c r="C114" s="131">
        <v>0</v>
      </c>
      <c r="D114" s="132">
        <f>'Data Ocupacion'!AH36</f>
        <v>0</v>
      </c>
      <c r="E114" s="132">
        <f>'Data Ocupacion'!AI36</f>
        <v>0</v>
      </c>
      <c r="F114" s="240" t="s">
        <v>122</v>
      </c>
      <c r="G114" s="241">
        <f t="shared" si="92"/>
        <v>0</v>
      </c>
      <c r="H114" s="131">
        <f t="shared" si="93"/>
        <v>0</v>
      </c>
      <c r="I114" s="243">
        <f>G114*J$1</f>
        <v>0</v>
      </c>
      <c r="J114" s="160">
        <f>H114*J$1</f>
        <v>0</v>
      </c>
      <c r="K114" s="131">
        <f t="shared" si="94"/>
        <v>0</v>
      </c>
      <c r="L114" s="131">
        <f t="shared" si="95"/>
        <v>0</v>
      </c>
      <c r="M114" s="19"/>
      <c r="N114" s="19"/>
      <c r="O114" s="153"/>
      <c r="P114" s="201"/>
      <c r="Q114" s="201"/>
      <c r="R114" s="201"/>
      <c r="S114" s="201"/>
      <c r="T114" s="201"/>
      <c r="U114" s="201"/>
      <c r="V114" s="192">
        <f t="shared" si="96"/>
        <v>0</v>
      </c>
    </row>
    <row r="115" spans="1:25" ht="15" customHeight="1" thickBot="1" x14ac:dyDescent="0.3">
      <c r="A115" s="291"/>
      <c r="B115" s="131">
        <v>1</v>
      </c>
      <c r="C115" s="131">
        <v>0</v>
      </c>
      <c r="D115" s="132">
        <f>'Data Ocupacion'!AH37</f>
        <v>1</v>
      </c>
      <c r="E115" s="132">
        <f>'Data Ocupacion'!AI37</f>
        <v>0</v>
      </c>
      <c r="F115" s="240" t="s">
        <v>35</v>
      </c>
      <c r="G115" s="241">
        <f t="shared" si="92"/>
        <v>1</v>
      </c>
      <c r="H115" s="244">
        <f t="shared" si="93"/>
        <v>1</v>
      </c>
      <c r="I115" s="244">
        <f>G115*J$1</f>
        <v>25.4</v>
      </c>
      <c r="J115" s="160">
        <f>H115*J$1</f>
        <v>25.4</v>
      </c>
      <c r="K115" s="131">
        <f t="shared" si="94"/>
        <v>2641.6</v>
      </c>
      <c r="L115" s="131">
        <f t="shared" si="95"/>
        <v>104</v>
      </c>
      <c r="M115" s="19"/>
      <c r="N115" s="19"/>
      <c r="O115" s="153"/>
      <c r="P115" s="201"/>
      <c r="Q115" s="201"/>
      <c r="R115" s="201"/>
      <c r="S115" s="201"/>
      <c r="T115" s="201"/>
      <c r="U115" s="201"/>
      <c r="V115" s="192">
        <f>I115</f>
        <v>25.4</v>
      </c>
    </row>
    <row r="116" spans="1:25" s="130" customFormat="1" ht="15" customHeight="1" thickBot="1" x14ac:dyDescent="0.3">
      <c r="A116" s="20"/>
      <c r="B116" s="235">
        <f>SUM(B110:B115)</f>
        <v>78</v>
      </c>
      <c r="C116" s="235">
        <f>SUM(C110:C115)</f>
        <v>106</v>
      </c>
      <c r="D116" s="155">
        <f>SUM(D110:D115)</f>
        <v>76</v>
      </c>
      <c r="E116" s="155">
        <f>SUM(E110:E115)</f>
        <v>108</v>
      </c>
      <c r="F116" s="124"/>
      <c r="G116" s="124">
        <f t="shared" ref="G116:L116" si="97">SUM(G110:G115)</f>
        <v>292</v>
      </c>
      <c r="H116" s="124">
        <f t="shared" si="97"/>
        <v>184</v>
      </c>
      <c r="I116" s="125">
        <f t="shared" si="97"/>
        <v>12562.210000000001</v>
      </c>
      <c r="J116" s="124">
        <f t="shared" si="97"/>
        <v>7904.1699999999992</v>
      </c>
      <c r="K116" s="124">
        <f t="shared" si="97"/>
        <v>1306469.8400000001</v>
      </c>
      <c r="L116" s="124">
        <f t="shared" si="97"/>
        <v>19136</v>
      </c>
      <c r="M116" s="129">
        <f>'Odometro-Kilometraje'!Q81</f>
        <v>12952</v>
      </c>
      <c r="N116" s="21">
        <f>(V116/M116)*100</f>
        <v>95.462399629400878</v>
      </c>
      <c r="O116" s="204"/>
      <c r="P116" s="191"/>
      <c r="Q116" s="191"/>
      <c r="R116" s="191"/>
      <c r="S116" s="191"/>
      <c r="T116" s="191"/>
      <c r="U116" s="191"/>
      <c r="V116" s="205">
        <f>SUM(V110:V115)</f>
        <v>12364.29</v>
      </c>
    </row>
    <row r="117" spans="1:25" ht="15.75" customHeight="1" x14ac:dyDescent="0.25">
      <c r="A117" s="62">
        <f>A110+1</f>
        <v>45399</v>
      </c>
      <c r="B117" s="131">
        <v>39</v>
      </c>
      <c r="C117" s="131">
        <v>53</v>
      </c>
      <c r="D117" s="144">
        <f>'Data Ocupacion'!AJ32</f>
        <v>35</v>
      </c>
      <c r="E117" s="144">
        <f>'Data Ocupacion'!AK32</f>
        <v>57</v>
      </c>
      <c r="F117" s="240" t="s">
        <v>38</v>
      </c>
      <c r="G117" s="241">
        <f t="shared" ref="G117:G122" si="98">D117+E117*2</f>
        <v>149</v>
      </c>
      <c r="H117" s="242">
        <f t="shared" ref="H117:H122" si="99">D117+E117</f>
        <v>92</v>
      </c>
      <c r="I117" s="242">
        <f>G117*L$2</f>
        <v>6426.3700000000008</v>
      </c>
      <c r="J117" s="160">
        <f>H117*L$2</f>
        <v>3967.96</v>
      </c>
      <c r="K117" s="131">
        <f t="shared" ref="K117:K122" si="100">I117*104</f>
        <v>668342.4800000001</v>
      </c>
      <c r="L117" s="131">
        <f t="shared" ref="L117:L122" si="101">H117*104</f>
        <v>9568</v>
      </c>
      <c r="M117" s="19"/>
      <c r="N117" s="19"/>
      <c r="O117" s="153"/>
      <c r="P117" s="193">
        <v>4</v>
      </c>
      <c r="Q117" s="193"/>
      <c r="R117" s="221"/>
      <c r="S117" s="215">
        <v>4</v>
      </c>
      <c r="T117" s="203"/>
      <c r="U117" s="251"/>
      <c r="V117" s="196">
        <f>I117-((P117*($L$2-$J$1)))-(S117*($J$1))</f>
        <v>6253.85</v>
      </c>
    </row>
    <row r="118" spans="1:25" ht="15" customHeight="1" x14ac:dyDescent="0.25">
      <c r="A118" s="214"/>
      <c r="B118" s="131">
        <v>37</v>
      </c>
      <c r="C118" s="131">
        <v>53</v>
      </c>
      <c r="D118" s="132">
        <f>'Data Ocupacion'!AJ33</f>
        <v>37</v>
      </c>
      <c r="E118" s="132">
        <f>'Data Ocupacion'!AK33</f>
        <v>53</v>
      </c>
      <c r="F118" s="240" t="s">
        <v>52</v>
      </c>
      <c r="G118" s="241">
        <f t="shared" si="98"/>
        <v>143</v>
      </c>
      <c r="H118" s="131">
        <f t="shared" si="99"/>
        <v>90</v>
      </c>
      <c r="I118" s="131">
        <f>G118*L$2</f>
        <v>6167.59</v>
      </c>
      <c r="J118" s="160">
        <f>H118*L$2</f>
        <v>3881.7000000000003</v>
      </c>
      <c r="K118" s="131">
        <f t="shared" si="100"/>
        <v>641429.36</v>
      </c>
      <c r="L118" s="131">
        <f t="shared" si="101"/>
        <v>9360</v>
      </c>
      <c r="M118" s="19"/>
      <c r="N118" s="19"/>
      <c r="O118" s="153"/>
      <c r="P118" s="198"/>
      <c r="Q118" s="198"/>
      <c r="R118" s="198"/>
      <c r="S118" s="193"/>
      <c r="T118" s="195"/>
      <c r="U118" s="252"/>
      <c r="V118" s="196">
        <f>I118-(S118*($L$2-$J$1)+(T118*($L$2-$L$1)))</f>
        <v>6167.59</v>
      </c>
      <c r="X118" s="179"/>
    </row>
    <row r="119" spans="1:25" ht="15" customHeight="1" x14ac:dyDescent="0.25">
      <c r="A119" s="214"/>
      <c r="B119" s="131">
        <v>0</v>
      </c>
      <c r="C119" s="131">
        <v>0</v>
      </c>
      <c r="D119" s="132">
        <f>'Data Ocupacion'!AJ34</f>
        <v>0</v>
      </c>
      <c r="E119" s="132">
        <f>'Data Ocupacion'!AK34</f>
        <v>0</v>
      </c>
      <c r="F119" s="240" t="s">
        <v>36</v>
      </c>
      <c r="G119" s="241">
        <f t="shared" si="98"/>
        <v>0</v>
      </c>
      <c r="H119" s="131">
        <f t="shared" si="99"/>
        <v>0</v>
      </c>
      <c r="I119" s="131">
        <f>G119*L$1</f>
        <v>0</v>
      </c>
      <c r="J119" s="160">
        <f>H119*L$1</f>
        <v>0</v>
      </c>
      <c r="K119" s="131">
        <f t="shared" si="100"/>
        <v>0</v>
      </c>
      <c r="L119" s="131">
        <f t="shared" si="101"/>
        <v>0</v>
      </c>
      <c r="M119" s="19"/>
      <c r="N119" s="19"/>
      <c r="O119" s="153"/>
      <c r="P119" s="197"/>
      <c r="Q119" s="199"/>
      <c r="R119" s="222"/>
      <c r="S119" s="200"/>
      <c r="T119" s="201"/>
      <c r="U119" s="201"/>
      <c r="V119" s="192">
        <f>I119-(P119*($L$1-$J$1))</f>
        <v>0</v>
      </c>
    </row>
    <row r="120" spans="1:25" ht="15" customHeight="1" x14ac:dyDescent="0.25">
      <c r="A120" s="214"/>
      <c r="B120" s="131">
        <v>1</v>
      </c>
      <c r="C120" s="131">
        <v>0</v>
      </c>
      <c r="D120" s="132">
        <f>'Data Ocupacion'!AJ35</f>
        <v>1</v>
      </c>
      <c r="E120" s="132">
        <f>'Data Ocupacion'!AK35</f>
        <v>0</v>
      </c>
      <c r="F120" s="240" t="s">
        <v>53</v>
      </c>
      <c r="G120" s="241">
        <f t="shared" si="98"/>
        <v>1</v>
      </c>
      <c r="H120" s="131">
        <f t="shared" si="99"/>
        <v>1</v>
      </c>
      <c r="I120" s="131">
        <f>G120*L$1</f>
        <v>29.11</v>
      </c>
      <c r="J120" s="160">
        <f>H120*L$1</f>
        <v>29.11</v>
      </c>
      <c r="K120" s="131">
        <f t="shared" si="100"/>
        <v>3027.44</v>
      </c>
      <c r="L120" s="131">
        <f t="shared" si="101"/>
        <v>104</v>
      </c>
      <c r="M120" s="19"/>
      <c r="N120" s="19"/>
      <c r="O120" s="153"/>
      <c r="P120" s="201"/>
      <c r="Q120" s="201"/>
      <c r="R120" s="201"/>
      <c r="S120" s="201"/>
      <c r="T120" s="201"/>
      <c r="U120" s="201"/>
      <c r="V120" s="192">
        <f t="shared" ref="V120:V121" si="102">I120</f>
        <v>29.11</v>
      </c>
      <c r="Y120" s="210"/>
    </row>
    <row r="121" spans="1:25" ht="15" customHeight="1" x14ac:dyDescent="0.25">
      <c r="A121" s="214"/>
      <c r="B121" s="131">
        <v>0</v>
      </c>
      <c r="C121" s="131">
        <v>0</v>
      </c>
      <c r="D121" s="132">
        <f>'Data Ocupacion'!AJ36</f>
        <v>0</v>
      </c>
      <c r="E121" s="132">
        <f>'Data Ocupacion'!AK36</f>
        <v>0</v>
      </c>
      <c r="F121" s="240" t="s">
        <v>122</v>
      </c>
      <c r="G121" s="241">
        <f t="shared" si="98"/>
        <v>0</v>
      </c>
      <c r="H121" s="131">
        <f t="shared" si="99"/>
        <v>0</v>
      </c>
      <c r="I121" s="243">
        <f>G121*J$1</f>
        <v>0</v>
      </c>
      <c r="J121" s="160">
        <f>H121*J$1</f>
        <v>0</v>
      </c>
      <c r="K121" s="131">
        <f t="shared" si="100"/>
        <v>0</v>
      </c>
      <c r="L121" s="131">
        <f t="shared" si="101"/>
        <v>0</v>
      </c>
      <c r="M121" s="19"/>
      <c r="N121" s="19"/>
      <c r="O121" s="153"/>
      <c r="P121" s="201"/>
      <c r="Q121" s="201"/>
      <c r="R121" s="201"/>
      <c r="S121" s="201"/>
      <c r="T121" s="201"/>
      <c r="U121" s="201"/>
      <c r="V121" s="192">
        <f t="shared" si="102"/>
        <v>0</v>
      </c>
    </row>
    <row r="122" spans="1:25" ht="14.25" customHeight="1" thickBot="1" x14ac:dyDescent="0.3">
      <c r="A122" s="214"/>
      <c r="B122" s="131">
        <v>1</v>
      </c>
      <c r="C122" s="131">
        <v>0</v>
      </c>
      <c r="D122" s="132">
        <f>'Data Ocupacion'!AJ37</f>
        <v>1</v>
      </c>
      <c r="E122" s="132">
        <f>'Data Ocupacion'!AK37</f>
        <v>0</v>
      </c>
      <c r="F122" s="240" t="s">
        <v>35</v>
      </c>
      <c r="G122" s="241">
        <f t="shared" si="98"/>
        <v>1</v>
      </c>
      <c r="H122" s="244">
        <f t="shared" si="99"/>
        <v>1</v>
      </c>
      <c r="I122" s="244">
        <f>G122*J$1</f>
        <v>25.4</v>
      </c>
      <c r="J122" s="160">
        <f>H122*J$1</f>
        <v>25.4</v>
      </c>
      <c r="K122" s="131">
        <f t="shared" si="100"/>
        <v>2641.6</v>
      </c>
      <c r="L122" s="131">
        <f t="shared" si="101"/>
        <v>104</v>
      </c>
      <c r="M122" s="19"/>
      <c r="N122" s="19"/>
      <c r="O122" s="153"/>
      <c r="P122" s="201"/>
      <c r="Q122" s="201"/>
      <c r="R122" s="201"/>
      <c r="S122" s="201"/>
      <c r="T122" s="201"/>
      <c r="U122" s="201"/>
      <c r="V122" s="192">
        <f>I122</f>
        <v>25.4</v>
      </c>
    </row>
    <row r="123" spans="1:25" s="130" customFormat="1" ht="15" customHeight="1" thickBot="1" x14ac:dyDescent="0.3">
      <c r="A123" s="20"/>
      <c r="B123" s="235">
        <f>SUM(B117:B122)</f>
        <v>78</v>
      </c>
      <c r="C123" s="235">
        <f>SUM(C117:C122)</f>
        <v>106</v>
      </c>
      <c r="D123" s="155">
        <f>SUM(D117:D122)</f>
        <v>74</v>
      </c>
      <c r="E123" s="155">
        <f>SUM(E117:E122)</f>
        <v>110</v>
      </c>
      <c r="F123" s="124"/>
      <c r="G123" s="124">
        <f t="shared" ref="G123:L123" si="103">SUM(G117:G122)</f>
        <v>294</v>
      </c>
      <c r="H123" s="124">
        <f t="shared" si="103"/>
        <v>184</v>
      </c>
      <c r="I123" s="125">
        <f>SUM(I117:I122)</f>
        <v>12648.470000000001</v>
      </c>
      <c r="J123" s="124">
        <f t="shared" si="103"/>
        <v>7904.1699999999992</v>
      </c>
      <c r="K123" s="124">
        <f t="shared" si="103"/>
        <v>1315440.8800000001</v>
      </c>
      <c r="L123" s="124">
        <f t="shared" si="103"/>
        <v>19136</v>
      </c>
      <c r="M123" s="129">
        <f>'Odometro-Kilometraje'!R81</f>
        <v>13046</v>
      </c>
      <c r="N123" s="21">
        <f>(V123/M123)*100</f>
        <v>95.630461444120812</v>
      </c>
      <c r="O123" s="204"/>
      <c r="P123" s="191"/>
      <c r="Q123" s="191"/>
      <c r="R123" s="191"/>
      <c r="S123" s="191"/>
      <c r="T123" s="191"/>
      <c r="U123" s="191"/>
      <c r="V123" s="205">
        <f>SUM(V117:V122)</f>
        <v>12475.95</v>
      </c>
    </row>
    <row r="124" spans="1:25" ht="15.75" customHeight="1" x14ac:dyDescent="0.25">
      <c r="A124" s="62">
        <f>A117+1</f>
        <v>45400</v>
      </c>
      <c r="B124" s="131">
        <v>39</v>
      </c>
      <c r="C124" s="131">
        <v>53</v>
      </c>
      <c r="D124" s="144">
        <f>'Data Ocupacion'!AL32</f>
        <v>31</v>
      </c>
      <c r="E124" s="144">
        <f>'Data Ocupacion'!AM32</f>
        <v>61</v>
      </c>
      <c r="F124" s="131" t="s">
        <v>38</v>
      </c>
      <c r="G124" s="131">
        <f t="shared" ref="G124:G129" si="104">D124+E124*2</f>
        <v>153</v>
      </c>
      <c r="H124" s="131">
        <f t="shared" ref="H124:H127" si="105">D124+E124</f>
        <v>92</v>
      </c>
      <c r="I124" s="131">
        <f>G124*L$2</f>
        <v>6598.89</v>
      </c>
      <c r="J124" s="160">
        <f>H124*L$2</f>
        <v>3967.96</v>
      </c>
      <c r="K124" s="131">
        <f t="shared" ref="K124:K129" si="106">I124*104</f>
        <v>686284.56</v>
      </c>
      <c r="L124" s="131">
        <f t="shared" ref="L124:L129" si="107">H124*104</f>
        <v>9568</v>
      </c>
      <c r="M124" s="19"/>
      <c r="N124" s="19"/>
      <c r="O124" s="153"/>
      <c r="P124" s="193">
        <v>5</v>
      </c>
      <c r="Q124" s="193"/>
      <c r="R124" s="221"/>
      <c r="S124" s="310">
        <v>7</v>
      </c>
      <c r="T124" s="203"/>
      <c r="U124" s="251"/>
      <c r="V124" s="196">
        <f>I124-((P124*($L$2-$J$1)))-(S124*($J$1))</f>
        <v>6332.4400000000005</v>
      </c>
    </row>
    <row r="125" spans="1:25" ht="15" customHeight="1" x14ac:dyDescent="0.25">
      <c r="A125" s="214"/>
      <c r="B125" s="131">
        <v>37</v>
      </c>
      <c r="C125" s="131">
        <v>53</v>
      </c>
      <c r="D125" s="144">
        <f>'Data Ocupacion'!AL33</f>
        <v>36</v>
      </c>
      <c r="E125" s="144">
        <f>'Data Ocupacion'!AM33</f>
        <v>54</v>
      </c>
      <c r="F125" s="131" t="s">
        <v>52</v>
      </c>
      <c r="G125" s="131">
        <f t="shared" si="104"/>
        <v>144</v>
      </c>
      <c r="H125" s="131">
        <f t="shared" si="105"/>
        <v>90</v>
      </c>
      <c r="I125" s="131">
        <f>G125*L$2</f>
        <v>6210.72</v>
      </c>
      <c r="J125" s="160">
        <f>H125*L$2</f>
        <v>3881.7000000000003</v>
      </c>
      <c r="K125" s="131">
        <f t="shared" si="106"/>
        <v>645914.88</v>
      </c>
      <c r="L125" s="131">
        <f t="shared" si="107"/>
        <v>9360</v>
      </c>
      <c r="M125" s="19"/>
      <c r="N125" s="19"/>
      <c r="O125" s="153"/>
      <c r="P125" s="198"/>
      <c r="Q125" s="198"/>
      <c r="R125" s="198"/>
      <c r="S125" s="193"/>
      <c r="T125" s="195"/>
      <c r="U125" s="252"/>
      <c r="V125" s="196">
        <f>I125-(S125*($L$2-$J$1)+(T125*($L$2-$L$1)))</f>
        <v>6210.72</v>
      </c>
      <c r="W125" s="179"/>
    </row>
    <row r="126" spans="1:25" ht="15" customHeight="1" x14ac:dyDescent="0.25">
      <c r="A126" s="214"/>
      <c r="B126" s="131">
        <v>0</v>
      </c>
      <c r="C126" s="131">
        <v>0</v>
      </c>
      <c r="D126" s="132">
        <f>'Data Ocupacion'!AL34</f>
        <v>0</v>
      </c>
      <c r="E126" s="132">
        <f>'Data Ocupacion'!AM34</f>
        <v>0</v>
      </c>
      <c r="F126" s="131" t="s">
        <v>36</v>
      </c>
      <c r="G126" s="131">
        <f t="shared" si="104"/>
        <v>0</v>
      </c>
      <c r="H126" s="131">
        <f t="shared" si="105"/>
        <v>0</v>
      </c>
      <c r="I126" s="131">
        <f>G126*L$1</f>
        <v>0</v>
      </c>
      <c r="J126" s="160">
        <f>H126*L$1</f>
        <v>0</v>
      </c>
      <c r="K126" s="131">
        <f t="shared" si="106"/>
        <v>0</v>
      </c>
      <c r="L126" s="131">
        <f t="shared" si="107"/>
        <v>0</v>
      </c>
      <c r="M126" s="19"/>
      <c r="N126" s="19"/>
      <c r="O126" s="153"/>
      <c r="P126" s="197"/>
      <c r="Q126" s="199"/>
      <c r="R126" s="222"/>
      <c r="S126" s="200"/>
      <c r="T126" s="201"/>
      <c r="U126" s="201"/>
      <c r="V126" s="192">
        <f>I126-(P126*($L$1-$J$1))</f>
        <v>0</v>
      </c>
    </row>
    <row r="127" spans="1:25" ht="15" customHeight="1" x14ac:dyDescent="0.25">
      <c r="A127" s="214"/>
      <c r="B127" s="131">
        <v>1</v>
      </c>
      <c r="C127" s="131">
        <v>0</v>
      </c>
      <c r="D127" s="132">
        <f>'Data Ocupacion'!AL35</f>
        <v>1</v>
      </c>
      <c r="E127" s="132">
        <f>'Data Ocupacion'!AM35</f>
        <v>0</v>
      </c>
      <c r="F127" s="131" t="s">
        <v>53</v>
      </c>
      <c r="G127" s="131">
        <f t="shared" si="104"/>
        <v>1</v>
      </c>
      <c r="H127" s="131">
        <f t="shared" si="105"/>
        <v>1</v>
      </c>
      <c r="I127" s="131">
        <f>G127*L$1</f>
        <v>29.11</v>
      </c>
      <c r="J127" s="160">
        <f>H127*L$1</f>
        <v>29.11</v>
      </c>
      <c r="K127" s="131">
        <f t="shared" si="106"/>
        <v>3027.44</v>
      </c>
      <c r="L127" s="131">
        <f t="shared" si="107"/>
        <v>104</v>
      </c>
      <c r="M127" s="19"/>
      <c r="N127" s="19"/>
      <c r="O127" s="153"/>
      <c r="P127" s="201"/>
      <c r="Q127" s="201"/>
      <c r="R127" s="201"/>
      <c r="S127" s="201"/>
      <c r="T127" s="201"/>
      <c r="U127" s="201"/>
      <c r="V127" s="192">
        <f t="shared" ref="V127:V128" si="108">I127</f>
        <v>29.11</v>
      </c>
    </row>
    <row r="128" spans="1:25" s="130" customFormat="1" ht="15" customHeight="1" x14ac:dyDescent="0.25">
      <c r="A128" s="214"/>
      <c r="B128" s="131">
        <v>0</v>
      </c>
      <c r="C128" s="131">
        <v>0</v>
      </c>
      <c r="D128" s="132">
        <f>'Data Ocupacion'!AL36</f>
        <v>0</v>
      </c>
      <c r="E128" s="132">
        <f>'Data Ocupacion'!AM36</f>
        <v>0</v>
      </c>
      <c r="F128" s="131" t="s">
        <v>122</v>
      </c>
      <c r="G128" s="131">
        <f t="shared" si="104"/>
        <v>0</v>
      </c>
      <c r="H128" s="131">
        <f>D128+E128</f>
        <v>0</v>
      </c>
      <c r="I128" s="131">
        <f>G128*J$1</f>
        <v>0</v>
      </c>
      <c r="J128" s="160">
        <f>H128*J$1</f>
        <v>0</v>
      </c>
      <c r="K128" s="131">
        <f t="shared" si="106"/>
        <v>0</v>
      </c>
      <c r="L128" s="131">
        <f t="shared" si="107"/>
        <v>0</v>
      </c>
      <c r="M128" s="19"/>
      <c r="N128" s="19"/>
      <c r="O128" s="153"/>
      <c r="P128" s="201"/>
      <c r="Q128" s="201"/>
      <c r="R128" s="201"/>
      <c r="S128" s="201"/>
      <c r="T128" s="201"/>
      <c r="U128" s="201"/>
      <c r="V128" s="192">
        <f t="shared" si="108"/>
        <v>0</v>
      </c>
    </row>
    <row r="129" spans="1:22" s="130" customFormat="1" ht="15" customHeight="1" thickBot="1" x14ac:dyDescent="0.3">
      <c r="A129" s="214"/>
      <c r="B129" s="131">
        <v>1</v>
      </c>
      <c r="C129" s="131">
        <v>0</v>
      </c>
      <c r="D129" s="132">
        <f>'Data Ocupacion'!AL37</f>
        <v>1</v>
      </c>
      <c r="E129" s="132">
        <f>'Data Ocupacion'!AM37</f>
        <v>0</v>
      </c>
      <c r="F129" s="131" t="s">
        <v>35</v>
      </c>
      <c r="G129" s="131">
        <f t="shared" si="104"/>
        <v>1</v>
      </c>
      <c r="H129" s="131">
        <f t="shared" ref="H129" si="109">D129+E129</f>
        <v>1</v>
      </c>
      <c r="I129" s="131">
        <f>G129*J$1</f>
        <v>25.4</v>
      </c>
      <c r="J129" s="160">
        <f>H129*J$1</f>
        <v>25.4</v>
      </c>
      <c r="K129" s="131">
        <f t="shared" si="106"/>
        <v>2641.6</v>
      </c>
      <c r="L129" s="131">
        <f t="shared" si="107"/>
        <v>104</v>
      </c>
      <c r="M129" s="19"/>
      <c r="N129" s="19"/>
      <c r="O129" s="153"/>
      <c r="P129" s="201"/>
      <c r="Q129" s="201"/>
      <c r="R129" s="201"/>
      <c r="S129" s="201"/>
      <c r="T129" s="201"/>
      <c r="U129" s="201"/>
      <c r="V129" s="192">
        <f>I129</f>
        <v>25.4</v>
      </c>
    </row>
    <row r="130" spans="1:22" s="130" customFormat="1" ht="15" customHeight="1" thickBot="1" x14ac:dyDescent="0.3">
      <c r="A130" s="20"/>
      <c r="B130" s="235">
        <f>SUM(B124:B129)</f>
        <v>78</v>
      </c>
      <c r="C130" s="235">
        <f>SUM(C124:C129)</f>
        <v>106</v>
      </c>
      <c r="D130" s="159">
        <f>SUM(D124:D129)</f>
        <v>69</v>
      </c>
      <c r="E130" s="159">
        <f>SUM(E124:E129)</f>
        <v>115</v>
      </c>
      <c r="F130" s="124"/>
      <c r="G130" s="124">
        <f t="shared" ref="G130:L130" si="110">SUM(G124:G129)</f>
        <v>299</v>
      </c>
      <c r="H130" s="124">
        <f t="shared" si="110"/>
        <v>184</v>
      </c>
      <c r="I130" s="125">
        <f t="shared" si="110"/>
        <v>12864.12</v>
      </c>
      <c r="J130" s="124">
        <f t="shared" si="110"/>
        <v>7904.1699999999992</v>
      </c>
      <c r="K130" s="123">
        <f t="shared" si="110"/>
        <v>1337868.48</v>
      </c>
      <c r="L130" s="158">
        <f t="shared" si="110"/>
        <v>19136</v>
      </c>
      <c r="M130" s="129">
        <f>'Odometro-Kilometraje'!S81</f>
        <v>13144</v>
      </c>
      <c r="N130" s="21">
        <f>(V130/M130)*100</f>
        <v>95.843502738892269</v>
      </c>
      <c r="O130" s="204"/>
      <c r="P130" s="191"/>
      <c r="Q130" s="191"/>
      <c r="R130" s="191"/>
      <c r="S130" s="191"/>
      <c r="T130" s="191"/>
      <c r="U130" s="191"/>
      <c r="V130" s="205">
        <f>SUM(V124:V129)</f>
        <v>12597.67</v>
      </c>
    </row>
    <row r="131" spans="1:22" ht="15" customHeight="1" x14ac:dyDescent="0.25">
      <c r="A131" s="62">
        <f>A124+1</f>
        <v>45401</v>
      </c>
      <c r="B131" s="131">
        <v>39</v>
      </c>
      <c r="C131" s="131">
        <v>53</v>
      </c>
      <c r="D131" s="132">
        <f>'Data Ocupacion'!AN32</f>
        <v>41</v>
      </c>
      <c r="E131" s="132">
        <f>'Data Ocupacion'!AO32</f>
        <v>51</v>
      </c>
      <c r="F131" s="131" t="s">
        <v>38</v>
      </c>
      <c r="G131" s="131">
        <f t="shared" ref="G131:G136" si="111">D131+E131*2</f>
        <v>143</v>
      </c>
      <c r="H131" s="131">
        <f t="shared" ref="H131:H136" si="112">D131+E131</f>
        <v>92</v>
      </c>
      <c r="I131" s="131">
        <f>G131*L$2</f>
        <v>6167.59</v>
      </c>
      <c r="J131" s="160">
        <f>H131*L$2</f>
        <v>3967.96</v>
      </c>
      <c r="K131" s="131">
        <f t="shared" ref="K131:K136" si="113">I131*104</f>
        <v>641429.36</v>
      </c>
      <c r="L131" s="131">
        <f t="shared" ref="L131:L136" si="114">H131*104</f>
        <v>9568</v>
      </c>
      <c r="M131" s="19"/>
      <c r="N131" s="19"/>
      <c r="O131" s="153"/>
      <c r="P131" s="193">
        <v>4</v>
      </c>
      <c r="Q131" s="193"/>
      <c r="R131" s="221"/>
      <c r="S131" s="215">
        <v>4</v>
      </c>
      <c r="T131" s="203"/>
      <c r="U131" s="251"/>
      <c r="V131" s="196">
        <f>I131-((P131*($L$2-$J$1)))-(S131*($J$1))</f>
        <v>5995.07</v>
      </c>
    </row>
    <row r="132" spans="1:22" ht="15" customHeight="1" x14ac:dyDescent="0.25">
      <c r="A132" s="214"/>
      <c r="B132" s="131">
        <v>37</v>
      </c>
      <c r="C132" s="131">
        <v>53</v>
      </c>
      <c r="D132" s="132">
        <f>'Data Ocupacion'!AN33</f>
        <v>39</v>
      </c>
      <c r="E132" s="132">
        <f>'Data Ocupacion'!AO33</f>
        <v>51</v>
      </c>
      <c r="F132" s="131" t="s">
        <v>52</v>
      </c>
      <c r="G132" s="131">
        <f t="shared" si="111"/>
        <v>141</v>
      </c>
      <c r="H132" s="131">
        <f t="shared" si="112"/>
        <v>90</v>
      </c>
      <c r="I132" s="131">
        <f>G132*L$2</f>
        <v>6081.33</v>
      </c>
      <c r="J132" s="160">
        <f>H132*L$2</f>
        <v>3881.7000000000003</v>
      </c>
      <c r="K132" s="131">
        <f t="shared" si="113"/>
        <v>632458.31999999995</v>
      </c>
      <c r="L132" s="131">
        <f t="shared" si="114"/>
        <v>9360</v>
      </c>
      <c r="M132" s="19"/>
      <c r="N132" s="19"/>
      <c r="O132" s="153"/>
      <c r="P132" s="198"/>
      <c r="Q132" s="198"/>
      <c r="R132" s="198"/>
      <c r="S132" s="193"/>
      <c r="T132" s="195"/>
      <c r="U132" s="252"/>
      <c r="V132" s="196">
        <f>I132-(S132*($L$2-$J$1)+(T132*($L$2-$L$1)))</f>
        <v>6081.33</v>
      </c>
    </row>
    <row r="133" spans="1:22" ht="15" customHeight="1" x14ac:dyDescent="0.25">
      <c r="A133" s="214"/>
      <c r="B133" s="131">
        <v>0</v>
      </c>
      <c r="C133" s="131">
        <v>0</v>
      </c>
      <c r="D133" s="132">
        <f>'Data Ocupacion'!AN34</f>
        <v>0</v>
      </c>
      <c r="E133" s="132">
        <f>'Data Ocupacion'!AO34</f>
        <v>0</v>
      </c>
      <c r="F133" s="131" t="s">
        <v>36</v>
      </c>
      <c r="G133" s="131">
        <f t="shared" si="111"/>
        <v>0</v>
      </c>
      <c r="H133" s="131">
        <f t="shared" si="112"/>
        <v>0</v>
      </c>
      <c r="I133" s="131">
        <f>G133*L$1</f>
        <v>0</v>
      </c>
      <c r="J133" s="160">
        <f>H133*L$1</f>
        <v>0</v>
      </c>
      <c r="K133" s="131">
        <f t="shared" si="113"/>
        <v>0</v>
      </c>
      <c r="L133" s="131">
        <f t="shared" si="114"/>
        <v>0</v>
      </c>
      <c r="M133" s="19"/>
      <c r="N133" s="19"/>
      <c r="O133" s="153"/>
      <c r="P133" s="197"/>
      <c r="Q133" s="199"/>
      <c r="R133" s="222"/>
      <c r="S133" s="200"/>
      <c r="T133" s="201"/>
      <c r="U133" s="201"/>
      <c r="V133" s="192">
        <f>I133-(P133*($L$1-$J$1))</f>
        <v>0</v>
      </c>
    </row>
    <row r="134" spans="1:22" ht="15" customHeight="1" x14ac:dyDescent="0.25">
      <c r="A134" s="214"/>
      <c r="B134" s="131">
        <v>1</v>
      </c>
      <c r="C134" s="131">
        <v>0</v>
      </c>
      <c r="D134" s="132">
        <f>'Data Ocupacion'!AN35</f>
        <v>1</v>
      </c>
      <c r="E134" s="132">
        <f>'Data Ocupacion'!AO35</f>
        <v>0</v>
      </c>
      <c r="F134" s="131" t="s">
        <v>53</v>
      </c>
      <c r="G134" s="131">
        <f t="shared" si="111"/>
        <v>1</v>
      </c>
      <c r="H134" s="131">
        <f t="shared" si="112"/>
        <v>1</v>
      </c>
      <c r="I134" s="131">
        <f>G134*L$1</f>
        <v>29.11</v>
      </c>
      <c r="J134" s="160">
        <f>H134*L$1</f>
        <v>29.11</v>
      </c>
      <c r="K134" s="131">
        <f t="shared" si="113"/>
        <v>3027.44</v>
      </c>
      <c r="L134" s="131">
        <f t="shared" si="114"/>
        <v>104</v>
      </c>
      <c r="M134" s="19"/>
      <c r="N134" s="19"/>
      <c r="O134" s="153"/>
      <c r="P134" s="201"/>
      <c r="Q134" s="201"/>
      <c r="R134" s="201"/>
      <c r="S134" s="201"/>
      <c r="T134" s="201"/>
      <c r="U134" s="201"/>
      <c r="V134" s="192">
        <f t="shared" ref="V134:V135" si="115">I134</f>
        <v>29.11</v>
      </c>
    </row>
    <row r="135" spans="1:22" ht="15" customHeight="1" x14ac:dyDescent="0.25">
      <c r="A135" s="214"/>
      <c r="B135" s="131">
        <v>0</v>
      </c>
      <c r="C135" s="131">
        <v>0</v>
      </c>
      <c r="D135" s="132">
        <f>'Data Ocupacion'!AN36</f>
        <v>0</v>
      </c>
      <c r="E135" s="132">
        <f>'Data Ocupacion'!AO36</f>
        <v>0</v>
      </c>
      <c r="F135" s="131" t="s">
        <v>122</v>
      </c>
      <c r="G135" s="131">
        <f t="shared" si="111"/>
        <v>0</v>
      </c>
      <c r="H135" s="131">
        <f t="shared" si="112"/>
        <v>0</v>
      </c>
      <c r="I135" s="131">
        <f>G135*J$1</f>
        <v>0</v>
      </c>
      <c r="J135" s="160">
        <f>H135*J$1</f>
        <v>0</v>
      </c>
      <c r="K135" s="131">
        <f t="shared" si="113"/>
        <v>0</v>
      </c>
      <c r="L135" s="131">
        <f t="shared" si="114"/>
        <v>0</v>
      </c>
      <c r="M135" s="19"/>
      <c r="N135" s="19"/>
      <c r="O135" s="153"/>
      <c r="P135" s="201"/>
      <c r="Q135" s="201"/>
      <c r="R135" s="201"/>
      <c r="S135" s="201"/>
      <c r="T135" s="201"/>
      <c r="U135" s="201"/>
      <c r="V135" s="192">
        <f t="shared" si="115"/>
        <v>0</v>
      </c>
    </row>
    <row r="136" spans="1:22" ht="15" customHeight="1" thickBot="1" x14ac:dyDescent="0.3">
      <c r="A136" s="214"/>
      <c r="B136" s="131">
        <v>1</v>
      </c>
      <c r="C136" s="131">
        <v>0</v>
      </c>
      <c r="D136" s="132">
        <f>'Data Ocupacion'!AN37</f>
        <v>1</v>
      </c>
      <c r="E136" s="132">
        <f>'Data Ocupacion'!AO37</f>
        <v>0</v>
      </c>
      <c r="F136" s="131" t="s">
        <v>35</v>
      </c>
      <c r="G136" s="131">
        <f t="shared" si="111"/>
        <v>1</v>
      </c>
      <c r="H136" s="131">
        <f t="shared" si="112"/>
        <v>1</v>
      </c>
      <c r="I136" s="131">
        <f>G136*J$1</f>
        <v>25.4</v>
      </c>
      <c r="J136" s="160">
        <f>H136*J$1</f>
        <v>25.4</v>
      </c>
      <c r="K136" s="131">
        <f t="shared" si="113"/>
        <v>2641.6</v>
      </c>
      <c r="L136" s="131">
        <f t="shared" si="114"/>
        <v>104</v>
      </c>
      <c r="M136" s="19"/>
      <c r="N136" s="19"/>
      <c r="O136" s="153"/>
      <c r="P136" s="201"/>
      <c r="Q136" s="201"/>
      <c r="R136" s="201"/>
      <c r="S136" s="201"/>
      <c r="T136" s="201"/>
      <c r="U136" s="201"/>
      <c r="V136" s="192">
        <f>I136</f>
        <v>25.4</v>
      </c>
    </row>
    <row r="137" spans="1:22" s="130" customFormat="1" ht="15" customHeight="1" thickBot="1" x14ac:dyDescent="0.3">
      <c r="A137" s="20"/>
      <c r="B137" s="235">
        <f>SUM(B131:B136)</f>
        <v>78</v>
      </c>
      <c r="C137" s="235">
        <f>SUM(C131:C136)</f>
        <v>106</v>
      </c>
      <c r="D137" s="155">
        <f>SUM(D131:D136)</f>
        <v>82</v>
      </c>
      <c r="E137" s="155">
        <f>SUM(E131:E136)</f>
        <v>102</v>
      </c>
      <c r="F137" s="124"/>
      <c r="G137" s="124">
        <f t="shared" ref="G137:L137" si="116">SUM(G131:G136)</f>
        <v>286</v>
      </c>
      <c r="H137" s="124">
        <f t="shared" si="116"/>
        <v>184</v>
      </c>
      <c r="I137" s="124">
        <f t="shared" si="116"/>
        <v>12303.43</v>
      </c>
      <c r="J137" s="124">
        <f t="shared" si="116"/>
        <v>7904.1699999999992</v>
      </c>
      <c r="K137" s="124">
        <f t="shared" si="116"/>
        <v>1279556.72</v>
      </c>
      <c r="L137" s="124">
        <f t="shared" si="116"/>
        <v>19136</v>
      </c>
      <c r="M137" s="129">
        <f>'Odometro-Kilometraje'!T81</f>
        <v>12877</v>
      </c>
      <c r="N137" s="21">
        <f>(V137/M137)*100</f>
        <v>94.206026248349772</v>
      </c>
      <c r="O137" s="204"/>
      <c r="P137" s="191"/>
      <c r="Q137" s="191"/>
      <c r="R137" s="191"/>
      <c r="S137" s="191"/>
      <c r="T137" s="191"/>
      <c r="U137" s="191"/>
      <c r="V137" s="205">
        <f>SUM(V131:V136)</f>
        <v>12130.91</v>
      </c>
    </row>
    <row r="138" spans="1:22" ht="15.75" customHeight="1" x14ac:dyDescent="0.25">
      <c r="A138" s="62">
        <f>A131+1</f>
        <v>45402</v>
      </c>
      <c r="B138" s="305">
        <v>67</v>
      </c>
      <c r="C138" s="305">
        <v>3</v>
      </c>
      <c r="D138" s="306">
        <f>'Data Ocupacion'!AP32</f>
        <v>67</v>
      </c>
      <c r="E138" s="306">
        <f>'Data Ocupacion'!AQ32</f>
        <v>3</v>
      </c>
      <c r="F138" s="305" t="s">
        <v>38</v>
      </c>
      <c r="G138" s="305">
        <f t="shared" ref="G138:G143" si="117">D138+E138*2</f>
        <v>73</v>
      </c>
      <c r="H138" s="305">
        <f t="shared" ref="H138:H143" si="118">D138+E138</f>
        <v>70</v>
      </c>
      <c r="I138" s="305">
        <f>G138*L$2</f>
        <v>3148.4900000000002</v>
      </c>
      <c r="J138" s="160">
        <f>H138*L$2</f>
        <v>3019.1000000000004</v>
      </c>
      <c r="K138" s="305">
        <f t="shared" ref="K138:K143" si="119">I138*104</f>
        <v>327442.96000000002</v>
      </c>
      <c r="L138" s="305">
        <f t="shared" ref="L138:L143" si="120">H138*104</f>
        <v>7280</v>
      </c>
      <c r="M138" s="19"/>
      <c r="N138" s="19"/>
      <c r="O138" s="153"/>
      <c r="P138" s="273"/>
      <c r="Q138" s="193"/>
      <c r="R138" s="221"/>
      <c r="S138" s="202"/>
      <c r="T138" s="203"/>
      <c r="U138" s="251"/>
      <c r="V138" s="192">
        <f>I138-(P138*($L$2-$J$1)+(Q138*($L$2-$L$1))+  (R138*($L$2-$H$2)))</f>
        <v>3148.4900000000002</v>
      </c>
    </row>
    <row r="139" spans="1:22" ht="15" customHeight="1" x14ac:dyDescent="0.25">
      <c r="A139" s="295"/>
      <c r="B139" s="305">
        <v>73</v>
      </c>
      <c r="C139" s="305">
        <v>0</v>
      </c>
      <c r="D139" s="306">
        <f>'Data Ocupacion'!AP33</f>
        <v>73</v>
      </c>
      <c r="E139" s="306">
        <f>'Data Ocupacion'!AQ33</f>
        <v>0</v>
      </c>
      <c r="F139" s="305" t="s">
        <v>52</v>
      </c>
      <c r="G139" s="305">
        <f t="shared" si="117"/>
        <v>73</v>
      </c>
      <c r="H139" s="305">
        <f t="shared" si="118"/>
        <v>73</v>
      </c>
      <c r="I139" s="305">
        <f>G139*L$2</f>
        <v>3148.4900000000002</v>
      </c>
      <c r="J139" s="160">
        <f>H139*L$2</f>
        <v>3148.4900000000002</v>
      </c>
      <c r="K139" s="305">
        <f t="shared" si="119"/>
        <v>327442.96000000002</v>
      </c>
      <c r="L139" s="305">
        <f t="shared" si="120"/>
        <v>7592</v>
      </c>
      <c r="M139" s="19"/>
      <c r="N139" s="19"/>
      <c r="O139" s="153"/>
      <c r="P139" s="198"/>
      <c r="Q139" s="198"/>
      <c r="R139" s="198"/>
      <c r="S139" s="273"/>
      <c r="T139" s="195"/>
      <c r="U139" s="221"/>
      <c r="V139" s="196">
        <f>I139-(S139*($L$2-$J$1)+(T139*($L$2-$L$1)))</f>
        <v>3148.4900000000002</v>
      </c>
    </row>
    <row r="140" spans="1:22" ht="15" customHeight="1" x14ac:dyDescent="0.25">
      <c r="A140" s="295"/>
      <c r="B140" s="305">
        <v>0</v>
      </c>
      <c r="C140" s="305">
        <v>0</v>
      </c>
      <c r="D140" s="306">
        <f>'Data Ocupacion'!AP34</f>
        <v>0</v>
      </c>
      <c r="E140" s="306">
        <f>'Data Ocupacion'!AQ34</f>
        <v>0</v>
      </c>
      <c r="F140" s="305" t="s">
        <v>36</v>
      </c>
      <c r="G140" s="305">
        <f t="shared" si="117"/>
        <v>0</v>
      </c>
      <c r="H140" s="305">
        <f t="shared" si="118"/>
        <v>0</v>
      </c>
      <c r="I140" s="305">
        <f>G140*L$1</f>
        <v>0</v>
      </c>
      <c r="J140" s="160">
        <f>H140*L$1</f>
        <v>0</v>
      </c>
      <c r="K140" s="305">
        <f t="shared" si="119"/>
        <v>0</v>
      </c>
      <c r="L140" s="305">
        <f t="shared" si="120"/>
        <v>0</v>
      </c>
      <c r="M140" s="19"/>
      <c r="N140" s="19"/>
      <c r="O140" s="153"/>
      <c r="P140" s="197"/>
      <c r="Q140" s="199"/>
      <c r="R140" s="222"/>
      <c r="S140" s="200"/>
      <c r="T140" s="201"/>
      <c r="U140" s="201"/>
      <c r="V140" s="192">
        <f>I140-(P140*($L$1-$J$1))</f>
        <v>0</v>
      </c>
    </row>
    <row r="141" spans="1:22" ht="15" customHeight="1" x14ac:dyDescent="0.25">
      <c r="A141" s="295"/>
      <c r="B141" s="305">
        <v>0</v>
      </c>
      <c r="C141" s="305">
        <v>0</v>
      </c>
      <c r="D141" s="306">
        <f>'Data Ocupacion'!AP35</f>
        <v>0</v>
      </c>
      <c r="E141" s="306">
        <f>'Data Ocupacion'!AQ35</f>
        <v>0</v>
      </c>
      <c r="F141" s="305" t="s">
        <v>53</v>
      </c>
      <c r="G141" s="305">
        <f t="shared" si="117"/>
        <v>0</v>
      </c>
      <c r="H141" s="305">
        <f t="shared" si="118"/>
        <v>0</v>
      </c>
      <c r="I141" s="305">
        <f>G141*L$1</f>
        <v>0</v>
      </c>
      <c r="J141" s="160">
        <f>H141*L$1</f>
        <v>0</v>
      </c>
      <c r="K141" s="305">
        <f t="shared" si="119"/>
        <v>0</v>
      </c>
      <c r="L141" s="305">
        <f t="shared" si="120"/>
        <v>0</v>
      </c>
      <c r="M141" s="19"/>
      <c r="N141" s="19"/>
      <c r="O141" s="153"/>
      <c r="P141" s="201"/>
      <c r="Q141" s="201"/>
      <c r="R141" s="201"/>
      <c r="S141" s="201"/>
      <c r="T141" s="201"/>
      <c r="U141" s="201"/>
      <c r="V141" s="192">
        <f t="shared" ref="V141:V142" si="121">I141</f>
        <v>0</v>
      </c>
    </row>
    <row r="142" spans="1:22" ht="15" customHeight="1" x14ac:dyDescent="0.25">
      <c r="A142" s="295"/>
      <c r="B142" s="305">
        <v>0</v>
      </c>
      <c r="C142" s="305">
        <v>0</v>
      </c>
      <c r="D142" s="306">
        <f>'Data Ocupacion'!AP36</f>
        <v>0</v>
      </c>
      <c r="E142" s="306">
        <f>'Data Ocupacion'!AQ36</f>
        <v>0</v>
      </c>
      <c r="F142" s="305" t="s">
        <v>122</v>
      </c>
      <c r="G142" s="305">
        <f t="shared" si="117"/>
        <v>0</v>
      </c>
      <c r="H142" s="305">
        <f t="shared" si="118"/>
        <v>0</v>
      </c>
      <c r="I142" s="305">
        <f>G142*J$1</f>
        <v>0</v>
      </c>
      <c r="J142" s="160">
        <f>H142*J$1</f>
        <v>0</v>
      </c>
      <c r="K142" s="305">
        <f t="shared" si="119"/>
        <v>0</v>
      </c>
      <c r="L142" s="305">
        <f t="shared" si="120"/>
        <v>0</v>
      </c>
      <c r="M142" s="19"/>
      <c r="N142" s="19"/>
      <c r="O142" s="153"/>
      <c r="P142" s="201"/>
      <c r="Q142" s="201"/>
      <c r="R142" s="201"/>
      <c r="S142" s="201"/>
      <c r="T142" s="201"/>
      <c r="U142" s="201"/>
      <c r="V142" s="192">
        <f t="shared" si="121"/>
        <v>0</v>
      </c>
    </row>
    <row r="143" spans="1:22" ht="15" customHeight="1" thickBot="1" x14ac:dyDescent="0.3">
      <c r="A143" s="295"/>
      <c r="B143" s="305">
        <v>0</v>
      </c>
      <c r="C143" s="305">
        <v>0</v>
      </c>
      <c r="D143" s="306">
        <f>'Data Ocupacion'!AP37</f>
        <v>0</v>
      </c>
      <c r="E143" s="306">
        <f>'Data Ocupacion'!AQ37</f>
        <v>0</v>
      </c>
      <c r="F143" s="305" t="s">
        <v>35</v>
      </c>
      <c r="G143" s="305">
        <f t="shared" si="117"/>
        <v>0</v>
      </c>
      <c r="H143" s="305">
        <f t="shared" si="118"/>
        <v>0</v>
      </c>
      <c r="I143" s="305">
        <f>G143*J$1</f>
        <v>0</v>
      </c>
      <c r="J143" s="160">
        <f>H143*J$1</f>
        <v>0</v>
      </c>
      <c r="K143" s="305">
        <f t="shared" si="119"/>
        <v>0</v>
      </c>
      <c r="L143" s="305">
        <f t="shared" si="120"/>
        <v>0</v>
      </c>
      <c r="M143" s="19"/>
      <c r="N143" s="19"/>
      <c r="O143" s="153"/>
      <c r="P143" s="201"/>
      <c r="Q143" s="201"/>
      <c r="R143" s="201"/>
      <c r="S143" s="201"/>
      <c r="T143" s="201"/>
      <c r="U143" s="201"/>
      <c r="V143" s="192">
        <f>I143</f>
        <v>0</v>
      </c>
    </row>
    <row r="144" spans="1:22" s="130" customFormat="1" ht="15" customHeight="1" thickBot="1" x14ac:dyDescent="0.3">
      <c r="A144" s="20"/>
      <c r="B144" s="235">
        <f>SUM(B138:B143)</f>
        <v>140</v>
      </c>
      <c r="C144" s="235">
        <f>SUM(C138:C143)</f>
        <v>3</v>
      </c>
      <c r="D144" s="155">
        <f>SUM(D138:D143)</f>
        <v>140</v>
      </c>
      <c r="E144" s="155">
        <f>SUM(E138:E143)</f>
        <v>3</v>
      </c>
      <c r="F144" s="124"/>
      <c r="G144" s="124">
        <f t="shared" ref="G144:L144" si="122">SUM(G138:G143)</f>
        <v>146</v>
      </c>
      <c r="H144" s="124">
        <f t="shared" si="122"/>
        <v>143</v>
      </c>
      <c r="I144" s="125">
        <f t="shared" si="122"/>
        <v>6296.9800000000005</v>
      </c>
      <c r="J144" s="124">
        <f t="shared" si="122"/>
        <v>6167.59</v>
      </c>
      <c r="K144" s="124">
        <f t="shared" si="122"/>
        <v>654885.92000000004</v>
      </c>
      <c r="L144" s="124">
        <f t="shared" si="122"/>
        <v>14872</v>
      </c>
      <c r="M144" s="129">
        <f>'Odometro-Kilometraje'!U81</f>
        <v>6330</v>
      </c>
      <c r="N144" s="21">
        <f>(V144/M144)*100</f>
        <v>99.4783570300158</v>
      </c>
      <c r="O144" s="204"/>
      <c r="P144" s="191"/>
      <c r="Q144" s="191"/>
      <c r="R144" s="191"/>
      <c r="S144" s="191"/>
      <c r="T144" s="191"/>
      <c r="U144" s="191"/>
      <c r="V144" s="205">
        <f>SUM(V138:V143)</f>
        <v>6296.9800000000005</v>
      </c>
    </row>
    <row r="145" spans="1:25" x14ac:dyDescent="0.25">
      <c r="A145" s="62">
        <f>A138+1</f>
        <v>45403</v>
      </c>
      <c r="B145" s="236">
        <v>51</v>
      </c>
      <c r="C145" s="236">
        <v>3</v>
      </c>
      <c r="D145" s="144">
        <f>'Data Ocupacion'!AR32</f>
        <v>51</v>
      </c>
      <c r="E145" s="144">
        <f>'Data Ocupacion'!AS32</f>
        <v>3</v>
      </c>
      <c r="F145" s="315" t="s">
        <v>38</v>
      </c>
      <c r="G145" s="316">
        <f t="shared" ref="G145:G150" si="123">D145+E145*2</f>
        <v>57</v>
      </c>
      <c r="H145" s="317">
        <f t="shared" ref="H145:H150" si="124">D145+E145</f>
        <v>54</v>
      </c>
      <c r="I145" s="317">
        <f>G145*L$2</f>
        <v>2458.4100000000003</v>
      </c>
      <c r="J145" s="160">
        <f>H145*L$2</f>
        <v>2329.02</v>
      </c>
      <c r="K145" s="236">
        <f t="shared" ref="K145:K150" si="125">I145*104</f>
        <v>255674.64000000004</v>
      </c>
      <c r="L145" s="236">
        <f t="shared" ref="L145:L150" si="126">H145*104</f>
        <v>5616</v>
      </c>
      <c r="M145" s="19"/>
      <c r="N145" s="19"/>
      <c r="O145" s="153"/>
      <c r="P145" s="273"/>
      <c r="Q145" s="193"/>
      <c r="R145" s="221"/>
      <c r="S145" s="202"/>
      <c r="T145" s="203"/>
      <c r="U145" s="251"/>
      <c r="V145" s="192">
        <f>I145-(P145*($L$2-$J$1)+(Q145*($L$2-$L$1))+  (R145*($L$2-$H$2)))</f>
        <v>2458.4100000000003</v>
      </c>
    </row>
    <row r="146" spans="1:25" ht="15" customHeight="1" x14ac:dyDescent="0.25">
      <c r="A146" s="214"/>
      <c r="B146" s="236">
        <v>57</v>
      </c>
      <c r="C146" s="236">
        <v>0</v>
      </c>
      <c r="D146" s="144">
        <f>'Data Ocupacion'!AR33</f>
        <v>57</v>
      </c>
      <c r="E146" s="144">
        <f>'Data Ocupacion'!AS33</f>
        <v>0</v>
      </c>
      <c r="F146" s="315" t="s">
        <v>52</v>
      </c>
      <c r="G146" s="316">
        <f t="shared" si="123"/>
        <v>57</v>
      </c>
      <c r="H146" s="236">
        <f t="shared" si="124"/>
        <v>57</v>
      </c>
      <c r="I146" s="236">
        <f>G146*L$2</f>
        <v>2458.4100000000003</v>
      </c>
      <c r="J146" s="160">
        <f>H146*L$2</f>
        <v>2458.4100000000003</v>
      </c>
      <c r="K146" s="236">
        <f t="shared" si="125"/>
        <v>255674.64000000004</v>
      </c>
      <c r="L146" s="236">
        <f t="shared" si="126"/>
        <v>5928</v>
      </c>
      <c r="M146" s="19"/>
      <c r="N146" s="19"/>
      <c r="O146" s="153"/>
      <c r="P146" s="198"/>
      <c r="Q146" s="198"/>
      <c r="R146" s="198"/>
      <c r="S146" s="273"/>
      <c r="T146" s="195"/>
      <c r="U146" s="252"/>
      <c r="V146" s="196">
        <f>I146-(S146*($L$2-$J$1)+(T146*($L$2-$L$1)))</f>
        <v>2458.4100000000003</v>
      </c>
    </row>
    <row r="147" spans="1:25" x14ac:dyDescent="0.25">
      <c r="A147" s="214"/>
      <c r="B147" s="236">
        <v>0</v>
      </c>
      <c r="C147" s="236">
        <v>0</v>
      </c>
      <c r="D147" s="144">
        <f>'Data Ocupacion'!AR34</f>
        <v>0</v>
      </c>
      <c r="E147" s="144">
        <f>'Data Ocupacion'!AS34</f>
        <v>0</v>
      </c>
      <c r="F147" s="315" t="s">
        <v>36</v>
      </c>
      <c r="G147" s="316">
        <f t="shared" si="123"/>
        <v>0</v>
      </c>
      <c r="H147" s="236">
        <f t="shared" si="124"/>
        <v>0</v>
      </c>
      <c r="I147" s="236">
        <f>G147*L$1</f>
        <v>0</v>
      </c>
      <c r="J147" s="160">
        <f>H147*L$1</f>
        <v>0</v>
      </c>
      <c r="K147" s="236">
        <f t="shared" si="125"/>
        <v>0</v>
      </c>
      <c r="L147" s="236">
        <f t="shared" si="126"/>
        <v>0</v>
      </c>
      <c r="M147" s="19"/>
      <c r="N147" s="19"/>
      <c r="O147" s="153"/>
      <c r="P147" s="197"/>
      <c r="Q147" s="199"/>
      <c r="R147" s="222"/>
      <c r="S147" s="200"/>
      <c r="T147" s="201"/>
      <c r="U147" s="201"/>
      <c r="V147" s="192">
        <f>I147-(P147*($L$1-$J$1))</f>
        <v>0</v>
      </c>
    </row>
    <row r="148" spans="1:25" x14ac:dyDescent="0.25">
      <c r="A148" s="214"/>
      <c r="B148" s="236">
        <v>0</v>
      </c>
      <c r="C148" s="236">
        <v>0</v>
      </c>
      <c r="D148" s="144">
        <f>'Data Ocupacion'!AR35</f>
        <v>0</v>
      </c>
      <c r="E148" s="144">
        <f>'Data Ocupacion'!AS35</f>
        <v>0</v>
      </c>
      <c r="F148" s="315" t="s">
        <v>53</v>
      </c>
      <c r="G148" s="316">
        <f t="shared" si="123"/>
        <v>0</v>
      </c>
      <c r="H148" s="236">
        <f t="shared" si="124"/>
        <v>0</v>
      </c>
      <c r="I148" s="236">
        <f>G148*L$1</f>
        <v>0</v>
      </c>
      <c r="J148" s="160">
        <f>H148*L$1</f>
        <v>0</v>
      </c>
      <c r="K148" s="236">
        <f t="shared" si="125"/>
        <v>0</v>
      </c>
      <c r="L148" s="236">
        <f t="shared" si="126"/>
        <v>0</v>
      </c>
      <c r="M148" s="19"/>
      <c r="N148" s="19"/>
      <c r="O148" s="271"/>
      <c r="P148" s="201"/>
      <c r="Q148" s="201"/>
      <c r="R148" s="201"/>
      <c r="S148" s="201"/>
      <c r="T148" s="201"/>
      <c r="U148" s="201"/>
      <c r="V148" s="192">
        <f t="shared" ref="V148:V149" si="127">I148</f>
        <v>0</v>
      </c>
    </row>
    <row r="149" spans="1:25" ht="15" customHeight="1" x14ac:dyDescent="0.25">
      <c r="A149" s="214"/>
      <c r="B149" s="236">
        <v>0</v>
      </c>
      <c r="C149" s="236">
        <v>0</v>
      </c>
      <c r="D149" s="144">
        <f>'Data Ocupacion'!AR36</f>
        <v>0</v>
      </c>
      <c r="E149" s="144">
        <f>'Data Ocupacion'!AS36</f>
        <v>0</v>
      </c>
      <c r="F149" s="315" t="s">
        <v>122</v>
      </c>
      <c r="G149" s="316">
        <f t="shared" si="123"/>
        <v>0</v>
      </c>
      <c r="H149" s="236">
        <f t="shared" si="124"/>
        <v>0</v>
      </c>
      <c r="I149" s="318">
        <f>G149*J$1</f>
        <v>0</v>
      </c>
      <c r="J149" s="160">
        <f>H149*J$1</f>
        <v>0</v>
      </c>
      <c r="K149" s="236">
        <f t="shared" si="125"/>
        <v>0</v>
      </c>
      <c r="L149" s="236">
        <f t="shared" si="126"/>
        <v>0</v>
      </c>
      <c r="M149" s="19"/>
      <c r="N149" s="19"/>
      <c r="O149" s="153"/>
      <c r="P149" s="201"/>
      <c r="Q149" s="201"/>
      <c r="R149" s="201"/>
      <c r="S149" s="201"/>
      <c r="T149" s="201"/>
      <c r="U149" s="201"/>
      <c r="V149" s="192">
        <f t="shared" si="127"/>
        <v>0</v>
      </c>
    </row>
    <row r="150" spans="1:25" ht="15.75" thickBot="1" x14ac:dyDescent="0.3">
      <c r="A150" s="214"/>
      <c r="B150" s="236">
        <v>0</v>
      </c>
      <c r="C150" s="236">
        <v>0</v>
      </c>
      <c r="D150" s="144">
        <f>'Data Ocupacion'!AR37</f>
        <v>0</v>
      </c>
      <c r="E150" s="144">
        <f>'Data Ocupacion'!AS37</f>
        <v>0</v>
      </c>
      <c r="F150" s="315" t="s">
        <v>35</v>
      </c>
      <c r="G150" s="316">
        <f t="shared" si="123"/>
        <v>0</v>
      </c>
      <c r="H150" s="319">
        <f t="shared" si="124"/>
        <v>0</v>
      </c>
      <c r="I150" s="319">
        <f>G150*J$1</f>
        <v>0</v>
      </c>
      <c r="J150" s="160">
        <f>H150*J$1</f>
        <v>0</v>
      </c>
      <c r="K150" s="236">
        <f t="shared" si="125"/>
        <v>0</v>
      </c>
      <c r="L150" s="236">
        <f t="shared" si="126"/>
        <v>0</v>
      </c>
      <c r="M150" s="19"/>
      <c r="N150" s="19"/>
      <c r="O150" s="153"/>
      <c r="P150" s="201"/>
      <c r="Q150" s="201"/>
      <c r="R150" s="201"/>
      <c r="S150" s="201"/>
      <c r="T150" s="201"/>
      <c r="U150" s="201"/>
      <c r="V150" s="192">
        <f>I150</f>
        <v>0</v>
      </c>
    </row>
    <row r="151" spans="1:25" s="130" customFormat="1" ht="15.75" thickBot="1" x14ac:dyDescent="0.3">
      <c r="A151" s="20"/>
      <c r="B151" s="235">
        <f>SUM(B145:B150)</f>
        <v>108</v>
      </c>
      <c r="C151" s="235">
        <f>SUM(C145:C150)</f>
        <v>3</v>
      </c>
      <c r="D151" s="155">
        <f>SUM(D145:D150)</f>
        <v>108</v>
      </c>
      <c r="E151" s="155">
        <f>SUM(E145:E150)</f>
        <v>3</v>
      </c>
      <c r="F151" s="124"/>
      <c r="G151" s="124">
        <f t="shared" ref="G151:L151" si="128">SUM(G145:G150)</f>
        <v>114</v>
      </c>
      <c r="H151" s="124">
        <f t="shared" si="128"/>
        <v>111</v>
      </c>
      <c r="I151" s="125">
        <f>SUM(I145:I150)</f>
        <v>4916.8200000000006</v>
      </c>
      <c r="J151" s="124">
        <f t="shared" si="128"/>
        <v>4787.43</v>
      </c>
      <c r="K151" s="124">
        <f t="shared" si="128"/>
        <v>511349.28000000009</v>
      </c>
      <c r="L151" s="124">
        <f t="shared" si="128"/>
        <v>11544</v>
      </c>
      <c r="M151" s="129">
        <f>'Odometro-Kilometraje'!V81</f>
        <v>4951</v>
      </c>
      <c r="N151" s="21">
        <f>(V151/M151)*100</f>
        <v>99.309634417289445</v>
      </c>
      <c r="O151" s="204"/>
      <c r="P151" s="191"/>
      <c r="Q151" s="191"/>
      <c r="R151" s="191"/>
      <c r="S151" s="191"/>
      <c r="T151" s="191"/>
      <c r="U151" s="191"/>
      <c r="V151" s="205">
        <f>SUM(V145:V150)</f>
        <v>4916.8200000000006</v>
      </c>
    </row>
    <row r="152" spans="1:25" x14ac:dyDescent="0.25">
      <c r="A152" s="62">
        <f>A145+1</f>
        <v>45404</v>
      </c>
      <c r="B152" s="131">
        <v>39</v>
      </c>
      <c r="C152" s="131">
        <v>53</v>
      </c>
      <c r="D152" s="132">
        <f>'Data Ocupacion'!AT32</f>
        <v>39</v>
      </c>
      <c r="E152" s="132">
        <f>'Data Ocupacion'!AU32</f>
        <v>53</v>
      </c>
      <c r="F152" s="240" t="s">
        <v>38</v>
      </c>
      <c r="G152" s="241">
        <f>D152+E152*2</f>
        <v>145</v>
      </c>
      <c r="H152" s="242">
        <f>D152+E152</f>
        <v>92</v>
      </c>
      <c r="I152" s="242">
        <f>G152*L$2</f>
        <v>6253.85</v>
      </c>
      <c r="J152" s="160">
        <f>H152*L$2</f>
        <v>3967.96</v>
      </c>
      <c r="K152" s="131">
        <f t="shared" ref="K152:K157" si="129">I152*104</f>
        <v>650400.4</v>
      </c>
      <c r="L152" s="131">
        <f t="shared" ref="L152:L157" si="130">H152*104</f>
        <v>9568</v>
      </c>
      <c r="M152" s="19"/>
      <c r="N152" s="19"/>
      <c r="O152" s="153"/>
      <c r="P152" s="273">
        <v>5</v>
      </c>
      <c r="Q152" s="193"/>
      <c r="R152" s="221"/>
      <c r="S152" s="215">
        <v>4</v>
      </c>
      <c r="T152" s="203"/>
      <c r="U152" s="251"/>
      <c r="V152" s="196">
        <f>I152-((P152*($L$2-$J$1)))-(S152*($J$1))</f>
        <v>6063.6</v>
      </c>
    </row>
    <row r="153" spans="1:25" ht="15" customHeight="1" x14ac:dyDescent="0.25">
      <c r="A153" s="214"/>
      <c r="B153" s="131">
        <v>37</v>
      </c>
      <c r="C153" s="131">
        <v>53</v>
      </c>
      <c r="D153" s="132">
        <f>'Data Ocupacion'!AT33</f>
        <v>37</v>
      </c>
      <c r="E153" s="132">
        <f>'Data Ocupacion'!AU33</f>
        <v>53</v>
      </c>
      <c r="F153" s="240" t="s">
        <v>52</v>
      </c>
      <c r="G153" s="241">
        <f>D153+E153*2</f>
        <v>143</v>
      </c>
      <c r="H153" s="131">
        <f>D153+E153</f>
        <v>90</v>
      </c>
      <c r="I153" s="131">
        <f>G153*L$2</f>
        <v>6167.59</v>
      </c>
      <c r="J153" s="160">
        <f>H153*L$2</f>
        <v>3881.7000000000003</v>
      </c>
      <c r="K153" s="131">
        <f t="shared" si="129"/>
        <v>641429.36</v>
      </c>
      <c r="L153" s="131">
        <f t="shared" si="130"/>
        <v>9360</v>
      </c>
      <c r="M153" s="19"/>
      <c r="N153" s="19"/>
      <c r="O153" s="153"/>
      <c r="P153" s="198"/>
      <c r="Q153" s="198"/>
      <c r="R153" s="198"/>
      <c r="S153" s="273"/>
      <c r="T153" s="219"/>
      <c r="U153" s="252"/>
      <c r="V153" s="196">
        <f>I153-(S153*($L$2-$J$1)+(T153*($L$2-$L$1)))</f>
        <v>6167.59</v>
      </c>
      <c r="W153" s="130"/>
      <c r="X153" s="130"/>
      <c r="Y153" s="130"/>
    </row>
    <row r="154" spans="1:25" x14ac:dyDescent="0.25">
      <c r="A154" s="214"/>
      <c r="B154" s="131">
        <v>0</v>
      </c>
      <c r="C154" s="131">
        <v>0</v>
      </c>
      <c r="D154" s="132">
        <f>'Data Ocupacion'!AT34</f>
        <v>0</v>
      </c>
      <c r="E154" s="132">
        <f>'Data Ocupacion'!AU34</f>
        <v>0</v>
      </c>
      <c r="F154" s="240" t="s">
        <v>36</v>
      </c>
      <c r="G154" s="241">
        <f t="shared" ref="G154:G157" si="131">D154+E154*2</f>
        <v>0</v>
      </c>
      <c r="H154" s="131">
        <f t="shared" ref="H154:H157" si="132">D154+E154</f>
        <v>0</v>
      </c>
      <c r="I154" s="131">
        <f>G154*L$1</f>
        <v>0</v>
      </c>
      <c r="J154" s="160">
        <f>H154*L$1</f>
        <v>0</v>
      </c>
      <c r="K154" s="131">
        <f t="shared" si="129"/>
        <v>0</v>
      </c>
      <c r="L154" s="131">
        <f t="shared" si="130"/>
        <v>0</v>
      </c>
      <c r="M154" s="19"/>
      <c r="N154" s="19"/>
      <c r="O154" s="153"/>
      <c r="P154" s="197"/>
      <c r="Q154" s="199"/>
      <c r="R154" s="222"/>
      <c r="S154" s="200"/>
      <c r="T154" s="201"/>
      <c r="U154" s="201"/>
      <c r="V154" s="192">
        <f>I154-(P154*($L$1-$J$1))</f>
        <v>0</v>
      </c>
      <c r="W154" s="130"/>
      <c r="X154" s="130"/>
      <c r="Y154" s="130"/>
    </row>
    <row r="155" spans="1:25" ht="15" customHeight="1" x14ac:dyDescent="0.25">
      <c r="A155" s="214"/>
      <c r="B155" s="131">
        <v>1</v>
      </c>
      <c r="C155" s="131">
        <v>0</v>
      </c>
      <c r="D155" s="132">
        <f>'Data Ocupacion'!AT35</f>
        <v>1</v>
      </c>
      <c r="E155" s="132">
        <f>'Data Ocupacion'!AU35</f>
        <v>0</v>
      </c>
      <c r="F155" s="240" t="s">
        <v>53</v>
      </c>
      <c r="G155" s="241">
        <f t="shared" si="131"/>
        <v>1</v>
      </c>
      <c r="H155" s="131">
        <f t="shared" si="132"/>
        <v>1</v>
      </c>
      <c r="I155" s="131">
        <f>G155*L$1</f>
        <v>29.11</v>
      </c>
      <c r="J155" s="160">
        <f>H155*L$1</f>
        <v>29.11</v>
      </c>
      <c r="K155" s="131">
        <f t="shared" si="129"/>
        <v>3027.44</v>
      </c>
      <c r="L155" s="131">
        <f t="shared" si="130"/>
        <v>104</v>
      </c>
      <c r="M155" s="19"/>
      <c r="N155" s="19"/>
      <c r="O155" s="153"/>
      <c r="P155" s="201"/>
      <c r="Q155" s="201"/>
      <c r="R155" s="201"/>
      <c r="S155" s="201"/>
      <c r="T155" s="201"/>
      <c r="U155" s="201"/>
      <c r="V155" s="192">
        <f t="shared" ref="V155:V156" si="133">I155</f>
        <v>29.11</v>
      </c>
      <c r="W155" s="130"/>
      <c r="X155" s="130"/>
      <c r="Y155" s="130"/>
    </row>
    <row r="156" spans="1:25" ht="13.5" customHeight="1" x14ac:dyDescent="0.25">
      <c r="A156" s="214"/>
      <c r="B156" s="131">
        <v>0</v>
      </c>
      <c r="C156" s="131">
        <v>0</v>
      </c>
      <c r="D156" s="132">
        <f>'Data Ocupacion'!AT36</f>
        <v>0</v>
      </c>
      <c r="E156" s="132">
        <f>'Data Ocupacion'!AU36</f>
        <v>0</v>
      </c>
      <c r="F156" s="240" t="s">
        <v>122</v>
      </c>
      <c r="G156" s="241">
        <f t="shared" si="131"/>
        <v>0</v>
      </c>
      <c r="H156" s="131">
        <f t="shared" si="132"/>
        <v>0</v>
      </c>
      <c r="I156" s="243">
        <f>G156*J$1</f>
        <v>0</v>
      </c>
      <c r="J156" s="160">
        <f>H156*L$1</f>
        <v>0</v>
      </c>
      <c r="K156" s="131">
        <f t="shared" si="129"/>
        <v>0</v>
      </c>
      <c r="L156" s="131">
        <f t="shared" si="130"/>
        <v>0</v>
      </c>
      <c r="M156" s="19"/>
      <c r="N156" s="19"/>
      <c r="O156" s="153"/>
      <c r="P156" s="201"/>
      <c r="Q156" s="201"/>
      <c r="R156" s="201"/>
      <c r="S156" s="201"/>
      <c r="T156" s="201"/>
      <c r="U156" s="201"/>
      <c r="V156" s="192">
        <f t="shared" si="133"/>
        <v>0</v>
      </c>
      <c r="W156" s="130"/>
      <c r="X156" s="130"/>
      <c r="Y156" s="130"/>
    </row>
    <row r="157" spans="1:25" ht="15.75" thickBot="1" x14ac:dyDescent="0.3">
      <c r="A157" s="214"/>
      <c r="B157" s="131">
        <v>1</v>
      </c>
      <c r="C157" s="131">
        <v>0</v>
      </c>
      <c r="D157" s="132">
        <f>'Data Ocupacion'!AT37</f>
        <v>1</v>
      </c>
      <c r="E157" s="132">
        <f>'Data Ocupacion'!AU37</f>
        <v>0</v>
      </c>
      <c r="F157" s="240" t="s">
        <v>35</v>
      </c>
      <c r="G157" s="241">
        <f t="shared" si="131"/>
        <v>1</v>
      </c>
      <c r="H157" s="244">
        <f t="shared" si="132"/>
        <v>1</v>
      </c>
      <c r="I157" s="244">
        <f>G157*J$1</f>
        <v>25.4</v>
      </c>
      <c r="J157" s="160">
        <f>H157*J$1</f>
        <v>25.4</v>
      </c>
      <c r="K157" s="131">
        <f t="shared" si="129"/>
        <v>2641.6</v>
      </c>
      <c r="L157" s="131">
        <f t="shared" si="130"/>
        <v>104</v>
      </c>
      <c r="M157" s="19"/>
      <c r="N157" s="19"/>
      <c r="O157" s="153"/>
      <c r="P157" s="201"/>
      <c r="Q157" s="201"/>
      <c r="R157" s="201"/>
      <c r="S157" s="201"/>
      <c r="T157" s="201"/>
      <c r="U157" s="201"/>
      <c r="V157" s="192">
        <f>I157</f>
        <v>25.4</v>
      </c>
    </row>
    <row r="158" spans="1:25" s="130" customFormat="1" ht="15.75" thickBot="1" x14ac:dyDescent="0.3">
      <c r="A158" s="20"/>
      <c r="B158" s="235">
        <f>SUM(B152:B157)</f>
        <v>78</v>
      </c>
      <c r="C158" s="235">
        <f>SUM(C152:C157)</f>
        <v>106</v>
      </c>
      <c r="D158" s="155">
        <f>SUM(D152:D157)</f>
        <v>78</v>
      </c>
      <c r="E158" s="155">
        <f>SUM(E152:E157)</f>
        <v>106</v>
      </c>
      <c r="F158" s="124"/>
      <c r="G158" s="124">
        <f t="shared" ref="G158:L158" si="134">SUM(G152:G157)</f>
        <v>290</v>
      </c>
      <c r="H158" s="124">
        <f t="shared" si="134"/>
        <v>184</v>
      </c>
      <c r="I158" s="125">
        <f t="shared" si="134"/>
        <v>12475.95</v>
      </c>
      <c r="J158" s="124">
        <f t="shared" si="134"/>
        <v>7904.1699999999992</v>
      </c>
      <c r="K158" s="124">
        <f t="shared" si="134"/>
        <v>1297498.8</v>
      </c>
      <c r="L158" s="124">
        <f t="shared" si="134"/>
        <v>19136</v>
      </c>
      <c r="M158" s="129">
        <f>'Odometro-Kilometraje'!W81</f>
        <v>13017</v>
      </c>
      <c r="N158" s="21">
        <f>(V158/M158)*100</f>
        <v>94.381962049627418</v>
      </c>
      <c r="O158" s="204"/>
      <c r="P158" s="191"/>
      <c r="Q158" s="191"/>
      <c r="R158" s="191"/>
      <c r="S158" s="191"/>
      <c r="T158" s="191"/>
      <c r="U158" s="191"/>
      <c r="V158" s="205">
        <f>SUM(V152:V157)</f>
        <v>12285.7</v>
      </c>
    </row>
    <row r="159" spans="1:25" s="130" customFormat="1" x14ac:dyDescent="0.25">
      <c r="A159" s="62">
        <f>A152+1</f>
        <v>45405</v>
      </c>
      <c r="B159" s="131">
        <v>39</v>
      </c>
      <c r="C159" s="131">
        <v>53</v>
      </c>
      <c r="D159" s="132">
        <f>'Data Ocupacion'!AV32</f>
        <v>39</v>
      </c>
      <c r="E159" s="132">
        <f>'Data Ocupacion'!AW32</f>
        <v>53</v>
      </c>
      <c r="F159" s="131" t="s">
        <v>38</v>
      </c>
      <c r="G159" s="131">
        <f t="shared" ref="G159:G164" si="135">D159+E159*2</f>
        <v>145</v>
      </c>
      <c r="H159" s="131">
        <f t="shared" ref="H159:H164" si="136">D159+E159</f>
        <v>92</v>
      </c>
      <c r="I159" s="131">
        <f>G159*L$2</f>
        <v>6253.85</v>
      </c>
      <c r="J159" s="160">
        <f>H159*L$2</f>
        <v>3967.96</v>
      </c>
      <c r="K159" s="131">
        <f t="shared" ref="K159:K164" si="137">I159*104</f>
        <v>650400.4</v>
      </c>
      <c r="L159" s="131">
        <f t="shared" ref="L159:L164" si="138">H159*104</f>
        <v>9568</v>
      </c>
      <c r="M159" s="19"/>
      <c r="N159" s="19"/>
      <c r="O159" s="153"/>
      <c r="P159" s="193">
        <v>6</v>
      </c>
      <c r="Q159" s="193"/>
      <c r="R159" s="221"/>
      <c r="S159" s="215">
        <v>6</v>
      </c>
      <c r="T159" s="203"/>
      <c r="U159" s="251"/>
      <c r="V159" s="196">
        <f>I159-((P159*($L$2-$J$1)))-(S159*($J$1))</f>
        <v>5995.0700000000006</v>
      </c>
    </row>
    <row r="160" spans="1:25" ht="15" customHeight="1" x14ac:dyDescent="0.25">
      <c r="A160" s="214"/>
      <c r="B160" s="131">
        <v>37</v>
      </c>
      <c r="C160" s="131">
        <v>53</v>
      </c>
      <c r="D160" s="132">
        <f>'Data Ocupacion'!AV33</f>
        <v>37</v>
      </c>
      <c r="E160" s="132">
        <f>'Data Ocupacion'!AW33</f>
        <v>53</v>
      </c>
      <c r="F160" s="131" t="s">
        <v>52</v>
      </c>
      <c r="G160" s="131">
        <f t="shared" si="135"/>
        <v>143</v>
      </c>
      <c r="H160" s="131">
        <f t="shared" si="136"/>
        <v>90</v>
      </c>
      <c r="I160" s="131">
        <f>G160*L$2</f>
        <v>6167.59</v>
      </c>
      <c r="J160" s="160">
        <f>H160*L$2</f>
        <v>3881.7000000000003</v>
      </c>
      <c r="K160" s="131">
        <f t="shared" si="137"/>
        <v>641429.36</v>
      </c>
      <c r="L160" s="131">
        <f t="shared" si="138"/>
        <v>9360</v>
      </c>
      <c r="M160" s="19"/>
      <c r="N160" s="19"/>
      <c r="O160" s="153"/>
      <c r="P160" s="198"/>
      <c r="Q160" s="198"/>
      <c r="R160" s="234"/>
      <c r="S160" s="193"/>
      <c r="T160" s="234"/>
      <c r="U160" s="252"/>
      <c r="V160" s="196">
        <f>I160-(S160*($L$2-$J$1)+(T160*($L$2-$L$1)))</f>
        <v>6167.59</v>
      </c>
      <c r="X160" s="179"/>
    </row>
    <row r="161" spans="1:24" x14ac:dyDescent="0.25">
      <c r="A161" s="214"/>
      <c r="B161" s="131">
        <v>0</v>
      </c>
      <c r="C161" s="131">
        <v>0</v>
      </c>
      <c r="D161" s="132">
        <f>'Data Ocupacion'!AV34</f>
        <v>0</v>
      </c>
      <c r="E161" s="132">
        <f>'Data Ocupacion'!AW34</f>
        <v>0</v>
      </c>
      <c r="F161" s="131" t="s">
        <v>36</v>
      </c>
      <c r="G161" s="131">
        <f t="shared" si="135"/>
        <v>0</v>
      </c>
      <c r="H161" s="131">
        <f t="shared" si="136"/>
        <v>0</v>
      </c>
      <c r="I161" s="131">
        <f>G161*L$1</f>
        <v>0</v>
      </c>
      <c r="J161" s="160">
        <f>H161*L$1</f>
        <v>0</v>
      </c>
      <c r="K161" s="131">
        <f t="shared" si="137"/>
        <v>0</v>
      </c>
      <c r="L161" s="131">
        <f t="shared" si="138"/>
        <v>0</v>
      </c>
      <c r="M161" s="19"/>
      <c r="N161" s="19"/>
      <c r="O161" s="153"/>
      <c r="P161" s="197"/>
      <c r="Q161" s="199"/>
      <c r="R161" s="222"/>
      <c r="S161" s="200"/>
      <c r="T161" s="201"/>
      <c r="U161" s="201"/>
      <c r="V161" s="192">
        <f>I161-(P161*($L$1-$J$1))</f>
        <v>0</v>
      </c>
    </row>
    <row r="162" spans="1:24" ht="15" customHeight="1" x14ac:dyDescent="0.25">
      <c r="A162" s="214"/>
      <c r="B162" s="131">
        <v>1</v>
      </c>
      <c r="C162" s="131">
        <v>0</v>
      </c>
      <c r="D162" s="132">
        <f>'Data Ocupacion'!AV35</f>
        <v>1</v>
      </c>
      <c r="E162" s="132">
        <f>'Data Ocupacion'!AW35</f>
        <v>0</v>
      </c>
      <c r="F162" s="131" t="s">
        <v>53</v>
      </c>
      <c r="G162" s="131">
        <f t="shared" si="135"/>
        <v>1</v>
      </c>
      <c r="H162" s="131">
        <f t="shared" si="136"/>
        <v>1</v>
      </c>
      <c r="I162" s="131">
        <f>G162*L$1</f>
        <v>29.11</v>
      </c>
      <c r="J162" s="160">
        <f>H162*L$1</f>
        <v>29.11</v>
      </c>
      <c r="K162" s="131">
        <f t="shared" si="137"/>
        <v>3027.44</v>
      </c>
      <c r="L162" s="131">
        <f t="shared" si="138"/>
        <v>104</v>
      </c>
      <c r="M162" s="19"/>
      <c r="N162" s="19"/>
      <c r="O162" s="153"/>
      <c r="P162" s="201"/>
      <c r="Q162" s="201"/>
      <c r="R162" s="201"/>
      <c r="S162" s="201"/>
      <c r="T162" s="201"/>
      <c r="U162" s="201"/>
      <c r="V162" s="192">
        <f t="shared" ref="V162:V163" si="139">I162</f>
        <v>29.11</v>
      </c>
    </row>
    <row r="163" spans="1:24" ht="13.5" customHeight="1" x14ac:dyDescent="0.25">
      <c r="A163" s="214"/>
      <c r="B163" s="131">
        <v>0</v>
      </c>
      <c r="C163" s="131">
        <v>0</v>
      </c>
      <c r="D163" s="132">
        <f>'Data Ocupacion'!AV36</f>
        <v>0</v>
      </c>
      <c r="E163" s="132">
        <f>'Data Ocupacion'!AW36</f>
        <v>0</v>
      </c>
      <c r="F163" s="131" t="s">
        <v>122</v>
      </c>
      <c r="G163" s="131">
        <f t="shared" si="135"/>
        <v>0</v>
      </c>
      <c r="H163" s="131">
        <f t="shared" si="136"/>
        <v>0</v>
      </c>
      <c r="I163" s="131">
        <f>G163*J$1</f>
        <v>0</v>
      </c>
      <c r="J163" s="160">
        <f>H163*J$1</f>
        <v>0</v>
      </c>
      <c r="K163" s="131">
        <f t="shared" si="137"/>
        <v>0</v>
      </c>
      <c r="L163" s="131">
        <f t="shared" si="138"/>
        <v>0</v>
      </c>
      <c r="M163" s="19"/>
      <c r="N163" s="19"/>
      <c r="O163" s="153"/>
      <c r="P163" s="201"/>
      <c r="Q163" s="201"/>
      <c r="R163" s="201"/>
      <c r="S163" s="201"/>
      <c r="T163" s="201"/>
      <c r="U163" s="201"/>
      <c r="V163" s="192">
        <f t="shared" si="139"/>
        <v>0</v>
      </c>
    </row>
    <row r="164" spans="1:24" ht="15.75" thickBot="1" x14ac:dyDescent="0.3">
      <c r="A164" s="214"/>
      <c r="B164" s="131">
        <v>1</v>
      </c>
      <c r="C164" s="131">
        <v>0</v>
      </c>
      <c r="D164" s="132">
        <f>'Data Ocupacion'!AV37</f>
        <v>1</v>
      </c>
      <c r="E164" s="132">
        <f>'Data Ocupacion'!AW37</f>
        <v>0</v>
      </c>
      <c r="F164" s="131" t="s">
        <v>35</v>
      </c>
      <c r="G164" s="131">
        <f t="shared" si="135"/>
        <v>1</v>
      </c>
      <c r="H164" s="131">
        <f t="shared" si="136"/>
        <v>1</v>
      </c>
      <c r="I164" s="131">
        <f>G164*J$1</f>
        <v>25.4</v>
      </c>
      <c r="J164" s="160">
        <f>H164*J$1</f>
        <v>25.4</v>
      </c>
      <c r="K164" s="131">
        <f t="shared" si="137"/>
        <v>2641.6</v>
      </c>
      <c r="L164" s="131">
        <f t="shared" si="138"/>
        <v>104</v>
      </c>
      <c r="M164" s="19"/>
      <c r="N164" s="19"/>
      <c r="O164" s="153"/>
      <c r="P164" s="201"/>
      <c r="Q164" s="201"/>
      <c r="R164" s="201"/>
      <c r="S164" s="201"/>
      <c r="T164" s="201"/>
      <c r="U164" s="201"/>
      <c r="V164" s="192">
        <f>I164</f>
        <v>25.4</v>
      </c>
    </row>
    <row r="165" spans="1:24" s="130" customFormat="1" ht="15" customHeight="1" thickBot="1" x14ac:dyDescent="0.3">
      <c r="A165" s="20"/>
      <c r="B165" s="235">
        <f>SUM(B159:B164)</f>
        <v>78</v>
      </c>
      <c r="C165" s="235">
        <f>SUM(C159:C164)</f>
        <v>106</v>
      </c>
      <c r="D165" s="155">
        <f>SUM(D159:D164)</f>
        <v>78</v>
      </c>
      <c r="E165" s="155">
        <f>SUM(E159:E164)</f>
        <v>106</v>
      </c>
      <c r="F165" s="124"/>
      <c r="G165" s="124">
        <f t="shared" ref="G165:L165" si="140">SUM(G159:G164)</f>
        <v>290</v>
      </c>
      <c r="H165" s="124">
        <f t="shared" si="140"/>
        <v>184</v>
      </c>
      <c r="I165" s="125">
        <f t="shared" si="140"/>
        <v>12475.95</v>
      </c>
      <c r="J165" s="124">
        <f t="shared" si="140"/>
        <v>7904.1699999999992</v>
      </c>
      <c r="K165" s="124">
        <f t="shared" si="140"/>
        <v>1297498.8</v>
      </c>
      <c r="L165" s="124">
        <f t="shared" si="140"/>
        <v>19136</v>
      </c>
      <c r="M165" s="129">
        <f>'Odometro-Kilometraje'!X81</f>
        <v>12981</v>
      </c>
      <c r="N165" s="21">
        <f>(V165/M165)*100</f>
        <v>94.115784608273628</v>
      </c>
      <c r="O165" s="204"/>
      <c r="P165" s="191"/>
      <c r="Q165" s="191"/>
      <c r="R165" s="191"/>
      <c r="S165" s="191"/>
      <c r="T165" s="191"/>
      <c r="U165" s="191"/>
      <c r="V165" s="205">
        <f>SUM(V159:V164)</f>
        <v>12217.17</v>
      </c>
    </row>
    <row r="166" spans="1:24" x14ac:dyDescent="0.25">
      <c r="A166" s="62">
        <f>A159+1</f>
        <v>45406</v>
      </c>
      <c r="B166" s="131">
        <v>39</v>
      </c>
      <c r="C166" s="131">
        <v>53</v>
      </c>
      <c r="D166" s="132">
        <f>'Data Ocupacion'!AX32</f>
        <v>39</v>
      </c>
      <c r="E166" s="132">
        <f>'Data Ocupacion'!AY32</f>
        <v>53</v>
      </c>
      <c r="F166" s="131" t="s">
        <v>38</v>
      </c>
      <c r="G166" s="131">
        <f t="shared" ref="G166:G171" si="141">D166+E166*2</f>
        <v>145</v>
      </c>
      <c r="H166" s="131">
        <f t="shared" ref="H166:H171" si="142">D166+E166</f>
        <v>92</v>
      </c>
      <c r="I166" s="131">
        <f>G166*L$2</f>
        <v>6253.85</v>
      </c>
      <c r="J166" s="160">
        <f>H166*L$2</f>
        <v>3967.96</v>
      </c>
      <c r="K166" s="131">
        <f t="shared" ref="K166:K171" si="143">I166*104</f>
        <v>650400.4</v>
      </c>
      <c r="L166" s="131">
        <f t="shared" ref="L166:L171" si="144">H166*104</f>
        <v>9568</v>
      </c>
      <c r="M166" s="19"/>
      <c r="N166" s="19"/>
      <c r="O166" s="153"/>
      <c r="P166" s="193">
        <v>4</v>
      </c>
      <c r="Q166" s="193"/>
      <c r="R166" s="221"/>
      <c r="S166" s="296">
        <v>5</v>
      </c>
      <c r="T166" s="203"/>
      <c r="U166" s="251"/>
      <c r="V166" s="196">
        <f>I166-((P166*($L$2-$J$1)))-(S166*($J$1))</f>
        <v>6055.93</v>
      </c>
    </row>
    <row r="167" spans="1:24" ht="15" customHeight="1" x14ac:dyDescent="0.25">
      <c r="A167" s="214"/>
      <c r="B167" s="131">
        <v>37</v>
      </c>
      <c r="C167" s="131">
        <v>53</v>
      </c>
      <c r="D167" s="132">
        <f>'Data Ocupacion'!AX33</f>
        <v>37</v>
      </c>
      <c r="E167" s="132">
        <f>'Data Ocupacion'!AY33</f>
        <v>53</v>
      </c>
      <c r="F167" s="131" t="s">
        <v>52</v>
      </c>
      <c r="G167" s="131">
        <f t="shared" si="141"/>
        <v>143</v>
      </c>
      <c r="H167" s="131">
        <f t="shared" si="142"/>
        <v>90</v>
      </c>
      <c r="I167" s="131">
        <f>G167*L$2</f>
        <v>6167.59</v>
      </c>
      <c r="J167" s="160">
        <f>H167*L$2</f>
        <v>3881.7000000000003</v>
      </c>
      <c r="K167" s="131">
        <f t="shared" si="143"/>
        <v>641429.36</v>
      </c>
      <c r="L167" s="131">
        <f t="shared" si="144"/>
        <v>9360</v>
      </c>
      <c r="M167" s="19"/>
      <c r="N167" s="19"/>
      <c r="O167" s="153"/>
      <c r="P167" s="198"/>
      <c r="Q167" s="198"/>
      <c r="R167" s="198"/>
      <c r="S167" s="215"/>
      <c r="T167" s="219"/>
      <c r="U167" s="252"/>
      <c r="V167" s="196">
        <f>I167-(S167*($L$2-$J$1)+(T167*($L$2-$L$1)))</f>
        <v>6167.59</v>
      </c>
      <c r="X167" s="179"/>
    </row>
    <row r="168" spans="1:24" x14ac:dyDescent="0.25">
      <c r="A168" s="214"/>
      <c r="B168" s="131">
        <v>0</v>
      </c>
      <c r="C168" s="131">
        <v>0</v>
      </c>
      <c r="D168" s="132">
        <f>'Data Ocupacion'!AX34</f>
        <v>0</v>
      </c>
      <c r="E168" s="132">
        <f>'Data Ocupacion'!AY34</f>
        <v>0</v>
      </c>
      <c r="F168" s="131" t="s">
        <v>36</v>
      </c>
      <c r="G168" s="131">
        <f t="shared" si="141"/>
        <v>0</v>
      </c>
      <c r="H168" s="131">
        <f t="shared" si="142"/>
        <v>0</v>
      </c>
      <c r="I168" s="131">
        <f>G168*L$1</f>
        <v>0</v>
      </c>
      <c r="J168" s="160">
        <f>H168*L$1</f>
        <v>0</v>
      </c>
      <c r="K168" s="131">
        <f t="shared" si="143"/>
        <v>0</v>
      </c>
      <c r="L168" s="131">
        <f t="shared" si="144"/>
        <v>0</v>
      </c>
      <c r="M168" s="19"/>
      <c r="N168" s="19"/>
      <c r="O168" s="153"/>
      <c r="P168" s="197"/>
      <c r="Q168" s="199"/>
      <c r="R168" s="222"/>
      <c r="S168" s="200"/>
      <c r="T168" s="201"/>
      <c r="U168" s="201"/>
      <c r="V168" s="192">
        <f>I168-(P168*($L$1-$J$1))</f>
        <v>0</v>
      </c>
    </row>
    <row r="169" spans="1:24" ht="15" customHeight="1" x14ac:dyDescent="0.25">
      <c r="A169" s="214"/>
      <c r="B169" s="131">
        <v>1</v>
      </c>
      <c r="C169" s="131">
        <v>0</v>
      </c>
      <c r="D169" s="132">
        <f>'Data Ocupacion'!AX35</f>
        <v>1</v>
      </c>
      <c r="E169" s="132">
        <f>'Data Ocupacion'!AY35</f>
        <v>0</v>
      </c>
      <c r="F169" s="131" t="s">
        <v>53</v>
      </c>
      <c r="G169" s="131">
        <f t="shared" si="141"/>
        <v>1</v>
      </c>
      <c r="H169" s="131">
        <f t="shared" si="142"/>
        <v>1</v>
      </c>
      <c r="I169" s="131">
        <f>G169*L$1</f>
        <v>29.11</v>
      </c>
      <c r="J169" s="160">
        <f>H169*L$1</f>
        <v>29.11</v>
      </c>
      <c r="K169" s="131">
        <f t="shared" si="143"/>
        <v>3027.44</v>
      </c>
      <c r="L169" s="131">
        <f t="shared" si="144"/>
        <v>104</v>
      </c>
      <c r="M169" s="19"/>
      <c r="N169" s="19"/>
      <c r="O169" s="153"/>
      <c r="P169" s="201"/>
      <c r="Q169" s="201"/>
      <c r="R169" s="201"/>
      <c r="S169" s="201"/>
      <c r="T169" s="201"/>
      <c r="U169" s="201"/>
      <c r="V169" s="192">
        <f t="shared" ref="V169:V170" si="145">I169</f>
        <v>29.11</v>
      </c>
    </row>
    <row r="170" spans="1:24" ht="15" customHeight="1" x14ac:dyDescent="0.25">
      <c r="A170" s="214"/>
      <c r="B170" s="131">
        <v>0</v>
      </c>
      <c r="C170" s="131">
        <v>0</v>
      </c>
      <c r="D170" s="132">
        <f>'Data Ocupacion'!AX36</f>
        <v>0</v>
      </c>
      <c r="E170" s="132">
        <f>'Data Ocupacion'!AY36</f>
        <v>0</v>
      </c>
      <c r="F170" s="131" t="s">
        <v>122</v>
      </c>
      <c r="G170" s="131">
        <f t="shared" si="141"/>
        <v>0</v>
      </c>
      <c r="H170" s="131">
        <f t="shared" si="142"/>
        <v>0</v>
      </c>
      <c r="I170" s="131">
        <f>G170*J$1</f>
        <v>0</v>
      </c>
      <c r="J170" s="160">
        <f>H170*J$1</f>
        <v>0</v>
      </c>
      <c r="K170" s="131">
        <f t="shared" si="143"/>
        <v>0</v>
      </c>
      <c r="L170" s="131">
        <f t="shared" si="144"/>
        <v>0</v>
      </c>
      <c r="M170" s="19"/>
      <c r="N170" s="19"/>
      <c r="O170" s="153"/>
      <c r="P170" s="201"/>
      <c r="Q170" s="201"/>
      <c r="R170" s="201"/>
      <c r="S170" s="201"/>
      <c r="T170" s="201"/>
      <c r="U170" s="201"/>
      <c r="V170" s="192">
        <f t="shared" si="145"/>
        <v>0</v>
      </c>
    </row>
    <row r="171" spans="1:24" ht="15.75" thickBot="1" x14ac:dyDescent="0.3">
      <c r="A171" s="214"/>
      <c r="B171" s="131">
        <v>1</v>
      </c>
      <c r="C171" s="131">
        <v>0</v>
      </c>
      <c r="D171" s="132">
        <f>'Data Ocupacion'!AX37</f>
        <v>1</v>
      </c>
      <c r="E171" s="132">
        <f>'Data Ocupacion'!AY37</f>
        <v>0</v>
      </c>
      <c r="F171" s="131" t="s">
        <v>35</v>
      </c>
      <c r="G171" s="131">
        <f t="shared" si="141"/>
        <v>1</v>
      </c>
      <c r="H171" s="131">
        <f t="shared" si="142"/>
        <v>1</v>
      </c>
      <c r="I171" s="131">
        <f>G171*J$1</f>
        <v>25.4</v>
      </c>
      <c r="J171" s="160">
        <f>H171*J$1</f>
        <v>25.4</v>
      </c>
      <c r="K171" s="131">
        <f t="shared" si="143"/>
        <v>2641.6</v>
      </c>
      <c r="L171" s="131">
        <f t="shared" si="144"/>
        <v>104</v>
      </c>
      <c r="M171" s="19"/>
      <c r="N171" s="19"/>
      <c r="O171" s="153"/>
      <c r="P171" s="201"/>
      <c r="Q171" s="201"/>
      <c r="R171" s="201"/>
      <c r="S171" s="201"/>
      <c r="T171" s="201"/>
      <c r="U171" s="201"/>
      <c r="V171" s="192">
        <f>I171</f>
        <v>25.4</v>
      </c>
    </row>
    <row r="172" spans="1:24" s="130" customFormat="1" ht="15.75" thickBot="1" x14ac:dyDescent="0.3">
      <c r="A172" s="20"/>
      <c r="B172" s="235">
        <f>SUM(B166:B171)</f>
        <v>78</v>
      </c>
      <c r="C172" s="235">
        <f>SUM(C166:C171)</f>
        <v>106</v>
      </c>
      <c r="D172" s="155">
        <f>SUM(D166:D171)</f>
        <v>78</v>
      </c>
      <c r="E172" s="155">
        <f>SUM(E166:E171)</f>
        <v>106</v>
      </c>
      <c r="F172" s="124"/>
      <c r="G172" s="124">
        <f t="shared" ref="G172:L172" si="146">SUM(G166:G171)</f>
        <v>290</v>
      </c>
      <c r="H172" s="124">
        <f t="shared" si="146"/>
        <v>184</v>
      </c>
      <c r="I172" s="124">
        <f t="shared" si="146"/>
        <v>12475.95</v>
      </c>
      <c r="J172" s="124">
        <f t="shared" si="146"/>
        <v>7904.1699999999992</v>
      </c>
      <c r="K172" s="124">
        <f t="shared" si="146"/>
        <v>1297498.8</v>
      </c>
      <c r="L172" s="124">
        <f t="shared" si="146"/>
        <v>19136</v>
      </c>
      <c r="M172" s="129">
        <f>'Odometro-Kilometraje'!Y81</f>
        <v>13074</v>
      </c>
      <c r="N172" s="21">
        <f>(V172/M172)*100</f>
        <v>93.911809698638521</v>
      </c>
      <c r="O172" s="204"/>
      <c r="P172" s="191"/>
      <c r="Q172" s="191"/>
      <c r="R172" s="191"/>
      <c r="S172" s="191"/>
      <c r="T172" s="191"/>
      <c r="U172" s="191"/>
      <c r="V172" s="205">
        <f>SUM(V166:V171)</f>
        <v>12278.03</v>
      </c>
    </row>
    <row r="173" spans="1:24" x14ac:dyDescent="0.25">
      <c r="A173" s="62">
        <f>A166+1</f>
        <v>45407</v>
      </c>
      <c r="B173" s="131">
        <v>39</v>
      </c>
      <c r="C173" s="131">
        <v>53</v>
      </c>
      <c r="D173" s="132">
        <f>'Data Ocupacion'!AZ32</f>
        <v>27</v>
      </c>
      <c r="E173" s="132">
        <f>'Data Ocupacion'!BA32</f>
        <v>58</v>
      </c>
      <c r="F173" s="131" t="s">
        <v>38</v>
      </c>
      <c r="G173" s="131">
        <f t="shared" ref="G173:G178" si="147">D173+E173*2</f>
        <v>143</v>
      </c>
      <c r="H173" s="131">
        <f t="shared" ref="H173:H178" si="148">D173+E173</f>
        <v>85</v>
      </c>
      <c r="I173" s="131">
        <f>G173*L$2</f>
        <v>6167.59</v>
      </c>
      <c r="J173" s="160">
        <f>H173*L$2</f>
        <v>3666.05</v>
      </c>
      <c r="K173" s="131">
        <f t="shared" ref="K173:K178" si="149">I173*104</f>
        <v>641429.36</v>
      </c>
      <c r="L173" s="131">
        <f t="shared" ref="L173:L178" si="150">H173*104</f>
        <v>8840</v>
      </c>
      <c r="M173" s="19"/>
      <c r="N173" s="19"/>
      <c r="O173" s="153"/>
      <c r="P173" s="273">
        <v>5</v>
      </c>
      <c r="Q173" s="193"/>
      <c r="R173" s="215"/>
      <c r="S173" s="310">
        <v>6</v>
      </c>
      <c r="T173" s="203"/>
      <c r="U173" s="251"/>
      <c r="V173" s="196">
        <f>I173-((P173*($L$2-$J$1)))-(S173*($J$1))</f>
        <v>5926.5400000000009</v>
      </c>
    </row>
    <row r="174" spans="1:24" ht="18" customHeight="1" x14ac:dyDescent="0.25">
      <c r="A174" s="335" t="s">
        <v>175</v>
      </c>
      <c r="B174" s="131">
        <v>37</v>
      </c>
      <c r="C174" s="131">
        <v>53</v>
      </c>
      <c r="D174" s="144">
        <f>'Data Ocupacion'!AZ33</f>
        <v>35</v>
      </c>
      <c r="E174" s="144">
        <f>'Data Ocupacion'!BA33</f>
        <v>50</v>
      </c>
      <c r="F174" s="131" t="s">
        <v>52</v>
      </c>
      <c r="G174" s="131">
        <f t="shared" si="147"/>
        <v>135</v>
      </c>
      <c r="H174" s="131">
        <f t="shared" si="148"/>
        <v>85</v>
      </c>
      <c r="I174" s="131">
        <f>G174*L$2</f>
        <v>5822.55</v>
      </c>
      <c r="J174" s="160">
        <f>H174*L$2</f>
        <v>3666.05</v>
      </c>
      <c r="K174" s="131">
        <f t="shared" si="149"/>
        <v>605545.20000000007</v>
      </c>
      <c r="L174" s="131">
        <f t="shared" si="150"/>
        <v>8840</v>
      </c>
      <c r="M174" s="19"/>
      <c r="N174" s="19"/>
      <c r="O174" s="153"/>
      <c r="P174" s="198"/>
      <c r="Q174" s="198"/>
      <c r="R174" s="234"/>
      <c r="S174" s="197"/>
      <c r="T174" s="195"/>
      <c r="U174" s="252"/>
      <c r="V174" s="196">
        <f>I174-((S174*($L$2-$J$1)+(T174*($L$2-$L$1)))-(R174*($L$2-$H$2)))</f>
        <v>5822.55</v>
      </c>
      <c r="X174" s="179"/>
    </row>
    <row r="175" spans="1:24" x14ac:dyDescent="0.25">
      <c r="A175" s="335"/>
      <c r="B175" s="131">
        <v>0</v>
      </c>
      <c r="C175" s="131">
        <v>0</v>
      </c>
      <c r="D175" s="132">
        <f>'Data Ocupacion'!AZ34</f>
        <v>0</v>
      </c>
      <c r="E175" s="132">
        <f>'Data Ocupacion'!BA34</f>
        <v>0</v>
      </c>
      <c r="F175" s="131" t="s">
        <v>36</v>
      </c>
      <c r="G175" s="131">
        <f t="shared" si="147"/>
        <v>0</v>
      </c>
      <c r="H175" s="131">
        <f t="shared" si="148"/>
        <v>0</v>
      </c>
      <c r="I175" s="131">
        <f>G175*L$1</f>
        <v>0</v>
      </c>
      <c r="J175" s="160">
        <f>H175*L$1</f>
        <v>0</v>
      </c>
      <c r="K175" s="131">
        <f t="shared" si="149"/>
        <v>0</v>
      </c>
      <c r="L175" s="131">
        <f t="shared" si="150"/>
        <v>0</v>
      </c>
      <c r="M175" s="19"/>
      <c r="N175" s="19"/>
      <c r="O175" s="153"/>
      <c r="P175" s="197"/>
      <c r="Q175" s="199"/>
      <c r="R175" s="222"/>
      <c r="S175" s="200"/>
      <c r="T175" s="201"/>
      <c r="U175" s="201"/>
      <c r="V175" s="192">
        <f>I175-(P175*($L$1-$J$1))</f>
        <v>0</v>
      </c>
    </row>
    <row r="176" spans="1:24" ht="15" customHeight="1" x14ac:dyDescent="0.25">
      <c r="A176" s="335"/>
      <c r="B176" s="131">
        <v>1</v>
      </c>
      <c r="C176" s="131">
        <v>0</v>
      </c>
      <c r="D176" s="132">
        <f>'Data Ocupacion'!AZ35</f>
        <v>1</v>
      </c>
      <c r="E176" s="132">
        <f>'Data Ocupacion'!BA35</f>
        <v>0</v>
      </c>
      <c r="F176" s="131" t="s">
        <v>53</v>
      </c>
      <c r="G176" s="131">
        <f t="shared" si="147"/>
        <v>1</v>
      </c>
      <c r="H176" s="131">
        <f t="shared" si="148"/>
        <v>1</v>
      </c>
      <c r="I176" s="131">
        <f>G176*L$1</f>
        <v>29.11</v>
      </c>
      <c r="J176" s="160">
        <f>H176*L$1</f>
        <v>29.11</v>
      </c>
      <c r="K176" s="131">
        <f t="shared" si="149"/>
        <v>3027.44</v>
      </c>
      <c r="L176" s="131">
        <f t="shared" si="150"/>
        <v>104</v>
      </c>
      <c r="M176" s="19"/>
      <c r="N176" s="19"/>
      <c r="O176" s="153"/>
      <c r="P176" s="201"/>
      <c r="Q176" s="201"/>
      <c r="R176" s="201"/>
      <c r="S176" s="201"/>
      <c r="T176" s="201"/>
      <c r="U176" s="201"/>
      <c r="V176" s="192">
        <f t="shared" ref="V176:V177" si="151">I176</f>
        <v>29.11</v>
      </c>
    </row>
    <row r="177" spans="1:22" ht="15.75" customHeight="1" x14ac:dyDescent="0.25">
      <c r="A177" s="335"/>
      <c r="B177" s="131">
        <v>0</v>
      </c>
      <c r="C177" s="131">
        <v>0</v>
      </c>
      <c r="D177" s="132">
        <f>'Data Ocupacion'!AZ36</f>
        <v>0</v>
      </c>
      <c r="E177" s="132">
        <f>'Data Ocupacion'!BA36</f>
        <v>0</v>
      </c>
      <c r="F177" s="131" t="s">
        <v>122</v>
      </c>
      <c r="G177" s="131">
        <f t="shared" si="147"/>
        <v>0</v>
      </c>
      <c r="H177" s="131">
        <f t="shared" si="148"/>
        <v>0</v>
      </c>
      <c r="I177" s="131">
        <f>G177*J$1</f>
        <v>0</v>
      </c>
      <c r="J177" s="160">
        <f>H177*J$1</f>
        <v>0</v>
      </c>
      <c r="K177" s="131">
        <f t="shared" si="149"/>
        <v>0</v>
      </c>
      <c r="L177" s="131">
        <f t="shared" si="150"/>
        <v>0</v>
      </c>
      <c r="M177" s="19"/>
      <c r="N177" s="19"/>
      <c r="O177" s="153"/>
      <c r="P177" s="201"/>
      <c r="Q177" s="201"/>
      <c r="R177" s="201"/>
      <c r="S177" s="201"/>
      <c r="T177" s="201"/>
      <c r="U177" s="201"/>
      <c r="V177" s="192">
        <f t="shared" si="151"/>
        <v>0</v>
      </c>
    </row>
    <row r="178" spans="1:22" ht="15.75" thickBot="1" x14ac:dyDescent="0.3">
      <c r="A178" s="335"/>
      <c r="B178" s="131">
        <v>1</v>
      </c>
      <c r="C178" s="131">
        <v>0</v>
      </c>
      <c r="D178" s="132">
        <f>'Data Ocupacion'!AZ37</f>
        <v>1</v>
      </c>
      <c r="E178" s="132">
        <f>'Data Ocupacion'!BA37</f>
        <v>0</v>
      </c>
      <c r="F178" s="131" t="s">
        <v>35</v>
      </c>
      <c r="G178" s="131">
        <f t="shared" si="147"/>
        <v>1</v>
      </c>
      <c r="H178" s="131">
        <f t="shared" si="148"/>
        <v>1</v>
      </c>
      <c r="I178" s="131">
        <f>G178*J$1</f>
        <v>25.4</v>
      </c>
      <c r="J178" s="160">
        <f>H178*J$1</f>
        <v>25.4</v>
      </c>
      <c r="K178" s="131">
        <f t="shared" si="149"/>
        <v>2641.6</v>
      </c>
      <c r="L178" s="131">
        <f t="shared" si="150"/>
        <v>104</v>
      </c>
      <c r="M178" s="19"/>
      <c r="N178" s="19"/>
      <c r="O178" s="153"/>
      <c r="P178" s="201"/>
      <c r="Q178" s="201"/>
      <c r="R178" s="201"/>
      <c r="S178" s="201"/>
      <c r="T178" s="201"/>
      <c r="U178" s="201"/>
      <c r="V178" s="192">
        <f>I178</f>
        <v>25.4</v>
      </c>
    </row>
    <row r="179" spans="1:22" s="130" customFormat="1" ht="15.75" thickBot="1" x14ac:dyDescent="0.3">
      <c r="A179" s="213"/>
      <c r="B179" s="235">
        <f>SUM(B173:B178)</f>
        <v>78</v>
      </c>
      <c r="C179" s="235">
        <f>SUM(C173:C178)</f>
        <v>106</v>
      </c>
      <c r="D179" s="159">
        <f>SUM(D173:D178)</f>
        <v>64</v>
      </c>
      <c r="E179" s="159">
        <f>SUM(E173:E178)</f>
        <v>108</v>
      </c>
      <c r="F179" s="124"/>
      <c r="G179" s="124">
        <f t="shared" ref="G179:L179" si="152">SUM(G173:G178)</f>
        <v>280</v>
      </c>
      <c r="H179" s="124">
        <f t="shared" si="152"/>
        <v>172</v>
      </c>
      <c r="I179" s="125">
        <f t="shared" si="152"/>
        <v>12044.65</v>
      </c>
      <c r="J179" s="124">
        <f t="shared" si="152"/>
        <v>7386.61</v>
      </c>
      <c r="K179" s="123">
        <f t="shared" si="152"/>
        <v>1252643.6000000001</v>
      </c>
      <c r="L179" s="158">
        <f t="shared" si="152"/>
        <v>17888</v>
      </c>
      <c r="M179" s="129">
        <f>'Odometro-Kilometraje'!Z81</f>
        <v>12280</v>
      </c>
      <c r="N179" s="21">
        <f>(V179/M179)*100</f>
        <v>96.120521172638433</v>
      </c>
      <c r="O179" s="204"/>
      <c r="P179" s="191"/>
      <c r="Q179" s="191"/>
      <c r="R179" s="191"/>
      <c r="S179" s="191"/>
      <c r="T179" s="191"/>
      <c r="U179" s="191"/>
      <c r="V179" s="205">
        <f>SUM(V173:V178)</f>
        <v>11803.6</v>
      </c>
    </row>
    <row r="180" spans="1:22" x14ac:dyDescent="0.25">
      <c r="A180" s="62">
        <f>A173+1</f>
        <v>45408</v>
      </c>
      <c r="B180" s="131">
        <v>36</v>
      </c>
      <c r="C180" s="131">
        <v>50</v>
      </c>
      <c r="D180" s="132">
        <f>'Data Ocupacion'!BB32</f>
        <v>36</v>
      </c>
      <c r="E180" s="132">
        <f>'Data Ocupacion'!BC32</f>
        <v>50</v>
      </c>
      <c r="F180" s="131" t="s">
        <v>38</v>
      </c>
      <c r="G180" s="131">
        <f t="shared" ref="G180:G185" si="153">D180+E180*2</f>
        <v>136</v>
      </c>
      <c r="H180" s="131">
        <f t="shared" ref="H180:H185" si="154">D180+E180</f>
        <v>86</v>
      </c>
      <c r="I180" s="131">
        <f>G180*L$2</f>
        <v>5865.68</v>
      </c>
      <c r="J180" s="160">
        <f>H180*L$2</f>
        <v>3709.1800000000003</v>
      </c>
      <c r="K180" s="131">
        <f t="shared" ref="K180:K185" si="155">I180*104</f>
        <v>610030.72</v>
      </c>
      <c r="L180" s="131">
        <f t="shared" ref="L180:L185" si="156">H180*104</f>
        <v>8944</v>
      </c>
      <c r="M180" s="19"/>
      <c r="N180" s="19"/>
      <c r="O180" s="153"/>
      <c r="P180" s="273">
        <v>3</v>
      </c>
      <c r="Q180" s="193"/>
      <c r="R180" s="221"/>
      <c r="S180" s="310">
        <v>5</v>
      </c>
      <c r="T180" s="203"/>
      <c r="U180" s="251"/>
      <c r="V180" s="196">
        <f>I180-((P180*($L$2-$J$1)))-(S180*($J$1))</f>
        <v>5685.4900000000007</v>
      </c>
    </row>
    <row r="181" spans="1:22" ht="15" customHeight="1" x14ac:dyDescent="0.25">
      <c r="A181" s="214"/>
      <c r="B181" s="131">
        <v>34</v>
      </c>
      <c r="C181" s="131">
        <v>50</v>
      </c>
      <c r="D181" s="132">
        <f>'Data Ocupacion'!BB33</f>
        <v>34</v>
      </c>
      <c r="E181" s="132">
        <f>'Data Ocupacion'!BC33</f>
        <v>50</v>
      </c>
      <c r="F181" s="131" t="s">
        <v>52</v>
      </c>
      <c r="G181" s="131">
        <f t="shared" si="153"/>
        <v>134</v>
      </c>
      <c r="H181" s="131">
        <f t="shared" si="154"/>
        <v>84</v>
      </c>
      <c r="I181" s="131">
        <f>G181*L$2</f>
        <v>5779.42</v>
      </c>
      <c r="J181" s="160">
        <f>H181*L$2</f>
        <v>3622.92</v>
      </c>
      <c r="K181" s="131">
        <f t="shared" si="155"/>
        <v>601059.68000000005</v>
      </c>
      <c r="L181" s="131">
        <f t="shared" si="156"/>
        <v>8736</v>
      </c>
      <c r="M181" s="19"/>
      <c r="N181" s="19"/>
      <c r="O181" s="153"/>
      <c r="P181" s="198"/>
      <c r="Q181" s="198"/>
      <c r="R181" s="198"/>
      <c r="S181" s="273"/>
      <c r="T181" s="193"/>
      <c r="U181" s="221"/>
      <c r="V181" s="196">
        <f>I181-(S181*($L$2-$J$1)+(T181*($L$2-$L$1)))</f>
        <v>5779.42</v>
      </c>
    </row>
    <row r="182" spans="1:22" x14ac:dyDescent="0.25">
      <c r="A182" s="214"/>
      <c r="B182" s="131">
        <v>0</v>
      </c>
      <c r="C182" s="131">
        <v>0</v>
      </c>
      <c r="D182" s="132">
        <f>'Data Ocupacion'!BB34</f>
        <v>0</v>
      </c>
      <c r="E182" s="132">
        <f>'Data Ocupacion'!BC34</f>
        <v>0</v>
      </c>
      <c r="F182" s="131" t="s">
        <v>36</v>
      </c>
      <c r="G182" s="131">
        <f t="shared" si="153"/>
        <v>0</v>
      </c>
      <c r="H182" s="131">
        <f t="shared" si="154"/>
        <v>0</v>
      </c>
      <c r="I182" s="131">
        <f>G182*L$1</f>
        <v>0</v>
      </c>
      <c r="J182" s="160">
        <f>H182*L$1</f>
        <v>0</v>
      </c>
      <c r="K182" s="131">
        <f t="shared" si="155"/>
        <v>0</v>
      </c>
      <c r="L182" s="131">
        <f t="shared" si="156"/>
        <v>0</v>
      </c>
      <c r="M182" s="19"/>
      <c r="N182" s="19" t="s">
        <v>147</v>
      </c>
      <c r="O182" s="153"/>
      <c r="P182" s="197"/>
      <c r="Q182" s="199"/>
      <c r="R182" s="222"/>
      <c r="S182" s="200"/>
      <c r="T182" s="201"/>
      <c r="U182" s="201"/>
      <c r="V182" s="192">
        <f>I182-(P182*($L$1-$J$1))</f>
        <v>0</v>
      </c>
    </row>
    <row r="183" spans="1:22" ht="15" customHeight="1" x14ac:dyDescent="0.25">
      <c r="A183" s="214"/>
      <c r="B183" s="131">
        <v>1</v>
      </c>
      <c r="C183" s="131">
        <v>0</v>
      </c>
      <c r="D183" s="132">
        <f>'Data Ocupacion'!BB35</f>
        <v>1</v>
      </c>
      <c r="E183" s="132">
        <f>'Data Ocupacion'!BC35</f>
        <v>0</v>
      </c>
      <c r="F183" s="131" t="s">
        <v>53</v>
      </c>
      <c r="G183" s="131">
        <f t="shared" si="153"/>
        <v>1</v>
      </c>
      <c r="H183" s="131">
        <f t="shared" si="154"/>
        <v>1</v>
      </c>
      <c r="I183" s="131">
        <f>G183*L$1</f>
        <v>29.11</v>
      </c>
      <c r="J183" s="160">
        <f>H183*L$1</f>
        <v>29.11</v>
      </c>
      <c r="K183" s="131">
        <f t="shared" si="155"/>
        <v>3027.44</v>
      </c>
      <c r="L183" s="131">
        <f t="shared" si="156"/>
        <v>104</v>
      </c>
      <c r="M183" s="19"/>
      <c r="N183" s="19"/>
      <c r="O183" s="153"/>
      <c r="P183" s="201"/>
      <c r="Q183" s="201"/>
      <c r="R183" s="201"/>
      <c r="S183" s="201"/>
      <c r="T183" s="201"/>
      <c r="U183" s="201"/>
      <c r="V183" s="192">
        <f t="shared" ref="V183:V184" si="157">I183</f>
        <v>29.11</v>
      </c>
    </row>
    <row r="184" spans="1:22" ht="15" customHeight="1" x14ac:dyDescent="0.25">
      <c r="A184" s="214"/>
      <c r="B184" s="131">
        <v>0</v>
      </c>
      <c r="C184" s="131">
        <v>0</v>
      </c>
      <c r="D184" s="132">
        <f>'Data Ocupacion'!BB36</f>
        <v>0</v>
      </c>
      <c r="E184" s="132">
        <f>'Data Ocupacion'!BC36</f>
        <v>0</v>
      </c>
      <c r="F184" s="131" t="s">
        <v>122</v>
      </c>
      <c r="G184" s="131">
        <f t="shared" si="153"/>
        <v>0</v>
      </c>
      <c r="H184" s="131">
        <f t="shared" si="154"/>
        <v>0</v>
      </c>
      <c r="I184" s="131">
        <f>G184*J$1</f>
        <v>0</v>
      </c>
      <c r="J184" s="160">
        <f>H184*J$1</f>
        <v>0</v>
      </c>
      <c r="K184" s="131">
        <f t="shared" si="155"/>
        <v>0</v>
      </c>
      <c r="L184" s="131">
        <f t="shared" si="156"/>
        <v>0</v>
      </c>
      <c r="M184" s="19"/>
      <c r="N184" s="19"/>
      <c r="O184" s="153"/>
      <c r="P184" s="201"/>
      <c r="Q184" s="201"/>
      <c r="R184" s="201"/>
      <c r="S184" s="201"/>
      <c r="T184" s="201"/>
      <c r="U184" s="201"/>
      <c r="V184" s="192">
        <f t="shared" si="157"/>
        <v>0</v>
      </c>
    </row>
    <row r="185" spans="1:22" ht="15" customHeight="1" thickBot="1" x14ac:dyDescent="0.3">
      <c r="A185" s="214"/>
      <c r="B185" s="131">
        <v>1</v>
      </c>
      <c r="C185" s="131">
        <v>0</v>
      </c>
      <c r="D185" s="132">
        <f>'Data Ocupacion'!BB37</f>
        <v>1</v>
      </c>
      <c r="E185" s="132">
        <f>'Data Ocupacion'!BC37</f>
        <v>0</v>
      </c>
      <c r="F185" s="131" t="s">
        <v>35</v>
      </c>
      <c r="G185" s="131">
        <f t="shared" si="153"/>
        <v>1</v>
      </c>
      <c r="H185" s="131">
        <f t="shared" si="154"/>
        <v>1</v>
      </c>
      <c r="I185" s="131">
        <f>G185*J$1</f>
        <v>25.4</v>
      </c>
      <c r="J185" s="160">
        <f>H185*J$1</f>
        <v>25.4</v>
      </c>
      <c r="K185" s="131">
        <f t="shared" si="155"/>
        <v>2641.6</v>
      </c>
      <c r="L185" s="131">
        <f t="shared" si="156"/>
        <v>104</v>
      </c>
      <c r="M185" s="19"/>
      <c r="N185" s="19"/>
      <c r="O185" s="153"/>
      <c r="P185" s="201"/>
      <c r="Q185" s="201"/>
      <c r="R185" s="201"/>
      <c r="S185" s="201"/>
      <c r="T185" s="201"/>
      <c r="U185" s="201"/>
      <c r="V185" s="192">
        <f>I185</f>
        <v>25.4</v>
      </c>
    </row>
    <row r="186" spans="1:22" s="130" customFormat="1" ht="15.75" thickBot="1" x14ac:dyDescent="0.3">
      <c r="A186" s="20"/>
      <c r="B186" s="235">
        <f>SUM(B180:B185)</f>
        <v>72</v>
      </c>
      <c r="C186" s="235">
        <f>SUM(C180:C185)</f>
        <v>100</v>
      </c>
      <c r="D186" s="159">
        <f>SUM(D180:D185)</f>
        <v>72</v>
      </c>
      <c r="E186" s="159">
        <f>SUM(E180:E185)</f>
        <v>100</v>
      </c>
      <c r="F186" s="124"/>
      <c r="G186" s="124">
        <f t="shared" ref="G186:L186" si="158">SUM(G180:G185)</f>
        <v>272</v>
      </c>
      <c r="H186" s="124">
        <f t="shared" si="158"/>
        <v>172</v>
      </c>
      <c r="I186" s="125">
        <f t="shared" si="158"/>
        <v>11699.61</v>
      </c>
      <c r="J186" s="124">
        <f t="shared" si="158"/>
        <v>7386.61</v>
      </c>
      <c r="K186" s="123">
        <f t="shared" si="158"/>
        <v>1216759.44</v>
      </c>
      <c r="L186" s="158">
        <f t="shared" si="158"/>
        <v>17888</v>
      </c>
      <c r="M186" s="129">
        <f>'Odometro-Kilometraje'!AA81</f>
        <v>12261</v>
      </c>
      <c r="N186" s="21">
        <f>(V186/M186)*100</f>
        <v>93.951716825707535</v>
      </c>
      <c r="O186" s="204"/>
      <c r="P186" s="191"/>
      <c r="Q186" s="191"/>
      <c r="R186" s="191"/>
      <c r="S186" s="191"/>
      <c r="T186" s="191"/>
      <c r="U186" s="191"/>
      <c r="V186" s="205">
        <f>SUM(V180:V185)</f>
        <v>11519.42</v>
      </c>
    </row>
    <row r="187" spans="1:22" x14ac:dyDescent="0.25">
      <c r="A187" s="62">
        <f>A180+1</f>
        <v>45409</v>
      </c>
      <c r="B187" s="305">
        <v>67</v>
      </c>
      <c r="C187" s="305">
        <v>3</v>
      </c>
      <c r="D187" s="306">
        <f>'Data Ocupacion'!BD32</f>
        <v>67</v>
      </c>
      <c r="E187" s="306">
        <f>'Data Ocupacion'!BE32</f>
        <v>3</v>
      </c>
      <c r="F187" s="305" t="s">
        <v>38</v>
      </c>
      <c r="G187" s="305">
        <f t="shared" ref="G187:G192" si="159">D187+E187*2</f>
        <v>73</v>
      </c>
      <c r="H187" s="305">
        <f t="shared" ref="H187:H192" si="160">D187+E187</f>
        <v>70</v>
      </c>
      <c r="I187" s="305">
        <f>G187*L$2</f>
        <v>3148.4900000000002</v>
      </c>
      <c r="J187" s="160">
        <f>H187*L$2</f>
        <v>3019.1000000000004</v>
      </c>
      <c r="K187" s="305">
        <f t="shared" ref="K187:K192" si="161">I187*104</f>
        <v>327442.96000000002</v>
      </c>
      <c r="L187" s="305">
        <f t="shared" ref="L187:L192" si="162">H187*104</f>
        <v>7280</v>
      </c>
      <c r="M187" s="19"/>
      <c r="N187" s="19"/>
      <c r="O187" s="153"/>
      <c r="P187" s="273"/>
      <c r="Q187" s="193"/>
      <c r="R187" s="221"/>
      <c r="S187" s="273"/>
      <c r="T187" s="203"/>
      <c r="U187" s="251"/>
      <c r="V187" s="196">
        <f>I187-((P187*($L$2-$J$1)))-(S187*($J$1))</f>
        <v>3148.4900000000002</v>
      </c>
    </row>
    <row r="188" spans="1:22" ht="18" customHeight="1" x14ac:dyDescent="0.25">
      <c r="A188" s="214"/>
      <c r="B188" s="305">
        <v>73</v>
      </c>
      <c r="C188" s="305">
        <v>0</v>
      </c>
      <c r="D188" s="306">
        <f>'Data Ocupacion'!BD33</f>
        <v>73</v>
      </c>
      <c r="E188" s="306">
        <f>'Data Ocupacion'!BE33</f>
        <v>0</v>
      </c>
      <c r="F188" s="305" t="s">
        <v>52</v>
      </c>
      <c r="G188" s="305">
        <f t="shared" si="159"/>
        <v>73</v>
      </c>
      <c r="H188" s="305">
        <f t="shared" si="160"/>
        <v>73</v>
      </c>
      <c r="I188" s="305">
        <f>G188*L$2</f>
        <v>3148.4900000000002</v>
      </c>
      <c r="J188" s="160">
        <f>H188*L$2</f>
        <v>3148.4900000000002</v>
      </c>
      <c r="K188" s="305">
        <f t="shared" si="161"/>
        <v>327442.96000000002</v>
      </c>
      <c r="L188" s="305">
        <f t="shared" si="162"/>
        <v>7592</v>
      </c>
      <c r="M188" s="19"/>
      <c r="N188" s="19"/>
      <c r="O188" s="153"/>
      <c r="P188" s="273"/>
      <c r="Q188" s="198"/>
      <c r="R188" s="198"/>
      <c r="S188" s="197"/>
      <c r="T188" s="219"/>
      <c r="U188" s="252"/>
      <c r="V188" s="196">
        <f>I188-(S188*($L$2-$J$1)+(T188*($L$2-$L$1)))</f>
        <v>3148.4900000000002</v>
      </c>
    </row>
    <row r="189" spans="1:22" ht="15" customHeight="1" x14ac:dyDescent="0.25">
      <c r="A189" s="214"/>
      <c r="B189" s="305">
        <v>0</v>
      </c>
      <c r="C189" s="305">
        <v>0</v>
      </c>
      <c r="D189" s="306">
        <f>'Data Ocupacion'!BD34</f>
        <v>0</v>
      </c>
      <c r="E189" s="306">
        <f>'Data Ocupacion'!BE34</f>
        <v>0</v>
      </c>
      <c r="F189" s="305" t="s">
        <v>36</v>
      </c>
      <c r="G189" s="305">
        <f t="shared" si="159"/>
        <v>0</v>
      </c>
      <c r="H189" s="305">
        <f t="shared" si="160"/>
        <v>0</v>
      </c>
      <c r="I189" s="305">
        <f>G189*L$1</f>
        <v>0</v>
      </c>
      <c r="J189" s="160">
        <f>H189*L$1</f>
        <v>0</v>
      </c>
      <c r="K189" s="305">
        <f t="shared" si="161"/>
        <v>0</v>
      </c>
      <c r="L189" s="305">
        <f t="shared" si="162"/>
        <v>0</v>
      </c>
      <c r="M189" s="19"/>
      <c r="N189" s="19"/>
      <c r="O189" s="153"/>
      <c r="P189" s="197"/>
      <c r="Q189" s="199"/>
      <c r="R189" s="222"/>
      <c r="S189" s="200"/>
      <c r="T189" s="201"/>
      <c r="U189" s="201"/>
      <c r="V189" s="192">
        <f>I189-(P189*($L$1-$J$1))</f>
        <v>0</v>
      </c>
    </row>
    <row r="190" spans="1:22" ht="15" customHeight="1" x14ac:dyDescent="0.25">
      <c r="A190" s="214"/>
      <c r="B190" s="305">
        <v>0</v>
      </c>
      <c r="C190" s="305">
        <v>0</v>
      </c>
      <c r="D190" s="306">
        <f>'Data Ocupacion'!BD35</f>
        <v>0</v>
      </c>
      <c r="E190" s="306">
        <f>'Data Ocupacion'!BE35</f>
        <v>0</v>
      </c>
      <c r="F190" s="305" t="s">
        <v>53</v>
      </c>
      <c r="G190" s="305">
        <f t="shared" si="159"/>
        <v>0</v>
      </c>
      <c r="H190" s="305">
        <f t="shared" si="160"/>
        <v>0</v>
      </c>
      <c r="I190" s="305">
        <f>G190*L$1</f>
        <v>0</v>
      </c>
      <c r="J190" s="160">
        <f>H190*L$1</f>
        <v>0</v>
      </c>
      <c r="K190" s="305">
        <f t="shared" si="161"/>
        <v>0</v>
      </c>
      <c r="L190" s="305">
        <f t="shared" si="162"/>
        <v>0</v>
      </c>
      <c r="M190" s="19"/>
      <c r="N190" s="19"/>
      <c r="O190" s="153"/>
      <c r="P190" s="201"/>
      <c r="Q190" s="201"/>
      <c r="R190" s="201"/>
      <c r="S190" s="201"/>
      <c r="T190" s="201"/>
      <c r="U190" s="201"/>
      <c r="V190" s="192">
        <f t="shared" ref="V190:V191" si="163">I190</f>
        <v>0</v>
      </c>
    </row>
    <row r="191" spans="1:22" ht="15" customHeight="1" x14ac:dyDescent="0.25">
      <c r="A191" s="214"/>
      <c r="B191" s="305">
        <v>0</v>
      </c>
      <c r="C191" s="305">
        <v>0</v>
      </c>
      <c r="D191" s="306">
        <f>'Data Ocupacion'!BD36</f>
        <v>0</v>
      </c>
      <c r="E191" s="306">
        <f>'Data Ocupacion'!BE36</f>
        <v>0</v>
      </c>
      <c r="F191" s="305" t="s">
        <v>122</v>
      </c>
      <c r="G191" s="305">
        <f t="shared" si="159"/>
        <v>0</v>
      </c>
      <c r="H191" s="305">
        <f t="shared" si="160"/>
        <v>0</v>
      </c>
      <c r="I191" s="305">
        <f>G191*J$1</f>
        <v>0</v>
      </c>
      <c r="J191" s="160">
        <f>H191*J$1</f>
        <v>0</v>
      </c>
      <c r="K191" s="305">
        <f t="shared" si="161"/>
        <v>0</v>
      </c>
      <c r="L191" s="305">
        <f t="shared" si="162"/>
        <v>0</v>
      </c>
      <c r="M191" s="19"/>
      <c r="N191" s="19"/>
      <c r="O191" s="153"/>
      <c r="P191" s="201"/>
      <c r="Q191" s="201"/>
      <c r="R191" s="201"/>
      <c r="S191" s="201"/>
      <c r="T191" s="201"/>
      <c r="U191" s="201"/>
      <c r="V191" s="192">
        <f t="shared" si="163"/>
        <v>0</v>
      </c>
    </row>
    <row r="192" spans="1:22" ht="15.75" customHeight="1" thickBot="1" x14ac:dyDescent="0.3">
      <c r="A192" s="214"/>
      <c r="B192" s="305">
        <v>0</v>
      </c>
      <c r="C192" s="305">
        <v>0</v>
      </c>
      <c r="D192" s="306">
        <f>'Data Ocupacion'!BD37</f>
        <v>0</v>
      </c>
      <c r="E192" s="306">
        <f>'Data Ocupacion'!BE37</f>
        <v>0</v>
      </c>
      <c r="F192" s="305" t="s">
        <v>35</v>
      </c>
      <c r="G192" s="305">
        <f t="shared" si="159"/>
        <v>0</v>
      </c>
      <c r="H192" s="305">
        <f t="shared" si="160"/>
        <v>0</v>
      </c>
      <c r="I192" s="305">
        <f>G192*J$1</f>
        <v>0</v>
      </c>
      <c r="J192" s="160">
        <f>H192*J$1</f>
        <v>0</v>
      </c>
      <c r="K192" s="305">
        <f t="shared" si="161"/>
        <v>0</v>
      </c>
      <c r="L192" s="305">
        <f t="shared" si="162"/>
        <v>0</v>
      </c>
      <c r="M192" s="19"/>
      <c r="N192" s="19"/>
      <c r="O192" s="153"/>
      <c r="P192" s="201"/>
      <c r="Q192" s="201"/>
      <c r="R192" s="201"/>
      <c r="S192" s="201"/>
      <c r="T192" s="201"/>
      <c r="U192" s="201"/>
      <c r="V192" s="192">
        <f>I192</f>
        <v>0</v>
      </c>
    </row>
    <row r="193" spans="1:24" s="130" customFormat="1" ht="15.75" thickBot="1" x14ac:dyDescent="0.3">
      <c r="A193" s="20"/>
      <c r="B193" s="235">
        <f>SUM(B187:B192)</f>
        <v>140</v>
      </c>
      <c r="C193" s="235">
        <f>SUM(C187:C192)</f>
        <v>3</v>
      </c>
      <c r="D193" s="155">
        <f>SUM(D187:D192)</f>
        <v>140</v>
      </c>
      <c r="E193" s="155">
        <f>SUM(E187:E192)</f>
        <v>3</v>
      </c>
      <c r="F193" s="124"/>
      <c r="G193" s="124">
        <f t="shared" ref="G193:L193" si="164">SUM(G187:G192)</f>
        <v>146</v>
      </c>
      <c r="H193" s="124">
        <f t="shared" si="164"/>
        <v>143</v>
      </c>
      <c r="I193" s="124">
        <f t="shared" si="164"/>
        <v>6296.9800000000005</v>
      </c>
      <c r="J193" s="124">
        <f t="shared" si="164"/>
        <v>6167.59</v>
      </c>
      <c r="K193" s="124">
        <f t="shared" si="164"/>
        <v>654885.92000000004</v>
      </c>
      <c r="L193" s="124">
        <f t="shared" si="164"/>
        <v>14872</v>
      </c>
      <c r="M193" s="129">
        <f>'Odometro-Kilometraje'!AB81</f>
        <v>6333</v>
      </c>
      <c r="N193" s="21">
        <f>(V193/M193)*100</f>
        <v>99.431233222801211</v>
      </c>
      <c r="O193" s="204"/>
      <c r="P193" s="191"/>
      <c r="Q193" s="191"/>
      <c r="R193" s="191"/>
      <c r="S193" s="191"/>
      <c r="T193" s="191"/>
      <c r="U193" s="191"/>
      <c r="V193" s="205">
        <f>SUM(V187:V192)</f>
        <v>6296.9800000000005</v>
      </c>
    </row>
    <row r="194" spans="1:24" x14ac:dyDescent="0.25">
      <c r="A194" s="62">
        <f>A187+1</f>
        <v>45410</v>
      </c>
      <c r="B194" s="236">
        <v>51</v>
      </c>
      <c r="C194" s="236">
        <v>3</v>
      </c>
      <c r="D194" s="144">
        <f>'Data Ocupacion'!BF32</f>
        <v>51</v>
      </c>
      <c r="E194" s="144">
        <f>'Data Ocupacion'!BG32</f>
        <v>3</v>
      </c>
      <c r="F194" s="315" t="s">
        <v>38</v>
      </c>
      <c r="G194" s="316">
        <f t="shared" ref="G194:G199" si="165">D194+E194*2</f>
        <v>57</v>
      </c>
      <c r="H194" s="317">
        <f t="shared" ref="H194:H199" si="166">D194+E194</f>
        <v>54</v>
      </c>
      <c r="I194" s="317">
        <f>G194*L$2</f>
        <v>2458.4100000000003</v>
      </c>
      <c r="J194" s="160">
        <f>H194*L$2</f>
        <v>2329.02</v>
      </c>
      <c r="K194" s="236">
        <f t="shared" ref="K194:K199" si="167">I194*104</f>
        <v>255674.64000000004</v>
      </c>
      <c r="L194" s="236">
        <f t="shared" ref="L194:L199" si="168">H194*104</f>
        <v>5616</v>
      </c>
      <c r="M194" s="19"/>
      <c r="N194" s="19"/>
      <c r="O194" s="153"/>
      <c r="P194" s="197"/>
      <c r="Q194" s="193"/>
      <c r="R194" s="221"/>
      <c r="S194" s="202"/>
      <c r="T194" s="203"/>
      <c r="U194" s="251"/>
      <c r="V194" s="196">
        <f>I194-((P194*($L$2-$J$1)))-(S194*($J$1))</f>
        <v>2458.4100000000003</v>
      </c>
    </row>
    <row r="195" spans="1:24" ht="15" customHeight="1" x14ac:dyDescent="0.25">
      <c r="A195" s="214"/>
      <c r="B195" s="236">
        <v>57</v>
      </c>
      <c r="C195" s="236">
        <v>0</v>
      </c>
      <c r="D195" s="144">
        <f>'Data Ocupacion'!BF33</f>
        <v>57</v>
      </c>
      <c r="E195" s="144">
        <f>'Data Ocupacion'!BG33</f>
        <v>0</v>
      </c>
      <c r="F195" s="315" t="s">
        <v>52</v>
      </c>
      <c r="G195" s="316">
        <f t="shared" si="165"/>
        <v>57</v>
      </c>
      <c r="H195" s="236">
        <f t="shared" si="166"/>
        <v>57</v>
      </c>
      <c r="I195" s="236">
        <f>G195*L$2</f>
        <v>2458.4100000000003</v>
      </c>
      <c r="J195" s="160">
        <f>H195*L$2</f>
        <v>2458.4100000000003</v>
      </c>
      <c r="K195" s="236">
        <f t="shared" si="167"/>
        <v>255674.64000000004</v>
      </c>
      <c r="L195" s="236">
        <f t="shared" si="168"/>
        <v>5928</v>
      </c>
      <c r="M195" s="19"/>
      <c r="N195" s="19"/>
      <c r="O195" s="153"/>
      <c r="P195" s="198"/>
      <c r="Q195" s="198"/>
      <c r="R195" s="198"/>
      <c r="S195" s="273"/>
      <c r="T195" s="193"/>
      <c r="U195" s="221"/>
      <c r="V195" s="196">
        <f>I195-(S195*($L$2-$J$1)+(T195*($L$2-$L$1)))</f>
        <v>2458.4100000000003</v>
      </c>
    </row>
    <row r="196" spans="1:24" ht="15" customHeight="1" x14ac:dyDescent="0.25">
      <c r="A196" s="214"/>
      <c r="B196" s="236">
        <v>0</v>
      </c>
      <c r="C196" s="236">
        <v>0</v>
      </c>
      <c r="D196" s="144">
        <f>'Data Ocupacion'!BF34</f>
        <v>0</v>
      </c>
      <c r="E196" s="144">
        <f>'Data Ocupacion'!BG34</f>
        <v>0</v>
      </c>
      <c r="F196" s="315" t="s">
        <v>36</v>
      </c>
      <c r="G196" s="316">
        <f t="shared" si="165"/>
        <v>0</v>
      </c>
      <c r="H196" s="236">
        <f t="shared" si="166"/>
        <v>0</v>
      </c>
      <c r="I196" s="236">
        <f>G196*L$1</f>
        <v>0</v>
      </c>
      <c r="J196" s="160">
        <f>H196*L$1</f>
        <v>0</v>
      </c>
      <c r="K196" s="236">
        <f t="shared" si="167"/>
        <v>0</v>
      </c>
      <c r="L196" s="236">
        <f t="shared" si="168"/>
        <v>0</v>
      </c>
      <c r="M196" s="19"/>
      <c r="N196" s="19" t="s">
        <v>147</v>
      </c>
      <c r="O196" s="153"/>
      <c r="P196" s="197"/>
      <c r="Q196" s="199"/>
      <c r="R196" s="222"/>
      <c r="S196" s="200"/>
      <c r="T196" s="201"/>
      <c r="U196" s="201"/>
      <c r="V196" s="192">
        <f>I196-(P196*($L$1-$J$1))</f>
        <v>0</v>
      </c>
    </row>
    <row r="197" spans="1:24" ht="15" customHeight="1" x14ac:dyDescent="0.25">
      <c r="A197" s="214"/>
      <c r="B197" s="236">
        <v>0</v>
      </c>
      <c r="C197" s="236">
        <v>0</v>
      </c>
      <c r="D197" s="144">
        <f>'Data Ocupacion'!BF35</f>
        <v>0</v>
      </c>
      <c r="E197" s="144">
        <f>'Data Ocupacion'!BG35</f>
        <v>0</v>
      </c>
      <c r="F197" s="315" t="s">
        <v>53</v>
      </c>
      <c r="G197" s="316">
        <f t="shared" si="165"/>
        <v>0</v>
      </c>
      <c r="H197" s="236">
        <f t="shared" si="166"/>
        <v>0</v>
      </c>
      <c r="I197" s="236">
        <f>G197*L$1</f>
        <v>0</v>
      </c>
      <c r="J197" s="160">
        <f>H197*L$1</f>
        <v>0</v>
      </c>
      <c r="K197" s="236">
        <f t="shared" si="167"/>
        <v>0</v>
      </c>
      <c r="L197" s="236">
        <f t="shared" si="168"/>
        <v>0</v>
      </c>
      <c r="M197" s="19"/>
      <c r="N197" s="19" t="s">
        <v>147</v>
      </c>
      <c r="O197" s="153"/>
      <c r="P197" s="201"/>
      <c r="Q197" s="201"/>
      <c r="R197" s="201"/>
      <c r="S197" s="201"/>
      <c r="T197" s="201"/>
      <c r="U197" s="201"/>
      <c r="V197" s="192">
        <f t="shared" ref="V197:V198" si="169">I197</f>
        <v>0</v>
      </c>
    </row>
    <row r="198" spans="1:24" ht="15" customHeight="1" x14ac:dyDescent="0.25">
      <c r="A198" s="214"/>
      <c r="B198" s="236">
        <v>0</v>
      </c>
      <c r="C198" s="236">
        <v>0</v>
      </c>
      <c r="D198" s="144">
        <f>'Data Ocupacion'!BF36</f>
        <v>0</v>
      </c>
      <c r="E198" s="144">
        <f>'Data Ocupacion'!BG36</f>
        <v>0</v>
      </c>
      <c r="F198" s="315" t="s">
        <v>122</v>
      </c>
      <c r="G198" s="316">
        <f t="shared" si="165"/>
        <v>0</v>
      </c>
      <c r="H198" s="236">
        <f t="shared" si="166"/>
        <v>0</v>
      </c>
      <c r="I198" s="318">
        <f>G198*J$1</f>
        <v>0</v>
      </c>
      <c r="J198" s="160">
        <f>H198*J$1</f>
        <v>0</v>
      </c>
      <c r="K198" s="236">
        <f t="shared" si="167"/>
        <v>0</v>
      </c>
      <c r="L198" s="236">
        <f t="shared" si="168"/>
        <v>0</v>
      </c>
      <c r="M198" s="19"/>
      <c r="N198" s="19"/>
      <c r="O198" s="153"/>
      <c r="P198" s="201"/>
      <c r="Q198" s="201"/>
      <c r="R198" s="201"/>
      <c r="S198" s="201"/>
      <c r="T198" s="201"/>
      <c r="U198" s="201"/>
      <c r="V198" s="192">
        <f t="shared" si="169"/>
        <v>0</v>
      </c>
    </row>
    <row r="199" spans="1:24" ht="15.75" customHeight="1" thickBot="1" x14ac:dyDescent="0.3">
      <c r="A199" s="214"/>
      <c r="B199" s="236">
        <v>0</v>
      </c>
      <c r="C199" s="236">
        <v>0</v>
      </c>
      <c r="D199" s="144">
        <f>'Data Ocupacion'!BF37</f>
        <v>0</v>
      </c>
      <c r="E199" s="144">
        <f>'Data Ocupacion'!BG37</f>
        <v>0</v>
      </c>
      <c r="F199" s="315" t="s">
        <v>35</v>
      </c>
      <c r="G199" s="236">
        <f t="shared" si="165"/>
        <v>0</v>
      </c>
      <c r="H199" s="236">
        <f t="shared" si="166"/>
        <v>0</v>
      </c>
      <c r="I199" s="319">
        <f>G199*J$1</f>
        <v>0</v>
      </c>
      <c r="J199" s="160">
        <f>H199*J$1</f>
        <v>0</v>
      </c>
      <c r="K199" s="236">
        <f t="shared" si="167"/>
        <v>0</v>
      </c>
      <c r="L199" s="236">
        <f t="shared" si="168"/>
        <v>0</v>
      </c>
      <c r="M199" s="19"/>
      <c r="N199" s="19"/>
      <c r="O199" s="153"/>
      <c r="P199" s="201"/>
      <c r="Q199" s="201"/>
      <c r="R199" s="201"/>
      <c r="S199" s="201"/>
      <c r="T199" s="201"/>
      <c r="U199" s="201"/>
      <c r="V199" s="192">
        <f>I199</f>
        <v>0</v>
      </c>
    </row>
    <row r="200" spans="1:24" s="130" customFormat="1" ht="15.75" thickBot="1" x14ac:dyDescent="0.3">
      <c r="A200" s="20"/>
      <c r="B200" s="235">
        <f>SUM(B194:B199)</f>
        <v>108</v>
      </c>
      <c r="C200" s="235">
        <f>SUM(C194:C199)</f>
        <v>3</v>
      </c>
      <c r="D200" s="155">
        <f>SUM(D194:D199)</f>
        <v>108</v>
      </c>
      <c r="E200" s="155">
        <f>SUM(E194:E199)</f>
        <v>3</v>
      </c>
      <c r="F200" s="124"/>
      <c r="G200" s="124">
        <f t="shared" ref="G200:L200" si="170">SUM(G194:G199)</f>
        <v>114</v>
      </c>
      <c r="H200" s="124">
        <f t="shared" si="170"/>
        <v>111</v>
      </c>
      <c r="I200" s="124">
        <f t="shared" si="170"/>
        <v>4916.8200000000006</v>
      </c>
      <c r="J200" s="124">
        <f t="shared" si="170"/>
        <v>4787.43</v>
      </c>
      <c r="K200" s="124">
        <f t="shared" si="170"/>
        <v>511349.28000000009</v>
      </c>
      <c r="L200" s="124">
        <f t="shared" si="170"/>
        <v>11544</v>
      </c>
      <c r="M200" s="129">
        <f>'Odometro-Kilometraje'!AC81</f>
        <v>5090</v>
      </c>
      <c r="N200" s="21">
        <f>(V200/M200)*100</f>
        <v>96.597642436149329</v>
      </c>
      <c r="O200" s="204"/>
      <c r="P200" s="191"/>
      <c r="Q200" s="191"/>
      <c r="R200" s="191"/>
      <c r="S200" s="191"/>
      <c r="T200" s="191"/>
      <c r="U200" s="191"/>
      <c r="V200" s="205">
        <f>SUM(V194:V199)</f>
        <v>4916.8200000000006</v>
      </c>
    </row>
    <row r="201" spans="1:24" x14ac:dyDescent="0.25">
      <c r="A201" s="62">
        <f>A194+1</f>
        <v>45411</v>
      </c>
      <c r="B201" s="131">
        <v>39</v>
      </c>
      <c r="C201" s="131">
        <v>53</v>
      </c>
      <c r="D201" s="144">
        <f>'Data Ocupacion'!BH32</f>
        <v>34</v>
      </c>
      <c r="E201" s="144">
        <f>'Data Ocupacion'!BI32</f>
        <v>58</v>
      </c>
      <c r="F201" s="131" t="s">
        <v>38</v>
      </c>
      <c r="G201" s="131">
        <f>D201+E201*2</f>
        <v>150</v>
      </c>
      <c r="H201" s="131">
        <f>D201+E201</f>
        <v>92</v>
      </c>
      <c r="I201" s="131">
        <f>G201*L$2</f>
        <v>6469.5</v>
      </c>
      <c r="J201" s="160">
        <f>H201*L$2</f>
        <v>3967.96</v>
      </c>
      <c r="K201" s="131">
        <f t="shared" ref="K201:K206" si="171">I201*104</f>
        <v>672828</v>
      </c>
      <c r="L201" s="131">
        <f t="shared" ref="L201:L206" si="172">H201*104</f>
        <v>9568</v>
      </c>
      <c r="M201" s="19"/>
      <c r="N201" s="19"/>
      <c r="O201" s="153"/>
      <c r="P201" s="197">
        <v>4</v>
      </c>
      <c r="Q201" s="193"/>
      <c r="R201" s="221"/>
      <c r="S201" s="310">
        <v>5</v>
      </c>
      <c r="T201" s="203"/>
      <c r="U201" s="251"/>
      <c r="V201" s="196">
        <f>I201-((P201*($L$2-$J$1)))-(S201*($J$1))</f>
        <v>6271.58</v>
      </c>
    </row>
    <row r="202" spans="1:24" ht="15" customHeight="1" x14ac:dyDescent="0.25">
      <c r="A202" s="214"/>
      <c r="B202" s="131">
        <v>37</v>
      </c>
      <c r="C202" s="131">
        <v>53</v>
      </c>
      <c r="D202" s="132">
        <f>'Data Ocupacion'!BH33</f>
        <v>37</v>
      </c>
      <c r="E202" s="132">
        <f>'Data Ocupacion'!BI33</f>
        <v>53</v>
      </c>
      <c r="F202" s="131" t="s">
        <v>52</v>
      </c>
      <c r="G202" s="131">
        <f t="shared" ref="G202:G206" si="173">D202+E202*2</f>
        <v>143</v>
      </c>
      <c r="H202" s="131">
        <f t="shared" ref="H202:H206" si="174">D202+E202</f>
        <v>90</v>
      </c>
      <c r="I202" s="131">
        <f>G202*L$2</f>
        <v>6167.59</v>
      </c>
      <c r="J202" s="160">
        <f>H202*L$2</f>
        <v>3881.7000000000003</v>
      </c>
      <c r="K202" s="131">
        <f t="shared" si="171"/>
        <v>641429.36</v>
      </c>
      <c r="L202" s="131">
        <f t="shared" si="172"/>
        <v>9360</v>
      </c>
      <c r="M202" s="19"/>
      <c r="N202" s="19"/>
      <c r="O202" s="153"/>
      <c r="P202" s="198"/>
      <c r="Q202" s="198"/>
      <c r="R202" s="198"/>
      <c r="S202" s="197"/>
      <c r="T202" s="193"/>
      <c r="U202" s="221"/>
      <c r="V202" s="196">
        <f>I202-(S202*($L$2-$J$1)+(T202*($L$2-$L$1)))</f>
        <v>6167.59</v>
      </c>
    </row>
    <row r="203" spans="1:24" s="130" customFormat="1" x14ac:dyDescent="0.25">
      <c r="A203" s="214"/>
      <c r="B203" s="131">
        <v>0</v>
      </c>
      <c r="C203" s="131">
        <v>0</v>
      </c>
      <c r="D203" s="132">
        <f>'Data Ocupacion'!BH34</f>
        <v>0</v>
      </c>
      <c r="E203" s="132">
        <f>'Data Ocupacion'!BI34</f>
        <v>0</v>
      </c>
      <c r="F203" s="131" t="s">
        <v>36</v>
      </c>
      <c r="G203" s="131">
        <f t="shared" si="173"/>
        <v>0</v>
      </c>
      <c r="H203" s="131">
        <f t="shared" si="174"/>
        <v>0</v>
      </c>
      <c r="I203" s="131">
        <f>G203*L$1</f>
        <v>0</v>
      </c>
      <c r="J203" s="160">
        <f>H203*L$1</f>
        <v>0</v>
      </c>
      <c r="K203" s="131">
        <f t="shared" si="171"/>
        <v>0</v>
      </c>
      <c r="L203" s="131">
        <f t="shared" si="172"/>
        <v>0</v>
      </c>
      <c r="M203" s="19"/>
      <c r="N203" s="19" t="s">
        <v>147</v>
      </c>
      <c r="O203" s="153"/>
      <c r="P203" s="197"/>
      <c r="Q203" s="199"/>
      <c r="R203" s="222"/>
      <c r="S203" s="200"/>
      <c r="T203" s="201"/>
      <c r="U203" s="201"/>
      <c r="V203" s="192">
        <f>I203-(P203*($L$1-$J$1))</f>
        <v>0</v>
      </c>
    </row>
    <row r="204" spans="1:24" s="130" customFormat="1" ht="15" customHeight="1" x14ac:dyDescent="0.25">
      <c r="A204" s="214"/>
      <c r="B204" s="131">
        <v>1</v>
      </c>
      <c r="C204" s="131">
        <v>0</v>
      </c>
      <c r="D204" s="132">
        <f>'Data Ocupacion'!BH35</f>
        <v>1</v>
      </c>
      <c r="E204" s="132">
        <f>'Data Ocupacion'!BI35</f>
        <v>0</v>
      </c>
      <c r="F204" s="131" t="s">
        <v>53</v>
      </c>
      <c r="G204" s="131">
        <f>D204+E204*2</f>
        <v>1</v>
      </c>
      <c r="H204" s="131">
        <f>D204+E204</f>
        <v>1</v>
      </c>
      <c r="I204" s="131">
        <f>G204*L$1</f>
        <v>29.11</v>
      </c>
      <c r="J204" s="160">
        <f>H204*L$1</f>
        <v>29.11</v>
      </c>
      <c r="K204" s="131">
        <f t="shared" si="171"/>
        <v>3027.44</v>
      </c>
      <c r="L204" s="131">
        <f t="shared" si="172"/>
        <v>104</v>
      </c>
      <c r="M204" s="19"/>
      <c r="N204" s="19" t="s">
        <v>147</v>
      </c>
      <c r="O204" s="153"/>
      <c r="P204" s="201"/>
      <c r="Q204" s="201"/>
      <c r="R204" s="201"/>
      <c r="S204" s="201"/>
      <c r="T204" s="201"/>
      <c r="U204" s="201"/>
      <c r="V204" s="192">
        <f t="shared" ref="V204:V205" si="175">I204</f>
        <v>29.11</v>
      </c>
    </row>
    <row r="205" spans="1:24" s="130" customFormat="1" x14ac:dyDescent="0.25">
      <c r="A205" s="214"/>
      <c r="B205" s="131">
        <v>0</v>
      </c>
      <c r="C205" s="131">
        <v>0</v>
      </c>
      <c r="D205" s="132">
        <f>'Data Ocupacion'!BH36</f>
        <v>0</v>
      </c>
      <c r="E205" s="132">
        <f>'Data Ocupacion'!BI36</f>
        <v>0</v>
      </c>
      <c r="F205" s="131" t="s">
        <v>122</v>
      </c>
      <c r="G205" s="131">
        <f t="shared" si="173"/>
        <v>0</v>
      </c>
      <c r="H205" s="131">
        <f t="shared" si="174"/>
        <v>0</v>
      </c>
      <c r="I205" s="131">
        <f>G205*J$1</f>
        <v>0</v>
      </c>
      <c r="J205" s="160">
        <f>H205*J$1</f>
        <v>0</v>
      </c>
      <c r="K205" s="131">
        <f t="shared" si="171"/>
        <v>0</v>
      </c>
      <c r="L205" s="131">
        <f t="shared" si="172"/>
        <v>0</v>
      </c>
      <c r="M205" s="19"/>
      <c r="N205" s="19"/>
      <c r="O205" s="153"/>
      <c r="P205" s="201"/>
      <c r="Q205" s="201"/>
      <c r="R205" s="201"/>
      <c r="S205" s="201"/>
      <c r="T205" s="201"/>
      <c r="U205" s="201"/>
      <c r="V205" s="192">
        <f t="shared" si="175"/>
        <v>0</v>
      </c>
    </row>
    <row r="206" spans="1:24" s="130" customFormat="1" ht="15.75" thickBot="1" x14ac:dyDescent="0.3">
      <c r="A206" s="214"/>
      <c r="B206" s="131">
        <v>1</v>
      </c>
      <c r="C206" s="131">
        <v>0</v>
      </c>
      <c r="D206" s="132">
        <f>'Data Ocupacion'!BH37</f>
        <v>1</v>
      </c>
      <c r="E206" s="132">
        <f>'Data Ocupacion'!BI37</f>
        <v>0</v>
      </c>
      <c r="F206" s="131" t="s">
        <v>35</v>
      </c>
      <c r="G206" s="131">
        <f t="shared" si="173"/>
        <v>1</v>
      </c>
      <c r="H206" s="131">
        <f t="shared" si="174"/>
        <v>1</v>
      </c>
      <c r="I206" s="131">
        <f>G206*J$1</f>
        <v>25.4</v>
      </c>
      <c r="J206" s="160">
        <f>H206*J$1</f>
        <v>25.4</v>
      </c>
      <c r="K206" s="131">
        <f t="shared" si="171"/>
        <v>2641.6</v>
      </c>
      <c r="L206" s="131">
        <f t="shared" si="172"/>
        <v>104</v>
      </c>
      <c r="M206" s="19"/>
      <c r="N206" s="19"/>
      <c r="O206" s="153"/>
      <c r="P206" s="201"/>
      <c r="Q206" s="201"/>
      <c r="R206" s="201"/>
      <c r="S206" s="201"/>
      <c r="T206" s="201"/>
      <c r="U206" s="201"/>
      <c r="V206" s="192">
        <f>I206</f>
        <v>25.4</v>
      </c>
    </row>
    <row r="207" spans="1:24" s="130" customFormat="1" ht="15.75" thickBot="1" x14ac:dyDescent="0.3">
      <c r="A207" s="20"/>
      <c r="B207" s="235">
        <f>SUM(B201:B206)</f>
        <v>78</v>
      </c>
      <c r="C207" s="235">
        <f>SUM(C201:C206)</f>
        <v>106</v>
      </c>
      <c r="D207" s="155">
        <f>SUM(D201:D206)</f>
        <v>73</v>
      </c>
      <c r="E207" s="155">
        <f>SUM(E201:E206)</f>
        <v>111</v>
      </c>
      <c r="F207" s="124"/>
      <c r="G207" s="124">
        <f t="shared" ref="G207:L207" si="176">SUM(G201:G206)</f>
        <v>295</v>
      </c>
      <c r="H207" s="124">
        <f t="shared" si="176"/>
        <v>184</v>
      </c>
      <c r="I207" s="124">
        <f t="shared" si="176"/>
        <v>12691.6</v>
      </c>
      <c r="J207" s="124">
        <f t="shared" si="176"/>
        <v>7904.1699999999992</v>
      </c>
      <c r="K207" s="124">
        <f t="shared" si="176"/>
        <v>1319926.3999999999</v>
      </c>
      <c r="L207" s="124">
        <f t="shared" si="176"/>
        <v>19136</v>
      </c>
      <c r="M207" s="129">
        <f>'Odometro-Kilometraje'!AD81</f>
        <v>13076</v>
      </c>
      <c r="N207" s="21">
        <f>(V207/M207)*100</f>
        <v>95.546650351789538</v>
      </c>
      <c r="O207" s="204"/>
      <c r="P207" s="191"/>
      <c r="Q207" s="191"/>
      <c r="R207" s="191"/>
      <c r="S207" s="191"/>
      <c r="T207" s="191"/>
      <c r="U207" s="191"/>
      <c r="V207" s="205">
        <f>SUM(V201:V206)</f>
        <v>12493.68</v>
      </c>
      <c r="X207" s="272"/>
    </row>
    <row r="208" spans="1:24" s="130" customFormat="1" x14ac:dyDescent="0.25">
      <c r="A208" s="62">
        <f>A201+1</f>
        <v>45412</v>
      </c>
      <c r="B208" s="131">
        <v>27</v>
      </c>
      <c r="C208" s="131">
        <v>59</v>
      </c>
      <c r="D208" s="132">
        <f>'Data Ocupacion'!BJ32</f>
        <v>27</v>
      </c>
      <c r="E208" s="132">
        <f>'Data Ocupacion'!BK32</f>
        <v>59</v>
      </c>
      <c r="F208" s="131" t="s">
        <v>38</v>
      </c>
      <c r="G208" s="131">
        <f t="shared" ref="G208:G213" si="177">D208+E208*2</f>
        <v>145</v>
      </c>
      <c r="H208" s="131">
        <f t="shared" ref="H208:H213" si="178">D208+E208</f>
        <v>86</v>
      </c>
      <c r="I208" s="131">
        <f>G208*L$2</f>
        <v>6253.85</v>
      </c>
      <c r="J208" s="160">
        <f>H208*L$2</f>
        <v>3709.1800000000003</v>
      </c>
      <c r="K208" s="131">
        <f t="shared" ref="K208:K213" si="179">I208*104</f>
        <v>650400.4</v>
      </c>
      <c r="L208" s="131">
        <f t="shared" ref="L208:L213" si="180">H208*104</f>
        <v>8944</v>
      </c>
      <c r="M208" s="19"/>
      <c r="N208" s="19"/>
      <c r="O208" s="153"/>
      <c r="P208" s="193">
        <v>5</v>
      </c>
      <c r="Q208" s="193"/>
      <c r="R208" s="221"/>
      <c r="S208" s="310">
        <v>7</v>
      </c>
      <c r="T208" s="203"/>
      <c r="U208" s="251"/>
      <c r="V208" s="196">
        <f>I208-((P208*($L$2-$J$1)))-(S208*($J$1))</f>
        <v>5987.4000000000005</v>
      </c>
    </row>
    <row r="209" spans="1:22" s="130" customFormat="1" x14ac:dyDescent="0.25">
      <c r="A209" s="214"/>
      <c r="B209" s="131">
        <v>33</v>
      </c>
      <c r="C209" s="131">
        <v>51</v>
      </c>
      <c r="D209" s="132">
        <f>'Data Ocupacion'!BJ33</f>
        <v>33</v>
      </c>
      <c r="E209" s="132">
        <f>'Data Ocupacion'!BK33</f>
        <v>51</v>
      </c>
      <c r="F209" s="131" t="s">
        <v>52</v>
      </c>
      <c r="G209" s="131">
        <f t="shared" si="177"/>
        <v>135</v>
      </c>
      <c r="H209" s="131">
        <f t="shared" si="178"/>
        <v>84</v>
      </c>
      <c r="I209" s="131">
        <f>G209*L$2</f>
        <v>5822.55</v>
      </c>
      <c r="J209" s="160">
        <f>H209*L$2</f>
        <v>3622.92</v>
      </c>
      <c r="K209" s="131">
        <f t="shared" si="179"/>
        <v>605545.20000000007</v>
      </c>
      <c r="L209" s="131">
        <f t="shared" si="180"/>
        <v>8736</v>
      </c>
      <c r="M209" s="19"/>
      <c r="N209" s="19"/>
      <c r="O209" s="153"/>
      <c r="P209" s="198"/>
      <c r="Q209" s="198"/>
      <c r="R209" s="198"/>
      <c r="S209" s="193"/>
      <c r="T209" s="193"/>
      <c r="U209" s="221"/>
      <c r="V209" s="196">
        <f>I209-(S209*($L$2-$J$1)+(T209*($L$2-$L$1)))</f>
        <v>5822.55</v>
      </c>
    </row>
    <row r="210" spans="1:22" s="130" customFormat="1" x14ac:dyDescent="0.25">
      <c r="A210" s="214"/>
      <c r="B210" s="131">
        <v>0</v>
      </c>
      <c r="C210" s="131">
        <v>0</v>
      </c>
      <c r="D210" s="132">
        <f>'Data Ocupacion'!BJ34</f>
        <v>0</v>
      </c>
      <c r="E210" s="132">
        <f>'Data Ocupacion'!BK34</f>
        <v>0</v>
      </c>
      <c r="F210" s="131" t="s">
        <v>36</v>
      </c>
      <c r="G210" s="131">
        <f t="shared" si="177"/>
        <v>0</v>
      </c>
      <c r="H210" s="131">
        <f t="shared" si="178"/>
        <v>0</v>
      </c>
      <c r="I210" s="131">
        <f>G210*L$1</f>
        <v>0</v>
      </c>
      <c r="J210" s="160">
        <f>H210*L$1</f>
        <v>0</v>
      </c>
      <c r="K210" s="131">
        <f t="shared" si="179"/>
        <v>0</v>
      </c>
      <c r="L210" s="131">
        <f t="shared" si="180"/>
        <v>0</v>
      </c>
      <c r="M210" s="19"/>
      <c r="N210" s="19" t="s">
        <v>147</v>
      </c>
      <c r="O210" s="153"/>
      <c r="P210" s="197"/>
      <c r="Q210" s="199"/>
      <c r="R210" s="222"/>
      <c r="S210" s="200"/>
      <c r="T210" s="201"/>
      <c r="U210" s="201"/>
      <c r="V210" s="192">
        <f>I210-(P210*($L$1-$J$1))</f>
        <v>0</v>
      </c>
    </row>
    <row r="211" spans="1:22" s="130" customFormat="1" x14ac:dyDescent="0.25">
      <c r="A211" s="214"/>
      <c r="B211" s="131">
        <v>0</v>
      </c>
      <c r="C211" s="131">
        <v>1</v>
      </c>
      <c r="D211" s="132">
        <f>'Data Ocupacion'!BJ35</f>
        <v>0</v>
      </c>
      <c r="E211" s="132">
        <f>'Data Ocupacion'!BK35</f>
        <v>1</v>
      </c>
      <c r="F211" s="131" t="s">
        <v>53</v>
      </c>
      <c r="G211" s="131">
        <f t="shared" si="177"/>
        <v>2</v>
      </c>
      <c r="H211" s="131">
        <f t="shared" si="178"/>
        <v>1</v>
      </c>
      <c r="I211" s="131">
        <f>G211*L$1</f>
        <v>58.22</v>
      </c>
      <c r="J211" s="160">
        <f>H211*L$1</f>
        <v>29.11</v>
      </c>
      <c r="K211" s="131">
        <f t="shared" si="179"/>
        <v>6054.88</v>
      </c>
      <c r="L211" s="131">
        <f t="shared" si="180"/>
        <v>104</v>
      </c>
      <c r="M211" s="19"/>
      <c r="N211" s="19" t="s">
        <v>147</v>
      </c>
      <c r="O211" s="153"/>
      <c r="P211" s="201"/>
      <c r="Q211" s="201"/>
      <c r="R211" s="201"/>
      <c r="S211" s="201"/>
      <c r="T211" s="201"/>
      <c r="U211" s="201"/>
      <c r="V211" s="192">
        <f t="shared" ref="V211:V212" si="181">I211</f>
        <v>58.22</v>
      </c>
    </row>
    <row r="212" spans="1:22" s="130" customFormat="1" x14ac:dyDescent="0.25">
      <c r="A212" s="214"/>
      <c r="B212" s="131">
        <v>0</v>
      </c>
      <c r="C212" s="131">
        <v>0</v>
      </c>
      <c r="D212" s="132">
        <f>'Data Ocupacion'!BJ36</f>
        <v>0</v>
      </c>
      <c r="E212" s="132">
        <f>'Data Ocupacion'!BK36</f>
        <v>0</v>
      </c>
      <c r="F212" s="131" t="s">
        <v>122</v>
      </c>
      <c r="G212" s="131">
        <f t="shared" si="177"/>
        <v>0</v>
      </c>
      <c r="H212" s="131">
        <f t="shared" si="178"/>
        <v>0</v>
      </c>
      <c r="I212" s="131">
        <f>G212*J$1</f>
        <v>0</v>
      </c>
      <c r="J212" s="160">
        <f>H212*J$1</f>
        <v>0</v>
      </c>
      <c r="K212" s="131">
        <f t="shared" si="179"/>
        <v>0</v>
      </c>
      <c r="L212" s="131">
        <f t="shared" si="180"/>
        <v>0</v>
      </c>
      <c r="M212" s="19"/>
      <c r="N212" s="19"/>
      <c r="O212" s="153"/>
      <c r="P212" s="201"/>
      <c r="Q212" s="201"/>
      <c r="R212" s="201"/>
      <c r="S212" s="201"/>
      <c r="T212" s="201"/>
      <c r="U212" s="201"/>
      <c r="V212" s="192">
        <f t="shared" si="181"/>
        <v>0</v>
      </c>
    </row>
    <row r="213" spans="1:22" s="130" customFormat="1" ht="15.75" thickBot="1" x14ac:dyDescent="0.3">
      <c r="A213" s="214"/>
      <c r="B213" s="131">
        <v>1</v>
      </c>
      <c r="C213" s="131">
        <v>0</v>
      </c>
      <c r="D213" s="132">
        <f>'Data Ocupacion'!BJ37</f>
        <v>1</v>
      </c>
      <c r="E213" s="132">
        <f>'Data Ocupacion'!BK37</f>
        <v>0</v>
      </c>
      <c r="F213" s="131" t="s">
        <v>35</v>
      </c>
      <c r="G213" s="131">
        <f t="shared" si="177"/>
        <v>1</v>
      </c>
      <c r="H213" s="131">
        <f t="shared" si="178"/>
        <v>1</v>
      </c>
      <c r="I213" s="131">
        <f>G213*J$1</f>
        <v>25.4</v>
      </c>
      <c r="J213" s="160">
        <f>H213*J$1</f>
        <v>25.4</v>
      </c>
      <c r="K213" s="131">
        <f t="shared" si="179"/>
        <v>2641.6</v>
      </c>
      <c r="L213" s="131">
        <f t="shared" si="180"/>
        <v>104</v>
      </c>
      <c r="M213" s="19"/>
      <c r="N213" s="19"/>
      <c r="O213" s="153"/>
      <c r="P213" s="201"/>
      <c r="Q213" s="201"/>
      <c r="R213" s="201"/>
      <c r="S213" s="201"/>
      <c r="T213" s="201"/>
      <c r="U213" s="201"/>
      <c r="V213" s="192">
        <f>I213</f>
        <v>25.4</v>
      </c>
    </row>
    <row r="214" spans="1:22" s="130" customFormat="1" ht="14.25" customHeight="1" thickBot="1" x14ac:dyDescent="0.3">
      <c r="A214" s="20"/>
      <c r="B214" s="235">
        <f>SUM(B208:B213)</f>
        <v>61</v>
      </c>
      <c r="C214" s="235">
        <f>SUM(C208:C213)</f>
        <v>111</v>
      </c>
      <c r="D214" s="155">
        <f>SUM(D208:D213)</f>
        <v>61</v>
      </c>
      <c r="E214" s="155">
        <f>SUM(E208:E213)</f>
        <v>111</v>
      </c>
      <c r="F214" s="124"/>
      <c r="G214" s="124">
        <f t="shared" ref="G214:L214" si="182">SUM(G208:G213)</f>
        <v>283</v>
      </c>
      <c r="H214" s="124">
        <f t="shared" si="182"/>
        <v>172</v>
      </c>
      <c r="I214" s="124">
        <f t="shared" si="182"/>
        <v>12160.02</v>
      </c>
      <c r="J214" s="124">
        <f t="shared" si="182"/>
        <v>7386.61</v>
      </c>
      <c r="K214" s="124">
        <f t="shared" si="182"/>
        <v>1264642.08</v>
      </c>
      <c r="L214" s="124">
        <f t="shared" si="182"/>
        <v>17888</v>
      </c>
      <c r="M214" s="129">
        <f>'Odometro-Kilometraje'!AE81</f>
        <v>12374</v>
      </c>
      <c r="N214" s="21">
        <f>(V214/M214)*100</f>
        <v>96.117423630192334</v>
      </c>
      <c r="O214" s="204"/>
      <c r="P214" s="191"/>
      <c r="Q214" s="191"/>
      <c r="R214" s="191"/>
      <c r="S214" s="191"/>
      <c r="T214" s="191"/>
      <c r="U214" s="191"/>
      <c r="V214" s="205">
        <f>SUM(V208:V213)</f>
        <v>11893.57</v>
      </c>
    </row>
    <row r="215" spans="1:22" s="130" customFormat="1" hidden="1" x14ac:dyDescent="0.25">
      <c r="A215" s="62"/>
      <c r="B215" s="131"/>
      <c r="C215" s="131"/>
      <c r="D215" s="132"/>
      <c r="E215" s="132"/>
      <c r="F215" s="131"/>
      <c r="G215" s="131"/>
      <c r="H215" s="131"/>
      <c r="I215" s="131"/>
      <c r="J215" s="160">
        <f>H215*L$2</f>
        <v>0</v>
      </c>
      <c r="K215" s="131"/>
      <c r="L215" s="131"/>
      <c r="M215" s="19"/>
      <c r="N215" s="19"/>
      <c r="O215" s="153"/>
      <c r="P215" s="266"/>
      <c r="Q215" s="193"/>
      <c r="R215" s="221"/>
      <c r="S215" s="215"/>
      <c r="T215" s="203"/>
      <c r="U215" s="251"/>
      <c r="V215" s="192">
        <f>I215-(P215*($L$2-$J$1)+(Q215*($L$2-$L$1))+  (R215*($L$2-$H$2))+  (S215*($J$1)))</f>
        <v>0</v>
      </c>
    </row>
    <row r="216" spans="1:22" s="130" customFormat="1" ht="15" hidden="1" customHeight="1" x14ac:dyDescent="0.25">
      <c r="A216" s="314"/>
      <c r="B216" s="131"/>
      <c r="C216" s="131"/>
      <c r="D216" s="132"/>
      <c r="E216" s="132"/>
      <c r="F216" s="131"/>
      <c r="G216" s="131"/>
      <c r="H216" s="131"/>
      <c r="I216" s="131"/>
      <c r="J216" s="160">
        <f>H216*L$2</f>
        <v>0</v>
      </c>
      <c r="K216" s="131"/>
      <c r="L216" s="131"/>
      <c r="M216" s="19"/>
      <c r="N216" s="19"/>
      <c r="O216" s="153"/>
      <c r="P216" s="198"/>
      <c r="Q216" s="198"/>
      <c r="R216" s="198"/>
      <c r="S216" s="193"/>
      <c r="T216" s="193"/>
      <c r="U216" s="221"/>
      <c r="V216" s="196">
        <f>I216-(S216*($L$2-$J$1)+(T216*($L$2-$L$1)))</f>
        <v>0</v>
      </c>
    </row>
    <row r="217" spans="1:22" s="130" customFormat="1" ht="15" hidden="1" customHeight="1" x14ac:dyDescent="0.25">
      <c r="A217" s="314"/>
      <c r="B217" s="131"/>
      <c r="C217" s="131"/>
      <c r="D217" s="132"/>
      <c r="E217" s="132"/>
      <c r="F217" s="131"/>
      <c r="G217" s="131"/>
      <c r="H217" s="131"/>
      <c r="I217" s="131"/>
      <c r="J217" s="160">
        <f>H217*L$1</f>
        <v>0</v>
      </c>
      <c r="K217" s="131"/>
      <c r="L217" s="131"/>
      <c r="M217" s="19"/>
      <c r="N217" s="19"/>
      <c r="O217" s="153"/>
      <c r="P217" s="197"/>
      <c r="Q217" s="199"/>
      <c r="R217" s="222"/>
      <c r="S217" s="200"/>
      <c r="T217" s="201"/>
      <c r="U217" s="201"/>
      <c r="V217" s="192">
        <f>I217-(P217*($L$1-$J$1))</f>
        <v>0</v>
      </c>
    </row>
    <row r="218" spans="1:22" s="130" customFormat="1" ht="15" hidden="1" customHeight="1" x14ac:dyDescent="0.25">
      <c r="A218" s="314"/>
      <c r="B218" s="131"/>
      <c r="C218" s="131"/>
      <c r="D218" s="132"/>
      <c r="E218" s="132"/>
      <c r="F218" s="131"/>
      <c r="G218" s="131"/>
      <c r="H218" s="131"/>
      <c r="I218" s="131"/>
      <c r="J218" s="160">
        <f>H218*L$1</f>
        <v>0</v>
      </c>
      <c r="K218" s="131"/>
      <c r="L218" s="131"/>
      <c r="M218" s="19"/>
      <c r="N218" s="19"/>
      <c r="O218" s="153"/>
      <c r="P218" s="201"/>
      <c r="Q218" s="201"/>
      <c r="R218" s="201"/>
      <c r="S218" s="201"/>
      <c r="T218" s="201"/>
      <c r="U218" s="201"/>
      <c r="V218" s="192">
        <f t="shared" ref="V218:V219" si="183">I218</f>
        <v>0</v>
      </c>
    </row>
    <row r="219" spans="1:22" s="130" customFormat="1" ht="15" hidden="1" customHeight="1" x14ac:dyDescent="0.25">
      <c r="A219" s="314"/>
      <c r="B219" s="131"/>
      <c r="C219" s="131"/>
      <c r="D219" s="132"/>
      <c r="E219" s="132"/>
      <c r="F219" s="131"/>
      <c r="G219" s="131"/>
      <c r="H219" s="131"/>
      <c r="I219" s="131"/>
      <c r="J219" s="160">
        <f>H219*J$1</f>
        <v>0</v>
      </c>
      <c r="K219" s="131"/>
      <c r="L219" s="131"/>
      <c r="M219" s="19"/>
      <c r="N219" s="19"/>
      <c r="O219" s="153"/>
      <c r="P219" s="201"/>
      <c r="Q219" s="201"/>
      <c r="R219" s="201"/>
      <c r="S219" s="201"/>
      <c r="T219" s="201"/>
      <c r="U219" s="201"/>
      <c r="V219" s="192">
        <f t="shared" si="183"/>
        <v>0</v>
      </c>
    </row>
    <row r="220" spans="1:22" s="130" customFormat="1" ht="15.75" hidden="1" customHeight="1" x14ac:dyDescent="0.25">
      <c r="A220" s="314"/>
      <c r="B220" s="131"/>
      <c r="C220" s="131"/>
      <c r="D220" s="132"/>
      <c r="E220" s="132"/>
      <c r="F220" s="131"/>
      <c r="G220" s="131"/>
      <c r="H220" s="131"/>
      <c r="I220" s="131"/>
      <c r="J220" s="160">
        <f>H220*J$1</f>
        <v>0</v>
      </c>
      <c r="K220" s="131"/>
      <c r="L220" s="131"/>
      <c r="M220" s="19"/>
      <c r="N220" s="19"/>
      <c r="O220" s="153"/>
      <c r="P220" s="201"/>
      <c r="Q220" s="201"/>
      <c r="R220" s="201"/>
      <c r="S220" s="201"/>
      <c r="T220" s="201"/>
      <c r="U220" s="201"/>
      <c r="V220" s="192">
        <f>I220</f>
        <v>0</v>
      </c>
    </row>
    <row r="221" spans="1:22" s="130" customFormat="1" ht="15.75" hidden="1" thickBot="1" x14ac:dyDescent="0.3">
      <c r="A221" s="20"/>
      <c r="B221" s="235">
        <f>SUM(B215:B220)</f>
        <v>0</v>
      </c>
      <c r="C221" s="235">
        <f>SUM(C215:C220)</f>
        <v>0</v>
      </c>
      <c r="D221" s="155">
        <f>SUM(D215:D220)</f>
        <v>0</v>
      </c>
      <c r="E221" s="155">
        <f>SUM(E215:E220)</f>
        <v>0</v>
      </c>
      <c r="F221" s="124"/>
      <c r="G221" s="124">
        <f t="shared" ref="G221:L221" si="184">SUM(G215:G220)</f>
        <v>0</v>
      </c>
      <c r="H221" s="124">
        <f t="shared" si="184"/>
        <v>0</v>
      </c>
      <c r="I221" s="124">
        <f t="shared" si="184"/>
        <v>0</v>
      </c>
      <c r="J221" s="124">
        <f t="shared" si="184"/>
        <v>0</v>
      </c>
      <c r="K221" s="124">
        <f t="shared" si="184"/>
        <v>0</v>
      </c>
      <c r="L221" s="124">
        <f t="shared" si="184"/>
        <v>0</v>
      </c>
      <c r="M221" s="129" t="e">
        <f>'Odometro-Kilometraje'!#REF!</f>
        <v>#REF!</v>
      </c>
      <c r="N221" s="21" t="e">
        <f>(V221/M221)*100</f>
        <v>#REF!</v>
      </c>
      <c r="O221" s="204"/>
      <c r="P221" s="191"/>
      <c r="Q221" s="191"/>
      <c r="R221" s="191"/>
      <c r="S221" s="191"/>
      <c r="T221" s="191"/>
      <c r="U221" s="191"/>
      <c r="V221" s="205">
        <f>SUM(V215:V220)</f>
        <v>0</v>
      </c>
    </row>
    <row r="222" spans="1:22" s="130" customFormat="1" ht="15.75" thickBot="1" x14ac:dyDescent="0.3"/>
    <row r="223" spans="1:22" s="130" customFormat="1" ht="15.75" thickBot="1" x14ac:dyDescent="0.3">
      <c r="A223"/>
      <c r="B223" s="338" t="s">
        <v>56</v>
      </c>
      <c r="C223" s="339"/>
      <c r="D223" s="339"/>
      <c r="E223" s="339"/>
      <c r="F223" s="339"/>
      <c r="G223" s="340"/>
      <c r="H223" s="338" t="s">
        <v>57</v>
      </c>
      <c r="I223" s="339"/>
      <c r="J223" s="339"/>
      <c r="K223" s="339"/>
      <c r="L223" s="339"/>
      <c r="M223" s="340"/>
      <c r="O223" s="328" t="s">
        <v>142</v>
      </c>
      <c r="P223" s="328"/>
      <c r="Q223" s="328"/>
      <c r="R223" s="329"/>
      <c r="S223" s="325" t="s">
        <v>145</v>
      </c>
      <c r="T223" s="326"/>
      <c r="U223" s="327"/>
      <c r="V223" s="341" t="s">
        <v>146</v>
      </c>
    </row>
    <row r="224" spans="1:22" s="130" customFormat="1" ht="24.75" thickBot="1" x14ac:dyDescent="0.3">
      <c r="A224" s="22" t="s">
        <v>56</v>
      </c>
      <c r="B224" s="188" t="s">
        <v>58</v>
      </c>
      <c r="C224" s="188" t="s">
        <v>59</v>
      </c>
      <c r="D224" s="188" t="s">
        <v>60</v>
      </c>
      <c r="E224" s="188" t="s">
        <v>61</v>
      </c>
      <c r="F224" s="188" t="s">
        <v>62</v>
      </c>
      <c r="G224" s="188" t="s">
        <v>63</v>
      </c>
      <c r="H224" s="188" t="s">
        <v>58</v>
      </c>
      <c r="I224" s="188" t="s">
        <v>59</v>
      </c>
      <c r="J224" s="188" t="s">
        <v>60</v>
      </c>
      <c r="K224" s="188" t="s">
        <v>61</v>
      </c>
      <c r="L224" s="188" t="s">
        <v>62</v>
      </c>
      <c r="M224" s="188" t="s">
        <v>63</v>
      </c>
      <c r="O224" s="229" t="s">
        <v>143</v>
      </c>
      <c r="P224" s="207" t="s">
        <v>144</v>
      </c>
      <c r="Q224" s="228" t="s">
        <v>151</v>
      </c>
      <c r="R224" s="230" t="s">
        <v>149</v>
      </c>
      <c r="S224" s="208" t="s">
        <v>143</v>
      </c>
      <c r="T224" s="209" t="s">
        <v>144</v>
      </c>
      <c r="U224" s="250" t="s">
        <v>149</v>
      </c>
      <c r="V224" s="342"/>
    </row>
    <row r="225" spans="1:28" ht="15.75" customHeight="1" x14ac:dyDescent="0.25">
      <c r="A225" s="23" t="s">
        <v>38</v>
      </c>
      <c r="B225" s="118">
        <f t="shared" ref="B225:C230" si="185">B5+B12+B19+B26+B33+B40+B47+B54+B61+B68+B75+B82+B89+B96+B103+B110+B117+B124+B131+B138+B145+B152+B159+B166+B173+B180+B187+B194+B201+B208+B215</f>
        <v>1315</v>
      </c>
      <c r="C225" s="118">
        <f t="shared" si="185"/>
        <v>1193</v>
      </c>
      <c r="D225" s="118">
        <f t="shared" ref="D225:D230" si="186">B225+C225</f>
        <v>2508</v>
      </c>
      <c r="E225" s="146">
        <f>D225*43.13</f>
        <v>108170.04000000001</v>
      </c>
      <c r="F225" s="146">
        <f>B225*43.13+C225*86.26</f>
        <v>159624.13</v>
      </c>
      <c r="G225" s="146">
        <f t="shared" ref="G225:G230" si="187">F225*104</f>
        <v>16600909.52</v>
      </c>
      <c r="H225" s="118">
        <f t="shared" ref="H225:I230" si="188">D5+D12+D19+D26+D33+D40+D47+D54+D61+D68+D75+D82+D89+D96+D103+D110+D117+D124+D131+D138+D145+D152+D159+D166+D173+D180+D187+D194+D201+D208+D215</f>
        <v>1284</v>
      </c>
      <c r="I225" s="118">
        <f t="shared" si="188"/>
        <v>1215</v>
      </c>
      <c r="J225" s="145">
        <f>H225+I225</f>
        <v>2499</v>
      </c>
      <c r="K225" s="146">
        <f>J225*43.13</f>
        <v>107781.87000000001</v>
      </c>
      <c r="L225" s="146">
        <f>H225*43.13+I225*86.26</f>
        <v>160184.82</v>
      </c>
      <c r="M225" s="146">
        <f t="shared" ref="M225:M230" si="189">L225*104</f>
        <v>16659221.280000001</v>
      </c>
      <c r="N225" s="130"/>
      <c r="O225" s="8">
        <f>SUM(P194,P187,P180,P173,P166,P159,P152,P145,P138,P131,P124,P117,P110,P103,P96,P89,P82,P75,P68,P61,P54,P47,P40,P33,P26,P19,P12,P5,P201,P208,P215)</f>
        <v>84</v>
      </c>
      <c r="P225" s="224">
        <f>SUM(Q194,Q187,Q180,Q173,Q166,Q159,Q152,Q145,Q138,Q131,Q124,Q117,Q110,Q103,Q96,Q89,Q82,Q75,Q68,Q61,Q54,Q47,Q40,Q33,Q26,Q19,Q12,Q5,Q201,Q208,Q215)</f>
        <v>0</v>
      </c>
      <c r="Q225" s="130">
        <f>SUM(P196,P189,P182,P175,P168,P161,P154,P147,P140,P133,P126,P119,P112,P105,P98,P91,P84,P77,P70,P63,P56,P49,P42,P35,P28,P21,P14,P7,P203,P210,P217)</f>
        <v>0</v>
      </c>
      <c r="R225" s="130">
        <f>SUM(R194,R187,R180,R173,R166,R159,R152,R145,R138,R131,R124,R117,R110,R103,R96,R89,R82,R75,R68,R61,R54,R47,R40,R33,R26,R19,R12,R5,R201,R208,R215)</f>
        <v>0</v>
      </c>
      <c r="S225" s="130">
        <f>SUM(S195,S188,S181,S174,S167,S160,S153,S146,S139,S132,S125,S118,S111,S104,S97,S90,S83,S76,S69,S62,S55,S48,S41,S34,S27,S20,S13,S6,S202,S209,S216)+SUM(S5,S12,S19,S26,S33,S40,S47,S54,S61,S68,S75,S82,S89,S96,S103,S110,S117,S124,S131,S138,S145,S152,S159,S166,S173,S180,S187,S194,S201,S208)</f>
        <v>93</v>
      </c>
      <c r="T225" s="130">
        <f>SUM(T195,T188,T181,T174,T167,T160,T153,T146,T139,T132,T125,T118,T111,T104,T97,T90,T83,T76,T69,T62,T55,T48,T41,T34,T27,T20,T13,T6,T202,T209,T216)</f>
        <v>0</v>
      </c>
      <c r="U225" s="130">
        <f>SUM(U195,U188,U181,U174,U167,U160,U153,U146,U139,U132,U125,U118,U111,U104,U97,U90,U83,U76,U69,U62,U55,U48,U41,U34,U27,U20,U13,U6,U202,U209,U216)</f>
        <v>0</v>
      </c>
      <c r="V225" s="256">
        <f>V11+V18+V25+V32+V39+V46+V53+V60+V67+V74+V81+V88+V95+V102+V109+V116+V123+V130+V137+V144+V151+V158+V165+V172+V179+V186+V193+V200+V207+V214+V221</f>
        <v>313692.2300000001</v>
      </c>
      <c r="X225">
        <v>313692.2300000001</v>
      </c>
    </row>
    <row r="226" spans="1:28" ht="17.25" customHeight="1" x14ac:dyDescent="0.25">
      <c r="A226" s="23" t="s">
        <v>52</v>
      </c>
      <c r="B226" s="118">
        <f>B6+B13+B20+B27+B34+B41+B48+B55+B62+B69+B76+B83+B90+B97+B104+B111+B118+B125+B132+B139+B146+B153+B160+B167+B174+B181+B188+B195+B202+B209+B216</f>
        <v>1327</v>
      </c>
      <c r="C226" s="118">
        <f t="shared" si="185"/>
        <v>1161</v>
      </c>
      <c r="D226" s="118">
        <f t="shared" si="186"/>
        <v>2488</v>
      </c>
      <c r="E226" s="146">
        <f>D226*43.13</f>
        <v>107307.44</v>
      </c>
      <c r="F226" s="146">
        <f>B226*43.13+C226*86.26</f>
        <v>157381.37</v>
      </c>
      <c r="G226" s="146">
        <f t="shared" si="187"/>
        <v>16367662.48</v>
      </c>
      <c r="H226" s="118">
        <f t="shared" si="188"/>
        <v>1344</v>
      </c>
      <c r="I226" s="118">
        <f t="shared" si="188"/>
        <v>1138</v>
      </c>
      <c r="J226" s="145">
        <f t="shared" ref="J226:J230" si="190">H226+I226</f>
        <v>2482</v>
      </c>
      <c r="K226" s="146">
        <f>J226*43.13</f>
        <v>107048.66</v>
      </c>
      <c r="L226" s="146">
        <f>H226*43.13+I226*86.26</f>
        <v>156130.6</v>
      </c>
      <c r="M226" s="146">
        <f t="shared" si="189"/>
        <v>16237582.4</v>
      </c>
      <c r="N226" s="130"/>
      <c r="V226" s="223"/>
      <c r="Z226" s="8"/>
    </row>
    <row r="227" spans="1:28" x14ac:dyDescent="0.25">
      <c r="A227" s="23" t="s">
        <v>36</v>
      </c>
      <c r="B227" s="118">
        <f t="shared" si="185"/>
        <v>0</v>
      </c>
      <c r="C227" s="118">
        <f t="shared" si="185"/>
        <v>0</v>
      </c>
      <c r="D227" s="118">
        <f t="shared" si="186"/>
        <v>0</v>
      </c>
      <c r="E227" s="146">
        <f>D227*29.11</f>
        <v>0</v>
      </c>
      <c r="F227" s="146">
        <f>B227*29.11+C227*58.22</f>
        <v>0</v>
      </c>
      <c r="G227" s="146">
        <f t="shared" si="187"/>
        <v>0</v>
      </c>
      <c r="H227" s="118">
        <f t="shared" si="188"/>
        <v>0</v>
      </c>
      <c r="I227" s="118">
        <f t="shared" si="188"/>
        <v>0</v>
      </c>
      <c r="J227" s="145">
        <f t="shared" si="190"/>
        <v>0</v>
      </c>
      <c r="K227" s="146">
        <f>J227*29.11</f>
        <v>0</v>
      </c>
      <c r="L227" s="146">
        <f>H227*29.11+I227*58.22</f>
        <v>0</v>
      </c>
      <c r="M227" s="146">
        <f t="shared" si="189"/>
        <v>0</v>
      </c>
      <c r="N227" s="130"/>
      <c r="V227" s="223"/>
    </row>
    <row r="228" spans="1:28" x14ac:dyDescent="0.25">
      <c r="A228" s="23" t="s">
        <v>53</v>
      </c>
      <c r="B228" s="118">
        <f t="shared" si="185"/>
        <v>21</v>
      </c>
      <c r="C228" s="118">
        <f t="shared" si="185"/>
        <v>1</v>
      </c>
      <c r="D228" s="118">
        <f t="shared" si="186"/>
        <v>22</v>
      </c>
      <c r="E228" s="146">
        <f>D228*29.11</f>
        <v>640.41999999999996</v>
      </c>
      <c r="F228" s="146">
        <f>B228*29.11+C228*58.22</f>
        <v>669.53</v>
      </c>
      <c r="G228" s="146">
        <f t="shared" si="187"/>
        <v>69631.12</v>
      </c>
      <c r="H228" s="118">
        <f t="shared" si="188"/>
        <v>21</v>
      </c>
      <c r="I228" s="118">
        <f t="shared" si="188"/>
        <v>1</v>
      </c>
      <c r="J228" s="145">
        <f t="shared" si="190"/>
        <v>22</v>
      </c>
      <c r="K228" s="146">
        <f>J228*29.11</f>
        <v>640.41999999999996</v>
      </c>
      <c r="L228" s="146">
        <f>H228*29.11+I228*58.22</f>
        <v>669.53</v>
      </c>
      <c r="M228" s="146">
        <f t="shared" si="189"/>
        <v>69631.12</v>
      </c>
      <c r="N228" s="130"/>
      <c r="V228" s="223"/>
      <c r="Z228" s="105"/>
      <c r="AA228" s="105"/>
      <c r="AB228" s="105"/>
    </row>
    <row r="229" spans="1:28" x14ac:dyDescent="0.25">
      <c r="A229" s="23" t="s">
        <v>122</v>
      </c>
      <c r="B229" s="118">
        <f t="shared" si="185"/>
        <v>0</v>
      </c>
      <c r="C229" s="118">
        <f t="shared" si="185"/>
        <v>0</v>
      </c>
      <c r="D229" s="118">
        <f t="shared" si="186"/>
        <v>0</v>
      </c>
      <c r="E229" s="146">
        <f>D229*25.4</f>
        <v>0</v>
      </c>
      <c r="F229" s="146">
        <f>B229*25.4+C229*50.8</f>
        <v>0</v>
      </c>
      <c r="G229" s="146">
        <f t="shared" si="187"/>
        <v>0</v>
      </c>
      <c r="H229" s="118">
        <f t="shared" si="188"/>
        <v>0</v>
      </c>
      <c r="I229" s="118">
        <f t="shared" si="188"/>
        <v>0</v>
      </c>
      <c r="J229" s="145">
        <f t="shared" si="190"/>
        <v>0</v>
      </c>
      <c r="K229" s="146">
        <f>J229*25.4</f>
        <v>0</v>
      </c>
      <c r="L229" s="146">
        <f>H229*25.4+I229*50.8</f>
        <v>0</v>
      </c>
      <c r="M229" s="146">
        <f t="shared" si="189"/>
        <v>0</v>
      </c>
      <c r="N229" s="130"/>
      <c r="V229" s="223"/>
    </row>
    <row r="230" spans="1:28" x14ac:dyDescent="0.25">
      <c r="A230" s="23" t="s">
        <v>35</v>
      </c>
      <c r="B230" s="118">
        <f t="shared" si="185"/>
        <v>22</v>
      </c>
      <c r="C230" s="118">
        <f t="shared" si="185"/>
        <v>0</v>
      </c>
      <c r="D230" s="118">
        <f t="shared" si="186"/>
        <v>22</v>
      </c>
      <c r="E230" s="146">
        <f>D230*25.4</f>
        <v>558.79999999999995</v>
      </c>
      <c r="F230" s="146">
        <f>B230*25.4+C230*50.8</f>
        <v>558.79999999999995</v>
      </c>
      <c r="G230" s="146">
        <f t="shared" si="187"/>
        <v>58115.199999999997</v>
      </c>
      <c r="H230" s="118">
        <f t="shared" si="188"/>
        <v>22</v>
      </c>
      <c r="I230" s="118">
        <f t="shared" si="188"/>
        <v>0</v>
      </c>
      <c r="J230" s="145">
        <f t="shared" si="190"/>
        <v>22</v>
      </c>
      <c r="K230" s="146">
        <f>J230*25.4</f>
        <v>558.79999999999995</v>
      </c>
      <c r="L230" s="146">
        <f>H230*25.4+I230*50.8</f>
        <v>558.79999999999995</v>
      </c>
      <c r="M230" s="146">
        <f t="shared" si="189"/>
        <v>58115.199999999997</v>
      </c>
      <c r="N230" s="130"/>
      <c r="O230" s="130"/>
      <c r="P230" s="130"/>
      <c r="Q230" s="130"/>
      <c r="S230" s="130"/>
      <c r="T230" s="130"/>
      <c r="V230" s="223"/>
      <c r="Z230" s="105"/>
      <c r="AA230" s="105"/>
      <c r="AB230" s="105"/>
    </row>
    <row r="231" spans="1:28" s="130" customForma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O231"/>
      <c r="P231"/>
      <c r="Q231"/>
      <c r="S231"/>
      <c r="T231"/>
      <c r="V231" s="223"/>
    </row>
    <row r="232" spans="1:28" s="130" customFormat="1" x14ac:dyDescent="0.25">
      <c r="A232" s="186" t="s">
        <v>64</v>
      </c>
      <c r="B232" s="248">
        <f>SUM(B225:B231)</f>
        <v>2685</v>
      </c>
      <c r="C232" s="248">
        <f>SUM(C225:C231)</f>
        <v>2355</v>
      </c>
      <c r="D232" s="248">
        <f>SUM(D225:D231)</f>
        <v>5040</v>
      </c>
      <c r="E232" s="187">
        <f t="shared" ref="E232:M232" si="191">SUM(E225:E230)</f>
        <v>216676.7</v>
      </c>
      <c r="F232" s="187">
        <f t="shared" si="191"/>
        <v>318233.83</v>
      </c>
      <c r="G232" s="187">
        <f t="shared" si="191"/>
        <v>33096318.32</v>
      </c>
      <c r="H232" s="247">
        <f t="shared" si="191"/>
        <v>2671</v>
      </c>
      <c r="I232" s="247">
        <f t="shared" si="191"/>
        <v>2354</v>
      </c>
      <c r="J232" s="237">
        <f t="shared" si="191"/>
        <v>5025</v>
      </c>
      <c r="K232" s="238">
        <f t="shared" si="191"/>
        <v>216029.75000000003</v>
      </c>
      <c r="L232" s="238">
        <f t="shared" si="191"/>
        <v>317543.75000000006</v>
      </c>
      <c r="M232" s="238">
        <f t="shared" si="191"/>
        <v>33024550</v>
      </c>
      <c r="O232"/>
      <c r="P232"/>
      <c r="Q232"/>
      <c r="S232"/>
      <c r="T232"/>
      <c r="V232" s="223"/>
    </row>
    <row r="233" spans="1:28" x14ac:dyDescent="0.25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223"/>
      <c r="M233" s="130"/>
      <c r="N233" s="130"/>
      <c r="V233" s="223"/>
    </row>
    <row r="234" spans="1:28" ht="42" customHeight="1" thickBot="1" x14ac:dyDescent="0.3">
      <c r="B234" s="130" t="s">
        <v>65</v>
      </c>
      <c r="C234" s="130">
        <f>(B232)+(C232*2)</f>
        <v>7395</v>
      </c>
      <c r="D234" s="130"/>
      <c r="E234" s="130"/>
      <c r="F234" s="130" t="s">
        <v>65</v>
      </c>
      <c r="G234" s="130">
        <f>(H232)+(I232*2)</f>
        <v>7379</v>
      </c>
      <c r="H234" s="130"/>
      <c r="I234" s="210"/>
      <c r="J234" s="130"/>
      <c r="K234" s="130"/>
      <c r="L234" s="223"/>
      <c r="M234" s="130"/>
      <c r="N234" s="130"/>
      <c r="V234" s="223"/>
    </row>
    <row r="235" spans="1:28" x14ac:dyDescent="0.25">
      <c r="A235" s="24"/>
      <c r="B235" s="336" t="s">
        <v>55</v>
      </c>
      <c r="C235" s="337"/>
      <c r="D235" s="25" t="s">
        <v>65</v>
      </c>
      <c r="E235" s="26"/>
      <c r="F235" s="27" t="s">
        <v>61</v>
      </c>
      <c r="G235" s="27" t="s">
        <v>66</v>
      </c>
      <c r="H235" s="28" t="s">
        <v>67</v>
      </c>
      <c r="I235" s="130"/>
      <c r="J235" s="130"/>
      <c r="K235" s="130"/>
      <c r="L235" s="130"/>
      <c r="M235" s="130"/>
      <c r="N235" s="130"/>
      <c r="V235" s="223"/>
    </row>
    <row r="236" spans="1:28" x14ac:dyDescent="0.25">
      <c r="A236" s="29"/>
      <c r="B236" s="30" t="s">
        <v>58</v>
      </c>
      <c r="C236" s="30" t="s">
        <v>68</v>
      </c>
      <c r="D236" s="31"/>
      <c r="E236" s="32"/>
      <c r="F236" s="30"/>
      <c r="G236" s="30"/>
      <c r="H236" s="33"/>
      <c r="I236" s="130"/>
      <c r="J236" s="130"/>
      <c r="K236" s="130"/>
      <c r="L236" s="130"/>
      <c r="M236" s="130"/>
      <c r="N236" s="130"/>
      <c r="V236" s="223"/>
    </row>
    <row r="237" spans="1:28" ht="15" hidden="1" customHeight="1" x14ac:dyDescent="0.25">
      <c r="A237" s="34" t="s">
        <v>69</v>
      </c>
      <c r="B237" s="151" t="e">
        <f>+#REF!</f>
        <v>#REF!</v>
      </c>
      <c r="C237" s="151" t="e">
        <f>+#REF!</f>
        <v>#REF!</v>
      </c>
      <c r="D237" s="151" t="e">
        <f>+B237+2*C237</f>
        <v>#REF!</v>
      </c>
      <c r="E237" s="35" t="s">
        <v>69</v>
      </c>
      <c r="F237" s="36">
        <f>+E232</f>
        <v>216676.7</v>
      </c>
      <c r="G237" s="36">
        <f>+F232</f>
        <v>318233.83</v>
      </c>
      <c r="H237" s="37">
        <f>+G232</f>
        <v>33096318.32</v>
      </c>
      <c r="I237" s="130"/>
      <c r="J237" s="130"/>
      <c r="K237" s="130"/>
      <c r="L237" s="130"/>
      <c r="M237" s="130"/>
      <c r="N237" s="130"/>
      <c r="V237" s="223"/>
    </row>
    <row r="238" spans="1:28" ht="15.75" hidden="1" customHeight="1" thickBot="1" x14ac:dyDescent="0.3">
      <c r="A238" s="38" t="s">
        <v>70</v>
      </c>
      <c r="B238" s="185" t="e">
        <f>+#REF!</f>
        <v>#REF!</v>
      </c>
      <c r="C238" s="185" t="e">
        <f>+#REF!</f>
        <v>#REF!</v>
      </c>
      <c r="D238" s="151" t="e">
        <f>+B238+2*C238</f>
        <v>#REF!</v>
      </c>
      <c r="E238" s="38" t="s">
        <v>70</v>
      </c>
      <c r="F238" s="39" t="e">
        <f>+#REF!</f>
        <v>#REF!</v>
      </c>
      <c r="G238" s="39" t="e">
        <f>+#REF!</f>
        <v>#REF!</v>
      </c>
      <c r="H238" s="40" t="e">
        <f>+#REF!</f>
        <v>#REF!</v>
      </c>
      <c r="I238" s="130"/>
      <c r="J238" s="130"/>
      <c r="K238" s="130"/>
      <c r="L238" s="130"/>
      <c r="M238" s="130"/>
      <c r="N238" s="130"/>
      <c r="V238" s="223"/>
    </row>
    <row r="239" spans="1:28" ht="15" hidden="1" customHeight="1" x14ac:dyDescent="0.25">
      <c r="C239" s="130"/>
      <c r="D239" s="130"/>
      <c r="E239" s="130"/>
      <c r="F239" s="130"/>
      <c r="G239" s="130"/>
      <c r="H239" s="130" t="s">
        <v>65</v>
      </c>
      <c r="I239" s="239">
        <f>(H232)+(I232*2)</f>
        <v>7379</v>
      </c>
      <c r="J239" s="130"/>
      <c r="K239" s="130"/>
      <c r="L239" s="223"/>
      <c r="M239" s="223"/>
      <c r="N239" s="223"/>
      <c r="O239" s="223"/>
      <c r="P239" s="223"/>
      <c r="Q239" s="223"/>
      <c r="R239" s="223"/>
      <c r="S239" s="223"/>
      <c r="T239" s="223"/>
      <c r="U239" s="223"/>
      <c r="V239" s="223"/>
    </row>
    <row r="240" spans="1:28" ht="15" hidden="1" customHeight="1" x14ac:dyDescent="0.25"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</row>
    <row r="241" spans="3:3" x14ac:dyDescent="0.25">
      <c r="C241" s="130"/>
    </row>
  </sheetData>
  <dataConsolidate>
    <dataRefs count="1">
      <dataRef name="=suma($G$5:$G$9)" r:id="rId1"/>
    </dataRefs>
  </dataConsolidate>
  <mergeCells count="25">
    <mergeCell ref="B235:C235"/>
    <mergeCell ref="B223:G223"/>
    <mergeCell ref="V223:V224"/>
    <mergeCell ref="V3:V4"/>
    <mergeCell ref="O3:O4"/>
    <mergeCell ref="N3:N4"/>
    <mergeCell ref="F3:F4"/>
    <mergeCell ref="H223:M223"/>
    <mergeCell ref="H3:H4"/>
    <mergeCell ref="J3:J4"/>
    <mergeCell ref="K3:K4"/>
    <mergeCell ref="L3:L4"/>
    <mergeCell ref="M3:M4"/>
    <mergeCell ref="I3:I4"/>
    <mergeCell ref="P3:R3"/>
    <mergeCell ref="S223:U223"/>
    <mergeCell ref="S3:U3"/>
    <mergeCell ref="O223:R223"/>
    <mergeCell ref="G3:G4"/>
    <mergeCell ref="A6:A10"/>
    <mergeCell ref="B2:C2"/>
    <mergeCell ref="D2:E2"/>
    <mergeCell ref="B3:C3"/>
    <mergeCell ref="D3:E3"/>
    <mergeCell ref="A174:A178"/>
  </mergeCells>
  <conditionalFormatting sqref="D201:E206 D194:D199 D187:D192 D180:D185 D5:E10 D12:D17">
    <cfRule type="expression" dxfId="35" priority="289">
      <formula>AND($B5&lt;&gt;$D5)</formula>
    </cfRule>
  </conditionalFormatting>
  <conditionalFormatting sqref="D152:E157">
    <cfRule type="expression" dxfId="34" priority="176">
      <formula>AND($B152&lt;&gt;$D152)</formula>
    </cfRule>
  </conditionalFormatting>
  <conditionalFormatting sqref="E194:E199 E187:E192 E180:E185 E5:E10 E12:E17">
    <cfRule type="expression" dxfId="33" priority="163">
      <formula>AND($C5&lt;&gt;$E5)</formula>
    </cfRule>
  </conditionalFormatting>
  <conditionalFormatting sqref="D103:E108">
    <cfRule type="expression" dxfId="32" priority="155">
      <formula>AND($B103&lt;&gt;$D103)</formula>
    </cfRule>
  </conditionalFormatting>
  <conditionalFormatting sqref="D131:E136">
    <cfRule type="expression" dxfId="31" priority="144">
      <formula>AND($B131&lt;&gt;$D131)</formula>
    </cfRule>
  </conditionalFormatting>
  <conditionalFormatting sqref="D131:D136">
    <cfRule type="expression" dxfId="30" priority="143">
      <formula>AND($B131&lt;&gt;$D131)</formula>
    </cfRule>
  </conditionalFormatting>
  <conditionalFormatting sqref="E131:E136">
    <cfRule type="expression" dxfId="29" priority="142">
      <formula>AND($C131&lt;&gt;$E131)</formula>
    </cfRule>
  </conditionalFormatting>
  <conditionalFormatting sqref="D82:E87">
    <cfRule type="expression" dxfId="28" priority="99">
      <formula>AND($B82&lt;&gt;$D82)</formula>
    </cfRule>
  </conditionalFormatting>
  <conditionalFormatting sqref="D89:E94">
    <cfRule type="expression" dxfId="27" priority="86">
      <formula>AND($B89&lt;&gt;$D89)</formula>
    </cfRule>
  </conditionalFormatting>
  <conditionalFormatting sqref="D96:E101">
    <cfRule type="expression" dxfId="26" priority="80">
      <formula>AND($B96&lt;&gt;$D96)</formula>
    </cfRule>
  </conditionalFormatting>
  <conditionalFormatting sqref="D166:E171">
    <cfRule type="expression" dxfId="25" priority="71">
      <formula>AND($B166&lt;&gt;$D166)</formula>
    </cfRule>
  </conditionalFormatting>
  <conditionalFormatting sqref="D173:E178">
    <cfRule type="expression" dxfId="24" priority="69">
      <formula>AND($B173&lt;&gt;$D173)</formula>
    </cfRule>
  </conditionalFormatting>
  <conditionalFormatting sqref="D215:E220">
    <cfRule type="expression" dxfId="23" priority="63">
      <formula>AND($B215&lt;&gt;$D215)</formula>
    </cfRule>
  </conditionalFormatting>
  <conditionalFormatting sqref="D110:E115">
    <cfRule type="expression" dxfId="22" priority="51">
      <formula>AND($B110&lt;&gt;$D110)</formula>
    </cfRule>
  </conditionalFormatting>
  <conditionalFormatting sqref="D117:E122">
    <cfRule type="expression" dxfId="21" priority="50">
      <formula>AND($B117&lt;&gt;$D117)</formula>
    </cfRule>
  </conditionalFormatting>
  <conditionalFormatting sqref="D124:E129">
    <cfRule type="expression" dxfId="20" priority="49">
      <formula>AND($B124&lt;&gt;$D124)</formula>
    </cfRule>
  </conditionalFormatting>
  <conditionalFormatting sqref="D75:E80">
    <cfRule type="expression" dxfId="19" priority="48">
      <formula>AND($B75&lt;&gt;$D75)</formula>
    </cfRule>
  </conditionalFormatting>
  <conditionalFormatting sqref="D138:E143">
    <cfRule type="expression" dxfId="18" priority="42">
      <formula>AND($B138&lt;&gt;$D138)</formula>
    </cfRule>
  </conditionalFormatting>
  <conditionalFormatting sqref="D54:E59">
    <cfRule type="expression" dxfId="17" priority="43">
      <formula>AND($B54&lt;&gt;$D54)</formula>
    </cfRule>
  </conditionalFormatting>
  <conditionalFormatting sqref="D138:D143">
    <cfRule type="expression" dxfId="16" priority="41">
      <formula>AND($B138&lt;&gt;$D138)</formula>
    </cfRule>
  </conditionalFormatting>
  <conditionalFormatting sqref="E138:E143">
    <cfRule type="expression" dxfId="15" priority="40">
      <formula>AND($C138&lt;&gt;$E138)</formula>
    </cfRule>
  </conditionalFormatting>
  <conditionalFormatting sqref="D145:E150">
    <cfRule type="expression" dxfId="14" priority="39">
      <formula>AND($B145&lt;&gt;$D145)</formula>
    </cfRule>
  </conditionalFormatting>
  <conditionalFormatting sqref="D145:D150">
    <cfRule type="expression" dxfId="13" priority="38">
      <formula>AND($B145&lt;&gt;$D145)</formula>
    </cfRule>
  </conditionalFormatting>
  <conditionalFormatting sqref="E145:E150">
    <cfRule type="expression" dxfId="12" priority="37">
      <formula>AND($C145&lt;&gt;$E145)</formula>
    </cfRule>
  </conditionalFormatting>
  <conditionalFormatting sqref="E26:E31">
    <cfRule type="expression" dxfId="11" priority="13">
      <formula>AND($C26&lt;&gt;$E26)</formula>
    </cfRule>
  </conditionalFormatting>
  <conditionalFormatting sqref="D26:D31">
    <cfRule type="expression" dxfId="10" priority="14">
      <formula>AND($B26&lt;&gt;$D26)</formula>
    </cfRule>
  </conditionalFormatting>
  <conditionalFormatting sqref="D208:E213">
    <cfRule type="expression" dxfId="9" priority="10">
      <formula>AND($B208&lt;&gt;$D208)</formula>
    </cfRule>
  </conditionalFormatting>
  <conditionalFormatting sqref="D19:D24">
    <cfRule type="expression" dxfId="8" priority="9">
      <formula>AND($B19&lt;&gt;$D19)</formula>
    </cfRule>
  </conditionalFormatting>
  <conditionalFormatting sqref="E19:E24">
    <cfRule type="expression" dxfId="7" priority="8">
      <formula>AND($C19&lt;&gt;$E19)</formula>
    </cfRule>
  </conditionalFormatting>
  <conditionalFormatting sqref="D47:E52">
    <cfRule type="expression" dxfId="6" priority="7">
      <formula>AND($B47&lt;&gt;$D47)</formula>
    </cfRule>
  </conditionalFormatting>
  <conditionalFormatting sqref="D40:E45">
    <cfRule type="expression" dxfId="5" priority="6">
      <formula>AND($B40&lt;&gt;$D40)</formula>
    </cfRule>
  </conditionalFormatting>
  <conditionalFormatting sqref="D61:E66">
    <cfRule type="expression" dxfId="4" priority="5">
      <formula>AND($B61&lt;&gt;$D61)</formula>
    </cfRule>
  </conditionalFormatting>
  <conditionalFormatting sqref="D68:E73">
    <cfRule type="expression" dxfId="3" priority="4">
      <formula>AND($B68&lt;&gt;$D68)</formula>
    </cfRule>
  </conditionalFormatting>
  <conditionalFormatting sqref="E33:E38">
    <cfRule type="expression" dxfId="2" priority="2">
      <formula>AND($C33&lt;&gt;$E33)</formula>
    </cfRule>
  </conditionalFormatting>
  <conditionalFormatting sqref="D33:D38">
    <cfRule type="expression" dxfId="1" priority="3">
      <formula>AND($B33&lt;&gt;$D33)</formula>
    </cfRule>
  </conditionalFormatting>
  <conditionalFormatting sqref="D159:E164">
    <cfRule type="expression" dxfId="0" priority="1">
      <formula>AND($B159&lt;&gt;$D159)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59"/>
  <sheetViews>
    <sheetView topLeftCell="A16" zoomScale="145" zoomScaleNormal="145" workbookViewId="0">
      <selection activeCell="B38" sqref="B38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</cols>
  <sheetData>
    <row r="1" spans="1:32" ht="24.75" x14ac:dyDescent="0.45">
      <c r="A1" s="133" t="s">
        <v>172</v>
      </c>
      <c r="B1" s="80"/>
    </row>
    <row r="3" spans="1:32" x14ac:dyDescent="0.25">
      <c r="A3" s="81"/>
      <c r="B3" s="81"/>
      <c r="C3" s="97">
        <v>45383</v>
      </c>
      <c r="D3" s="97">
        <v>45384</v>
      </c>
      <c r="E3" s="97">
        <v>45385</v>
      </c>
      <c r="F3" s="97">
        <v>45386</v>
      </c>
      <c r="G3" s="97">
        <v>45387</v>
      </c>
      <c r="H3" s="97">
        <v>45388</v>
      </c>
      <c r="I3" s="97">
        <v>45389</v>
      </c>
      <c r="J3" s="97">
        <v>45390</v>
      </c>
      <c r="K3" s="97">
        <v>45391</v>
      </c>
      <c r="L3" s="97">
        <v>45392</v>
      </c>
      <c r="M3" s="97">
        <v>45393</v>
      </c>
      <c r="N3" s="97">
        <v>45394</v>
      </c>
      <c r="O3" s="97">
        <v>45395</v>
      </c>
      <c r="P3" s="97">
        <v>45396</v>
      </c>
      <c r="Q3" s="97">
        <v>45397</v>
      </c>
      <c r="R3" s="97">
        <v>45398</v>
      </c>
      <c r="S3" s="97">
        <v>45399</v>
      </c>
      <c r="T3" s="97">
        <v>45400</v>
      </c>
      <c r="U3" s="97">
        <v>45401</v>
      </c>
      <c r="V3" s="97">
        <v>45402</v>
      </c>
      <c r="W3" s="97">
        <v>45403</v>
      </c>
      <c r="X3" s="97">
        <v>45404</v>
      </c>
      <c r="Y3" s="97">
        <v>45405</v>
      </c>
      <c r="Z3" s="97">
        <v>45406</v>
      </c>
      <c r="AA3" s="97">
        <v>45407</v>
      </c>
      <c r="AB3" s="97">
        <v>45408</v>
      </c>
      <c r="AC3" s="97">
        <v>45409</v>
      </c>
      <c r="AD3" s="97">
        <v>45410</v>
      </c>
      <c r="AE3" s="97">
        <v>45411</v>
      </c>
      <c r="AF3" s="97">
        <v>45412</v>
      </c>
    </row>
    <row r="4" spans="1:32" x14ac:dyDescent="0.25">
      <c r="A4" s="82" t="s">
        <v>85</v>
      </c>
      <c r="B4" s="83" t="s">
        <v>86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</row>
    <row r="5" spans="1:32" s="88" customFormat="1" ht="14.25" x14ac:dyDescent="0.2">
      <c r="A5" s="84" t="s">
        <v>74</v>
      </c>
      <c r="B5" s="85">
        <v>43.13</v>
      </c>
      <c r="C5" s="99">
        <f>'Data Ocupacion'!D43</f>
        <v>92</v>
      </c>
      <c r="D5" s="99">
        <f>'Data Ocupacion'!F43</f>
        <v>92</v>
      </c>
      <c r="E5" s="99">
        <f>'Data Ocupacion'!H43</f>
        <v>91</v>
      </c>
      <c r="F5" s="99">
        <f>'Data Ocupacion'!J43</f>
        <v>92</v>
      </c>
      <c r="G5" s="99">
        <f>'Data Ocupacion'!L43</f>
        <v>91</v>
      </c>
      <c r="H5" s="99">
        <f>'Data Ocupacion'!N43</f>
        <v>70</v>
      </c>
      <c r="I5" s="99">
        <f>'Data Ocupacion'!P43</f>
        <v>54</v>
      </c>
      <c r="J5" s="99">
        <f>'Data Ocupacion'!R43</f>
        <v>92</v>
      </c>
      <c r="K5" s="99">
        <f>'Data Ocupacion'!T43</f>
        <v>92</v>
      </c>
      <c r="L5" s="99">
        <f>'Data Ocupacion'!V43</f>
        <v>92</v>
      </c>
      <c r="M5" s="99">
        <f>'Data Ocupacion'!X43</f>
        <v>92</v>
      </c>
      <c r="N5" s="99">
        <f>'Data Ocupacion'!Z43</f>
        <v>92</v>
      </c>
      <c r="O5" s="99">
        <f>'Data Ocupacion'!AB43</f>
        <v>70</v>
      </c>
      <c r="P5" s="99">
        <f>'Data Ocupacion'!AD43</f>
        <v>54</v>
      </c>
      <c r="Q5" s="99">
        <f>'Data Ocupacion'!AF43</f>
        <v>92</v>
      </c>
      <c r="R5" s="99">
        <f>'Data Ocupacion'!AH43</f>
        <v>92</v>
      </c>
      <c r="S5" s="99">
        <f>'Data Ocupacion'!AJ43</f>
        <v>92</v>
      </c>
      <c r="T5" s="99">
        <f>'Data Ocupacion'!AL43</f>
        <v>92</v>
      </c>
      <c r="U5" s="99">
        <f>'Data Ocupacion'!AN43</f>
        <v>92</v>
      </c>
      <c r="V5" s="99">
        <f>'Data Ocupacion'!AP43</f>
        <v>70</v>
      </c>
      <c r="W5" s="99">
        <f>'Data Ocupacion'!AR43</f>
        <v>54</v>
      </c>
      <c r="X5" s="99">
        <f>'Data Ocupacion'!AT43</f>
        <v>92</v>
      </c>
      <c r="Y5" s="99">
        <f>'Data Ocupacion'!AV43</f>
        <v>92</v>
      </c>
      <c r="Z5" s="99">
        <f>'Data Ocupacion'!AX43</f>
        <v>92</v>
      </c>
      <c r="AA5" s="99">
        <f>'Data Ocupacion'!AZ43</f>
        <v>85</v>
      </c>
      <c r="AB5" s="99">
        <f>'Data Ocupacion'!BB43</f>
        <v>86</v>
      </c>
      <c r="AC5" s="99">
        <f>'Data Ocupacion'!BD43</f>
        <v>70</v>
      </c>
      <c r="AD5" s="99">
        <f>'Data Ocupacion'!BF43</f>
        <v>54</v>
      </c>
      <c r="AE5" s="99">
        <f>'Data Ocupacion'!BH43</f>
        <v>92</v>
      </c>
      <c r="AF5" s="99">
        <f>'Data Ocupacion'!BJ43</f>
        <v>86</v>
      </c>
    </row>
    <row r="6" spans="1:32" s="88" customFormat="1" ht="14.25" x14ac:dyDescent="0.2">
      <c r="A6" s="84" t="s">
        <v>77</v>
      </c>
      <c r="B6" s="85">
        <v>43.13</v>
      </c>
      <c r="C6" s="99">
        <f>'Data Ocupacion'!D44</f>
        <v>90</v>
      </c>
      <c r="D6" s="99">
        <f>'Data Ocupacion'!F44</f>
        <v>90</v>
      </c>
      <c r="E6" s="99">
        <f>'Data Ocupacion'!H44</f>
        <v>90</v>
      </c>
      <c r="F6" s="99">
        <f>'Data Ocupacion'!J44</f>
        <v>90</v>
      </c>
      <c r="G6" s="99">
        <f>'Data Ocupacion'!L44</f>
        <v>90</v>
      </c>
      <c r="H6" s="99">
        <f>'Data Ocupacion'!N44</f>
        <v>73</v>
      </c>
      <c r="I6" s="99">
        <f>'Data Ocupacion'!P44</f>
        <v>57</v>
      </c>
      <c r="J6" s="99">
        <f>'Data Ocupacion'!R44</f>
        <v>90</v>
      </c>
      <c r="K6" s="99">
        <f>'Data Ocupacion'!T44</f>
        <v>90</v>
      </c>
      <c r="L6" s="99">
        <f>'Data Ocupacion'!V44</f>
        <v>90</v>
      </c>
      <c r="M6" s="99">
        <f>'Data Ocupacion'!X44</f>
        <v>90</v>
      </c>
      <c r="N6" s="99">
        <f>'Data Ocupacion'!Z44</f>
        <v>89</v>
      </c>
      <c r="O6" s="99">
        <f>'Data Ocupacion'!AB44</f>
        <v>73</v>
      </c>
      <c r="P6" s="99">
        <f>'Data Ocupacion'!AD44</f>
        <v>57</v>
      </c>
      <c r="Q6" s="99">
        <f>'Data Ocupacion'!AF44</f>
        <v>90</v>
      </c>
      <c r="R6" s="99">
        <f>'Data Ocupacion'!AH44</f>
        <v>90</v>
      </c>
      <c r="S6" s="99">
        <f>'Data Ocupacion'!AJ44</f>
        <v>90</v>
      </c>
      <c r="T6" s="99">
        <f>'Data Ocupacion'!AL44</f>
        <v>90</v>
      </c>
      <c r="U6" s="99">
        <f>'Data Ocupacion'!AN44</f>
        <v>90</v>
      </c>
      <c r="V6" s="99">
        <f>'Data Ocupacion'!AP44</f>
        <v>73</v>
      </c>
      <c r="W6" s="99">
        <f>'Data Ocupacion'!AR44</f>
        <v>57</v>
      </c>
      <c r="X6" s="99">
        <f>'Data Ocupacion'!AT44</f>
        <v>90</v>
      </c>
      <c r="Y6" s="99">
        <f>'Data Ocupacion'!AV44</f>
        <v>90</v>
      </c>
      <c r="Z6" s="99">
        <f>'Data Ocupacion'!AX44</f>
        <v>90</v>
      </c>
      <c r="AA6" s="99">
        <f>'Data Ocupacion'!AZ44</f>
        <v>85</v>
      </c>
      <c r="AB6" s="99">
        <f>'Data Ocupacion'!BB44</f>
        <v>84</v>
      </c>
      <c r="AC6" s="99">
        <f>'Data Ocupacion'!BD44</f>
        <v>73</v>
      </c>
      <c r="AD6" s="99">
        <f>'Data Ocupacion'!BF44</f>
        <v>57</v>
      </c>
      <c r="AE6" s="99">
        <f>'Data Ocupacion'!BH44</f>
        <v>90</v>
      </c>
      <c r="AF6" s="99">
        <f>'Data Ocupacion'!BJ44</f>
        <v>84</v>
      </c>
    </row>
    <row r="7" spans="1:32" s="88" customFormat="1" ht="14.25" x14ac:dyDescent="0.2">
      <c r="A7" s="84" t="s">
        <v>73</v>
      </c>
      <c r="B7" s="85">
        <v>29.11</v>
      </c>
      <c r="C7" s="99">
        <f>'Data Ocupacion'!D45</f>
        <v>0</v>
      </c>
      <c r="D7" s="99">
        <f>'Data Ocupacion'!F45</f>
        <v>0</v>
      </c>
      <c r="E7" s="99">
        <f>'Data Ocupacion'!H45</f>
        <v>0</v>
      </c>
      <c r="F7" s="99">
        <f>'Data Ocupacion'!J45</f>
        <v>0</v>
      </c>
      <c r="G7" s="99">
        <f>'Data Ocupacion'!L45</f>
        <v>0</v>
      </c>
      <c r="H7" s="99">
        <f>'Data Ocupacion'!N45</f>
        <v>0</v>
      </c>
      <c r="I7" s="99">
        <f>'Data Ocupacion'!P45</f>
        <v>0</v>
      </c>
      <c r="J7" s="99">
        <f>'Data Ocupacion'!R45</f>
        <v>0</v>
      </c>
      <c r="K7" s="99">
        <f>'Data Ocupacion'!T45</f>
        <v>0</v>
      </c>
      <c r="L7" s="99">
        <f>'Data Ocupacion'!V45</f>
        <v>0</v>
      </c>
      <c r="M7" s="99">
        <f>'Data Ocupacion'!X45</f>
        <v>0</v>
      </c>
      <c r="N7" s="99">
        <f>'Data Ocupacion'!Z45</f>
        <v>0</v>
      </c>
      <c r="O7" s="99">
        <f>'Data Ocupacion'!AB45</f>
        <v>0</v>
      </c>
      <c r="P7" s="99">
        <f>'Data Ocupacion'!AD45</f>
        <v>0</v>
      </c>
      <c r="Q7" s="99">
        <f>'Data Ocupacion'!AF45</f>
        <v>0</v>
      </c>
      <c r="R7" s="99">
        <f>'Data Ocupacion'!AH45</f>
        <v>0</v>
      </c>
      <c r="S7" s="99">
        <f>'Data Ocupacion'!AJ45</f>
        <v>0</v>
      </c>
      <c r="T7" s="99">
        <f>'Data Ocupacion'!AL45</f>
        <v>0</v>
      </c>
      <c r="U7" s="99">
        <f>'Data Ocupacion'!AN45</f>
        <v>0</v>
      </c>
      <c r="V7" s="99">
        <f>'Data Ocupacion'!AP45</f>
        <v>0</v>
      </c>
      <c r="W7" s="99">
        <f>'Data Ocupacion'!AR45</f>
        <v>0</v>
      </c>
      <c r="X7" s="99">
        <f>'Data Ocupacion'!AT45</f>
        <v>0</v>
      </c>
      <c r="Y7" s="99">
        <f>'Data Ocupacion'!AV45</f>
        <v>0</v>
      </c>
      <c r="Z7" s="99">
        <f>'Data Ocupacion'!AX45</f>
        <v>0</v>
      </c>
      <c r="AA7" s="99">
        <f>'Data Ocupacion'!AZ45</f>
        <v>0</v>
      </c>
      <c r="AB7" s="99">
        <f>'Data Ocupacion'!BB45</f>
        <v>0</v>
      </c>
      <c r="AC7" s="99">
        <f>'Data Ocupacion'!BD45</f>
        <v>0</v>
      </c>
      <c r="AD7" s="99">
        <f>'Data Ocupacion'!BF45</f>
        <v>0</v>
      </c>
      <c r="AE7" s="99">
        <f>'Data Ocupacion'!BH45</f>
        <v>0</v>
      </c>
      <c r="AF7" s="99">
        <f>'Data Ocupacion'!BJ45</f>
        <v>0</v>
      </c>
    </row>
    <row r="8" spans="1:32" s="88" customFormat="1" ht="14.25" x14ac:dyDescent="0.2">
      <c r="A8" s="84" t="s">
        <v>75</v>
      </c>
      <c r="B8" s="85">
        <v>29.11</v>
      </c>
      <c r="C8" s="99">
        <f>'Data Ocupacion'!D46</f>
        <v>1</v>
      </c>
      <c r="D8" s="99">
        <f>'Data Ocupacion'!F46</f>
        <v>1</v>
      </c>
      <c r="E8" s="99">
        <f>'Data Ocupacion'!H46</f>
        <v>1</v>
      </c>
      <c r="F8" s="99">
        <f>'Data Ocupacion'!J46</f>
        <v>1</v>
      </c>
      <c r="G8" s="99">
        <f>'Data Ocupacion'!L46</f>
        <v>1</v>
      </c>
      <c r="H8" s="99">
        <f>'Data Ocupacion'!N46</f>
        <v>0</v>
      </c>
      <c r="I8" s="99">
        <f>'Data Ocupacion'!P46</f>
        <v>0</v>
      </c>
      <c r="J8" s="99">
        <f>'Data Ocupacion'!R46</f>
        <v>1</v>
      </c>
      <c r="K8" s="99">
        <f>'Data Ocupacion'!T46</f>
        <v>1</v>
      </c>
      <c r="L8" s="99">
        <f>'Data Ocupacion'!V46</f>
        <v>1</v>
      </c>
      <c r="M8" s="99">
        <f>'Data Ocupacion'!X46</f>
        <v>1</v>
      </c>
      <c r="N8" s="99">
        <f>'Data Ocupacion'!Z46</f>
        <v>1</v>
      </c>
      <c r="O8" s="99">
        <f>'Data Ocupacion'!AB46</f>
        <v>0</v>
      </c>
      <c r="P8" s="99">
        <f>'Data Ocupacion'!AD46</f>
        <v>0</v>
      </c>
      <c r="Q8" s="99">
        <f>'Data Ocupacion'!AF46</f>
        <v>1</v>
      </c>
      <c r="R8" s="99">
        <f>'Data Ocupacion'!AH46</f>
        <v>1</v>
      </c>
      <c r="S8" s="99">
        <f>'Data Ocupacion'!AJ46</f>
        <v>1</v>
      </c>
      <c r="T8" s="99">
        <f>'Data Ocupacion'!AL46</f>
        <v>1</v>
      </c>
      <c r="U8" s="99">
        <f>'Data Ocupacion'!AN46</f>
        <v>1</v>
      </c>
      <c r="V8" s="99">
        <f>'Data Ocupacion'!AP46</f>
        <v>0</v>
      </c>
      <c r="W8" s="99">
        <f>'Data Ocupacion'!AR46</f>
        <v>0</v>
      </c>
      <c r="X8" s="99">
        <f>'Data Ocupacion'!AT46</f>
        <v>1</v>
      </c>
      <c r="Y8" s="99">
        <f>'Data Ocupacion'!AV46</f>
        <v>1</v>
      </c>
      <c r="Z8" s="99">
        <f>'Data Ocupacion'!AX46</f>
        <v>1</v>
      </c>
      <c r="AA8" s="99">
        <f>'Data Ocupacion'!AZ46</f>
        <v>1</v>
      </c>
      <c r="AB8" s="99">
        <f>'Data Ocupacion'!BB46</f>
        <v>1</v>
      </c>
      <c r="AC8" s="99">
        <f>'Data Ocupacion'!BD46</f>
        <v>0</v>
      </c>
      <c r="AD8" s="99">
        <f>'Data Ocupacion'!BF46</f>
        <v>0</v>
      </c>
      <c r="AE8" s="99">
        <f>'Data Ocupacion'!BH46</f>
        <v>1</v>
      </c>
      <c r="AF8" s="99">
        <f>'Data Ocupacion'!BJ46</f>
        <v>1</v>
      </c>
    </row>
    <row r="9" spans="1:32" s="88" customFormat="1" ht="14.25" x14ac:dyDescent="0.2">
      <c r="A9" s="84" t="s">
        <v>123</v>
      </c>
      <c r="B9" s="85">
        <v>25.4</v>
      </c>
      <c r="C9" s="99">
        <f>'Data Ocupacion'!D47</f>
        <v>0</v>
      </c>
      <c r="D9" s="99">
        <f>'Data Ocupacion'!F47</f>
        <v>0</v>
      </c>
      <c r="E9" s="99">
        <f>'Data Ocupacion'!H47</f>
        <v>0</v>
      </c>
      <c r="F9" s="99">
        <f>'Data Ocupacion'!J47</f>
        <v>0</v>
      </c>
      <c r="G9" s="99">
        <f>'Data Ocupacion'!L47</f>
        <v>0</v>
      </c>
      <c r="H9" s="99">
        <f>'Data Ocupacion'!N47</f>
        <v>0</v>
      </c>
      <c r="I9" s="99">
        <f>'Data Ocupacion'!P47</f>
        <v>0</v>
      </c>
      <c r="J9" s="99">
        <f>'Data Ocupacion'!R47</f>
        <v>0</v>
      </c>
      <c r="K9" s="99">
        <f>'Data Ocupacion'!T47</f>
        <v>0</v>
      </c>
      <c r="L9" s="99">
        <f>'Data Ocupacion'!V47</f>
        <v>0</v>
      </c>
      <c r="M9" s="99">
        <f>'Data Ocupacion'!X47</f>
        <v>0</v>
      </c>
      <c r="N9" s="99">
        <f>'Data Ocupacion'!Z47</f>
        <v>0</v>
      </c>
      <c r="O9" s="99">
        <f>'Data Ocupacion'!AB47</f>
        <v>0</v>
      </c>
      <c r="P9" s="99">
        <f>'Data Ocupacion'!AD47</f>
        <v>0</v>
      </c>
      <c r="Q9" s="99">
        <f>'Data Ocupacion'!AF47</f>
        <v>0</v>
      </c>
      <c r="R9" s="99">
        <f>'Data Ocupacion'!AH47</f>
        <v>0</v>
      </c>
      <c r="S9" s="99">
        <f>'Data Ocupacion'!AJ47</f>
        <v>0</v>
      </c>
      <c r="T9" s="99">
        <f>'Data Ocupacion'!AL47</f>
        <v>0</v>
      </c>
      <c r="U9" s="99">
        <f>'Data Ocupacion'!AN47</f>
        <v>0</v>
      </c>
      <c r="V9" s="99">
        <f>'Data Ocupacion'!AP47</f>
        <v>0</v>
      </c>
      <c r="W9" s="99">
        <f>'Data Ocupacion'!AR47</f>
        <v>0</v>
      </c>
      <c r="X9" s="99">
        <f>'Data Ocupacion'!AT47</f>
        <v>0</v>
      </c>
      <c r="Y9" s="99">
        <f>'Data Ocupacion'!AV47</f>
        <v>0</v>
      </c>
      <c r="Z9" s="99">
        <f>'Data Ocupacion'!AX47</f>
        <v>0</v>
      </c>
      <c r="AA9" s="99">
        <f>'Data Ocupacion'!AZ47</f>
        <v>0</v>
      </c>
      <c r="AB9" s="99">
        <f>'Data Ocupacion'!BB47</f>
        <v>0</v>
      </c>
      <c r="AC9" s="99">
        <f>'Data Ocupacion'!BD47</f>
        <v>0</v>
      </c>
      <c r="AD9" s="99">
        <f>'Data Ocupacion'!BF47</f>
        <v>0</v>
      </c>
      <c r="AE9" s="99">
        <f>'Data Ocupacion'!BH47</f>
        <v>0</v>
      </c>
      <c r="AF9" s="99">
        <f>'Data Ocupacion'!BJ47</f>
        <v>0</v>
      </c>
    </row>
    <row r="10" spans="1:32" s="88" customFormat="1" ht="14.25" x14ac:dyDescent="0.2">
      <c r="A10" s="226" t="s">
        <v>76</v>
      </c>
      <c r="B10" s="85">
        <v>25.4</v>
      </c>
      <c r="C10" s="99">
        <f>'Data Ocupacion'!D48</f>
        <v>1</v>
      </c>
      <c r="D10" s="99">
        <f>'Data Ocupacion'!F48</f>
        <v>1</v>
      </c>
      <c r="E10" s="99">
        <f>'Data Ocupacion'!H48</f>
        <v>1</v>
      </c>
      <c r="F10" s="99">
        <f>'Data Ocupacion'!J48</f>
        <v>1</v>
      </c>
      <c r="G10" s="99">
        <f>'Data Ocupacion'!L48</f>
        <v>1</v>
      </c>
      <c r="H10" s="99">
        <f>'Data Ocupacion'!N48</f>
        <v>0</v>
      </c>
      <c r="I10" s="99">
        <f>'Data Ocupacion'!P48</f>
        <v>0</v>
      </c>
      <c r="J10" s="99">
        <f>'Data Ocupacion'!R48</f>
        <v>1</v>
      </c>
      <c r="K10" s="99">
        <f>'Data Ocupacion'!T48</f>
        <v>1</v>
      </c>
      <c r="L10" s="99">
        <f>'Data Ocupacion'!V48</f>
        <v>1</v>
      </c>
      <c r="M10" s="99">
        <f>'Data Ocupacion'!X48</f>
        <v>1</v>
      </c>
      <c r="N10" s="99">
        <f>'Data Ocupacion'!Z48</f>
        <v>1</v>
      </c>
      <c r="O10" s="99">
        <f>'Data Ocupacion'!AB48</f>
        <v>0</v>
      </c>
      <c r="P10" s="99">
        <f>'Data Ocupacion'!AD48</f>
        <v>0</v>
      </c>
      <c r="Q10" s="99">
        <f>'Data Ocupacion'!AF48</f>
        <v>1</v>
      </c>
      <c r="R10" s="99">
        <f>'Data Ocupacion'!AH48</f>
        <v>1</v>
      </c>
      <c r="S10" s="99">
        <f>'Data Ocupacion'!AJ48</f>
        <v>1</v>
      </c>
      <c r="T10" s="99">
        <f>'Data Ocupacion'!AL48</f>
        <v>1</v>
      </c>
      <c r="U10" s="99">
        <f>'Data Ocupacion'!AN48</f>
        <v>1</v>
      </c>
      <c r="V10" s="99">
        <f>'Data Ocupacion'!AP48</f>
        <v>0</v>
      </c>
      <c r="W10" s="99">
        <f>'Data Ocupacion'!AR48</f>
        <v>0</v>
      </c>
      <c r="X10" s="99">
        <f>'Data Ocupacion'!AT48</f>
        <v>1</v>
      </c>
      <c r="Y10" s="99">
        <f>'Data Ocupacion'!AV48</f>
        <v>1</v>
      </c>
      <c r="Z10" s="99">
        <f>'Data Ocupacion'!AX48</f>
        <v>1</v>
      </c>
      <c r="AA10" s="99">
        <f>'Data Ocupacion'!AZ48</f>
        <v>1</v>
      </c>
      <c r="AB10" s="99">
        <f>'Data Ocupacion'!BB48</f>
        <v>1</v>
      </c>
      <c r="AC10" s="99">
        <f>'Data Ocupacion'!BD48</f>
        <v>0</v>
      </c>
      <c r="AD10" s="99">
        <f>'Data Ocupacion'!BF48</f>
        <v>0</v>
      </c>
      <c r="AE10" s="99">
        <f>'Data Ocupacion'!BH48</f>
        <v>1</v>
      </c>
      <c r="AF10" s="99">
        <f>'Data Ocupacion'!BJ48</f>
        <v>1</v>
      </c>
    </row>
    <row r="11" spans="1:32" s="88" customFormat="1" ht="14.25" customHeight="1" x14ac:dyDescent="0.2">
      <c r="A11" s="226" t="s">
        <v>169</v>
      </c>
      <c r="B11" s="259">
        <v>34.83</v>
      </c>
      <c r="C11" s="99">
        <f>'Data Ocupacion'!D49</f>
        <v>0</v>
      </c>
      <c r="D11" s="99">
        <f>'Data Ocupacion'!F49</f>
        <v>0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T11" s="99"/>
      <c r="V11" s="99"/>
      <c r="X11" s="99"/>
      <c r="Z11" s="99"/>
      <c r="AB11" s="99">
        <f>'Data Ocupacion'!BB49</f>
        <v>0</v>
      </c>
      <c r="AC11" s="99">
        <f>'Data Ocupacion'!BD49</f>
        <v>0</v>
      </c>
      <c r="AD11" s="99">
        <f>'Data Ocupacion'!BF49</f>
        <v>0</v>
      </c>
      <c r="AE11" s="99">
        <f>'Data Ocupacion'!BH49</f>
        <v>0</v>
      </c>
      <c r="AF11" s="99">
        <f>'Data Ocupacion'!BJ49</f>
        <v>0</v>
      </c>
    </row>
    <row r="12" spans="1:32" s="88" customFormat="1" ht="14.25" customHeight="1" x14ac:dyDescent="0.2">
      <c r="A12" s="226" t="s">
        <v>168</v>
      </c>
      <c r="B12" s="259">
        <v>8.3000000000000007</v>
      </c>
      <c r="C12" s="99">
        <f>'Data Ocupacion'!D50</f>
        <v>0</v>
      </c>
      <c r="D12" s="99">
        <f>'Data Ocupacion'!F50</f>
        <v>0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T12" s="99"/>
      <c r="V12" s="99"/>
      <c r="X12" s="99"/>
      <c r="Z12" s="99"/>
      <c r="AB12" s="99">
        <f>'Data Ocupacion'!BB50</f>
        <v>0</v>
      </c>
      <c r="AC12" s="99">
        <f>'Data Ocupacion'!BD50</f>
        <v>0</v>
      </c>
      <c r="AD12" s="99">
        <f>'Data Ocupacion'!BF50</f>
        <v>0</v>
      </c>
      <c r="AE12" s="99">
        <f>'Data Ocupacion'!BH50</f>
        <v>0</v>
      </c>
      <c r="AF12" s="99">
        <f>'Data Ocupacion'!BJ50</f>
        <v>0</v>
      </c>
    </row>
    <row r="13" spans="1:32" s="88" customFormat="1" ht="14.25" x14ac:dyDescent="0.2">
      <c r="A13" s="84"/>
      <c r="B13" s="85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T13" s="99"/>
      <c r="V13" s="99"/>
      <c r="X13" s="99"/>
      <c r="Z13" s="99"/>
      <c r="AB13" s="99"/>
      <c r="AD13" s="99"/>
      <c r="AE13" s="99"/>
      <c r="AF13" s="99"/>
    </row>
    <row r="14" spans="1:32" s="88" customFormat="1" ht="14.25" x14ac:dyDescent="0.2">
      <c r="A14" s="84" t="s">
        <v>87</v>
      </c>
      <c r="B14" s="85">
        <v>43.13</v>
      </c>
      <c r="C14" s="99">
        <f>'Data Ocupacion'!D53</f>
        <v>149</v>
      </c>
      <c r="D14" s="99">
        <f>'Data Ocupacion'!F53</f>
        <v>151</v>
      </c>
      <c r="E14" s="99">
        <f>'Data Ocupacion'!H53</f>
        <v>143</v>
      </c>
      <c r="F14" s="99">
        <f>'Data Ocupacion'!J53</f>
        <v>148</v>
      </c>
      <c r="G14" s="99">
        <f>'Data Ocupacion'!L53</f>
        <v>146</v>
      </c>
      <c r="H14" s="99">
        <f>'Data Ocupacion'!N53</f>
        <v>73</v>
      </c>
      <c r="I14" s="99">
        <f>'Data Ocupacion'!P53</f>
        <v>57</v>
      </c>
      <c r="J14" s="99">
        <f>'Data Ocupacion'!R53</f>
        <v>143</v>
      </c>
      <c r="K14" s="99">
        <f>'Data Ocupacion'!T53</f>
        <v>142</v>
      </c>
      <c r="L14" s="99">
        <f>'Data Ocupacion'!V53</f>
        <v>140</v>
      </c>
      <c r="M14" s="99">
        <f>'Data Ocupacion'!X53</f>
        <v>143</v>
      </c>
      <c r="N14" s="99">
        <f>'Data Ocupacion'!Z53</f>
        <v>142</v>
      </c>
      <c r="O14" s="99">
        <f>'Data Ocupacion'!AB53</f>
        <v>73</v>
      </c>
      <c r="P14" s="99">
        <f>'Data Ocupacion'!AD53</f>
        <v>57</v>
      </c>
      <c r="Q14" s="99">
        <f>'Data Ocupacion'!AF53</f>
        <v>144</v>
      </c>
      <c r="R14" s="99">
        <f>'Data Ocupacion'!AH53</f>
        <v>149</v>
      </c>
      <c r="S14" s="99">
        <f>'Data Ocupacion'!AJ53</f>
        <v>149</v>
      </c>
      <c r="T14" s="99">
        <f>'Data Ocupacion'!AL53</f>
        <v>153</v>
      </c>
      <c r="U14" s="99">
        <f>'Data Ocupacion'!AN53</f>
        <v>143</v>
      </c>
      <c r="V14" s="99">
        <f>'Data Ocupacion'!AP53</f>
        <v>73</v>
      </c>
      <c r="W14" s="99">
        <f>'Data Ocupacion'!AR53</f>
        <v>57</v>
      </c>
      <c r="X14" s="99">
        <f>'Data Ocupacion'!AT53</f>
        <v>145</v>
      </c>
      <c r="Y14" s="99">
        <f>'Data Ocupacion'!AV53</f>
        <v>145</v>
      </c>
      <c r="Z14" s="99">
        <f>'Data Ocupacion'!AX53</f>
        <v>145</v>
      </c>
      <c r="AA14" s="99">
        <f>'Data Ocupacion'!AZ53</f>
        <v>143</v>
      </c>
      <c r="AB14" s="99">
        <f>'Data Ocupacion'!BB53</f>
        <v>136</v>
      </c>
      <c r="AC14" s="99">
        <f>'Data Ocupacion'!BD53</f>
        <v>73</v>
      </c>
      <c r="AD14" s="99">
        <f>'Data Ocupacion'!BF53</f>
        <v>57</v>
      </c>
      <c r="AE14" s="99">
        <f>'Data Ocupacion'!BH53</f>
        <v>150</v>
      </c>
      <c r="AF14" s="99">
        <f>'Data Ocupacion'!BJ53</f>
        <v>145</v>
      </c>
    </row>
    <row r="15" spans="1:32" s="88" customFormat="1" ht="14.25" x14ac:dyDescent="0.2">
      <c r="A15" s="84" t="s">
        <v>88</v>
      </c>
      <c r="B15" s="85">
        <v>43.13</v>
      </c>
      <c r="C15" s="99">
        <f>'Data Ocupacion'!D54</f>
        <v>143</v>
      </c>
      <c r="D15" s="99">
        <f>'Data Ocupacion'!F54</f>
        <v>143</v>
      </c>
      <c r="E15" s="99">
        <f>'Data Ocupacion'!H54</f>
        <v>142</v>
      </c>
      <c r="F15" s="99">
        <f>'Data Ocupacion'!J54</f>
        <v>143</v>
      </c>
      <c r="G15" s="99">
        <f>'Data Ocupacion'!L54</f>
        <v>143</v>
      </c>
      <c r="H15" s="99">
        <f>'Data Ocupacion'!N54</f>
        <v>73</v>
      </c>
      <c r="I15" s="99">
        <f>'Data Ocupacion'!P54</f>
        <v>57</v>
      </c>
      <c r="J15" s="99">
        <f>'Data Ocupacion'!R54</f>
        <v>140</v>
      </c>
      <c r="K15" s="99">
        <f>'Data Ocupacion'!T54</f>
        <v>140</v>
      </c>
      <c r="L15" s="99">
        <f>'Data Ocupacion'!V54</f>
        <v>138</v>
      </c>
      <c r="M15" s="99">
        <f>'Data Ocupacion'!X54</f>
        <v>141</v>
      </c>
      <c r="N15" s="99">
        <f>'Data Ocupacion'!Z54</f>
        <v>140</v>
      </c>
      <c r="O15" s="99">
        <f>'Data Ocupacion'!AB54</f>
        <v>73</v>
      </c>
      <c r="P15" s="99">
        <f>'Data Ocupacion'!AD54</f>
        <v>57</v>
      </c>
      <c r="Q15" s="99">
        <f>'Data Ocupacion'!AF54</f>
        <v>142</v>
      </c>
      <c r="R15" s="99">
        <f>'Data Ocupacion'!AH54</f>
        <v>141</v>
      </c>
      <c r="S15" s="99">
        <f>'Data Ocupacion'!AJ54</f>
        <v>143</v>
      </c>
      <c r="T15" s="99">
        <f>'Data Ocupacion'!AL54</f>
        <v>144</v>
      </c>
      <c r="U15" s="99">
        <f>'Data Ocupacion'!AN54</f>
        <v>141</v>
      </c>
      <c r="V15" s="99">
        <f>'Data Ocupacion'!AP54</f>
        <v>73</v>
      </c>
      <c r="W15" s="99">
        <f>'Data Ocupacion'!AR54</f>
        <v>57</v>
      </c>
      <c r="X15" s="99">
        <f>'Data Ocupacion'!AT54</f>
        <v>143</v>
      </c>
      <c r="Y15" s="99">
        <f>'Data Ocupacion'!AV54</f>
        <v>143</v>
      </c>
      <c r="Z15" s="99">
        <f>'Data Ocupacion'!AX54</f>
        <v>143</v>
      </c>
      <c r="AA15" s="99">
        <f>'Data Ocupacion'!AZ54</f>
        <v>135</v>
      </c>
      <c r="AB15" s="99">
        <f>'Data Ocupacion'!BB54</f>
        <v>134</v>
      </c>
      <c r="AC15" s="99">
        <f>'Data Ocupacion'!BD54</f>
        <v>73</v>
      </c>
      <c r="AD15" s="99">
        <f>'Data Ocupacion'!BF54</f>
        <v>57</v>
      </c>
      <c r="AE15" s="99">
        <f>'Data Ocupacion'!BH54</f>
        <v>143</v>
      </c>
      <c r="AF15" s="99">
        <f>'Data Ocupacion'!BJ54</f>
        <v>135</v>
      </c>
    </row>
    <row r="16" spans="1:32" s="88" customFormat="1" ht="14.25" x14ac:dyDescent="0.2">
      <c r="A16" s="84" t="s">
        <v>89</v>
      </c>
      <c r="B16" s="85">
        <v>29.11</v>
      </c>
      <c r="C16" s="99">
        <f>'Data Ocupacion'!D55</f>
        <v>0</v>
      </c>
      <c r="D16" s="99">
        <f>'Data Ocupacion'!F55</f>
        <v>0</v>
      </c>
      <c r="E16" s="99">
        <f>'Data Ocupacion'!H55</f>
        <v>0</v>
      </c>
      <c r="F16" s="99">
        <f>'Data Ocupacion'!J55</f>
        <v>0</v>
      </c>
      <c r="G16" s="99">
        <f>'Data Ocupacion'!L55</f>
        <v>0</v>
      </c>
      <c r="H16" s="99">
        <f>'Data Ocupacion'!N55</f>
        <v>0</v>
      </c>
      <c r="I16" s="99">
        <f>'Data Ocupacion'!P55</f>
        <v>0</v>
      </c>
      <c r="J16" s="99">
        <f>'Data Ocupacion'!R55</f>
        <v>0</v>
      </c>
      <c r="K16" s="99">
        <f>'Data Ocupacion'!T55</f>
        <v>0</v>
      </c>
      <c r="L16" s="99">
        <f>'Data Ocupacion'!V55</f>
        <v>0</v>
      </c>
      <c r="M16" s="99">
        <f>'Data Ocupacion'!X55</f>
        <v>0</v>
      </c>
      <c r="N16" s="99">
        <f>'Data Ocupacion'!Z55</f>
        <v>0</v>
      </c>
      <c r="O16" s="99">
        <f>'Data Ocupacion'!AB55</f>
        <v>0</v>
      </c>
      <c r="P16" s="99">
        <f>'Data Ocupacion'!AD55</f>
        <v>0</v>
      </c>
      <c r="Q16" s="99">
        <f>'Data Ocupacion'!AF55</f>
        <v>0</v>
      </c>
      <c r="R16" s="99">
        <f>'Data Ocupacion'!AH55</f>
        <v>0</v>
      </c>
      <c r="S16" s="99">
        <f>'Data Ocupacion'!AJ55</f>
        <v>0</v>
      </c>
      <c r="T16" s="99">
        <f>'Data Ocupacion'!AL55</f>
        <v>0</v>
      </c>
      <c r="U16" s="99">
        <f>'Data Ocupacion'!AN55</f>
        <v>0</v>
      </c>
      <c r="V16" s="99">
        <f>'Data Ocupacion'!AP55</f>
        <v>0</v>
      </c>
      <c r="W16" s="99">
        <f>'Data Ocupacion'!AR55</f>
        <v>0</v>
      </c>
      <c r="X16" s="99">
        <f>'Data Ocupacion'!AT55</f>
        <v>0</v>
      </c>
      <c r="Y16" s="99">
        <f>'Data Ocupacion'!AV55</f>
        <v>0</v>
      </c>
      <c r="Z16" s="99">
        <f>'Data Ocupacion'!AX55</f>
        <v>0</v>
      </c>
      <c r="AA16" s="99">
        <f>'Data Ocupacion'!AZ55</f>
        <v>0</v>
      </c>
      <c r="AB16" s="99">
        <f>'Data Ocupacion'!BB55</f>
        <v>0</v>
      </c>
      <c r="AC16" s="99">
        <f>'Data Ocupacion'!BD55</f>
        <v>0</v>
      </c>
      <c r="AD16" s="99">
        <f>'Data Ocupacion'!BF55</f>
        <v>0</v>
      </c>
      <c r="AE16" s="99">
        <f>'Data Ocupacion'!BH55</f>
        <v>0</v>
      </c>
      <c r="AF16" s="99">
        <f>'Data Ocupacion'!BJ55</f>
        <v>0</v>
      </c>
    </row>
    <row r="17" spans="1:34" s="88" customFormat="1" ht="14.25" x14ac:dyDescent="0.2">
      <c r="A17" s="84" t="s">
        <v>90</v>
      </c>
      <c r="B17" s="85">
        <v>29.11</v>
      </c>
      <c r="C17" s="99">
        <f>'Data Ocupacion'!D56</f>
        <v>1</v>
      </c>
      <c r="D17" s="99">
        <f>'Data Ocupacion'!F56</f>
        <v>1</v>
      </c>
      <c r="E17" s="99">
        <f>'Data Ocupacion'!H56</f>
        <v>1</v>
      </c>
      <c r="F17" s="99">
        <f>'Data Ocupacion'!J56</f>
        <v>1</v>
      </c>
      <c r="G17" s="99">
        <f>'Data Ocupacion'!L56</f>
        <v>1</v>
      </c>
      <c r="H17" s="99">
        <f>'Data Ocupacion'!N56</f>
        <v>0</v>
      </c>
      <c r="I17" s="99">
        <f>'Data Ocupacion'!P56</f>
        <v>0</v>
      </c>
      <c r="J17" s="99">
        <f>'Data Ocupacion'!R56</f>
        <v>1</v>
      </c>
      <c r="K17" s="99">
        <f>'Data Ocupacion'!T56</f>
        <v>1</v>
      </c>
      <c r="L17" s="99">
        <f>'Data Ocupacion'!V56</f>
        <v>1</v>
      </c>
      <c r="M17" s="99">
        <f>'Data Ocupacion'!X56</f>
        <v>1</v>
      </c>
      <c r="N17" s="99">
        <f>'Data Ocupacion'!Z56</f>
        <v>1</v>
      </c>
      <c r="O17" s="99">
        <f>'Data Ocupacion'!AB56</f>
        <v>0</v>
      </c>
      <c r="P17" s="99">
        <f>'Data Ocupacion'!AD56</f>
        <v>0</v>
      </c>
      <c r="Q17" s="99">
        <f>'Data Ocupacion'!AF56</f>
        <v>1</v>
      </c>
      <c r="R17" s="99">
        <f>'Data Ocupacion'!AH56</f>
        <v>1</v>
      </c>
      <c r="S17" s="99">
        <f>'Data Ocupacion'!AJ56</f>
        <v>1</v>
      </c>
      <c r="T17" s="99">
        <f>'Data Ocupacion'!AL56</f>
        <v>1</v>
      </c>
      <c r="U17" s="99">
        <f>'Data Ocupacion'!AN56</f>
        <v>1</v>
      </c>
      <c r="V17" s="99">
        <f>'Data Ocupacion'!AP56</f>
        <v>0</v>
      </c>
      <c r="W17" s="99">
        <f>'Data Ocupacion'!AR56</f>
        <v>0</v>
      </c>
      <c r="X17" s="99">
        <f>'Data Ocupacion'!AT56</f>
        <v>1</v>
      </c>
      <c r="Y17" s="99">
        <f>'Data Ocupacion'!AV56</f>
        <v>1</v>
      </c>
      <c r="Z17" s="99">
        <f>'Data Ocupacion'!AX56</f>
        <v>1</v>
      </c>
      <c r="AA17" s="99">
        <f>'Data Ocupacion'!AZ56</f>
        <v>1</v>
      </c>
      <c r="AB17" s="99">
        <f>'Data Ocupacion'!BB56</f>
        <v>1</v>
      </c>
      <c r="AC17" s="99">
        <f>'Data Ocupacion'!BD56</f>
        <v>0</v>
      </c>
      <c r="AD17" s="99">
        <f>'Data Ocupacion'!BF56</f>
        <v>0</v>
      </c>
      <c r="AE17" s="99">
        <f>'Data Ocupacion'!BH56</f>
        <v>1</v>
      </c>
      <c r="AF17" s="99">
        <f>'Data Ocupacion'!BJ56</f>
        <v>2</v>
      </c>
    </row>
    <row r="18" spans="1:34" s="88" customFormat="1" ht="14.25" x14ac:dyDescent="0.2">
      <c r="A18" s="84" t="s">
        <v>91</v>
      </c>
      <c r="B18" s="85">
        <v>25.4</v>
      </c>
      <c r="C18" s="99">
        <f>'Data Ocupacion'!D58</f>
        <v>1</v>
      </c>
      <c r="D18" s="99">
        <f>'Data Ocupacion'!F58</f>
        <v>1</v>
      </c>
      <c r="E18" s="99">
        <f>'Data Ocupacion'!H58</f>
        <v>1</v>
      </c>
      <c r="F18" s="99">
        <f>'Data Ocupacion'!J58</f>
        <v>1</v>
      </c>
      <c r="G18" s="99">
        <f>'Data Ocupacion'!L58</f>
        <v>1</v>
      </c>
      <c r="H18" s="99">
        <f>'Data Ocupacion'!N58</f>
        <v>0</v>
      </c>
      <c r="I18" s="99">
        <f>'Data Ocupacion'!P58</f>
        <v>0</v>
      </c>
      <c r="J18" s="99">
        <f>'Data Ocupacion'!R58</f>
        <v>1</v>
      </c>
      <c r="K18" s="99">
        <f>'Data Ocupacion'!T58</f>
        <v>1</v>
      </c>
      <c r="L18" s="99">
        <f>'Data Ocupacion'!V58</f>
        <v>1</v>
      </c>
      <c r="M18" s="99">
        <f>'Data Ocupacion'!X58</f>
        <v>1</v>
      </c>
      <c r="N18" s="99">
        <f>'Data Ocupacion'!Z58</f>
        <v>1</v>
      </c>
      <c r="O18" s="99">
        <f>'Data Ocupacion'!AB58</f>
        <v>0</v>
      </c>
      <c r="P18" s="99">
        <f>'Data Ocupacion'!AD58</f>
        <v>0</v>
      </c>
      <c r="Q18" s="99">
        <f>'Data Ocupacion'!AF58</f>
        <v>1</v>
      </c>
      <c r="R18" s="99">
        <f>'Data Ocupacion'!AH58</f>
        <v>1</v>
      </c>
      <c r="S18" s="99">
        <f>'Data Ocupacion'!AJ58</f>
        <v>1</v>
      </c>
      <c r="T18" s="99">
        <f>'Data Ocupacion'!AL58</f>
        <v>1</v>
      </c>
      <c r="U18" s="99">
        <f>'Data Ocupacion'!AN58</f>
        <v>1</v>
      </c>
      <c r="V18" s="99">
        <f>'Data Ocupacion'!AP58</f>
        <v>0</v>
      </c>
      <c r="W18" s="99">
        <f>'Data Ocupacion'!AR58</f>
        <v>0</v>
      </c>
      <c r="X18" s="99">
        <f>'Data Ocupacion'!AT58</f>
        <v>1</v>
      </c>
      <c r="Y18" s="99">
        <f>'Data Ocupacion'!AV58</f>
        <v>1</v>
      </c>
      <c r="Z18" s="99">
        <f>'Data Ocupacion'!AX58</f>
        <v>1</v>
      </c>
      <c r="AA18" s="99">
        <f>'Data Ocupacion'!AZ58</f>
        <v>1</v>
      </c>
      <c r="AB18" s="99">
        <f>'Data Ocupacion'!BB58</f>
        <v>1</v>
      </c>
      <c r="AC18" s="99">
        <f>'Data Ocupacion'!BD58</f>
        <v>0</v>
      </c>
      <c r="AD18" s="99">
        <f>'Data Ocupacion'!BF58</f>
        <v>0</v>
      </c>
      <c r="AE18" s="99">
        <f>'Data Ocupacion'!BH58</f>
        <v>1</v>
      </c>
      <c r="AF18" s="99">
        <f>'Data Ocupacion'!BJ58</f>
        <v>1</v>
      </c>
    </row>
    <row r="19" spans="1:34" s="88" customFormat="1" ht="14.25" x14ac:dyDescent="0.2">
      <c r="A19" s="226" t="s">
        <v>124</v>
      </c>
      <c r="B19" s="85">
        <v>25.4</v>
      </c>
      <c r="C19" s="99">
        <v>0</v>
      </c>
      <c r="D19" s="86">
        <v>0</v>
      </c>
      <c r="E19" s="86">
        <v>0</v>
      </c>
      <c r="F19" s="86">
        <v>0</v>
      </c>
      <c r="G19" s="86">
        <v>0</v>
      </c>
      <c r="H19" s="99">
        <f>'Data Ocupacion'!N57</f>
        <v>0</v>
      </c>
      <c r="I19" s="99">
        <f>'Data Ocupacion'!P57</f>
        <v>0</v>
      </c>
      <c r="J19" s="99">
        <f>'Data Ocupacion'!R57</f>
        <v>0</v>
      </c>
      <c r="K19" s="99">
        <f>'Data Ocupacion'!T57</f>
        <v>0</v>
      </c>
      <c r="L19" s="86">
        <v>0</v>
      </c>
      <c r="M19" s="86">
        <v>0</v>
      </c>
      <c r="N19" s="86">
        <v>0</v>
      </c>
      <c r="O19" s="86">
        <v>0</v>
      </c>
      <c r="P19" s="86">
        <v>0</v>
      </c>
      <c r="Q19" s="86">
        <v>0</v>
      </c>
      <c r="R19" s="86">
        <v>0</v>
      </c>
      <c r="S19" s="86">
        <v>0</v>
      </c>
      <c r="T19" s="86">
        <v>0</v>
      </c>
      <c r="U19" s="86">
        <v>0</v>
      </c>
      <c r="V19" s="86">
        <v>0</v>
      </c>
      <c r="W19" s="86">
        <v>0</v>
      </c>
      <c r="X19" s="86">
        <v>0</v>
      </c>
      <c r="Y19" s="86">
        <v>0</v>
      </c>
      <c r="Z19" s="99">
        <v>0</v>
      </c>
      <c r="AA19" s="86">
        <v>0</v>
      </c>
      <c r="AB19" s="86">
        <v>0</v>
      </c>
      <c r="AC19" s="86">
        <v>0</v>
      </c>
      <c r="AD19" s="86">
        <v>0</v>
      </c>
      <c r="AE19" s="99">
        <v>0</v>
      </c>
      <c r="AF19" s="99">
        <v>0</v>
      </c>
    </row>
    <row r="20" spans="1:34" s="88" customFormat="1" ht="14.25" x14ac:dyDescent="0.2">
      <c r="A20" s="226" t="s">
        <v>162</v>
      </c>
      <c r="B20" s="259">
        <v>11.7</v>
      </c>
      <c r="C20" s="99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99"/>
      <c r="AA20" s="86"/>
      <c r="AB20" s="86"/>
      <c r="AC20" s="86"/>
      <c r="AD20" s="86"/>
      <c r="AE20" s="99"/>
      <c r="AF20" s="99"/>
    </row>
    <row r="21" spans="1:34" s="88" customFormat="1" ht="14.25" x14ac:dyDescent="0.2">
      <c r="A21" s="226" t="s">
        <v>163</v>
      </c>
      <c r="B21" s="259">
        <v>21.7</v>
      </c>
      <c r="C21" s="99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99"/>
      <c r="AA21" s="86"/>
      <c r="AB21" s="86"/>
      <c r="AC21" s="86"/>
      <c r="AD21" s="86"/>
      <c r="AE21" s="99"/>
      <c r="AF21" s="99"/>
    </row>
    <row r="22" spans="1:34" s="88" customFormat="1" ht="14.25" x14ac:dyDescent="0.2">
      <c r="A22" s="226" t="s">
        <v>170</v>
      </c>
      <c r="B22" s="259">
        <v>34.83</v>
      </c>
      <c r="C22" s="99">
        <f>'Data Ocupacion'!D59</f>
        <v>0</v>
      </c>
      <c r="D22" s="99">
        <f>'Data Ocupacion'!F59</f>
        <v>0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99"/>
      <c r="AA22" s="86"/>
      <c r="AB22" s="99">
        <f>'Data Ocupacion'!BB59</f>
        <v>0</v>
      </c>
      <c r="AC22" s="99">
        <f>'Data Ocupacion'!BD59</f>
        <v>0</v>
      </c>
      <c r="AD22" s="99">
        <f>'Data Ocupacion'!BF59</f>
        <v>0</v>
      </c>
      <c r="AE22" s="99">
        <f>'Data Ocupacion'!BH59</f>
        <v>0</v>
      </c>
      <c r="AF22" s="99">
        <f>'Data Ocupacion'!BJ59</f>
        <v>0</v>
      </c>
    </row>
    <row r="23" spans="1:34" s="88" customFormat="1" ht="14.25" x14ac:dyDescent="0.2">
      <c r="A23" s="226" t="s">
        <v>171</v>
      </c>
      <c r="B23" s="259">
        <v>8.3000000000000007</v>
      </c>
      <c r="C23" s="99">
        <f>'Data Ocupacion'!D60</f>
        <v>0</v>
      </c>
      <c r="D23" s="99">
        <f>'Data Ocupacion'!F60</f>
        <v>0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9"/>
      <c r="AA23" s="86"/>
      <c r="AB23" s="99">
        <f>'Data Ocupacion'!BB60</f>
        <v>0</v>
      </c>
      <c r="AC23" s="99">
        <f>'Data Ocupacion'!BD60</f>
        <v>0</v>
      </c>
      <c r="AD23" s="99">
        <f>'Data Ocupacion'!BF60</f>
        <v>0</v>
      </c>
      <c r="AE23" s="99">
        <f>'Data Ocupacion'!BH60</f>
        <v>0</v>
      </c>
      <c r="AF23" s="99">
        <f>'Data Ocupacion'!BJ60</f>
        <v>0</v>
      </c>
    </row>
    <row r="24" spans="1:34" s="88" customFormat="1" ht="14.25" x14ac:dyDescent="0.2">
      <c r="A24" s="226"/>
      <c r="B24" s="259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99"/>
      <c r="AA24" s="86"/>
      <c r="AB24" s="86"/>
      <c r="AC24" s="86"/>
      <c r="AD24" s="86"/>
      <c r="AE24" s="99"/>
      <c r="AF24" s="99"/>
    </row>
    <row r="25" spans="1:34" x14ac:dyDescent="0.25">
      <c r="A25" s="89" t="s">
        <v>152</v>
      </c>
      <c r="B25" s="85">
        <v>-17.73</v>
      </c>
      <c r="C25" s="86">
        <f>'KM-Servicio'!P5</f>
        <v>0</v>
      </c>
      <c r="D25" s="86">
        <f>'KM-Servicio'!P12</f>
        <v>5</v>
      </c>
      <c r="E25" s="86">
        <f>'KM-Servicio'!P19</f>
        <v>6</v>
      </c>
      <c r="F25" s="86">
        <f>'KM-Servicio'!P26</f>
        <v>5</v>
      </c>
      <c r="G25" s="86">
        <f>'KM-Servicio'!P33</f>
        <v>5</v>
      </c>
      <c r="H25" s="86">
        <f>'KM-Servicio'!P40</f>
        <v>0</v>
      </c>
      <c r="I25" s="86">
        <f>'KM-Servicio'!P47</f>
        <v>0</v>
      </c>
      <c r="J25" s="86">
        <f>'KM-Servicio'!P54</f>
        <v>0</v>
      </c>
      <c r="K25" s="86">
        <f>'KM-Servicio'!P61</f>
        <v>3</v>
      </c>
      <c r="L25" s="86">
        <f>'KM-Servicio'!P68</f>
        <v>2</v>
      </c>
      <c r="M25" s="86">
        <f>'KM-Servicio'!P75</f>
        <v>0</v>
      </c>
      <c r="N25" s="86">
        <f>'KM-Servicio'!P82</f>
        <v>5</v>
      </c>
      <c r="O25" s="86">
        <f>'KM-Servicio'!P89</f>
        <v>0</v>
      </c>
      <c r="P25" s="86">
        <f>'KM-Servicio'!P96</f>
        <v>0</v>
      </c>
      <c r="Q25" s="86">
        <f>'KM-Servicio'!P103</f>
        <v>4</v>
      </c>
      <c r="R25" s="86">
        <f>'KM-Servicio'!P110</f>
        <v>4</v>
      </c>
      <c r="S25" s="86">
        <f>'KM-Servicio'!P117</f>
        <v>4</v>
      </c>
      <c r="T25" s="86">
        <f>'KM-Servicio'!P124</f>
        <v>5</v>
      </c>
      <c r="U25" s="86">
        <f>'KM-Servicio'!P131</f>
        <v>4</v>
      </c>
      <c r="V25" s="86">
        <f>'KM-Servicio'!P138</f>
        <v>0</v>
      </c>
      <c r="W25" s="86">
        <f>'KM-Servicio'!P145</f>
        <v>0</v>
      </c>
      <c r="X25" s="86">
        <f>'KM-Servicio'!P152</f>
        <v>5</v>
      </c>
      <c r="Y25" s="86">
        <f>'KM-Servicio'!P159</f>
        <v>6</v>
      </c>
      <c r="Z25" s="86">
        <f>'KM-Servicio'!P166</f>
        <v>4</v>
      </c>
      <c r="AA25" s="86">
        <f>'KM-Servicio'!P173</f>
        <v>5</v>
      </c>
      <c r="AB25" s="86">
        <f>'KM-Servicio'!P180</f>
        <v>3</v>
      </c>
      <c r="AC25" s="86">
        <f>'KM-Servicio'!P187</f>
        <v>0</v>
      </c>
      <c r="AD25" s="86">
        <f>'KM-Servicio'!P194</f>
        <v>0</v>
      </c>
      <c r="AE25" s="86">
        <f>'KM-Servicio'!P201</f>
        <v>4</v>
      </c>
      <c r="AF25" s="86">
        <f>'KM-Servicio'!P208</f>
        <v>5</v>
      </c>
      <c r="AH25" s="130">
        <f>SUM(C25:AF25)</f>
        <v>84</v>
      </c>
    </row>
    <row r="26" spans="1:34" x14ac:dyDescent="0.25">
      <c r="A26" s="89" t="s">
        <v>153</v>
      </c>
      <c r="B26" s="85">
        <v>-17.73</v>
      </c>
      <c r="C26" s="86">
        <f>'KM-Servicio'!S6</f>
        <v>0</v>
      </c>
      <c r="D26" s="86">
        <f>'KM-Servicio'!S13</f>
        <v>0</v>
      </c>
      <c r="E26" s="86">
        <f>'KM-Servicio'!S20</f>
        <v>0</v>
      </c>
      <c r="F26" s="86">
        <f>'KM-Servicio'!S27</f>
        <v>0</v>
      </c>
      <c r="G26" s="86">
        <f>'KM-Servicio'!S34</f>
        <v>0</v>
      </c>
      <c r="H26" s="86">
        <f>'KM-Servicio'!S41</f>
        <v>0</v>
      </c>
      <c r="I26" s="86">
        <f>'KM-Servicio'!S48</f>
        <v>0</v>
      </c>
      <c r="J26" s="86">
        <f>'KM-Servicio'!S55</f>
        <v>0</v>
      </c>
      <c r="K26" s="86">
        <f>'KM-Servicio'!S62</f>
        <v>0</v>
      </c>
      <c r="L26" s="86">
        <f>'KM-Servicio'!S69</f>
        <v>0</v>
      </c>
      <c r="M26" s="86">
        <f>'KM-Servicio'!S76</f>
        <v>0</v>
      </c>
      <c r="N26" s="86">
        <f>'KM-Servicio'!S83</f>
        <v>0</v>
      </c>
      <c r="O26" s="86">
        <f>'KM-Servicio'!S90</f>
        <v>0</v>
      </c>
      <c r="P26" s="86">
        <f>'KM-Servicio'!S97</f>
        <v>0</v>
      </c>
      <c r="Q26" s="86">
        <f>'KM-Servicio'!S104</f>
        <v>0</v>
      </c>
      <c r="R26" s="86">
        <f>'KM-Servicio'!S111</f>
        <v>0</v>
      </c>
      <c r="S26" s="86">
        <f>'KM-Servicio'!S118</f>
        <v>0</v>
      </c>
      <c r="T26" s="86">
        <f>'KM-Servicio'!S125</f>
        <v>0</v>
      </c>
      <c r="U26" s="86">
        <f>'KM-Servicio'!S132</f>
        <v>0</v>
      </c>
      <c r="V26" s="86">
        <f>'KM-Servicio'!S139</f>
        <v>0</v>
      </c>
      <c r="W26" s="86">
        <f>'KM-Servicio'!S146</f>
        <v>0</v>
      </c>
      <c r="X26" s="86">
        <f>'KM-Servicio'!S153</f>
        <v>0</v>
      </c>
      <c r="Y26" s="86">
        <f>'KM-Servicio'!S160</f>
        <v>0</v>
      </c>
      <c r="Z26" s="86">
        <f>'KM-Servicio'!S167</f>
        <v>0</v>
      </c>
      <c r="AA26" s="86">
        <f>'KM-Servicio'!S174</f>
        <v>0</v>
      </c>
      <c r="AB26" s="86">
        <f>'KM-Servicio'!S181</f>
        <v>0</v>
      </c>
      <c r="AC26" s="86">
        <f>'KM-Servicio'!S188</f>
        <v>0</v>
      </c>
      <c r="AD26" s="86">
        <f>'KM-Servicio'!S195</f>
        <v>0</v>
      </c>
      <c r="AE26" s="86">
        <f>'KM-Servicio'!S202</f>
        <v>0</v>
      </c>
      <c r="AF26" s="86">
        <f>'KM-Servicio'!S209</f>
        <v>0</v>
      </c>
    </row>
    <row r="27" spans="1:34" s="130" customFormat="1" x14ac:dyDescent="0.25">
      <c r="A27" s="89" t="s">
        <v>155</v>
      </c>
      <c r="B27" s="85">
        <v>-14.02</v>
      </c>
      <c r="C27" s="86">
        <f>'KM-Servicio'!T6</f>
        <v>0</v>
      </c>
      <c r="D27" s="86">
        <f>'KM-Servicio'!T13</f>
        <v>0</v>
      </c>
      <c r="E27" s="86">
        <f>'KM-Servicio'!T20</f>
        <v>0</v>
      </c>
      <c r="F27" s="86">
        <f>'KM-Servicio'!T27</f>
        <v>0</v>
      </c>
      <c r="G27" s="86">
        <f>'KM-Servicio'!T34</f>
        <v>0</v>
      </c>
      <c r="H27" s="86">
        <f>'KM-Servicio'!T41</f>
        <v>0</v>
      </c>
      <c r="I27" s="86">
        <f>'KM-Servicio'!T48</f>
        <v>0</v>
      </c>
      <c r="J27" s="86">
        <f>'KM-Servicio'!T55</f>
        <v>0</v>
      </c>
      <c r="K27" s="86">
        <f>'KM-Servicio'!T62</f>
        <v>0</v>
      </c>
      <c r="L27" s="86">
        <f>'KM-Servicio'!T69</f>
        <v>0</v>
      </c>
      <c r="M27" s="86">
        <f>'KM-Servicio'!T76</f>
        <v>0</v>
      </c>
      <c r="N27" s="86">
        <f>'KM-Servicio'!T83</f>
        <v>0</v>
      </c>
      <c r="O27" s="86">
        <f>'KM-Servicio'!T90</f>
        <v>0</v>
      </c>
      <c r="P27" s="86">
        <f>'KM-Servicio'!T97</f>
        <v>0</v>
      </c>
      <c r="Q27" s="86">
        <f>'KM-Servicio'!T104</f>
        <v>0</v>
      </c>
      <c r="R27" s="86">
        <f>'KM-Servicio'!T111</f>
        <v>0</v>
      </c>
      <c r="S27" s="86">
        <f>'KM-Servicio'!T118</f>
        <v>0</v>
      </c>
      <c r="T27" s="86">
        <f>'KM-Servicio'!T125</f>
        <v>0</v>
      </c>
      <c r="U27" s="86">
        <f>'KM-Servicio'!T132</f>
        <v>0</v>
      </c>
      <c r="V27" s="86">
        <f>'KM-Servicio'!T139</f>
        <v>0</v>
      </c>
      <c r="W27" s="86">
        <f>'KM-Servicio'!T146</f>
        <v>0</v>
      </c>
      <c r="X27" s="86">
        <f>'KM-Servicio'!T153</f>
        <v>0</v>
      </c>
      <c r="Y27" s="86">
        <f>'KM-Servicio'!T160</f>
        <v>0</v>
      </c>
      <c r="Z27" s="86">
        <f>'KM-Servicio'!T167</f>
        <v>0</v>
      </c>
      <c r="AA27" s="86">
        <f>'KM-Servicio'!T174</f>
        <v>0</v>
      </c>
      <c r="AB27" s="86">
        <f>'KM-Servicio'!T181</f>
        <v>0</v>
      </c>
      <c r="AC27" s="86">
        <f>'KM-Servicio'!T188</f>
        <v>0</v>
      </c>
      <c r="AD27" s="86">
        <f>'KM-Servicio'!T195</f>
        <v>0</v>
      </c>
      <c r="AE27" s="86">
        <f>'KM-Servicio'!T202</f>
        <v>0</v>
      </c>
      <c r="AF27" s="86">
        <f>'KM-Servicio'!T209</f>
        <v>0</v>
      </c>
    </row>
    <row r="28" spans="1:34" s="130" customFormat="1" x14ac:dyDescent="0.25">
      <c r="A28" s="225" t="s">
        <v>154</v>
      </c>
      <c r="B28" s="85">
        <v>-3.71</v>
      </c>
      <c r="C28" s="86"/>
      <c r="D28" s="86"/>
      <c r="E28" s="86">
        <f>'KM-Servicio'!P21</f>
        <v>0</v>
      </c>
      <c r="F28" s="86"/>
      <c r="G28" s="86">
        <f>'KM-Servicio'!P35</f>
        <v>0</v>
      </c>
      <c r="H28" s="86"/>
      <c r="I28" s="86"/>
      <c r="J28" s="86"/>
      <c r="K28" s="86"/>
      <c r="L28" s="86"/>
      <c r="M28" s="86"/>
      <c r="N28" s="86">
        <f>'KM-Servicio'!P84</f>
        <v>0</v>
      </c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</row>
    <row r="29" spans="1:34" s="130" customFormat="1" x14ac:dyDescent="0.25">
      <c r="A29" s="231" t="s">
        <v>160</v>
      </c>
      <c r="B29" s="85">
        <v>-25.4</v>
      </c>
      <c r="C29" s="86">
        <v>4</v>
      </c>
      <c r="D29" s="86"/>
      <c r="E29" s="86"/>
      <c r="F29" s="86"/>
      <c r="G29" s="86"/>
      <c r="H29" s="86"/>
      <c r="I29" s="86"/>
      <c r="J29" s="86">
        <v>6</v>
      </c>
      <c r="K29" s="86">
        <v>3</v>
      </c>
      <c r="L29" s="86">
        <v>6</v>
      </c>
      <c r="M29" s="86">
        <v>7</v>
      </c>
      <c r="N29" s="86">
        <v>5</v>
      </c>
      <c r="O29" s="86"/>
      <c r="P29" s="86"/>
      <c r="Q29" s="86">
        <v>4</v>
      </c>
      <c r="R29" s="86">
        <v>5</v>
      </c>
      <c r="S29" s="86">
        <v>4</v>
      </c>
      <c r="T29" s="86">
        <v>7</v>
      </c>
      <c r="U29" s="86">
        <v>4</v>
      </c>
      <c r="V29" s="86"/>
      <c r="W29" s="86"/>
      <c r="X29" s="86">
        <v>4</v>
      </c>
      <c r="Y29" s="86">
        <v>6</v>
      </c>
      <c r="Z29" s="86">
        <v>5</v>
      </c>
      <c r="AA29" s="86">
        <v>6</v>
      </c>
      <c r="AB29" s="86">
        <v>5</v>
      </c>
      <c r="AC29" s="86"/>
      <c r="AD29" s="86"/>
      <c r="AE29" s="86">
        <v>5</v>
      </c>
      <c r="AF29" s="86">
        <v>7</v>
      </c>
      <c r="AH29" s="130">
        <f>SUM(C29:AF29)</f>
        <v>93</v>
      </c>
    </row>
    <row r="30" spans="1:34" s="130" customFormat="1" x14ac:dyDescent="0.25">
      <c r="A30" s="225" t="s">
        <v>164</v>
      </c>
      <c r="B30" s="85">
        <v>-12.73</v>
      </c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</row>
    <row r="31" spans="1:34" s="130" customFormat="1" x14ac:dyDescent="0.25">
      <c r="A31" s="225" t="s">
        <v>165</v>
      </c>
      <c r="B31" s="85">
        <v>-12.73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</row>
    <row r="32" spans="1:34" s="130" customFormat="1" x14ac:dyDescent="0.25">
      <c r="A32" s="89" t="s">
        <v>166</v>
      </c>
      <c r="B32" s="85">
        <v>-25.4</v>
      </c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>
        <v>0</v>
      </c>
      <c r="AD32" s="86"/>
      <c r="AE32" s="86"/>
      <c r="AF32" s="86"/>
    </row>
    <row r="33" spans="1:32" x14ac:dyDescent="0.25">
      <c r="A33" s="91"/>
      <c r="B33" s="85"/>
      <c r="C33" s="44"/>
      <c r="D33" s="44"/>
      <c r="E33" s="90"/>
      <c r="F33" s="90"/>
      <c r="G33" s="90"/>
      <c r="H33" s="90"/>
      <c r="I33" s="8"/>
      <c r="J33" s="44"/>
      <c r="K33" s="90"/>
      <c r="L33" s="90"/>
      <c r="M33" s="90"/>
      <c r="N33" s="90"/>
      <c r="O33" s="8"/>
      <c r="P33" s="90"/>
      <c r="Q33" s="8"/>
      <c r="R33" s="8"/>
      <c r="S33" s="8"/>
      <c r="T33" s="8"/>
      <c r="U33" s="90"/>
      <c r="V33" s="8"/>
      <c r="W33" s="8"/>
      <c r="X33" s="8"/>
      <c r="Y33" s="8"/>
      <c r="Z33" s="90"/>
      <c r="AA33" s="90"/>
      <c r="AB33" s="90"/>
      <c r="AC33" s="8"/>
      <c r="AD33" s="8"/>
      <c r="AE33" s="8"/>
      <c r="AF33" s="8"/>
    </row>
    <row r="34" spans="1:32" x14ac:dyDescent="0.25">
      <c r="A34" s="92" t="s">
        <v>84</v>
      </c>
      <c r="B34" s="249">
        <f t="shared" ref="B34:B41" si="0">SUM(C34:AF34)</f>
        <v>5025</v>
      </c>
      <c r="C34" s="95">
        <f>SUM(C5:C12)</f>
        <v>184</v>
      </c>
      <c r="D34" s="95">
        <f>SUM(D5:D12)</f>
        <v>184</v>
      </c>
      <c r="E34" s="95">
        <f t="shared" ref="E34:J34" si="1">SUM(E5:E10)</f>
        <v>183</v>
      </c>
      <c r="F34" s="95">
        <f t="shared" si="1"/>
        <v>184</v>
      </c>
      <c r="G34" s="95">
        <f t="shared" si="1"/>
        <v>183</v>
      </c>
      <c r="H34" s="95">
        <f t="shared" si="1"/>
        <v>143</v>
      </c>
      <c r="I34" s="95">
        <f t="shared" si="1"/>
        <v>111</v>
      </c>
      <c r="J34" s="95">
        <f t="shared" si="1"/>
        <v>184</v>
      </c>
      <c r="K34" s="95">
        <f>SUM(K5:K12)</f>
        <v>184</v>
      </c>
      <c r="L34" s="95">
        <f t="shared" ref="L34:AA34" si="2">SUM(L5:L10)</f>
        <v>184</v>
      </c>
      <c r="M34" s="95">
        <f t="shared" si="2"/>
        <v>184</v>
      </c>
      <c r="N34" s="95">
        <f t="shared" si="2"/>
        <v>183</v>
      </c>
      <c r="O34" s="95">
        <f t="shared" si="2"/>
        <v>143</v>
      </c>
      <c r="P34" s="95">
        <f t="shared" si="2"/>
        <v>111</v>
      </c>
      <c r="Q34" s="95">
        <f t="shared" si="2"/>
        <v>184</v>
      </c>
      <c r="R34" s="95">
        <f t="shared" si="2"/>
        <v>184</v>
      </c>
      <c r="S34" s="95">
        <f t="shared" si="2"/>
        <v>184</v>
      </c>
      <c r="T34" s="95">
        <f t="shared" si="2"/>
        <v>184</v>
      </c>
      <c r="U34" s="95">
        <f t="shared" si="2"/>
        <v>184</v>
      </c>
      <c r="V34" s="95">
        <f t="shared" si="2"/>
        <v>143</v>
      </c>
      <c r="W34" s="95">
        <f t="shared" si="2"/>
        <v>111</v>
      </c>
      <c r="X34" s="95">
        <f t="shared" si="2"/>
        <v>184</v>
      </c>
      <c r="Y34" s="95">
        <f t="shared" si="2"/>
        <v>184</v>
      </c>
      <c r="Z34" s="95">
        <f t="shared" si="2"/>
        <v>184</v>
      </c>
      <c r="AA34" s="95">
        <f t="shared" si="2"/>
        <v>172</v>
      </c>
      <c r="AB34" s="95">
        <f t="shared" ref="AB34:AF34" si="3">SUM(AB5:AB12)</f>
        <v>172</v>
      </c>
      <c r="AC34" s="95">
        <f t="shared" si="3"/>
        <v>143</v>
      </c>
      <c r="AD34" s="95">
        <f t="shared" si="3"/>
        <v>111</v>
      </c>
      <c r="AE34" s="95">
        <f t="shared" si="3"/>
        <v>184</v>
      </c>
      <c r="AF34" s="95">
        <f t="shared" si="3"/>
        <v>172</v>
      </c>
    </row>
    <row r="35" spans="1:32" x14ac:dyDescent="0.25">
      <c r="A35" s="94" t="s">
        <v>65</v>
      </c>
      <c r="B35" s="249">
        <f t="shared" si="0"/>
        <v>7379</v>
      </c>
      <c r="C35" s="95">
        <f>SUM(C14:C23)</f>
        <v>294</v>
      </c>
      <c r="D35" s="95">
        <f>SUM(D14:D23)</f>
        <v>296</v>
      </c>
      <c r="E35" s="95">
        <f t="shared" ref="E35:J35" si="4">SUM(E14:E19)</f>
        <v>287</v>
      </c>
      <c r="F35" s="95">
        <f t="shared" si="4"/>
        <v>293</v>
      </c>
      <c r="G35" s="95">
        <f t="shared" si="4"/>
        <v>291</v>
      </c>
      <c r="H35" s="95">
        <f t="shared" si="4"/>
        <v>146</v>
      </c>
      <c r="I35" s="95">
        <f t="shared" si="4"/>
        <v>114</v>
      </c>
      <c r="J35" s="95">
        <f t="shared" si="4"/>
        <v>285</v>
      </c>
      <c r="K35" s="95">
        <f>SUM(K14:K21)</f>
        <v>284</v>
      </c>
      <c r="L35" s="95">
        <f t="shared" ref="L35:AA35" si="5">SUM(L14:L19)</f>
        <v>280</v>
      </c>
      <c r="M35" s="95">
        <f t="shared" si="5"/>
        <v>286</v>
      </c>
      <c r="N35" s="95">
        <f t="shared" si="5"/>
        <v>284</v>
      </c>
      <c r="O35" s="95">
        <f t="shared" si="5"/>
        <v>146</v>
      </c>
      <c r="P35" s="95">
        <f t="shared" si="5"/>
        <v>114</v>
      </c>
      <c r="Q35" s="95">
        <f t="shared" si="5"/>
        <v>288</v>
      </c>
      <c r="R35" s="95">
        <f t="shared" si="5"/>
        <v>292</v>
      </c>
      <c r="S35" s="95">
        <f t="shared" si="5"/>
        <v>294</v>
      </c>
      <c r="T35" s="95">
        <f t="shared" si="5"/>
        <v>299</v>
      </c>
      <c r="U35" s="95">
        <f t="shared" si="5"/>
        <v>286</v>
      </c>
      <c r="V35" s="95">
        <f t="shared" si="5"/>
        <v>146</v>
      </c>
      <c r="W35" s="95">
        <f t="shared" si="5"/>
        <v>114</v>
      </c>
      <c r="X35" s="95">
        <f t="shared" si="5"/>
        <v>290</v>
      </c>
      <c r="Y35" s="95">
        <f t="shared" si="5"/>
        <v>290</v>
      </c>
      <c r="Z35" s="95">
        <f t="shared" si="5"/>
        <v>290</v>
      </c>
      <c r="AA35" s="95">
        <f t="shared" si="5"/>
        <v>280</v>
      </c>
      <c r="AB35" s="95">
        <f t="shared" ref="AB35:AF35" si="6">SUM(AB14:AB23)</f>
        <v>272</v>
      </c>
      <c r="AC35" s="95">
        <f t="shared" si="6"/>
        <v>146</v>
      </c>
      <c r="AD35" s="95">
        <f t="shared" si="6"/>
        <v>114</v>
      </c>
      <c r="AE35" s="95">
        <f t="shared" si="6"/>
        <v>295</v>
      </c>
      <c r="AF35" s="95">
        <f t="shared" si="6"/>
        <v>283</v>
      </c>
    </row>
    <row r="36" spans="1:32" x14ac:dyDescent="0.25">
      <c r="A36" s="94" t="s">
        <v>92</v>
      </c>
      <c r="B36" s="249">
        <f t="shared" si="0"/>
        <v>313692.2300000001</v>
      </c>
      <c r="C36" s="95">
        <f>(C14*$B$14+C15*$B$15+C16*$B$16+C17*$B$17+C19*$B$19+C22*B22+C23*B23+C26*$B$26+C18*$B$18+C25*$B$25+C27*B27+C29*B29)</f>
        <v>12546.87</v>
      </c>
      <c r="D36" s="95">
        <f>(D14*$B$14+D15*$B$15+D16*$B$16+D17*$B$17+D19*$B$19+D22*B22+D23*B23+D26*$B$26+D18*$B$18+D25*$B$25+D27*B27+D29*B29)</f>
        <v>12646.080000000002</v>
      </c>
      <c r="E36" s="95">
        <f>(E14*$B$14+E15*$B$15+E16*$B$16+E17*$B$17+E19*$B$19+E26*$B$26+E18*$B$18+E25*$B$25+E27*B27+E28*B28)</f>
        <v>12240.18</v>
      </c>
      <c r="F36" s="95">
        <f>(F14*$B$14+F15*$B$15+F16*$B$16+F17*$B$17+F19*$B$19+F26*$B$26+F18*$B$18+F25*$B$25+F29*B29)</f>
        <v>12516.690000000002</v>
      </c>
      <c r="G36" s="95">
        <f>(G14*$B$14+G15*$B$15+G16*$B$16+G17*$B$17+G19*$B$19+G26*$B$26+G18*$B$18+G25*$B$25+G27*B27+G28*B28+G29*B29)</f>
        <v>12430.43</v>
      </c>
      <c r="H36" s="95">
        <f>(H14*$B$14+H15*$B$15+H16*$B$16+H17*$B$17+H19*$B$19+H26*$B$26+H18*$B$18+H25*$B$25+H27*B27+H28*B28+H29*B29)</f>
        <v>6296.9800000000005</v>
      </c>
      <c r="I36" s="95">
        <f>(I14*$B$14+I15*$B$15+I16*$B$16+I17*$B$17+I19*$B$19+I26*$B$26+I18*$B$18+I25*$B$25+I27*B27+I28*B28+I29*B29)</f>
        <v>4916.8200000000006</v>
      </c>
      <c r="J36" s="95">
        <f>(J14*$B$14+J15*$B$15+J16*$B$16+J17*$B$17+J19*$B$19+J26*$B$26+J18*$B$18+J25*$B$25+J27*B27+J28*B28+J29*B29)</f>
        <v>12107.900000000001</v>
      </c>
      <c r="K36" s="95">
        <f>(K14*$B$14+K15*$B$15+K16*$B$16+K17*$B$17+K19*$B$19+K26*$B$26+K18*$B$18+K25*$B$25+K27*B27+K28*B28+K29*B29)</f>
        <v>12087.779999999999</v>
      </c>
      <c r="L36" s="95">
        <f>(L14*$B$14+L15*$B$15+L16*$B$16+L17*$B$17+L19*$B$19+L26*$B$26+L18*$B$18+L25*$B$25+L27*B27+L28*B28+L29*B29)</f>
        <v>11856.790000000003</v>
      </c>
      <c r="M36" s="95">
        <f>(M14*$B$14+M15*$B$15+M16*$B$16+M17*$B$17+M19*$B$19+M26*$B$26+M18*$B$18+M25*$B$25+M29*B29)</f>
        <v>12125.630000000001</v>
      </c>
      <c r="N36" s="95">
        <f>(N14*$B$14+N15*$B$15+N16*$B$16+N17*$B$17+N19*$B$19+N26*$B$26+N18*$B$18+N25*$B$25+N27*B27+N28*B28+N29*B29)</f>
        <v>12001.52</v>
      </c>
      <c r="O36" s="95">
        <f>(O14*$B$14+O15*$B$15+O16*$B$16+O17*$B$17+O19*$B$19+O26*$B$26+O18*$B$18+O25*$B$25+O29*B29)</f>
        <v>6296.9800000000005</v>
      </c>
      <c r="P36" s="95">
        <f>(P14*$B$14+P15*$B$15+P16*$B$16+P17*$B$17+P19*$B$19+P26*$B$26+P18*$B$18+P25*$B$25+P29*B29)</f>
        <v>4916.8200000000006</v>
      </c>
      <c r="Q36" s="95">
        <f>(Q14*$B$14+Q15*$B$15+Q16*$B$16+Q17*$B$17+Q19*$B$19+Q26*$B$26+Q18*$B$18+Q25*$B$25+Q29*B29)</f>
        <v>12217.17</v>
      </c>
      <c r="R36" s="95">
        <f>(R14*$B$14+R15*$B$15+R16*$B$16+R17*$B$17+R19*$B$19+R26*$B$26+R18*$B$18+R25*$B$25+R29*B29)</f>
        <v>12364.29</v>
      </c>
      <c r="S36" s="95">
        <f>(S14*$B$14+S15*$B$15+S16*$B$16+S17*$B$17+S19*$B$19+S26*$B$26+S18*$B$18+S25*$B$25+S29*$B$29)</f>
        <v>12475.95</v>
      </c>
      <c r="T36" s="95">
        <f>(T14*$B$14+T15*$B$15+T16*$B$16+T17*$B$17+T19*$B$19+T26*$B$26+T18*$B$18+T25*$B$25+T29*$B$29)</f>
        <v>12597.670000000002</v>
      </c>
      <c r="U36" s="95">
        <f t="shared" ref="U36:AF36" si="7">(U14*$B$14+U15*$B$15+U16*$B$16+U17*$B$17+U19*$B$19+U26*$B$26+U18*$B$18+U25*$B$25+U29*$B$29)</f>
        <v>12130.91</v>
      </c>
      <c r="V36" s="95">
        <f t="shared" si="7"/>
        <v>6296.9800000000005</v>
      </c>
      <c r="W36" s="95">
        <f t="shared" si="7"/>
        <v>4916.8200000000006</v>
      </c>
      <c r="X36" s="95">
        <f t="shared" si="7"/>
        <v>12285.7</v>
      </c>
      <c r="Y36" s="95">
        <f t="shared" si="7"/>
        <v>12217.170000000002</v>
      </c>
      <c r="Z36" s="95">
        <f t="shared" si="7"/>
        <v>12278.03</v>
      </c>
      <c r="AA36" s="95">
        <f t="shared" si="7"/>
        <v>11803.6</v>
      </c>
      <c r="AB36" s="95">
        <f t="shared" si="7"/>
        <v>11519.42</v>
      </c>
      <c r="AC36" s="95">
        <f t="shared" si="7"/>
        <v>6296.9800000000005</v>
      </c>
      <c r="AD36" s="95">
        <f t="shared" si="7"/>
        <v>4916.8200000000006</v>
      </c>
      <c r="AE36" s="95">
        <f t="shared" si="7"/>
        <v>12493.68</v>
      </c>
      <c r="AF36" s="95">
        <f t="shared" si="7"/>
        <v>11893.570000000002</v>
      </c>
    </row>
    <row r="37" spans="1:32" x14ac:dyDescent="0.25">
      <c r="A37" s="94" t="s">
        <v>93</v>
      </c>
      <c r="B37" s="249">
        <f t="shared" si="0"/>
        <v>216029.74999999997</v>
      </c>
      <c r="C37" s="95">
        <f>$B$5*C5+$B$6*C6+$B$7*C7+$B$8*C8+$B$10*C10+$B$9*C9+C11*B11+C12*B12</f>
        <v>7904.1699999999992</v>
      </c>
      <c r="D37" s="95">
        <f>$B$5*D5+$B$6*D6+$B$7*D7+$B$8*D8+$B$10*D10+$B$9*D9+D11*B11+D12*B12</f>
        <v>7904.1699999999992</v>
      </c>
      <c r="E37" s="95">
        <f t="shared" ref="E37:AA37" si="8">$B$5*E5+$B$6*E6+$B$7*E7+$B$8*E8+$B$10*E10+$B$9*E9</f>
        <v>7861.04</v>
      </c>
      <c r="F37" s="95">
        <f t="shared" si="8"/>
        <v>7904.1699999999992</v>
      </c>
      <c r="G37" s="95">
        <f t="shared" si="8"/>
        <v>7861.04</v>
      </c>
      <c r="H37" s="95">
        <f t="shared" si="8"/>
        <v>6167.59</v>
      </c>
      <c r="I37" s="95">
        <f t="shared" si="8"/>
        <v>4787.43</v>
      </c>
      <c r="J37" s="95">
        <f t="shared" si="8"/>
        <v>7904.1699999999992</v>
      </c>
      <c r="K37" s="95">
        <f t="shared" si="8"/>
        <v>7904.1699999999992</v>
      </c>
      <c r="L37" s="95">
        <f t="shared" si="8"/>
        <v>7904.1699999999992</v>
      </c>
      <c r="M37" s="95">
        <f t="shared" si="8"/>
        <v>7904.1699999999992</v>
      </c>
      <c r="N37" s="95">
        <f t="shared" si="8"/>
        <v>7861.04</v>
      </c>
      <c r="O37" s="95">
        <f t="shared" si="8"/>
        <v>6167.59</v>
      </c>
      <c r="P37" s="95">
        <f t="shared" si="8"/>
        <v>4787.43</v>
      </c>
      <c r="Q37" s="95">
        <f t="shared" si="8"/>
        <v>7904.1699999999992</v>
      </c>
      <c r="R37" s="95">
        <f t="shared" si="8"/>
        <v>7904.1699999999992</v>
      </c>
      <c r="S37" s="95">
        <f t="shared" si="8"/>
        <v>7904.1699999999992</v>
      </c>
      <c r="T37" s="95">
        <f t="shared" si="8"/>
        <v>7904.1699999999992</v>
      </c>
      <c r="U37" s="95">
        <f t="shared" si="8"/>
        <v>7904.1699999999992</v>
      </c>
      <c r="V37" s="95">
        <f t="shared" si="8"/>
        <v>6167.59</v>
      </c>
      <c r="W37" s="95">
        <f t="shared" si="8"/>
        <v>4787.43</v>
      </c>
      <c r="X37" s="95">
        <f t="shared" si="8"/>
        <v>7904.1699999999992</v>
      </c>
      <c r="Y37" s="95">
        <f t="shared" si="8"/>
        <v>7904.1699999999992</v>
      </c>
      <c r="Z37" s="95">
        <f t="shared" si="8"/>
        <v>7904.1699999999992</v>
      </c>
      <c r="AA37" s="95">
        <f t="shared" si="8"/>
        <v>7386.61</v>
      </c>
      <c r="AB37" s="95">
        <f>$B$5*AB5+$B$6*AB6+$B$7*AB7+$B$8*AB8+$B$10*AB10+$B$9*AB9+AB11*B11+AB12*B12</f>
        <v>7386.61</v>
      </c>
      <c r="AC37" s="95">
        <f>$B$5*AC5+$B$6*AC6+$B$7*AC7+$B$8*AC8+$B$10*AC10+$B$9*AC9+AC11*B11+AC12*B12</f>
        <v>6167.59</v>
      </c>
      <c r="AD37" s="95">
        <f>$B$5*AD5+$B$6*AD6+$B$7*AD7+$B$8*AD8+$B$10*AD10+$B$9*AD9+AD11*B11+AD12*B12</f>
        <v>4787.43</v>
      </c>
      <c r="AE37" s="95">
        <f>$B$5*AE5+$B$6*AE6+$B$7*AE7+$B$8*AE8+$B$10*AE10+$B$9*AE9+AE11*B11+AE12*B12</f>
        <v>7904.1699999999992</v>
      </c>
      <c r="AF37" s="95">
        <f>$B$5*AF5+$B$6*AF6+$B$7*AF7+$B$8*AF8+$B$10*AF10+$B$9*AF9+AF11*C11+AF12*C12</f>
        <v>7386.61</v>
      </c>
    </row>
    <row r="38" spans="1:32" x14ac:dyDescent="0.25">
      <c r="A38" s="94" t="s">
        <v>94</v>
      </c>
      <c r="B38" s="246">
        <f t="shared" si="0"/>
        <v>32623991.920000006</v>
      </c>
      <c r="C38" s="95">
        <f t="shared" ref="C38:AE38" si="9">C36*104</f>
        <v>1304874.48</v>
      </c>
      <c r="D38" s="95">
        <f t="shared" si="9"/>
        <v>1315192.3200000003</v>
      </c>
      <c r="E38" s="95">
        <f t="shared" si="9"/>
        <v>1272978.72</v>
      </c>
      <c r="F38" s="95">
        <f t="shared" si="9"/>
        <v>1301735.7600000002</v>
      </c>
      <c r="G38" s="95">
        <f t="shared" si="9"/>
        <v>1292764.72</v>
      </c>
      <c r="H38" s="95">
        <f t="shared" si="9"/>
        <v>654885.92000000004</v>
      </c>
      <c r="I38" s="95">
        <f t="shared" si="9"/>
        <v>511349.28000000009</v>
      </c>
      <c r="J38" s="95">
        <f t="shared" si="9"/>
        <v>1259221.6000000001</v>
      </c>
      <c r="K38" s="95">
        <f t="shared" si="9"/>
        <v>1257129.1199999999</v>
      </c>
      <c r="L38" s="95">
        <f t="shared" si="9"/>
        <v>1233106.1600000004</v>
      </c>
      <c r="M38" s="95">
        <f t="shared" si="9"/>
        <v>1261065.52</v>
      </c>
      <c r="N38" s="95">
        <f t="shared" si="9"/>
        <v>1248158.08</v>
      </c>
      <c r="O38" s="95">
        <f t="shared" si="9"/>
        <v>654885.92000000004</v>
      </c>
      <c r="P38" s="95">
        <f t="shared" si="9"/>
        <v>511349.28000000009</v>
      </c>
      <c r="Q38" s="95">
        <f t="shared" si="9"/>
        <v>1270585.68</v>
      </c>
      <c r="R38" s="95">
        <f t="shared" si="9"/>
        <v>1285886.1600000001</v>
      </c>
      <c r="S38" s="95">
        <f t="shared" si="9"/>
        <v>1297498.8</v>
      </c>
      <c r="T38" s="95">
        <f t="shared" si="9"/>
        <v>1310157.6800000002</v>
      </c>
      <c r="U38" s="95">
        <f t="shared" si="9"/>
        <v>1261614.6399999999</v>
      </c>
      <c r="V38" s="95">
        <f t="shared" si="9"/>
        <v>654885.92000000004</v>
      </c>
      <c r="W38" s="95">
        <f t="shared" si="9"/>
        <v>511349.28000000009</v>
      </c>
      <c r="X38" s="95">
        <f t="shared" si="9"/>
        <v>1277712.8</v>
      </c>
      <c r="Y38" s="95">
        <f t="shared" si="9"/>
        <v>1270585.6800000002</v>
      </c>
      <c r="Z38" s="95">
        <f t="shared" si="9"/>
        <v>1276915.1200000001</v>
      </c>
      <c r="AA38" s="95">
        <f t="shared" si="9"/>
        <v>1227574.4000000001</v>
      </c>
      <c r="AB38" s="95">
        <f t="shared" si="9"/>
        <v>1198019.68</v>
      </c>
      <c r="AC38" s="95">
        <f t="shared" si="9"/>
        <v>654885.92000000004</v>
      </c>
      <c r="AD38" s="95">
        <f t="shared" si="9"/>
        <v>511349.28000000009</v>
      </c>
      <c r="AE38" s="95">
        <f t="shared" si="9"/>
        <v>1299342.72</v>
      </c>
      <c r="AF38" s="95">
        <f t="shared" ref="AF38" si="10">AF36*104</f>
        <v>1236931.2800000003</v>
      </c>
    </row>
    <row r="39" spans="1:32" x14ac:dyDescent="0.25">
      <c r="A39" s="94" t="s">
        <v>95</v>
      </c>
      <c r="B39" s="93">
        <f t="shared" si="0"/>
        <v>627384.4600000002</v>
      </c>
      <c r="C39" s="95">
        <f>C36*2</f>
        <v>25093.74</v>
      </c>
      <c r="D39" s="95">
        <f t="shared" ref="D39:AD39" si="11">D36*2</f>
        <v>25292.160000000003</v>
      </c>
      <c r="E39" s="95">
        <f t="shared" si="11"/>
        <v>24480.36</v>
      </c>
      <c r="F39" s="95">
        <f t="shared" si="11"/>
        <v>25033.380000000005</v>
      </c>
      <c r="G39" s="95">
        <f t="shared" si="11"/>
        <v>24860.86</v>
      </c>
      <c r="H39" s="95">
        <f t="shared" si="11"/>
        <v>12593.960000000001</v>
      </c>
      <c r="I39" s="95">
        <f t="shared" si="11"/>
        <v>9833.6400000000012</v>
      </c>
      <c r="J39" s="95">
        <f t="shared" si="11"/>
        <v>24215.800000000003</v>
      </c>
      <c r="K39" s="95">
        <f t="shared" si="11"/>
        <v>24175.559999999998</v>
      </c>
      <c r="L39" s="95">
        <f t="shared" si="11"/>
        <v>23713.580000000005</v>
      </c>
      <c r="M39" s="95">
        <f t="shared" si="11"/>
        <v>24251.260000000002</v>
      </c>
      <c r="N39" s="95">
        <f t="shared" si="11"/>
        <v>24003.040000000001</v>
      </c>
      <c r="O39" s="95">
        <f t="shared" si="11"/>
        <v>12593.960000000001</v>
      </c>
      <c r="P39" s="95">
        <f t="shared" si="11"/>
        <v>9833.6400000000012</v>
      </c>
      <c r="Q39" s="95">
        <f t="shared" si="11"/>
        <v>24434.34</v>
      </c>
      <c r="R39" s="95">
        <f t="shared" si="11"/>
        <v>24728.58</v>
      </c>
      <c r="S39" s="95">
        <f t="shared" si="11"/>
        <v>24951.9</v>
      </c>
      <c r="T39" s="95">
        <f t="shared" si="11"/>
        <v>25195.340000000004</v>
      </c>
      <c r="U39" s="95">
        <f t="shared" si="11"/>
        <v>24261.82</v>
      </c>
      <c r="V39" s="95">
        <f t="shared" si="11"/>
        <v>12593.960000000001</v>
      </c>
      <c r="W39" s="95">
        <f t="shared" si="11"/>
        <v>9833.6400000000012</v>
      </c>
      <c r="X39" s="95">
        <f t="shared" si="11"/>
        <v>24571.4</v>
      </c>
      <c r="Y39" s="95">
        <f t="shared" si="11"/>
        <v>24434.340000000004</v>
      </c>
      <c r="Z39" s="95">
        <f t="shared" si="11"/>
        <v>24556.06</v>
      </c>
      <c r="AA39" s="95">
        <f t="shared" si="11"/>
        <v>23607.200000000001</v>
      </c>
      <c r="AB39" s="95">
        <f t="shared" si="11"/>
        <v>23038.84</v>
      </c>
      <c r="AC39" s="95">
        <f t="shared" si="11"/>
        <v>12593.960000000001</v>
      </c>
      <c r="AD39" s="95">
        <f t="shared" si="11"/>
        <v>9833.6400000000012</v>
      </c>
      <c r="AE39" s="95">
        <f t="shared" ref="AE39:AF39" si="12">AE36*2</f>
        <v>24987.360000000001</v>
      </c>
      <c r="AF39" s="95">
        <f t="shared" si="12"/>
        <v>23787.140000000003</v>
      </c>
    </row>
    <row r="40" spans="1:32" x14ac:dyDescent="0.25">
      <c r="A40" s="94" t="s">
        <v>96</v>
      </c>
      <c r="B40" s="93">
        <f t="shared" si="0"/>
        <v>2671198</v>
      </c>
      <c r="C40" s="95">
        <f>+C35*362</f>
        <v>106428</v>
      </c>
      <c r="D40" s="95">
        <f t="shared" ref="D40:AD40" si="13">+D35*362</f>
        <v>107152</v>
      </c>
      <c r="E40" s="95">
        <f t="shared" si="13"/>
        <v>103894</v>
      </c>
      <c r="F40" s="95">
        <f t="shared" si="13"/>
        <v>106066</v>
      </c>
      <c r="G40" s="95">
        <f t="shared" si="13"/>
        <v>105342</v>
      </c>
      <c r="H40" s="95">
        <f t="shared" si="13"/>
        <v>52852</v>
      </c>
      <c r="I40" s="95">
        <f t="shared" si="13"/>
        <v>41268</v>
      </c>
      <c r="J40" s="95">
        <f t="shared" si="13"/>
        <v>103170</v>
      </c>
      <c r="K40" s="95">
        <f t="shared" si="13"/>
        <v>102808</v>
      </c>
      <c r="L40" s="95">
        <f t="shared" si="13"/>
        <v>101360</v>
      </c>
      <c r="M40" s="95">
        <f t="shared" si="13"/>
        <v>103532</v>
      </c>
      <c r="N40" s="95">
        <f t="shared" si="13"/>
        <v>102808</v>
      </c>
      <c r="O40" s="95">
        <f t="shared" si="13"/>
        <v>52852</v>
      </c>
      <c r="P40" s="95">
        <f t="shared" si="13"/>
        <v>41268</v>
      </c>
      <c r="Q40" s="95">
        <f t="shared" si="13"/>
        <v>104256</v>
      </c>
      <c r="R40" s="95">
        <f t="shared" si="13"/>
        <v>105704</v>
      </c>
      <c r="S40" s="95">
        <f t="shared" si="13"/>
        <v>106428</v>
      </c>
      <c r="T40" s="95">
        <f t="shared" si="13"/>
        <v>108238</v>
      </c>
      <c r="U40" s="95">
        <f t="shared" si="13"/>
        <v>103532</v>
      </c>
      <c r="V40" s="95">
        <f t="shared" si="13"/>
        <v>52852</v>
      </c>
      <c r="W40" s="95">
        <f t="shared" si="13"/>
        <v>41268</v>
      </c>
      <c r="X40" s="95">
        <f t="shared" si="13"/>
        <v>104980</v>
      </c>
      <c r="Y40" s="95">
        <f t="shared" si="13"/>
        <v>104980</v>
      </c>
      <c r="Z40" s="95">
        <f t="shared" si="13"/>
        <v>104980</v>
      </c>
      <c r="AA40" s="95">
        <f t="shared" si="13"/>
        <v>101360</v>
      </c>
      <c r="AB40" s="95">
        <f t="shared" si="13"/>
        <v>98464</v>
      </c>
      <c r="AC40" s="95">
        <f t="shared" si="13"/>
        <v>52852</v>
      </c>
      <c r="AD40" s="95">
        <f t="shared" si="13"/>
        <v>41268</v>
      </c>
      <c r="AE40" s="95">
        <f t="shared" ref="AE40:AF40" si="14">+AE35*362</f>
        <v>106790</v>
      </c>
      <c r="AF40" s="95">
        <f t="shared" si="14"/>
        <v>102446</v>
      </c>
    </row>
    <row r="41" spans="1:32" ht="14.25" customHeight="1" x14ac:dyDescent="0.25">
      <c r="A41" s="96" t="s">
        <v>97</v>
      </c>
      <c r="B41" s="249">
        <f t="shared" si="0"/>
        <v>24875793.839000009</v>
      </c>
      <c r="C41" s="95">
        <f>C36*79.3</f>
        <v>994966.79100000008</v>
      </c>
      <c r="D41" s="95">
        <f t="shared" ref="D41:AD41" si="15">D36*79.3</f>
        <v>1002834.1440000001</v>
      </c>
      <c r="E41" s="95">
        <f t="shared" si="15"/>
        <v>970646.27399999998</v>
      </c>
      <c r="F41" s="95">
        <f t="shared" si="15"/>
        <v>992573.51700000011</v>
      </c>
      <c r="G41" s="95">
        <f t="shared" si="15"/>
        <v>985733.09900000005</v>
      </c>
      <c r="H41" s="95">
        <f t="shared" si="15"/>
        <v>499350.51400000002</v>
      </c>
      <c r="I41" s="95">
        <f t="shared" si="15"/>
        <v>389903.82600000006</v>
      </c>
      <c r="J41" s="95">
        <f t="shared" si="15"/>
        <v>960156.47000000009</v>
      </c>
      <c r="K41" s="95">
        <f t="shared" si="15"/>
        <v>958560.95399999991</v>
      </c>
      <c r="L41" s="95">
        <f t="shared" si="15"/>
        <v>940243.44700000016</v>
      </c>
      <c r="M41" s="95">
        <f t="shared" si="15"/>
        <v>961562.45900000003</v>
      </c>
      <c r="N41" s="95">
        <f t="shared" si="15"/>
        <v>951720.53599999996</v>
      </c>
      <c r="O41" s="95">
        <f t="shared" si="15"/>
        <v>499350.51400000002</v>
      </c>
      <c r="P41" s="95">
        <f t="shared" si="15"/>
        <v>389903.82600000006</v>
      </c>
      <c r="Q41" s="95">
        <f t="shared" si="15"/>
        <v>968821.58100000001</v>
      </c>
      <c r="R41" s="95">
        <f t="shared" si="15"/>
        <v>980488.19700000004</v>
      </c>
      <c r="S41" s="95">
        <f t="shared" si="15"/>
        <v>989342.83500000008</v>
      </c>
      <c r="T41" s="95">
        <f t="shared" si="15"/>
        <v>998995.23100000015</v>
      </c>
      <c r="U41" s="95">
        <f t="shared" si="15"/>
        <v>961981.16299999994</v>
      </c>
      <c r="V41" s="95">
        <f t="shared" si="15"/>
        <v>499350.51400000002</v>
      </c>
      <c r="W41" s="95">
        <f t="shared" si="15"/>
        <v>389903.82600000006</v>
      </c>
      <c r="X41" s="95">
        <f t="shared" si="15"/>
        <v>974256.01</v>
      </c>
      <c r="Y41" s="95">
        <f t="shared" si="15"/>
        <v>968821.58100000012</v>
      </c>
      <c r="Z41" s="95">
        <f t="shared" si="15"/>
        <v>973647.77899999998</v>
      </c>
      <c r="AA41" s="95">
        <f t="shared" si="15"/>
        <v>936025.48</v>
      </c>
      <c r="AB41" s="95">
        <f t="shared" si="15"/>
        <v>913490.00599999994</v>
      </c>
      <c r="AC41" s="95">
        <f>AC36*79.3</f>
        <v>499350.51400000002</v>
      </c>
      <c r="AD41" s="95">
        <f t="shared" si="15"/>
        <v>389903.82600000006</v>
      </c>
      <c r="AE41" s="95">
        <f t="shared" ref="AE41:AF41" si="16">AE36*79.3</f>
        <v>990748.82400000002</v>
      </c>
      <c r="AF41" s="95">
        <f t="shared" si="16"/>
        <v>943160.10100000014</v>
      </c>
    </row>
    <row r="42" spans="1:32" x14ac:dyDescent="0.25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95"/>
      <c r="O42" s="8"/>
    </row>
    <row r="43" spans="1:32" x14ac:dyDescent="0.25">
      <c r="C43" s="8"/>
      <c r="D43" s="8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 spans="1:32" x14ac:dyDescent="0.25">
      <c r="C44" s="8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 spans="1:32" x14ac:dyDescent="0.25">
      <c r="E45" s="44"/>
      <c r="F45" s="139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39"/>
      <c r="Y45" s="44"/>
    </row>
    <row r="46" spans="1:32" x14ac:dyDescent="0.25">
      <c r="E46" s="44"/>
      <c r="F46" s="139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39"/>
      <c r="Y46" s="44"/>
    </row>
    <row r="47" spans="1:32" x14ac:dyDescent="0.25">
      <c r="E47" s="44">
        <v>313692.2300000001</v>
      </c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87"/>
      <c r="R47" s="44"/>
      <c r="S47" s="44"/>
      <c r="T47" s="44"/>
      <c r="U47" s="44"/>
      <c r="V47" s="44"/>
      <c r="W47" s="44"/>
      <c r="X47" s="44"/>
      <c r="Y47" s="44"/>
    </row>
    <row r="48" spans="1:32" x14ac:dyDescent="0.25">
      <c r="Q48" s="87"/>
    </row>
    <row r="49" spans="17:17" x14ac:dyDescent="0.25">
      <c r="Q49" s="87"/>
    </row>
    <row r="50" spans="17:17" x14ac:dyDescent="0.25">
      <c r="Q50" s="87"/>
    </row>
    <row r="51" spans="17:17" x14ac:dyDescent="0.25">
      <c r="Q51" s="87"/>
    </row>
    <row r="52" spans="17:17" x14ac:dyDescent="0.25">
      <c r="Q52" s="87"/>
    </row>
    <row r="53" spans="17:17" x14ac:dyDescent="0.25">
      <c r="Q53" s="87"/>
    </row>
    <row r="54" spans="17:17" x14ac:dyDescent="0.25">
      <c r="Q54" s="87"/>
    </row>
    <row r="55" spans="17:17" x14ac:dyDescent="0.25">
      <c r="Q55" s="87"/>
    </row>
    <row r="56" spans="17:17" x14ac:dyDescent="0.25">
      <c r="Q56" s="87"/>
    </row>
    <row r="57" spans="17:17" x14ac:dyDescent="0.25">
      <c r="Q57" s="87"/>
    </row>
    <row r="58" spans="17:17" x14ac:dyDescent="0.25">
      <c r="Q58" s="8"/>
    </row>
    <row r="59" spans="17:17" x14ac:dyDescent="0.25">
      <c r="Q59" s="8"/>
    </row>
  </sheetData>
  <pageMargins left="0.7" right="0.7" top="0.75" bottom="0.75" header="0.3" footer="0.3"/>
  <pageSetup orientation="portrait" r:id="rId1"/>
  <ignoredErrors>
    <ignoredError sqref="K34:K35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G76"/>
  <sheetViews>
    <sheetView zoomScaleNormal="100" workbookViewId="0">
      <selection activeCell="BJ3" sqref="BJ3:BK22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3" x14ac:dyDescent="0.25">
      <c r="C1" s="8"/>
      <c r="D1" s="350">
        <v>45383</v>
      </c>
      <c r="E1" s="350"/>
      <c r="F1" s="350">
        <v>45384</v>
      </c>
      <c r="G1" s="350"/>
      <c r="H1" s="350">
        <v>45385</v>
      </c>
      <c r="I1" s="350"/>
      <c r="J1" s="350">
        <v>45386</v>
      </c>
      <c r="K1" s="350"/>
      <c r="L1" s="350">
        <v>45387</v>
      </c>
      <c r="M1" s="350"/>
      <c r="N1" s="350">
        <v>45388</v>
      </c>
      <c r="O1" s="350"/>
      <c r="P1" s="350">
        <v>45389</v>
      </c>
      <c r="Q1" s="350"/>
      <c r="R1" s="350">
        <v>45390</v>
      </c>
      <c r="S1" s="350"/>
      <c r="T1" s="350">
        <v>45391</v>
      </c>
      <c r="U1" s="350"/>
      <c r="V1" s="350">
        <v>45392</v>
      </c>
      <c r="W1" s="350"/>
      <c r="X1" s="350">
        <v>45393</v>
      </c>
      <c r="Y1" s="350"/>
      <c r="Z1" s="350">
        <v>45394</v>
      </c>
      <c r="AA1" s="350"/>
      <c r="AB1" s="350">
        <v>45395</v>
      </c>
      <c r="AC1" s="350"/>
      <c r="AD1" s="350">
        <v>45396</v>
      </c>
      <c r="AE1" s="350"/>
      <c r="AF1" s="350">
        <v>45397</v>
      </c>
      <c r="AG1" s="350"/>
      <c r="AH1" s="350">
        <v>45398</v>
      </c>
      <c r="AI1" s="350"/>
      <c r="AJ1" s="350">
        <v>45399</v>
      </c>
      <c r="AK1" s="350"/>
      <c r="AL1" s="350">
        <v>45400</v>
      </c>
      <c r="AM1" s="350"/>
      <c r="AN1" s="350">
        <v>45401</v>
      </c>
      <c r="AO1" s="350"/>
      <c r="AP1" s="350">
        <v>45402</v>
      </c>
      <c r="AQ1" s="350"/>
      <c r="AR1" s="350">
        <v>45403</v>
      </c>
      <c r="AS1" s="350"/>
      <c r="AT1" s="350">
        <v>45404</v>
      </c>
      <c r="AU1" s="350"/>
      <c r="AV1" s="350">
        <v>45405</v>
      </c>
      <c r="AW1" s="350"/>
      <c r="AX1" s="350">
        <v>45406</v>
      </c>
      <c r="AY1" s="350"/>
      <c r="AZ1" s="350">
        <v>45407</v>
      </c>
      <c r="BA1" s="350"/>
      <c r="BB1" s="350">
        <v>45408</v>
      </c>
      <c r="BC1" s="350"/>
      <c r="BD1" s="350">
        <v>45409</v>
      </c>
      <c r="BE1" s="350"/>
      <c r="BF1" s="350">
        <v>45410</v>
      </c>
      <c r="BG1" s="350"/>
      <c r="BH1" s="350">
        <v>45411</v>
      </c>
      <c r="BI1" s="350"/>
      <c r="BJ1" s="350">
        <v>45412</v>
      </c>
      <c r="BK1" s="350"/>
    </row>
    <row r="2" spans="1:63" ht="15.75" thickBot="1" x14ac:dyDescent="0.3">
      <c r="C2" s="8"/>
      <c r="D2" s="45" t="s">
        <v>71</v>
      </c>
      <c r="E2" s="46" t="s">
        <v>72</v>
      </c>
      <c r="F2" s="45" t="s">
        <v>71</v>
      </c>
      <c r="G2" s="46" t="s">
        <v>72</v>
      </c>
      <c r="H2" s="47" t="s">
        <v>71</v>
      </c>
      <c r="I2" s="48" t="s">
        <v>72</v>
      </c>
      <c r="J2" s="47" t="s">
        <v>71</v>
      </c>
      <c r="K2" s="48" t="s">
        <v>72</v>
      </c>
      <c r="L2" s="47" t="s">
        <v>71</v>
      </c>
      <c r="M2" s="48" t="s">
        <v>72</v>
      </c>
      <c r="N2" s="47" t="s">
        <v>71</v>
      </c>
      <c r="O2" s="49" t="s">
        <v>72</v>
      </c>
      <c r="P2" s="50" t="s">
        <v>71</v>
      </c>
      <c r="Q2" s="51" t="s">
        <v>72</v>
      </c>
      <c r="R2" s="52" t="s">
        <v>71</v>
      </c>
      <c r="S2" s="48" t="s">
        <v>72</v>
      </c>
      <c r="T2" s="47" t="s">
        <v>71</v>
      </c>
      <c r="U2" s="48" t="s">
        <v>72</v>
      </c>
      <c r="V2" s="47" t="s">
        <v>71</v>
      </c>
      <c r="W2" s="48" t="s">
        <v>72</v>
      </c>
      <c r="X2" s="47" t="s">
        <v>71</v>
      </c>
      <c r="Y2" s="48" t="s">
        <v>72</v>
      </c>
      <c r="Z2" s="47" t="s">
        <v>71</v>
      </c>
      <c r="AA2" s="48" t="s">
        <v>72</v>
      </c>
      <c r="AB2" s="47" t="s">
        <v>71</v>
      </c>
      <c r="AC2" s="48" t="s">
        <v>72</v>
      </c>
      <c r="AD2" s="47" t="s">
        <v>71</v>
      </c>
      <c r="AE2" s="48" t="s">
        <v>72</v>
      </c>
      <c r="AF2" s="47" t="s">
        <v>71</v>
      </c>
      <c r="AG2" s="48" t="s">
        <v>72</v>
      </c>
      <c r="AH2" s="47" t="s">
        <v>71</v>
      </c>
      <c r="AI2" s="48" t="s">
        <v>72</v>
      </c>
      <c r="AJ2" s="47" t="s">
        <v>71</v>
      </c>
      <c r="AK2" s="48" t="s">
        <v>72</v>
      </c>
      <c r="AL2" s="47" t="s">
        <v>71</v>
      </c>
      <c r="AM2" s="48" t="s">
        <v>72</v>
      </c>
      <c r="AN2" s="47" t="s">
        <v>71</v>
      </c>
      <c r="AO2" s="48" t="s">
        <v>72</v>
      </c>
      <c r="AP2" s="47" t="s">
        <v>71</v>
      </c>
      <c r="AQ2" s="48" t="s">
        <v>72</v>
      </c>
      <c r="AR2" s="47" t="s">
        <v>71</v>
      </c>
      <c r="AS2" s="48" t="s">
        <v>72</v>
      </c>
      <c r="AT2" s="47" t="s">
        <v>71</v>
      </c>
      <c r="AU2" s="48" t="s">
        <v>72</v>
      </c>
      <c r="AV2" s="47" t="s">
        <v>71</v>
      </c>
      <c r="AW2" s="48" t="s">
        <v>72</v>
      </c>
      <c r="AX2" s="52" t="s">
        <v>71</v>
      </c>
      <c r="AY2" s="53" t="s">
        <v>72</v>
      </c>
      <c r="AZ2" s="53" t="s">
        <v>71</v>
      </c>
      <c r="BA2" s="53" t="s">
        <v>72</v>
      </c>
      <c r="BB2" s="53" t="s">
        <v>71</v>
      </c>
      <c r="BC2" s="53" t="s">
        <v>72</v>
      </c>
      <c r="BD2" s="53" t="s">
        <v>71</v>
      </c>
      <c r="BE2" s="53" t="s">
        <v>72</v>
      </c>
      <c r="BF2" s="53" t="s">
        <v>71</v>
      </c>
      <c r="BG2" s="53" t="s">
        <v>72</v>
      </c>
      <c r="BH2" s="47" t="s">
        <v>71</v>
      </c>
      <c r="BI2" s="48" t="s">
        <v>72</v>
      </c>
      <c r="BJ2" s="47" t="s">
        <v>71</v>
      </c>
      <c r="BK2" s="48" t="s">
        <v>72</v>
      </c>
    </row>
    <row r="3" spans="1:63" ht="15.75" thickBot="1" x14ac:dyDescent="0.3">
      <c r="A3" s="67" t="s">
        <v>73</v>
      </c>
      <c r="B3" s="68"/>
      <c r="C3" s="8"/>
      <c r="D3" s="163">
        <v>0</v>
      </c>
      <c r="E3" s="163">
        <v>0</v>
      </c>
      <c r="F3" s="163">
        <v>0</v>
      </c>
      <c r="G3" s="163">
        <v>0</v>
      </c>
      <c r="H3" s="163">
        <v>0</v>
      </c>
      <c r="I3" s="163">
        <v>0</v>
      </c>
      <c r="J3" s="163">
        <v>0</v>
      </c>
      <c r="K3" s="163">
        <v>0</v>
      </c>
      <c r="L3" s="163">
        <v>0</v>
      </c>
      <c r="M3" s="163">
        <v>0</v>
      </c>
      <c r="N3" s="141">
        <v>0</v>
      </c>
      <c r="O3" s="141">
        <v>0</v>
      </c>
      <c r="P3" s="142">
        <v>0</v>
      </c>
      <c r="Q3" s="142">
        <v>0</v>
      </c>
      <c r="R3" s="163">
        <v>0</v>
      </c>
      <c r="S3" s="163">
        <v>0</v>
      </c>
      <c r="T3" s="163">
        <v>0</v>
      </c>
      <c r="U3" s="163">
        <v>0</v>
      </c>
      <c r="V3" s="163">
        <v>0</v>
      </c>
      <c r="W3" s="163">
        <v>0</v>
      </c>
      <c r="X3" s="163">
        <v>0</v>
      </c>
      <c r="Y3" s="163">
        <v>0</v>
      </c>
      <c r="Z3" s="163">
        <v>0</v>
      </c>
      <c r="AA3" s="163">
        <v>0</v>
      </c>
      <c r="AB3" s="141">
        <v>0</v>
      </c>
      <c r="AC3" s="141">
        <v>0</v>
      </c>
      <c r="AD3" s="142">
        <v>0</v>
      </c>
      <c r="AE3" s="142">
        <v>0</v>
      </c>
      <c r="AF3" s="163">
        <v>0</v>
      </c>
      <c r="AG3" s="163">
        <v>0</v>
      </c>
      <c r="AH3" s="163">
        <v>0</v>
      </c>
      <c r="AI3" s="163">
        <v>0</v>
      </c>
      <c r="AJ3" s="163">
        <v>0</v>
      </c>
      <c r="AK3" s="163">
        <v>0</v>
      </c>
      <c r="AL3" s="163">
        <v>0</v>
      </c>
      <c r="AM3" s="163">
        <v>0</v>
      </c>
      <c r="AN3" s="163">
        <v>0</v>
      </c>
      <c r="AO3" s="163">
        <v>0</v>
      </c>
      <c r="AP3" s="141">
        <v>0</v>
      </c>
      <c r="AQ3" s="141">
        <v>0</v>
      </c>
      <c r="AR3" s="142">
        <v>0</v>
      </c>
      <c r="AS3" s="142">
        <v>0</v>
      </c>
      <c r="AT3" s="163">
        <v>0</v>
      </c>
      <c r="AU3" s="163">
        <v>0</v>
      </c>
      <c r="AV3" s="163">
        <v>0</v>
      </c>
      <c r="AW3" s="163">
        <v>0</v>
      </c>
      <c r="AX3" s="163">
        <v>0</v>
      </c>
      <c r="AY3" s="163">
        <v>0</v>
      </c>
      <c r="AZ3" s="163">
        <v>0</v>
      </c>
      <c r="BA3" s="163">
        <v>0</v>
      </c>
      <c r="BB3" s="163">
        <v>0</v>
      </c>
      <c r="BC3" s="163">
        <v>0</v>
      </c>
      <c r="BD3" s="141">
        <v>0</v>
      </c>
      <c r="BE3" s="141">
        <v>0</v>
      </c>
      <c r="BF3" s="142">
        <v>0</v>
      </c>
      <c r="BG3" s="142">
        <v>0</v>
      </c>
      <c r="BH3" s="163">
        <v>0</v>
      </c>
      <c r="BI3" s="163">
        <v>0</v>
      </c>
      <c r="BJ3" s="163">
        <v>0</v>
      </c>
      <c r="BK3" s="163">
        <v>0</v>
      </c>
    </row>
    <row r="4" spans="1:63" s="130" customFormat="1" x14ac:dyDescent="0.25">
      <c r="A4" s="67" t="s">
        <v>123</v>
      </c>
      <c r="B4" s="162"/>
      <c r="C4" s="8"/>
      <c r="D4" s="163">
        <v>0</v>
      </c>
      <c r="E4" s="163">
        <v>0</v>
      </c>
      <c r="F4" s="163">
        <v>0</v>
      </c>
      <c r="G4" s="163">
        <v>0</v>
      </c>
      <c r="H4" s="163">
        <v>0</v>
      </c>
      <c r="I4" s="163">
        <v>0</v>
      </c>
      <c r="J4" s="163">
        <v>0</v>
      </c>
      <c r="K4" s="163">
        <v>0</v>
      </c>
      <c r="L4" s="163">
        <v>0</v>
      </c>
      <c r="M4" s="163">
        <v>0</v>
      </c>
      <c r="N4" s="141">
        <v>0</v>
      </c>
      <c r="O4" s="141">
        <v>0</v>
      </c>
      <c r="P4" s="142">
        <v>0</v>
      </c>
      <c r="Q4" s="142">
        <v>0</v>
      </c>
      <c r="R4" s="163">
        <v>0</v>
      </c>
      <c r="S4" s="163">
        <v>0</v>
      </c>
      <c r="T4" s="163">
        <v>0</v>
      </c>
      <c r="U4" s="163">
        <v>0</v>
      </c>
      <c r="V4" s="163">
        <v>0</v>
      </c>
      <c r="W4" s="163">
        <v>0</v>
      </c>
      <c r="X4" s="163">
        <v>0</v>
      </c>
      <c r="Y4" s="163">
        <v>0</v>
      </c>
      <c r="Z4" s="163">
        <v>0</v>
      </c>
      <c r="AA4" s="163">
        <v>0</v>
      </c>
      <c r="AB4" s="141">
        <v>0</v>
      </c>
      <c r="AC4" s="141">
        <v>0</v>
      </c>
      <c r="AD4" s="142">
        <v>0</v>
      </c>
      <c r="AE4" s="142">
        <v>0</v>
      </c>
      <c r="AF4" s="163">
        <v>0</v>
      </c>
      <c r="AG4" s="163">
        <v>0</v>
      </c>
      <c r="AH4" s="163">
        <v>0</v>
      </c>
      <c r="AI4" s="163">
        <v>0</v>
      </c>
      <c r="AJ4" s="163">
        <v>0</v>
      </c>
      <c r="AK4" s="163">
        <v>0</v>
      </c>
      <c r="AL4" s="163">
        <v>0</v>
      </c>
      <c r="AM4" s="163">
        <v>0</v>
      </c>
      <c r="AN4" s="163">
        <v>0</v>
      </c>
      <c r="AO4" s="163">
        <v>0</v>
      </c>
      <c r="AP4" s="141">
        <v>0</v>
      </c>
      <c r="AQ4" s="141">
        <v>0</v>
      </c>
      <c r="AR4" s="142">
        <v>0</v>
      </c>
      <c r="AS4" s="142">
        <v>0</v>
      </c>
      <c r="AT4" s="163">
        <v>0</v>
      </c>
      <c r="AU4" s="163">
        <v>0</v>
      </c>
      <c r="AV4" s="163">
        <v>0</v>
      </c>
      <c r="AW4" s="163">
        <v>0</v>
      </c>
      <c r="AX4" s="163">
        <v>0</v>
      </c>
      <c r="AY4" s="163">
        <v>0</v>
      </c>
      <c r="AZ4" s="163">
        <v>0</v>
      </c>
      <c r="BA4" s="163">
        <v>0</v>
      </c>
      <c r="BB4" s="163">
        <v>0</v>
      </c>
      <c r="BC4" s="163">
        <v>0</v>
      </c>
      <c r="BD4" s="141">
        <v>0</v>
      </c>
      <c r="BE4" s="141">
        <v>0</v>
      </c>
      <c r="BF4" s="142">
        <v>0</v>
      </c>
      <c r="BG4" s="142">
        <v>0</v>
      </c>
      <c r="BH4" s="163">
        <v>0</v>
      </c>
      <c r="BI4" s="163">
        <v>0</v>
      </c>
      <c r="BJ4" s="163">
        <v>0</v>
      </c>
      <c r="BK4" s="163">
        <v>0</v>
      </c>
    </row>
    <row r="5" spans="1:63" x14ac:dyDescent="0.25">
      <c r="A5" s="69" t="s">
        <v>74</v>
      </c>
      <c r="B5" s="70"/>
      <c r="C5" s="8"/>
      <c r="D5" s="163">
        <v>1</v>
      </c>
      <c r="E5" s="163">
        <v>14</v>
      </c>
      <c r="F5" s="163">
        <v>1</v>
      </c>
      <c r="G5" s="163">
        <v>14</v>
      </c>
      <c r="H5" s="163">
        <v>2</v>
      </c>
      <c r="I5" s="163">
        <v>13</v>
      </c>
      <c r="J5" s="163">
        <v>1</v>
      </c>
      <c r="K5" s="163">
        <v>14</v>
      </c>
      <c r="L5" s="163">
        <v>1</v>
      </c>
      <c r="M5" s="163">
        <v>14</v>
      </c>
      <c r="N5" s="141">
        <v>0</v>
      </c>
      <c r="O5" s="141">
        <v>0</v>
      </c>
      <c r="P5" s="142">
        <v>0</v>
      </c>
      <c r="Q5" s="142">
        <v>0</v>
      </c>
      <c r="R5" s="163">
        <v>1</v>
      </c>
      <c r="S5" s="163">
        <v>14</v>
      </c>
      <c r="T5" s="163">
        <v>3</v>
      </c>
      <c r="U5" s="163">
        <v>12</v>
      </c>
      <c r="V5" s="163">
        <v>5</v>
      </c>
      <c r="W5" s="163">
        <v>10</v>
      </c>
      <c r="X5" s="163">
        <v>3</v>
      </c>
      <c r="Y5" s="163">
        <v>12</v>
      </c>
      <c r="Z5" s="163">
        <v>3</v>
      </c>
      <c r="AA5" s="163">
        <v>12</v>
      </c>
      <c r="AB5" s="141">
        <v>0</v>
      </c>
      <c r="AC5" s="141">
        <v>0</v>
      </c>
      <c r="AD5" s="142">
        <v>0</v>
      </c>
      <c r="AE5" s="142">
        <v>0</v>
      </c>
      <c r="AF5" s="163">
        <v>2</v>
      </c>
      <c r="AG5" s="163">
        <v>13</v>
      </c>
      <c r="AH5" s="163">
        <v>3</v>
      </c>
      <c r="AI5" s="163">
        <v>12</v>
      </c>
      <c r="AJ5" s="163">
        <v>1</v>
      </c>
      <c r="AK5" s="163">
        <v>14</v>
      </c>
      <c r="AL5" s="163">
        <v>1</v>
      </c>
      <c r="AM5" s="163">
        <v>14</v>
      </c>
      <c r="AN5" s="163">
        <v>1</v>
      </c>
      <c r="AO5" s="163">
        <v>14</v>
      </c>
      <c r="AP5" s="141">
        <v>0</v>
      </c>
      <c r="AQ5" s="141">
        <v>0</v>
      </c>
      <c r="AR5" s="142">
        <v>0</v>
      </c>
      <c r="AS5" s="142">
        <v>0</v>
      </c>
      <c r="AT5" s="163">
        <v>1</v>
      </c>
      <c r="AU5" s="163">
        <v>14</v>
      </c>
      <c r="AV5" s="163">
        <v>1</v>
      </c>
      <c r="AW5" s="163">
        <v>14</v>
      </c>
      <c r="AX5" s="163">
        <v>1</v>
      </c>
      <c r="AY5" s="163">
        <v>14</v>
      </c>
      <c r="AZ5" s="163">
        <v>1</v>
      </c>
      <c r="BA5" s="163">
        <v>14</v>
      </c>
      <c r="BB5" s="163">
        <v>1</v>
      </c>
      <c r="BC5" s="163">
        <v>11</v>
      </c>
      <c r="BD5" s="141">
        <v>0</v>
      </c>
      <c r="BE5" s="141">
        <v>0</v>
      </c>
      <c r="BF5" s="142">
        <v>0</v>
      </c>
      <c r="BG5" s="142">
        <v>0</v>
      </c>
      <c r="BH5" s="163">
        <v>1</v>
      </c>
      <c r="BI5" s="163">
        <v>14</v>
      </c>
      <c r="BJ5" s="163">
        <v>0</v>
      </c>
      <c r="BK5" s="163">
        <v>12</v>
      </c>
    </row>
    <row r="6" spans="1:63" x14ac:dyDescent="0.25">
      <c r="A6" s="69" t="s">
        <v>75</v>
      </c>
      <c r="B6" s="70"/>
      <c r="C6" s="8"/>
      <c r="D6" s="163">
        <v>0</v>
      </c>
      <c r="E6" s="163">
        <v>0</v>
      </c>
      <c r="F6" s="163">
        <v>0</v>
      </c>
      <c r="G6" s="163">
        <v>0</v>
      </c>
      <c r="H6" s="163">
        <v>0</v>
      </c>
      <c r="I6" s="163">
        <v>0</v>
      </c>
      <c r="J6" s="163">
        <v>0</v>
      </c>
      <c r="K6" s="163">
        <v>0</v>
      </c>
      <c r="L6" s="163">
        <v>0</v>
      </c>
      <c r="M6" s="163">
        <v>0</v>
      </c>
      <c r="N6" s="141">
        <v>0</v>
      </c>
      <c r="O6" s="141">
        <v>0</v>
      </c>
      <c r="P6" s="142">
        <v>0</v>
      </c>
      <c r="Q6" s="142">
        <v>0</v>
      </c>
      <c r="R6" s="163">
        <v>0</v>
      </c>
      <c r="S6" s="163">
        <v>0</v>
      </c>
      <c r="T6" s="163">
        <v>0</v>
      </c>
      <c r="U6" s="163">
        <v>0</v>
      </c>
      <c r="V6" s="163">
        <v>0</v>
      </c>
      <c r="W6" s="163">
        <v>0</v>
      </c>
      <c r="X6" s="163">
        <v>0</v>
      </c>
      <c r="Y6" s="163">
        <v>0</v>
      </c>
      <c r="Z6" s="163">
        <v>0</v>
      </c>
      <c r="AA6" s="163">
        <v>0</v>
      </c>
      <c r="AB6" s="141">
        <v>0</v>
      </c>
      <c r="AC6" s="141">
        <v>0</v>
      </c>
      <c r="AD6" s="142">
        <v>0</v>
      </c>
      <c r="AE6" s="142">
        <v>0</v>
      </c>
      <c r="AF6" s="163">
        <v>0</v>
      </c>
      <c r="AG6" s="163">
        <v>0</v>
      </c>
      <c r="AH6" s="163">
        <v>0</v>
      </c>
      <c r="AI6" s="163">
        <v>0</v>
      </c>
      <c r="AJ6" s="163">
        <v>0</v>
      </c>
      <c r="AK6" s="163">
        <v>0</v>
      </c>
      <c r="AL6" s="163">
        <v>0</v>
      </c>
      <c r="AM6" s="163">
        <v>0</v>
      </c>
      <c r="AN6" s="163">
        <v>0</v>
      </c>
      <c r="AO6" s="163">
        <v>0</v>
      </c>
      <c r="AP6" s="141">
        <v>0</v>
      </c>
      <c r="AQ6" s="141">
        <v>0</v>
      </c>
      <c r="AR6" s="142">
        <v>0</v>
      </c>
      <c r="AS6" s="142">
        <v>0</v>
      </c>
      <c r="AT6" s="163">
        <v>0</v>
      </c>
      <c r="AU6" s="163">
        <v>0</v>
      </c>
      <c r="AV6" s="163">
        <v>0</v>
      </c>
      <c r="AW6" s="163">
        <v>0</v>
      </c>
      <c r="AX6" s="163">
        <v>0</v>
      </c>
      <c r="AY6" s="163">
        <v>0</v>
      </c>
      <c r="AZ6" s="163">
        <v>0</v>
      </c>
      <c r="BA6" s="163">
        <v>0</v>
      </c>
      <c r="BB6" s="163">
        <v>0</v>
      </c>
      <c r="BC6" s="163">
        <v>0</v>
      </c>
      <c r="BD6" s="141">
        <v>0</v>
      </c>
      <c r="BE6" s="141">
        <v>0</v>
      </c>
      <c r="BF6" s="142">
        <v>0</v>
      </c>
      <c r="BG6" s="142">
        <v>0</v>
      </c>
      <c r="BH6" s="163">
        <v>0</v>
      </c>
      <c r="BI6" s="163">
        <v>0</v>
      </c>
      <c r="BJ6" s="163">
        <v>0</v>
      </c>
      <c r="BK6" s="163">
        <v>0</v>
      </c>
    </row>
    <row r="7" spans="1:63" x14ac:dyDescent="0.25">
      <c r="A7" s="69" t="s">
        <v>76</v>
      </c>
      <c r="B7" s="70"/>
      <c r="C7" s="8"/>
      <c r="D7" s="163">
        <v>0</v>
      </c>
      <c r="E7" s="163">
        <v>0</v>
      </c>
      <c r="F7" s="163">
        <v>0</v>
      </c>
      <c r="G7" s="163">
        <v>0</v>
      </c>
      <c r="H7" s="163">
        <v>0</v>
      </c>
      <c r="I7" s="163">
        <v>0</v>
      </c>
      <c r="J7" s="163">
        <v>0</v>
      </c>
      <c r="K7" s="163">
        <v>0</v>
      </c>
      <c r="L7" s="163">
        <v>0</v>
      </c>
      <c r="M7" s="163">
        <v>0</v>
      </c>
      <c r="N7" s="141">
        <v>0</v>
      </c>
      <c r="O7" s="141">
        <v>0</v>
      </c>
      <c r="P7" s="142">
        <v>0</v>
      </c>
      <c r="Q7" s="142">
        <v>0</v>
      </c>
      <c r="R7" s="163">
        <v>0</v>
      </c>
      <c r="S7" s="163">
        <v>0</v>
      </c>
      <c r="T7" s="163">
        <v>0</v>
      </c>
      <c r="U7" s="163">
        <v>0</v>
      </c>
      <c r="V7" s="163">
        <v>0</v>
      </c>
      <c r="W7" s="163">
        <v>0</v>
      </c>
      <c r="X7" s="163">
        <v>0</v>
      </c>
      <c r="Y7" s="163">
        <v>0</v>
      </c>
      <c r="Z7" s="163">
        <v>0</v>
      </c>
      <c r="AA7" s="163">
        <v>0</v>
      </c>
      <c r="AB7" s="141">
        <v>0</v>
      </c>
      <c r="AC7" s="141">
        <v>0</v>
      </c>
      <c r="AD7" s="142">
        <v>0</v>
      </c>
      <c r="AE7" s="142">
        <v>0</v>
      </c>
      <c r="AF7" s="163">
        <v>0</v>
      </c>
      <c r="AG7" s="163">
        <v>0</v>
      </c>
      <c r="AH7" s="163">
        <v>0</v>
      </c>
      <c r="AI7" s="163">
        <v>0</v>
      </c>
      <c r="AJ7" s="163">
        <v>0</v>
      </c>
      <c r="AK7" s="163">
        <v>0</v>
      </c>
      <c r="AL7" s="163">
        <v>0</v>
      </c>
      <c r="AM7" s="163">
        <v>0</v>
      </c>
      <c r="AN7" s="163">
        <v>0</v>
      </c>
      <c r="AO7" s="163">
        <v>0</v>
      </c>
      <c r="AP7" s="141">
        <v>0</v>
      </c>
      <c r="AQ7" s="141">
        <v>0</v>
      </c>
      <c r="AR7" s="142">
        <v>0</v>
      </c>
      <c r="AS7" s="142">
        <v>0</v>
      </c>
      <c r="AT7" s="163">
        <v>0</v>
      </c>
      <c r="AU7" s="163">
        <v>0</v>
      </c>
      <c r="AV7" s="163">
        <v>0</v>
      </c>
      <c r="AW7" s="163">
        <v>0</v>
      </c>
      <c r="AX7" s="163">
        <v>0</v>
      </c>
      <c r="AY7" s="163">
        <v>0</v>
      </c>
      <c r="AZ7" s="163">
        <v>0</v>
      </c>
      <c r="BA7" s="163">
        <v>0</v>
      </c>
      <c r="BB7" s="163">
        <v>0</v>
      </c>
      <c r="BC7" s="163">
        <v>0</v>
      </c>
      <c r="BD7" s="141">
        <v>0</v>
      </c>
      <c r="BE7" s="141">
        <v>0</v>
      </c>
      <c r="BF7" s="142">
        <v>0</v>
      </c>
      <c r="BG7" s="142">
        <v>0</v>
      </c>
      <c r="BH7" s="163">
        <v>0</v>
      </c>
      <c r="BI7" s="163">
        <v>0</v>
      </c>
      <c r="BJ7" s="163">
        <v>0</v>
      </c>
      <c r="BK7" s="163">
        <v>0</v>
      </c>
    </row>
    <row r="8" spans="1:63" ht="15.75" thickBot="1" x14ac:dyDescent="0.3">
      <c r="A8" s="69" t="s">
        <v>77</v>
      </c>
      <c r="B8" s="71"/>
      <c r="C8" s="8"/>
      <c r="D8" s="163">
        <v>3</v>
      </c>
      <c r="E8" s="163">
        <v>11</v>
      </c>
      <c r="F8" s="163">
        <v>3</v>
      </c>
      <c r="G8" s="163">
        <v>11</v>
      </c>
      <c r="H8" s="163">
        <v>4</v>
      </c>
      <c r="I8" s="163">
        <v>10</v>
      </c>
      <c r="J8" s="163">
        <v>3</v>
      </c>
      <c r="K8" s="163">
        <v>11</v>
      </c>
      <c r="L8" s="163">
        <v>3</v>
      </c>
      <c r="M8" s="163">
        <v>11</v>
      </c>
      <c r="N8" s="141">
        <v>0</v>
      </c>
      <c r="O8" s="141">
        <v>0</v>
      </c>
      <c r="P8" s="142">
        <v>0</v>
      </c>
      <c r="Q8" s="142">
        <v>0</v>
      </c>
      <c r="R8" s="163">
        <v>3</v>
      </c>
      <c r="S8" s="163">
        <v>11</v>
      </c>
      <c r="T8" s="163">
        <v>5</v>
      </c>
      <c r="U8" s="163">
        <v>9</v>
      </c>
      <c r="V8" s="163">
        <v>7</v>
      </c>
      <c r="W8" s="163">
        <v>7</v>
      </c>
      <c r="X8" s="163">
        <v>5</v>
      </c>
      <c r="Y8" s="163">
        <v>9</v>
      </c>
      <c r="Z8" s="163">
        <v>5</v>
      </c>
      <c r="AA8" s="163">
        <v>9</v>
      </c>
      <c r="AB8" s="141">
        <v>0</v>
      </c>
      <c r="AC8" s="141">
        <v>0</v>
      </c>
      <c r="AD8" s="142">
        <v>0</v>
      </c>
      <c r="AE8" s="142">
        <v>0</v>
      </c>
      <c r="AF8" s="163">
        <v>4</v>
      </c>
      <c r="AG8" s="163">
        <v>10</v>
      </c>
      <c r="AH8" s="163">
        <v>5</v>
      </c>
      <c r="AI8" s="163">
        <v>9</v>
      </c>
      <c r="AJ8" s="163">
        <v>3</v>
      </c>
      <c r="AK8" s="163">
        <v>11</v>
      </c>
      <c r="AL8" s="163">
        <v>3</v>
      </c>
      <c r="AM8" s="163">
        <v>11</v>
      </c>
      <c r="AN8" s="163">
        <v>4</v>
      </c>
      <c r="AO8" s="163">
        <v>10</v>
      </c>
      <c r="AP8" s="141">
        <v>0</v>
      </c>
      <c r="AQ8" s="141">
        <v>0</v>
      </c>
      <c r="AR8" s="142">
        <v>0</v>
      </c>
      <c r="AS8" s="142">
        <v>0</v>
      </c>
      <c r="AT8" s="163">
        <v>3</v>
      </c>
      <c r="AU8" s="163">
        <v>11</v>
      </c>
      <c r="AV8" s="163">
        <v>3</v>
      </c>
      <c r="AW8" s="163">
        <v>11</v>
      </c>
      <c r="AX8" s="163">
        <v>3</v>
      </c>
      <c r="AY8" s="163">
        <v>11</v>
      </c>
      <c r="AZ8" s="163">
        <v>2</v>
      </c>
      <c r="BA8" s="163">
        <v>11</v>
      </c>
      <c r="BB8" s="163">
        <v>0</v>
      </c>
      <c r="BC8" s="163">
        <v>10</v>
      </c>
      <c r="BD8" s="141">
        <v>0</v>
      </c>
      <c r="BE8" s="141">
        <v>0</v>
      </c>
      <c r="BF8" s="142">
        <v>0</v>
      </c>
      <c r="BG8" s="142">
        <v>0</v>
      </c>
      <c r="BH8" s="163">
        <v>3</v>
      </c>
      <c r="BI8" s="163">
        <v>11</v>
      </c>
      <c r="BJ8" s="163">
        <v>0</v>
      </c>
      <c r="BK8" s="163">
        <v>10</v>
      </c>
    </row>
    <row r="9" spans="1:63" x14ac:dyDescent="0.25">
      <c r="A9" s="55"/>
      <c r="B9" s="55"/>
      <c r="C9" s="8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  <c r="S9" s="270"/>
      <c r="T9" s="270"/>
      <c r="U9" s="270"/>
      <c r="V9" s="270"/>
      <c r="W9" s="270"/>
      <c r="X9" s="270"/>
      <c r="Y9" s="270"/>
      <c r="Z9" s="270" t="s">
        <v>147</v>
      </c>
      <c r="AA9" s="270" t="s">
        <v>147</v>
      </c>
      <c r="AB9" s="270" t="s">
        <v>147</v>
      </c>
      <c r="AC9" s="270" t="s">
        <v>147</v>
      </c>
      <c r="AD9" s="270" t="s">
        <v>147</v>
      </c>
      <c r="AE9" s="270" t="s">
        <v>147</v>
      </c>
      <c r="AF9" s="270" t="s">
        <v>147</v>
      </c>
      <c r="AG9" s="270" t="s">
        <v>147</v>
      </c>
      <c r="AH9" s="270"/>
      <c r="AI9" s="270"/>
      <c r="AJ9" s="270"/>
      <c r="AK9" s="270"/>
      <c r="AL9" s="270"/>
      <c r="AM9" s="270"/>
      <c r="AN9" s="270" t="s">
        <v>147</v>
      </c>
      <c r="AO9" s="270" t="s">
        <v>147</v>
      </c>
      <c r="AP9" s="270"/>
      <c r="AQ9" s="270"/>
      <c r="AR9" s="270"/>
      <c r="AS9" s="270"/>
      <c r="AT9" s="270"/>
      <c r="AU9" s="270"/>
      <c r="AV9" s="270"/>
      <c r="AW9" s="270"/>
      <c r="AX9" s="270" t="s">
        <v>147</v>
      </c>
      <c r="AY9" s="270" t="s">
        <v>147</v>
      </c>
      <c r="AZ9" s="270"/>
      <c r="BA9" s="270"/>
      <c r="BB9" s="270" t="s">
        <v>147</v>
      </c>
      <c r="BC9" s="270" t="s">
        <v>147</v>
      </c>
      <c r="BD9" s="270" t="s">
        <v>147</v>
      </c>
      <c r="BE9" s="270" t="s">
        <v>147</v>
      </c>
      <c r="BF9" s="270"/>
      <c r="BG9" s="270"/>
      <c r="BH9" s="270"/>
      <c r="BI9" s="270"/>
      <c r="BJ9" s="270"/>
      <c r="BK9" s="270"/>
    </row>
    <row r="10" spans="1:63" x14ac:dyDescent="0.25">
      <c r="A10" s="72" t="s">
        <v>73</v>
      </c>
      <c r="B10" s="73"/>
      <c r="C10" s="8"/>
      <c r="D10" s="163">
        <v>0</v>
      </c>
      <c r="E10" s="163">
        <v>0</v>
      </c>
      <c r="F10" s="163">
        <v>0</v>
      </c>
      <c r="G10" s="163">
        <v>0</v>
      </c>
      <c r="H10" s="163">
        <v>0</v>
      </c>
      <c r="I10" s="163">
        <v>0</v>
      </c>
      <c r="J10" s="163">
        <v>0</v>
      </c>
      <c r="K10" s="163">
        <v>0</v>
      </c>
      <c r="L10" s="163">
        <v>0</v>
      </c>
      <c r="M10" s="163">
        <v>0</v>
      </c>
      <c r="N10" s="141">
        <v>0</v>
      </c>
      <c r="O10" s="141">
        <v>0</v>
      </c>
      <c r="P10" s="142">
        <v>0</v>
      </c>
      <c r="Q10" s="142">
        <v>0</v>
      </c>
      <c r="R10" s="163">
        <v>0</v>
      </c>
      <c r="S10" s="163">
        <v>0</v>
      </c>
      <c r="T10" s="163">
        <v>0</v>
      </c>
      <c r="U10" s="163">
        <v>0</v>
      </c>
      <c r="V10" s="163">
        <v>0</v>
      </c>
      <c r="W10" s="163">
        <v>0</v>
      </c>
      <c r="X10" s="163">
        <v>0</v>
      </c>
      <c r="Y10" s="163">
        <v>0</v>
      </c>
      <c r="Z10" s="163">
        <v>0</v>
      </c>
      <c r="AA10" s="163">
        <v>0</v>
      </c>
      <c r="AB10" s="141">
        <v>0</v>
      </c>
      <c r="AC10" s="141">
        <v>0</v>
      </c>
      <c r="AD10" s="142">
        <v>0</v>
      </c>
      <c r="AE10" s="142">
        <v>0</v>
      </c>
      <c r="AF10" s="163">
        <v>0</v>
      </c>
      <c r="AG10" s="163">
        <v>0</v>
      </c>
      <c r="AH10" s="163">
        <v>0</v>
      </c>
      <c r="AI10" s="163">
        <v>0</v>
      </c>
      <c r="AJ10" s="163">
        <v>0</v>
      </c>
      <c r="AK10" s="163">
        <v>0</v>
      </c>
      <c r="AL10" s="163">
        <v>0</v>
      </c>
      <c r="AM10" s="163">
        <v>0</v>
      </c>
      <c r="AN10" s="163">
        <v>0</v>
      </c>
      <c r="AO10" s="163">
        <v>0</v>
      </c>
      <c r="AP10" s="141">
        <v>0</v>
      </c>
      <c r="AQ10" s="141">
        <v>0</v>
      </c>
      <c r="AR10" s="142">
        <v>0</v>
      </c>
      <c r="AS10" s="142">
        <v>0</v>
      </c>
      <c r="AT10" s="163">
        <v>0</v>
      </c>
      <c r="AU10" s="163">
        <v>0</v>
      </c>
      <c r="AV10" s="163">
        <v>0</v>
      </c>
      <c r="AW10" s="163">
        <v>0</v>
      </c>
      <c r="AX10" s="163">
        <v>0</v>
      </c>
      <c r="AY10" s="163">
        <v>0</v>
      </c>
      <c r="AZ10" s="163">
        <v>0</v>
      </c>
      <c r="BA10" s="163">
        <v>0</v>
      </c>
      <c r="BB10" s="163">
        <v>0</v>
      </c>
      <c r="BC10" s="163">
        <v>0</v>
      </c>
      <c r="BD10" s="141">
        <v>0</v>
      </c>
      <c r="BE10" s="141">
        <v>0</v>
      </c>
      <c r="BF10" s="142">
        <v>0</v>
      </c>
      <c r="BG10" s="142">
        <v>0</v>
      </c>
      <c r="BH10" s="163">
        <v>0</v>
      </c>
      <c r="BI10" s="163">
        <v>0</v>
      </c>
      <c r="BJ10" s="163">
        <v>0</v>
      </c>
      <c r="BK10" s="163">
        <v>0</v>
      </c>
    </row>
    <row r="11" spans="1:63" s="130" customFormat="1" x14ac:dyDescent="0.25">
      <c r="A11" s="72" t="s">
        <v>123</v>
      </c>
      <c r="B11" s="73"/>
      <c r="C11" s="8"/>
      <c r="D11" s="163">
        <v>0</v>
      </c>
      <c r="E11" s="163">
        <v>0</v>
      </c>
      <c r="F11" s="163">
        <v>0</v>
      </c>
      <c r="G11" s="163">
        <v>0</v>
      </c>
      <c r="H11" s="163">
        <v>0</v>
      </c>
      <c r="I11" s="163">
        <v>0</v>
      </c>
      <c r="J11" s="163">
        <v>0</v>
      </c>
      <c r="K11" s="163">
        <v>0</v>
      </c>
      <c r="L11" s="163">
        <v>0</v>
      </c>
      <c r="M11" s="163">
        <v>0</v>
      </c>
      <c r="N11" s="141">
        <v>0</v>
      </c>
      <c r="O11" s="141">
        <v>0</v>
      </c>
      <c r="P11" s="142">
        <v>0</v>
      </c>
      <c r="Q11" s="142">
        <v>0</v>
      </c>
      <c r="R11" s="163">
        <v>0</v>
      </c>
      <c r="S11" s="163">
        <v>0</v>
      </c>
      <c r="T11" s="163">
        <v>0</v>
      </c>
      <c r="U11" s="163">
        <v>0</v>
      </c>
      <c r="V11" s="163">
        <v>0</v>
      </c>
      <c r="W11" s="163">
        <v>0</v>
      </c>
      <c r="X11" s="163">
        <v>0</v>
      </c>
      <c r="Y11" s="163">
        <v>0</v>
      </c>
      <c r="Z11" s="163">
        <v>0</v>
      </c>
      <c r="AA11" s="163">
        <v>0</v>
      </c>
      <c r="AB11" s="141">
        <v>0</v>
      </c>
      <c r="AC11" s="141">
        <v>0</v>
      </c>
      <c r="AD11" s="142">
        <v>0</v>
      </c>
      <c r="AE11" s="142">
        <v>0</v>
      </c>
      <c r="AF11" s="163">
        <v>0</v>
      </c>
      <c r="AG11" s="163">
        <v>0</v>
      </c>
      <c r="AH11" s="163">
        <v>0</v>
      </c>
      <c r="AI11" s="163">
        <v>0</v>
      </c>
      <c r="AJ11" s="163">
        <v>0</v>
      </c>
      <c r="AK11" s="163">
        <v>0</v>
      </c>
      <c r="AL11" s="163">
        <v>0</v>
      </c>
      <c r="AM11" s="163">
        <v>0</v>
      </c>
      <c r="AN11" s="163">
        <v>0</v>
      </c>
      <c r="AO11" s="163">
        <v>0</v>
      </c>
      <c r="AP11" s="141">
        <v>0</v>
      </c>
      <c r="AQ11" s="141">
        <v>0</v>
      </c>
      <c r="AR11" s="142">
        <v>0</v>
      </c>
      <c r="AS11" s="142">
        <v>0</v>
      </c>
      <c r="AT11" s="163">
        <v>0</v>
      </c>
      <c r="AU11" s="163">
        <v>0</v>
      </c>
      <c r="AV11" s="163">
        <v>0</v>
      </c>
      <c r="AW11" s="163">
        <v>0</v>
      </c>
      <c r="AX11" s="163">
        <v>0</v>
      </c>
      <c r="AY11" s="163">
        <v>0</v>
      </c>
      <c r="AZ11" s="163">
        <v>0</v>
      </c>
      <c r="BA11" s="163">
        <v>0</v>
      </c>
      <c r="BB11" s="163">
        <v>0</v>
      </c>
      <c r="BC11" s="163">
        <v>0</v>
      </c>
      <c r="BD11" s="141">
        <v>0</v>
      </c>
      <c r="BE11" s="141">
        <v>0</v>
      </c>
      <c r="BF11" s="142">
        <v>0</v>
      </c>
      <c r="BG11" s="142">
        <v>0</v>
      </c>
      <c r="BH11" s="163">
        <v>0</v>
      </c>
      <c r="BI11" s="163">
        <v>0</v>
      </c>
      <c r="BJ11" s="163">
        <v>0</v>
      </c>
      <c r="BK11" s="163">
        <v>0</v>
      </c>
    </row>
    <row r="12" spans="1:63" x14ac:dyDescent="0.25">
      <c r="A12" s="74" t="s">
        <v>74</v>
      </c>
      <c r="B12" s="75"/>
      <c r="C12" s="8"/>
      <c r="D12" s="163">
        <v>34</v>
      </c>
      <c r="E12" s="163">
        <v>34</v>
      </c>
      <c r="F12" s="163">
        <v>32</v>
      </c>
      <c r="G12" s="163">
        <v>36</v>
      </c>
      <c r="H12" s="163">
        <v>37</v>
      </c>
      <c r="I12" s="163">
        <v>30</v>
      </c>
      <c r="J12" s="163">
        <v>35</v>
      </c>
      <c r="K12" s="163">
        <v>33</v>
      </c>
      <c r="L12" s="163">
        <v>35</v>
      </c>
      <c r="M12" s="163">
        <v>32</v>
      </c>
      <c r="N12" s="141">
        <v>67</v>
      </c>
      <c r="O12" s="141">
        <v>3</v>
      </c>
      <c r="P12" s="142">
        <v>51</v>
      </c>
      <c r="Q12" s="142">
        <v>3</v>
      </c>
      <c r="R12" s="163">
        <v>36</v>
      </c>
      <c r="S12" s="163">
        <v>32</v>
      </c>
      <c r="T12" s="163">
        <v>38</v>
      </c>
      <c r="U12" s="163">
        <v>30</v>
      </c>
      <c r="V12" s="163">
        <v>38</v>
      </c>
      <c r="W12" s="163">
        <v>30</v>
      </c>
      <c r="X12" s="163">
        <v>38</v>
      </c>
      <c r="Y12" s="163">
        <v>30</v>
      </c>
      <c r="Z12" s="163">
        <v>38</v>
      </c>
      <c r="AA12" s="163">
        <v>30</v>
      </c>
      <c r="AB12" s="141">
        <v>67</v>
      </c>
      <c r="AC12" s="141">
        <v>3</v>
      </c>
      <c r="AD12" s="142">
        <v>51</v>
      </c>
      <c r="AE12" s="142">
        <v>3</v>
      </c>
      <c r="AF12" s="163">
        <v>38</v>
      </c>
      <c r="AG12" s="163">
        <v>30</v>
      </c>
      <c r="AH12" s="163">
        <v>32</v>
      </c>
      <c r="AI12" s="163">
        <v>36</v>
      </c>
      <c r="AJ12" s="163">
        <v>34</v>
      </c>
      <c r="AK12" s="163">
        <v>34</v>
      </c>
      <c r="AL12" s="163">
        <v>30</v>
      </c>
      <c r="AM12" s="163">
        <v>38</v>
      </c>
      <c r="AN12" s="163">
        <v>39</v>
      </c>
      <c r="AO12" s="163">
        <v>29</v>
      </c>
      <c r="AP12" s="141">
        <v>67</v>
      </c>
      <c r="AQ12" s="141">
        <v>3</v>
      </c>
      <c r="AR12" s="142">
        <v>51</v>
      </c>
      <c r="AS12" s="142">
        <v>3</v>
      </c>
      <c r="AT12" s="163">
        <v>38</v>
      </c>
      <c r="AU12" s="163">
        <v>30</v>
      </c>
      <c r="AV12" s="163">
        <v>38</v>
      </c>
      <c r="AW12" s="163">
        <v>30</v>
      </c>
      <c r="AX12" s="163">
        <v>38</v>
      </c>
      <c r="AY12" s="163">
        <v>30</v>
      </c>
      <c r="AZ12" s="163">
        <v>26</v>
      </c>
      <c r="BA12" s="163">
        <v>35</v>
      </c>
      <c r="BB12" s="163">
        <v>35</v>
      </c>
      <c r="BC12" s="163">
        <v>31</v>
      </c>
      <c r="BD12" s="141">
        <v>67</v>
      </c>
      <c r="BE12" s="141">
        <v>3</v>
      </c>
      <c r="BF12" s="142">
        <v>51</v>
      </c>
      <c r="BG12" s="142">
        <v>3</v>
      </c>
      <c r="BH12" s="163">
        <v>33</v>
      </c>
      <c r="BI12" s="163">
        <v>35</v>
      </c>
      <c r="BJ12" s="163">
        <v>27</v>
      </c>
      <c r="BK12" s="163">
        <v>38</v>
      </c>
    </row>
    <row r="13" spans="1:63" x14ac:dyDescent="0.25">
      <c r="A13" s="74" t="s">
        <v>75</v>
      </c>
      <c r="B13" s="75"/>
      <c r="C13" s="8"/>
      <c r="D13" s="163">
        <v>1</v>
      </c>
      <c r="E13" s="163">
        <v>0</v>
      </c>
      <c r="F13" s="163">
        <v>1</v>
      </c>
      <c r="G13" s="163">
        <v>0</v>
      </c>
      <c r="H13" s="163">
        <v>1</v>
      </c>
      <c r="I13" s="163">
        <v>0</v>
      </c>
      <c r="J13" s="163">
        <v>1</v>
      </c>
      <c r="K13" s="163">
        <v>0</v>
      </c>
      <c r="L13" s="163">
        <v>1</v>
      </c>
      <c r="M13" s="163">
        <v>0</v>
      </c>
      <c r="N13" s="141">
        <v>0</v>
      </c>
      <c r="O13" s="141">
        <v>0</v>
      </c>
      <c r="P13" s="142">
        <v>0</v>
      </c>
      <c r="Q13" s="142">
        <v>0</v>
      </c>
      <c r="R13" s="163">
        <v>1</v>
      </c>
      <c r="S13" s="163">
        <v>0</v>
      </c>
      <c r="T13" s="163">
        <v>1</v>
      </c>
      <c r="U13" s="163">
        <v>0</v>
      </c>
      <c r="V13" s="163">
        <v>1</v>
      </c>
      <c r="W13" s="163">
        <v>0</v>
      </c>
      <c r="X13" s="163">
        <v>1</v>
      </c>
      <c r="Y13" s="163">
        <v>0</v>
      </c>
      <c r="Z13" s="163">
        <v>1</v>
      </c>
      <c r="AA13" s="163">
        <v>0</v>
      </c>
      <c r="AB13" s="141">
        <v>0</v>
      </c>
      <c r="AC13" s="141">
        <v>0</v>
      </c>
      <c r="AD13" s="142">
        <v>0</v>
      </c>
      <c r="AE13" s="142">
        <v>0</v>
      </c>
      <c r="AF13" s="163">
        <v>1</v>
      </c>
      <c r="AG13" s="163">
        <v>0</v>
      </c>
      <c r="AH13" s="163">
        <v>1</v>
      </c>
      <c r="AI13" s="163">
        <v>0</v>
      </c>
      <c r="AJ13" s="163">
        <v>1</v>
      </c>
      <c r="AK13" s="163">
        <v>0</v>
      </c>
      <c r="AL13" s="163">
        <v>1</v>
      </c>
      <c r="AM13" s="163">
        <v>0</v>
      </c>
      <c r="AN13" s="163">
        <v>1</v>
      </c>
      <c r="AO13" s="163">
        <v>0</v>
      </c>
      <c r="AP13" s="141">
        <v>0</v>
      </c>
      <c r="AQ13" s="141">
        <v>0</v>
      </c>
      <c r="AR13" s="142">
        <v>0</v>
      </c>
      <c r="AS13" s="142">
        <v>0</v>
      </c>
      <c r="AT13" s="163">
        <v>1</v>
      </c>
      <c r="AU13" s="163">
        <v>0</v>
      </c>
      <c r="AV13" s="163">
        <v>1</v>
      </c>
      <c r="AW13" s="163">
        <v>0</v>
      </c>
      <c r="AX13" s="163">
        <v>1</v>
      </c>
      <c r="AY13" s="163">
        <v>0</v>
      </c>
      <c r="AZ13" s="163">
        <v>1</v>
      </c>
      <c r="BA13" s="163">
        <v>0</v>
      </c>
      <c r="BB13" s="163">
        <v>1</v>
      </c>
      <c r="BC13" s="163">
        <v>0</v>
      </c>
      <c r="BD13" s="141">
        <v>0</v>
      </c>
      <c r="BE13" s="141">
        <v>0</v>
      </c>
      <c r="BF13" s="142">
        <v>0</v>
      </c>
      <c r="BG13" s="142">
        <v>0</v>
      </c>
      <c r="BH13" s="163">
        <v>1</v>
      </c>
      <c r="BI13" s="163">
        <v>0</v>
      </c>
      <c r="BJ13" s="163">
        <v>0</v>
      </c>
      <c r="BK13" s="163">
        <v>1</v>
      </c>
    </row>
    <row r="14" spans="1:63" ht="15.75" thickBot="1" x14ac:dyDescent="0.3">
      <c r="A14" s="76" t="s">
        <v>76</v>
      </c>
      <c r="B14" s="77"/>
      <c r="C14" s="8"/>
      <c r="D14" s="163">
        <v>1</v>
      </c>
      <c r="E14" s="163">
        <v>0</v>
      </c>
      <c r="F14" s="163">
        <v>1</v>
      </c>
      <c r="G14" s="163">
        <v>0</v>
      </c>
      <c r="H14" s="163">
        <v>1</v>
      </c>
      <c r="I14" s="163">
        <v>0</v>
      </c>
      <c r="J14" s="163">
        <v>1</v>
      </c>
      <c r="K14" s="163">
        <v>0</v>
      </c>
      <c r="L14" s="163">
        <v>1</v>
      </c>
      <c r="M14" s="163">
        <v>0</v>
      </c>
      <c r="N14" s="141">
        <v>0</v>
      </c>
      <c r="O14" s="141">
        <v>0</v>
      </c>
      <c r="P14" s="142">
        <v>0</v>
      </c>
      <c r="Q14" s="142">
        <v>0</v>
      </c>
      <c r="R14" s="163">
        <v>1</v>
      </c>
      <c r="S14" s="163">
        <v>0</v>
      </c>
      <c r="T14" s="163">
        <v>1</v>
      </c>
      <c r="U14" s="163">
        <v>0</v>
      </c>
      <c r="V14" s="163">
        <v>1</v>
      </c>
      <c r="W14" s="163">
        <v>0</v>
      </c>
      <c r="X14" s="163">
        <v>1</v>
      </c>
      <c r="Y14" s="163">
        <v>0</v>
      </c>
      <c r="Z14" s="163">
        <v>1</v>
      </c>
      <c r="AA14" s="163">
        <v>0</v>
      </c>
      <c r="AB14" s="141">
        <v>0</v>
      </c>
      <c r="AC14" s="141">
        <v>0</v>
      </c>
      <c r="AD14" s="142">
        <v>0</v>
      </c>
      <c r="AE14" s="142">
        <v>0</v>
      </c>
      <c r="AF14" s="163">
        <v>1</v>
      </c>
      <c r="AG14" s="163">
        <v>0</v>
      </c>
      <c r="AH14" s="163">
        <v>1</v>
      </c>
      <c r="AI14" s="163">
        <v>0</v>
      </c>
      <c r="AJ14" s="163">
        <v>1</v>
      </c>
      <c r="AK14" s="163">
        <v>0</v>
      </c>
      <c r="AL14" s="163">
        <v>1</v>
      </c>
      <c r="AM14" s="163">
        <v>0</v>
      </c>
      <c r="AN14" s="163">
        <v>1</v>
      </c>
      <c r="AO14" s="163">
        <v>0</v>
      </c>
      <c r="AP14" s="141">
        <v>0</v>
      </c>
      <c r="AQ14" s="141">
        <v>0</v>
      </c>
      <c r="AR14" s="142">
        <v>0</v>
      </c>
      <c r="AS14" s="142">
        <v>0</v>
      </c>
      <c r="AT14" s="163">
        <v>1</v>
      </c>
      <c r="AU14" s="163">
        <v>0</v>
      </c>
      <c r="AV14" s="163">
        <v>1</v>
      </c>
      <c r="AW14" s="163">
        <v>0</v>
      </c>
      <c r="AX14" s="163">
        <v>1</v>
      </c>
      <c r="AY14" s="163">
        <v>0</v>
      </c>
      <c r="AZ14" s="163">
        <v>1</v>
      </c>
      <c r="BA14" s="163">
        <v>0</v>
      </c>
      <c r="BB14" s="163">
        <v>1</v>
      </c>
      <c r="BC14" s="163">
        <v>0</v>
      </c>
      <c r="BD14" s="141">
        <v>0</v>
      </c>
      <c r="BE14" s="141">
        <v>0</v>
      </c>
      <c r="BF14" s="142">
        <v>0</v>
      </c>
      <c r="BG14" s="142">
        <v>0</v>
      </c>
      <c r="BH14" s="163">
        <v>1</v>
      </c>
      <c r="BI14" s="163">
        <v>0</v>
      </c>
      <c r="BJ14" s="163">
        <v>1</v>
      </c>
      <c r="BK14" s="163">
        <v>0</v>
      </c>
    </row>
    <row r="15" spans="1:63" ht="15.75" thickBot="1" x14ac:dyDescent="0.3">
      <c r="A15" s="78" t="s">
        <v>77</v>
      </c>
      <c r="B15" s="78"/>
      <c r="C15" s="8"/>
      <c r="D15" s="163">
        <v>33</v>
      </c>
      <c r="E15" s="163">
        <v>36</v>
      </c>
      <c r="F15" s="163">
        <v>33</v>
      </c>
      <c r="G15" s="163">
        <v>36</v>
      </c>
      <c r="H15" s="163">
        <v>33</v>
      </c>
      <c r="I15" s="163">
        <v>36</v>
      </c>
      <c r="J15" s="163">
        <v>33</v>
      </c>
      <c r="K15" s="163">
        <v>36</v>
      </c>
      <c r="L15" s="163">
        <v>33</v>
      </c>
      <c r="M15" s="163">
        <v>36</v>
      </c>
      <c r="N15" s="141">
        <v>73</v>
      </c>
      <c r="O15" s="141">
        <v>0</v>
      </c>
      <c r="P15" s="142">
        <v>57</v>
      </c>
      <c r="Q15" s="142">
        <v>0</v>
      </c>
      <c r="R15" s="163">
        <v>36</v>
      </c>
      <c r="S15" s="163">
        <v>33</v>
      </c>
      <c r="T15" s="163">
        <v>34</v>
      </c>
      <c r="U15" s="163">
        <v>35</v>
      </c>
      <c r="V15" s="163">
        <v>34</v>
      </c>
      <c r="W15" s="163">
        <v>35</v>
      </c>
      <c r="X15" s="163">
        <v>33</v>
      </c>
      <c r="Y15" s="163">
        <v>36</v>
      </c>
      <c r="Z15" s="163">
        <v>32</v>
      </c>
      <c r="AA15" s="163">
        <v>36</v>
      </c>
      <c r="AB15" s="141">
        <v>73</v>
      </c>
      <c r="AC15" s="141">
        <v>0</v>
      </c>
      <c r="AD15" s="142">
        <v>57</v>
      </c>
      <c r="AE15" s="142">
        <v>0</v>
      </c>
      <c r="AF15" s="163">
        <v>33</v>
      </c>
      <c r="AG15" s="163">
        <v>36</v>
      </c>
      <c r="AH15" s="163">
        <v>33</v>
      </c>
      <c r="AI15" s="163">
        <v>36</v>
      </c>
      <c r="AJ15" s="163">
        <v>33</v>
      </c>
      <c r="AK15" s="163">
        <v>36</v>
      </c>
      <c r="AL15" s="163">
        <v>32</v>
      </c>
      <c r="AM15" s="163">
        <v>37</v>
      </c>
      <c r="AN15" s="163">
        <v>34</v>
      </c>
      <c r="AO15" s="163">
        <v>35</v>
      </c>
      <c r="AP15" s="141">
        <v>73</v>
      </c>
      <c r="AQ15" s="141">
        <v>0</v>
      </c>
      <c r="AR15" s="142">
        <v>57</v>
      </c>
      <c r="AS15" s="142">
        <v>0</v>
      </c>
      <c r="AT15" s="163">
        <v>33</v>
      </c>
      <c r="AU15" s="163">
        <v>36</v>
      </c>
      <c r="AV15" s="163">
        <v>33</v>
      </c>
      <c r="AW15" s="163">
        <v>36</v>
      </c>
      <c r="AX15" s="163">
        <v>33</v>
      </c>
      <c r="AY15" s="163">
        <v>36</v>
      </c>
      <c r="AZ15" s="163">
        <v>30</v>
      </c>
      <c r="BA15" s="163">
        <v>34</v>
      </c>
      <c r="BB15" s="163">
        <v>33</v>
      </c>
      <c r="BC15" s="163">
        <v>34</v>
      </c>
      <c r="BD15" s="141">
        <v>73</v>
      </c>
      <c r="BE15" s="141">
        <v>0</v>
      </c>
      <c r="BF15" s="142">
        <v>57</v>
      </c>
      <c r="BG15" s="142">
        <v>0</v>
      </c>
      <c r="BH15" s="163">
        <v>33</v>
      </c>
      <c r="BI15" s="163">
        <v>36</v>
      </c>
      <c r="BJ15" s="163">
        <v>32</v>
      </c>
      <c r="BK15" s="163">
        <v>35</v>
      </c>
    </row>
    <row r="16" spans="1:63" x14ac:dyDescent="0.25">
      <c r="A16" s="55"/>
      <c r="B16" s="55"/>
      <c r="C16" s="8"/>
      <c r="D16" s="279"/>
      <c r="E16" s="279"/>
      <c r="F16" s="270"/>
      <c r="G16" s="270"/>
      <c r="H16" s="270"/>
      <c r="I16" s="270"/>
      <c r="J16" s="270"/>
      <c r="K16" s="270"/>
      <c r="L16" s="270"/>
      <c r="M16" s="270"/>
      <c r="N16" s="270"/>
      <c r="O16" s="270"/>
      <c r="P16" s="270"/>
      <c r="Q16" s="270"/>
      <c r="R16" s="279"/>
      <c r="S16" s="279"/>
      <c r="T16" s="279"/>
      <c r="U16" s="279"/>
      <c r="V16" s="279"/>
      <c r="W16" s="279"/>
      <c r="X16" s="279"/>
      <c r="Y16" s="279"/>
      <c r="Z16" s="279" t="s">
        <v>147</v>
      </c>
      <c r="AA16" s="279" t="s">
        <v>147</v>
      </c>
      <c r="AB16" s="270" t="s">
        <v>147</v>
      </c>
      <c r="AC16" s="270" t="s">
        <v>147</v>
      </c>
      <c r="AD16" s="279" t="s">
        <v>147</v>
      </c>
      <c r="AE16" s="279" t="s">
        <v>147</v>
      </c>
      <c r="AF16" s="279" t="s">
        <v>147</v>
      </c>
      <c r="AG16" s="279" t="s">
        <v>147</v>
      </c>
      <c r="AH16" s="270"/>
      <c r="AI16" s="270"/>
      <c r="AJ16" s="270"/>
      <c r="AK16" s="270"/>
      <c r="AL16" s="279"/>
      <c r="AM16" s="279"/>
      <c r="AN16" s="279" t="s">
        <v>147</v>
      </c>
      <c r="AO16" s="279" t="s">
        <v>147</v>
      </c>
      <c r="AP16" s="270"/>
      <c r="AQ16" s="270"/>
      <c r="AR16" s="270"/>
      <c r="AS16" s="270"/>
      <c r="AT16" s="270"/>
      <c r="AU16" s="270"/>
      <c r="AV16" s="270"/>
      <c r="AW16" s="270"/>
      <c r="AX16" s="279" t="s">
        <v>147</v>
      </c>
      <c r="AY16" s="279" t="s">
        <v>147</v>
      </c>
      <c r="AZ16" s="279"/>
      <c r="BA16" s="279"/>
      <c r="BB16" s="279" t="s">
        <v>147</v>
      </c>
      <c r="BC16" s="279" t="s">
        <v>147</v>
      </c>
      <c r="BD16" s="279" t="s">
        <v>147</v>
      </c>
      <c r="BE16" s="279" t="s">
        <v>147</v>
      </c>
      <c r="BF16" s="279"/>
      <c r="BG16" s="279"/>
      <c r="BH16" s="279"/>
      <c r="BI16" s="279"/>
      <c r="BJ16" s="279"/>
      <c r="BK16" s="279"/>
    </row>
    <row r="17" spans="1:63 16309:16309" x14ac:dyDescent="0.25">
      <c r="A17" s="69" t="s">
        <v>73</v>
      </c>
      <c r="B17" s="70"/>
      <c r="C17" s="8"/>
      <c r="D17" s="163">
        <v>0</v>
      </c>
      <c r="E17" s="163">
        <v>0</v>
      </c>
      <c r="F17" s="163">
        <v>0</v>
      </c>
      <c r="G17" s="163">
        <v>0</v>
      </c>
      <c r="H17" s="163">
        <v>0</v>
      </c>
      <c r="I17" s="163">
        <v>0</v>
      </c>
      <c r="J17" s="163">
        <v>0</v>
      </c>
      <c r="K17" s="163">
        <v>0</v>
      </c>
      <c r="L17" s="163">
        <v>0</v>
      </c>
      <c r="M17" s="163">
        <v>0</v>
      </c>
      <c r="N17" s="141">
        <v>0</v>
      </c>
      <c r="O17" s="141">
        <v>0</v>
      </c>
      <c r="P17" s="142">
        <v>0</v>
      </c>
      <c r="Q17" s="142">
        <v>0</v>
      </c>
      <c r="R17" s="163">
        <v>0</v>
      </c>
      <c r="S17" s="163">
        <v>0</v>
      </c>
      <c r="T17" s="163">
        <v>0</v>
      </c>
      <c r="U17" s="163">
        <v>0</v>
      </c>
      <c r="V17" s="163">
        <v>0</v>
      </c>
      <c r="W17" s="163">
        <v>0</v>
      </c>
      <c r="X17" s="163">
        <v>0</v>
      </c>
      <c r="Y17" s="163">
        <v>0</v>
      </c>
      <c r="Z17" s="163">
        <v>0</v>
      </c>
      <c r="AA17" s="163">
        <v>0</v>
      </c>
      <c r="AB17" s="141">
        <v>0</v>
      </c>
      <c r="AC17" s="141">
        <v>0</v>
      </c>
      <c r="AD17" s="142">
        <v>0</v>
      </c>
      <c r="AE17" s="142">
        <v>0</v>
      </c>
      <c r="AF17" s="163">
        <v>0</v>
      </c>
      <c r="AG17" s="163">
        <v>0</v>
      </c>
      <c r="AH17" s="163">
        <v>0</v>
      </c>
      <c r="AI17" s="163">
        <v>0</v>
      </c>
      <c r="AJ17" s="163">
        <v>0</v>
      </c>
      <c r="AK17" s="163">
        <v>0</v>
      </c>
      <c r="AL17" s="163">
        <v>0</v>
      </c>
      <c r="AM17" s="163">
        <v>0</v>
      </c>
      <c r="AN17" s="163">
        <v>0</v>
      </c>
      <c r="AO17" s="163">
        <v>0</v>
      </c>
      <c r="AP17" s="141">
        <v>0</v>
      </c>
      <c r="AQ17" s="141">
        <v>0</v>
      </c>
      <c r="AR17" s="142">
        <v>0</v>
      </c>
      <c r="AS17" s="142">
        <v>0</v>
      </c>
      <c r="AT17" s="163">
        <v>0</v>
      </c>
      <c r="AU17" s="163">
        <v>0</v>
      </c>
      <c r="AV17" s="163">
        <v>0</v>
      </c>
      <c r="AW17" s="163">
        <v>0</v>
      </c>
      <c r="AX17" s="163">
        <v>0</v>
      </c>
      <c r="AY17" s="163">
        <v>0</v>
      </c>
      <c r="AZ17" s="163">
        <v>0</v>
      </c>
      <c r="BA17" s="163">
        <v>0</v>
      </c>
      <c r="BB17" s="163">
        <v>0</v>
      </c>
      <c r="BC17" s="163">
        <v>0</v>
      </c>
      <c r="BD17" s="141">
        <v>0</v>
      </c>
      <c r="BE17" s="141">
        <v>0</v>
      </c>
      <c r="BF17" s="142">
        <v>0</v>
      </c>
      <c r="BG17" s="142">
        <v>0</v>
      </c>
      <c r="BH17" s="163">
        <v>0</v>
      </c>
      <c r="BI17" s="163">
        <v>0</v>
      </c>
      <c r="BJ17" s="163">
        <v>0</v>
      </c>
      <c r="BK17" s="163">
        <v>0</v>
      </c>
    </row>
    <row r="18" spans="1:63 16309:16309" s="130" customFormat="1" x14ac:dyDescent="0.25">
      <c r="A18" s="69" t="s">
        <v>123</v>
      </c>
      <c r="B18" s="70"/>
      <c r="C18" s="8"/>
      <c r="D18" s="281">
        <v>0</v>
      </c>
      <c r="E18" s="281">
        <v>0</v>
      </c>
      <c r="F18" s="163">
        <v>0</v>
      </c>
      <c r="G18" s="163">
        <v>0</v>
      </c>
      <c r="H18" s="163">
        <v>0</v>
      </c>
      <c r="I18" s="163">
        <v>0</v>
      </c>
      <c r="J18" s="163">
        <v>0</v>
      </c>
      <c r="K18" s="163">
        <v>0</v>
      </c>
      <c r="L18" s="163">
        <v>0</v>
      </c>
      <c r="M18" s="163">
        <v>0</v>
      </c>
      <c r="N18" s="141">
        <v>0</v>
      </c>
      <c r="O18" s="141">
        <v>0</v>
      </c>
      <c r="P18" s="142">
        <v>0</v>
      </c>
      <c r="Q18" s="142">
        <v>0</v>
      </c>
      <c r="R18" s="281">
        <v>0</v>
      </c>
      <c r="S18" s="281">
        <v>0</v>
      </c>
      <c r="T18" s="281">
        <v>0</v>
      </c>
      <c r="U18" s="281">
        <v>0</v>
      </c>
      <c r="V18" s="281">
        <v>0</v>
      </c>
      <c r="W18" s="281">
        <v>0</v>
      </c>
      <c r="X18" s="281">
        <v>0</v>
      </c>
      <c r="Y18" s="281">
        <v>0</v>
      </c>
      <c r="Z18" s="281">
        <v>0</v>
      </c>
      <c r="AA18" s="281">
        <v>0</v>
      </c>
      <c r="AB18" s="141">
        <v>0</v>
      </c>
      <c r="AC18" s="141">
        <v>0</v>
      </c>
      <c r="AD18" s="287">
        <v>0</v>
      </c>
      <c r="AE18" s="287">
        <v>0</v>
      </c>
      <c r="AF18" s="281">
        <v>0</v>
      </c>
      <c r="AG18" s="281">
        <v>0</v>
      </c>
      <c r="AH18" s="163">
        <v>0</v>
      </c>
      <c r="AI18" s="163">
        <v>0</v>
      </c>
      <c r="AJ18" s="163">
        <v>0</v>
      </c>
      <c r="AK18" s="163">
        <v>0</v>
      </c>
      <c r="AL18" s="281">
        <v>0</v>
      </c>
      <c r="AM18" s="281">
        <v>0</v>
      </c>
      <c r="AN18" s="281">
        <v>0</v>
      </c>
      <c r="AO18" s="281">
        <v>0</v>
      </c>
      <c r="AP18" s="141">
        <v>0</v>
      </c>
      <c r="AQ18" s="141">
        <v>0</v>
      </c>
      <c r="AR18" s="142">
        <v>0</v>
      </c>
      <c r="AS18" s="142">
        <v>0</v>
      </c>
      <c r="AT18" s="163">
        <v>0</v>
      </c>
      <c r="AU18" s="163">
        <v>0</v>
      </c>
      <c r="AV18" s="163">
        <v>0</v>
      </c>
      <c r="AW18" s="163">
        <v>0</v>
      </c>
      <c r="AX18" s="281">
        <v>0</v>
      </c>
      <c r="AY18" s="281">
        <v>0</v>
      </c>
      <c r="AZ18" s="281">
        <v>0</v>
      </c>
      <c r="BA18" s="281">
        <v>0</v>
      </c>
      <c r="BB18" s="163">
        <v>0</v>
      </c>
      <c r="BC18" s="163">
        <v>0</v>
      </c>
      <c r="BD18" s="321">
        <v>0</v>
      </c>
      <c r="BE18" s="321">
        <v>0</v>
      </c>
      <c r="BF18" s="287">
        <v>0</v>
      </c>
      <c r="BG18" s="287">
        <v>0</v>
      </c>
      <c r="BH18" s="163">
        <v>0</v>
      </c>
      <c r="BI18" s="163">
        <v>0</v>
      </c>
      <c r="BJ18" s="163">
        <v>0</v>
      </c>
      <c r="BK18" s="163">
        <v>0</v>
      </c>
    </row>
    <row r="19" spans="1:63 16309:16309" x14ac:dyDescent="0.25">
      <c r="A19" s="69" t="s">
        <v>74</v>
      </c>
      <c r="B19" s="70"/>
      <c r="C19" s="8"/>
      <c r="D19" s="163">
        <v>0</v>
      </c>
      <c r="E19" s="163">
        <v>9</v>
      </c>
      <c r="F19" s="163">
        <v>0</v>
      </c>
      <c r="G19" s="163">
        <v>9</v>
      </c>
      <c r="H19" s="163">
        <v>0</v>
      </c>
      <c r="I19" s="163">
        <v>9</v>
      </c>
      <c r="J19" s="163">
        <v>0</v>
      </c>
      <c r="K19" s="163">
        <v>9</v>
      </c>
      <c r="L19" s="163">
        <v>0</v>
      </c>
      <c r="M19" s="163">
        <v>9</v>
      </c>
      <c r="N19" s="141">
        <v>0</v>
      </c>
      <c r="O19" s="141">
        <v>0</v>
      </c>
      <c r="P19" s="142">
        <v>0</v>
      </c>
      <c r="Q19" s="142">
        <v>0</v>
      </c>
      <c r="R19" s="163">
        <v>4</v>
      </c>
      <c r="S19" s="163">
        <v>5</v>
      </c>
      <c r="T19" s="163">
        <v>1</v>
      </c>
      <c r="U19" s="163">
        <v>8</v>
      </c>
      <c r="V19" s="163">
        <v>1</v>
      </c>
      <c r="W19" s="163">
        <v>8</v>
      </c>
      <c r="X19" s="163">
        <v>0</v>
      </c>
      <c r="Y19" s="163">
        <v>9</v>
      </c>
      <c r="Z19" s="163">
        <v>1</v>
      </c>
      <c r="AA19" s="163">
        <v>8</v>
      </c>
      <c r="AB19" s="141">
        <v>0</v>
      </c>
      <c r="AC19" s="141">
        <v>0</v>
      </c>
      <c r="AD19" s="142">
        <v>0</v>
      </c>
      <c r="AE19" s="142">
        <v>0</v>
      </c>
      <c r="AF19" s="163">
        <v>0</v>
      </c>
      <c r="AG19" s="163">
        <v>9</v>
      </c>
      <c r="AH19" s="163">
        <v>0</v>
      </c>
      <c r="AI19" s="163">
        <v>9</v>
      </c>
      <c r="AJ19" s="163">
        <v>0</v>
      </c>
      <c r="AK19" s="163">
        <v>9</v>
      </c>
      <c r="AL19" s="163">
        <v>0</v>
      </c>
      <c r="AM19" s="163">
        <v>9</v>
      </c>
      <c r="AN19" s="163">
        <v>1</v>
      </c>
      <c r="AO19" s="163">
        <v>8</v>
      </c>
      <c r="AP19" s="141">
        <v>0</v>
      </c>
      <c r="AQ19" s="141">
        <v>0</v>
      </c>
      <c r="AR19" s="142">
        <v>0</v>
      </c>
      <c r="AS19" s="142">
        <v>0</v>
      </c>
      <c r="AT19" s="163">
        <v>0</v>
      </c>
      <c r="AU19" s="163">
        <v>9</v>
      </c>
      <c r="AV19" s="163">
        <v>0</v>
      </c>
      <c r="AW19" s="163">
        <v>9</v>
      </c>
      <c r="AX19" s="163">
        <v>0</v>
      </c>
      <c r="AY19" s="163">
        <v>9</v>
      </c>
      <c r="AZ19" s="163">
        <v>0</v>
      </c>
      <c r="BA19" s="163">
        <v>9</v>
      </c>
      <c r="BB19" s="163">
        <v>0</v>
      </c>
      <c r="BC19" s="163">
        <v>8</v>
      </c>
      <c r="BD19" s="141">
        <v>0</v>
      </c>
      <c r="BE19" s="141">
        <v>0</v>
      </c>
      <c r="BF19" s="142">
        <v>0</v>
      </c>
      <c r="BG19" s="142">
        <v>0</v>
      </c>
      <c r="BH19" s="163">
        <v>0</v>
      </c>
      <c r="BI19" s="163">
        <v>9</v>
      </c>
      <c r="BJ19" s="163">
        <v>0</v>
      </c>
      <c r="BK19" s="163">
        <v>9</v>
      </c>
    </row>
    <row r="20" spans="1:63 16309:16309" x14ac:dyDescent="0.25">
      <c r="A20" s="69" t="s">
        <v>75</v>
      </c>
      <c r="B20" s="70"/>
      <c r="C20" s="8"/>
      <c r="D20" s="163">
        <v>0</v>
      </c>
      <c r="E20" s="163">
        <v>0</v>
      </c>
      <c r="F20" s="163">
        <v>0</v>
      </c>
      <c r="G20" s="163">
        <v>0</v>
      </c>
      <c r="H20" s="163">
        <v>0</v>
      </c>
      <c r="I20" s="163">
        <v>0</v>
      </c>
      <c r="J20" s="163">
        <v>0</v>
      </c>
      <c r="K20" s="163">
        <v>0</v>
      </c>
      <c r="L20" s="163">
        <v>0</v>
      </c>
      <c r="M20" s="163">
        <v>0</v>
      </c>
      <c r="N20" s="141">
        <v>0</v>
      </c>
      <c r="O20" s="141">
        <v>0</v>
      </c>
      <c r="P20" s="142">
        <v>0</v>
      </c>
      <c r="Q20" s="142">
        <v>0</v>
      </c>
      <c r="R20" s="163">
        <v>0</v>
      </c>
      <c r="S20" s="163">
        <v>0</v>
      </c>
      <c r="T20" s="163">
        <v>0</v>
      </c>
      <c r="U20" s="163">
        <v>0</v>
      </c>
      <c r="V20" s="163">
        <v>0</v>
      </c>
      <c r="W20" s="163">
        <v>0</v>
      </c>
      <c r="X20" s="163">
        <v>0</v>
      </c>
      <c r="Y20" s="163">
        <v>0</v>
      </c>
      <c r="Z20" s="163">
        <v>0</v>
      </c>
      <c r="AA20" s="163">
        <v>0</v>
      </c>
      <c r="AB20" s="141">
        <v>0</v>
      </c>
      <c r="AC20" s="141">
        <v>0</v>
      </c>
      <c r="AD20" s="142">
        <v>0</v>
      </c>
      <c r="AE20" s="142">
        <v>0</v>
      </c>
      <c r="AF20" s="163">
        <v>0</v>
      </c>
      <c r="AG20" s="163">
        <v>0</v>
      </c>
      <c r="AH20" s="163">
        <v>0</v>
      </c>
      <c r="AI20" s="163">
        <v>0</v>
      </c>
      <c r="AJ20" s="163">
        <v>0</v>
      </c>
      <c r="AK20" s="163">
        <v>0</v>
      </c>
      <c r="AL20" s="163">
        <v>0</v>
      </c>
      <c r="AM20" s="163">
        <v>0</v>
      </c>
      <c r="AN20" s="163">
        <v>0</v>
      </c>
      <c r="AO20" s="163">
        <v>0</v>
      </c>
      <c r="AP20" s="141">
        <v>0</v>
      </c>
      <c r="AQ20" s="141">
        <v>0</v>
      </c>
      <c r="AR20" s="142">
        <v>0</v>
      </c>
      <c r="AS20" s="142">
        <v>0</v>
      </c>
      <c r="AT20" s="163">
        <v>0</v>
      </c>
      <c r="AU20" s="163">
        <v>0</v>
      </c>
      <c r="AV20" s="163">
        <v>0</v>
      </c>
      <c r="AW20" s="163">
        <v>0</v>
      </c>
      <c r="AX20" s="163">
        <v>0</v>
      </c>
      <c r="AY20" s="163">
        <v>0</v>
      </c>
      <c r="AZ20" s="163">
        <v>0</v>
      </c>
      <c r="BA20" s="163">
        <v>0</v>
      </c>
      <c r="BB20" s="281">
        <v>0</v>
      </c>
      <c r="BC20" s="281">
        <v>0</v>
      </c>
      <c r="BD20" s="321">
        <v>0</v>
      </c>
      <c r="BE20" s="321">
        <v>0</v>
      </c>
      <c r="BF20" s="142">
        <v>0</v>
      </c>
      <c r="BG20" s="142">
        <v>0</v>
      </c>
      <c r="BH20" s="163">
        <v>0</v>
      </c>
      <c r="BI20" s="163">
        <v>0</v>
      </c>
      <c r="BJ20" s="163">
        <v>0</v>
      </c>
      <c r="BK20" s="163">
        <v>0</v>
      </c>
    </row>
    <row r="21" spans="1:63 16309:16309" x14ac:dyDescent="0.25">
      <c r="A21" s="69" t="s">
        <v>76</v>
      </c>
      <c r="B21" s="70"/>
      <c r="C21" s="8"/>
      <c r="D21" s="163">
        <v>0</v>
      </c>
      <c r="E21" s="163">
        <v>0</v>
      </c>
      <c r="F21" s="163">
        <v>0</v>
      </c>
      <c r="G21" s="163">
        <v>0</v>
      </c>
      <c r="H21" s="163">
        <v>0</v>
      </c>
      <c r="I21" s="163">
        <v>0</v>
      </c>
      <c r="J21" s="163">
        <v>0</v>
      </c>
      <c r="K21" s="163">
        <v>0</v>
      </c>
      <c r="L21" s="163">
        <v>0</v>
      </c>
      <c r="M21" s="163">
        <v>0</v>
      </c>
      <c r="N21" s="141">
        <v>0</v>
      </c>
      <c r="O21" s="141">
        <v>0</v>
      </c>
      <c r="P21" s="142">
        <v>0</v>
      </c>
      <c r="Q21" s="142">
        <v>0</v>
      </c>
      <c r="R21" s="163">
        <v>0</v>
      </c>
      <c r="S21" s="163">
        <v>0</v>
      </c>
      <c r="T21" s="163">
        <v>0</v>
      </c>
      <c r="U21" s="163">
        <v>0</v>
      </c>
      <c r="V21" s="163">
        <v>0</v>
      </c>
      <c r="W21" s="163">
        <v>0</v>
      </c>
      <c r="X21" s="163">
        <v>0</v>
      </c>
      <c r="Y21" s="163">
        <v>0</v>
      </c>
      <c r="Z21" s="163">
        <v>0</v>
      </c>
      <c r="AA21" s="163">
        <v>0</v>
      </c>
      <c r="AB21" s="141">
        <v>0</v>
      </c>
      <c r="AC21" s="141">
        <v>0</v>
      </c>
      <c r="AD21" s="142">
        <v>0</v>
      </c>
      <c r="AE21" s="142">
        <v>0</v>
      </c>
      <c r="AF21" s="163">
        <v>0</v>
      </c>
      <c r="AG21" s="163">
        <v>0</v>
      </c>
      <c r="AH21" s="163">
        <v>0</v>
      </c>
      <c r="AI21" s="163">
        <v>0</v>
      </c>
      <c r="AJ21" s="163">
        <v>0</v>
      </c>
      <c r="AK21" s="163">
        <v>0</v>
      </c>
      <c r="AL21" s="163">
        <v>0</v>
      </c>
      <c r="AM21" s="163">
        <v>0</v>
      </c>
      <c r="AN21" s="163">
        <v>0</v>
      </c>
      <c r="AO21" s="163">
        <v>0</v>
      </c>
      <c r="AP21" s="141">
        <v>0</v>
      </c>
      <c r="AQ21" s="141">
        <v>0</v>
      </c>
      <c r="AR21" s="142">
        <v>0</v>
      </c>
      <c r="AS21" s="142">
        <v>0</v>
      </c>
      <c r="AT21" s="163">
        <v>0</v>
      </c>
      <c r="AU21" s="163">
        <v>0</v>
      </c>
      <c r="AV21" s="163">
        <v>0</v>
      </c>
      <c r="AW21" s="163">
        <v>0</v>
      </c>
      <c r="AX21" s="163">
        <v>0</v>
      </c>
      <c r="AY21" s="163">
        <v>0</v>
      </c>
      <c r="AZ21" s="163">
        <v>0</v>
      </c>
      <c r="BA21" s="163">
        <v>0</v>
      </c>
      <c r="BB21" s="163">
        <v>0</v>
      </c>
      <c r="BC21" s="163">
        <v>0</v>
      </c>
      <c r="BD21" s="141">
        <v>0</v>
      </c>
      <c r="BE21" s="141">
        <v>0</v>
      </c>
      <c r="BF21" s="142">
        <v>0</v>
      </c>
      <c r="BG21" s="142">
        <v>0</v>
      </c>
      <c r="BH21" s="163">
        <v>0</v>
      </c>
      <c r="BI21" s="163">
        <v>0</v>
      </c>
      <c r="BJ21" s="163">
        <v>0</v>
      </c>
      <c r="BK21" s="163">
        <v>0</v>
      </c>
    </row>
    <row r="22" spans="1:63 16309:16309" ht="15.75" thickBot="1" x14ac:dyDescent="0.3">
      <c r="A22" s="69" t="s">
        <v>77</v>
      </c>
      <c r="B22" s="79"/>
      <c r="C22" s="8"/>
      <c r="D22" s="163">
        <v>1</v>
      </c>
      <c r="E22" s="163">
        <v>6</v>
      </c>
      <c r="F22" s="163">
        <v>1</v>
      </c>
      <c r="G22" s="163">
        <v>6</v>
      </c>
      <c r="H22" s="163">
        <v>1</v>
      </c>
      <c r="I22" s="163">
        <v>6</v>
      </c>
      <c r="J22" s="163">
        <v>1</v>
      </c>
      <c r="K22" s="163">
        <v>6</v>
      </c>
      <c r="L22" s="163">
        <v>1</v>
      </c>
      <c r="M22" s="163">
        <v>6</v>
      </c>
      <c r="N22" s="141">
        <v>0</v>
      </c>
      <c r="O22" s="141">
        <v>0</v>
      </c>
      <c r="P22" s="142">
        <v>0</v>
      </c>
      <c r="Q22" s="142">
        <v>0</v>
      </c>
      <c r="R22" s="163">
        <v>1</v>
      </c>
      <c r="S22" s="163">
        <v>6</v>
      </c>
      <c r="T22" s="163">
        <v>1</v>
      </c>
      <c r="U22" s="163">
        <v>6</v>
      </c>
      <c r="V22" s="163">
        <v>1</v>
      </c>
      <c r="W22" s="163">
        <v>6</v>
      </c>
      <c r="X22" s="163">
        <v>1</v>
      </c>
      <c r="Y22" s="163">
        <v>6</v>
      </c>
      <c r="Z22" s="163">
        <v>1</v>
      </c>
      <c r="AA22" s="163">
        <v>6</v>
      </c>
      <c r="AB22" s="141">
        <v>0</v>
      </c>
      <c r="AC22" s="141">
        <v>0</v>
      </c>
      <c r="AD22" s="142">
        <v>0</v>
      </c>
      <c r="AE22" s="142">
        <v>0</v>
      </c>
      <c r="AF22" s="163">
        <v>1</v>
      </c>
      <c r="AG22" s="163">
        <v>6</v>
      </c>
      <c r="AH22" s="163">
        <v>1</v>
      </c>
      <c r="AI22" s="163">
        <v>6</v>
      </c>
      <c r="AJ22" s="163">
        <v>1</v>
      </c>
      <c r="AK22" s="163">
        <v>6</v>
      </c>
      <c r="AL22" s="163">
        <v>1</v>
      </c>
      <c r="AM22" s="163">
        <v>6</v>
      </c>
      <c r="AN22" s="163">
        <v>1</v>
      </c>
      <c r="AO22" s="163">
        <v>6</v>
      </c>
      <c r="AP22" s="141">
        <v>0</v>
      </c>
      <c r="AQ22" s="141">
        <v>0</v>
      </c>
      <c r="AR22" s="142">
        <v>0</v>
      </c>
      <c r="AS22" s="142">
        <v>0</v>
      </c>
      <c r="AT22" s="163">
        <v>1</v>
      </c>
      <c r="AU22" s="163">
        <v>6</v>
      </c>
      <c r="AV22" s="163">
        <v>1</v>
      </c>
      <c r="AW22" s="163">
        <v>6</v>
      </c>
      <c r="AX22" s="163">
        <v>1</v>
      </c>
      <c r="AY22" s="163">
        <v>6</v>
      </c>
      <c r="AZ22" s="163">
        <v>3</v>
      </c>
      <c r="BA22" s="163">
        <v>5</v>
      </c>
      <c r="BB22" s="163">
        <v>1</v>
      </c>
      <c r="BC22" s="163">
        <v>6</v>
      </c>
      <c r="BD22" s="141">
        <v>0</v>
      </c>
      <c r="BE22" s="141">
        <v>0</v>
      </c>
      <c r="BF22" s="142">
        <v>0</v>
      </c>
      <c r="BG22" s="142">
        <v>0</v>
      </c>
      <c r="BH22" s="163">
        <v>1</v>
      </c>
      <c r="BI22" s="163">
        <v>6</v>
      </c>
      <c r="BJ22" s="163">
        <v>1</v>
      </c>
      <c r="BK22" s="163">
        <v>6</v>
      </c>
    </row>
    <row r="23" spans="1:63 16309:16309" x14ac:dyDescent="0.25">
      <c r="A23" s="55"/>
      <c r="B23" s="55"/>
      <c r="C23" s="8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</row>
    <row r="24" spans="1:63 16309:16309" ht="15.75" thickBot="1" x14ac:dyDescent="0.3">
      <c r="C24" s="8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</row>
    <row r="25" spans="1:63 16309:16309" ht="15.75" thickBot="1" x14ac:dyDescent="0.3">
      <c r="C25" s="8"/>
      <c r="D25" s="143">
        <f>SUM(D3:D22)</f>
        <v>74</v>
      </c>
      <c r="E25" s="143">
        <f>SUM(E3:E22)</f>
        <v>110</v>
      </c>
      <c r="F25" s="143">
        <f>SUM(F3:F22)</f>
        <v>72</v>
      </c>
      <c r="G25" s="143">
        <f>SUM(G3:G22)</f>
        <v>112</v>
      </c>
      <c r="H25" s="143">
        <f>SUM(H3:H22)</f>
        <v>79</v>
      </c>
      <c r="I25" s="143">
        <f>SUM(I3:I22)</f>
        <v>104</v>
      </c>
      <c r="J25" s="143">
        <f>SUM(J3:J22)</f>
        <v>75</v>
      </c>
      <c r="K25" s="143">
        <f>SUM(K3:K22)</f>
        <v>109</v>
      </c>
      <c r="L25" s="143">
        <f>SUM(L3:L22)</f>
        <v>75</v>
      </c>
      <c r="M25" s="143">
        <f>SUM(M3:M22)</f>
        <v>108</v>
      </c>
      <c r="N25" s="180">
        <f>SUM(N3:N22)</f>
        <v>140</v>
      </c>
      <c r="O25" s="180">
        <f>SUM(O3:O22)</f>
        <v>3</v>
      </c>
      <c r="P25" s="65">
        <f>SUM(P3:P22)</f>
        <v>108</v>
      </c>
      <c r="Q25" s="65">
        <f>SUM(Q3:Q22)</f>
        <v>3</v>
      </c>
      <c r="R25" s="143">
        <f>SUM(R3:R22)</f>
        <v>83</v>
      </c>
      <c r="S25" s="143">
        <f>SUM(S3:S22)</f>
        <v>101</v>
      </c>
      <c r="T25" s="143">
        <f>SUM(T3:T22)</f>
        <v>84</v>
      </c>
      <c r="U25" s="143">
        <f>SUM(U3:U22)</f>
        <v>100</v>
      </c>
      <c r="V25" s="143">
        <f>SUM(V3:V22)</f>
        <v>88</v>
      </c>
      <c r="W25" s="143">
        <f>SUM(W3:W22)</f>
        <v>96</v>
      </c>
      <c r="X25" s="143">
        <f>SUM(X3:X22)</f>
        <v>82</v>
      </c>
      <c r="Y25" s="143">
        <f>SUM(Y3:Y22)</f>
        <v>102</v>
      </c>
      <c r="Z25" s="143">
        <f>SUM(Z3:Z22)</f>
        <v>82</v>
      </c>
      <c r="AA25" s="143">
        <f>SUM(AA3:AA22)</f>
        <v>101</v>
      </c>
      <c r="AB25" s="180">
        <f>SUM(AB3:AB22)</f>
        <v>140</v>
      </c>
      <c r="AC25" s="180">
        <f>SUM(AC3:AC22)</f>
        <v>3</v>
      </c>
      <c r="AD25" s="65">
        <f>SUM(AD3:AD22)</f>
        <v>108</v>
      </c>
      <c r="AE25" s="65">
        <f>SUM(AE3:AE22)</f>
        <v>3</v>
      </c>
      <c r="AF25" s="143">
        <f>SUM(AF3:AF22)</f>
        <v>80</v>
      </c>
      <c r="AG25" s="143">
        <f>SUM(AG3:AG22)</f>
        <v>104</v>
      </c>
      <c r="AH25" s="143">
        <f>SUM(AH3:AH22)</f>
        <v>76</v>
      </c>
      <c r="AI25" s="143">
        <f>SUM(AI3:AI22)</f>
        <v>108</v>
      </c>
      <c r="AJ25" s="143">
        <f>SUM(AJ3:AJ22)</f>
        <v>74</v>
      </c>
      <c r="AK25" s="143">
        <f>SUM(AK3:AK22)</f>
        <v>110</v>
      </c>
      <c r="AL25" s="143">
        <f>SUM(AL3:AL22)</f>
        <v>69</v>
      </c>
      <c r="AM25" s="143">
        <f>SUM(AM3:AM22)</f>
        <v>115</v>
      </c>
      <c r="AN25" s="143">
        <f>SUM(AN3:AN22)</f>
        <v>82</v>
      </c>
      <c r="AO25" s="143">
        <f>SUM(AO3:AO22)</f>
        <v>102</v>
      </c>
      <c r="AP25" s="180">
        <f>SUM(AP3:AP22)</f>
        <v>140</v>
      </c>
      <c r="AQ25" s="180">
        <f>SUM(AQ3:AQ22)</f>
        <v>3</v>
      </c>
      <c r="AR25" s="65">
        <f>SUM(AR3:AR22)</f>
        <v>108</v>
      </c>
      <c r="AS25" s="65">
        <f>SUM(AS3:AS22)</f>
        <v>3</v>
      </c>
      <c r="AT25" s="143">
        <f>SUM(AT3:AT22)</f>
        <v>78</v>
      </c>
      <c r="AU25" s="143">
        <f>SUM(AU3:AU22)</f>
        <v>106</v>
      </c>
      <c r="AV25" s="143">
        <f>SUM(AV3:AV22)</f>
        <v>78</v>
      </c>
      <c r="AW25" s="143">
        <f>SUM(AW3:AW22)</f>
        <v>106</v>
      </c>
      <c r="AX25" s="143">
        <f>SUM(AX3:AX22)</f>
        <v>78</v>
      </c>
      <c r="AY25" s="143">
        <f>SUM(AY3:AY22)</f>
        <v>106</v>
      </c>
      <c r="AZ25" s="143">
        <f>SUM(AZ3:AZ22)</f>
        <v>64</v>
      </c>
      <c r="BA25" s="143">
        <f>SUM(BA3:BA22)</f>
        <v>108</v>
      </c>
      <c r="BB25" s="143">
        <f>SUM(BB3:BB22)</f>
        <v>72</v>
      </c>
      <c r="BC25" s="143">
        <f>SUM(BC3:BC22)</f>
        <v>100</v>
      </c>
      <c r="BD25" s="180">
        <f>SUM(BD3:BD22)</f>
        <v>140</v>
      </c>
      <c r="BE25" s="180">
        <f>SUM(BE3:BE22)</f>
        <v>3</v>
      </c>
      <c r="BF25" s="65">
        <f>SUM(BF3:BF22)</f>
        <v>108</v>
      </c>
      <c r="BG25" s="65">
        <f>SUM(BG3:BG22)</f>
        <v>3</v>
      </c>
      <c r="BH25" s="143">
        <f>SUM(BH3:BH22)</f>
        <v>73</v>
      </c>
      <c r="BI25" s="143">
        <f>SUM(BI3:BI22)</f>
        <v>111</v>
      </c>
      <c r="BJ25" s="143">
        <f>SUM(BJ3:BJ22)</f>
        <v>61</v>
      </c>
      <c r="BK25" s="143">
        <f>SUM(BK3:BK22)</f>
        <v>111</v>
      </c>
      <c r="XCG25" s="66"/>
    </row>
    <row r="26" spans="1:63 16309:16309" x14ac:dyDescent="0.25">
      <c r="C26" s="8"/>
      <c r="L26" s="130"/>
      <c r="Z26" s="130"/>
      <c r="AA26" s="130"/>
      <c r="AB26" s="130"/>
      <c r="AC26" s="130"/>
      <c r="AG26" s="130"/>
      <c r="AH26" s="130"/>
      <c r="AI26" s="130"/>
      <c r="AJ26" s="130"/>
      <c r="AR26" s="56"/>
      <c r="AS26" s="56"/>
      <c r="AT26" s="56"/>
      <c r="AU26" s="56"/>
      <c r="AV26" s="56"/>
      <c r="AW26" s="56"/>
      <c r="AX26" s="56"/>
      <c r="AY26" s="56"/>
      <c r="AZ26" s="56"/>
      <c r="BH26" s="56"/>
      <c r="BI26" s="56"/>
      <c r="BJ26" s="56"/>
      <c r="BK26" s="56"/>
    </row>
    <row r="27" spans="1:63 16309:16309" ht="18" x14ac:dyDescent="0.25">
      <c r="C27" s="8"/>
      <c r="L27" s="130"/>
      <c r="Z27" s="57"/>
      <c r="AJ27" s="130"/>
      <c r="AR27" s="56"/>
      <c r="AS27" s="56"/>
      <c r="AT27" s="56"/>
      <c r="AU27" s="56"/>
      <c r="AV27" s="56"/>
      <c r="AW27" s="56"/>
      <c r="AX27" s="56"/>
      <c r="AY27" s="56"/>
      <c r="AZ27" s="56"/>
      <c r="BH27" s="56"/>
      <c r="BI27" s="56"/>
      <c r="BJ27" s="56"/>
      <c r="BK27" s="56"/>
    </row>
    <row r="28" spans="1:63 16309:16309" x14ac:dyDescent="0.25">
      <c r="C28" s="8"/>
      <c r="F28" s="130"/>
      <c r="G28" s="130"/>
      <c r="H28" s="130"/>
      <c r="I28" s="130"/>
      <c r="J28" s="8"/>
      <c r="K28" s="8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J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</row>
    <row r="29" spans="1:63 16309:16309" x14ac:dyDescent="0.25">
      <c r="C29" s="8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J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</row>
    <row r="30" spans="1:63 16309:16309" x14ac:dyDescent="0.25">
      <c r="C30" s="8"/>
      <c r="L30" s="130"/>
      <c r="AJ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</row>
    <row r="31" spans="1:63 16309:16309" x14ac:dyDescent="0.25">
      <c r="A31" s="58" t="s">
        <v>78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</row>
    <row r="32" spans="1:63 16309:16309" x14ac:dyDescent="0.25">
      <c r="A32" t="s">
        <v>79</v>
      </c>
      <c r="C32" s="8"/>
      <c r="D32" s="59">
        <f>D5+D12+D19</f>
        <v>35</v>
      </c>
      <c r="E32" s="312">
        <f>E5+E12+E19</f>
        <v>57</v>
      </c>
      <c r="F32" s="59">
        <f>F5+F12+F19</f>
        <v>33</v>
      </c>
      <c r="G32" s="59">
        <f>G5+G12+G19</f>
        <v>59</v>
      </c>
      <c r="H32" s="59">
        <f>H5+H12+H19</f>
        <v>39</v>
      </c>
      <c r="I32" s="59">
        <f>I5+I12+I19</f>
        <v>52</v>
      </c>
      <c r="J32" s="59">
        <f>J5+J12+J19</f>
        <v>36</v>
      </c>
      <c r="K32" s="59">
        <f>K5+K12+K19</f>
        <v>56</v>
      </c>
      <c r="L32" s="157">
        <f>L5+L12+L19</f>
        <v>36</v>
      </c>
      <c r="M32" s="59">
        <f>M5+M12+M19</f>
        <v>55</v>
      </c>
      <c r="N32" s="59">
        <f>N5+N12+N19</f>
        <v>67</v>
      </c>
      <c r="O32" s="298">
        <f>O5+O12+O19</f>
        <v>3</v>
      </c>
      <c r="P32" s="59">
        <f>P5+P12+P19</f>
        <v>51</v>
      </c>
      <c r="Q32" s="59">
        <f>Q5+Q12+Q19</f>
        <v>3</v>
      </c>
      <c r="R32" s="232">
        <f>R5+R12+R19</f>
        <v>41</v>
      </c>
      <c r="S32" s="59">
        <f>S5+S12+S19</f>
        <v>51</v>
      </c>
      <c r="T32" s="59">
        <f>T5+T12+T19</f>
        <v>42</v>
      </c>
      <c r="U32" s="59">
        <f>U5+U12+U19</f>
        <v>50</v>
      </c>
      <c r="V32" s="59">
        <f>V5+V12+V19</f>
        <v>44</v>
      </c>
      <c r="W32" s="59">
        <f>W5+W12+W19</f>
        <v>48</v>
      </c>
      <c r="X32" s="59">
        <f>X5+X12+X19</f>
        <v>41</v>
      </c>
      <c r="Y32" s="59">
        <f>Y5+Y12+Y19</f>
        <v>51</v>
      </c>
      <c r="Z32" s="120">
        <f>Z5+Z12+Z19</f>
        <v>42</v>
      </c>
      <c r="AA32" s="120">
        <f>AA5+AA12+AA19</f>
        <v>50</v>
      </c>
      <c r="AB32" s="121">
        <f>AB5+AB12+AB19</f>
        <v>67</v>
      </c>
      <c r="AC32" s="121">
        <f>AC5+AC12+AC19</f>
        <v>3</v>
      </c>
      <c r="AD32" s="59">
        <f>AD5+AD12+AD19</f>
        <v>51</v>
      </c>
      <c r="AE32" s="59">
        <f>AE5+AE12+AE19</f>
        <v>3</v>
      </c>
      <c r="AF32" s="59">
        <f>AF5+AF12+AF19</f>
        <v>40</v>
      </c>
      <c r="AG32" s="263">
        <f>AG5+AG12+AG19</f>
        <v>52</v>
      </c>
      <c r="AH32" s="263">
        <f>AH5+AH12+AH19</f>
        <v>35</v>
      </c>
      <c r="AI32" s="263">
        <f>AI5+AI12+AI19</f>
        <v>57</v>
      </c>
      <c r="AJ32" s="263">
        <f>AJ5+AJ12+AJ19</f>
        <v>35</v>
      </c>
      <c r="AK32" s="263">
        <f>AK5+AK12+AK19</f>
        <v>57</v>
      </c>
      <c r="AL32" s="263">
        <f>AL5+AL12+AL19</f>
        <v>31</v>
      </c>
      <c r="AM32" s="263">
        <f>AM5+AM12+AM19</f>
        <v>61</v>
      </c>
      <c r="AN32" s="263">
        <f>AN5+AN12+AN19</f>
        <v>41</v>
      </c>
      <c r="AO32" s="286">
        <f>AO5+AO12+AO19</f>
        <v>51</v>
      </c>
      <c r="AP32" s="59">
        <f>AP5+AP12+AP19</f>
        <v>67</v>
      </c>
      <c r="AQ32" s="59">
        <f>AQ5+AQ12+AQ19</f>
        <v>3</v>
      </c>
      <c r="AR32" s="59">
        <f>AR5+AR12+AR19</f>
        <v>51</v>
      </c>
      <c r="AS32" s="59">
        <f>AS5+AS12+AS19</f>
        <v>3</v>
      </c>
      <c r="AT32" s="258">
        <f>AT5+AT12+AT19</f>
        <v>39</v>
      </c>
      <c r="AU32" s="59">
        <f>AU5+AU12+AU19</f>
        <v>53</v>
      </c>
      <c r="AV32" s="154">
        <f>AV5+AV12+AV19</f>
        <v>39</v>
      </c>
      <c r="AW32" s="59">
        <f>AW5+AW12+AW19</f>
        <v>53</v>
      </c>
      <c r="AX32" s="59">
        <f>AX5+AX12+AX19</f>
        <v>39</v>
      </c>
      <c r="AY32" s="288">
        <f>AY5+AY12+AY19</f>
        <v>53</v>
      </c>
      <c r="AZ32" s="59">
        <f>AZ5+AZ12+AZ19</f>
        <v>27</v>
      </c>
      <c r="BA32" s="289">
        <f>BA5+BA12+BA19</f>
        <v>58</v>
      </c>
      <c r="BB32" s="311">
        <f>BB5+BB12+BB19</f>
        <v>36</v>
      </c>
      <c r="BC32" s="311">
        <f>BC5+BC12+BC19</f>
        <v>50</v>
      </c>
      <c r="BD32" s="309">
        <f>BD5+BD12+BD19</f>
        <v>67</v>
      </c>
      <c r="BE32" s="309">
        <f>BE5+BE12+BE19</f>
        <v>3</v>
      </c>
      <c r="BF32" s="181">
        <f>BF5+BF12+BF19</f>
        <v>51</v>
      </c>
      <c r="BG32" s="181">
        <f>BG5+BG12+BG19</f>
        <v>3</v>
      </c>
      <c r="BH32" s="253">
        <f>BH5+BH12+BH19</f>
        <v>34</v>
      </c>
      <c r="BI32" s="253">
        <f>BI5+BI12+BI19</f>
        <v>58</v>
      </c>
      <c r="BJ32" s="313">
        <f>BJ5+BJ12+BJ19</f>
        <v>27</v>
      </c>
      <c r="BK32" s="313">
        <f>BK5+BK12+BK19</f>
        <v>59</v>
      </c>
    </row>
    <row r="33" spans="1:63" x14ac:dyDescent="0.25">
      <c r="A33" t="s">
        <v>80</v>
      </c>
      <c r="C33" s="8"/>
      <c r="D33" s="312">
        <f t="shared" ref="D33:AI33" si="0">D8+D15+D22</f>
        <v>37</v>
      </c>
      <c r="E33" s="312">
        <f t="shared" si="0"/>
        <v>53</v>
      </c>
      <c r="F33" s="59">
        <f t="shared" si="0"/>
        <v>37</v>
      </c>
      <c r="G33" s="59">
        <f t="shared" si="0"/>
        <v>53</v>
      </c>
      <c r="H33" s="59">
        <f t="shared" si="0"/>
        <v>38</v>
      </c>
      <c r="I33" s="59">
        <f t="shared" si="0"/>
        <v>52</v>
      </c>
      <c r="J33" s="59">
        <f t="shared" si="0"/>
        <v>37</v>
      </c>
      <c r="K33" s="59">
        <f t="shared" si="0"/>
        <v>53</v>
      </c>
      <c r="L33" s="157">
        <f t="shared" si="0"/>
        <v>37</v>
      </c>
      <c r="M33" s="59">
        <f t="shared" si="0"/>
        <v>53</v>
      </c>
      <c r="N33" s="59">
        <f t="shared" si="0"/>
        <v>73</v>
      </c>
      <c r="O33" s="298">
        <f t="shared" si="0"/>
        <v>0</v>
      </c>
      <c r="P33" s="59">
        <f t="shared" si="0"/>
        <v>57</v>
      </c>
      <c r="Q33" s="59">
        <f t="shared" si="0"/>
        <v>0</v>
      </c>
      <c r="R33" s="232">
        <f t="shared" si="0"/>
        <v>40</v>
      </c>
      <c r="S33" s="59">
        <f t="shared" si="0"/>
        <v>50</v>
      </c>
      <c r="T33" s="59">
        <f t="shared" si="0"/>
        <v>40</v>
      </c>
      <c r="U33" s="312">
        <f t="shared" si="0"/>
        <v>50</v>
      </c>
      <c r="V33" s="59">
        <f t="shared" si="0"/>
        <v>42</v>
      </c>
      <c r="W33" s="59">
        <f t="shared" si="0"/>
        <v>48</v>
      </c>
      <c r="X33" s="59">
        <f t="shared" si="0"/>
        <v>39</v>
      </c>
      <c r="Y33" s="59">
        <f t="shared" si="0"/>
        <v>51</v>
      </c>
      <c r="Z33" s="120">
        <f t="shared" si="0"/>
        <v>38</v>
      </c>
      <c r="AA33" s="120">
        <f t="shared" si="0"/>
        <v>51</v>
      </c>
      <c r="AB33" s="121">
        <f t="shared" si="0"/>
        <v>73</v>
      </c>
      <c r="AC33" s="121">
        <f t="shared" si="0"/>
        <v>0</v>
      </c>
      <c r="AD33" s="59">
        <f t="shared" si="0"/>
        <v>57</v>
      </c>
      <c r="AE33" s="280">
        <f t="shared" si="0"/>
        <v>0</v>
      </c>
      <c r="AF33" s="282">
        <f t="shared" si="0"/>
        <v>38</v>
      </c>
      <c r="AG33" s="263">
        <f t="shared" si="0"/>
        <v>52</v>
      </c>
      <c r="AH33" s="263">
        <f t="shared" si="0"/>
        <v>39</v>
      </c>
      <c r="AI33" s="263">
        <f t="shared" si="0"/>
        <v>51</v>
      </c>
      <c r="AJ33" s="263">
        <f t="shared" ref="AJ33:BK33" si="1">AJ8+AJ15+AJ22</f>
        <v>37</v>
      </c>
      <c r="AK33" s="263">
        <f t="shared" si="1"/>
        <v>53</v>
      </c>
      <c r="AL33" s="263">
        <f t="shared" si="1"/>
        <v>36</v>
      </c>
      <c r="AM33" s="263">
        <f t="shared" si="1"/>
        <v>54</v>
      </c>
      <c r="AN33" s="263">
        <f t="shared" si="1"/>
        <v>39</v>
      </c>
      <c r="AO33" s="286">
        <f t="shared" si="1"/>
        <v>51</v>
      </c>
      <c r="AP33" s="59">
        <f t="shared" si="1"/>
        <v>73</v>
      </c>
      <c r="AQ33" s="59">
        <f t="shared" si="1"/>
        <v>0</v>
      </c>
      <c r="AR33" s="59">
        <f t="shared" si="1"/>
        <v>57</v>
      </c>
      <c r="AS33" s="59">
        <f t="shared" si="1"/>
        <v>0</v>
      </c>
      <c r="AT33" s="258">
        <f t="shared" si="1"/>
        <v>37</v>
      </c>
      <c r="AU33" s="59">
        <f t="shared" si="1"/>
        <v>53</v>
      </c>
      <c r="AV33" s="59">
        <f t="shared" si="1"/>
        <v>37</v>
      </c>
      <c r="AW33" s="59">
        <f t="shared" si="1"/>
        <v>53</v>
      </c>
      <c r="AX33" s="288">
        <f t="shared" si="1"/>
        <v>37</v>
      </c>
      <c r="AY33" s="288">
        <f t="shared" si="1"/>
        <v>53</v>
      </c>
      <c r="AZ33" s="289">
        <f t="shared" si="1"/>
        <v>35</v>
      </c>
      <c r="BA33" s="289">
        <f t="shared" si="1"/>
        <v>50</v>
      </c>
      <c r="BB33" s="311">
        <f t="shared" si="1"/>
        <v>34</v>
      </c>
      <c r="BC33" s="311">
        <f t="shared" si="1"/>
        <v>50</v>
      </c>
      <c r="BD33" s="309">
        <f t="shared" si="1"/>
        <v>73</v>
      </c>
      <c r="BE33" s="309">
        <f t="shared" si="1"/>
        <v>0</v>
      </c>
      <c r="BF33" s="181">
        <f t="shared" si="1"/>
        <v>57</v>
      </c>
      <c r="BG33" s="181">
        <f t="shared" si="1"/>
        <v>0</v>
      </c>
      <c r="BH33" s="253">
        <f t="shared" si="1"/>
        <v>37</v>
      </c>
      <c r="BI33" s="253">
        <f t="shared" si="1"/>
        <v>53</v>
      </c>
      <c r="BJ33" s="313">
        <f t="shared" si="1"/>
        <v>33</v>
      </c>
      <c r="BK33" s="313">
        <f t="shared" si="1"/>
        <v>51</v>
      </c>
    </row>
    <row r="34" spans="1:63" x14ac:dyDescent="0.25">
      <c r="A34" t="s">
        <v>81</v>
      </c>
      <c r="C34" s="8"/>
      <c r="D34" s="59">
        <f t="shared" ref="D34:AI34" si="2">D3+D10+D17</f>
        <v>0</v>
      </c>
      <c r="E34" s="312">
        <f t="shared" si="2"/>
        <v>0</v>
      </c>
      <c r="F34" s="59">
        <f t="shared" si="2"/>
        <v>0</v>
      </c>
      <c r="G34" s="59">
        <f t="shared" si="2"/>
        <v>0</v>
      </c>
      <c r="H34" s="59">
        <f t="shared" si="2"/>
        <v>0</v>
      </c>
      <c r="I34" s="59">
        <f t="shared" si="2"/>
        <v>0</v>
      </c>
      <c r="J34" s="59">
        <f t="shared" si="2"/>
        <v>0</v>
      </c>
      <c r="K34" s="59">
        <f t="shared" si="2"/>
        <v>0</v>
      </c>
      <c r="L34" s="157">
        <f t="shared" si="2"/>
        <v>0</v>
      </c>
      <c r="M34" s="59">
        <f t="shared" si="2"/>
        <v>0</v>
      </c>
      <c r="N34" s="59">
        <f t="shared" si="2"/>
        <v>0</v>
      </c>
      <c r="O34" s="59">
        <f t="shared" si="2"/>
        <v>0</v>
      </c>
      <c r="P34" s="59">
        <f t="shared" si="2"/>
        <v>0</v>
      </c>
      <c r="Q34" s="59">
        <f t="shared" si="2"/>
        <v>0</v>
      </c>
      <c r="R34" s="232">
        <f t="shared" si="2"/>
        <v>0</v>
      </c>
      <c r="S34" s="59">
        <f t="shared" si="2"/>
        <v>0</v>
      </c>
      <c r="T34" s="59">
        <f t="shared" si="2"/>
        <v>0</v>
      </c>
      <c r="U34" s="59">
        <f t="shared" si="2"/>
        <v>0</v>
      </c>
      <c r="V34" s="59">
        <f t="shared" si="2"/>
        <v>0</v>
      </c>
      <c r="W34" s="59">
        <f t="shared" si="2"/>
        <v>0</v>
      </c>
      <c r="X34" s="59">
        <f t="shared" si="2"/>
        <v>0</v>
      </c>
      <c r="Y34" s="59">
        <f t="shared" si="2"/>
        <v>0</v>
      </c>
      <c r="Z34" s="120">
        <f t="shared" si="2"/>
        <v>0</v>
      </c>
      <c r="AA34" s="120">
        <f t="shared" si="2"/>
        <v>0</v>
      </c>
      <c r="AB34" s="121">
        <f t="shared" si="2"/>
        <v>0</v>
      </c>
      <c r="AC34" s="121">
        <f t="shared" si="2"/>
        <v>0</v>
      </c>
      <c r="AD34" s="59">
        <f t="shared" si="2"/>
        <v>0</v>
      </c>
      <c r="AE34" s="280">
        <f t="shared" si="2"/>
        <v>0</v>
      </c>
      <c r="AF34" s="59">
        <f t="shared" si="2"/>
        <v>0</v>
      </c>
      <c r="AG34" s="282">
        <f t="shared" si="2"/>
        <v>0</v>
      </c>
      <c r="AH34" s="59">
        <f t="shared" si="2"/>
        <v>0</v>
      </c>
      <c r="AI34" s="59">
        <f t="shared" si="2"/>
        <v>0</v>
      </c>
      <c r="AJ34" s="304">
        <f t="shared" ref="AJ34:BK34" si="3">AJ3+AJ10+AJ17</f>
        <v>0</v>
      </c>
      <c r="AK34" s="59">
        <f t="shared" si="3"/>
        <v>0</v>
      </c>
      <c r="AL34" s="59">
        <f t="shared" si="3"/>
        <v>0</v>
      </c>
      <c r="AM34" s="59">
        <f t="shared" si="3"/>
        <v>0</v>
      </c>
      <c r="AN34" s="59">
        <f t="shared" si="3"/>
        <v>0</v>
      </c>
      <c r="AO34" s="286">
        <f t="shared" si="3"/>
        <v>0</v>
      </c>
      <c r="AP34" s="59">
        <f t="shared" si="3"/>
        <v>0</v>
      </c>
      <c r="AQ34" s="59">
        <f t="shared" si="3"/>
        <v>0</v>
      </c>
      <c r="AR34" s="59">
        <f t="shared" si="3"/>
        <v>0</v>
      </c>
      <c r="AS34" s="59">
        <f t="shared" si="3"/>
        <v>0</v>
      </c>
      <c r="AT34" s="59">
        <f t="shared" si="3"/>
        <v>0</v>
      </c>
      <c r="AU34" s="59">
        <f t="shared" si="3"/>
        <v>0</v>
      </c>
      <c r="AV34" s="59">
        <f t="shared" si="3"/>
        <v>0</v>
      </c>
      <c r="AW34" s="59">
        <f t="shared" si="3"/>
        <v>0</v>
      </c>
      <c r="AX34" s="288">
        <f t="shared" si="3"/>
        <v>0</v>
      </c>
      <c r="AY34" s="288">
        <f t="shared" si="3"/>
        <v>0</v>
      </c>
      <c r="AZ34" s="59">
        <f t="shared" si="3"/>
        <v>0</v>
      </c>
      <c r="BA34" s="289">
        <f t="shared" si="3"/>
        <v>0</v>
      </c>
      <c r="BB34" s="311">
        <f t="shared" si="3"/>
        <v>0</v>
      </c>
      <c r="BC34" s="311">
        <f t="shared" si="3"/>
        <v>0</v>
      </c>
      <c r="BD34" s="309">
        <f t="shared" si="3"/>
        <v>0</v>
      </c>
      <c r="BE34" s="309">
        <f t="shared" si="3"/>
        <v>0</v>
      </c>
      <c r="BF34" s="290">
        <f t="shared" si="3"/>
        <v>0</v>
      </c>
      <c r="BG34" s="181">
        <f t="shared" si="3"/>
        <v>0</v>
      </c>
      <c r="BH34" s="253">
        <f t="shared" si="3"/>
        <v>0</v>
      </c>
      <c r="BI34" s="253">
        <f t="shared" si="3"/>
        <v>0</v>
      </c>
      <c r="BJ34" s="313">
        <f t="shared" si="3"/>
        <v>0</v>
      </c>
      <c r="BK34" s="313">
        <f t="shared" si="3"/>
        <v>0</v>
      </c>
    </row>
    <row r="35" spans="1:63" x14ac:dyDescent="0.25">
      <c r="A35" t="s">
        <v>82</v>
      </c>
      <c r="C35" s="8"/>
      <c r="D35" s="59">
        <f t="shared" ref="D35:AI35" si="4">D6+D13+D20</f>
        <v>1</v>
      </c>
      <c r="E35" s="312">
        <f t="shared" si="4"/>
        <v>0</v>
      </c>
      <c r="F35" s="59">
        <f t="shared" si="4"/>
        <v>1</v>
      </c>
      <c r="G35" s="59">
        <f t="shared" si="4"/>
        <v>0</v>
      </c>
      <c r="H35" s="59">
        <f t="shared" si="4"/>
        <v>1</v>
      </c>
      <c r="I35" s="59">
        <f t="shared" si="4"/>
        <v>0</v>
      </c>
      <c r="J35" s="59">
        <f t="shared" si="4"/>
        <v>1</v>
      </c>
      <c r="K35" s="59">
        <f t="shared" si="4"/>
        <v>0</v>
      </c>
      <c r="L35" s="157">
        <f t="shared" si="4"/>
        <v>1</v>
      </c>
      <c r="M35" s="59">
        <f t="shared" si="4"/>
        <v>0</v>
      </c>
      <c r="N35" s="59">
        <f t="shared" si="4"/>
        <v>0</v>
      </c>
      <c r="O35" s="59">
        <f t="shared" si="4"/>
        <v>0</v>
      </c>
      <c r="P35" s="59">
        <f t="shared" si="4"/>
        <v>0</v>
      </c>
      <c r="Q35" s="59">
        <f t="shared" si="4"/>
        <v>0</v>
      </c>
      <c r="R35" s="232">
        <f t="shared" si="4"/>
        <v>1</v>
      </c>
      <c r="S35" s="59">
        <f t="shared" si="4"/>
        <v>0</v>
      </c>
      <c r="T35" s="59">
        <f t="shared" si="4"/>
        <v>1</v>
      </c>
      <c r="U35" s="312">
        <f t="shared" si="4"/>
        <v>0</v>
      </c>
      <c r="V35" s="59">
        <f t="shared" si="4"/>
        <v>1</v>
      </c>
      <c r="W35" s="59">
        <f t="shared" si="4"/>
        <v>0</v>
      </c>
      <c r="X35" s="59">
        <f t="shared" si="4"/>
        <v>1</v>
      </c>
      <c r="Y35" s="59">
        <f t="shared" si="4"/>
        <v>0</v>
      </c>
      <c r="Z35" s="120">
        <f t="shared" si="4"/>
        <v>1</v>
      </c>
      <c r="AA35" s="120">
        <f t="shared" si="4"/>
        <v>0</v>
      </c>
      <c r="AB35" s="121">
        <f t="shared" si="4"/>
        <v>0</v>
      </c>
      <c r="AC35" s="121">
        <f t="shared" si="4"/>
        <v>0</v>
      </c>
      <c r="AD35" s="59">
        <f t="shared" si="4"/>
        <v>0</v>
      </c>
      <c r="AE35" s="280">
        <f t="shared" si="4"/>
        <v>0</v>
      </c>
      <c r="AF35" s="59">
        <f t="shared" si="4"/>
        <v>1</v>
      </c>
      <c r="AG35" s="282">
        <f t="shared" si="4"/>
        <v>0</v>
      </c>
      <c r="AH35" s="59">
        <f t="shared" si="4"/>
        <v>1</v>
      </c>
      <c r="AI35" s="59">
        <f t="shared" si="4"/>
        <v>0</v>
      </c>
      <c r="AJ35" s="304">
        <f t="shared" ref="AJ35:BK35" si="5">AJ6+AJ13+AJ20</f>
        <v>1</v>
      </c>
      <c r="AK35" s="59">
        <f t="shared" si="5"/>
        <v>0</v>
      </c>
      <c r="AL35" s="59">
        <f t="shared" si="5"/>
        <v>1</v>
      </c>
      <c r="AM35" s="59">
        <f t="shared" si="5"/>
        <v>0</v>
      </c>
      <c r="AN35" s="59">
        <f t="shared" si="5"/>
        <v>1</v>
      </c>
      <c r="AO35" s="286">
        <f t="shared" si="5"/>
        <v>0</v>
      </c>
      <c r="AP35" s="59">
        <f t="shared" si="5"/>
        <v>0</v>
      </c>
      <c r="AQ35" s="59">
        <f t="shared" si="5"/>
        <v>0</v>
      </c>
      <c r="AR35" s="59">
        <f t="shared" si="5"/>
        <v>0</v>
      </c>
      <c r="AS35" s="59">
        <f t="shared" si="5"/>
        <v>0</v>
      </c>
      <c r="AT35" s="59">
        <f t="shared" si="5"/>
        <v>1</v>
      </c>
      <c r="AU35" s="59">
        <f t="shared" si="5"/>
        <v>0</v>
      </c>
      <c r="AV35" s="59">
        <f t="shared" si="5"/>
        <v>1</v>
      </c>
      <c r="AW35" s="59">
        <f t="shared" si="5"/>
        <v>0</v>
      </c>
      <c r="AX35" s="59">
        <f t="shared" si="5"/>
        <v>1</v>
      </c>
      <c r="AY35" s="288">
        <f t="shared" si="5"/>
        <v>0</v>
      </c>
      <c r="AZ35" s="59">
        <f t="shared" si="5"/>
        <v>1</v>
      </c>
      <c r="BA35" s="289">
        <f t="shared" si="5"/>
        <v>0</v>
      </c>
      <c r="BB35" s="311">
        <f t="shared" si="5"/>
        <v>1</v>
      </c>
      <c r="BC35" s="311">
        <f t="shared" si="5"/>
        <v>0</v>
      </c>
      <c r="BD35" s="309">
        <f t="shared" si="5"/>
        <v>0</v>
      </c>
      <c r="BE35" s="309">
        <f t="shared" si="5"/>
        <v>0</v>
      </c>
      <c r="BF35" s="181">
        <f t="shared" si="5"/>
        <v>0</v>
      </c>
      <c r="BG35" s="181">
        <f t="shared" si="5"/>
        <v>0</v>
      </c>
      <c r="BH35" s="253">
        <f t="shared" si="5"/>
        <v>1</v>
      </c>
      <c r="BI35" s="253">
        <f t="shared" si="5"/>
        <v>0</v>
      </c>
      <c r="BJ35" s="313">
        <f t="shared" si="5"/>
        <v>0</v>
      </c>
      <c r="BK35" s="313">
        <f t="shared" si="5"/>
        <v>1</v>
      </c>
    </row>
    <row r="36" spans="1:63" s="130" customFormat="1" x14ac:dyDescent="0.25">
      <c r="A36" s="130" t="s">
        <v>122</v>
      </c>
      <c r="C36" s="8"/>
      <c r="D36" s="161">
        <f t="shared" ref="D36:AI36" si="6">D4+D11+D18</f>
        <v>0</v>
      </c>
      <c r="E36" s="312">
        <f t="shared" si="6"/>
        <v>0</v>
      </c>
      <c r="F36" s="161">
        <f t="shared" si="6"/>
        <v>0</v>
      </c>
      <c r="G36" s="161">
        <f t="shared" si="6"/>
        <v>0</v>
      </c>
      <c r="H36" s="161">
        <f t="shared" si="6"/>
        <v>0</v>
      </c>
      <c r="I36" s="161">
        <f t="shared" si="6"/>
        <v>0</v>
      </c>
      <c r="J36" s="161">
        <f t="shared" si="6"/>
        <v>0</v>
      </c>
      <c r="K36" s="161">
        <f t="shared" si="6"/>
        <v>0</v>
      </c>
      <c r="L36" s="161">
        <f t="shared" si="6"/>
        <v>0</v>
      </c>
      <c r="M36" s="161">
        <f t="shared" si="6"/>
        <v>0</v>
      </c>
      <c r="N36" s="161">
        <f t="shared" si="6"/>
        <v>0</v>
      </c>
      <c r="O36" s="298">
        <f t="shared" si="6"/>
        <v>0</v>
      </c>
      <c r="P36" s="161">
        <f t="shared" si="6"/>
        <v>0</v>
      </c>
      <c r="Q36" s="161">
        <f t="shared" si="6"/>
        <v>0</v>
      </c>
      <c r="R36" s="232">
        <f t="shared" si="6"/>
        <v>0</v>
      </c>
      <c r="S36" s="161">
        <f t="shared" si="6"/>
        <v>0</v>
      </c>
      <c r="T36" s="161">
        <f t="shared" si="6"/>
        <v>0</v>
      </c>
      <c r="U36" s="161">
        <f t="shared" si="6"/>
        <v>0</v>
      </c>
      <c r="V36" s="161">
        <f t="shared" si="6"/>
        <v>0</v>
      </c>
      <c r="W36" s="161">
        <f t="shared" si="6"/>
        <v>0</v>
      </c>
      <c r="X36" s="161">
        <f t="shared" si="6"/>
        <v>0</v>
      </c>
      <c r="Y36" s="161">
        <f t="shared" si="6"/>
        <v>0</v>
      </c>
      <c r="Z36" s="161">
        <f t="shared" si="6"/>
        <v>0</v>
      </c>
      <c r="AA36" s="161">
        <f t="shared" si="6"/>
        <v>0</v>
      </c>
      <c r="AB36" s="161">
        <f t="shared" si="6"/>
        <v>0</v>
      </c>
      <c r="AC36" s="161">
        <f t="shared" si="6"/>
        <v>0</v>
      </c>
      <c r="AD36" s="161">
        <f t="shared" si="6"/>
        <v>0</v>
      </c>
      <c r="AE36" s="280">
        <f t="shared" si="6"/>
        <v>0</v>
      </c>
      <c r="AF36" s="161">
        <f t="shared" si="6"/>
        <v>0</v>
      </c>
      <c r="AG36" s="282">
        <f t="shared" si="6"/>
        <v>0</v>
      </c>
      <c r="AH36" s="161">
        <f t="shared" si="6"/>
        <v>0</v>
      </c>
      <c r="AI36" s="161">
        <f t="shared" si="6"/>
        <v>0</v>
      </c>
      <c r="AJ36" s="304">
        <f t="shared" ref="AJ36:BK36" si="7">AJ4+AJ11+AJ18</f>
        <v>0</v>
      </c>
      <c r="AK36" s="161">
        <f t="shared" si="7"/>
        <v>0</v>
      </c>
      <c r="AL36" s="161">
        <f t="shared" si="7"/>
        <v>0</v>
      </c>
      <c r="AM36" s="285">
        <f t="shared" si="7"/>
        <v>0</v>
      </c>
      <c r="AN36" s="161">
        <f t="shared" si="7"/>
        <v>0</v>
      </c>
      <c r="AO36" s="286">
        <f t="shared" si="7"/>
        <v>0</v>
      </c>
      <c r="AP36" s="161">
        <f t="shared" si="7"/>
        <v>0</v>
      </c>
      <c r="AQ36" s="161">
        <f t="shared" si="7"/>
        <v>0</v>
      </c>
      <c r="AR36" s="161">
        <f t="shared" si="7"/>
        <v>0</v>
      </c>
      <c r="AS36" s="161">
        <f t="shared" si="7"/>
        <v>0</v>
      </c>
      <c r="AT36" s="161">
        <f t="shared" si="7"/>
        <v>0</v>
      </c>
      <c r="AU36" s="161">
        <f t="shared" si="7"/>
        <v>0</v>
      </c>
      <c r="AV36" s="161">
        <f t="shared" si="7"/>
        <v>0</v>
      </c>
      <c r="AW36" s="161">
        <f t="shared" si="7"/>
        <v>0</v>
      </c>
      <c r="AX36" s="288">
        <f t="shared" si="7"/>
        <v>0</v>
      </c>
      <c r="AY36" s="288">
        <f t="shared" si="7"/>
        <v>0</v>
      </c>
      <c r="AZ36" s="161">
        <f t="shared" si="7"/>
        <v>0</v>
      </c>
      <c r="BA36" s="289">
        <f t="shared" si="7"/>
        <v>0</v>
      </c>
      <c r="BB36" s="311">
        <f t="shared" si="7"/>
        <v>0</v>
      </c>
      <c r="BC36" s="311">
        <f t="shared" si="7"/>
        <v>0</v>
      </c>
      <c r="BD36" s="309">
        <f t="shared" si="7"/>
        <v>0</v>
      </c>
      <c r="BE36" s="309">
        <f t="shared" si="7"/>
        <v>0</v>
      </c>
      <c r="BF36" s="181">
        <f t="shared" si="7"/>
        <v>0</v>
      </c>
      <c r="BG36" s="181">
        <f t="shared" si="7"/>
        <v>0</v>
      </c>
      <c r="BH36" s="253">
        <f t="shared" si="7"/>
        <v>0</v>
      </c>
      <c r="BI36" s="253">
        <f t="shared" si="7"/>
        <v>0</v>
      </c>
      <c r="BJ36" s="313">
        <f t="shared" si="7"/>
        <v>0</v>
      </c>
      <c r="BK36" s="313">
        <f t="shared" si="7"/>
        <v>0</v>
      </c>
    </row>
    <row r="37" spans="1:63" x14ac:dyDescent="0.25">
      <c r="A37" t="s">
        <v>35</v>
      </c>
      <c r="C37" s="8"/>
      <c r="D37" s="312">
        <f t="shared" ref="D37:AI37" si="8">D7+D14+D21</f>
        <v>1</v>
      </c>
      <c r="E37" s="312">
        <f t="shared" si="8"/>
        <v>0</v>
      </c>
      <c r="F37" s="59">
        <f t="shared" si="8"/>
        <v>1</v>
      </c>
      <c r="G37" s="59">
        <f t="shared" si="8"/>
        <v>0</v>
      </c>
      <c r="H37" s="59">
        <f t="shared" si="8"/>
        <v>1</v>
      </c>
      <c r="I37" s="59">
        <f t="shared" si="8"/>
        <v>0</v>
      </c>
      <c r="J37" s="59">
        <f t="shared" si="8"/>
        <v>1</v>
      </c>
      <c r="K37" s="59">
        <f t="shared" si="8"/>
        <v>0</v>
      </c>
      <c r="L37" s="157">
        <f t="shared" si="8"/>
        <v>1</v>
      </c>
      <c r="M37" s="59">
        <f t="shared" si="8"/>
        <v>0</v>
      </c>
      <c r="N37" s="59">
        <f t="shared" si="8"/>
        <v>0</v>
      </c>
      <c r="O37" s="298">
        <f t="shared" si="8"/>
        <v>0</v>
      </c>
      <c r="P37" s="59">
        <f t="shared" si="8"/>
        <v>0</v>
      </c>
      <c r="Q37" s="59">
        <f t="shared" si="8"/>
        <v>0</v>
      </c>
      <c r="R37" s="232">
        <f t="shared" si="8"/>
        <v>1</v>
      </c>
      <c r="S37" s="59">
        <f t="shared" si="8"/>
        <v>0</v>
      </c>
      <c r="T37" s="59">
        <f t="shared" si="8"/>
        <v>1</v>
      </c>
      <c r="U37" s="59">
        <f t="shared" si="8"/>
        <v>0</v>
      </c>
      <c r="V37" s="59">
        <f t="shared" si="8"/>
        <v>1</v>
      </c>
      <c r="W37" s="59">
        <f t="shared" si="8"/>
        <v>0</v>
      </c>
      <c r="X37" s="59">
        <f t="shared" si="8"/>
        <v>1</v>
      </c>
      <c r="Y37" s="59">
        <f t="shared" si="8"/>
        <v>0</v>
      </c>
      <c r="Z37" s="120">
        <f t="shared" si="8"/>
        <v>1</v>
      </c>
      <c r="AA37" s="120">
        <f t="shared" si="8"/>
        <v>0</v>
      </c>
      <c r="AB37" s="121">
        <f t="shared" si="8"/>
        <v>0</v>
      </c>
      <c r="AC37" s="121">
        <f t="shared" si="8"/>
        <v>0</v>
      </c>
      <c r="AD37" s="59">
        <f t="shared" si="8"/>
        <v>0</v>
      </c>
      <c r="AE37" s="280">
        <f t="shared" si="8"/>
        <v>0</v>
      </c>
      <c r="AF37" s="282">
        <f t="shared" si="8"/>
        <v>1</v>
      </c>
      <c r="AG37" s="282">
        <f t="shared" si="8"/>
        <v>0</v>
      </c>
      <c r="AH37" s="59">
        <f t="shared" si="8"/>
        <v>1</v>
      </c>
      <c r="AI37" s="59">
        <f t="shared" si="8"/>
        <v>0</v>
      </c>
      <c r="AJ37" s="304">
        <f t="shared" ref="AJ37:BK37" si="9">AJ7+AJ14+AJ21</f>
        <v>1</v>
      </c>
      <c r="AK37" s="59">
        <f t="shared" si="9"/>
        <v>0</v>
      </c>
      <c r="AL37" s="285">
        <f t="shared" si="9"/>
        <v>1</v>
      </c>
      <c r="AM37" s="285">
        <f t="shared" si="9"/>
        <v>0</v>
      </c>
      <c r="AN37" s="286">
        <f t="shared" si="9"/>
        <v>1</v>
      </c>
      <c r="AO37" s="286">
        <f t="shared" si="9"/>
        <v>0</v>
      </c>
      <c r="AP37" s="59">
        <f t="shared" si="9"/>
        <v>0</v>
      </c>
      <c r="AQ37" s="59">
        <f t="shared" si="9"/>
        <v>0</v>
      </c>
      <c r="AR37" s="59">
        <f t="shared" si="9"/>
        <v>0</v>
      </c>
      <c r="AS37" s="59">
        <f t="shared" si="9"/>
        <v>0</v>
      </c>
      <c r="AT37" s="59">
        <f t="shared" si="9"/>
        <v>1</v>
      </c>
      <c r="AU37" s="59">
        <f t="shared" si="9"/>
        <v>0</v>
      </c>
      <c r="AV37" s="59">
        <f t="shared" si="9"/>
        <v>1</v>
      </c>
      <c r="AW37" s="59">
        <f t="shared" si="9"/>
        <v>0</v>
      </c>
      <c r="AX37" s="288">
        <f t="shared" si="9"/>
        <v>1</v>
      </c>
      <c r="AY37" s="288">
        <f t="shared" si="9"/>
        <v>0</v>
      </c>
      <c r="AZ37" s="289">
        <f t="shared" si="9"/>
        <v>1</v>
      </c>
      <c r="BA37" s="289">
        <f t="shared" si="9"/>
        <v>0</v>
      </c>
      <c r="BB37" s="311">
        <f t="shared" si="9"/>
        <v>1</v>
      </c>
      <c r="BC37" s="311">
        <f t="shared" si="9"/>
        <v>0</v>
      </c>
      <c r="BD37" s="309">
        <f t="shared" si="9"/>
        <v>0</v>
      </c>
      <c r="BE37" s="309">
        <f t="shared" si="9"/>
        <v>0</v>
      </c>
      <c r="BF37" s="181">
        <f t="shared" si="9"/>
        <v>0</v>
      </c>
      <c r="BG37" s="181">
        <f t="shared" si="9"/>
        <v>0</v>
      </c>
      <c r="BH37" s="253">
        <f t="shared" si="9"/>
        <v>1</v>
      </c>
      <c r="BI37" s="253">
        <f t="shared" si="9"/>
        <v>0</v>
      </c>
      <c r="BJ37" s="313">
        <f t="shared" si="9"/>
        <v>1</v>
      </c>
      <c r="BK37" s="313">
        <f t="shared" si="9"/>
        <v>0</v>
      </c>
    </row>
    <row r="38" spans="1:63" s="130" customFormat="1" x14ac:dyDescent="0.25">
      <c r="A38" s="130" t="s">
        <v>158</v>
      </c>
      <c r="C38" s="8"/>
      <c r="D38" s="312"/>
      <c r="E38" s="312"/>
      <c r="F38" s="320"/>
      <c r="G38" s="320"/>
      <c r="H38" s="262"/>
      <c r="I38" s="262"/>
      <c r="J38" s="262"/>
      <c r="K38" s="262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W38" s="262"/>
      <c r="X38" s="262"/>
      <c r="Y38" s="262"/>
      <c r="Z38" s="262"/>
      <c r="AA38" s="262"/>
      <c r="AB38" s="262"/>
      <c r="AC38" s="262"/>
      <c r="AD38" s="262"/>
      <c r="AE38" s="262"/>
      <c r="AF38" s="262"/>
      <c r="AG38" s="262"/>
      <c r="AH38" s="262"/>
      <c r="AI38" s="262"/>
      <c r="AJ38" s="262"/>
      <c r="AK38" s="262"/>
      <c r="AL38" s="262"/>
      <c r="AM38" s="262"/>
      <c r="AN38" s="262"/>
      <c r="AO38" s="262"/>
      <c r="AP38" s="262"/>
      <c r="AQ38" s="262"/>
      <c r="AR38" s="262"/>
      <c r="AS38" s="262"/>
      <c r="AT38" s="262"/>
      <c r="AU38" s="262"/>
      <c r="AV38" s="262"/>
      <c r="AW38" s="262"/>
      <c r="AX38" s="262"/>
      <c r="AY38" s="262"/>
      <c r="AZ38" s="262"/>
      <c r="BA38" s="262"/>
      <c r="BB38" s="311"/>
      <c r="BC38" s="311"/>
      <c r="BD38" s="309"/>
      <c r="BE38" s="309"/>
      <c r="BF38" s="308"/>
      <c r="BG38" s="308"/>
      <c r="BH38" s="308"/>
      <c r="BI38" s="308"/>
      <c r="BJ38" s="313"/>
      <c r="BK38" s="313"/>
    </row>
    <row r="39" spans="1:63" s="130" customFormat="1" x14ac:dyDescent="0.25">
      <c r="A39" s="130" t="s">
        <v>157</v>
      </c>
      <c r="C39" s="8"/>
      <c r="D39" s="312"/>
      <c r="E39" s="312"/>
      <c r="F39" s="320"/>
      <c r="G39" s="320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  <c r="AL39" s="262"/>
      <c r="AM39" s="262"/>
      <c r="AN39" s="262"/>
      <c r="AO39" s="262"/>
      <c r="AP39" s="262"/>
      <c r="AQ39" s="262"/>
      <c r="AR39" s="262"/>
      <c r="AS39" s="262"/>
      <c r="AT39" s="262"/>
      <c r="AU39" s="262"/>
      <c r="AV39" s="262"/>
      <c r="AW39" s="262"/>
      <c r="AX39" s="262"/>
      <c r="AY39" s="262"/>
      <c r="AZ39" s="262"/>
      <c r="BA39" s="262"/>
      <c r="BB39" s="311"/>
      <c r="BC39" s="311"/>
      <c r="BD39" s="309"/>
      <c r="BE39" s="309"/>
      <c r="BF39" s="308"/>
      <c r="BG39" s="308"/>
      <c r="BH39" s="308"/>
      <c r="BI39" s="308"/>
      <c r="BJ39" s="313"/>
      <c r="BK39" s="313"/>
    </row>
    <row r="40" spans="1:63" x14ac:dyDescent="0.25">
      <c r="A40" s="351" t="s">
        <v>83</v>
      </c>
      <c r="B40" s="351"/>
      <c r="C40" s="8"/>
      <c r="D40" s="156">
        <f>SUM(D32:D39)</f>
        <v>74</v>
      </c>
      <c r="E40" s="258">
        <f>SUM(E32:E39)</f>
        <v>110</v>
      </c>
      <c r="F40" s="320">
        <f t="shared" ref="F40:G40" si="10">SUM(F32:F39)</f>
        <v>72</v>
      </c>
      <c r="G40" s="320">
        <f t="shared" si="10"/>
        <v>112</v>
      </c>
      <c r="H40" s="258">
        <f t="shared" ref="H40:AI40" si="11">SUM(H32:H37)</f>
        <v>79</v>
      </c>
      <c r="I40" s="258">
        <f t="shared" si="11"/>
        <v>104</v>
      </c>
      <c r="J40" s="258">
        <f t="shared" si="11"/>
        <v>75</v>
      </c>
      <c r="K40" s="258">
        <f t="shared" si="11"/>
        <v>109</v>
      </c>
      <c r="L40" s="258">
        <f t="shared" si="11"/>
        <v>75</v>
      </c>
      <c r="M40" s="258">
        <f t="shared" si="11"/>
        <v>108</v>
      </c>
      <c r="N40" s="258">
        <f t="shared" si="11"/>
        <v>140</v>
      </c>
      <c r="O40" s="258">
        <f t="shared" si="11"/>
        <v>3</v>
      </c>
      <c r="P40" s="258">
        <f t="shared" si="11"/>
        <v>108</v>
      </c>
      <c r="Q40" s="258">
        <f t="shared" si="11"/>
        <v>3</v>
      </c>
      <c r="R40" s="258">
        <f t="shared" si="11"/>
        <v>83</v>
      </c>
      <c r="S40" s="258">
        <f t="shared" si="11"/>
        <v>101</v>
      </c>
      <c r="T40" s="258">
        <f t="shared" si="11"/>
        <v>84</v>
      </c>
      <c r="U40" s="258">
        <f t="shared" si="11"/>
        <v>100</v>
      </c>
      <c r="V40" s="258">
        <f t="shared" si="11"/>
        <v>88</v>
      </c>
      <c r="W40" s="258">
        <f t="shared" si="11"/>
        <v>96</v>
      </c>
      <c r="X40" s="258">
        <f t="shared" si="11"/>
        <v>82</v>
      </c>
      <c r="Y40" s="258">
        <f t="shared" si="11"/>
        <v>102</v>
      </c>
      <c r="Z40" s="258">
        <f t="shared" si="11"/>
        <v>82</v>
      </c>
      <c r="AA40" s="258">
        <f t="shared" si="11"/>
        <v>101</v>
      </c>
      <c r="AB40" s="258">
        <f t="shared" si="11"/>
        <v>140</v>
      </c>
      <c r="AC40" s="258">
        <f t="shared" si="11"/>
        <v>3</v>
      </c>
      <c r="AD40" s="258">
        <f t="shared" si="11"/>
        <v>108</v>
      </c>
      <c r="AE40" s="258">
        <f t="shared" si="11"/>
        <v>3</v>
      </c>
      <c r="AF40" s="258">
        <f t="shared" si="11"/>
        <v>80</v>
      </c>
      <c r="AG40" s="258">
        <f t="shared" si="11"/>
        <v>104</v>
      </c>
      <c r="AH40" s="258">
        <f t="shared" si="11"/>
        <v>76</v>
      </c>
      <c r="AI40" s="258">
        <f t="shared" si="11"/>
        <v>108</v>
      </c>
      <c r="AJ40" s="258">
        <f t="shared" ref="AJ40:BA40" si="12">SUM(AJ32:AJ37)</f>
        <v>74</v>
      </c>
      <c r="AK40" s="258">
        <f t="shared" si="12"/>
        <v>110</v>
      </c>
      <c r="AL40" s="258">
        <f t="shared" si="12"/>
        <v>69</v>
      </c>
      <c r="AM40" s="258">
        <f t="shared" si="12"/>
        <v>115</v>
      </c>
      <c r="AN40" s="258">
        <f t="shared" si="12"/>
        <v>82</v>
      </c>
      <c r="AO40" s="258">
        <f t="shared" si="12"/>
        <v>102</v>
      </c>
      <c r="AP40" s="258">
        <f t="shared" si="12"/>
        <v>140</v>
      </c>
      <c r="AQ40" s="258">
        <f t="shared" si="12"/>
        <v>3</v>
      </c>
      <c r="AR40" s="258">
        <f t="shared" si="12"/>
        <v>108</v>
      </c>
      <c r="AS40" s="258">
        <f t="shared" si="12"/>
        <v>3</v>
      </c>
      <c r="AT40" s="258">
        <f t="shared" si="12"/>
        <v>78</v>
      </c>
      <c r="AU40" s="258">
        <f t="shared" si="12"/>
        <v>106</v>
      </c>
      <c r="AV40" s="258">
        <f t="shared" si="12"/>
        <v>78</v>
      </c>
      <c r="AW40" s="258">
        <f t="shared" si="12"/>
        <v>106</v>
      </c>
      <c r="AX40" s="258">
        <f t="shared" si="12"/>
        <v>78</v>
      </c>
      <c r="AY40" s="258">
        <f t="shared" si="12"/>
        <v>106</v>
      </c>
      <c r="AZ40" s="258">
        <f t="shared" si="12"/>
        <v>64</v>
      </c>
      <c r="BA40" s="258">
        <f t="shared" si="12"/>
        <v>108</v>
      </c>
      <c r="BB40" s="258">
        <f>SUM(BB32:BB39)</f>
        <v>72</v>
      </c>
      <c r="BC40" s="258">
        <f>SUM(BC32:BC39)</f>
        <v>100</v>
      </c>
      <c r="BD40" s="258">
        <f t="shared" ref="BD40:BI40" si="13">SUM(BD32:BD39)</f>
        <v>140</v>
      </c>
      <c r="BE40" s="258">
        <f t="shared" si="13"/>
        <v>3</v>
      </c>
      <c r="BF40" s="258">
        <f t="shared" si="13"/>
        <v>108</v>
      </c>
      <c r="BG40" s="258">
        <f t="shared" si="13"/>
        <v>3</v>
      </c>
      <c r="BH40" s="258">
        <f t="shared" si="13"/>
        <v>73</v>
      </c>
      <c r="BI40" s="258">
        <f t="shared" si="13"/>
        <v>111</v>
      </c>
      <c r="BJ40" s="313">
        <f t="shared" ref="BJ40:BK40" si="14">SUM(BJ32:BJ39)</f>
        <v>61</v>
      </c>
      <c r="BK40" s="313">
        <f t="shared" si="14"/>
        <v>111</v>
      </c>
    </row>
    <row r="41" spans="1:63" x14ac:dyDescent="0.25">
      <c r="C41" s="8"/>
      <c r="L41" s="130"/>
      <c r="AR41" s="56"/>
      <c r="AS41" s="56"/>
      <c r="AT41" s="56"/>
      <c r="AU41" s="56"/>
      <c r="AV41" s="56"/>
      <c r="AW41" s="56"/>
      <c r="AX41" s="56"/>
      <c r="AY41" s="56"/>
      <c r="AZ41" s="56"/>
      <c r="BB41" s="56"/>
      <c r="BD41" s="56"/>
      <c r="BH41" s="56"/>
      <c r="BI41" s="56"/>
      <c r="BJ41" s="56"/>
      <c r="BK41" s="56"/>
    </row>
    <row r="42" spans="1:63" x14ac:dyDescent="0.25">
      <c r="A42" s="58" t="s">
        <v>84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60"/>
      <c r="AS42" s="60"/>
      <c r="AT42" s="60"/>
      <c r="AU42" s="60"/>
      <c r="AV42" s="60"/>
      <c r="AW42" s="60"/>
      <c r="AX42" s="60"/>
      <c r="AY42" s="60"/>
      <c r="AZ42" s="60"/>
      <c r="BA42" s="58"/>
      <c r="BB42" s="60"/>
      <c r="BC42" s="58"/>
      <c r="BD42" s="60"/>
      <c r="BE42" s="58"/>
      <c r="BF42" s="58"/>
      <c r="BG42" s="58"/>
      <c r="BH42" s="60"/>
      <c r="BI42" s="60"/>
      <c r="BJ42" s="60"/>
      <c r="BK42" s="60"/>
    </row>
    <row r="43" spans="1:63" x14ac:dyDescent="0.25">
      <c r="A43" t="s">
        <v>79</v>
      </c>
      <c r="C43" s="8"/>
      <c r="D43" s="59">
        <f>D5+E5+D12+E12+D19+E19</f>
        <v>92</v>
      </c>
      <c r="E43" s="59"/>
      <c r="F43" s="59">
        <f>F5+G5+F12+G12+F19+G19</f>
        <v>92</v>
      </c>
      <c r="G43" s="59"/>
      <c r="H43" s="59">
        <f>H5+I5+H12+I12+H19+I19</f>
        <v>91</v>
      </c>
      <c r="I43" s="59"/>
      <c r="J43" s="59">
        <f>J5+K5+J12+K12+J19+K19</f>
        <v>92</v>
      </c>
      <c r="K43" s="59"/>
      <c r="L43" s="157">
        <f>L5+M5+L12+M12+L19+M19</f>
        <v>91</v>
      </c>
      <c r="M43" s="59"/>
      <c r="N43" s="298">
        <f>N5+O5+N12+O12+N19+O19</f>
        <v>70</v>
      </c>
      <c r="O43" s="59"/>
      <c r="P43" s="59">
        <f>P5+Q5+P12+Q12+P19+Q19</f>
        <v>54</v>
      </c>
      <c r="Q43" s="59"/>
      <c r="R43" s="59">
        <f>R5+S5+R12+S12+R19+S19</f>
        <v>92</v>
      </c>
      <c r="S43" s="59"/>
      <c r="T43" s="59">
        <f>T5+U5+T12+U12+T19+U19</f>
        <v>92</v>
      </c>
      <c r="U43" s="59"/>
      <c r="V43" s="59">
        <f>V5+W5+V12+W12+V19+W19</f>
        <v>92</v>
      </c>
      <c r="W43" s="59"/>
      <c r="X43" s="59">
        <f>X5+Y5+X12+Y12+X19+Y19</f>
        <v>92</v>
      </c>
      <c r="Y43" s="59"/>
      <c r="Z43" s="122">
        <f>Z5+AA5+Z12+AA12+Z19+AA19</f>
        <v>92</v>
      </c>
      <c r="AA43" s="59"/>
      <c r="AB43" s="59">
        <f>AB5+AC5+AB12+AC12+AB19+AC19</f>
        <v>70</v>
      </c>
      <c r="AC43" s="59"/>
      <c r="AD43" s="59">
        <f>AD5+AE5+AD12+AE12+AD19+AE19</f>
        <v>54</v>
      </c>
      <c r="AE43" s="59"/>
      <c r="AF43" s="59">
        <f>AF5+AG5+AF12+AG12+AF19+AG19</f>
        <v>92</v>
      </c>
      <c r="AG43" s="59"/>
      <c r="AH43" s="59">
        <f>AH5+AI5+AH12+AI12+AH19+AI19</f>
        <v>92</v>
      </c>
      <c r="AI43" s="59"/>
      <c r="AJ43" s="59">
        <f>AJ5+AK5+AJ12+AK12+AJ19+AK19</f>
        <v>92</v>
      </c>
      <c r="AK43" s="59"/>
      <c r="AL43" s="59">
        <f>AL5+AM5+AL12+AM12+AL19+AM19</f>
        <v>92</v>
      </c>
      <c r="AM43" s="59"/>
      <c r="AN43" s="59">
        <f>AN5+AO5+AN12+AO12+AN19+AO19</f>
        <v>92</v>
      </c>
      <c r="AO43" s="59"/>
      <c r="AP43" s="59">
        <f>AP5+AQ5+AP12+AQ12+AP19+AQ19</f>
        <v>70</v>
      </c>
      <c r="AQ43" s="59"/>
      <c r="AR43" s="59">
        <f>AR5+AS5+AR12+AS12+AR19+AS19</f>
        <v>54</v>
      </c>
      <c r="AS43" s="59"/>
      <c r="AT43" s="265">
        <f>AT5+AU5+AT12+AU12+AT19+AU19</f>
        <v>92</v>
      </c>
      <c r="AU43" s="59"/>
      <c r="AV43" s="59">
        <f>AV5+AW5+AV12+AW12+AV19+AW19</f>
        <v>92</v>
      </c>
      <c r="AW43" s="59"/>
      <c r="AX43" s="59">
        <f>AX5+AY5+AX12+AY12+AX19+AY19</f>
        <v>92</v>
      </c>
      <c r="AY43" s="59"/>
      <c r="AZ43" s="59">
        <f>AZ5+BA5+AZ12+BA12+AZ19+BA19</f>
        <v>85</v>
      </c>
      <c r="BA43" s="59"/>
      <c r="BB43" s="311">
        <f>BB5+BC5+BB12+BC12+BB19+BC19</f>
        <v>86</v>
      </c>
      <c r="BC43" s="311"/>
      <c r="BD43" s="309">
        <f>BD5+BE5+BD12+BE12+BD19+BE19</f>
        <v>70</v>
      </c>
      <c r="BE43" s="309"/>
      <c r="BF43" s="59">
        <f>BF5+BG5+BF12+BG12+BF19+BG19</f>
        <v>54</v>
      </c>
      <c r="BG43" s="59"/>
      <c r="BH43" s="253">
        <f>BH5+BI5+BH12+BI12+BH19+BI19</f>
        <v>92</v>
      </c>
      <c r="BI43" s="253"/>
      <c r="BJ43" s="313">
        <f>BJ5+BK5+BJ12+BK12+BJ19+BK19</f>
        <v>86</v>
      </c>
      <c r="BK43" s="313"/>
    </row>
    <row r="44" spans="1:63" x14ac:dyDescent="0.25">
      <c r="A44" t="s">
        <v>80</v>
      </c>
      <c r="C44" s="8"/>
      <c r="D44" s="312">
        <f>D8+E8+D15+E15+D22+E22</f>
        <v>90</v>
      </c>
      <c r="E44" s="59"/>
      <c r="F44" s="59">
        <f>F8+G8+F15+G15+F22+G22</f>
        <v>90</v>
      </c>
      <c r="G44" s="59"/>
      <c r="H44" s="59">
        <f>H8+I8+H15+I15+H22+I22</f>
        <v>90</v>
      </c>
      <c r="I44" s="59"/>
      <c r="J44" s="59">
        <f>J8+K8+J15+K15+J22+K22</f>
        <v>90</v>
      </c>
      <c r="K44" s="59"/>
      <c r="L44" s="59">
        <f>L8+M8+L15+M15+L22+M22</f>
        <v>90</v>
      </c>
      <c r="M44" s="59"/>
      <c r="N44" s="298">
        <f>N8+O8+N15+O15+N22+O22</f>
        <v>73</v>
      </c>
      <c r="O44" s="59"/>
      <c r="P44" s="59">
        <f>P8+Q8+P15+Q15+P22+Q22</f>
        <v>57</v>
      </c>
      <c r="Q44" s="59"/>
      <c r="R44" s="59">
        <f>R8+S8+R15+S15+R22+S22</f>
        <v>90</v>
      </c>
      <c r="S44" s="59"/>
      <c r="T44" s="59">
        <f>T8+U8+T15+U15+T22+U22</f>
        <v>90</v>
      </c>
      <c r="U44" s="59"/>
      <c r="V44" s="59">
        <f>V8+W8+V15+W15+V22+W22</f>
        <v>90</v>
      </c>
      <c r="W44" s="59"/>
      <c r="X44" s="59">
        <f>X8+Y8+X15+Y15+X22+Y22</f>
        <v>90</v>
      </c>
      <c r="Y44" s="59"/>
      <c r="Z44" s="122">
        <f>Z8+AA8+Z15+AA15+Z22+AA22</f>
        <v>89</v>
      </c>
      <c r="AA44" s="59"/>
      <c r="AB44" s="122">
        <f>AB8+AC8+AB15+AC15+AB22+AC22</f>
        <v>73</v>
      </c>
      <c r="AC44" s="59"/>
      <c r="AD44" s="59">
        <f>AD8+AE8+AD15+AE15+AD22+AE22</f>
        <v>57</v>
      </c>
      <c r="AE44" s="59"/>
      <c r="AF44" s="282">
        <f>AF8+AG8+AF15+AG15+AF22+AG22</f>
        <v>90</v>
      </c>
      <c r="AG44" s="59"/>
      <c r="AH44" s="59">
        <f>AH8+AI8+AH15+AI15+AH22+AI22</f>
        <v>90</v>
      </c>
      <c r="AI44" s="59"/>
      <c r="AJ44" s="59">
        <f>AJ8+AK8+AJ15+AK15+AJ22+AK22</f>
        <v>90</v>
      </c>
      <c r="AK44" s="59"/>
      <c r="AL44" s="285">
        <f>AL8+AM8+AL15+AM15+AL22+AM22</f>
        <v>90</v>
      </c>
      <c r="AM44" s="59"/>
      <c r="AN44" s="286">
        <f>AN8+AO8+AN15+AO15+AN22+AO22</f>
        <v>90</v>
      </c>
      <c r="AO44" s="59"/>
      <c r="AP44" s="59">
        <f>AP8+AQ8+AP15+AQ15+AP22+AQ22</f>
        <v>73</v>
      </c>
      <c r="AQ44" s="59"/>
      <c r="AR44" s="59">
        <f>AR8+AS8+AR15+AS15+AR22+AS22</f>
        <v>57</v>
      </c>
      <c r="AS44" s="59"/>
      <c r="AT44" s="265">
        <f>AT8+AU8+AT15+AU15+AT22+AU22</f>
        <v>90</v>
      </c>
      <c r="AU44" s="59"/>
      <c r="AV44" s="59">
        <f>AV8+AW8+AV15+AW15+AV22+AW22</f>
        <v>90</v>
      </c>
      <c r="AW44" s="59"/>
      <c r="AX44" s="288">
        <f>AX8+AY8+AX15+AY15+AX22+AY22</f>
        <v>90</v>
      </c>
      <c r="AY44" s="59"/>
      <c r="AZ44" s="289">
        <f>AZ8+BA8+AZ15+BA15+AZ22+BA22</f>
        <v>85</v>
      </c>
      <c r="BA44" s="59"/>
      <c r="BB44" s="311">
        <f>BB8+BC8+BB15+BC15+BB22+BC22</f>
        <v>84</v>
      </c>
      <c r="BC44" s="311"/>
      <c r="BD44" s="309">
        <f>BD8+BE8+BD15+BE15+BD22+BE22</f>
        <v>73</v>
      </c>
      <c r="BE44" s="309"/>
      <c r="BF44" s="59">
        <f>BF8+BG8+BF15+BG15+BF22+BG22</f>
        <v>57</v>
      </c>
      <c r="BG44" s="59"/>
      <c r="BH44" s="253">
        <f>BH8+BI8+BH15+BI15+BH22+BI22</f>
        <v>90</v>
      </c>
      <c r="BI44" s="253"/>
      <c r="BJ44" s="313">
        <f>BJ8+BK8+BJ15+BK15+BJ22+BK22</f>
        <v>84</v>
      </c>
      <c r="BK44" s="313"/>
    </row>
    <row r="45" spans="1:63" x14ac:dyDescent="0.25">
      <c r="A45" t="s">
        <v>81</v>
      </c>
      <c r="C45" s="8"/>
      <c r="D45" s="312">
        <f>D3+E3+D10+E10+D17+E17</f>
        <v>0</v>
      </c>
      <c r="E45" s="59"/>
      <c r="F45" s="59">
        <f>F3+G3+F10+G10+F17+G17</f>
        <v>0</v>
      </c>
      <c r="G45" s="59"/>
      <c r="H45" s="59">
        <f>H3+I3+H10+I10+H17+I17</f>
        <v>0</v>
      </c>
      <c r="I45" s="59"/>
      <c r="J45" s="59">
        <f>J3+K3+J10+K10+J17+K17</f>
        <v>0</v>
      </c>
      <c r="K45" s="59"/>
      <c r="L45" s="59">
        <f>L3+M3+L10+M10+L17+M17</f>
        <v>0</v>
      </c>
      <c r="M45" s="59"/>
      <c r="N45" s="59">
        <f>N3+O3+N10+O10+N17+O17</f>
        <v>0</v>
      </c>
      <c r="O45" s="59"/>
      <c r="P45" s="59">
        <f>P3+Q3+P10+Q10+P17+Q17</f>
        <v>0</v>
      </c>
      <c r="Q45" s="59"/>
      <c r="R45" s="59">
        <f>R3+S3+R10+S10+R17+S17</f>
        <v>0</v>
      </c>
      <c r="S45" s="59"/>
      <c r="T45" s="59">
        <f>T3+U3+T10+U10+T17+U17</f>
        <v>0</v>
      </c>
      <c r="U45" s="59"/>
      <c r="V45" s="59">
        <f>V3+W3+V10+W10+V17+W17</f>
        <v>0</v>
      </c>
      <c r="W45" s="59"/>
      <c r="X45" s="59">
        <f>X3+Y3+X10+Y10+X17+Y17</f>
        <v>0</v>
      </c>
      <c r="Y45" s="59"/>
      <c r="Z45" s="122">
        <f>Z3+AA3+Z10+AA10+Z17+AA17</f>
        <v>0</v>
      </c>
      <c r="AA45" s="59"/>
      <c r="AB45" s="126">
        <f>AB3+AC3+AB10+AC10+AB17+AC17</f>
        <v>0</v>
      </c>
      <c r="AC45" s="59"/>
      <c r="AD45" s="59">
        <f>AD3+AE3+AD10+AE10+AD17+AE17</f>
        <v>0</v>
      </c>
      <c r="AE45" s="59"/>
      <c r="AF45" s="59">
        <f>AF3+AG3+AF10+AG10+AF17+AG17</f>
        <v>0</v>
      </c>
      <c r="AG45" s="59"/>
      <c r="AH45" s="59">
        <f>AH3+AI3+AH10+AI10+AH17+AI17</f>
        <v>0</v>
      </c>
      <c r="AI45" s="59"/>
      <c r="AJ45" s="59">
        <f>AJ3+AK3+AJ10+AK10+AJ17+AK17</f>
        <v>0</v>
      </c>
      <c r="AK45" s="59"/>
      <c r="AL45" s="59">
        <f>AL3+AM3+AL10+AM10+AL17+AM17</f>
        <v>0</v>
      </c>
      <c r="AM45" s="59"/>
      <c r="AN45" s="59">
        <f>AN3+AO3+AN10+AO10+AN17+AO17</f>
        <v>0</v>
      </c>
      <c r="AO45" s="59"/>
      <c r="AP45" s="59">
        <f>AP3+AQ3+AP10+AQ10+AP17+AQ17</f>
        <v>0</v>
      </c>
      <c r="AQ45" s="59"/>
      <c r="AR45" s="59">
        <f>AR3+AS3+AR10+AS10+AR17+AS17</f>
        <v>0</v>
      </c>
      <c r="AS45" s="59"/>
      <c r="AT45" s="59">
        <f>AT3+AU3+AT10+AU10+AT17+AU17</f>
        <v>0</v>
      </c>
      <c r="AU45" s="59"/>
      <c r="AV45" s="59">
        <f>AV3+AW3+AV10+AW10+AV17+AW17</f>
        <v>0</v>
      </c>
      <c r="AW45" s="59"/>
      <c r="AX45" s="59">
        <f>AX3+AY3+AX10+AY10+AX17+AY17</f>
        <v>0</v>
      </c>
      <c r="AY45" s="59"/>
      <c r="AZ45" s="59">
        <f>AZ3+BA3+AZ10+BA10+AZ17+BA17</f>
        <v>0</v>
      </c>
      <c r="BA45" s="59"/>
      <c r="BB45" s="311">
        <f>BB3+BC3+BB10+BC10+BB17+BC17</f>
        <v>0</v>
      </c>
      <c r="BC45" s="311"/>
      <c r="BD45" s="309">
        <f>BD3+BE3+BD10+BE10+BD17+BE17</f>
        <v>0</v>
      </c>
      <c r="BE45" s="309"/>
      <c r="BF45" s="59">
        <f>BF3+BG3+BF10+BG10+BF17+BG17</f>
        <v>0</v>
      </c>
      <c r="BG45" s="59"/>
      <c r="BH45" s="253">
        <f>BH3+BI3+BH10+BI10+BH17+BI17</f>
        <v>0</v>
      </c>
      <c r="BI45" s="253"/>
      <c r="BJ45" s="313">
        <f>BJ3+BK3+BJ10+BK10+BJ17+BK17</f>
        <v>0</v>
      </c>
      <c r="BK45" s="313"/>
    </row>
    <row r="46" spans="1:63" x14ac:dyDescent="0.25">
      <c r="A46" t="s">
        <v>82</v>
      </c>
      <c r="C46" s="8"/>
      <c r="D46" s="312">
        <f>D6+E6+D13+E13+D20+E20</f>
        <v>1</v>
      </c>
      <c r="E46" s="59"/>
      <c r="F46" s="59">
        <f>F6+G6+F13+G13+F20+G20</f>
        <v>1</v>
      </c>
      <c r="G46" s="59"/>
      <c r="H46" s="59">
        <f>H6+I6+H13+I13+H20+I20</f>
        <v>1</v>
      </c>
      <c r="I46" s="59"/>
      <c r="J46" s="59">
        <f>J6+K6+J13+K13+J20+K20</f>
        <v>1</v>
      </c>
      <c r="K46" s="59"/>
      <c r="L46" s="59">
        <f>L6+M6+L13+M13+L20+M20</f>
        <v>1</v>
      </c>
      <c r="M46" s="59"/>
      <c r="N46" s="59">
        <f>N6+O6+N13+O13+N20+O20</f>
        <v>0</v>
      </c>
      <c r="O46" s="59"/>
      <c r="P46" s="59">
        <f>P6+Q6+P13+Q13+P20+Q20</f>
        <v>0</v>
      </c>
      <c r="Q46" s="59"/>
      <c r="R46" s="59">
        <f>R6+S6+R13+S13+R20+S20</f>
        <v>1</v>
      </c>
      <c r="S46" s="59"/>
      <c r="T46" s="59">
        <f>T6+U6+T13+U13+T20+U20</f>
        <v>1</v>
      </c>
      <c r="U46" s="59"/>
      <c r="V46" s="59">
        <f>V6+W6+V13+W13+V20+W20</f>
        <v>1</v>
      </c>
      <c r="W46" s="59"/>
      <c r="X46" s="59">
        <f>X6+Y6+X13+Y13+X20+Y20</f>
        <v>1</v>
      </c>
      <c r="Y46" s="59"/>
      <c r="Z46" s="122">
        <f>Z6+AA6+Z13+AA13+Z20+AA20</f>
        <v>1</v>
      </c>
      <c r="AA46" s="59"/>
      <c r="AB46" s="126">
        <f>AB6+AC6+AB13+AC13+AB20+AC20</f>
        <v>0</v>
      </c>
      <c r="AC46" s="59"/>
      <c r="AD46" s="59">
        <f>AD6+AE6+AD13+AE13+AD20+AE20</f>
        <v>0</v>
      </c>
      <c r="AE46" s="59"/>
      <c r="AF46" s="59">
        <f>AF6+AG6+AF13+AG13+AF20+AG20</f>
        <v>1</v>
      </c>
      <c r="AG46" s="59"/>
      <c r="AH46" s="59">
        <f>AH6+AI6+AH13+AI13+AH20+AI20</f>
        <v>1</v>
      </c>
      <c r="AI46" s="59"/>
      <c r="AJ46" s="59">
        <f>AJ6+AK6+AJ13+AK13+AJ20+AK20</f>
        <v>1</v>
      </c>
      <c r="AK46" s="59"/>
      <c r="AL46" s="59">
        <f>AL6+AM6+AL13+AM13+AL20+AM20</f>
        <v>1</v>
      </c>
      <c r="AM46" s="59"/>
      <c r="AN46" s="59">
        <f>AN6+AO6+AN13+AO13+AN20+AO20</f>
        <v>1</v>
      </c>
      <c r="AO46" s="59"/>
      <c r="AP46" s="59">
        <f>AP6+AQ6+AP13+AQ13+AP20+AQ20</f>
        <v>0</v>
      </c>
      <c r="AQ46" s="59"/>
      <c r="AR46" s="59">
        <f>AR6+AS6+AR13+AS13+AR20+AS20</f>
        <v>0</v>
      </c>
      <c r="AS46" s="59"/>
      <c r="AT46" s="59">
        <f>AT6+AU6+AT13+AU13+AT20+AU20</f>
        <v>1</v>
      </c>
      <c r="AU46" s="59"/>
      <c r="AV46" s="59">
        <f>AV6+AW6+AV13+AW13+AV20+AW20</f>
        <v>1</v>
      </c>
      <c r="AW46" s="59"/>
      <c r="AX46" s="59">
        <f>AX6+AY6+AX13+AY13+AX20+AY20</f>
        <v>1</v>
      </c>
      <c r="AY46" s="59"/>
      <c r="AZ46" s="59">
        <f>AZ6+BA6+AZ13+BA13+AZ20+BA20</f>
        <v>1</v>
      </c>
      <c r="BA46" s="59"/>
      <c r="BB46" s="311">
        <f>BB6+BC6+BB13+BC13+BB20+BC20</f>
        <v>1</v>
      </c>
      <c r="BC46" s="311"/>
      <c r="BD46" s="309">
        <f>BD6+BE6+BD13+BE13+BD20+BE20</f>
        <v>0</v>
      </c>
      <c r="BE46" s="309"/>
      <c r="BF46" s="59">
        <f>BF6+BG6+BF13+BG13+BF20+BG20</f>
        <v>0</v>
      </c>
      <c r="BG46" s="59"/>
      <c r="BH46" s="253">
        <f>BH6+BI6+BH13+BI13+BH20+BI20</f>
        <v>1</v>
      </c>
      <c r="BI46" s="253"/>
      <c r="BJ46" s="313">
        <f>BJ6+BK6+BJ13+BK13+BJ20+BK20</f>
        <v>1</v>
      </c>
      <c r="BK46" s="313"/>
    </row>
    <row r="47" spans="1:63" s="130" customFormat="1" x14ac:dyDescent="0.25">
      <c r="A47" s="130" t="s">
        <v>122</v>
      </c>
      <c r="C47" s="8"/>
      <c r="D47" s="312">
        <f>D4+E4+D11+E11+D18+E18</f>
        <v>0</v>
      </c>
      <c r="E47" s="161"/>
      <c r="F47" s="161">
        <f>F4+G4+F11+G11+F18+G18</f>
        <v>0</v>
      </c>
      <c r="G47" s="161"/>
      <c r="H47" s="161">
        <f>H4+I4+H11+I11+H18+I18</f>
        <v>0</v>
      </c>
      <c r="I47" s="161"/>
      <c r="J47" s="161">
        <f>J4+K4+J11+K11+J18+K18</f>
        <v>0</v>
      </c>
      <c r="K47" s="161"/>
      <c r="L47" s="161">
        <f>L4+M4+L11+M11+L18+M18</f>
        <v>0</v>
      </c>
      <c r="M47" s="161"/>
      <c r="N47" s="298">
        <f>N4+O4+N11+O11+N18+O18</f>
        <v>0</v>
      </c>
      <c r="O47" s="161"/>
      <c r="P47" s="161">
        <f>P4+Q4+P11+Q11+P18+Q18</f>
        <v>0</v>
      </c>
      <c r="Q47" s="161"/>
      <c r="R47" s="161">
        <f>R4+S4+R11+S11+R18+S18</f>
        <v>0</v>
      </c>
      <c r="S47" s="161"/>
      <c r="T47" s="161">
        <f>T4+U4+T11+U11+T18+U18</f>
        <v>0</v>
      </c>
      <c r="U47" s="161"/>
      <c r="V47" s="161">
        <f>V4+W4+V11+W11+V18+W18</f>
        <v>0</v>
      </c>
      <c r="W47" s="161"/>
      <c r="X47" s="161">
        <f>X4+Y4+X11+Y11+X18+Y18</f>
        <v>0</v>
      </c>
      <c r="Y47" s="161"/>
      <c r="Z47" s="161">
        <f>Z4+AA4+Z11+AA11+Z18+AA18</f>
        <v>0</v>
      </c>
      <c r="AA47" s="161"/>
      <c r="AB47" s="161">
        <f>AB4+AC4+AB11+AC11+AB18+AC18</f>
        <v>0</v>
      </c>
      <c r="AC47" s="161"/>
      <c r="AD47" s="161">
        <f>AD4+AE4+AD11+AE11+AD18+AE18</f>
        <v>0</v>
      </c>
      <c r="AE47" s="161"/>
      <c r="AF47" s="161">
        <f>AF4+AG4+AF11+AG11+AF18+AG18</f>
        <v>0</v>
      </c>
      <c r="AG47" s="161"/>
      <c r="AH47" s="161">
        <f>AH4+AI4+AH11+AI11+AH18+AI18</f>
        <v>0</v>
      </c>
      <c r="AI47" s="161"/>
      <c r="AJ47" s="161">
        <f>AJ4+AK4+AJ11+AK11+AJ18+AK18</f>
        <v>0</v>
      </c>
      <c r="AK47" s="161"/>
      <c r="AL47" s="161">
        <f>AL4+AM4+AL11+AM11+AL18+AM18</f>
        <v>0</v>
      </c>
      <c r="AM47" s="161"/>
      <c r="AN47" s="161">
        <f>AN4+AO4+AN11+AO11+AN18+AO18</f>
        <v>0</v>
      </c>
      <c r="AO47" s="161"/>
      <c r="AP47" s="161">
        <f>AP4+AQ4+AP11+AQ11+AP18+AQ18</f>
        <v>0</v>
      </c>
      <c r="AQ47" s="161"/>
      <c r="AR47" s="161">
        <f>AR4+AS4+AR11+AS11+AR18+AS18</f>
        <v>0</v>
      </c>
      <c r="AS47" s="161"/>
      <c r="AT47" s="161">
        <f>AT4+AU4+AT11+AU11+AT18+AU18</f>
        <v>0</v>
      </c>
      <c r="AU47" s="161"/>
      <c r="AV47" s="161">
        <f>AV4+AW4+AV11+AW11+AV18+AW18</f>
        <v>0</v>
      </c>
      <c r="AW47" s="161"/>
      <c r="AX47" s="161">
        <f>AX4+AY4+AX11+AY11+AX18+AY18</f>
        <v>0</v>
      </c>
      <c r="AY47" s="161"/>
      <c r="AZ47" s="161">
        <f>AZ4+BA4+AZ11+BA11+AZ18+BA18</f>
        <v>0</v>
      </c>
      <c r="BA47" s="161"/>
      <c r="BB47" s="311">
        <f>BB4+BC4+BB11+BC11+BB18+BC18</f>
        <v>0</v>
      </c>
      <c r="BC47" s="311"/>
      <c r="BD47" s="309">
        <f>BD4+BE4+BD11+BE11+BD18+BE18</f>
        <v>0</v>
      </c>
      <c r="BE47" s="309"/>
      <c r="BF47" s="161">
        <f>BF4+BG4+BF11+BG11+BF18+BG18</f>
        <v>0</v>
      </c>
      <c r="BG47" s="161"/>
      <c r="BH47" s="253">
        <f>BH4+BI4+BH11+BI11+BH18+BI18</f>
        <v>0</v>
      </c>
      <c r="BI47" s="253"/>
      <c r="BJ47" s="313">
        <f>BJ4+BK4+BJ11+BK11+BJ18+BK18</f>
        <v>0</v>
      </c>
      <c r="BK47" s="313"/>
    </row>
    <row r="48" spans="1:63" x14ac:dyDescent="0.25">
      <c r="A48" t="s">
        <v>35</v>
      </c>
      <c r="C48" s="8"/>
      <c r="D48" s="312">
        <f>D7+E7+D14+E14+D21+E21</f>
        <v>1</v>
      </c>
      <c r="E48" s="59"/>
      <c r="F48" s="59">
        <f>F7+G7+F14+G14+F21+G21</f>
        <v>1</v>
      </c>
      <c r="G48" s="59"/>
      <c r="H48" s="59">
        <f>H7+I7+H14+I14+H21+I21</f>
        <v>1</v>
      </c>
      <c r="I48" s="59"/>
      <c r="J48" s="59">
        <f>J7+K7+J14+K14+J21+K21</f>
        <v>1</v>
      </c>
      <c r="K48" s="59"/>
      <c r="L48" s="59">
        <f>L7+M7+L14+M14+L21+M21</f>
        <v>1</v>
      </c>
      <c r="M48" s="59"/>
      <c r="N48" s="298">
        <f>N7+O7+N14+O14+N21+O21</f>
        <v>0</v>
      </c>
      <c r="O48" s="59"/>
      <c r="P48" s="59">
        <f>P7+Q7+P14+Q14+P21+Q21</f>
        <v>0</v>
      </c>
      <c r="Q48" s="59"/>
      <c r="R48" s="59">
        <f>R7+S7+R14+S14+R21+S21</f>
        <v>1</v>
      </c>
      <c r="S48" s="59"/>
      <c r="T48" s="59">
        <f>T7+U7+T14+U14+T21+U21</f>
        <v>1</v>
      </c>
      <c r="U48" s="59"/>
      <c r="V48" s="59">
        <f>V7+W7+V14+W14+V21+W21</f>
        <v>1</v>
      </c>
      <c r="W48" s="59"/>
      <c r="X48" s="59">
        <f>X7+Y7+X14+Y14+X21+Y21</f>
        <v>1</v>
      </c>
      <c r="Y48" s="59"/>
      <c r="Z48" s="122">
        <f>Z7+AA7+Z14+AA14+Z21+AA21</f>
        <v>1</v>
      </c>
      <c r="AA48" s="59"/>
      <c r="AB48" s="126">
        <f>AB7+AC7+AB14+AC14+AB21+AC21</f>
        <v>0</v>
      </c>
      <c r="AC48" s="59"/>
      <c r="AD48" s="59">
        <f>AD7+AE7+AD14+AE14+AD21+AE21</f>
        <v>0</v>
      </c>
      <c r="AE48" s="59"/>
      <c r="AF48" s="282">
        <f>AF7+AG7+AF14+AG14+AF21+AG21</f>
        <v>1</v>
      </c>
      <c r="AG48" s="59"/>
      <c r="AH48" s="59">
        <f>AH7+AI7+AH14+AI14+AH21+AI21</f>
        <v>1</v>
      </c>
      <c r="AI48" s="59"/>
      <c r="AJ48" s="59">
        <f>AJ7+AK7+AJ14+AK14+AJ21+AK21</f>
        <v>1</v>
      </c>
      <c r="AK48" s="59"/>
      <c r="AL48" s="285">
        <f>AL7+AM7+AL14+AM14+AL21+AM21</f>
        <v>1</v>
      </c>
      <c r="AM48" s="59"/>
      <c r="AN48" s="286">
        <f>AN7+AO7+AN14+AO14+AN21+AO21</f>
        <v>1</v>
      </c>
      <c r="AO48" s="59"/>
      <c r="AP48" s="59">
        <f>AP7+AQ7+AP14+AQ14+AP21+AQ21</f>
        <v>0</v>
      </c>
      <c r="AQ48" s="59"/>
      <c r="AR48" s="59">
        <f>AR7+AS7+AR14+AS14+AR21+AS21</f>
        <v>0</v>
      </c>
      <c r="AS48" s="59"/>
      <c r="AT48" s="59">
        <f>AT7+AU7+AT14+AU14+AT21+AU21</f>
        <v>1</v>
      </c>
      <c r="AU48" s="59"/>
      <c r="AV48" s="59">
        <f>AV7+AW7+AV14+AW14+AV21+AW21</f>
        <v>1</v>
      </c>
      <c r="AW48" s="59"/>
      <c r="AX48" s="288">
        <f>AX7+AY7+AX14+AY14+AX21+AY21</f>
        <v>1</v>
      </c>
      <c r="AY48" s="59"/>
      <c r="AZ48" s="289">
        <f>AZ7+BA7+AZ14+BA14+AZ21+BA21</f>
        <v>1</v>
      </c>
      <c r="BA48" s="59"/>
      <c r="BB48" s="311">
        <f>BB7+BC7+BB14+BC14+BB21+BC21</f>
        <v>1</v>
      </c>
      <c r="BC48" s="311"/>
      <c r="BD48" s="309">
        <f>BD7+BE7+BD14+BE14+BD21+BE21</f>
        <v>0</v>
      </c>
      <c r="BE48" s="309"/>
      <c r="BF48" s="59">
        <f>BF7+BG7+BF14+BG14+BF21+BG21</f>
        <v>0</v>
      </c>
      <c r="BG48" s="59"/>
      <c r="BH48" s="253">
        <f>BH7+BI7+BH14+BI14+BH21+BI21</f>
        <v>1</v>
      </c>
      <c r="BI48" s="253"/>
      <c r="BJ48" s="313">
        <f>BJ7+BK7+BJ14+BK14+BJ21+BK21</f>
        <v>1</v>
      </c>
      <c r="BK48" s="313"/>
    </row>
    <row r="49" spans="1:63" s="130" customFormat="1" x14ac:dyDescent="0.25">
      <c r="A49" s="130" t="s">
        <v>158</v>
      </c>
      <c r="C49" s="8"/>
      <c r="D49" s="312"/>
      <c r="E49" s="320"/>
      <c r="F49" s="320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V49" s="262"/>
      <c r="W49" s="262"/>
      <c r="X49" s="262"/>
      <c r="Y49" s="262"/>
      <c r="Z49" s="262"/>
      <c r="AA49" s="262"/>
      <c r="AB49" s="262"/>
      <c r="AC49" s="262"/>
      <c r="AD49" s="262"/>
      <c r="AE49" s="262"/>
      <c r="AF49" s="262"/>
      <c r="AG49" s="262"/>
      <c r="AH49" s="262"/>
      <c r="AI49" s="262"/>
      <c r="AJ49" s="262"/>
      <c r="AK49" s="262"/>
      <c r="AL49" s="262"/>
      <c r="AM49" s="262"/>
      <c r="AN49" s="262"/>
      <c r="AO49" s="262"/>
      <c r="AP49" s="262"/>
      <c r="AQ49" s="262"/>
      <c r="AR49" s="56"/>
      <c r="AS49" s="56"/>
      <c r="AT49" s="262"/>
      <c r="AU49" s="56"/>
      <c r="AV49" s="56"/>
      <c r="AW49" s="56"/>
      <c r="AX49" s="56"/>
      <c r="AY49" s="56"/>
      <c r="AZ49" s="56"/>
      <c r="BA49" s="262"/>
      <c r="BB49" s="311"/>
      <c r="BC49" s="311"/>
      <c r="BD49" s="309"/>
      <c r="BE49" s="309"/>
      <c r="BF49" s="308"/>
      <c r="BG49" s="308"/>
      <c r="BH49" s="308"/>
      <c r="BI49" s="56"/>
      <c r="BJ49" s="313"/>
      <c r="BK49" s="56"/>
    </row>
    <row r="50" spans="1:63" s="130" customFormat="1" x14ac:dyDescent="0.25">
      <c r="A50" s="130" t="s">
        <v>157</v>
      </c>
      <c r="C50" s="8"/>
      <c r="D50" s="312"/>
      <c r="E50" s="320"/>
      <c r="F50" s="320"/>
      <c r="G50" s="262"/>
      <c r="H50" s="262"/>
      <c r="I50" s="262"/>
      <c r="J50" s="262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V50" s="262"/>
      <c r="W50" s="262"/>
      <c r="X50" s="262"/>
      <c r="Y50" s="262"/>
      <c r="Z50" s="262"/>
      <c r="AA50" s="262"/>
      <c r="AB50" s="262"/>
      <c r="AC50" s="262"/>
      <c r="AD50" s="262"/>
      <c r="AE50" s="262"/>
      <c r="AF50" s="262"/>
      <c r="AG50" s="262"/>
      <c r="AH50" s="262"/>
      <c r="AI50" s="262"/>
      <c r="AJ50" s="262"/>
      <c r="AK50" s="262"/>
      <c r="AL50" s="262"/>
      <c r="AM50" s="262"/>
      <c r="AN50" s="262"/>
      <c r="AO50" s="262"/>
      <c r="AP50" s="262"/>
      <c r="AQ50" s="262"/>
      <c r="AR50" s="56"/>
      <c r="AS50" s="56"/>
      <c r="AT50" s="262"/>
      <c r="AU50" s="56"/>
      <c r="AV50" s="56"/>
      <c r="AW50" s="56"/>
      <c r="AX50" s="56"/>
      <c r="AY50" s="56"/>
      <c r="AZ50" s="56"/>
      <c r="BA50" s="262"/>
      <c r="BB50" s="311"/>
      <c r="BC50" s="311"/>
      <c r="BD50" s="309"/>
      <c r="BE50" s="309"/>
      <c r="BF50" s="308"/>
      <c r="BG50" s="308"/>
      <c r="BH50" s="308"/>
      <c r="BI50" s="56"/>
      <c r="BJ50" s="313"/>
      <c r="BK50" s="56"/>
    </row>
    <row r="51" spans="1:63" x14ac:dyDescent="0.25">
      <c r="C51" s="8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6"/>
      <c r="AS51" s="56"/>
      <c r="AT51" s="56"/>
      <c r="AU51" s="56"/>
      <c r="AV51" s="56"/>
      <c r="AW51" s="56"/>
      <c r="AX51" s="56"/>
      <c r="AY51" s="56"/>
      <c r="AZ51" s="56"/>
      <c r="BA51" s="59"/>
      <c r="BB51" s="56"/>
      <c r="BC51" s="119"/>
      <c r="BD51" s="56"/>
      <c r="BE51" s="119"/>
      <c r="BF51" s="59"/>
      <c r="BG51" s="59"/>
      <c r="BH51" s="56"/>
      <c r="BI51" s="56"/>
      <c r="BJ51" s="56"/>
      <c r="BK51" s="56"/>
    </row>
    <row r="52" spans="1:63" x14ac:dyDescent="0.25">
      <c r="A52" s="58" t="s">
        <v>65</v>
      </c>
      <c r="B52" s="58"/>
      <c r="C52" s="58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0"/>
      <c r="AS52" s="60"/>
      <c r="AT52" s="60"/>
      <c r="AU52" s="60"/>
      <c r="AV52" s="60"/>
      <c r="AW52" s="60"/>
      <c r="AX52" s="60"/>
      <c r="AY52" s="60"/>
      <c r="AZ52" s="60"/>
      <c r="BA52" s="61"/>
      <c r="BB52" s="60"/>
      <c r="BC52" s="61"/>
      <c r="BD52" s="60"/>
      <c r="BE52" s="61"/>
      <c r="BF52" s="61"/>
      <c r="BG52" s="61"/>
      <c r="BH52" s="60"/>
      <c r="BI52" s="60"/>
      <c r="BJ52" s="60"/>
      <c r="BK52" s="60"/>
    </row>
    <row r="53" spans="1:63" x14ac:dyDescent="0.25">
      <c r="A53" t="s">
        <v>79</v>
      </c>
      <c r="C53" s="8"/>
      <c r="D53" s="59">
        <f>(D5+D12+D19)+2*(E5+E12+E19)</f>
        <v>149</v>
      </c>
      <c r="E53" s="59"/>
      <c r="F53" s="59">
        <f>(F5+F12+F19)+2*(G5+G12+G19)</f>
        <v>151</v>
      </c>
      <c r="G53" s="59"/>
      <c r="H53" s="59">
        <f>(H5+H12+H19)+2*(I5+I12+I19)</f>
        <v>143</v>
      </c>
      <c r="I53" s="59"/>
      <c r="J53" s="59">
        <f>(J5+J12+J19)+2*(K5+K12+K19)</f>
        <v>148</v>
      </c>
      <c r="K53" s="59"/>
      <c r="L53" s="59">
        <f>(L5+L12+L19)+2*(M5+M12+M19)</f>
        <v>146</v>
      </c>
      <c r="M53" s="59"/>
      <c r="N53" s="298">
        <f>(N5+N12+N19)+2*(O5+O12+O19)</f>
        <v>73</v>
      </c>
      <c r="O53" s="59"/>
      <c r="P53" s="59">
        <f>(P5+P12+P19)+2*(Q5+Q12+Q19)</f>
        <v>57</v>
      </c>
      <c r="Q53" s="59"/>
      <c r="R53" s="59">
        <f>(R5+R12+R19)+2*(S5+S12+S19)</f>
        <v>143</v>
      </c>
      <c r="S53" s="59"/>
      <c r="T53" s="59">
        <f>(T5+T12+T19)+2*(U5+U12+U19)</f>
        <v>142</v>
      </c>
      <c r="U53" s="59"/>
      <c r="V53" s="59">
        <f>(V5+V12+V19)+2*(W5+W12+W19)</f>
        <v>140</v>
      </c>
      <c r="W53" s="59"/>
      <c r="X53" s="59">
        <f>(X5+X12+X19)+2*(Y5+Y12+Y19)</f>
        <v>143</v>
      </c>
      <c r="Y53" s="59"/>
      <c r="Z53" s="122">
        <f>(Z5+Z12+Z19)+2*(AA5+AA12+AA19)</f>
        <v>142</v>
      </c>
      <c r="AA53" s="59"/>
      <c r="AB53" s="122">
        <f>(AB5+AB12+AB19)+2*(AC5+AC12+AC19)</f>
        <v>73</v>
      </c>
      <c r="AC53" s="59"/>
      <c r="AD53" s="59">
        <f>(AD5+AD12+AD19)+2*(AE5+AE12+AE19)</f>
        <v>57</v>
      </c>
      <c r="AE53" s="59"/>
      <c r="AF53" s="59">
        <f>(AF5+AF12+AF19)+2*(AG5+AG12+AG19)</f>
        <v>144</v>
      </c>
      <c r="AG53" s="59"/>
      <c r="AH53" s="59">
        <f>(AH5+AH12+AH19)+2*(AI5+AI12+AI19)</f>
        <v>149</v>
      </c>
      <c r="AI53" s="59"/>
      <c r="AJ53" s="59">
        <f>(AJ5+AJ12+AJ19)+2*(AK5+AK12+AK19)</f>
        <v>149</v>
      </c>
      <c r="AK53" s="59"/>
      <c r="AL53" s="59">
        <f>(AL5+AL12+AL19)+2*(AM5+AM12+AM19)</f>
        <v>153</v>
      </c>
      <c r="AM53" s="59"/>
      <c r="AN53" s="59">
        <f>(AN5+AN12+AN19)+2*(AO5+AO12+AO19)</f>
        <v>143</v>
      </c>
      <c r="AO53" s="59"/>
      <c r="AP53" s="59">
        <f>(AP5+AP12+AP19)+2*(AQ5+AQ12+AQ19)</f>
        <v>73</v>
      </c>
      <c r="AQ53" s="59"/>
      <c r="AR53" s="59">
        <f>(AR5+AR12+AR19)+2*(AS5+AS12+AS19)</f>
        <v>57</v>
      </c>
      <c r="AS53" s="59"/>
      <c r="AT53" s="265">
        <f>(AT5+AT12+AT19)+2*(AU5+AU12+AU19)</f>
        <v>145</v>
      </c>
      <c r="AU53" s="59"/>
      <c r="AV53" s="59">
        <f>(AV5+AV12+AV19)+2*(AW5+AW12+AW19)</f>
        <v>145</v>
      </c>
      <c r="AW53" s="59"/>
      <c r="AX53" s="59">
        <f>(AX5+AX12+AX19)+2*(AY5+AY12+AY19)</f>
        <v>145</v>
      </c>
      <c r="AY53" s="59"/>
      <c r="AZ53" s="59">
        <f>(AZ5+AZ12+AZ19)+2*(BA5+BA12+BA19)</f>
        <v>143</v>
      </c>
      <c r="BA53" s="122"/>
      <c r="BB53" s="311">
        <f>(BB5+BB12+BB19)+2*(BC5+BC12+BC19)</f>
        <v>136</v>
      </c>
      <c r="BC53" s="311"/>
      <c r="BD53" s="309">
        <f>(BD5+BD12+BD19)+2*(BE5+BE12+BE19)</f>
        <v>73</v>
      </c>
      <c r="BE53" s="309"/>
      <c r="BF53" s="59">
        <f>(BF5+BF12+BF19)+2*(BG5+BG12+BG19)</f>
        <v>57</v>
      </c>
      <c r="BG53" s="254"/>
      <c r="BH53" s="253">
        <f>(BH5+BH12+BH19)+2*(BI5+BI12+BI19)</f>
        <v>150</v>
      </c>
      <c r="BI53" s="253"/>
      <c r="BJ53" s="313">
        <f>(BJ5+BJ12+BJ19)+2*(BK5+BK12+BK19)</f>
        <v>145</v>
      </c>
      <c r="BK53" s="313"/>
    </row>
    <row r="54" spans="1:63" x14ac:dyDescent="0.25">
      <c r="A54" t="s">
        <v>80</v>
      </c>
      <c r="C54" s="8"/>
      <c r="D54" s="312">
        <f>(D8+D15+D22)+2*(E8+E15+E22)</f>
        <v>143</v>
      </c>
      <c r="E54" s="59"/>
      <c r="F54" s="59">
        <f>(F8+F15+F22)+2*(G8+G15+G22)</f>
        <v>143</v>
      </c>
      <c r="G54" s="59"/>
      <c r="H54" s="59">
        <f>(H8+H15+H22)+2*(I8+I15+I22)</f>
        <v>142</v>
      </c>
      <c r="I54" s="59"/>
      <c r="J54" s="59">
        <f>(J8+J15+J22)+2*(K8+K15+K22)</f>
        <v>143</v>
      </c>
      <c r="K54" s="59"/>
      <c r="L54" s="59">
        <f>(L8+L15+L22)+2*(M8+M15+M22)</f>
        <v>143</v>
      </c>
      <c r="M54" s="59"/>
      <c r="N54" s="298">
        <f>(N8+N15+N22)+2*(O8+O15+O22)</f>
        <v>73</v>
      </c>
      <c r="O54" s="59"/>
      <c r="P54" s="59">
        <f>(P8+P15+P22)+2*(Q8+Q15+Q22)</f>
        <v>57</v>
      </c>
      <c r="Q54" s="59"/>
      <c r="R54" s="59">
        <f>(R8+R15+R22)+2*(S8+S15+S22)</f>
        <v>140</v>
      </c>
      <c r="S54" s="59"/>
      <c r="T54" s="59">
        <f>(T8+T15+T22)+2*(U8+U15+U22)</f>
        <v>140</v>
      </c>
      <c r="U54" s="59"/>
      <c r="V54" s="59">
        <f>(V8+V15+V22)+2*(W8+W15+W22)</f>
        <v>138</v>
      </c>
      <c r="W54" s="59"/>
      <c r="X54" s="59">
        <f>(X8+X15+X22)+2*(Y8+Y15+Y22)</f>
        <v>141</v>
      </c>
      <c r="Y54" s="59"/>
      <c r="Z54" s="122">
        <f>(Z8+Z15+Z22)+2*(AA8+AA15+AA22)</f>
        <v>140</v>
      </c>
      <c r="AA54" s="59"/>
      <c r="AB54" s="122">
        <f>(AB8+AB15+AB22)+2*(AC8+AC15+AC22)</f>
        <v>73</v>
      </c>
      <c r="AC54" s="59"/>
      <c r="AD54" s="59">
        <f>(AD8+AD15+AD22)+2*(AE8+AE15+AE22)</f>
        <v>57</v>
      </c>
      <c r="AE54" s="59"/>
      <c r="AF54" s="282">
        <f>(AF8+AF15+AF22)+2*(AG8+AG15+AG22)</f>
        <v>142</v>
      </c>
      <c r="AG54" s="59"/>
      <c r="AH54" s="59">
        <f>(AH8+AH15+AH22)+2*(AI8+AI15+AI22)</f>
        <v>141</v>
      </c>
      <c r="AI54" s="59"/>
      <c r="AJ54" s="59">
        <f>(AJ8+AJ15+AJ22)+2*(AK8+AK15+AK22)</f>
        <v>143</v>
      </c>
      <c r="AK54" s="59"/>
      <c r="AL54" s="285">
        <f>(AL8+AL15+AL22)+2*(AM8+AM15+AM22)</f>
        <v>144</v>
      </c>
      <c r="AM54" s="59"/>
      <c r="AN54" s="286">
        <f>(AN8+AN15+AN22)+2*(AO8+AO15+AO22)</f>
        <v>141</v>
      </c>
      <c r="AO54" s="59"/>
      <c r="AP54" s="59">
        <f>(AP8+AP15+AP22)+2*(AQ8+AQ15+AQ22)</f>
        <v>73</v>
      </c>
      <c r="AQ54" s="59"/>
      <c r="AR54" s="59">
        <f>(AR8+AR15+AR22)+2*(AS8+AS15+AS22)</f>
        <v>57</v>
      </c>
      <c r="AS54" s="59"/>
      <c r="AT54" s="265">
        <f>(AT8+AT15+AT22)+2*(AU8+AU15+AU22)</f>
        <v>143</v>
      </c>
      <c r="AU54" s="59"/>
      <c r="AV54" s="59">
        <f>(AV8+AV15+AV22)+2*(AW8+AW15+AW22)</f>
        <v>143</v>
      </c>
      <c r="AW54" s="59"/>
      <c r="AX54" s="288">
        <f>(AX8+AX15+AX22)+2*(AY8+AY15+AY22)</f>
        <v>143</v>
      </c>
      <c r="AY54" s="59"/>
      <c r="AZ54" s="289">
        <f>(AZ8+AZ15+AZ22)+2*(BA8+BA15+BA22)</f>
        <v>135</v>
      </c>
      <c r="BA54" s="122"/>
      <c r="BB54" s="311">
        <f>(BB8+BB15+BB22)+2*(BC8+BC15+BC22)</f>
        <v>134</v>
      </c>
      <c r="BC54" s="311"/>
      <c r="BD54" s="309">
        <f>(BD8+BD15+BD22)+2*(BE8+BE15+BE22)</f>
        <v>73</v>
      </c>
      <c r="BE54" s="309"/>
      <c r="BF54" s="59">
        <f>(BF8+BF15+BF22)+2*(BG8+BG15+BG22)</f>
        <v>57</v>
      </c>
      <c r="BG54" s="254"/>
      <c r="BH54" s="253">
        <f>(BH8+BH15+BH22)+2*(BI8+BI15+BI22)</f>
        <v>143</v>
      </c>
      <c r="BI54" s="253"/>
      <c r="BJ54" s="313">
        <f>(BJ8+BJ15+BJ22)+2*(BK8+BK15+BK22)</f>
        <v>135</v>
      </c>
      <c r="BK54" s="313"/>
    </row>
    <row r="55" spans="1:63" x14ac:dyDescent="0.25">
      <c r="A55" t="s">
        <v>81</v>
      </c>
      <c r="C55" s="8"/>
      <c r="D55" s="312">
        <f>(D3+D10+D17)+2*(E3+E10+E17)</f>
        <v>0</v>
      </c>
      <c r="E55" s="59"/>
      <c r="F55" s="59">
        <f>(F3+F10+F17)+2*(G3+G10+G17)</f>
        <v>0</v>
      </c>
      <c r="G55" s="59"/>
      <c r="H55" s="59">
        <f>(H3+H10+H17)+2*(I3+I10+I17)</f>
        <v>0</v>
      </c>
      <c r="I55" s="59"/>
      <c r="J55" s="59">
        <f>(J3+J10+J17)+2*(K3+K10+K17)</f>
        <v>0</v>
      </c>
      <c r="K55" s="59"/>
      <c r="L55" s="59">
        <f>(L3+L10+L17)+2*(M3+M10+M17)</f>
        <v>0</v>
      </c>
      <c r="M55" s="59"/>
      <c r="N55" s="59">
        <f>(N3+N10+N17)+2*(O3+O10+O17)</f>
        <v>0</v>
      </c>
      <c r="O55" s="59"/>
      <c r="P55" s="59">
        <f>(P3+P10+P17)+2*(Q3+Q10+Q17)</f>
        <v>0</v>
      </c>
      <c r="Q55" s="59"/>
      <c r="R55" s="59">
        <f>(R3+R10+R17)+2*(S3+S10+S17)</f>
        <v>0</v>
      </c>
      <c r="S55" s="59"/>
      <c r="T55" s="59">
        <f>(T3+T10+T17)+2*(U3+U10+U17)</f>
        <v>0</v>
      </c>
      <c r="U55" s="59"/>
      <c r="V55" s="59">
        <f>(V3+V10+V17)+2*(W3+W10+W17)</f>
        <v>0</v>
      </c>
      <c r="W55" s="59"/>
      <c r="X55" s="59">
        <f>(X3+X10+X17)+2*(Y3+Y10+Y17)</f>
        <v>0</v>
      </c>
      <c r="Y55" s="59"/>
      <c r="Z55" s="122">
        <f>(Z3+Z10+Z17)+2*(AA3+AA10+AA17)</f>
        <v>0</v>
      </c>
      <c r="AA55" s="59"/>
      <c r="AB55" s="122">
        <f>(AB3+AB10+AB17)+2*(AC3+AC10+AC17)</f>
        <v>0</v>
      </c>
      <c r="AC55" s="59"/>
      <c r="AD55" s="59">
        <f>(AD3+AD10+AD17)+2*(AE3+AE10+AE17)</f>
        <v>0</v>
      </c>
      <c r="AE55" s="59"/>
      <c r="AF55" s="59">
        <f>(AF3+AF10+AF17)+2*(AG3+AG10+AG17)</f>
        <v>0</v>
      </c>
      <c r="AG55" s="59"/>
      <c r="AH55" s="59">
        <f>(AH3+AH10+AH17)+2*(AI3+AI10+AI17)</f>
        <v>0</v>
      </c>
      <c r="AI55" s="59"/>
      <c r="AJ55" s="59">
        <f>(AJ3+AJ10+AJ17)+2*(AK3+AK10+AK17)</f>
        <v>0</v>
      </c>
      <c r="AK55" s="59"/>
      <c r="AL55" s="59">
        <f>(AL3+AL10+AL17)+2*(AM3+AM10+AM17)</f>
        <v>0</v>
      </c>
      <c r="AM55" s="59"/>
      <c r="AN55" s="59">
        <f>(AN3+AN10+AN17)+2*(AO3+AO10+AO17)</f>
        <v>0</v>
      </c>
      <c r="AO55" s="59"/>
      <c r="AP55" s="59">
        <f>(AP3+AP10+AP17)+2*(AQ3+AQ10+AQ17)</f>
        <v>0</v>
      </c>
      <c r="AQ55" s="59"/>
      <c r="AR55" s="59">
        <f>(AR3+AR10+AR17)+2*(AS3+AS10+AS17)</f>
        <v>0</v>
      </c>
      <c r="AS55" s="59"/>
      <c r="AT55" s="59">
        <f>(AT3+AT10+AT17)+2*(AU3+AU10+AU17)</f>
        <v>0</v>
      </c>
      <c r="AU55" s="59"/>
      <c r="AV55" s="59">
        <f>(AV3+AV10+AV17)+2*(AW3+AW10+AW17)</f>
        <v>0</v>
      </c>
      <c r="AW55" s="59"/>
      <c r="AX55" s="59">
        <f>(AX3+AX10+AX17)+2*(AY3+AY10+AY17)</f>
        <v>0</v>
      </c>
      <c r="AY55" s="59"/>
      <c r="AZ55" s="59">
        <f>(AZ3+AZ10+AZ17)+2*(BA3+BA10+BA17)</f>
        <v>0</v>
      </c>
      <c r="BA55" s="122"/>
      <c r="BB55" s="311">
        <f>(BB3+BB10+BB17)+2*(BC3+BC10+BC17)</f>
        <v>0</v>
      </c>
      <c r="BC55" s="311"/>
      <c r="BD55" s="309">
        <f>(BD3+BD10+BD17)+2*(BE3+BE10+BE17)</f>
        <v>0</v>
      </c>
      <c r="BE55" s="309"/>
      <c r="BF55" s="59">
        <f>(BF3+BF10+BF17)+2*(BG3+BG10+BG17)</f>
        <v>0</v>
      </c>
      <c r="BG55" s="254"/>
      <c r="BH55" s="253">
        <f>(BH3+BH10+BH17)+2*(BI3+BI10+BI17)</f>
        <v>0</v>
      </c>
      <c r="BI55" s="253"/>
      <c r="BJ55" s="313">
        <f>(BJ3+BJ10+BJ17)+2*(BK3+BK10+BK17)</f>
        <v>0</v>
      </c>
      <c r="BK55" s="313"/>
    </row>
    <row r="56" spans="1:63" x14ac:dyDescent="0.25">
      <c r="A56" t="s">
        <v>82</v>
      </c>
      <c r="C56" s="8"/>
      <c r="D56" s="312">
        <f>(D6+D13+D20)+2*(E6+E13+E20)</f>
        <v>1</v>
      </c>
      <c r="E56" s="59"/>
      <c r="F56" s="59">
        <f>(F6+F13+F20)+2*(G6+G13+G20)</f>
        <v>1</v>
      </c>
      <c r="G56" s="59"/>
      <c r="H56" s="59">
        <f>(H6+H13+H20)+2*(I6+I13+I20)</f>
        <v>1</v>
      </c>
      <c r="I56" s="59"/>
      <c r="J56" s="59">
        <f>(J6+J13+J20)+2*(K6+K13+K20)</f>
        <v>1</v>
      </c>
      <c r="K56" s="59"/>
      <c r="L56" s="59">
        <f>(L6+L13+L20)+2*(M6+M13+M20)</f>
        <v>1</v>
      </c>
      <c r="M56" s="59"/>
      <c r="N56" s="59">
        <f>(N6+N13+N20)+2*(O6+O13+O20)</f>
        <v>0</v>
      </c>
      <c r="O56" s="59"/>
      <c r="P56" s="59">
        <f>(P6+P13+P20)+2*(Q6+Q13+Q20)</f>
        <v>0</v>
      </c>
      <c r="Q56" s="59"/>
      <c r="R56" s="59">
        <f>(R6+R13+R20)+2*(S6+S13+S20)</f>
        <v>1</v>
      </c>
      <c r="S56" s="59"/>
      <c r="T56" s="59">
        <f>(T6+T13+T20)+2*(U6+U13+U20)</f>
        <v>1</v>
      </c>
      <c r="U56" s="59"/>
      <c r="V56" s="59">
        <f>(V6+V13+V20)+2*(W6+W13+W20)</f>
        <v>1</v>
      </c>
      <c r="W56" s="59"/>
      <c r="X56" s="59">
        <f>(X6+X13+X20)+2*(Y6+Y13+Y20)</f>
        <v>1</v>
      </c>
      <c r="Y56" s="59"/>
      <c r="Z56" s="122">
        <f>(Z6+Z13+Z20)+2*(AA6+AA13+AA20)</f>
        <v>1</v>
      </c>
      <c r="AA56" s="59"/>
      <c r="AB56" s="122">
        <f>(AB6+AB13+AB20)+2*(AC6+AC13+AC20)</f>
        <v>0</v>
      </c>
      <c r="AC56" s="59"/>
      <c r="AD56" s="59">
        <f>(AD6+AD13+AD20)+2*(AE6+AE13+AE20)</f>
        <v>0</v>
      </c>
      <c r="AE56" s="59"/>
      <c r="AF56" s="59">
        <f>(AF6+AF13+AF20)+2*(AG6+AG13+AG20)</f>
        <v>1</v>
      </c>
      <c r="AG56" s="59"/>
      <c r="AH56" s="59">
        <f>(AH6+AH13+AH20)+2*(AI6+AI13+AI20)</f>
        <v>1</v>
      </c>
      <c r="AI56" s="59"/>
      <c r="AJ56" s="59">
        <f>(AJ6+AJ13+AJ20)+2*(AK6+AK13+AK20)</f>
        <v>1</v>
      </c>
      <c r="AK56" s="59"/>
      <c r="AL56" s="59">
        <f>(AL6+AL13+AL20)+2*(AM6+AM13+AM20)</f>
        <v>1</v>
      </c>
      <c r="AM56" s="59"/>
      <c r="AN56" s="59">
        <f>(AN6+AN13+AN20)+2*(AO6+AO13+AO20)</f>
        <v>1</v>
      </c>
      <c r="AO56" s="59"/>
      <c r="AP56" s="59">
        <f>(AP6+AP13+AP20)+2*(AQ6+AQ13+AQ20)</f>
        <v>0</v>
      </c>
      <c r="AQ56" s="59"/>
      <c r="AR56" s="59">
        <f>(AR6+AR13+AR20)+2*(AS6+AS13+AS20)</f>
        <v>0</v>
      </c>
      <c r="AS56" s="59"/>
      <c r="AT56" s="59">
        <f>(AT6+AT13+AT20)+2*(AU6+AU13+AU20)</f>
        <v>1</v>
      </c>
      <c r="AU56" s="59"/>
      <c r="AV56" s="59">
        <f>(AV6+AV13+AV20)+2*(AW6+AW13+AW20)</f>
        <v>1</v>
      </c>
      <c r="AW56" s="59"/>
      <c r="AX56" s="59">
        <f>(AX6+AX13+AX20)+2*(AY6+AY13+AY20)</f>
        <v>1</v>
      </c>
      <c r="AY56" s="59"/>
      <c r="AZ56" s="59">
        <f>(AZ6+AZ13+AZ20)+2*(BA6+BA13+BA20)</f>
        <v>1</v>
      </c>
      <c r="BA56" s="122"/>
      <c r="BB56" s="311">
        <f>(BB6+BB13+BB20)+2*(BC6+BC13+BC20)</f>
        <v>1</v>
      </c>
      <c r="BC56" s="311"/>
      <c r="BD56" s="309">
        <f>(BD6+BD13+BD20)+2*(BE6+BE13+BE20)</f>
        <v>0</v>
      </c>
      <c r="BE56" s="309"/>
      <c r="BF56" s="59">
        <f>(BF6+BF13+BF20)+2*(BG6+BG13+BG20)</f>
        <v>0</v>
      </c>
      <c r="BG56" s="254"/>
      <c r="BH56" s="253">
        <f>(BH6+BH13+BH20)+2*(BI6+BI13+BI20)</f>
        <v>1</v>
      </c>
      <c r="BI56" s="253"/>
      <c r="BJ56" s="313">
        <f>(BJ6+BJ13+BJ20)+2*(BK6+BK13+BK20)</f>
        <v>2</v>
      </c>
      <c r="BK56" s="313"/>
    </row>
    <row r="57" spans="1:63" s="130" customFormat="1" x14ac:dyDescent="0.25">
      <c r="A57" s="130" t="s">
        <v>122</v>
      </c>
      <c r="C57" s="8"/>
      <c r="D57" s="312">
        <f>(D4+D11+D18)+2*(E4+E11+E18)</f>
        <v>0</v>
      </c>
      <c r="E57" s="161"/>
      <c r="F57" s="161">
        <f>(F4+F11+F18)+2*(G4+G11+G18)</f>
        <v>0</v>
      </c>
      <c r="G57" s="161"/>
      <c r="H57" s="161">
        <f>(H4+H11+H18)+2*(I4+I11+I18)</f>
        <v>0</v>
      </c>
      <c r="I57" s="161"/>
      <c r="J57" s="161">
        <f>(J4+J11+J18)+2*(K4+K11+K18)</f>
        <v>0</v>
      </c>
      <c r="K57" s="161"/>
      <c r="L57" s="161">
        <f>(L4+L11+L18)+2*(M4+M11+M18)</f>
        <v>0</v>
      </c>
      <c r="M57" s="161"/>
      <c r="N57" s="298">
        <f>(N4+N11+N18)+2*(O4+O11+O18)</f>
        <v>0</v>
      </c>
      <c r="O57" s="161"/>
      <c r="P57" s="161">
        <f>(P4+P11+P18)+2*(Q4+Q11+Q18)</f>
        <v>0</v>
      </c>
      <c r="Q57" s="161"/>
      <c r="R57" s="161">
        <f>(R4+R11+R18)+2*(S4+S11+S18)</f>
        <v>0</v>
      </c>
      <c r="S57" s="161"/>
      <c r="T57" s="161">
        <f>(T4+T11+T18)+2*(U4+U11+U18)</f>
        <v>0</v>
      </c>
      <c r="U57" s="161"/>
      <c r="V57" s="161">
        <f>(V4+V11+V18)+2*(W4+W11+W18)</f>
        <v>0</v>
      </c>
      <c r="W57" s="161"/>
      <c r="X57" s="161">
        <f>(X4+X11+X18)+2*(Y4+Y11+Y18)</f>
        <v>0</v>
      </c>
      <c r="Y57" s="161"/>
      <c r="Z57" s="161">
        <f>(Z4+Z11+Z18)+2*(AA4+AA11+AA18)</f>
        <v>0</v>
      </c>
      <c r="AA57" s="161"/>
      <c r="AB57" s="161">
        <f>(AB4+AB11+AB18)+2*(AC4+AC11+AC18)</f>
        <v>0</v>
      </c>
      <c r="AC57" s="161"/>
      <c r="AD57" s="161">
        <f>(AD4+AD11+AD18)+2*(AE4+AE11+AE18)</f>
        <v>0</v>
      </c>
      <c r="AE57" s="161"/>
      <c r="AF57" s="161">
        <f>(AF4+AF11+AF18)+2*(AG4+AG11+AG18)</f>
        <v>0</v>
      </c>
      <c r="AG57" s="161"/>
      <c r="AH57" s="161">
        <f>(AH4+AH11+AH18)+2*(AI4+AI11+AI18)</f>
        <v>0</v>
      </c>
      <c r="AI57" s="161"/>
      <c r="AJ57" s="161">
        <f>(AJ4+AJ11+AJ18)+2*(AK4+AK11+AK18)</f>
        <v>0</v>
      </c>
      <c r="AK57" s="161"/>
      <c r="AL57" s="161">
        <f>(AL4+AL11+AL18)+2*(AM4+AM11+AM18)</f>
        <v>0</v>
      </c>
      <c r="AM57" s="161"/>
      <c r="AN57" s="161">
        <f>(AN4+AN11+AN18)+2*(AO4+AO11+AO18)</f>
        <v>0</v>
      </c>
      <c r="AO57" s="161"/>
      <c r="AP57" s="161">
        <f>(AP4+AP11+AP18)+2*(AQ4+AQ11+AQ18)</f>
        <v>0</v>
      </c>
      <c r="AQ57" s="161"/>
      <c r="AR57" s="161">
        <f>(AR4+AR11+AR18)+2*(AS4+AS11+AS18)</f>
        <v>0</v>
      </c>
      <c r="AS57" s="161"/>
      <c r="AT57" s="161">
        <f>(AT4+AT11+AT18)+2*(AU4+AU11+AU18)</f>
        <v>0</v>
      </c>
      <c r="AU57" s="161"/>
      <c r="AV57" s="161">
        <f>(AV4+AV11+AV18)+2*(AW4+AW11+AW18)</f>
        <v>0</v>
      </c>
      <c r="AW57" s="161"/>
      <c r="AX57" s="161">
        <f>(AX4+AX11+AX18)+2*(AY4+AY11+AY18)</f>
        <v>0</v>
      </c>
      <c r="AY57" s="161"/>
      <c r="AZ57" s="161">
        <f>(AZ4+AZ11+AZ18)+2*(BA4+BA11+BA18)</f>
        <v>0</v>
      </c>
      <c r="BA57" s="161"/>
      <c r="BB57" s="311">
        <f>(BB4+BB11+BB18)+2*(BC4+BC11+BC18)</f>
        <v>0</v>
      </c>
      <c r="BC57" s="311"/>
      <c r="BD57" s="309">
        <f>(BD4+BD11+BD18)+2*(BE4+BE11+BE18)</f>
        <v>0</v>
      </c>
      <c r="BE57" s="309"/>
      <c r="BF57" s="161">
        <f>(BF4+BF11+BF18)+2*(BG4+BG11+BG18)</f>
        <v>0</v>
      </c>
      <c r="BG57" s="217"/>
      <c r="BH57" s="253">
        <f>(BH4+BH11+BH18)+2*(BI4+BI11+BI18)</f>
        <v>0</v>
      </c>
      <c r="BI57" s="253"/>
      <c r="BJ57" s="313">
        <f>(BJ4+BJ11+BJ18)+2*(BK4+BK11+BK18)</f>
        <v>0</v>
      </c>
      <c r="BK57" s="313"/>
    </row>
    <row r="58" spans="1:63" x14ac:dyDescent="0.25">
      <c r="A58" t="s">
        <v>35</v>
      </c>
      <c r="C58" s="8"/>
      <c r="D58" s="312">
        <f>(D7+D14+D21)+2*(E7+E14+E21)</f>
        <v>1</v>
      </c>
      <c r="E58" s="59"/>
      <c r="F58" s="59">
        <f>(F7+F14+F21)+2*(G7+G14+G21)</f>
        <v>1</v>
      </c>
      <c r="G58" s="59"/>
      <c r="H58" s="59">
        <f>(H7+H14+H21)+2*(I7+I14+I21)</f>
        <v>1</v>
      </c>
      <c r="I58" s="59"/>
      <c r="J58" s="59">
        <f>(J7+J14+J21)+2*(K7+K14+K21)</f>
        <v>1</v>
      </c>
      <c r="K58" s="59"/>
      <c r="L58" s="59">
        <f>(L7+L14+L21)+2*(M7+M14+M21)</f>
        <v>1</v>
      </c>
      <c r="M58" s="59"/>
      <c r="N58" s="298">
        <f>(N7+N14+N21)+2*(O7+O14+O21)</f>
        <v>0</v>
      </c>
      <c r="O58" s="59"/>
      <c r="P58" s="59">
        <f>(P7+P14+P21)+2*(Q7+Q14+Q21)</f>
        <v>0</v>
      </c>
      <c r="Q58" s="59"/>
      <c r="R58" s="59">
        <f>(R7+R14+R21)+2*(S7+S14+S21)</f>
        <v>1</v>
      </c>
      <c r="S58" s="59"/>
      <c r="T58" s="59">
        <f>(T7+T14+T21)+2*(U7+U14+U21)</f>
        <v>1</v>
      </c>
      <c r="U58" s="59"/>
      <c r="V58" s="59">
        <f>(V7+V14+V21)+2*(W7+W14+W21)</f>
        <v>1</v>
      </c>
      <c r="W58" s="59"/>
      <c r="X58" s="59">
        <f>(X7+X14+X21)+2*(Y7+Y14+Y21)</f>
        <v>1</v>
      </c>
      <c r="Y58" s="59"/>
      <c r="Z58" s="122">
        <f>(Z7+Z14+Z21)+2*(AA7+AA14+AA21)</f>
        <v>1</v>
      </c>
      <c r="AA58" s="59"/>
      <c r="AB58" s="122">
        <f>(AB7+AB14+AB21)+2*(AC7+AC14+AC21)</f>
        <v>0</v>
      </c>
      <c r="AC58" s="59"/>
      <c r="AD58" s="59">
        <f>(AD7+AD14+AD21)+2*(AE7+AE14+AE21)</f>
        <v>0</v>
      </c>
      <c r="AE58" s="59"/>
      <c r="AF58" s="282">
        <f>(AF7+AF14+AF21)+2*(AG7+AG14+AG21)</f>
        <v>1</v>
      </c>
      <c r="AG58" s="59"/>
      <c r="AH58" s="59">
        <f>(AH7+AH14+AH21)+2*(AI7+AI14+AI21)</f>
        <v>1</v>
      </c>
      <c r="AI58" s="59"/>
      <c r="AJ58" s="59">
        <f>(AJ7+AJ14+AJ21)+2*(AK7+AK14+AK21)</f>
        <v>1</v>
      </c>
      <c r="AK58" s="59"/>
      <c r="AL58" s="285">
        <f>(AL7+AL14+AL21)+2*(AM7+AM14+AM21)</f>
        <v>1</v>
      </c>
      <c r="AM58" s="59"/>
      <c r="AN58" s="286">
        <f>(AN7+AN14+AN21)+2*(AO7+AO14+AO21)</f>
        <v>1</v>
      </c>
      <c r="AO58" s="59"/>
      <c r="AP58" s="59">
        <f>(AP7+AP14+AP21)+2*(AQ7+AQ14+AQ21)</f>
        <v>0</v>
      </c>
      <c r="AQ58" s="59"/>
      <c r="AR58" s="59">
        <f>(AR7+AR14+AR21)+2*(AS7+AS14+AS21)</f>
        <v>0</v>
      </c>
      <c r="AS58" s="59"/>
      <c r="AT58" s="59">
        <f>(AT7+AT14+AT21)+2*(AU7+AU14+AU21)</f>
        <v>1</v>
      </c>
      <c r="AU58" s="59"/>
      <c r="AV58" s="59">
        <f>(AV7+AV14+AV21)+2*(AW7+AW14+AW21)</f>
        <v>1</v>
      </c>
      <c r="AW58" s="59"/>
      <c r="AX58" s="288">
        <f>(AX7+AX14+AX21)+2*(AY7+AY14+AY21)</f>
        <v>1</v>
      </c>
      <c r="AY58" s="59"/>
      <c r="AZ58" s="289">
        <f>(AZ7+AZ14+AZ21)+2*(BA7+BA14+BA21)</f>
        <v>1</v>
      </c>
      <c r="BA58" s="122"/>
      <c r="BB58" s="311">
        <f>(BB7+BB14+BB21)+2*(BC7+BC14+BC21)</f>
        <v>1</v>
      </c>
      <c r="BC58" s="311"/>
      <c r="BD58" s="309">
        <f>(BD7+BD14+BD21)+2*(BE7+BE14+BE21)</f>
        <v>0</v>
      </c>
      <c r="BE58" s="309"/>
      <c r="BF58" s="59">
        <f>(BF7+BF14+BF21)+2*(BG7+BG14+BG21)</f>
        <v>0</v>
      </c>
      <c r="BG58" s="254"/>
      <c r="BH58" s="253">
        <f>(BH7+BH14+BH21)+2*(BI7+BI14+BI21)</f>
        <v>1</v>
      </c>
      <c r="BI58" s="253"/>
      <c r="BJ58" s="313">
        <f>(BJ7+BJ14+BJ21)+2*(BK7+BK14+BK21)</f>
        <v>1</v>
      </c>
      <c r="BK58" s="313"/>
    </row>
    <row r="59" spans="1:63" x14ac:dyDescent="0.25">
      <c r="A59" s="130" t="s">
        <v>158</v>
      </c>
      <c r="B59" s="130"/>
      <c r="D59" s="312"/>
      <c r="E59" s="320"/>
      <c r="F59" s="320"/>
      <c r="BB59" s="311"/>
      <c r="BC59" s="311"/>
      <c r="BD59" s="309"/>
      <c r="BE59" s="309"/>
      <c r="BF59" s="308"/>
      <c r="BG59" s="308"/>
      <c r="BH59" s="308"/>
      <c r="BJ59" s="313"/>
      <c r="BK59" s="130"/>
    </row>
    <row r="60" spans="1:63" x14ac:dyDescent="0.25">
      <c r="A60" s="130" t="s">
        <v>157</v>
      </c>
      <c r="B60" s="130"/>
      <c r="D60" s="312"/>
      <c r="E60" s="320"/>
      <c r="F60" s="320"/>
      <c r="BB60" s="311"/>
      <c r="BC60" s="311"/>
      <c r="BD60" s="309"/>
      <c r="BE60" s="309"/>
      <c r="BF60" s="308"/>
      <c r="BG60" s="308"/>
      <c r="BH60" s="308"/>
      <c r="BJ60" s="313"/>
      <c r="BK60" s="130"/>
    </row>
    <row r="62" spans="1:63" x14ac:dyDescent="0.25">
      <c r="X62" s="293"/>
      <c r="Y62" s="293"/>
      <c r="Z62" s="293"/>
      <c r="AA62" s="293"/>
      <c r="AB62" s="293"/>
      <c r="AC62" s="293"/>
      <c r="AD62" s="293"/>
      <c r="AE62" s="293"/>
      <c r="AF62" s="293"/>
      <c r="AG62" s="293"/>
      <c r="AH62" s="293"/>
      <c r="AI62" s="293"/>
      <c r="AJ62" s="293"/>
      <c r="AK62" s="293"/>
      <c r="AL62" s="293"/>
      <c r="AM62" s="293"/>
      <c r="AN62" s="293"/>
      <c r="AO62" s="293"/>
      <c r="AP62" s="293"/>
      <c r="AQ62" s="293"/>
      <c r="AR62" s="293"/>
      <c r="AS62" s="293"/>
    </row>
    <row r="64" spans="1:63" x14ac:dyDescent="0.25"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  <c r="AQ64" s="130"/>
      <c r="AR64" s="130"/>
    </row>
    <row r="65" spans="21:67" x14ac:dyDescent="0.25"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X65" s="130"/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</row>
    <row r="66" spans="21:67" x14ac:dyDescent="0.25"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  <c r="AQ66" s="130"/>
      <c r="AR66" s="130"/>
      <c r="AS66" s="130"/>
      <c r="AT66" s="130"/>
      <c r="AU66" s="130"/>
      <c r="AV66" s="130"/>
      <c r="AW66" s="130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</row>
    <row r="67" spans="21:67" x14ac:dyDescent="0.25"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130"/>
      <c r="AO67" s="130"/>
      <c r="AP67" s="130"/>
      <c r="AQ67" s="130"/>
      <c r="AR67" s="130"/>
      <c r="AS67" s="130"/>
      <c r="AT67" s="130"/>
      <c r="AU67" s="130"/>
      <c r="AV67" s="130"/>
      <c r="AW67" s="130"/>
      <c r="AX67" s="130"/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</row>
    <row r="68" spans="21:67" x14ac:dyDescent="0.25"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  <c r="AQ68" s="130"/>
      <c r="AR68" s="130"/>
    </row>
    <row r="69" spans="21:67" x14ac:dyDescent="0.25"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0"/>
      <c r="BK69" s="130"/>
    </row>
    <row r="70" spans="21:67" x14ac:dyDescent="0.25"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  <c r="AT70" s="130"/>
      <c r="AU70" s="130"/>
      <c r="AV70" s="130"/>
      <c r="AW70" s="130"/>
      <c r="AX70" s="130"/>
      <c r="AY70" s="130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  <c r="BK70" s="130"/>
    </row>
    <row r="71" spans="21:67" x14ac:dyDescent="0.25"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  <c r="AL71" s="130"/>
      <c r="AM71" s="130"/>
      <c r="AN71" s="130"/>
      <c r="AO71" s="130"/>
      <c r="AP71" s="130"/>
      <c r="AQ71" s="130"/>
      <c r="AR71" s="130"/>
    </row>
    <row r="72" spans="21:67" ht="15.75" thickBot="1" x14ac:dyDescent="0.3"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  <c r="AK72" s="130"/>
      <c r="AL72" s="130"/>
      <c r="AM72" s="130"/>
      <c r="AN72" s="130"/>
      <c r="AO72" s="130"/>
      <c r="AP72" s="130"/>
      <c r="AQ72" s="130"/>
      <c r="AR72" s="130"/>
    </row>
    <row r="73" spans="21:67" ht="15.75" thickBot="1" x14ac:dyDescent="0.3"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  <c r="AL73" s="130"/>
      <c r="AM73" s="130"/>
      <c r="AN73" s="130"/>
      <c r="AO73" s="130"/>
      <c r="AP73" s="130"/>
      <c r="AQ73" s="130"/>
      <c r="AR73" s="130"/>
      <c r="AV73" s="322">
        <v>0</v>
      </c>
      <c r="AW73" s="322">
        <v>0</v>
      </c>
      <c r="AX73" s="322">
        <v>0</v>
      </c>
      <c r="AY73" s="322">
        <v>0</v>
      </c>
      <c r="AZ73" s="322">
        <v>0</v>
      </c>
      <c r="BA73" s="322">
        <v>0</v>
      </c>
      <c r="BB73" s="323"/>
      <c r="BC73" s="323">
        <v>0</v>
      </c>
      <c r="BD73" s="323">
        <v>0</v>
      </c>
      <c r="BE73" s="323">
        <v>27</v>
      </c>
      <c r="BF73" s="323">
        <v>0</v>
      </c>
      <c r="BG73" s="323">
        <v>1</v>
      </c>
      <c r="BH73" s="323">
        <v>32</v>
      </c>
      <c r="BI73" s="323"/>
      <c r="BJ73" s="322">
        <v>0</v>
      </c>
      <c r="BK73" s="322">
        <v>0</v>
      </c>
      <c r="BL73" s="322">
        <v>0</v>
      </c>
      <c r="BM73" s="322">
        <v>0</v>
      </c>
      <c r="BN73" s="322">
        <v>0</v>
      </c>
      <c r="BO73" s="322">
        <v>1</v>
      </c>
    </row>
    <row r="74" spans="21:67" ht="15.75" thickBot="1" x14ac:dyDescent="0.3"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V74" s="322">
        <v>0</v>
      </c>
      <c r="AW74" s="322">
        <v>0</v>
      </c>
      <c r="AX74" s="322">
        <v>12</v>
      </c>
      <c r="AY74" s="322">
        <v>0</v>
      </c>
      <c r="AZ74" s="322">
        <v>0</v>
      </c>
      <c r="BA74" s="322">
        <v>10</v>
      </c>
      <c r="BB74" s="323"/>
      <c r="BC74" s="323">
        <v>0</v>
      </c>
      <c r="BD74" s="323">
        <v>0</v>
      </c>
      <c r="BE74" s="323">
        <v>38</v>
      </c>
      <c r="BF74" s="323">
        <v>1</v>
      </c>
      <c r="BG74" s="323">
        <v>0</v>
      </c>
      <c r="BH74" s="323">
        <v>35</v>
      </c>
      <c r="BI74" s="323"/>
      <c r="BJ74" s="322">
        <v>0</v>
      </c>
      <c r="BK74" s="322">
        <v>0</v>
      </c>
      <c r="BL74" s="322">
        <v>9</v>
      </c>
      <c r="BM74" s="322">
        <v>0</v>
      </c>
      <c r="BN74" s="322">
        <v>0</v>
      </c>
      <c r="BO74" s="322">
        <v>6</v>
      </c>
    </row>
    <row r="75" spans="21:67" x14ac:dyDescent="0.25"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</row>
    <row r="76" spans="21:67" x14ac:dyDescent="0.25"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  <c r="AK76" s="130"/>
      <c r="AL76" s="130"/>
      <c r="AM76" s="130"/>
      <c r="AN76" s="130"/>
      <c r="AO76" s="130"/>
      <c r="AP76" s="130"/>
      <c r="AQ76" s="130"/>
      <c r="AR76" s="130"/>
    </row>
  </sheetData>
  <mergeCells count="31">
    <mergeCell ref="BJ1:BK1"/>
    <mergeCell ref="AB1:AC1"/>
    <mergeCell ref="N1:O1"/>
    <mergeCell ref="P1:Q1"/>
    <mergeCell ref="Z1:AA1"/>
    <mergeCell ref="V1:W1"/>
    <mergeCell ref="T1:U1"/>
    <mergeCell ref="R1:S1"/>
    <mergeCell ref="X1:Y1"/>
    <mergeCell ref="AD1:AE1"/>
    <mergeCell ref="BH1:BI1"/>
    <mergeCell ref="AJ1:AK1"/>
    <mergeCell ref="AF1:AG1"/>
    <mergeCell ref="AL1:AM1"/>
    <mergeCell ref="BF1:BG1"/>
    <mergeCell ref="AH1:AI1"/>
    <mergeCell ref="A40:B40"/>
    <mergeCell ref="D1:E1"/>
    <mergeCell ref="F1:G1"/>
    <mergeCell ref="L1:M1"/>
    <mergeCell ref="H1:I1"/>
    <mergeCell ref="J1:K1"/>
    <mergeCell ref="AT1:AU1"/>
    <mergeCell ref="AN1:AO1"/>
    <mergeCell ref="BD1:BE1"/>
    <mergeCell ref="AR1:AS1"/>
    <mergeCell ref="AP1:AQ1"/>
    <mergeCell ref="AZ1:BA1"/>
    <mergeCell ref="BB1:BC1"/>
    <mergeCell ref="AX1:AY1"/>
    <mergeCell ref="AV1:AW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8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4" sqref="C44"/>
    </sheetView>
  </sheetViews>
  <sheetFormatPr baseColWidth="10" defaultRowHeight="15" x14ac:dyDescent="0.25"/>
  <cols>
    <col min="1" max="2" width="11.42578125" style="130"/>
    <col min="3" max="3" width="19.140625" style="130" customWidth="1"/>
    <col min="4" max="4" width="11.42578125" style="130"/>
    <col min="5" max="5" width="18.42578125" style="130" customWidth="1"/>
    <col min="6" max="6" width="14.140625" style="130" customWidth="1"/>
    <col min="7" max="7" width="23.85546875" style="130" customWidth="1"/>
    <col min="8" max="8" width="22.7109375" style="130" customWidth="1"/>
    <col min="9" max="9" width="11.42578125" style="130"/>
    <col min="10" max="10" width="50.85546875" style="130" customWidth="1"/>
    <col min="11" max="11" width="18.5703125" style="130" customWidth="1"/>
    <col min="12" max="12" width="14.28515625" style="130" customWidth="1"/>
    <col min="13" max="13" width="25.5703125" style="130" customWidth="1"/>
    <col min="14" max="16384" width="11.42578125" style="130"/>
  </cols>
  <sheetData>
    <row r="1" spans="1:14" ht="44.25" x14ac:dyDescent="0.25">
      <c r="A1" s="352" t="s">
        <v>173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</row>
    <row r="2" spans="1:14" x14ac:dyDescent="0.25">
      <c r="A2" s="165" t="s">
        <v>126</v>
      </c>
      <c r="B2" s="165" t="s">
        <v>3</v>
      </c>
      <c r="C2" s="165" t="s">
        <v>127</v>
      </c>
      <c r="D2" s="165" t="s">
        <v>128</v>
      </c>
      <c r="E2" s="166" t="s">
        <v>129</v>
      </c>
      <c r="F2" s="166" t="s">
        <v>130</v>
      </c>
      <c r="G2" s="166" t="s">
        <v>131</v>
      </c>
      <c r="H2" s="166" t="s">
        <v>132</v>
      </c>
      <c r="I2" s="166" t="s">
        <v>133</v>
      </c>
      <c r="J2" s="166" t="s">
        <v>134</v>
      </c>
      <c r="K2" s="166" t="s">
        <v>135</v>
      </c>
      <c r="L2" s="166" t="s">
        <v>136</v>
      </c>
      <c r="M2" s="166" t="s">
        <v>137</v>
      </c>
    </row>
    <row r="3" spans="1:14" x14ac:dyDescent="0.25">
      <c r="A3" s="167">
        <v>45383</v>
      </c>
      <c r="B3" s="12">
        <f>'KM-Servicio'!M11</f>
        <v>13154</v>
      </c>
      <c r="C3" s="12">
        <f>B3</f>
        <v>13154</v>
      </c>
      <c r="D3" s="12">
        <f>'KM-Servicio'!V11</f>
        <v>12546.87</v>
      </c>
      <c r="E3" s="12">
        <f>D3</f>
        <v>12546.87</v>
      </c>
      <c r="F3" s="173">
        <f>'KM-Servicio'!N11</f>
        <v>95.384445795955614</v>
      </c>
      <c r="G3" s="174">
        <f>SUM('KM-Servicio'!B11:C11)</f>
        <v>184</v>
      </c>
      <c r="H3" s="174">
        <f>SUM('KM-Servicio'!D11:E11)</f>
        <v>184</v>
      </c>
      <c r="I3" s="151"/>
      <c r="J3" s="151"/>
      <c r="K3" s="12">
        <f>'Oferta Diaria'!C41</f>
        <v>994966.79100000008</v>
      </c>
      <c r="L3" s="168" t="s">
        <v>140</v>
      </c>
      <c r="M3" s="171"/>
      <c r="N3" s="169"/>
    </row>
    <row r="4" spans="1:14" x14ac:dyDescent="0.25">
      <c r="A4" s="167">
        <v>45384</v>
      </c>
      <c r="B4" s="12">
        <f>'KM-Servicio'!M18</f>
        <v>13031</v>
      </c>
      <c r="C4" s="12">
        <f>B4+C3</f>
        <v>26185</v>
      </c>
      <c r="D4" s="12">
        <f>'KM-Servicio'!V18</f>
        <v>12646.08</v>
      </c>
      <c r="E4" s="12">
        <f>D4+E3</f>
        <v>25192.95</v>
      </c>
      <c r="F4" s="173">
        <f>'KM-Servicio'!N18</f>
        <v>97.046120788888032</v>
      </c>
      <c r="G4" s="174">
        <f>SUM('KM-Servicio'!B18:C18)</f>
        <v>184</v>
      </c>
      <c r="H4" s="174">
        <f>SUM('KM-Servicio'!D18:E18)</f>
        <v>184</v>
      </c>
      <c r="I4" s="151"/>
      <c r="J4" s="151"/>
      <c r="K4" s="12">
        <f>'Oferta Diaria'!D41</f>
        <v>1002834.1440000001</v>
      </c>
      <c r="L4" s="168" t="s">
        <v>140</v>
      </c>
      <c r="M4" s="171"/>
      <c r="N4" s="169"/>
    </row>
    <row r="5" spans="1:14" x14ac:dyDescent="0.25">
      <c r="A5" s="167">
        <v>45385</v>
      </c>
      <c r="B5" s="12">
        <f>'KM-Servicio'!M25</f>
        <v>12936</v>
      </c>
      <c r="C5" s="12">
        <f t="shared" ref="C5:C30" si="0">B5+C4</f>
        <v>39121</v>
      </c>
      <c r="D5" s="12">
        <f>'KM-Servicio'!V25</f>
        <v>12240.18</v>
      </c>
      <c r="E5" s="12">
        <f t="shared" ref="E5:E30" si="1">D5+E4</f>
        <v>37433.130000000005</v>
      </c>
      <c r="F5" s="173">
        <f>'KM-Servicio'!N25</f>
        <v>94.621057513914664</v>
      </c>
      <c r="G5" s="174">
        <f>SUM('KM-Servicio'!B25:C25)</f>
        <v>184</v>
      </c>
      <c r="H5" s="174">
        <f>SUM('KM-Servicio'!D25:E25)</f>
        <v>183</v>
      </c>
      <c r="I5" s="151"/>
      <c r="J5" s="151"/>
      <c r="K5" s="12">
        <f>'Oferta Diaria'!E41</f>
        <v>970646.27399999998</v>
      </c>
      <c r="L5" s="168" t="s">
        <v>140</v>
      </c>
      <c r="M5" s="171"/>
      <c r="N5" s="169"/>
    </row>
    <row r="6" spans="1:14" x14ac:dyDescent="0.25">
      <c r="A6" s="167">
        <v>45386</v>
      </c>
      <c r="B6" s="12">
        <f>'KM-Servicio'!M32</f>
        <v>12983</v>
      </c>
      <c r="C6" s="12">
        <f t="shared" si="0"/>
        <v>52104</v>
      </c>
      <c r="D6" s="12">
        <f>'KM-Servicio'!V32</f>
        <v>12516.69</v>
      </c>
      <c r="E6" s="12">
        <f t="shared" si="1"/>
        <v>49949.820000000007</v>
      </c>
      <c r="F6" s="173">
        <f>'KM-Servicio'!N32</f>
        <v>96.408303165678205</v>
      </c>
      <c r="G6" s="174">
        <f>SUM('KM-Servicio'!B32:C32)</f>
        <v>184</v>
      </c>
      <c r="H6" s="174">
        <f>SUM('KM-Servicio'!D32:E32)</f>
        <v>184</v>
      </c>
      <c r="I6" s="151"/>
      <c r="J6" s="151"/>
      <c r="K6" s="12">
        <f>'Oferta Diaria'!F41</f>
        <v>992573.51700000011</v>
      </c>
      <c r="L6" s="168" t="s">
        <v>140</v>
      </c>
      <c r="M6" s="171"/>
      <c r="N6" s="169"/>
    </row>
    <row r="7" spans="1:14" ht="16.5" customHeight="1" x14ac:dyDescent="0.25">
      <c r="A7" s="167">
        <v>45387</v>
      </c>
      <c r="B7" s="12">
        <f>'KM-Servicio'!M39</f>
        <v>12895</v>
      </c>
      <c r="C7" s="12">
        <f t="shared" si="0"/>
        <v>64999</v>
      </c>
      <c r="D7" s="12">
        <f>'KM-Servicio'!V39</f>
        <v>12430.430000000002</v>
      </c>
      <c r="E7" s="12">
        <f t="shared" si="1"/>
        <v>62380.250000000007</v>
      </c>
      <c r="F7" s="173">
        <f>'KM-Servicio'!N39</f>
        <v>96.397285769678192</v>
      </c>
      <c r="G7" s="174">
        <f>SUM('KM-Servicio'!B39:C39)</f>
        <v>184</v>
      </c>
      <c r="H7" s="174">
        <f>SUM('KM-Servicio'!D39:E39)</f>
        <v>183</v>
      </c>
      <c r="I7" s="151"/>
      <c r="J7" s="151"/>
      <c r="K7" s="12">
        <f>'Oferta Diaria'!G41</f>
        <v>985733.09900000005</v>
      </c>
      <c r="L7" s="168" t="s">
        <v>140</v>
      </c>
      <c r="M7" s="184"/>
      <c r="N7" s="169"/>
    </row>
    <row r="8" spans="1:14" x14ac:dyDescent="0.25">
      <c r="A8" s="167">
        <v>45388</v>
      </c>
      <c r="B8" s="12">
        <f>'KM-Servicio'!M46</f>
        <v>6334</v>
      </c>
      <c r="C8" s="12">
        <f t="shared" si="0"/>
        <v>71333</v>
      </c>
      <c r="D8" s="12">
        <f>'KM-Servicio'!V46</f>
        <v>6296.9800000000005</v>
      </c>
      <c r="E8" s="12">
        <f t="shared" si="1"/>
        <v>68677.23000000001</v>
      </c>
      <c r="F8" s="173">
        <f>'KM-Servicio'!N46</f>
        <v>99.415535206820337</v>
      </c>
      <c r="G8" s="174">
        <f>SUM('KM-Servicio'!B46:C46)</f>
        <v>143</v>
      </c>
      <c r="H8" s="174">
        <f>SUM('KM-Servicio'!D46:E46)</f>
        <v>143</v>
      </c>
      <c r="I8" s="151"/>
      <c r="J8" s="151"/>
      <c r="K8" s="12">
        <f>'Oferta Diaria'!H41</f>
        <v>499350.51400000002</v>
      </c>
      <c r="L8" s="182" t="s">
        <v>141</v>
      </c>
      <c r="M8" s="171"/>
      <c r="N8" s="169"/>
    </row>
    <row r="9" spans="1:14" x14ac:dyDescent="0.25">
      <c r="A9" s="167">
        <v>45389</v>
      </c>
      <c r="B9" s="12">
        <f>'KM-Servicio'!M53</f>
        <v>4964</v>
      </c>
      <c r="C9" s="12">
        <f t="shared" si="0"/>
        <v>76297</v>
      </c>
      <c r="D9" s="12">
        <f>'KM-Servicio'!V53</f>
        <v>4916.8200000000006</v>
      </c>
      <c r="E9" s="12">
        <f t="shared" si="1"/>
        <v>73594.050000000017</v>
      </c>
      <c r="F9" s="173">
        <f>'KM-Servicio'!N53</f>
        <v>99.049556809024992</v>
      </c>
      <c r="G9" s="174">
        <f>SUM('KM-Servicio'!B53:C53)</f>
        <v>111</v>
      </c>
      <c r="H9" s="174">
        <f>SUM('KM-Servicio'!D53:E53)</f>
        <v>111</v>
      </c>
      <c r="I9" s="151"/>
      <c r="J9" s="151"/>
      <c r="K9" s="12">
        <f>'Oferta Diaria'!I41</f>
        <v>389903.82600000006</v>
      </c>
      <c r="L9" s="182" t="s">
        <v>139</v>
      </c>
      <c r="M9" s="183"/>
      <c r="N9" s="169"/>
    </row>
    <row r="10" spans="1:14" x14ac:dyDescent="0.25">
      <c r="A10" s="167">
        <v>45390</v>
      </c>
      <c r="B10" s="12">
        <f>'KM-Servicio'!M60</f>
        <v>13108</v>
      </c>
      <c r="C10" s="12">
        <f t="shared" si="0"/>
        <v>89405</v>
      </c>
      <c r="D10" s="12">
        <f>'KM-Servicio'!V60</f>
        <v>12107.900000000001</v>
      </c>
      <c r="E10" s="12">
        <f t="shared" si="1"/>
        <v>85701.950000000012</v>
      </c>
      <c r="F10" s="173">
        <f>'KM-Servicio'!N60</f>
        <v>92.370308208727508</v>
      </c>
      <c r="G10" s="174">
        <f>SUM('KM-Servicio'!B60:C60)</f>
        <v>184</v>
      </c>
      <c r="H10" s="174">
        <f>SUM('KM-Servicio'!D60:E60)</f>
        <v>184</v>
      </c>
      <c r="I10" s="151"/>
      <c r="J10" s="151"/>
      <c r="K10" s="12">
        <f>'Oferta Diaria'!J41</f>
        <v>960156.47000000009</v>
      </c>
      <c r="L10" s="168" t="s">
        <v>140</v>
      </c>
      <c r="M10" s="171"/>
      <c r="N10" s="169"/>
    </row>
    <row r="11" spans="1:14" x14ac:dyDescent="0.25">
      <c r="A11" s="167">
        <v>45391</v>
      </c>
      <c r="B11" s="12">
        <f>'KM-Servicio'!M67</f>
        <v>12903</v>
      </c>
      <c r="C11" s="12">
        <f t="shared" si="0"/>
        <v>102308</v>
      </c>
      <c r="D11" s="12">
        <f>'KM-Servicio'!V67</f>
        <v>12087.78</v>
      </c>
      <c r="E11" s="12">
        <f t="shared" si="1"/>
        <v>97789.73000000001</v>
      </c>
      <c r="F11" s="173">
        <f>'KM-Servicio'!N67</f>
        <v>93.681934433852604</v>
      </c>
      <c r="G11" s="174">
        <f>SUM('KM-Servicio'!B67:C67)</f>
        <v>184</v>
      </c>
      <c r="H11" s="174">
        <f>SUM('KM-Servicio'!D67:E67)</f>
        <v>184</v>
      </c>
      <c r="I11" s="151"/>
      <c r="J11" s="151"/>
      <c r="K11" s="12">
        <f>'Oferta Diaria'!K41</f>
        <v>958560.95399999991</v>
      </c>
      <c r="L11" s="168" t="s">
        <v>140</v>
      </c>
      <c r="M11" s="171"/>
      <c r="N11" s="169"/>
    </row>
    <row r="12" spans="1:14" x14ac:dyDescent="0.25">
      <c r="A12" s="167">
        <v>45392</v>
      </c>
      <c r="B12" s="12">
        <f>'KM-Servicio'!M74</f>
        <v>12650</v>
      </c>
      <c r="C12" s="12">
        <f t="shared" si="0"/>
        <v>114958</v>
      </c>
      <c r="D12" s="12">
        <f>'KM-Servicio'!V74</f>
        <v>11856.790000000003</v>
      </c>
      <c r="E12" s="12">
        <f t="shared" si="1"/>
        <v>109646.52000000002</v>
      </c>
      <c r="F12" s="173">
        <f>'KM-Servicio'!N74</f>
        <v>93.729565217391325</v>
      </c>
      <c r="G12" s="174">
        <f>SUM('KM-Servicio'!B74:C74)</f>
        <v>184</v>
      </c>
      <c r="H12" s="174">
        <f>SUM('KM-Servicio'!D74:E74)</f>
        <v>184</v>
      </c>
      <c r="I12" s="151"/>
      <c r="J12" s="151"/>
      <c r="K12" s="12">
        <f>'Oferta Diaria'!L41</f>
        <v>940243.44700000016</v>
      </c>
      <c r="L12" s="168" t="s">
        <v>140</v>
      </c>
      <c r="M12" s="171"/>
      <c r="N12" s="169"/>
    </row>
    <row r="13" spans="1:14" x14ac:dyDescent="0.25">
      <c r="A13" s="167">
        <v>45393</v>
      </c>
      <c r="B13" s="12">
        <f>'KM-Servicio'!M81</f>
        <v>12796</v>
      </c>
      <c r="C13" s="12">
        <f t="shared" si="0"/>
        <v>127754</v>
      </c>
      <c r="D13" s="12">
        <f>'KM-Servicio'!V81</f>
        <v>12125.63</v>
      </c>
      <c r="E13" s="12">
        <f t="shared" si="1"/>
        <v>121772.15000000002</v>
      </c>
      <c r="F13" s="173">
        <f>'KM-Servicio'!N81</f>
        <v>94.761097217880589</v>
      </c>
      <c r="G13" s="174">
        <f>SUM('KM-Servicio'!B81:C81)</f>
        <v>184</v>
      </c>
      <c r="H13" s="174">
        <f>SUM('KM-Servicio'!D81:E81)</f>
        <v>184</v>
      </c>
      <c r="I13" s="151"/>
      <c r="J13" s="151"/>
      <c r="K13" s="12">
        <f>'Oferta Diaria'!M41</f>
        <v>961562.45900000003</v>
      </c>
      <c r="L13" s="168" t="s">
        <v>140</v>
      </c>
      <c r="M13" s="171"/>
      <c r="N13" s="169"/>
    </row>
    <row r="14" spans="1:14" x14ac:dyDescent="0.25">
      <c r="A14" s="167">
        <v>45394</v>
      </c>
      <c r="B14" s="12">
        <f>'KM-Servicio'!M88</f>
        <v>12769</v>
      </c>
      <c r="C14" s="12">
        <f t="shared" si="0"/>
        <v>140523</v>
      </c>
      <c r="D14" s="12">
        <f>'KM-Servicio'!V88</f>
        <v>12001.520000000002</v>
      </c>
      <c r="E14" s="12">
        <f t="shared" si="1"/>
        <v>133773.67000000001</v>
      </c>
      <c r="F14" s="173">
        <f>'KM-Servicio'!N88</f>
        <v>93.989505834442809</v>
      </c>
      <c r="G14" s="174">
        <f>SUM('KM-Servicio'!B88:C88)</f>
        <v>184</v>
      </c>
      <c r="H14" s="174">
        <f>SUM('KM-Servicio'!D88:E88)</f>
        <v>183</v>
      </c>
      <c r="I14" s="151"/>
      <c r="J14" s="151"/>
      <c r="K14" s="12">
        <f>'Oferta Diaria'!N41</f>
        <v>951720.53599999996</v>
      </c>
      <c r="L14" s="168" t="s">
        <v>140</v>
      </c>
      <c r="M14" s="171"/>
      <c r="N14" s="169"/>
    </row>
    <row r="15" spans="1:14" ht="16.5" customHeight="1" x14ac:dyDescent="0.25">
      <c r="A15" s="167">
        <v>45395</v>
      </c>
      <c r="B15" s="12">
        <f>'KM-Servicio'!M95</f>
        <v>6388</v>
      </c>
      <c r="C15" s="12">
        <f t="shared" si="0"/>
        <v>146911</v>
      </c>
      <c r="D15" s="12">
        <f>'KM-Servicio'!V95</f>
        <v>6296.9800000000005</v>
      </c>
      <c r="E15" s="12">
        <f t="shared" si="1"/>
        <v>140070.65000000002</v>
      </c>
      <c r="F15" s="173">
        <f>'KM-Servicio'!N95</f>
        <v>98.575140889167201</v>
      </c>
      <c r="G15" s="174">
        <f>SUM('KM-Servicio'!B95:C95)</f>
        <v>143</v>
      </c>
      <c r="H15" s="174">
        <f>SUM('KM-Servicio'!D95:E95)</f>
        <v>143</v>
      </c>
      <c r="I15" s="151"/>
      <c r="J15" s="151"/>
      <c r="K15" s="12">
        <f>'Oferta Diaria'!O41</f>
        <v>499350.51400000002</v>
      </c>
      <c r="L15" s="182" t="s">
        <v>141</v>
      </c>
      <c r="M15" s="171"/>
      <c r="N15" s="169"/>
    </row>
    <row r="16" spans="1:14" x14ac:dyDescent="0.25">
      <c r="A16" s="167">
        <v>45396</v>
      </c>
      <c r="B16" s="12">
        <f>'KM-Servicio'!M102</f>
        <v>4951</v>
      </c>
      <c r="C16" s="12">
        <f t="shared" si="0"/>
        <v>151862</v>
      </c>
      <c r="D16" s="12">
        <f>'KM-Servicio'!V102</f>
        <v>4916.8200000000006</v>
      </c>
      <c r="E16" s="12">
        <f t="shared" si="1"/>
        <v>144987.47000000003</v>
      </c>
      <c r="F16" s="173">
        <f>'KM-Servicio'!N102</f>
        <v>99.309634417289445</v>
      </c>
      <c r="G16" s="174">
        <f>SUM('KM-Servicio'!B102:C102)</f>
        <v>111</v>
      </c>
      <c r="H16" s="174">
        <f>SUM('KM-Servicio'!D102:E102)</f>
        <v>111</v>
      </c>
      <c r="I16" s="151"/>
      <c r="J16" s="151"/>
      <c r="K16" s="12">
        <f>'Oferta Diaria'!P41</f>
        <v>389903.82600000006</v>
      </c>
      <c r="L16" s="182" t="s">
        <v>139</v>
      </c>
      <c r="M16" s="171"/>
      <c r="N16" s="169"/>
    </row>
    <row r="17" spans="1:16" x14ac:dyDescent="0.25">
      <c r="A17" s="167">
        <v>45397</v>
      </c>
      <c r="B17" s="12">
        <f>'KM-Servicio'!M109</f>
        <v>12997</v>
      </c>
      <c r="C17" s="12">
        <f t="shared" si="0"/>
        <v>164859</v>
      </c>
      <c r="D17" s="12">
        <f>'KM-Servicio'!V109</f>
        <v>12217.17</v>
      </c>
      <c r="E17" s="12">
        <f t="shared" si="1"/>
        <v>157204.64000000004</v>
      </c>
      <c r="F17" s="173">
        <f>'KM-Servicio'!N109</f>
        <v>93.9999230591675</v>
      </c>
      <c r="G17" s="174">
        <f>SUM('KM-Servicio'!B109:C109)</f>
        <v>184</v>
      </c>
      <c r="H17" s="174">
        <f>SUM('KM-Servicio'!D109:E109)</f>
        <v>184</v>
      </c>
      <c r="I17" s="151"/>
      <c r="J17" s="151"/>
      <c r="K17" s="12">
        <f>'Oferta Diaria'!Q41</f>
        <v>968821.58100000001</v>
      </c>
      <c r="L17" s="168" t="s">
        <v>140</v>
      </c>
      <c r="M17" s="171"/>
      <c r="N17" s="169"/>
    </row>
    <row r="18" spans="1:16" ht="14.25" customHeight="1" x14ac:dyDescent="0.25">
      <c r="A18" s="167">
        <v>45398</v>
      </c>
      <c r="B18" s="12">
        <f>'KM-Servicio'!$M$116</f>
        <v>12952</v>
      </c>
      <c r="C18" s="12">
        <f t="shared" si="0"/>
        <v>177811</v>
      </c>
      <c r="D18" s="12">
        <f>'KM-Servicio'!$V$116</f>
        <v>12364.29</v>
      </c>
      <c r="E18" s="12">
        <f t="shared" si="1"/>
        <v>169568.93000000005</v>
      </c>
      <c r="F18" s="173">
        <f>'KM-Servicio'!N116</f>
        <v>95.462399629400878</v>
      </c>
      <c r="G18" s="174">
        <f>SUM('KM-Servicio'!B116:C116)</f>
        <v>184</v>
      </c>
      <c r="H18" s="174">
        <f>SUM('KM-Servicio'!D116:E116)</f>
        <v>184</v>
      </c>
      <c r="I18" s="151"/>
      <c r="J18" s="151"/>
      <c r="K18" s="12">
        <f>'Oferta Diaria'!R41</f>
        <v>980488.19700000004</v>
      </c>
      <c r="L18" s="182" t="s">
        <v>140</v>
      </c>
      <c r="M18" s="151"/>
    </row>
    <row r="19" spans="1:16" x14ac:dyDescent="0.25">
      <c r="A19" s="167">
        <v>45399</v>
      </c>
      <c r="B19" s="12">
        <f>'KM-Servicio'!$M$123</f>
        <v>13046</v>
      </c>
      <c r="C19" s="12">
        <f t="shared" si="0"/>
        <v>190857</v>
      </c>
      <c r="D19" s="12">
        <f>'KM-Servicio'!$V$123</f>
        <v>12475.95</v>
      </c>
      <c r="E19" s="12">
        <f t="shared" si="1"/>
        <v>182044.88000000006</v>
      </c>
      <c r="F19" s="173">
        <f>'KM-Servicio'!N123</f>
        <v>95.630461444120812</v>
      </c>
      <c r="G19" s="174">
        <f>SUM('KM-Servicio'!B123:C123)</f>
        <v>184</v>
      </c>
      <c r="H19" s="174">
        <f>SUM('KM-Servicio'!D123:E123)</f>
        <v>184</v>
      </c>
      <c r="I19" s="151"/>
      <c r="J19" s="151"/>
      <c r="K19" s="12">
        <f>'Oferta Diaria'!S41</f>
        <v>989342.83500000008</v>
      </c>
      <c r="L19" s="182" t="s">
        <v>140</v>
      </c>
      <c r="M19" s="171"/>
      <c r="N19" s="169"/>
    </row>
    <row r="20" spans="1:16" x14ac:dyDescent="0.25">
      <c r="A20" s="167">
        <v>45400</v>
      </c>
      <c r="B20" s="12">
        <f>'KM-Servicio'!M130</f>
        <v>13144</v>
      </c>
      <c r="C20" s="12">
        <f t="shared" si="0"/>
        <v>204001</v>
      </c>
      <c r="D20" s="12">
        <f>'KM-Servicio'!$V$130</f>
        <v>12597.67</v>
      </c>
      <c r="E20" s="12">
        <f t="shared" si="1"/>
        <v>194642.55000000008</v>
      </c>
      <c r="F20" s="173">
        <f>'KM-Servicio'!N130</f>
        <v>95.843502738892269</v>
      </c>
      <c r="G20" s="174">
        <f>SUM('KM-Servicio'!B130:C130)</f>
        <v>184</v>
      </c>
      <c r="H20" s="174">
        <f>SUM('KM-Servicio'!D130:E130)</f>
        <v>184</v>
      </c>
      <c r="I20" s="151"/>
      <c r="J20" s="151"/>
      <c r="K20" s="12">
        <f>'Oferta Diaria'!T41</f>
        <v>998995.23100000015</v>
      </c>
      <c r="L20" s="182" t="s">
        <v>140</v>
      </c>
      <c r="M20" s="171"/>
      <c r="N20" s="169"/>
    </row>
    <row r="21" spans="1:16" x14ac:dyDescent="0.25">
      <c r="A21" s="167">
        <v>45401</v>
      </c>
      <c r="B21" s="12">
        <f>'KM-Servicio'!M137</f>
        <v>12877</v>
      </c>
      <c r="C21" s="12">
        <f t="shared" si="0"/>
        <v>216878</v>
      </c>
      <c r="D21" s="12">
        <f>'KM-Servicio'!$V$137</f>
        <v>12130.91</v>
      </c>
      <c r="E21" s="12">
        <f t="shared" si="1"/>
        <v>206773.46000000008</v>
      </c>
      <c r="F21" s="178">
        <f>'KM-Servicio'!N137</f>
        <v>94.206026248349772</v>
      </c>
      <c r="G21" s="174">
        <f>SUM('KM-Servicio'!B137:C137)</f>
        <v>184</v>
      </c>
      <c r="H21" s="174">
        <f>SUM('KM-Servicio'!D137:E137)</f>
        <v>184</v>
      </c>
      <c r="I21" s="151"/>
      <c r="J21" s="151"/>
      <c r="K21" s="12">
        <f>'Oferta Diaria'!U41</f>
        <v>961981.16299999994</v>
      </c>
      <c r="L21" s="168" t="s">
        <v>140</v>
      </c>
      <c r="M21" s="171"/>
      <c r="N21" s="169"/>
    </row>
    <row r="22" spans="1:16" x14ac:dyDescent="0.25">
      <c r="A22" s="167">
        <v>45402</v>
      </c>
      <c r="B22" s="12">
        <f>'KM-Servicio'!M144</f>
        <v>6330</v>
      </c>
      <c r="C22" s="12">
        <f t="shared" si="0"/>
        <v>223208</v>
      </c>
      <c r="D22" s="12">
        <f>'KM-Servicio'!$V$144</f>
        <v>6296.9800000000005</v>
      </c>
      <c r="E22" s="12">
        <f t="shared" si="1"/>
        <v>213070.44000000009</v>
      </c>
      <c r="F22" s="178">
        <f>'KM-Servicio'!N144</f>
        <v>99.4783570300158</v>
      </c>
      <c r="G22" s="174">
        <f>SUM('KM-Servicio'!B144:C144)</f>
        <v>143</v>
      </c>
      <c r="H22" s="174">
        <f>SUM('KM-Servicio'!D144:E144)</f>
        <v>143</v>
      </c>
      <c r="I22" s="151"/>
      <c r="J22" s="151"/>
      <c r="K22" s="12">
        <f>'Oferta Diaria'!V41</f>
        <v>499350.51400000002</v>
      </c>
      <c r="L22" s="182" t="s">
        <v>141</v>
      </c>
      <c r="M22" s="171"/>
      <c r="N22" s="169"/>
    </row>
    <row r="23" spans="1:16" x14ac:dyDescent="0.25">
      <c r="A23" s="167">
        <v>45403</v>
      </c>
      <c r="B23" s="12">
        <f>'KM-Servicio'!M151</f>
        <v>4951</v>
      </c>
      <c r="C23" s="12">
        <f t="shared" si="0"/>
        <v>228159</v>
      </c>
      <c r="D23" s="12">
        <f>'KM-Servicio'!$V$151</f>
        <v>4916.8200000000006</v>
      </c>
      <c r="E23" s="12">
        <f t="shared" si="1"/>
        <v>217987.2600000001</v>
      </c>
      <c r="F23" s="173">
        <f>'KM-Servicio'!N151</f>
        <v>99.309634417289445</v>
      </c>
      <c r="G23" s="174">
        <f>SUM('KM-Servicio'!B151:C151)</f>
        <v>111</v>
      </c>
      <c r="H23" s="174">
        <f>SUM('KM-Servicio'!D151:E151)</f>
        <v>111</v>
      </c>
      <c r="I23" s="151"/>
      <c r="J23" s="151"/>
      <c r="K23" s="12">
        <f>'Oferta Diaria'!W41</f>
        <v>389903.82600000006</v>
      </c>
      <c r="L23" s="182" t="s">
        <v>139</v>
      </c>
      <c r="M23" s="171"/>
      <c r="N23" s="169"/>
    </row>
    <row r="24" spans="1:16" x14ac:dyDescent="0.25">
      <c r="A24" s="167">
        <v>45404</v>
      </c>
      <c r="B24" s="12">
        <f>'KM-Servicio'!M158</f>
        <v>13017</v>
      </c>
      <c r="C24" s="12">
        <f t="shared" si="0"/>
        <v>241176</v>
      </c>
      <c r="D24" s="12">
        <f>'KM-Servicio'!$V$158</f>
        <v>12285.7</v>
      </c>
      <c r="E24" s="12">
        <f t="shared" si="1"/>
        <v>230272.96000000011</v>
      </c>
      <c r="F24" s="173">
        <f>'KM-Servicio'!N158</f>
        <v>94.381962049627418</v>
      </c>
      <c r="G24" s="174">
        <f>SUM('KM-Servicio'!B158:C158)</f>
        <v>184</v>
      </c>
      <c r="H24" s="174">
        <f>SUM('KM-Servicio'!D158:E158)</f>
        <v>184</v>
      </c>
      <c r="I24" s="151"/>
      <c r="J24" s="151"/>
      <c r="K24" s="12">
        <f>'Oferta Diaria'!X41</f>
        <v>974256.01</v>
      </c>
      <c r="L24" s="168" t="s">
        <v>140</v>
      </c>
      <c r="M24" s="171"/>
      <c r="N24" s="169"/>
    </row>
    <row r="25" spans="1:16" x14ac:dyDescent="0.25">
      <c r="A25" s="167">
        <v>45405</v>
      </c>
      <c r="B25" s="12">
        <f>'KM-Servicio'!M165</f>
        <v>12981</v>
      </c>
      <c r="C25" s="12">
        <f t="shared" si="0"/>
        <v>254157</v>
      </c>
      <c r="D25" s="12">
        <f>'KM-Servicio'!$V$165</f>
        <v>12217.17</v>
      </c>
      <c r="E25" s="12">
        <f t="shared" si="1"/>
        <v>242490.13000000012</v>
      </c>
      <c r="F25" s="173">
        <f>'KM-Servicio'!N165</f>
        <v>94.115784608273628</v>
      </c>
      <c r="G25" s="174">
        <f>SUM('KM-Servicio'!B165:C165)</f>
        <v>184</v>
      </c>
      <c r="H25" s="174">
        <f>SUM('KM-Servicio'!D165:E165)</f>
        <v>184</v>
      </c>
      <c r="I25" s="151"/>
      <c r="J25" s="151"/>
      <c r="K25" s="12">
        <f>'Oferta Diaria'!Y41</f>
        <v>968821.58100000012</v>
      </c>
      <c r="L25" s="182" t="s">
        <v>140</v>
      </c>
      <c r="M25" s="171"/>
      <c r="N25" s="169"/>
    </row>
    <row r="26" spans="1:16" x14ac:dyDescent="0.25">
      <c r="A26" s="167">
        <v>45406</v>
      </c>
      <c r="B26" s="12">
        <f>'KM-Servicio'!M172</f>
        <v>13074</v>
      </c>
      <c r="C26" s="12">
        <f t="shared" si="0"/>
        <v>267231</v>
      </c>
      <c r="D26" s="12">
        <f>'KM-Servicio'!$V$172</f>
        <v>12278.03</v>
      </c>
      <c r="E26" s="12">
        <f t="shared" si="1"/>
        <v>254768.16000000012</v>
      </c>
      <c r="F26" s="173">
        <f>'KM-Servicio'!N172</f>
        <v>93.911809698638521</v>
      </c>
      <c r="G26" s="174">
        <f>SUM('KM-Servicio'!B172:C172)</f>
        <v>184</v>
      </c>
      <c r="H26" s="174">
        <f>SUM('KM-Servicio'!D172:E172)</f>
        <v>184</v>
      </c>
      <c r="I26" s="151"/>
      <c r="J26" s="151"/>
      <c r="K26" s="12">
        <f>'Oferta Diaria'!Z41</f>
        <v>973647.77899999998</v>
      </c>
      <c r="L26" s="182" t="s">
        <v>140</v>
      </c>
      <c r="M26" s="171"/>
      <c r="N26" s="169"/>
    </row>
    <row r="27" spans="1:16" x14ac:dyDescent="0.25">
      <c r="A27" s="167">
        <v>45407</v>
      </c>
      <c r="B27" s="12">
        <f>'KM-Servicio'!M179</f>
        <v>12280</v>
      </c>
      <c r="C27" s="12">
        <f t="shared" si="0"/>
        <v>279511</v>
      </c>
      <c r="D27" s="12">
        <f>'KM-Servicio'!$V$179</f>
        <v>11803.6</v>
      </c>
      <c r="E27" s="12">
        <f t="shared" si="1"/>
        <v>266571.76000000013</v>
      </c>
      <c r="F27" s="173">
        <f>'KM-Servicio'!N179</f>
        <v>96.120521172638433</v>
      </c>
      <c r="G27" s="174">
        <f>SUM('KM-Servicio'!B179:C179)</f>
        <v>184</v>
      </c>
      <c r="H27" s="174">
        <f>SUM('KM-Servicio'!D179:E179)</f>
        <v>172</v>
      </c>
      <c r="I27" s="151"/>
      <c r="J27" s="151"/>
      <c r="K27" s="12">
        <f>'Oferta Diaria'!AA41</f>
        <v>936025.48</v>
      </c>
      <c r="L27" s="182" t="s">
        <v>140</v>
      </c>
      <c r="M27" s="171"/>
      <c r="N27" s="169"/>
    </row>
    <row r="28" spans="1:16" x14ac:dyDescent="0.25">
      <c r="A28" s="167">
        <v>45408</v>
      </c>
      <c r="B28" s="12">
        <f>'KM-Servicio'!M186</f>
        <v>12261</v>
      </c>
      <c r="C28" s="12">
        <f t="shared" si="0"/>
        <v>291772</v>
      </c>
      <c r="D28" s="12">
        <f>'KM-Servicio'!$V$186</f>
        <v>11519.42</v>
      </c>
      <c r="E28" s="12">
        <f t="shared" si="1"/>
        <v>278091.18000000011</v>
      </c>
      <c r="F28" s="173">
        <f>'KM-Servicio'!N186</f>
        <v>93.951716825707535</v>
      </c>
      <c r="G28" s="174">
        <f>SUM('KM-Servicio'!B186:C186)</f>
        <v>172</v>
      </c>
      <c r="H28" s="174">
        <f>SUM('KM-Servicio'!D186:E186)</f>
        <v>172</v>
      </c>
      <c r="I28" s="151"/>
      <c r="J28" s="151"/>
      <c r="K28" s="12">
        <f>'Oferta Diaria'!AB41</f>
        <v>913490.00599999994</v>
      </c>
      <c r="L28" s="182" t="s">
        <v>140</v>
      </c>
      <c r="M28" s="171"/>
      <c r="N28" s="169"/>
    </row>
    <row r="29" spans="1:16" x14ac:dyDescent="0.25">
      <c r="A29" s="167">
        <v>45409</v>
      </c>
      <c r="B29" s="12">
        <f>'KM-Servicio'!M193</f>
        <v>6333</v>
      </c>
      <c r="C29" s="12">
        <f t="shared" si="0"/>
        <v>298105</v>
      </c>
      <c r="D29" s="12">
        <f>'KM-Servicio'!$V$193</f>
        <v>6296.9800000000005</v>
      </c>
      <c r="E29" s="12">
        <f t="shared" si="1"/>
        <v>284388.16000000009</v>
      </c>
      <c r="F29" s="173">
        <f>'KM-Servicio'!N193</f>
        <v>99.431233222801211</v>
      </c>
      <c r="G29" s="174">
        <f>SUM('KM-Servicio'!B193:C193)</f>
        <v>143</v>
      </c>
      <c r="H29" s="174">
        <f>SUM('KM-Servicio'!D193:E193)</f>
        <v>143</v>
      </c>
      <c r="I29" s="151"/>
      <c r="J29" s="151"/>
      <c r="K29" s="12">
        <f>'Oferta Diaria'!AC41</f>
        <v>499350.51400000002</v>
      </c>
      <c r="L29" s="182" t="s">
        <v>141</v>
      </c>
      <c r="M29" s="171"/>
      <c r="N29" s="169"/>
    </row>
    <row r="30" spans="1:16" x14ac:dyDescent="0.25">
      <c r="A30" s="167">
        <v>45410</v>
      </c>
      <c r="B30" s="12">
        <f>'KM-Servicio'!M200</f>
        <v>5090</v>
      </c>
      <c r="C30" s="12">
        <f t="shared" si="0"/>
        <v>303195</v>
      </c>
      <c r="D30" s="12">
        <f>'KM-Servicio'!$V$200</f>
        <v>4916.8200000000006</v>
      </c>
      <c r="E30" s="12">
        <f t="shared" si="1"/>
        <v>289304.9800000001</v>
      </c>
      <c r="F30" s="173">
        <f>'KM-Servicio'!N200</f>
        <v>96.597642436149329</v>
      </c>
      <c r="G30" s="174">
        <f>SUM('KM-Servicio'!B200:C200)</f>
        <v>111</v>
      </c>
      <c r="H30" s="174">
        <f>SUM('KM-Servicio'!D200:E200)</f>
        <v>111</v>
      </c>
      <c r="I30" s="151"/>
      <c r="J30" s="151"/>
      <c r="K30" s="12">
        <f>'Oferta Diaria'!AD41</f>
        <v>389903.82600000006</v>
      </c>
      <c r="L30" s="182" t="s">
        <v>139</v>
      </c>
      <c r="M30" s="171"/>
      <c r="N30" s="170"/>
    </row>
    <row r="31" spans="1:16" x14ac:dyDescent="0.25">
      <c r="A31" s="167">
        <v>45411</v>
      </c>
      <c r="B31" s="12">
        <f>'KM-Servicio'!M207</f>
        <v>13076</v>
      </c>
      <c r="C31" s="12">
        <f t="shared" ref="C31" si="2">B31+C30</f>
        <v>316271</v>
      </c>
      <c r="D31" s="12">
        <f>'KM-Servicio'!$V$207</f>
        <v>12493.68</v>
      </c>
      <c r="E31" s="12">
        <f t="shared" ref="E31" si="3">D31+E30</f>
        <v>301798.66000000009</v>
      </c>
      <c r="F31" s="173">
        <f>'KM-Servicio'!N207</f>
        <v>95.546650351789538</v>
      </c>
      <c r="G31" s="174">
        <f>SUM('KM-Servicio'!B207:C207)</f>
        <v>184</v>
      </c>
      <c r="H31" s="174">
        <f>SUM('KM-Servicio'!D207:E207)</f>
        <v>184</v>
      </c>
      <c r="I31" s="151"/>
      <c r="J31" s="151"/>
      <c r="K31" s="12">
        <f>'Oferta Diaria'!AE41</f>
        <v>990748.82400000002</v>
      </c>
      <c r="L31" s="168" t="s">
        <v>140</v>
      </c>
      <c r="M31" s="171"/>
      <c r="N31" s="170"/>
    </row>
    <row r="32" spans="1:16" x14ac:dyDescent="0.25">
      <c r="A32" s="167">
        <v>45412</v>
      </c>
      <c r="B32" s="12">
        <f>'KM-Servicio'!M214</f>
        <v>12374</v>
      </c>
      <c r="C32" s="12">
        <f t="shared" ref="C32" si="4">B32+C31</f>
        <v>328645</v>
      </c>
      <c r="D32" s="12">
        <f>'KM-Servicio'!$V$214</f>
        <v>11893.57</v>
      </c>
      <c r="E32" s="12">
        <f t="shared" ref="E32" si="5">D32+E31</f>
        <v>313692.2300000001</v>
      </c>
      <c r="F32" s="173">
        <f>'KM-Servicio'!N214</f>
        <v>96.117423630192334</v>
      </c>
      <c r="G32" s="174">
        <f>SUM('KM-Servicio'!B214:C214)</f>
        <v>172</v>
      </c>
      <c r="H32" s="174">
        <f>SUM('KM-Servicio'!D214:E214)</f>
        <v>172</v>
      </c>
      <c r="I32" s="151"/>
      <c r="J32" s="151"/>
      <c r="K32" s="12">
        <f>'Oferta Diaria'!AF41</f>
        <v>943160.10100000014</v>
      </c>
      <c r="L32" s="182" t="s">
        <v>140</v>
      </c>
      <c r="M32" s="171"/>
      <c r="N32" s="170"/>
      <c r="O32" s="274"/>
      <c r="P32" s="274"/>
    </row>
    <row r="33" spans="1:16" x14ac:dyDescent="0.25">
      <c r="A33" s="167"/>
      <c r="B33" s="12"/>
      <c r="C33" s="12"/>
      <c r="D33" s="12"/>
      <c r="E33" s="12"/>
      <c r="F33" s="173"/>
      <c r="G33" s="174"/>
      <c r="H33" s="174"/>
      <c r="I33" s="151"/>
      <c r="J33" s="151"/>
      <c r="K33" s="12"/>
      <c r="L33" s="182"/>
      <c r="M33" s="171"/>
      <c r="N33" s="275"/>
      <c r="O33" s="276"/>
      <c r="P33" s="277"/>
    </row>
    <row r="34" spans="1:16" x14ac:dyDescent="0.25">
      <c r="A34" s="175" t="s">
        <v>138</v>
      </c>
      <c r="B34" s="176">
        <f>SUM(B3:B33)</f>
        <v>328645</v>
      </c>
      <c r="C34" s="176">
        <f>SUM(C3:C33)</f>
        <v>5202750</v>
      </c>
      <c r="D34" s="176">
        <f>SUM(D3:D33)</f>
        <v>313692.2300000001</v>
      </c>
      <c r="E34" s="176">
        <f>SUM(E3:E33)</f>
        <v>4966186.8200000022</v>
      </c>
      <c r="F34" s="177">
        <f>AVERAGE(F3:F33)</f>
        <v>95.961484661058876</v>
      </c>
      <c r="G34" s="176">
        <f>SUM(G3:G33)</f>
        <v>5040</v>
      </c>
      <c r="H34" s="176">
        <f>SUM(H3:H33)</f>
        <v>5025</v>
      </c>
      <c r="I34" s="176">
        <f>SUM(I3:I32)</f>
        <v>0</v>
      </c>
      <c r="J34" s="176">
        <f>SUM(J3:J32)</f>
        <v>0</v>
      </c>
      <c r="K34" s="176">
        <f>SUM(K3:K33)</f>
        <v>24875793.839000009</v>
      </c>
      <c r="L34" s="168"/>
      <c r="M34" s="175"/>
      <c r="N34" s="274"/>
      <c r="O34" s="274"/>
      <c r="P34" s="274"/>
    </row>
    <row r="35" spans="1:16" x14ac:dyDescent="0.25">
      <c r="L35" s="216"/>
    </row>
    <row r="38" spans="1:16" x14ac:dyDescent="0.25">
      <c r="F38" s="169"/>
    </row>
  </sheetData>
  <mergeCells count="1">
    <mergeCell ref="A1:M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4"/>
  <sheetViews>
    <sheetView workbookViewId="0">
      <selection activeCell="F39" sqref="F39"/>
    </sheetView>
  </sheetViews>
  <sheetFormatPr baseColWidth="10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54" t="s">
        <v>98</v>
      </c>
      <c r="B3" s="355"/>
      <c r="C3" s="355"/>
      <c r="D3" s="356"/>
    </row>
    <row r="4" spans="1:15" x14ac:dyDescent="0.25">
      <c r="A4" s="100" t="s">
        <v>99</v>
      </c>
      <c r="B4" s="101" t="s">
        <v>100</v>
      </c>
      <c r="C4" s="102" t="s">
        <v>54</v>
      </c>
      <c r="D4" s="102" t="s">
        <v>101</v>
      </c>
    </row>
    <row r="5" spans="1:15" x14ac:dyDescent="0.25">
      <c r="A5" s="34" t="s">
        <v>102</v>
      </c>
      <c r="B5" s="135">
        <f>C5/30</f>
        <v>245.96666666666667</v>
      </c>
      <c r="C5" s="136">
        <f>'KM-Servicio'!I239</f>
        <v>7379</v>
      </c>
      <c r="D5" s="136">
        <f>'KM-Servicio'!C234</f>
        <v>7395</v>
      </c>
    </row>
    <row r="6" spans="1:15" x14ac:dyDescent="0.25">
      <c r="A6" s="34" t="s">
        <v>103</v>
      </c>
      <c r="B6" s="135">
        <f>C6/30</f>
        <v>167.5</v>
      </c>
      <c r="C6" s="136">
        <f>'KM-Servicio'!J232</f>
        <v>5025</v>
      </c>
      <c r="D6" s="136">
        <f>'KM-Servicio'!D232</f>
        <v>5040</v>
      </c>
    </row>
    <row r="7" spans="1:15" x14ac:dyDescent="0.25">
      <c r="A7" s="34" t="s">
        <v>66</v>
      </c>
      <c r="B7" s="135">
        <f>C7/30</f>
        <v>10584.791666666668</v>
      </c>
      <c r="C7" s="136">
        <f>'KM-Servicio'!L232</f>
        <v>317543.75000000006</v>
      </c>
      <c r="D7" s="136">
        <f>'KM-Servicio'!F232</f>
        <v>318233.83</v>
      </c>
    </row>
    <row r="8" spans="1:15" x14ac:dyDescent="0.25">
      <c r="A8" s="34" t="s">
        <v>104</v>
      </c>
      <c r="B8" s="135">
        <f>C8/30</f>
        <v>7200.9916666666677</v>
      </c>
      <c r="C8" s="136">
        <f>'KM-Servicio'!K232</f>
        <v>216029.75000000003</v>
      </c>
      <c r="D8" s="136">
        <f>'KM-Servicio'!E232</f>
        <v>216676.7</v>
      </c>
    </row>
    <row r="9" spans="1:15" x14ac:dyDescent="0.25">
      <c r="A9" s="34" t="s">
        <v>105</v>
      </c>
      <c r="B9" s="135">
        <f>C9/30</f>
        <v>1100818.3333333333</v>
      </c>
      <c r="C9" s="136">
        <f>'KM-Servicio'!M232</f>
        <v>33024550</v>
      </c>
      <c r="D9" s="136">
        <f>'KM-Servicio'!G232</f>
        <v>33096318.32</v>
      </c>
    </row>
    <row r="10" spans="1:15" x14ac:dyDescent="0.25">
      <c r="A10" s="34" t="s">
        <v>106</v>
      </c>
      <c r="B10" s="135"/>
      <c r="C10" s="137"/>
      <c r="J10" s="105"/>
    </row>
    <row r="11" spans="1:15" x14ac:dyDescent="0.25">
      <c r="A11" s="34" t="s">
        <v>107</v>
      </c>
      <c r="B11" s="135">
        <f>C11/30</f>
        <v>40531.73333333333</v>
      </c>
      <c r="C11" s="211">
        <v>1215952</v>
      </c>
      <c r="D11" s="138" t="s">
        <v>148</v>
      </c>
      <c r="E11" s="103"/>
      <c r="H11" s="105"/>
      <c r="I11" s="105"/>
      <c r="J11" s="105"/>
      <c r="K11" s="105"/>
      <c r="L11" s="108"/>
      <c r="M11" s="104"/>
      <c r="N11" s="104"/>
    </row>
    <row r="12" spans="1:15" ht="15.75" thickBot="1" x14ac:dyDescent="0.3">
      <c r="A12" s="34" t="s">
        <v>108</v>
      </c>
      <c r="B12" s="138"/>
      <c r="C12" s="135"/>
      <c r="D12" s="138"/>
      <c r="F12" s="104"/>
      <c r="G12" s="105"/>
      <c r="H12" s="105"/>
      <c r="I12" s="105"/>
      <c r="J12" s="105"/>
    </row>
    <row r="13" spans="1:15" ht="15.75" thickBot="1" x14ac:dyDescent="0.3">
      <c r="A13" s="357" t="s">
        <v>109</v>
      </c>
      <c r="B13" s="358"/>
      <c r="C13" s="358"/>
      <c r="D13" s="359"/>
      <c r="F13" s="147"/>
      <c r="G13" s="148"/>
      <c r="H13" s="148"/>
      <c r="I13" s="148"/>
      <c r="J13" s="148"/>
      <c r="K13" s="147"/>
      <c r="L13" s="148"/>
      <c r="M13" s="148"/>
      <c r="N13" s="44"/>
    </row>
    <row r="14" spans="1:15" x14ac:dyDescent="0.25">
      <c r="A14" s="106"/>
      <c r="B14" s="101"/>
      <c r="C14" s="102"/>
      <c r="D14" s="102"/>
      <c r="F14" s="149"/>
      <c r="G14" s="149"/>
      <c r="H14" s="147"/>
      <c r="I14" s="147"/>
      <c r="J14" s="147"/>
      <c r="K14" s="147"/>
      <c r="L14" s="147"/>
      <c r="M14" s="44"/>
      <c r="N14" s="44"/>
    </row>
    <row r="15" spans="1:15" x14ac:dyDescent="0.25">
      <c r="A15" s="109"/>
      <c r="B15" s="151"/>
      <c r="C15" s="151"/>
      <c r="D15" s="111"/>
      <c r="F15" s="147"/>
      <c r="G15" s="147"/>
      <c r="H15" s="147"/>
      <c r="I15" s="147"/>
      <c r="J15" s="147"/>
      <c r="K15" s="148"/>
      <c r="L15" s="148"/>
      <c r="M15" s="148"/>
      <c r="N15" s="148"/>
    </row>
    <row r="16" spans="1:15" x14ac:dyDescent="0.25">
      <c r="A16" s="109"/>
      <c r="B16" s="110"/>
      <c r="C16" s="110"/>
      <c r="D16" s="111"/>
      <c r="F16" s="147"/>
      <c r="G16" s="363"/>
      <c r="H16" s="363"/>
      <c r="I16" s="147"/>
      <c r="J16" s="147"/>
      <c r="K16" s="147"/>
      <c r="L16" s="148"/>
      <c r="M16" s="148"/>
      <c r="N16" s="148"/>
      <c r="O16" s="104"/>
    </row>
    <row r="17" spans="1:15" x14ac:dyDescent="0.25">
      <c r="A17" s="109"/>
      <c r="B17" s="110"/>
      <c r="C17" s="110"/>
      <c r="D17" s="111"/>
      <c r="F17" s="147"/>
      <c r="G17" s="363"/>
      <c r="H17" s="363"/>
      <c r="I17" s="147"/>
      <c r="J17" s="148"/>
      <c r="K17" s="148"/>
      <c r="L17" s="148"/>
      <c r="M17" s="148"/>
      <c r="N17" s="148"/>
      <c r="O17" s="105"/>
    </row>
    <row r="18" spans="1:15" x14ac:dyDescent="0.25">
      <c r="A18" s="109"/>
      <c r="B18" s="110"/>
      <c r="C18" s="110"/>
      <c r="D18" s="111"/>
      <c r="F18" s="147"/>
      <c r="G18" s="363"/>
      <c r="H18" s="363"/>
      <c r="I18" s="148"/>
      <c r="J18" s="148"/>
      <c r="K18" s="44"/>
      <c r="L18" s="44"/>
      <c r="M18" s="44"/>
      <c r="N18" s="44"/>
    </row>
    <row r="19" spans="1:15" x14ac:dyDescent="0.25">
      <c r="A19" s="109"/>
      <c r="B19" s="115"/>
      <c r="C19" s="115"/>
      <c r="D19" s="111"/>
      <c r="F19" s="147"/>
      <c r="G19" s="363"/>
      <c r="H19" s="363"/>
      <c r="I19" s="148"/>
      <c r="J19" s="148"/>
      <c r="K19" s="44"/>
      <c r="L19" s="44"/>
      <c r="M19" s="44"/>
      <c r="N19" s="44"/>
    </row>
    <row r="20" spans="1:15" x14ac:dyDescent="0.25">
      <c r="A20" s="109"/>
      <c r="B20" s="110"/>
      <c r="C20" s="110"/>
      <c r="D20" s="111"/>
      <c r="F20" s="147"/>
      <c r="G20" s="363"/>
      <c r="H20" s="363"/>
      <c r="I20" s="148"/>
      <c r="J20" s="148"/>
      <c r="K20" s="44"/>
      <c r="L20" s="44"/>
      <c r="M20" s="44"/>
      <c r="N20" s="44"/>
    </row>
    <row r="21" spans="1:15" x14ac:dyDescent="0.25">
      <c r="A21" s="109"/>
      <c r="B21" s="110"/>
      <c r="C21" s="110"/>
      <c r="D21" s="111"/>
      <c r="F21" s="147"/>
      <c r="G21" s="363"/>
      <c r="H21" s="363"/>
      <c r="I21" s="147"/>
      <c r="J21" s="44"/>
      <c r="K21" s="44"/>
      <c r="L21" s="44"/>
      <c r="M21" s="44"/>
      <c r="N21" s="44"/>
    </row>
    <row r="22" spans="1:15" x14ac:dyDescent="0.25">
      <c r="A22" s="109"/>
      <c r="B22" s="110"/>
      <c r="C22" s="110"/>
      <c r="D22" s="111"/>
      <c r="F22" s="147"/>
      <c r="G22" s="148"/>
      <c r="H22" s="148"/>
      <c r="I22" s="148"/>
      <c r="J22" s="148"/>
      <c r="K22" s="147"/>
      <c r="L22" s="149"/>
      <c r="M22" s="147"/>
      <c r="N22" s="44"/>
    </row>
    <row r="23" spans="1:15" ht="15.75" thickBot="1" x14ac:dyDescent="0.3">
      <c r="A23" s="112"/>
      <c r="B23" s="360"/>
      <c r="C23" s="361"/>
      <c r="D23" s="362"/>
      <c r="F23" s="150"/>
      <c r="G23" s="148"/>
      <c r="H23" s="148"/>
      <c r="I23" s="148"/>
      <c r="J23" s="44"/>
      <c r="K23" s="44"/>
      <c r="L23" s="44"/>
      <c r="M23" s="44"/>
      <c r="N23" s="44"/>
    </row>
    <row r="24" spans="1:15" ht="15.75" thickBot="1" x14ac:dyDescent="0.3">
      <c r="A24" s="357"/>
      <c r="B24" s="358"/>
      <c r="C24" s="358"/>
      <c r="D24" s="359"/>
      <c r="F24" s="148"/>
      <c r="G24" s="148"/>
      <c r="H24" s="148"/>
      <c r="I24" s="147"/>
      <c r="J24" s="149"/>
      <c r="K24" s="147"/>
      <c r="L24" s="148"/>
      <c r="M24" s="148"/>
      <c r="N24" s="44"/>
    </row>
    <row r="25" spans="1:15" x14ac:dyDescent="0.25">
      <c r="A25" s="106"/>
      <c r="B25" s="101"/>
      <c r="C25" s="102"/>
      <c r="D25" s="102"/>
      <c r="F25" s="147"/>
      <c r="G25" s="104"/>
      <c r="H25" s="104"/>
      <c r="I25" s="107"/>
      <c r="J25" s="104"/>
      <c r="K25" s="105"/>
      <c r="L25" s="105"/>
      <c r="M25" s="105"/>
    </row>
    <row r="26" spans="1:15" x14ac:dyDescent="0.25">
      <c r="A26" s="109"/>
      <c r="B26" s="30"/>
      <c r="C26" s="30"/>
      <c r="D26" s="111"/>
      <c r="F26" s="152"/>
      <c r="G26" s="107"/>
      <c r="H26" s="107"/>
      <c r="I26" s="104"/>
      <c r="J26" s="105"/>
      <c r="K26" s="105"/>
      <c r="L26" s="105"/>
      <c r="M26" s="105"/>
    </row>
    <row r="27" spans="1:15" x14ac:dyDescent="0.25">
      <c r="A27" s="109"/>
      <c r="B27" s="134"/>
      <c r="C27" s="134"/>
      <c r="D27" s="111"/>
      <c r="F27" s="152"/>
      <c r="G27" s="104"/>
      <c r="H27" s="104"/>
      <c r="I27" s="104"/>
      <c r="J27" s="104"/>
      <c r="K27" s="104"/>
      <c r="L27" s="104"/>
    </row>
    <row r="28" spans="1:15" x14ac:dyDescent="0.25">
      <c r="A28" s="109"/>
      <c r="B28" s="113"/>
      <c r="C28" s="113"/>
      <c r="D28" s="111"/>
      <c r="F28" s="152"/>
      <c r="G28" s="105"/>
      <c r="H28" s="105"/>
      <c r="I28" s="105"/>
      <c r="J28" s="105"/>
      <c r="K28" s="105"/>
      <c r="L28" s="105"/>
      <c r="M28" s="105"/>
    </row>
    <row r="29" spans="1:15" x14ac:dyDescent="0.25">
      <c r="A29" s="109"/>
      <c r="B29" s="113"/>
      <c r="C29" s="113"/>
      <c r="D29" s="111"/>
      <c r="F29" s="152"/>
      <c r="G29" s="105"/>
      <c r="I29" s="114"/>
    </row>
    <row r="30" spans="1:15" x14ac:dyDescent="0.25">
      <c r="A30" s="109"/>
      <c r="B30" s="115"/>
      <c r="C30" s="115"/>
      <c r="D30" s="111"/>
      <c r="F30" s="152"/>
      <c r="G30" s="105"/>
      <c r="I30" s="104"/>
    </row>
    <row r="31" spans="1:15" x14ac:dyDescent="0.25">
      <c r="A31" s="109"/>
      <c r="B31" s="134"/>
      <c r="C31" s="134"/>
      <c r="D31" s="111"/>
      <c r="F31" s="152"/>
      <c r="G31" s="105"/>
      <c r="I31" s="104"/>
    </row>
    <row r="32" spans="1:15" x14ac:dyDescent="0.25">
      <c r="A32" s="109"/>
      <c r="B32" s="113"/>
      <c r="C32" s="113"/>
      <c r="D32" s="111"/>
      <c r="F32" s="147"/>
      <c r="G32" s="105"/>
      <c r="I32" s="104"/>
    </row>
    <row r="33" spans="1:9" x14ac:dyDescent="0.25">
      <c r="A33" s="116"/>
      <c r="B33" s="113"/>
      <c r="C33" s="113"/>
      <c r="D33" s="117"/>
      <c r="F33" s="114"/>
      <c r="G33" s="105"/>
      <c r="I33" s="104"/>
    </row>
    <row r="34" spans="1:9" ht="15.75" thickBot="1" x14ac:dyDescent="0.3">
      <c r="A34" s="110"/>
      <c r="B34" s="360"/>
      <c r="C34" s="361"/>
      <c r="D34" s="362"/>
      <c r="F34" s="104"/>
      <c r="I34" s="114"/>
    </row>
    <row r="35" spans="1:9" x14ac:dyDescent="0.25">
      <c r="F35" s="104"/>
      <c r="I35" s="104"/>
    </row>
    <row r="36" spans="1:9" x14ac:dyDescent="0.25">
      <c r="F36" s="104"/>
      <c r="I36" s="104"/>
    </row>
    <row r="37" spans="1:9" x14ac:dyDescent="0.25">
      <c r="F37" s="59"/>
      <c r="I37" s="59"/>
    </row>
    <row r="38" spans="1:9" x14ac:dyDescent="0.25">
      <c r="F38" s="104"/>
      <c r="I38" s="104"/>
    </row>
    <row r="39" spans="1:9" x14ac:dyDescent="0.25">
      <c r="F39" s="104"/>
      <c r="I39" s="104"/>
    </row>
    <row r="40" spans="1:9" x14ac:dyDescent="0.25">
      <c r="F40" s="104"/>
      <c r="I40" s="114"/>
    </row>
    <row r="41" spans="1:9" x14ac:dyDescent="0.25">
      <c r="F41" s="104"/>
      <c r="I41" s="104"/>
    </row>
    <row r="42" spans="1:9" x14ac:dyDescent="0.25">
      <c r="F42" s="59"/>
      <c r="I42" s="104"/>
    </row>
    <row r="43" spans="1:9" x14ac:dyDescent="0.25">
      <c r="F43" s="59"/>
      <c r="I43" s="104"/>
    </row>
    <row r="44" spans="1:9" x14ac:dyDescent="0.25">
      <c r="F44" s="59"/>
      <c r="I44" s="104"/>
    </row>
    <row r="45" spans="1:9" x14ac:dyDescent="0.25">
      <c r="F45" s="114"/>
    </row>
    <row r="46" spans="1:9" x14ac:dyDescent="0.25">
      <c r="F46" s="104"/>
    </row>
    <row r="47" spans="1:9" x14ac:dyDescent="0.25">
      <c r="F47" s="104"/>
    </row>
    <row r="48" spans="1:9" x14ac:dyDescent="0.25">
      <c r="F48" s="104"/>
    </row>
    <row r="49" spans="6:6" x14ac:dyDescent="0.25">
      <c r="F49" s="104"/>
    </row>
    <row r="50" spans="6:6" x14ac:dyDescent="0.25">
      <c r="F50" s="104"/>
    </row>
    <row r="51" spans="6:6" x14ac:dyDescent="0.25">
      <c r="F51" s="104"/>
    </row>
    <row r="52" spans="6:6" x14ac:dyDescent="0.25">
      <c r="F52" s="114"/>
    </row>
    <row r="53" spans="6:6" x14ac:dyDescent="0.25">
      <c r="F53" s="104"/>
    </row>
    <row r="54" spans="6:6" x14ac:dyDescent="0.25">
      <c r="F54" s="104"/>
    </row>
    <row r="55" spans="6:6" x14ac:dyDescent="0.25">
      <c r="F55" s="104"/>
    </row>
    <row r="56" spans="6:6" x14ac:dyDescent="0.25">
      <c r="F56" s="59"/>
    </row>
    <row r="57" spans="6:6" x14ac:dyDescent="0.25">
      <c r="F57" s="104"/>
    </row>
    <row r="58" spans="6:6" x14ac:dyDescent="0.25">
      <c r="F58" s="104"/>
    </row>
    <row r="59" spans="6:6" x14ac:dyDescent="0.25">
      <c r="F59" s="104"/>
    </row>
    <row r="60" spans="6:6" x14ac:dyDescent="0.25">
      <c r="F60" s="104"/>
    </row>
    <row r="61" spans="6:6" x14ac:dyDescent="0.25">
      <c r="F61" s="59"/>
    </row>
    <row r="62" spans="6:6" x14ac:dyDescent="0.25">
      <c r="F62" s="59"/>
    </row>
    <row r="63" spans="6:6" x14ac:dyDescent="0.25">
      <c r="F63" s="59"/>
    </row>
    <row r="64" spans="6:6" x14ac:dyDescent="0.25">
      <c r="F64" s="114"/>
    </row>
    <row r="65" spans="6:6" x14ac:dyDescent="0.25">
      <c r="F65" s="104"/>
    </row>
    <row r="66" spans="6:6" x14ac:dyDescent="0.25">
      <c r="F66" s="104"/>
    </row>
    <row r="67" spans="6:6" x14ac:dyDescent="0.25">
      <c r="F67" s="104"/>
    </row>
    <row r="68" spans="6:6" x14ac:dyDescent="0.25">
      <c r="F68" s="104"/>
    </row>
    <row r="69" spans="6:6" x14ac:dyDescent="0.25">
      <c r="F69" s="104"/>
    </row>
    <row r="70" spans="6:6" x14ac:dyDescent="0.25">
      <c r="F70" s="104"/>
    </row>
    <row r="71" spans="6:6" x14ac:dyDescent="0.25">
      <c r="F71" s="59"/>
    </row>
    <row r="73" spans="6:6" x14ac:dyDescent="0.25">
      <c r="F73" s="59"/>
    </row>
    <row r="74" spans="6:6" x14ac:dyDescent="0.25">
      <c r="F74" s="59"/>
    </row>
  </sheetData>
  <mergeCells count="11">
    <mergeCell ref="G21:H21"/>
    <mergeCell ref="G16:H16"/>
    <mergeCell ref="G17:H17"/>
    <mergeCell ref="G18:H18"/>
    <mergeCell ref="G19:H19"/>
    <mergeCell ref="G20:H20"/>
    <mergeCell ref="A3:D3"/>
    <mergeCell ref="A13:D13"/>
    <mergeCell ref="A24:D24"/>
    <mergeCell ref="B23:D23"/>
    <mergeCell ref="B34:D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B9561A-D9EB-4869-9897-4D59A5D8AA4A}"/>
</file>

<file path=customXml/itemProps2.xml><?xml version="1.0" encoding="utf-8"?>
<ds:datastoreItem xmlns:ds="http://schemas.openxmlformats.org/officeDocument/2006/customXml" ds:itemID="{4F0FBAB0-74EF-4B7F-A6B6-310D031E7E85}"/>
</file>

<file path=customXml/itemProps3.xml><?xml version="1.0" encoding="utf-8"?>
<ds:datastoreItem xmlns:ds="http://schemas.openxmlformats.org/officeDocument/2006/customXml" ds:itemID="{C31432BE-C100-48D9-887E-85D94AF213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Oferta Diaria</vt:lpstr>
      <vt:lpstr>Data Ocupacion</vt:lpstr>
      <vt:lpstr>UMR Resumen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2024-05-07T15:03:43Z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