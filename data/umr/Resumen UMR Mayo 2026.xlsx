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11" documentId="13_ncr:1_{A7F80FDC-1AA0-40AB-99CF-64F4E498BD0F}" xr6:coauthVersionLast="47" xr6:coauthVersionMax="47" xr10:uidLastSave="{EDA9E0C3-5DE0-41CA-946C-AF271AD42DF0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5" i="2" l="1"/>
  <c r="W55" i="2"/>
  <c r="X53" i="2"/>
  <c r="X54" i="2"/>
  <c r="J54" i="2"/>
  <c r="AH2" i="2"/>
  <c r="W53" i="2"/>
  <c r="W54" i="2"/>
  <c r="J53" i="2"/>
  <c r="H53" i="2"/>
  <c r="I53" i="2"/>
  <c r="H54" i="2"/>
  <c r="I54" i="2"/>
  <c r="G53" i="2"/>
  <c r="G54" i="2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W86" i="1"/>
  <c r="X86" i="1"/>
  <c r="Y86" i="1"/>
  <c r="Z86" i="1"/>
  <c r="AA86" i="1"/>
  <c r="AB86" i="1"/>
  <c r="AC86" i="1"/>
  <c r="AC88" i="1" s="1"/>
  <c r="N202" i="2" s="1"/>
  <c r="AD86" i="1"/>
  <c r="AD88" i="1" s="1"/>
  <c r="N209" i="2" s="1"/>
  <c r="AE86" i="1"/>
  <c r="AF86" i="1"/>
  <c r="D86" i="1"/>
  <c r="E86" i="1"/>
  <c r="F86" i="1"/>
  <c r="G86" i="1"/>
  <c r="H86" i="1"/>
  <c r="I86" i="1"/>
  <c r="J86" i="1"/>
  <c r="K86" i="1"/>
  <c r="K88" i="1" s="1"/>
  <c r="N76" i="2" s="1"/>
  <c r="L86" i="1"/>
  <c r="M86" i="1"/>
  <c r="N86" i="1"/>
  <c r="O86" i="1"/>
  <c r="P86" i="1"/>
  <c r="Q86" i="1"/>
  <c r="R86" i="1"/>
  <c r="S86" i="1"/>
  <c r="S88" i="1" s="1"/>
  <c r="N132" i="2" s="1"/>
  <c r="T86" i="1"/>
  <c r="U86" i="1"/>
  <c r="V86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C93" i="1"/>
  <c r="C92" i="1"/>
  <c r="C91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C106" i="1"/>
  <c r="B106" i="1"/>
  <c r="N101" i="1"/>
  <c r="N100" i="1"/>
  <c r="N102" i="1"/>
  <c r="N103" i="1"/>
  <c r="I103" i="1"/>
  <c r="I101" i="1"/>
  <c r="I100" i="1"/>
  <c r="F101" i="1"/>
  <c r="F100" i="1"/>
  <c r="E101" i="1"/>
  <c r="E100" i="1"/>
  <c r="I102" i="1"/>
  <c r="F102" i="1"/>
  <c r="F103" i="1"/>
  <c r="E102" i="1"/>
  <c r="E103" i="1"/>
  <c r="R227" i="2"/>
  <c r="P227" i="2"/>
  <c r="B139" i="2"/>
  <c r="C139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8" i="2"/>
  <c r="E218" i="2"/>
  <c r="D219" i="2"/>
  <c r="E219" i="2"/>
  <c r="D220" i="2"/>
  <c r="E220" i="2"/>
  <c r="D221" i="2"/>
  <c r="E221" i="2"/>
  <c r="D222" i="2"/>
  <c r="E222" i="2"/>
  <c r="E217" i="2"/>
  <c r="D217" i="2"/>
  <c r="G217" i="2" s="1"/>
  <c r="J217" i="2" s="1"/>
  <c r="D196" i="2"/>
  <c r="E196" i="2"/>
  <c r="D197" i="2"/>
  <c r="E197" i="2"/>
  <c r="C209" i="2"/>
  <c r="B209" i="2"/>
  <c r="C202" i="2"/>
  <c r="B202" i="2"/>
  <c r="G31" i="13" s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X220" i="2"/>
  <c r="C223" i="2"/>
  <c r="B223" i="2"/>
  <c r="G34" i="13" s="1"/>
  <c r="H222" i="2"/>
  <c r="X222" i="2" s="1"/>
  <c r="H221" i="2"/>
  <c r="X221" i="2" s="1"/>
  <c r="H220" i="2"/>
  <c r="H219" i="2"/>
  <c r="X219" i="2" s="1"/>
  <c r="H218" i="2"/>
  <c r="X218" i="2"/>
  <c r="H217" i="2"/>
  <c r="X217" i="2" s="1"/>
  <c r="C153" i="2"/>
  <c r="B153" i="2"/>
  <c r="G24" i="13" s="1"/>
  <c r="AS24" i="3"/>
  <c r="AR24" i="3"/>
  <c r="AO24" i="3"/>
  <c r="AN24" i="3"/>
  <c r="AM24" i="3"/>
  <c r="AL24" i="3"/>
  <c r="AK24" i="3"/>
  <c r="AJ24" i="3"/>
  <c r="AI24" i="3"/>
  <c r="AH24" i="3"/>
  <c r="C132" i="2"/>
  <c r="B132" i="2"/>
  <c r="C125" i="2"/>
  <c r="B125" i="2"/>
  <c r="C118" i="2"/>
  <c r="B118" i="2"/>
  <c r="I220" i="2"/>
  <c r="K220" i="2" s="1"/>
  <c r="B88" i="1"/>
  <c r="C62" i="2"/>
  <c r="B62" i="2"/>
  <c r="G11" i="13" s="1"/>
  <c r="C55" i="2"/>
  <c r="B55" i="2"/>
  <c r="C46" i="2"/>
  <c r="B46" i="2"/>
  <c r="C90" i="2"/>
  <c r="B90" i="2"/>
  <c r="C83" i="2"/>
  <c r="B83" i="2"/>
  <c r="G14" i="13" s="1"/>
  <c r="C76" i="2"/>
  <c r="B76" i="2"/>
  <c r="C69" i="2"/>
  <c r="B69" i="2"/>
  <c r="G12" i="13" s="1"/>
  <c r="C39" i="2"/>
  <c r="B39" i="2"/>
  <c r="C90" i="1"/>
  <c r="C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AE29" i="4" s="1"/>
  <c r="BJ24" i="3"/>
  <c r="BK24" i="3"/>
  <c r="AF88" i="1"/>
  <c r="N223" i="2" s="1"/>
  <c r="AG28" i="4"/>
  <c r="BL37" i="3"/>
  <c r="BM37" i="3"/>
  <c r="AG30" i="4"/>
  <c r="AG27" i="4"/>
  <c r="BI24" i="3"/>
  <c r="BH24" i="3"/>
  <c r="BG24" i="3"/>
  <c r="BF24" i="3"/>
  <c r="AG33" i="4"/>
  <c r="BE24" i="3"/>
  <c r="BD24" i="3"/>
  <c r="BC24" i="3"/>
  <c r="BB24" i="3"/>
  <c r="BA24" i="3"/>
  <c r="AZ24" i="3"/>
  <c r="AY24" i="3"/>
  <c r="AX24" i="3"/>
  <c r="AW24" i="3"/>
  <c r="AV24" i="3"/>
  <c r="AU24" i="3"/>
  <c r="AT24" i="3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8" i="2"/>
  <c r="B188" i="2"/>
  <c r="G29" i="13" s="1"/>
  <c r="C181" i="2"/>
  <c r="B181" i="2"/>
  <c r="C32" i="2"/>
  <c r="B32" i="2"/>
  <c r="G7" i="13" s="1"/>
  <c r="C25" i="2"/>
  <c r="B25" i="2"/>
  <c r="C18" i="2"/>
  <c r="B18" i="2"/>
  <c r="G5" i="13" s="1"/>
  <c r="C11" i="2"/>
  <c r="B11" i="2"/>
  <c r="C216" i="2"/>
  <c r="B216" i="2"/>
  <c r="G33" i="13" s="1"/>
  <c r="V20" i="4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/>
  <c r="BJ52" i="3"/>
  <c r="BJ51" i="3"/>
  <c r="AF15" i="4"/>
  <c r="BJ50" i="3"/>
  <c r="AF14" i="4"/>
  <c r="BJ49" i="3"/>
  <c r="AF13" i="4"/>
  <c r="BJ48" i="3"/>
  <c r="AF12" i="4"/>
  <c r="BJ45" i="3"/>
  <c r="AF10" i="4"/>
  <c r="BJ44" i="3"/>
  <c r="AF9" i="4"/>
  <c r="BJ43" i="3"/>
  <c r="AF8" i="4"/>
  <c r="BJ42" i="3"/>
  <c r="AF7" i="4"/>
  <c r="BJ41" i="3"/>
  <c r="AF6" i="4"/>
  <c r="BJ40" i="3"/>
  <c r="AF5" i="4"/>
  <c r="BK36" i="3"/>
  <c r="E215" i="2"/>
  <c r="BJ36" i="3"/>
  <c r="D215" i="2"/>
  <c r="I215" i="2" s="1"/>
  <c r="BK35" i="3"/>
  <c r="E214" i="2"/>
  <c r="G214" i="2" s="1"/>
  <c r="J214" i="2" s="1"/>
  <c r="BJ35" i="3"/>
  <c r="D214" i="2"/>
  <c r="BK34" i="3"/>
  <c r="E213" i="2"/>
  <c r="BJ34" i="3"/>
  <c r="D213" i="2"/>
  <c r="BK33" i="3"/>
  <c r="E212" i="2"/>
  <c r="BJ33" i="3"/>
  <c r="D212" i="2"/>
  <c r="BK32" i="3"/>
  <c r="E211" i="2"/>
  <c r="BJ32" i="3"/>
  <c r="D211" i="2"/>
  <c r="D216" i="2" s="1"/>
  <c r="BK31" i="3"/>
  <c r="E210" i="2"/>
  <c r="BJ31" i="3"/>
  <c r="D210" i="2"/>
  <c r="BH53" i="3"/>
  <c r="AE16" i="4"/>
  <c r="BH52" i="3"/>
  <c r="BH51" i="3"/>
  <c r="AE15" i="4"/>
  <c r="BH50" i="3"/>
  <c r="AE14" i="4"/>
  <c r="BH49" i="3"/>
  <c r="AE13" i="4"/>
  <c r="BH48" i="3"/>
  <c r="AE12" i="4"/>
  <c r="BH45" i="3"/>
  <c r="AE10" i="4"/>
  <c r="BH44" i="3"/>
  <c r="AE9" i="4"/>
  <c r="BH43" i="3"/>
  <c r="AE8" i="4"/>
  <c r="BH42" i="3"/>
  <c r="AE7" i="4"/>
  <c r="BH41" i="3"/>
  <c r="AE6" i="4"/>
  <c r="BH40" i="3"/>
  <c r="AE5" i="4"/>
  <c r="BI36" i="3"/>
  <c r="E208" i="2"/>
  <c r="BH36" i="3"/>
  <c r="D208" i="2"/>
  <c r="BI35" i="3"/>
  <c r="E207" i="2"/>
  <c r="I207" i="2" s="1"/>
  <c r="BH35" i="3"/>
  <c r="D207" i="2"/>
  <c r="BI34" i="3"/>
  <c r="E206" i="2"/>
  <c r="BH34" i="3"/>
  <c r="D206" i="2"/>
  <c r="BI33" i="3"/>
  <c r="E205" i="2"/>
  <c r="I205" i="2" s="1"/>
  <c r="BH33" i="3"/>
  <c r="D205" i="2"/>
  <c r="BI32" i="3"/>
  <c r="E204" i="2"/>
  <c r="BH32" i="3"/>
  <c r="D204" i="2"/>
  <c r="BI31" i="3"/>
  <c r="E203" i="2"/>
  <c r="G203" i="2" s="1"/>
  <c r="BH31" i="3"/>
  <c r="D203" i="2"/>
  <c r="AE88" i="1"/>
  <c r="N216" i="2" s="1"/>
  <c r="AF30" i="4"/>
  <c r="AF27" i="4"/>
  <c r="AF28" i="4"/>
  <c r="AF33" i="4"/>
  <c r="BI37" i="3"/>
  <c r="BK37" i="3"/>
  <c r="AE28" i="4"/>
  <c r="AE33" i="4"/>
  <c r="BH37" i="3"/>
  <c r="BJ37" i="3"/>
  <c r="AE30" i="4"/>
  <c r="AE27" i="4"/>
  <c r="H208" i="2"/>
  <c r="X208" i="2" s="1"/>
  <c r="H207" i="2"/>
  <c r="X207" i="2" s="1"/>
  <c r="H206" i="2"/>
  <c r="X206" i="2" s="1"/>
  <c r="H205" i="2"/>
  <c r="X205" i="2" s="1"/>
  <c r="H204" i="2"/>
  <c r="X204" i="2" s="1"/>
  <c r="H203" i="2"/>
  <c r="X203" i="2" s="1"/>
  <c r="H215" i="2"/>
  <c r="X215" i="2"/>
  <c r="H214" i="2"/>
  <c r="X214" i="2" s="1"/>
  <c r="H213" i="2"/>
  <c r="X213" i="2" s="1"/>
  <c r="H212" i="2"/>
  <c r="H211" i="2"/>
  <c r="X211" i="2" s="1"/>
  <c r="H210" i="2"/>
  <c r="X210" i="2" s="1"/>
  <c r="E22" i="4"/>
  <c r="C174" i="2"/>
  <c r="B174" i="2"/>
  <c r="C195" i="2"/>
  <c r="G30" i="13" s="1"/>
  <c r="B195" i="2"/>
  <c r="C167" i="2"/>
  <c r="G26" i="13" s="1"/>
  <c r="B167" i="2"/>
  <c r="C160" i="2"/>
  <c r="B160" i="2"/>
  <c r="C146" i="2"/>
  <c r="B146" i="2"/>
  <c r="X21" i="4"/>
  <c r="C21" i="4"/>
  <c r="G22" i="4"/>
  <c r="C22" i="4"/>
  <c r="D22" i="4"/>
  <c r="F22" i="4"/>
  <c r="C111" i="2"/>
  <c r="B111" i="2"/>
  <c r="G18" i="13" s="1"/>
  <c r="C104" i="2"/>
  <c r="B104" i="2"/>
  <c r="C97" i="2"/>
  <c r="B97" i="2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/>
  <c r="C232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/>
  <c r="P88" i="1"/>
  <c r="N111" i="2" s="1"/>
  <c r="T227" i="2"/>
  <c r="AB2" i="2"/>
  <c r="AD20" i="4"/>
  <c r="AC20" i="4"/>
  <c r="B227" i="2"/>
  <c r="C231" i="2"/>
  <c r="C230" i="2"/>
  <c r="C229" i="2"/>
  <c r="D229" i="2" s="1"/>
  <c r="E229" i="2" s="1"/>
  <c r="C228" i="2"/>
  <c r="B232" i="2"/>
  <c r="F232" i="2" s="1"/>
  <c r="G232" i="2" s="1"/>
  <c r="B231" i="2"/>
  <c r="B230" i="2"/>
  <c r="B229" i="2"/>
  <c r="B228" i="2"/>
  <c r="C227" i="2"/>
  <c r="V227" i="2"/>
  <c r="U227" i="2"/>
  <c r="S227" i="2"/>
  <c r="Q227" i="2"/>
  <c r="G2" i="2"/>
  <c r="H61" i="2"/>
  <c r="H60" i="2"/>
  <c r="X60" i="2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H79" i="2"/>
  <c r="X79" i="2" s="1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H129" i="2"/>
  <c r="X129" i="2" s="1"/>
  <c r="H128" i="2"/>
  <c r="X128" i="2" s="1"/>
  <c r="H127" i="2"/>
  <c r="X127" i="2" s="1"/>
  <c r="H126" i="2"/>
  <c r="X126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7" i="2"/>
  <c r="X187" i="2" s="1"/>
  <c r="H186" i="2"/>
  <c r="X186" i="2"/>
  <c r="H185" i="2"/>
  <c r="X185" i="2" s="1"/>
  <c r="H184" i="2"/>
  <c r="X184" i="2" s="1"/>
  <c r="H183" i="2"/>
  <c r="H182" i="2"/>
  <c r="X182" i="2" s="1"/>
  <c r="H180" i="2"/>
  <c r="X180" i="2" s="1"/>
  <c r="H179" i="2"/>
  <c r="X179" i="2" s="1"/>
  <c r="H178" i="2"/>
  <c r="X178" i="2" s="1"/>
  <c r="H177" i="2"/>
  <c r="H176" i="2"/>
  <c r="X176" i="2" s="1"/>
  <c r="H175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X168" i="2" s="1"/>
  <c r="H166" i="2"/>
  <c r="H165" i="2"/>
  <c r="X165" i="2" s="1"/>
  <c r="H164" i="2"/>
  <c r="X164" i="2" s="1"/>
  <c r="H163" i="2"/>
  <c r="X163" i="2" s="1"/>
  <c r="H162" i="2"/>
  <c r="X162" i="2" s="1"/>
  <c r="H161" i="2"/>
  <c r="X161" i="2" s="1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H145" i="2"/>
  <c r="X145" i="2" s="1"/>
  <c r="H144" i="2"/>
  <c r="H143" i="2"/>
  <c r="X143" i="2"/>
  <c r="H142" i="2"/>
  <c r="X142" i="2" s="1"/>
  <c r="H141" i="2"/>
  <c r="X141" i="2" s="1"/>
  <c r="H140" i="2"/>
  <c r="X140" i="2" s="1"/>
  <c r="H138" i="2"/>
  <c r="X138" i="2" s="1"/>
  <c r="H137" i="2"/>
  <c r="X137" i="2" s="1"/>
  <c r="H136" i="2"/>
  <c r="X136" i="2" s="1"/>
  <c r="H135" i="2"/>
  <c r="X135" i="2" s="1"/>
  <c r="H134" i="2"/>
  <c r="X134" i="2" s="1"/>
  <c r="H133" i="2"/>
  <c r="H124" i="2"/>
  <c r="X124" i="2" s="1"/>
  <c r="H123" i="2"/>
  <c r="X123" i="2" s="1"/>
  <c r="H122" i="2"/>
  <c r="X122" i="2" s="1"/>
  <c r="H121" i="2"/>
  <c r="X121" i="2" s="1"/>
  <c r="H120" i="2"/>
  <c r="X120" i="2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H112" i="2"/>
  <c r="X112" i="2" s="1"/>
  <c r="H110" i="2"/>
  <c r="X110" i="2"/>
  <c r="H109" i="2"/>
  <c r="X109" i="2" s="1"/>
  <c r="H108" i="2"/>
  <c r="X108" i="2" s="1"/>
  <c r="H107" i="2"/>
  <c r="H106" i="2"/>
  <c r="X106" i="2" s="1"/>
  <c r="H105" i="2"/>
  <c r="X105" i="2" s="1"/>
  <c r="H103" i="2"/>
  <c r="X103" i="2"/>
  <c r="H102" i="2"/>
  <c r="X102" i="2" s="1"/>
  <c r="H101" i="2"/>
  <c r="X101" i="2" s="1"/>
  <c r="H100" i="2"/>
  <c r="X100" i="2" s="1"/>
  <c r="H99" i="2"/>
  <c r="X99" i="2" s="1"/>
  <c r="H98" i="2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/>
  <c r="H89" i="2"/>
  <c r="X89" i="2" s="1"/>
  <c r="H88" i="2"/>
  <c r="X88" i="2" s="1"/>
  <c r="H87" i="2"/>
  <c r="X87" i="2" s="1"/>
  <c r="H86" i="2"/>
  <c r="X86" i="2" s="1"/>
  <c r="H85" i="2"/>
  <c r="X85" i="2" s="1"/>
  <c r="H84" i="2"/>
  <c r="X84" i="2" s="1"/>
  <c r="H68" i="2"/>
  <c r="X68" i="2" s="1"/>
  <c r="H67" i="2"/>
  <c r="X67" i="2" s="1"/>
  <c r="H66" i="2"/>
  <c r="H65" i="2"/>
  <c r="X65" i="2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H47" i="2"/>
  <c r="X47" i="2" s="1"/>
  <c r="H45" i="2"/>
  <c r="X45" i="2" s="1"/>
  <c r="H44" i="2"/>
  <c r="X44" i="2" s="1"/>
  <c r="H43" i="2"/>
  <c r="X43" i="2" s="1"/>
  <c r="H42" i="2"/>
  <c r="X42" i="2" s="1"/>
  <c r="H41" i="2"/>
  <c r="H40" i="2"/>
  <c r="X40" i="2" s="1"/>
  <c r="H38" i="2"/>
  <c r="X38" i="2" s="1"/>
  <c r="H37" i="2"/>
  <c r="X37" i="2" s="1"/>
  <c r="H36" i="2"/>
  <c r="X36" i="2" s="1"/>
  <c r="H35" i="2"/>
  <c r="X35" i="2" s="1"/>
  <c r="H34" i="2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H24" i="2"/>
  <c r="X24" i="2" s="1"/>
  <c r="H23" i="2"/>
  <c r="X23" i="2" s="1"/>
  <c r="H22" i="2"/>
  <c r="X22" i="2" s="1"/>
  <c r="H21" i="2"/>
  <c r="X21" i="2" s="1"/>
  <c r="H20" i="2"/>
  <c r="X20" i="2" s="1"/>
  <c r="H19" i="2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/>
  <c r="H7" i="2"/>
  <c r="X7" i="2" s="1"/>
  <c r="H8" i="2"/>
  <c r="X8" i="2" s="1"/>
  <c r="H9" i="2"/>
  <c r="X9" i="2" s="1"/>
  <c r="H10" i="2"/>
  <c r="X10" i="2" s="1"/>
  <c r="H5" i="2"/>
  <c r="X5" i="2" s="1"/>
  <c r="X189" i="2"/>
  <c r="X175" i="2"/>
  <c r="X196" i="2"/>
  <c r="Y19" i="4"/>
  <c r="AL31" i="3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/>
  <c r="AL52" i="3"/>
  <c r="AL51" i="3"/>
  <c r="AL50" i="3"/>
  <c r="AL49" i="3"/>
  <c r="AL48" i="3"/>
  <c r="AL45" i="3"/>
  <c r="AL44" i="3"/>
  <c r="AL43" i="3"/>
  <c r="AL42" i="3"/>
  <c r="AL41" i="3"/>
  <c r="AL40" i="3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D48" i="2"/>
  <c r="D55" i="2" s="1"/>
  <c r="Q32" i="3"/>
  <c r="E48" i="2"/>
  <c r="P33" i="3"/>
  <c r="Q33" i="3"/>
  <c r="P34" i="3"/>
  <c r="Q34" i="3"/>
  <c r="P35" i="3"/>
  <c r="Q35" i="3"/>
  <c r="E51" i="2"/>
  <c r="P36" i="3"/>
  <c r="D52" i="2"/>
  <c r="Q36" i="3"/>
  <c r="E52" i="2"/>
  <c r="G52" i="2" s="1"/>
  <c r="J52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AX48" i="3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/>
  <c r="I168" i="2" s="1"/>
  <c r="K168" i="2" s="1"/>
  <c r="AY31" i="3"/>
  <c r="E168" i="2"/>
  <c r="AX32" i="3"/>
  <c r="D169" i="2"/>
  <c r="AY32" i="3"/>
  <c r="E169" i="2"/>
  <c r="I169" i="2" s="1"/>
  <c r="K169" i="2" s="1"/>
  <c r="AX33" i="3"/>
  <c r="AY33" i="3"/>
  <c r="AX34" i="3"/>
  <c r="D171" i="2"/>
  <c r="AY34" i="3"/>
  <c r="E171" i="2"/>
  <c r="AX35" i="3"/>
  <c r="D172" i="2"/>
  <c r="AY35" i="3"/>
  <c r="E172" i="2"/>
  <c r="AX36" i="3"/>
  <c r="D173" i="2"/>
  <c r="G173" i="2" s="1"/>
  <c r="AY36" i="3"/>
  <c r="E173" i="2"/>
  <c r="E170" i="2"/>
  <c r="AY37" i="3"/>
  <c r="D170" i="2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/>
  <c r="G162" i="2" s="1"/>
  <c r="J162" i="2" s="1"/>
  <c r="AW32" i="3"/>
  <c r="E162" i="2"/>
  <c r="AV33" i="3"/>
  <c r="AW33" i="3"/>
  <c r="E163" i="2"/>
  <c r="AV34" i="3"/>
  <c r="D164" i="2"/>
  <c r="I164" i="2" s="1"/>
  <c r="AW34" i="3"/>
  <c r="E164" i="2"/>
  <c r="AV35" i="3"/>
  <c r="D165" i="2"/>
  <c r="AW35" i="3"/>
  <c r="E165" i="2"/>
  <c r="AV36" i="3"/>
  <c r="D166" i="2"/>
  <c r="AW36" i="3"/>
  <c r="E166" i="2"/>
  <c r="G166" i="2" s="1"/>
  <c r="J166" i="2" s="1"/>
  <c r="AW37" i="3"/>
  <c r="AV37" i="3"/>
  <c r="D163" i="2"/>
  <c r="E161" i="2"/>
  <c r="D161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5" i="2"/>
  <c r="AU32" i="3"/>
  <c r="E155" i="2"/>
  <c r="I155" i="2" s="1"/>
  <c r="M155" i="2" s="1"/>
  <c r="AT33" i="3"/>
  <c r="D156" i="2"/>
  <c r="AU33" i="3"/>
  <c r="E156" i="2"/>
  <c r="AT34" i="3"/>
  <c r="D157" i="2"/>
  <c r="AU34" i="3"/>
  <c r="E157" i="2"/>
  <c r="I157" i="2" s="1"/>
  <c r="AT35" i="3"/>
  <c r="D158" i="2"/>
  <c r="AU35" i="3"/>
  <c r="E158" i="2"/>
  <c r="AT36" i="3"/>
  <c r="D159" i="2"/>
  <c r="AU36" i="3"/>
  <c r="E159" i="2"/>
  <c r="I159" i="2" s="1"/>
  <c r="E154" i="2"/>
  <c r="AU37" i="3"/>
  <c r="D154" i="2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/>
  <c r="AS31" i="3"/>
  <c r="E147" i="2"/>
  <c r="AR32" i="3"/>
  <c r="D148" i="2"/>
  <c r="AS32" i="3"/>
  <c r="E148" i="2"/>
  <c r="AR33" i="3"/>
  <c r="D149" i="2"/>
  <c r="AS33" i="3"/>
  <c r="E149" i="2"/>
  <c r="AR34" i="3"/>
  <c r="D150" i="2"/>
  <c r="AS34" i="3"/>
  <c r="E150" i="2"/>
  <c r="I150" i="2" s="1"/>
  <c r="AR35" i="3"/>
  <c r="D151" i="2"/>
  <c r="AS35" i="3"/>
  <c r="E151" i="2"/>
  <c r="AR36" i="3"/>
  <c r="D152" i="2"/>
  <c r="AS36" i="3"/>
  <c r="E152" i="2"/>
  <c r="G152" i="2" s="1"/>
  <c r="J152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/>
  <c r="AC31" i="3"/>
  <c r="E91" i="2"/>
  <c r="E97" i="2" s="1"/>
  <c r="AB32" i="3"/>
  <c r="AC32" i="3"/>
  <c r="AB33" i="3"/>
  <c r="AC33" i="3"/>
  <c r="AB34" i="3"/>
  <c r="AC34" i="3"/>
  <c r="AB35" i="3"/>
  <c r="AC35" i="3"/>
  <c r="AB36" i="3"/>
  <c r="AC36" i="3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7" i="2"/>
  <c r="I77" i="2" s="1"/>
  <c r="K77" i="2" s="1"/>
  <c r="Y31" i="3"/>
  <c r="E77" i="2"/>
  <c r="X32" i="3"/>
  <c r="Y32" i="3"/>
  <c r="X33" i="3"/>
  <c r="D79" i="2"/>
  <c r="G79" i="2" s="1"/>
  <c r="J79" i="2" s="1"/>
  <c r="Y33" i="3"/>
  <c r="E79" i="2"/>
  <c r="X34" i="3"/>
  <c r="D80" i="2"/>
  <c r="Y34" i="3"/>
  <c r="E80" i="2"/>
  <c r="X35" i="3"/>
  <c r="D81" i="2"/>
  <c r="Y35" i="3"/>
  <c r="E81" i="2"/>
  <c r="X36" i="3"/>
  <c r="D82" i="2"/>
  <c r="Y36" i="3"/>
  <c r="E82" i="2"/>
  <c r="E78" i="2"/>
  <c r="Y37" i="3"/>
  <c r="D78" i="2"/>
  <c r="G78" i="2" s="1"/>
  <c r="J78" i="2" s="1"/>
  <c r="X37" i="3"/>
  <c r="I82" i="2"/>
  <c r="M82" i="2" s="1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H45" i="3"/>
  <c r="A12" i="2"/>
  <c r="A19" i="2" s="1"/>
  <c r="A26" i="2" s="1"/>
  <c r="A33" i="2" s="1"/>
  <c r="A40" i="2" s="1"/>
  <c r="A47" i="2" s="1"/>
  <c r="A56" i="2" s="1"/>
  <c r="A63" i="2" s="1"/>
  <c r="A70" i="2" s="1"/>
  <c r="A77" i="2" s="1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A175" i="2" s="1"/>
  <c r="A182" i="2" s="1"/>
  <c r="A189" i="2" s="1"/>
  <c r="A196" i="2" s="1"/>
  <c r="A203" i="2" s="1"/>
  <c r="A210" i="2" s="1"/>
  <c r="A217" i="2" s="1"/>
  <c r="BD48" i="3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10" i="2"/>
  <c r="BE37" i="3"/>
  <c r="BD37" i="3"/>
  <c r="U12" i="4"/>
  <c r="U13" i="4"/>
  <c r="U14" i="4"/>
  <c r="U15" i="4"/>
  <c r="U16" i="4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/>
  <c r="R37" i="3"/>
  <c r="G20" i="4"/>
  <c r="BC31" i="3"/>
  <c r="BB31" i="3"/>
  <c r="E182" i="2"/>
  <c r="D182" i="2"/>
  <c r="E194" i="2"/>
  <c r="I194" i="2" s="1"/>
  <c r="D194" i="2"/>
  <c r="E193" i="2"/>
  <c r="D193" i="2"/>
  <c r="I193" i="2" s="1"/>
  <c r="E192" i="2"/>
  <c r="D192" i="2"/>
  <c r="E191" i="2"/>
  <c r="G191" i="2" s="1"/>
  <c r="J191" i="2" s="1"/>
  <c r="L191" i="2" s="1"/>
  <c r="D191" i="2"/>
  <c r="BF33" i="3"/>
  <c r="E190" i="2"/>
  <c r="G190" i="2" s="1"/>
  <c r="J190" i="2" s="1"/>
  <c r="D190" i="2"/>
  <c r="E189" i="2"/>
  <c r="D189" i="2"/>
  <c r="D198" i="2"/>
  <c r="G193" i="2"/>
  <c r="J193" i="2" s="1"/>
  <c r="BB53" i="3"/>
  <c r="BB52" i="3"/>
  <c r="BB51" i="3"/>
  <c r="BB50" i="3"/>
  <c r="BB49" i="3"/>
  <c r="BB48" i="3"/>
  <c r="BB45" i="3"/>
  <c r="AB10" i="4"/>
  <c r="BB44" i="3"/>
  <c r="AB9" i="4"/>
  <c r="BB43" i="3"/>
  <c r="BB42" i="3"/>
  <c r="BB41" i="3"/>
  <c r="BB40" i="3"/>
  <c r="BC35" i="3"/>
  <c r="E186" i="2"/>
  <c r="BC36" i="3"/>
  <c r="E187" i="2"/>
  <c r="G187" i="2" s="1"/>
  <c r="J187" i="2" s="1"/>
  <c r="BB36" i="3"/>
  <c r="D187" i="2"/>
  <c r="BB35" i="3"/>
  <c r="D186" i="2"/>
  <c r="BC34" i="3"/>
  <c r="E185" i="2"/>
  <c r="BB34" i="3"/>
  <c r="D185" i="2"/>
  <c r="G185" i="2" s="1"/>
  <c r="J185" i="2" s="1"/>
  <c r="BC33" i="3"/>
  <c r="BB33" i="3"/>
  <c r="BC32" i="3"/>
  <c r="BB32" i="3"/>
  <c r="E184" i="2"/>
  <c r="BC37" i="3"/>
  <c r="D184" i="2"/>
  <c r="BB37" i="3"/>
  <c r="D183" i="2"/>
  <c r="E183" i="2"/>
  <c r="AZ53" i="3"/>
  <c r="AZ52" i="3"/>
  <c r="AZ51" i="3"/>
  <c r="AZ50" i="3"/>
  <c r="AZ49" i="3"/>
  <c r="AZ48" i="3"/>
  <c r="AZ45" i="3"/>
  <c r="AA10" i="4"/>
  <c r="AZ44" i="3"/>
  <c r="AA9" i="4"/>
  <c r="AZ43" i="3"/>
  <c r="AZ42" i="3"/>
  <c r="AZ41" i="3"/>
  <c r="AZ40" i="3"/>
  <c r="BA36" i="3"/>
  <c r="E180" i="2"/>
  <c r="AZ36" i="3"/>
  <c r="D180" i="2"/>
  <c r="BA35" i="3"/>
  <c r="E179" i="2"/>
  <c r="G179" i="2" s="1"/>
  <c r="J179" i="2" s="1"/>
  <c r="L179" i="2" s="1"/>
  <c r="AZ35" i="3"/>
  <c r="D179" i="2"/>
  <c r="BA34" i="3"/>
  <c r="E178" i="2"/>
  <c r="AZ34" i="3"/>
  <c r="D178" i="2"/>
  <c r="BA33" i="3"/>
  <c r="AZ33" i="3"/>
  <c r="BA32" i="3"/>
  <c r="E176" i="2"/>
  <c r="AZ32" i="3"/>
  <c r="D176" i="2"/>
  <c r="BA31" i="3"/>
  <c r="AZ31" i="3"/>
  <c r="D177" i="2"/>
  <c r="AZ37" i="3"/>
  <c r="E177" i="2"/>
  <c r="BA37" i="3"/>
  <c r="D175" i="2"/>
  <c r="E175" i="2"/>
  <c r="I171" i="2"/>
  <c r="M171" i="2" s="1"/>
  <c r="G171" i="2"/>
  <c r="J171" i="2" s="1"/>
  <c r="L171" i="2" s="1"/>
  <c r="G172" i="2"/>
  <c r="J172" i="2" s="1"/>
  <c r="L172" i="2" s="1"/>
  <c r="I173" i="2"/>
  <c r="M173" i="2" s="1"/>
  <c r="J173" i="2"/>
  <c r="L173" i="2" s="1"/>
  <c r="U10" i="4"/>
  <c r="U9" i="4"/>
  <c r="M169" i="2"/>
  <c r="T10" i="4"/>
  <c r="T9" i="4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/>
  <c r="AD36" i="3"/>
  <c r="D103" i="2"/>
  <c r="G103" i="2" s="1"/>
  <c r="J103" i="2" s="1"/>
  <c r="AE35" i="3"/>
  <c r="E102" i="2"/>
  <c r="AD35" i="3"/>
  <c r="D102" i="2"/>
  <c r="AE34" i="3"/>
  <c r="E101" i="2"/>
  <c r="AD34" i="3"/>
  <c r="D101" i="2"/>
  <c r="I101" i="2" s="1"/>
  <c r="K101" i="2" s="1"/>
  <c r="AE33" i="3"/>
  <c r="E100" i="2"/>
  <c r="AD33" i="3"/>
  <c r="D100" i="2"/>
  <c r="AE32" i="3"/>
  <c r="E99" i="2"/>
  <c r="AD32" i="3"/>
  <c r="D99" i="2"/>
  <c r="I99" i="2" s="1"/>
  <c r="AE31" i="3"/>
  <c r="E98" i="2"/>
  <c r="AD31" i="3"/>
  <c r="D98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/>
  <c r="N195" i="2" s="1"/>
  <c r="F230" i="2"/>
  <c r="Z19" i="4"/>
  <c r="Z21" i="4"/>
  <c r="Z20" i="4"/>
  <c r="L82" i="1"/>
  <c r="L83" i="1"/>
  <c r="L84" i="1"/>
  <c r="L85" i="1"/>
  <c r="K82" i="1"/>
  <c r="K83" i="1"/>
  <c r="K84" i="1"/>
  <c r="K85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G4" i="13"/>
  <c r="D21" i="4"/>
  <c r="B11" i="11"/>
  <c r="D20" i="4"/>
  <c r="D19" i="4"/>
  <c r="D29" i="4" s="1"/>
  <c r="D32" i="4" s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G29" i="4" s="1"/>
  <c r="F21" i="4"/>
  <c r="E21" i="4"/>
  <c r="I21" i="4"/>
  <c r="H21" i="4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AA88" i="1"/>
  <c r="Z88" i="1"/>
  <c r="N181" i="2"/>
  <c r="Y88" i="1"/>
  <c r="X88" i="1"/>
  <c r="W88" i="1"/>
  <c r="V88" i="1"/>
  <c r="T88" i="1"/>
  <c r="AD19" i="4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/>
  <c r="N118" i="2" s="1"/>
  <c r="M88" i="1"/>
  <c r="L88" i="1"/>
  <c r="J88" i="1"/>
  <c r="N88" i="1"/>
  <c r="I88" i="1"/>
  <c r="H88" i="1"/>
  <c r="G88" i="1"/>
  <c r="N46" i="2" s="1"/>
  <c r="F88" i="1"/>
  <c r="D88" i="1"/>
  <c r="C88" i="1"/>
  <c r="AC19" i="4"/>
  <c r="AC29" i="4" s="1"/>
  <c r="AB20" i="4"/>
  <c r="AB19" i="4"/>
  <c r="AA20" i="4"/>
  <c r="AA19" i="4"/>
  <c r="Y20" i="4"/>
  <c r="X20" i="4"/>
  <c r="W20" i="4"/>
  <c r="X19" i="4"/>
  <c r="W19" i="4"/>
  <c r="V19" i="4"/>
  <c r="V29" i="4" s="1"/>
  <c r="U20" i="4"/>
  <c r="T20" i="4"/>
  <c r="U19" i="4"/>
  <c r="T19" i="4"/>
  <c r="S19" i="4"/>
  <c r="S20" i="4"/>
  <c r="S29" i="4" s="1"/>
  <c r="S31" i="4" s="1"/>
  <c r="R20" i="4"/>
  <c r="R19" i="4"/>
  <c r="Q20" i="4"/>
  <c r="Q19" i="4"/>
  <c r="P20" i="4"/>
  <c r="P19" i="4"/>
  <c r="O19" i="4"/>
  <c r="N20" i="4"/>
  <c r="N19" i="4"/>
  <c r="M19" i="4"/>
  <c r="L19" i="4"/>
  <c r="M20" i="4"/>
  <c r="L20" i="4"/>
  <c r="K20" i="4"/>
  <c r="K29" i="4" s="1"/>
  <c r="K32" i="4" s="1"/>
  <c r="K19" i="4"/>
  <c r="J20" i="4"/>
  <c r="I20" i="4"/>
  <c r="I19" i="4"/>
  <c r="H20" i="4"/>
  <c r="H29" i="4" s="1"/>
  <c r="H19" i="4"/>
  <c r="G19" i="4"/>
  <c r="F20" i="4"/>
  <c r="F19" i="4"/>
  <c r="E20" i="4"/>
  <c r="C20" i="4"/>
  <c r="C19" i="4"/>
  <c r="N18" i="2"/>
  <c r="B5" i="13" s="1"/>
  <c r="N104" i="2"/>
  <c r="N39" i="2"/>
  <c r="B8" i="13" s="1"/>
  <c r="N97" i="2"/>
  <c r="B16" i="13" s="1"/>
  <c r="N69" i="2"/>
  <c r="N90" i="2"/>
  <c r="B15" i="13" s="1"/>
  <c r="N62" i="2"/>
  <c r="B11" i="13" s="1"/>
  <c r="N32" i="2"/>
  <c r="B7" i="13" s="1"/>
  <c r="N83" i="2"/>
  <c r="B14" i="13" s="1"/>
  <c r="N55" i="2"/>
  <c r="B10" i="13" s="1"/>
  <c r="N25" i="2"/>
  <c r="B6" i="13" s="1"/>
  <c r="N188" i="2"/>
  <c r="N174" i="2"/>
  <c r="B27" i="13" s="1"/>
  <c r="N167" i="2"/>
  <c r="B26" i="13" s="1"/>
  <c r="N160" i="2"/>
  <c r="B25" i="13" s="1"/>
  <c r="N125" i="2"/>
  <c r="B20" i="13" s="1"/>
  <c r="N153" i="2"/>
  <c r="B24" i="13" s="1"/>
  <c r="N146" i="2"/>
  <c r="B23" i="13" s="1"/>
  <c r="N139" i="2"/>
  <c r="G8" i="13"/>
  <c r="V8" i="4"/>
  <c r="C239" i="2"/>
  <c r="B4" i="13"/>
  <c r="D60" i="2"/>
  <c r="T31" i="3"/>
  <c r="D63" i="2"/>
  <c r="G21" i="13"/>
  <c r="G15" i="13"/>
  <c r="G10" i="13"/>
  <c r="G16" i="13"/>
  <c r="G28" i="13"/>
  <c r="G19" i="13"/>
  <c r="G27" i="13"/>
  <c r="B239" i="2"/>
  <c r="D72" i="2"/>
  <c r="BF52" i="3"/>
  <c r="AH52" i="3"/>
  <c r="T52" i="3"/>
  <c r="L52" i="3"/>
  <c r="J52" i="3"/>
  <c r="H52" i="3"/>
  <c r="F52" i="3"/>
  <c r="D52" i="3"/>
  <c r="BF44" i="3"/>
  <c r="AD9" i="4"/>
  <c r="AC9" i="4"/>
  <c r="Z9" i="4"/>
  <c r="Y9" i="4"/>
  <c r="X9" i="4"/>
  <c r="W9" i="4"/>
  <c r="V9" i="4"/>
  <c r="S9" i="4"/>
  <c r="AH44" i="3"/>
  <c r="R9" i="4"/>
  <c r="Q9" i="4"/>
  <c r="P9" i="4"/>
  <c r="O9" i="4"/>
  <c r="N9" i="4"/>
  <c r="M9" i="4"/>
  <c r="L9" i="4"/>
  <c r="T44" i="3"/>
  <c r="K9" i="4"/>
  <c r="J9" i="4"/>
  <c r="I9" i="4"/>
  <c r="H9" i="4"/>
  <c r="L44" i="3"/>
  <c r="G9" i="4"/>
  <c r="J44" i="3"/>
  <c r="F9" i="4"/>
  <c r="H44" i="3"/>
  <c r="E9" i="4"/>
  <c r="F44" i="3"/>
  <c r="D9" i="4"/>
  <c r="D44" i="3"/>
  <c r="C9" i="4"/>
  <c r="BG35" i="3"/>
  <c r="E200" i="2"/>
  <c r="BF35" i="3"/>
  <c r="E144" i="2"/>
  <c r="D144" i="2"/>
  <c r="E137" i="2"/>
  <c r="D137" i="2"/>
  <c r="E130" i="2"/>
  <c r="G130" i="2" s="1"/>
  <c r="D130" i="2"/>
  <c r="E123" i="2"/>
  <c r="D123" i="2"/>
  <c r="I123" i="2" s="1"/>
  <c r="AI35" i="3"/>
  <c r="E116" i="2"/>
  <c r="AH35" i="3"/>
  <c r="D116" i="2"/>
  <c r="E109" i="2"/>
  <c r="I109" i="2" s="1"/>
  <c r="D109" i="2"/>
  <c r="E95" i="2"/>
  <c r="D95" i="2"/>
  <c r="I95" i="2" s="1"/>
  <c r="E88" i="2"/>
  <c r="D88" i="2"/>
  <c r="I88" i="2" s="1"/>
  <c r="E74" i="2"/>
  <c r="D74" i="2"/>
  <c r="U35" i="3"/>
  <c r="E67" i="2"/>
  <c r="T35" i="3"/>
  <c r="D67" i="2"/>
  <c r="E60" i="2"/>
  <c r="E44" i="2"/>
  <c r="D44" i="2"/>
  <c r="I44" i="2" s="1"/>
  <c r="M35" i="3"/>
  <c r="E37" i="2"/>
  <c r="G37" i="2" s="1"/>
  <c r="J37" i="2" s="1"/>
  <c r="L35" i="3"/>
  <c r="D37" i="2"/>
  <c r="K35" i="3"/>
  <c r="E30" i="2"/>
  <c r="J35" i="3"/>
  <c r="D30" i="2"/>
  <c r="I30" i="2" s="1"/>
  <c r="M30" i="2" s="1"/>
  <c r="I35" i="3"/>
  <c r="E23" i="2"/>
  <c r="H35" i="3"/>
  <c r="D23" i="2"/>
  <c r="G35" i="3"/>
  <c r="E16" i="2"/>
  <c r="F35" i="3"/>
  <c r="D16" i="2"/>
  <c r="G16" i="2" s="1"/>
  <c r="J16" i="2" s="1"/>
  <c r="E35" i="3"/>
  <c r="E9" i="2"/>
  <c r="I9" i="2" s="1"/>
  <c r="M9" i="2" s="1"/>
  <c r="D35" i="3"/>
  <c r="D9" i="2"/>
  <c r="D134" i="2"/>
  <c r="E134" i="2"/>
  <c r="D135" i="2"/>
  <c r="E135" i="2"/>
  <c r="G135" i="2" s="1"/>
  <c r="J135" i="2" s="1"/>
  <c r="D136" i="2"/>
  <c r="E136" i="2"/>
  <c r="D138" i="2"/>
  <c r="E138" i="2"/>
  <c r="L31" i="3"/>
  <c r="L32" i="3"/>
  <c r="D34" i="2"/>
  <c r="L33" i="3"/>
  <c r="D35" i="2"/>
  <c r="L34" i="3"/>
  <c r="D36" i="2"/>
  <c r="L36" i="3"/>
  <c r="D38" i="2"/>
  <c r="L40" i="3"/>
  <c r="BG32" i="3"/>
  <c r="BF32" i="3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/>
  <c r="O16" i="4"/>
  <c r="O15" i="4"/>
  <c r="O14" i="4"/>
  <c r="O13" i="4"/>
  <c r="O12" i="4"/>
  <c r="E96" i="2"/>
  <c r="D96" i="2"/>
  <c r="I96" i="2" s="1"/>
  <c r="E94" i="2"/>
  <c r="D94" i="2"/>
  <c r="E93" i="2"/>
  <c r="D93" i="2"/>
  <c r="E92" i="2"/>
  <c r="D92" i="2"/>
  <c r="E89" i="2"/>
  <c r="D89" i="2"/>
  <c r="I89" i="2" s="1"/>
  <c r="E87" i="2"/>
  <c r="D87" i="2"/>
  <c r="E86" i="2"/>
  <c r="D86" i="2"/>
  <c r="E85" i="2"/>
  <c r="D85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40" i="2"/>
  <c r="BF53" i="3"/>
  <c r="AA16" i="4"/>
  <c r="Z16" i="4"/>
  <c r="Y16" i="4"/>
  <c r="X16" i="4"/>
  <c r="W16" i="4"/>
  <c r="V16" i="4"/>
  <c r="T16" i="4"/>
  <c r="S16" i="4"/>
  <c r="AH53" i="3"/>
  <c r="R16" i="4"/>
  <c r="Q16" i="4"/>
  <c r="P16" i="4"/>
  <c r="M16" i="4"/>
  <c r="L16" i="4"/>
  <c r="T53" i="3"/>
  <c r="K16" i="4"/>
  <c r="J16" i="4"/>
  <c r="I16" i="4"/>
  <c r="H16" i="4"/>
  <c r="L53" i="3"/>
  <c r="G16" i="4"/>
  <c r="J53" i="3"/>
  <c r="F16" i="4"/>
  <c r="H53" i="3"/>
  <c r="E16" i="4"/>
  <c r="F53" i="3"/>
  <c r="D16" i="4"/>
  <c r="D53" i="3"/>
  <c r="C16" i="4"/>
  <c r="BF51" i="3"/>
  <c r="AA15" i="4"/>
  <c r="Z15" i="4"/>
  <c r="Y15" i="4"/>
  <c r="X15" i="4"/>
  <c r="W15" i="4"/>
  <c r="V15" i="4"/>
  <c r="T15" i="4"/>
  <c r="S15" i="4"/>
  <c r="AH51" i="3"/>
  <c r="R15" i="4"/>
  <c r="Q15" i="4"/>
  <c r="P15" i="4"/>
  <c r="M15" i="4"/>
  <c r="L15" i="4"/>
  <c r="T51" i="3"/>
  <c r="K15" i="4"/>
  <c r="J15" i="4"/>
  <c r="I15" i="4"/>
  <c r="H15" i="4"/>
  <c r="L51" i="3"/>
  <c r="G15" i="4"/>
  <c r="J51" i="3"/>
  <c r="F15" i="4"/>
  <c r="H51" i="3"/>
  <c r="E15" i="4"/>
  <c r="F51" i="3"/>
  <c r="D51" i="3"/>
  <c r="C15" i="4"/>
  <c r="BF50" i="3"/>
  <c r="AA14" i="4"/>
  <c r="Z14" i="4"/>
  <c r="Y14" i="4"/>
  <c r="X14" i="4"/>
  <c r="W14" i="4"/>
  <c r="V14" i="4"/>
  <c r="T14" i="4"/>
  <c r="S14" i="4"/>
  <c r="AH50" i="3"/>
  <c r="R14" i="4"/>
  <c r="Q14" i="4"/>
  <c r="P14" i="4"/>
  <c r="M14" i="4"/>
  <c r="L14" i="4"/>
  <c r="T50" i="3"/>
  <c r="K14" i="4"/>
  <c r="J14" i="4"/>
  <c r="I14" i="4"/>
  <c r="H14" i="4"/>
  <c r="L50" i="3"/>
  <c r="G14" i="4"/>
  <c r="J50" i="3"/>
  <c r="F14" i="4"/>
  <c r="H50" i="3"/>
  <c r="E14" i="4"/>
  <c r="F50" i="3"/>
  <c r="D50" i="3"/>
  <c r="C14" i="4"/>
  <c r="BF49" i="3"/>
  <c r="AD13" i="4"/>
  <c r="AA13" i="4"/>
  <c r="Z13" i="4"/>
  <c r="Y13" i="4"/>
  <c r="X13" i="4"/>
  <c r="W13" i="4"/>
  <c r="V13" i="4"/>
  <c r="T13" i="4"/>
  <c r="S13" i="4"/>
  <c r="AH49" i="3"/>
  <c r="R13" i="4"/>
  <c r="Q13" i="4"/>
  <c r="P13" i="4"/>
  <c r="M13" i="4"/>
  <c r="L13" i="4"/>
  <c r="T49" i="3"/>
  <c r="K13" i="4"/>
  <c r="J13" i="4"/>
  <c r="I13" i="4"/>
  <c r="H13" i="4"/>
  <c r="L49" i="3"/>
  <c r="G13" i="4"/>
  <c r="J49" i="3"/>
  <c r="F13" i="4"/>
  <c r="H49" i="3"/>
  <c r="E13" i="4"/>
  <c r="F49" i="3"/>
  <c r="D13" i="4"/>
  <c r="D49" i="3"/>
  <c r="C13" i="4"/>
  <c r="BF48" i="3"/>
  <c r="AA12" i="4"/>
  <c r="Z12" i="4"/>
  <c r="Y12" i="4"/>
  <c r="X12" i="4"/>
  <c r="W12" i="4"/>
  <c r="V12" i="4"/>
  <c r="T12" i="4"/>
  <c r="S12" i="4"/>
  <c r="AH48" i="3"/>
  <c r="R12" i="4"/>
  <c r="Q12" i="4"/>
  <c r="P12" i="4"/>
  <c r="M12" i="4"/>
  <c r="L12" i="4"/>
  <c r="J12" i="4"/>
  <c r="L48" i="3"/>
  <c r="J48" i="3"/>
  <c r="F12" i="4"/>
  <c r="H48" i="3"/>
  <c r="E12" i="4"/>
  <c r="F48" i="3"/>
  <c r="D12" i="4"/>
  <c r="D48" i="3"/>
  <c r="C12" i="4"/>
  <c r="BF45" i="3"/>
  <c r="AD10" i="4"/>
  <c r="Z10" i="4"/>
  <c r="Y10" i="4"/>
  <c r="X10" i="4"/>
  <c r="W10" i="4"/>
  <c r="V10" i="4"/>
  <c r="S10" i="4"/>
  <c r="AH45" i="3"/>
  <c r="R10" i="4"/>
  <c r="Q10" i="4"/>
  <c r="P10" i="4"/>
  <c r="M10" i="4"/>
  <c r="L10" i="4"/>
  <c r="T45" i="3"/>
  <c r="K10" i="4"/>
  <c r="J10" i="4"/>
  <c r="L45" i="3"/>
  <c r="J45" i="3"/>
  <c r="F10" i="4"/>
  <c r="E10" i="4"/>
  <c r="F45" i="3"/>
  <c r="D10" i="4"/>
  <c r="D45" i="3"/>
  <c r="C10" i="4"/>
  <c r="BF43" i="3"/>
  <c r="AA8" i="4"/>
  <c r="Z8" i="4"/>
  <c r="Y8" i="4"/>
  <c r="X8" i="4"/>
  <c r="W8" i="4"/>
  <c r="U8" i="4"/>
  <c r="T8" i="4"/>
  <c r="S8" i="4"/>
  <c r="AH43" i="3"/>
  <c r="R8" i="4"/>
  <c r="Q8" i="4"/>
  <c r="P8" i="4"/>
  <c r="M8" i="4"/>
  <c r="L8" i="4"/>
  <c r="T43" i="3"/>
  <c r="K8" i="4"/>
  <c r="J8" i="4"/>
  <c r="L43" i="3"/>
  <c r="J43" i="3"/>
  <c r="F8" i="4"/>
  <c r="H43" i="3"/>
  <c r="E8" i="4"/>
  <c r="F43" i="3"/>
  <c r="D8" i="4"/>
  <c r="D43" i="3"/>
  <c r="C8" i="4"/>
  <c r="BF42" i="3"/>
  <c r="AA7" i="4"/>
  <c r="Z7" i="4"/>
  <c r="Y7" i="4"/>
  <c r="X7" i="4"/>
  <c r="W7" i="4"/>
  <c r="V7" i="4"/>
  <c r="U7" i="4"/>
  <c r="T7" i="4"/>
  <c r="S7" i="4"/>
  <c r="AH42" i="3"/>
  <c r="R7" i="4"/>
  <c r="Q7" i="4"/>
  <c r="P7" i="4"/>
  <c r="M7" i="4"/>
  <c r="L7" i="4"/>
  <c r="T42" i="3"/>
  <c r="K7" i="4"/>
  <c r="J7" i="4"/>
  <c r="L42" i="3"/>
  <c r="J42" i="3"/>
  <c r="F7" i="4"/>
  <c r="H42" i="3"/>
  <c r="E7" i="4"/>
  <c r="F42" i="3"/>
  <c r="D7" i="4"/>
  <c r="D42" i="3"/>
  <c r="C7" i="4"/>
  <c r="BF41" i="3"/>
  <c r="AA6" i="4"/>
  <c r="Z6" i="4"/>
  <c r="Y6" i="4"/>
  <c r="X6" i="4"/>
  <c r="W6" i="4"/>
  <c r="V6" i="4"/>
  <c r="U6" i="4"/>
  <c r="T6" i="4"/>
  <c r="S6" i="4"/>
  <c r="AH41" i="3"/>
  <c r="R6" i="4"/>
  <c r="Q6" i="4"/>
  <c r="P6" i="4"/>
  <c r="M6" i="4"/>
  <c r="L6" i="4"/>
  <c r="T41" i="3"/>
  <c r="K6" i="4"/>
  <c r="J6" i="4"/>
  <c r="L41" i="3"/>
  <c r="J41" i="3"/>
  <c r="F6" i="4"/>
  <c r="H41" i="3"/>
  <c r="E6" i="4"/>
  <c r="F41" i="3"/>
  <c r="D6" i="4"/>
  <c r="D41" i="3"/>
  <c r="C6" i="4"/>
  <c r="BF40" i="3"/>
  <c r="AA5" i="4"/>
  <c r="Z5" i="4"/>
  <c r="Y5" i="4"/>
  <c r="X5" i="4"/>
  <c r="W5" i="4"/>
  <c r="V5" i="4"/>
  <c r="U5" i="4"/>
  <c r="T5" i="4"/>
  <c r="S5" i="4"/>
  <c r="AH40" i="3"/>
  <c r="R5" i="4"/>
  <c r="Q5" i="4"/>
  <c r="P5" i="4"/>
  <c r="M5" i="4"/>
  <c r="L5" i="4"/>
  <c r="T40" i="3"/>
  <c r="K5" i="4"/>
  <c r="J5" i="4"/>
  <c r="J40" i="3"/>
  <c r="F5" i="4"/>
  <c r="H40" i="3"/>
  <c r="E5" i="4"/>
  <c r="F40" i="3"/>
  <c r="D5" i="4"/>
  <c r="D40" i="3"/>
  <c r="C5" i="4"/>
  <c r="BG36" i="3"/>
  <c r="E201" i="2"/>
  <c r="BF36" i="3"/>
  <c r="D201" i="2"/>
  <c r="E145" i="2"/>
  <c r="D145" i="2"/>
  <c r="G145" i="2" s="1"/>
  <c r="J145" i="2" s="1"/>
  <c r="E131" i="2"/>
  <c r="D131" i="2"/>
  <c r="E124" i="2"/>
  <c r="D124" i="2"/>
  <c r="AI36" i="3"/>
  <c r="E117" i="2"/>
  <c r="AH36" i="3"/>
  <c r="D117" i="2"/>
  <c r="I117" i="2" s="1"/>
  <c r="E110" i="2"/>
  <c r="D110" i="2"/>
  <c r="E75" i="2"/>
  <c r="D75" i="2"/>
  <c r="U36" i="3"/>
  <c r="E68" i="2"/>
  <c r="T36" i="3"/>
  <c r="D68" i="2"/>
  <c r="G68" i="2" s="1"/>
  <c r="J68" i="2" s="1"/>
  <c r="E61" i="2"/>
  <c r="D61" i="2"/>
  <c r="E45" i="2"/>
  <c r="D45" i="2"/>
  <c r="M36" i="3"/>
  <c r="E38" i="2"/>
  <c r="K36" i="3"/>
  <c r="E31" i="2"/>
  <c r="J36" i="3"/>
  <c r="D31" i="2"/>
  <c r="I36" i="3"/>
  <c r="E24" i="2"/>
  <c r="H36" i="3"/>
  <c r="D24" i="2"/>
  <c r="G36" i="3"/>
  <c r="E17" i="2"/>
  <c r="F36" i="3"/>
  <c r="D17" i="2"/>
  <c r="E36" i="3"/>
  <c r="E10" i="2"/>
  <c r="D36" i="3"/>
  <c r="D10" i="2"/>
  <c r="BG34" i="3"/>
  <c r="E199" i="2"/>
  <c r="G199" i="2" s="1"/>
  <c r="J199" i="2" s="1"/>
  <c r="L199" i="2" s="1"/>
  <c r="BF34" i="3"/>
  <c r="D199" i="2"/>
  <c r="E143" i="2"/>
  <c r="D143" i="2"/>
  <c r="I143" i="2" s="1"/>
  <c r="M143" i="2" s="1"/>
  <c r="E129" i="2"/>
  <c r="D129" i="2"/>
  <c r="E122" i="2"/>
  <c r="D122" i="2"/>
  <c r="I122" i="2" s="1"/>
  <c r="K122" i="2" s="1"/>
  <c r="AI34" i="3"/>
  <c r="E115" i="2"/>
  <c r="AH34" i="3"/>
  <c r="D115" i="2"/>
  <c r="E108" i="2"/>
  <c r="D108" i="2"/>
  <c r="E73" i="2"/>
  <c r="D73" i="2"/>
  <c r="G73" i="2" s="1"/>
  <c r="J73" i="2" s="1"/>
  <c r="L73" i="2" s="1"/>
  <c r="U34" i="3"/>
  <c r="E66" i="2"/>
  <c r="T34" i="3"/>
  <c r="D66" i="2"/>
  <c r="E59" i="2"/>
  <c r="D59" i="2"/>
  <c r="E43" i="2"/>
  <c r="D43" i="2"/>
  <c r="I43" i="2" s="1"/>
  <c r="M34" i="3"/>
  <c r="E36" i="2"/>
  <c r="I36" i="2" s="1"/>
  <c r="K34" i="3"/>
  <c r="E29" i="2"/>
  <c r="J34" i="3"/>
  <c r="D29" i="2"/>
  <c r="I34" i="3"/>
  <c r="E22" i="2"/>
  <c r="I22" i="2" s="1"/>
  <c r="H34" i="3"/>
  <c r="D22" i="2"/>
  <c r="G34" i="3"/>
  <c r="E15" i="2"/>
  <c r="F34" i="3"/>
  <c r="D15" i="2"/>
  <c r="E34" i="3"/>
  <c r="E8" i="2"/>
  <c r="D34" i="3"/>
  <c r="D8" i="2"/>
  <c r="BG33" i="3"/>
  <c r="E142" i="2"/>
  <c r="D142" i="2"/>
  <c r="E128" i="2"/>
  <c r="D128" i="2"/>
  <c r="I128" i="2" s="1"/>
  <c r="E121" i="2"/>
  <c r="D121" i="2"/>
  <c r="AI33" i="3"/>
  <c r="E114" i="2"/>
  <c r="AH33" i="3"/>
  <c r="D114" i="2"/>
  <c r="E107" i="2"/>
  <c r="D107" i="2"/>
  <c r="I107" i="2" s="1"/>
  <c r="M107" i="2" s="1"/>
  <c r="U33" i="3"/>
  <c r="E65" i="2"/>
  <c r="T33" i="3"/>
  <c r="D65" i="2"/>
  <c r="E58" i="2"/>
  <c r="D58" i="2"/>
  <c r="E42" i="2"/>
  <c r="D42" i="2"/>
  <c r="M33" i="3"/>
  <c r="E35" i="2"/>
  <c r="K33" i="3"/>
  <c r="E28" i="2"/>
  <c r="J33" i="3"/>
  <c r="D28" i="2"/>
  <c r="I33" i="3"/>
  <c r="E21" i="2"/>
  <c r="H33" i="3"/>
  <c r="D21" i="2"/>
  <c r="G21" i="2" s="1"/>
  <c r="J21" i="2" s="1"/>
  <c r="L21" i="2" s="1"/>
  <c r="G33" i="3"/>
  <c r="E14" i="2"/>
  <c r="F33" i="3"/>
  <c r="D14" i="2"/>
  <c r="E33" i="3"/>
  <c r="E7" i="2"/>
  <c r="D33" i="3"/>
  <c r="E141" i="2"/>
  <c r="D141" i="2"/>
  <c r="E127" i="2"/>
  <c r="D127" i="2"/>
  <c r="I127" i="2" s="1"/>
  <c r="M127" i="2" s="1"/>
  <c r="E120" i="2"/>
  <c r="D120" i="2"/>
  <c r="AI32" i="3"/>
  <c r="E113" i="2"/>
  <c r="AH32" i="3"/>
  <c r="D113" i="2"/>
  <c r="E106" i="2"/>
  <c r="D106" i="2"/>
  <c r="I106" i="2" s="1"/>
  <c r="M106" i="2" s="1"/>
  <c r="E71" i="2"/>
  <c r="D71" i="2"/>
  <c r="U32" i="3"/>
  <c r="E64" i="2"/>
  <c r="I64" i="2" s="1"/>
  <c r="M64" i="2" s="1"/>
  <c r="T32" i="3"/>
  <c r="D64" i="2"/>
  <c r="E57" i="2"/>
  <c r="D57" i="2"/>
  <c r="E41" i="2"/>
  <c r="D41" i="2"/>
  <c r="M32" i="3"/>
  <c r="E34" i="2"/>
  <c r="K32" i="3"/>
  <c r="E27" i="2"/>
  <c r="J32" i="3"/>
  <c r="D27" i="2"/>
  <c r="I32" i="3"/>
  <c r="E20" i="2"/>
  <c r="H32" i="3"/>
  <c r="D20" i="2"/>
  <c r="I20" i="2" s="1"/>
  <c r="G32" i="3"/>
  <c r="E13" i="2"/>
  <c r="F32" i="3"/>
  <c r="D13" i="2"/>
  <c r="E32" i="3"/>
  <c r="E6" i="2"/>
  <c r="D32" i="3"/>
  <c r="D6" i="2"/>
  <c r="I6" i="2" s="1"/>
  <c r="M6" i="2" s="1"/>
  <c r="BG31" i="3"/>
  <c r="BF31" i="3"/>
  <c r="E140" i="2"/>
  <c r="I140" i="2" s="1"/>
  <c r="E126" i="2"/>
  <c r="D126" i="2"/>
  <c r="E119" i="2"/>
  <c r="D119" i="2"/>
  <c r="G119" i="2" s="1"/>
  <c r="J119" i="2" s="1"/>
  <c r="AI31" i="3"/>
  <c r="E112" i="2"/>
  <c r="I112" i="2" s="1"/>
  <c r="AH31" i="3"/>
  <c r="D112" i="2"/>
  <c r="E70" i="2"/>
  <c r="D70" i="2"/>
  <c r="U31" i="3"/>
  <c r="D56" i="2"/>
  <c r="M31" i="3"/>
  <c r="K31" i="3"/>
  <c r="J31" i="3"/>
  <c r="D26" i="2"/>
  <c r="I31" i="3"/>
  <c r="H31" i="3"/>
  <c r="G31" i="3"/>
  <c r="F31" i="3"/>
  <c r="E31" i="3"/>
  <c r="D31" i="3"/>
  <c r="D5" i="2"/>
  <c r="X30" i="4"/>
  <c r="AA30" i="4"/>
  <c r="AB30" i="4"/>
  <c r="Y30" i="4"/>
  <c r="Z30" i="4"/>
  <c r="Q30" i="4"/>
  <c r="AC30" i="4"/>
  <c r="Y28" i="4"/>
  <c r="Y33" i="4"/>
  <c r="Y27" i="4"/>
  <c r="AA27" i="4"/>
  <c r="AA28" i="4"/>
  <c r="AA33" i="4"/>
  <c r="AB27" i="4"/>
  <c r="AC28" i="4"/>
  <c r="AC33" i="4"/>
  <c r="AB28" i="4"/>
  <c r="AB33" i="4"/>
  <c r="E198" i="2"/>
  <c r="BG37" i="3"/>
  <c r="AC27" i="4"/>
  <c r="Z27" i="4"/>
  <c r="Z28" i="4"/>
  <c r="Z33" i="4"/>
  <c r="D200" i="2"/>
  <c r="BF37" i="3"/>
  <c r="T29" i="4"/>
  <c r="T31" i="4" s="1"/>
  <c r="W29" i="4"/>
  <c r="W32" i="4" s="1"/>
  <c r="X27" i="4"/>
  <c r="X28" i="4"/>
  <c r="Q28" i="4"/>
  <c r="Q33" i="4"/>
  <c r="Q27" i="4"/>
  <c r="C28" i="4"/>
  <c r="C27" i="4"/>
  <c r="D7" i="2"/>
  <c r="D37" i="3"/>
  <c r="E30" i="4"/>
  <c r="D30" i="4"/>
  <c r="J30" i="4"/>
  <c r="C30" i="4"/>
  <c r="M30" i="4"/>
  <c r="J28" i="4"/>
  <c r="J33" i="4"/>
  <c r="J27" i="4"/>
  <c r="M28" i="4"/>
  <c r="M33" i="4"/>
  <c r="M27" i="4"/>
  <c r="I24" i="2"/>
  <c r="K24" i="2" s="1"/>
  <c r="D12" i="2"/>
  <c r="F37" i="3"/>
  <c r="E12" i="2"/>
  <c r="G37" i="3"/>
  <c r="D27" i="4"/>
  <c r="E5" i="2"/>
  <c r="E37" i="3"/>
  <c r="I37" i="3"/>
  <c r="E27" i="4"/>
  <c r="D19" i="2"/>
  <c r="H37" i="3"/>
  <c r="E28" i="4"/>
  <c r="E33" i="4"/>
  <c r="L30" i="4"/>
  <c r="E63" i="2"/>
  <c r="U37" i="3"/>
  <c r="E72" i="2"/>
  <c r="L27" i="4"/>
  <c r="L28" i="4"/>
  <c r="L33" i="4"/>
  <c r="V37" i="3"/>
  <c r="W37" i="3"/>
  <c r="U30" i="4"/>
  <c r="T30" i="4"/>
  <c r="I197" i="2"/>
  <c r="K197" i="2" s="1"/>
  <c r="G197" i="2"/>
  <c r="J197" i="2" s="1"/>
  <c r="L197" i="2" s="1"/>
  <c r="I151" i="2"/>
  <c r="M151" i="2" s="1"/>
  <c r="G151" i="2"/>
  <c r="J151" i="2" s="1"/>
  <c r="L151" i="2" s="1"/>
  <c r="G149" i="2"/>
  <c r="J149" i="2" s="1"/>
  <c r="L149" i="2" s="1"/>
  <c r="I149" i="2"/>
  <c r="K149" i="2" s="1"/>
  <c r="I147" i="2"/>
  <c r="M147" i="2" s="1"/>
  <c r="G147" i="2"/>
  <c r="J147" i="2" s="1"/>
  <c r="I148" i="2"/>
  <c r="M148" i="2" s="1"/>
  <c r="G148" i="2"/>
  <c r="J148" i="2"/>
  <c r="I162" i="2"/>
  <c r="G161" i="2"/>
  <c r="I124" i="2"/>
  <c r="K124" i="2" s="1"/>
  <c r="G122" i="2"/>
  <c r="J122" i="2" s="1"/>
  <c r="L122" i="2" s="1"/>
  <c r="G123" i="2"/>
  <c r="J123" i="2" s="1"/>
  <c r="L123" i="2" s="1"/>
  <c r="G113" i="2"/>
  <c r="J113" i="2" s="1"/>
  <c r="W113" i="2" s="1"/>
  <c r="I91" i="2"/>
  <c r="M91" i="2" s="1"/>
  <c r="G91" i="2"/>
  <c r="J91" i="2" s="1"/>
  <c r="W91" i="2" s="1"/>
  <c r="I92" i="2"/>
  <c r="P30" i="4"/>
  <c r="O30" i="4"/>
  <c r="R30" i="4"/>
  <c r="V30" i="4"/>
  <c r="S30" i="4"/>
  <c r="W30" i="4"/>
  <c r="N30" i="4"/>
  <c r="K30" i="4"/>
  <c r="F30" i="4"/>
  <c r="N28" i="4"/>
  <c r="N33" i="4"/>
  <c r="I130" i="2"/>
  <c r="M130" i="2" s="1"/>
  <c r="J130" i="2"/>
  <c r="I15" i="2"/>
  <c r="K15" i="2" s="1"/>
  <c r="E33" i="2"/>
  <c r="I33" i="2" s="1"/>
  <c r="M37" i="3"/>
  <c r="Q37" i="3"/>
  <c r="AH37" i="3"/>
  <c r="T37" i="3"/>
  <c r="E84" i="2"/>
  <c r="E90" i="2" s="1"/>
  <c r="AA37" i="3"/>
  <c r="D40" i="2"/>
  <c r="N37" i="3"/>
  <c r="AI37" i="3"/>
  <c r="AP37" i="3"/>
  <c r="AB37" i="3"/>
  <c r="J37" i="3"/>
  <c r="E40" i="2"/>
  <c r="O37" i="3"/>
  <c r="E56" i="2"/>
  <c r="D105" i="2"/>
  <c r="AJ37" i="3"/>
  <c r="AQ37" i="3"/>
  <c r="AC37" i="3"/>
  <c r="E133" i="2"/>
  <c r="AO37" i="3"/>
  <c r="AD37" i="3"/>
  <c r="AL37" i="3"/>
  <c r="E153" i="2"/>
  <c r="AS37" i="3"/>
  <c r="E19" i="2"/>
  <c r="AE37" i="3"/>
  <c r="AM37" i="3"/>
  <c r="D33" i="2"/>
  <c r="L37" i="3"/>
  <c r="E26" i="2"/>
  <c r="I26" i="2" s="1"/>
  <c r="M26" i="2" s="1"/>
  <c r="K37" i="3"/>
  <c r="P37" i="3"/>
  <c r="AK37" i="3"/>
  <c r="AR37" i="3"/>
  <c r="D84" i="2"/>
  <c r="Z37" i="3"/>
  <c r="D133" i="2"/>
  <c r="AN37" i="3"/>
  <c r="K28" i="4"/>
  <c r="K33" i="4"/>
  <c r="K27" i="4"/>
  <c r="AD5" i="4"/>
  <c r="AD6" i="4"/>
  <c r="AD7" i="4"/>
  <c r="AD8" i="4"/>
  <c r="AD12" i="4"/>
  <c r="AD14" i="4"/>
  <c r="AD15" i="4"/>
  <c r="AD16" i="4"/>
  <c r="G60" i="2"/>
  <c r="J60" i="2" s="1"/>
  <c r="L60" i="2" s="1"/>
  <c r="G42" i="2"/>
  <c r="J42" i="2" s="1"/>
  <c r="I42" i="2"/>
  <c r="G45" i="2"/>
  <c r="J45" i="2" s="1"/>
  <c r="L45" i="2" s="1"/>
  <c r="D14" i="4"/>
  <c r="D15" i="4"/>
  <c r="I5" i="4"/>
  <c r="I6" i="4"/>
  <c r="I7" i="4"/>
  <c r="I8" i="4"/>
  <c r="I10" i="4"/>
  <c r="I12" i="4"/>
  <c r="I68" i="2"/>
  <c r="M68" i="2" s="1"/>
  <c r="O28" i="4"/>
  <c r="U28" i="4"/>
  <c r="U33" i="4"/>
  <c r="W28" i="4"/>
  <c r="W33" i="4"/>
  <c r="S28" i="4"/>
  <c r="S33" i="4"/>
  <c r="F28" i="4"/>
  <c r="F33" i="4"/>
  <c r="T28" i="4"/>
  <c r="T33" i="4"/>
  <c r="V28" i="4"/>
  <c r="V33" i="4"/>
  <c r="P28" i="4"/>
  <c r="P33" i="4"/>
  <c r="R28" i="4"/>
  <c r="G106" i="2"/>
  <c r="G109" i="2"/>
  <c r="J109" i="2" s="1"/>
  <c r="L109" i="2" s="1"/>
  <c r="H5" i="4"/>
  <c r="H6" i="4"/>
  <c r="H7" i="4"/>
  <c r="H8" i="4"/>
  <c r="H10" i="4"/>
  <c r="H12" i="4"/>
  <c r="G6" i="4"/>
  <c r="G7" i="4"/>
  <c r="G8" i="4"/>
  <c r="G10" i="4"/>
  <c r="G12" i="4"/>
  <c r="G5" i="4"/>
  <c r="I73" i="2"/>
  <c r="K73" i="2" s="1"/>
  <c r="I75" i="2"/>
  <c r="K75" i="2" s="1"/>
  <c r="D228" i="2"/>
  <c r="E228" i="2" s="1"/>
  <c r="P27" i="4"/>
  <c r="N27" i="4"/>
  <c r="I85" i="2"/>
  <c r="M85" i="2" s="1"/>
  <c r="F27" i="4"/>
  <c r="I71" i="2"/>
  <c r="M71" i="2" s="1"/>
  <c r="G74" i="2"/>
  <c r="J74" i="2" s="1"/>
  <c r="G159" i="2"/>
  <c r="J159" i="2" s="1"/>
  <c r="I158" i="2"/>
  <c r="K158" i="2" s="1"/>
  <c r="G158" i="2"/>
  <c r="J158" i="2" s="1"/>
  <c r="L158" i="2" s="1"/>
  <c r="D227" i="2"/>
  <c r="F228" i="2"/>
  <c r="G228" i="2" s="1"/>
  <c r="I86" i="2"/>
  <c r="G86" i="2"/>
  <c r="J86" i="2" s="1"/>
  <c r="L86" i="2" s="1"/>
  <c r="O27" i="4"/>
  <c r="B22" i="13"/>
  <c r="B29" i="13"/>
  <c r="W27" i="4"/>
  <c r="V27" i="4"/>
  <c r="F227" i="2"/>
  <c r="F231" i="2"/>
  <c r="G231" i="2" s="1"/>
  <c r="G230" i="2"/>
  <c r="D230" i="2"/>
  <c r="E230" i="2" s="1"/>
  <c r="U27" i="4"/>
  <c r="G134" i="2"/>
  <c r="J134" i="2" s="1"/>
  <c r="L134" i="2" s="1"/>
  <c r="I135" i="2"/>
  <c r="M135" i="2" s="1"/>
  <c r="T27" i="4"/>
  <c r="S27" i="4"/>
  <c r="R27" i="4"/>
  <c r="AD30" i="4"/>
  <c r="G200" i="2"/>
  <c r="J200" i="2" s="1"/>
  <c r="AD28" i="4"/>
  <c r="AD33" i="4"/>
  <c r="AD27" i="4"/>
  <c r="G196" i="2"/>
  <c r="M24" i="2"/>
  <c r="I196" i="2"/>
  <c r="K196" i="2" s="1"/>
  <c r="D28" i="4"/>
  <c r="D33" i="4"/>
  <c r="I28" i="4"/>
  <c r="I33" i="4"/>
  <c r="M197" i="2"/>
  <c r="K148" i="2"/>
  <c r="K162" i="2"/>
  <c r="M162" i="2"/>
  <c r="H30" i="4"/>
  <c r="G30" i="4"/>
  <c r="B30" i="4"/>
  <c r="I30" i="4"/>
  <c r="K127" i="2"/>
  <c r="I133" i="2"/>
  <c r="M133" i="2" s="1"/>
  <c r="I84" i="2"/>
  <c r="K84" i="2" s="1"/>
  <c r="I105" i="2"/>
  <c r="M105" i="2" s="1"/>
  <c r="G26" i="2"/>
  <c r="G84" i="2"/>
  <c r="I156" i="2"/>
  <c r="M156" i="2" s="1"/>
  <c r="G156" i="2"/>
  <c r="J156" i="2" s="1"/>
  <c r="W179" i="2"/>
  <c r="M75" i="2"/>
  <c r="X33" i="4"/>
  <c r="O33" i="4"/>
  <c r="G28" i="4"/>
  <c r="I34" i="2"/>
  <c r="M34" i="2" s="1"/>
  <c r="G34" i="2"/>
  <c r="J34" i="2" s="1"/>
  <c r="I27" i="4"/>
  <c r="H28" i="4"/>
  <c r="H33" i="4"/>
  <c r="K106" i="2"/>
  <c r="B17" i="13"/>
  <c r="H27" i="4"/>
  <c r="G27" i="4"/>
  <c r="B27" i="4"/>
  <c r="C33" i="4"/>
  <c r="G6" i="2"/>
  <c r="J6" i="2" s="1"/>
  <c r="W6" i="2" s="1"/>
  <c r="K34" i="4"/>
  <c r="I12" i="13" s="1"/>
  <c r="I138" i="2"/>
  <c r="M138" i="2" s="1"/>
  <c r="K9" i="2"/>
  <c r="E104" i="2"/>
  <c r="G138" i="2"/>
  <c r="G70" i="2"/>
  <c r="D153" i="2"/>
  <c r="C4" i="13"/>
  <c r="T34" i="4"/>
  <c r="I21" i="13" s="1"/>
  <c r="T32" i="4"/>
  <c r="R33" i="4"/>
  <c r="B28" i="4"/>
  <c r="G33" i="4"/>
  <c r="B33" i="4"/>
  <c r="M196" i="2"/>
  <c r="J84" i="2"/>
  <c r="W84" i="2" s="1"/>
  <c r="W173" i="2"/>
  <c r="J138" i="2"/>
  <c r="L138" i="2" s="1"/>
  <c r="B240" i="2"/>
  <c r="C240" i="2"/>
  <c r="G240" i="2"/>
  <c r="F240" i="2"/>
  <c r="I240" i="2"/>
  <c r="L217" i="2" l="1"/>
  <c r="W217" i="2"/>
  <c r="H31" i="4"/>
  <c r="H34" i="4"/>
  <c r="I9" i="13" s="1"/>
  <c r="K164" i="2"/>
  <c r="M164" i="2"/>
  <c r="M117" i="2"/>
  <c r="K117" i="2"/>
  <c r="M89" i="2"/>
  <c r="K89" i="2"/>
  <c r="M96" i="2"/>
  <c r="K96" i="2"/>
  <c r="V31" i="4"/>
  <c r="V34" i="4"/>
  <c r="I23" i="13" s="1"/>
  <c r="AE32" i="4"/>
  <c r="AE31" i="4"/>
  <c r="W119" i="2"/>
  <c r="L119" i="2"/>
  <c r="M159" i="2"/>
  <c r="K159" i="2"/>
  <c r="L162" i="2"/>
  <c r="W162" i="2"/>
  <c r="I231" i="2"/>
  <c r="G30" i="2"/>
  <c r="J30" i="2" s="1"/>
  <c r="G44" i="2"/>
  <c r="J44" i="2" s="1"/>
  <c r="K173" i="2"/>
  <c r="I48" i="2"/>
  <c r="K48" i="2" s="1"/>
  <c r="G23" i="13"/>
  <c r="I219" i="2"/>
  <c r="L84" i="2"/>
  <c r="G177" i="2"/>
  <c r="J177" i="2" s="1"/>
  <c r="L177" i="2" s="1"/>
  <c r="F29" i="4"/>
  <c r="F34" i="4" s="1"/>
  <c r="I7" i="13" s="1"/>
  <c r="G88" i="2"/>
  <c r="J88" i="2" s="1"/>
  <c r="G43" i="2"/>
  <c r="J43" i="2" s="1"/>
  <c r="I134" i="2"/>
  <c r="M134" i="2" s="1"/>
  <c r="J29" i="4"/>
  <c r="J31" i="4" s="1"/>
  <c r="G168" i="2"/>
  <c r="J168" i="2" s="1"/>
  <c r="L168" i="2" s="1"/>
  <c r="G25" i="13"/>
  <c r="X209" i="2"/>
  <c r="G6" i="13"/>
  <c r="G22" i="13"/>
  <c r="W172" i="2"/>
  <c r="L91" i="2"/>
  <c r="G155" i="2"/>
  <c r="J155" i="2" s="1"/>
  <c r="G40" i="2"/>
  <c r="J40" i="2" s="1"/>
  <c r="W40" i="2" s="1"/>
  <c r="I16" i="2"/>
  <c r="G117" i="2"/>
  <c r="J117" i="2" s="1"/>
  <c r="I145" i="2"/>
  <c r="I63" i="2"/>
  <c r="K63" i="2" s="1"/>
  <c r="K82" i="2"/>
  <c r="E83" i="2"/>
  <c r="I161" i="2"/>
  <c r="M161" i="2" s="1"/>
  <c r="J231" i="2"/>
  <c r="G163" i="2"/>
  <c r="J163" i="2" s="1"/>
  <c r="L163" i="2" s="1"/>
  <c r="E216" i="2"/>
  <c r="G213" i="2"/>
  <c r="J213" i="2" s="1"/>
  <c r="G215" i="2"/>
  <c r="J215" i="2" s="1"/>
  <c r="G20" i="13"/>
  <c r="D125" i="2"/>
  <c r="W171" i="2"/>
  <c r="K68" i="2"/>
  <c r="W197" i="2"/>
  <c r="G89" i="2"/>
  <c r="J89" i="2" s="1"/>
  <c r="L89" i="2" s="1"/>
  <c r="G20" i="2"/>
  <c r="J20" i="2" s="1"/>
  <c r="L20" i="2" s="1"/>
  <c r="E139" i="2"/>
  <c r="G96" i="2"/>
  <c r="J96" i="2" s="1"/>
  <c r="I185" i="2"/>
  <c r="H223" i="2"/>
  <c r="W191" i="2"/>
  <c r="W31" i="4"/>
  <c r="K151" i="2"/>
  <c r="G157" i="2"/>
  <c r="J157" i="2" s="1"/>
  <c r="L157" i="2" s="1"/>
  <c r="G107" i="2"/>
  <c r="J107" i="2" s="1"/>
  <c r="L107" i="2" s="1"/>
  <c r="G128" i="2"/>
  <c r="J128" i="2" s="1"/>
  <c r="I119" i="2"/>
  <c r="M119" i="2" s="1"/>
  <c r="I152" i="2"/>
  <c r="G150" i="2"/>
  <c r="U29" i="4"/>
  <c r="E55" i="2"/>
  <c r="H146" i="2"/>
  <c r="I210" i="2"/>
  <c r="G212" i="2"/>
  <c r="J212" i="2" s="1"/>
  <c r="K135" i="2"/>
  <c r="D232" i="2"/>
  <c r="E232" i="2" s="1"/>
  <c r="W123" i="2"/>
  <c r="K105" i="2"/>
  <c r="W34" i="4"/>
  <c r="I24" i="13" s="1"/>
  <c r="M73" i="2"/>
  <c r="K130" i="2"/>
  <c r="G5" i="2"/>
  <c r="J5" i="2" s="1"/>
  <c r="W5" i="2" s="1"/>
  <c r="G64" i="2"/>
  <c r="J64" i="2" s="1"/>
  <c r="L64" i="2" s="1"/>
  <c r="I113" i="2"/>
  <c r="M113" i="2" s="1"/>
  <c r="I8" i="2"/>
  <c r="K8" i="2" s="1"/>
  <c r="G22" i="2"/>
  <c r="J22" i="2" s="1"/>
  <c r="L22" i="2" s="1"/>
  <c r="G115" i="2"/>
  <c r="J115" i="2" s="1"/>
  <c r="I199" i="2"/>
  <c r="K199" i="2" s="1"/>
  <c r="I17" i="2"/>
  <c r="G31" i="2"/>
  <c r="J31" i="2" s="1"/>
  <c r="I74" i="2"/>
  <c r="M74" i="2" s="1"/>
  <c r="I116" i="2"/>
  <c r="G137" i="2"/>
  <c r="J137" i="2" s="1"/>
  <c r="D239" i="2"/>
  <c r="D104" i="2"/>
  <c r="H17" i="13" s="1"/>
  <c r="I100" i="2"/>
  <c r="I104" i="2" s="1"/>
  <c r="I102" i="2"/>
  <c r="K102" i="2" s="1"/>
  <c r="G17" i="13"/>
  <c r="H10" i="13"/>
  <c r="W64" i="2"/>
  <c r="K113" i="2"/>
  <c r="M8" i="2"/>
  <c r="M36" i="2"/>
  <c r="K36" i="2"/>
  <c r="W115" i="2"/>
  <c r="L115" i="2"/>
  <c r="M199" i="2"/>
  <c r="K17" i="2"/>
  <c r="M17" i="2"/>
  <c r="W137" i="2"/>
  <c r="L137" i="2"/>
  <c r="F31" i="4"/>
  <c r="F32" i="4"/>
  <c r="L74" i="2"/>
  <c r="W74" i="2"/>
  <c r="L52" i="2"/>
  <c r="W52" i="2"/>
  <c r="G32" i="4"/>
  <c r="G31" i="4"/>
  <c r="G34" i="4"/>
  <c r="I8" i="13" s="1"/>
  <c r="K194" i="2"/>
  <c r="M194" i="2"/>
  <c r="K161" i="2"/>
  <c r="W20" i="2"/>
  <c r="W122" i="2"/>
  <c r="H24" i="13"/>
  <c r="K34" i="2"/>
  <c r="J34" i="4"/>
  <c r="I11" i="13" s="1"/>
  <c r="K64" i="2"/>
  <c r="J32" i="4"/>
  <c r="K147" i="2"/>
  <c r="G8" i="2"/>
  <c r="J8" i="2" s="1"/>
  <c r="W8" i="2" s="1"/>
  <c r="G165" i="2"/>
  <c r="J165" i="2" s="1"/>
  <c r="G15" i="2"/>
  <c r="J15" i="2" s="1"/>
  <c r="I115" i="2"/>
  <c r="K115" i="2" s="1"/>
  <c r="G24" i="2"/>
  <c r="J24" i="2" s="1"/>
  <c r="D46" i="2"/>
  <c r="O29" i="4"/>
  <c r="Z29" i="4"/>
  <c r="Z34" i="4" s="1"/>
  <c r="I27" i="13" s="1"/>
  <c r="G49" i="2"/>
  <c r="J49" i="2" s="1"/>
  <c r="S32" i="4"/>
  <c r="I137" i="2"/>
  <c r="M158" i="2"/>
  <c r="G136" i="2"/>
  <c r="J136" i="2" s="1"/>
  <c r="G72" i="2"/>
  <c r="J72" i="2" s="1"/>
  <c r="R29" i="4"/>
  <c r="M168" i="2"/>
  <c r="G194" i="2"/>
  <c r="J194" i="2" s="1"/>
  <c r="X144" i="2"/>
  <c r="X146" i="2" s="1"/>
  <c r="H202" i="2"/>
  <c r="I204" i="2"/>
  <c r="M204" i="2" s="1"/>
  <c r="AF29" i="4"/>
  <c r="D223" i="2"/>
  <c r="D240" i="2"/>
  <c r="W134" i="2"/>
  <c r="M63" i="2"/>
  <c r="K107" i="2"/>
  <c r="G36" i="2"/>
  <c r="J36" i="2" s="1"/>
  <c r="L36" i="2" s="1"/>
  <c r="D18" i="2"/>
  <c r="I31" i="2"/>
  <c r="I163" i="2"/>
  <c r="I21" i="2"/>
  <c r="E69" i="2"/>
  <c r="I110" i="2"/>
  <c r="K171" i="2"/>
  <c r="I177" i="2"/>
  <c r="I180" i="2"/>
  <c r="M180" i="2" s="1"/>
  <c r="G82" i="2"/>
  <c r="J82" i="2" s="1"/>
  <c r="I80" i="2"/>
  <c r="I211" i="2"/>
  <c r="M211" i="2" s="1"/>
  <c r="W177" i="2"/>
  <c r="I5" i="2"/>
  <c r="K5" i="2" s="1"/>
  <c r="W158" i="2"/>
  <c r="L113" i="2"/>
  <c r="I98" i="2"/>
  <c r="M98" i="2" s="1"/>
  <c r="G100" i="2"/>
  <c r="J100" i="2" s="1"/>
  <c r="G102" i="2"/>
  <c r="J102" i="2" s="1"/>
  <c r="G211" i="2"/>
  <c r="J211" i="2" s="1"/>
  <c r="I165" i="2"/>
  <c r="I167" i="2" s="1"/>
  <c r="I214" i="2"/>
  <c r="G221" i="2"/>
  <c r="J221" i="2" s="1"/>
  <c r="L221" i="2" s="1"/>
  <c r="W86" i="2"/>
  <c r="G17" i="2"/>
  <c r="J17" i="2" s="1"/>
  <c r="L17" i="2" s="1"/>
  <c r="L29" i="4"/>
  <c r="M48" i="2"/>
  <c r="Q29" i="4"/>
  <c r="I166" i="2"/>
  <c r="K166" i="2" s="1"/>
  <c r="G207" i="2"/>
  <c r="J207" i="2" s="1"/>
  <c r="S34" i="4"/>
  <c r="I20" i="13" s="1"/>
  <c r="W89" i="2"/>
  <c r="G71" i="2"/>
  <c r="J71" i="2" s="1"/>
  <c r="I120" i="2"/>
  <c r="I103" i="2"/>
  <c r="I78" i="2"/>
  <c r="D83" i="2"/>
  <c r="H14" i="13" s="1"/>
  <c r="X29" i="4"/>
  <c r="G9" i="13"/>
  <c r="W156" i="2"/>
  <c r="L156" i="2"/>
  <c r="W135" i="2"/>
  <c r="L135" i="2"/>
  <c r="W68" i="2"/>
  <c r="L68" i="2"/>
  <c r="I35" i="2"/>
  <c r="I39" i="2" s="1"/>
  <c r="G35" i="2"/>
  <c r="J35" i="2" s="1"/>
  <c r="W35" i="2" s="1"/>
  <c r="I121" i="2"/>
  <c r="G121" i="2"/>
  <c r="J121" i="2" s="1"/>
  <c r="G61" i="2"/>
  <c r="J61" i="2" s="1"/>
  <c r="I61" i="2"/>
  <c r="K110" i="2"/>
  <c r="M110" i="2"/>
  <c r="I131" i="2"/>
  <c r="G131" i="2"/>
  <c r="J131" i="2" s="1"/>
  <c r="L193" i="2"/>
  <c r="W193" i="2"/>
  <c r="E188" i="2"/>
  <c r="L79" i="2"/>
  <c r="W79" i="2"/>
  <c r="H132" i="2"/>
  <c r="X130" i="2"/>
  <c r="X132" i="2" s="1"/>
  <c r="G19" i="2"/>
  <c r="J19" i="2" s="1"/>
  <c r="L19" i="2" s="1"/>
  <c r="D25" i="2"/>
  <c r="R31" i="4"/>
  <c r="R34" i="4"/>
  <c r="I19" i="13" s="1"/>
  <c r="I182" i="2"/>
  <c r="G182" i="2"/>
  <c r="W215" i="2"/>
  <c r="L215" i="2"/>
  <c r="L8" i="2"/>
  <c r="I222" i="2"/>
  <c r="G222" i="2"/>
  <c r="J222" i="2" s="1"/>
  <c r="K138" i="2"/>
  <c r="K156" i="2"/>
  <c r="R32" i="4"/>
  <c r="V32" i="4"/>
  <c r="W151" i="2"/>
  <c r="G9" i="2"/>
  <c r="J9" i="2" s="1"/>
  <c r="W9" i="2" s="1"/>
  <c r="W159" i="2"/>
  <c r="L159" i="2"/>
  <c r="G110" i="2"/>
  <c r="J110" i="2" s="1"/>
  <c r="I37" i="2"/>
  <c r="G105" i="2"/>
  <c r="J105" i="2" s="1"/>
  <c r="D111" i="2"/>
  <c r="G98" i="2"/>
  <c r="I183" i="2"/>
  <c r="G183" i="2"/>
  <c r="J183" i="2" s="1"/>
  <c r="E160" i="2"/>
  <c r="G154" i="2"/>
  <c r="I154" i="2"/>
  <c r="M166" i="2"/>
  <c r="W44" i="2"/>
  <c r="L44" i="2"/>
  <c r="G87" i="2"/>
  <c r="J87" i="2" s="1"/>
  <c r="I87" i="2"/>
  <c r="K215" i="2"/>
  <c r="M215" i="2"/>
  <c r="K42" i="2"/>
  <c r="M42" i="2"/>
  <c r="L16" i="2"/>
  <c r="W16" i="2"/>
  <c r="M84" i="2"/>
  <c r="G63" i="2"/>
  <c r="J63" i="2" s="1"/>
  <c r="M15" i="2"/>
  <c r="I72" i="2"/>
  <c r="K231" i="2"/>
  <c r="L231" i="2" s="1"/>
  <c r="W107" i="2"/>
  <c r="D139" i="2"/>
  <c r="H22" i="13" s="1"/>
  <c r="G133" i="2"/>
  <c r="E39" i="2"/>
  <c r="I232" i="2"/>
  <c r="G38" i="2"/>
  <c r="J38" i="2" s="1"/>
  <c r="W38" i="2" s="1"/>
  <c r="I38" i="2"/>
  <c r="M38" i="2" s="1"/>
  <c r="I67" i="2"/>
  <c r="G67" i="2"/>
  <c r="J67" i="2" s="1"/>
  <c r="L67" i="2" s="1"/>
  <c r="K123" i="2"/>
  <c r="M123" i="2"/>
  <c r="Y29" i="4"/>
  <c r="E195" i="2"/>
  <c r="I189" i="2"/>
  <c r="M189" i="2" s="1"/>
  <c r="K78" i="2"/>
  <c r="M78" i="2"/>
  <c r="L130" i="2"/>
  <c r="W130" i="2"/>
  <c r="D11" i="2"/>
  <c r="I7" i="2"/>
  <c r="G7" i="2"/>
  <c r="J7" i="2" s="1"/>
  <c r="L7" i="2" s="1"/>
  <c r="G94" i="2"/>
  <c r="J94" i="2" s="1"/>
  <c r="I94" i="2"/>
  <c r="W82" i="2"/>
  <c r="L82" i="2"/>
  <c r="W73" i="2"/>
  <c r="M149" i="2"/>
  <c r="M150" i="2"/>
  <c r="K150" i="2"/>
  <c r="K100" i="2"/>
  <c r="M100" i="2"/>
  <c r="W138" i="2"/>
  <c r="W45" i="2"/>
  <c r="W199" i="2"/>
  <c r="K26" i="2"/>
  <c r="L5" i="2"/>
  <c r="C5" i="13"/>
  <c r="C6" i="13" s="1"/>
  <c r="C7" i="13" s="1"/>
  <c r="C8" i="13" s="1"/>
  <c r="K74" i="2"/>
  <c r="D97" i="2"/>
  <c r="H16" i="13" s="1"/>
  <c r="K30" i="2"/>
  <c r="W109" i="2"/>
  <c r="I40" i="2"/>
  <c r="M124" i="2"/>
  <c r="I136" i="2"/>
  <c r="M136" i="2" s="1"/>
  <c r="D69" i="2"/>
  <c r="L152" i="2"/>
  <c r="W152" i="2"/>
  <c r="D202" i="2"/>
  <c r="H31" i="13" s="1"/>
  <c r="I200" i="2"/>
  <c r="D231" i="2"/>
  <c r="E231" i="2" s="1"/>
  <c r="B234" i="2"/>
  <c r="AD29" i="4"/>
  <c r="W21" i="2"/>
  <c r="K91" i="2"/>
  <c r="M122" i="2"/>
  <c r="D234" i="2"/>
  <c r="D6" i="11" s="1"/>
  <c r="M43" i="2"/>
  <c r="K43" i="2"/>
  <c r="W147" i="2"/>
  <c r="L147" i="2"/>
  <c r="I57" i="2"/>
  <c r="K57" i="2" s="1"/>
  <c r="G57" i="2"/>
  <c r="J57" i="2" s="1"/>
  <c r="D62" i="2"/>
  <c r="I29" i="2"/>
  <c r="G29" i="2"/>
  <c r="J29" i="2" s="1"/>
  <c r="I66" i="2"/>
  <c r="I230" i="2"/>
  <c r="G66" i="2"/>
  <c r="J66" i="2" s="1"/>
  <c r="G10" i="2"/>
  <c r="J10" i="2" s="1"/>
  <c r="I10" i="2"/>
  <c r="M10" i="2" s="1"/>
  <c r="W24" i="2"/>
  <c r="L24" i="2"/>
  <c r="G201" i="2"/>
  <c r="J201" i="2" s="1"/>
  <c r="I201" i="2"/>
  <c r="E202" i="2"/>
  <c r="M101" i="2"/>
  <c r="K98" i="2"/>
  <c r="W100" i="2"/>
  <c r="L100" i="2"/>
  <c r="L190" i="2"/>
  <c r="W190" i="2"/>
  <c r="H46" i="2"/>
  <c r="X41" i="2"/>
  <c r="X46" i="2" s="1"/>
  <c r="X202" i="2"/>
  <c r="I153" i="2"/>
  <c r="K20" i="2"/>
  <c r="M20" i="2"/>
  <c r="I23" i="2"/>
  <c r="G23" i="2"/>
  <c r="J23" i="2" s="1"/>
  <c r="L23" i="2" s="1"/>
  <c r="L37" i="2"/>
  <c r="W37" i="2"/>
  <c r="M109" i="2"/>
  <c r="K109" i="2"/>
  <c r="D34" i="4"/>
  <c r="I5" i="13" s="1"/>
  <c r="D31" i="4"/>
  <c r="M102" i="2"/>
  <c r="I178" i="2"/>
  <c r="M178" i="2" s="1"/>
  <c r="G178" i="2"/>
  <c r="J178" i="2" s="1"/>
  <c r="L178" i="2" s="1"/>
  <c r="I191" i="2"/>
  <c r="M191" i="2" s="1"/>
  <c r="L78" i="2"/>
  <c r="W78" i="2"/>
  <c r="G116" i="2"/>
  <c r="J116" i="2" s="1"/>
  <c r="G101" i="2"/>
  <c r="J101" i="2" s="1"/>
  <c r="W168" i="2"/>
  <c r="I187" i="2"/>
  <c r="K211" i="2"/>
  <c r="E223" i="2"/>
  <c r="H34" i="13" s="1"/>
  <c r="E25" i="2"/>
  <c r="D76" i="2"/>
  <c r="G14" i="2"/>
  <c r="J14" i="2" s="1"/>
  <c r="L14" i="2" s="1"/>
  <c r="I58" i="2"/>
  <c r="G85" i="2"/>
  <c r="G90" i="2" s="1"/>
  <c r="G92" i="2"/>
  <c r="I190" i="2"/>
  <c r="D174" i="2"/>
  <c r="H11" i="2"/>
  <c r="H76" i="2"/>
  <c r="I213" i="2"/>
  <c r="G32" i="13"/>
  <c r="G127" i="2"/>
  <c r="J127" i="2" s="1"/>
  <c r="G143" i="2"/>
  <c r="J143" i="2" s="1"/>
  <c r="L143" i="2" s="1"/>
  <c r="I45" i="2"/>
  <c r="G75" i="2"/>
  <c r="J75" i="2" s="1"/>
  <c r="G124" i="2"/>
  <c r="J124" i="2" s="1"/>
  <c r="G93" i="2"/>
  <c r="J93" i="2" s="1"/>
  <c r="G184" i="2"/>
  <c r="J184" i="2" s="1"/>
  <c r="G13" i="13"/>
  <c r="E32" i="2"/>
  <c r="I60" i="2"/>
  <c r="C29" i="4"/>
  <c r="I29" i="4"/>
  <c r="M29" i="4"/>
  <c r="E181" i="2"/>
  <c r="G77" i="2"/>
  <c r="G204" i="2"/>
  <c r="J204" i="2" s="1"/>
  <c r="W204" i="2" s="1"/>
  <c r="I81" i="2"/>
  <c r="K81" i="2" s="1"/>
  <c r="I79" i="2"/>
  <c r="D160" i="2"/>
  <c r="H25" i="13" s="1"/>
  <c r="I172" i="2"/>
  <c r="I49" i="2"/>
  <c r="X195" i="2"/>
  <c r="E11" i="2"/>
  <c r="E29" i="4"/>
  <c r="N29" i="4"/>
  <c r="N34" i="4" s="1"/>
  <c r="I15" i="13" s="1"/>
  <c r="AB29" i="4"/>
  <c r="AB34" i="4" s="1"/>
  <c r="I29" i="13" s="1"/>
  <c r="G99" i="2"/>
  <c r="J99" i="2" s="1"/>
  <c r="L99" i="2" s="1"/>
  <c r="E174" i="2"/>
  <c r="H18" i="2"/>
  <c r="D209" i="2"/>
  <c r="I221" i="2"/>
  <c r="G220" i="2"/>
  <c r="J220" i="2" s="1"/>
  <c r="L220" i="2" s="1"/>
  <c r="AG29" i="4"/>
  <c r="AG34" i="4" s="1"/>
  <c r="I34" i="13" s="1"/>
  <c r="I184" i="2"/>
  <c r="M184" i="2" s="1"/>
  <c r="H33" i="13"/>
  <c r="I52" i="2"/>
  <c r="I50" i="2"/>
  <c r="G48" i="2"/>
  <c r="J48" i="2" s="1"/>
  <c r="X90" i="2"/>
  <c r="H209" i="2"/>
  <c r="I217" i="2"/>
  <c r="K217" i="2" s="1"/>
  <c r="K88" i="2"/>
  <c r="M88" i="2"/>
  <c r="L148" i="2"/>
  <c r="W148" i="2"/>
  <c r="K128" i="2"/>
  <c r="M128" i="2"/>
  <c r="L34" i="2"/>
  <c r="W34" i="2"/>
  <c r="G139" i="2"/>
  <c r="J133" i="2"/>
  <c r="L200" i="2"/>
  <c r="W200" i="2"/>
  <c r="J106" i="2"/>
  <c r="M137" i="2"/>
  <c r="K137" i="2"/>
  <c r="L42" i="2"/>
  <c r="W42" i="2"/>
  <c r="W149" i="2"/>
  <c r="K6" i="2"/>
  <c r="K155" i="2"/>
  <c r="G227" i="2"/>
  <c r="M86" i="2"/>
  <c r="K86" i="2"/>
  <c r="I90" i="2"/>
  <c r="M140" i="2"/>
  <c r="K140" i="2"/>
  <c r="J85" i="2"/>
  <c r="J92" i="2"/>
  <c r="M44" i="2"/>
  <c r="K44" i="2"/>
  <c r="M116" i="2"/>
  <c r="K116" i="2"/>
  <c r="L145" i="2"/>
  <c r="W145" i="2"/>
  <c r="L166" i="2"/>
  <c r="W166" i="2"/>
  <c r="J70" i="2"/>
  <c r="M33" i="2"/>
  <c r="J26" i="2"/>
  <c r="L31" i="2"/>
  <c r="W31" i="2"/>
  <c r="G198" i="2"/>
  <c r="J198" i="2" s="1"/>
  <c r="J229" i="2"/>
  <c r="I198" i="2"/>
  <c r="AC34" i="4"/>
  <c r="I30" i="13" s="1"/>
  <c r="AC32" i="4"/>
  <c r="AC31" i="4"/>
  <c r="Y32" i="4"/>
  <c r="Y31" i="4"/>
  <c r="Y34" i="4"/>
  <c r="I26" i="13" s="1"/>
  <c r="J196" i="2"/>
  <c r="K33" i="2"/>
  <c r="I139" i="2"/>
  <c r="W72" i="2"/>
  <c r="L72" i="2"/>
  <c r="L30" i="2"/>
  <c r="W30" i="2"/>
  <c r="M21" i="2"/>
  <c r="K21" i="2"/>
  <c r="G33" i="2"/>
  <c r="I227" i="2"/>
  <c r="D39" i="2"/>
  <c r="H8" i="13" s="1"/>
  <c r="I56" i="2"/>
  <c r="G56" i="2"/>
  <c r="E62" i="2"/>
  <c r="H11" i="13" s="1"/>
  <c r="K92" i="2"/>
  <c r="M92" i="2"/>
  <c r="J161" i="2"/>
  <c r="L128" i="2"/>
  <c r="W128" i="2"/>
  <c r="I12" i="2"/>
  <c r="J227" i="2"/>
  <c r="G12" i="2"/>
  <c r="I126" i="2"/>
  <c r="G126" i="2"/>
  <c r="J228" i="2"/>
  <c r="I41" i="2"/>
  <c r="I28" i="2"/>
  <c r="G28" i="2"/>
  <c r="J28" i="2" s="1"/>
  <c r="M58" i="2"/>
  <c r="K58" i="2"/>
  <c r="I114" i="2"/>
  <c r="G114" i="2"/>
  <c r="J114" i="2" s="1"/>
  <c r="D146" i="2"/>
  <c r="I142" i="2"/>
  <c r="G142" i="2"/>
  <c r="J142" i="2" s="1"/>
  <c r="J230" i="2"/>
  <c r="I59" i="2"/>
  <c r="G59" i="2"/>
  <c r="J59" i="2" s="1"/>
  <c r="G108" i="2"/>
  <c r="J108" i="2" s="1"/>
  <c r="I108" i="2"/>
  <c r="I129" i="2"/>
  <c r="G129" i="2"/>
  <c r="J129" i="2" s="1"/>
  <c r="AE34" i="4"/>
  <c r="I32" i="13" s="1"/>
  <c r="I125" i="2"/>
  <c r="W7" i="2"/>
  <c r="K134" i="2"/>
  <c r="K85" i="2"/>
  <c r="E76" i="2"/>
  <c r="E132" i="2"/>
  <c r="G13" i="2"/>
  <c r="J13" i="2" s="1"/>
  <c r="I13" i="2"/>
  <c r="I228" i="2"/>
  <c r="G27" i="2"/>
  <c r="J27" i="2" s="1"/>
  <c r="I27" i="2"/>
  <c r="K95" i="2"/>
  <c r="M95" i="2"/>
  <c r="L187" i="2"/>
  <c r="W187" i="2"/>
  <c r="M190" i="2"/>
  <c r="K190" i="2"/>
  <c r="K22" i="2"/>
  <c r="M22" i="2"/>
  <c r="I14" i="2"/>
  <c r="M103" i="2"/>
  <c r="K103" i="2"/>
  <c r="M99" i="2"/>
  <c r="K99" i="2"/>
  <c r="L103" i="2"/>
  <c r="W103" i="2"/>
  <c r="L49" i="2"/>
  <c r="W49" i="2"/>
  <c r="M5" i="2"/>
  <c r="K119" i="2"/>
  <c r="M157" i="2"/>
  <c r="K157" i="2"/>
  <c r="E46" i="2"/>
  <c r="H9" i="13" s="1"/>
  <c r="I229" i="2"/>
  <c r="G58" i="2"/>
  <c r="J58" i="2" s="1"/>
  <c r="G120" i="2"/>
  <c r="N31" i="4"/>
  <c r="K178" i="2"/>
  <c r="K191" i="2"/>
  <c r="K193" i="2"/>
  <c r="M193" i="2"/>
  <c r="I186" i="2"/>
  <c r="G186" i="2"/>
  <c r="J186" i="2" s="1"/>
  <c r="W36" i="2"/>
  <c r="L40" i="2"/>
  <c r="L6" i="2"/>
  <c r="K71" i="2"/>
  <c r="I19" i="2"/>
  <c r="K143" i="2"/>
  <c r="G41" i="2"/>
  <c r="J41" i="2" s="1"/>
  <c r="H32" i="4"/>
  <c r="W60" i="2"/>
  <c r="K133" i="2"/>
  <c r="K136" i="2"/>
  <c r="G11" i="2"/>
  <c r="I70" i="2"/>
  <c r="E125" i="2"/>
  <c r="H20" i="13" s="1"/>
  <c r="W157" i="2"/>
  <c r="W178" i="2"/>
  <c r="E227" i="2"/>
  <c r="E234" i="2" s="1"/>
  <c r="W88" i="2"/>
  <c r="L88" i="2"/>
  <c r="D32" i="2"/>
  <c r="H7" i="13" s="1"/>
  <c r="D132" i="2"/>
  <c r="G95" i="2"/>
  <c r="J95" i="2" s="1"/>
  <c r="K112" i="2"/>
  <c r="M112" i="2"/>
  <c r="E18" i="2"/>
  <c r="W102" i="2"/>
  <c r="L102" i="2"/>
  <c r="M177" i="2"/>
  <c r="K177" i="2"/>
  <c r="P29" i="4"/>
  <c r="L101" i="2"/>
  <c r="W101" i="2"/>
  <c r="D181" i="2"/>
  <c r="I175" i="2"/>
  <c r="G175" i="2"/>
  <c r="K210" i="2"/>
  <c r="M210" i="2"/>
  <c r="L204" i="2"/>
  <c r="G206" i="2"/>
  <c r="J206" i="2" s="1"/>
  <c r="I206" i="2"/>
  <c r="I208" i="2"/>
  <c r="G208" i="2"/>
  <c r="J208" i="2" s="1"/>
  <c r="K31" i="4"/>
  <c r="G112" i="2"/>
  <c r="D118" i="2"/>
  <c r="G140" i="2"/>
  <c r="E146" i="2"/>
  <c r="E111" i="2"/>
  <c r="I65" i="2"/>
  <c r="G65" i="2"/>
  <c r="W211" i="2"/>
  <c r="L211" i="2"/>
  <c r="J232" i="2"/>
  <c r="M232" i="2" s="1"/>
  <c r="N232" i="2" s="1"/>
  <c r="L185" i="2"/>
  <c r="W185" i="2"/>
  <c r="D90" i="2"/>
  <c r="H15" i="13" s="1"/>
  <c r="I93" i="2"/>
  <c r="X34" i="2"/>
  <c r="X39" i="2" s="1"/>
  <c r="H39" i="2"/>
  <c r="X107" i="2"/>
  <c r="X111" i="2" s="1"/>
  <c r="H111" i="2"/>
  <c r="X113" i="2"/>
  <c r="X118" i="2" s="1"/>
  <c r="H118" i="2"/>
  <c r="H188" i="2"/>
  <c r="X183" i="2"/>
  <c r="X188" i="2" s="1"/>
  <c r="K219" i="2"/>
  <c r="M219" i="2"/>
  <c r="D195" i="2"/>
  <c r="H30" i="13" s="1"/>
  <c r="G189" i="2"/>
  <c r="G192" i="2"/>
  <c r="J192" i="2" s="1"/>
  <c r="I192" i="2"/>
  <c r="M80" i="2"/>
  <c r="K80" i="2"/>
  <c r="X18" i="2"/>
  <c r="X66" i="2"/>
  <c r="X69" i="2" s="1"/>
  <c r="H69" i="2"/>
  <c r="X166" i="2"/>
  <c r="X167" i="2" s="1"/>
  <c r="H167" i="2"/>
  <c r="X61" i="2"/>
  <c r="X62" i="2" s="1"/>
  <c r="H62" i="2"/>
  <c r="L222" i="2"/>
  <c r="W222" i="2"/>
  <c r="E118" i="2"/>
  <c r="I141" i="2"/>
  <c r="G141" i="2"/>
  <c r="J141" i="2" s="1"/>
  <c r="AA29" i="4"/>
  <c r="G170" i="2"/>
  <c r="J170" i="2" s="1"/>
  <c r="X177" i="2"/>
  <c r="X181" i="2" s="1"/>
  <c r="H181" i="2"/>
  <c r="X212" i="2"/>
  <c r="X216" i="2" s="1"/>
  <c r="H216" i="2"/>
  <c r="D188" i="2"/>
  <c r="H29" i="13" s="1"/>
  <c r="J77" i="2"/>
  <c r="G164" i="2"/>
  <c r="J164" i="2" s="1"/>
  <c r="E167" i="2"/>
  <c r="X48" i="2"/>
  <c r="X55" i="2" s="1"/>
  <c r="H55" i="2"/>
  <c r="X97" i="2"/>
  <c r="H139" i="2"/>
  <c r="X133" i="2"/>
  <c r="X139" i="2" s="1"/>
  <c r="X80" i="2"/>
  <c r="X83" i="2" s="1"/>
  <c r="H83" i="2"/>
  <c r="D167" i="2"/>
  <c r="H26" i="13" s="1"/>
  <c r="X125" i="2"/>
  <c r="J203" i="2"/>
  <c r="M205" i="2"/>
  <c r="K205" i="2"/>
  <c r="K207" i="2"/>
  <c r="M207" i="2"/>
  <c r="I144" i="2"/>
  <c r="G144" i="2"/>
  <c r="J144" i="2" s="1"/>
  <c r="M182" i="2"/>
  <c r="K182" i="2"/>
  <c r="J210" i="2"/>
  <c r="G216" i="2"/>
  <c r="M81" i="2"/>
  <c r="X147" i="2"/>
  <c r="X153" i="2" s="1"/>
  <c r="H153" i="2"/>
  <c r="F229" i="2"/>
  <c r="G229" i="2" s="1"/>
  <c r="C234" i="2"/>
  <c r="C236" i="2" s="1"/>
  <c r="D5" i="11" s="1"/>
  <c r="L213" i="2"/>
  <c r="W213" i="2"/>
  <c r="G81" i="2"/>
  <c r="J81" i="2" s="1"/>
  <c r="H90" i="2"/>
  <c r="H174" i="2"/>
  <c r="L214" i="2"/>
  <c r="W214" i="2"/>
  <c r="L212" i="2"/>
  <c r="W212" i="2"/>
  <c r="M214" i="2"/>
  <c r="K214" i="2"/>
  <c r="X223" i="2"/>
  <c r="G180" i="2"/>
  <c r="J180" i="2" s="1"/>
  <c r="G80" i="2"/>
  <c r="J80" i="2" s="1"/>
  <c r="X174" i="2"/>
  <c r="H25" i="2"/>
  <c r="I176" i="2"/>
  <c r="G176" i="2"/>
  <c r="J176" i="2" s="1"/>
  <c r="I179" i="2"/>
  <c r="I170" i="2"/>
  <c r="I174" i="2" s="1"/>
  <c r="G50" i="2"/>
  <c r="J50" i="2" s="1"/>
  <c r="X26" i="2"/>
  <c r="X32" i="2" s="1"/>
  <c r="H32" i="2"/>
  <c r="H97" i="2"/>
  <c r="H104" i="2"/>
  <c r="X98" i="2"/>
  <c r="X104" i="2" s="1"/>
  <c r="X76" i="2"/>
  <c r="M77" i="2"/>
  <c r="I83" i="2"/>
  <c r="H125" i="2"/>
  <c r="H195" i="2"/>
  <c r="I212" i="2"/>
  <c r="W221" i="2"/>
  <c r="W220" i="2"/>
  <c r="G169" i="2"/>
  <c r="G51" i="2"/>
  <c r="J51" i="2" s="1"/>
  <c r="I51" i="2"/>
  <c r="I47" i="2"/>
  <c r="G47" i="2"/>
  <c r="X11" i="2"/>
  <c r="H160" i="2"/>
  <c r="X154" i="2"/>
  <c r="X160" i="2" s="1"/>
  <c r="G205" i="2"/>
  <c r="J205" i="2" s="1"/>
  <c r="M220" i="2"/>
  <c r="X19" i="2"/>
  <c r="X25" i="2" s="1"/>
  <c r="G219" i="2"/>
  <c r="J219" i="2" s="1"/>
  <c r="I203" i="2"/>
  <c r="E209" i="2"/>
  <c r="G218" i="2"/>
  <c r="I218" i="2"/>
  <c r="B33" i="13"/>
  <c r="B32" i="13"/>
  <c r="B31" i="13"/>
  <c r="B30" i="13"/>
  <c r="B34" i="13"/>
  <c r="B28" i="13"/>
  <c r="B13" i="13"/>
  <c r="B21" i="13"/>
  <c r="B19" i="13"/>
  <c r="B9" i="13"/>
  <c r="N243" i="2"/>
  <c r="B18" i="13"/>
  <c r="B12" i="13"/>
  <c r="W14" i="2" l="1"/>
  <c r="G36" i="13"/>
  <c r="K145" i="2"/>
  <c r="M145" i="2"/>
  <c r="L117" i="2"/>
  <c r="W117" i="2"/>
  <c r="M231" i="2"/>
  <c r="N231" i="2" s="1"/>
  <c r="U31" i="4"/>
  <c r="U34" i="4"/>
  <c r="I22" i="13" s="1"/>
  <c r="U32" i="4"/>
  <c r="H32" i="13"/>
  <c r="H12" i="13"/>
  <c r="W163" i="2"/>
  <c r="J150" i="2"/>
  <c r="G153" i="2"/>
  <c r="I216" i="2"/>
  <c r="M152" i="2"/>
  <c r="K152" i="2"/>
  <c r="K153" i="2" s="1"/>
  <c r="W155" i="2"/>
  <c r="L155" i="2"/>
  <c r="H28" i="13"/>
  <c r="H27" i="13"/>
  <c r="K185" i="2"/>
  <c r="M185" i="2"/>
  <c r="L96" i="2"/>
  <c r="W96" i="2"/>
  <c r="W43" i="2"/>
  <c r="L43" i="2"/>
  <c r="K16" i="2"/>
  <c r="M16" i="2"/>
  <c r="M139" i="2"/>
  <c r="W22" i="2"/>
  <c r="W71" i="2"/>
  <c r="L71" i="2"/>
  <c r="H18" i="13"/>
  <c r="G76" i="2"/>
  <c r="L15" i="2"/>
  <c r="W15" i="2"/>
  <c r="K204" i="2"/>
  <c r="H5" i="13"/>
  <c r="G188" i="2"/>
  <c r="X31" i="4"/>
  <c r="X32" i="4"/>
  <c r="X34" i="4"/>
  <c r="I25" i="13" s="1"/>
  <c r="W207" i="2"/>
  <c r="L207" i="2"/>
  <c r="L194" i="2"/>
  <c r="W194" i="2"/>
  <c r="L165" i="2"/>
  <c r="W165" i="2"/>
  <c r="K180" i="2"/>
  <c r="M115" i="2"/>
  <c r="W17" i="2"/>
  <c r="M165" i="2"/>
  <c r="K165" i="2"/>
  <c r="Z31" i="4"/>
  <c r="Z32" i="4"/>
  <c r="K10" i="2"/>
  <c r="Q31" i="4"/>
  <c r="Q32" i="4"/>
  <c r="Q34" i="4"/>
  <c r="I18" i="13" s="1"/>
  <c r="O31" i="4"/>
  <c r="O32" i="4"/>
  <c r="O34" i="4"/>
  <c r="I16" i="13" s="1"/>
  <c r="K184" i="2"/>
  <c r="K188" i="2" s="1"/>
  <c r="M104" i="2"/>
  <c r="M153" i="2"/>
  <c r="M163" i="2"/>
  <c r="M167" i="2" s="1"/>
  <c r="K163" i="2"/>
  <c r="K167" i="2" s="1"/>
  <c r="N32" i="4"/>
  <c r="M120" i="2"/>
  <c r="K120" i="2"/>
  <c r="L31" i="4"/>
  <c r="L32" i="4"/>
  <c r="L34" i="4"/>
  <c r="I13" i="13" s="1"/>
  <c r="M31" i="2"/>
  <c r="K31" i="2"/>
  <c r="AF31" i="4"/>
  <c r="AF34" i="4"/>
  <c r="I33" i="13" s="1"/>
  <c r="AF32" i="4"/>
  <c r="L136" i="2"/>
  <c r="W136" i="2"/>
  <c r="K52" i="2"/>
  <c r="M52" i="2"/>
  <c r="K49" i="2"/>
  <c r="M49" i="2"/>
  <c r="K183" i="2"/>
  <c r="M183" i="2"/>
  <c r="M79" i="2"/>
  <c r="M83" i="2" s="1"/>
  <c r="K79" i="2"/>
  <c r="K83" i="2" s="1"/>
  <c r="K72" i="2"/>
  <c r="M72" i="2"/>
  <c r="M217" i="2"/>
  <c r="K187" i="2"/>
  <c r="M187" i="2"/>
  <c r="AD31" i="4"/>
  <c r="AD32" i="4"/>
  <c r="AD34" i="4"/>
  <c r="I31" i="13" s="1"/>
  <c r="I223" i="2"/>
  <c r="I195" i="2"/>
  <c r="K189" i="2"/>
  <c r="W67" i="2"/>
  <c r="H13" i="13"/>
  <c r="W143" i="2"/>
  <c r="I202" i="2"/>
  <c r="J25" i="2"/>
  <c r="J11" i="2"/>
  <c r="L9" i="2"/>
  <c r="M57" i="2"/>
  <c r="E31" i="4"/>
  <c r="E34" i="4"/>
  <c r="I6" i="13" s="1"/>
  <c r="E32" i="4"/>
  <c r="M23" i="2"/>
  <c r="K23" i="2"/>
  <c r="W201" i="2"/>
  <c r="L201" i="2"/>
  <c r="L29" i="2"/>
  <c r="W29" i="2"/>
  <c r="M7" i="2"/>
  <c r="M11" i="2" s="1"/>
  <c r="K7" i="2"/>
  <c r="W63" i="2"/>
  <c r="L63" i="2"/>
  <c r="J154" i="2"/>
  <c r="G160" i="2"/>
  <c r="L110" i="2"/>
  <c r="W110" i="2"/>
  <c r="L61" i="2"/>
  <c r="W61" i="2"/>
  <c r="L124" i="2"/>
  <c r="W124" i="2"/>
  <c r="C34" i="4"/>
  <c r="I4" i="13" s="1"/>
  <c r="C31" i="4"/>
  <c r="C32" i="4"/>
  <c r="I11" i="2"/>
  <c r="L105" i="2"/>
  <c r="W105" i="2"/>
  <c r="W99" i="2"/>
  <c r="G25" i="2"/>
  <c r="W19" i="2"/>
  <c r="W127" i="2"/>
  <c r="L127" i="2"/>
  <c r="M66" i="2"/>
  <c r="K66" i="2"/>
  <c r="K154" i="2"/>
  <c r="K160" i="2" s="1"/>
  <c r="M154" i="2"/>
  <c r="M160" i="2" s="1"/>
  <c r="M61" i="2"/>
  <c r="K61" i="2"/>
  <c r="AG32" i="4"/>
  <c r="AB31" i="4"/>
  <c r="J182" i="2"/>
  <c r="L182" i="2" s="1"/>
  <c r="K232" i="2"/>
  <c r="L232" i="2" s="1"/>
  <c r="I160" i="2"/>
  <c r="W23" i="2"/>
  <c r="W25" i="2" s="1"/>
  <c r="L35" i="2"/>
  <c r="L38" i="2"/>
  <c r="L48" i="2"/>
  <c r="W48" i="2"/>
  <c r="K221" i="2"/>
  <c r="M221" i="2"/>
  <c r="W184" i="2"/>
  <c r="L184" i="2"/>
  <c r="M29" i="2"/>
  <c r="K29" i="2"/>
  <c r="M40" i="2"/>
  <c r="K40" i="2"/>
  <c r="H4" i="13"/>
  <c r="K87" i="2"/>
  <c r="K90" i="2" s="1"/>
  <c r="M87" i="2"/>
  <c r="M90" i="2" s="1"/>
  <c r="L121" i="2"/>
  <c r="W121" i="2"/>
  <c r="M31" i="4"/>
  <c r="M34" i="4"/>
  <c r="I14" i="13" s="1"/>
  <c r="M32" i="4"/>
  <c r="W57" i="2"/>
  <c r="L57" i="2"/>
  <c r="L131" i="2"/>
  <c r="W131" i="2"/>
  <c r="K139" i="2"/>
  <c r="M45" i="2"/>
  <c r="K45" i="2"/>
  <c r="M60" i="2"/>
  <c r="K60" i="2"/>
  <c r="W94" i="2"/>
  <c r="L94" i="2"/>
  <c r="K38" i="2"/>
  <c r="I146" i="2"/>
  <c r="M201" i="2"/>
  <c r="K201" i="2"/>
  <c r="M37" i="2"/>
  <c r="K37" i="2"/>
  <c r="AG31" i="4"/>
  <c r="AB32" i="4"/>
  <c r="K104" i="2"/>
  <c r="K50" i="2"/>
  <c r="M50" i="2"/>
  <c r="L93" i="2"/>
  <c r="W93" i="2"/>
  <c r="K213" i="2"/>
  <c r="M213" i="2"/>
  <c r="L116" i="2"/>
  <c r="W116" i="2"/>
  <c r="K200" i="2"/>
  <c r="M200" i="2"/>
  <c r="L87" i="2"/>
  <c r="W87" i="2"/>
  <c r="L183" i="2"/>
  <c r="W183" i="2"/>
  <c r="K222" i="2"/>
  <c r="M222" i="2"/>
  <c r="H6" i="13"/>
  <c r="K121" i="2"/>
  <c r="K125" i="2" s="1"/>
  <c r="M121" i="2"/>
  <c r="M125" i="2" s="1"/>
  <c r="K172" i="2"/>
  <c r="M172" i="2"/>
  <c r="I31" i="4"/>
  <c r="I34" i="4"/>
  <c r="I10" i="13" s="1"/>
  <c r="I32" i="4"/>
  <c r="L75" i="2"/>
  <c r="W75" i="2"/>
  <c r="L10" i="2"/>
  <c r="W10" i="2"/>
  <c r="W11" i="2" s="1"/>
  <c r="J98" i="2"/>
  <c r="G104" i="2"/>
  <c r="M131" i="2"/>
  <c r="K131" i="2"/>
  <c r="M35" i="2"/>
  <c r="M39" i="2" s="1"/>
  <c r="K35" i="2"/>
  <c r="L66" i="2"/>
  <c r="W66" i="2"/>
  <c r="K94" i="2"/>
  <c r="M94" i="2"/>
  <c r="M67" i="2"/>
  <c r="K67" i="2"/>
  <c r="W81" i="2"/>
  <c r="L81" i="2"/>
  <c r="J140" i="2"/>
  <c r="G146" i="2"/>
  <c r="I181" i="2"/>
  <c r="M175" i="2"/>
  <c r="K175" i="2"/>
  <c r="F239" i="2"/>
  <c r="D8" i="11"/>
  <c r="M186" i="2"/>
  <c r="M188" i="2" s="1"/>
  <c r="K186" i="2"/>
  <c r="K229" i="2"/>
  <c r="L229" i="2" s="1"/>
  <c r="M229" i="2"/>
  <c r="N229" i="2" s="1"/>
  <c r="K230" i="2"/>
  <c r="L230" i="2" s="1"/>
  <c r="M230" i="2"/>
  <c r="N230" i="2" s="1"/>
  <c r="L28" i="2"/>
  <c r="W28" i="2"/>
  <c r="K12" i="2"/>
  <c r="M12" i="2"/>
  <c r="I18" i="2"/>
  <c r="M203" i="2"/>
  <c r="I209" i="2"/>
  <c r="K203" i="2"/>
  <c r="L192" i="2"/>
  <c r="W192" i="2"/>
  <c r="H19" i="13"/>
  <c r="M70" i="2"/>
  <c r="I76" i="2"/>
  <c r="K70" i="2"/>
  <c r="I25" i="2"/>
  <c r="M19" i="2"/>
  <c r="K19" i="2"/>
  <c r="L142" i="2"/>
  <c r="W142" i="2"/>
  <c r="M28" i="2"/>
  <c r="K28" i="2"/>
  <c r="J56" i="2"/>
  <c r="G62" i="2"/>
  <c r="L70" i="2"/>
  <c r="W70" i="2"/>
  <c r="J76" i="2"/>
  <c r="G97" i="2"/>
  <c r="C9" i="13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G55" i="2"/>
  <c r="J47" i="2"/>
  <c r="G83" i="2"/>
  <c r="L170" i="2"/>
  <c r="W170" i="2"/>
  <c r="K93" i="2"/>
  <c r="K97" i="2" s="1"/>
  <c r="M93" i="2"/>
  <c r="M97" i="2" s="1"/>
  <c r="I97" i="2"/>
  <c r="L95" i="2"/>
  <c r="W95" i="2"/>
  <c r="G46" i="2"/>
  <c r="M27" i="2"/>
  <c r="I32" i="2"/>
  <c r="K27" i="2"/>
  <c r="K32" i="2" s="1"/>
  <c r="K129" i="2"/>
  <c r="M129" i="2"/>
  <c r="H23" i="13"/>
  <c r="W26" i="2"/>
  <c r="J32" i="2"/>
  <c r="L26" i="2"/>
  <c r="K108" i="2"/>
  <c r="K111" i="2" s="1"/>
  <c r="M108" i="2"/>
  <c r="M111" i="2" s="1"/>
  <c r="I111" i="2"/>
  <c r="L114" i="2"/>
  <c r="W114" i="2"/>
  <c r="G132" i="2"/>
  <c r="J126" i="2"/>
  <c r="J167" i="2"/>
  <c r="W161" i="2"/>
  <c r="L161" i="2"/>
  <c r="M227" i="2"/>
  <c r="I234" i="2"/>
  <c r="K227" i="2"/>
  <c r="L198" i="2"/>
  <c r="W198" i="2"/>
  <c r="W85" i="2"/>
  <c r="W90" i="2" s="1"/>
  <c r="L85" i="2"/>
  <c r="J90" i="2"/>
  <c r="W133" i="2"/>
  <c r="W139" i="2" s="1"/>
  <c r="J139" i="2"/>
  <c r="L133" i="2"/>
  <c r="L139" i="2" s="1"/>
  <c r="M144" i="2"/>
  <c r="K144" i="2"/>
  <c r="M192" i="2"/>
  <c r="M195" i="2" s="1"/>
  <c r="K192" i="2"/>
  <c r="K195" i="2" s="1"/>
  <c r="L129" i="2"/>
  <c r="W129" i="2"/>
  <c r="K56" i="2"/>
  <c r="M56" i="2"/>
  <c r="I62" i="2"/>
  <c r="W205" i="2"/>
  <c r="L205" i="2"/>
  <c r="K51" i="2"/>
  <c r="M51" i="2"/>
  <c r="M170" i="2"/>
  <c r="M174" i="2" s="1"/>
  <c r="K170" i="2"/>
  <c r="K174" i="2" s="1"/>
  <c r="W80" i="2"/>
  <c r="L80" i="2"/>
  <c r="G209" i="2"/>
  <c r="AA31" i="4"/>
  <c r="AA32" i="4"/>
  <c r="AA34" i="4"/>
  <c r="I28" i="13" s="1"/>
  <c r="K65" i="2"/>
  <c r="I69" i="2"/>
  <c r="M65" i="2"/>
  <c r="K208" i="2"/>
  <c r="M208" i="2"/>
  <c r="P31" i="4"/>
  <c r="P34" i="4"/>
  <c r="P32" i="4"/>
  <c r="B29" i="4"/>
  <c r="J120" i="2"/>
  <c r="G125" i="2"/>
  <c r="K228" i="2"/>
  <c r="L228" i="2" s="1"/>
  <c r="M228" i="2"/>
  <c r="N228" i="2" s="1"/>
  <c r="L108" i="2"/>
  <c r="W108" i="2"/>
  <c r="M114" i="2"/>
  <c r="K114" i="2"/>
  <c r="K118" i="2" s="1"/>
  <c r="I118" i="2"/>
  <c r="K126" i="2"/>
  <c r="M126" i="2"/>
  <c r="I132" i="2"/>
  <c r="G167" i="2"/>
  <c r="J33" i="2"/>
  <c r="G39" i="2"/>
  <c r="J202" i="2"/>
  <c r="L196" i="2"/>
  <c r="W196" i="2"/>
  <c r="L25" i="2"/>
  <c r="G234" i="2"/>
  <c r="M176" i="2"/>
  <c r="K176" i="2"/>
  <c r="X227" i="2"/>
  <c r="L210" i="2"/>
  <c r="L216" i="2" s="1"/>
  <c r="J216" i="2"/>
  <c r="W210" i="2"/>
  <c r="W216" i="2" s="1"/>
  <c r="G195" i="2"/>
  <c r="J189" i="2"/>
  <c r="M142" i="2"/>
  <c r="K142" i="2"/>
  <c r="M198" i="2"/>
  <c r="K198" i="2"/>
  <c r="K47" i="2"/>
  <c r="I55" i="2"/>
  <c r="M47" i="2"/>
  <c r="I188" i="2"/>
  <c r="J83" i="2"/>
  <c r="L77" i="2"/>
  <c r="W77" i="2"/>
  <c r="L208" i="2"/>
  <c r="W208" i="2"/>
  <c r="H21" i="13"/>
  <c r="L27" i="2"/>
  <c r="W27" i="2"/>
  <c r="K218" i="2"/>
  <c r="M218" i="2"/>
  <c r="L51" i="2"/>
  <c r="W51" i="2"/>
  <c r="K212" i="2"/>
  <c r="K216" i="2" s="1"/>
  <c r="M212" i="2"/>
  <c r="M216" i="2" s="1"/>
  <c r="M179" i="2"/>
  <c r="K179" i="2"/>
  <c r="L180" i="2"/>
  <c r="W180" i="2"/>
  <c r="J209" i="2"/>
  <c r="W203" i="2"/>
  <c r="L203" i="2"/>
  <c r="L141" i="2"/>
  <c r="W141" i="2"/>
  <c r="M206" i="2"/>
  <c r="K206" i="2"/>
  <c r="L58" i="2"/>
  <c r="W58" i="2"/>
  <c r="K14" i="2"/>
  <c r="M14" i="2"/>
  <c r="K13" i="2"/>
  <c r="M13" i="2"/>
  <c r="L59" i="2"/>
  <c r="W59" i="2"/>
  <c r="G18" i="2"/>
  <c r="J12" i="2"/>
  <c r="G202" i="2"/>
  <c r="F234" i="2"/>
  <c r="G111" i="2"/>
  <c r="W219" i="2"/>
  <c r="L219" i="2"/>
  <c r="W164" i="2"/>
  <c r="L164" i="2"/>
  <c r="G118" i="2"/>
  <c r="J112" i="2"/>
  <c r="M41" i="2"/>
  <c r="K41" i="2"/>
  <c r="I46" i="2"/>
  <c r="G32" i="2"/>
  <c r="J97" i="2"/>
  <c r="L92" i="2"/>
  <c r="W92" i="2"/>
  <c r="W97" i="2" s="1"/>
  <c r="L50" i="2"/>
  <c r="W50" i="2"/>
  <c r="G69" i="2"/>
  <c r="J65" i="2"/>
  <c r="J218" i="2"/>
  <c r="G223" i="2"/>
  <c r="J169" i="2"/>
  <c r="G174" i="2"/>
  <c r="L176" i="2"/>
  <c r="W176" i="2"/>
  <c r="W144" i="2"/>
  <c r="L144" i="2"/>
  <c r="M141" i="2"/>
  <c r="K141" i="2"/>
  <c r="L206" i="2"/>
  <c r="W206" i="2"/>
  <c r="J175" i="2"/>
  <c r="G181" i="2"/>
  <c r="L41" i="2"/>
  <c r="L46" i="2" s="1"/>
  <c r="W41" i="2"/>
  <c r="W46" i="2" s="1"/>
  <c r="J46" i="2"/>
  <c r="L186" i="2"/>
  <c r="W186" i="2"/>
  <c r="L13" i="2"/>
  <c r="W13" i="2"/>
  <c r="M59" i="2"/>
  <c r="K59" i="2"/>
  <c r="J234" i="2"/>
  <c r="W106" i="2"/>
  <c r="L106" i="2"/>
  <c r="J111" i="2"/>
  <c r="B36" i="13"/>
  <c r="L90" i="2" l="1"/>
  <c r="K76" i="2"/>
  <c r="M209" i="2"/>
  <c r="L150" i="2"/>
  <c r="L153" i="2" s="1"/>
  <c r="W150" i="2"/>
  <c r="W153" i="2" s="1"/>
  <c r="J153" i="2"/>
  <c r="L11" i="2"/>
  <c r="K11" i="2"/>
  <c r="M69" i="2"/>
  <c r="O11" i="2"/>
  <c r="F4" i="13" s="1"/>
  <c r="D4" i="13"/>
  <c r="E4" i="13" s="1"/>
  <c r="M32" i="2"/>
  <c r="K25" i="2"/>
  <c r="K39" i="2"/>
  <c r="K132" i="2"/>
  <c r="M25" i="2"/>
  <c r="W83" i="2"/>
  <c r="M118" i="2"/>
  <c r="B32" i="4"/>
  <c r="K146" i="2"/>
  <c r="M146" i="2"/>
  <c r="J188" i="2"/>
  <c r="L83" i="2"/>
  <c r="K46" i="2"/>
  <c r="K223" i="2"/>
  <c r="B31" i="4"/>
  <c r="J104" i="2"/>
  <c r="W98" i="2"/>
  <c r="W104" i="2" s="1"/>
  <c r="O104" i="2" s="1"/>
  <c r="F17" i="13" s="1"/>
  <c r="L98" i="2"/>
  <c r="L104" i="2" s="1"/>
  <c r="M202" i="2"/>
  <c r="W32" i="2"/>
  <c r="D7" i="13" s="1"/>
  <c r="H36" i="13"/>
  <c r="M223" i="2"/>
  <c r="W154" i="2"/>
  <c r="W160" i="2" s="1"/>
  <c r="J160" i="2"/>
  <c r="L154" i="2"/>
  <c r="L160" i="2" s="1"/>
  <c r="M46" i="2"/>
  <c r="L167" i="2"/>
  <c r="L111" i="2"/>
  <c r="L76" i="2"/>
  <c r="W182" i="2"/>
  <c r="M132" i="2"/>
  <c r="K202" i="2"/>
  <c r="K69" i="2"/>
  <c r="W76" i="2"/>
  <c r="D13" i="13" s="1"/>
  <c r="M76" i="2"/>
  <c r="D9" i="13"/>
  <c r="O46" i="2"/>
  <c r="J18" i="2"/>
  <c r="L12" i="2"/>
  <c r="L18" i="2" s="1"/>
  <c r="W12" i="2"/>
  <c r="W18" i="2" s="1"/>
  <c r="L126" i="2"/>
  <c r="L132" i="2" s="1"/>
  <c r="J132" i="2"/>
  <c r="W126" i="2"/>
  <c r="W132" i="2" s="1"/>
  <c r="L32" i="2"/>
  <c r="K209" i="2"/>
  <c r="L65" i="2"/>
  <c r="L69" i="2" s="1"/>
  <c r="W65" i="2"/>
  <c r="W69" i="2" s="1"/>
  <c r="J69" i="2"/>
  <c r="D14" i="13"/>
  <c r="O83" i="2"/>
  <c r="F14" i="13" s="1"/>
  <c r="M62" i="2"/>
  <c r="K62" i="2"/>
  <c r="I17" i="13"/>
  <c r="I36" i="13" s="1"/>
  <c r="B34" i="4"/>
  <c r="J241" i="2"/>
  <c r="C5" i="11" s="1"/>
  <c r="B5" i="11" s="1"/>
  <c r="G236" i="2"/>
  <c r="O76" i="2"/>
  <c r="F13" i="13" s="1"/>
  <c r="L188" i="2"/>
  <c r="M181" i="2"/>
  <c r="W175" i="2"/>
  <c r="W181" i="2" s="1"/>
  <c r="L175" i="2"/>
  <c r="L181" i="2" s="1"/>
  <c r="J181" i="2"/>
  <c r="W189" i="2"/>
  <c r="W195" i="2" s="1"/>
  <c r="L189" i="2"/>
  <c r="L195" i="2" s="1"/>
  <c r="J195" i="2"/>
  <c r="O139" i="2"/>
  <c r="F22" i="13" s="1"/>
  <c r="D22" i="13"/>
  <c r="N227" i="2"/>
  <c r="N234" i="2" s="1"/>
  <c r="C9" i="11" s="1"/>
  <c r="B9" i="11" s="1"/>
  <c r="M234" i="2"/>
  <c r="C7" i="11" s="1"/>
  <c r="B7" i="11" s="1"/>
  <c r="L33" i="2"/>
  <c r="L39" i="2" s="1"/>
  <c r="J39" i="2"/>
  <c r="W33" i="2"/>
  <c r="W39" i="2" s="1"/>
  <c r="L47" i="2"/>
  <c r="L55" i="2" s="1"/>
  <c r="W47" i="2"/>
  <c r="W188" i="2"/>
  <c r="L169" i="2"/>
  <c r="L174" i="2" s="1"/>
  <c r="W169" i="2"/>
  <c r="W174" i="2" s="1"/>
  <c r="J174" i="2"/>
  <c r="W112" i="2"/>
  <c r="W118" i="2" s="1"/>
  <c r="L112" i="2"/>
  <c r="L118" i="2" s="1"/>
  <c r="J118" i="2"/>
  <c r="L97" i="2"/>
  <c r="L209" i="2"/>
  <c r="D33" i="13"/>
  <c r="O216" i="2"/>
  <c r="W202" i="2"/>
  <c r="W167" i="2"/>
  <c r="W56" i="2"/>
  <c r="W62" i="2" s="1"/>
  <c r="J62" i="2"/>
  <c r="L56" i="2"/>
  <c r="L62" i="2" s="1"/>
  <c r="M18" i="2"/>
  <c r="W140" i="2"/>
  <c r="W146" i="2" s="1"/>
  <c r="J146" i="2"/>
  <c r="L140" i="2"/>
  <c r="L146" i="2" s="1"/>
  <c r="K234" i="2"/>
  <c r="C6" i="11" s="1"/>
  <c r="B6" i="11" s="1"/>
  <c r="L227" i="2"/>
  <c r="L234" i="2" s="1"/>
  <c r="C8" i="11" s="1"/>
  <c r="B8" i="11" s="1"/>
  <c r="K181" i="2"/>
  <c r="D24" i="13"/>
  <c r="O153" i="2"/>
  <c r="F24" i="13" s="1"/>
  <c r="D9" i="11"/>
  <c r="I239" i="2"/>
  <c r="O97" i="2"/>
  <c r="F16" i="13" s="1"/>
  <c r="D16" i="13"/>
  <c r="D7" i="11"/>
  <c r="G239" i="2"/>
  <c r="M55" i="2"/>
  <c r="W111" i="2"/>
  <c r="L218" i="2"/>
  <c r="L223" i="2" s="1"/>
  <c r="W218" i="2"/>
  <c r="W223" i="2" s="1"/>
  <c r="J223" i="2"/>
  <c r="W209" i="2"/>
  <c r="K55" i="2"/>
  <c r="L202" i="2"/>
  <c r="W120" i="2"/>
  <c r="W125" i="2" s="1"/>
  <c r="L120" i="2"/>
  <c r="L125" i="2" s="1"/>
  <c r="J125" i="2"/>
  <c r="D15" i="13"/>
  <c r="O90" i="2"/>
  <c r="F15" i="13" s="1"/>
  <c r="O25" i="2"/>
  <c r="F6" i="13" s="1"/>
  <c r="D6" i="13"/>
  <c r="K18" i="2"/>
  <c r="C36" i="13"/>
  <c r="O32" i="2" l="1"/>
  <c r="F7" i="13" s="1"/>
  <c r="D17" i="13"/>
  <c r="D25" i="13"/>
  <c r="O160" i="2"/>
  <c r="F25" i="13" s="1"/>
  <c r="O125" i="2"/>
  <c r="F20" i="13" s="1"/>
  <c r="D20" i="13"/>
  <c r="D23" i="13"/>
  <c r="O146" i="2"/>
  <c r="F23" i="13" s="1"/>
  <c r="D21" i="13"/>
  <c r="O132" i="2"/>
  <c r="F21" i="13" s="1"/>
  <c r="D30" i="13"/>
  <c r="O195" i="2"/>
  <c r="F30" i="13" s="1"/>
  <c r="D32" i="13"/>
  <c r="O209" i="2"/>
  <c r="F32" i="13" s="1"/>
  <c r="O188" i="2"/>
  <c r="F29" i="13" s="1"/>
  <c r="D29" i="13"/>
  <c r="D5" i="13"/>
  <c r="O18" i="2"/>
  <c r="F5" i="13" s="1"/>
  <c r="W227" i="2"/>
  <c r="O62" i="2"/>
  <c r="F11" i="13" s="1"/>
  <c r="D11" i="13"/>
  <c r="D10" i="13"/>
  <c r="O55" i="2"/>
  <c r="F10" i="13" s="1"/>
  <c r="D28" i="13"/>
  <c r="O181" i="2"/>
  <c r="F28" i="13" s="1"/>
  <c r="D12" i="13"/>
  <c r="O69" i="2"/>
  <c r="F12" i="13" s="1"/>
  <c r="D34" i="13"/>
  <c r="O223" i="2"/>
  <c r="F34" i="13" s="1"/>
  <c r="D26" i="13"/>
  <c r="O167" i="2"/>
  <c r="F26" i="13" s="1"/>
  <c r="D19" i="13"/>
  <c r="O118" i="2"/>
  <c r="F19" i="13" s="1"/>
  <c r="D31" i="13"/>
  <c r="O202" i="2"/>
  <c r="F31" i="13" s="1"/>
  <c r="F9" i="13"/>
  <c r="F33" i="13"/>
  <c r="D18" i="13"/>
  <c r="O111" i="2"/>
  <c r="F18" i="13" s="1"/>
  <c r="O174" i="2"/>
  <c r="F27" i="13" s="1"/>
  <c r="D27" i="13"/>
  <c r="D8" i="13"/>
  <c r="O39" i="2"/>
  <c r="F8" i="13" s="1"/>
  <c r="F36" i="13" l="1"/>
  <c r="E5" i="13"/>
  <c r="D36" i="13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6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7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8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7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8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9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4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5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6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91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2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3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8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9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100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5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6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7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6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7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8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3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4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5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40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1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2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8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4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5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6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5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6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7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2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3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4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9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90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91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6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7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8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3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4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5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<sst xmlns="http://schemas.openxmlformats.org/spreadsheetml/2006/main" count="754" uniqueCount="193">
  <si>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</si>
  <si>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</si>
  <si>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</si>
  <si>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</si>
  <si>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</si>
  <si>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</si>
  <si>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</si>
  <si>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</si>
  <si>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</si>
  <si>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</si>
  <si>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</si>
  <si>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</si>
  <si>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</si>
  <si>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</si>
  <si>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</si>
  <si>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</si>
  <si>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</si>
  <si>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</si>
  <si>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</si>
  <si>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</si>
  <si>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</si>
  <si>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</si>
  <si>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</si>
  <si>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</si>
  <si>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</si>
  <si>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</si>
  <si>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</si>
  <si>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</si>
  <si>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</si>
  <si>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</si>
  <si>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</si>
  <si>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</si>
  <si>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</si>
  <si>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</si>
  <si>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</si>
  <si>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</si>
  <si>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</si>
  <si>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</si>
  <si>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</si>
  <si>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</si>
  <si>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</si>
  <si>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</si>
  <si>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</si>
  <si>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</si>
  <si>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</si>
  <si>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</si>
  <si>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</si>
  <si>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</si>
  <si>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</si>
  <si>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</si>
  <si>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</si>
  <si>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</si>
  <si>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</si>
  <si>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</si>
  <si>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</si>
  <si>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</si>
  <si>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</si>
  <si>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</si>
  <si>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</si>
  <si>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</si>
  <si>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</si>
  <si>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</si>
  <si>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</si>
  <si>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</si>
  <si>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</si>
  <si>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</si>
  <si>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</si>
  <si>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</si>
  <si>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</si>
  <si>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</si>
  <si>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</si>
  <si>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</si>
  <si>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</si>
  <si>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</si>
  <si>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</si>
  <si>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</si>
  <si>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</si>
  <si>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</si>
  <si>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</si>
  <si>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</si>
  <si>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</si>
  <si>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</si>
  <si>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</si>
  <si>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</si>
  <si>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</si>
  <si>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</si>
  <si>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</si>
  <si>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</si>
  <si>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</si>
  <si>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</si>
  <si>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</si>
  <si>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</si>
  <si>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</si>
  <si>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</si>
  <si>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</si>
  <si>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</si>
  <si>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</si>
  <si>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</si>
  <si>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</si>
  <si>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</si>
  <si>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</si>
  <si>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</si>
  <si>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</si>
  <si>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</si>
  <si>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</si>
  <si>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</si>
  <si>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</si>
  <si>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</si>
  <si>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</si>
  <si>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</si>
  <si>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</si>
  <si>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</si>
  <si>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</si>
  <si>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</si>
  <si>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</si>
  <si>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</si>
  <si>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</si>
  <si>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</si>
  <si>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</si>
  <si>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</si>
  <si>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</si>
  <si>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</si>
  <si>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</si>
  <si>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</si>
  <si>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</si>
  <si>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</si>
  <si>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</si>
  <si>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</si>
  <si>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</si>
  <si>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</si>
  <si>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</si>
  <si>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</si>
  <si>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</si>
  <si>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</si>
  <si>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</si>
  <si>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</si>
  <si>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</si>
  <si>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</si>
  <si>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</si>
  <si>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</si>
  <si>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</si>
  <si>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</si>
  <si>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</si>
  <si>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</si>
  <si>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</si>
  <si>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</si>
  <si>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</si>
  <si>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</si>
  <si>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</si>
  <si>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</si>
  <si>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</si>
  <si>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</si>
  <si>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</si>
  <si>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</si>
  <si>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</si>
  <si>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</si>
  <si>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</si>
  <si>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</si>
  <si>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</si>
  <si>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</si>
  <si>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</si>
  <si>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</si>
  <si>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</si>
  <si>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</si>
  <si>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</si>
  <si>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</si>
  <si>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</si>
  <si>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</si>
  <si>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</si>
  <si>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</si>
  <si>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</si>
  <si>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</si>
  <si>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</si>
  <si>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</si>
  <si>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</si>
  <si>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</si>
  <si>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</si>
  <si>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</si>
  <si>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</si>
  <si>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</si>
  <si>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</si>
  <si>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</si>
  <si>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</si>
  <si>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</si>
  <si>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</si>
  <si>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</si>
  <si>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</si>
  <si>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</si>
  <si>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</si>
  <si>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</si>
  <si>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</si>
  <si>
    <t>PU-ES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</si>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</sst>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opLeftCell="A67" zoomScaleNormal="100" workbookViewId="0">
      <selection activeCell="M86" sqref="M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" si="70">C43-B43</f>
        <v>0</v>
      </c>
      <c r="D86" s="328">
        <f t="shared" ref="D86" si="71">D43-C43</f>
        <v>0</v>
      </c>
      <c r="E86" s="328">
        <f t="shared" ref="E86" si="72">E43-D43</f>
        <v>292</v>
      </c>
      <c r="F86" s="328">
        <f t="shared" ref="F86" si="73">F43-E43</f>
        <v>401</v>
      </c>
      <c r="G86" s="328">
        <f t="shared" ref="G86" si="74">G43-F43</f>
        <v>0</v>
      </c>
      <c r="H86" s="328">
        <f t="shared" ref="H86" si="75">H43-G43</f>
        <v>333</v>
      </c>
      <c r="I86" s="328">
        <f t="shared" ref="I86" si="76">I43-H43</f>
        <v>259</v>
      </c>
      <c r="J86" s="328">
        <f t="shared" ref="J86" si="77">J43-I43</f>
        <v>91</v>
      </c>
      <c r="K86" s="328">
        <f t="shared" ref="K86" si="78">K43-J43</f>
        <v>0</v>
      </c>
      <c r="L86" s="328">
        <f t="shared" ref="L86" si="79">L43-K43</f>
        <v>289</v>
      </c>
      <c r="M86" s="328">
        <f t="shared" ref="M86" si="80">M43-L43</f>
        <v>271</v>
      </c>
      <c r="N86" s="328">
        <f t="shared" ref="N86" si="81">N43-M43</f>
        <v>181</v>
      </c>
      <c r="O86" s="328">
        <f t="shared" ref="O86" si="82">O43-N43</f>
        <v>312</v>
      </c>
      <c r="P86" s="328">
        <f t="shared" ref="P86" si="83">P43-O43</f>
        <v>102</v>
      </c>
      <c r="Q86" s="328">
        <f t="shared" ref="Q86" si="84">Q43-P43</f>
        <v>0</v>
      </c>
      <c r="R86" s="328">
        <f t="shared" ref="R86" si="85">R43-Q43</f>
        <v>0</v>
      </c>
      <c r="S86" s="328">
        <f t="shared" ref="S86" si="86">S43-R43</f>
        <v>536</v>
      </c>
      <c r="T86" s="328">
        <f t="shared" ref="T86" si="87">T43-S43</f>
        <v>462</v>
      </c>
      <c r="U86" s="328">
        <f t="shared" ref="U86" si="88">U43-T43</f>
        <v>116</v>
      </c>
      <c r="V86" s="328">
        <f t="shared" ref="V86" si="89">V43-U43</f>
        <v>121</v>
      </c>
      <c r="W86" s="328">
        <f t="shared" ref="W86" si="90">W43-V43</f>
        <v>267</v>
      </c>
      <c r="X86" s="328">
        <f t="shared" ref="X86" si="91">X43-W43</f>
        <v>0</v>
      </c>
      <c r="Y86" s="328">
        <f t="shared" ref="Y86" si="92">Y43-X43</f>
        <v>0</v>
      </c>
      <c r="Z86" s="328">
        <f t="shared" ref="Z86" si="93">Z43-Y43</f>
        <v>334</v>
      </c>
      <c r="AA86" s="328">
        <f t="shared" ref="AA86" si="94">AA43-Z43</f>
        <v>86</v>
      </c>
      <c r="AB86" s="328">
        <f t="shared" ref="AB86" si="95">AB43-AA43</f>
        <v>228</v>
      </c>
      <c r="AC86" s="328">
        <f t="shared" ref="AC86" si="96">AC43-AB43</f>
        <v>260</v>
      </c>
      <c r="AD86" s="328">
        <f t="shared" ref="AD86" si="97">AD43-AC43</f>
        <v>210</v>
      </c>
      <c r="AE86" s="328">
        <f t="shared" ref="AE86" si="98">AE43-AD43</f>
        <v>1</v>
      </c>
      <c r="AF86" s="328">
        <f t="shared" ref="AF86" si="99">AF43-AE43</f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100">SUM(B51:B86)</f>
        <v>4981</v>
      </c>
      <c r="C88" s="16">
        <f t="shared" si="100"/>
        <v>6486</v>
      </c>
      <c r="D88" s="16">
        <f t="shared" si="100"/>
        <v>4950</v>
      </c>
      <c r="E88" s="16">
        <f t="shared" si="100"/>
        <v>13049</v>
      </c>
      <c r="F88" s="16">
        <f t="shared" si="100"/>
        <v>13112</v>
      </c>
      <c r="G88" s="16">
        <f>SUM(G51:G86)</f>
        <v>12650</v>
      </c>
      <c r="H88" s="16">
        <f t="shared" ref="H88:AF88" si="101">SUM(H51:H86)</f>
        <v>12211</v>
      </c>
      <c r="I88" s="16">
        <f t="shared" si="101"/>
        <v>12919</v>
      </c>
      <c r="J88" s="16">
        <f t="shared" si="101"/>
        <v>6702</v>
      </c>
      <c r="K88" s="16">
        <f t="shared" si="101"/>
        <v>4984</v>
      </c>
      <c r="L88" s="16">
        <f t="shared" si="101"/>
        <v>12984</v>
      </c>
      <c r="M88" s="16">
        <f t="shared" si="101"/>
        <v>12900</v>
      </c>
      <c r="N88" s="16">
        <f t="shared" si="101"/>
        <v>12976</v>
      </c>
      <c r="O88" s="16">
        <f t="shared" si="101"/>
        <v>13125</v>
      </c>
      <c r="P88" s="16">
        <f t="shared" si="101"/>
        <v>13020</v>
      </c>
      <c r="Q88" s="16">
        <f t="shared" si="101"/>
        <v>6569</v>
      </c>
      <c r="R88" s="16">
        <f t="shared" si="101"/>
        <v>5005</v>
      </c>
      <c r="S88" s="16">
        <f t="shared" si="101"/>
        <v>12820</v>
      </c>
      <c r="T88" s="16">
        <f t="shared" si="101"/>
        <v>12744</v>
      </c>
      <c r="U88" s="16">
        <f t="shared" si="101"/>
        <v>12836</v>
      </c>
      <c r="V88" s="16">
        <f t="shared" si="101"/>
        <v>6349</v>
      </c>
      <c r="W88" s="16">
        <f t="shared" si="101"/>
        <v>12975</v>
      </c>
      <c r="X88" s="16">
        <f t="shared" si="101"/>
        <v>6547</v>
      </c>
      <c r="Y88" s="16">
        <f t="shared" si="101"/>
        <v>5004</v>
      </c>
      <c r="Z88" s="16">
        <f t="shared" si="101"/>
        <v>12602</v>
      </c>
      <c r="AA88" s="16">
        <f t="shared" si="101"/>
        <v>12923</v>
      </c>
      <c r="AB88" s="16">
        <f t="shared" si="101"/>
        <v>12906</v>
      </c>
      <c r="AC88" s="16">
        <f t="shared" si="101"/>
        <v>12879</v>
      </c>
      <c r="AD88" s="16">
        <f t="shared" si="101"/>
        <v>12885</v>
      </c>
      <c r="AE88" s="16">
        <f t="shared" si="101"/>
        <v>6576</v>
      </c>
      <c r="AF88" s="16">
        <f t="shared" si="101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" si="102">C41-B41</f>
        <v>0</v>
      </c>
      <c r="D90" s="328">
        <f t="shared" ref="D90:D91" si="103">D41-C41</f>
        <v>0</v>
      </c>
      <c r="E90" s="328">
        <f t="shared" ref="E90:E91" si="104">E41-D41</f>
        <v>0</v>
      </c>
      <c r="F90" s="328">
        <f t="shared" ref="F90:F91" si="105">F41-E41</f>
        <v>0</v>
      </c>
      <c r="G90" s="328">
        <f t="shared" ref="G90:G91" si="106">G41-F41</f>
        <v>0</v>
      </c>
      <c r="H90" s="328">
        <f t="shared" ref="H90:H91" si="107">H41-G41</f>
        <v>0</v>
      </c>
      <c r="I90" s="328">
        <f t="shared" ref="I90:I91" si="108">I41-H41</f>
        <v>0</v>
      </c>
      <c r="J90" s="328">
        <f t="shared" ref="J90:J91" si="109">J41-I41</f>
        <v>0</v>
      </c>
      <c r="K90" s="328">
        <f t="shared" ref="K90:K91" si="110">K41-J41</f>
        <v>0</v>
      </c>
      <c r="L90" s="328">
        <f t="shared" ref="L90:L91" si="111">L41-K41</f>
        <v>0</v>
      </c>
      <c r="M90" s="328">
        <f t="shared" ref="M90:M91" si="112">M41-L41</f>
        <v>0</v>
      </c>
      <c r="N90" s="328">
        <f t="shared" ref="N90:N91" si="113">N41-M41</f>
        <v>0</v>
      </c>
      <c r="O90" s="328">
        <f t="shared" ref="O90:O91" si="114">O41-N41</f>
        <v>0</v>
      </c>
      <c r="P90" s="328">
        <f t="shared" ref="P90:P91" si="115">P41-O41</f>
        <v>0</v>
      </c>
      <c r="Q90" s="328">
        <f t="shared" ref="Q90:Q91" si="116">Q41-P41</f>
        <v>0</v>
      </c>
      <c r="R90" s="328">
        <f t="shared" ref="R90:R91" si="117">R41-Q41</f>
        <v>0</v>
      </c>
      <c r="S90" s="328">
        <f t="shared" ref="S90:S91" si="118">S41-R41</f>
        <v>0</v>
      </c>
      <c r="T90" s="328">
        <f t="shared" ref="T90:T91" si="119">T41-S41</f>
        <v>0</v>
      </c>
      <c r="U90" s="328">
        <f t="shared" ref="U90:U91" si="120">U41-T41</f>
        <v>0</v>
      </c>
      <c r="V90" s="328">
        <f t="shared" ref="V90:V91" si="121">V41-U41</f>
        <v>0</v>
      </c>
      <c r="W90" s="328">
        <f t="shared" ref="W90:W91" si="122">W41-V41</f>
        <v>0</v>
      </c>
      <c r="X90" s="328">
        <f t="shared" ref="X90:X91" si="123">X41-W41</f>
        <v>0</v>
      </c>
      <c r="Y90" s="328">
        <f t="shared" ref="Y90:Y91" si="124">Y41-X41</f>
        <v>0</v>
      </c>
      <c r="Z90" s="328">
        <f t="shared" ref="Z90:Z91" si="125">Z41-Y41</f>
        <v>0</v>
      </c>
      <c r="AA90" s="328">
        <f t="shared" ref="AA90:AA91" si="126">AA41-Z41</f>
        <v>0</v>
      </c>
      <c r="AB90" s="328">
        <f t="shared" ref="AB90:AB91" si="127">AB41-AA41</f>
        <v>0</v>
      </c>
      <c r="AC90" s="328">
        <f t="shared" ref="AC90:AC91" si="128">AC41-AB41</f>
        <v>0</v>
      </c>
      <c r="AD90" s="328">
        <f t="shared" ref="AD90:AD91" si="129">AD41-AC41</f>
        <v>0</v>
      </c>
      <c r="AE90" s="328">
        <f t="shared" ref="AE90:AE91" si="130">AE41-AD41</f>
        <v>0</v>
      </c>
      <c r="AF90" s="328">
        <f t="shared" ref="AF90:AF91" si="131">AF41-AE41</f>
        <v>0</v>
      </c>
    </row>
    <row r="91" spans="1:32" s="124" customFormat="1" x14ac:dyDescent="0.25">
      <c r="A91" s="327" t="s">
        <v>178</v>
      </c>
      <c r="B91" s="225">
        <v>0</v>
      </c>
      <c r="C91" s="328">
        <f>C42-B42</f>
        <v>0</v>
      </c>
      <c r="D91" s="328">
        <f t="shared" si="103"/>
        <v>0</v>
      </c>
      <c r="E91" s="328">
        <f t="shared" si="104"/>
        <v>0</v>
      </c>
      <c r="F91" s="328">
        <f t="shared" si="105"/>
        <v>0</v>
      </c>
      <c r="G91" s="328">
        <f t="shared" si="106"/>
        <v>0</v>
      </c>
      <c r="H91" s="328">
        <f t="shared" si="107"/>
        <v>0</v>
      </c>
      <c r="I91" s="328">
        <f t="shared" si="108"/>
        <v>0</v>
      </c>
      <c r="J91" s="328">
        <f t="shared" si="109"/>
        <v>0</v>
      </c>
      <c r="K91" s="328">
        <f t="shared" si="110"/>
        <v>0</v>
      </c>
      <c r="L91" s="328">
        <f t="shared" si="111"/>
        <v>0</v>
      </c>
      <c r="M91" s="328">
        <f t="shared" si="112"/>
        <v>0</v>
      </c>
      <c r="N91" s="328">
        <f t="shared" si="113"/>
        <v>0</v>
      </c>
      <c r="O91" s="328">
        <f t="shared" si="114"/>
        <v>0</v>
      </c>
      <c r="P91" s="328">
        <f t="shared" si="115"/>
        <v>0</v>
      </c>
      <c r="Q91" s="328">
        <f t="shared" si="116"/>
        <v>0</v>
      </c>
      <c r="R91" s="328">
        <f t="shared" si="117"/>
        <v>0</v>
      </c>
      <c r="S91" s="328">
        <f t="shared" si="118"/>
        <v>0</v>
      </c>
      <c r="T91" s="328">
        <f t="shared" si="119"/>
        <v>0</v>
      </c>
      <c r="U91" s="328">
        <f t="shared" si="120"/>
        <v>0</v>
      </c>
      <c r="V91" s="328">
        <f t="shared" si="121"/>
        <v>0</v>
      </c>
      <c r="W91" s="328">
        <f t="shared" si="122"/>
        <v>0</v>
      </c>
      <c r="X91" s="328">
        <f t="shared" si="123"/>
        <v>0</v>
      </c>
      <c r="Y91" s="328">
        <f t="shared" si="124"/>
        <v>0</v>
      </c>
      <c r="Z91" s="328">
        <f t="shared" si="125"/>
        <v>0</v>
      </c>
      <c r="AA91" s="328">
        <f t="shared" si="126"/>
        <v>0</v>
      </c>
      <c r="AB91" s="328">
        <f t="shared" si="127"/>
        <v>0</v>
      </c>
      <c r="AC91" s="328">
        <f t="shared" si="128"/>
        <v>0</v>
      </c>
      <c r="AD91" s="328">
        <f t="shared" si="129"/>
        <v>0</v>
      </c>
      <c r="AE91" s="328">
        <f t="shared" si="130"/>
        <v>0</v>
      </c>
      <c r="AF91" s="328">
        <f t="shared" si="131"/>
        <v>0</v>
      </c>
    </row>
    <row r="92" spans="1:32" s="124" customFormat="1" x14ac:dyDescent="0.25">
      <c r="A92" s="327" t="s">
        <v>179</v>
      </c>
      <c r="B92" s="225">
        <v>0</v>
      </c>
      <c r="C92" s="328">
        <f>C44-B44</f>
        <v>0</v>
      </c>
      <c r="D92" s="328">
        <f t="shared" ref="D92:AF92" si="132">D44-C44</f>
        <v>0</v>
      </c>
      <c r="E92" s="328">
        <f t="shared" si="132"/>
        <v>0</v>
      </c>
      <c r="F92" s="328">
        <f t="shared" si="132"/>
        <v>0</v>
      </c>
      <c r="G92" s="328">
        <f t="shared" si="132"/>
        <v>0</v>
      </c>
      <c r="H92" s="328">
        <f t="shared" si="132"/>
        <v>0</v>
      </c>
      <c r="I92" s="328">
        <f t="shared" si="132"/>
        <v>0</v>
      </c>
      <c r="J92" s="328">
        <f t="shared" si="132"/>
        <v>0</v>
      </c>
      <c r="K92" s="328">
        <f t="shared" si="132"/>
        <v>0</v>
      </c>
      <c r="L92" s="328">
        <f t="shared" si="132"/>
        <v>0</v>
      </c>
      <c r="M92" s="328">
        <f t="shared" si="132"/>
        <v>0</v>
      </c>
      <c r="N92" s="328">
        <f t="shared" si="132"/>
        <v>0</v>
      </c>
      <c r="O92" s="328">
        <f t="shared" si="132"/>
        <v>0</v>
      </c>
      <c r="P92" s="328">
        <f t="shared" si="132"/>
        <v>0</v>
      </c>
      <c r="Q92" s="328">
        <f t="shared" si="132"/>
        <v>0</v>
      </c>
      <c r="R92" s="328">
        <f t="shared" si="132"/>
        <v>0</v>
      </c>
      <c r="S92" s="328">
        <f t="shared" si="132"/>
        <v>0</v>
      </c>
      <c r="T92" s="328">
        <f t="shared" si="132"/>
        <v>0</v>
      </c>
      <c r="U92" s="328">
        <f t="shared" si="132"/>
        <v>0</v>
      </c>
      <c r="V92" s="328">
        <f t="shared" si="132"/>
        <v>0</v>
      </c>
      <c r="W92" s="328">
        <f t="shared" si="132"/>
        <v>0</v>
      </c>
      <c r="X92" s="328">
        <f t="shared" si="132"/>
        <v>0</v>
      </c>
      <c r="Y92" s="328">
        <f t="shared" si="132"/>
        <v>0</v>
      </c>
      <c r="Z92" s="328">
        <f t="shared" si="132"/>
        <v>0</v>
      </c>
      <c r="AA92" s="328">
        <f t="shared" si="132"/>
        <v>0</v>
      </c>
      <c r="AB92" s="328">
        <f t="shared" si="132"/>
        <v>0</v>
      </c>
      <c r="AC92" s="328">
        <f t="shared" si="132"/>
        <v>0</v>
      </c>
      <c r="AD92" s="328">
        <f t="shared" si="132"/>
        <v>0</v>
      </c>
      <c r="AE92" s="328">
        <f t="shared" si="132"/>
        <v>0</v>
      </c>
      <c r="AF92" s="328">
        <f t="shared" si="132"/>
        <v>0</v>
      </c>
    </row>
    <row r="93" spans="1:32" s="124" customFormat="1" x14ac:dyDescent="0.25">
      <c r="A93" s="329" t="s">
        <v>180</v>
      </c>
      <c r="B93" s="225">
        <v>204</v>
      </c>
      <c r="C93" s="328">
        <f>C45-B45</f>
        <v>204</v>
      </c>
      <c r="D93" s="328">
        <f t="shared" ref="D93:AF93" si="133">D45-C45</f>
        <v>200</v>
      </c>
      <c r="E93" s="328">
        <f t="shared" si="133"/>
        <v>0</v>
      </c>
      <c r="F93" s="328">
        <f t="shared" si="133"/>
        <v>697</v>
      </c>
      <c r="G93" s="328">
        <f t="shared" si="133"/>
        <v>0</v>
      </c>
      <c r="H93" s="328">
        <f t="shared" si="133"/>
        <v>333</v>
      </c>
      <c r="I93" s="328">
        <f t="shared" si="133"/>
        <v>0</v>
      </c>
      <c r="J93" s="328">
        <f t="shared" si="133"/>
        <v>0</v>
      </c>
      <c r="K93" s="328">
        <f t="shared" si="133"/>
        <v>0</v>
      </c>
      <c r="L93" s="328">
        <f t="shared" si="133"/>
        <v>0</v>
      </c>
      <c r="M93" s="328">
        <f t="shared" si="133"/>
        <v>0</v>
      </c>
      <c r="N93" s="328">
        <f t="shared" si="133"/>
        <v>0</v>
      </c>
      <c r="O93" s="328">
        <f t="shared" si="133"/>
        <v>0</v>
      </c>
      <c r="P93" s="328">
        <f t="shared" si="133"/>
        <v>0</v>
      </c>
      <c r="Q93" s="328">
        <f t="shared" si="133"/>
        <v>0</v>
      </c>
      <c r="R93" s="328">
        <f t="shared" si="133"/>
        <v>0</v>
      </c>
      <c r="S93" s="328">
        <f t="shared" si="133"/>
        <v>0</v>
      </c>
      <c r="T93" s="328">
        <f t="shared" si="133"/>
        <v>0</v>
      </c>
      <c r="U93" s="328">
        <f t="shared" si="133"/>
        <v>0</v>
      </c>
      <c r="V93" s="328">
        <f t="shared" si="133"/>
        <v>0</v>
      </c>
      <c r="W93" s="328">
        <f t="shared" si="133"/>
        <v>0</v>
      </c>
      <c r="X93" s="328">
        <f t="shared" si="133"/>
        <v>0</v>
      </c>
      <c r="Y93" s="328">
        <f t="shared" si="133"/>
        <v>0</v>
      </c>
      <c r="Z93" s="328">
        <f t="shared" si="133"/>
        <v>0</v>
      </c>
      <c r="AA93" s="328">
        <f t="shared" si="133"/>
        <v>0</v>
      </c>
      <c r="AB93" s="328">
        <f t="shared" si="133"/>
        <v>0</v>
      </c>
      <c r="AC93" s="328">
        <f t="shared" si="133"/>
        <v>0</v>
      </c>
      <c r="AD93" s="328">
        <f t="shared" si="133"/>
        <v>0</v>
      </c>
      <c r="AE93" s="328">
        <f t="shared" si="133"/>
        <v>0</v>
      </c>
      <c r="AF93" s="328">
        <f t="shared" si="133"/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>
        <f>1</f>
        <v>1</v>
      </c>
      <c r="C106">
        <f>B106+1</f>
        <v>2</v>
      </c>
      <c r="D106" s="124">
        <f t="shared" ref="D106:AF106" si="134">C106+1</f>
        <v>3</v>
      </c>
      <c r="E106" s="124">
        <f t="shared" si="134"/>
        <v>4</v>
      </c>
      <c r="F106" s="124">
        <f t="shared" si="134"/>
        <v>5</v>
      </c>
      <c r="G106" s="124">
        <f t="shared" si="134"/>
        <v>6</v>
      </c>
      <c r="H106" s="124">
        <f t="shared" si="134"/>
        <v>7</v>
      </c>
      <c r="I106" s="124">
        <f t="shared" si="134"/>
        <v>8</v>
      </c>
      <c r="J106" s="124">
        <f t="shared" si="134"/>
        <v>9</v>
      </c>
      <c r="K106" s="124">
        <f t="shared" si="134"/>
        <v>10</v>
      </c>
      <c r="L106" s="124">
        <f t="shared" si="134"/>
        <v>11</v>
      </c>
      <c r="M106" s="124">
        <f t="shared" si="134"/>
        <v>12</v>
      </c>
      <c r="N106" s="124">
        <f t="shared" si="134"/>
        <v>13</v>
      </c>
      <c r="O106" s="124">
        <f t="shared" si="134"/>
        <v>14</v>
      </c>
      <c r="P106" s="124">
        <f t="shared" si="134"/>
        <v>15</v>
      </c>
      <c r="Q106" s="124">
        <f t="shared" si="134"/>
        <v>16</v>
      </c>
      <c r="R106" s="124">
        <f t="shared" si="134"/>
        <v>17</v>
      </c>
      <c r="S106" s="124">
        <f t="shared" si="134"/>
        <v>18</v>
      </c>
      <c r="T106" s="124">
        <f t="shared" si="134"/>
        <v>19</v>
      </c>
      <c r="U106" s="124">
        <f t="shared" si="134"/>
        <v>20</v>
      </c>
      <c r="V106" s="124">
        <f t="shared" si="134"/>
        <v>21</v>
      </c>
      <c r="W106" s="124">
        <f t="shared" si="134"/>
        <v>22</v>
      </c>
      <c r="X106" s="124">
        <f t="shared" si="134"/>
        <v>23</v>
      </c>
      <c r="Y106" s="124">
        <f t="shared" si="134"/>
        <v>24</v>
      </c>
      <c r="Z106" s="124">
        <f t="shared" si="134"/>
        <v>25</v>
      </c>
      <c r="AA106" s="124">
        <f t="shared" si="134"/>
        <v>26</v>
      </c>
      <c r="AB106" s="124">
        <f t="shared" si="134"/>
        <v>27</v>
      </c>
      <c r="AC106" s="124">
        <f t="shared" si="134"/>
        <v>28</v>
      </c>
      <c r="AD106" s="124">
        <f t="shared" si="134"/>
        <v>29</v>
      </c>
      <c r="AE106" s="124">
        <f t="shared" si="134"/>
        <v>30</v>
      </c>
      <c r="AF106" s="124">
        <f t="shared" si="134"/>
        <v>31</v>
      </c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zoomScaleNormal="100" workbookViewId="0">
      <pane ySplit="4" topLeftCell="A35" activePane="bottomLeft" state="frozen"/>
      <selection activeCell="P1" sqref="P1"/>
      <selection pane="bottomLeft" activeCell="J56" sqref="J56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73" t="s">
        <v>37</v>
      </c>
      <c r="C2" s="373"/>
      <c r="D2" s="374" t="s">
        <v>37</v>
      </c>
      <c r="E2" s="374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  <c r="AG2" s="232" t="s">
        <v>192</v>
      </c>
      <c r="AH2" s="347">
        <f>G2-(M2-M1)</f>
        <v>3.7100000000000009</v>
      </c>
    </row>
    <row r="3" spans="1:34" ht="14.1" customHeight="1" x14ac:dyDescent="0.25">
      <c r="A3" s="17"/>
      <c r="B3" s="373" t="s">
        <v>39</v>
      </c>
      <c r="C3" s="373"/>
      <c r="D3" s="374" t="s">
        <v>40</v>
      </c>
      <c r="E3" s="374"/>
      <c r="F3" s="366" t="s">
        <v>41</v>
      </c>
      <c r="G3" s="366" t="s">
        <v>42</v>
      </c>
      <c r="H3" s="366" t="s">
        <v>161</v>
      </c>
      <c r="I3" s="366" t="s">
        <v>43</v>
      </c>
      <c r="J3" s="366" t="s">
        <v>44</v>
      </c>
      <c r="K3" s="366" t="s">
        <v>45</v>
      </c>
      <c r="L3" s="366" t="s">
        <v>46</v>
      </c>
      <c r="M3" s="366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6"/>
      <c r="G4" s="372"/>
      <c r="H4" s="372"/>
      <c r="I4" s="366"/>
      <c r="J4" s="366"/>
      <c r="K4" s="366"/>
      <c r="L4" s="366"/>
      <c r="M4" s="366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65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65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65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65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65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64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64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64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64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64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v>26</v>
      </c>
      <c r="E47" s="126">
        <v>44</v>
      </c>
      <c r="F47" s="125" t="s">
        <v>38</v>
      </c>
      <c r="G47" s="125">
        <f t="shared" ref="G47:G51" si="36">D47+E47*2</f>
        <v>114</v>
      </c>
      <c r="H47" s="125">
        <f>B47+C47*2</f>
        <v>120</v>
      </c>
      <c r="I47" s="125">
        <f t="shared" ref="I47:I56" si="37">D47+E47</f>
        <v>70</v>
      </c>
      <c r="J47" s="125">
        <f>G47*M$2</f>
        <v>4916.8200000000006</v>
      </c>
      <c r="K47" s="153">
        <f>I47*M$2</f>
        <v>3019.1000000000004</v>
      </c>
      <c r="L47" s="125">
        <f t="shared" ref="L47:L52" si="38">J47*104</f>
        <v>511349.28000000009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4845.9000000000005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65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65"/>
      <c r="B49" s="295">
        <v>33</v>
      </c>
      <c r="C49" s="295">
        <v>3</v>
      </c>
      <c r="D49" s="126">
        <v>22</v>
      </c>
      <c r="E49" s="126">
        <v>2</v>
      </c>
      <c r="F49" s="125" t="s">
        <v>36</v>
      </c>
      <c r="G49" s="125">
        <f t="shared" si="36"/>
        <v>26</v>
      </c>
      <c r="H49" s="125">
        <f t="shared" si="40"/>
        <v>39</v>
      </c>
      <c r="I49" s="125">
        <f t="shared" si="37"/>
        <v>24</v>
      </c>
      <c r="J49" s="125">
        <f>G49*M$1</f>
        <v>756.86</v>
      </c>
      <c r="K49" s="153">
        <f>I49*M$1</f>
        <v>698.64</v>
      </c>
      <c r="L49" s="125">
        <f t="shared" si="38"/>
        <v>78713.440000000002</v>
      </c>
      <c r="M49" s="125">
        <f t="shared" si="39"/>
        <v>2496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J49-(Q49*($M$1-$K$1))-24.13-17.73</f>
        <v>707.58</v>
      </c>
      <c r="X49" s="182">
        <f>H49*$M$1</f>
        <v>1135.29</v>
      </c>
    </row>
    <row r="50" spans="1:65" x14ac:dyDescent="0.25">
      <c r="A50" s="365"/>
      <c r="B50" s="295">
        <v>29</v>
      </c>
      <c r="C50" s="295">
        <v>3</v>
      </c>
      <c r="D50" s="126">
        <v>24</v>
      </c>
      <c r="E50" s="126">
        <v>2</v>
      </c>
      <c r="F50" s="125" t="s">
        <v>53</v>
      </c>
      <c r="G50" s="125">
        <f t="shared" si="36"/>
        <v>28</v>
      </c>
      <c r="H50" s="125">
        <f t="shared" si="40"/>
        <v>35</v>
      </c>
      <c r="I50" s="125">
        <f t="shared" si="37"/>
        <v>26</v>
      </c>
      <c r="J50" s="125">
        <f>G50*M$1</f>
        <v>815.07999999999993</v>
      </c>
      <c r="K50" s="153">
        <f>I50*M$1</f>
        <v>756.86</v>
      </c>
      <c r="L50" s="125">
        <f t="shared" si="38"/>
        <v>84768.319999999992</v>
      </c>
      <c r="M50" s="125">
        <f t="shared" si="39"/>
        <v>2704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J50-0.72-25.4</f>
        <v>788.95999999999992</v>
      </c>
      <c r="X50" s="182">
        <f>H50*$M$1</f>
        <v>1018.85</v>
      </c>
    </row>
    <row r="51" spans="1:65" s="124" customFormat="1" x14ac:dyDescent="0.25">
      <c r="A51" s="365"/>
      <c r="B51" s="295">
        <v>0</v>
      </c>
      <c r="C51" s="295">
        <v>0</v>
      </c>
      <c r="D51" s="126">
        <v>1</v>
      </c>
      <c r="E51" s="126">
        <f>'Data Ocupacion'!Q35</f>
        <v>0</v>
      </c>
      <c r="F51" s="125" t="s">
        <v>122</v>
      </c>
      <c r="G51" s="125">
        <f t="shared" si="36"/>
        <v>1</v>
      </c>
      <c r="H51" s="125">
        <f t="shared" si="40"/>
        <v>0</v>
      </c>
      <c r="I51" s="125">
        <f t="shared" si="37"/>
        <v>1</v>
      </c>
      <c r="J51" s="125">
        <f>G51*K$1</f>
        <v>25.4</v>
      </c>
      <c r="K51" s="153">
        <f>I51*K$1</f>
        <v>25.4</v>
      </c>
      <c r="L51" s="125">
        <f t="shared" si="38"/>
        <v>2641.6</v>
      </c>
      <c r="M51" s="125">
        <f t="shared" si="39"/>
        <v>104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25.4</v>
      </c>
      <c r="X51" s="182">
        <f>H51*$K$1</f>
        <v>0</v>
      </c>
    </row>
    <row r="52" spans="1:65" x14ac:dyDescent="0.25">
      <c r="A52" s="365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>D52+E52*2</f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s="124" customFormat="1" x14ac:dyDescent="0.25">
      <c r="A53" s="346"/>
      <c r="B53" s="295">
        <v>0</v>
      </c>
      <c r="C53" s="295">
        <v>0</v>
      </c>
      <c r="D53" s="348">
        <v>1</v>
      </c>
      <c r="E53" s="125">
        <v>0</v>
      </c>
      <c r="F53" s="125" t="s">
        <v>191</v>
      </c>
      <c r="G53" s="125">
        <f t="shared" ref="G53:G54" si="41">D53+E53*2</f>
        <v>1</v>
      </c>
      <c r="H53" s="125">
        <f t="shared" ref="H53:H54" si="42">B53+C53*2</f>
        <v>0</v>
      </c>
      <c r="I53" s="125">
        <f t="shared" ref="I53:I54" si="43">D53+E53</f>
        <v>1</v>
      </c>
      <c r="J53" s="125">
        <f>G53*X1</f>
        <v>11.71</v>
      </c>
      <c r="K53" s="153"/>
      <c r="L53" s="125"/>
      <c r="M53" s="125"/>
      <c r="N53" s="19"/>
      <c r="O53" s="19"/>
      <c r="P53" s="146"/>
      <c r="Q53" s="189"/>
      <c r="R53" s="189"/>
      <c r="S53" s="189"/>
      <c r="T53" s="189"/>
      <c r="U53" s="189"/>
      <c r="V53" s="189"/>
      <c r="W53" s="182">
        <f t="shared" ref="W53:W54" si="44">J53</f>
        <v>11.71</v>
      </c>
      <c r="X53" s="182">
        <f t="shared" ref="X53:X54" si="45">H53*$K$1</f>
        <v>0</v>
      </c>
    </row>
    <row r="54" spans="1:65" s="124" customFormat="1" ht="15.75" thickBot="1" x14ac:dyDescent="0.3">
      <c r="A54" s="346"/>
      <c r="B54" s="295">
        <v>0</v>
      </c>
      <c r="C54" s="295">
        <v>0</v>
      </c>
      <c r="D54" s="348">
        <v>1</v>
      </c>
      <c r="E54" s="125">
        <v>0</v>
      </c>
      <c r="F54" s="125" t="s">
        <v>192</v>
      </c>
      <c r="G54" s="125">
        <f t="shared" si="41"/>
        <v>1</v>
      </c>
      <c r="H54" s="125">
        <f t="shared" si="42"/>
        <v>0</v>
      </c>
      <c r="I54" s="125">
        <f t="shared" si="43"/>
        <v>1</v>
      </c>
      <c r="J54" s="125">
        <f>G54*AH2</f>
        <v>3.7100000000000009</v>
      </c>
      <c r="K54" s="153"/>
      <c r="L54" s="125"/>
      <c r="M54" s="125"/>
      <c r="N54" s="19"/>
      <c r="O54" s="19"/>
      <c r="P54" s="146"/>
      <c r="Q54" s="189"/>
      <c r="R54" s="189"/>
      <c r="S54" s="189"/>
      <c r="T54" s="189"/>
      <c r="U54" s="189"/>
      <c r="V54" s="189"/>
      <c r="W54" s="182">
        <f t="shared" si="44"/>
        <v>3.7100000000000009</v>
      </c>
      <c r="X54" s="182">
        <f t="shared" si="45"/>
        <v>0</v>
      </c>
    </row>
    <row r="55" spans="1:65" ht="18" customHeight="1" thickBot="1" x14ac:dyDescent="0.3">
      <c r="A55" s="20"/>
      <c r="B55" s="119">
        <f>SUM(B47:B52)</f>
        <v>140</v>
      </c>
      <c r="C55" s="119">
        <f>SUM(C47:C52)</f>
        <v>89</v>
      </c>
      <c r="D55" s="152">
        <f>SUM(D47:D52)</f>
        <v>99</v>
      </c>
      <c r="E55" s="152">
        <f>SUM(E47:E52)</f>
        <v>94</v>
      </c>
      <c r="F55" s="119"/>
      <c r="G55" s="119">
        <f t="shared" ref="G55:M55" si="46">SUM(G47:G52)</f>
        <v>287</v>
      </c>
      <c r="H55" s="119">
        <f t="shared" si="46"/>
        <v>318</v>
      </c>
      <c r="I55" s="119">
        <f t="shared" si="46"/>
        <v>193</v>
      </c>
      <c r="J55" s="120">
        <f>SUM(J47:J54)</f>
        <v>11548</v>
      </c>
      <c r="K55" s="119">
        <f t="shared" si="46"/>
        <v>7534.4400000000005</v>
      </c>
      <c r="L55" s="118">
        <f t="shared" si="46"/>
        <v>1199388.3200000003</v>
      </c>
      <c r="M55" s="151">
        <f t="shared" si="46"/>
        <v>20072</v>
      </c>
      <c r="N55" s="123">
        <f>'Odometro-Kilometraje'!H88</f>
        <v>12211</v>
      </c>
      <c r="O55" s="21">
        <f>(W55/N55)*100</f>
        <v>92.9366145278847</v>
      </c>
      <c r="P55" s="192"/>
      <c r="Q55" s="181"/>
      <c r="R55" s="181"/>
      <c r="S55" s="181"/>
      <c r="T55" s="181"/>
      <c r="U55" s="181"/>
      <c r="V55" s="181"/>
      <c r="W55" s="193">
        <f>SUM(W47:W54)</f>
        <v>11348.49</v>
      </c>
      <c r="X55" s="193">
        <f>SUM(X47:X52)</f>
        <v>12606.940000000002</v>
      </c>
    </row>
    <row r="56" spans="1:65" x14ac:dyDescent="0.25">
      <c r="A56" s="60">
        <f>A47+1</f>
        <v>46150</v>
      </c>
      <c r="B56" s="295">
        <v>38</v>
      </c>
      <c r="C56" s="295">
        <v>41</v>
      </c>
      <c r="D56" s="126">
        <f>'Data Ocupacion'!R31</f>
        <v>38</v>
      </c>
      <c r="E56" s="126">
        <f>'Data Ocupacion'!S31</f>
        <v>41</v>
      </c>
      <c r="F56" s="125" t="s">
        <v>38</v>
      </c>
      <c r="G56" s="125">
        <f t="shared" ref="G56:G61" si="47">D56+E56*2</f>
        <v>120</v>
      </c>
      <c r="H56" s="125">
        <f>B56+C56*2</f>
        <v>120</v>
      </c>
      <c r="I56" s="125">
        <f t="shared" si="37"/>
        <v>79</v>
      </c>
      <c r="J56" s="125">
        <f>G56*M$2</f>
        <v>5175.6000000000004</v>
      </c>
      <c r="K56" s="153">
        <f>I56*M$2</f>
        <v>3407.27</v>
      </c>
      <c r="L56" s="125">
        <f t="shared" ref="L56:L61" si="48">J56*104</f>
        <v>538262.4</v>
      </c>
      <c r="M56" s="125">
        <f t="shared" ref="M56:M61" si="49">I56*104</f>
        <v>8216</v>
      </c>
      <c r="N56" s="19"/>
      <c r="O56" s="19"/>
      <c r="P56" s="146"/>
      <c r="Q56" s="183">
        <v>2</v>
      </c>
      <c r="R56" s="183"/>
      <c r="S56" s="206"/>
      <c r="T56" s="183"/>
      <c r="U56" s="191"/>
      <c r="V56" s="228"/>
      <c r="W56" s="182">
        <f>J56-(Q56*($M$2-$K$1))-(R56*($M$2-$M$1))- (S56*($M$2-$I$2))+ (T56*($G$2))</f>
        <v>5140.1400000000003</v>
      </c>
      <c r="X56" s="182">
        <f>H56*$M$2</f>
        <v>5175.6000000000004</v>
      </c>
    </row>
    <row r="57" spans="1:65" ht="15" customHeight="1" x14ac:dyDescent="0.25">
      <c r="A57" s="202"/>
      <c r="B57" s="295">
        <v>36</v>
      </c>
      <c r="C57" s="295">
        <v>42</v>
      </c>
      <c r="D57" s="126">
        <f>'Data Ocupacion'!R32</f>
        <v>36</v>
      </c>
      <c r="E57" s="126">
        <f>'Data Ocupacion'!S32</f>
        <v>42</v>
      </c>
      <c r="F57" s="125" t="s">
        <v>52</v>
      </c>
      <c r="G57" s="125">
        <f t="shared" si="47"/>
        <v>120</v>
      </c>
      <c r="H57" s="125">
        <f t="shared" ref="H57:H61" si="50">B57+C57*2</f>
        <v>120</v>
      </c>
      <c r="I57" s="125">
        <f t="shared" ref="I57:I61" si="51">D57+E57</f>
        <v>78</v>
      </c>
      <c r="J57" s="125">
        <f>G57*M$2</f>
        <v>5175.6000000000004</v>
      </c>
      <c r="K57" s="153">
        <f>I57*M$2</f>
        <v>3364.1400000000003</v>
      </c>
      <c r="L57" s="125">
        <f t="shared" si="48"/>
        <v>538262.4</v>
      </c>
      <c r="M57" s="125">
        <f t="shared" si="49"/>
        <v>8112</v>
      </c>
      <c r="N57" s="19"/>
      <c r="O57" s="19"/>
      <c r="P57" s="146"/>
      <c r="Q57" s="186"/>
      <c r="R57" s="186"/>
      <c r="S57" s="186"/>
      <c r="T57" s="203">
        <v>5</v>
      </c>
      <c r="U57" s="184"/>
      <c r="V57" s="229"/>
      <c r="W57" s="185">
        <f>J57-(T57*($M$2-$K$1)+(U57*($M$2-$M$1)))</f>
        <v>5086.9500000000007</v>
      </c>
      <c r="X57" s="182">
        <f>H57*$M$2</f>
        <v>5175.6000000000004</v>
      </c>
    </row>
    <row r="58" spans="1:65" ht="15" customHeight="1" x14ac:dyDescent="0.25">
      <c r="A58" s="202"/>
      <c r="B58" s="295">
        <v>33</v>
      </c>
      <c r="C58" s="295">
        <v>3</v>
      </c>
      <c r="D58" s="126">
        <f>'Data Ocupacion'!R33</f>
        <v>34</v>
      </c>
      <c r="E58" s="126">
        <f>'Data Ocupacion'!S33</f>
        <v>2</v>
      </c>
      <c r="F58" s="125" t="s">
        <v>36</v>
      </c>
      <c r="G58" s="125">
        <f t="shared" si="47"/>
        <v>38</v>
      </c>
      <c r="H58" s="125">
        <f t="shared" si="50"/>
        <v>39</v>
      </c>
      <c r="I58" s="125">
        <f t="shared" si="51"/>
        <v>36</v>
      </c>
      <c r="J58" s="125">
        <f>G58*M$1</f>
        <v>1106.18</v>
      </c>
      <c r="K58" s="153">
        <f>I58*M$1</f>
        <v>1047.96</v>
      </c>
      <c r="L58" s="125">
        <f t="shared" si="48"/>
        <v>115042.72</v>
      </c>
      <c r="M58" s="125">
        <f t="shared" si="49"/>
        <v>3744</v>
      </c>
      <c r="N58" s="19"/>
      <c r="O58" s="19"/>
      <c r="P58" s="146"/>
      <c r="Q58" s="244">
        <v>1</v>
      </c>
      <c r="R58" s="187"/>
      <c r="S58" s="207"/>
      <c r="T58" s="188"/>
      <c r="U58" s="189"/>
      <c r="V58" s="189"/>
      <c r="W58" s="182">
        <f>J58-(Q58*($M$1-$K$1))</f>
        <v>1102.47</v>
      </c>
      <c r="X58" s="182">
        <f>H58*$M$1</f>
        <v>1135.29</v>
      </c>
    </row>
    <row r="59" spans="1:65" ht="15" customHeight="1" x14ac:dyDescent="0.25">
      <c r="A59" s="202"/>
      <c r="B59" s="295">
        <v>29</v>
      </c>
      <c r="C59" s="295">
        <v>3</v>
      </c>
      <c r="D59" s="138">
        <f>'Data Ocupacion'!R34</f>
        <v>30</v>
      </c>
      <c r="E59" s="138">
        <f>'Data Ocupacion'!S34</f>
        <v>2</v>
      </c>
      <c r="F59" s="125" t="s">
        <v>53</v>
      </c>
      <c r="G59" s="125">
        <f t="shared" si="47"/>
        <v>34</v>
      </c>
      <c r="H59" s="125">
        <f t="shared" si="50"/>
        <v>35</v>
      </c>
      <c r="I59" s="125">
        <f t="shared" si="51"/>
        <v>32</v>
      </c>
      <c r="J59" s="125">
        <f>G59*M$1</f>
        <v>989.74</v>
      </c>
      <c r="K59" s="153">
        <f>I59*M$1</f>
        <v>931.52</v>
      </c>
      <c r="L59" s="125">
        <f t="shared" si="48"/>
        <v>102932.96</v>
      </c>
      <c r="M59" s="125">
        <f t="shared" si="49"/>
        <v>3328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989.74</v>
      </c>
      <c r="X59" s="182">
        <f>H59*$M$1</f>
        <v>1018.85</v>
      </c>
      <c r="BM59" t="s">
        <v>120</v>
      </c>
    </row>
    <row r="60" spans="1:65" s="124" customFormat="1" ht="15" customHeight="1" x14ac:dyDescent="0.25">
      <c r="A60" s="202"/>
      <c r="B60" s="295">
        <v>0</v>
      </c>
      <c r="C60" s="295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7"/>
        <v>0</v>
      </c>
      <c r="H60" s="125">
        <f t="shared" si="50"/>
        <v>0</v>
      </c>
      <c r="I60" s="125">
        <f t="shared" si="51"/>
        <v>0</v>
      </c>
      <c r="J60" s="125">
        <f>G60*K$1</f>
        <v>0</v>
      </c>
      <c r="K60" s="153">
        <f>I60*K$1</f>
        <v>0</v>
      </c>
      <c r="L60" s="125">
        <f t="shared" si="48"/>
        <v>0</v>
      </c>
      <c r="M60" s="125">
        <f t="shared" si="49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2">
        <f>J60</f>
        <v>0</v>
      </c>
      <c r="X60" s="182">
        <f>H60*$K$1</f>
        <v>0</v>
      </c>
    </row>
    <row r="61" spans="1:65" ht="15.95" customHeight="1" thickBot="1" x14ac:dyDescent="0.3">
      <c r="A61" s="202"/>
      <c r="B61" s="295">
        <v>4</v>
      </c>
      <c r="C61" s="295">
        <v>0</v>
      </c>
      <c r="D61" s="254">
        <f>'Data Ocupacion'!R36</f>
        <v>4</v>
      </c>
      <c r="E61" s="126">
        <f>'Data Ocupacion'!S36</f>
        <v>0</v>
      </c>
      <c r="F61" s="125" t="s">
        <v>35</v>
      </c>
      <c r="G61" s="125">
        <f t="shared" si="47"/>
        <v>4</v>
      </c>
      <c r="H61" s="125">
        <f t="shared" si="50"/>
        <v>4</v>
      </c>
      <c r="I61" s="125">
        <f t="shared" si="51"/>
        <v>4</v>
      </c>
      <c r="J61" s="125">
        <f>G61*K$1</f>
        <v>101.6</v>
      </c>
      <c r="K61" s="153">
        <f>I61*K$1</f>
        <v>101.6</v>
      </c>
      <c r="L61" s="125">
        <f t="shared" si="48"/>
        <v>10566.4</v>
      </c>
      <c r="M61" s="125">
        <f t="shared" si="49"/>
        <v>416</v>
      </c>
      <c r="N61" s="19"/>
      <c r="O61" s="19"/>
      <c r="P61" s="146"/>
      <c r="Q61" s="189"/>
      <c r="R61" s="189"/>
      <c r="S61" s="189"/>
      <c r="T61" s="189"/>
      <c r="U61" s="189"/>
      <c r="V61" s="189"/>
      <c r="W61" s="182">
        <f>J61</f>
        <v>101.6</v>
      </c>
      <c r="X61" s="182">
        <f>H61*$K$1</f>
        <v>101.6</v>
      </c>
    </row>
    <row r="62" spans="1:65" ht="15.75" thickBot="1" x14ac:dyDescent="0.3">
      <c r="A62" s="20"/>
      <c r="B62" s="119">
        <f>SUM(B56:B61)</f>
        <v>140</v>
      </c>
      <c r="C62" s="119">
        <f>SUM(C56:C61)</f>
        <v>89</v>
      </c>
      <c r="D62" s="152">
        <f>SUM(D56:D61)</f>
        <v>142</v>
      </c>
      <c r="E62" s="152">
        <f>SUM(E56:E61)</f>
        <v>87</v>
      </c>
      <c r="F62" s="119"/>
      <c r="G62" s="119">
        <f t="shared" ref="G62:M62" si="52">SUM(G56:G61)</f>
        <v>316</v>
      </c>
      <c r="H62" s="119">
        <f t="shared" si="52"/>
        <v>318</v>
      </c>
      <c r="I62" s="119">
        <f t="shared" si="52"/>
        <v>229</v>
      </c>
      <c r="J62" s="120">
        <f t="shared" si="52"/>
        <v>12548.720000000001</v>
      </c>
      <c r="K62" s="119">
        <f t="shared" si="52"/>
        <v>8852.49</v>
      </c>
      <c r="L62" s="118">
        <f t="shared" si="52"/>
        <v>1305066.8799999999</v>
      </c>
      <c r="M62" s="151">
        <f t="shared" si="52"/>
        <v>23816</v>
      </c>
      <c r="N62" s="123">
        <f>'Odometro-Kilometraje'!I88</f>
        <v>12919</v>
      </c>
      <c r="O62" s="21">
        <f>(W62/N62)*100</f>
        <v>96.144438424026617</v>
      </c>
      <c r="P62" s="192"/>
      <c r="Q62" s="181"/>
      <c r="R62" s="181"/>
      <c r="S62" s="181"/>
      <c r="T62" s="181"/>
      <c r="U62" s="181"/>
      <c r="V62" s="181"/>
      <c r="W62" s="193">
        <f>SUM(W56:W61)</f>
        <v>12420.9</v>
      </c>
      <c r="X62" s="193">
        <f>SUM(X56:X61)</f>
        <v>12606.940000000002</v>
      </c>
    </row>
    <row r="63" spans="1:65" x14ac:dyDescent="0.25">
      <c r="A63" s="60">
        <f>A56+1</f>
        <v>46151</v>
      </c>
      <c r="B63" s="116">
        <v>69</v>
      </c>
      <c r="C63" s="116">
        <v>3</v>
      </c>
      <c r="D63" s="147">
        <f>'Data Ocupacion'!T31</f>
        <v>69</v>
      </c>
      <c r="E63" s="147">
        <f>'Data Ocupacion'!U31</f>
        <v>3</v>
      </c>
      <c r="F63" s="116" t="s">
        <v>38</v>
      </c>
      <c r="G63" s="116">
        <f t="shared" ref="G63:G68" si="53">D63+E63*2</f>
        <v>75</v>
      </c>
      <c r="H63" s="116">
        <f>B63+C63*2</f>
        <v>75</v>
      </c>
      <c r="I63" s="116">
        <f t="shared" ref="I63:I68" si="54">D63+E63</f>
        <v>72</v>
      </c>
      <c r="J63" s="116">
        <f>G63*M$2</f>
        <v>3234.75</v>
      </c>
      <c r="K63" s="153">
        <f>I63*M$2</f>
        <v>3105.36</v>
      </c>
      <c r="L63" s="116">
        <f t="shared" ref="L63:L68" si="55">J63*104</f>
        <v>336414</v>
      </c>
      <c r="M63" s="116">
        <f t="shared" ref="M63:M68" si="56">I63*104</f>
        <v>7488</v>
      </c>
      <c r="N63" s="19"/>
      <c r="O63" s="19"/>
      <c r="P63" s="146"/>
      <c r="Q63" s="183"/>
      <c r="R63" s="183"/>
      <c r="S63" s="206"/>
      <c r="T63" s="203"/>
      <c r="U63" s="191"/>
      <c r="V63" s="228"/>
      <c r="W63" s="182">
        <f>J63-(Q63*($M$2-$K$1))-(R63*($M$2-$M$1))- (S63*($M$2-$I$2))+ (T63*($G$2))</f>
        <v>3234.75</v>
      </c>
      <c r="X63" s="182">
        <f>H63*$M$2</f>
        <v>3234.75</v>
      </c>
    </row>
    <row r="64" spans="1:65" ht="15" customHeight="1" x14ac:dyDescent="0.25">
      <c r="A64" s="253"/>
      <c r="B64" s="116">
        <v>75</v>
      </c>
      <c r="C64" s="116">
        <v>0</v>
      </c>
      <c r="D64" s="147">
        <f>'Data Ocupacion'!T32</f>
        <v>75</v>
      </c>
      <c r="E64" s="147">
        <f>'Data Ocupacion'!U32</f>
        <v>0</v>
      </c>
      <c r="F64" s="116" t="s">
        <v>52</v>
      </c>
      <c r="G64" s="116">
        <f t="shared" si="53"/>
        <v>75</v>
      </c>
      <c r="H64" s="116">
        <f t="shared" ref="H64:H68" si="57">B64+C64*2</f>
        <v>75</v>
      </c>
      <c r="I64" s="116">
        <f t="shared" si="54"/>
        <v>75</v>
      </c>
      <c r="J64" s="116">
        <f>G64*M$2</f>
        <v>3234.75</v>
      </c>
      <c r="K64" s="153">
        <f>I64*M$2</f>
        <v>3234.75</v>
      </c>
      <c r="L64" s="116">
        <f t="shared" si="55"/>
        <v>336414</v>
      </c>
      <c r="M64" s="116">
        <f t="shared" si="56"/>
        <v>7800</v>
      </c>
      <c r="N64" s="19"/>
      <c r="O64" s="19"/>
      <c r="P64" s="146"/>
      <c r="Q64" s="186"/>
      <c r="R64" s="186"/>
      <c r="S64" s="186"/>
      <c r="T64" s="203"/>
      <c r="U64" s="183"/>
      <c r="V64" s="229"/>
      <c r="W64" s="185">
        <f>J64-(T64*($M$2-$K$1)+(U64*($M$2-$M$1)))</f>
        <v>3234.75</v>
      </c>
      <c r="X64" s="182">
        <f>H64*$M$2</f>
        <v>3234.75</v>
      </c>
      <c r="Y64" s="237"/>
      <c r="AA64" s="124"/>
      <c r="AB64" s="124"/>
    </row>
    <row r="65" spans="1:27" x14ac:dyDescent="0.25">
      <c r="A65" s="253"/>
      <c r="B65" s="116">
        <v>0</v>
      </c>
      <c r="C65" s="116">
        <v>0</v>
      </c>
      <c r="D65" s="147">
        <f>'Data Ocupacion'!T33</f>
        <v>0</v>
      </c>
      <c r="E65" s="147">
        <f>'Data Ocupacion'!U33</f>
        <v>0</v>
      </c>
      <c r="F65" s="116" t="s">
        <v>36</v>
      </c>
      <c r="G65" s="116">
        <f t="shared" si="53"/>
        <v>0</v>
      </c>
      <c r="H65" s="116">
        <f t="shared" si="57"/>
        <v>0</v>
      </c>
      <c r="I65" s="116">
        <f t="shared" si="54"/>
        <v>0</v>
      </c>
      <c r="J65" s="116">
        <f>G65*M$1</f>
        <v>0</v>
      </c>
      <c r="K65" s="153">
        <f>I65*M$1</f>
        <v>0</v>
      </c>
      <c r="L65" s="116">
        <f t="shared" si="55"/>
        <v>0</v>
      </c>
      <c r="M65" s="116">
        <f t="shared" si="56"/>
        <v>0</v>
      </c>
      <c r="N65" s="19"/>
      <c r="O65" s="19"/>
      <c r="P65" s="146"/>
      <c r="Q65" s="244"/>
      <c r="R65" s="187"/>
      <c r="S65" s="207"/>
      <c r="T65" s="188"/>
      <c r="U65" s="189"/>
      <c r="V65" s="189"/>
      <c r="W65" s="182">
        <f>J65-(Q65*($M$1-$K$1))</f>
        <v>0</v>
      </c>
      <c r="X65" s="182">
        <f>H65*$M$1</f>
        <v>0</v>
      </c>
      <c r="Y65" s="237"/>
    </row>
    <row r="66" spans="1:27" x14ac:dyDescent="0.25">
      <c r="A66" s="253"/>
      <c r="B66" s="116">
        <v>0</v>
      </c>
      <c r="C66" s="116">
        <v>0</v>
      </c>
      <c r="D66" s="147">
        <f>'Data Ocupacion'!T34</f>
        <v>0</v>
      </c>
      <c r="E66" s="147">
        <f>'Data Ocupacion'!U34</f>
        <v>0</v>
      </c>
      <c r="F66" s="116" t="s">
        <v>53</v>
      </c>
      <c r="G66" s="116">
        <f t="shared" si="53"/>
        <v>0</v>
      </c>
      <c r="H66" s="116">
        <f t="shared" si="57"/>
        <v>0</v>
      </c>
      <c r="I66" s="116">
        <f t="shared" si="54"/>
        <v>0</v>
      </c>
      <c r="J66" s="116">
        <f>G66*M$1</f>
        <v>0</v>
      </c>
      <c r="K66" s="153">
        <f>I66*M$1</f>
        <v>0</v>
      </c>
      <c r="L66" s="116">
        <f t="shared" si="55"/>
        <v>0</v>
      </c>
      <c r="M66" s="116">
        <f t="shared" si="56"/>
        <v>0</v>
      </c>
      <c r="N66" s="165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H66*$M$1</f>
        <v>0</v>
      </c>
    </row>
    <row r="67" spans="1:27" s="124" customFormat="1" x14ac:dyDescent="0.25">
      <c r="A67" s="253"/>
      <c r="B67" s="116">
        <v>0</v>
      </c>
      <c r="C67" s="116">
        <v>0</v>
      </c>
      <c r="D67" s="147">
        <f>'Data Ocupacion'!T35</f>
        <v>0</v>
      </c>
      <c r="E67" s="147">
        <f>'Data Ocupacion'!U35</f>
        <v>0</v>
      </c>
      <c r="F67" s="116" t="s">
        <v>122</v>
      </c>
      <c r="G67" s="116">
        <f t="shared" si="53"/>
        <v>0</v>
      </c>
      <c r="H67" s="116">
        <f t="shared" si="57"/>
        <v>0</v>
      </c>
      <c r="I67" s="116">
        <f t="shared" si="54"/>
        <v>0</v>
      </c>
      <c r="J67" s="116">
        <f>G67*K$1</f>
        <v>0</v>
      </c>
      <c r="K67" s="153">
        <f>I67*K$1</f>
        <v>0</v>
      </c>
      <c r="L67" s="116">
        <f t="shared" si="55"/>
        <v>0</v>
      </c>
      <c r="M67" s="116">
        <f t="shared" si="56"/>
        <v>0</v>
      </c>
      <c r="N67" s="165"/>
      <c r="O67" s="19"/>
      <c r="P67" s="146"/>
      <c r="Q67" s="189"/>
      <c r="R67" s="189"/>
      <c r="S67" s="189"/>
      <c r="T67" s="189"/>
      <c r="U67" s="189"/>
      <c r="V67" s="189"/>
      <c r="W67" s="182">
        <f>J67</f>
        <v>0</v>
      </c>
      <c r="X67" s="182">
        <f>H67*$K$1</f>
        <v>0</v>
      </c>
    </row>
    <row r="68" spans="1:27" ht="15.75" thickBot="1" x14ac:dyDescent="0.3">
      <c r="A68" s="253"/>
      <c r="B68" s="116">
        <v>0</v>
      </c>
      <c r="C68" s="116">
        <v>0</v>
      </c>
      <c r="D68" s="147">
        <f>'Data Ocupacion'!T36</f>
        <v>0</v>
      </c>
      <c r="E68" s="147">
        <f>'Data Ocupacion'!U36</f>
        <v>0</v>
      </c>
      <c r="F68" s="116" t="s">
        <v>35</v>
      </c>
      <c r="G68" s="116">
        <f t="shared" si="53"/>
        <v>0</v>
      </c>
      <c r="H68" s="116">
        <f t="shared" si="57"/>
        <v>0</v>
      </c>
      <c r="I68" s="116">
        <f t="shared" si="54"/>
        <v>0</v>
      </c>
      <c r="J68" s="116">
        <f>G68*K$1</f>
        <v>0</v>
      </c>
      <c r="K68" s="153">
        <f>I68*K$1</f>
        <v>0</v>
      </c>
      <c r="L68" s="116">
        <f t="shared" si="55"/>
        <v>0</v>
      </c>
      <c r="M68" s="116">
        <f t="shared" si="56"/>
        <v>0</v>
      </c>
      <c r="N68" s="19"/>
      <c r="O68" s="19"/>
      <c r="P68" s="146"/>
      <c r="Q68" s="189"/>
      <c r="R68" s="189"/>
      <c r="S68" s="189"/>
      <c r="T68" s="189"/>
      <c r="U68" s="189"/>
      <c r="V68" s="189"/>
      <c r="W68" s="182">
        <f>J68</f>
        <v>0</v>
      </c>
      <c r="X68" s="182">
        <f>H68*$K$1</f>
        <v>0</v>
      </c>
    </row>
    <row r="69" spans="1:27" s="124" customFormat="1" ht="18.75" customHeight="1" thickBot="1" x14ac:dyDescent="0.3">
      <c r="A69" s="20"/>
      <c r="B69" s="119">
        <f>SUM(B63:B68)</f>
        <v>144</v>
      </c>
      <c r="C69" s="119">
        <f>SUM(C63:C68)</f>
        <v>3</v>
      </c>
      <c r="D69" s="148">
        <f>SUM(D63:D68)</f>
        <v>144</v>
      </c>
      <c r="E69" s="148">
        <f>SUM(E63:E68)</f>
        <v>3</v>
      </c>
      <c r="F69" s="119"/>
      <c r="G69" s="119">
        <f t="shared" ref="G69:M69" si="58">SUM(G63:G68)</f>
        <v>150</v>
      </c>
      <c r="H69" s="119">
        <f t="shared" si="58"/>
        <v>150</v>
      </c>
      <c r="I69" s="119">
        <f t="shared" si="58"/>
        <v>147</v>
      </c>
      <c r="J69" s="119">
        <f t="shared" si="58"/>
        <v>6469.5</v>
      </c>
      <c r="K69" s="119">
        <f t="shared" si="58"/>
        <v>6340.1100000000006</v>
      </c>
      <c r="L69" s="119">
        <f t="shared" si="58"/>
        <v>672828</v>
      </c>
      <c r="M69" s="119">
        <f t="shared" si="58"/>
        <v>15288</v>
      </c>
      <c r="N69" s="123">
        <f>'Odometro-Kilometraje'!J88</f>
        <v>6702</v>
      </c>
      <c r="O69" s="21">
        <f>(W69/N69)*100</f>
        <v>96.530886302596244</v>
      </c>
      <c r="P69" s="192"/>
      <c r="Q69" s="181"/>
      <c r="R69" s="181"/>
      <c r="S69" s="181"/>
      <c r="T69" s="181"/>
      <c r="U69" s="181"/>
      <c r="V69" s="181"/>
      <c r="W69" s="193">
        <f>SUM(W63:W68)</f>
        <v>6469.5</v>
      </c>
      <c r="X69" s="193">
        <f>SUM(X63:X68)</f>
        <v>6469.5</v>
      </c>
      <c r="Y69" s="238"/>
    </row>
    <row r="70" spans="1:27" s="124" customFormat="1" x14ac:dyDescent="0.25">
      <c r="A70" s="60">
        <f>A63+1</f>
        <v>46152</v>
      </c>
      <c r="B70" s="218">
        <v>51</v>
      </c>
      <c r="C70" s="218">
        <v>3</v>
      </c>
      <c r="D70" s="138">
        <f>'Data Ocupacion'!V31</f>
        <v>51</v>
      </c>
      <c r="E70" s="138">
        <f>'Data Ocupacion'!W31</f>
        <v>3</v>
      </c>
      <c r="F70" s="218" t="s">
        <v>38</v>
      </c>
      <c r="G70" s="218">
        <f t="shared" ref="G70:G77" si="59">D70+E70*2</f>
        <v>57</v>
      </c>
      <c r="H70" s="218">
        <f>B70+C70*2</f>
        <v>57</v>
      </c>
      <c r="I70" s="218">
        <f t="shared" ref="I70:I75" si="60">D70+E70</f>
        <v>54</v>
      </c>
      <c r="J70" s="218">
        <f>G70*M$2</f>
        <v>2458.4100000000003</v>
      </c>
      <c r="K70" s="153">
        <f>I70*M$2</f>
        <v>2329.02</v>
      </c>
      <c r="L70" s="218">
        <f t="shared" ref="L70:L75" si="61">J70*104</f>
        <v>255674.64000000004</v>
      </c>
      <c r="M70" s="218">
        <f t="shared" ref="M70:M75" si="62">I70*104</f>
        <v>5616</v>
      </c>
      <c r="N70" s="19"/>
      <c r="O70" s="19"/>
      <c r="P70" s="146"/>
      <c r="Q70" s="183"/>
      <c r="R70" s="183"/>
      <c r="S70" s="206"/>
      <c r="T70" s="285"/>
      <c r="U70" s="191"/>
      <c r="V70" s="228"/>
      <c r="W70" s="182">
        <f>J70-(Q70*($M$2-$K$1))-(R70*($M$2-$M$1))- (S70*($M$2-$I$2))+ (T70*($G$2))</f>
        <v>2458.4100000000003</v>
      </c>
      <c r="X70" s="182">
        <f>H70*$M$2</f>
        <v>2458.4100000000003</v>
      </c>
    </row>
    <row r="71" spans="1:27" ht="14.45" customHeight="1" x14ac:dyDescent="0.25">
      <c r="A71" s="253"/>
      <c r="B71" s="218">
        <v>57</v>
      </c>
      <c r="C71" s="218">
        <v>0</v>
      </c>
      <c r="D71" s="138">
        <f>'Data Ocupacion'!V32</f>
        <v>57</v>
      </c>
      <c r="E71" s="138">
        <f>'Data Ocupacion'!W32</f>
        <v>0</v>
      </c>
      <c r="F71" s="218" t="s">
        <v>52</v>
      </c>
      <c r="G71" s="218">
        <f t="shared" si="59"/>
        <v>57</v>
      </c>
      <c r="H71" s="218">
        <f t="shared" ref="H71:H75" si="63">B71+C71*2</f>
        <v>57</v>
      </c>
      <c r="I71" s="218">
        <f t="shared" si="60"/>
        <v>57</v>
      </c>
      <c r="J71" s="218">
        <f>G71*M$2</f>
        <v>2458.4100000000003</v>
      </c>
      <c r="K71" s="153">
        <f>I71*M$2</f>
        <v>2458.4100000000003</v>
      </c>
      <c r="L71" s="218">
        <f t="shared" si="61"/>
        <v>255674.64000000004</v>
      </c>
      <c r="M71" s="218">
        <f t="shared" si="62"/>
        <v>5928</v>
      </c>
      <c r="N71" s="19"/>
      <c r="O71" s="19"/>
      <c r="P71" s="146"/>
      <c r="Q71" s="186"/>
      <c r="R71" s="186"/>
      <c r="S71" s="217"/>
      <c r="T71" s="183"/>
      <c r="U71" s="217"/>
      <c r="V71" s="229"/>
      <c r="W71" s="185">
        <f>J71-(T71*($M$2-$K$1)+(U71*($M$2-$M$1))+(V71*($U$2)))</f>
        <v>2458.4100000000003</v>
      </c>
      <c r="X71" s="182">
        <f>H71*$M$2</f>
        <v>2458.4100000000003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Ocupacion'!V33</f>
        <v>0</v>
      </c>
      <c r="E72" s="138">
        <f>'Data Ocupacion'!W33</f>
        <v>0</v>
      </c>
      <c r="F72" s="218" t="s">
        <v>36</v>
      </c>
      <c r="G72" s="218">
        <f t="shared" si="59"/>
        <v>0</v>
      </c>
      <c r="H72" s="218">
        <f t="shared" si="63"/>
        <v>0</v>
      </c>
      <c r="I72" s="218">
        <f t="shared" si="60"/>
        <v>0</v>
      </c>
      <c r="J72" s="218">
        <f>G72*M$1</f>
        <v>0</v>
      </c>
      <c r="K72" s="153">
        <f>I72*M$1</f>
        <v>0</v>
      </c>
      <c r="L72" s="218">
        <f t="shared" si="61"/>
        <v>0</v>
      </c>
      <c r="M72" s="218">
        <f t="shared" si="62"/>
        <v>0</v>
      </c>
      <c r="N72" s="19"/>
      <c r="O72" s="19"/>
      <c r="P72" s="146"/>
      <c r="Q72" s="244"/>
      <c r="R72" s="190"/>
      <c r="S72" s="228"/>
      <c r="T72" s="186"/>
      <c r="U72" s="189"/>
      <c r="V72" s="189"/>
      <c r="W72" s="182">
        <f>J72-(Q72*($M$1-$K$1))</f>
        <v>0</v>
      </c>
      <c r="X72" s="182">
        <f>H72*$M$1</f>
        <v>0</v>
      </c>
    </row>
    <row r="73" spans="1:27" ht="15" customHeight="1" x14ac:dyDescent="0.25">
      <c r="A73" s="253"/>
      <c r="B73" s="218">
        <v>0</v>
      </c>
      <c r="C73" s="218">
        <v>0</v>
      </c>
      <c r="D73" s="138">
        <f>'Data Ocupacion'!V34</f>
        <v>0</v>
      </c>
      <c r="E73" s="138">
        <f>'Data Ocupacion'!W34</f>
        <v>0</v>
      </c>
      <c r="F73" s="218" t="s">
        <v>53</v>
      </c>
      <c r="G73" s="218">
        <f t="shared" si="59"/>
        <v>0</v>
      </c>
      <c r="H73" s="218">
        <f t="shared" si="63"/>
        <v>0</v>
      </c>
      <c r="I73" s="218">
        <f t="shared" si="60"/>
        <v>0</v>
      </c>
      <c r="J73" s="218">
        <f>G73*M$1</f>
        <v>0</v>
      </c>
      <c r="K73" s="153">
        <f>I73*M$1</f>
        <v>0</v>
      </c>
      <c r="L73" s="218">
        <f t="shared" si="61"/>
        <v>0</v>
      </c>
      <c r="M73" s="218">
        <f t="shared" si="62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H73*$M$1</f>
        <v>0</v>
      </c>
    </row>
    <row r="74" spans="1:27" ht="15" customHeight="1" x14ac:dyDescent="0.25">
      <c r="A74" s="253"/>
      <c r="B74" s="218">
        <v>0</v>
      </c>
      <c r="C74" s="218">
        <v>0</v>
      </c>
      <c r="D74" s="138">
        <f>'Data Ocupacion'!V35</f>
        <v>0</v>
      </c>
      <c r="E74" s="138">
        <f>'Data Ocupacion'!W35</f>
        <v>0</v>
      </c>
      <c r="F74" s="218" t="s">
        <v>122</v>
      </c>
      <c r="G74" s="218">
        <f t="shared" si="59"/>
        <v>0</v>
      </c>
      <c r="H74" s="218">
        <f t="shared" si="63"/>
        <v>0</v>
      </c>
      <c r="I74" s="218">
        <f t="shared" si="60"/>
        <v>0</v>
      </c>
      <c r="J74" s="218">
        <f>G74*K$1</f>
        <v>0</v>
      </c>
      <c r="K74" s="153">
        <f>I74*K$1</f>
        <v>0</v>
      </c>
      <c r="L74" s="218">
        <f t="shared" si="61"/>
        <v>0</v>
      </c>
      <c r="M74" s="218">
        <f t="shared" si="62"/>
        <v>0</v>
      </c>
      <c r="N74" s="19"/>
      <c r="O74" s="19"/>
      <c r="P74" s="146"/>
      <c r="Q74" s="189"/>
      <c r="R74" s="189"/>
      <c r="S74" s="189"/>
      <c r="T74" s="189"/>
      <c r="U74" s="189"/>
      <c r="V74" s="189"/>
      <c r="W74" s="182">
        <f>J74</f>
        <v>0</v>
      </c>
      <c r="X74" s="182">
        <f>H74*$K$1</f>
        <v>0</v>
      </c>
    </row>
    <row r="75" spans="1:27" ht="14.25" customHeight="1" thickBot="1" x14ac:dyDescent="0.3">
      <c r="A75" s="253"/>
      <c r="B75" s="218">
        <v>0</v>
      </c>
      <c r="C75" s="218">
        <v>0</v>
      </c>
      <c r="D75" s="138">
        <f>'Data Ocupacion'!V36</f>
        <v>0</v>
      </c>
      <c r="E75" s="138">
        <f>'Data Ocupacion'!W36</f>
        <v>0</v>
      </c>
      <c r="F75" s="218" t="s">
        <v>35</v>
      </c>
      <c r="G75" s="218">
        <f t="shared" si="59"/>
        <v>0</v>
      </c>
      <c r="H75" s="218">
        <f t="shared" si="63"/>
        <v>0</v>
      </c>
      <c r="I75" s="218">
        <f t="shared" si="60"/>
        <v>0</v>
      </c>
      <c r="J75" s="218">
        <f>G75*K$1</f>
        <v>0</v>
      </c>
      <c r="K75" s="153">
        <f>I75*K$1</f>
        <v>0</v>
      </c>
      <c r="L75" s="218">
        <f t="shared" si="61"/>
        <v>0</v>
      </c>
      <c r="M75" s="218">
        <f t="shared" si="62"/>
        <v>0</v>
      </c>
      <c r="N75" s="19"/>
      <c r="O75" s="19"/>
      <c r="P75" s="146"/>
      <c r="Q75" s="189"/>
      <c r="R75" s="189"/>
      <c r="S75" s="189"/>
      <c r="T75" s="189"/>
      <c r="U75" s="189"/>
      <c r="V75" s="189"/>
      <c r="W75" s="182">
        <f>J75</f>
        <v>0</v>
      </c>
      <c r="X75" s="182">
        <f>H75*$K$1</f>
        <v>0</v>
      </c>
      <c r="Y75" s="255"/>
      <c r="Z75" s="255"/>
      <c r="AA75" s="255"/>
    </row>
    <row r="76" spans="1:27" s="124" customFormat="1" ht="15.75" thickBot="1" x14ac:dyDescent="0.3">
      <c r="A76" s="20"/>
      <c r="B76" s="119">
        <f>SUM(B70:B75)</f>
        <v>108</v>
      </c>
      <c r="C76" s="119">
        <f>SUM(C70:C75)</f>
        <v>3</v>
      </c>
      <c r="D76" s="148">
        <f>SUM(D70:D75)</f>
        <v>108</v>
      </c>
      <c r="E76" s="148">
        <f>SUM(E70:E75)</f>
        <v>3</v>
      </c>
      <c r="F76" s="119"/>
      <c r="G76" s="119">
        <f t="shared" ref="G76:M76" si="64">SUM(G70:G75)</f>
        <v>114</v>
      </c>
      <c r="H76" s="119">
        <f t="shared" si="64"/>
        <v>114</v>
      </c>
      <c r="I76" s="119">
        <f t="shared" si="64"/>
        <v>111</v>
      </c>
      <c r="J76" s="119">
        <f t="shared" si="64"/>
        <v>4916.8200000000006</v>
      </c>
      <c r="K76" s="119">
        <f t="shared" si="64"/>
        <v>4787.43</v>
      </c>
      <c r="L76" s="119">
        <f t="shared" si="64"/>
        <v>511349.28000000009</v>
      </c>
      <c r="M76" s="119">
        <f t="shared" si="64"/>
        <v>11544</v>
      </c>
      <c r="N76" s="180">
        <f>'Odometro-Kilometraje'!K88</f>
        <v>4984</v>
      </c>
      <c r="O76" s="21">
        <f>(W76/N76)*100</f>
        <v>98.652086677367592</v>
      </c>
      <c r="P76" s="192"/>
      <c r="Q76" s="181"/>
      <c r="R76" s="181"/>
      <c r="S76" s="181"/>
      <c r="T76" s="181"/>
      <c r="U76" s="181"/>
      <c r="V76" s="181"/>
      <c r="W76" s="193">
        <f>SUM(W70:W75)</f>
        <v>4916.8200000000006</v>
      </c>
      <c r="X76" s="193">
        <f>SUM(X70:X75)</f>
        <v>4916.8200000000006</v>
      </c>
      <c r="Y76" s="255"/>
      <c r="Z76" s="255"/>
      <c r="AA76" s="255"/>
    </row>
    <row r="77" spans="1:27" x14ac:dyDescent="0.25">
      <c r="A77" s="60">
        <f>A70+1</f>
        <v>46153</v>
      </c>
      <c r="B77" s="295">
        <v>38</v>
      </c>
      <c r="C77" s="295">
        <v>41</v>
      </c>
      <c r="D77" s="138">
        <f>'Data Ocupacion'!X31</f>
        <v>37</v>
      </c>
      <c r="E77" s="138">
        <f>'Data Ocupacion'!Y31</f>
        <v>42</v>
      </c>
      <c r="F77" s="125" t="s">
        <v>38</v>
      </c>
      <c r="G77" s="125">
        <f t="shared" si="59"/>
        <v>121</v>
      </c>
      <c r="H77" s="125">
        <f>B77+C77*2</f>
        <v>120</v>
      </c>
      <c r="I77" s="125">
        <f t="shared" ref="I77:I82" si="65">D77+E77</f>
        <v>79</v>
      </c>
      <c r="J77" s="125">
        <f>G77*M$2</f>
        <v>5218.7300000000005</v>
      </c>
      <c r="K77" s="153">
        <f>I77*M$2</f>
        <v>3407.27</v>
      </c>
      <c r="L77" s="125">
        <f t="shared" ref="L77:L82" si="66">J77*104</f>
        <v>542747.92000000004</v>
      </c>
      <c r="M77" s="125">
        <f t="shared" ref="M77:M82" si="67">I77*104</f>
        <v>8216</v>
      </c>
      <c r="N77" s="19"/>
      <c r="O77" s="19"/>
      <c r="P77" s="146"/>
      <c r="Q77" s="183">
        <v>3</v>
      </c>
      <c r="R77" s="183"/>
      <c r="S77" s="206"/>
      <c r="T77" s="285"/>
      <c r="U77" s="191"/>
      <c r="V77" s="228"/>
      <c r="W77" s="182">
        <f>J77-(Q77*($M$2-$K$1))-(R77*($M$2-$M$1))- (S77*($M$2-$I$2))+ (T77*($G$2))</f>
        <v>5165.5400000000009</v>
      </c>
      <c r="X77" s="182">
        <f>H77*$M$2</f>
        <v>5175.6000000000004</v>
      </c>
      <c r="Y77" s="255"/>
      <c r="Z77" s="255"/>
      <c r="AA77" s="255"/>
    </row>
    <row r="78" spans="1:27" ht="15" customHeight="1" x14ac:dyDescent="0.25">
      <c r="A78" s="276"/>
      <c r="B78" s="295">
        <v>36</v>
      </c>
      <c r="C78" s="295">
        <v>42</v>
      </c>
      <c r="D78" s="138">
        <f>'Data Ocupacion'!X32</f>
        <v>35</v>
      </c>
      <c r="E78" s="138">
        <f>'Data Ocupacion'!Y32</f>
        <v>43</v>
      </c>
      <c r="F78" s="125" t="s">
        <v>52</v>
      </c>
      <c r="G78" s="125">
        <f t="shared" ref="G78:G82" si="68">D78+E78*2</f>
        <v>121</v>
      </c>
      <c r="H78" s="125">
        <f t="shared" ref="H78:H82" si="69">B78+C78*2</f>
        <v>120</v>
      </c>
      <c r="I78" s="125">
        <f t="shared" si="65"/>
        <v>78</v>
      </c>
      <c r="J78" s="125">
        <f>G78*M$2</f>
        <v>5218.7300000000005</v>
      </c>
      <c r="K78" s="153">
        <f>I78*M$2</f>
        <v>3364.1400000000003</v>
      </c>
      <c r="L78" s="125">
        <f t="shared" si="66"/>
        <v>542747.92000000004</v>
      </c>
      <c r="M78" s="125">
        <f t="shared" si="67"/>
        <v>8112</v>
      </c>
      <c r="N78" s="19"/>
      <c r="O78" s="19"/>
      <c r="P78" s="146"/>
      <c r="Q78" s="186"/>
      <c r="R78" s="186"/>
      <c r="S78" s="217"/>
      <c r="T78" s="183">
        <v>6</v>
      </c>
      <c r="U78" s="217"/>
      <c r="V78" s="229"/>
      <c r="W78" s="185">
        <f>J78-(T78*($M$2-$K$1)+(U78*($M$2-$M$1)))</f>
        <v>5112.3500000000004</v>
      </c>
      <c r="X78" s="182">
        <f>H78*$M$2</f>
        <v>5175.6000000000004</v>
      </c>
      <c r="Y78" s="255"/>
      <c r="Z78" s="255"/>
      <c r="AA78" s="255"/>
    </row>
    <row r="79" spans="1:27" ht="15" customHeight="1" x14ac:dyDescent="0.25">
      <c r="A79" s="253"/>
      <c r="B79" s="295">
        <v>33</v>
      </c>
      <c r="C79" s="295">
        <v>3</v>
      </c>
      <c r="D79" s="138">
        <f>'Data Ocupacion'!X33</f>
        <v>34</v>
      </c>
      <c r="E79" s="126">
        <f>'Data Ocupacion'!Y33</f>
        <v>2</v>
      </c>
      <c r="F79" s="125" t="s">
        <v>36</v>
      </c>
      <c r="G79" s="125">
        <f t="shared" si="68"/>
        <v>38</v>
      </c>
      <c r="H79" s="125">
        <f t="shared" si="69"/>
        <v>39</v>
      </c>
      <c r="I79" s="125">
        <f t="shared" si="65"/>
        <v>36</v>
      </c>
      <c r="J79" s="125">
        <f>G79*M$1</f>
        <v>1106.18</v>
      </c>
      <c r="K79" s="153">
        <f>I79*M$1</f>
        <v>1047.96</v>
      </c>
      <c r="L79" s="125">
        <f t="shared" si="66"/>
        <v>115042.72</v>
      </c>
      <c r="M79" s="125">
        <f t="shared" si="67"/>
        <v>3744</v>
      </c>
      <c r="N79" s="19"/>
      <c r="O79" s="19" t="s">
        <v>144</v>
      </c>
      <c r="P79" s="146"/>
      <c r="Q79" s="183">
        <v>2</v>
      </c>
      <c r="R79" s="190"/>
      <c r="S79" s="228"/>
      <c r="T79" s="186"/>
      <c r="U79" s="189"/>
      <c r="V79" s="189"/>
      <c r="W79" s="182">
        <f>J79-(Q79*($M$1-$K$1))</f>
        <v>1098.76</v>
      </c>
      <c r="X79" s="182">
        <f>H79*$M$1</f>
        <v>1135.29</v>
      </c>
      <c r="Y79" s="255"/>
      <c r="Z79" s="255"/>
      <c r="AA79" s="255"/>
    </row>
    <row r="80" spans="1:27" ht="13.5" customHeight="1" x14ac:dyDescent="0.25">
      <c r="A80" s="253"/>
      <c r="B80" s="295">
        <v>29</v>
      </c>
      <c r="C80" s="295">
        <v>3</v>
      </c>
      <c r="D80" s="138">
        <f>'Data Ocupacion'!X34</f>
        <v>30</v>
      </c>
      <c r="E80" s="126">
        <f>'Data Ocupacion'!Y34</f>
        <v>2</v>
      </c>
      <c r="F80" s="125" t="s">
        <v>53</v>
      </c>
      <c r="G80" s="125">
        <f t="shared" si="68"/>
        <v>34</v>
      </c>
      <c r="H80" s="125">
        <f t="shared" si="69"/>
        <v>35</v>
      </c>
      <c r="I80" s="125">
        <f t="shared" si="65"/>
        <v>32</v>
      </c>
      <c r="J80" s="125">
        <f>G80*M$1</f>
        <v>989.74</v>
      </c>
      <c r="K80" s="153">
        <f>I80*M$1</f>
        <v>931.52</v>
      </c>
      <c r="L80" s="125">
        <f t="shared" si="66"/>
        <v>102932.96</v>
      </c>
      <c r="M80" s="125">
        <f t="shared" si="67"/>
        <v>3328</v>
      </c>
      <c r="N80" s="19"/>
      <c r="O80" s="19" t="s">
        <v>144</v>
      </c>
      <c r="P80" s="146"/>
      <c r="Q80" s="189"/>
      <c r="R80" s="189"/>
      <c r="S80" s="189"/>
      <c r="T80" s="189"/>
      <c r="U80" s="189"/>
      <c r="V80" s="189"/>
      <c r="W80" s="182">
        <f>J80</f>
        <v>989.74</v>
      </c>
      <c r="X80" s="182">
        <f>H80*$M$1</f>
        <v>1018.85</v>
      </c>
      <c r="Y80" s="255"/>
      <c r="Z80" s="255"/>
      <c r="AA80" s="255"/>
    </row>
    <row r="81" spans="1:30" s="124" customFormat="1" ht="13.5" customHeight="1" x14ac:dyDescent="0.25">
      <c r="A81" s="253"/>
      <c r="B81" s="295">
        <v>0</v>
      </c>
      <c r="C81" s="295">
        <v>0</v>
      </c>
      <c r="D81" s="126">
        <f>'Data Ocupacion'!X35</f>
        <v>0</v>
      </c>
      <c r="E81" s="126">
        <f>'Data Ocupacion'!Y35</f>
        <v>0</v>
      </c>
      <c r="F81" s="125" t="s">
        <v>122</v>
      </c>
      <c r="G81" s="125">
        <f t="shared" si="68"/>
        <v>0</v>
      </c>
      <c r="H81" s="125">
        <f t="shared" si="69"/>
        <v>0</v>
      </c>
      <c r="I81" s="125">
        <f t="shared" si="65"/>
        <v>0</v>
      </c>
      <c r="J81" s="125">
        <f>G81*K$1</f>
        <v>0</v>
      </c>
      <c r="K81" s="153">
        <f>I81*K$1</f>
        <v>0</v>
      </c>
      <c r="L81" s="125">
        <f t="shared" si="66"/>
        <v>0</v>
      </c>
      <c r="M81" s="125">
        <f t="shared" si="67"/>
        <v>0</v>
      </c>
      <c r="N81" s="19"/>
      <c r="O81" s="19"/>
      <c r="P81" s="146"/>
      <c r="Q81" s="189"/>
      <c r="R81" s="189"/>
      <c r="S81" s="189"/>
      <c r="T81" s="189"/>
      <c r="U81" s="189"/>
      <c r="V81" s="189"/>
      <c r="W81" s="182">
        <f>J81</f>
        <v>0</v>
      </c>
      <c r="X81" s="182">
        <f>H81*$K$1</f>
        <v>0</v>
      </c>
      <c r="Y81" s="255"/>
      <c r="Z81" s="255"/>
      <c r="AA81" s="255"/>
    </row>
    <row r="82" spans="1:30" s="124" customFormat="1" ht="15" customHeight="1" thickBot="1" x14ac:dyDescent="0.3">
      <c r="A82" s="253"/>
      <c r="B82" s="295">
        <v>4</v>
      </c>
      <c r="C82" s="295">
        <v>0</v>
      </c>
      <c r="D82" s="254">
        <f>'Data Ocupacion'!X36</f>
        <v>4</v>
      </c>
      <c r="E82" s="126">
        <f>'Data Ocupacion'!Y36</f>
        <v>0</v>
      </c>
      <c r="F82" s="125" t="s">
        <v>35</v>
      </c>
      <c r="G82" s="125">
        <f t="shared" si="68"/>
        <v>4</v>
      </c>
      <c r="H82" s="125">
        <f t="shared" si="69"/>
        <v>4</v>
      </c>
      <c r="I82" s="125">
        <f t="shared" si="65"/>
        <v>4</v>
      </c>
      <c r="J82" s="125">
        <f>G82*K$1</f>
        <v>101.6</v>
      </c>
      <c r="K82" s="153">
        <f>I82*K$1</f>
        <v>101.6</v>
      </c>
      <c r="L82" s="125">
        <f t="shared" si="66"/>
        <v>10566.4</v>
      </c>
      <c r="M82" s="125">
        <f t="shared" si="67"/>
        <v>416</v>
      </c>
      <c r="N82" s="19"/>
      <c r="O82" s="19"/>
      <c r="P82" s="146"/>
      <c r="Q82" s="189"/>
      <c r="R82" s="189"/>
      <c r="S82" s="189"/>
      <c r="T82" s="189"/>
      <c r="U82" s="189"/>
      <c r="V82" s="189"/>
      <c r="W82" s="182">
        <f>J82</f>
        <v>101.6</v>
      </c>
      <c r="X82" s="182">
        <f>H82*$K$1</f>
        <v>101.6</v>
      </c>
      <c r="Y82" s="255"/>
      <c r="Z82" s="255"/>
      <c r="AA82" s="255"/>
    </row>
    <row r="83" spans="1:30" ht="15" customHeight="1" thickBot="1" x14ac:dyDescent="0.3">
      <c r="A83" s="20"/>
      <c r="B83" s="119">
        <f>SUM(B77:B82)</f>
        <v>140</v>
      </c>
      <c r="C83" s="119">
        <f>SUM(C77:C82)</f>
        <v>89</v>
      </c>
      <c r="D83" s="152">
        <f>SUM(D77:D82)</f>
        <v>140</v>
      </c>
      <c r="E83" s="152">
        <f>SUM(E77:E82)</f>
        <v>89</v>
      </c>
      <c r="F83" s="119"/>
      <c r="G83" s="119">
        <f t="shared" ref="G83:M83" si="70">SUM(G77:G82)</f>
        <v>318</v>
      </c>
      <c r="H83" s="119">
        <f t="shared" si="70"/>
        <v>318</v>
      </c>
      <c r="I83" s="119">
        <f t="shared" si="70"/>
        <v>229</v>
      </c>
      <c r="J83" s="120">
        <f t="shared" si="70"/>
        <v>12634.980000000001</v>
      </c>
      <c r="K83" s="119">
        <f t="shared" si="70"/>
        <v>8852.49</v>
      </c>
      <c r="L83" s="118">
        <f t="shared" si="70"/>
        <v>1314037.92</v>
      </c>
      <c r="M83" s="151">
        <f t="shared" si="70"/>
        <v>23816</v>
      </c>
      <c r="N83" s="123">
        <f>'Odometro-Kilometraje'!L88</f>
        <v>12984</v>
      </c>
      <c r="O83" s="21">
        <f>(W83/N83)*100</f>
        <v>96.025800985828724</v>
      </c>
      <c r="P83" s="192"/>
      <c r="Q83" s="181"/>
      <c r="R83" s="181"/>
      <c r="S83" s="181"/>
      <c r="T83" s="181"/>
      <c r="U83" s="181"/>
      <c r="V83" s="181"/>
      <c r="W83" s="193">
        <f>SUM(W77:W82)</f>
        <v>12467.990000000002</v>
      </c>
      <c r="X83" s="193">
        <f>SUM(X77:X82)</f>
        <v>12606.940000000002</v>
      </c>
      <c r="Y83" s="255"/>
      <c r="Z83" s="255"/>
      <c r="AA83" s="255"/>
      <c r="AD83" s="172"/>
    </row>
    <row r="84" spans="1:30" ht="16.149999999999999" customHeight="1" x14ac:dyDescent="0.25">
      <c r="A84" s="60">
        <f>A77+1</f>
        <v>46154</v>
      </c>
      <c r="B84" s="295">
        <v>38</v>
      </c>
      <c r="C84" s="295">
        <v>41</v>
      </c>
      <c r="D84" s="126">
        <f>'Data Ocupacion'!Z31</f>
        <v>38</v>
      </c>
      <c r="E84" s="126">
        <f>'Data Ocupacion'!AA31</f>
        <v>41</v>
      </c>
      <c r="F84" s="125" t="s">
        <v>38</v>
      </c>
      <c r="G84" s="125">
        <f t="shared" ref="G84:G89" si="71">D84+E84*2</f>
        <v>120</v>
      </c>
      <c r="H84" s="125">
        <f>B84+C84*2</f>
        <v>120</v>
      </c>
      <c r="I84" s="125">
        <f t="shared" ref="I84:I89" si="72">D84+E84</f>
        <v>79</v>
      </c>
      <c r="J84" s="125">
        <f>G84*M$2</f>
        <v>5175.6000000000004</v>
      </c>
      <c r="K84" s="153">
        <f>I84*M$2</f>
        <v>3407.27</v>
      </c>
      <c r="L84" s="125">
        <f t="shared" ref="L84:L89" si="73">J84*104</f>
        <v>538262.4</v>
      </c>
      <c r="M84" s="125">
        <f t="shared" ref="M84:M89" si="74">I84*104</f>
        <v>8216</v>
      </c>
      <c r="N84" s="19"/>
      <c r="O84" s="19"/>
      <c r="P84" s="146"/>
      <c r="Q84" s="244">
        <v>5</v>
      </c>
      <c r="R84" s="183"/>
      <c r="S84" s="206"/>
      <c r="T84" s="285"/>
      <c r="U84" s="191"/>
      <c r="V84" s="228"/>
      <c r="W84" s="182">
        <f>J84-(Q84*($M$2-$K$1))-(R84*($M$2-$M$1))- (S84*($M$2-$I$2))+ (T84*($G$2))</f>
        <v>5086.9500000000007</v>
      </c>
      <c r="X84" s="182">
        <f>H84*$M$2</f>
        <v>5175.6000000000004</v>
      </c>
      <c r="Y84" s="255"/>
      <c r="Z84" s="255"/>
      <c r="AA84" s="255"/>
    </row>
    <row r="85" spans="1:30" ht="15" customHeight="1" x14ac:dyDescent="0.25">
      <c r="A85" s="202"/>
      <c r="B85" s="295">
        <v>36</v>
      </c>
      <c r="C85" s="295">
        <v>42</v>
      </c>
      <c r="D85" s="126">
        <f>'Data Ocupacion'!Z32</f>
        <v>36</v>
      </c>
      <c r="E85" s="126">
        <f>'Data Ocupacion'!AA32</f>
        <v>42</v>
      </c>
      <c r="F85" s="125" t="s">
        <v>52</v>
      </c>
      <c r="G85" s="125">
        <f t="shared" si="71"/>
        <v>120</v>
      </c>
      <c r="H85" s="125">
        <f t="shared" ref="H85:H89" si="75">B85+C85*2</f>
        <v>120</v>
      </c>
      <c r="I85" s="125">
        <f t="shared" si="72"/>
        <v>78</v>
      </c>
      <c r="J85" s="125">
        <f>G85*M$2</f>
        <v>5175.6000000000004</v>
      </c>
      <c r="K85" s="153">
        <f>I85*M$2</f>
        <v>3364.1400000000003</v>
      </c>
      <c r="L85" s="125">
        <f t="shared" si="73"/>
        <v>538262.4</v>
      </c>
      <c r="M85" s="125">
        <f t="shared" si="74"/>
        <v>8112</v>
      </c>
      <c r="N85" s="19"/>
      <c r="O85" s="19"/>
      <c r="P85" s="146"/>
      <c r="Q85" s="186"/>
      <c r="R85" s="186"/>
      <c r="S85" s="217"/>
      <c r="T85" s="183">
        <v>5</v>
      </c>
      <c r="U85" s="217"/>
      <c r="V85" s="206"/>
      <c r="W85" s="185">
        <f>J85-(T85*($M$2-$K$1)+(U85*($M$2-$M$1)))</f>
        <v>5086.9500000000007</v>
      </c>
      <c r="X85" s="182">
        <f>H85*$M$2</f>
        <v>5175.6000000000004</v>
      </c>
      <c r="Y85" s="255"/>
      <c r="Z85" s="255"/>
      <c r="AA85" s="255"/>
    </row>
    <row r="86" spans="1:30" ht="15" customHeight="1" x14ac:dyDescent="0.25">
      <c r="A86" s="202"/>
      <c r="B86" s="295">
        <v>33</v>
      </c>
      <c r="C86" s="295">
        <v>3</v>
      </c>
      <c r="D86" s="126">
        <f>'Data Ocupacion'!Z33</f>
        <v>34</v>
      </c>
      <c r="E86" s="126">
        <f>'Data Ocupacion'!AA33</f>
        <v>2</v>
      </c>
      <c r="F86" s="125" t="s">
        <v>36</v>
      </c>
      <c r="G86" s="125">
        <f t="shared" si="71"/>
        <v>38</v>
      </c>
      <c r="H86" s="125">
        <f t="shared" si="75"/>
        <v>39</v>
      </c>
      <c r="I86" s="125">
        <f t="shared" si="72"/>
        <v>36</v>
      </c>
      <c r="J86" s="125">
        <f>G86*M$1</f>
        <v>1106.18</v>
      </c>
      <c r="K86" s="153">
        <f>I86*M$1</f>
        <v>1047.96</v>
      </c>
      <c r="L86" s="125">
        <f t="shared" si="73"/>
        <v>115042.72</v>
      </c>
      <c r="M86" s="125">
        <f t="shared" si="74"/>
        <v>3744</v>
      </c>
      <c r="N86" s="19"/>
      <c r="O86" s="19"/>
      <c r="P86" s="146"/>
      <c r="Q86" s="244">
        <v>1</v>
      </c>
      <c r="R86" s="190"/>
      <c r="S86" s="228"/>
      <c r="T86" s="186"/>
      <c r="U86" s="189"/>
      <c r="V86" s="189"/>
      <c r="W86" s="182">
        <f>J86-(Q86*($M$1-$K$1))</f>
        <v>1102.47</v>
      </c>
      <c r="X86" s="182">
        <f>H86*$M$1</f>
        <v>1135.29</v>
      </c>
      <c r="Y86" s="255"/>
      <c r="Z86" s="255"/>
      <c r="AA86" s="255"/>
    </row>
    <row r="87" spans="1:30" ht="15" customHeight="1" x14ac:dyDescent="0.25">
      <c r="A87" s="202"/>
      <c r="B87" s="295">
        <v>29</v>
      </c>
      <c r="C87" s="295">
        <v>3</v>
      </c>
      <c r="D87" s="126">
        <f>'Data Ocupacion'!Z34</f>
        <v>30</v>
      </c>
      <c r="E87" s="126">
        <f>'Data Ocupacion'!AA34</f>
        <v>2</v>
      </c>
      <c r="F87" s="125" t="s">
        <v>53</v>
      </c>
      <c r="G87" s="125">
        <f t="shared" si="71"/>
        <v>34</v>
      </c>
      <c r="H87" s="125">
        <f t="shared" si="75"/>
        <v>35</v>
      </c>
      <c r="I87" s="125">
        <f t="shared" si="72"/>
        <v>32</v>
      </c>
      <c r="J87" s="125">
        <f>G87*M$1</f>
        <v>989.74</v>
      </c>
      <c r="K87" s="153">
        <f>I87*M$1</f>
        <v>931.52</v>
      </c>
      <c r="L87" s="125">
        <f t="shared" si="73"/>
        <v>102932.96</v>
      </c>
      <c r="M87" s="125">
        <f t="shared" si="74"/>
        <v>3328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989.74</v>
      </c>
      <c r="X87" s="182">
        <f>H87*$M$1</f>
        <v>1018.85</v>
      </c>
      <c r="Y87" s="255"/>
      <c r="Z87" s="255"/>
      <c r="AA87" s="255"/>
    </row>
    <row r="88" spans="1:30" ht="15" customHeight="1" x14ac:dyDescent="0.25">
      <c r="A88" s="202"/>
      <c r="B88" s="295">
        <v>0</v>
      </c>
      <c r="C88" s="295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1"/>
        <v>0</v>
      </c>
      <c r="H88" s="125">
        <f t="shared" si="75"/>
        <v>0</v>
      </c>
      <c r="I88" s="125">
        <f t="shared" si="72"/>
        <v>0</v>
      </c>
      <c r="J88" s="125">
        <f>G88*K$1</f>
        <v>0</v>
      </c>
      <c r="K88" s="153">
        <f>I88*K$1</f>
        <v>0</v>
      </c>
      <c r="L88" s="125">
        <f t="shared" si="73"/>
        <v>0</v>
      </c>
      <c r="M88" s="125">
        <f t="shared" si="74"/>
        <v>0</v>
      </c>
      <c r="N88" s="19"/>
      <c r="O88" s="19"/>
      <c r="P88" s="146"/>
      <c r="Q88" s="189"/>
      <c r="R88" s="189"/>
      <c r="S88" s="189"/>
      <c r="T88" s="189"/>
      <c r="U88" s="189"/>
      <c r="V88" s="189"/>
      <c r="W88" s="182">
        <f>J88</f>
        <v>0</v>
      </c>
      <c r="X88" s="182">
        <f>H88*$K$1</f>
        <v>0</v>
      </c>
      <c r="Y88" s="255"/>
      <c r="Z88" s="255"/>
      <c r="AA88" s="255"/>
    </row>
    <row r="89" spans="1:30" ht="15.75" thickBot="1" x14ac:dyDescent="0.3">
      <c r="A89" s="202"/>
      <c r="B89" s="295">
        <v>4</v>
      </c>
      <c r="C89" s="295">
        <v>0</v>
      </c>
      <c r="D89" s="254">
        <f>'Data Ocupacion'!Z36</f>
        <v>4</v>
      </c>
      <c r="E89" s="126">
        <f>'Data Ocupacion'!AA36</f>
        <v>0</v>
      </c>
      <c r="F89" s="125" t="s">
        <v>35</v>
      </c>
      <c r="G89" s="125">
        <f t="shared" si="71"/>
        <v>4</v>
      </c>
      <c r="H89" s="125">
        <f t="shared" si="75"/>
        <v>4</v>
      </c>
      <c r="I89" s="125">
        <f t="shared" si="72"/>
        <v>4</v>
      </c>
      <c r="J89" s="125">
        <f>G89*K$1</f>
        <v>101.6</v>
      </c>
      <c r="K89" s="153">
        <f>I89*K$1</f>
        <v>101.6</v>
      </c>
      <c r="L89" s="125">
        <f t="shared" si="73"/>
        <v>10566.4</v>
      </c>
      <c r="M89" s="125">
        <f t="shared" si="74"/>
        <v>416</v>
      </c>
      <c r="N89" s="19"/>
      <c r="O89" s="19"/>
      <c r="P89" s="146"/>
      <c r="Q89" s="189"/>
      <c r="R89" s="189"/>
      <c r="S89" s="189"/>
      <c r="T89" s="189"/>
      <c r="U89" s="189"/>
      <c r="V89" s="189"/>
      <c r="W89" s="182">
        <f>J89</f>
        <v>101.6</v>
      </c>
      <c r="X89" s="182">
        <f>H89*$K$1</f>
        <v>101.6</v>
      </c>
    </row>
    <row r="90" spans="1:30" s="124" customFormat="1" ht="15.75" thickBot="1" x14ac:dyDescent="0.3">
      <c r="A90" s="122"/>
      <c r="B90" s="119">
        <f>SUM(B84:B89)</f>
        <v>140</v>
      </c>
      <c r="C90" s="119">
        <f>SUM(C84:C89)</f>
        <v>89</v>
      </c>
      <c r="D90" s="152">
        <f>SUM(D84:D89)</f>
        <v>142</v>
      </c>
      <c r="E90" s="152">
        <f>SUM(E84:E89)</f>
        <v>87</v>
      </c>
      <c r="F90" s="119"/>
      <c r="G90" s="119">
        <f t="shared" ref="G90:M90" si="76">SUM(G84:G89)</f>
        <v>316</v>
      </c>
      <c r="H90" s="119">
        <f t="shared" si="76"/>
        <v>318</v>
      </c>
      <c r="I90" s="119">
        <f t="shared" si="76"/>
        <v>229</v>
      </c>
      <c r="J90" s="120">
        <f t="shared" si="76"/>
        <v>12548.720000000001</v>
      </c>
      <c r="K90" s="119">
        <f t="shared" si="76"/>
        <v>8852.49</v>
      </c>
      <c r="L90" s="118">
        <f t="shared" si="76"/>
        <v>1305066.8799999999</v>
      </c>
      <c r="M90" s="151">
        <f t="shared" si="76"/>
        <v>23816</v>
      </c>
      <c r="N90" s="123">
        <f>'Odometro-Kilometraje'!M88</f>
        <v>12900</v>
      </c>
      <c r="O90" s="21">
        <f>(W90/N90)*100</f>
        <v>95.873720930232565</v>
      </c>
      <c r="P90" s="192"/>
      <c r="Q90" s="181"/>
      <c r="R90" s="181"/>
      <c r="S90" s="181"/>
      <c r="T90" s="181"/>
      <c r="U90" s="181"/>
      <c r="V90" s="181"/>
      <c r="W90" s="193">
        <f>SUM(W84:W89)</f>
        <v>12367.710000000001</v>
      </c>
      <c r="X90" s="193">
        <f>SUM(X84:X89)</f>
        <v>12606.940000000002</v>
      </c>
      <c r="AA90" s="172"/>
    </row>
    <row r="91" spans="1:30" x14ac:dyDescent="0.25">
      <c r="A91" s="121">
        <f>A84+1</f>
        <v>46155</v>
      </c>
      <c r="B91" s="295">
        <v>38</v>
      </c>
      <c r="C91" s="295">
        <v>41</v>
      </c>
      <c r="D91" s="126">
        <f>'Data Ocupacion'!AB31</f>
        <v>38</v>
      </c>
      <c r="E91" s="126">
        <f>'Data Ocupacion'!AC31</f>
        <v>41</v>
      </c>
      <c r="F91" s="125" t="s">
        <v>38</v>
      </c>
      <c r="G91" s="125">
        <f t="shared" ref="G91:G96" si="77">D91+E91*2</f>
        <v>120</v>
      </c>
      <c r="H91" s="125">
        <f>B91+C91*2</f>
        <v>120</v>
      </c>
      <c r="I91" s="125">
        <f t="shared" ref="I91:I96" si="78">D91+E91</f>
        <v>79</v>
      </c>
      <c r="J91" s="125">
        <f>G91*M$2</f>
        <v>5175.6000000000004</v>
      </c>
      <c r="K91" s="153">
        <f>I91*M$2</f>
        <v>3407.27</v>
      </c>
      <c r="L91" s="125">
        <f t="shared" ref="L91:L96" si="79">J91*104</f>
        <v>538262.4</v>
      </c>
      <c r="M91" s="125">
        <f t="shared" ref="M91:M96" si="80">I91*104</f>
        <v>8216</v>
      </c>
      <c r="N91" s="19"/>
      <c r="O91" s="19"/>
      <c r="P91" s="146"/>
      <c r="Q91" s="183">
        <v>2</v>
      </c>
      <c r="R91" s="183"/>
      <c r="S91" s="206"/>
      <c r="T91" s="285"/>
      <c r="U91" s="191"/>
      <c r="V91" s="228"/>
      <c r="W91" s="182">
        <f>J91-(Q91*($M$2-$K$1))-(R91*($M$2-$M$1))- (S91*($M$2-$I$2))+ (T91*($G$2))</f>
        <v>5140.1400000000003</v>
      </c>
      <c r="X91" s="182">
        <f>H91*$M$2</f>
        <v>5175.6000000000004</v>
      </c>
    </row>
    <row r="92" spans="1:30" ht="17.25" customHeight="1" x14ac:dyDescent="0.25">
      <c r="A92" s="202"/>
      <c r="B92" s="295">
        <v>36</v>
      </c>
      <c r="C92" s="295">
        <v>42</v>
      </c>
      <c r="D92" s="126">
        <f>'Data Ocupacion'!AB32</f>
        <v>36</v>
      </c>
      <c r="E92" s="126">
        <f>'Data Ocupacion'!AC32</f>
        <v>42</v>
      </c>
      <c r="F92" s="125" t="s">
        <v>52</v>
      </c>
      <c r="G92" s="125">
        <f t="shared" si="77"/>
        <v>120</v>
      </c>
      <c r="H92" s="125">
        <f t="shared" ref="H92:H96" si="81">B92+C92*2</f>
        <v>120</v>
      </c>
      <c r="I92" s="125">
        <f t="shared" si="78"/>
        <v>78</v>
      </c>
      <c r="J92" s="125">
        <f>G92*M$2</f>
        <v>5175.6000000000004</v>
      </c>
      <c r="K92" s="153">
        <f>I92*M$2</f>
        <v>3364.1400000000003</v>
      </c>
      <c r="L92" s="125">
        <f t="shared" si="79"/>
        <v>538262.4</v>
      </c>
      <c r="M92" s="125">
        <f t="shared" si="80"/>
        <v>8112</v>
      </c>
      <c r="N92" s="19"/>
      <c r="O92" s="19"/>
      <c r="P92" s="146"/>
      <c r="Q92" s="186"/>
      <c r="R92" s="186"/>
      <c r="S92" s="217"/>
      <c r="T92" s="183">
        <v>4</v>
      </c>
      <c r="U92" s="217"/>
      <c r="V92" s="229"/>
      <c r="W92" s="185">
        <f>J92-(T92*($M$2-$K$1)+(U92*($M$2-$M$1)))</f>
        <v>5104.68</v>
      </c>
      <c r="X92" s="182">
        <f>H92*$M$2</f>
        <v>5175.6000000000004</v>
      </c>
    </row>
    <row r="93" spans="1:30" ht="14.45" customHeight="1" x14ac:dyDescent="0.25">
      <c r="A93" s="202"/>
      <c r="B93" s="295">
        <v>33</v>
      </c>
      <c r="C93" s="295">
        <v>3</v>
      </c>
      <c r="D93" s="126">
        <f>'Data Ocupacion'!AB33</f>
        <v>34</v>
      </c>
      <c r="E93" s="126">
        <f>'Data Ocupacion'!AC33</f>
        <v>2</v>
      </c>
      <c r="F93" s="125" t="s">
        <v>36</v>
      </c>
      <c r="G93" s="125">
        <f t="shared" si="77"/>
        <v>38</v>
      </c>
      <c r="H93" s="125">
        <f t="shared" si="81"/>
        <v>39</v>
      </c>
      <c r="I93" s="125">
        <f t="shared" si="78"/>
        <v>36</v>
      </c>
      <c r="J93" s="125">
        <f>G93*M$1</f>
        <v>1106.18</v>
      </c>
      <c r="K93" s="153">
        <f>I93*M$1</f>
        <v>1047.96</v>
      </c>
      <c r="L93" s="125">
        <f t="shared" si="79"/>
        <v>115042.72</v>
      </c>
      <c r="M93" s="125">
        <f t="shared" si="80"/>
        <v>3744</v>
      </c>
      <c r="N93" s="19"/>
      <c r="O93" s="19"/>
      <c r="P93" s="146"/>
      <c r="Q93" s="183">
        <v>1</v>
      </c>
      <c r="R93" s="190"/>
      <c r="S93" s="228"/>
      <c r="T93" s="186"/>
      <c r="U93" s="189"/>
      <c r="V93" s="189"/>
      <c r="W93" s="182">
        <f>J93-(Q93*($M$1-$K$1))</f>
        <v>1102.47</v>
      </c>
      <c r="X93" s="182">
        <f>H93*$M$1</f>
        <v>1135.29</v>
      </c>
    </row>
    <row r="94" spans="1:30" ht="15" customHeight="1" x14ac:dyDescent="0.25">
      <c r="A94" s="202"/>
      <c r="B94" s="295">
        <v>29</v>
      </c>
      <c r="C94" s="295">
        <v>3</v>
      </c>
      <c r="D94" s="126">
        <f>'Data Ocupacion'!AB34</f>
        <v>30</v>
      </c>
      <c r="E94" s="126">
        <f>'Data Ocupacion'!AC34</f>
        <v>2</v>
      </c>
      <c r="F94" s="125" t="s">
        <v>53</v>
      </c>
      <c r="G94" s="125">
        <f t="shared" si="77"/>
        <v>34</v>
      </c>
      <c r="H94" s="125">
        <f t="shared" si="81"/>
        <v>35</v>
      </c>
      <c r="I94" s="125">
        <f t="shared" si="78"/>
        <v>32</v>
      </c>
      <c r="J94" s="125">
        <f>G94*M$1</f>
        <v>989.74</v>
      </c>
      <c r="K94" s="153">
        <f>I94*M$1</f>
        <v>931.52</v>
      </c>
      <c r="L94" s="125">
        <f t="shared" si="79"/>
        <v>102932.96</v>
      </c>
      <c r="M94" s="125">
        <f t="shared" si="80"/>
        <v>3328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989.74</v>
      </c>
      <c r="X94" s="182">
        <f>H94*$M$1</f>
        <v>1018.85</v>
      </c>
    </row>
    <row r="95" spans="1:30" ht="15" customHeight="1" x14ac:dyDescent="0.25">
      <c r="A95" s="202"/>
      <c r="B95" s="295">
        <v>0</v>
      </c>
      <c r="C95" s="295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7"/>
        <v>0</v>
      </c>
      <c r="H95" s="125">
        <f t="shared" si="81"/>
        <v>0</v>
      </c>
      <c r="I95" s="125">
        <f t="shared" si="78"/>
        <v>0</v>
      </c>
      <c r="J95" s="125">
        <f>G95*K$1</f>
        <v>0</v>
      </c>
      <c r="K95" s="153">
        <f>I95*K$1</f>
        <v>0</v>
      </c>
      <c r="L95" s="125">
        <f t="shared" si="79"/>
        <v>0</v>
      </c>
      <c r="M95" s="125">
        <f t="shared" si="80"/>
        <v>0</v>
      </c>
      <c r="N95" s="19"/>
      <c r="O95" s="19"/>
      <c r="P95" s="146"/>
      <c r="Q95" s="189"/>
      <c r="R95" s="189"/>
      <c r="S95" s="189"/>
      <c r="T95" s="189"/>
      <c r="U95" s="189"/>
      <c r="V95" s="189"/>
      <c r="W95" s="182">
        <f>J95</f>
        <v>0</v>
      </c>
      <c r="X95" s="182">
        <f>H95*$K$1</f>
        <v>0</v>
      </c>
    </row>
    <row r="96" spans="1:30" ht="15.75" thickBot="1" x14ac:dyDescent="0.3">
      <c r="A96" s="202"/>
      <c r="B96" s="295">
        <v>4</v>
      </c>
      <c r="C96" s="295">
        <v>0</v>
      </c>
      <c r="D96" s="254">
        <f>'Data Ocupacion'!AB36</f>
        <v>4</v>
      </c>
      <c r="E96" s="126">
        <f>'Data Ocupacion'!AC36</f>
        <v>0</v>
      </c>
      <c r="F96" s="125" t="s">
        <v>35</v>
      </c>
      <c r="G96" s="125">
        <f t="shared" si="77"/>
        <v>4</v>
      </c>
      <c r="H96" s="125">
        <f t="shared" si="81"/>
        <v>4</v>
      </c>
      <c r="I96" s="125">
        <f t="shared" si="78"/>
        <v>4</v>
      </c>
      <c r="J96" s="125">
        <f>G96*K$1</f>
        <v>101.6</v>
      </c>
      <c r="K96" s="153">
        <f>I96*K$1</f>
        <v>101.6</v>
      </c>
      <c r="L96" s="125">
        <f t="shared" si="79"/>
        <v>10566.4</v>
      </c>
      <c r="M96" s="125">
        <f t="shared" si="80"/>
        <v>416</v>
      </c>
      <c r="N96" s="19"/>
      <c r="O96" s="19"/>
      <c r="P96" s="146"/>
      <c r="Q96" s="189"/>
      <c r="R96" s="189"/>
      <c r="S96" s="189"/>
      <c r="T96" s="189"/>
      <c r="U96" s="189"/>
      <c r="V96" s="189"/>
      <c r="W96" s="182">
        <f>J96</f>
        <v>101.6</v>
      </c>
      <c r="X96" s="182">
        <f>H96*$K$1</f>
        <v>101.6</v>
      </c>
    </row>
    <row r="97" spans="1:30" s="124" customFormat="1" ht="15.75" thickBot="1" x14ac:dyDescent="0.3">
      <c r="A97" s="20"/>
      <c r="B97" s="119">
        <f>SUM(B91:B96)</f>
        <v>140</v>
      </c>
      <c r="C97" s="119">
        <f>SUM(C91:C96)</f>
        <v>89</v>
      </c>
      <c r="D97" s="152">
        <f>SUM(D91:D96)</f>
        <v>142</v>
      </c>
      <c r="E97" s="152">
        <f>SUM(E91:E96)</f>
        <v>87</v>
      </c>
      <c r="F97" s="119"/>
      <c r="G97" s="119">
        <f t="shared" ref="G97:M97" si="82">SUM(G91:G96)</f>
        <v>316</v>
      </c>
      <c r="H97" s="119">
        <f t="shared" si="82"/>
        <v>318</v>
      </c>
      <c r="I97" s="119">
        <f t="shared" si="82"/>
        <v>229</v>
      </c>
      <c r="J97" s="120">
        <f t="shared" si="82"/>
        <v>12548.720000000001</v>
      </c>
      <c r="K97" s="119">
        <f t="shared" si="82"/>
        <v>8852.49</v>
      </c>
      <c r="L97" s="118">
        <f t="shared" si="82"/>
        <v>1305066.8799999999</v>
      </c>
      <c r="M97" s="151">
        <f t="shared" si="82"/>
        <v>23816</v>
      </c>
      <c r="N97" s="123">
        <f>'Odometro-Kilometraje'!N88</f>
        <v>12976</v>
      </c>
      <c r="O97" s="21">
        <f>(W97/N97)*100</f>
        <v>95.8587392108508</v>
      </c>
      <c r="P97" s="192"/>
      <c r="Q97" s="249"/>
      <c r="R97" s="249"/>
      <c r="S97" s="249"/>
      <c r="T97" s="249"/>
      <c r="U97" s="181"/>
      <c r="V97" s="181"/>
      <c r="W97" s="193">
        <f>SUM(W91:W96)</f>
        <v>12438.63</v>
      </c>
      <c r="X97" s="193">
        <f>SUM(X91:X96)</f>
        <v>12606.940000000002</v>
      </c>
    </row>
    <row r="98" spans="1:30" ht="17.25" customHeight="1" x14ac:dyDescent="0.25">
      <c r="A98" s="60">
        <f>A91+1</f>
        <v>46156</v>
      </c>
      <c r="B98" s="295">
        <v>38</v>
      </c>
      <c r="C98" s="295">
        <v>41</v>
      </c>
      <c r="D98" s="147">
        <f>'Data Ocupacion'!AD31</f>
        <v>37</v>
      </c>
      <c r="E98" s="147">
        <f>'Data Ocupacion'!AE31</f>
        <v>42</v>
      </c>
      <c r="F98" s="125" t="s">
        <v>38</v>
      </c>
      <c r="G98" s="125">
        <f t="shared" ref="G98:G103" si="83">D98+E98*2</f>
        <v>121</v>
      </c>
      <c r="H98" s="125">
        <f>B98+C98*2</f>
        <v>120</v>
      </c>
      <c r="I98" s="125">
        <f>D98+E98</f>
        <v>79</v>
      </c>
      <c r="J98" s="125">
        <f>G98*M$2</f>
        <v>5218.7300000000005</v>
      </c>
      <c r="K98" s="153">
        <f>I98*M$2</f>
        <v>3407.27</v>
      </c>
      <c r="L98" s="125">
        <f t="shared" ref="L98:L103" si="84">J98*104</f>
        <v>542747.92000000004</v>
      </c>
      <c r="M98" s="125">
        <f t="shared" ref="M98:M103" si="85">I98*104</f>
        <v>8216</v>
      </c>
      <c r="N98" s="19"/>
      <c r="O98" s="19"/>
      <c r="P98" s="146"/>
      <c r="Q98" s="183">
        <v>3</v>
      </c>
      <c r="R98" s="183"/>
      <c r="S98" s="206"/>
      <c r="T98" s="285"/>
      <c r="U98" s="191"/>
      <c r="V98" s="228"/>
      <c r="W98" s="182">
        <f>J98-(Q98*($M$2-$K$1))-(R98*($M$2-$M$1))- (S98*($M$2-$I$2))+ (T98*($G$2))</f>
        <v>5165.5400000000009</v>
      </c>
      <c r="X98" s="182">
        <f>H98*$M$2</f>
        <v>5175.6000000000004</v>
      </c>
    </row>
    <row r="99" spans="1:30" ht="15" customHeight="1" x14ac:dyDescent="0.25">
      <c r="A99" s="276"/>
      <c r="B99" s="295">
        <v>36</v>
      </c>
      <c r="C99" s="295">
        <v>42</v>
      </c>
      <c r="D99" s="147">
        <f>'Data Ocupacion'!AD32</f>
        <v>35</v>
      </c>
      <c r="E99" s="147">
        <f>'Data Ocupacion'!AE32</f>
        <v>43</v>
      </c>
      <c r="F99" s="125" t="s">
        <v>52</v>
      </c>
      <c r="G99" s="125">
        <f t="shared" si="83"/>
        <v>121</v>
      </c>
      <c r="H99" s="125">
        <f t="shared" ref="H99:H103" si="86">B99+C99*2</f>
        <v>120</v>
      </c>
      <c r="I99" s="125">
        <f t="shared" ref="I99:I103" si="87">D99+E99</f>
        <v>78</v>
      </c>
      <c r="J99" s="125">
        <f>G99*M$2</f>
        <v>5218.7300000000005</v>
      </c>
      <c r="K99" s="153">
        <f>I99*M$2</f>
        <v>3364.1400000000003</v>
      </c>
      <c r="L99" s="125">
        <f t="shared" si="84"/>
        <v>542747.92000000004</v>
      </c>
      <c r="M99" s="125">
        <f t="shared" si="85"/>
        <v>8112</v>
      </c>
      <c r="N99" s="19"/>
      <c r="O99" s="19"/>
      <c r="P99" s="146"/>
      <c r="Q99" s="186"/>
      <c r="R99" s="186"/>
      <c r="S99" s="217"/>
      <c r="T99" s="183">
        <v>3</v>
      </c>
      <c r="U99" s="217"/>
      <c r="V99" s="206"/>
      <c r="W99" s="185">
        <f>J99-(T99*($M$2-$K$1)+(U99*($M$2-$M$1)))</f>
        <v>5165.5400000000009</v>
      </c>
      <c r="X99" s="182">
        <f>H99*$M$2</f>
        <v>5175.6000000000004</v>
      </c>
    </row>
    <row r="100" spans="1:30" ht="15" customHeight="1" x14ac:dyDescent="0.25">
      <c r="A100" s="253"/>
      <c r="B100" s="295">
        <v>33</v>
      </c>
      <c r="C100" s="295">
        <v>3</v>
      </c>
      <c r="D100" s="147">
        <f>'Data Ocupacion'!AD33</f>
        <v>34</v>
      </c>
      <c r="E100" s="147">
        <f>'Data Ocupacion'!AE33</f>
        <v>2</v>
      </c>
      <c r="F100" s="125" t="s">
        <v>36</v>
      </c>
      <c r="G100" s="125">
        <f t="shared" si="83"/>
        <v>38</v>
      </c>
      <c r="H100" s="125">
        <f t="shared" si="86"/>
        <v>39</v>
      </c>
      <c r="I100" s="125">
        <f t="shared" si="87"/>
        <v>36</v>
      </c>
      <c r="J100" s="125">
        <f>G100*M$1</f>
        <v>1106.18</v>
      </c>
      <c r="K100" s="153">
        <f>I100*M$1</f>
        <v>1047.96</v>
      </c>
      <c r="L100" s="125">
        <f t="shared" si="84"/>
        <v>115042.72</v>
      </c>
      <c r="M100" s="125">
        <f t="shared" si="85"/>
        <v>3744</v>
      </c>
      <c r="N100" s="19"/>
      <c r="O100" s="19"/>
      <c r="P100" s="146"/>
      <c r="Q100" s="244">
        <v>2</v>
      </c>
      <c r="R100" s="190"/>
      <c r="S100" s="228"/>
      <c r="T100" s="186"/>
      <c r="U100" s="189"/>
      <c r="V100" s="189"/>
      <c r="W100" s="182">
        <f>J100-(Q100*($M$1-$K$1))</f>
        <v>1098.76</v>
      </c>
      <c r="X100" s="182">
        <f>H100*$M$1</f>
        <v>1135.29</v>
      </c>
    </row>
    <row r="101" spans="1:30" ht="15" customHeight="1" x14ac:dyDescent="0.25">
      <c r="A101" s="253"/>
      <c r="B101" s="295">
        <v>29</v>
      </c>
      <c r="C101" s="295">
        <v>3</v>
      </c>
      <c r="D101" s="147">
        <f>'Data Ocupacion'!AD34</f>
        <v>30</v>
      </c>
      <c r="E101" s="147">
        <f>'Data Ocupacion'!AE34</f>
        <v>2</v>
      </c>
      <c r="F101" s="125" t="s">
        <v>53</v>
      </c>
      <c r="G101" s="125">
        <f t="shared" si="83"/>
        <v>34</v>
      </c>
      <c r="H101" s="125">
        <f t="shared" si="86"/>
        <v>35</v>
      </c>
      <c r="I101" s="125">
        <f t="shared" si="87"/>
        <v>32</v>
      </c>
      <c r="J101" s="125">
        <f>G101*M$1</f>
        <v>989.74</v>
      </c>
      <c r="K101" s="153">
        <f>I101*M$1</f>
        <v>931.52</v>
      </c>
      <c r="L101" s="125">
        <f t="shared" si="84"/>
        <v>102932.96</v>
      </c>
      <c r="M101" s="125">
        <f t="shared" si="85"/>
        <v>3328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989.74</v>
      </c>
      <c r="X101" s="182">
        <f>H101*$M$1</f>
        <v>1018.85</v>
      </c>
    </row>
    <row r="102" spans="1:30" ht="15" customHeight="1" x14ac:dyDescent="0.25">
      <c r="A102" s="253"/>
      <c r="B102" s="295">
        <v>0</v>
      </c>
      <c r="C102" s="295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3"/>
        <v>0</v>
      </c>
      <c r="H102" s="125">
        <f t="shared" si="86"/>
        <v>0</v>
      </c>
      <c r="I102" s="125">
        <f t="shared" si="87"/>
        <v>0</v>
      </c>
      <c r="J102" s="125">
        <f>G102*K$1</f>
        <v>0</v>
      </c>
      <c r="K102" s="153">
        <f>I102*K$1</f>
        <v>0</v>
      </c>
      <c r="L102" s="125">
        <f t="shared" si="84"/>
        <v>0</v>
      </c>
      <c r="M102" s="125">
        <f t="shared" si="85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2">
        <f>J102</f>
        <v>0</v>
      </c>
      <c r="X102" s="182">
        <f>H102*$K$1</f>
        <v>0</v>
      </c>
    </row>
    <row r="103" spans="1:30" ht="15" customHeight="1" thickBot="1" x14ac:dyDescent="0.3">
      <c r="A103" s="253"/>
      <c r="B103" s="295">
        <v>4</v>
      </c>
      <c r="C103" s="295">
        <v>0</v>
      </c>
      <c r="D103" s="337">
        <f>'Data Ocupacion'!AD36</f>
        <v>4</v>
      </c>
      <c r="E103" s="337">
        <f>'Data Ocupacion'!AE36</f>
        <v>0</v>
      </c>
      <c r="F103" s="125" t="s">
        <v>35</v>
      </c>
      <c r="G103" s="125">
        <f t="shared" si="83"/>
        <v>4</v>
      </c>
      <c r="H103" s="125">
        <f t="shared" si="86"/>
        <v>4</v>
      </c>
      <c r="I103" s="125">
        <f t="shared" si="87"/>
        <v>4</v>
      </c>
      <c r="J103" s="125">
        <f>G103*K$1</f>
        <v>101.6</v>
      </c>
      <c r="K103" s="153">
        <f>I103*K$1</f>
        <v>101.6</v>
      </c>
      <c r="L103" s="125">
        <f t="shared" si="84"/>
        <v>10566.4</v>
      </c>
      <c r="M103" s="125">
        <f t="shared" si="85"/>
        <v>416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2">
        <f>J103</f>
        <v>101.6</v>
      </c>
      <c r="X103" s="182">
        <f>H103*$K$1</f>
        <v>101.6</v>
      </c>
    </row>
    <row r="104" spans="1:30" s="124" customFormat="1" ht="15" customHeight="1" thickBot="1" x14ac:dyDescent="0.3">
      <c r="A104" s="20"/>
      <c r="B104" s="119">
        <f>SUM(B98:B103)</f>
        <v>140</v>
      </c>
      <c r="C104" s="119">
        <f>SUM(C98:C103)</f>
        <v>89</v>
      </c>
      <c r="D104" s="152">
        <f>SUM(D98:D103)</f>
        <v>140</v>
      </c>
      <c r="E104" s="152">
        <f>SUM(E98:E103)</f>
        <v>89</v>
      </c>
      <c r="F104" s="119"/>
      <c r="G104" s="119">
        <f t="shared" ref="G104:M104" si="88">SUM(G98:G103)</f>
        <v>318</v>
      </c>
      <c r="H104" s="119">
        <f t="shared" si="88"/>
        <v>318</v>
      </c>
      <c r="I104" s="119">
        <f t="shared" si="88"/>
        <v>229</v>
      </c>
      <c r="J104" s="120">
        <f t="shared" si="88"/>
        <v>12634.980000000001</v>
      </c>
      <c r="K104" s="119">
        <f t="shared" si="88"/>
        <v>8852.49</v>
      </c>
      <c r="L104" s="118">
        <f t="shared" si="88"/>
        <v>1314037.92</v>
      </c>
      <c r="M104" s="151">
        <f t="shared" si="88"/>
        <v>23816</v>
      </c>
      <c r="N104" s="123">
        <f>'Odometro-Kilometraje'!O88</f>
        <v>13125</v>
      </c>
      <c r="O104" s="21">
        <f>(W104/N104)*100</f>
        <v>95.399466666666683</v>
      </c>
      <c r="P104" s="192"/>
      <c r="Q104" s="181"/>
      <c r="R104" s="181"/>
      <c r="S104" s="181"/>
      <c r="T104" s="181"/>
      <c r="U104" s="181"/>
      <c r="V104" s="181"/>
      <c r="W104" s="193">
        <f>SUM(W98:W103)</f>
        <v>12521.180000000002</v>
      </c>
      <c r="X104" s="193">
        <f>SUM(X98:X103)</f>
        <v>12606.940000000002</v>
      </c>
      <c r="AA104" s="172"/>
      <c r="AD104"/>
    </row>
    <row r="105" spans="1:30" ht="16.149999999999999" customHeight="1" x14ac:dyDescent="0.25">
      <c r="A105" s="60">
        <f>A98+1</f>
        <v>46157</v>
      </c>
      <c r="B105" s="295">
        <v>38</v>
      </c>
      <c r="C105" s="295">
        <v>41</v>
      </c>
      <c r="D105" s="138">
        <f>'Data Ocupacion'!AF31</f>
        <v>37</v>
      </c>
      <c r="E105" s="138">
        <f>'Data Ocupacion'!AG31</f>
        <v>42</v>
      </c>
      <c r="F105" s="125" t="s">
        <v>38</v>
      </c>
      <c r="G105" s="125">
        <f t="shared" ref="G105:G110" si="89">D105+E105*2</f>
        <v>121</v>
      </c>
      <c r="H105" s="125">
        <f>B105+C105*2</f>
        <v>120</v>
      </c>
      <c r="I105" s="125">
        <f t="shared" ref="I105:I110" si="90">D105+E105</f>
        <v>79</v>
      </c>
      <c r="J105" s="125">
        <f>G105*M$2</f>
        <v>5218.7300000000005</v>
      </c>
      <c r="K105" s="153">
        <f>I105*M$2</f>
        <v>3407.27</v>
      </c>
      <c r="L105" s="125">
        <f t="shared" ref="L105:L110" si="91">J105*104</f>
        <v>542747.92000000004</v>
      </c>
      <c r="M105" s="125">
        <f t="shared" ref="M105:M110" si="92">I105*104</f>
        <v>8216</v>
      </c>
      <c r="N105" s="19"/>
      <c r="O105" s="19"/>
      <c r="P105" s="146"/>
      <c r="Q105" s="244">
        <v>2</v>
      </c>
      <c r="R105" s="183"/>
      <c r="S105" s="206"/>
      <c r="T105" s="190"/>
      <c r="U105" s="191"/>
      <c r="V105" s="228"/>
      <c r="W105" s="182">
        <f>J105-(Q105*($M$2-$K$1))-(R105*($M$2-$M$1))- (S105*($M$2-$I$2))+ (T105*($G$2))</f>
        <v>5183.2700000000004</v>
      </c>
      <c r="X105" s="182">
        <f>H105*$M$2</f>
        <v>5175.6000000000004</v>
      </c>
    </row>
    <row r="106" spans="1:30" ht="15" customHeight="1" x14ac:dyDescent="0.25">
      <c r="A106" s="276"/>
      <c r="B106" s="295">
        <v>36</v>
      </c>
      <c r="C106" s="295">
        <v>42</v>
      </c>
      <c r="D106" s="138">
        <f>'Data Ocupacion'!AF32</f>
        <v>35</v>
      </c>
      <c r="E106" s="138">
        <f>'Data Ocupacion'!AG32</f>
        <v>43</v>
      </c>
      <c r="F106" s="125" t="s">
        <v>52</v>
      </c>
      <c r="G106" s="125">
        <f t="shared" si="89"/>
        <v>121</v>
      </c>
      <c r="H106" s="125">
        <f t="shared" ref="H106:H110" si="93">B106+C106*2</f>
        <v>120</v>
      </c>
      <c r="I106" s="125">
        <f t="shared" si="90"/>
        <v>78</v>
      </c>
      <c r="J106" s="125">
        <f>G106*M$2</f>
        <v>5218.7300000000005</v>
      </c>
      <c r="K106" s="153">
        <f>I106*M$2</f>
        <v>3364.1400000000003</v>
      </c>
      <c r="L106" s="125">
        <f t="shared" si="91"/>
        <v>542747.92000000004</v>
      </c>
      <c r="M106" s="125">
        <f t="shared" si="92"/>
        <v>8112</v>
      </c>
      <c r="N106" s="19"/>
      <c r="O106" s="19"/>
      <c r="P106" s="146"/>
      <c r="Q106" s="186"/>
      <c r="R106" s="186"/>
      <c r="S106" s="186"/>
      <c r="T106" s="239">
        <v>1</v>
      </c>
      <c r="U106" s="184"/>
      <c r="V106" s="229"/>
      <c r="W106" s="185">
        <f>J106-(T106*($M$2-$K$1)+(U106*($M$2-$M$1)))</f>
        <v>5201.0000000000009</v>
      </c>
      <c r="X106" s="182">
        <f>H106*$M$2</f>
        <v>5175.6000000000004</v>
      </c>
    </row>
    <row r="107" spans="1:30" ht="14.25" customHeight="1" x14ac:dyDescent="0.25">
      <c r="A107" s="253"/>
      <c r="B107" s="295">
        <v>33</v>
      </c>
      <c r="C107" s="295">
        <v>3</v>
      </c>
      <c r="D107" s="138">
        <f>'Data Ocupacion'!AF33</f>
        <v>34</v>
      </c>
      <c r="E107" s="138">
        <f>'Data Ocupacion'!AG33</f>
        <v>2</v>
      </c>
      <c r="F107" s="125" t="s">
        <v>36</v>
      </c>
      <c r="G107" s="125">
        <f t="shared" si="89"/>
        <v>38</v>
      </c>
      <c r="H107" s="125">
        <f t="shared" si="93"/>
        <v>39</v>
      </c>
      <c r="I107" s="125">
        <f t="shared" si="90"/>
        <v>36</v>
      </c>
      <c r="J107" s="125">
        <f>G107*M$1</f>
        <v>1106.18</v>
      </c>
      <c r="K107" s="153">
        <f>I107*M$1</f>
        <v>1047.96</v>
      </c>
      <c r="L107" s="125">
        <f t="shared" si="91"/>
        <v>115042.72</v>
      </c>
      <c r="M107" s="125">
        <f t="shared" si="92"/>
        <v>3744</v>
      </c>
      <c r="N107" s="19"/>
      <c r="O107" s="19"/>
      <c r="P107" s="146"/>
      <c r="Q107" s="244">
        <v>2</v>
      </c>
      <c r="R107" s="187"/>
      <c r="S107" s="207"/>
      <c r="T107" s="188"/>
      <c r="U107" s="189"/>
      <c r="V107" s="189"/>
      <c r="W107" s="182">
        <f>J107-(Q107*($M$1-$K$1))</f>
        <v>1098.76</v>
      </c>
      <c r="X107" s="182">
        <f>H107*$M$1</f>
        <v>1135.29</v>
      </c>
    </row>
    <row r="108" spans="1:30" ht="15" customHeight="1" x14ac:dyDescent="0.25">
      <c r="A108" s="253"/>
      <c r="B108" s="295">
        <v>29</v>
      </c>
      <c r="C108" s="295">
        <v>3</v>
      </c>
      <c r="D108" s="138">
        <f>'Data Ocupacion'!AF34</f>
        <v>30</v>
      </c>
      <c r="E108" s="138">
        <f>'Data Ocupacion'!AG34</f>
        <v>2</v>
      </c>
      <c r="F108" s="125" t="s">
        <v>53</v>
      </c>
      <c r="G108" s="125">
        <f t="shared" si="89"/>
        <v>34</v>
      </c>
      <c r="H108" s="125">
        <f t="shared" si="93"/>
        <v>35</v>
      </c>
      <c r="I108" s="125">
        <f t="shared" si="90"/>
        <v>32</v>
      </c>
      <c r="J108" s="125">
        <f>G108*M$1</f>
        <v>989.74</v>
      </c>
      <c r="K108" s="153">
        <f>I108*M$1</f>
        <v>931.52</v>
      </c>
      <c r="L108" s="125">
        <f t="shared" si="91"/>
        <v>102932.96</v>
      </c>
      <c r="M108" s="125">
        <f t="shared" si="92"/>
        <v>3328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989.74</v>
      </c>
      <c r="X108" s="182">
        <f>H108*$M$1</f>
        <v>1018.85</v>
      </c>
    </row>
    <row r="109" spans="1:30" ht="15" customHeight="1" x14ac:dyDescent="0.25">
      <c r="A109" s="253"/>
      <c r="B109" s="295">
        <v>0</v>
      </c>
      <c r="C109" s="295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89"/>
        <v>0</v>
      </c>
      <c r="H109" s="125">
        <f t="shared" si="93"/>
        <v>0</v>
      </c>
      <c r="I109" s="125">
        <f t="shared" si="90"/>
        <v>0</v>
      </c>
      <c r="J109" s="125">
        <f>G109*K$1</f>
        <v>0</v>
      </c>
      <c r="K109" s="153">
        <f>I109*K$1</f>
        <v>0</v>
      </c>
      <c r="L109" s="125">
        <f t="shared" si="91"/>
        <v>0</v>
      </c>
      <c r="M109" s="125">
        <f t="shared" si="92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2">
        <f>J109</f>
        <v>0</v>
      </c>
      <c r="X109" s="182">
        <f>H109*$K$1</f>
        <v>0</v>
      </c>
    </row>
    <row r="110" spans="1:30" ht="15" customHeight="1" thickBot="1" x14ac:dyDescent="0.3">
      <c r="A110" s="253"/>
      <c r="B110" s="295">
        <v>4</v>
      </c>
      <c r="C110" s="295">
        <v>0</v>
      </c>
      <c r="D110" s="295">
        <f>'Data Ocupacion'!AF36</f>
        <v>4</v>
      </c>
      <c r="E110" s="295">
        <f>'Data Ocupacion'!AG36</f>
        <v>0</v>
      </c>
      <c r="F110" s="125" t="s">
        <v>35</v>
      </c>
      <c r="G110" s="125">
        <f t="shared" si="89"/>
        <v>4</v>
      </c>
      <c r="H110" s="125">
        <f t="shared" si="93"/>
        <v>4</v>
      </c>
      <c r="I110" s="125">
        <f t="shared" si="90"/>
        <v>4</v>
      </c>
      <c r="J110" s="125">
        <f>G110*K$1</f>
        <v>101.6</v>
      </c>
      <c r="K110" s="153">
        <f>I110*K$1</f>
        <v>101.6</v>
      </c>
      <c r="L110" s="125">
        <f t="shared" si="91"/>
        <v>10566.4</v>
      </c>
      <c r="M110" s="125">
        <f t="shared" si="92"/>
        <v>416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2">
        <f>J110</f>
        <v>101.6</v>
      </c>
      <c r="X110" s="182">
        <f>H110*$K$1</f>
        <v>101.6</v>
      </c>
    </row>
    <row r="111" spans="1:30" s="124" customFormat="1" ht="15" customHeight="1" thickBot="1" x14ac:dyDescent="0.3">
      <c r="A111" s="20"/>
      <c r="B111" s="119">
        <f>SUM(B105:B110)</f>
        <v>140</v>
      </c>
      <c r="C111" s="119">
        <f>SUM(C105:C110)</f>
        <v>89</v>
      </c>
      <c r="D111" s="152">
        <f>SUM(D105:D110)</f>
        <v>140</v>
      </c>
      <c r="E111" s="152">
        <f>SUM(E105:E110)</f>
        <v>89</v>
      </c>
      <c r="F111" s="119"/>
      <c r="G111" s="119">
        <f t="shared" ref="G111:M111" si="94">SUM(G105:G110)</f>
        <v>318</v>
      </c>
      <c r="H111" s="119">
        <f t="shared" si="94"/>
        <v>318</v>
      </c>
      <c r="I111" s="119">
        <f t="shared" si="94"/>
        <v>229</v>
      </c>
      <c r="J111" s="120">
        <f t="shared" si="94"/>
        <v>12634.980000000001</v>
      </c>
      <c r="K111" s="119">
        <f t="shared" si="94"/>
        <v>8852.49</v>
      </c>
      <c r="L111" s="118">
        <f t="shared" si="94"/>
        <v>1314037.92</v>
      </c>
      <c r="M111" s="151">
        <f t="shared" si="94"/>
        <v>23816</v>
      </c>
      <c r="N111" s="123">
        <f>'Odometro-Kilometraje'!P88</f>
        <v>13020</v>
      </c>
      <c r="O111" s="21">
        <f>(W111/N111)*100</f>
        <v>96.577342549923202</v>
      </c>
      <c r="P111" s="192"/>
      <c r="Q111" s="181"/>
      <c r="R111" s="181"/>
      <c r="S111" s="181"/>
      <c r="T111" s="181"/>
      <c r="U111" s="181"/>
      <c r="V111" s="181"/>
      <c r="W111" s="193">
        <f>SUM(W105:W110)</f>
        <v>12574.37</v>
      </c>
      <c r="X111" s="193">
        <f>SUM(X105:X110)</f>
        <v>12606.940000000002</v>
      </c>
    </row>
    <row r="112" spans="1:30" ht="16.149999999999999" customHeight="1" x14ac:dyDescent="0.25">
      <c r="A112" s="60">
        <f>A105+1</f>
        <v>46158</v>
      </c>
      <c r="B112" s="116">
        <v>69</v>
      </c>
      <c r="C112" s="116">
        <v>3</v>
      </c>
      <c r="D112" s="147">
        <f>'Data Ocupacion'!AH31</f>
        <v>69</v>
      </c>
      <c r="E112" s="147">
        <f>'Data Ocupacion'!AI31</f>
        <v>3</v>
      </c>
      <c r="F112" s="320" t="s">
        <v>38</v>
      </c>
      <c r="G112" s="321">
        <f t="shared" ref="G112:G117" si="95">D112+E112*2</f>
        <v>75</v>
      </c>
      <c r="H112" s="116">
        <f>B112+C112*2</f>
        <v>75</v>
      </c>
      <c r="I112" s="322">
        <f t="shared" ref="I112:I117" si="96">D112+E112</f>
        <v>72</v>
      </c>
      <c r="J112" s="322">
        <f>G112*M$2</f>
        <v>3234.75</v>
      </c>
      <c r="K112" s="153">
        <f>I112*M$2</f>
        <v>3105.36</v>
      </c>
      <c r="L112" s="116">
        <f t="shared" ref="L112:L117" si="97">J112*104</f>
        <v>336414</v>
      </c>
      <c r="M112" s="116">
        <f t="shared" ref="M112:M117" si="98">I112*104</f>
        <v>7488</v>
      </c>
      <c r="N112" s="19"/>
      <c r="O112" s="19"/>
      <c r="P112" s="146"/>
      <c r="Q112" s="183"/>
      <c r="R112" s="183"/>
      <c r="S112" s="206"/>
      <c r="T112" s="244"/>
      <c r="U112" s="191"/>
      <c r="V112" s="228"/>
      <c r="W112" s="182">
        <f>J112-(Q112*($M$2-$K$1))-(R112*($M$2-$M$1))- (S112*($M$2-$I$2))+ (T112*($G$2))</f>
        <v>3234.75</v>
      </c>
      <c r="X112" s="182">
        <f>H112*$M$2</f>
        <v>3234.75</v>
      </c>
    </row>
    <row r="113" spans="1:26" ht="15" customHeight="1" x14ac:dyDescent="0.25">
      <c r="A113" s="202"/>
      <c r="B113" s="116">
        <v>75</v>
      </c>
      <c r="C113" s="116">
        <v>0</v>
      </c>
      <c r="D113" s="147">
        <f>'Data Ocupacion'!AH32</f>
        <v>75</v>
      </c>
      <c r="E113" s="147">
        <f>'Data Ocupacion'!AI32</f>
        <v>0</v>
      </c>
      <c r="F113" s="320" t="s">
        <v>52</v>
      </c>
      <c r="G113" s="321">
        <f t="shared" si="95"/>
        <v>75</v>
      </c>
      <c r="H113" s="116">
        <f t="shared" ref="H113:H117" si="99">B113+C113*2</f>
        <v>75</v>
      </c>
      <c r="I113" s="116">
        <f t="shared" si="96"/>
        <v>75</v>
      </c>
      <c r="J113" s="116">
        <f>G113*M$2</f>
        <v>3234.75</v>
      </c>
      <c r="K113" s="153">
        <f>I113*M$2</f>
        <v>3234.75</v>
      </c>
      <c r="L113" s="116">
        <f t="shared" si="97"/>
        <v>336414</v>
      </c>
      <c r="M113" s="116">
        <f t="shared" si="98"/>
        <v>7800</v>
      </c>
      <c r="N113" s="19"/>
      <c r="O113" s="19"/>
      <c r="P113" s="146"/>
      <c r="Q113" s="186"/>
      <c r="R113" s="186"/>
      <c r="S113" s="186"/>
      <c r="T113" s="183"/>
      <c r="U113" s="204"/>
      <c r="V113" s="229"/>
      <c r="W113" s="185">
        <f>J113-(T113*($M$2-$K$1)+(U113*($M$2-$M$1)))</f>
        <v>3234.75</v>
      </c>
      <c r="X113" s="182">
        <f>H113*$M$2</f>
        <v>3234.75</v>
      </c>
      <c r="Y113" s="172"/>
    </row>
    <row r="114" spans="1:26" ht="18" customHeight="1" x14ac:dyDescent="0.25">
      <c r="A114" s="202"/>
      <c r="B114" s="116">
        <v>0</v>
      </c>
      <c r="C114" s="116">
        <v>0</v>
      </c>
      <c r="D114" s="147">
        <f>'Data Ocupacion'!AH33</f>
        <v>0</v>
      </c>
      <c r="E114" s="147">
        <f>'Data Ocupacion'!AI33</f>
        <v>0</v>
      </c>
      <c r="F114" s="320" t="s">
        <v>36</v>
      </c>
      <c r="G114" s="321">
        <f t="shared" si="95"/>
        <v>0</v>
      </c>
      <c r="H114" s="116">
        <f t="shared" si="99"/>
        <v>0</v>
      </c>
      <c r="I114" s="116">
        <f t="shared" si="96"/>
        <v>0</v>
      </c>
      <c r="J114" s="116">
        <f>G114*M$1</f>
        <v>0</v>
      </c>
      <c r="K114" s="153">
        <f>I114*M$1</f>
        <v>0</v>
      </c>
      <c r="L114" s="116">
        <f t="shared" si="97"/>
        <v>0</v>
      </c>
      <c r="M114" s="116">
        <f t="shared" si="98"/>
        <v>0</v>
      </c>
      <c r="N114" s="19"/>
      <c r="O114" s="19"/>
      <c r="P114" s="146"/>
      <c r="Q114" s="244"/>
      <c r="R114" s="187"/>
      <c r="S114" s="207"/>
      <c r="T114" s="188"/>
      <c r="U114" s="189"/>
      <c r="V114" s="189"/>
      <c r="W114" s="182">
        <f>J114-(Q114*($M$1-$K$1))</f>
        <v>0</v>
      </c>
      <c r="X114" s="182">
        <f>H114*$M$1</f>
        <v>0</v>
      </c>
    </row>
    <row r="115" spans="1:26" ht="16.149999999999999" customHeight="1" x14ac:dyDescent="0.25">
      <c r="A115" s="202"/>
      <c r="B115" s="116">
        <v>0</v>
      </c>
      <c r="C115" s="116">
        <v>0</v>
      </c>
      <c r="D115" s="147">
        <f>'Data Ocupacion'!AH34</f>
        <v>0</v>
      </c>
      <c r="E115" s="147">
        <f>'Data Ocupacion'!AI34</f>
        <v>0</v>
      </c>
      <c r="F115" s="320" t="s">
        <v>53</v>
      </c>
      <c r="G115" s="321">
        <f t="shared" si="95"/>
        <v>0</v>
      </c>
      <c r="H115" s="116">
        <f t="shared" si="99"/>
        <v>0</v>
      </c>
      <c r="I115" s="116">
        <f t="shared" si="96"/>
        <v>0</v>
      </c>
      <c r="J115" s="116">
        <f>G115*M$1</f>
        <v>0</v>
      </c>
      <c r="K115" s="153">
        <f>I115*M$1</f>
        <v>0</v>
      </c>
      <c r="L115" s="116">
        <f t="shared" si="97"/>
        <v>0</v>
      </c>
      <c r="M115" s="116">
        <f t="shared" si="98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H115*$M$1</f>
        <v>0</v>
      </c>
    </row>
    <row r="116" spans="1:26" ht="15" customHeight="1" x14ac:dyDescent="0.25">
      <c r="A116" s="202"/>
      <c r="B116" s="116">
        <v>0</v>
      </c>
      <c r="C116" s="116">
        <v>0</v>
      </c>
      <c r="D116" s="147">
        <f>'Data Ocupacion'!AH35</f>
        <v>0</v>
      </c>
      <c r="E116" s="147">
        <f>'Data Ocupacion'!AI35</f>
        <v>0</v>
      </c>
      <c r="F116" s="320" t="s">
        <v>122</v>
      </c>
      <c r="G116" s="321">
        <f t="shared" si="95"/>
        <v>0</v>
      </c>
      <c r="H116" s="116">
        <f t="shared" si="99"/>
        <v>0</v>
      </c>
      <c r="I116" s="116">
        <f t="shared" si="96"/>
        <v>0</v>
      </c>
      <c r="J116" s="323">
        <f>G116*K$1</f>
        <v>0</v>
      </c>
      <c r="K116" s="153">
        <f>I116*K$1</f>
        <v>0</v>
      </c>
      <c r="L116" s="116">
        <f t="shared" si="97"/>
        <v>0</v>
      </c>
      <c r="M116" s="116">
        <f t="shared" si="98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2">
        <f>J116</f>
        <v>0</v>
      </c>
      <c r="X116" s="182">
        <f>H116*$K$1</f>
        <v>0</v>
      </c>
    </row>
    <row r="117" spans="1:26" ht="15" customHeight="1" thickBot="1" x14ac:dyDescent="0.3">
      <c r="A117" s="202"/>
      <c r="B117" s="116">
        <v>0</v>
      </c>
      <c r="C117" s="116">
        <v>0</v>
      </c>
      <c r="D117" s="147">
        <f>'Data Ocupacion'!AH36</f>
        <v>0</v>
      </c>
      <c r="E117" s="147">
        <f>'Data Ocupacion'!AI36</f>
        <v>0</v>
      </c>
      <c r="F117" s="320" t="s">
        <v>35</v>
      </c>
      <c r="G117" s="321">
        <f t="shared" si="95"/>
        <v>0</v>
      </c>
      <c r="H117" s="116">
        <f t="shared" si="99"/>
        <v>0</v>
      </c>
      <c r="I117" s="324">
        <f t="shared" si="96"/>
        <v>0</v>
      </c>
      <c r="J117" s="324">
        <f>G117*K$1</f>
        <v>0</v>
      </c>
      <c r="K117" s="153">
        <f>I117*K$1</f>
        <v>0</v>
      </c>
      <c r="L117" s="116">
        <f t="shared" si="97"/>
        <v>0</v>
      </c>
      <c r="M117" s="116">
        <f t="shared" si="98"/>
        <v>0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2">
        <f>J117</f>
        <v>0</v>
      </c>
      <c r="X117" s="182">
        <f>H117*$K$1</f>
        <v>0</v>
      </c>
    </row>
    <row r="118" spans="1:26" s="124" customFormat="1" ht="15" customHeight="1" thickBot="1" x14ac:dyDescent="0.3">
      <c r="A118" s="20"/>
      <c r="B118" s="119">
        <f>SUM(B112:B117)</f>
        <v>144</v>
      </c>
      <c r="C118" s="119">
        <f>SUM(C112:C117)</f>
        <v>3</v>
      </c>
      <c r="D118" s="148">
        <f>SUM(D112:D117)</f>
        <v>144</v>
      </c>
      <c r="E118" s="148">
        <f>SUM(E112:E117)</f>
        <v>3</v>
      </c>
      <c r="F118" s="119"/>
      <c r="G118" s="119">
        <f t="shared" ref="G118:M118" si="100">SUM(G112:G117)</f>
        <v>150</v>
      </c>
      <c r="H118" s="119">
        <f t="shared" si="100"/>
        <v>150</v>
      </c>
      <c r="I118" s="119">
        <f t="shared" si="100"/>
        <v>147</v>
      </c>
      <c r="J118" s="120">
        <f t="shared" si="100"/>
        <v>6469.5</v>
      </c>
      <c r="K118" s="119">
        <f t="shared" si="100"/>
        <v>6340.1100000000006</v>
      </c>
      <c r="L118" s="119">
        <f t="shared" si="100"/>
        <v>672828</v>
      </c>
      <c r="M118" s="119">
        <f t="shared" si="100"/>
        <v>15288</v>
      </c>
      <c r="N118" s="123">
        <f>'Odometro-Kilometraje'!Q88</f>
        <v>6569</v>
      </c>
      <c r="O118" s="21">
        <f>(W118/N118)*100</f>
        <v>98.485309788400059</v>
      </c>
      <c r="P118" s="192"/>
      <c r="Q118" s="181"/>
      <c r="R118" s="181"/>
      <c r="S118" s="181"/>
      <c r="T118" s="181"/>
      <c r="U118" s="181"/>
      <c r="V118" s="181"/>
      <c r="W118" s="193">
        <f>SUM(W112:W117)</f>
        <v>6469.5</v>
      </c>
      <c r="X118" s="193">
        <f>SUM(X112:X117)</f>
        <v>6469.5</v>
      </c>
    </row>
    <row r="119" spans="1:26" ht="16.149999999999999" customHeight="1" x14ac:dyDescent="0.25">
      <c r="A119" s="60">
        <f>A112+1</f>
        <v>46159</v>
      </c>
      <c r="B119" s="218">
        <v>51</v>
      </c>
      <c r="C119" s="218">
        <v>3</v>
      </c>
      <c r="D119" s="138">
        <f>'Data Ocupacion'!AJ31</f>
        <v>51</v>
      </c>
      <c r="E119" s="138">
        <f>'Data Ocupacion'!AK31</f>
        <v>3</v>
      </c>
      <c r="F119" s="332" t="s">
        <v>38</v>
      </c>
      <c r="G119" s="333">
        <f t="shared" ref="G119:G124" si="101">D119+E119*2</f>
        <v>57</v>
      </c>
      <c r="H119" s="218">
        <f>B119+C119*2</f>
        <v>57</v>
      </c>
      <c r="I119" s="334">
        <f t="shared" ref="I119:I124" si="102">D119+E119</f>
        <v>54</v>
      </c>
      <c r="J119" s="334">
        <f>G119*M$2</f>
        <v>2458.4100000000003</v>
      </c>
      <c r="K119" s="153">
        <f>I119*M$2</f>
        <v>2329.02</v>
      </c>
      <c r="L119" s="218">
        <f t="shared" ref="L119:L124" si="103">J119*104</f>
        <v>255674.64000000004</v>
      </c>
      <c r="M119" s="218">
        <f t="shared" ref="M119:M124" si="104">I119*104</f>
        <v>5616</v>
      </c>
      <c r="N119" s="19"/>
      <c r="O119" s="19"/>
      <c r="P119" s="146"/>
      <c r="Q119" s="183"/>
      <c r="R119" s="183"/>
      <c r="S119" s="206"/>
      <c r="T119" s="285"/>
      <c r="U119" s="191"/>
      <c r="V119" s="228"/>
      <c r="W119" s="182">
        <f>J119-(Q119*($M$2-$K$1))-(R119*($M$2-$M$1))- (S119*($M$2-$I$2))+ (T119*($G$2))</f>
        <v>2458.4100000000003</v>
      </c>
      <c r="X119" s="182">
        <f>H119*$M$2</f>
        <v>2458.4100000000003</v>
      </c>
    </row>
    <row r="120" spans="1:26" ht="15" customHeight="1" x14ac:dyDescent="0.25">
      <c r="A120" s="253"/>
      <c r="B120" s="218">
        <v>57</v>
      </c>
      <c r="C120" s="218">
        <v>0</v>
      </c>
      <c r="D120" s="138">
        <f>'Data Ocupacion'!AJ32</f>
        <v>57</v>
      </c>
      <c r="E120" s="138">
        <f>'Data Ocupacion'!AK32</f>
        <v>0</v>
      </c>
      <c r="F120" s="332" t="s">
        <v>52</v>
      </c>
      <c r="G120" s="333">
        <f t="shared" si="101"/>
        <v>57</v>
      </c>
      <c r="H120" s="218">
        <f t="shared" ref="H120:H124" si="105">B120+C120*2</f>
        <v>57</v>
      </c>
      <c r="I120" s="218">
        <f t="shared" si="102"/>
        <v>57</v>
      </c>
      <c r="J120" s="218">
        <f>G120*M$2</f>
        <v>2458.4100000000003</v>
      </c>
      <c r="K120" s="153">
        <f>I120*M$2</f>
        <v>2458.4100000000003</v>
      </c>
      <c r="L120" s="218">
        <f t="shared" si="103"/>
        <v>255674.64000000004</v>
      </c>
      <c r="M120" s="218">
        <f t="shared" si="104"/>
        <v>5928</v>
      </c>
      <c r="N120" s="19"/>
      <c r="O120" s="19"/>
      <c r="P120" s="146"/>
      <c r="Q120" s="186"/>
      <c r="R120" s="186"/>
      <c r="S120" s="217"/>
      <c r="T120" s="183"/>
      <c r="U120" s="217"/>
      <c r="V120" s="229"/>
      <c r="W120" s="185">
        <f>J120-(T120*($M$2-$K$1)+(U120*($M$2-$M$1)))</f>
        <v>2458.4100000000003</v>
      </c>
      <c r="X120" s="182">
        <f>H120*$M$2</f>
        <v>2458.4100000000003</v>
      </c>
      <c r="Y120" s="172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Ocupacion'!AJ33</f>
        <v>0</v>
      </c>
      <c r="E121" s="138">
        <f>'Data Ocupacion'!AK33</f>
        <v>0</v>
      </c>
      <c r="F121" s="332" t="s">
        <v>36</v>
      </c>
      <c r="G121" s="333">
        <f t="shared" si="101"/>
        <v>0</v>
      </c>
      <c r="H121" s="218">
        <f t="shared" si="105"/>
        <v>0</v>
      </c>
      <c r="I121" s="218">
        <f t="shared" si="102"/>
        <v>0</v>
      </c>
      <c r="J121" s="218">
        <f>G121*M$1</f>
        <v>0</v>
      </c>
      <c r="K121" s="153">
        <f>I121*M$1</f>
        <v>0</v>
      </c>
      <c r="L121" s="218">
        <f t="shared" si="103"/>
        <v>0</v>
      </c>
      <c r="M121" s="218">
        <f t="shared" si="104"/>
        <v>0</v>
      </c>
      <c r="N121" s="19"/>
      <c r="O121" s="19"/>
      <c r="P121" s="146"/>
      <c r="Q121" s="244"/>
      <c r="R121" s="190"/>
      <c r="S121" s="228"/>
      <c r="T121" s="186"/>
      <c r="U121" s="189"/>
      <c r="V121" s="189"/>
      <c r="W121" s="182">
        <f>J121-(Q121*($M$1-$K$1))</f>
        <v>0</v>
      </c>
      <c r="X121" s="182">
        <f>H121*$M$1</f>
        <v>0</v>
      </c>
    </row>
    <row r="122" spans="1:26" ht="15" customHeight="1" x14ac:dyDescent="0.25">
      <c r="A122" s="253"/>
      <c r="B122" s="218">
        <v>0</v>
      </c>
      <c r="C122" s="218">
        <v>0</v>
      </c>
      <c r="D122" s="138">
        <f>'Data Ocupacion'!AJ34</f>
        <v>0</v>
      </c>
      <c r="E122" s="138">
        <f>'Data Ocupacion'!AK34</f>
        <v>0</v>
      </c>
      <c r="F122" s="332" t="s">
        <v>53</v>
      </c>
      <c r="G122" s="333">
        <f t="shared" si="101"/>
        <v>0</v>
      </c>
      <c r="H122" s="218">
        <f t="shared" si="105"/>
        <v>0</v>
      </c>
      <c r="I122" s="218">
        <f t="shared" si="102"/>
        <v>0</v>
      </c>
      <c r="J122" s="218">
        <f>G122*M$1</f>
        <v>0</v>
      </c>
      <c r="K122" s="153">
        <f>I122*M$1</f>
        <v>0</v>
      </c>
      <c r="L122" s="218">
        <f t="shared" si="103"/>
        <v>0</v>
      </c>
      <c r="M122" s="218">
        <f t="shared" si="104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H122*$M$1</f>
        <v>0</v>
      </c>
      <c r="Z122" s="198"/>
    </row>
    <row r="123" spans="1:26" ht="15" customHeight="1" x14ac:dyDescent="0.25">
      <c r="A123" s="253"/>
      <c r="B123" s="218">
        <v>0</v>
      </c>
      <c r="C123" s="218">
        <v>0</v>
      </c>
      <c r="D123" s="138">
        <f>'Data Ocupacion'!AJ35</f>
        <v>0</v>
      </c>
      <c r="E123" s="138">
        <f>'Data Ocupacion'!AK35</f>
        <v>0</v>
      </c>
      <c r="F123" s="332" t="s">
        <v>122</v>
      </c>
      <c r="G123" s="333">
        <f t="shared" si="101"/>
        <v>0</v>
      </c>
      <c r="H123" s="218">
        <f t="shared" si="105"/>
        <v>0</v>
      </c>
      <c r="I123" s="218">
        <f t="shared" si="102"/>
        <v>0</v>
      </c>
      <c r="J123" s="335">
        <f>G123*K$1</f>
        <v>0</v>
      </c>
      <c r="K123" s="153">
        <f>I123*K$1</f>
        <v>0</v>
      </c>
      <c r="L123" s="218">
        <f t="shared" si="103"/>
        <v>0</v>
      </c>
      <c r="M123" s="218">
        <f t="shared" si="104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>J123</f>
        <v>0</v>
      </c>
      <c r="X123" s="182">
        <f>H123*$K$1</f>
        <v>0</v>
      </c>
    </row>
    <row r="124" spans="1:26" ht="14.25" customHeight="1" thickBot="1" x14ac:dyDescent="0.3">
      <c r="A124" s="253"/>
      <c r="B124" s="218">
        <v>0</v>
      </c>
      <c r="C124" s="218">
        <v>0</v>
      </c>
      <c r="D124" s="138">
        <f>'Data Ocupacion'!AJ36</f>
        <v>0</v>
      </c>
      <c r="E124" s="138">
        <f>'Data Ocupacion'!AK36</f>
        <v>0</v>
      </c>
      <c r="F124" s="332" t="s">
        <v>35</v>
      </c>
      <c r="G124" s="333">
        <f t="shared" si="101"/>
        <v>0</v>
      </c>
      <c r="H124" s="218">
        <f t="shared" si="105"/>
        <v>0</v>
      </c>
      <c r="I124" s="336">
        <f t="shared" si="102"/>
        <v>0</v>
      </c>
      <c r="J124" s="336">
        <f>G124*K$1</f>
        <v>0</v>
      </c>
      <c r="K124" s="153">
        <f>I124*K$1</f>
        <v>0</v>
      </c>
      <c r="L124" s="218">
        <f t="shared" si="103"/>
        <v>0</v>
      </c>
      <c r="M124" s="218">
        <f t="shared" si="104"/>
        <v>0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>J124</f>
        <v>0</v>
      </c>
      <c r="X124" s="182">
        <f>H124*$K$1</f>
        <v>0</v>
      </c>
    </row>
    <row r="125" spans="1:26" s="124" customFormat="1" ht="15" customHeight="1" thickBot="1" x14ac:dyDescent="0.3">
      <c r="A125" s="20"/>
      <c r="B125" s="119">
        <f>SUM(B119:B124)</f>
        <v>108</v>
      </c>
      <c r="C125" s="119">
        <f>SUM(C119:C124)</f>
        <v>3</v>
      </c>
      <c r="D125" s="148">
        <f>SUM(D119:D124)</f>
        <v>108</v>
      </c>
      <c r="E125" s="148">
        <f>SUM(E119:E124)</f>
        <v>3</v>
      </c>
      <c r="F125" s="119"/>
      <c r="G125" s="119">
        <f t="shared" ref="G125:M125" si="106">SUM(G119:G124)</f>
        <v>114</v>
      </c>
      <c r="H125" s="119">
        <f t="shared" si="106"/>
        <v>114</v>
      </c>
      <c r="I125" s="119">
        <f t="shared" si="106"/>
        <v>111</v>
      </c>
      <c r="J125" s="120">
        <f>SUM(J119:J124)</f>
        <v>4916.8200000000006</v>
      </c>
      <c r="K125" s="119">
        <f t="shared" si="106"/>
        <v>4787.43</v>
      </c>
      <c r="L125" s="119">
        <f t="shared" si="106"/>
        <v>511349.28000000009</v>
      </c>
      <c r="M125" s="119">
        <f t="shared" si="106"/>
        <v>11544</v>
      </c>
      <c r="N125" s="123">
        <f>'Odometro-Kilometraje'!R88</f>
        <v>5005</v>
      </c>
      <c r="O125" s="21">
        <f>(W125/N125)*100</f>
        <v>98.238161838161858</v>
      </c>
      <c r="P125" s="192"/>
      <c r="Q125" s="181"/>
      <c r="R125" s="181"/>
      <c r="S125" s="181"/>
      <c r="T125" s="181"/>
      <c r="U125" s="181"/>
      <c r="V125" s="181"/>
      <c r="W125" s="193">
        <f>SUM(W119:W124)</f>
        <v>4916.8200000000006</v>
      </c>
      <c r="X125" s="193">
        <f>SUM(X119:X124)</f>
        <v>4916.8200000000006</v>
      </c>
    </row>
    <row r="126" spans="1:26" ht="16.149999999999999" customHeight="1" x14ac:dyDescent="0.25">
      <c r="A126" s="60">
        <f>A119+1</f>
        <v>46160</v>
      </c>
      <c r="B126" s="295">
        <v>38</v>
      </c>
      <c r="C126" s="295">
        <v>41</v>
      </c>
      <c r="D126" s="126">
        <f>'Data Ocupacion'!AL31</f>
        <v>41</v>
      </c>
      <c r="E126" s="126">
        <f>'Data Ocupacion'!AM31</f>
        <v>39</v>
      </c>
      <c r="F126" s="125" t="s">
        <v>38</v>
      </c>
      <c r="G126" s="125">
        <f t="shared" ref="G126:G131" si="107">D126+E126*2</f>
        <v>119</v>
      </c>
      <c r="H126" s="125">
        <f>B126+C126*2</f>
        <v>120</v>
      </c>
      <c r="I126" s="125">
        <f t="shared" ref="I126:I131" si="108">D126+E126</f>
        <v>80</v>
      </c>
      <c r="J126" s="125">
        <f>G126*M$2</f>
        <v>5132.47</v>
      </c>
      <c r="K126" s="153">
        <f>I126*M$2</f>
        <v>3450.4</v>
      </c>
      <c r="L126" s="125">
        <f t="shared" ref="L126:L131" si="109">J126*104</f>
        <v>533776.88</v>
      </c>
      <c r="M126" s="125">
        <f t="shared" ref="M126:M131" si="110">I126*104</f>
        <v>8320</v>
      </c>
      <c r="N126" s="19"/>
      <c r="O126" s="19"/>
      <c r="P126" s="146"/>
      <c r="Q126" s="244">
        <v>4</v>
      </c>
      <c r="R126" s="183"/>
      <c r="S126" s="206"/>
      <c r="T126" s="285"/>
      <c r="U126" s="191"/>
      <c r="V126" s="228"/>
      <c r="W126" s="182">
        <f>J126-(Q126*($M$2-$K$1))-(R126*($M$2-$M$1))- (S126*($M$2-$I$2))+ (T126*($G$2))</f>
        <v>5061.55</v>
      </c>
      <c r="X126" s="182">
        <f>H126*$M$2</f>
        <v>5175.6000000000004</v>
      </c>
    </row>
    <row r="127" spans="1:26" ht="15" customHeight="1" x14ac:dyDescent="0.25">
      <c r="A127" s="202"/>
      <c r="B127" s="295">
        <v>36</v>
      </c>
      <c r="C127" s="295">
        <v>42</v>
      </c>
      <c r="D127" s="126">
        <f>'Data Ocupacion'!AL32</f>
        <v>38</v>
      </c>
      <c r="E127" s="126">
        <f>'Data Ocupacion'!AM32</f>
        <v>40</v>
      </c>
      <c r="F127" s="125" t="s">
        <v>52</v>
      </c>
      <c r="G127" s="125">
        <f t="shared" si="107"/>
        <v>118</v>
      </c>
      <c r="H127" s="125">
        <f t="shared" ref="H127:H131" si="111">B127+C127*2</f>
        <v>120</v>
      </c>
      <c r="I127" s="125">
        <f t="shared" si="108"/>
        <v>78</v>
      </c>
      <c r="J127" s="125">
        <f>G127*M$2</f>
        <v>5089.34</v>
      </c>
      <c r="K127" s="153">
        <f>I127*M$2</f>
        <v>3364.1400000000003</v>
      </c>
      <c r="L127" s="125">
        <f t="shared" si="109"/>
        <v>529291.36</v>
      </c>
      <c r="M127" s="125">
        <f t="shared" si="110"/>
        <v>8112</v>
      </c>
      <c r="N127" s="19"/>
      <c r="O127" s="19"/>
      <c r="P127" s="146"/>
      <c r="Q127" s="186"/>
      <c r="R127" s="186"/>
      <c r="S127" s="217"/>
      <c r="T127" s="183">
        <v>4</v>
      </c>
      <c r="U127" s="217"/>
      <c r="V127" s="229"/>
      <c r="W127" s="182">
        <f>J127-(Q127*($K$1)+(T127*($M$2-$K$1))+(U127*($M$2-$M$1)))</f>
        <v>5018.42</v>
      </c>
      <c r="X127" s="182">
        <f>H127*$M$2</f>
        <v>5175.6000000000004</v>
      </c>
    </row>
    <row r="128" spans="1:26" ht="15" customHeight="1" x14ac:dyDescent="0.25">
      <c r="A128" s="202"/>
      <c r="B128" s="295">
        <v>33</v>
      </c>
      <c r="C128" s="295">
        <v>3</v>
      </c>
      <c r="D128" s="126">
        <f>'Data Ocupacion'!AL33</f>
        <v>33</v>
      </c>
      <c r="E128" s="126">
        <f>'Data Ocupacion'!AM33</f>
        <v>2</v>
      </c>
      <c r="F128" s="125" t="s">
        <v>36</v>
      </c>
      <c r="G128" s="125">
        <f t="shared" si="107"/>
        <v>37</v>
      </c>
      <c r="H128" s="125">
        <f t="shared" si="111"/>
        <v>39</v>
      </c>
      <c r="I128" s="125">
        <f t="shared" si="108"/>
        <v>35</v>
      </c>
      <c r="J128" s="125">
        <f>G128*M$1</f>
        <v>1077.07</v>
      </c>
      <c r="K128" s="153">
        <f>I128*M$1</f>
        <v>1018.85</v>
      </c>
      <c r="L128" s="125">
        <f t="shared" si="109"/>
        <v>112015.28</v>
      </c>
      <c r="M128" s="125">
        <f t="shared" si="110"/>
        <v>3640</v>
      </c>
      <c r="N128" s="19"/>
      <c r="O128" s="19"/>
      <c r="P128" s="146"/>
      <c r="Q128" s="244">
        <v>2</v>
      </c>
      <c r="R128" s="190"/>
      <c r="S128" s="228"/>
      <c r="T128" s="186"/>
      <c r="U128" s="189"/>
      <c r="V128" s="189"/>
      <c r="W128" s="182">
        <f>J128-(Q128*($M$1-$K$1))</f>
        <v>1069.6499999999999</v>
      </c>
      <c r="X128" s="182">
        <f>H128*$M$1</f>
        <v>1135.29</v>
      </c>
    </row>
    <row r="129" spans="1:24" ht="15" customHeight="1" x14ac:dyDescent="0.25">
      <c r="A129" s="202"/>
      <c r="B129" s="295">
        <v>29</v>
      </c>
      <c r="C129" s="295">
        <v>3</v>
      </c>
      <c r="D129" s="126">
        <f>'Data Ocupacion'!AL34</f>
        <v>30</v>
      </c>
      <c r="E129" s="126">
        <f>'Data Ocupacion'!AM34</f>
        <v>2</v>
      </c>
      <c r="F129" s="125" t="s">
        <v>53</v>
      </c>
      <c r="G129" s="125">
        <f t="shared" si="107"/>
        <v>34</v>
      </c>
      <c r="H129" s="125">
        <f t="shared" si="111"/>
        <v>35</v>
      </c>
      <c r="I129" s="125">
        <f t="shared" si="108"/>
        <v>32</v>
      </c>
      <c r="J129" s="125">
        <f>G129*M$1</f>
        <v>989.74</v>
      </c>
      <c r="K129" s="153">
        <f>I129*M$1</f>
        <v>931.52</v>
      </c>
      <c r="L129" s="125">
        <f t="shared" si="109"/>
        <v>102932.96</v>
      </c>
      <c r="M129" s="125">
        <f t="shared" si="110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989.74</v>
      </c>
      <c r="X129" s="182">
        <f>H129*$M$1</f>
        <v>1018.85</v>
      </c>
    </row>
    <row r="130" spans="1:24" s="124" customFormat="1" ht="15" customHeight="1" x14ac:dyDescent="0.25">
      <c r="A130" s="202"/>
      <c r="B130" s="295">
        <v>0</v>
      </c>
      <c r="C130" s="295">
        <v>0</v>
      </c>
      <c r="D130" s="126">
        <f>'Data Ocupacion'!AL35</f>
        <v>0</v>
      </c>
      <c r="E130" s="126">
        <f>'Data Ocupacion'!AM35</f>
        <v>0</v>
      </c>
      <c r="F130" s="125" t="s">
        <v>122</v>
      </c>
      <c r="G130" s="125">
        <f t="shared" si="107"/>
        <v>0</v>
      </c>
      <c r="H130" s="125">
        <f t="shared" si="111"/>
        <v>0</v>
      </c>
      <c r="I130" s="125">
        <f t="shared" si="108"/>
        <v>0</v>
      </c>
      <c r="J130" s="125">
        <f>G130*K$1</f>
        <v>0</v>
      </c>
      <c r="K130" s="153">
        <f>I130*K$1</f>
        <v>0</v>
      </c>
      <c r="L130" s="125">
        <f t="shared" si="109"/>
        <v>0</v>
      </c>
      <c r="M130" s="125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H130*$K$1</f>
        <v>0</v>
      </c>
    </row>
    <row r="131" spans="1:24" s="124" customFormat="1" ht="15" customHeight="1" thickBot="1" x14ac:dyDescent="0.3">
      <c r="A131" s="202"/>
      <c r="B131" s="295">
        <v>4</v>
      </c>
      <c r="C131" s="295">
        <v>0</v>
      </c>
      <c r="D131" s="126">
        <f>'Data Ocupacion'!AL36</f>
        <v>4</v>
      </c>
      <c r="E131" s="126">
        <f>'Data Ocupacion'!AM36</f>
        <v>0</v>
      </c>
      <c r="F131" s="125" t="s">
        <v>35</v>
      </c>
      <c r="G131" s="125">
        <f t="shared" si="107"/>
        <v>4</v>
      </c>
      <c r="H131" s="125">
        <f t="shared" si="111"/>
        <v>4</v>
      </c>
      <c r="I131" s="125">
        <f t="shared" si="108"/>
        <v>4</v>
      </c>
      <c r="J131" s="125">
        <f>G131*K$1</f>
        <v>101.6</v>
      </c>
      <c r="K131" s="153">
        <f>I131*K$1</f>
        <v>101.6</v>
      </c>
      <c r="L131" s="125">
        <f t="shared" si="109"/>
        <v>10566.4</v>
      </c>
      <c r="M131" s="125">
        <f t="shared" si="110"/>
        <v>416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101.6</v>
      </c>
      <c r="X131" s="182">
        <f>H131*$K$1</f>
        <v>101.6</v>
      </c>
    </row>
    <row r="132" spans="1:24" s="124" customFormat="1" ht="15" customHeight="1" thickBot="1" x14ac:dyDescent="0.3">
      <c r="A132" s="20"/>
      <c r="B132" s="119">
        <f>SUM(B126:B131)</f>
        <v>140</v>
      </c>
      <c r="C132" s="119">
        <f>SUM(C126:C131)</f>
        <v>89</v>
      </c>
      <c r="D132" s="152">
        <f>SUM(D126:D131)</f>
        <v>146</v>
      </c>
      <c r="E132" s="152">
        <f>SUM(E126:E131)</f>
        <v>83</v>
      </c>
      <c r="F132" s="119"/>
      <c r="G132" s="119">
        <f t="shared" ref="G132:M132" si="112">SUM(G126:G131)</f>
        <v>312</v>
      </c>
      <c r="H132" s="119">
        <f t="shared" si="112"/>
        <v>318</v>
      </c>
      <c r="I132" s="119">
        <f t="shared" si="112"/>
        <v>229</v>
      </c>
      <c r="J132" s="120">
        <f t="shared" si="112"/>
        <v>12390.220000000001</v>
      </c>
      <c r="K132" s="119">
        <f t="shared" si="112"/>
        <v>8866.510000000002</v>
      </c>
      <c r="L132" s="118">
        <f t="shared" si="112"/>
        <v>1288582.8799999999</v>
      </c>
      <c r="M132" s="151">
        <f t="shared" si="112"/>
        <v>23816</v>
      </c>
      <c r="N132" s="123">
        <f>'Odometro-Kilometraje'!S88</f>
        <v>12820</v>
      </c>
      <c r="O132" s="21">
        <f>(W132/N132)*100</f>
        <v>95.483307332293293</v>
      </c>
      <c r="P132" s="192"/>
      <c r="Q132" s="181"/>
      <c r="R132" s="181"/>
      <c r="S132" s="181"/>
      <c r="T132" s="181"/>
      <c r="U132" s="181"/>
      <c r="V132" s="181"/>
      <c r="W132" s="193">
        <f>SUM(W126:W131)</f>
        <v>12240.960000000001</v>
      </c>
      <c r="X132" s="193">
        <f>SUM(X126:X131)</f>
        <v>12606.940000000002</v>
      </c>
    </row>
    <row r="133" spans="1:24" ht="15" customHeight="1" x14ac:dyDescent="0.25">
      <c r="A133" s="60">
        <f>A126+1</f>
        <v>46161</v>
      </c>
      <c r="B133" s="295">
        <v>38</v>
      </c>
      <c r="C133" s="295">
        <v>41</v>
      </c>
      <c r="D133" s="138">
        <f>'Data Ocupacion'!AN31</f>
        <v>39</v>
      </c>
      <c r="E133" s="138">
        <f>'Data Ocupacion'!AO31</f>
        <v>40</v>
      </c>
      <c r="F133" s="125" t="s">
        <v>38</v>
      </c>
      <c r="G133" s="125">
        <f t="shared" ref="G133:G138" si="113">D133+E133*2</f>
        <v>119</v>
      </c>
      <c r="H133" s="125">
        <f>B133+C133*2</f>
        <v>120</v>
      </c>
      <c r="I133" s="125">
        <f t="shared" ref="I133:I138" si="114">D133+E133</f>
        <v>79</v>
      </c>
      <c r="J133" s="125">
        <f>G133*M$2</f>
        <v>5132.47</v>
      </c>
      <c r="K133" s="153">
        <f>I133*M$2</f>
        <v>3407.27</v>
      </c>
      <c r="L133" s="125">
        <f t="shared" ref="L133:L138" si="115">J133*104</f>
        <v>533776.88</v>
      </c>
      <c r="M133" s="125">
        <f t="shared" ref="M133:M138" si="116">I133*104</f>
        <v>8216</v>
      </c>
      <c r="N133" s="19"/>
      <c r="O133" s="19"/>
      <c r="P133" s="146"/>
      <c r="Q133" s="183">
        <v>4</v>
      </c>
      <c r="R133" s="183"/>
      <c r="S133" s="206"/>
      <c r="T133" s="285"/>
      <c r="U133" s="191"/>
      <c r="V133" s="228"/>
      <c r="W133" s="182">
        <f>J133-(Q133*($M$2-$K$1))-(R133*($M$2-$M$1))- (S133*($M$2-$I$2))+ (T133*($G$2))</f>
        <v>5061.55</v>
      </c>
      <c r="X133" s="182">
        <f>H133*$M$2</f>
        <v>5175.6000000000004</v>
      </c>
    </row>
    <row r="134" spans="1:24" ht="15" customHeight="1" x14ac:dyDescent="0.25">
      <c r="A134" s="202"/>
      <c r="B134" s="295">
        <v>36</v>
      </c>
      <c r="C134" s="295">
        <v>42</v>
      </c>
      <c r="D134" s="138">
        <f>'Data Ocupacion'!AN32</f>
        <v>37</v>
      </c>
      <c r="E134" s="138">
        <f>'Data Ocupacion'!AO32</f>
        <v>41</v>
      </c>
      <c r="F134" s="125" t="s">
        <v>52</v>
      </c>
      <c r="G134" s="125">
        <f t="shared" si="113"/>
        <v>119</v>
      </c>
      <c r="H134" s="125">
        <f t="shared" ref="H134:H138" si="117">B134+C134*2</f>
        <v>120</v>
      </c>
      <c r="I134" s="125">
        <f t="shared" si="114"/>
        <v>78</v>
      </c>
      <c r="J134" s="125">
        <f>G134*M$2</f>
        <v>5132.47</v>
      </c>
      <c r="K134" s="153">
        <f>I134*M$2</f>
        <v>3364.1400000000003</v>
      </c>
      <c r="L134" s="125">
        <f t="shared" si="115"/>
        <v>533776.88</v>
      </c>
      <c r="M134" s="125">
        <f t="shared" si="116"/>
        <v>8112</v>
      </c>
      <c r="N134" s="19"/>
      <c r="O134" s="19"/>
      <c r="P134" s="146"/>
      <c r="Q134" s="186"/>
      <c r="R134" s="186"/>
      <c r="S134" s="217"/>
      <c r="T134" s="183">
        <v>3</v>
      </c>
      <c r="U134" s="217"/>
      <c r="V134" s="229"/>
      <c r="W134" s="185">
        <f>J134-(T134*($M$2-$K$1)+(U134*($M$2-$M$1)))</f>
        <v>5079.2800000000007</v>
      </c>
      <c r="X134" s="182">
        <f>H134*$M$2</f>
        <v>5175.6000000000004</v>
      </c>
    </row>
    <row r="135" spans="1:24" ht="15" customHeight="1" x14ac:dyDescent="0.25">
      <c r="A135" s="202"/>
      <c r="B135" s="295">
        <v>33</v>
      </c>
      <c r="C135" s="295">
        <v>3</v>
      </c>
      <c r="D135" s="138">
        <f>'Data Ocupacion'!AN33</f>
        <v>34</v>
      </c>
      <c r="E135" s="138">
        <f>'Data Ocupacion'!AO33</f>
        <v>2</v>
      </c>
      <c r="F135" s="125" t="s">
        <v>36</v>
      </c>
      <c r="G135" s="125">
        <f t="shared" si="113"/>
        <v>38</v>
      </c>
      <c r="H135" s="125">
        <f t="shared" si="117"/>
        <v>39</v>
      </c>
      <c r="I135" s="125">
        <f t="shared" si="114"/>
        <v>36</v>
      </c>
      <c r="J135" s="125">
        <f>G135*M$1</f>
        <v>1106.18</v>
      </c>
      <c r="K135" s="153">
        <f>I135*M$1</f>
        <v>1047.96</v>
      </c>
      <c r="L135" s="125">
        <f t="shared" si="115"/>
        <v>115042.72</v>
      </c>
      <c r="M135" s="125">
        <f t="shared" si="116"/>
        <v>3744</v>
      </c>
      <c r="N135" s="19"/>
      <c r="O135" s="19"/>
      <c r="P135" s="146"/>
      <c r="Q135" s="183">
        <v>2</v>
      </c>
      <c r="R135" s="190"/>
      <c r="S135" s="228"/>
      <c r="T135" s="186"/>
      <c r="U135" s="189"/>
      <c r="V135" s="189"/>
      <c r="W135" s="182">
        <f>J135-(Q135*($M$1-$K$1))</f>
        <v>1098.76</v>
      </c>
      <c r="X135" s="182">
        <f>H135*$M$1</f>
        <v>1135.29</v>
      </c>
    </row>
    <row r="136" spans="1:24" ht="15" customHeight="1" x14ac:dyDescent="0.25">
      <c r="A136" s="202"/>
      <c r="B136" s="295">
        <v>29</v>
      </c>
      <c r="C136" s="295">
        <v>3</v>
      </c>
      <c r="D136" s="138">
        <f>'Data Ocupacion'!AN34</f>
        <v>30</v>
      </c>
      <c r="E136" s="138">
        <f>'Data Ocupacion'!AO34</f>
        <v>2</v>
      </c>
      <c r="F136" s="125" t="s">
        <v>53</v>
      </c>
      <c r="G136" s="125">
        <f t="shared" si="113"/>
        <v>34</v>
      </c>
      <c r="H136" s="125">
        <f t="shared" si="117"/>
        <v>35</v>
      </c>
      <c r="I136" s="125">
        <f t="shared" si="114"/>
        <v>32</v>
      </c>
      <c r="J136" s="125">
        <f>G136*M$1</f>
        <v>989.74</v>
      </c>
      <c r="K136" s="153">
        <f>I136*M$1</f>
        <v>931.52</v>
      </c>
      <c r="L136" s="125">
        <f t="shared" si="115"/>
        <v>102932.96</v>
      </c>
      <c r="M136" s="125">
        <f t="shared" si="116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989.74</v>
      </c>
      <c r="X136" s="182">
        <f>H136*$M$1</f>
        <v>1018.85</v>
      </c>
    </row>
    <row r="137" spans="1:24" ht="15" customHeight="1" x14ac:dyDescent="0.25">
      <c r="A137" s="202"/>
      <c r="B137" s="295">
        <v>0</v>
      </c>
      <c r="C137" s="295">
        <v>0</v>
      </c>
      <c r="D137" s="126">
        <f>'Data Ocupacion'!AN35</f>
        <v>0</v>
      </c>
      <c r="E137" s="126">
        <f>'Data Ocupacion'!AO35</f>
        <v>0</v>
      </c>
      <c r="F137" s="125" t="s">
        <v>122</v>
      </c>
      <c r="G137" s="125">
        <f t="shared" si="113"/>
        <v>0</v>
      </c>
      <c r="H137" s="125">
        <f t="shared" si="117"/>
        <v>0</v>
      </c>
      <c r="I137" s="125">
        <f t="shared" si="114"/>
        <v>0</v>
      </c>
      <c r="J137" s="125">
        <f>G137*K$1</f>
        <v>0</v>
      </c>
      <c r="K137" s="153">
        <f>I137*K$1</f>
        <v>0</v>
      </c>
      <c r="L137" s="125">
        <f t="shared" si="115"/>
        <v>0</v>
      </c>
      <c r="M137" s="125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H137*$K$1</f>
        <v>0</v>
      </c>
    </row>
    <row r="138" spans="1:24" ht="15" customHeight="1" thickBot="1" x14ac:dyDescent="0.3">
      <c r="A138" s="202"/>
      <c r="B138" s="295">
        <v>4</v>
      </c>
      <c r="C138" s="295">
        <v>0</v>
      </c>
      <c r="D138" s="295">
        <f>'Data Ocupacion'!AN36</f>
        <v>4</v>
      </c>
      <c r="E138" s="295">
        <f>'Data Ocupacion'!AO36</f>
        <v>0</v>
      </c>
      <c r="F138" s="125" t="s">
        <v>35</v>
      </c>
      <c r="G138" s="125">
        <f t="shared" si="113"/>
        <v>4</v>
      </c>
      <c r="H138" s="125">
        <f t="shared" si="117"/>
        <v>4</v>
      </c>
      <c r="I138" s="125">
        <f t="shared" si="114"/>
        <v>4</v>
      </c>
      <c r="J138" s="125">
        <f>G138*K$1</f>
        <v>101.6</v>
      </c>
      <c r="K138" s="153">
        <f>I138*K$1</f>
        <v>101.6</v>
      </c>
      <c r="L138" s="125">
        <f t="shared" si="115"/>
        <v>10566.4</v>
      </c>
      <c r="M138" s="125">
        <f t="shared" si="116"/>
        <v>416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101.6</v>
      </c>
      <c r="X138" s="182">
        <f>H138*$K$1</f>
        <v>101.6</v>
      </c>
    </row>
    <row r="139" spans="1:24" s="124" customFormat="1" ht="15" customHeight="1" thickBot="1" x14ac:dyDescent="0.3">
      <c r="A139" s="20"/>
      <c r="B139" s="119">
        <f>SUM(B133:B138)</f>
        <v>140</v>
      </c>
      <c r="C139" s="119">
        <f>SUM(C133:C138)</f>
        <v>89</v>
      </c>
      <c r="D139" s="152">
        <f>SUM(D133:D138)</f>
        <v>144</v>
      </c>
      <c r="E139" s="152">
        <f>SUM(E133:E138)</f>
        <v>85</v>
      </c>
      <c r="F139" s="119"/>
      <c r="G139" s="119">
        <f t="shared" ref="G139:M139" si="118">SUM(G133:G138)</f>
        <v>314</v>
      </c>
      <c r="H139" s="119">
        <f t="shared" si="118"/>
        <v>318</v>
      </c>
      <c r="I139" s="119">
        <f t="shared" si="118"/>
        <v>229</v>
      </c>
      <c r="J139" s="120">
        <f t="shared" si="118"/>
        <v>12462.460000000001</v>
      </c>
      <c r="K139" s="119">
        <f t="shared" si="118"/>
        <v>8852.49</v>
      </c>
      <c r="L139" s="118">
        <f t="shared" si="118"/>
        <v>1296095.8399999999</v>
      </c>
      <c r="M139" s="151">
        <f t="shared" si="118"/>
        <v>23816</v>
      </c>
      <c r="N139" s="123">
        <f>'Odometro-Kilometraje'!T88</f>
        <v>12744</v>
      </c>
      <c r="O139" s="21">
        <f>(W139/N139)*100</f>
        <v>96.758709981167627</v>
      </c>
      <c r="P139" s="192"/>
      <c r="Q139" s="181"/>
      <c r="R139" s="181"/>
      <c r="S139" s="181"/>
      <c r="T139" s="181"/>
      <c r="U139" s="181"/>
      <c r="V139" s="181"/>
      <c r="W139" s="193">
        <f>SUM(W133:W138)</f>
        <v>12330.930000000002</v>
      </c>
      <c r="X139" s="193">
        <f>SUM(X133:X138)</f>
        <v>12606.940000000002</v>
      </c>
    </row>
    <row r="140" spans="1:24" ht="16.149999999999999" customHeight="1" x14ac:dyDescent="0.25">
      <c r="A140" s="60">
        <f>A133+1</f>
        <v>46162</v>
      </c>
      <c r="B140" s="295">
        <v>38</v>
      </c>
      <c r="C140" s="295">
        <v>41</v>
      </c>
      <c r="D140" s="126">
        <f>'Data Ocupacion'!AP31</f>
        <v>40</v>
      </c>
      <c r="E140" s="126">
        <f>'Data Ocupacion'!AQ31</f>
        <v>39</v>
      </c>
      <c r="F140" s="220" t="s">
        <v>38</v>
      </c>
      <c r="G140" s="221">
        <f t="shared" ref="G140:G145" si="119">D140+E140*2</f>
        <v>118</v>
      </c>
      <c r="H140" s="125">
        <f>B140+C140*2</f>
        <v>120</v>
      </c>
      <c r="I140" s="222">
        <f t="shared" ref="I140:I145" si="120">D140+E140</f>
        <v>79</v>
      </c>
      <c r="J140" s="222">
        <f>G140*M$2</f>
        <v>5089.34</v>
      </c>
      <c r="K140" s="153">
        <f>I140*M$2</f>
        <v>3407.27</v>
      </c>
      <c r="L140" s="125">
        <f t="shared" ref="L140:L145" si="121">J140*104</f>
        <v>529291.36</v>
      </c>
      <c r="M140" s="125">
        <f t="shared" ref="M140:M145" si="122">I140*104</f>
        <v>8216</v>
      </c>
      <c r="N140" s="19"/>
      <c r="O140" s="19"/>
      <c r="P140" s="146"/>
      <c r="Q140" s="183">
        <v>1</v>
      </c>
      <c r="R140" s="183"/>
      <c r="S140" s="206"/>
      <c r="T140" s="285"/>
      <c r="U140" s="191"/>
      <c r="V140" s="228"/>
      <c r="W140" s="182">
        <f>J140-(Q140*($M$2-$K$1))-(R140*($M$2-$M$1))- (S140*($M$2-$I$2))+ (T140*($G$2))</f>
        <v>5071.6100000000006</v>
      </c>
      <c r="X140" s="182">
        <f>H140*$M$2</f>
        <v>5175.6000000000004</v>
      </c>
    </row>
    <row r="141" spans="1:24" ht="15" customHeight="1" x14ac:dyDescent="0.25">
      <c r="A141" s="253"/>
      <c r="B141" s="295">
        <v>36</v>
      </c>
      <c r="C141" s="295">
        <v>42</v>
      </c>
      <c r="D141" s="126">
        <f>'Data Ocupacion'!AP32</f>
        <v>38</v>
      </c>
      <c r="E141" s="126">
        <f>'Data Ocupacion'!AQ32</f>
        <v>40</v>
      </c>
      <c r="F141" s="220" t="s">
        <v>52</v>
      </c>
      <c r="G141" s="221">
        <f t="shared" si="119"/>
        <v>118</v>
      </c>
      <c r="H141" s="125">
        <f t="shared" ref="H141:H145" si="123">B141+C141*2</f>
        <v>120</v>
      </c>
      <c r="I141" s="125">
        <f t="shared" si="120"/>
        <v>78</v>
      </c>
      <c r="J141" s="125">
        <f>G141*M$2</f>
        <v>5089.34</v>
      </c>
      <c r="K141" s="153">
        <f>I141*M$2</f>
        <v>3364.1400000000003</v>
      </c>
      <c r="L141" s="125">
        <f t="shared" si="121"/>
        <v>529291.36</v>
      </c>
      <c r="M141" s="125">
        <f t="shared" si="122"/>
        <v>8112</v>
      </c>
      <c r="N141" s="19"/>
      <c r="O141" s="19"/>
      <c r="P141" s="146"/>
      <c r="Q141" s="186"/>
      <c r="R141" s="186"/>
      <c r="S141" s="217"/>
      <c r="T141" s="183">
        <v>3</v>
      </c>
      <c r="U141" s="217"/>
      <c r="V141" s="229"/>
      <c r="W141" s="185">
        <f>J141-(T141*($M$2-$K$1)+(U141*($M$2-$M$1)))</f>
        <v>5036.1500000000005</v>
      </c>
      <c r="X141" s="182">
        <f>H141*$M$2</f>
        <v>5175.6000000000004</v>
      </c>
    </row>
    <row r="142" spans="1:24" ht="15" customHeight="1" x14ac:dyDescent="0.25">
      <c r="A142" s="253"/>
      <c r="B142" s="295">
        <v>33</v>
      </c>
      <c r="C142" s="295">
        <v>3</v>
      </c>
      <c r="D142" s="126">
        <f>'Data Ocupacion'!AP33</f>
        <v>34</v>
      </c>
      <c r="E142" s="126">
        <f>'Data Ocupacion'!AQ33</f>
        <v>2</v>
      </c>
      <c r="F142" s="220" t="s">
        <v>36</v>
      </c>
      <c r="G142" s="221">
        <f t="shared" si="119"/>
        <v>38</v>
      </c>
      <c r="H142" s="125">
        <f t="shared" si="123"/>
        <v>39</v>
      </c>
      <c r="I142" s="125">
        <f t="shared" si="120"/>
        <v>36</v>
      </c>
      <c r="J142" s="125">
        <f>G142*M$1</f>
        <v>1106.18</v>
      </c>
      <c r="K142" s="153">
        <f>I142*M$1</f>
        <v>1047.96</v>
      </c>
      <c r="L142" s="125">
        <f t="shared" si="121"/>
        <v>115042.72</v>
      </c>
      <c r="M142" s="125">
        <f t="shared" si="122"/>
        <v>3744</v>
      </c>
      <c r="N142" s="19"/>
      <c r="O142" s="19"/>
      <c r="P142" s="146"/>
      <c r="Q142" s="183">
        <v>2</v>
      </c>
      <c r="R142" s="190"/>
      <c r="S142" s="228"/>
      <c r="T142" s="186"/>
      <c r="U142" s="189"/>
      <c r="V142" s="189"/>
      <c r="W142" s="182">
        <f>J142-(Q142*($M$1-$K$1))</f>
        <v>1098.76</v>
      </c>
      <c r="X142" s="182">
        <f>H142*$M$1</f>
        <v>1135.29</v>
      </c>
    </row>
    <row r="143" spans="1:24" ht="15" customHeight="1" x14ac:dyDescent="0.25">
      <c r="A143" s="253"/>
      <c r="B143" s="295">
        <v>29</v>
      </c>
      <c r="C143" s="295">
        <v>3</v>
      </c>
      <c r="D143" s="126">
        <f>'Data Ocupacion'!AP34</f>
        <v>30</v>
      </c>
      <c r="E143" s="126">
        <f>'Data Ocupacion'!AQ34</f>
        <v>2</v>
      </c>
      <c r="F143" s="220" t="s">
        <v>53</v>
      </c>
      <c r="G143" s="221">
        <f t="shared" si="119"/>
        <v>34</v>
      </c>
      <c r="H143" s="125">
        <f t="shared" si="123"/>
        <v>35</v>
      </c>
      <c r="I143" s="125">
        <f t="shared" si="120"/>
        <v>32</v>
      </c>
      <c r="J143" s="125">
        <f>G143*M$1</f>
        <v>989.74</v>
      </c>
      <c r="K143" s="153">
        <f>I143*M$1</f>
        <v>931.52</v>
      </c>
      <c r="L143" s="125">
        <f t="shared" si="121"/>
        <v>102932.96</v>
      </c>
      <c r="M143" s="125">
        <f t="shared" si="122"/>
        <v>3328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989.74</v>
      </c>
      <c r="X143" s="182">
        <f>H143*$M$1</f>
        <v>1018.85</v>
      </c>
    </row>
    <row r="144" spans="1:24" ht="15" customHeight="1" x14ac:dyDescent="0.25">
      <c r="A144" s="253"/>
      <c r="B144" s="295">
        <v>0</v>
      </c>
      <c r="C144" s="295">
        <v>0</v>
      </c>
      <c r="D144" s="126">
        <f>'Data Ocupacion'!AP35</f>
        <v>0</v>
      </c>
      <c r="E144" s="126">
        <f>'Data Ocupacion'!AQ35</f>
        <v>0</v>
      </c>
      <c r="F144" s="220" t="s">
        <v>122</v>
      </c>
      <c r="G144" s="221">
        <f t="shared" si="119"/>
        <v>0</v>
      </c>
      <c r="H144" s="125">
        <f t="shared" si="123"/>
        <v>0</v>
      </c>
      <c r="I144" s="125">
        <f t="shared" si="120"/>
        <v>0</v>
      </c>
      <c r="J144" s="223">
        <f>G144*K$1</f>
        <v>0</v>
      </c>
      <c r="K144" s="153">
        <f>I144*K$1</f>
        <v>0</v>
      </c>
      <c r="L144" s="125">
        <f t="shared" si="121"/>
        <v>0</v>
      </c>
      <c r="M144" s="125">
        <f t="shared" si="122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0</v>
      </c>
      <c r="X144" s="182">
        <f>H144*$K$1</f>
        <v>0</v>
      </c>
    </row>
    <row r="145" spans="1:27" ht="15" customHeight="1" thickBot="1" x14ac:dyDescent="0.3">
      <c r="A145" s="253"/>
      <c r="B145" s="295">
        <v>4</v>
      </c>
      <c r="C145" s="295">
        <v>0</v>
      </c>
      <c r="D145" s="126">
        <f>'Data Ocupacion'!AP36</f>
        <v>4</v>
      </c>
      <c r="E145" s="126">
        <f>'Data Ocupacion'!AQ36</f>
        <v>0</v>
      </c>
      <c r="F145" s="220" t="s">
        <v>35</v>
      </c>
      <c r="G145" s="221">
        <f t="shared" si="119"/>
        <v>4</v>
      </c>
      <c r="H145" s="125">
        <f t="shared" si="123"/>
        <v>4</v>
      </c>
      <c r="I145" s="224">
        <f t="shared" si="120"/>
        <v>4</v>
      </c>
      <c r="J145" s="224">
        <f>G145*K$1</f>
        <v>101.6</v>
      </c>
      <c r="K145" s="153">
        <f>I145*K$1</f>
        <v>101.6</v>
      </c>
      <c r="L145" s="125">
        <f t="shared" si="121"/>
        <v>10566.4</v>
      </c>
      <c r="M145" s="125">
        <f t="shared" si="122"/>
        <v>416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101.6</v>
      </c>
      <c r="X145" s="182">
        <f>H145*$K$1</f>
        <v>101.6</v>
      </c>
    </row>
    <row r="146" spans="1:27" s="124" customFormat="1" ht="15" customHeight="1" thickBot="1" x14ac:dyDescent="0.3">
      <c r="A146" s="20"/>
      <c r="B146" s="119">
        <f>SUM(B140:B145)</f>
        <v>140</v>
      </c>
      <c r="C146" s="119">
        <f>SUM(C140:C145)</f>
        <v>89</v>
      </c>
      <c r="D146" s="148">
        <f>SUM(D140:D145)</f>
        <v>146</v>
      </c>
      <c r="E146" s="148">
        <f>SUM(E140:E145)</f>
        <v>83</v>
      </c>
      <c r="F146" s="119"/>
      <c r="G146" s="119">
        <f t="shared" ref="G146:M146" si="124">SUM(G140:G145)</f>
        <v>312</v>
      </c>
      <c r="H146" s="119">
        <f t="shared" si="124"/>
        <v>318</v>
      </c>
      <c r="I146" s="119">
        <f t="shared" si="124"/>
        <v>229</v>
      </c>
      <c r="J146" s="120">
        <f t="shared" si="124"/>
        <v>12376.2</v>
      </c>
      <c r="K146" s="119">
        <f t="shared" si="124"/>
        <v>8852.49</v>
      </c>
      <c r="L146" s="119">
        <f t="shared" si="124"/>
        <v>1287124.7999999998</v>
      </c>
      <c r="M146" s="119">
        <f t="shared" si="124"/>
        <v>23816</v>
      </c>
      <c r="N146" s="123">
        <f>'Odometro-Kilometraje'!U88</f>
        <v>12836</v>
      </c>
      <c r="O146" s="21">
        <f>(W146/N146)*100</f>
        <v>95.80757245247743</v>
      </c>
      <c r="P146" s="192"/>
      <c r="Q146" s="181"/>
      <c r="R146" s="181"/>
      <c r="S146" s="181"/>
      <c r="T146" s="181"/>
      <c r="U146" s="181"/>
      <c r="V146" s="181"/>
      <c r="W146" s="193">
        <f>SUM(W140:W145)</f>
        <v>12297.860000000002</v>
      </c>
      <c r="X146" s="193">
        <f>SUM(X140:X145)</f>
        <v>12606.940000000002</v>
      </c>
      <c r="AA146" s="172"/>
    </row>
    <row r="147" spans="1:27" x14ac:dyDescent="0.25">
      <c r="A147" s="60">
        <f>A140+1</f>
        <v>46163</v>
      </c>
      <c r="B147" s="218">
        <v>37</v>
      </c>
      <c r="C147" s="218">
        <v>17</v>
      </c>
      <c r="D147" s="138">
        <f>'Data Ocupacion'!AR31</f>
        <v>37</v>
      </c>
      <c r="E147" s="138">
        <f>'Data Ocupacion'!AS31</f>
        <v>17</v>
      </c>
      <c r="F147" s="218" t="s">
        <v>38</v>
      </c>
      <c r="G147" s="218">
        <f t="shared" ref="G147:G152" si="125">D147+E147*2</f>
        <v>71</v>
      </c>
      <c r="H147" s="218">
        <f>B147+C147*2</f>
        <v>71</v>
      </c>
      <c r="I147" s="218">
        <f t="shared" ref="I147:I152" si="126">D147+E147</f>
        <v>54</v>
      </c>
      <c r="J147" s="218">
        <f>G147*M$2</f>
        <v>3062.23</v>
      </c>
      <c r="K147" s="153">
        <f>I147*M$2</f>
        <v>2329.02</v>
      </c>
      <c r="L147" s="218">
        <f t="shared" ref="L147:L152" si="127">J147*104</f>
        <v>318471.92</v>
      </c>
      <c r="M147" s="218">
        <f t="shared" ref="M147:M152" si="128">I147*104</f>
        <v>5616</v>
      </c>
      <c r="N147" s="19"/>
      <c r="O147" s="19"/>
      <c r="P147" s="146"/>
      <c r="Q147" s="183"/>
      <c r="R147" s="183"/>
      <c r="S147" s="206"/>
      <c r="T147" s="285"/>
      <c r="U147" s="191"/>
      <c r="V147" s="228"/>
      <c r="W147" s="182">
        <f>J147-(Q147*($M$2-$K$1))-(R147*($M$2-$M$1))- (S147*($M$2-$I$2))+ (T147*($G$2))</f>
        <v>3062.23</v>
      </c>
      <c r="X147" s="182">
        <f>H147*$M$2</f>
        <v>3062.23</v>
      </c>
    </row>
    <row r="148" spans="1:27" ht="15" customHeight="1" x14ac:dyDescent="0.25">
      <c r="A148" s="371" t="s">
        <v>189</v>
      </c>
      <c r="B148" s="218">
        <v>43</v>
      </c>
      <c r="C148" s="218">
        <v>14</v>
      </c>
      <c r="D148" s="138">
        <f>'Data Ocupacion'!AR32</f>
        <v>43</v>
      </c>
      <c r="E148" s="138">
        <f>'Data Ocupacion'!AS32</f>
        <v>14</v>
      </c>
      <c r="F148" s="218" t="s">
        <v>52</v>
      </c>
      <c r="G148" s="218">
        <f t="shared" si="125"/>
        <v>71</v>
      </c>
      <c r="H148" s="218">
        <f t="shared" ref="H148:H152" si="129">B148+C148*2</f>
        <v>71</v>
      </c>
      <c r="I148" s="218">
        <f t="shared" si="126"/>
        <v>57</v>
      </c>
      <c r="J148" s="218">
        <f>G148*M$2</f>
        <v>3062.23</v>
      </c>
      <c r="K148" s="153">
        <f>I148*M$2</f>
        <v>2458.4100000000003</v>
      </c>
      <c r="L148" s="218">
        <f t="shared" si="127"/>
        <v>318471.92</v>
      </c>
      <c r="M148" s="218">
        <f t="shared" si="128"/>
        <v>5928</v>
      </c>
      <c r="N148" s="19"/>
      <c r="O148" s="19"/>
      <c r="P148" s="146"/>
      <c r="Q148" s="186"/>
      <c r="R148" s="186"/>
      <c r="S148" s="217"/>
      <c r="T148" s="183">
        <v>1</v>
      </c>
      <c r="U148" s="217"/>
      <c r="V148" s="229"/>
      <c r="W148" s="185">
        <f>J148-(T148*($M$2-$K$1)+(U148*($M$2-$M$1)))</f>
        <v>3044.5</v>
      </c>
      <c r="X148" s="182">
        <f>H148*$M$2</f>
        <v>3062.23</v>
      </c>
    </row>
    <row r="149" spans="1:27" x14ac:dyDescent="0.25">
      <c r="A149" s="371"/>
      <c r="B149" s="218">
        <v>0</v>
      </c>
      <c r="C149" s="218">
        <v>0</v>
      </c>
      <c r="D149" s="138">
        <f>'Data Ocupacion'!AR33</f>
        <v>0</v>
      </c>
      <c r="E149" s="138">
        <f>'Data Ocupacion'!AS33</f>
        <v>0</v>
      </c>
      <c r="F149" s="218" t="s">
        <v>36</v>
      </c>
      <c r="G149" s="218">
        <f t="shared" si="125"/>
        <v>0</v>
      </c>
      <c r="H149" s="218">
        <f t="shared" si="129"/>
        <v>0</v>
      </c>
      <c r="I149" s="218">
        <f t="shared" si="126"/>
        <v>0</v>
      </c>
      <c r="J149" s="218">
        <f>G149*M$1</f>
        <v>0</v>
      </c>
      <c r="K149" s="153">
        <f>I149*M$1</f>
        <v>0</v>
      </c>
      <c r="L149" s="218">
        <f t="shared" si="127"/>
        <v>0</v>
      </c>
      <c r="M149" s="218">
        <f t="shared" si="128"/>
        <v>0</v>
      </c>
      <c r="N149" s="19"/>
      <c r="O149" s="19"/>
      <c r="P149" s="146"/>
      <c r="Q149" s="244"/>
      <c r="R149" s="190"/>
      <c r="S149" s="228"/>
      <c r="T149" s="186"/>
      <c r="U149" s="189"/>
      <c r="V149" s="189"/>
      <c r="W149" s="182">
        <f>J149-(Q149*($M$1-$K$1))</f>
        <v>0</v>
      </c>
      <c r="X149" s="182">
        <f>H149*$M$1</f>
        <v>0</v>
      </c>
    </row>
    <row r="150" spans="1:27" x14ac:dyDescent="0.25">
      <c r="A150" s="371"/>
      <c r="B150" s="218">
        <v>0</v>
      </c>
      <c r="C150" s="218">
        <v>0</v>
      </c>
      <c r="D150" s="138">
        <f>'Data Ocupacion'!AR34</f>
        <v>0</v>
      </c>
      <c r="E150" s="138">
        <f>'Data Ocupacion'!AS34</f>
        <v>0</v>
      </c>
      <c r="F150" s="218" t="s">
        <v>53</v>
      </c>
      <c r="G150" s="218">
        <f t="shared" si="125"/>
        <v>0</v>
      </c>
      <c r="H150" s="218">
        <f t="shared" si="129"/>
        <v>0</v>
      </c>
      <c r="I150" s="218">
        <f t="shared" si="126"/>
        <v>0</v>
      </c>
      <c r="J150" s="218">
        <f>G150*M$1</f>
        <v>0</v>
      </c>
      <c r="K150" s="153">
        <f>I150*M$1</f>
        <v>0</v>
      </c>
      <c r="L150" s="218">
        <f t="shared" si="127"/>
        <v>0</v>
      </c>
      <c r="M150" s="218">
        <f t="shared" si="128"/>
        <v>0</v>
      </c>
      <c r="N150" s="19"/>
      <c r="O150" s="19"/>
      <c r="P150" s="242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H150*$M$1</f>
        <v>0</v>
      </c>
    </row>
    <row r="151" spans="1:27" ht="15" customHeight="1" x14ac:dyDescent="0.25">
      <c r="A151" s="371"/>
      <c r="B151" s="218">
        <v>0</v>
      </c>
      <c r="C151" s="218">
        <v>0</v>
      </c>
      <c r="D151" s="138">
        <f>'Data Ocupacion'!AR35</f>
        <v>0</v>
      </c>
      <c r="E151" s="138">
        <f>'Data Ocupacion'!AS35</f>
        <v>0</v>
      </c>
      <c r="F151" s="218" t="s">
        <v>122</v>
      </c>
      <c r="G151" s="218">
        <f t="shared" si="125"/>
        <v>0</v>
      </c>
      <c r="H151" s="218">
        <f t="shared" si="129"/>
        <v>0</v>
      </c>
      <c r="I151" s="218">
        <f t="shared" si="126"/>
        <v>0</v>
      </c>
      <c r="J151" s="218">
        <f>G151*K$1</f>
        <v>0</v>
      </c>
      <c r="K151" s="153">
        <f>I151*K$1</f>
        <v>0</v>
      </c>
      <c r="L151" s="218">
        <f t="shared" si="127"/>
        <v>0</v>
      </c>
      <c r="M151" s="218">
        <f t="shared" si="128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H151*$K$1</f>
        <v>0</v>
      </c>
    </row>
    <row r="152" spans="1:27" ht="15.75" thickBot="1" x14ac:dyDescent="0.3">
      <c r="A152" s="371"/>
      <c r="B152" s="218">
        <v>0</v>
      </c>
      <c r="C152" s="218">
        <v>0</v>
      </c>
      <c r="D152" s="138">
        <f>'Data Ocupacion'!AR36</f>
        <v>0</v>
      </c>
      <c r="E152" s="138">
        <f>'Data Ocupacion'!AS36</f>
        <v>0</v>
      </c>
      <c r="F152" s="218" t="s">
        <v>35</v>
      </c>
      <c r="G152" s="218">
        <f t="shared" si="125"/>
        <v>0</v>
      </c>
      <c r="H152" s="218">
        <f t="shared" si="129"/>
        <v>0</v>
      </c>
      <c r="I152" s="218">
        <f t="shared" si="126"/>
        <v>0</v>
      </c>
      <c r="J152" s="218">
        <f>G152*K$1</f>
        <v>0</v>
      </c>
      <c r="K152" s="153">
        <f>I152*K$1</f>
        <v>0</v>
      </c>
      <c r="L152" s="218">
        <f t="shared" si="127"/>
        <v>0</v>
      </c>
      <c r="M152" s="218">
        <f t="shared" si="128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s="124" customFormat="1" ht="15.75" thickBot="1" x14ac:dyDescent="0.3">
      <c r="A153" s="20"/>
      <c r="B153" s="119">
        <f>SUM(B147:B152)</f>
        <v>80</v>
      </c>
      <c r="C153" s="119">
        <f>SUM(C147:C152)</f>
        <v>31</v>
      </c>
      <c r="D153" s="152">
        <f>SUM(D147:D152)</f>
        <v>80</v>
      </c>
      <c r="E153" s="152">
        <f>SUM(E147:E152)</f>
        <v>31</v>
      </c>
      <c r="F153" s="119"/>
      <c r="G153" s="119">
        <f t="shared" ref="G153:M153" si="130">SUM(G147:G152)</f>
        <v>142</v>
      </c>
      <c r="H153" s="119">
        <f t="shared" si="130"/>
        <v>142</v>
      </c>
      <c r="I153" s="119">
        <f t="shared" si="130"/>
        <v>111</v>
      </c>
      <c r="J153" s="120">
        <f>SUM(J147:J152)</f>
        <v>6124.46</v>
      </c>
      <c r="K153" s="119">
        <f t="shared" si="130"/>
        <v>4787.43</v>
      </c>
      <c r="L153" s="118">
        <f t="shared" si="130"/>
        <v>636943.84</v>
      </c>
      <c r="M153" s="151">
        <f t="shared" si="130"/>
        <v>11544</v>
      </c>
      <c r="N153" s="123">
        <f>'Odometro-Kilometraje'!V88</f>
        <v>6349</v>
      </c>
      <c r="O153" s="21">
        <f>(W153/N153)*100</f>
        <v>96.184123484013227</v>
      </c>
      <c r="P153" s="192"/>
      <c r="Q153" s="181"/>
      <c r="R153" s="181"/>
      <c r="S153" s="181"/>
      <c r="T153" s="181"/>
      <c r="U153" s="181"/>
      <c r="V153" s="181"/>
      <c r="W153" s="193">
        <f>SUM(W147:W152)</f>
        <v>6106.73</v>
      </c>
      <c r="X153" s="193">
        <f>SUM(X147:X152)</f>
        <v>6124.46</v>
      </c>
    </row>
    <row r="154" spans="1:27" x14ac:dyDescent="0.25">
      <c r="A154" s="60">
        <f>A147+1</f>
        <v>46164</v>
      </c>
      <c r="B154" s="295">
        <v>38</v>
      </c>
      <c r="C154" s="295">
        <v>41</v>
      </c>
      <c r="D154" s="126">
        <f>'Data Ocupacion'!AT31</f>
        <v>38</v>
      </c>
      <c r="E154" s="126">
        <f>'Data Ocupacion'!AU31</f>
        <v>41</v>
      </c>
      <c r="F154" s="125" t="s">
        <v>38</v>
      </c>
      <c r="G154" s="125">
        <f t="shared" ref="G154:G159" si="131">D154+E154*2</f>
        <v>120</v>
      </c>
      <c r="H154" s="125">
        <f>B154+C154*2</f>
        <v>120</v>
      </c>
      <c r="I154" s="125">
        <f t="shared" ref="I154:I159" si="132">D154+E154</f>
        <v>79</v>
      </c>
      <c r="J154" s="125">
        <f>G154*M$2</f>
        <v>5175.6000000000004</v>
      </c>
      <c r="K154" s="153">
        <f>I154*M$2</f>
        <v>3407.27</v>
      </c>
      <c r="L154" s="125">
        <f t="shared" ref="L154:L159" si="133">J154*104</f>
        <v>538262.4</v>
      </c>
      <c r="M154" s="125">
        <f t="shared" ref="M154:M159" si="134">I154*104</f>
        <v>8216</v>
      </c>
      <c r="N154" s="19"/>
      <c r="O154" s="19"/>
      <c r="P154" s="146"/>
      <c r="Q154" s="183">
        <v>3</v>
      </c>
      <c r="R154" s="183"/>
      <c r="S154" s="206"/>
      <c r="T154" s="244"/>
      <c r="U154" s="191"/>
      <c r="V154" s="228"/>
      <c r="W154" s="182">
        <f>J154-(Q154*($M$2-$K$1))-(R154*($M$2-$M$1))- (S154*($M$2-$I$2))+ (T154*($G$2))</f>
        <v>5122.4100000000008</v>
      </c>
      <c r="X154" s="182">
        <f>H154*$M$2</f>
        <v>5175.6000000000004</v>
      </c>
    </row>
    <row r="155" spans="1:27" ht="15" customHeight="1" x14ac:dyDescent="0.25">
      <c r="A155" s="202"/>
      <c r="B155" s="295">
        <v>36</v>
      </c>
      <c r="C155" s="295">
        <v>42</v>
      </c>
      <c r="D155" s="126">
        <f>'Data Ocupacion'!AT32</f>
        <v>36</v>
      </c>
      <c r="E155" s="126">
        <f>'Data Ocupacion'!AU32</f>
        <v>42</v>
      </c>
      <c r="F155" s="125" t="s">
        <v>52</v>
      </c>
      <c r="G155" s="125">
        <f t="shared" si="131"/>
        <v>120</v>
      </c>
      <c r="H155" s="125">
        <f t="shared" ref="H155:H159" si="135">B155+C155*2</f>
        <v>120</v>
      </c>
      <c r="I155" s="125">
        <f t="shared" si="132"/>
        <v>78</v>
      </c>
      <c r="J155" s="125">
        <f>G155*M$2</f>
        <v>5175.6000000000004</v>
      </c>
      <c r="K155" s="153">
        <f>I155*M$2</f>
        <v>3364.1400000000003</v>
      </c>
      <c r="L155" s="125">
        <f t="shared" si="133"/>
        <v>538262.4</v>
      </c>
      <c r="M155" s="125">
        <f t="shared" si="134"/>
        <v>8112</v>
      </c>
      <c r="N155" s="19"/>
      <c r="O155" s="19"/>
      <c r="P155" s="146"/>
      <c r="Q155" s="186"/>
      <c r="R155" s="186"/>
      <c r="S155" s="186"/>
      <c r="T155" s="183">
        <v>5</v>
      </c>
      <c r="U155" s="204"/>
      <c r="V155" s="229"/>
      <c r="W155" s="185">
        <f>J155-(T155*($M$2-$K$1)+(U155*($M$2-$M$1)))</f>
        <v>5086.9500000000007</v>
      </c>
      <c r="X155" s="182">
        <f>H155*$M$2</f>
        <v>5175.6000000000004</v>
      </c>
      <c r="Y155" s="124"/>
      <c r="Z155" s="124"/>
    </row>
    <row r="156" spans="1:27" ht="14.45" customHeight="1" x14ac:dyDescent="0.25">
      <c r="A156" s="202"/>
      <c r="B156" s="295">
        <v>33</v>
      </c>
      <c r="C156" s="295">
        <v>3</v>
      </c>
      <c r="D156" s="126">
        <f>'Data Ocupacion'!AT33</f>
        <v>34</v>
      </c>
      <c r="E156" s="126">
        <f>'Data Ocupacion'!AU33</f>
        <v>2</v>
      </c>
      <c r="F156" s="125" t="s">
        <v>36</v>
      </c>
      <c r="G156" s="125">
        <f t="shared" si="131"/>
        <v>38</v>
      </c>
      <c r="H156" s="125">
        <f t="shared" si="135"/>
        <v>39</v>
      </c>
      <c r="I156" s="125">
        <f t="shared" si="132"/>
        <v>36</v>
      </c>
      <c r="J156" s="125">
        <f>G156*M$1</f>
        <v>1106.18</v>
      </c>
      <c r="K156" s="153">
        <f>I156*M$1</f>
        <v>1047.96</v>
      </c>
      <c r="L156" s="125">
        <f t="shared" si="133"/>
        <v>115042.72</v>
      </c>
      <c r="M156" s="125">
        <f t="shared" si="134"/>
        <v>3744</v>
      </c>
      <c r="N156" s="19"/>
      <c r="O156" s="19"/>
      <c r="P156" s="146"/>
      <c r="Q156" s="244">
        <v>2</v>
      </c>
      <c r="R156" s="187"/>
      <c r="S156" s="207"/>
      <c r="T156" s="188"/>
      <c r="U156" s="189"/>
      <c r="V156" s="189"/>
      <c r="W156" s="182">
        <f>J156-(Q156*($M$1-$K$1))</f>
        <v>1098.76</v>
      </c>
      <c r="X156" s="182">
        <f>H156*$M$1</f>
        <v>1135.29</v>
      </c>
      <c r="Y156" s="124"/>
      <c r="Z156" s="124"/>
    </row>
    <row r="157" spans="1:27" ht="15" customHeight="1" x14ac:dyDescent="0.25">
      <c r="A157" s="202"/>
      <c r="B157" s="295">
        <v>29</v>
      </c>
      <c r="C157" s="295">
        <v>3</v>
      </c>
      <c r="D157" s="126">
        <f>'Data Ocupacion'!AT34</f>
        <v>30</v>
      </c>
      <c r="E157" s="126">
        <f>'Data Ocupacion'!AU34</f>
        <v>2</v>
      </c>
      <c r="F157" s="125" t="s">
        <v>53</v>
      </c>
      <c r="G157" s="125">
        <f t="shared" si="131"/>
        <v>34</v>
      </c>
      <c r="H157" s="125">
        <f t="shared" si="135"/>
        <v>35</v>
      </c>
      <c r="I157" s="125">
        <f t="shared" si="132"/>
        <v>32</v>
      </c>
      <c r="J157" s="125">
        <f>G157*M$1</f>
        <v>989.74</v>
      </c>
      <c r="K157" s="153">
        <f>I157*M$1</f>
        <v>931.52</v>
      </c>
      <c r="L157" s="125">
        <f t="shared" si="133"/>
        <v>102932.96</v>
      </c>
      <c r="M157" s="125">
        <f t="shared" si="134"/>
        <v>3328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989.74</v>
      </c>
      <c r="X157" s="182">
        <f>H157*$M$1</f>
        <v>1018.85</v>
      </c>
      <c r="Y157" s="124"/>
      <c r="Z157" s="124"/>
    </row>
    <row r="158" spans="1:27" ht="13.5" customHeight="1" x14ac:dyDescent="0.25">
      <c r="A158" s="202"/>
      <c r="B158" s="295">
        <v>0</v>
      </c>
      <c r="C158" s="295">
        <v>0</v>
      </c>
      <c r="D158" s="126">
        <f>'Data Ocupacion'!AT35</f>
        <v>0</v>
      </c>
      <c r="E158" s="126">
        <f>'Data Ocupacion'!AU35</f>
        <v>0</v>
      </c>
      <c r="F158" s="125" t="s">
        <v>122</v>
      </c>
      <c r="G158" s="125">
        <f t="shared" si="131"/>
        <v>0</v>
      </c>
      <c r="H158" s="125">
        <f t="shared" si="135"/>
        <v>0</v>
      </c>
      <c r="I158" s="125">
        <f t="shared" si="132"/>
        <v>0</v>
      </c>
      <c r="J158" s="125">
        <f>G158*K$1</f>
        <v>0</v>
      </c>
      <c r="K158" s="153">
        <f>I158*M$1</f>
        <v>0</v>
      </c>
      <c r="L158" s="125">
        <f t="shared" si="133"/>
        <v>0</v>
      </c>
      <c r="M158" s="125">
        <f t="shared" si="134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H158*$K$1</f>
        <v>0</v>
      </c>
      <c r="Y158" s="124"/>
      <c r="Z158" s="124"/>
    </row>
    <row r="159" spans="1:27" ht="15.75" thickBot="1" x14ac:dyDescent="0.3">
      <c r="A159" s="202"/>
      <c r="B159" s="295">
        <v>4</v>
      </c>
      <c r="C159" s="295">
        <v>0</v>
      </c>
      <c r="D159" s="254">
        <f>'Data Ocupacion'!AT36</f>
        <v>4</v>
      </c>
      <c r="E159" s="126">
        <f>'Data Ocupacion'!AU36</f>
        <v>0</v>
      </c>
      <c r="F159" s="125" t="s">
        <v>35</v>
      </c>
      <c r="G159" s="125">
        <f t="shared" si="131"/>
        <v>4</v>
      </c>
      <c r="H159" s="125">
        <f t="shared" si="135"/>
        <v>4</v>
      </c>
      <c r="I159" s="125">
        <f t="shared" si="132"/>
        <v>4</v>
      </c>
      <c r="J159" s="125">
        <f>G159*K$1</f>
        <v>101.6</v>
      </c>
      <c r="K159" s="153">
        <f>I159*K$1</f>
        <v>101.6</v>
      </c>
      <c r="L159" s="125">
        <f t="shared" si="133"/>
        <v>10566.4</v>
      </c>
      <c r="M159" s="125">
        <f t="shared" si="134"/>
        <v>416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101.6</v>
      </c>
      <c r="X159" s="182">
        <f>H159*$K$1</f>
        <v>101.6</v>
      </c>
    </row>
    <row r="160" spans="1:27" s="124" customFormat="1" ht="15.75" thickBot="1" x14ac:dyDescent="0.3">
      <c r="A160" s="20"/>
      <c r="B160" s="119">
        <f>SUM(B154:B159)</f>
        <v>140</v>
      </c>
      <c r="C160" s="119">
        <f>SUM(C154:C159)</f>
        <v>89</v>
      </c>
      <c r="D160" s="152">
        <f>SUM(D154:D159)</f>
        <v>142</v>
      </c>
      <c r="E160" s="152">
        <f>SUM(E154:E159)</f>
        <v>87</v>
      </c>
      <c r="F160" s="119"/>
      <c r="G160" s="119">
        <f t="shared" ref="G160:M160" si="136">SUM(G154:G159)</f>
        <v>316</v>
      </c>
      <c r="H160" s="119">
        <f t="shared" si="136"/>
        <v>318</v>
      </c>
      <c r="I160" s="119">
        <f t="shared" si="136"/>
        <v>229</v>
      </c>
      <c r="J160" s="120">
        <f t="shared" si="136"/>
        <v>12548.720000000001</v>
      </c>
      <c r="K160" s="119">
        <f t="shared" si="136"/>
        <v>8852.49</v>
      </c>
      <c r="L160" s="118">
        <f t="shared" si="136"/>
        <v>1305066.8799999999</v>
      </c>
      <c r="M160" s="151">
        <f t="shared" si="136"/>
        <v>23816</v>
      </c>
      <c r="N160" s="123">
        <f>'Odometro-Kilometraje'!W88</f>
        <v>12975</v>
      </c>
      <c r="O160" s="21">
        <f>(W160/N160)*100</f>
        <v>95.56423892100193</v>
      </c>
      <c r="P160" s="192"/>
      <c r="Q160" s="181"/>
      <c r="R160" s="181"/>
      <c r="S160" s="181"/>
      <c r="T160" s="181"/>
      <c r="U160" s="181"/>
      <c r="V160" s="181"/>
      <c r="W160" s="193">
        <f>SUM(W154:W159)</f>
        <v>12399.460000000001</v>
      </c>
      <c r="X160" s="193">
        <f>SUM(X154:X159)</f>
        <v>12606.940000000002</v>
      </c>
    </row>
    <row r="161" spans="1:25" s="124" customFormat="1" x14ac:dyDescent="0.25">
      <c r="A161" s="60">
        <f>A154+1</f>
        <v>46165</v>
      </c>
      <c r="B161" s="116">
        <v>69</v>
      </c>
      <c r="C161" s="116">
        <v>3</v>
      </c>
      <c r="D161" s="147">
        <f>'Data Ocupacion'!AV31</f>
        <v>69</v>
      </c>
      <c r="E161" s="147">
        <f>'Data Ocupacion'!AW31</f>
        <v>3</v>
      </c>
      <c r="F161" s="320" t="s">
        <v>38</v>
      </c>
      <c r="G161" s="321">
        <f t="shared" ref="G161:G166" si="137">D161+E161*2</f>
        <v>75</v>
      </c>
      <c r="H161" s="116">
        <f>B161+C161*2</f>
        <v>75</v>
      </c>
      <c r="I161" s="322">
        <f t="shared" ref="I161:I166" si="138">D161+E161</f>
        <v>72</v>
      </c>
      <c r="J161" s="322">
        <f>G161*M$2</f>
        <v>3234.75</v>
      </c>
      <c r="K161" s="153">
        <f>I161*M$2</f>
        <v>3105.36</v>
      </c>
      <c r="L161" s="116">
        <f t="shared" ref="L161:L166" si="139">J161*104</f>
        <v>336414</v>
      </c>
      <c r="M161" s="116">
        <f t="shared" ref="M161:M166" si="140">I161*104</f>
        <v>7488</v>
      </c>
      <c r="N161" s="19"/>
      <c r="O161" s="19"/>
      <c r="P161" s="146"/>
      <c r="Q161" s="183"/>
      <c r="R161" s="183"/>
      <c r="S161" s="206"/>
      <c r="T161" s="244"/>
      <c r="U161" s="191"/>
      <c r="V161" s="228"/>
      <c r="W161" s="182">
        <f>J161-(Q161*($M$2-$K$1))-(R161*($M$2-$M$1))- (S161*($M$2-$I$2))+ (T161*($G$2))</f>
        <v>3234.75</v>
      </c>
      <c r="X161" s="182">
        <f>H161*$M$2</f>
        <v>3234.75</v>
      </c>
    </row>
    <row r="162" spans="1:25" ht="15" customHeight="1" x14ac:dyDescent="0.25">
      <c r="A162" s="276"/>
      <c r="B162" s="116">
        <v>75</v>
      </c>
      <c r="C162" s="116">
        <v>0</v>
      </c>
      <c r="D162" s="147">
        <f>'Data Ocupacion'!AV32</f>
        <v>75</v>
      </c>
      <c r="E162" s="147">
        <f>'Data Ocupacion'!AW32</f>
        <v>0</v>
      </c>
      <c r="F162" s="320" t="s">
        <v>52</v>
      </c>
      <c r="G162" s="321">
        <f t="shared" si="137"/>
        <v>75</v>
      </c>
      <c r="H162" s="116">
        <f t="shared" ref="H162:H166" si="141">B162+C162*2</f>
        <v>75</v>
      </c>
      <c r="I162" s="116">
        <f t="shared" si="138"/>
        <v>75</v>
      </c>
      <c r="J162" s="116">
        <f>G162*M$2</f>
        <v>3234.75</v>
      </c>
      <c r="K162" s="153">
        <f>I162*M$2</f>
        <v>3234.75</v>
      </c>
      <c r="L162" s="116">
        <f t="shared" si="139"/>
        <v>336414</v>
      </c>
      <c r="M162" s="116">
        <f t="shared" si="140"/>
        <v>7800</v>
      </c>
      <c r="N162" s="19"/>
      <c r="O162" s="19"/>
      <c r="P162" s="146"/>
      <c r="Q162" s="186"/>
      <c r="R162" s="186"/>
      <c r="S162" s="217"/>
      <c r="T162" s="183"/>
      <c r="U162" s="217"/>
      <c r="V162" s="229"/>
      <c r="W162" s="185">
        <f>J162-(T162*($M$2-$K$1)+(U162*($M$2-$M$1)))</f>
        <v>3234.75</v>
      </c>
      <c r="X162" s="182">
        <f>H162*$M$2</f>
        <v>3234.75</v>
      </c>
      <c r="Y162" s="172"/>
    </row>
    <row r="163" spans="1:25" ht="15" customHeight="1" x14ac:dyDescent="0.25">
      <c r="A163" s="276"/>
      <c r="B163" s="116">
        <v>0</v>
      </c>
      <c r="C163" s="116">
        <v>0</v>
      </c>
      <c r="D163" s="147">
        <f>'Data Ocupacion'!AV33</f>
        <v>0</v>
      </c>
      <c r="E163" s="147">
        <f>'Data Ocupacion'!AW33</f>
        <v>0</v>
      </c>
      <c r="F163" s="320" t="s">
        <v>36</v>
      </c>
      <c r="G163" s="321">
        <f t="shared" si="137"/>
        <v>0</v>
      </c>
      <c r="H163" s="116">
        <f t="shared" si="141"/>
        <v>0</v>
      </c>
      <c r="I163" s="116">
        <f t="shared" si="138"/>
        <v>0</v>
      </c>
      <c r="J163" s="116">
        <f>G163*M$1</f>
        <v>0</v>
      </c>
      <c r="K163" s="153">
        <f>I163*M$1</f>
        <v>0</v>
      </c>
      <c r="L163" s="116">
        <f t="shared" si="139"/>
        <v>0</v>
      </c>
      <c r="M163" s="116">
        <f t="shared" si="140"/>
        <v>0</v>
      </c>
      <c r="N163" s="19"/>
      <c r="O163" s="19"/>
      <c r="P163" s="146"/>
      <c r="Q163" s="183"/>
      <c r="R163" s="187"/>
      <c r="S163" s="207"/>
      <c r="T163" s="188"/>
      <c r="U163" s="189"/>
      <c r="V163" s="189"/>
      <c r="W163" s="182">
        <f>J163-(Q163*($M$1-$K$1))</f>
        <v>0</v>
      </c>
      <c r="X163" s="182">
        <f>H163*$M$1</f>
        <v>0</v>
      </c>
    </row>
    <row r="164" spans="1:25" ht="15" customHeight="1" x14ac:dyDescent="0.25">
      <c r="A164" s="276"/>
      <c r="B164" s="116">
        <v>0</v>
      </c>
      <c r="C164" s="116">
        <v>0</v>
      </c>
      <c r="D164" s="147">
        <f>'Data Ocupacion'!AV34</f>
        <v>0</v>
      </c>
      <c r="E164" s="147">
        <f>'Data Ocupacion'!AW34</f>
        <v>0</v>
      </c>
      <c r="F164" s="320" t="s">
        <v>53</v>
      </c>
      <c r="G164" s="321">
        <f t="shared" si="137"/>
        <v>0</v>
      </c>
      <c r="H164" s="116">
        <f t="shared" si="141"/>
        <v>0</v>
      </c>
      <c r="I164" s="116">
        <f t="shared" si="138"/>
        <v>0</v>
      </c>
      <c r="J164" s="116">
        <f>G164*M$1</f>
        <v>0</v>
      </c>
      <c r="K164" s="153">
        <f>I164*M$1</f>
        <v>0</v>
      </c>
      <c r="L164" s="116">
        <f t="shared" si="139"/>
        <v>0</v>
      </c>
      <c r="M164" s="116">
        <f t="shared" si="140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H164*$M$1</f>
        <v>0</v>
      </c>
    </row>
    <row r="165" spans="1:25" ht="13.5" customHeight="1" x14ac:dyDescent="0.25">
      <c r="A165" s="276"/>
      <c r="B165" s="116">
        <v>0</v>
      </c>
      <c r="C165" s="116">
        <v>0</v>
      </c>
      <c r="D165" s="147">
        <f>'Data Ocupacion'!AV35</f>
        <v>0</v>
      </c>
      <c r="E165" s="147">
        <f>'Data Ocupacion'!AW35</f>
        <v>0</v>
      </c>
      <c r="F165" s="320" t="s">
        <v>122</v>
      </c>
      <c r="G165" s="321">
        <f t="shared" si="137"/>
        <v>0</v>
      </c>
      <c r="H165" s="116">
        <f t="shared" si="141"/>
        <v>0</v>
      </c>
      <c r="I165" s="116">
        <f t="shared" si="138"/>
        <v>0</v>
      </c>
      <c r="J165" s="323">
        <f>G165*K$1</f>
        <v>0</v>
      </c>
      <c r="K165" s="153">
        <f>I165*K$1</f>
        <v>0</v>
      </c>
      <c r="L165" s="116">
        <f t="shared" si="139"/>
        <v>0</v>
      </c>
      <c r="M165" s="116">
        <f t="shared" si="140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H165*$K$1</f>
        <v>0</v>
      </c>
    </row>
    <row r="166" spans="1:25" ht="12.75" customHeight="1" thickBot="1" x14ac:dyDescent="0.3">
      <c r="A166" s="276"/>
      <c r="B166" s="116">
        <v>0</v>
      </c>
      <c r="C166" s="116">
        <v>0</v>
      </c>
      <c r="D166" s="147">
        <f>'Data Ocupacion'!AV36</f>
        <v>0</v>
      </c>
      <c r="E166" s="147">
        <f>'Data Ocupacion'!AW36</f>
        <v>0</v>
      </c>
      <c r="F166" s="320" t="s">
        <v>35</v>
      </c>
      <c r="G166" s="321">
        <f t="shared" si="137"/>
        <v>0</v>
      </c>
      <c r="H166" s="116">
        <f t="shared" si="141"/>
        <v>0</v>
      </c>
      <c r="I166" s="324">
        <f t="shared" si="138"/>
        <v>0</v>
      </c>
      <c r="J166" s="324">
        <f>G166*K$1</f>
        <v>0</v>
      </c>
      <c r="K166" s="153">
        <f>I166*K$1</f>
        <v>0</v>
      </c>
      <c r="L166" s="116">
        <f t="shared" si="139"/>
        <v>0</v>
      </c>
      <c r="M166" s="116">
        <f t="shared" si="140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s="124" customFormat="1" ht="15" customHeight="1" thickBot="1" x14ac:dyDescent="0.3">
      <c r="A167" s="20"/>
      <c r="B167" s="119">
        <f>SUM(B161:B166)</f>
        <v>144</v>
      </c>
      <c r="C167" s="119">
        <f>SUM(C161:C166)</f>
        <v>3</v>
      </c>
      <c r="D167" s="148">
        <f>SUM(D161:D166)</f>
        <v>144</v>
      </c>
      <c r="E167" s="148">
        <f>SUM(E161:E166)</f>
        <v>3</v>
      </c>
      <c r="F167" s="119"/>
      <c r="G167" s="119">
        <f t="shared" ref="G167:M167" si="142">SUM(G161:G166)</f>
        <v>150</v>
      </c>
      <c r="H167" s="119">
        <f t="shared" si="142"/>
        <v>150</v>
      </c>
      <c r="I167" s="119">
        <f t="shared" si="142"/>
        <v>147</v>
      </c>
      <c r="J167" s="120">
        <f t="shared" si="142"/>
        <v>6469.5</v>
      </c>
      <c r="K167" s="119">
        <f t="shared" si="142"/>
        <v>6340.1100000000006</v>
      </c>
      <c r="L167" s="119">
        <f t="shared" si="142"/>
        <v>672828</v>
      </c>
      <c r="M167" s="119">
        <f t="shared" si="142"/>
        <v>15288</v>
      </c>
      <c r="N167" s="123">
        <f>'Odometro-Kilometraje'!X88</f>
        <v>6547</v>
      </c>
      <c r="O167" s="21">
        <f>(W167/N167)*100</f>
        <v>98.81625171834429</v>
      </c>
      <c r="P167" s="192"/>
      <c r="Q167" s="181"/>
      <c r="R167" s="181"/>
      <c r="S167" s="181"/>
      <c r="T167" s="181"/>
      <c r="U167" s="181"/>
      <c r="V167" s="181"/>
      <c r="W167" s="193">
        <f>SUM(W161:W166)</f>
        <v>6469.5</v>
      </c>
      <c r="X167" s="193">
        <f>SUM(X161:X166)</f>
        <v>6469.5</v>
      </c>
    </row>
    <row r="168" spans="1:25" x14ac:dyDescent="0.25">
      <c r="A168" s="60">
        <f>A161+1</f>
        <v>46166</v>
      </c>
      <c r="B168" s="218">
        <v>51</v>
      </c>
      <c r="C168" s="218">
        <v>3</v>
      </c>
      <c r="D168" s="126">
        <f>'Data Ocupacion'!AX31</f>
        <v>52</v>
      </c>
      <c r="E168" s="126">
        <f>'Data Ocupacion'!AY31</f>
        <v>2</v>
      </c>
      <c r="F168" s="332" t="s">
        <v>38</v>
      </c>
      <c r="G168" s="333">
        <f t="shared" ref="G168:G173" si="143">D168+E168*2</f>
        <v>56</v>
      </c>
      <c r="H168" s="218">
        <f>B168+C168*2</f>
        <v>57</v>
      </c>
      <c r="I168" s="334">
        <f t="shared" ref="I168:I173" si="144">D168+E168</f>
        <v>54</v>
      </c>
      <c r="J168" s="334">
        <f>G168*M$2</f>
        <v>2415.2800000000002</v>
      </c>
      <c r="K168" s="153">
        <f>I168*M$2</f>
        <v>2329.02</v>
      </c>
      <c r="L168" s="218">
        <f t="shared" ref="L168:L173" si="145">J168*104</f>
        <v>251189.12000000002</v>
      </c>
      <c r="M168" s="218">
        <f t="shared" ref="M168:M173" si="146">I168*104</f>
        <v>5616</v>
      </c>
      <c r="N168" s="19"/>
      <c r="O168" s="19"/>
      <c r="P168" s="146"/>
      <c r="Q168" s="183"/>
      <c r="R168" s="183"/>
      <c r="S168" s="206"/>
      <c r="T168" s="206"/>
      <c r="U168" s="191"/>
      <c r="V168" s="228"/>
      <c r="W168" s="182">
        <f>J168-(Q168*($M$2-$K$1))-(R168*($M$2-$M$1))- (S168*($M$2-$I$2))+ (T168*($G$2))</f>
        <v>2415.2800000000002</v>
      </c>
      <c r="X168" s="182">
        <f>H168*$M$2</f>
        <v>2458.4100000000003</v>
      </c>
    </row>
    <row r="169" spans="1:25" ht="15" customHeight="1" x14ac:dyDescent="0.25">
      <c r="A169" s="276"/>
      <c r="B169" s="218">
        <v>57</v>
      </c>
      <c r="C169" s="218">
        <v>0</v>
      </c>
      <c r="D169" s="138">
        <f>'Data Ocupacion'!AX32</f>
        <v>57</v>
      </c>
      <c r="E169" s="138">
        <f>'Data Ocupacion'!AY32</f>
        <v>0</v>
      </c>
      <c r="F169" s="332" t="s">
        <v>52</v>
      </c>
      <c r="G169" s="333">
        <f t="shared" si="143"/>
        <v>57</v>
      </c>
      <c r="H169" s="218">
        <f t="shared" ref="H169:H173" si="147">B169+C169*2</f>
        <v>57</v>
      </c>
      <c r="I169" s="218">
        <f t="shared" si="144"/>
        <v>57</v>
      </c>
      <c r="J169" s="218">
        <f>G169*M$2</f>
        <v>2458.4100000000003</v>
      </c>
      <c r="K169" s="153">
        <f>I169*M$2</f>
        <v>2458.4100000000003</v>
      </c>
      <c r="L169" s="218">
        <f t="shared" si="145"/>
        <v>255674.64000000004</v>
      </c>
      <c r="M169" s="218">
        <f t="shared" si="146"/>
        <v>5928</v>
      </c>
      <c r="N169" s="19"/>
      <c r="O169" s="19"/>
      <c r="P169" s="146"/>
      <c r="Q169" s="186"/>
      <c r="R169" s="186"/>
      <c r="S169" s="217"/>
      <c r="T169" s="217"/>
      <c r="U169" s="217"/>
      <c r="V169" s="229"/>
      <c r="W169" s="185">
        <f>J169-(T169*($M$2-$K$1)+(U169*($M$2-$M$1)))-AF2</f>
        <v>2439.4100000000003</v>
      </c>
      <c r="X169" s="182">
        <f>H169*$M$2</f>
        <v>2458.4100000000003</v>
      </c>
      <c r="Y169" s="172"/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Ocupacion'!AX33</f>
        <v>0</v>
      </c>
      <c r="E170" s="138">
        <f>'Data Ocupacion'!AY33</f>
        <v>0</v>
      </c>
      <c r="F170" s="332" t="s">
        <v>36</v>
      </c>
      <c r="G170" s="333">
        <f t="shared" si="143"/>
        <v>0</v>
      </c>
      <c r="H170" s="218">
        <f t="shared" si="147"/>
        <v>0</v>
      </c>
      <c r="I170" s="218">
        <f t="shared" si="144"/>
        <v>0</v>
      </c>
      <c r="J170" s="218">
        <f>G170*M$1</f>
        <v>0</v>
      </c>
      <c r="K170" s="153">
        <f>I170*M$1</f>
        <v>0</v>
      </c>
      <c r="L170" s="218">
        <f t="shared" si="145"/>
        <v>0</v>
      </c>
      <c r="M170" s="218">
        <f t="shared" si="146"/>
        <v>0</v>
      </c>
      <c r="N170" s="19"/>
      <c r="O170" s="19"/>
      <c r="P170" s="146"/>
      <c r="Q170" s="183"/>
      <c r="R170" s="190"/>
      <c r="S170" s="228"/>
      <c r="T170" s="186"/>
      <c r="U170" s="189"/>
      <c r="V170" s="189"/>
      <c r="W170" s="182">
        <f>J170-(Q170*($M$1-$K$1))</f>
        <v>0</v>
      </c>
      <c r="X170" s="182">
        <f>H170*$M$1</f>
        <v>0</v>
      </c>
    </row>
    <row r="171" spans="1:25" ht="15" customHeight="1" x14ac:dyDescent="0.25">
      <c r="A171" s="276"/>
      <c r="B171" s="218">
        <v>0</v>
      </c>
      <c r="C171" s="218">
        <v>0</v>
      </c>
      <c r="D171" s="138">
        <f>'Data Ocupacion'!AX34</f>
        <v>0</v>
      </c>
      <c r="E171" s="138">
        <f>'Data Ocupacion'!AY34</f>
        <v>0</v>
      </c>
      <c r="F171" s="332" t="s">
        <v>53</v>
      </c>
      <c r="G171" s="333">
        <f t="shared" si="143"/>
        <v>0</v>
      </c>
      <c r="H171" s="218">
        <f t="shared" si="147"/>
        <v>0</v>
      </c>
      <c r="I171" s="218">
        <f t="shared" si="144"/>
        <v>0</v>
      </c>
      <c r="J171" s="218">
        <f>G171*M$1</f>
        <v>0</v>
      </c>
      <c r="K171" s="153">
        <f>I171*M$1</f>
        <v>0</v>
      </c>
      <c r="L171" s="218">
        <f t="shared" si="145"/>
        <v>0</v>
      </c>
      <c r="M171" s="218">
        <f t="shared" si="146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H171*$M$1</f>
        <v>0</v>
      </c>
    </row>
    <row r="172" spans="1:25" ht="15" customHeight="1" x14ac:dyDescent="0.25">
      <c r="A172" s="276"/>
      <c r="B172" s="218">
        <v>0</v>
      </c>
      <c r="C172" s="218">
        <v>0</v>
      </c>
      <c r="D172" s="138">
        <f>'Data Ocupacion'!AX35</f>
        <v>0</v>
      </c>
      <c r="E172" s="138">
        <f>'Data Ocupacion'!AY35</f>
        <v>0</v>
      </c>
      <c r="F172" s="332" t="s">
        <v>122</v>
      </c>
      <c r="G172" s="333">
        <f t="shared" si="143"/>
        <v>0</v>
      </c>
      <c r="H172" s="218">
        <f t="shared" si="147"/>
        <v>0</v>
      </c>
      <c r="I172" s="218">
        <f t="shared" si="144"/>
        <v>0</v>
      </c>
      <c r="J172" s="335">
        <f>G172*K$1</f>
        <v>0</v>
      </c>
      <c r="K172" s="153">
        <f>I172*K$1</f>
        <v>0</v>
      </c>
      <c r="L172" s="218">
        <f t="shared" si="145"/>
        <v>0</v>
      </c>
      <c r="M172" s="218">
        <f t="shared" si="146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H172*$K$1</f>
        <v>0</v>
      </c>
    </row>
    <row r="173" spans="1:25" ht="15.75" thickBot="1" x14ac:dyDescent="0.3">
      <c r="A173" s="276"/>
      <c r="B173" s="218">
        <v>0</v>
      </c>
      <c r="C173" s="218">
        <v>0</v>
      </c>
      <c r="D173" s="138">
        <f>'Data Ocupacion'!AX36</f>
        <v>0</v>
      </c>
      <c r="E173" s="138">
        <f>'Data Ocupacion'!AY36</f>
        <v>0</v>
      </c>
      <c r="F173" s="332" t="s">
        <v>35</v>
      </c>
      <c r="G173" s="333">
        <f t="shared" si="143"/>
        <v>0</v>
      </c>
      <c r="H173" s="218">
        <f t="shared" si="147"/>
        <v>0</v>
      </c>
      <c r="I173" s="336">
        <f t="shared" si="144"/>
        <v>0</v>
      </c>
      <c r="J173" s="336">
        <f>G173*K$1</f>
        <v>0</v>
      </c>
      <c r="K173" s="153">
        <f>I173*K$1</f>
        <v>0</v>
      </c>
      <c r="L173" s="218">
        <f t="shared" si="145"/>
        <v>0</v>
      </c>
      <c r="M173" s="218">
        <f t="shared" si="146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s="124" customFormat="1" ht="15.75" thickBot="1" x14ac:dyDescent="0.3">
      <c r="A174" s="20"/>
      <c r="B174" s="119">
        <f>SUM(B168:B173)</f>
        <v>108</v>
      </c>
      <c r="C174" s="119">
        <f>SUM(C168:C173)</f>
        <v>3</v>
      </c>
      <c r="D174" s="148">
        <f>SUM(D168:D173)</f>
        <v>109</v>
      </c>
      <c r="E174" s="148">
        <f>SUM(E168:E173)</f>
        <v>2</v>
      </c>
      <c r="F174" s="119"/>
      <c r="G174" s="119">
        <f t="shared" ref="G174:M174" si="148">SUM(G168:G173)</f>
        <v>113</v>
      </c>
      <c r="H174" s="119">
        <f t="shared" si="148"/>
        <v>114</v>
      </c>
      <c r="I174" s="119">
        <f t="shared" si="148"/>
        <v>111</v>
      </c>
      <c r="J174" s="120">
        <f t="shared" si="148"/>
        <v>4873.6900000000005</v>
      </c>
      <c r="K174" s="119">
        <f t="shared" si="148"/>
        <v>4787.43</v>
      </c>
      <c r="L174" s="119">
        <f t="shared" si="148"/>
        <v>506863.76000000007</v>
      </c>
      <c r="M174" s="119">
        <f t="shared" si="148"/>
        <v>11544</v>
      </c>
      <c r="N174" s="123">
        <f>'Odometro-Kilometraje'!Y88</f>
        <v>5004</v>
      </c>
      <c r="O174" s="21">
        <f>(W174/N174)*100</f>
        <v>97.016187050359719</v>
      </c>
      <c r="P174" s="192"/>
      <c r="Q174" s="181"/>
      <c r="R174" s="181"/>
      <c r="S174" s="181"/>
      <c r="T174" s="181"/>
      <c r="U174" s="181"/>
      <c r="V174" s="181"/>
      <c r="W174" s="193">
        <f>SUM(W168:W173)</f>
        <v>4854.6900000000005</v>
      </c>
      <c r="X174" s="193">
        <f>SUM(X168:X173)</f>
        <v>4916.8200000000006</v>
      </c>
    </row>
    <row r="175" spans="1:25" x14ac:dyDescent="0.25">
      <c r="A175" s="60">
        <f>A168+1</f>
        <v>46167</v>
      </c>
      <c r="B175" s="295">
        <v>38</v>
      </c>
      <c r="C175" s="295">
        <v>41</v>
      </c>
      <c r="D175" s="147">
        <f>'Data Ocupacion'!AZ31</f>
        <v>40</v>
      </c>
      <c r="E175" s="147">
        <f>'Data Ocupacion'!BA31</f>
        <v>39</v>
      </c>
      <c r="F175" s="220" t="s">
        <v>38</v>
      </c>
      <c r="G175" s="221">
        <f t="shared" ref="G175:G180" si="149">D175+E175*2</f>
        <v>118</v>
      </c>
      <c r="H175" s="125">
        <f>B175+C175*2</f>
        <v>120</v>
      </c>
      <c r="I175" s="222">
        <f t="shared" ref="I175:I180" si="150">D175+E175</f>
        <v>79</v>
      </c>
      <c r="J175" s="222">
        <f>G175*M$2</f>
        <v>5089.34</v>
      </c>
      <c r="K175" s="153">
        <f>I175*M$2</f>
        <v>3407.27</v>
      </c>
      <c r="L175" s="125">
        <f t="shared" ref="L175:L180" si="151">J175*104</f>
        <v>529291.36</v>
      </c>
      <c r="M175" s="125">
        <f t="shared" ref="M175:M180" si="152">I175*104</f>
        <v>8216</v>
      </c>
      <c r="N175" s="19"/>
      <c r="O175" s="19"/>
      <c r="P175" s="146"/>
      <c r="Q175" s="183">
        <v>3</v>
      </c>
      <c r="R175" s="183"/>
      <c r="S175" s="206"/>
      <c r="T175" s="285"/>
      <c r="U175" s="191"/>
      <c r="V175" s="228"/>
      <c r="W175" s="182">
        <f>J175-(Q175*($M$2-$K$1))-(R175*($M$2-$M$1))- (S175*($M$2-$I$2))+ (T175*($G$2))</f>
        <v>5036.1500000000005</v>
      </c>
      <c r="X175" s="182">
        <f>H175*$M$2</f>
        <v>5175.6000000000004</v>
      </c>
    </row>
    <row r="176" spans="1:25" ht="18" customHeight="1" x14ac:dyDescent="0.25">
      <c r="A176" s="370" t="s">
        <v>188</v>
      </c>
      <c r="B176" s="295">
        <v>36</v>
      </c>
      <c r="C176" s="295">
        <v>42</v>
      </c>
      <c r="D176" s="147">
        <f>'Data Ocupacion'!AZ32</f>
        <v>38</v>
      </c>
      <c r="E176" s="147">
        <f>'Data Ocupacion'!BA32</f>
        <v>40</v>
      </c>
      <c r="F176" s="220" t="s">
        <v>52</v>
      </c>
      <c r="G176" s="221">
        <f t="shared" si="149"/>
        <v>118</v>
      </c>
      <c r="H176" s="125">
        <f t="shared" ref="H176:H180" si="153">B176+C176*2</f>
        <v>120</v>
      </c>
      <c r="I176" s="125">
        <f t="shared" si="150"/>
        <v>78</v>
      </c>
      <c r="J176" s="125">
        <f>G176*M$2</f>
        <v>5089.34</v>
      </c>
      <c r="K176" s="153">
        <f>I176*M$2</f>
        <v>3364.1400000000003</v>
      </c>
      <c r="L176" s="125">
        <f t="shared" si="151"/>
        <v>529291.36</v>
      </c>
      <c r="M176" s="125">
        <f t="shared" si="152"/>
        <v>8112</v>
      </c>
      <c r="N176" s="19"/>
      <c r="O176" s="19"/>
      <c r="P176" s="146"/>
      <c r="Q176" s="186"/>
      <c r="R176" s="186"/>
      <c r="S176" s="217"/>
      <c r="T176" s="183">
        <v>4</v>
      </c>
      <c r="U176" s="217"/>
      <c r="V176" s="229"/>
      <c r="W176" s="185">
        <f>J176-(T176*($M$2-$K$1)+(U176*($M$2-$M$1)))</f>
        <v>5018.42</v>
      </c>
      <c r="X176" s="182">
        <f>H176*$M$2</f>
        <v>5175.6000000000004</v>
      </c>
      <c r="Y176" s="172"/>
    </row>
    <row r="177" spans="1:30" x14ac:dyDescent="0.25">
      <c r="A177" s="370"/>
      <c r="B177" s="295">
        <v>33</v>
      </c>
      <c r="C177" s="295">
        <v>3</v>
      </c>
      <c r="D177" s="126">
        <f>'Data Ocupacion'!AZ33</f>
        <v>33</v>
      </c>
      <c r="E177" s="126">
        <f>'Data Ocupacion'!BA33</f>
        <v>3</v>
      </c>
      <c r="F177" s="220" t="s">
        <v>36</v>
      </c>
      <c r="G177" s="221">
        <f t="shared" si="149"/>
        <v>39</v>
      </c>
      <c r="H177" s="125">
        <f t="shared" si="153"/>
        <v>39</v>
      </c>
      <c r="I177" s="125">
        <f t="shared" si="150"/>
        <v>36</v>
      </c>
      <c r="J177" s="125">
        <f>G177*M$1</f>
        <v>1135.29</v>
      </c>
      <c r="K177" s="153">
        <f>I177*M$1</f>
        <v>1047.96</v>
      </c>
      <c r="L177" s="125">
        <f t="shared" si="151"/>
        <v>118070.16</v>
      </c>
      <c r="M177" s="125">
        <f t="shared" si="152"/>
        <v>3744</v>
      </c>
      <c r="N177" s="19"/>
      <c r="O177" s="19"/>
      <c r="P177" s="146"/>
      <c r="Q177" s="244">
        <v>3</v>
      </c>
      <c r="R177" s="190"/>
      <c r="S177" s="228"/>
      <c r="T177" s="186"/>
      <c r="U177" s="189"/>
      <c r="V177" s="189"/>
      <c r="W177" s="182">
        <f>J177-(Q177*($M$1-$K$1))</f>
        <v>1124.1599999999999</v>
      </c>
      <c r="X177" s="182">
        <f>H177*$M$1</f>
        <v>1135.29</v>
      </c>
    </row>
    <row r="178" spans="1:30" ht="15" customHeight="1" x14ac:dyDescent="0.25">
      <c r="A178" s="370"/>
      <c r="B178" s="295">
        <v>29</v>
      </c>
      <c r="C178" s="295">
        <v>3</v>
      </c>
      <c r="D178" s="126">
        <f>'Data Ocupacion'!AZ34</f>
        <v>29</v>
      </c>
      <c r="E178" s="126">
        <f>'Data Ocupacion'!BA34</f>
        <v>3</v>
      </c>
      <c r="F178" s="220" t="s">
        <v>53</v>
      </c>
      <c r="G178" s="221">
        <f t="shared" si="149"/>
        <v>35</v>
      </c>
      <c r="H178" s="125">
        <f t="shared" si="153"/>
        <v>35</v>
      </c>
      <c r="I178" s="125">
        <f t="shared" si="150"/>
        <v>32</v>
      </c>
      <c r="J178" s="125">
        <f>G178*M$1</f>
        <v>1018.85</v>
      </c>
      <c r="K178" s="153">
        <f>I178*M$1</f>
        <v>931.52</v>
      </c>
      <c r="L178" s="125">
        <f t="shared" si="151"/>
        <v>105960.40000000001</v>
      </c>
      <c r="M178" s="125">
        <f t="shared" si="152"/>
        <v>3328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1018.85</v>
      </c>
      <c r="X178" s="182">
        <f>H178*$M$1</f>
        <v>1018.85</v>
      </c>
    </row>
    <row r="179" spans="1:30" ht="16.149999999999999" customHeight="1" x14ac:dyDescent="0.25">
      <c r="A179" s="370"/>
      <c r="B179" s="295">
        <v>0</v>
      </c>
      <c r="C179" s="295">
        <v>0</v>
      </c>
      <c r="D179" s="126">
        <f>'Data Ocupacion'!AZ35</f>
        <v>0</v>
      </c>
      <c r="E179" s="126">
        <f>'Data Ocupacion'!BA35</f>
        <v>0</v>
      </c>
      <c r="F179" s="220" t="s">
        <v>122</v>
      </c>
      <c r="G179" s="221">
        <f t="shared" si="149"/>
        <v>0</v>
      </c>
      <c r="H179" s="125">
        <f t="shared" si="153"/>
        <v>0</v>
      </c>
      <c r="I179" s="125">
        <f t="shared" si="150"/>
        <v>0</v>
      </c>
      <c r="J179" s="223">
        <f>G179*K$1</f>
        <v>0</v>
      </c>
      <c r="K179" s="153">
        <f>I179*K$1</f>
        <v>0</v>
      </c>
      <c r="L179" s="125">
        <f t="shared" si="151"/>
        <v>0</v>
      </c>
      <c r="M179" s="125">
        <f t="shared" si="152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H179*$K$1</f>
        <v>0</v>
      </c>
    </row>
    <row r="180" spans="1:30" ht="15.75" thickBot="1" x14ac:dyDescent="0.3">
      <c r="A180" s="370"/>
      <c r="B180" s="295">
        <v>4</v>
      </c>
      <c r="C180" s="295">
        <v>0</v>
      </c>
      <c r="D180" s="126">
        <f>'Data Ocupacion'!AZ36</f>
        <v>4</v>
      </c>
      <c r="E180" s="126">
        <f>'Data Ocupacion'!BA36</f>
        <v>0</v>
      </c>
      <c r="F180" s="220" t="s">
        <v>35</v>
      </c>
      <c r="G180" s="221">
        <f t="shared" si="149"/>
        <v>4</v>
      </c>
      <c r="H180" s="125">
        <f t="shared" si="153"/>
        <v>4</v>
      </c>
      <c r="I180" s="224">
        <f t="shared" si="150"/>
        <v>4</v>
      </c>
      <c r="J180" s="224">
        <f>G180*K$1</f>
        <v>101.6</v>
      </c>
      <c r="K180" s="153">
        <f>I180*K$1</f>
        <v>101.6</v>
      </c>
      <c r="L180" s="125">
        <f t="shared" si="151"/>
        <v>10566.4</v>
      </c>
      <c r="M180" s="125">
        <f t="shared" si="152"/>
        <v>416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101.6</v>
      </c>
      <c r="X180" s="182">
        <f>H180*$K$1</f>
        <v>101.6</v>
      </c>
    </row>
    <row r="181" spans="1:30" s="124" customFormat="1" ht="15.75" thickBot="1" x14ac:dyDescent="0.3">
      <c r="A181" s="201"/>
      <c r="B181" s="119">
        <f>SUM(B175:B180)</f>
        <v>140</v>
      </c>
      <c r="C181" s="119">
        <f>SUM(C175:C180)</f>
        <v>89</v>
      </c>
      <c r="D181" s="148">
        <f>SUM(D175:D180)</f>
        <v>144</v>
      </c>
      <c r="E181" s="148">
        <f>SUM(E175:E180)</f>
        <v>85</v>
      </c>
      <c r="F181" s="119"/>
      <c r="G181" s="119">
        <f t="shared" ref="G181:M181" si="154">SUM(G175:G180)</f>
        <v>314</v>
      </c>
      <c r="H181" s="119">
        <f t="shared" si="154"/>
        <v>318</v>
      </c>
      <c r="I181" s="119">
        <f t="shared" si="154"/>
        <v>229</v>
      </c>
      <c r="J181" s="120">
        <f t="shared" si="154"/>
        <v>12434.420000000002</v>
      </c>
      <c r="K181" s="119">
        <f t="shared" si="154"/>
        <v>8852.49</v>
      </c>
      <c r="L181" s="119">
        <f t="shared" si="154"/>
        <v>1293179.6799999997</v>
      </c>
      <c r="M181" s="119">
        <f t="shared" si="154"/>
        <v>23816</v>
      </c>
      <c r="N181" s="123">
        <f>'Odometro-Kilometraje'!Z88</f>
        <v>12602</v>
      </c>
      <c r="O181" s="21">
        <f>(W181/N181)*100</f>
        <v>97.597048087605145</v>
      </c>
      <c r="P181" s="192"/>
      <c r="Q181" s="181"/>
      <c r="R181" s="181"/>
      <c r="S181" s="181"/>
      <c r="T181" s="181"/>
      <c r="U181" s="181"/>
      <c r="V181" s="181"/>
      <c r="W181" s="193">
        <f>SUM(W175:W180)</f>
        <v>12299.18</v>
      </c>
      <c r="X181" s="193">
        <f>SUM(X175:X180)</f>
        <v>12606.940000000002</v>
      </c>
      <c r="AB181" s="172"/>
    </row>
    <row r="182" spans="1:30" x14ac:dyDescent="0.25">
      <c r="A182" s="60">
        <f>A175+1</f>
        <v>46168</v>
      </c>
      <c r="B182" s="295">
        <v>38</v>
      </c>
      <c r="C182" s="295">
        <v>41</v>
      </c>
      <c r="D182" s="126">
        <f>'Data Ocupacion'!BB31</f>
        <v>38</v>
      </c>
      <c r="E182" s="126">
        <f>'Data Ocupacion'!BC31</f>
        <v>41</v>
      </c>
      <c r="F182" s="125" t="s">
        <v>38</v>
      </c>
      <c r="G182" s="125">
        <f t="shared" ref="G182:G187" si="155">D182+E182*2</f>
        <v>120</v>
      </c>
      <c r="H182" s="125">
        <f>B182+C182*2</f>
        <v>120</v>
      </c>
      <c r="I182" s="125">
        <f t="shared" ref="I182:I187" si="156">D182+E182</f>
        <v>79</v>
      </c>
      <c r="J182" s="125">
        <f>G182*M$2</f>
        <v>5175.6000000000004</v>
      </c>
      <c r="K182" s="153">
        <f>I182*M$2</f>
        <v>3407.27</v>
      </c>
      <c r="L182" s="125">
        <f t="shared" ref="L182:L187" si="157">J182*104</f>
        <v>538262.4</v>
      </c>
      <c r="M182" s="125">
        <f t="shared" ref="M182:M187" si="158">I182*104</f>
        <v>8216</v>
      </c>
      <c r="N182" s="19"/>
      <c r="O182" s="19"/>
      <c r="P182" s="146"/>
      <c r="Q182" s="183">
        <v>3</v>
      </c>
      <c r="R182" s="183"/>
      <c r="S182" s="206"/>
      <c r="T182" s="285"/>
      <c r="U182" s="191"/>
      <c r="V182" s="228"/>
      <c r="W182" s="182">
        <f>J182-(Q182*($M$2-$K$1))-(R182*($M$2-$M$1))- (S182*($M$2-$I$2))+ (T182*($G$2))</f>
        <v>5122.4100000000008</v>
      </c>
      <c r="X182" s="182">
        <f>H182*$M$2</f>
        <v>5175.6000000000004</v>
      </c>
      <c r="Z182" s="124"/>
      <c r="AA182" s="124"/>
      <c r="AB182" s="124"/>
      <c r="AC182" s="124"/>
      <c r="AD182" s="124"/>
    </row>
    <row r="183" spans="1:30" ht="15" customHeight="1" x14ac:dyDescent="0.25">
      <c r="A183" s="276"/>
      <c r="B183" s="295">
        <v>36</v>
      </c>
      <c r="C183" s="295">
        <v>42</v>
      </c>
      <c r="D183" s="138">
        <f>'Data Ocupacion'!BB32</f>
        <v>37</v>
      </c>
      <c r="E183" s="138">
        <f>'Data Ocupacion'!BC32</f>
        <v>42</v>
      </c>
      <c r="F183" s="125" t="s">
        <v>52</v>
      </c>
      <c r="G183" s="125">
        <f t="shared" si="155"/>
        <v>121</v>
      </c>
      <c r="H183" s="125">
        <f t="shared" ref="H183:H187" si="159">B183+C183*2</f>
        <v>120</v>
      </c>
      <c r="I183" s="125">
        <f t="shared" si="156"/>
        <v>79</v>
      </c>
      <c r="J183" s="125">
        <f>G183*M$2</f>
        <v>5218.7300000000005</v>
      </c>
      <c r="K183" s="153">
        <f>I183*M$2</f>
        <v>3407.27</v>
      </c>
      <c r="L183" s="125">
        <f t="shared" si="157"/>
        <v>542747.92000000004</v>
      </c>
      <c r="M183" s="125">
        <f t="shared" si="158"/>
        <v>8216</v>
      </c>
      <c r="N183" s="19"/>
      <c r="O183" s="19"/>
      <c r="P183" s="146"/>
      <c r="Q183" s="186"/>
      <c r="R183" s="186"/>
      <c r="S183" s="217"/>
      <c r="T183" s="285">
        <v>4</v>
      </c>
      <c r="U183" s="217"/>
      <c r="V183" s="206"/>
      <c r="W183" s="182">
        <f>J183-(Q183*($K$1)+(T183*($M$2-$K$1))+(U183*($M$2-$M$1)))</f>
        <v>5147.8100000000004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x14ac:dyDescent="0.25">
      <c r="A184" s="276"/>
      <c r="B184" s="295">
        <v>33</v>
      </c>
      <c r="C184" s="295">
        <v>3</v>
      </c>
      <c r="D184" s="126">
        <f>'Data Ocupacion'!BB33</f>
        <v>33</v>
      </c>
      <c r="E184" s="126">
        <f>'Data Ocupacion'!BC33</f>
        <v>3</v>
      </c>
      <c r="F184" s="125" t="s">
        <v>36</v>
      </c>
      <c r="G184" s="125">
        <f t="shared" si="155"/>
        <v>39</v>
      </c>
      <c r="H184" s="125">
        <f t="shared" si="159"/>
        <v>39</v>
      </c>
      <c r="I184" s="125">
        <f t="shared" si="156"/>
        <v>36</v>
      </c>
      <c r="J184" s="125">
        <f>G184*M$1</f>
        <v>1135.29</v>
      </c>
      <c r="K184" s="153">
        <f>I184*M$1</f>
        <v>1047.96</v>
      </c>
      <c r="L184" s="125">
        <f t="shared" si="157"/>
        <v>118070.16</v>
      </c>
      <c r="M184" s="125">
        <f t="shared" si="158"/>
        <v>3744</v>
      </c>
      <c r="N184" s="19"/>
      <c r="O184" s="19" t="s">
        <v>144</v>
      </c>
      <c r="P184" s="146"/>
      <c r="Q184" s="183">
        <v>3</v>
      </c>
      <c r="R184" s="190"/>
      <c r="S184" s="228"/>
      <c r="T184" s="186"/>
      <c r="U184" s="189"/>
      <c r="V184" s="189"/>
      <c r="W184" s="182">
        <f>J184-(Q184*($M$1-$K$1))</f>
        <v>1124.1599999999999</v>
      </c>
      <c r="X184" s="182">
        <f>H184*$M$1</f>
        <v>1135.29</v>
      </c>
    </row>
    <row r="185" spans="1:30" ht="15" customHeight="1" x14ac:dyDescent="0.25">
      <c r="A185" s="276"/>
      <c r="B185" s="295">
        <v>29</v>
      </c>
      <c r="C185" s="295">
        <v>3</v>
      </c>
      <c r="D185" s="138">
        <f>'Data Ocupacion'!BB34</f>
        <v>28</v>
      </c>
      <c r="E185" s="138">
        <f>'Data Ocupacion'!BC34</f>
        <v>3</v>
      </c>
      <c r="F185" s="125" t="s">
        <v>53</v>
      </c>
      <c r="G185" s="125">
        <f t="shared" si="155"/>
        <v>34</v>
      </c>
      <c r="H185" s="125">
        <f t="shared" si="159"/>
        <v>35</v>
      </c>
      <c r="I185" s="125">
        <f t="shared" si="156"/>
        <v>31</v>
      </c>
      <c r="J185" s="125">
        <f>G185*M$1</f>
        <v>989.74</v>
      </c>
      <c r="K185" s="153">
        <f>I185*M$1</f>
        <v>902.41</v>
      </c>
      <c r="L185" s="125">
        <f t="shared" si="157"/>
        <v>102932.96</v>
      </c>
      <c r="M185" s="125">
        <f t="shared" si="158"/>
        <v>3224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989.74</v>
      </c>
      <c r="X185" s="182">
        <f>H185*$M$1</f>
        <v>1018.85</v>
      </c>
    </row>
    <row r="186" spans="1:30" ht="15" customHeight="1" x14ac:dyDescent="0.25">
      <c r="A186" s="276"/>
      <c r="B186" s="295">
        <v>0</v>
      </c>
      <c r="C186" s="295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5"/>
        <v>0</v>
      </c>
      <c r="H186" s="125">
        <f t="shared" si="159"/>
        <v>0</v>
      </c>
      <c r="I186" s="125">
        <f t="shared" si="156"/>
        <v>0</v>
      </c>
      <c r="J186" s="125">
        <f>G186*K$1</f>
        <v>0</v>
      </c>
      <c r="K186" s="153">
        <f>I186*K$1</f>
        <v>0</v>
      </c>
      <c r="L186" s="125">
        <f t="shared" si="157"/>
        <v>0</v>
      </c>
      <c r="M186" s="125">
        <f t="shared" si="158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H186*$K$1</f>
        <v>0</v>
      </c>
    </row>
    <row r="187" spans="1:30" ht="15" customHeight="1" thickBot="1" x14ac:dyDescent="0.3">
      <c r="A187" s="276"/>
      <c r="B187" s="295">
        <v>4</v>
      </c>
      <c r="C187" s="295">
        <v>0</v>
      </c>
      <c r="D187" s="126">
        <f>'Data Ocupacion'!BB36</f>
        <v>4</v>
      </c>
      <c r="E187" s="126">
        <f>'Data Ocupacion'!BC36</f>
        <v>0</v>
      </c>
      <c r="F187" s="125" t="s">
        <v>35</v>
      </c>
      <c r="G187" s="125">
        <f t="shared" si="155"/>
        <v>4</v>
      </c>
      <c r="H187" s="125">
        <f t="shared" si="159"/>
        <v>4</v>
      </c>
      <c r="I187" s="125">
        <f t="shared" si="156"/>
        <v>4</v>
      </c>
      <c r="J187" s="125">
        <f>G187*K$1</f>
        <v>101.6</v>
      </c>
      <c r="K187" s="153">
        <f>I187*K$1</f>
        <v>101.6</v>
      </c>
      <c r="L187" s="125">
        <f t="shared" si="157"/>
        <v>10566.4</v>
      </c>
      <c r="M187" s="125">
        <f t="shared" si="158"/>
        <v>416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101.6</v>
      </c>
      <c r="X187" s="182">
        <f>H187*$K$1</f>
        <v>101.6</v>
      </c>
    </row>
    <row r="188" spans="1:30" s="124" customFormat="1" ht="15.75" thickBot="1" x14ac:dyDescent="0.3">
      <c r="A188" s="20"/>
      <c r="B188" s="119">
        <f>SUM(B182:B187)</f>
        <v>140</v>
      </c>
      <c r="C188" s="119">
        <f>SUM(C182:C187)</f>
        <v>89</v>
      </c>
      <c r="D188" s="152">
        <f>SUM(D182:D187)</f>
        <v>140</v>
      </c>
      <c r="E188" s="152">
        <f>SUM(E182:E187)</f>
        <v>89</v>
      </c>
      <c r="F188" s="119"/>
      <c r="G188" s="119">
        <f t="shared" ref="G188:M188" si="160">SUM(G182:G187)</f>
        <v>318</v>
      </c>
      <c r="H188" s="119">
        <f t="shared" si="160"/>
        <v>318</v>
      </c>
      <c r="I188" s="119">
        <f t="shared" si="160"/>
        <v>229</v>
      </c>
      <c r="J188" s="120">
        <f t="shared" si="160"/>
        <v>12620.960000000003</v>
      </c>
      <c r="K188" s="119">
        <f t="shared" si="160"/>
        <v>8866.51</v>
      </c>
      <c r="L188" s="118">
        <f t="shared" si="160"/>
        <v>1312579.8399999999</v>
      </c>
      <c r="M188" s="151">
        <f t="shared" si="160"/>
        <v>23816</v>
      </c>
      <c r="N188" s="123">
        <f>'Odometro-Kilometraje'!AA88</f>
        <v>12923</v>
      </c>
      <c r="O188" s="21">
        <f>(W188/N188)*100</f>
        <v>96.616265573009372</v>
      </c>
      <c r="P188" s="192"/>
      <c r="Q188" s="181"/>
      <c r="R188" s="181"/>
      <c r="S188" s="181"/>
      <c r="T188" s="181"/>
      <c r="U188" s="181"/>
      <c r="V188" s="181"/>
      <c r="W188" s="193">
        <f>SUM(W182:W187)</f>
        <v>12485.720000000001</v>
      </c>
      <c r="X188" s="193">
        <f>SUM(X182:X187)</f>
        <v>12606.940000000002</v>
      </c>
    </row>
    <row r="189" spans="1:30" x14ac:dyDescent="0.25">
      <c r="A189" s="60">
        <f>A182+1</f>
        <v>46169</v>
      </c>
      <c r="B189" s="295">
        <v>38</v>
      </c>
      <c r="C189" s="295">
        <v>41</v>
      </c>
      <c r="D189" s="126">
        <f>'Data Ocupacion'!BD31</f>
        <v>39</v>
      </c>
      <c r="E189" s="126">
        <f>'Data Ocupacion'!BE31</f>
        <v>40</v>
      </c>
      <c r="F189" s="220" t="s">
        <v>38</v>
      </c>
      <c r="G189" s="221">
        <f t="shared" ref="G189:G194" si="161">D189+E189*2</f>
        <v>119</v>
      </c>
      <c r="H189" s="125">
        <f>B189+C189*2</f>
        <v>120</v>
      </c>
      <c r="I189" s="222">
        <f t="shared" ref="I189:I194" si="162">D189+E189</f>
        <v>79</v>
      </c>
      <c r="J189" s="222">
        <f>G189*M$2</f>
        <v>5132.47</v>
      </c>
      <c r="K189" s="153">
        <f>I189*M$2</f>
        <v>3407.27</v>
      </c>
      <c r="L189" s="125">
        <f t="shared" ref="L189:L194" si="163">J189*104</f>
        <v>533776.88</v>
      </c>
      <c r="M189" s="125">
        <f t="shared" ref="M189:M194" si="164">I189*104</f>
        <v>8216</v>
      </c>
      <c r="N189" s="19"/>
      <c r="O189" s="19"/>
      <c r="P189" s="146"/>
      <c r="Q189" s="183">
        <v>3</v>
      </c>
      <c r="R189" s="183"/>
      <c r="S189" s="206"/>
      <c r="T189" s="285"/>
      <c r="U189" s="191"/>
      <c r="V189" s="228"/>
      <c r="W189" s="182">
        <f>J189-(Q189*($M$2-$K$1))-(R189*($M$2-$M$1))- (S189*($M$2-$I$2))+ (T189*($G$2))</f>
        <v>5079.2800000000007</v>
      </c>
      <c r="X189" s="182">
        <f>H189*$M$2</f>
        <v>5175.6000000000004</v>
      </c>
    </row>
    <row r="190" spans="1:30" ht="18" customHeight="1" x14ac:dyDescent="0.25">
      <c r="A190" s="276"/>
      <c r="B190" s="295">
        <v>36</v>
      </c>
      <c r="C190" s="295">
        <v>42</v>
      </c>
      <c r="D190" s="126">
        <f>'Data Ocupacion'!BD32</f>
        <v>37</v>
      </c>
      <c r="E190" s="126">
        <f>'Data Ocupacion'!BE32</f>
        <v>41</v>
      </c>
      <c r="F190" s="220" t="s">
        <v>52</v>
      </c>
      <c r="G190" s="221">
        <f t="shared" si="161"/>
        <v>119</v>
      </c>
      <c r="H190" s="125">
        <f t="shared" ref="H190:H194" si="165">B190+C190*2</f>
        <v>120</v>
      </c>
      <c r="I190" s="125">
        <f t="shared" si="162"/>
        <v>78</v>
      </c>
      <c r="J190" s="125">
        <f>G190*M$2</f>
        <v>5132.47</v>
      </c>
      <c r="K190" s="153">
        <f>I190*M$2</f>
        <v>3364.1400000000003</v>
      </c>
      <c r="L190" s="125">
        <f t="shared" si="163"/>
        <v>533776.88</v>
      </c>
      <c r="M190" s="125">
        <f t="shared" si="164"/>
        <v>8112</v>
      </c>
      <c r="N190" s="19"/>
      <c r="O190" s="19"/>
      <c r="P190" s="146"/>
      <c r="Q190" s="186"/>
      <c r="R190" s="186"/>
      <c r="S190" s="217"/>
      <c r="T190" s="183">
        <v>4</v>
      </c>
      <c r="U190" s="217"/>
      <c r="V190" s="229"/>
      <c r="W190" s="185">
        <f>J190-(T190*($M$2-$K$1)+(U190*($M$2-$M$1)))</f>
        <v>5061.55</v>
      </c>
      <c r="X190" s="182">
        <f>H190*$M$2</f>
        <v>5175.6000000000004</v>
      </c>
    </row>
    <row r="191" spans="1:30" ht="15" customHeight="1" x14ac:dyDescent="0.25">
      <c r="A191" s="276"/>
      <c r="B191" s="295">
        <v>33</v>
      </c>
      <c r="C191" s="295">
        <v>3</v>
      </c>
      <c r="D191" s="126">
        <f>'Data Ocupacion'!BD33</f>
        <v>33</v>
      </c>
      <c r="E191" s="126">
        <f>'Data Ocupacion'!BE33</f>
        <v>3</v>
      </c>
      <c r="F191" s="220" t="s">
        <v>36</v>
      </c>
      <c r="G191" s="221">
        <f t="shared" si="161"/>
        <v>39</v>
      </c>
      <c r="H191" s="125">
        <f t="shared" si="165"/>
        <v>39</v>
      </c>
      <c r="I191" s="125">
        <f t="shared" si="162"/>
        <v>36</v>
      </c>
      <c r="J191" s="125">
        <f>G191*M$1</f>
        <v>1135.29</v>
      </c>
      <c r="K191" s="153">
        <f>I191*M$1</f>
        <v>1047.96</v>
      </c>
      <c r="L191" s="125">
        <f t="shared" si="163"/>
        <v>118070.16</v>
      </c>
      <c r="M191" s="125">
        <f t="shared" si="164"/>
        <v>3744</v>
      </c>
      <c r="N191" s="19"/>
      <c r="O191" s="19"/>
      <c r="P191" s="146"/>
      <c r="Q191" s="244">
        <v>3</v>
      </c>
      <c r="R191" s="190"/>
      <c r="S191" s="228"/>
      <c r="T191" s="186"/>
      <c r="U191" s="189"/>
      <c r="V191" s="189"/>
      <c r="W191" s="182">
        <f>J191-(Q191*($M$1-$K$1))</f>
        <v>1124.1599999999999</v>
      </c>
      <c r="X191" s="182">
        <f>H191*$M$1</f>
        <v>1135.29</v>
      </c>
    </row>
    <row r="192" spans="1:30" ht="15" customHeight="1" x14ac:dyDescent="0.25">
      <c r="A192" s="276"/>
      <c r="B192" s="295">
        <v>29</v>
      </c>
      <c r="C192" s="295">
        <v>3</v>
      </c>
      <c r="D192" s="126">
        <f>'Data Ocupacion'!BD34</f>
        <v>29</v>
      </c>
      <c r="E192" s="126">
        <f>'Data Ocupacion'!BE34</f>
        <v>3</v>
      </c>
      <c r="F192" s="220" t="s">
        <v>53</v>
      </c>
      <c r="G192" s="221">
        <f t="shared" si="161"/>
        <v>35</v>
      </c>
      <c r="H192" s="125">
        <f t="shared" si="165"/>
        <v>35</v>
      </c>
      <c r="I192" s="125">
        <f t="shared" si="162"/>
        <v>32</v>
      </c>
      <c r="J192" s="125">
        <f>G192*M$1</f>
        <v>1018.85</v>
      </c>
      <c r="K192" s="153">
        <f>I192*M$1</f>
        <v>931.52</v>
      </c>
      <c r="L192" s="125">
        <f t="shared" si="163"/>
        <v>105960.40000000001</v>
      </c>
      <c r="M192" s="125">
        <f t="shared" si="164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1018.85</v>
      </c>
      <c r="X192" s="182">
        <f>H192*$M$1</f>
        <v>1018.85</v>
      </c>
    </row>
    <row r="193" spans="1:24" ht="15" customHeight="1" x14ac:dyDescent="0.25">
      <c r="A193" s="276"/>
      <c r="B193" s="295">
        <v>0</v>
      </c>
      <c r="C193" s="295">
        <v>0</v>
      </c>
      <c r="D193" s="126">
        <f>'Data Ocupacion'!BD35</f>
        <v>0</v>
      </c>
      <c r="E193" s="126">
        <f>'Data Ocupacion'!BE35</f>
        <v>0</v>
      </c>
      <c r="F193" s="220" t="s">
        <v>122</v>
      </c>
      <c r="G193" s="221">
        <f t="shared" si="161"/>
        <v>0</v>
      </c>
      <c r="H193" s="125">
        <f t="shared" si="165"/>
        <v>0</v>
      </c>
      <c r="I193" s="125">
        <f t="shared" si="162"/>
        <v>0</v>
      </c>
      <c r="J193" s="223">
        <f>G193*K$1</f>
        <v>0</v>
      </c>
      <c r="K193" s="153">
        <f>I193*K$1</f>
        <v>0</v>
      </c>
      <c r="L193" s="125">
        <f t="shared" si="163"/>
        <v>0</v>
      </c>
      <c r="M193" s="125">
        <f t="shared" si="164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H193*$K$1</f>
        <v>0</v>
      </c>
    </row>
    <row r="194" spans="1:24" ht="15.95" customHeight="1" thickBot="1" x14ac:dyDescent="0.3">
      <c r="A194" s="276"/>
      <c r="B194" s="295">
        <v>4</v>
      </c>
      <c r="C194" s="295">
        <v>0</v>
      </c>
      <c r="D194" s="126">
        <f>'Data Ocupacion'!BD36</f>
        <v>4</v>
      </c>
      <c r="E194" s="126">
        <f>'Data Ocupacion'!BE36</f>
        <v>0</v>
      </c>
      <c r="F194" s="220" t="s">
        <v>35</v>
      </c>
      <c r="G194" s="221">
        <f t="shared" si="161"/>
        <v>4</v>
      </c>
      <c r="H194" s="125">
        <f t="shared" si="165"/>
        <v>4</v>
      </c>
      <c r="I194" s="224">
        <f t="shared" si="162"/>
        <v>4</v>
      </c>
      <c r="J194" s="224">
        <f>G194*K$1</f>
        <v>101.6</v>
      </c>
      <c r="K194" s="153">
        <f>I194*K$1</f>
        <v>101.6</v>
      </c>
      <c r="L194" s="125">
        <f t="shared" si="163"/>
        <v>10566.4</v>
      </c>
      <c r="M194" s="125">
        <f t="shared" si="164"/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101.6</v>
      </c>
      <c r="X194" s="182">
        <f>H194*$K$1</f>
        <v>101.6</v>
      </c>
    </row>
    <row r="195" spans="1:24" s="124" customFormat="1" ht="15.75" thickBot="1" x14ac:dyDescent="0.3">
      <c r="A195" s="20"/>
      <c r="B195" s="119">
        <f>SUM(B189:B194)</f>
        <v>140</v>
      </c>
      <c r="C195" s="119">
        <f>SUM(C189:C194)</f>
        <v>89</v>
      </c>
      <c r="D195" s="148">
        <f>SUM(D189:D194)</f>
        <v>142</v>
      </c>
      <c r="E195" s="148">
        <f>SUM(E189:E194)</f>
        <v>87</v>
      </c>
      <c r="F195" s="119"/>
      <c r="G195" s="119">
        <f t="shared" ref="G195:M195" si="166">SUM(G189:G194)</f>
        <v>316</v>
      </c>
      <c r="H195" s="119">
        <f t="shared" si="166"/>
        <v>318</v>
      </c>
      <c r="I195" s="119">
        <f t="shared" si="166"/>
        <v>229</v>
      </c>
      <c r="J195" s="119">
        <f t="shared" si="166"/>
        <v>12520.68</v>
      </c>
      <c r="K195" s="119">
        <f t="shared" si="166"/>
        <v>8852.49</v>
      </c>
      <c r="L195" s="119">
        <f t="shared" si="166"/>
        <v>1302150.7199999997</v>
      </c>
      <c r="M195" s="119">
        <f t="shared" si="166"/>
        <v>23816</v>
      </c>
      <c r="N195" s="123">
        <f>'Odometro-Kilometraje'!AB88</f>
        <v>12906</v>
      </c>
      <c r="O195" s="21">
        <f>(W195/N195)*100</f>
        <v>95.966527196652734</v>
      </c>
      <c r="P195" s="192"/>
      <c r="Q195" s="181"/>
      <c r="R195" s="181"/>
      <c r="S195" s="181"/>
      <c r="T195" s="181"/>
      <c r="U195" s="181"/>
      <c r="V195" s="181"/>
      <c r="W195" s="193">
        <f>SUM(W189:W194)</f>
        <v>12385.440000000002</v>
      </c>
      <c r="X195" s="193">
        <f>SUM(X189:X194)</f>
        <v>12606.940000000002</v>
      </c>
    </row>
    <row r="196" spans="1:24" x14ac:dyDescent="0.25">
      <c r="A196" s="60">
        <f>A189+1</f>
        <v>46170</v>
      </c>
      <c r="B196" s="295">
        <v>38</v>
      </c>
      <c r="C196" s="295">
        <v>41</v>
      </c>
      <c r="D196" s="126">
        <f>'Data Ocupacion'!BF31</f>
        <v>39</v>
      </c>
      <c r="E196" s="126">
        <f>'Data Ocupacion'!BG31</f>
        <v>40</v>
      </c>
      <c r="F196" s="220" t="s">
        <v>38</v>
      </c>
      <c r="G196" s="221">
        <f t="shared" ref="G196:G201" si="167">D196+E196*2</f>
        <v>119</v>
      </c>
      <c r="H196" s="125">
        <f>B196+C196*2</f>
        <v>120</v>
      </c>
      <c r="I196" s="222">
        <f t="shared" ref="I196:I201" si="168">D196+E196</f>
        <v>79</v>
      </c>
      <c r="J196" s="222">
        <f>G196*M$2</f>
        <v>5132.47</v>
      </c>
      <c r="K196" s="153">
        <f>I196*M$2</f>
        <v>3407.27</v>
      </c>
      <c r="L196" s="125">
        <f t="shared" ref="L196:L201" si="169">J196*104</f>
        <v>533776.88</v>
      </c>
      <c r="M196" s="125">
        <f t="shared" ref="M196:M201" si="170">I196*104</f>
        <v>8216</v>
      </c>
      <c r="N196" s="19"/>
      <c r="O196" s="19"/>
      <c r="P196" s="146"/>
      <c r="Q196" s="183">
        <v>2</v>
      </c>
      <c r="R196" s="183"/>
      <c r="S196" s="206"/>
      <c r="T196" s="285"/>
      <c r="U196" s="191"/>
      <c r="V196" s="228"/>
      <c r="W196" s="182">
        <f>J196-(Q196*($M$2-$K$1))-(R196*($M$2-$M$1))- (S196*($M$2-$I$2))+ (T196*($G$2))</f>
        <v>5097.01</v>
      </c>
      <c r="X196" s="182">
        <f>H196*$M$2</f>
        <v>5175.6000000000004</v>
      </c>
    </row>
    <row r="197" spans="1:24" ht="15" customHeight="1" x14ac:dyDescent="0.25">
      <c r="A197" s="202"/>
      <c r="B197" s="295">
        <v>36</v>
      </c>
      <c r="C197" s="295">
        <v>42</v>
      </c>
      <c r="D197" s="126">
        <f>'Data Ocupacion'!BF32</f>
        <v>37</v>
      </c>
      <c r="E197" s="126">
        <f>'Data Ocupacion'!BG32</f>
        <v>41</v>
      </c>
      <c r="F197" s="220" t="s">
        <v>52</v>
      </c>
      <c r="G197" s="221">
        <f t="shared" si="167"/>
        <v>119</v>
      </c>
      <c r="H197" s="125">
        <f t="shared" ref="H197:H201" si="171">B197+C197*2</f>
        <v>120</v>
      </c>
      <c r="I197" s="125">
        <f t="shared" si="168"/>
        <v>78</v>
      </c>
      <c r="J197" s="125">
        <f>G197*M$2</f>
        <v>5132.47</v>
      </c>
      <c r="K197" s="153">
        <f>I197*M$2</f>
        <v>3364.1400000000003</v>
      </c>
      <c r="L197" s="125">
        <f t="shared" si="169"/>
        <v>533776.88</v>
      </c>
      <c r="M197" s="125">
        <f t="shared" si="170"/>
        <v>8112</v>
      </c>
      <c r="N197" s="19"/>
      <c r="O197" s="19"/>
      <c r="P197" s="146"/>
      <c r="Q197" s="186"/>
      <c r="R197" s="186"/>
      <c r="S197" s="217"/>
      <c r="T197" s="183">
        <v>3</v>
      </c>
      <c r="U197" s="217"/>
      <c r="V197" s="229"/>
      <c r="W197" s="185">
        <f>J197-(T197*($M$2-$K$1)+(U197*($M$2-$M$1)))</f>
        <v>5079.2800000000007</v>
      </c>
      <c r="X197" s="182">
        <f>H197*$M$2</f>
        <v>5175.6000000000004</v>
      </c>
    </row>
    <row r="198" spans="1:24" ht="15" customHeight="1" x14ac:dyDescent="0.25">
      <c r="A198" s="202"/>
      <c r="B198" s="295">
        <v>33</v>
      </c>
      <c r="C198" s="295">
        <v>3</v>
      </c>
      <c r="D198" s="126">
        <f>'Data Ocupacion'!BF33</f>
        <v>33</v>
      </c>
      <c r="E198" s="126">
        <f>'Data Ocupacion'!BG33</f>
        <v>3</v>
      </c>
      <c r="F198" s="220" t="s">
        <v>36</v>
      </c>
      <c r="G198" s="221">
        <f t="shared" si="167"/>
        <v>39</v>
      </c>
      <c r="H198" s="125">
        <f t="shared" si="171"/>
        <v>39</v>
      </c>
      <c r="I198" s="125">
        <f t="shared" si="168"/>
        <v>36</v>
      </c>
      <c r="J198" s="125">
        <f>G198*M$1</f>
        <v>1135.29</v>
      </c>
      <c r="K198" s="153">
        <f>I198*M$1</f>
        <v>1047.96</v>
      </c>
      <c r="L198" s="125">
        <f t="shared" si="169"/>
        <v>118070.16</v>
      </c>
      <c r="M198" s="125">
        <f t="shared" si="170"/>
        <v>3744</v>
      </c>
      <c r="N198" s="19"/>
      <c r="O198" s="19" t="s">
        <v>144</v>
      </c>
      <c r="P198" s="146"/>
      <c r="Q198" s="244">
        <v>3</v>
      </c>
      <c r="R198" s="190"/>
      <c r="S198" s="228"/>
      <c r="T198" s="186"/>
      <c r="U198" s="189"/>
      <c r="V198" s="189"/>
      <c r="W198" s="182">
        <f>J198-(Q198*($M$1-$K$1))</f>
        <v>1124.1599999999999</v>
      </c>
      <c r="X198" s="182">
        <f>H198*$M$1</f>
        <v>1135.29</v>
      </c>
    </row>
    <row r="199" spans="1:24" ht="15" customHeight="1" x14ac:dyDescent="0.25">
      <c r="A199" s="202"/>
      <c r="B199" s="295">
        <v>29</v>
      </c>
      <c r="C199" s="295">
        <v>3</v>
      </c>
      <c r="D199" s="126">
        <f>'Data Ocupacion'!BF34</f>
        <v>29</v>
      </c>
      <c r="E199" s="126">
        <f>'Data Ocupacion'!BG34</f>
        <v>3</v>
      </c>
      <c r="F199" s="220" t="s">
        <v>53</v>
      </c>
      <c r="G199" s="221">
        <f t="shared" si="167"/>
        <v>35</v>
      </c>
      <c r="H199" s="125">
        <f t="shared" si="171"/>
        <v>35</v>
      </c>
      <c r="I199" s="125">
        <f t="shared" si="168"/>
        <v>32</v>
      </c>
      <c r="J199" s="125">
        <f>G199*M$1</f>
        <v>1018.85</v>
      </c>
      <c r="K199" s="153">
        <f>I199*M$1</f>
        <v>931.52</v>
      </c>
      <c r="L199" s="125">
        <f t="shared" si="169"/>
        <v>105960.40000000001</v>
      </c>
      <c r="M199" s="125">
        <f t="shared" si="170"/>
        <v>3328</v>
      </c>
      <c r="N199" s="19"/>
      <c r="O199" s="19" t="s">
        <v>144</v>
      </c>
      <c r="P199" s="146"/>
      <c r="Q199" s="189"/>
      <c r="R199" s="189"/>
      <c r="S199" s="189"/>
      <c r="T199" s="189"/>
      <c r="U199" s="189"/>
      <c r="V199" s="189"/>
      <c r="W199" s="182">
        <f>J199</f>
        <v>1018.85</v>
      </c>
      <c r="X199" s="182">
        <f>H199*$M$1</f>
        <v>1018.85</v>
      </c>
    </row>
    <row r="200" spans="1:24" ht="15" customHeight="1" x14ac:dyDescent="0.25">
      <c r="A200" s="202"/>
      <c r="B200" s="295">
        <v>0</v>
      </c>
      <c r="C200" s="295">
        <v>0</v>
      </c>
      <c r="D200" s="126">
        <f>'Data Ocupacion'!BF35</f>
        <v>0</v>
      </c>
      <c r="E200" s="126">
        <f>'Data Ocupacion'!BG35</f>
        <v>0</v>
      </c>
      <c r="F200" s="220" t="s">
        <v>122</v>
      </c>
      <c r="G200" s="221">
        <f t="shared" si="167"/>
        <v>0</v>
      </c>
      <c r="H200" s="125">
        <f t="shared" si="171"/>
        <v>0</v>
      </c>
      <c r="I200" s="125">
        <f t="shared" si="168"/>
        <v>0</v>
      </c>
      <c r="J200" s="223">
        <f>G200*K$1</f>
        <v>0</v>
      </c>
      <c r="K200" s="153">
        <f>I200*K$1</f>
        <v>0</v>
      </c>
      <c r="L200" s="125">
        <f t="shared" si="169"/>
        <v>0</v>
      </c>
      <c r="M200" s="125">
        <f t="shared" si="170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H200*$K$1</f>
        <v>0</v>
      </c>
    </row>
    <row r="201" spans="1:24" ht="15.95" customHeight="1" thickBot="1" x14ac:dyDescent="0.3">
      <c r="A201" s="202"/>
      <c r="B201" s="295">
        <v>4</v>
      </c>
      <c r="C201" s="295">
        <v>0</v>
      </c>
      <c r="D201" s="126">
        <f>'Data Ocupacion'!BF36</f>
        <v>4</v>
      </c>
      <c r="E201" s="126">
        <f>'Data Ocupacion'!BG36</f>
        <v>0</v>
      </c>
      <c r="F201" s="220" t="s">
        <v>35</v>
      </c>
      <c r="G201" s="221">
        <f t="shared" si="167"/>
        <v>4</v>
      </c>
      <c r="H201" s="125">
        <f t="shared" si="171"/>
        <v>4</v>
      </c>
      <c r="I201" s="224">
        <f t="shared" si="168"/>
        <v>4</v>
      </c>
      <c r="J201" s="224">
        <f>G201*K$1</f>
        <v>101.6</v>
      </c>
      <c r="K201" s="153">
        <f>I201*K$1</f>
        <v>101.6</v>
      </c>
      <c r="L201" s="125">
        <f t="shared" si="169"/>
        <v>10566.4</v>
      </c>
      <c r="M201" s="125">
        <f t="shared" si="170"/>
        <v>416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101.6</v>
      </c>
      <c r="X201" s="182">
        <f>H201*$K$1</f>
        <v>101.6</v>
      </c>
    </row>
    <row r="202" spans="1:24" s="124" customFormat="1" ht="12.75" customHeight="1" thickBot="1" x14ac:dyDescent="0.3">
      <c r="A202" s="20"/>
      <c r="B202" s="119">
        <f>SUM(B196:B201)</f>
        <v>140</v>
      </c>
      <c r="C202" s="119">
        <f>SUM(C196:C201)</f>
        <v>89</v>
      </c>
      <c r="D202" s="148">
        <f>SUM(D196:D201)</f>
        <v>142</v>
      </c>
      <c r="E202" s="148">
        <f>SUM(E196:E201)</f>
        <v>87</v>
      </c>
      <c r="F202" s="119"/>
      <c r="G202" s="119">
        <f t="shared" ref="G202:M202" si="172">SUM(G196:G201)</f>
        <v>316</v>
      </c>
      <c r="H202" s="119">
        <f t="shared" si="172"/>
        <v>318</v>
      </c>
      <c r="I202" s="119">
        <f t="shared" si="172"/>
        <v>229</v>
      </c>
      <c r="J202" s="119">
        <f t="shared" si="172"/>
        <v>12520.68</v>
      </c>
      <c r="K202" s="119">
        <f t="shared" si="172"/>
        <v>8852.49</v>
      </c>
      <c r="L202" s="119">
        <f t="shared" si="172"/>
        <v>1302150.7199999997</v>
      </c>
      <c r="M202" s="119">
        <f t="shared" si="172"/>
        <v>23816</v>
      </c>
      <c r="N202" s="123">
        <f>'Odometro-Kilometraje'!AC88</f>
        <v>12879</v>
      </c>
      <c r="O202" s="21">
        <f>(W202/N202)*100</f>
        <v>96.443046820405314</v>
      </c>
      <c r="P202" s="192"/>
      <c r="Q202" s="181"/>
      <c r="R202" s="181"/>
      <c r="S202" s="181"/>
      <c r="T202" s="181"/>
      <c r="U202" s="181"/>
      <c r="V202" s="181"/>
      <c r="W202" s="193">
        <f>SUM(W196:W201)</f>
        <v>12420.900000000001</v>
      </c>
      <c r="X202" s="193">
        <f>SUM(X196:X201)</f>
        <v>12606.940000000002</v>
      </c>
    </row>
    <row r="203" spans="1:24" x14ac:dyDescent="0.25">
      <c r="A203" s="60">
        <f>A196+1</f>
        <v>46171</v>
      </c>
      <c r="B203" s="295">
        <v>38</v>
      </c>
      <c r="C203" s="295">
        <v>41</v>
      </c>
      <c r="D203" s="138">
        <f>'Data Ocupacion'!BH31</f>
        <v>39</v>
      </c>
      <c r="E203" s="138">
        <f>'Data Ocupacion'!BI31</f>
        <v>40</v>
      </c>
      <c r="F203" s="125" t="s">
        <v>38</v>
      </c>
      <c r="G203" s="125">
        <f t="shared" ref="G203:G208" si="173">D203+E203*2</f>
        <v>119</v>
      </c>
      <c r="H203" s="125">
        <f>B203+C203*2</f>
        <v>120</v>
      </c>
      <c r="I203" s="125">
        <f t="shared" ref="I203:I208" si="174">D203+E203</f>
        <v>79</v>
      </c>
      <c r="J203" s="125">
        <f>G203*M$2</f>
        <v>5132.47</v>
      </c>
      <c r="K203" s="153">
        <f>I203*M$2</f>
        <v>3407.27</v>
      </c>
      <c r="L203" s="125">
        <f t="shared" ref="L203:L208" si="175">J203*104</f>
        <v>533776.88</v>
      </c>
      <c r="M203" s="125">
        <f t="shared" ref="M203:M208" si="176">I203*104</f>
        <v>8216</v>
      </c>
      <c r="N203" s="19"/>
      <c r="O203" s="19"/>
      <c r="P203" s="146"/>
      <c r="Q203" s="183">
        <v>2</v>
      </c>
      <c r="R203" s="183"/>
      <c r="S203" s="206"/>
      <c r="T203" s="244"/>
      <c r="U203" s="191"/>
      <c r="V203" s="228"/>
      <c r="W203" s="182">
        <f>J203-(Q203*($M$2-$K$1))-(R203*($M$2-$M$1))- (S203*($M$2-$I$2))+ (T203*($G$2))</f>
        <v>5097.01</v>
      </c>
      <c r="X203" s="182">
        <f>H203*$M$2</f>
        <v>5175.6000000000004</v>
      </c>
    </row>
    <row r="204" spans="1:24" x14ac:dyDescent="0.25">
      <c r="A204" s="202"/>
      <c r="B204" s="295">
        <v>36</v>
      </c>
      <c r="C204" s="295">
        <v>42</v>
      </c>
      <c r="D204" s="138">
        <f>'Data Ocupacion'!BH32</f>
        <v>37</v>
      </c>
      <c r="E204" s="138">
        <f>'Data Ocupacion'!BI32</f>
        <v>41</v>
      </c>
      <c r="F204" s="125" t="s">
        <v>52</v>
      </c>
      <c r="G204" s="125">
        <f t="shared" si="173"/>
        <v>119</v>
      </c>
      <c r="H204" s="125">
        <f t="shared" ref="H204:H208" si="177">B204+C204*2</f>
        <v>120</v>
      </c>
      <c r="I204" s="125">
        <f t="shared" si="174"/>
        <v>78</v>
      </c>
      <c r="J204" s="125">
        <f>G204*M$2</f>
        <v>5132.47</v>
      </c>
      <c r="K204" s="153">
        <f>I204*M$2</f>
        <v>3364.1400000000003</v>
      </c>
      <c r="L204" s="125">
        <f t="shared" si="175"/>
        <v>533776.88</v>
      </c>
      <c r="M204" s="125">
        <f t="shared" si="176"/>
        <v>8112</v>
      </c>
      <c r="N204" s="19"/>
      <c r="O204" s="19"/>
      <c r="P204" s="146"/>
      <c r="Q204" s="186"/>
      <c r="R204" s="186"/>
      <c r="S204" s="217"/>
      <c r="T204" s="183">
        <v>3</v>
      </c>
      <c r="U204" s="217"/>
      <c r="V204" s="229"/>
      <c r="W204" s="185">
        <f>J204-(T204*($M$2-$K$1)+(U204*($M$2-$M$1)))</f>
        <v>5079.2800000000007</v>
      </c>
      <c r="X204" s="182">
        <f>H204*$M$2</f>
        <v>5175.6000000000004</v>
      </c>
    </row>
    <row r="205" spans="1:24" s="124" customFormat="1" x14ac:dyDescent="0.25">
      <c r="A205" s="202"/>
      <c r="B205" s="295">
        <v>33</v>
      </c>
      <c r="C205" s="295">
        <v>3</v>
      </c>
      <c r="D205" s="126">
        <f>'Data Ocupacion'!BH33</f>
        <v>33</v>
      </c>
      <c r="E205" s="126">
        <f>'Data Ocupacion'!BI33</f>
        <v>3</v>
      </c>
      <c r="F205" s="125" t="s">
        <v>36</v>
      </c>
      <c r="G205" s="125">
        <f t="shared" si="173"/>
        <v>39</v>
      </c>
      <c r="H205" s="125">
        <f t="shared" si="177"/>
        <v>39</v>
      </c>
      <c r="I205" s="125">
        <f t="shared" si="174"/>
        <v>36</v>
      </c>
      <c r="J205" s="125">
        <f>G205*M$1</f>
        <v>1135.29</v>
      </c>
      <c r="K205" s="153">
        <f>I205*M$1</f>
        <v>1047.96</v>
      </c>
      <c r="L205" s="125">
        <f t="shared" si="175"/>
        <v>118070.16</v>
      </c>
      <c r="M205" s="125">
        <f t="shared" si="176"/>
        <v>3744</v>
      </c>
      <c r="N205" s="19"/>
      <c r="O205" s="19"/>
      <c r="P205" s="146"/>
      <c r="Q205" s="183">
        <v>3</v>
      </c>
      <c r="R205" s="187"/>
      <c r="S205" s="207"/>
      <c r="T205" s="188"/>
      <c r="U205" s="189"/>
      <c r="V205" s="189"/>
      <c r="W205" s="182">
        <f>J205-(Q205*($M$1-$K$1))</f>
        <v>1124.1599999999999</v>
      </c>
      <c r="X205" s="182">
        <f>H205*$M$1</f>
        <v>1135.29</v>
      </c>
    </row>
    <row r="206" spans="1:24" s="124" customFormat="1" x14ac:dyDescent="0.25">
      <c r="A206" s="202"/>
      <c r="B206" s="295">
        <v>29</v>
      </c>
      <c r="C206" s="295">
        <v>3</v>
      </c>
      <c r="D206" s="126">
        <f>'Data Ocupacion'!BH34</f>
        <v>29</v>
      </c>
      <c r="E206" s="126">
        <f>'Data Ocupacion'!BI34</f>
        <v>3</v>
      </c>
      <c r="F206" s="125" t="s">
        <v>53</v>
      </c>
      <c r="G206" s="125">
        <f t="shared" si="173"/>
        <v>35</v>
      </c>
      <c r="H206" s="125">
        <f t="shared" si="177"/>
        <v>35</v>
      </c>
      <c r="I206" s="125">
        <f t="shared" si="174"/>
        <v>32</v>
      </c>
      <c r="J206" s="125">
        <f>G206*M$1</f>
        <v>1018.85</v>
      </c>
      <c r="K206" s="153">
        <f>I206*M$1</f>
        <v>931.52</v>
      </c>
      <c r="L206" s="125">
        <f t="shared" si="175"/>
        <v>105960.40000000001</v>
      </c>
      <c r="M206" s="125">
        <f t="shared" si="176"/>
        <v>3328</v>
      </c>
      <c r="N206" s="165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1018.85</v>
      </c>
      <c r="X206" s="182">
        <f>H206*$M$1</f>
        <v>1018.85</v>
      </c>
    </row>
    <row r="207" spans="1:24" s="124" customFormat="1" x14ac:dyDescent="0.25">
      <c r="A207" s="202"/>
      <c r="B207" s="295">
        <v>0</v>
      </c>
      <c r="C207" s="295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3"/>
        <v>0</v>
      </c>
      <c r="H207" s="125">
        <f t="shared" si="177"/>
        <v>0</v>
      </c>
      <c r="I207" s="125">
        <f t="shared" si="174"/>
        <v>0</v>
      </c>
      <c r="J207" s="125">
        <f>G207*K$1</f>
        <v>0</v>
      </c>
      <c r="K207" s="153">
        <f>I207*M$1</f>
        <v>0</v>
      </c>
      <c r="L207" s="125">
        <f t="shared" si="175"/>
        <v>0</v>
      </c>
      <c r="M207" s="125">
        <f t="shared" si="176"/>
        <v>0</v>
      </c>
      <c r="N207" s="19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H207*$K$1</f>
        <v>0</v>
      </c>
    </row>
    <row r="208" spans="1:24" s="124" customFormat="1" ht="15.75" thickBot="1" x14ac:dyDescent="0.3">
      <c r="A208" s="202"/>
      <c r="B208" s="295">
        <v>4</v>
      </c>
      <c r="C208" s="295">
        <v>0</v>
      </c>
      <c r="D208" s="126">
        <f>'Data Ocupacion'!BH36</f>
        <v>4</v>
      </c>
      <c r="E208" s="126">
        <f>'Data Ocupacion'!BI36</f>
        <v>0</v>
      </c>
      <c r="F208" s="125" t="s">
        <v>35</v>
      </c>
      <c r="G208" s="125">
        <f t="shared" si="173"/>
        <v>4</v>
      </c>
      <c r="H208" s="125">
        <f t="shared" si="177"/>
        <v>4</v>
      </c>
      <c r="I208" s="125">
        <f t="shared" si="174"/>
        <v>4</v>
      </c>
      <c r="J208" s="125">
        <f>G208*K$1</f>
        <v>101.6</v>
      </c>
      <c r="K208" s="153">
        <f>I208*K$1</f>
        <v>101.6</v>
      </c>
      <c r="L208" s="125">
        <f t="shared" si="175"/>
        <v>10566.4</v>
      </c>
      <c r="M208" s="125">
        <f t="shared" si="176"/>
        <v>416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101.6</v>
      </c>
      <c r="X208" s="182">
        <f>H208*$K$1</f>
        <v>101.6</v>
      </c>
    </row>
    <row r="209" spans="1:28" s="124" customFormat="1" ht="15.75" thickBot="1" x14ac:dyDescent="0.3">
      <c r="A209" s="119"/>
      <c r="B209" s="119">
        <f>SUM(B203:B208)</f>
        <v>140</v>
      </c>
      <c r="C209" s="119">
        <f>SUM(C203:C208)</f>
        <v>89</v>
      </c>
      <c r="D209" s="148">
        <f>SUM(D203:D208)</f>
        <v>142</v>
      </c>
      <c r="E209" s="148">
        <f>SUM(E203:E208)</f>
        <v>87</v>
      </c>
      <c r="F209" s="119"/>
      <c r="G209" s="119">
        <f t="shared" ref="G209:L209" si="178">SUM(G203:G208)</f>
        <v>316</v>
      </c>
      <c r="H209" s="119">
        <f t="shared" si="178"/>
        <v>318</v>
      </c>
      <c r="I209" s="119">
        <f t="shared" si="178"/>
        <v>229</v>
      </c>
      <c r="J209" s="119">
        <f t="shared" si="178"/>
        <v>12520.68</v>
      </c>
      <c r="K209" s="119">
        <f t="shared" si="178"/>
        <v>8852.49</v>
      </c>
      <c r="L209" s="119">
        <f t="shared" si="178"/>
        <v>1302150.7199999997</v>
      </c>
      <c r="M209" s="123">
        <f>SUM(M203:M208)</f>
        <v>23816</v>
      </c>
      <c r="N209" s="123">
        <f>'Odometro-Kilometraje'!AD88</f>
        <v>12885</v>
      </c>
      <c r="O209" s="21">
        <f>(W209/N209)*100</f>
        <v>96.398137369033776</v>
      </c>
      <c r="P209" s="192"/>
      <c r="Q209" s="181"/>
      <c r="R209" s="181"/>
      <c r="S209" s="181"/>
      <c r="T209" s="181"/>
      <c r="U209" s="181"/>
      <c r="V209" s="181"/>
      <c r="W209" s="193">
        <f>SUM(W203:W208)</f>
        <v>12420.900000000001</v>
      </c>
      <c r="X209" s="193">
        <f>SUM(X203:X208)</f>
        <v>12606.940000000002</v>
      </c>
      <c r="Y209" s="243"/>
    </row>
    <row r="210" spans="1:28" s="124" customFormat="1" x14ac:dyDescent="0.25">
      <c r="A210" s="60">
        <f>A203+1</f>
        <v>46172</v>
      </c>
      <c r="B210" s="116">
        <v>69</v>
      </c>
      <c r="C210" s="116">
        <v>3</v>
      </c>
      <c r="D210" s="147">
        <f>'Data Ocupacion'!BJ31</f>
        <v>69</v>
      </c>
      <c r="E210" s="147">
        <f>'Data Ocupacion'!BK31</f>
        <v>3</v>
      </c>
      <c r="F210" s="320" t="s">
        <v>38</v>
      </c>
      <c r="G210" s="321">
        <f t="shared" ref="G210:G215" si="179">D210+E210*2</f>
        <v>75</v>
      </c>
      <c r="H210" s="116">
        <f>B210+C210*2</f>
        <v>75</v>
      </c>
      <c r="I210" s="322">
        <f t="shared" ref="I210:I215" si="180">D210+E210</f>
        <v>72</v>
      </c>
      <c r="J210" s="322">
        <f>G210*M$2</f>
        <v>3234.75</v>
      </c>
      <c r="K210" s="153">
        <f>I210*M$2</f>
        <v>3105.36</v>
      </c>
      <c r="L210" s="116">
        <f t="shared" ref="L210:L215" si="181">J210*104</f>
        <v>336414</v>
      </c>
      <c r="M210" s="116">
        <f t="shared" ref="M210:M215" si="182">I210*104</f>
        <v>7488</v>
      </c>
      <c r="N210" s="19"/>
      <c r="O210" s="19"/>
      <c r="P210" s="146"/>
      <c r="Q210" s="244"/>
      <c r="R210" s="183"/>
      <c r="S210" s="206"/>
      <c r="T210" s="244"/>
      <c r="U210" s="191"/>
      <c r="V210" s="228"/>
      <c r="W210" s="182">
        <f>J210-(Q210*($M$2-$K$1))-(R210*($M$2-$M$1))- (S210*($M$2-$I$2))+ (T210*($G$2))</f>
        <v>3234.75</v>
      </c>
      <c r="X210" s="182">
        <f>H210*$M$2</f>
        <v>3234.75</v>
      </c>
    </row>
    <row r="211" spans="1:28" s="124" customFormat="1" x14ac:dyDescent="0.25">
      <c r="A211" s="202"/>
      <c r="B211" s="116">
        <v>75</v>
      </c>
      <c r="C211" s="116">
        <v>0</v>
      </c>
      <c r="D211" s="126">
        <f>'Data Ocupacion'!BJ32</f>
        <v>74</v>
      </c>
      <c r="E211" s="126">
        <f>'Data Ocupacion'!BK32</f>
        <v>1</v>
      </c>
      <c r="F211" s="320" t="s">
        <v>52</v>
      </c>
      <c r="G211" s="321">
        <f t="shared" si="179"/>
        <v>76</v>
      </c>
      <c r="H211" s="116">
        <f t="shared" ref="H211:H215" si="183">B211+C211*2</f>
        <v>75</v>
      </c>
      <c r="I211" s="116">
        <f t="shared" si="180"/>
        <v>75</v>
      </c>
      <c r="J211" s="116">
        <f>G211*M$2</f>
        <v>3277.88</v>
      </c>
      <c r="K211" s="153">
        <f>I211*M$2</f>
        <v>3234.75</v>
      </c>
      <c r="L211" s="116">
        <f t="shared" si="181"/>
        <v>340899.52</v>
      </c>
      <c r="M211" s="116">
        <f t="shared" si="182"/>
        <v>7800</v>
      </c>
      <c r="N211" s="19"/>
      <c r="O211" s="19"/>
      <c r="P211" s="146"/>
      <c r="Q211" s="186"/>
      <c r="R211" s="186"/>
      <c r="S211" s="186"/>
      <c r="T211" s="183"/>
      <c r="U211" s="183"/>
      <c r="V211" s="206"/>
      <c r="W211" s="185">
        <f>J211-(T211*($M$2-$K$1)+(U211*($M$2-$M$1)))</f>
        <v>3277.88</v>
      </c>
      <c r="X211" s="182">
        <f>H211*$M$2</f>
        <v>3234.75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Ocupacion'!BJ33</f>
        <v>0</v>
      </c>
      <c r="E212" s="147">
        <f>'Data Ocupacion'!BK33</f>
        <v>0</v>
      </c>
      <c r="F212" s="320" t="s">
        <v>36</v>
      </c>
      <c r="G212" s="321">
        <f t="shared" si="179"/>
        <v>0</v>
      </c>
      <c r="H212" s="116">
        <f t="shared" si="183"/>
        <v>0</v>
      </c>
      <c r="I212" s="116">
        <f t="shared" si="180"/>
        <v>0</v>
      </c>
      <c r="J212" s="116">
        <f>G212*M$1</f>
        <v>0</v>
      </c>
      <c r="K212" s="153">
        <f>I212*M$1</f>
        <v>0</v>
      </c>
      <c r="L212" s="116">
        <f t="shared" si="181"/>
        <v>0</v>
      </c>
      <c r="M212" s="116">
        <f t="shared" si="182"/>
        <v>0</v>
      </c>
      <c r="N212" s="19"/>
      <c r="O212" s="19"/>
      <c r="P212" s="146"/>
      <c r="Q212" s="244"/>
      <c r="R212" s="187"/>
      <c r="S212" s="207"/>
      <c r="T212" s="188"/>
      <c r="U212" s="189"/>
      <c r="V212" s="189"/>
      <c r="W212" s="182">
        <f>J212-(Q212*($M$1-$K$1))</f>
        <v>0</v>
      </c>
      <c r="X212" s="182">
        <f>H212*$M$1</f>
        <v>0</v>
      </c>
    </row>
    <row r="213" spans="1:28" s="124" customFormat="1" x14ac:dyDescent="0.25">
      <c r="A213" s="202"/>
      <c r="B213" s="116">
        <v>0</v>
      </c>
      <c r="C213" s="116">
        <v>0</v>
      </c>
      <c r="D213" s="147">
        <f>'Data Ocupacion'!BJ34</f>
        <v>0</v>
      </c>
      <c r="E213" s="147">
        <f>'Data Ocupacion'!BK34</f>
        <v>0</v>
      </c>
      <c r="F213" s="320" t="s">
        <v>53</v>
      </c>
      <c r="G213" s="321">
        <f t="shared" si="179"/>
        <v>0</v>
      </c>
      <c r="H213" s="116">
        <f t="shared" si="183"/>
        <v>0</v>
      </c>
      <c r="I213" s="116">
        <f t="shared" si="180"/>
        <v>0</v>
      </c>
      <c r="J213" s="116">
        <f>G213*M$1</f>
        <v>0</v>
      </c>
      <c r="K213" s="153">
        <f>I213*M$1</f>
        <v>0</v>
      </c>
      <c r="L213" s="116">
        <f t="shared" si="181"/>
        <v>0</v>
      </c>
      <c r="M213" s="116">
        <f t="shared" si="182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H213*$M$1</f>
        <v>0</v>
      </c>
    </row>
    <row r="214" spans="1:28" s="124" customFormat="1" x14ac:dyDescent="0.25">
      <c r="A214" s="202"/>
      <c r="B214" s="116">
        <v>0</v>
      </c>
      <c r="C214" s="116">
        <v>0</v>
      </c>
      <c r="D214" s="147">
        <f>'Data Ocupacion'!BJ35</f>
        <v>0</v>
      </c>
      <c r="E214" s="147">
        <f>'Data Ocupacion'!BK35</f>
        <v>0</v>
      </c>
      <c r="F214" s="320" t="s">
        <v>122</v>
      </c>
      <c r="G214" s="321">
        <f t="shared" si="179"/>
        <v>0</v>
      </c>
      <c r="H214" s="116">
        <f t="shared" si="183"/>
        <v>0</v>
      </c>
      <c r="I214" s="116">
        <f t="shared" si="180"/>
        <v>0</v>
      </c>
      <c r="J214" s="323">
        <f>G214*K$1</f>
        <v>0</v>
      </c>
      <c r="K214" s="153">
        <f>I214*K$1</f>
        <v>0</v>
      </c>
      <c r="L214" s="116">
        <f t="shared" si="181"/>
        <v>0</v>
      </c>
      <c r="M214" s="116">
        <f t="shared" si="182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H214*$K$1</f>
        <v>0</v>
      </c>
    </row>
    <row r="215" spans="1:28" s="124" customFormat="1" ht="15.75" thickBot="1" x14ac:dyDescent="0.3">
      <c r="A215" s="202"/>
      <c r="B215" s="116">
        <v>0</v>
      </c>
      <c r="C215" s="116">
        <v>0</v>
      </c>
      <c r="D215" s="147">
        <f>'Data Ocupacion'!BJ36</f>
        <v>0</v>
      </c>
      <c r="E215" s="147">
        <f>'Data Ocupacion'!BK36</f>
        <v>0</v>
      </c>
      <c r="F215" s="320" t="s">
        <v>35</v>
      </c>
      <c r="G215" s="321">
        <f t="shared" si="179"/>
        <v>0</v>
      </c>
      <c r="H215" s="116">
        <f t="shared" si="183"/>
        <v>0</v>
      </c>
      <c r="I215" s="324">
        <f t="shared" si="180"/>
        <v>0</v>
      </c>
      <c r="J215" s="324">
        <f>G215*K$1</f>
        <v>0</v>
      </c>
      <c r="K215" s="153">
        <f>I215*K$1</f>
        <v>0</v>
      </c>
      <c r="L215" s="116">
        <f t="shared" si="181"/>
        <v>0</v>
      </c>
      <c r="M215" s="116">
        <f t="shared" si="182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4.25" customHeight="1" thickBot="1" x14ac:dyDescent="0.3">
      <c r="A216" s="119"/>
      <c r="B216" s="119">
        <f>SUM(B210:B215)</f>
        <v>144</v>
      </c>
      <c r="C216" s="119">
        <f>SUM(C210:C215)</f>
        <v>3</v>
      </c>
      <c r="D216" s="148">
        <f>SUM(D210:D215)</f>
        <v>143</v>
      </c>
      <c r="E216" s="148">
        <f>SUM(E210:E215)</f>
        <v>4</v>
      </c>
      <c r="F216" s="119"/>
      <c r="G216" s="119">
        <f t="shared" ref="G216:M216" si="184">SUM(G210:G215)</f>
        <v>151</v>
      </c>
      <c r="H216" s="119">
        <f t="shared" si="184"/>
        <v>150</v>
      </c>
      <c r="I216" s="119">
        <f t="shared" si="184"/>
        <v>147</v>
      </c>
      <c r="J216" s="119">
        <f t="shared" si="184"/>
        <v>6512.63</v>
      </c>
      <c r="K216" s="119">
        <f t="shared" si="184"/>
        <v>6340.1100000000006</v>
      </c>
      <c r="L216" s="119">
        <f t="shared" si="184"/>
        <v>677313.52</v>
      </c>
      <c r="M216" s="119">
        <f t="shared" si="184"/>
        <v>15288</v>
      </c>
      <c r="N216" s="123">
        <f>'Odometro-Kilometraje'!AE88</f>
        <v>6576</v>
      </c>
      <c r="O216" s="21">
        <f>(W216/N216)*100</f>
        <v>99.036344282238446</v>
      </c>
      <c r="P216" s="192"/>
      <c r="Q216" s="181"/>
      <c r="R216" s="181"/>
      <c r="S216" s="181"/>
      <c r="T216" s="181"/>
      <c r="U216" s="181"/>
      <c r="V216" s="181"/>
      <c r="W216" s="193">
        <f>SUM(W210:W215)</f>
        <v>6512.63</v>
      </c>
      <c r="X216" s="193">
        <f>SUM(X210:X215)</f>
        <v>6469.5</v>
      </c>
      <c r="Y216" s="257"/>
    </row>
    <row r="217" spans="1:28" s="124" customFormat="1" x14ac:dyDescent="0.25">
      <c r="A217" s="60">
        <f>A210+1</f>
        <v>46173</v>
      </c>
      <c r="B217" s="218">
        <v>51</v>
      </c>
      <c r="C217" s="218">
        <v>3</v>
      </c>
      <c r="D217" s="138">
        <f>'Data Ocupacion'!BL31</f>
        <v>51</v>
      </c>
      <c r="E217" s="138">
        <f>'Data Ocupacion'!BM31</f>
        <v>3</v>
      </c>
      <c r="F217" s="218" t="s">
        <v>38</v>
      </c>
      <c r="G217" s="218">
        <f t="shared" ref="G217:G222" si="185">D217+E217*2</f>
        <v>57</v>
      </c>
      <c r="H217" s="218">
        <f>B217+C217*2</f>
        <v>57</v>
      </c>
      <c r="I217" s="218">
        <f t="shared" ref="I217:I222" si="186">D217+E217</f>
        <v>54</v>
      </c>
      <c r="J217" s="218">
        <f>G217*M$2</f>
        <v>2458.4100000000003</v>
      </c>
      <c r="K217" s="153">
        <f>I217*M$2</f>
        <v>2329.02</v>
      </c>
      <c r="L217" s="218">
        <f t="shared" ref="L217:L222" si="187">J217*104</f>
        <v>255674.64000000004</v>
      </c>
      <c r="M217" s="218">
        <f t="shared" ref="M217:M222" si="188">I217*104</f>
        <v>5616</v>
      </c>
      <c r="N217" s="19"/>
      <c r="O217" s="19"/>
      <c r="P217" s="146"/>
      <c r="Q217" s="183"/>
      <c r="R217" s="183"/>
      <c r="S217" s="206"/>
      <c r="T217" s="244"/>
      <c r="U217" s="191"/>
      <c r="V217" s="228"/>
      <c r="W217" s="182">
        <f>J217-(Q217*($M$2-$K$1))-(R217*($M$2-$M$1))- (S217*($M$2-$I$2))+ (T217*($G$2))</f>
        <v>2458.4100000000003</v>
      </c>
      <c r="X217" s="182">
        <f>H217*$M$2</f>
        <v>2458.4100000000003</v>
      </c>
      <c r="Y217" s="287"/>
    </row>
    <row r="218" spans="1:28" s="124" customFormat="1" x14ac:dyDescent="0.25">
      <c r="A218" s="202"/>
      <c r="B218" s="218">
        <v>57</v>
      </c>
      <c r="C218" s="218">
        <v>0</v>
      </c>
      <c r="D218" s="138">
        <f>'Data Ocupacion'!BL32</f>
        <v>57</v>
      </c>
      <c r="E218" s="138">
        <f>'Data Ocupacion'!BM32</f>
        <v>0</v>
      </c>
      <c r="F218" s="218" t="s">
        <v>52</v>
      </c>
      <c r="G218" s="218">
        <f t="shared" si="185"/>
        <v>57</v>
      </c>
      <c r="H218" s="218">
        <f t="shared" ref="H218:H222" si="189">B218+C218*2</f>
        <v>57</v>
      </c>
      <c r="I218" s="218">
        <f t="shared" si="186"/>
        <v>57</v>
      </c>
      <c r="J218" s="218">
        <f>G218*M$2</f>
        <v>2458.4100000000003</v>
      </c>
      <c r="K218" s="153">
        <f>I218*M$2</f>
        <v>2458.4100000000003</v>
      </c>
      <c r="L218" s="218">
        <f t="shared" si="187"/>
        <v>255674.64000000004</v>
      </c>
      <c r="M218" s="218">
        <f t="shared" si="188"/>
        <v>5928</v>
      </c>
      <c r="N218" s="19"/>
      <c r="O218" s="19"/>
      <c r="P218" s="146"/>
      <c r="Q218" s="186"/>
      <c r="R218" s="186"/>
      <c r="S218" s="186"/>
      <c r="T218" s="183"/>
      <c r="U218" s="183"/>
      <c r="V218" s="206"/>
      <c r="W218" s="185">
        <f>J218-(T218*($M$2-$K$1)+(U218*($M$2-$M$1)))</f>
        <v>2458.4100000000003</v>
      </c>
      <c r="X218" s="182">
        <f>H218*$M$2</f>
        <v>2458.4100000000003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Ocupacion'!BL33</f>
        <v>0</v>
      </c>
      <c r="E219" s="138">
        <f>'Data Ocupacion'!BM33</f>
        <v>0</v>
      </c>
      <c r="F219" s="218" t="s">
        <v>36</v>
      </c>
      <c r="G219" s="218">
        <f t="shared" si="185"/>
        <v>0</v>
      </c>
      <c r="H219" s="218">
        <f t="shared" si="189"/>
        <v>0</v>
      </c>
      <c r="I219" s="218">
        <f t="shared" si="186"/>
        <v>0</v>
      </c>
      <c r="J219" s="218">
        <f>G219*M$1</f>
        <v>0</v>
      </c>
      <c r="K219" s="153">
        <f>I219*M$1</f>
        <v>0</v>
      </c>
      <c r="L219" s="218">
        <f t="shared" si="187"/>
        <v>0</v>
      </c>
      <c r="M219" s="218">
        <f t="shared" si="188"/>
        <v>0</v>
      </c>
      <c r="N219" s="19"/>
      <c r="O219" s="19"/>
      <c r="P219" s="146"/>
      <c r="Q219" s="244"/>
      <c r="R219" s="187"/>
      <c r="S219" s="207"/>
      <c r="T219" s="188"/>
      <c r="U219" s="189"/>
      <c r="V219" s="189"/>
      <c r="W219" s="182">
        <f>J219-(Q219*($M$1-$K$1))</f>
        <v>0</v>
      </c>
      <c r="X219" s="182">
        <f>H219*$M$1</f>
        <v>0</v>
      </c>
      <c r="Y219" s="287"/>
    </row>
    <row r="220" spans="1:28" s="124" customFormat="1" x14ac:dyDescent="0.25">
      <c r="A220" s="202"/>
      <c r="B220" s="218">
        <v>0</v>
      </c>
      <c r="C220" s="218">
        <v>0</v>
      </c>
      <c r="D220" s="138">
        <f>'Data Ocupacion'!BL34</f>
        <v>0</v>
      </c>
      <c r="E220" s="138">
        <f>'Data Ocupacion'!BM34</f>
        <v>0</v>
      </c>
      <c r="F220" s="218" t="s">
        <v>53</v>
      </c>
      <c r="G220" s="218">
        <f t="shared" si="185"/>
        <v>0</v>
      </c>
      <c r="H220" s="218">
        <f t="shared" si="189"/>
        <v>0</v>
      </c>
      <c r="I220" s="218">
        <f t="shared" si="186"/>
        <v>0</v>
      </c>
      <c r="J220" s="218">
        <f>G220*M$1</f>
        <v>0</v>
      </c>
      <c r="K220" s="153">
        <f>I220*M$1</f>
        <v>0</v>
      </c>
      <c r="L220" s="218">
        <f t="shared" si="187"/>
        <v>0</v>
      </c>
      <c r="M220" s="218">
        <f t="shared" si="188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H220*$M$1</f>
        <v>0</v>
      </c>
      <c r="Y220" s="287"/>
    </row>
    <row r="221" spans="1:28" s="124" customFormat="1" x14ac:dyDescent="0.25">
      <c r="A221" s="202"/>
      <c r="B221" s="218">
        <v>0</v>
      </c>
      <c r="C221" s="218">
        <v>0</v>
      </c>
      <c r="D221" s="138">
        <f>'Data Ocupacion'!BL35</f>
        <v>0</v>
      </c>
      <c r="E221" s="138">
        <f>'Data Ocupacion'!BM35</f>
        <v>0</v>
      </c>
      <c r="F221" s="218" t="s">
        <v>122</v>
      </c>
      <c r="G221" s="218">
        <f t="shared" si="185"/>
        <v>0</v>
      </c>
      <c r="H221" s="218">
        <f t="shared" si="189"/>
        <v>0</v>
      </c>
      <c r="I221" s="218">
        <f t="shared" si="186"/>
        <v>0</v>
      </c>
      <c r="J221" s="218">
        <f>G221*K$1</f>
        <v>0</v>
      </c>
      <c r="K221" s="153">
        <f>I221*K$1</f>
        <v>0</v>
      </c>
      <c r="L221" s="218">
        <f t="shared" si="187"/>
        <v>0</v>
      </c>
      <c r="M221" s="218">
        <f t="shared" si="188"/>
        <v>0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>
        <f>J221</f>
        <v>0</v>
      </c>
      <c r="X221" s="182">
        <f>H221*$K$1</f>
        <v>0</v>
      </c>
      <c r="Y221" s="287"/>
    </row>
    <row r="222" spans="1:28" s="124" customFormat="1" ht="15.75" thickBot="1" x14ac:dyDescent="0.3">
      <c r="A222" s="202"/>
      <c r="B222" s="218">
        <v>0</v>
      </c>
      <c r="C222" s="218">
        <v>0</v>
      </c>
      <c r="D222" s="138">
        <f>'Data Ocupacion'!BL36</f>
        <v>0</v>
      </c>
      <c r="E222" s="138">
        <f>'Data Ocupacion'!BM36</f>
        <v>0</v>
      </c>
      <c r="F222" s="218" t="s">
        <v>35</v>
      </c>
      <c r="G222" s="218">
        <f t="shared" si="185"/>
        <v>0</v>
      </c>
      <c r="H222" s="218">
        <f t="shared" si="189"/>
        <v>0</v>
      </c>
      <c r="I222" s="218">
        <f t="shared" si="186"/>
        <v>0</v>
      </c>
      <c r="J222" s="218">
        <f>G222*K$1</f>
        <v>0</v>
      </c>
      <c r="K222" s="153">
        <f>I222*K$1</f>
        <v>0</v>
      </c>
      <c r="L222" s="218">
        <f t="shared" si="187"/>
        <v>0</v>
      </c>
      <c r="M222" s="218">
        <f t="shared" si="188"/>
        <v>0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>
        <f>J222</f>
        <v>0</v>
      </c>
      <c r="X222" s="182">
        <f>H222*$K$1</f>
        <v>0</v>
      </c>
      <c r="Y222" s="287"/>
    </row>
    <row r="223" spans="1:28" s="124" customFormat="1" ht="15.75" thickBot="1" x14ac:dyDescent="0.3">
      <c r="A223" s="20"/>
      <c r="B223" s="119">
        <f>SUM(B217:B222)</f>
        <v>108</v>
      </c>
      <c r="C223" s="148">
        <f>SUM(C217:C222)</f>
        <v>3</v>
      </c>
      <c r="D223" s="148">
        <f>SUM(D217:D222)</f>
        <v>108</v>
      </c>
      <c r="E223" s="148">
        <f>SUM(E217:E222)</f>
        <v>3</v>
      </c>
      <c r="F223" s="119"/>
      <c r="G223" s="119">
        <f t="shared" ref="G223:L223" si="190">SUM(G217:G222)</f>
        <v>114</v>
      </c>
      <c r="H223" s="119">
        <f t="shared" si="190"/>
        <v>114</v>
      </c>
      <c r="I223" s="119">
        <f t="shared" si="190"/>
        <v>111</v>
      </c>
      <c r="J223" s="119">
        <f t="shared" si="190"/>
        <v>4916.8200000000006</v>
      </c>
      <c r="K223" s="119">
        <f t="shared" si="190"/>
        <v>4787.43</v>
      </c>
      <c r="L223" s="119">
        <f t="shared" si="190"/>
        <v>511349.28000000009</v>
      </c>
      <c r="M223" s="123">
        <f>SUM(M217:M222)</f>
        <v>11544</v>
      </c>
      <c r="N223" s="123">
        <f>'Odometro-Kilometraje'!AF88</f>
        <v>4943</v>
      </c>
      <c r="O223" s="21">
        <f>(W223/N223)*100</f>
        <v>99.470362128262195</v>
      </c>
      <c r="P223" s="192"/>
      <c r="Q223" s="181"/>
      <c r="R223" s="181"/>
      <c r="S223" s="181"/>
      <c r="T223" s="181"/>
      <c r="U223" s="181"/>
      <c r="V223" s="181"/>
      <c r="W223" s="193">
        <f>SUM(W217:W222)</f>
        <v>4916.8200000000006</v>
      </c>
      <c r="X223" s="193">
        <f>SUM(X217:X222)</f>
        <v>4916.8200000000006</v>
      </c>
      <c r="Y223" s="287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67" t="s">
        <v>56</v>
      </c>
      <c r="C225" s="368"/>
      <c r="D225" s="368"/>
      <c r="E225" s="368"/>
      <c r="F225" s="368"/>
      <c r="G225" s="369"/>
      <c r="H225" s="290"/>
      <c r="I225" s="367" t="s">
        <v>57</v>
      </c>
      <c r="J225" s="368"/>
      <c r="K225" s="368"/>
      <c r="L225" s="368"/>
      <c r="M225" s="368"/>
      <c r="N225" s="369"/>
      <c r="P225" s="362" t="s">
        <v>139</v>
      </c>
      <c r="Q225" s="362"/>
      <c r="R225" s="362"/>
      <c r="S225" s="363"/>
      <c r="T225" s="359" t="s">
        <v>142</v>
      </c>
      <c r="U225" s="360"/>
      <c r="V225" s="361"/>
      <c r="W225" s="350" t="s">
        <v>143</v>
      </c>
      <c r="X225" s="350" t="s">
        <v>162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4" t="s">
        <v>140</v>
      </c>
      <c r="Q226" s="195" t="s">
        <v>141</v>
      </c>
      <c r="R226" s="213" t="s">
        <v>148</v>
      </c>
      <c r="S226" s="215" t="s">
        <v>146</v>
      </c>
      <c r="T226" s="196" t="s">
        <v>140</v>
      </c>
      <c r="U226" s="197" t="s">
        <v>141</v>
      </c>
      <c r="V226" s="227" t="s">
        <v>146</v>
      </c>
      <c r="W226" s="351"/>
      <c r="X226" s="351"/>
    </row>
    <row r="227" spans="1:29" ht="16.149999999999999" customHeight="1" x14ac:dyDescent="0.25">
      <c r="A227" s="23" t="s">
        <v>38</v>
      </c>
      <c r="B227" s="114">
        <f t="shared" ref="B227:C229" si="191">B5+B12+B19+B26+B33+B40+B47+B56+B63+B70+B77+B84+B91+B98+B105+B112+B119+B126+B133+B140+B147+B154+B161+B168+B175+B182+B189+B196+B203+B210+B217</f>
        <v>1410</v>
      </c>
      <c r="C227" s="114">
        <f t="shared" si="191"/>
        <v>829</v>
      </c>
      <c r="D227" s="114">
        <f t="shared" ref="D227:D232" si="192">B227+C227</f>
        <v>2239</v>
      </c>
      <c r="E227" s="139">
        <f>D227*43.13</f>
        <v>96568.07</v>
      </c>
      <c r="F227" s="139">
        <f>B227*43.13+C227*86.26</f>
        <v>132322.84000000003</v>
      </c>
      <c r="G227" s="139">
        <f t="shared" ref="G227:G232" si="193">F227*104</f>
        <v>13761575.360000003</v>
      </c>
      <c r="H227" s="139"/>
      <c r="I227" s="114">
        <f t="shared" ref="I227:J230" si="194">D5+D12+D26+D33+D40+D47+D56+D63+D70+D77+D84+D91+D98+D105+D112+D119+D126+D133+D140+D147+D154+D161+D168+D175+D182+D189+D196+D203+D210+D217+D19</f>
        <v>1409</v>
      </c>
      <c r="J227" s="114">
        <f t="shared" si="194"/>
        <v>822</v>
      </c>
      <c r="K227" s="114">
        <f t="shared" ref="K227:K232" si="195">I227+J227</f>
        <v>2231</v>
      </c>
      <c r="L227" s="139">
        <f>K227*43.13</f>
        <v>96223.03</v>
      </c>
      <c r="M227" s="139">
        <f>I227*43.13+J227*86.26</f>
        <v>131675.89000000001</v>
      </c>
      <c r="N227" s="139">
        <f t="shared" ref="N227:N232" si="196">M227*104</f>
        <v>13694292.560000002</v>
      </c>
      <c r="O227" s="124"/>
      <c r="P227" s="209">
        <f>SUM(Q196,Q189,Q182,Q175,Q168,Q161,Q154,Q147,Q140,Q133,Q126,Q119,Q112,Q105,Q98,Q91,Q84,Q77,Q70,Q63,Q56,Q47,Q40,Q33,Q26,Q19,Q12,Q5,Q203,Q210,Q217)</f>
        <v>52</v>
      </c>
      <c r="Q227" s="209">
        <f>SUM(R196,R189,R182,R175,R168,R161,R154,R147,R140,R133,R126,R119,R112,R105,R98,R91,R84,R77,R70,R63,R56,R47,R40,R33,R26,R19,R12,R5,R203,R210,R217)</f>
        <v>0</v>
      </c>
      <c r="R227" s="209">
        <f>Q28+Q35+Q42+Q49+Q58+Q79+Q86+Q93+Q100+Q107+Q128+Q135+Q142+Q156+Q177+Q184+Q191+Q198+Q205</f>
        <v>40</v>
      </c>
      <c r="S227" s="209">
        <f>SUM(S196,S189,S182,S175,S168,S161,S154,S147,S140,S133,S126,S119,S112,S105,S98,S91,S84,S77,S70,S63,S56,S47,S40,S33,S26,S19,S12,S5,S203,S210,S217)</f>
        <v>0</v>
      </c>
      <c r="T227" s="209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70</v>
      </c>
      <c r="U227" s="209">
        <f>SUM(U196,U189,U182,U175,U168,U161,U154,U147,U140,U133,U126,U119,U112,U105,U98,U91,U84,U77,U70,U63,U56,U47,U40,U33,U26,U19,U12,U5,U203,U210,U218)</f>
        <v>0</v>
      </c>
      <c r="V227" s="209">
        <f>SUM(V196,V189,V182,V175,V168,V161,V154,V147,V140,V133,V126,V119,V112,V105,V98,V91,V84,V77,V70,V63,V56,V47,V40,V33,V26,V19,V12,V5,V203,V210,V218)</f>
        <v>0</v>
      </c>
      <c r="W227" s="231">
        <f>W11+W18+W25+W32+W39+W46+W55+W62+W69+W76+W83+W90+W97+W104+W111+W118+W125+W132+W139+W146+W153+W160+W167+W174+W181+W188+W195+W202+W209+W216+W223</f>
        <v>302570.24000000005</v>
      </c>
      <c r="X227" s="231">
        <f>X11+X18+X25+X32+X39+X46+X55+X62+X69+X76+X83+X90+X97+X104+X111+X118+X125+X132+X139+X146+X153+X160+X167+X174+X181+X188+X195+X202+X209+X216+X223</f>
        <v>307504.74000000005</v>
      </c>
    </row>
    <row r="228" spans="1:29" ht="17.25" customHeight="1" x14ac:dyDescent="0.25">
      <c r="A228" s="23" t="s">
        <v>52</v>
      </c>
      <c r="B228" s="114">
        <f t="shared" si="191"/>
        <v>1444</v>
      </c>
      <c r="C228" s="114">
        <f t="shared" si="191"/>
        <v>812</v>
      </c>
      <c r="D228" s="114">
        <f t="shared" si="192"/>
        <v>2256</v>
      </c>
      <c r="E228" s="139">
        <f>D228*43.13</f>
        <v>97301.28</v>
      </c>
      <c r="F228" s="139">
        <f>B228*43.13+C228*86.26</f>
        <v>132322.84000000003</v>
      </c>
      <c r="G228" s="139">
        <f t="shared" si="193"/>
        <v>13761575.360000003</v>
      </c>
      <c r="H228" s="139"/>
      <c r="I228" s="114">
        <f t="shared" si="194"/>
        <v>1437</v>
      </c>
      <c r="J228" s="114">
        <f t="shared" si="194"/>
        <v>810</v>
      </c>
      <c r="K228" s="114">
        <f t="shared" si="195"/>
        <v>2247</v>
      </c>
      <c r="L228" s="139">
        <f t="shared" ref="L228" si="197">K228*43.13</f>
        <v>96913.11</v>
      </c>
      <c r="M228" s="139">
        <f>I228*43.13+J228*86.26</f>
        <v>131848.41</v>
      </c>
      <c r="N228" s="139">
        <f t="shared" si="196"/>
        <v>13712234.640000001</v>
      </c>
      <c r="O228" s="124"/>
      <c r="W228" s="124"/>
      <c r="AA228" s="8"/>
    </row>
    <row r="229" spans="1:29" x14ac:dyDescent="0.25">
      <c r="A229" s="23" t="s">
        <v>36</v>
      </c>
      <c r="B229" s="114">
        <f t="shared" si="191"/>
        <v>627</v>
      </c>
      <c r="C229" s="114">
        <f t="shared" si="191"/>
        <v>57</v>
      </c>
      <c r="D229" s="114">
        <f t="shared" si="192"/>
        <v>684</v>
      </c>
      <c r="E229" s="139">
        <f>D229*29.11</f>
        <v>19911.239999999998</v>
      </c>
      <c r="F229" s="139">
        <f>B229*29.11+C229*58.22</f>
        <v>21570.510000000002</v>
      </c>
      <c r="G229" s="139">
        <f t="shared" si="193"/>
        <v>2243333.04</v>
      </c>
      <c r="H229" s="139"/>
      <c r="I229" s="114">
        <f t="shared" si="194"/>
        <v>626</v>
      </c>
      <c r="J229" s="114">
        <f t="shared" si="194"/>
        <v>44</v>
      </c>
      <c r="K229" s="114">
        <f t="shared" si="195"/>
        <v>670</v>
      </c>
      <c r="L229" s="139">
        <f>K229*29.11</f>
        <v>19503.7</v>
      </c>
      <c r="M229" s="139">
        <f>I229*29.11+J229*58.22</f>
        <v>20784.54</v>
      </c>
      <c r="N229" s="139">
        <f t="shared" si="196"/>
        <v>2161592.16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551</v>
      </c>
      <c r="C230" s="114">
        <f>C8+C15+C22+C29+C36+C43+C50+C59+C66+C73+C80+C87+C94+C101+C108+C115+C122+C129+C136+C143+C150+C157+C164+C171+C178+C185+C192+C199+C206+C213+C221</f>
        <v>57</v>
      </c>
      <c r="D230" s="114">
        <f t="shared" si="192"/>
        <v>608</v>
      </c>
      <c r="E230" s="139">
        <f>D230*29.11</f>
        <v>17698.88</v>
      </c>
      <c r="F230" s="139">
        <f>B230*29.11+C230*58.22</f>
        <v>19358.150000000001</v>
      </c>
      <c r="G230" s="139">
        <f t="shared" si="193"/>
        <v>2013247.6</v>
      </c>
      <c r="H230" s="139"/>
      <c r="I230" s="114">
        <f t="shared" si="194"/>
        <v>554</v>
      </c>
      <c r="J230" s="114">
        <f t="shared" si="194"/>
        <v>44</v>
      </c>
      <c r="K230" s="114">
        <f t="shared" si="195"/>
        <v>598</v>
      </c>
      <c r="L230" s="139">
        <f>K230*29.11</f>
        <v>17407.78</v>
      </c>
      <c r="M230" s="139">
        <f>I230*29.11+J230*58.22</f>
        <v>18688.62</v>
      </c>
      <c r="N230" s="139">
        <f t="shared" si="196"/>
        <v>1943616.48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92"/>
        <v>0</v>
      </c>
      <c r="E231" s="139">
        <f>D231*25.4</f>
        <v>0</v>
      </c>
      <c r="F231" s="139">
        <f>B231*25.4+C231*50.8</f>
        <v>0</v>
      </c>
      <c r="G231" s="139">
        <f t="shared" si="193"/>
        <v>0</v>
      </c>
      <c r="H231" s="139"/>
      <c r="I231" s="114">
        <f>D9+D16+D30+D37+D44+D51+D60+D67+D74+D81+D88+D95+D102+D109+D116+D123+D130+D137+D144+D151+D158+D165+D172+D179+D186+D193+D200+D207+D214+D221+D23</f>
        <v>1</v>
      </c>
      <c r="J231" s="114">
        <f>E9+E16+E30+E37+E44+E51+E60+E67+E74+E81+E88+E95+E102+E109+E116+E123+E130+E137+E144+E151+E158+E165+E172+E179+E186+E193+E200+E207+E214+E221</f>
        <v>0</v>
      </c>
      <c r="K231" s="114">
        <f t="shared" si="195"/>
        <v>1</v>
      </c>
      <c r="L231" s="139">
        <f>K231*25.4</f>
        <v>25.4</v>
      </c>
      <c r="M231" s="139">
        <f>I231*25.4+J231*50.8</f>
        <v>25.4</v>
      </c>
      <c r="N231" s="139">
        <f t="shared" si="196"/>
        <v>2641.6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76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92"/>
        <v>76</v>
      </c>
      <c r="E232" s="139">
        <f>D232*25.4</f>
        <v>1930.3999999999999</v>
      </c>
      <c r="F232" s="139">
        <f>B232*25.4+C232*50.8</f>
        <v>1930.3999999999999</v>
      </c>
      <c r="G232" s="139">
        <f t="shared" si="193"/>
        <v>200761.59999999998</v>
      </c>
      <c r="H232" s="139"/>
      <c r="I232" s="114">
        <f>D10+D17+D31+D38+D45+D52+D61+D68+D75+D82+D89+D96+D103+D110+D117+D124+D131+D138+D145+D152+D159+D166+D173+D180+D187+D194+D201+D208+D215+D222+D24</f>
        <v>76</v>
      </c>
      <c r="J232" s="114">
        <f>E10+E17+E31+E38+E45+E52+E61+E68+E75+E82+E89+E96+E103+E110+E117+E124+E131+E138+E145+E152+E159+E166+E173+E180+E187+E194+E201+E208+E215+E222</f>
        <v>0</v>
      </c>
      <c r="K232" s="114">
        <f t="shared" si="195"/>
        <v>76</v>
      </c>
      <c r="L232" s="139">
        <f>K232*25.4</f>
        <v>1930.3999999999999</v>
      </c>
      <c r="M232" s="139">
        <f>I232*25.4+J232*50.8</f>
        <v>1930.3999999999999</v>
      </c>
      <c r="N232" s="139">
        <f t="shared" si="196"/>
        <v>200761.59999999998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SUM(B227:B233)</f>
        <v>4108</v>
      </c>
      <c r="C234" s="284">
        <f>SUM(C227:C233)</f>
        <v>1755</v>
      </c>
      <c r="D234" s="284">
        <f>SUM(D227:D233)</f>
        <v>5863</v>
      </c>
      <c r="E234" s="284">
        <f>SUM(E227:E232)</f>
        <v>233409.87</v>
      </c>
      <c r="F234" s="284">
        <f>SUM(F227:F232)</f>
        <v>307504.74000000011</v>
      </c>
      <c r="G234" s="284">
        <f>SUM(G227:G232)</f>
        <v>31980492.960000008</v>
      </c>
      <c r="H234" s="284"/>
      <c r="I234" s="284">
        <f>SUM(I227:I232)</f>
        <v>4103</v>
      </c>
      <c r="J234" s="284">
        <f>SUM(J227:J232)</f>
        <v>1720</v>
      </c>
      <c r="K234" s="284">
        <f>SUM(K227:K233)</f>
        <v>5823</v>
      </c>
      <c r="L234" s="284">
        <f>SUM(L227:L233)</f>
        <v>232003.42</v>
      </c>
      <c r="M234" s="284">
        <f>SUM(M227:M233)</f>
        <v>304953.26000000007</v>
      </c>
      <c r="N234" s="284">
        <f>SUM(N227:N233)</f>
        <v>31715139.040000007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7618</v>
      </c>
      <c r="D236" s="124"/>
      <c r="E236" s="124"/>
      <c r="F236" s="124" t="s">
        <v>65</v>
      </c>
      <c r="G236" s="124">
        <f>(I234)+(J234*2)</f>
        <v>7543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75" t="s">
        <v>55</v>
      </c>
      <c r="C237" s="376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V237" s="243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343" t="s">
        <v>190</v>
      </c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233409.87</v>
      </c>
      <c r="G239" s="36">
        <f>+F234</f>
        <v>307504.74000000011</v>
      </c>
      <c r="H239" s="291"/>
      <c r="I239" s="37">
        <f>+G234</f>
        <v>31980492.960000008</v>
      </c>
      <c r="J239" s="124"/>
      <c r="K239" s="124"/>
      <c r="L239" s="124"/>
      <c r="M239" s="124"/>
      <c r="N239" s="343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343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7543</v>
      </c>
      <c r="K241" s="124"/>
      <c r="L241" s="124"/>
      <c r="M241" s="208"/>
      <c r="N241" s="344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343"/>
      <c r="O242" s="124"/>
    </row>
    <row r="243" spans="3:23" x14ac:dyDescent="0.25">
      <c r="C243" s="124"/>
      <c r="N243" s="345">
        <f>SUM(N11:N223)</f>
        <v>313612</v>
      </c>
    </row>
  </sheetData>
  <dataConsolidate>
    <dataRefs count="1">
      <dataRef name="=suma($G$5:$G$9)" r:id="rId1"/>
    </dataRefs>
  </dataConsolidate>
  <mergeCells count="31">
    <mergeCell ref="B2:C2"/>
    <mergeCell ref="D2:E2"/>
    <mergeCell ref="B3:C3"/>
    <mergeCell ref="D3:E3"/>
    <mergeCell ref="B237:C237"/>
    <mergeCell ref="B225:G225"/>
    <mergeCell ref="F3:F4"/>
    <mergeCell ref="G3:G4"/>
    <mergeCell ref="A41:A45"/>
    <mergeCell ref="A27:A31"/>
    <mergeCell ref="M3:M4"/>
    <mergeCell ref="N3:N4"/>
    <mergeCell ref="I225:N225"/>
    <mergeCell ref="I3:I4"/>
    <mergeCell ref="K3:K4"/>
    <mergeCell ref="A176:A180"/>
    <mergeCell ref="A148:A152"/>
    <mergeCell ref="A48:A52"/>
    <mergeCell ref="L3:L4"/>
    <mergeCell ref="J3:J4"/>
    <mergeCell ref="H3:H4"/>
    <mergeCell ref="X225:X226"/>
    <mergeCell ref="W225:W226"/>
    <mergeCell ref="W3:W4"/>
    <mergeCell ref="P3:P4"/>
    <mergeCell ref="O3:O4"/>
    <mergeCell ref="Q3:S3"/>
    <mergeCell ref="T225:V225"/>
    <mergeCell ref="T3:V3"/>
    <mergeCell ref="X3:X4"/>
    <mergeCell ref="P225:S225"/>
  </mergeCells>
  <conditionalFormatting sqref="D26:D31 D47:D54">
    <cfRule type="expression" dxfId="32" priority="28">
      <formula>AND($B26&lt;&gt;$D26)</formula>
    </cfRule>
  </conditionalFormatting>
  <conditionalFormatting sqref="D33:D38">
    <cfRule type="expression" dxfId="31" priority="20">
      <formula>AND($B33&lt;&gt;$D33)</formula>
    </cfRule>
  </conditionalFormatting>
  <conditionalFormatting sqref="D40:D45">
    <cfRule type="expression" dxfId="30" priority="79">
      <formula>AND($B40&lt;&gt;$D40)</formula>
    </cfRule>
  </conditionalFormatting>
  <conditionalFormatting sqref="D56:D61">
    <cfRule type="expression" dxfId="29" priority="75">
      <formula>AND($B56&lt;&gt;$D56)</formula>
    </cfRule>
  </conditionalFormatting>
  <conditionalFormatting sqref="D77:D82">
    <cfRule type="expression" dxfId="28" priority="24">
      <formula>AND($B77&lt;&gt;$D77)</formula>
    </cfRule>
  </conditionalFormatting>
  <conditionalFormatting sqref="D84:D89">
    <cfRule type="expression" dxfId="27" priority="14">
      <formula>AND($B84&lt;&gt;$D84)</formula>
    </cfRule>
  </conditionalFormatting>
  <conditionalFormatting sqref="D91:D96">
    <cfRule type="expression" dxfId="26" priority="30">
      <formula>AND($B91&lt;&gt;$D91)</formula>
    </cfRule>
  </conditionalFormatting>
  <conditionalFormatting sqref="D154:D159">
    <cfRule type="expression" dxfId="25" priority="45">
      <formula>AND($B154&lt;&gt;$D154)</formula>
    </cfRule>
  </conditionalFormatting>
  <conditionalFormatting sqref="D5:E10">
    <cfRule type="expression" dxfId="24" priority="35">
      <formula>AND($B5&lt;&gt;$D5)</formula>
    </cfRule>
  </conditionalFormatting>
  <conditionalFormatting sqref="D12:E17">
    <cfRule type="expression" dxfId="23" priority="80">
      <formula>AND($B12&lt;&gt;$D12)</formula>
    </cfRule>
  </conditionalFormatting>
  <conditionalFormatting sqref="D19:E24">
    <cfRule type="expression" dxfId="22" priority="114">
      <formula>AND($B19&lt;&gt;$D19)</formula>
    </cfRule>
  </conditionalFormatting>
  <conditionalFormatting sqref="D63:E68">
    <cfRule type="expression" dxfId="21" priority="25">
      <formula>AND($B63&lt;&gt;$D63)</formula>
    </cfRule>
  </conditionalFormatting>
  <conditionalFormatting sqref="D70:E75">
    <cfRule type="expression" dxfId="20" priority="26">
      <formula>AND($B70&lt;&gt;$D70)</formula>
    </cfRule>
  </conditionalFormatting>
  <conditionalFormatting sqref="D98:E103">
    <cfRule type="expression" dxfId="19" priority="69">
      <formula>AND($B98&lt;&gt;$D98)</formula>
    </cfRule>
  </conditionalFormatting>
  <conditionalFormatting sqref="D105:E109">
    <cfRule type="expression" dxfId="18" priority="67">
      <formula>AND($B105&lt;&gt;$D105)</formula>
    </cfRule>
  </conditionalFormatting>
  <conditionalFormatting sqref="D112:E117">
    <cfRule type="expression" dxfId="17" priority="11">
      <formula>AND($B112&lt;&gt;$D112)</formula>
    </cfRule>
  </conditionalFormatting>
  <conditionalFormatting sqref="D119:E124">
    <cfRule type="expression" dxfId="16" priority="9">
      <formula>AND($B119&lt;&gt;$D119)</formula>
    </cfRule>
  </conditionalFormatting>
  <conditionalFormatting sqref="D126:E131">
    <cfRule type="expression" dxfId="15" priority="2">
      <formula>AND($B126&lt;&gt;$D126)</formula>
    </cfRule>
  </conditionalFormatting>
  <conditionalFormatting sqref="D133:E137">
    <cfRule type="expression" dxfId="14" priority="5">
      <formula>AND($B133&lt;&gt;$D133)</formula>
    </cfRule>
  </conditionalFormatting>
  <conditionalFormatting sqref="D140:E145">
    <cfRule type="expression" dxfId="13" priority="64">
      <formula>AND($B140&lt;&gt;$D140)</formula>
    </cfRule>
  </conditionalFormatting>
  <conditionalFormatting sqref="D147:E152">
    <cfRule type="expression" dxfId="12" priority="46">
      <formula>AND($B147&lt;&gt;$D147)</formula>
    </cfRule>
  </conditionalFormatting>
  <conditionalFormatting sqref="D161:E166 D168:E173 D175:E180 D182:E187 D189:E194 D196:E201">
    <cfRule type="expression" dxfId="11" priority="162">
      <formula>AND($B161&lt;&gt;$D161)</formula>
    </cfRule>
  </conditionalFormatting>
  <conditionalFormatting sqref="D203:E208">
    <cfRule type="expression" dxfId="10" priority="40">
      <formula>AND($B203&lt;&gt;$D203)</formula>
    </cfRule>
  </conditionalFormatting>
  <conditionalFormatting sqref="D210:E215">
    <cfRule type="expression" dxfId="9" priority="38">
      <formula>AND($B210&lt;&gt;$D210)</formula>
    </cfRule>
  </conditionalFormatting>
  <conditionalFormatting sqref="D217:E222">
    <cfRule type="expression" dxfId="8" priority="1">
      <formula>AND($B217&lt;&gt;$D217)</formula>
    </cfRule>
  </conditionalFormatting>
  <conditionalFormatting sqref="E26:E31 E47:E54">
    <cfRule type="expression" dxfId="7" priority="27">
      <formula>AND($C26&lt;&gt;$E26)</formula>
    </cfRule>
  </conditionalFormatting>
  <conditionalFormatting sqref="E33:E38">
    <cfRule type="expression" dxfId="6" priority="19">
      <formula>AND($C33&lt;&gt;$E33)</formula>
    </cfRule>
  </conditionalFormatting>
  <conditionalFormatting sqref="E40:E45">
    <cfRule type="expression" dxfId="5" priority="78">
      <formula>AND($C40&lt;&gt;$E40)</formula>
    </cfRule>
  </conditionalFormatting>
  <conditionalFormatting sqref="E56:E61">
    <cfRule type="expression" dxfId="4" priority="74">
      <formula>AND($C56&lt;&gt;$E56)</formula>
    </cfRule>
  </conditionalFormatting>
  <conditionalFormatting sqref="E77:E82">
    <cfRule type="expression" dxfId="3" priority="23">
      <formula>AND($C77&lt;&gt;$E77)</formula>
    </cfRule>
  </conditionalFormatting>
  <conditionalFormatting sqref="E84:E89">
    <cfRule type="expression" dxfId="2" priority="13">
      <formula>AND($C84&lt;&gt;$E84)</formula>
    </cfRule>
  </conditionalFormatting>
  <conditionalFormatting sqref="E91:E96">
    <cfRule type="expression" dxfId="1" priority="29">
      <formula>AND($C91&lt;&gt;$E91)</formula>
    </cfRule>
  </conditionalFormatting>
  <conditionalFormatting sqref="E154:E159">
    <cfRule type="expression" dxfId="0" priority="44">
      <formula>AND($C154&lt;&gt;$E154)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46143</v>
      </c>
      <c r="E1" s="377"/>
      <c r="F1" s="377">
        <v>46144</v>
      </c>
      <c r="G1" s="377"/>
      <c r="H1" s="377">
        <v>46145</v>
      </c>
      <c r="I1" s="377"/>
      <c r="J1" s="377">
        <v>46146</v>
      </c>
      <c r="K1" s="377"/>
      <c r="L1" s="377">
        <v>46147</v>
      </c>
      <c r="M1" s="377"/>
      <c r="N1" s="377">
        <v>46148</v>
      </c>
      <c r="O1" s="377"/>
      <c r="P1" s="377">
        <v>46149</v>
      </c>
      <c r="Q1" s="377"/>
      <c r="R1" s="377">
        <v>46150</v>
      </c>
      <c r="S1" s="377"/>
      <c r="T1" s="377">
        <v>46151</v>
      </c>
      <c r="U1" s="377"/>
      <c r="V1" s="377">
        <v>46152</v>
      </c>
      <c r="W1" s="377"/>
      <c r="X1" s="377">
        <v>46153</v>
      </c>
      <c r="Y1" s="377"/>
      <c r="Z1" s="377">
        <v>46154</v>
      </c>
      <c r="AA1" s="377"/>
      <c r="AB1" s="377">
        <v>46155</v>
      </c>
      <c r="AC1" s="377"/>
      <c r="AD1" s="377">
        <v>46156</v>
      </c>
      <c r="AE1" s="377"/>
      <c r="AF1" s="377">
        <v>46157</v>
      </c>
      <c r="AG1" s="377"/>
      <c r="AH1" s="377">
        <v>46158</v>
      </c>
      <c r="AI1" s="377"/>
      <c r="AJ1" s="377">
        <v>46159</v>
      </c>
      <c r="AK1" s="377"/>
      <c r="AL1" s="377">
        <v>46160</v>
      </c>
      <c r="AM1" s="377"/>
      <c r="AN1" s="377">
        <v>46161</v>
      </c>
      <c r="AO1" s="377"/>
      <c r="AP1" s="377">
        <v>46162</v>
      </c>
      <c r="AQ1" s="377"/>
      <c r="AR1" s="377">
        <v>46163</v>
      </c>
      <c r="AS1" s="377"/>
      <c r="AT1" s="377">
        <v>46164</v>
      </c>
      <c r="AU1" s="377"/>
      <c r="AV1" s="377">
        <v>46165</v>
      </c>
      <c r="AW1" s="377"/>
      <c r="AX1" s="377">
        <v>46166</v>
      </c>
      <c r="AY1" s="377"/>
      <c r="AZ1" s="377">
        <v>46167</v>
      </c>
      <c r="BA1" s="377"/>
      <c r="BB1" s="377">
        <v>46168</v>
      </c>
      <c r="BC1" s="377"/>
      <c r="BD1" s="377">
        <v>46169</v>
      </c>
      <c r="BE1" s="377"/>
      <c r="BF1" s="377">
        <v>46170</v>
      </c>
      <c r="BG1" s="377"/>
      <c r="BH1" s="377">
        <v>46171</v>
      </c>
      <c r="BI1" s="377"/>
      <c r="BJ1" s="377">
        <v>46172</v>
      </c>
      <c r="BK1" s="377"/>
      <c r="BL1" s="377">
        <v>46173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8" t="s">
        <v>83</v>
      </c>
      <c r="B37" s="378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'KM-Servicio'!Q56</f>
        <v>2</v>
      </c>
      <c r="K19" s="83">
        <f>'KM-Servicio'!Q63</f>
        <v>0</v>
      </c>
      <c r="L19" s="83">
        <f>'KM-Servicio'!Q70</f>
        <v>0</v>
      </c>
      <c r="M19" s="83">
        <f>'KM-Servicio'!Q77</f>
        <v>3</v>
      </c>
      <c r="N19" s="83">
        <f>'KM-Servicio'!Q84</f>
        <v>5</v>
      </c>
      <c r="O19" s="83">
        <f>'KM-Servicio'!Q91</f>
        <v>2</v>
      </c>
      <c r="P19" s="83">
        <f>'KM-Servicio'!Q98</f>
        <v>3</v>
      </c>
      <c r="Q19" s="83">
        <f>'KM-Servicio'!Q105</f>
        <v>2</v>
      </c>
      <c r="R19" s="83">
        <f>'KM-Servicio'!Q112</f>
        <v>0</v>
      </c>
      <c r="S19" s="83">
        <f>'KM-Servicio'!Q119</f>
        <v>0</v>
      </c>
      <c r="T19" s="83">
        <f>'KM-Servicio'!Q126</f>
        <v>4</v>
      </c>
      <c r="U19" s="83">
        <f>'KM-Servicio'!Q133</f>
        <v>4</v>
      </c>
      <c r="V19" s="83">
        <f>'KM-Servicio'!Q140</f>
        <v>1</v>
      </c>
      <c r="W19" s="83">
        <f>'KM-Servicio'!Q147</f>
        <v>0</v>
      </c>
      <c r="X19" s="83">
        <f>'KM-Servicio'!Q154</f>
        <v>3</v>
      </c>
      <c r="Y19" s="83">
        <f>'KM-Servicio'!Q161</f>
        <v>0</v>
      </c>
      <c r="Z19" s="83">
        <f>'KM-Servicio'!Q168</f>
        <v>0</v>
      </c>
      <c r="AA19" s="83">
        <f>'KM-Servicio'!Q175</f>
        <v>3</v>
      </c>
      <c r="AB19" s="83">
        <f>'KM-Servicio'!Q182</f>
        <v>3</v>
      </c>
      <c r="AC19" s="83">
        <f>'KM-Servicio'!Q189</f>
        <v>3</v>
      </c>
      <c r="AD19" s="83">
        <f>'KM-Servicio'!Q196</f>
        <v>2</v>
      </c>
      <c r="AE19" s="83">
        <f>'KM-Servicio'!Q203</f>
        <v>2</v>
      </c>
      <c r="AF19" s="83">
        <f>'KM-Servicio'!Q210</f>
        <v>0</v>
      </c>
      <c r="AG19" s="83">
        <f>'KM-Servicio'!Q217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'KM-Servicio'!T57</f>
        <v>5</v>
      </c>
      <c r="K20" s="83">
        <f>'KM-Servicio'!T64</f>
        <v>0</v>
      </c>
      <c r="L20" s="83">
        <f>'KM-Servicio'!T71</f>
        <v>0</v>
      </c>
      <c r="M20" s="83">
        <f>'KM-Servicio'!T78</f>
        <v>6</v>
      </c>
      <c r="N20" s="83">
        <f>'KM-Servicio'!T85</f>
        <v>5</v>
      </c>
      <c r="O20" s="83">
        <f>'KM-Servicio'!T92</f>
        <v>4</v>
      </c>
      <c r="P20" s="83">
        <f>'KM-Servicio'!T99</f>
        <v>3</v>
      </c>
      <c r="Q20" s="83">
        <f>'KM-Servicio'!T106</f>
        <v>1</v>
      </c>
      <c r="R20" s="83">
        <f>'KM-Servicio'!T113</f>
        <v>0</v>
      </c>
      <c r="S20" s="83">
        <f>'KM-Servicio'!T120</f>
        <v>0</v>
      </c>
      <c r="T20" s="83">
        <f>'KM-Servicio'!T127</f>
        <v>4</v>
      </c>
      <c r="U20" s="83">
        <f>'KM-Servicio'!T134</f>
        <v>3</v>
      </c>
      <c r="V20" s="83">
        <f>'KM-Servicio'!T141</f>
        <v>3</v>
      </c>
      <c r="W20" s="83">
        <f>'KM-Servicio'!T148</f>
        <v>1</v>
      </c>
      <c r="X20" s="83">
        <f>'KM-Servicio'!T155</f>
        <v>5</v>
      </c>
      <c r="Y20" s="83">
        <f>'KM-Servicio'!T162</f>
        <v>0</v>
      </c>
      <c r="Z20" s="83">
        <f>'KM-Servicio'!T169</f>
        <v>0</v>
      </c>
      <c r="AA20" s="83">
        <f>'KM-Servicio'!T176</f>
        <v>4</v>
      </c>
      <c r="AB20" s="83">
        <f>'KM-Servicio'!T183</f>
        <v>4</v>
      </c>
      <c r="AC20" s="83">
        <f>'KM-Servicio'!T190</f>
        <v>4</v>
      </c>
      <c r="AD20" s="83">
        <f>'KM-Servicio'!T197</f>
        <v>3</v>
      </c>
      <c r="AE20" s="83">
        <f>'KM-Servicio'!T204</f>
        <v>3</v>
      </c>
      <c r="AF20" s="83">
        <f>'KM-Servicio'!T211</f>
        <v>0</v>
      </c>
      <c r="AG20" s="83">
        <f>'KM-Servicio'!T218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'KM-Servicio'!U57</f>
        <v>0</v>
      </c>
      <c r="K21" s="83">
        <f>'KM-Servicio'!U64</f>
        <v>0</v>
      </c>
      <c r="L21" s="83">
        <f>'KM-Servicio'!U71</f>
        <v>0</v>
      </c>
      <c r="M21" s="83">
        <f>'KM-Servicio'!U78</f>
        <v>0</v>
      </c>
      <c r="N21" s="83">
        <f>'KM-Servicio'!U85</f>
        <v>0</v>
      </c>
      <c r="O21" s="83">
        <f>'KM-Servicio'!U92</f>
        <v>0</v>
      </c>
      <c r="P21" s="83">
        <f>'KM-Servicio'!U99</f>
        <v>0</v>
      </c>
      <c r="Q21" s="83">
        <f>'KM-Servicio'!U106</f>
        <v>0</v>
      </c>
      <c r="R21" s="83">
        <f>'KM-Servicio'!U113</f>
        <v>0</v>
      </c>
      <c r="S21" s="83">
        <f>'KM-Servicio'!U120</f>
        <v>0</v>
      </c>
      <c r="T21" s="83">
        <f>'KM-Servicio'!U127</f>
        <v>0</v>
      </c>
      <c r="U21" s="83">
        <f>'KM-Servicio'!U134</f>
        <v>0</v>
      </c>
      <c r="V21" s="83">
        <f>'KM-Servicio'!U141</f>
        <v>0</v>
      </c>
      <c r="W21" s="83">
        <f>'KM-Servicio'!U148</f>
        <v>0</v>
      </c>
      <c r="X21" s="83">
        <f>'KM-Servicio'!U155</f>
        <v>0</v>
      </c>
      <c r="Y21" s="83">
        <f>'KM-Servicio'!U162</f>
        <v>0</v>
      </c>
      <c r="Z21" s="83">
        <f>'KM-Servicio'!U169</f>
        <v>0</v>
      </c>
      <c r="AA21" s="83">
        <f>'KM-Servicio'!U176</f>
        <v>0</v>
      </c>
      <c r="AB21" s="83">
        <f>'KM-Servicio'!U183</f>
        <v>0</v>
      </c>
      <c r="AC21" s="83">
        <f>'KM-Servicio'!U190</f>
        <v>0</v>
      </c>
      <c r="AD21" s="83">
        <f>'KM-Servicio'!U197</f>
        <v>0</v>
      </c>
      <c r="AE21" s="83">
        <f>'KM-Servicio'!U204</f>
        <v>0</v>
      </c>
      <c r="AF21" s="83">
        <f>'KM-Servicio'!U211</f>
        <v>0</v>
      </c>
      <c r="AG21" s="83">
        <f>'KM-Servicio'!U218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302573.62000000005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12297.86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31467656.480000012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1278977.44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605147.24000000011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24595.72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23994088.066000007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975220.29800000007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'KM-Servicio'!N55</f>
        <v>12211</v>
      </c>
      <c r="C10" s="312">
        <f t="shared" si="0"/>
        <v>67439</v>
      </c>
      <c r="D10" s="312">
        <f>'KM-Servicio'!W55</f>
        <v>11348.49</v>
      </c>
      <c r="E10" s="312">
        <f t="shared" si="1"/>
        <v>64865.1</v>
      </c>
      <c r="F10" s="313">
        <f>'KM-Servicio'!O55</f>
        <v>92.9366145278847</v>
      </c>
      <c r="G10" s="314">
        <f>SUM('KM-Servicio'!B55:C55)</f>
        <v>229</v>
      </c>
      <c r="H10" s="314">
        <f>SUM('KM-Servicio'!D55:E55)</f>
        <v>193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'KM-Servicio'!N62</f>
        <v>12919</v>
      </c>
      <c r="C11" s="312">
        <f t="shared" si="0"/>
        <v>80358</v>
      </c>
      <c r="D11" s="312">
        <f>'KM-Servicio'!W62</f>
        <v>12420.9</v>
      </c>
      <c r="E11" s="312">
        <f t="shared" si="1"/>
        <v>77286</v>
      </c>
      <c r="F11" s="313">
        <f>'KM-Servicio'!O62</f>
        <v>96.144438424026617</v>
      </c>
      <c r="G11" s="314">
        <f>SUM('KM-Servicio'!B62:C62)</f>
        <v>229</v>
      </c>
      <c r="H11" s="314">
        <f>SUM('KM-Servicio'!D62:E62)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'KM-Servicio'!N69</f>
        <v>6702</v>
      </c>
      <c r="C12" s="12">
        <f t="shared" si="0"/>
        <v>87060</v>
      </c>
      <c r="D12" s="12">
        <f>'KM-Servicio'!W69</f>
        <v>6469.5</v>
      </c>
      <c r="E12" s="12">
        <f t="shared" si="1"/>
        <v>83755.5</v>
      </c>
      <c r="F12" s="166">
        <f>'KM-Servicio'!O69</f>
        <v>96.530886302596244</v>
      </c>
      <c r="G12" s="167">
        <f>SUM('KM-Servicio'!B69:C69)</f>
        <v>147</v>
      </c>
      <c r="H12" s="167">
        <f>SUM('KM-Servicio'!D69:E69)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'KM-Servicio'!N76</f>
        <v>4984</v>
      </c>
      <c r="C13" s="12">
        <f t="shared" si="0"/>
        <v>92044</v>
      </c>
      <c r="D13" s="12">
        <f>'KM-Servicio'!W76</f>
        <v>4916.8200000000006</v>
      </c>
      <c r="E13" s="12">
        <f t="shared" si="1"/>
        <v>88672.320000000007</v>
      </c>
      <c r="F13" s="166">
        <f>'KM-Servicio'!O76</f>
        <v>98.652086677367592</v>
      </c>
      <c r="G13" s="167">
        <f>SUM('KM-Servicio'!B76:C76)</f>
        <v>111</v>
      </c>
      <c r="H13" s="167">
        <f>SUM('KM-Servicio'!D76:E76)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'KM-Servicio'!N83</f>
        <v>12984</v>
      </c>
      <c r="C14" s="12">
        <f t="shared" si="0"/>
        <v>105028</v>
      </c>
      <c r="D14" s="12">
        <f>'KM-Servicio'!W83</f>
        <v>12467.990000000002</v>
      </c>
      <c r="E14" s="12">
        <f t="shared" si="1"/>
        <v>101140.31000000001</v>
      </c>
      <c r="F14" s="166">
        <f>'KM-Servicio'!O83</f>
        <v>96.025800985828724</v>
      </c>
      <c r="G14" s="167">
        <f>SUM('KM-Servicio'!B83:C83)</f>
        <v>229</v>
      </c>
      <c r="H14" s="167">
        <f>SUM('KM-Servicio'!D83:E83)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'KM-Servicio'!N90</f>
        <v>12900</v>
      </c>
      <c r="C15" s="12">
        <f t="shared" si="0"/>
        <v>117928</v>
      </c>
      <c r="D15" s="12">
        <f>'KM-Servicio'!W90</f>
        <v>12367.710000000001</v>
      </c>
      <c r="E15" s="12">
        <f t="shared" si="1"/>
        <v>113508.02000000002</v>
      </c>
      <c r="F15" s="166">
        <f>'KM-Servicio'!O90</f>
        <v>95.873720930232565</v>
      </c>
      <c r="G15" s="167">
        <f>SUM('KM-Servicio'!B90:C90)</f>
        <v>229</v>
      </c>
      <c r="H15" s="167">
        <f>SUM('KM-Servicio'!D90:E90)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'KM-Servicio'!N97</f>
        <v>12976</v>
      </c>
      <c r="C16" s="312">
        <f t="shared" si="0"/>
        <v>130904</v>
      </c>
      <c r="D16" s="312">
        <f>'KM-Servicio'!W97</f>
        <v>12438.63</v>
      </c>
      <c r="E16" s="312">
        <f t="shared" si="1"/>
        <v>125946.65000000002</v>
      </c>
      <c r="F16" s="313">
        <f>'KM-Servicio'!O97</f>
        <v>95.8587392108508</v>
      </c>
      <c r="G16" s="314">
        <f>SUM('KM-Servicio'!B97:C97)</f>
        <v>229</v>
      </c>
      <c r="H16" s="314">
        <f>SUM('KM-Servicio'!D97:E97)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'KM-Servicio'!N104</f>
        <v>13125</v>
      </c>
      <c r="C17" s="312">
        <f t="shared" si="0"/>
        <v>144029</v>
      </c>
      <c r="D17" s="312">
        <f>'KM-Servicio'!W104</f>
        <v>12521.180000000002</v>
      </c>
      <c r="E17" s="312">
        <f t="shared" si="1"/>
        <v>138467.83000000002</v>
      </c>
      <c r="F17" s="313">
        <f>'KM-Servicio'!O104</f>
        <v>95.399466666666683</v>
      </c>
      <c r="G17" s="314">
        <f>SUM('KM-Servicio'!B104:C104)</f>
        <v>229</v>
      </c>
      <c r="H17" s="314">
        <f>SUM('KM-Servicio'!D104:E104)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'KM-Servicio'!N111</f>
        <v>13020</v>
      </c>
      <c r="C18" s="12">
        <f t="shared" si="0"/>
        <v>157049</v>
      </c>
      <c r="D18" s="12">
        <f>'KM-Servicio'!W111</f>
        <v>12574.37</v>
      </c>
      <c r="E18" s="12">
        <f t="shared" si="1"/>
        <v>151042.20000000001</v>
      </c>
      <c r="F18" s="166">
        <f>'KM-Servicio'!O111</f>
        <v>96.577342549923202</v>
      </c>
      <c r="G18" s="167">
        <f>SUM('KM-Servicio'!B111:C111)</f>
        <v>229</v>
      </c>
      <c r="H18" s="167">
        <f>SUM('KM-Servicio'!D111:E111)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'KM-Servicio'!$N$118</f>
        <v>6569</v>
      </c>
      <c r="C19" s="12">
        <f t="shared" si="0"/>
        <v>163618</v>
      </c>
      <c r="D19" s="12">
        <f>'KM-Servicio'!$W$118</f>
        <v>6469.5</v>
      </c>
      <c r="E19" s="12">
        <f t="shared" si="1"/>
        <v>157511.70000000001</v>
      </c>
      <c r="F19" s="166">
        <f>'KM-Servicio'!O118</f>
        <v>98.485309788400059</v>
      </c>
      <c r="G19" s="167">
        <f>SUM('KM-Servicio'!B118:C118)</f>
        <v>147</v>
      </c>
      <c r="H19" s="167">
        <f>SUM('KM-Servicio'!D118:E118)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'KM-Servicio'!$N$125</f>
        <v>5005</v>
      </c>
      <c r="C20" s="12">
        <f t="shared" si="0"/>
        <v>168623</v>
      </c>
      <c r="D20" s="12">
        <f>'KM-Servicio'!$W$125</f>
        <v>4916.8200000000006</v>
      </c>
      <c r="E20" s="12">
        <f t="shared" si="1"/>
        <v>162428.52000000002</v>
      </c>
      <c r="F20" s="166">
        <f>'KM-Servicio'!O125</f>
        <v>98.238161838161858</v>
      </c>
      <c r="G20" s="167">
        <f>SUM('KM-Servicio'!B125:C125)</f>
        <v>111</v>
      </c>
      <c r="H20" s="167">
        <f>SUM('KM-Servicio'!D125:E125)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'KM-Servicio'!N132</f>
        <v>12820</v>
      </c>
      <c r="C21" s="12">
        <f t="shared" si="0"/>
        <v>181443</v>
      </c>
      <c r="D21" s="12">
        <f>'KM-Servicio'!$W$132</f>
        <v>12240.960000000001</v>
      </c>
      <c r="E21" s="12">
        <f t="shared" si="1"/>
        <v>174669.48</v>
      </c>
      <c r="F21" s="166">
        <f>'KM-Servicio'!O132</f>
        <v>95.483307332293293</v>
      </c>
      <c r="G21" s="167">
        <f>SUM('KM-Servicio'!B132:C132)</f>
        <v>229</v>
      </c>
      <c r="H21" s="167">
        <f>SUM('KM-Servicio'!D132:E132)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'KM-Servicio'!N139</f>
        <v>12744</v>
      </c>
      <c r="C22" s="12">
        <f t="shared" si="0"/>
        <v>194187</v>
      </c>
      <c r="D22" s="12">
        <f>'KM-Servicio'!$W$139</f>
        <v>12330.930000000002</v>
      </c>
      <c r="E22" s="12">
        <f t="shared" si="1"/>
        <v>187000.41</v>
      </c>
      <c r="F22" s="171">
        <f>'KM-Servicio'!O139</f>
        <v>96.758709981167627</v>
      </c>
      <c r="G22" s="167">
        <f>SUM('KM-Servicio'!B139:C139)</f>
        <v>229</v>
      </c>
      <c r="H22" s="167">
        <f>SUM('KM-Servicio'!D139:E139)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'KM-Servicio'!N146</f>
        <v>12836</v>
      </c>
      <c r="C23" s="312">
        <f t="shared" si="0"/>
        <v>207023</v>
      </c>
      <c r="D23" s="312">
        <f>'KM-Servicio'!$W$146</f>
        <v>12297.860000000002</v>
      </c>
      <c r="E23" s="312">
        <f t="shared" si="1"/>
        <v>199298.27000000002</v>
      </c>
      <c r="F23" s="313">
        <f>'KM-Servicio'!O146</f>
        <v>95.80757245247743</v>
      </c>
      <c r="G23" s="314">
        <f>SUM('KM-Servicio'!B146:C146)</f>
        <v>229</v>
      </c>
      <c r="H23" s="314">
        <f>SUM('KM-Servicio'!D146:E146)</f>
        <v>229</v>
      </c>
      <c r="I23" s="312">
        <f>'Oferta Diaria'!V34</f>
        <v>975220.29800000007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'KM-Servicio'!N153</f>
        <v>6349</v>
      </c>
      <c r="C24" s="312">
        <f t="shared" si="0"/>
        <v>213372</v>
      </c>
      <c r="D24" s="312">
        <f>'KM-Servicio'!$W$153</f>
        <v>6106.73</v>
      </c>
      <c r="E24" s="312">
        <f t="shared" si="1"/>
        <v>205405.00000000003</v>
      </c>
      <c r="F24" s="313">
        <f>'KM-Servicio'!O153</f>
        <v>96.184123484013227</v>
      </c>
      <c r="G24" s="314">
        <f>SUM('KM-Servicio'!B153:C153)</f>
        <v>111</v>
      </c>
      <c r="H24" s="314">
        <f>SUM('KM-Servicio'!D153:E153)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'KM-Servicio'!N160</f>
        <v>12975</v>
      </c>
      <c r="C25" s="12">
        <f t="shared" si="0"/>
        <v>226347</v>
      </c>
      <c r="D25" s="12">
        <f>'KM-Servicio'!$W$160</f>
        <v>12399.460000000001</v>
      </c>
      <c r="E25" s="12">
        <f t="shared" si="1"/>
        <v>217804.46000000002</v>
      </c>
      <c r="F25" s="166">
        <f>'KM-Servicio'!O160</f>
        <v>95.56423892100193</v>
      </c>
      <c r="G25" s="167">
        <f>SUM('KM-Servicio'!B160:C160)</f>
        <v>229</v>
      </c>
      <c r="H25" s="167">
        <f>SUM('KM-Servicio'!D160:E160)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'KM-Servicio'!N167</f>
        <v>6547</v>
      </c>
      <c r="C26" s="12">
        <f t="shared" si="0"/>
        <v>232894</v>
      </c>
      <c r="D26" s="12">
        <f>'KM-Servicio'!$W$167</f>
        <v>6469.5</v>
      </c>
      <c r="E26" s="12">
        <f t="shared" si="1"/>
        <v>224273.96000000002</v>
      </c>
      <c r="F26" s="166">
        <f>'KM-Servicio'!O167</f>
        <v>98.81625171834429</v>
      </c>
      <c r="G26" s="167">
        <f>SUM('KM-Servicio'!B167:C167)</f>
        <v>147</v>
      </c>
      <c r="H26" s="167">
        <f>SUM('KM-Servicio'!D167:E167)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'KM-Servicio'!N174</f>
        <v>5004</v>
      </c>
      <c r="C27" s="12">
        <f t="shared" si="0"/>
        <v>237898</v>
      </c>
      <c r="D27" s="12">
        <f>'KM-Servicio'!$W$174</f>
        <v>4854.6900000000005</v>
      </c>
      <c r="E27" s="12">
        <f t="shared" si="1"/>
        <v>229128.65000000002</v>
      </c>
      <c r="F27" s="166">
        <f>'KM-Servicio'!O174</f>
        <v>97.016187050359719</v>
      </c>
      <c r="G27" s="167">
        <f>SUM('KM-Servicio'!B174:C174)</f>
        <v>111</v>
      </c>
      <c r="H27" s="167">
        <f>SUM('KM-Servicio'!D174:E174)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'KM-Servicio'!N181</f>
        <v>12602</v>
      </c>
      <c r="C28" s="312">
        <f t="shared" si="0"/>
        <v>250500</v>
      </c>
      <c r="D28" s="312">
        <f>'KM-Servicio'!$W$181</f>
        <v>12299.18</v>
      </c>
      <c r="E28" s="312">
        <f t="shared" si="1"/>
        <v>241427.83000000002</v>
      </c>
      <c r="F28" s="313">
        <f>'KM-Servicio'!O181</f>
        <v>97.597048087605145</v>
      </c>
      <c r="G28" s="314">
        <f>SUM('KM-Servicio'!B181:C181)</f>
        <v>229</v>
      </c>
      <c r="H28" s="314">
        <f>SUM('KM-Servicio'!D181:E181)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'KM-Servicio'!N188</f>
        <v>12923</v>
      </c>
      <c r="C29" s="12">
        <f t="shared" si="0"/>
        <v>263423</v>
      </c>
      <c r="D29" s="12">
        <f>'KM-Servicio'!$W$188</f>
        <v>12485.720000000001</v>
      </c>
      <c r="E29" s="12">
        <f t="shared" si="1"/>
        <v>253913.55000000002</v>
      </c>
      <c r="F29" s="166">
        <f>'KM-Servicio'!O188</f>
        <v>96.616265573009372</v>
      </c>
      <c r="G29" s="167">
        <f>SUM('KM-Servicio'!B188:C188)</f>
        <v>229</v>
      </c>
      <c r="H29" s="167">
        <f>SUM('KM-Servicio'!D188:E188)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'KM-Servicio'!N195</f>
        <v>12906</v>
      </c>
      <c r="C30" s="312">
        <f t="shared" si="0"/>
        <v>276329</v>
      </c>
      <c r="D30" s="312">
        <f>'KM-Servicio'!$W$195</f>
        <v>12385.440000000002</v>
      </c>
      <c r="E30" s="312">
        <f t="shared" si="1"/>
        <v>266298.99</v>
      </c>
      <c r="F30" s="313">
        <f>'KM-Servicio'!O195</f>
        <v>95.966527196652734</v>
      </c>
      <c r="G30" s="314">
        <f>SUM('KM-Servicio'!B195:C195)</f>
        <v>229</v>
      </c>
      <c r="H30" s="314">
        <f>SUM('KM-Servicio'!D195:E195)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'KM-Servicio'!N202</f>
        <v>12879</v>
      </c>
      <c r="C31" s="312">
        <f t="shared" si="0"/>
        <v>289208</v>
      </c>
      <c r="D31" s="312">
        <f>'KM-Servicio'!$W$202</f>
        <v>12420.900000000001</v>
      </c>
      <c r="E31" s="312">
        <f t="shared" si="1"/>
        <v>278719.89</v>
      </c>
      <c r="F31" s="313">
        <f>'KM-Servicio'!O202</f>
        <v>96.443046820405314</v>
      </c>
      <c r="G31" s="314">
        <f>SUM('KM-Servicio'!B202:C202)</f>
        <v>229</v>
      </c>
      <c r="H31" s="314">
        <f>SUM('KM-Servicio'!D202:E202)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'KM-Servicio'!N209</f>
        <v>12885</v>
      </c>
      <c r="C32" s="312">
        <f t="shared" si="0"/>
        <v>302093</v>
      </c>
      <c r="D32" s="12">
        <f>'KM-Servicio'!W209</f>
        <v>12420.900000000001</v>
      </c>
      <c r="E32" s="312">
        <f t="shared" si="1"/>
        <v>291140.79000000004</v>
      </c>
      <c r="F32" s="313">
        <f>'KM-Servicio'!O209</f>
        <v>96.398137369033776</v>
      </c>
      <c r="G32" s="167">
        <f>'KM-Servicio'!B209+'KM-Servicio'!C209</f>
        <v>229</v>
      </c>
      <c r="H32" s="167">
        <f>'KM-Servicio'!D209+'KM-Servicio'!E209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'KM-Servicio'!N216</f>
        <v>6576</v>
      </c>
      <c r="C33" s="312">
        <f t="shared" si="0"/>
        <v>308669</v>
      </c>
      <c r="D33" s="12">
        <f>'KM-Servicio'!W216</f>
        <v>6512.63</v>
      </c>
      <c r="E33" s="312">
        <f t="shared" si="1"/>
        <v>297653.42000000004</v>
      </c>
      <c r="F33" s="166">
        <f>'KM-Servicio'!O46</f>
        <v>98.009011857707506</v>
      </c>
      <c r="G33" s="167">
        <f>'KM-Servicio'!B216+'KM-Servicio'!C216</f>
        <v>147</v>
      </c>
      <c r="H33" s="167">
        <f>'KM-Servicio'!D216+'KM-Servicio'!E216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'KM-Servicio'!N223</f>
        <v>4943</v>
      </c>
      <c r="C34" s="12">
        <f t="shared" ref="C34" si="2">B34+C33</f>
        <v>313612</v>
      </c>
      <c r="D34" s="12">
        <f>'KM-Servicio'!W223</f>
        <v>4916.8200000000006</v>
      </c>
      <c r="E34" s="12">
        <f t="shared" ref="E34" si="3">D34+E33</f>
        <v>302570.24000000005</v>
      </c>
      <c r="F34" s="171">
        <f>'KM-Servicio'!O223</f>
        <v>99.470362128262195</v>
      </c>
      <c r="G34" s="167">
        <f>'KM-Servicio'!B223+'KM-Servicio'!C223</f>
        <v>111</v>
      </c>
      <c r="H34" s="167">
        <f>'KM-Servicio'!D223+'KM-Servicio'!E223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302570.24000000005</v>
      </c>
      <c r="E36" s="169">
        <f>SUM(E4:E34)</f>
        <v>4789836.2700000005</v>
      </c>
      <c r="F36" s="170">
        <f>AVERAGE(F4:F34)</f>
        <v>96.850355369701234</v>
      </c>
      <c r="G36" s="169">
        <f>SUM(G4:G34)</f>
        <v>5863</v>
      </c>
      <c r="H36" s="169">
        <f>SUM(H4:H34)</f>
        <v>5823</v>
      </c>
      <c r="I36" s="169">
        <f>SUM(I4:I34)</f>
        <v>23994088.066000007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1" t="s">
        <v>98</v>
      </c>
      <c r="B3" s="382"/>
      <c r="C3" s="382"/>
      <c r="D3" s="38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251.43333333333334</v>
      </c>
      <c r="C5" s="130">
        <f>'KM-Servicio'!J241</f>
        <v>7543</v>
      </c>
      <c r="D5" s="130">
        <f>'KM-Servicio'!C236</f>
        <v>7618</v>
      </c>
    </row>
    <row r="6" spans="1:15" x14ac:dyDescent="0.25">
      <c r="A6" s="34" t="s">
        <v>103</v>
      </c>
      <c r="B6" s="129">
        <f>C6/30</f>
        <v>194.1</v>
      </c>
      <c r="C6" s="130">
        <f>'KM-Servicio'!K234</f>
        <v>5823</v>
      </c>
      <c r="D6" s="130">
        <f>'KM-Servicio'!D234</f>
        <v>5863</v>
      </c>
    </row>
    <row r="7" spans="1:15" x14ac:dyDescent="0.25">
      <c r="A7" s="34" t="s">
        <v>66</v>
      </c>
      <c r="B7" s="129">
        <f>C7/30</f>
        <v>10165.108666666669</v>
      </c>
      <c r="C7" s="130">
        <f>'KM-Servicio'!M234</f>
        <v>304953.26000000007</v>
      </c>
      <c r="D7" s="130">
        <f>'KM-Servicio'!F234</f>
        <v>307504.74000000011</v>
      </c>
    </row>
    <row r="8" spans="1:15" x14ac:dyDescent="0.25">
      <c r="A8" s="34" t="s">
        <v>104</v>
      </c>
      <c r="B8" s="129">
        <f>C8/30</f>
        <v>7733.4473333333335</v>
      </c>
      <c r="C8" s="130">
        <f>'KM-Servicio'!L234</f>
        <v>232003.42</v>
      </c>
      <c r="D8" s="130">
        <f>'KM-Servicio'!E234</f>
        <v>233409.87</v>
      </c>
    </row>
    <row r="9" spans="1:15" x14ac:dyDescent="0.25">
      <c r="A9" s="34" t="s">
        <v>105</v>
      </c>
      <c r="B9" s="129">
        <f>C9/30</f>
        <v>1057171.3013333336</v>
      </c>
      <c r="C9" s="130">
        <f>'KM-Servicio'!N234</f>
        <v>31715139.040000007</v>
      </c>
      <c r="D9" s="130">
        <f>'KM-Servicio'!G234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4" t="s">
        <v>109</v>
      </c>
      <c r="B13" s="385"/>
      <c r="C13" s="385"/>
      <c r="D13" s="38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0"/>
      <c r="H16" s="39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0"/>
      <c r="H17" s="39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0"/>
      <c r="H18" s="39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0"/>
      <c r="H19" s="39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0"/>
      <c r="H20" s="39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0"/>
      <c r="H21" s="39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7"/>
      <c r="C23" s="388"/>
      <c r="D23" s="38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4"/>
      <c r="B24" s="385"/>
      <c r="C24" s="385"/>
      <c r="D24" s="38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7"/>
      <c r="C34" s="388"/>
      <c r="D34" s="38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2026-07-13T17:02:56Z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