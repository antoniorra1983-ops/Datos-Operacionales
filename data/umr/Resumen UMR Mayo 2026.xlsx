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filterPrivacy="1" showInkAnnotation="0" defaultThemeVersion="124226"/>
  <xr:revisionPtr revIDLastSave="19" documentId="13_ncr:1_{A7F80FDC-1AA0-40AB-99CF-64F4E498BD0F}" xr6:coauthVersionLast="47" xr6:coauthVersionMax="47" xr10:uidLastSave="{2C3AA43E-C44D-4BB3-AA5F-DECD82765385}"/>
  <bookViews>
    <workbookView xWindow="-120" yWindow="-120" windowWidth="29040" windowHeight="15720" tabRatio="686" activeTab="1" xr2:uid="{00000000-000D-0000-FFFF-FFFF00000000}"/>
  </bookViews>
  <sheets>
    <sheet name="Odometro-Kilometraje" sheetId="1" r:id="rId1"/>
    <sheet name="KM-Servicio" sheetId="2" r:id="rId2"/>
    <sheet name="Data Ocupacion" sheetId="3" r:id="rId3"/>
    <sheet name="Oferta Diaria" sheetId="4" r:id="rId4"/>
    <sheet name="UMR Resumen" sheetId="13" r:id="rId5"/>
    <sheet name="RESUMEN" sheetId="11" state="hidden" r:id="rId6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W49" i="2" l="1"/>
  <c r="W47" i="2"/>
  <c r="W48" i="2"/>
  <c r="H55" i="2"/>
  <c r="I55" i="2"/>
  <c r="G55" i="2"/>
  <c r="W55" i="2"/>
  <c r="J55" i="2"/>
  <c r="X53" i="2"/>
  <c r="X54" i="2"/>
  <c r="J54" i="2"/>
  <c r="AH2" i="2"/>
  <c r="W53" i="2"/>
  <c r="W54" i="2"/>
  <c r="J53" i="2"/>
  <c r="H53" i="2"/>
  <c r="I53" i="2"/>
  <c r="H54" i="2"/>
  <c r="I54" i="2"/>
  <c r="G53" i="2"/>
  <c r="G54" i="2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S93" i="1"/>
  <c r="T93" i="1"/>
  <c r="U93" i="1"/>
  <c r="V93" i="1"/>
  <c r="W93" i="1"/>
  <c r="X93" i="1"/>
  <c r="Y93" i="1"/>
  <c r="Z93" i="1"/>
  <c r="AA93" i="1"/>
  <c r="AB93" i="1"/>
  <c r="AC93" i="1"/>
  <c r="AD93" i="1"/>
  <c r="AE93" i="1"/>
  <c r="AF93" i="1"/>
  <c r="W86" i="1"/>
  <c r="X86" i="1"/>
  <c r="Y86" i="1"/>
  <c r="Z86" i="1"/>
  <c r="AA86" i="1"/>
  <c r="AB86" i="1"/>
  <c r="AC86" i="1"/>
  <c r="AC88" i="1" s="1"/>
  <c r="N202" i="2" s="1"/>
  <c r="AD86" i="1"/>
  <c r="AD88" i="1" s="1"/>
  <c r="N209" i="2" s="1"/>
  <c r="AE86" i="1"/>
  <c r="AF86" i="1"/>
  <c r="D86" i="1"/>
  <c r="E86" i="1"/>
  <c r="F86" i="1"/>
  <c r="G86" i="1"/>
  <c r="H86" i="1"/>
  <c r="I86" i="1"/>
  <c r="J86" i="1"/>
  <c r="K86" i="1"/>
  <c r="K88" i="1" s="1"/>
  <c r="N76" i="2" s="1"/>
  <c r="L86" i="1"/>
  <c r="M86" i="1"/>
  <c r="N86" i="1"/>
  <c r="O86" i="1"/>
  <c r="P86" i="1"/>
  <c r="Q86" i="1"/>
  <c r="R86" i="1"/>
  <c r="S86" i="1"/>
  <c r="S88" i="1" s="1"/>
  <c r="N132" i="2" s="1"/>
  <c r="T86" i="1"/>
  <c r="U86" i="1"/>
  <c r="V86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S90" i="1"/>
  <c r="T90" i="1"/>
  <c r="U90" i="1"/>
  <c r="V90" i="1"/>
  <c r="W90" i="1"/>
  <c r="X90" i="1"/>
  <c r="Y90" i="1"/>
  <c r="Z90" i="1"/>
  <c r="AA90" i="1"/>
  <c r="AB90" i="1"/>
  <c r="AC90" i="1"/>
  <c r="AD90" i="1"/>
  <c r="AE90" i="1"/>
  <c r="AF90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S91" i="1"/>
  <c r="T91" i="1"/>
  <c r="U91" i="1"/>
  <c r="V91" i="1"/>
  <c r="W91" i="1"/>
  <c r="X91" i="1"/>
  <c r="Y91" i="1"/>
  <c r="Z91" i="1"/>
  <c r="AA91" i="1"/>
  <c r="AB91" i="1"/>
  <c r="AC91" i="1"/>
  <c r="AD91" i="1"/>
  <c r="AE91" i="1"/>
  <c r="AF91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S92" i="1"/>
  <c r="T92" i="1"/>
  <c r="U92" i="1"/>
  <c r="V92" i="1"/>
  <c r="W92" i="1"/>
  <c r="X92" i="1"/>
  <c r="Y92" i="1"/>
  <c r="Z92" i="1"/>
  <c r="AA92" i="1"/>
  <c r="AB92" i="1"/>
  <c r="AC92" i="1"/>
  <c r="AD92" i="1"/>
  <c r="AE92" i="1"/>
  <c r="AF92" i="1"/>
  <c r="C93" i="1"/>
  <c r="C92" i="1"/>
  <c r="C91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S106" i="1"/>
  <c r="T106" i="1"/>
  <c r="U106" i="1"/>
  <c r="V106" i="1"/>
  <c r="W106" i="1"/>
  <c r="X106" i="1"/>
  <c r="Y106" i="1"/>
  <c r="Z106" i="1"/>
  <c r="AA106" i="1"/>
  <c r="AB106" i="1"/>
  <c r="AC106" i="1"/>
  <c r="AD106" i="1"/>
  <c r="AE106" i="1"/>
  <c r="AF106" i="1"/>
  <c r="C106" i="1"/>
  <c r="B106" i="1"/>
  <c r="N101" i="1"/>
  <c r="N100" i="1"/>
  <c r="N102" i="1"/>
  <c r="N103" i="1"/>
  <c r="I103" i="1"/>
  <c r="I101" i="1"/>
  <c r="I100" i="1"/>
  <c r="F101" i="1"/>
  <c r="F100" i="1"/>
  <c r="E101" i="1"/>
  <c r="E100" i="1"/>
  <c r="I102" i="1"/>
  <c r="F102" i="1"/>
  <c r="F103" i="1"/>
  <c r="E102" i="1"/>
  <c r="E103" i="1"/>
  <c r="R227" i="2"/>
  <c r="P227" i="2"/>
  <c r="B139" i="2"/>
  <c r="C139" i="2"/>
  <c r="AG21" i="4"/>
  <c r="AG20" i="4"/>
  <c r="AG19" i="4"/>
  <c r="AG16" i="4"/>
  <c r="AG15" i="4"/>
  <c r="AG14" i="4"/>
  <c r="AG13" i="4"/>
  <c r="AG12" i="4"/>
  <c r="AG10" i="4"/>
  <c r="AG9" i="4"/>
  <c r="AG8" i="4"/>
  <c r="AG7" i="4"/>
  <c r="AG6" i="4"/>
  <c r="AG5" i="4"/>
  <c r="D218" i="2"/>
  <c r="E218" i="2"/>
  <c r="D219" i="2"/>
  <c r="E219" i="2"/>
  <c r="D220" i="2"/>
  <c r="E220" i="2"/>
  <c r="D221" i="2"/>
  <c r="E221" i="2"/>
  <c r="D222" i="2"/>
  <c r="E222" i="2"/>
  <c r="E217" i="2"/>
  <c r="D217" i="2"/>
  <c r="G217" i="2" s="1"/>
  <c r="J217" i="2" s="1"/>
  <c r="D196" i="2"/>
  <c r="E196" i="2"/>
  <c r="D197" i="2"/>
  <c r="E197" i="2"/>
  <c r="C209" i="2"/>
  <c r="B209" i="2"/>
  <c r="C202" i="2"/>
  <c r="B202" i="2"/>
  <c r="G31" i="13" s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X220" i="2"/>
  <c r="C223" i="2"/>
  <c r="B223" i="2"/>
  <c r="G34" i="13" s="1"/>
  <c r="H222" i="2"/>
  <c r="X222" i="2" s="1"/>
  <c r="H221" i="2"/>
  <c r="X221" i="2" s="1"/>
  <c r="H220" i="2"/>
  <c r="H219" i="2"/>
  <c r="X219" i="2" s="1"/>
  <c r="H218" i="2"/>
  <c r="X218" i="2"/>
  <c r="H217" i="2"/>
  <c r="X217" i="2" s="1"/>
  <c r="C153" i="2"/>
  <c r="B153" i="2"/>
  <c r="G24" i="13" s="1"/>
  <c r="AS24" i="3"/>
  <c r="AR24" i="3"/>
  <c r="AO24" i="3"/>
  <c r="AN24" i="3"/>
  <c r="AM24" i="3"/>
  <c r="AL24" i="3"/>
  <c r="AK24" i="3"/>
  <c r="AJ24" i="3"/>
  <c r="AI24" i="3"/>
  <c r="AH24" i="3"/>
  <c r="C132" i="2"/>
  <c r="B132" i="2"/>
  <c r="C125" i="2"/>
  <c r="B125" i="2"/>
  <c r="C118" i="2"/>
  <c r="B118" i="2"/>
  <c r="I220" i="2"/>
  <c r="K220" i="2" s="1"/>
  <c r="B88" i="1"/>
  <c r="C62" i="2"/>
  <c r="B62" i="2"/>
  <c r="G11" i="13" s="1"/>
  <c r="C55" i="2"/>
  <c r="B55" i="2"/>
  <c r="C46" i="2"/>
  <c r="B46" i="2"/>
  <c r="C90" i="2"/>
  <c r="B90" i="2"/>
  <c r="C83" i="2"/>
  <c r="B83" i="2"/>
  <c r="G14" i="13" s="1"/>
  <c r="C76" i="2"/>
  <c r="B76" i="2"/>
  <c r="C69" i="2"/>
  <c r="B69" i="2"/>
  <c r="G12" i="13" s="1"/>
  <c r="C39" i="2"/>
  <c r="B39" i="2"/>
  <c r="C90" i="1"/>
  <c r="C86" i="1"/>
  <c r="AF85" i="1"/>
  <c r="AF84" i="1"/>
  <c r="AF83" i="1"/>
  <c r="AF82" i="1"/>
  <c r="AF81" i="1"/>
  <c r="AF80" i="1"/>
  <c r="AF79" i="1"/>
  <c r="AF78" i="1"/>
  <c r="AF77" i="1"/>
  <c r="AF76" i="1"/>
  <c r="AF75" i="1"/>
  <c r="AF74" i="1"/>
  <c r="AF73" i="1"/>
  <c r="AF72" i="1"/>
  <c r="AF71" i="1"/>
  <c r="AF70" i="1"/>
  <c r="AF69" i="1"/>
  <c r="AF68" i="1"/>
  <c r="AF67" i="1"/>
  <c r="AF66" i="1"/>
  <c r="AF65" i="1"/>
  <c r="AF64" i="1"/>
  <c r="AF63" i="1"/>
  <c r="AF62" i="1"/>
  <c r="AF61" i="1"/>
  <c r="AF60" i="1"/>
  <c r="AF59" i="1"/>
  <c r="AF58" i="1"/>
  <c r="AF57" i="1"/>
  <c r="AF56" i="1"/>
  <c r="AF55" i="1"/>
  <c r="AF54" i="1"/>
  <c r="AF53" i="1"/>
  <c r="AF52" i="1"/>
  <c r="AF51" i="1"/>
  <c r="BL53" i="3"/>
  <c r="BL52" i="3"/>
  <c r="BL51" i="3"/>
  <c r="BL50" i="3"/>
  <c r="BL49" i="3"/>
  <c r="BL48" i="3"/>
  <c r="BL45" i="3"/>
  <c r="BL44" i="3"/>
  <c r="BL43" i="3"/>
  <c r="BL42" i="3"/>
  <c r="BL41" i="3"/>
  <c r="BL40" i="3"/>
  <c r="BM36" i="3"/>
  <c r="BL36" i="3"/>
  <c r="BM35" i="3"/>
  <c r="BL35" i="3"/>
  <c r="BM34" i="3"/>
  <c r="BL34" i="3"/>
  <c r="BM33" i="3"/>
  <c r="BL33" i="3"/>
  <c r="BM32" i="3"/>
  <c r="BL32" i="3"/>
  <c r="BM31" i="3"/>
  <c r="BL31" i="3"/>
  <c r="BM24" i="3"/>
  <c r="BL24" i="3"/>
  <c r="N11" i="2"/>
  <c r="AF21" i="4"/>
  <c r="AF20" i="4"/>
  <c r="AF19" i="4"/>
  <c r="AE21" i="4"/>
  <c r="AE20" i="4"/>
  <c r="AE19" i="4"/>
  <c r="AE29" i="4" s="1"/>
  <c r="BJ24" i="3"/>
  <c r="BK24" i="3"/>
  <c r="AF88" i="1"/>
  <c r="N223" i="2" s="1"/>
  <c r="AG28" i="4"/>
  <c r="BL37" i="3"/>
  <c r="BM37" i="3"/>
  <c r="AG30" i="4"/>
  <c r="AG27" i="4"/>
  <c r="BI24" i="3"/>
  <c r="BH24" i="3"/>
  <c r="BG24" i="3"/>
  <c r="BF24" i="3"/>
  <c r="AG33" i="4"/>
  <c r="BE24" i="3"/>
  <c r="BD24" i="3"/>
  <c r="BC24" i="3"/>
  <c r="BB24" i="3"/>
  <c r="BA24" i="3"/>
  <c r="AZ24" i="3"/>
  <c r="AY24" i="3"/>
  <c r="AX24" i="3"/>
  <c r="AW24" i="3"/>
  <c r="AV24" i="3"/>
  <c r="AU24" i="3"/>
  <c r="AT24" i="3"/>
  <c r="AP24" i="3"/>
  <c r="AQ24" i="3"/>
  <c r="R21" i="4"/>
  <c r="AG24" i="3"/>
  <c r="AF24" i="3"/>
  <c r="AE24" i="3"/>
  <c r="AD24" i="3"/>
  <c r="O20" i="4"/>
  <c r="AC24" i="3"/>
  <c r="AB24" i="3"/>
  <c r="AA24" i="3"/>
  <c r="Z24" i="3"/>
  <c r="Y24" i="3"/>
  <c r="X24" i="3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W24" i="3"/>
  <c r="V24" i="3"/>
  <c r="T24" i="3"/>
  <c r="U24" i="3"/>
  <c r="R24" i="3"/>
  <c r="S24" i="3"/>
  <c r="P24" i="3"/>
  <c r="Q24" i="3"/>
  <c r="N24" i="3"/>
  <c r="O24" i="3"/>
  <c r="M24" i="3"/>
  <c r="L24" i="3"/>
  <c r="K24" i="3"/>
  <c r="J24" i="3"/>
  <c r="I24" i="3"/>
  <c r="H24" i="3"/>
  <c r="G24" i="3"/>
  <c r="F24" i="3"/>
  <c r="E24" i="3"/>
  <c r="D24" i="3"/>
  <c r="C188" i="2"/>
  <c r="B188" i="2"/>
  <c r="G29" i="13" s="1"/>
  <c r="C181" i="2"/>
  <c r="B181" i="2"/>
  <c r="C32" i="2"/>
  <c r="B32" i="2"/>
  <c r="G7" i="13" s="1"/>
  <c r="C25" i="2"/>
  <c r="B25" i="2"/>
  <c r="C18" i="2"/>
  <c r="B18" i="2"/>
  <c r="G5" i="13" s="1"/>
  <c r="C11" i="2"/>
  <c r="B11" i="2"/>
  <c r="C216" i="2"/>
  <c r="B216" i="2"/>
  <c r="G33" i="13" s="1"/>
  <c r="V20" i="4"/>
  <c r="AE85" i="1"/>
  <c r="AE84" i="1"/>
  <c r="AE83" i="1"/>
  <c r="AE82" i="1"/>
  <c r="AE81" i="1"/>
  <c r="AE80" i="1"/>
  <c r="AE79" i="1"/>
  <c r="AE78" i="1"/>
  <c r="AE77" i="1"/>
  <c r="AE76" i="1"/>
  <c r="AE75" i="1"/>
  <c r="AE74" i="1"/>
  <c r="AE73" i="1"/>
  <c r="AE72" i="1"/>
  <c r="AE71" i="1"/>
  <c r="AE70" i="1"/>
  <c r="AE69" i="1"/>
  <c r="AE68" i="1"/>
  <c r="AE67" i="1"/>
  <c r="AE66" i="1"/>
  <c r="AE65" i="1"/>
  <c r="AE64" i="1"/>
  <c r="AE63" i="1"/>
  <c r="AE62" i="1"/>
  <c r="AE61" i="1"/>
  <c r="AE60" i="1"/>
  <c r="AE59" i="1"/>
  <c r="AE58" i="1"/>
  <c r="AE57" i="1"/>
  <c r="AE56" i="1"/>
  <c r="AE55" i="1"/>
  <c r="AE54" i="1"/>
  <c r="AE53" i="1"/>
  <c r="AE52" i="1"/>
  <c r="AE51" i="1"/>
  <c r="AD85" i="1"/>
  <c r="AD84" i="1"/>
  <c r="AD83" i="1"/>
  <c r="AD82" i="1"/>
  <c r="AD81" i="1"/>
  <c r="AD80" i="1"/>
  <c r="AD79" i="1"/>
  <c r="AD78" i="1"/>
  <c r="AD77" i="1"/>
  <c r="AD76" i="1"/>
  <c r="AD75" i="1"/>
  <c r="AD74" i="1"/>
  <c r="AD73" i="1"/>
  <c r="AD72" i="1"/>
  <c r="AD71" i="1"/>
  <c r="AD70" i="1"/>
  <c r="AD69" i="1"/>
  <c r="AD68" i="1"/>
  <c r="AD67" i="1"/>
  <c r="AD66" i="1"/>
  <c r="AD65" i="1"/>
  <c r="AD64" i="1"/>
  <c r="AD63" i="1"/>
  <c r="AD62" i="1"/>
  <c r="AD61" i="1"/>
  <c r="AD60" i="1"/>
  <c r="AD59" i="1"/>
  <c r="AD58" i="1"/>
  <c r="AD57" i="1"/>
  <c r="AD56" i="1"/>
  <c r="AD55" i="1"/>
  <c r="AD54" i="1"/>
  <c r="AD53" i="1"/>
  <c r="AD52" i="1"/>
  <c r="AD51" i="1"/>
  <c r="BJ53" i="3"/>
  <c r="AF16" i="4"/>
  <c r="BJ52" i="3"/>
  <c r="BJ51" i="3"/>
  <c r="AF15" i="4"/>
  <c r="BJ50" i="3"/>
  <c r="AF14" i="4"/>
  <c r="BJ49" i="3"/>
  <c r="AF13" i="4"/>
  <c r="BJ48" i="3"/>
  <c r="AF12" i="4"/>
  <c r="BJ45" i="3"/>
  <c r="AF10" i="4"/>
  <c r="BJ44" i="3"/>
  <c r="AF9" i="4"/>
  <c r="BJ43" i="3"/>
  <c r="AF8" i="4"/>
  <c r="BJ42" i="3"/>
  <c r="AF7" i="4"/>
  <c r="BJ41" i="3"/>
  <c r="AF6" i="4"/>
  <c r="BJ40" i="3"/>
  <c r="AF5" i="4"/>
  <c r="BK36" i="3"/>
  <c r="E215" i="2"/>
  <c r="BJ36" i="3"/>
  <c r="D215" i="2"/>
  <c r="I215" i="2" s="1"/>
  <c r="BK35" i="3"/>
  <c r="E214" i="2"/>
  <c r="G214" i="2" s="1"/>
  <c r="J214" i="2" s="1"/>
  <c r="BJ35" i="3"/>
  <c r="D214" i="2"/>
  <c r="BK34" i="3"/>
  <c r="E213" i="2"/>
  <c r="BJ34" i="3"/>
  <c r="D213" i="2"/>
  <c r="BK33" i="3"/>
  <c r="E212" i="2"/>
  <c r="BJ33" i="3"/>
  <c r="D212" i="2"/>
  <c r="BK32" i="3"/>
  <c r="E211" i="2"/>
  <c r="BJ32" i="3"/>
  <c r="D211" i="2"/>
  <c r="D216" i="2" s="1"/>
  <c r="BK31" i="3"/>
  <c r="E210" i="2"/>
  <c r="BJ31" i="3"/>
  <c r="D210" i="2"/>
  <c r="BH53" i="3"/>
  <c r="AE16" i="4"/>
  <c r="BH52" i="3"/>
  <c r="BH51" i="3"/>
  <c r="AE15" i="4"/>
  <c r="BH50" i="3"/>
  <c r="AE14" i="4"/>
  <c r="BH49" i="3"/>
  <c r="AE13" i="4"/>
  <c r="BH48" i="3"/>
  <c r="AE12" i="4"/>
  <c r="BH45" i="3"/>
  <c r="AE10" i="4"/>
  <c r="BH44" i="3"/>
  <c r="AE9" i="4"/>
  <c r="BH43" i="3"/>
  <c r="AE8" i="4"/>
  <c r="BH42" i="3"/>
  <c r="AE7" i="4"/>
  <c r="BH41" i="3"/>
  <c r="AE6" i="4"/>
  <c r="BH40" i="3"/>
  <c r="AE5" i="4"/>
  <c r="BI36" i="3"/>
  <c r="E208" i="2"/>
  <c r="BH36" i="3"/>
  <c r="D208" i="2"/>
  <c r="BI35" i="3"/>
  <c r="E207" i="2"/>
  <c r="I207" i="2" s="1"/>
  <c r="BH35" i="3"/>
  <c r="D207" i="2"/>
  <c r="BI34" i="3"/>
  <c r="E206" i="2"/>
  <c r="BH34" i="3"/>
  <c r="D206" i="2"/>
  <c r="BI33" i="3"/>
  <c r="E205" i="2"/>
  <c r="I205" i="2" s="1"/>
  <c r="BH33" i="3"/>
  <c r="D205" i="2"/>
  <c r="BI32" i="3"/>
  <c r="E204" i="2"/>
  <c r="BH32" i="3"/>
  <c r="D204" i="2"/>
  <c r="BI31" i="3"/>
  <c r="E203" i="2"/>
  <c r="G203" i="2" s="1"/>
  <c r="BH31" i="3"/>
  <c r="D203" i="2"/>
  <c r="AE88" i="1"/>
  <c r="N216" i="2" s="1"/>
  <c r="AF30" i="4"/>
  <c r="AF27" i="4"/>
  <c r="AF28" i="4"/>
  <c r="AF33" i="4"/>
  <c r="BI37" i="3"/>
  <c r="BK37" i="3"/>
  <c r="AE28" i="4"/>
  <c r="AE33" i="4"/>
  <c r="BH37" i="3"/>
  <c r="BJ37" i="3"/>
  <c r="AE30" i="4"/>
  <c r="AE27" i="4"/>
  <c r="H208" i="2"/>
  <c r="X208" i="2" s="1"/>
  <c r="H207" i="2"/>
  <c r="X207" i="2" s="1"/>
  <c r="H206" i="2"/>
  <c r="X206" i="2" s="1"/>
  <c r="H205" i="2"/>
  <c r="X205" i="2" s="1"/>
  <c r="H204" i="2"/>
  <c r="X204" i="2" s="1"/>
  <c r="H203" i="2"/>
  <c r="X203" i="2" s="1"/>
  <c r="H215" i="2"/>
  <c r="X215" i="2"/>
  <c r="H214" i="2"/>
  <c r="X214" i="2" s="1"/>
  <c r="H213" i="2"/>
  <c r="X213" i="2" s="1"/>
  <c r="H212" i="2"/>
  <c r="H211" i="2"/>
  <c r="X211" i="2" s="1"/>
  <c r="H210" i="2"/>
  <c r="X210" i="2" s="1"/>
  <c r="E22" i="4"/>
  <c r="C174" i="2"/>
  <c r="B174" i="2"/>
  <c r="C195" i="2"/>
  <c r="G30" i="13" s="1"/>
  <c r="B195" i="2"/>
  <c r="C167" i="2"/>
  <c r="G26" i="13" s="1"/>
  <c r="B167" i="2"/>
  <c r="C160" i="2"/>
  <c r="B160" i="2"/>
  <c r="C146" i="2"/>
  <c r="B146" i="2"/>
  <c r="X21" i="4"/>
  <c r="C21" i="4"/>
  <c r="G22" i="4"/>
  <c r="C22" i="4"/>
  <c r="D22" i="4"/>
  <c r="F22" i="4"/>
  <c r="C111" i="2"/>
  <c r="B111" i="2"/>
  <c r="G18" i="13" s="1"/>
  <c r="C104" i="2"/>
  <c r="B104" i="2"/>
  <c r="C97" i="2"/>
  <c r="B97" i="2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8" i="1"/>
  <c r="C232" i="2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8" i="1"/>
  <c r="P88" i="1"/>
  <c r="N111" i="2" s="1"/>
  <c r="T227" i="2"/>
  <c r="AB2" i="2"/>
  <c r="AD20" i="4"/>
  <c r="AC20" i="4"/>
  <c r="B227" i="2"/>
  <c r="C231" i="2"/>
  <c r="C230" i="2"/>
  <c r="C229" i="2"/>
  <c r="D229" i="2" s="1"/>
  <c r="E229" i="2" s="1"/>
  <c r="C228" i="2"/>
  <c r="B232" i="2"/>
  <c r="F232" i="2" s="1"/>
  <c r="G232" i="2" s="1"/>
  <c r="B231" i="2"/>
  <c r="B230" i="2"/>
  <c r="B229" i="2"/>
  <c r="B228" i="2"/>
  <c r="C227" i="2"/>
  <c r="V227" i="2"/>
  <c r="U227" i="2"/>
  <c r="S227" i="2"/>
  <c r="Q227" i="2"/>
  <c r="G2" i="2"/>
  <c r="H61" i="2"/>
  <c r="H60" i="2"/>
  <c r="X60" i="2"/>
  <c r="H59" i="2"/>
  <c r="X59" i="2" s="1"/>
  <c r="H58" i="2"/>
  <c r="X58" i="2" s="1"/>
  <c r="H57" i="2"/>
  <c r="X57" i="2" s="1"/>
  <c r="H56" i="2"/>
  <c r="X56" i="2" s="1"/>
  <c r="H82" i="2"/>
  <c r="X82" i="2" s="1"/>
  <c r="H81" i="2"/>
  <c r="X81" i="2" s="1"/>
  <c r="H80" i="2"/>
  <c r="H79" i="2"/>
  <c r="X79" i="2" s="1"/>
  <c r="H78" i="2"/>
  <c r="X78" i="2" s="1"/>
  <c r="H77" i="2"/>
  <c r="X77" i="2" s="1"/>
  <c r="H75" i="2"/>
  <c r="X75" i="2" s="1"/>
  <c r="H74" i="2"/>
  <c r="X74" i="2" s="1"/>
  <c r="H73" i="2"/>
  <c r="X73" i="2" s="1"/>
  <c r="H72" i="2"/>
  <c r="X72" i="2" s="1"/>
  <c r="H71" i="2"/>
  <c r="X71" i="2" s="1"/>
  <c r="H70" i="2"/>
  <c r="X70" i="2" s="1"/>
  <c r="H131" i="2"/>
  <c r="X131" i="2" s="1"/>
  <c r="H130" i="2"/>
  <c r="H129" i="2"/>
  <c r="X129" i="2" s="1"/>
  <c r="H128" i="2"/>
  <c r="X128" i="2" s="1"/>
  <c r="H127" i="2"/>
  <c r="X127" i="2" s="1"/>
  <c r="H126" i="2"/>
  <c r="X126" i="2" s="1"/>
  <c r="H201" i="2"/>
  <c r="X201" i="2" s="1"/>
  <c r="H200" i="2"/>
  <c r="X200" i="2" s="1"/>
  <c r="H199" i="2"/>
  <c r="X199" i="2" s="1"/>
  <c r="H198" i="2"/>
  <c r="X198" i="2" s="1"/>
  <c r="H197" i="2"/>
  <c r="X197" i="2" s="1"/>
  <c r="H196" i="2"/>
  <c r="H194" i="2"/>
  <c r="X194" i="2" s="1"/>
  <c r="H193" i="2"/>
  <c r="X193" i="2" s="1"/>
  <c r="H192" i="2"/>
  <c r="X192" i="2" s="1"/>
  <c r="H191" i="2"/>
  <c r="X191" i="2" s="1"/>
  <c r="H190" i="2"/>
  <c r="X190" i="2" s="1"/>
  <c r="H189" i="2"/>
  <c r="H187" i="2"/>
  <c r="X187" i="2" s="1"/>
  <c r="H186" i="2"/>
  <c r="X186" i="2"/>
  <c r="H185" i="2"/>
  <c r="X185" i="2" s="1"/>
  <c r="H184" i="2"/>
  <c r="X184" i="2" s="1"/>
  <c r="H183" i="2"/>
  <c r="H182" i="2"/>
  <c r="X182" i="2" s="1"/>
  <c r="H180" i="2"/>
  <c r="X180" i="2" s="1"/>
  <c r="H179" i="2"/>
  <c r="X179" i="2" s="1"/>
  <c r="H178" i="2"/>
  <c r="X178" i="2" s="1"/>
  <c r="H177" i="2"/>
  <c r="H176" i="2"/>
  <c r="X176" i="2" s="1"/>
  <c r="H175" i="2"/>
  <c r="H173" i="2"/>
  <c r="X173" i="2" s="1"/>
  <c r="H172" i="2"/>
  <c r="X172" i="2" s="1"/>
  <c r="H171" i="2"/>
  <c r="X171" i="2" s="1"/>
  <c r="H170" i="2"/>
  <c r="X170" i="2" s="1"/>
  <c r="H169" i="2"/>
  <c r="X169" i="2" s="1"/>
  <c r="H168" i="2"/>
  <c r="X168" i="2" s="1"/>
  <c r="H166" i="2"/>
  <c r="H165" i="2"/>
  <c r="X165" i="2" s="1"/>
  <c r="H164" i="2"/>
  <c r="X164" i="2" s="1"/>
  <c r="H163" i="2"/>
  <c r="X163" i="2" s="1"/>
  <c r="H162" i="2"/>
  <c r="X162" i="2" s="1"/>
  <c r="H161" i="2"/>
  <c r="X161" i="2" s="1"/>
  <c r="H159" i="2"/>
  <c r="X159" i="2" s="1"/>
  <c r="H158" i="2"/>
  <c r="X158" i="2" s="1"/>
  <c r="H157" i="2"/>
  <c r="X157" i="2" s="1"/>
  <c r="H156" i="2"/>
  <c r="X156" i="2" s="1"/>
  <c r="H155" i="2"/>
  <c r="X155" i="2" s="1"/>
  <c r="H154" i="2"/>
  <c r="H152" i="2"/>
  <c r="X152" i="2" s="1"/>
  <c r="H151" i="2"/>
  <c r="X151" i="2" s="1"/>
  <c r="H150" i="2"/>
  <c r="X150" i="2" s="1"/>
  <c r="H149" i="2"/>
  <c r="X149" i="2" s="1"/>
  <c r="H148" i="2"/>
  <c r="X148" i="2" s="1"/>
  <c r="H147" i="2"/>
  <c r="H145" i="2"/>
  <c r="X145" i="2" s="1"/>
  <c r="H144" i="2"/>
  <c r="H143" i="2"/>
  <c r="X143" i="2"/>
  <c r="H142" i="2"/>
  <c r="X142" i="2" s="1"/>
  <c r="H141" i="2"/>
  <c r="X141" i="2" s="1"/>
  <c r="H140" i="2"/>
  <c r="X140" i="2" s="1"/>
  <c r="H138" i="2"/>
  <c r="X138" i="2" s="1"/>
  <c r="H137" i="2"/>
  <c r="X137" i="2" s="1"/>
  <c r="H136" i="2"/>
  <c r="X136" i="2" s="1"/>
  <c r="H135" i="2"/>
  <c r="X135" i="2" s="1"/>
  <c r="H134" i="2"/>
  <c r="X134" i="2" s="1"/>
  <c r="H133" i="2"/>
  <c r="H124" i="2"/>
  <c r="X124" i="2" s="1"/>
  <c r="H123" i="2"/>
  <c r="X123" i="2" s="1"/>
  <c r="H122" i="2"/>
  <c r="X122" i="2" s="1"/>
  <c r="H121" i="2"/>
  <c r="X121" i="2" s="1"/>
  <c r="H120" i="2"/>
  <c r="X120" i="2"/>
  <c r="H119" i="2"/>
  <c r="X119" i="2" s="1"/>
  <c r="H117" i="2"/>
  <c r="X117" i="2" s="1"/>
  <c r="H116" i="2"/>
  <c r="X116" i="2" s="1"/>
  <c r="H115" i="2"/>
  <c r="X115" i="2" s="1"/>
  <c r="H114" i="2"/>
  <c r="X114" i="2" s="1"/>
  <c r="H113" i="2"/>
  <c r="H112" i="2"/>
  <c r="X112" i="2" s="1"/>
  <c r="H110" i="2"/>
  <c r="X110" i="2"/>
  <c r="H109" i="2"/>
  <c r="X109" i="2" s="1"/>
  <c r="H108" i="2"/>
  <c r="X108" i="2" s="1"/>
  <c r="H107" i="2"/>
  <c r="H106" i="2"/>
  <c r="X106" i="2" s="1"/>
  <c r="H105" i="2"/>
  <c r="X105" i="2" s="1"/>
  <c r="H103" i="2"/>
  <c r="X103" i="2"/>
  <c r="H102" i="2"/>
  <c r="X102" i="2" s="1"/>
  <c r="H101" i="2"/>
  <c r="X101" i="2" s="1"/>
  <c r="H100" i="2"/>
  <c r="X100" i="2" s="1"/>
  <c r="H99" i="2"/>
  <c r="X99" i="2" s="1"/>
  <c r="H98" i="2"/>
  <c r="H96" i="2"/>
  <c r="X96" i="2" s="1"/>
  <c r="H95" i="2"/>
  <c r="X95" i="2" s="1"/>
  <c r="H94" i="2"/>
  <c r="X94" i="2" s="1"/>
  <c r="H93" i="2"/>
  <c r="X93" i="2" s="1"/>
  <c r="H92" i="2"/>
  <c r="X92" i="2" s="1"/>
  <c r="H91" i="2"/>
  <c r="X91" i="2"/>
  <c r="H89" i="2"/>
  <c r="X89" i="2" s="1"/>
  <c r="H88" i="2"/>
  <c r="X88" i="2" s="1"/>
  <c r="H87" i="2"/>
  <c r="X87" i="2" s="1"/>
  <c r="H86" i="2"/>
  <c r="X86" i="2" s="1"/>
  <c r="H85" i="2"/>
  <c r="X85" i="2" s="1"/>
  <c r="H84" i="2"/>
  <c r="X84" i="2" s="1"/>
  <c r="H68" i="2"/>
  <c r="X68" i="2" s="1"/>
  <c r="H67" i="2"/>
  <c r="X67" i="2" s="1"/>
  <c r="H66" i="2"/>
  <c r="H65" i="2"/>
  <c r="X65" i="2"/>
  <c r="H64" i="2"/>
  <c r="X64" i="2" s="1"/>
  <c r="H63" i="2"/>
  <c r="X63" i="2" s="1"/>
  <c r="H52" i="2"/>
  <c r="X52" i="2" s="1"/>
  <c r="H51" i="2"/>
  <c r="X51" i="2" s="1"/>
  <c r="H50" i="2"/>
  <c r="X50" i="2" s="1"/>
  <c r="H49" i="2"/>
  <c r="X49" i="2" s="1"/>
  <c r="H48" i="2"/>
  <c r="H47" i="2"/>
  <c r="X47" i="2" s="1"/>
  <c r="H45" i="2"/>
  <c r="X45" i="2" s="1"/>
  <c r="H44" i="2"/>
  <c r="X44" i="2" s="1"/>
  <c r="H43" i="2"/>
  <c r="X43" i="2" s="1"/>
  <c r="H42" i="2"/>
  <c r="X42" i="2" s="1"/>
  <c r="H41" i="2"/>
  <c r="H40" i="2"/>
  <c r="X40" i="2" s="1"/>
  <c r="H38" i="2"/>
  <c r="X38" i="2" s="1"/>
  <c r="H37" i="2"/>
  <c r="X37" i="2" s="1"/>
  <c r="H36" i="2"/>
  <c r="X36" i="2" s="1"/>
  <c r="H35" i="2"/>
  <c r="X35" i="2" s="1"/>
  <c r="H34" i="2"/>
  <c r="H33" i="2"/>
  <c r="X33" i="2" s="1"/>
  <c r="H31" i="2"/>
  <c r="X31" i="2" s="1"/>
  <c r="H30" i="2"/>
  <c r="X30" i="2" s="1"/>
  <c r="H29" i="2"/>
  <c r="X29" i="2" s="1"/>
  <c r="H28" i="2"/>
  <c r="X28" i="2" s="1"/>
  <c r="H27" i="2"/>
  <c r="X27" i="2" s="1"/>
  <c r="H26" i="2"/>
  <c r="H24" i="2"/>
  <c r="X24" i="2" s="1"/>
  <c r="H23" i="2"/>
  <c r="X23" i="2" s="1"/>
  <c r="H22" i="2"/>
  <c r="X22" i="2" s="1"/>
  <c r="H21" i="2"/>
  <c r="X21" i="2" s="1"/>
  <c r="H20" i="2"/>
  <c r="X20" i="2" s="1"/>
  <c r="H19" i="2"/>
  <c r="H17" i="2"/>
  <c r="X17" i="2" s="1"/>
  <c r="H16" i="2"/>
  <c r="X16" i="2" s="1"/>
  <c r="H15" i="2"/>
  <c r="X15" i="2" s="1"/>
  <c r="H14" i="2"/>
  <c r="X14" i="2" s="1"/>
  <c r="H13" i="2"/>
  <c r="X13" i="2" s="1"/>
  <c r="H12" i="2"/>
  <c r="X12" i="2" s="1"/>
  <c r="H6" i="2"/>
  <c r="X6" i="2"/>
  <c r="H7" i="2"/>
  <c r="X7" i="2" s="1"/>
  <c r="H8" i="2"/>
  <c r="X8" i="2" s="1"/>
  <c r="H9" i="2"/>
  <c r="X9" i="2" s="1"/>
  <c r="H10" i="2"/>
  <c r="X10" i="2" s="1"/>
  <c r="H5" i="2"/>
  <c r="X5" i="2" s="1"/>
  <c r="X189" i="2"/>
  <c r="X175" i="2"/>
  <c r="X196" i="2"/>
  <c r="Y19" i="4"/>
  <c r="AL31" i="3"/>
  <c r="AM31" i="3"/>
  <c r="AL32" i="3"/>
  <c r="AM32" i="3"/>
  <c r="AL33" i="3"/>
  <c r="AM33" i="3"/>
  <c r="AL34" i="3"/>
  <c r="AM34" i="3"/>
  <c r="AL35" i="3"/>
  <c r="AM35" i="3"/>
  <c r="AL36" i="3"/>
  <c r="AM36" i="3"/>
  <c r="AP48" i="3"/>
  <c r="AP49" i="3"/>
  <c r="AP50" i="3"/>
  <c r="AP51" i="3"/>
  <c r="AP52" i="3"/>
  <c r="AP53" i="3"/>
  <c r="AP40" i="3"/>
  <c r="AP41" i="3"/>
  <c r="AP42" i="3"/>
  <c r="AP43" i="3"/>
  <c r="AP44" i="3"/>
  <c r="AP45" i="3"/>
  <c r="AP31" i="3"/>
  <c r="AQ31" i="3"/>
  <c r="AP32" i="3"/>
  <c r="AQ32" i="3"/>
  <c r="AP33" i="3"/>
  <c r="AQ33" i="3"/>
  <c r="AP34" i="3"/>
  <c r="AQ34" i="3"/>
  <c r="AP35" i="3"/>
  <c r="AQ35" i="3"/>
  <c r="AP36" i="3"/>
  <c r="AQ36" i="3"/>
  <c r="AL53" i="3"/>
  <c r="AL52" i="3"/>
  <c r="AL51" i="3"/>
  <c r="AL50" i="3"/>
  <c r="AL49" i="3"/>
  <c r="AL48" i="3"/>
  <c r="AL45" i="3"/>
  <c r="AL44" i="3"/>
  <c r="AL43" i="3"/>
  <c r="AL42" i="3"/>
  <c r="AL41" i="3"/>
  <c r="AL40" i="3"/>
  <c r="R85" i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88" i="1"/>
  <c r="P40" i="3"/>
  <c r="P41" i="3"/>
  <c r="P42" i="3"/>
  <c r="P43" i="3"/>
  <c r="P44" i="3"/>
  <c r="P45" i="3"/>
  <c r="P48" i="3"/>
  <c r="P49" i="3"/>
  <c r="P50" i="3"/>
  <c r="P51" i="3"/>
  <c r="P52" i="3"/>
  <c r="P53" i="3"/>
  <c r="P31" i="3"/>
  <c r="Q31" i="3"/>
  <c r="P32" i="3"/>
  <c r="D48" i="2"/>
  <c r="D55" i="2" s="1"/>
  <c r="Q32" i="3"/>
  <c r="E48" i="2"/>
  <c r="P33" i="3"/>
  <c r="Q33" i="3"/>
  <c r="P34" i="3"/>
  <c r="Q34" i="3"/>
  <c r="P35" i="3"/>
  <c r="Q35" i="3"/>
  <c r="E51" i="2"/>
  <c r="P36" i="3"/>
  <c r="D52" i="2"/>
  <c r="Q36" i="3"/>
  <c r="E52" i="2"/>
  <c r="G52" i="2" s="1"/>
  <c r="J52" i="2" s="1"/>
  <c r="E19" i="4"/>
  <c r="N48" i="3"/>
  <c r="N49" i="3"/>
  <c r="N50" i="3"/>
  <c r="N51" i="3"/>
  <c r="N52" i="3"/>
  <c r="N53" i="3"/>
  <c r="N40" i="3"/>
  <c r="N41" i="3"/>
  <c r="N42" i="3"/>
  <c r="N43" i="3"/>
  <c r="N44" i="3"/>
  <c r="N45" i="3"/>
  <c r="N31" i="3"/>
  <c r="O31" i="3"/>
  <c r="N32" i="3"/>
  <c r="O32" i="3"/>
  <c r="N33" i="3"/>
  <c r="O33" i="3"/>
  <c r="N34" i="3"/>
  <c r="O34" i="3"/>
  <c r="N35" i="3"/>
  <c r="O35" i="3"/>
  <c r="N36" i="3"/>
  <c r="O36" i="3"/>
  <c r="AX48" i="3"/>
  <c r="AX49" i="3"/>
  <c r="AX50" i="3"/>
  <c r="AX51" i="3"/>
  <c r="AX52" i="3"/>
  <c r="AX53" i="3"/>
  <c r="AX40" i="3"/>
  <c r="AX41" i="3"/>
  <c r="AX42" i="3"/>
  <c r="AX43" i="3"/>
  <c r="AX44" i="3"/>
  <c r="AX45" i="3"/>
  <c r="AX31" i="3"/>
  <c r="D168" i="2"/>
  <c r="I168" i="2" s="1"/>
  <c r="K168" i="2" s="1"/>
  <c r="AY31" i="3"/>
  <c r="E168" i="2"/>
  <c r="AX32" i="3"/>
  <c r="D169" i="2"/>
  <c r="AY32" i="3"/>
  <c r="E169" i="2"/>
  <c r="I169" i="2" s="1"/>
  <c r="K169" i="2" s="1"/>
  <c r="AX33" i="3"/>
  <c r="AY33" i="3"/>
  <c r="AX34" i="3"/>
  <c r="D171" i="2"/>
  <c r="AY34" i="3"/>
  <c r="E171" i="2"/>
  <c r="AX35" i="3"/>
  <c r="D172" i="2"/>
  <c r="AY35" i="3"/>
  <c r="E172" i="2"/>
  <c r="AX36" i="3"/>
  <c r="D173" i="2"/>
  <c r="G173" i="2" s="1"/>
  <c r="AY36" i="3"/>
  <c r="E173" i="2"/>
  <c r="E170" i="2"/>
  <c r="AY37" i="3"/>
  <c r="D170" i="2"/>
  <c r="AX37" i="3"/>
  <c r="AV48" i="3"/>
  <c r="AV49" i="3"/>
  <c r="AV50" i="3"/>
  <c r="AV51" i="3"/>
  <c r="AV52" i="3"/>
  <c r="AV53" i="3"/>
  <c r="AV40" i="3"/>
  <c r="AV41" i="3"/>
  <c r="AV42" i="3"/>
  <c r="AV43" i="3"/>
  <c r="AV44" i="3"/>
  <c r="AV45" i="3"/>
  <c r="AV31" i="3"/>
  <c r="AW31" i="3"/>
  <c r="AV32" i="3"/>
  <c r="D162" i="2"/>
  <c r="G162" i="2" s="1"/>
  <c r="J162" i="2" s="1"/>
  <c r="AW32" i="3"/>
  <c r="E162" i="2"/>
  <c r="AV33" i="3"/>
  <c r="AW33" i="3"/>
  <c r="E163" i="2"/>
  <c r="AV34" i="3"/>
  <c r="D164" i="2"/>
  <c r="I164" i="2" s="1"/>
  <c r="AW34" i="3"/>
  <c r="E164" i="2"/>
  <c r="AV35" i="3"/>
  <c r="D165" i="2"/>
  <c r="AW35" i="3"/>
  <c r="E165" i="2"/>
  <c r="AV36" i="3"/>
  <c r="D166" i="2"/>
  <c r="AW36" i="3"/>
  <c r="E166" i="2"/>
  <c r="G166" i="2" s="1"/>
  <c r="J166" i="2" s="1"/>
  <c r="AW37" i="3"/>
  <c r="AV37" i="3"/>
  <c r="D163" i="2"/>
  <c r="E161" i="2"/>
  <c r="D161" i="2"/>
  <c r="AT48" i="3"/>
  <c r="AT49" i="3"/>
  <c r="AT50" i="3"/>
  <c r="AT51" i="3"/>
  <c r="AT52" i="3"/>
  <c r="AT53" i="3"/>
  <c r="AT40" i="3"/>
  <c r="AT41" i="3"/>
  <c r="AT42" i="3"/>
  <c r="AT43" i="3"/>
  <c r="AT44" i="3"/>
  <c r="AT45" i="3"/>
  <c r="AT31" i="3"/>
  <c r="AU31" i="3"/>
  <c r="AT32" i="3"/>
  <c r="D155" i="2"/>
  <c r="AU32" i="3"/>
  <c r="E155" i="2"/>
  <c r="I155" i="2" s="1"/>
  <c r="M155" i="2" s="1"/>
  <c r="AT33" i="3"/>
  <c r="D156" i="2"/>
  <c r="AU33" i="3"/>
  <c r="E156" i="2"/>
  <c r="AT34" i="3"/>
  <c r="D157" i="2"/>
  <c r="AU34" i="3"/>
  <c r="E157" i="2"/>
  <c r="I157" i="2" s="1"/>
  <c r="AT35" i="3"/>
  <c r="D158" i="2"/>
  <c r="AU35" i="3"/>
  <c r="E158" i="2"/>
  <c r="AT36" i="3"/>
  <c r="D159" i="2"/>
  <c r="AU36" i="3"/>
  <c r="E159" i="2"/>
  <c r="I159" i="2" s="1"/>
  <c r="E154" i="2"/>
  <c r="AU37" i="3"/>
  <c r="D154" i="2"/>
  <c r="AT37" i="3"/>
  <c r="AR48" i="3"/>
  <c r="AR49" i="3"/>
  <c r="AR50" i="3"/>
  <c r="AR51" i="3"/>
  <c r="AR52" i="3"/>
  <c r="AR53" i="3"/>
  <c r="AR40" i="3"/>
  <c r="AR41" i="3"/>
  <c r="AR42" i="3"/>
  <c r="AR43" i="3"/>
  <c r="AR44" i="3"/>
  <c r="AR45" i="3"/>
  <c r="AR31" i="3"/>
  <c r="D147" i="2"/>
  <c r="AS31" i="3"/>
  <c r="E147" i="2"/>
  <c r="AR32" i="3"/>
  <c r="D148" i="2"/>
  <c r="AS32" i="3"/>
  <c r="E148" i="2"/>
  <c r="AR33" i="3"/>
  <c r="D149" i="2"/>
  <c r="AS33" i="3"/>
  <c r="E149" i="2"/>
  <c r="AR34" i="3"/>
  <c r="D150" i="2"/>
  <c r="AS34" i="3"/>
  <c r="E150" i="2"/>
  <c r="I150" i="2" s="1"/>
  <c r="AR35" i="3"/>
  <c r="D151" i="2"/>
  <c r="AS35" i="3"/>
  <c r="E151" i="2"/>
  <c r="AR36" i="3"/>
  <c r="D152" i="2"/>
  <c r="AS36" i="3"/>
  <c r="E152" i="2"/>
  <c r="G152" i="2" s="1"/>
  <c r="J152" i="2" s="1"/>
  <c r="AN48" i="3"/>
  <c r="AN49" i="3"/>
  <c r="AN50" i="3"/>
  <c r="AN51" i="3"/>
  <c r="AN52" i="3"/>
  <c r="AN53" i="3"/>
  <c r="AN40" i="3"/>
  <c r="AN41" i="3"/>
  <c r="AN42" i="3"/>
  <c r="AN43" i="3"/>
  <c r="AN44" i="3"/>
  <c r="AN45" i="3"/>
  <c r="AN31" i="3"/>
  <c r="AO31" i="3"/>
  <c r="AN32" i="3"/>
  <c r="AO32" i="3"/>
  <c r="AN33" i="3"/>
  <c r="AO33" i="3"/>
  <c r="AN34" i="3"/>
  <c r="AO34" i="3"/>
  <c r="AN35" i="3"/>
  <c r="AO35" i="3"/>
  <c r="AN36" i="3"/>
  <c r="AO36" i="3"/>
  <c r="AB48" i="3"/>
  <c r="AB49" i="3"/>
  <c r="AB50" i="3"/>
  <c r="AB51" i="3"/>
  <c r="AB52" i="3"/>
  <c r="AB53" i="3"/>
  <c r="AB40" i="3"/>
  <c r="AB41" i="3"/>
  <c r="AB42" i="3"/>
  <c r="AB43" i="3"/>
  <c r="AB44" i="3"/>
  <c r="AB45" i="3"/>
  <c r="AB31" i="3"/>
  <c r="D91" i="2"/>
  <c r="AC31" i="3"/>
  <c r="E91" i="2"/>
  <c r="E97" i="2" s="1"/>
  <c r="AB32" i="3"/>
  <c r="AC32" i="3"/>
  <c r="AB33" i="3"/>
  <c r="AC33" i="3"/>
  <c r="AB34" i="3"/>
  <c r="AC34" i="3"/>
  <c r="AB35" i="3"/>
  <c r="AC35" i="3"/>
  <c r="AB36" i="3"/>
  <c r="AC36" i="3"/>
  <c r="Z48" i="3"/>
  <c r="Z49" i="3"/>
  <c r="Z50" i="3"/>
  <c r="Z51" i="3"/>
  <c r="Z52" i="3"/>
  <c r="Z53" i="3"/>
  <c r="Z40" i="3"/>
  <c r="Z41" i="3"/>
  <c r="Z42" i="3"/>
  <c r="Z43" i="3"/>
  <c r="Z44" i="3"/>
  <c r="Z45" i="3"/>
  <c r="Z31" i="3"/>
  <c r="AA31" i="3"/>
  <c r="Z32" i="3"/>
  <c r="AA32" i="3"/>
  <c r="Z33" i="3"/>
  <c r="AA33" i="3"/>
  <c r="Z34" i="3"/>
  <c r="AA34" i="3"/>
  <c r="Z35" i="3"/>
  <c r="AA35" i="3"/>
  <c r="Z36" i="3"/>
  <c r="AA36" i="3"/>
  <c r="X48" i="3"/>
  <c r="X49" i="3"/>
  <c r="X50" i="3"/>
  <c r="X51" i="3"/>
  <c r="X52" i="3"/>
  <c r="X53" i="3"/>
  <c r="X40" i="3"/>
  <c r="X41" i="3"/>
  <c r="X42" i="3"/>
  <c r="X43" i="3"/>
  <c r="X44" i="3"/>
  <c r="X45" i="3"/>
  <c r="X31" i="3"/>
  <c r="D77" i="2"/>
  <c r="I77" i="2" s="1"/>
  <c r="K77" i="2" s="1"/>
  <c r="Y31" i="3"/>
  <c r="E77" i="2"/>
  <c r="X32" i="3"/>
  <c r="Y32" i="3"/>
  <c r="X33" i="3"/>
  <c r="D79" i="2"/>
  <c r="G79" i="2" s="1"/>
  <c r="J79" i="2" s="1"/>
  <c r="Y33" i="3"/>
  <c r="E79" i="2"/>
  <c r="X34" i="3"/>
  <c r="D80" i="2"/>
  <c r="Y34" i="3"/>
  <c r="E80" i="2"/>
  <c r="X35" i="3"/>
  <c r="D81" i="2"/>
  <c r="Y35" i="3"/>
  <c r="E81" i="2"/>
  <c r="X36" i="3"/>
  <c r="D82" i="2"/>
  <c r="Y36" i="3"/>
  <c r="E82" i="2"/>
  <c r="E78" i="2"/>
  <c r="Y37" i="3"/>
  <c r="D78" i="2"/>
  <c r="G78" i="2" s="1"/>
  <c r="J78" i="2" s="1"/>
  <c r="X37" i="3"/>
  <c r="I82" i="2"/>
  <c r="M82" i="2" s="1"/>
  <c r="V48" i="3"/>
  <c r="V49" i="3"/>
  <c r="V50" i="3"/>
  <c r="V51" i="3"/>
  <c r="V52" i="3"/>
  <c r="V53" i="3"/>
  <c r="V40" i="3"/>
  <c r="V41" i="3"/>
  <c r="V42" i="3"/>
  <c r="V43" i="3"/>
  <c r="V44" i="3"/>
  <c r="V45" i="3"/>
  <c r="V31" i="3"/>
  <c r="W31" i="3"/>
  <c r="V32" i="3"/>
  <c r="W32" i="3"/>
  <c r="V33" i="3"/>
  <c r="W33" i="3"/>
  <c r="V34" i="3"/>
  <c r="W34" i="3"/>
  <c r="V35" i="3"/>
  <c r="W35" i="3"/>
  <c r="V36" i="3"/>
  <c r="W36" i="3"/>
  <c r="H45" i="3"/>
  <c r="A12" i="2"/>
  <c r="A19" i="2" s="1"/>
  <c r="A26" i="2" s="1"/>
  <c r="A33" i="2" s="1"/>
  <c r="A40" i="2" s="1"/>
  <c r="A47" i="2" s="1"/>
  <c r="A56" i="2" s="1"/>
  <c r="A63" i="2" s="1"/>
  <c r="A70" i="2" s="1"/>
  <c r="A77" i="2" s="1"/>
  <c r="A84" i="2" s="1"/>
  <c r="A91" i="2" s="1"/>
  <c r="A98" i="2" s="1"/>
  <c r="A105" i="2" s="1"/>
  <c r="A112" i="2" s="1"/>
  <c r="A119" i="2" s="1"/>
  <c r="A126" i="2" s="1"/>
  <c r="A133" i="2" s="1"/>
  <c r="A140" i="2" s="1"/>
  <c r="A147" i="2" s="1"/>
  <c r="A154" i="2" s="1"/>
  <c r="A161" i="2" s="1"/>
  <c r="A168" i="2" s="1"/>
  <c r="A175" i="2" s="1"/>
  <c r="A182" i="2" s="1"/>
  <c r="A189" i="2" s="1"/>
  <c r="A196" i="2" s="1"/>
  <c r="A203" i="2" s="1"/>
  <c r="A210" i="2" s="1"/>
  <c r="A217" i="2" s="1"/>
  <c r="BD48" i="3"/>
  <c r="BD49" i="3"/>
  <c r="BD50" i="3"/>
  <c r="BD51" i="3"/>
  <c r="BD52" i="3"/>
  <c r="BD53" i="3"/>
  <c r="BD40" i="3"/>
  <c r="BD41" i="3"/>
  <c r="BD42" i="3"/>
  <c r="BD43" i="3"/>
  <c r="BD44" i="3"/>
  <c r="BD45" i="3"/>
  <c r="BD31" i="3"/>
  <c r="BE31" i="3"/>
  <c r="BD32" i="3"/>
  <c r="BE32" i="3"/>
  <c r="BD33" i="3"/>
  <c r="BE33" i="3"/>
  <c r="BD34" i="3"/>
  <c r="BE34" i="3"/>
  <c r="BD35" i="3"/>
  <c r="BE35" i="3"/>
  <c r="BD36" i="3"/>
  <c r="BE36" i="3"/>
  <c r="G210" i="2"/>
  <c r="BE37" i="3"/>
  <c r="BD37" i="3"/>
  <c r="U12" i="4"/>
  <c r="U13" i="4"/>
  <c r="U14" i="4"/>
  <c r="U15" i="4"/>
  <c r="U16" i="4"/>
  <c r="AJ48" i="3"/>
  <c r="AJ49" i="3"/>
  <c r="AJ50" i="3"/>
  <c r="AJ51" i="3"/>
  <c r="AJ52" i="3"/>
  <c r="AJ53" i="3"/>
  <c r="AJ40" i="3"/>
  <c r="AJ41" i="3"/>
  <c r="AJ42" i="3"/>
  <c r="AJ43" i="3"/>
  <c r="AJ44" i="3"/>
  <c r="AJ45" i="3"/>
  <c r="AJ31" i="3"/>
  <c r="AK31" i="3"/>
  <c r="AJ32" i="3"/>
  <c r="AK32" i="3"/>
  <c r="AJ33" i="3"/>
  <c r="AK33" i="3"/>
  <c r="AJ34" i="3"/>
  <c r="AK34" i="3"/>
  <c r="AJ35" i="3"/>
  <c r="AK35" i="3"/>
  <c r="AJ36" i="3"/>
  <c r="AK36" i="3"/>
  <c r="J19" i="4"/>
  <c r="R48" i="3"/>
  <c r="R49" i="3"/>
  <c r="R50" i="3"/>
  <c r="R51" i="3"/>
  <c r="R52" i="3"/>
  <c r="R53" i="3"/>
  <c r="R40" i="3"/>
  <c r="R41" i="3"/>
  <c r="R42" i="3"/>
  <c r="R43" i="3"/>
  <c r="R44" i="3"/>
  <c r="R45" i="3"/>
  <c r="R31" i="3"/>
  <c r="S31" i="3"/>
  <c r="R32" i="3"/>
  <c r="S32" i="3"/>
  <c r="R33" i="3"/>
  <c r="S33" i="3"/>
  <c r="R34" i="3"/>
  <c r="S34" i="3"/>
  <c r="R35" i="3"/>
  <c r="S35" i="3"/>
  <c r="R36" i="3"/>
  <c r="S36" i="3"/>
  <c r="S37" i="3"/>
  <c r="R37" i="3"/>
  <c r="G20" i="4"/>
  <c r="BC31" i="3"/>
  <c r="BB31" i="3"/>
  <c r="E182" i="2"/>
  <c r="D182" i="2"/>
  <c r="E194" i="2"/>
  <c r="I194" i="2" s="1"/>
  <c r="D194" i="2"/>
  <c r="E193" i="2"/>
  <c r="D193" i="2"/>
  <c r="I193" i="2" s="1"/>
  <c r="E192" i="2"/>
  <c r="D192" i="2"/>
  <c r="E191" i="2"/>
  <c r="G191" i="2" s="1"/>
  <c r="J191" i="2" s="1"/>
  <c r="L191" i="2" s="1"/>
  <c r="D191" i="2"/>
  <c r="BF33" i="3"/>
  <c r="E190" i="2"/>
  <c r="G190" i="2" s="1"/>
  <c r="J190" i="2" s="1"/>
  <c r="D190" i="2"/>
  <c r="E189" i="2"/>
  <c r="D189" i="2"/>
  <c r="D198" i="2"/>
  <c r="G193" i="2"/>
  <c r="J193" i="2" s="1"/>
  <c r="BB53" i="3"/>
  <c r="BB52" i="3"/>
  <c r="BB51" i="3"/>
  <c r="BB50" i="3"/>
  <c r="BB49" i="3"/>
  <c r="BB48" i="3"/>
  <c r="BB45" i="3"/>
  <c r="AB10" i="4"/>
  <c r="BB44" i="3"/>
  <c r="AB9" i="4"/>
  <c r="BB43" i="3"/>
  <c r="BB42" i="3"/>
  <c r="BB41" i="3"/>
  <c r="BB40" i="3"/>
  <c r="BC35" i="3"/>
  <c r="E186" i="2"/>
  <c r="BC36" i="3"/>
  <c r="E187" i="2"/>
  <c r="G187" i="2" s="1"/>
  <c r="J187" i="2" s="1"/>
  <c r="BB36" i="3"/>
  <c r="D187" i="2"/>
  <c r="BB35" i="3"/>
  <c r="D186" i="2"/>
  <c r="BC34" i="3"/>
  <c r="E185" i="2"/>
  <c r="BB34" i="3"/>
  <c r="D185" i="2"/>
  <c r="G185" i="2" s="1"/>
  <c r="J185" i="2" s="1"/>
  <c r="BC33" i="3"/>
  <c r="BB33" i="3"/>
  <c r="BC32" i="3"/>
  <c r="BB32" i="3"/>
  <c r="E184" i="2"/>
  <c r="BC37" i="3"/>
  <c r="D184" i="2"/>
  <c r="BB37" i="3"/>
  <c r="D183" i="2"/>
  <c r="E183" i="2"/>
  <c r="AZ53" i="3"/>
  <c r="AZ52" i="3"/>
  <c r="AZ51" i="3"/>
  <c r="AZ50" i="3"/>
  <c r="AZ49" i="3"/>
  <c r="AZ48" i="3"/>
  <c r="AZ45" i="3"/>
  <c r="AA10" i="4"/>
  <c r="AZ44" i="3"/>
  <c r="AA9" i="4"/>
  <c r="AZ43" i="3"/>
  <c r="AZ42" i="3"/>
  <c r="AZ41" i="3"/>
  <c r="AZ40" i="3"/>
  <c r="BA36" i="3"/>
  <c r="E180" i="2"/>
  <c r="AZ36" i="3"/>
  <c r="D180" i="2"/>
  <c r="BA35" i="3"/>
  <c r="E179" i="2"/>
  <c r="G179" i="2" s="1"/>
  <c r="J179" i="2" s="1"/>
  <c r="L179" i="2" s="1"/>
  <c r="AZ35" i="3"/>
  <c r="D179" i="2"/>
  <c r="BA34" i="3"/>
  <c r="E178" i="2"/>
  <c r="AZ34" i="3"/>
  <c r="D178" i="2"/>
  <c r="BA33" i="3"/>
  <c r="AZ33" i="3"/>
  <c r="BA32" i="3"/>
  <c r="E176" i="2"/>
  <c r="AZ32" i="3"/>
  <c r="D176" i="2"/>
  <c r="BA31" i="3"/>
  <c r="AZ31" i="3"/>
  <c r="D177" i="2"/>
  <c r="AZ37" i="3"/>
  <c r="E177" i="2"/>
  <c r="BA37" i="3"/>
  <c r="D175" i="2"/>
  <c r="E175" i="2"/>
  <c r="I171" i="2"/>
  <c r="M171" i="2" s="1"/>
  <c r="G171" i="2"/>
  <c r="J171" i="2" s="1"/>
  <c r="L171" i="2" s="1"/>
  <c r="G172" i="2"/>
  <c r="J172" i="2" s="1"/>
  <c r="L172" i="2" s="1"/>
  <c r="I173" i="2"/>
  <c r="M173" i="2" s="1"/>
  <c r="J173" i="2"/>
  <c r="L173" i="2" s="1"/>
  <c r="U10" i="4"/>
  <c r="U9" i="4"/>
  <c r="M169" i="2"/>
  <c r="T10" i="4"/>
  <c r="T9" i="4"/>
  <c r="AF53" i="3"/>
  <c r="AF52" i="3"/>
  <c r="AF51" i="3"/>
  <c r="AF50" i="3"/>
  <c r="AF49" i="3"/>
  <c r="AF48" i="3"/>
  <c r="AF45" i="3"/>
  <c r="AF44" i="3"/>
  <c r="AF43" i="3"/>
  <c r="AF42" i="3"/>
  <c r="AF41" i="3"/>
  <c r="AF40" i="3"/>
  <c r="AG36" i="3"/>
  <c r="AF36" i="3"/>
  <c r="AG35" i="3"/>
  <c r="AF35" i="3"/>
  <c r="AG34" i="3"/>
  <c r="AF34" i="3"/>
  <c r="AG33" i="3"/>
  <c r="AF33" i="3"/>
  <c r="AG32" i="3"/>
  <c r="AF32" i="3"/>
  <c r="AG31" i="3"/>
  <c r="AF31" i="3"/>
  <c r="AF37" i="3"/>
  <c r="AG37" i="3"/>
  <c r="E105" i="2"/>
  <c r="AD53" i="3"/>
  <c r="AD52" i="3"/>
  <c r="AD51" i="3"/>
  <c r="AD50" i="3"/>
  <c r="AD49" i="3"/>
  <c r="AD48" i="3"/>
  <c r="AD45" i="3"/>
  <c r="AD44" i="3"/>
  <c r="AD43" i="3"/>
  <c r="AD42" i="3"/>
  <c r="AD41" i="3"/>
  <c r="AD40" i="3"/>
  <c r="AE36" i="3"/>
  <c r="E103" i="2"/>
  <c r="AD36" i="3"/>
  <c r="D103" i="2"/>
  <c r="G103" i="2" s="1"/>
  <c r="J103" i="2" s="1"/>
  <c r="AE35" i="3"/>
  <c r="E102" i="2"/>
  <c r="AD35" i="3"/>
  <c r="D102" i="2"/>
  <c r="AE34" i="3"/>
  <c r="E101" i="2"/>
  <c r="AD34" i="3"/>
  <c r="D101" i="2"/>
  <c r="I101" i="2" s="1"/>
  <c r="K101" i="2" s="1"/>
  <c r="AE33" i="3"/>
  <c r="E100" i="2"/>
  <c r="AD33" i="3"/>
  <c r="D100" i="2"/>
  <c r="AE32" i="3"/>
  <c r="E99" i="2"/>
  <c r="AD32" i="3"/>
  <c r="D99" i="2"/>
  <c r="I99" i="2" s="1"/>
  <c r="AE31" i="3"/>
  <c r="E98" i="2"/>
  <c r="AD31" i="3"/>
  <c r="D98" i="2"/>
  <c r="AB85" i="1"/>
  <c r="AB84" i="1"/>
  <c r="AB83" i="1"/>
  <c r="AB82" i="1"/>
  <c r="AB81" i="1"/>
  <c r="AB80" i="1"/>
  <c r="AB79" i="1"/>
  <c r="AB78" i="1"/>
  <c r="AB77" i="1"/>
  <c r="AB76" i="1"/>
  <c r="AB75" i="1"/>
  <c r="AB74" i="1"/>
  <c r="AB73" i="1"/>
  <c r="AB72" i="1"/>
  <c r="AB71" i="1"/>
  <c r="AB70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57" i="1"/>
  <c r="AB56" i="1"/>
  <c r="AB55" i="1"/>
  <c r="AB54" i="1"/>
  <c r="AB53" i="1"/>
  <c r="AB52" i="1"/>
  <c r="AB88" i="1"/>
  <c r="N195" i="2" s="1"/>
  <c r="F230" i="2"/>
  <c r="Z19" i="4"/>
  <c r="Z21" i="4"/>
  <c r="Z20" i="4"/>
  <c r="L82" i="1"/>
  <c r="L83" i="1"/>
  <c r="L84" i="1"/>
  <c r="L85" i="1"/>
  <c r="K82" i="1"/>
  <c r="K83" i="1"/>
  <c r="K84" i="1"/>
  <c r="K85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8" i="1"/>
  <c r="G4" i="13"/>
  <c r="D21" i="4"/>
  <c r="B11" i="11"/>
  <c r="D20" i="4"/>
  <c r="D19" i="4"/>
  <c r="D29" i="4" s="1"/>
  <c r="D32" i="4" s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AD21" i="4"/>
  <c r="AC21" i="4"/>
  <c r="AB21" i="4"/>
  <c r="AA21" i="4"/>
  <c r="Y21" i="4"/>
  <c r="W21" i="4"/>
  <c r="V21" i="4"/>
  <c r="U21" i="4"/>
  <c r="T21" i="4"/>
  <c r="S21" i="4"/>
  <c r="Q21" i="4"/>
  <c r="P21" i="4"/>
  <c r="O21" i="4"/>
  <c r="N21" i="4"/>
  <c r="M21" i="4"/>
  <c r="L21" i="4"/>
  <c r="K21" i="4"/>
  <c r="J21" i="4"/>
  <c r="G21" i="4"/>
  <c r="G29" i="4" s="1"/>
  <c r="F21" i="4"/>
  <c r="E21" i="4"/>
  <c r="I21" i="4"/>
  <c r="H21" i="4"/>
  <c r="T52" i="1"/>
  <c r="V52" i="1"/>
  <c r="W52" i="1"/>
  <c r="X52" i="1"/>
  <c r="Y52" i="1"/>
  <c r="Z52" i="1"/>
  <c r="AA52" i="1"/>
  <c r="T53" i="1"/>
  <c r="V53" i="1"/>
  <c r="W53" i="1"/>
  <c r="X53" i="1"/>
  <c r="Y53" i="1"/>
  <c r="Z53" i="1"/>
  <c r="AA53" i="1"/>
  <c r="T54" i="1"/>
  <c r="V54" i="1"/>
  <c r="W54" i="1"/>
  <c r="X54" i="1"/>
  <c r="Y54" i="1"/>
  <c r="Z54" i="1"/>
  <c r="AA54" i="1"/>
  <c r="T55" i="1"/>
  <c r="V55" i="1"/>
  <c r="W55" i="1"/>
  <c r="X55" i="1"/>
  <c r="Y55" i="1"/>
  <c r="Z55" i="1"/>
  <c r="AA55" i="1"/>
  <c r="T56" i="1"/>
  <c r="V56" i="1"/>
  <c r="W56" i="1"/>
  <c r="X56" i="1"/>
  <c r="Y56" i="1"/>
  <c r="Z56" i="1"/>
  <c r="AA56" i="1"/>
  <c r="T57" i="1"/>
  <c r="V57" i="1"/>
  <c r="W57" i="1"/>
  <c r="X57" i="1"/>
  <c r="Y57" i="1"/>
  <c r="Z57" i="1"/>
  <c r="AA57" i="1"/>
  <c r="T58" i="1"/>
  <c r="V58" i="1"/>
  <c r="W58" i="1"/>
  <c r="X58" i="1"/>
  <c r="Y58" i="1"/>
  <c r="Z58" i="1"/>
  <c r="AA58" i="1"/>
  <c r="T59" i="1"/>
  <c r="V59" i="1"/>
  <c r="W59" i="1"/>
  <c r="X59" i="1"/>
  <c r="Y59" i="1"/>
  <c r="Z59" i="1"/>
  <c r="AA59" i="1"/>
  <c r="T60" i="1"/>
  <c r="V60" i="1"/>
  <c r="W60" i="1"/>
  <c r="X60" i="1"/>
  <c r="Y60" i="1"/>
  <c r="Z60" i="1"/>
  <c r="AA60" i="1"/>
  <c r="T61" i="1"/>
  <c r="V61" i="1"/>
  <c r="W61" i="1"/>
  <c r="X61" i="1"/>
  <c r="Y61" i="1"/>
  <c r="Z61" i="1"/>
  <c r="AA61" i="1"/>
  <c r="T62" i="1"/>
  <c r="V62" i="1"/>
  <c r="W62" i="1"/>
  <c r="X62" i="1"/>
  <c r="Y62" i="1"/>
  <c r="Z62" i="1"/>
  <c r="AA62" i="1"/>
  <c r="T63" i="1"/>
  <c r="V63" i="1"/>
  <c r="W63" i="1"/>
  <c r="X63" i="1"/>
  <c r="Y63" i="1"/>
  <c r="Z63" i="1"/>
  <c r="AA63" i="1"/>
  <c r="T64" i="1"/>
  <c r="V64" i="1"/>
  <c r="W64" i="1"/>
  <c r="X64" i="1"/>
  <c r="Y64" i="1"/>
  <c r="Z64" i="1"/>
  <c r="AA64" i="1"/>
  <c r="T65" i="1"/>
  <c r="V65" i="1"/>
  <c r="W65" i="1"/>
  <c r="X65" i="1"/>
  <c r="Y65" i="1"/>
  <c r="Z65" i="1"/>
  <c r="AA65" i="1"/>
  <c r="T66" i="1"/>
  <c r="V66" i="1"/>
  <c r="W66" i="1"/>
  <c r="X66" i="1"/>
  <c r="Y66" i="1"/>
  <c r="Z66" i="1"/>
  <c r="AA66" i="1"/>
  <c r="T67" i="1"/>
  <c r="V67" i="1"/>
  <c r="W67" i="1"/>
  <c r="X67" i="1"/>
  <c r="Y67" i="1"/>
  <c r="Z67" i="1"/>
  <c r="AA67" i="1"/>
  <c r="T68" i="1"/>
  <c r="V68" i="1"/>
  <c r="W68" i="1"/>
  <c r="X68" i="1"/>
  <c r="Y68" i="1"/>
  <c r="Z68" i="1"/>
  <c r="AA68" i="1"/>
  <c r="T69" i="1"/>
  <c r="V69" i="1"/>
  <c r="W69" i="1"/>
  <c r="X69" i="1"/>
  <c r="Y69" i="1"/>
  <c r="Z69" i="1"/>
  <c r="AA69" i="1"/>
  <c r="T70" i="1"/>
  <c r="V70" i="1"/>
  <c r="W70" i="1"/>
  <c r="X70" i="1"/>
  <c r="Y70" i="1"/>
  <c r="Z70" i="1"/>
  <c r="AA70" i="1"/>
  <c r="T71" i="1"/>
  <c r="V71" i="1"/>
  <c r="W71" i="1"/>
  <c r="X71" i="1"/>
  <c r="Y71" i="1"/>
  <c r="Z71" i="1"/>
  <c r="AA71" i="1"/>
  <c r="T72" i="1"/>
  <c r="V72" i="1"/>
  <c r="W72" i="1"/>
  <c r="X72" i="1"/>
  <c r="Y72" i="1"/>
  <c r="Z72" i="1"/>
  <c r="AA72" i="1"/>
  <c r="T73" i="1"/>
  <c r="V73" i="1"/>
  <c r="W73" i="1"/>
  <c r="X73" i="1"/>
  <c r="Y73" i="1"/>
  <c r="Z73" i="1"/>
  <c r="AA73" i="1"/>
  <c r="T74" i="1"/>
  <c r="V74" i="1"/>
  <c r="W74" i="1"/>
  <c r="X74" i="1"/>
  <c r="Y74" i="1"/>
  <c r="Z74" i="1"/>
  <c r="AA74" i="1"/>
  <c r="T75" i="1"/>
  <c r="V75" i="1"/>
  <c r="W75" i="1"/>
  <c r="X75" i="1"/>
  <c r="Y75" i="1"/>
  <c r="Z75" i="1"/>
  <c r="AA75" i="1"/>
  <c r="T76" i="1"/>
  <c r="V76" i="1"/>
  <c r="W76" i="1"/>
  <c r="X76" i="1"/>
  <c r="Y76" i="1"/>
  <c r="Z76" i="1"/>
  <c r="AA76" i="1"/>
  <c r="T77" i="1"/>
  <c r="V77" i="1"/>
  <c r="W77" i="1"/>
  <c r="X77" i="1"/>
  <c r="Y77" i="1"/>
  <c r="Z77" i="1"/>
  <c r="AA77" i="1"/>
  <c r="T78" i="1"/>
  <c r="V78" i="1"/>
  <c r="W78" i="1"/>
  <c r="X78" i="1"/>
  <c r="Y78" i="1"/>
  <c r="Z78" i="1"/>
  <c r="AA78" i="1"/>
  <c r="T79" i="1"/>
  <c r="V79" i="1"/>
  <c r="W79" i="1"/>
  <c r="X79" i="1"/>
  <c r="Y79" i="1"/>
  <c r="Z79" i="1"/>
  <c r="AA79" i="1"/>
  <c r="T80" i="1"/>
  <c r="V80" i="1"/>
  <c r="W80" i="1"/>
  <c r="X80" i="1"/>
  <c r="Y80" i="1"/>
  <c r="Z80" i="1"/>
  <c r="AA80" i="1"/>
  <c r="T81" i="1"/>
  <c r="V81" i="1"/>
  <c r="W81" i="1"/>
  <c r="X81" i="1"/>
  <c r="Y81" i="1"/>
  <c r="Z81" i="1"/>
  <c r="AA81" i="1"/>
  <c r="T82" i="1"/>
  <c r="V82" i="1"/>
  <c r="W82" i="1"/>
  <c r="X82" i="1"/>
  <c r="Y82" i="1"/>
  <c r="Z82" i="1"/>
  <c r="AA82" i="1"/>
  <c r="T83" i="1"/>
  <c r="V83" i="1"/>
  <c r="W83" i="1"/>
  <c r="X83" i="1"/>
  <c r="Y83" i="1"/>
  <c r="Z83" i="1"/>
  <c r="AA83" i="1"/>
  <c r="T84" i="1"/>
  <c r="V84" i="1"/>
  <c r="W84" i="1"/>
  <c r="X84" i="1"/>
  <c r="Y84" i="1"/>
  <c r="Z84" i="1"/>
  <c r="AA84" i="1"/>
  <c r="T85" i="1"/>
  <c r="V85" i="1"/>
  <c r="W85" i="1"/>
  <c r="X85" i="1"/>
  <c r="Y85" i="1"/>
  <c r="Z85" i="1"/>
  <c r="AA85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AA88" i="1"/>
  <c r="Z88" i="1"/>
  <c r="N181" i="2"/>
  <c r="Y88" i="1"/>
  <c r="X88" i="1"/>
  <c r="W88" i="1"/>
  <c r="V88" i="1"/>
  <c r="T88" i="1"/>
  <c r="AD19" i="4"/>
  <c r="C52" i="1"/>
  <c r="D52" i="1"/>
  <c r="F52" i="1"/>
  <c r="G52" i="1"/>
  <c r="H52" i="1"/>
  <c r="I52" i="1"/>
  <c r="J52" i="1"/>
  <c r="K52" i="1"/>
  <c r="L52" i="1"/>
  <c r="M52" i="1"/>
  <c r="N52" i="1"/>
  <c r="Q52" i="1"/>
  <c r="C53" i="1"/>
  <c r="D53" i="1"/>
  <c r="F53" i="1"/>
  <c r="G53" i="1"/>
  <c r="H53" i="1"/>
  <c r="I53" i="1"/>
  <c r="J53" i="1"/>
  <c r="K53" i="1"/>
  <c r="L53" i="1"/>
  <c r="M53" i="1"/>
  <c r="N53" i="1"/>
  <c r="Q53" i="1"/>
  <c r="C54" i="1"/>
  <c r="D54" i="1"/>
  <c r="F54" i="1"/>
  <c r="G54" i="1"/>
  <c r="H54" i="1"/>
  <c r="I54" i="1"/>
  <c r="J54" i="1"/>
  <c r="K54" i="1"/>
  <c r="L54" i="1"/>
  <c r="M54" i="1"/>
  <c r="N54" i="1"/>
  <c r="Q54" i="1"/>
  <c r="C55" i="1"/>
  <c r="D55" i="1"/>
  <c r="F55" i="1"/>
  <c r="G55" i="1"/>
  <c r="H55" i="1"/>
  <c r="I55" i="1"/>
  <c r="J55" i="1"/>
  <c r="K55" i="1"/>
  <c r="L55" i="1"/>
  <c r="M55" i="1"/>
  <c r="N55" i="1"/>
  <c r="Q55" i="1"/>
  <c r="C56" i="1"/>
  <c r="D56" i="1"/>
  <c r="F56" i="1"/>
  <c r="G56" i="1"/>
  <c r="H56" i="1"/>
  <c r="I56" i="1"/>
  <c r="J56" i="1"/>
  <c r="K56" i="1"/>
  <c r="L56" i="1"/>
  <c r="M56" i="1"/>
  <c r="N56" i="1"/>
  <c r="Q56" i="1"/>
  <c r="C57" i="1"/>
  <c r="D57" i="1"/>
  <c r="F57" i="1"/>
  <c r="G57" i="1"/>
  <c r="H57" i="1"/>
  <c r="I57" i="1"/>
  <c r="J57" i="1"/>
  <c r="K57" i="1"/>
  <c r="L57" i="1"/>
  <c r="M57" i="1"/>
  <c r="N57" i="1"/>
  <c r="Q57" i="1"/>
  <c r="C58" i="1"/>
  <c r="D58" i="1"/>
  <c r="F58" i="1"/>
  <c r="G58" i="1"/>
  <c r="H58" i="1"/>
  <c r="I58" i="1"/>
  <c r="J58" i="1"/>
  <c r="K58" i="1"/>
  <c r="L58" i="1"/>
  <c r="M58" i="1"/>
  <c r="N58" i="1"/>
  <c r="Q58" i="1"/>
  <c r="C59" i="1"/>
  <c r="D59" i="1"/>
  <c r="F59" i="1"/>
  <c r="G59" i="1"/>
  <c r="H59" i="1"/>
  <c r="I59" i="1"/>
  <c r="J59" i="1"/>
  <c r="K59" i="1"/>
  <c r="L59" i="1"/>
  <c r="M59" i="1"/>
  <c r="N59" i="1"/>
  <c r="Q59" i="1"/>
  <c r="C60" i="1"/>
  <c r="D60" i="1"/>
  <c r="F60" i="1"/>
  <c r="G60" i="1"/>
  <c r="H60" i="1"/>
  <c r="I60" i="1"/>
  <c r="J60" i="1"/>
  <c r="K60" i="1"/>
  <c r="L60" i="1"/>
  <c r="M60" i="1"/>
  <c r="N60" i="1"/>
  <c r="Q60" i="1"/>
  <c r="C61" i="1"/>
  <c r="D61" i="1"/>
  <c r="F61" i="1"/>
  <c r="G61" i="1"/>
  <c r="H61" i="1"/>
  <c r="I61" i="1"/>
  <c r="J61" i="1"/>
  <c r="K61" i="1"/>
  <c r="L61" i="1"/>
  <c r="M61" i="1"/>
  <c r="N61" i="1"/>
  <c r="Q61" i="1"/>
  <c r="C62" i="1"/>
  <c r="D62" i="1"/>
  <c r="F62" i="1"/>
  <c r="G62" i="1"/>
  <c r="H62" i="1"/>
  <c r="I62" i="1"/>
  <c r="J62" i="1"/>
  <c r="K62" i="1"/>
  <c r="L62" i="1"/>
  <c r="M62" i="1"/>
  <c r="N62" i="1"/>
  <c r="Q62" i="1"/>
  <c r="C63" i="1"/>
  <c r="D63" i="1"/>
  <c r="F63" i="1"/>
  <c r="G63" i="1"/>
  <c r="H63" i="1"/>
  <c r="I63" i="1"/>
  <c r="J63" i="1"/>
  <c r="K63" i="1"/>
  <c r="L63" i="1"/>
  <c r="M63" i="1"/>
  <c r="N63" i="1"/>
  <c r="Q63" i="1"/>
  <c r="C64" i="1"/>
  <c r="D64" i="1"/>
  <c r="F64" i="1"/>
  <c r="G64" i="1"/>
  <c r="H64" i="1"/>
  <c r="I64" i="1"/>
  <c r="J64" i="1"/>
  <c r="K64" i="1"/>
  <c r="L64" i="1"/>
  <c r="M64" i="1"/>
  <c r="N64" i="1"/>
  <c r="Q64" i="1"/>
  <c r="C65" i="1"/>
  <c r="D65" i="1"/>
  <c r="F65" i="1"/>
  <c r="G65" i="1"/>
  <c r="H65" i="1"/>
  <c r="I65" i="1"/>
  <c r="J65" i="1"/>
  <c r="K65" i="1"/>
  <c r="L65" i="1"/>
  <c r="M65" i="1"/>
  <c r="N65" i="1"/>
  <c r="Q65" i="1"/>
  <c r="C66" i="1"/>
  <c r="D66" i="1"/>
  <c r="F66" i="1"/>
  <c r="G66" i="1"/>
  <c r="H66" i="1"/>
  <c r="I66" i="1"/>
  <c r="J66" i="1"/>
  <c r="K66" i="1"/>
  <c r="L66" i="1"/>
  <c r="M66" i="1"/>
  <c r="N66" i="1"/>
  <c r="Q66" i="1"/>
  <c r="C67" i="1"/>
  <c r="D67" i="1"/>
  <c r="F67" i="1"/>
  <c r="G67" i="1"/>
  <c r="H67" i="1"/>
  <c r="I67" i="1"/>
  <c r="J67" i="1"/>
  <c r="K67" i="1"/>
  <c r="L67" i="1"/>
  <c r="M67" i="1"/>
  <c r="N67" i="1"/>
  <c r="C68" i="1"/>
  <c r="D68" i="1"/>
  <c r="F68" i="1"/>
  <c r="G68" i="1"/>
  <c r="H68" i="1"/>
  <c r="I68" i="1"/>
  <c r="J68" i="1"/>
  <c r="K68" i="1"/>
  <c r="L68" i="1"/>
  <c r="M68" i="1"/>
  <c r="N68" i="1"/>
  <c r="C69" i="1"/>
  <c r="D69" i="1"/>
  <c r="F69" i="1"/>
  <c r="G69" i="1"/>
  <c r="H69" i="1"/>
  <c r="I69" i="1"/>
  <c r="J69" i="1"/>
  <c r="K69" i="1"/>
  <c r="L69" i="1"/>
  <c r="M69" i="1"/>
  <c r="N69" i="1"/>
  <c r="C70" i="1"/>
  <c r="D70" i="1"/>
  <c r="F70" i="1"/>
  <c r="G70" i="1"/>
  <c r="H70" i="1"/>
  <c r="I70" i="1"/>
  <c r="J70" i="1"/>
  <c r="K70" i="1"/>
  <c r="L70" i="1"/>
  <c r="M70" i="1"/>
  <c r="N70" i="1"/>
  <c r="C71" i="1"/>
  <c r="D71" i="1"/>
  <c r="F71" i="1"/>
  <c r="G71" i="1"/>
  <c r="H71" i="1"/>
  <c r="I71" i="1"/>
  <c r="J71" i="1"/>
  <c r="K71" i="1"/>
  <c r="L71" i="1"/>
  <c r="M71" i="1"/>
  <c r="N71" i="1"/>
  <c r="C72" i="1"/>
  <c r="D72" i="1"/>
  <c r="F72" i="1"/>
  <c r="G72" i="1"/>
  <c r="H72" i="1"/>
  <c r="I72" i="1"/>
  <c r="J72" i="1"/>
  <c r="K72" i="1"/>
  <c r="L72" i="1"/>
  <c r="M72" i="1"/>
  <c r="N72" i="1"/>
  <c r="C73" i="1"/>
  <c r="D73" i="1"/>
  <c r="F73" i="1"/>
  <c r="G73" i="1"/>
  <c r="H73" i="1"/>
  <c r="I73" i="1"/>
  <c r="J73" i="1"/>
  <c r="K73" i="1"/>
  <c r="L73" i="1"/>
  <c r="M73" i="1"/>
  <c r="N73" i="1"/>
  <c r="C74" i="1"/>
  <c r="D74" i="1"/>
  <c r="F74" i="1"/>
  <c r="G74" i="1"/>
  <c r="H74" i="1"/>
  <c r="I74" i="1"/>
  <c r="J74" i="1"/>
  <c r="K74" i="1"/>
  <c r="L74" i="1"/>
  <c r="M74" i="1"/>
  <c r="N74" i="1"/>
  <c r="C75" i="1"/>
  <c r="D75" i="1"/>
  <c r="F75" i="1"/>
  <c r="G75" i="1"/>
  <c r="H75" i="1"/>
  <c r="I75" i="1"/>
  <c r="J75" i="1"/>
  <c r="K75" i="1"/>
  <c r="L75" i="1"/>
  <c r="M75" i="1"/>
  <c r="N75" i="1"/>
  <c r="C76" i="1"/>
  <c r="D76" i="1"/>
  <c r="F76" i="1"/>
  <c r="G76" i="1"/>
  <c r="H76" i="1"/>
  <c r="I76" i="1"/>
  <c r="J76" i="1"/>
  <c r="K76" i="1"/>
  <c r="L76" i="1"/>
  <c r="M76" i="1"/>
  <c r="N76" i="1"/>
  <c r="C77" i="1"/>
  <c r="D77" i="1"/>
  <c r="F77" i="1"/>
  <c r="G77" i="1"/>
  <c r="H77" i="1"/>
  <c r="I77" i="1"/>
  <c r="J77" i="1"/>
  <c r="K77" i="1"/>
  <c r="L77" i="1"/>
  <c r="M77" i="1"/>
  <c r="N77" i="1"/>
  <c r="C78" i="1"/>
  <c r="D78" i="1"/>
  <c r="F78" i="1"/>
  <c r="G78" i="1"/>
  <c r="H78" i="1"/>
  <c r="I78" i="1"/>
  <c r="J78" i="1"/>
  <c r="K78" i="1"/>
  <c r="L78" i="1"/>
  <c r="M78" i="1"/>
  <c r="N78" i="1"/>
  <c r="C79" i="1"/>
  <c r="D79" i="1"/>
  <c r="F79" i="1"/>
  <c r="G79" i="1"/>
  <c r="H79" i="1"/>
  <c r="I79" i="1"/>
  <c r="J79" i="1"/>
  <c r="K79" i="1"/>
  <c r="L79" i="1"/>
  <c r="M79" i="1"/>
  <c r="N79" i="1"/>
  <c r="C80" i="1"/>
  <c r="D80" i="1"/>
  <c r="F80" i="1"/>
  <c r="G80" i="1"/>
  <c r="H80" i="1"/>
  <c r="I80" i="1"/>
  <c r="J80" i="1"/>
  <c r="K80" i="1"/>
  <c r="L80" i="1"/>
  <c r="M80" i="1"/>
  <c r="N80" i="1"/>
  <c r="C81" i="1"/>
  <c r="D81" i="1"/>
  <c r="F81" i="1"/>
  <c r="G81" i="1"/>
  <c r="H81" i="1"/>
  <c r="I81" i="1"/>
  <c r="J81" i="1"/>
  <c r="K81" i="1"/>
  <c r="L81" i="1"/>
  <c r="M81" i="1"/>
  <c r="N81" i="1"/>
  <c r="C82" i="1"/>
  <c r="D82" i="1"/>
  <c r="F82" i="1"/>
  <c r="G82" i="1"/>
  <c r="H82" i="1"/>
  <c r="I82" i="1"/>
  <c r="J82" i="1"/>
  <c r="M82" i="1"/>
  <c r="N82" i="1"/>
  <c r="C83" i="1"/>
  <c r="D83" i="1"/>
  <c r="F83" i="1"/>
  <c r="G83" i="1"/>
  <c r="H83" i="1"/>
  <c r="I83" i="1"/>
  <c r="J83" i="1"/>
  <c r="M83" i="1"/>
  <c r="N83" i="1"/>
  <c r="C84" i="1"/>
  <c r="D84" i="1"/>
  <c r="F84" i="1"/>
  <c r="G84" i="1"/>
  <c r="H84" i="1"/>
  <c r="I84" i="1"/>
  <c r="J84" i="1"/>
  <c r="M84" i="1"/>
  <c r="N84" i="1"/>
  <c r="C85" i="1"/>
  <c r="D85" i="1"/>
  <c r="F85" i="1"/>
  <c r="G85" i="1"/>
  <c r="H85" i="1"/>
  <c r="I85" i="1"/>
  <c r="J85" i="1"/>
  <c r="M85" i="1"/>
  <c r="N85" i="1"/>
  <c r="Q88" i="1"/>
  <c r="N118" i="2" s="1"/>
  <c r="M88" i="1"/>
  <c r="L88" i="1"/>
  <c r="J88" i="1"/>
  <c r="N88" i="1"/>
  <c r="I88" i="1"/>
  <c r="H88" i="1"/>
  <c r="G88" i="1"/>
  <c r="N46" i="2" s="1"/>
  <c r="F88" i="1"/>
  <c r="D88" i="1"/>
  <c r="C88" i="1"/>
  <c r="AC19" i="4"/>
  <c r="AC29" i="4" s="1"/>
  <c r="AB20" i="4"/>
  <c r="AB19" i="4"/>
  <c r="AA20" i="4"/>
  <c r="AA19" i="4"/>
  <c r="Y20" i="4"/>
  <c r="X20" i="4"/>
  <c r="W20" i="4"/>
  <c r="X19" i="4"/>
  <c r="W19" i="4"/>
  <c r="V19" i="4"/>
  <c r="V29" i="4" s="1"/>
  <c r="U20" i="4"/>
  <c r="T20" i="4"/>
  <c r="U19" i="4"/>
  <c r="T19" i="4"/>
  <c r="S19" i="4"/>
  <c r="S20" i="4"/>
  <c r="S29" i="4" s="1"/>
  <c r="S31" i="4" s="1"/>
  <c r="R20" i="4"/>
  <c r="R19" i="4"/>
  <c r="Q20" i="4"/>
  <c r="Q19" i="4"/>
  <c r="P20" i="4"/>
  <c r="P19" i="4"/>
  <c r="O19" i="4"/>
  <c r="N20" i="4"/>
  <c r="N19" i="4"/>
  <c r="M19" i="4"/>
  <c r="L19" i="4"/>
  <c r="M20" i="4"/>
  <c r="L20" i="4"/>
  <c r="K20" i="4"/>
  <c r="K29" i="4" s="1"/>
  <c r="K32" i="4" s="1"/>
  <c r="K19" i="4"/>
  <c r="J20" i="4"/>
  <c r="I20" i="4"/>
  <c r="I19" i="4"/>
  <c r="H20" i="4"/>
  <c r="H29" i="4" s="1"/>
  <c r="H19" i="4"/>
  <c r="G19" i="4"/>
  <c r="F20" i="4"/>
  <c r="F19" i="4"/>
  <c r="E20" i="4"/>
  <c r="C20" i="4"/>
  <c r="C19" i="4"/>
  <c r="N18" i="2"/>
  <c r="B5" i="13" s="1"/>
  <c r="N104" i="2"/>
  <c r="N39" i="2"/>
  <c r="B8" i="13" s="1"/>
  <c r="N97" i="2"/>
  <c r="B16" i="13" s="1"/>
  <c r="N69" i="2"/>
  <c r="N90" i="2"/>
  <c r="B15" i="13" s="1"/>
  <c r="N62" i="2"/>
  <c r="B11" i="13" s="1"/>
  <c r="N32" i="2"/>
  <c r="B7" i="13" s="1"/>
  <c r="N83" i="2"/>
  <c r="B14" i="13" s="1"/>
  <c r="N55" i="2"/>
  <c r="B10" i="13" s="1"/>
  <c r="N25" i="2"/>
  <c r="B6" i="13" s="1"/>
  <c r="N188" i="2"/>
  <c r="N174" i="2"/>
  <c r="B27" i="13" s="1"/>
  <c r="N167" i="2"/>
  <c r="B26" i="13" s="1"/>
  <c r="N160" i="2"/>
  <c r="B25" i="13" s="1"/>
  <c r="N125" i="2"/>
  <c r="B20" i="13" s="1"/>
  <c r="N153" i="2"/>
  <c r="B24" i="13" s="1"/>
  <c r="N146" i="2"/>
  <c r="B23" i="13" s="1"/>
  <c r="N139" i="2"/>
  <c r="G8" i="13"/>
  <c r="V8" i="4"/>
  <c r="C239" i="2"/>
  <c r="B4" i="13"/>
  <c r="D60" i="2"/>
  <c r="T31" i="3"/>
  <c r="D63" i="2"/>
  <c r="G21" i="13"/>
  <c r="G15" i="13"/>
  <c r="G10" i="13"/>
  <c r="G16" i="13"/>
  <c r="G28" i="13"/>
  <c r="G19" i="13"/>
  <c r="G27" i="13"/>
  <c r="B239" i="2"/>
  <c r="D72" i="2"/>
  <c r="BF52" i="3"/>
  <c r="AH52" i="3"/>
  <c r="T52" i="3"/>
  <c r="L52" i="3"/>
  <c r="J52" i="3"/>
  <c r="H52" i="3"/>
  <c r="F52" i="3"/>
  <c r="D52" i="3"/>
  <c r="BF44" i="3"/>
  <c r="AD9" i="4"/>
  <c r="AC9" i="4"/>
  <c r="Z9" i="4"/>
  <c r="Y9" i="4"/>
  <c r="X9" i="4"/>
  <c r="W9" i="4"/>
  <c r="V9" i="4"/>
  <c r="S9" i="4"/>
  <c r="AH44" i="3"/>
  <c r="R9" i="4"/>
  <c r="Q9" i="4"/>
  <c r="P9" i="4"/>
  <c r="O9" i="4"/>
  <c r="N9" i="4"/>
  <c r="M9" i="4"/>
  <c r="L9" i="4"/>
  <c r="T44" i="3"/>
  <c r="K9" i="4"/>
  <c r="J9" i="4"/>
  <c r="I9" i="4"/>
  <c r="H9" i="4"/>
  <c r="L44" i="3"/>
  <c r="G9" i="4"/>
  <c r="J44" i="3"/>
  <c r="F9" i="4"/>
  <c r="H44" i="3"/>
  <c r="E9" i="4"/>
  <c r="F44" i="3"/>
  <c r="D9" i="4"/>
  <c r="D44" i="3"/>
  <c r="C9" i="4"/>
  <c r="BG35" i="3"/>
  <c r="E200" i="2"/>
  <c r="BF35" i="3"/>
  <c r="E144" i="2"/>
  <c r="D144" i="2"/>
  <c r="E137" i="2"/>
  <c r="D137" i="2"/>
  <c r="E130" i="2"/>
  <c r="G130" i="2" s="1"/>
  <c r="D130" i="2"/>
  <c r="E123" i="2"/>
  <c r="D123" i="2"/>
  <c r="I123" i="2" s="1"/>
  <c r="AI35" i="3"/>
  <c r="E116" i="2"/>
  <c r="AH35" i="3"/>
  <c r="D116" i="2"/>
  <c r="E109" i="2"/>
  <c r="I109" i="2" s="1"/>
  <c r="D109" i="2"/>
  <c r="E95" i="2"/>
  <c r="D95" i="2"/>
  <c r="I95" i="2" s="1"/>
  <c r="E88" i="2"/>
  <c r="D88" i="2"/>
  <c r="I88" i="2" s="1"/>
  <c r="E74" i="2"/>
  <c r="D74" i="2"/>
  <c r="U35" i="3"/>
  <c r="E67" i="2"/>
  <c r="T35" i="3"/>
  <c r="D67" i="2"/>
  <c r="E60" i="2"/>
  <c r="E44" i="2"/>
  <c r="D44" i="2"/>
  <c r="I44" i="2" s="1"/>
  <c r="M35" i="3"/>
  <c r="E37" i="2"/>
  <c r="G37" i="2" s="1"/>
  <c r="J37" i="2" s="1"/>
  <c r="L35" i="3"/>
  <c r="D37" i="2"/>
  <c r="K35" i="3"/>
  <c r="E30" i="2"/>
  <c r="J35" i="3"/>
  <c r="D30" i="2"/>
  <c r="I30" i="2" s="1"/>
  <c r="M30" i="2" s="1"/>
  <c r="I35" i="3"/>
  <c r="E23" i="2"/>
  <c r="H35" i="3"/>
  <c r="D23" i="2"/>
  <c r="G35" i="3"/>
  <c r="E16" i="2"/>
  <c r="F35" i="3"/>
  <c r="D16" i="2"/>
  <c r="G16" i="2" s="1"/>
  <c r="J16" i="2" s="1"/>
  <c r="E35" i="3"/>
  <c r="E9" i="2"/>
  <c r="I9" i="2" s="1"/>
  <c r="M9" i="2" s="1"/>
  <c r="D35" i="3"/>
  <c r="D9" i="2"/>
  <c r="D134" i="2"/>
  <c r="E134" i="2"/>
  <c r="D135" i="2"/>
  <c r="E135" i="2"/>
  <c r="G135" i="2" s="1"/>
  <c r="J135" i="2" s="1"/>
  <c r="D136" i="2"/>
  <c r="E136" i="2"/>
  <c r="D138" i="2"/>
  <c r="E138" i="2"/>
  <c r="L31" i="3"/>
  <c r="L32" i="3"/>
  <c r="D34" i="2"/>
  <c r="L33" i="3"/>
  <c r="D35" i="2"/>
  <c r="L34" i="3"/>
  <c r="D36" i="2"/>
  <c r="L36" i="3"/>
  <c r="D38" i="2"/>
  <c r="L40" i="3"/>
  <c r="BG32" i="3"/>
  <c r="BF32" i="3"/>
  <c r="O10" i="4"/>
  <c r="O8" i="4"/>
  <c r="O7" i="4"/>
  <c r="O6" i="4"/>
  <c r="N16" i="4"/>
  <c r="N15" i="4"/>
  <c r="N14" i="4"/>
  <c r="N13" i="4"/>
  <c r="N12" i="4"/>
  <c r="N10" i="4"/>
  <c r="N8" i="4"/>
  <c r="N7" i="4"/>
  <c r="N6" i="4"/>
  <c r="N5" i="4"/>
  <c r="T48" i="3"/>
  <c r="K12" i="4"/>
  <c r="O16" i="4"/>
  <c r="O15" i="4"/>
  <c r="O14" i="4"/>
  <c r="O13" i="4"/>
  <c r="O12" i="4"/>
  <c r="E96" i="2"/>
  <c r="D96" i="2"/>
  <c r="I96" i="2" s="1"/>
  <c r="E94" i="2"/>
  <c r="D94" i="2"/>
  <c r="E93" i="2"/>
  <c r="D93" i="2"/>
  <c r="E92" i="2"/>
  <c r="D92" i="2"/>
  <c r="E89" i="2"/>
  <c r="D89" i="2"/>
  <c r="I89" i="2" s="1"/>
  <c r="E87" i="2"/>
  <c r="D87" i="2"/>
  <c r="E86" i="2"/>
  <c r="D86" i="2"/>
  <c r="E85" i="2"/>
  <c r="D85" i="2"/>
  <c r="O5" i="4"/>
  <c r="AC16" i="4"/>
  <c r="AC15" i="4"/>
  <c r="AC14" i="4"/>
  <c r="AC13" i="4"/>
  <c r="AC12" i="4"/>
  <c r="AC10" i="4"/>
  <c r="AC8" i="4"/>
  <c r="AC7" i="4"/>
  <c r="AC6" i="4"/>
  <c r="AC5" i="4"/>
  <c r="AB16" i="4"/>
  <c r="AB15" i="4"/>
  <c r="AB14" i="4"/>
  <c r="AB13" i="4"/>
  <c r="AB12" i="4"/>
  <c r="AB8" i="4"/>
  <c r="AB7" i="4"/>
  <c r="AB6" i="4"/>
  <c r="AB5" i="4"/>
  <c r="D140" i="2"/>
  <c r="BF53" i="3"/>
  <c r="AA16" i="4"/>
  <c r="Z16" i="4"/>
  <c r="Y16" i="4"/>
  <c r="X16" i="4"/>
  <c r="W16" i="4"/>
  <c r="V16" i="4"/>
  <c r="T16" i="4"/>
  <c r="S16" i="4"/>
  <c r="AH53" i="3"/>
  <c r="R16" i="4"/>
  <c r="Q16" i="4"/>
  <c r="P16" i="4"/>
  <c r="M16" i="4"/>
  <c r="L16" i="4"/>
  <c r="T53" i="3"/>
  <c r="K16" i="4"/>
  <c r="J16" i="4"/>
  <c r="I16" i="4"/>
  <c r="H16" i="4"/>
  <c r="L53" i="3"/>
  <c r="G16" i="4"/>
  <c r="J53" i="3"/>
  <c r="F16" i="4"/>
  <c r="H53" i="3"/>
  <c r="E16" i="4"/>
  <c r="F53" i="3"/>
  <c r="D16" i="4"/>
  <c r="D53" i="3"/>
  <c r="C16" i="4"/>
  <c r="BF51" i="3"/>
  <c r="AA15" i="4"/>
  <c r="Z15" i="4"/>
  <c r="Y15" i="4"/>
  <c r="X15" i="4"/>
  <c r="W15" i="4"/>
  <c r="V15" i="4"/>
  <c r="T15" i="4"/>
  <c r="S15" i="4"/>
  <c r="AH51" i="3"/>
  <c r="R15" i="4"/>
  <c r="Q15" i="4"/>
  <c r="P15" i="4"/>
  <c r="M15" i="4"/>
  <c r="L15" i="4"/>
  <c r="T51" i="3"/>
  <c r="K15" i="4"/>
  <c r="J15" i="4"/>
  <c r="I15" i="4"/>
  <c r="H15" i="4"/>
  <c r="L51" i="3"/>
  <c r="G15" i="4"/>
  <c r="J51" i="3"/>
  <c r="F15" i="4"/>
  <c r="H51" i="3"/>
  <c r="E15" i="4"/>
  <c r="F51" i="3"/>
  <c r="D51" i="3"/>
  <c r="C15" i="4"/>
  <c r="BF50" i="3"/>
  <c r="AA14" i="4"/>
  <c r="Z14" i="4"/>
  <c r="Y14" i="4"/>
  <c r="X14" i="4"/>
  <c r="W14" i="4"/>
  <c r="V14" i="4"/>
  <c r="T14" i="4"/>
  <c r="S14" i="4"/>
  <c r="AH50" i="3"/>
  <c r="R14" i="4"/>
  <c r="Q14" i="4"/>
  <c r="P14" i="4"/>
  <c r="M14" i="4"/>
  <c r="L14" i="4"/>
  <c r="T50" i="3"/>
  <c r="K14" i="4"/>
  <c r="J14" i="4"/>
  <c r="I14" i="4"/>
  <c r="H14" i="4"/>
  <c r="L50" i="3"/>
  <c r="G14" i="4"/>
  <c r="J50" i="3"/>
  <c r="F14" i="4"/>
  <c r="H50" i="3"/>
  <c r="E14" i="4"/>
  <c r="F50" i="3"/>
  <c r="D50" i="3"/>
  <c r="C14" i="4"/>
  <c r="BF49" i="3"/>
  <c r="AD13" i="4"/>
  <c r="AA13" i="4"/>
  <c r="Z13" i="4"/>
  <c r="Y13" i="4"/>
  <c r="X13" i="4"/>
  <c r="W13" i="4"/>
  <c r="V13" i="4"/>
  <c r="T13" i="4"/>
  <c r="S13" i="4"/>
  <c r="AH49" i="3"/>
  <c r="R13" i="4"/>
  <c r="Q13" i="4"/>
  <c r="P13" i="4"/>
  <c r="M13" i="4"/>
  <c r="L13" i="4"/>
  <c r="T49" i="3"/>
  <c r="K13" i="4"/>
  <c r="J13" i="4"/>
  <c r="I13" i="4"/>
  <c r="H13" i="4"/>
  <c r="L49" i="3"/>
  <c r="G13" i="4"/>
  <c r="J49" i="3"/>
  <c r="F13" i="4"/>
  <c r="H49" i="3"/>
  <c r="E13" i="4"/>
  <c r="F49" i="3"/>
  <c r="D13" i="4"/>
  <c r="D49" i="3"/>
  <c r="C13" i="4"/>
  <c r="BF48" i="3"/>
  <c r="AA12" i="4"/>
  <c r="Z12" i="4"/>
  <c r="Y12" i="4"/>
  <c r="X12" i="4"/>
  <c r="W12" i="4"/>
  <c r="V12" i="4"/>
  <c r="T12" i="4"/>
  <c r="S12" i="4"/>
  <c r="AH48" i="3"/>
  <c r="R12" i="4"/>
  <c r="Q12" i="4"/>
  <c r="P12" i="4"/>
  <c r="M12" i="4"/>
  <c r="L12" i="4"/>
  <c r="J12" i="4"/>
  <c r="L48" i="3"/>
  <c r="J48" i="3"/>
  <c r="F12" i="4"/>
  <c r="H48" i="3"/>
  <c r="E12" i="4"/>
  <c r="F48" i="3"/>
  <c r="D12" i="4"/>
  <c r="D48" i="3"/>
  <c r="C12" i="4"/>
  <c r="BF45" i="3"/>
  <c r="AD10" i="4"/>
  <c r="Z10" i="4"/>
  <c r="Y10" i="4"/>
  <c r="X10" i="4"/>
  <c r="W10" i="4"/>
  <c r="V10" i="4"/>
  <c r="S10" i="4"/>
  <c r="AH45" i="3"/>
  <c r="R10" i="4"/>
  <c r="Q10" i="4"/>
  <c r="P10" i="4"/>
  <c r="M10" i="4"/>
  <c r="L10" i="4"/>
  <c r="T45" i="3"/>
  <c r="K10" i="4"/>
  <c r="J10" i="4"/>
  <c r="L45" i="3"/>
  <c r="J45" i="3"/>
  <c r="F10" i="4"/>
  <c r="E10" i="4"/>
  <c r="F45" i="3"/>
  <c r="D10" i="4"/>
  <c r="D45" i="3"/>
  <c r="C10" i="4"/>
  <c r="BF43" i="3"/>
  <c r="AA8" i="4"/>
  <c r="Z8" i="4"/>
  <c r="Y8" i="4"/>
  <c r="X8" i="4"/>
  <c r="W8" i="4"/>
  <c r="U8" i="4"/>
  <c r="T8" i="4"/>
  <c r="S8" i="4"/>
  <c r="AH43" i="3"/>
  <c r="R8" i="4"/>
  <c r="Q8" i="4"/>
  <c r="P8" i="4"/>
  <c r="M8" i="4"/>
  <c r="L8" i="4"/>
  <c r="T43" i="3"/>
  <c r="K8" i="4"/>
  <c r="J8" i="4"/>
  <c r="L43" i="3"/>
  <c r="J43" i="3"/>
  <c r="F8" i="4"/>
  <c r="H43" i="3"/>
  <c r="E8" i="4"/>
  <c r="F43" i="3"/>
  <c r="D8" i="4"/>
  <c r="D43" i="3"/>
  <c r="C8" i="4"/>
  <c r="BF42" i="3"/>
  <c r="AA7" i="4"/>
  <c r="Z7" i="4"/>
  <c r="Y7" i="4"/>
  <c r="X7" i="4"/>
  <c r="W7" i="4"/>
  <c r="V7" i="4"/>
  <c r="U7" i="4"/>
  <c r="T7" i="4"/>
  <c r="S7" i="4"/>
  <c r="AH42" i="3"/>
  <c r="R7" i="4"/>
  <c r="Q7" i="4"/>
  <c r="P7" i="4"/>
  <c r="M7" i="4"/>
  <c r="L7" i="4"/>
  <c r="T42" i="3"/>
  <c r="K7" i="4"/>
  <c r="J7" i="4"/>
  <c r="L42" i="3"/>
  <c r="J42" i="3"/>
  <c r="F7" i="4"/>
  <c r="H42" i="3"/>
  <c r="E7" i="4"/>
  <c r="F42" i="3"/>
  <c r="D7" i="4"/>
  <c r="D42" i="3"/>
  <c r="C7" i="4"/>
  <c r="BF41" i="3"/>
  <c r="AA6" i="4"/>
  <c r="Z6" i="4"/>
  <c r="Y6" i="4"/>
  <c r="X6" i="4"/>
  <c r="W6" i="4"/>
  <c r="V6" i="4"/>
  <c r="U6" i="4"/>
  <c r="T6" i="4"/>
  <c r="S6" i="4"/>
  <c r="AH41" i="3"/>
  <c r="R6" i="4"/>
  <c r="Q6" i="4"/>
  <c r="P6" i="4"/>
  <c r="M6" i="4"/>
  <c r="L6" i="4"/>
  <c r="T41" i="3"/>
  <c r="K6" i="4"/>
  <c r="J6" i="4"/>
  <c r="L41" i="3"/>
  <c r="J41" i="3"/>
  <c r="F6" i="4"/>
  <c r="H41" i="3"/>
  <c r="E6" i="4"/>
  <c r="F41" i="3"/>
  <c r="D6" i="4"/>
  <c r="D41" i="3"/>
  <c r="C6" i="4"/>
  <c r="BF40" i="3"/>
  <c r="AA5" i="4"/>
  <c r="Z5" i="4"/>
  <c r="Y5" i="4"/>
  <c r="X5" i="4"/>
  <c r="W5" i="4"/>
  <c r="V5" i="4"/>
  <c r="U5" i="4"/>
  <c r="T5" i="4"/>
  <c r="S5" i="4"/>
  <c r="AH40" i="3"/>
  <c r="R5" i="4"/>
  <c r="Q5" i="4"/>
  <c r="P5" i="4"/>
  <c r="M5" i="4"/>
  <c r="L5" i="4"/>
  <c r="T40" i="3"/>
  <c r="K5" i="4"/>
  <c r="J5" i="4"/>
  <c r="J40" i="3"/>
  <c r="F5" i="4"/>
  <c r="H40" i="3"/>
  <c r="E5" i="4"/>
  <c r="F40" i="3"/>
  <c r="D5" i="4"/>
  <c r="D40" i="3"/>
  <c r="C5" i="4"/>
  <c r="BG36" i="3"/>
  <c r="E201" i="2"/>
  <c r="BF36" i="3"/>
  <c r="D201" i="2"/>
  <c r="E145" i="2"/>
  <c r="D145" i="2"/>
  <c r="G145" i="2" s="1"/>
  <c r="J145" i="2" s="1"/>
  <c r="E131" i="2"/>
  <c r="D131" i="2"/>
  <c r="E124" i="2"/>
  <c r="D124" i="2"/>
  <c r="AI36" i="3"/>
  <c r="E117" i="2"/>
  <c r="AH36" i="3"/>
  <c r="D117" i="2"/>
  <c r="I117" i="2" s="1"/>
  <c r="E110" i="2"/>
  <c r="D110" i="2"/>
  <c r="E75" i="2"/>
  <c r="D75" i="2"/>
  <c r="U36" i="3"/>
  <c r="E68" i="2"/>
  <c r="T36" i="3"/>
  <c r="D68" i="2"/>
  <c r="G68" i="2" s="1"/>
  <c r="J68" i="2" s="1"/>
  <c r="E61" i="2"/>
  <c r="D61" i="2"/>
  <c r="E45" i="2"/>
  <c r="D45" i="2"/>
  <c r="M36" i="3"/>
  <c r="E38" i="2"/>
  <c r="K36" i="3"/>
  <c r="E31" i="2"/>
  <c r="J36" i="3"/>
  <c r="D31" i="2"/>
  <c r="I36" i="3"/>
  <c r="E24" i="2"/>
  <c r="H36" i="3"/>
  <c r="D24" i="2"/>
  <c r="G36" i="3"/>
  <c r="E17" i="2"/>
  <c r="F36" i="3"/>
  <c r="D17" i="2"/>
  <c r="E36" i="3"/>
  <c r="E10" i="2"/>
  <c r="D36" i="3"/>
  <c r="D10" i="2"/>
  <c r="BG34" i="3"/>
  <c r="E199" i="2"/>
  <c r="G199" i="2" s="1"/>
  <c r="J199" i="2" s="1"/>
  <c r="L199" i="2" s="1"/>
  <c r="BF34" i="3"/>
  <c r="D199" i="2"/>
  <c r="E143" i="2"/>
  <c r="D143" i="2"/>
  <c r="I143" i="2" s="1"/>
  <c r="M143" i="2" s="1"/>
  <c r="E129" i="2"/>
  <c r="D129" i="2"/>
  <c r="E122" i="2"/>
  <c r="D122" i="2"/>
  <c r="I122" i="2" s="1"/>
  <c r="K122" i="2" s="1"/>
  <c r="AI34" i="3"/>
  <c r="E115" i="2"/>
  <c r="AH34" i="3"/>
  <c r="D115" i="2"/>
  <c r="E108" i="2"/>
  <c r="D108" i="2"/>
  <c r="E73" i="2"/>
  <c r="D73" i="2"/>
  <c r="G73" i="2" s="1"/>
  <c r="J73" i="2" s="1"/>
  <c r="L73" i="2" s="1"/>
  <c r="U34" i="3"/>
  <c r="E66" i="2"/>
  <c r="T34" i="3"/>
  <c r="D66" i="2"/>
  <c r="E59" i="2"/>
  <c r="D59" i="2"/>
  <c r="E43" i="2"/>
  <c r="D43" i="2"/>
  <c r="I43" i="2" s="1"/>
  <c r="M34" i="3"/>
  <c r="E36" i="2"/>
  <c r="I36" i="2" s="1"/>
  <c r="K34" i="3"/>
  <c r="E29" i="2"/>
  <c r="J34" i="3"/>
  <c r="D29" i="2"/>
  <c r="I34" i="3"/>
  <c r="E22" i="2"/>
  <c r="I22" i="2" s="1"/>
  <c r="H34" i="3"/>
  <c r="D22" i="2"/>
  <c r="G34" i="3"/>
  <c r="E15" i="2"/>
  <c r="F34" i="3"/>
  <c r="D15" i="2"/>
  <c r="E34" i="3"/>
  <c r="E8" i="2"/>
  <c r="D34" i="3"/>
  <c r="D8" i="2"/>
  <c r="BG33" i="3"/>
  <c r="E142" i="2"/>
  <c r="D142" i="2"/>
  <c r="E128" i="2"/>
  <c r="D128" i="2"/>
  <c r="I128" i="2" s="1"/>
  <c r="E121" i="2"/>
  <c r="D121" i="2"/>
  <c r="AI33" i="3"/>
  <c r="E114" i="2"/>
  <c r="AH33" i="3"/>
  <c r="D114" i="2"/>
  <c r="E107" i="2"/>
  <c r="D107" i="2"/>
  <c r="I107" i="2" s="1"/>
  <c r="M107" i="2" s="1"/>
  <c r="U33" i="3"/>
  <c r="E65" i="2"/>
  <c r="T33" i="3"/>
  <c r="D65" i="2"/>
  <c r="E58" i="2"/>
  <c r="D58" i="2"/>
  <c r="E42" i="2"/>
  <c r="D42" i="2"/>
  <c r="M33" i="3"/>
  <c r="E35" i="2"/>
  <c r="K33" i="3"/>
  <c r="E28" i="2"/>
  <c r="J33" i="3"/>
  <c r="D28" i="2"/>
  <c r="I33" i="3"/>
  <c r="E21" i="2"/>
  <c r="H33" i="3"/>
  <c r="D21" i="2"/>
  <c r="G21" i="2" s="1"/>
  <c r="J21" i="2" s="1"/>
  <c r="L21" i="2" s="1"/>
  <c r="G33" i="3"/>
  <c r="E14" i="2"/>
  <c r="F33" i="3"/>
  <c r="D14" i="2"/>
  <c r="E33" i="3"/>
  <c r="E7" i="2"/>
  <c r="D33" i="3"/>
  <c r="E141" i="2"/>
  <c r="D141" i="2"/>
  <c r="E127" i="2"/>
  <c r="D127" i="2"/>
  <c r="I127" i="2" s="1"/>
  <c r="M127" i="2" s="1"/>
  <c r="E120" i="2"/>
  <c r="D120" i="2"/>
  <c r="AI32" i="3"/>
  <c r="E113" i="2"/>
  <c r="AH32" i="3"/>
  <c r="D113" i="2"/>
  <c r="E106" i="2"/>
  <c r="D106" i="2"/>
  <c r="I106" i="2" s="1"/>
  <c r="M106" i="2" s="1"/>
  <c r="E71" i="2"/>
  <c r="D71" i="2"/>
  <c r="U32" i="3"/>
  <c r="E64" i="2"/>
  <c r="I64" i="2" s="1"/>
  <c r="M64" i="2" s="1"/>
  <c r="T32" i="3"/>
  <c r="D64" i="2"/>
  <c r="E57" i="2"/>
  <c r="D57" i="2"/>
  <c r="E41" i="2"/>
  <c r="D41" i="2"/>
  <c r="M32" i="3"/>
  <c r="E34" i="2"/>
  <c r="K32" i="3"/>
  <c r="E27" i="2"/>
  <c r="J32" i="3"/>
  <c r="D27" i="2"/>
  <c r="I32" i="3"/>
  <c r="E20" i="2"/>
  <c r="H32" i="3"/>
  <c r="D20" i="2"/>
  <c r="I20" i="2" s="1"/>
  <c r="G32" i="3"/>
  <c r="E13" i="2"/>
  <c r="F32" i="3"/>
  <c r="D13" i="2"/>
  <c r="E32" i="3"/>
  <c r="E6" i="2"/>
  <c r="D32" i="3"/>
  <c r="D6" i="2"/>
  <c r="I6" i="2" s="1"/>
  <c r="M6" i="2" s="1"/>
  <c r="BG31" i="3"/>
  <c r="BF31" i="3"/>
  <c r="E140" i="2"/>
  <c r="I140" i="2" s="1"/>
  <c r="E126" i="2"/>
  <c r="D126" i="2"/>
  <c r="E119" i="2"/>
  <c r="D119" i="2"/>
  <c r="G119" i="2" s="1"/>
  <c r="J119" i="2" s="1"/>
  <c r="AI31" i="3"/>
  <c r="E112" i="2"/>
  <c r="I112" i="2" s="1"/>
  <c r="AH31" i="3"/>
  <c r="D112" i="2"/>
  <c r="E70" i="2"/>
  <c r="D70" i="2"/>
  <c r="U31" i="3"/>
  <c r="D56" i="2"/>
  <c r="M31" i="3"/>
  <c r="K31" i="3"/>
  <c r="J31" i="3"/>
  <c r="D26" i="2"/>
  <c r="I31" i="3"/>
  <c r="H31" i="3"/>
  <c r="G31" i="3"/>
  <c r="F31" i="3"/>
  <c r="E31" i="3"/>
  <c r="D31" i="3"/>
  <c r="D5" i="2"/>
  <c r="X30" i="4"/>
  <c r="AA30" i="4"/>
  <c r="AB30" i="4"/>
  <c r="Y30" i="4"/>
  <c r="Z30" i="4"/>
  <c r="Q30" i="4"/>
  <c r="AC30" i="4"/>
  <c r="Y28" i="4"/>
  <c r="Y33" i="4"/>
  <c r="Y27" i="4"/>
  <c r="AA27" i="4"/>
  <c r="AA28" i="4"/>
  <c r="AA33" i="4"/>
  <c r="AB27" i="4"/>
  <c r="AC28" i="4"/>
  <c r="AC33" i="4"/>
  <c r="AB28" i="4"/>
  <c r="AB33" i="4"/>
  <c r="E198" i="2"/>
  <c r="BG37" i="3"/>
  <c r="AC27" i="4"/>
  <c r="Z27" i="4"/>
  <c r="Z28" i="4"/>
  <c r="Z33" i="4"/>
  <c r="D200" i="2"/>
  <c r="BF37" i="3"/>
  <c r="T29" i="4"/>
  <c r="T31" i="4" s="1"/>
  <c r="W29" i="4"/>
  <c r="W32" i="4" s="1"/>
  <c r="X27" i="4"/>
  <c r="X28" i="4"/>
  <c r="Q28" i="4"/>
  <c r="Q33" i="4"/>
  <c r="Q27" i="4"/>
  <c r="C28" i="4"/>
  <c r="C27" i="4"/>
  <c r="D7" i="2"/>
  <c r="D37" i="3"/>
  <c r="E30" i="4"/>
  <c r="D30" i="4"/>
  <c r="J30" i="4"/>
  <c r="C30" i="4"/>
  <c r="M30" i="4"/>
  <c r="J28" i="4"/>
  <c r="J33" i="4"/>
  <c r="J27" i="4"/>
  <c r="M28" i="4"/>
  <c r="M33" i="4"/>
  <c r="M27" i="4"/>
  <c r="I24" i="2"/>
  <c r="K24" i="2" s="1"/>
  <c r="D12" i="2"/>
  <c r="F37" i="3"/>
  <c r="E12" i="2"/>
  <c r="G37" i="3"/>
  <c r="D27" i="4"/>
  <c r="E5" i="2"/>
  <c r="E37" i="3"/>
  <c r="I37" i="3"/>
  <c r="E27" i="4"/>
  <c r="D19" i="2"/>
  <c r="H37" i="3"/>
  <c r="E28" i="4"/>
  <c r="E33" i="4"/>
  <c r="L30" i="4"/>
  <c r="E63" i="2"/>
  <c r="U37" i="3"/>
  <c r="E72" i="2"/>
  <c r="L27" i="4"/>
  <c r="L28" i="4"/>
  <c r="L33" i="4"/>
  <c r="V37" i="3"/>
  <c r="W37" i="3"/>
  <c r="U30" i="4"/>
  <c r="T30" i="4"/>
  <c r="I197" i="2"/>
  <c r="K197" i="2" s="1"/>
  <c r="G197" i="2"/>
  <c r="J197" i="2" s="1"/>
  <c r="L197" i="2" s="1"/>
  <c r="I151" i="2"/>
  <c r="M151" i="2" s="1"/>
  <c r="G151" i="2"/>
  <c r="J151" i="2" s="1"/>
  <c r="L151" i="2" s="1"/>
  <c r="G149" i="2"/>
  <c r="J149" i="2" s="1"/>
  <c r="L149" i="2" s="1"/>
  <c r="I149" i="2"/>
  <c r="K149" i="2" s="1"/>
  <c r="I147" i="2"/>
  <c r="M147" i="2" s="1"/>
  <c r="G147" i="2"/>
  <c r="J147" i="2" s="1"/>
  <c r="I148" i="2"/>
  <c r="M148" i="2" s="1"/>
  <c r="G148" i="2"/>
  <c r="J148" i="2"/>
  <c r="I162" i="2"/>
  <c r="G161" i="2"/>
  <c r="I124" i="2"/>
  <c r="K124" i="2" s="1"/>
  <c r="G122" i="2"/>
  <c r="J122" i="2" s="1"/>
  <c r="L122" i="2" s="1"/>
  <c r="G123" i="2"/>
  <c r="J123" i="2" s="1"/>
  <c r="L123" i="2" s="1"/>
  <c r="G113" i="2"/>
  <c r="J113" i="2" s="1"/>
  <c r="W113" i="2" s="1"/>
  <c r="I91" i="2"/>
  <c r="M91" i="2" s="1"/>
  <c r="G91" i="2"/>
  <c r="J91" i="2" s="1"/>
  <c r="W91" i="2" s="1"/>
  <c r="I92" i="2"/>
  <c r="P30" i="4"/>
  <c r="O30" i="4"/>
  <c r="R30" i="4"/>
  <c r="V30" i="4"/>
  <c r="S30" i="4"/>
  <c r="W30" i="4"/>
  <c r="N30" i="4"/>
  <c r="K30" i="4"/>
  <c r="F30" i="4"/>
  <c r="N28" i="4"/>
  <c r="N33" i="4"/>
  <c r="I130" i="2"/>
  <c r="M130" i="2" s="1"/>
  <c r="J130" i="2"/>
  <c r="I15" i="2"/>
  <c r="K15" i="2" s="1"/>
  <c r="E33" i="2"/>
  <c r="I33" i="2" s="1"/>
  <c r="M37" i="3"/>
  <c r="Q37" i="3"/>
  <c r="AH37" i="3"/>
  <c r="T37" i="3"/>
  <c r="E84" i="2"/>
  <c r="E90" i="2" s="1"/>
  <c r="AA37" i="3"/>
  <c r="D40" i="2"/>
  <c r="N37" i="3"/>
  <c r="AI37" i="3"/>
  <c r="AP37" i="3"/>
  <c r="AB37" i="3"/>
  <c r="J37" i="3"/>
  <c r="E40" i="2"/>
  <c r="O37" i="3"/>
  <c r="E56" i="2"/>
  <c r="D105" i="2"/>
  <c r="AJ37" i="3"/>
  <c r="AQ37" i="3"/>
  <c r="AC37" i="3"/>
  <c r="E133" i="2"/>
  <c r="AO37" i="3"/>
  <c r="AD37" i="3"/>
  <c r="AL37" i="3"/>
  <c r="E153" i="2"/>
  <c r="AS37" i="3"/>
  <c r="E19" i="2"/>
  <c r="AE37" i="3"/>
  <c r="AM37" i="3"/>
  <c r="D33" i="2"/>
  <c r="L37" i="3"/>
  <c r="E26" i="2"/>
  <c r="I26" i="2" s="1"/>
  <c r="M26" i="2" s="1"/>
  <c r="K37" i="3"/>
  <c r="P37" i="3"/>
  <c r="AK37" i="3"/>
  <c r="AR37" i="3"/>
  <c r="D84" i="2"/>
  <c r="Z37" i="3"/>
  <c r="D133" i="2"/>
  <c r="AN37" i="3"/>
  <c r="K28" i="4"/>
  <c r="K33" i="4"/>
  <c r="K27" i="4"/>
  <c r="AD5" i="4"/>
  <c r="AD6" i="4"/>
  <c r="AD7" i="4"/>
  <c r="AD8" i="4"/>
  <c r="AD12" i="4"/>
  <c r="AD14" i="4"/>
  <c r="AD15" i="4"/>
  <c r="AD16" i="4"/>
  <c r="G60" i="2"/>
  <c r="J60" i="2" s="1"/>
  <c r="L60" i="2" s="1"/>
  <c r="G42" i="2"/>
  <c r="J42" i="2" s="1"/>
  <c r="I42" i="2"/>
  <c r="G45" i="2"/>
  <c r="J45" i="2" s="1"/>
  <c r="L45" i="2" s="1"/>
  <c r="D14" i="4"/>
  <c r="D15" i="4"/>
  <c r="I5" i="4"/>
  <c r="I6" i="4"/>
  <c r="I7" i="4"/>
  <c r="I8" i="4"/>
  <c r="I10" i="4"/>
  <c r="I12" i="4"/>
  <c r="I68" i="2"/>
  <c r="M68" i="2" s="1"/>
  <c r="O28" i="4"/>
  <c r="U28" i="4"/>
  <c r="U33" i="4"/>
  <c r="W28" i="4"/>
  <c r="W33" i="4"/>
  <c r="S28" i="4"/>
  <c r="S33" i="4"/>
  <c r="F28" i="4"/>
  <c r="F33" i="4"/>
  <c r="T28" i="4"/>
  <c r="T33" i="4"/>
  <c r="V28" i="4"/>
  <c r="V33" i="4"/>
  <c r="P28" i="4"/>
  <c r="P33" i="4"/>
  <c r="R28" i="4"/>
  <c r="G106" i="2"/>
  <c r="G109" i="2"/>
  <c r="J109" i="2" s="1"/>
  <c r="L109" i="2" s="1"/>
  <c r="H5" i="4"/>
  <c r="H6" i="4"/>
  <c r="H7" i="4"/>
  <c r="H8" i="4"/>
  <c r="H10" i="4"/>
  <c r="H12" i="4"/>
  <c r="G6" i="4"/>
  <c r="G7" i="4"/>
  <c r="G8" i="4"/>
  <c r="G10" i="4"/>
  <c r="G12" i="4"/>
  <c r="G5" i="4"/>
  <c r="I73" i="2"/>
  <c r="K73" i="2" s="1"/>
  <c r="I75" i="2"/>
  <c r="K75" i="2" s="1"/>
  <c r="D228" i="2"/>
  <c r="E228" i="2" s="1"/>
  <c r="P27" i="4"/>
  <c r="N27" i="4"/>
  <c r="I85" i="2"/>
  <c r="M85" i="2" s="1"/>
  <c r="F27" i="4"/>
  <c r="I71" i="2"/>
  <c r="M71" i="2" s="1"/>
  <c r="G74" i="2"/>
  <c r="J74" i="2" s="1"/>
  <c r="G159" i="2"/>
  <c r="J159" i="2" s="1"/>
  <c r="I158" i="2"/>
  <c r="K158" i="2" s="1"/>
  <c r="G158" i="2"/>
  <c r="J158" i="2" s="1"/>
  <c r="L158" i="2" s="1"/>
  <c r="D227" i="2"/>
  <c r="F228" i="2"/>
  <c r="G228" i="2" s="1"/>
  <c r="I86" i="2"/>
  <c r="G86" i="2"/>
  <c r="J86" i="2" s="1"/>
  <c r="L86" i="2" s="1"/>
  <c r="O27" i="4"/>
  <c r="B22" i="13"/>
  <c r="B29" i="13"/>
  <c r="W27" i="4"/>
  <c r="V27" i="4"/>
  <c r="F227" i="2"/>
  <c r="F231" i="2"/>
  <c r="G231" i="2" s="1"/>
  <c r="G230" i="2"/>
  <c r="D230" i="2"/>
  <c r="E230" i="2" s="1"/>
  <c r="U27" i="4"/>
  <c r="G134" i="2"/>
  <c r="J134" i="2" s="1"/>
  <c r="L134" i="2" s="1"/>
  <c r="I135" i="2"/>
  <c r="M135" i="2" s="1"/>
  <c r="T27" i="4"/>
  <c r="S27" i="4"/>
  <c r="R27" i="4"/>
  <c r="AD30" i="4"/>
  <c r="G200" i="2"/>
  <c r="J200" i="2" s="1"/>
  <c r="AD28" i="4"/>
  <c r="AD33" i="4"/>
  <c r="AD27" i="4"/>
  <c r="G196" i="2"/>
  <c r="M24" i="2"/>
  <c r="I196" i="2"/>
  <c r="K196" i="2" s="1"/>
  <c r="D28" i="4"/>
  <c r="D33" i="4"/>
  <c r="I28" i="4"/>
  <c r="I33" i="4"/>
  <c r="M197" i="2"/>
  <c r="K148" i="2"/>
  <c r="K162" i="2"/>
  <c r="M162" i="2"/>
  <c r="H30" i="4"/>
  <c r="G30" i="4"/>
  <c r="B30" i="4"/>
  <c r="I30" i="4"/>
  <c r="K127" i="2"/>
  <c r="I133" i="2"/>
  <c r="M133" i="2" s="1"/>
  <c r="I84" i="2"/>
  <c r="K84" i="2" s="1"/>
  <c r="I105" i="2"/>
  <c r="M105" i="2" s="1"/>
  <c r="G26" i="2"/>
  <c r="G84" i="2"/>
  <c r="I156" i="2"/>
  <c r="M156" i="2" s="1"/>
  <c r="G156" i="2"/>
  <c r="J156" i="2" s="1"/>
  <c r="W179" i="2"/>
  <c r="M75" i="2"/>
  <c r="X33" i="4"/>
  <c r="O33" i="4"/>
  <c r="G28" i="4"/>
  <c r="I34" i="2"/>
  <c r="M34" i="2" s="1"/>
  <c r="G34" i="2"/>
  <c r="J34" i="2" s="1"/>
  <c r="I27" i="4"/>
  <c r="H28" i="4"/>
  <c r="H33" i="4"/>
  <c r="K106" i="2"/>
  <c r="B17" i="13"/>
  <c r="H27" i="4"/>
  <c r="G27" i="4"/>
  <c r="B27" i="4"/>
  <c r="C33" i="4"/>
  <c r="G6" i="2"/>
  <c r="J6" i="2" s="1"/>
  <c r="W6" i="2" s="1"/>
  <c r="K34" i="4"/>
  <c r="I12" i="13" s="1"/>
  <c r="I138" i="2"/>
  <c r="M138" i="2" s="1"/>
  <c r="K9" i="2"/>
  <c r="E104" i="2"/>
  <c r="G138" i="2"/>
  <c r="G70" i="2"/>
  <c r="D153" i="2"/>
  <c r="C4" i="13"/>
  <c r="T34" i="4"/>
  <c r="I21" i="13" s="1"/>
  <c r="T32" i="4"/>
  <c r="R33" i="4"/>
  <c r="B28" i="4"/>
  <c r="G33" i="4"/>
  <c r="B33" i="4"/>
  <c r="M196" i="2"/>
  <c r="J84" i="2"/>
  <c r="W84" i="2" s="1"/>
  <c r="W173" i="2"/>
  <c r="J138" i="2"/>
  <c r="L138" i="2" s="1"/>
  <c r="B240" i="2"/>
  <c r="C240" i="2"/>
  <c r="G240" i="2"/>
  <c r="F240" i="2"/>
  <c r="I240" i="2"/>
  <c r="L217" i="2" l="1"/>
  <c r="W217" i="2"/>
  <c r="H31" i="4"/>
  <c r="H34" i="4"/>
  <c r="I9" i="13" s="1"/>
  <c r="K164" i="2"/>
  <c r="M164" i="2"/>
  <c r="M117" i="2"/>
  <c r="K117" i="2"/>
  <c r="M89" i="2"/>
  <c r="K89" i="2"/>
  <c r="M96" i="2"/>
  <c r="K96" i="2"/>
  <c r="V31" i="4"/>
  <c r="V34" i="4"/>
  <c r="I23" i="13" s="1"/>
  <c r="AE32" i="4"/>
  <c r="AE31" i="4"/>
  <c r="W119" i="2"/>
  <c r="L119" i="2"/>
  <c r="M159" i="2"/>
  <c r="K159" i="2"/>
  <c r="L162" i="2"/>
  <c r="W162" i="2"/>
  <c r="I231" i="2"/>
  <c r="G30" i="2"/>
  <c r="J30" i="2" s="1"/>
  <c r="G44" i="2"/>
  <c r="J44" i="2" s="1"/>
  <c r="K173" i="2"/>
  <c r="I48" i="2"/>
  <c r="K48" i="2" s="1"/>
  <c r="G23" i="13"/>
  <c r="I219" i="2"/>
  <c r="L84" i="2"/>
  <c r="G177" i="2"/>
  <c r="J177" i="2" s="1"/>
  <c r="L177" i="2" s="1"/>
  <c r="F29" i="4"/>
  <c r="F34" i="4" s="1"/>
  <c r="I7" i="13" s="1"/>
  <c r="G88" i="2"/>
  <c r="J88" i="2" s="1"/>
  <c r="G43" i="2"/>
  <c r="J43" i="2" s="1"/>
  <c r="I134" i="2"/>
  <c r="M134" i="2" s="1"/>
  <c r="J29" i="4"/>
  <c r="J31" i="4" s="1"/>
  <c r="G168" i="2"/>
  <c r="J168" i="2" s="1"/>
  <c r="L168" i="2" s="1"/>
  <c r="G25" i="13"/>
  <c r="X209" i="2"/>
  <c r="G6" i="13"/>
  <c r="G22" i="13"/>
  <c r="W172" i="2"/>
  <c r="L91" i="2"/>
  <c r="G155" i="2"/>
  <c r="J155" i="2" s="1"/>
  <c r="G40" i="2"/>
  <c r="J40" i="2" s="1"/>
  <c r="W40" i="2" s="1"/>
  <c r="I16" i="2"/>
  <c r="G117" i="2"/>
  <c r="J117" i="2" s="1"/>
  <c r="I145" i="2"/>
  <c r="I63" i="2"/>
  <c r="K63" i="2" s="1"/>
  <c r="K82" i="2"/>
  <c r="E83" i="2"/>
  <c r="I161" i="2"/>
  <c r="M161" i="2" s="1"/>
  <c r="J231" i="2"/>
  <c r="G163" i="2"/>
  <c r="J163" i="2" s="1"/>
  <c r="L163" i="2" s="1"/>
  <c r="E216" i="2"/>
  <c r="G213" i="2"/>
  <c r="J213" i="2" s="1"/>
  <c r="G215" i="2"/>
  <c r="J215" i="2" s="1"/>
  <c r="G20" i="13"/>
  <c r="D125" i="2"/>
  <c r="W171" i="2"/>
  <c r="K68" i="2"/>
  <c r="W197" i="2"/>
  <c r="G89" i="2"/>
  <c r="J89" i="2" s="1"/>
  <c r="L89" i="2" s="1"/>
  <c r="G20" i="2"/>
  <c r="J20" i="2" s="1"/>
  <c r="L20" i="2" s="1"/>
  <c r="E139" i="2"/>
  <c r="G96" i="2"/>
  <c r="J96" i="2" s="1"/>
  <c r="I185" i="2"/>
  <c r="H223" i="2"/>
  <c r="W191" i="2"/>
  <c r="W31" i="4"/>
  <c r="K151" i="2"/>
  <c r="G157" i="2"/>
  <c r="J157" i="2" s="1"/>
  <c r="L157" i="2" s="1"/>
  <c r="G107" i="2"/>
  <c r="J107" i="2" s="1"/>
  <c r="L107" i="2" s="1"/>
  <c r="G128" i="2"/>
  <c r="J128" i="2" s="1"/>
  <c r="I119" i="2"/>
  <c r="M119" i="2" s="1"/>
  <c r="I152" i="2"/>
  <c r="G150" i="2"/>
  <c r="U29" i="4"/>
  <c r="E55" i="2"/>
  <c r="H146" i="2"/>
  <c r="I210" i="2"/>
  <c r="G212" i="2"/>
  <c r="J212" i="2" s="1"/>
  <c r="K135" i="2"/>
  <c r="D232" i="2"/>
  <c r="E232" i="2" s="1"/>
  <c r="W123" i="2"/>
  <c r="K105" i="2"/>
  <c r="W34" i="4"/>
  <c r="I24" i="13" s="1"/>
  <c r="M73" i="2"/>
  <c r="K130" i="2"/>
  <c r="G5" i="2"/>
  <c r="J5" i="2" s="1"/>
  <c r="W5" i="2" s="1"/>
  <c r="G64" i="2"/>
  <c r="J64" i="2" s="1"/>
  <c r="L64" i="2" s="1"/>
  <c r="I113" i="2"/>
  <c r="M113" i="2" s="1"/>
  <c r="I8" i="2"/>
  <c r="K8" i="2" s="1"/>
  <c r="G22" i="2"/>
  <c r="J22" i="2" s="1"/>
  <c r="L22" i="2" s="1"/>
  <c r="G115" i="2"/>
  <c r="J115" i="2" s="1"/>
  <c r="I199" i="2"/>
  <c r="K199" i="2" s="1"/>
  <c r="I17" i="2"/>
  <c r="G31" i="2"/>
  <c r="J31" i="2" s="1"/>
  <c r="I74" i="2"/>
  <c r="M74" i="2" s="1"/>
  <c r="I116" i="2"/>
  <c r="G137" i="2"/>
  <c r="J137" i="2" s="1"/>
  <c r="D239" i="2"/>
  <c r="D104" i="2"/>
  <c r="H17" i="13" s="1"/>
  <c r="I100" i="2"/>
  <c r="I104" i="2" s="1"/>
  <c r="I102" i="2"/>
  <c r="K102" i="2" s="1"/>
  <c r="G17" i="13"/>
  <c r="H10" i="13"/>
  <c r="W64" i="2"/>
  <c r="K113" i="2"/>
  <c r="M8" i="2"/>
  <c r="M36" i="2"/>
  <c r="K36" i="2"/>
  <c r="W115" i="2"/>
  <c r="L115" i="2"/>
  <c r="M199" i="2"/>
  <c r="K17" i="2"/>
  <c r="M17" i="2"/>
  <c r="W137" i="2"/>
  <c r="L137" i="2"/>
  <c r="F31" i="4"/>
  <c r="F32" i="4"/>
  <c r="L74" i="2"/>
  <c r="W74" i="2"/>
  <c r="L52" i="2"/>
  <c r="W52" i="2"/>
  <c r="G32" i="4"/>
  <c r="G31" i="4"/>
  <c r="G34" i="4"/>
  <c r="I8" i="13" s="1"/>
  <c r="K194" i="2"/>
  <c r="M194" i="2"/>
  <c r="K161" i="2"/>
  <c r="W20" i="2"/>
  <c r="W122" i="2"/>
  <c r="H24" i="13"/>
  <c r="K34" i="2"/>
  <c r="J34" i="4"/>
  <c r="I11" i="13" s="1"/>
  <c r="K64" i="2"/>
  <c r="J32" i="4"/>
  <c r="K147" i="2"/>
  <c r="G8" i="2"/>
  <c r="J8" i="2" s="1"/>
  <c r="W8" i="2" s="1"/>
  <c r="G165" i="2"/>
  <c r="J165" i="2" s="1"/>
  <c r="G15" i="2"/>
  <c r="J15" i="2" s="1"/>
  <c r="I115" i="2"/>
  <c r="K115" i="2" s="1"/>
  <c r="G24" i="2"/>
  <c r="J24" i="2" s="1"/>
  <c r="D46" i="2"/>
  <c r="O29" i="4"/>
  <c r="Z29" i="4"/>
  <c r="Z34" i="4" s="1"/>
  <c r="I27" i="13" s="1"/>
  <c r="G49" i="2"/>
  <c r="J49" i="2" s="1"/>
  <c r="S32" i="4"/>
  <c r="I137" i="2"/>
  <c r="M158" i="2"/>
  <c r="G136" i="2"/>
  <c r="J136" i="2" s="1"/>
  <c r="G72" i="2"/>
  <c r="J72" i="2" s="1"/>
  <c r="R29" i="4"/>
  <c r="M168" i="2"/>
  <c r="G194" i="2"/>
  <c r="J194" i="2" s="1"/>
  <c r="X144" i="2"/>
  <c r="X146" i="2" s="1"/>
  <c r="H202" i="2"/>
  <c r="I204" i="2"/>
  <c r="M204" i="2" s="1"/>
  <c r="AF29" i="4"/>
  <c r="D223" i="2"/>
  <c r="D240" i="2"/>
  <c r="W134" i="2"/>
  <c r="M63" i="2"/>
  <c r="K107" i="2"/>
  <c r="G36" i="2"/>
  <c r="J36" i="2" s="1"/>
  <c r="L36" i="2" s="1"/>
  <c r="D18" i="2"/>
  <c r="I31" i="2"/>
  <c r="I163" i="2"/>
  <c r="I21" i="2"/>
  <c r="E69" i="2"/>
  <c r="I110" i="2"/>
  <c r="K171" i="2"/>
  <c r="I177" i="2"/>
  <c r="I180" i="2"/>
  <c r="M180" i="2" s="1"/>
  <c r="G82" i="2"/>
  <c r="J82" i="2" s="1"/>
  <c r="I80" i="2"/>
  <c r="I211" i="2"/>
  <c r="M211" i="2" s="1"/>
  <c r="W177" i="2"/>
  <c r="I5" i="2"/>
  <c r="K5" i="2" s="1"/>
  <c r="W158" i="2"/>
  <c r="L113" i="2"/>
  <c r="I98" i="2"/>
  <c r="M98" i="2" s="1"/>
  <c r="G100" i="2"/>
  <c r="J100" i="2" s="1"/>
  <c r="G102" i="2"/>
  <c r="J102" i="2" s="1"/>
  <c r="G211" i="2"/>
  <c r="J211" i="2" s="1"/>
  <c r="I165" i="2"/>
  <c r="I167" i="2" s="1"/>
  <c r="I214" i="2"/>
  <c r="G221" i="2"/>
  <c r="J221" i="2" s="1"/>
  <c r="L221" i="2" s="1"/>
  <c r="W86" i="2"/>
  <c r="G17" i="2"/>
  <c r="J17" i="2" s="1"/>
  <c r="L17" i="2" s="1"/>
  <c r="L29" i="4"/>
  <c r="M48" i="2"/>
  <c r="Q29" i="4"/>
  <c r="I166" i="2"/>
  <c r="K166" i="2" s="1"/>
  <c r="G207" i="2"/>
  <c r="J207" i="2" s="1"/>
  <c r="S34" i="4"/>
  <c r="I20" i="13" s="1"/>
  <c r="W89" i="2"/>
  <c r="G71" i="2"/>
  <c r="J71" i="2" s="1"/>
  <c r="I120" i="2"/>
  <c r="I103" i="2"/>
  <c r="I78" i="2"/>
  <c r="D83" i="2"/>
  <c r="H14" i="13" s="1"/>
  <c r="X29" i="4"/>
  <c r="G9" i="13"/>
  <c r="W156" i="2"/>
  <c r="L156" i="2"/>
  <c r="W135" i="2"/>
  <c r="L135" i="2"/>
  <c r="W68" i="2"/>
  <c r="L68" i="2"/>
  <c r="I35" i="2"/>
  <c r="I39" i="2" s="1"/>
  <c r="G35" i="2"/>
  <c r="J35" i="2" s="1"/>
  <c r="W35" i="2" s="1"/>
  <c r="I121" i="2"/>
  <c r="G121" i="2"/>
  <c r="J121" i="2" s="1"/>
  <c r="G61" i="2"/>
  <c r="J61" i="2" s="1"/>
  <c r="I61" i="2"/>
  <c r="K110" i="2"/>
  <c r="M110" i="2"/>
  <c r="I131" i="2"/>
  <c r="G131" i="2"/>
  <c r="J131" i="2" s="1"/>
  <c r="L193" i="2"/>
  <c r="W193" i="2"/>
  <c r="E188" i="2"/>
  <c r="L79" i="2"/>
  <c r="W79" i="2"/>
  <c r="H132" i="2"/>
  <c r="X130" i="2"/>
  <c r="X132" i="2" s="1"/>
  <c r="G19" i="2"/>
  <c r="J19" i="2" s="1"/>
  <c r="L19" i="2" s="1"/>
  <c r="D25" i="2"/>
  <c r="R31" i="4"/>
  <c r="R34" i="4"/>
  <c r="I19" i="13" s="1"/>
  <c r="I182" i="2"/>
  <c r="G182" i="2"/>
  <c r="W215" i="2"/>
  <c r="L215" i="2"/>
  <c r="L8" i="2"/>
  <c r="I222" i="2"/>
  <c r="G222" i="2"/>
  <c r="J222" i="2" s="1"/>
  <c r="K138" i="2"/>
  <c r="K156" i="2"/>
  <c r="R32" i="4"/>
  <c r="V32" i="4"/>
  <c r="W151" i="2"/>
  <c r="G9" i="2"/>
  <c r="J9" i="2" s="1"/>
  <c r="W9" i="2" s="1"/>
  <c r="W159" i="2"/>
  <c r="L159" i="2"/>
  <c r="G110" i="2"/>
  <c r="J110" i="2" s="1"/>
  <c r="I37" i="2"/>
  <c r="G105" i="2"/>
  <c r="J105" i="2" s="1"/>
  <c r="D111" i="2"/>
  <c r="G98" i="2"/>
  <c r="I183" i="2"/>
  <c r="G183" i="2"/>
  <c r="J183" i="2" s="1"/>
  <c r="E160" i="2"/>
  <c r="G154" i="2"/>
  <c r="I154" i="2"/>
  <c r="M166" i="2"/>
  <c r="W44" i="2"/>
  <c r="L44" i="2"/>
  <c r="G87" i="2"/>
  <c r="J87" i="2" s="1"/>
  <c r="I87" i="2"/>
  <c r="K215" i="2"/>
  <c r="M215" i="2"/>
  <c r="K42" i="2"/>
  <c r="M42" i="2"/>
  <c r="L16" i="2"/>
  <c r="W16" i="2"/>
  <c r="M84" i="2"/>
  <c r="G63" i="2"/>
  <c r="J63" i="2" s="1"/>
  <c r="M15" i="2"/>
  <c r="I72" i="2"/>
  <c r="K231" i="2"/>
  <c r="L231" i="2" s="1"/>
  <c r="W107" i="2"/>
  <c r="D139" i="2"/>
  <c r="H22" i="13" s="1"/>
  <c r="G133" i="2"/>
  <c r="E39" i="2"/>
  <c r="I232" i="2"/>
  <c r="G38" i="2"/>
  <c r="J38" i="2" s="1"/>
  <c r="W38" i="2" s="1"/>
  <c r="I38" i="2"/>
  <c r="M38" i="2" s="1"/>
  <c r="I67" i="2"/>
  <c r="G67" i="2"/>
  <c r="J67" i="2" s="1"/>
  <c r="L67" i="2" s="1"/>
  <c r="K123" i="2"/>
  <c r="M123" i="2"/>
  <c r="Y29" i="4"/>
  <c r="E195" i="2"/>
  <c r="I189" i="2"/>
  <c r="M189" i="2" s="1"/>
  <c r="K78" i="2"/>
  <c r="M78" i="2"/>
  <c r="L130" i="2"/>
  <c r="W130" i="2"/>
  <c r="D11" i="2"/>
  <c r="I7" i="2"/>
  <c r="G7" i="2"/>
  <c r="J7" i="2" s="1"/>
  <c r="L7" i="2" s="1"/>
  <c r="G94" i="2"/>
  <c r="J94" i="2" s="1"/>
  <c r="I94" i="2"/>
  <c r="W82" i="2"/>
  <c r="L82" i="2"/>
  <c r="W73" i="2"/>
  <c r="M149" i="2"/>
  <c r="M150" i="2"/>
  <c r="K150" i="2"/>
  <c r="K100" i="2"/>
  <c r="M100" i="2"/>
  <c r="W138" i="2"/>
  <c r="W45" i="2"/>
  <c r="W199" i="2"/>
  <c r="K26" i="2"/>
  <c r="L5" i="2"/>
  <c r="C5" i="13"/>
  <c r="C6" i="13" s="1"/>
  <c r="C7" i="13" s="1"/>
  <c r="C8" i="13" s="1"/>
  <c r="K74" i="2"/>
  <c r="D97" i="2"/>
  <c r="H16" i="13" s="1"/>
  <c r="K30" i="2"/>
  <c r="W109" i="2"/>
  <c r="I40" i="2"/>
  <c r="M124" i="2"/>
  <c r="I136" i="2"/>
  <c r="M136" i="2" s="1"/>
  <c r="D69" i="2"/>
  <c r="L152" i="2"/>
  <c r="W152" i="2"/>
  <c r="D202" i="2"/>
  <c r="H31" i="13" s="1"/>
  <c r="I200" i="2"/>
  <c r="D231" i="2"/>
  <c r="E231" i="2" s="1"/>
  <c r="B234" i="2"/>
  <c r="AD29" i="4"/>
  <c r="W21" i="2"/>
  <c r="K91" i="2"/>
  <c r="M122" i="2"/>
  <c r="D234" i="2"/>
  <c r="D6" i="11" s="1"/>
  <c r="M43" i="2"/>
  <c r="K43" i="2"/>
  <c r="W147" i="2"/>
  <c r="L147" i="2"/>
  <c r="I57" i="2"/>
  <c r="K57" i="2" s="1"/>
  <c r="G57" i="2"/>
  <c r="J57" i="2" s="1"/>
  <c r="D62" i="2"/>
  <c r="I29" i="2"/>
  <c r="G29" i="2"/>
  <c r="J29" i="2" s="1"/>
  <c r="I66" i="2"/>
  <c r="I230" i="2"/>
  <c r="G66" i="2"/>
  <c r="J66" i="2" s="1"/>
  <c r="G10" i="2"/>
  <c r="J10" i="2" s="1"/>
  <c r="I10" i="2"/>
  <c r="M10" i="2" s="1"/>
  <c r="W24" i="2"/>
  <c r="L24" i="2"/>
  <c r="G201" i="2"/>
  <c r="J201" i="2" s="1"/>
  <c r="I201" i="2"/>
  <c r="E202" i="2"/>
  <c r="M101" i="2"/>
  <c r="K98" i="2"/>
  <c r="W100" i="2"/>
  <c r="L100" i="2"/>
  <c r="L190" i="2"/>
  <c r="W190" i="2"/>
  <c r="H46" i="2"/>
  <c r="X41" i="2"/>
  <c r="X46" i="2" s="1"/>
  <c r="X202" i="2"/>
  <c r="I153" i="2"/>
  <c r="K20" i="2"/>
  <c r="M20" i="2"/>
  <c r="I23" i="2"/>
  <c r="G23" i="2"/>
  <c r="J23" i="2" s="1"/>
  <c r="L23" i="2" s="1"/>
  <c r="L37" i="2"/>
  <c r="W37" i="2"/>
  <c r="M109" i="2"/>
  <c r="K109" i="2"/>
  <c r="D34" i="4"/>
  <c r="I5" i="13" s="1"/>
  <c r="D31" i="4"/>
  <c r="M102" i="2"/>
  <c r="I178" i="2"/>
  <c r="M178" i="2" s="1"/>
  <c r="G178" i="2"/>
  <c r="J178" i="2" s="1"/>
  <c r="L178" i="2" s="1"/>
  <c r="I191" i="2"/>
  <c r="M191" i="2" s="1"/>
  <c r="L78" i="2"/>
  <c r="W78" i="2"/>
  <c r="G116" i="2"/>
  <c r="J116" i="2" s="1"/>
  <c r="G101" i="2"/>
  <c r="J101" i="2" s="1"/>
  <c r="W168" i="2"/>
  <c r="I187" i="2"/>
  <c r="K211" i="2"/>
  <c r="E223" i="2"/>
  <c r="H34" i="13" s="1"/>
  <c r="E25" i="2"/>
  <c r="D76" i="2"/>
  <c r="G14" i="2"/>
  <c r="J14" i="2" s="1"/>
  <c r="L14" i="2" s="1"/>
  <c r="I58" i="2"/>
  <c r="G85" i="2"/>
  <c r="G90" i="2" s="1"/>
  <c r="G92" i="2"/>
  <c r="I190" i="2"/>
  <c r="D174" i="2"/>
  <c r="H11" i="2"/>
  <c r="H76" i="2"/>
  <c r="I213" i="2"/>
  <c r="G32" i="13"/>
  <c r="G127" i="2"/>
  <c r="J127" i="2" s="1"/>
  <c r="G143" i="2"/>
  <c r="J143" i="2" s="1"/>
  <c r="L143" i="2" s="1"/>
  <c r="I45" i="2"/>
  <c r="G75" i="2"/>
  <c r="J75" i="2" s="1"/>
  <c r="G124" i="2"/>
  <c r="J124" i="2" s="1"/>
  <c r="G93" i="2"/>
  <c r="J93" i="2" s="1"/>
  <c r="G184" i="2"/>
  <c r="J184" i="2" s="1"/>
  <c r="G13" i="13"/>
  <c r="E32" i="2"/>
  <c r="I60" i="2"/>
  <c r="C29" i="4"/>
  <c r="I29" i="4"/>
  <c r="M29" i="4"/>
  <c r="E181" i="2"/>
  <c r="G77" i="2"/>
  <c r="G204" i="2"/>
  <c r="J204" i="2" s="1"/>
  <c r="W204" i="2" s="1"/>
  <c r="I81" i="2"/>
  <c r="K81" i="2" s="1"/>
  <c r="I79" i="2"/>
  <c r="D160" i="2"/>
  <c r="H25" i="13" s="1"/>
  <c r="I172" i="2"/>
  <c r="I49" i="2"/>
  <c r="X195" i="2"/>
  <c r="E11" i="2"/>
  <c r="E29" i="4"/>
  <c r="N29" i="4"/>
  <c r="N34" i="4" s="1"/>
  <c r="I15" i="13" s="1"/>
  <c r="AB29" i="4"/>
  <c r="AB34" i="4" s="1"/>
  <c r="I29" i="13" s="1"/>
  <c r="G99" i="2"/>
  <c r="J99" i="2" s="1"/>
  <c r="L99" i="2" s="1"/>
  <c r="E174" i="2"/>
  <c r="H18" i="2"/>
  <c r="D209" i="2"/>
  <c r="I221" i="2"/>
  <c r="G220" i="2"/>
  <c r="J220" i="2" s="1"/>
  <c r="L220" i="2" s="1"/>
  <c r="AG29" i="4"/>
  <c r="AG34" i="4" s="1"/>
  <c r="I34" i="13" s="1"/>
  <c r="I184" i="2"/>
  <c r="M184" i="2" s="1"/>
  <c r="H33" i="13"/>
  <c r="I52" i="2"/>
  <c r="I50" i="2"/>
  <c r="G48" i="2"/>
  <c r="J48" i="2" s="1"/>
  <c r="X90" i="2"/>
  <c r="H209" i="2"/>
  <c r="I217" i="2"/>
  <c r="K217" i="2" s="1"/>
  <c r="K88" i="2"/>
  <c r="M88" i="2"/>
  <c r="L148" i="2"/>
  <c r="W148" i="2"/>
  <c r="K128" i="2"/>
  <c r="M128" i="2"/>
  <c r="L34" i="2"/>
  <c r="W34" i="2"/>
  <c r="G139" i="2"/>
  <c r="J133" i="2"/>
  <c r="L200" i="2"/>
  <c r="W200" i="2"/>
  <c r="J106" i="2"/>
  <c r="M137" i="2"/>
  <c r="K137" i="2"/>
  <c r="L42" i="2"/>
  <c r="W42" i="2"/>
  <c r="W149" i="2"/>
  <c r="K6" i="2"/>
  <c r="K155" i="2"/>
  <c r="G227" i="2"/>
  <c r="M86" i="2"/>
  <c r="K86" i="2"/>
  <c r="I90" i="2"/>
  <c r="M140" i="2"/>
  <c r="K140" i="2"/>
  <c r="J85" i="2"/>
  <c r="J92" i="2"/>
  <c r="M44" i="2"/>
  <c r="K44" i="2"/>
  <c r="M116" i="2"/>
  <c r="K116" i="2"/>
  <c r="L145" i="2"/>
  <c r="W145" i="2"/>
  <c r="L166" i="2"/>
  <c r="W166" i="2"/>
  <c r="J70" i="2"/>
  <c r="M33" i="2"/>
  <c r="J26" i="2"/>
  <c r="L31" i="2"/>
  <c r="W31" i="2"/>
  <c r="G198" i="2"/>
  <c r="J198" i="2" s="1"/>
  <c r="J229" i="2"/>
  <c r="I198" i="2"/>
  <c r="AC34" i="4"/>
  <c r="I30" i="13" s="1"/>
  <c r="AC32" i="4"/>
  <c r="AC31" i="4"/>
  <c r="Y32" i="4"/>
  <c r="Y31" i="4"/>
  <c r="Y34" i="4"/>
  <c r="I26" i="13" s="1"/>
  <c r="J196" i="2"/>
  <c r="K33" i="2"/>
  <c r="I139" i="2"/>
  <c r="W72" i="2"/>
  <c r="L72" i="2"/>
  <c r="L30" i="2"/>
  <c r="W30" i="2"/>
  <c r="M21" i="2"/>
  <c r="K21" i="2"/>
  <c r="G33" i="2"/>
  <c r="I227" i="2"/>
  <c r="D39" i="2"/>
  <c r="H8" i="13" s="1"/>
  <c r="I56" i="2"/>
  <c r="G56" i="2"/>
  <c r="E62" i="2"/>
  <c r="H11" i="13" s="1"/>
  <c r="K92" i="2"/>
  <c r="M92" i="2"/>
  <c r="J161" i="2"/>
  <c r="L128" i="2"/>
  <c r="W128" i="2"/>
  <c r="I12" i="2"/>
  <c r="J227" i="2"/>
  <c r="G12" i="2"/>
  <c r="I126" i="2"/>
  <c r="G126" i="2"/>
  <c r="J228" i="2"/>
  <c r="I41" i="2"/>
  <c r="I28" i="2"/>
  <c r="G28" i="2"/>
  <c r="J28" i="2" s="1"/>
  <c r="M58" i="2"/>
  <c r="K58" i="2"/>
  <c r="I114" i="2"/>
  <c r="G114" i="2"/>
  <c r="J114" i="2" s="1"/>
  <c r="D146" i="2"/>
  <c r="I142" i="2"/>
  <c r="G142" i="2"/>
  <c r="J142" i="2" s="1"/>
  <c r="J230" i="2"/>
  <c r="I59" i="2"/>
  <c r="G59" i="2"/>
  <c r="J59" i="2" s="1"/>
  <c r="G108" i="2"/>
  <c r="J108" i="2" s="1"/>
  <c r="I108" i="2"/>
  <c r="I129" i="2"/>
  <c r="G129" i="2"/>
  <c r="J129" i="2" s="1"/>
  <c r="AE34" i="4"/>
  <c r="I32" i="13" s="1"/>
  <c r="I125" i="2"/>
  <c r="W7" i="2"/>
  <c r="K134" i="2"/>
  <c r="K85" i="2"/>
  <c r="E76" i="2"/>
  <c r="E132" i="2"/>
  <c r="G13" i="2"/>
  <c r="J13" i="2" s="1"/>
  <c r="I13" i="2"/>
  <c r="I228" i="2"/>
  <c r="G27" i="2"/>
  <c r="J27" i="2" s="1"/>
  <c r="I27" i="2"/>
  <c r="K95" i="2"/>
  <c r="M95" i="2"/>
  <c r="L187" i="2"/>
  <c r="W187" i="2"/>
  <c r="M190" i="2"/>
  <c r="K190" i="2"/>
  <c r="K22" i="2"/>
  <c r="M22" i="2"/>
  <c r="I14" i="2"/>
  <c r="M103" i="2"/>
  <c r="K103" i="2"/>
  <c r="M99" i="2"/>
  <c r="K99" i="2"/>
  <c r="L103" i="2"/>
  <c r="W103" i="2"/>
  <c r="L49" i="2"/>
  <c r="M5" i="2"/>
  <c r="K119" i="2"/>
  <c r="M157" i="2"/>
  <c r="K157" i="2"/>
  <c r="E46" i="2"/>
  <c r="H9" i="13" s="1"/>
  <c r="I229" i="2"/>
  <c r="G58" i="2"/>
  <c r="J58" i="2" s="1"/>
  <c r="G120" i="2"/>
  <c r="N31" i="4"/>
  <c r="K178" i="2"/>
  <c r="K191" i="2"/>
  <c r="K193" i="2"/>
  <c r="M193" i="2"/>
  <c r="I186" i="2"/>
  <c r="G186" i="2"/>
  <c r="J186" i="2" s="1"/>
  <c r="W36" i="2"/>
  <c r="L40" i="2"/>
  <c r="L6" i="2"/>
  <c r="K71" i="2"/>
  <c r="I19" i="2"/>
  <c r="K143" i="2"/>
  <c r="G41" i="2"/>
  <c r="J41" i="2" s="1"/>
  <c r="H32" i="4"/>
  <c r="W60" i="2"/>
  <c r="K133" i="2"/>
  <c r="K136" i="2"/>
  <c r="G11" i="2"/>
  <c r="I70" i="2"/>
  <c r="E125" i="2"/>
  <c r="H20" i="13" s="1"/>
  <c r="W157" i="2"/>
  <c r="W178" i="2"/>
  <c r="E227" i="2"/>
  <c r="E234" i="2" s="1"/>
  <c r="W88" i="2"/>
  <c r="L88" i="2"/>
  <c r="D32" i="2"/>
  <c r="H7" i="13" s="1"/>
  <c r="D132" i="2"/>
  <c r="G95" i="2"/>
  <c r="J95" i="2" s="1"/>
  <c r="K112" i="2"/>
  <c r="M112" i="2"/>
  <c r="E18" i="2"/>
  <c r="W102" i="2"/>
  <c r="L102" i="2"/>
  <c r="M177" i="2"/>
  <c r="K177" i="2"/>
  <c r="P29" i="4"/>
  <c r="L101" i="2"/>
  <c r="W101" i="2"/>
  <c r="D181" i="2"/>
  <c r="I175" i="2"/>
  <c r="G175" i="2"/>
  <c r="K210" i="2"/>
  <c r="M210" i="2"/>
  <c r="L204" i="2"/>
  <c r="G206" i="2"/>
  <c r="J206" i="2" s="1"/>
  <c r="I206" i="2"/>
  <c r="I208" i="2"/>
  <c r="G208" i="2"/>
  <c r="J208" i="2" s="1"/>
  <c r="K31" i="4"/>
  <c r="G112" i="2"/>
  <c r="D118" i="2"/>
  <c r="G140" i="2"/>
  <c r="E146" i="2"/>
  <c r="E111" i="2"/>
  <c r="I65" i="2"/>
  <c r="G65" i="2"/>
  <c r="W211" i="2"/>
  <c r="L211" i="2"/>
  <c r="J232" i="2"/>
  <c r="M232" i="2" s="1"/>
  <c r="N232" i="2" s="1"/>
  <c r="L185" i="2"/>
  <c r="W185" i="2"/>
  <c r="D90" i="2"/>
  <c r="H15" i="13" s="1"/>
  <c r="I93" i="2"/>
  <c r="X34" i="2"/>
  <c r="X39" i="2" s="1"/>
  <c r="H39" i="2"/>
  <c r="X107" i="2"/>
  <c r="X111" i="2" s="1"/>
  <c r="H111" i="2"/>
  <c r="X113" i="2"/>
  <c r="X118" i="2" s="1"/>
  <c r="H118" i="2"/>
  <c r="H188" i="2"/>
  <c r="X183" i="2"/>
  <c r="X188" i="2" s="1"/>
  <c r="K219" i="2"/>
  <c r="M219" i="2"/>
  <c r="D195" i="2"/>
  <c r="H30" i="13" s="1"/>
  <c r="G189" i="2"/>
  <c r="G192" i="2"/>
  <c r="J192" i="2" s="1"/>
  <c r="I192" i="2"/>
  <c r="M80" i="2"/>
  <c r="K80" i="2"/>
  <c r="X18" i="2"/>
  <c r="X66" i="2"/>
  <c r="X69" i="2" s="1"/>
  <c r="H69" i="2"/>
  <c r="X166" i="2"/>
  <c r="X167" i="2" s="1"/>
  <c r="H167" i="2"/>
  <c r="X61" i="2"/>
  <c r="X62" i="2" s="1"/>
  <c r="H62" i="2"/>
  <c r="L222" i="2"/>
  <c r="W222" i="2"/>
  <c r="E118" i="2"/>
  <c r="I141" i="2"/>
  <c r="G141" i="2"/>
  <c r="J141" i="2" s="1"/>
  <c r="AA29" i="4"/>
  <c r="G170" i="2"/>
  <c r="J170" i="2" s="1"/>
  <c r="X177" i="2"/>
  <c r="X181" i="2" s="1"/>
  <c r="H181" i="2"/>
  <c r="X212" i="2"/>
  <c r="X216" i="2" s="1"/>
  <c r="H216" i="2"/>
  <c r="D188" i="2"/>
  <c r="H29" i="13" s="1"/>
  <c r="J77" i="2"/>
  <c r="G164" i="2"/>
  <c r="J164" i="2" s="1"/>
  <c r="E167" i="2"/>
  <c r="X48" i="2"/>
  <c r="X55" i="2" s="1"/>
  <c r="X97" i="2"/>
  <c r="H139" i="2"/>
  <c r="X133" i="2"/>
  <c r="X139" i="2" s="1"/>
  <c r="X80" i="2"/>
  <c r="X83" i="2" s="1"/>
  <c r="H83" i="2"/>
  <c r="D167" i="2"/>
  <c r="H26" i="13" s="1"/>
  <c r="X125" i="2"/>
  <c r="J203" i="2"/>
  <c r="M205" i="2"/>
  <c r="K205" i="2"/>
  <c r="K207" i="2"/>
  <c r="M207" i="2"/>
  <c r="I144" i="2"/>
  <c r="G144" i="2"/>
  <c r="J144" i="2" s="1"/>
  <c r="M182" i="2"/>
  <c r="K182" i="2"/>
  <c r="J210" i="2"/>
  <c r="G216" i="2"/>
  <c r="M81" i="2"/>
  <c r="X147" i="2"/>
  <c r="X153" i="2" s="1"/>
  <c r="H153" i="2"/>
  <c r="F229" i="2"/>
  <c r="G229" i="2" s="1"/>
  <c r="C234" i="2"/>
  <c r="C236" i="2" s="1"/>
  <c r="D5" i="11" s="1"/>
  <c r="L213" i="2"/>
  <c r="W213" i="2"/>
  <c r="G81" i="2"/>
  <c r="J81" i="2" s="1"/>
  <c r="H90" i="2"/>
  <c r="H174" i="2"/>
  <c r="L214" i="2"/>
  <c r="W214" i="2"/>
  <c r="L212" i="2"/>
  <c r="W212" i="2"/>
  <c r="M214" i="2"/>
  <c r="K214" i="2"/>
  <c r="X223" i="2"/>
  <c r="G180" i="2"/>
  <c r="J180" i="2" s="1"/>
  <c r="G80" i="2"/>
  <c r="J80" i="2" s="1"/>
  <c r="X174" i="2"/>
  <c r="H25" i="2"/>
  <c r="I176" i="2"/>
  <c r="G176" i="2"/>
  <c r="J176" i="2" s="1"/>
  <c r="I179" i="2"/>
  <c r="I170" i="2"/>
  <c r="I174" i="2" s="1"/>
  <c r="G50" i="2"/>
  <c r="J50" i="2" s="1"/>
  <c r="X26" i="2"/>
  <c r="X32" i="2" s="1"/>
  <c r="H32" i="2"/>
  <c r="H97" i="2"/>
  <c r="H104" i="2"/>
  <c r="X98" i="2"/>
  <c r="X104" i="2" s="1"/>
  <c r="X76" i="2"/>
  <c r="M77" i="2"/>
  <c r="I83" i="2"/>
  <c r="H125" i="2"/>
  <c r="H195" i="2"/>
  <c r="I212" i="2"/>
  <c r="W221" i="2"/>
  <c r="W220" i="2"/>
  <c r="G169" i="2"/>
  <c r="G51" i="2"/>
  <c r="J51" i="2" s="1"/>
  <c r="I51" i="2"/>
  <c r="I47" i="2"/>
  <c r="G47" i="2"/>
  <c r="X11" i="2"/>
  <c r="H160" i="2"/>
  <c r="X154" i="2"/>
  <c r="X160" i="2" s="1"/>
  <c r="G205" i="2"/>
  <c r="J205" i="2" s="1"/>
  <c r="M220" i="2"/>
  <c r="X19" i="2"/>
  <c r="X25" i="2" s="1"/>
  <c r="G219" i="2"/>
  <c r="J219" i="2" s="1"/>
  <c r="I203" i="2"/>
  <c r="E209" i="2"/>
  <c r="G218" i="2"/>
  <c r="I218" i="2"/>
  <c r="B33" i="13"/>
  <c r="B32" i="13"/>
  <c r="B31" i="13"/>
  <c r="B30" i="13"/>
  <c r="B34" i="13"/>
  <c r="B28" i="13"/>
  <c r="B13" i="13"/>
  <c r="B21" i="13"/>
  <c r="B19" i="13"/>
  <c r="B9" i="13"/>
  <c r="N243" i="2"/>
  <c r="B18" i="13"/>
  <c r="B12" i="13"/>
  <c r="W14" i="2" l="1"/>
  <c r="G36" i="13"/>
  <c r="K145" i="2"/>
  <c r="M145" i="2"/>
  <c r="L117" i="2"/>
  <c r="W117" i="2"/>
  <c r="M231" i="2"/>
  <c r="N231" i="2" s="1"/>
  <c r="U31" i="4"/>
  <c r="U34" i="4"/>
  <c r="I22" i="13" s="1"/>
  <c r="U32" i="4"/>
  <c r="H32" i="13"/>
  <c r="H12" i="13"/>
  <c r="W163" i="2"/>
  <c r="J150" i="2"/>
  <c r="G153" i="2"/>
  <c r="I216" i="2"/>
  <c r="M152" i="2"/>
  <c r="K152" i="2"/>
  <c r="K153" i="2" s="1"/>
  <c r="W155" i="2"/>
  <c r="L155" i="2"/>
  <c r="H28" i="13"/>
  <c r="H27" i="13"/>
  <c r="K185" i="2"/>
  <c r="M185" i="2"/>
  <c r="L96" i="2"/>
  <c r="W96" i="2"/>
  <c r="W43" i="2"/>
  <c r="L43" i="2"/>
  <c r="K16" i="2"/>
  <c r="M16" i="2"/>
  <c r="M139" i="2"/>
  <c r="W22" i="2"/>
  <c r="W71" i="2"/>
  <c r="L71" i="2"/>
  <c r="H18" i="13"/>
  <c r="G76" i="2"/>
  <c r="L15" i="2"/>
  <c r="W15" i="2"/>
  <c r="K204" i="2"/>
  <c r="H5" i="13"/>
  <c r="G188" i="2"/>
  <c r="X31" i="4"/>
  <c r="X32" i="4"/>
  <c r="X34" i="4"/>
  <c r="I25" i="13" s="1"/>
  <c r="W207" i="2"/>
  <c r="L207" i="2"/>
  <c r="L194" i="2"/>
  <c r="W194" i="2"/>
  <c r="L165" i="2"/>
  <c r="W165" i="2"/>
  <c r="K180" i="2"/>
  <c r="M115" i="2"/>
  <c r="W17" i="2"/>
  <c r="M165" i="2"/>
  <c r="K165" i="2"/>
  <c r="Z31" i="4"/>
  <c r="Z32" i="4"/>
  <c r="K10" i="2"/>
  <c r="Q31" i="4"/>
  <c r="Q32" i="4"/>
  <c r="Q34" i="4"/>
  <c r="I18" i="13" s="1"/>
  <c r="O31" i="4"/>
  <c r="O32" i="4"/>
  <c r="O34" i="4"/>
  <c r="I16" i="13" s="1"/>
  <c r="K184" i="2"/>
  <c r="K188" i="2" s="1"/>
  <c r="M104" i="2"/>
  <c r="M153" i="2"/>
  <c r="M163" i="2"/>
  <c r="M167" i="2" s="1"/>
  <c r="K163" i="2"/>
  <c r="K167" i="2" s="1"/>
  <c r="N32" i="4"/>
  <c r="M120" i="2"/>
  <c r="K120" i="2"/>
  <c r="L31" i="4"/>
  <c r="L32" i="4"/>
  <c r="L34" i="4"/>
  <c r="I13" i="13" s="1"/>
  <c r="M31" i="2"/>
  <c r="K31" i="2"/>
  <c r="AF31" i="4"/>
  <c r="AF34" i="4"/>
  <c r="I33" i="13" s="1"/>
  <c r="AF32" i="4"/>
  <c r="L136" i="2"/>
  <c r="W136" i="2"/>
  <c r="K52" i="2"/>
  <c r="M52" i="2"/>
  <c r="K49" i="2"/>
  <c r="M49" i="2"/>
  <c r="K183" i="2"/>
  <c r="M183" i="2"/>
  <c r="M79" i="2"/>
  <c r="M83" i="2" s="1"/>
  <c r="K79" i="2"/>
  <c r="K83" i="2" s="1"/>
  <c r="K72" i="2"/>
  <c r="M72" i="2"/>
  <c r="M217" i="2"/>
  <c r="K187" i="2"/>
  <c r="M187" i="2"/>
  <c r="AD31" i="4"/>
  <c r="AD32" i="4"/>
  <c r="AD34" i="4"/>
  <c r="I31" i="13" s="1"/>
  <c r="I223" i="2"/>
  <c r="I195" i="2"/>
  <c r="K189" i="2"/>
  <c r="W67" i="2"/>
  <c r="H13" i="13"/>
  <c r="W143" i="2"/>
  <c r="I202" i="2"/>
  <c r="J25" i="2"/>
  <c r="J11" i="2"/>
  <c r="L9" i="2"/>
  <c r="M57" i="2"/>
  <c r="E31" i="4"/>
  <c r="E34" i="4"/>
  <c r="I6" i="13" s="1"/>
  <c r="E32" i="4"/>
  <c r="M23" i="2"/>
  <c r="K23" i="2"/>
  <c r="W201" i="2"/>
  <c r="L201" i="2"/>
  <c r="L29" i="2"/>
  <c r="W29" i="2"/>
  <c r="M7" i="2"/>
  <c r="M11" i="2" s="1"/>
  <c r="K7" i="2"/>
  <c r="W63" i="2"/>
  <c r="L63" i="2"/>
  <c r="J154" i="2"/>
  <c r="G160" i="2"/>
  <c r="L110" i="2"/>
  <c r="W110" i="2"/>
  <c r="L61" i="2"/>
  <c r="W61" i="2"/>
  <c r="L124" i="2"/>
  <c r="W124" i="2"/>
  <c r="C34" i="4"/>
  <c r="I4" i="13" s="1"/>
  <c r="C31" i="4"/>
  <c r="C32" i="4"/>
  <c r="I11" i="2"/>
  <c r="L105" i="2"/>
  <c r="W105" i="2"/>
  <c r="W99" i="2"/>
  <c r="G25" i="2"/>
  <c r="W19" i="2"/>
  <c r="W127" i="2"/>
  <c r="L127" i="2"/>
  <c r="M66" i="2"/>
  <c r="K66" i="2"/>
  <c r="K154" i="2"/>
  <c r="K160" i="2" s="1"/>
  <c r="M154" i="2"/>
  <c r="M160" i="2" s="1"/>
  <c r="M61" i="2"/>
  <c r="K61" i="2"/>
  <c r="AG32" i="4"/>
  <c r="AB31" i="4"/>
  <c r="J182" i="2"/>
  <c r="L182" i="2" s="1"/>
  <c r="K232" i="2"/>
  <c r="L232" i="2" s="1"/>
  <c r="I160" i="2"/>
  <c r="W23" i="2"/>
  <c r="W25" i="2" s="1"/>
  <c r="L35" i="2"/>
  <c r="L38" i="2"/>
  <c r="L48" i="2"/>
  <c r="K221" i="2"/>
  <c r="M221" i="2"/>
  <c r="W184" i="2"/>
  <c r="L184" i="2"/>
  <c r="M29" i="2"/>
  <c r="K29" i="2"/>
  <c r="M40" i="2"/>
  <c r="K40" i="2"/>
  <c r="H4" i="13"/>
  <c r="K87" i="2"/>
  <c r="K90" i="2" s="1"/>
  <c r="M87" i="2"/>
  <c r="M90" i="2" s="1"/>
  <c r="L121" i="2"/>
  <c r="W121" i="2"/>
  <c r="M31" i="4"/>
  <c r="M34" i="4"/>
  <c r="I14" i="13" s="1"/>
  <c r="M32" i="4"/>
  <c r="W57" i="2"/>
  <c r="L57" i="2"/>
  <c r="L131" i="2"/>
  <c r="W131" i="2"/>
  <c r="K139" i="2"/>
  <c r="M45" i="2"/>
  <c r="K45" i="2"/>
  <c r="M60" i="2"/>
  <c r="K60" i="2"/>
  <c r="W94" i="2"/>
  <c r="L94" i="2"/>
  <c r="K38" i="2"/>
  <c r="I146" i="2"/>
  <c r="M201" i="2"/>
  <c r="K201" i="2"/>
  <c r="M37" i="2"/>
  <c r="K37" i="2"/>
  <c r="AG31" i="4"/>
  <c r="AB32" i="4"/>
  <c r="K104" i="2"/>
  <c r="K50" i="2"/>
  <c r="M50" i="2"/>
  <c r="L93" i="2"/>
  <c r="W93" i="2"/>
  <c r="K213" i="2"/>
  <c r="M213" i="2"/>
  <c r="L116" i="2"/>
  <c r="W116" i="2"/>
  <c r="K200" i="2"/>
  <c r="M200" i="2"/>
  <c r="L87" i="2"/>
  <c r="W87" i="2"/>
  <c r="L183" i="2"/>
  <c r="W183" i="2"/>
  <c r="K222" i="2"/>
  <c r="M222" i="2"/>
  <c r="H6" i="13"/>
  <c r="K121" i="2"/>
  <c r="K125" i="2" s="1"/>
  <c r="M121" i="2"/>
  <c r="M125" i="2" s="1"/>
  <c r="K172" i="2"/>
  <c r="M172" i="2"/>
  <c r="I31" i="4"/>
  <c r="I34" i="4"/>
  <c r="I10" i="13" s="1"/>
  <c r="I32" i="4"/>
  <c r="L75" i="2"/>
  <c r="W75" i="2"/>
  <c r="L10" i="2"/>
  <c r="W10" i="2"/>
  <c r="W11" i="2" s="1"/>
  <c r="J98" i="2"/>
  <c r="G104" i="2"/>
  <c r="M131" i="2"/>
  <c r="K131" i="2"/>
  <c r="M35" i="2"/>
  <c r="M39" i="2" s="1"/>
  <c r="K35" i="2"/>
  <c r="L66" i="2"/>
  <c r="W66" i="2"/>
  <c r="K94" i="2"/>
  <c r="M94" i="2"/>
  <c r="M67" i="2"/>
  <c r="K67" i="2"/>
  <c r="W81" i="2"/>
  <c r="L81" i="2"/>
  <c r="J140" i="2"/>
  <c r="G146" i="2"/>
  <c r="I181" i="2"/>
  <c r="M175" i="2"/>
  <c r="K175" i="2"/>
  <c r="F239" i="2"/>
  <c r="D8" i="11"/>
  <c r="M186" i="2"/>
  <c r="M188" i="2" s="1"/>
  <c r="K186" i="2"/>
  <c r="K229" i="2"/>
  <c r="L229" i="2" s="1"/>
  <c r="M229" i="2"/>
  <c r="N229" i="2" s="1"/>
  <c r="K230" i="2"/>
  <c r="L230" i="2" s="1"/>
  <c r="M230" i="2"/>
  <c r="N230" i="2" s="1"/>
  <c r="L28" i="2"/>
  <c r="W28" i="2"/>
  <c r="K12" i="2"/>
  <c r="M12" i="2"/>
  <c r="I18" i="2"/>
  <c r="M203" i="2"/>
  <c r="I209" i="2"/>
  <c r="K203" i="2"/>
  <c r="L192" i="2"/>
  <c r="W192" i="2"/>
  <c r="H19" i="13"/>
  <c r="M70" i="2"/>
  <c r="I76" i="2"/>
  <c r="K70" i="2"/>
  <c r="I25" i="2"/>
  <c r="M19" i="2"/>
  <c r="K19" i="2"/>
  <c r="L142" i="2"/>
  <c r="W142" i="2"/>
  <c r="M28" i="2"/>
  <c r="K28" i="2"/>
  <c r="J56" i="2"/>
  <c r="G62" i="2"/>
  <c r="L70" i="2"/>
  <c r="W70" i="2"/>
  <c r="J76" i="2"/>
  <c r="G97" i="2"/>
  <c r="C9" i="13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J47" i="2"/>
  <c r="G83" i="2"/>
  <c r="L170" i="2"/>
  <c r="W170" i="2"/>
  <c r="K93" i="2"/>
  <c r="K97" i="2" s="1"/>
  <c r="M93" i="2"/>
  <c r="M97" i="2" s="1"/>
  <c r="I97" i="2"/>
  <c r="L95" i="2"/>
  <c r="W95" i="2"/>
  <c r="G46" i="2"/>
  <c r="M27" i="2"/>
  <c r="I32" i="2"/>
  <c r="K27" i="2"/>
  <c r="K32" i="2" s="1"/>
  <c r="K129" i="2"/>
  <c r="M129" i="2"/>
  <c r="H23" i="13"/>
  <c r="W26" i="2"/>
  <c r="J32" i="2"/>
  <c r="L26" i="2"/>
  <c r="K108" i="2"/>
  <c r="K111" i="2" s="1"/>
  <c r="M108" i="2"/>
  <c r="M111" i="2" s="1"/>
  <c r="I111" i="2"/>
  <c r="L114" i="2"/>
  <c r="W114" i="2"/>
  <c r="G132" i="2"/>
  <c r="J126" i="2"/>
  <c r="J167" i="2"/>
  <c r="W161" i="2"/>
  <c r="L161" i="2"/>
  <c r="M227" i="2"/>
  <c r="I234" i="2"/>
  <c r="K227" i="2"/>
  <c r="L198" i="2"/>
  <c r="W198" i="2"/>
  <c r="W85" i="2"/>
  <c r="W90" i="2" s="1"/>
  <c r="L85" i="2"/>
  <c r="J90" i="2"/>
  <c r="W133" i="2"/>
  <c r="W139" i="2" s="1"/>
  <c r="J139" i="2"/>
  <c r="L133" i="2"/>
  <c r="L139" i="2" s="1"/>
  <c r="M144" i="2"/>
  <c r="K144" i="2"/>
  <c r="M192" i="2"/>
  <c r="M195" i="2" s="1"/>
  <c r="K192" i="2"/>
  <c r="K195" i="2" s="1"/>
  <c r="L129" i="2"/>
  <c r="W129" i="2"/>
  <c r="K56" i="2"/>
  <c r="M56" i="2"/>
  <c r="I62" i="2"/>
  <c r="W205" i="2"/>
  <c r="L205" i="2"/>
  <c r="K51" i="2"/>
  <c r="M51" i="2"/>
  <c r="M170" i="2"/>
  <c r="M174" i="2" s="1"/>
  <c r="K170" i="2"/>
  <c r="K174" i="2" s="1"/>
  <c r="W80" i="2"/>
  <c r="L80" i="2"/>
  <c r="G209" i="2"/>
  <c r="AA31" i="4"/>
  <c r="AA32" i="4"/>
  <c r="AA34" i="4"/>
  <c r="I28" i="13" s="1"/>
  <c r="K65" i="2"/>
  <c r="I69" i="2"/>
  <c r="M65" i="2"/>
  <c r="K208" i="2"/>
  <c r="M208" i="2"/>
  <c r="P31" i="4"/>
  <c r="P34" i="4"/>
  <c r="P32" i="4"/>
  <c r="B29" i="4"/>
  <c r="J120" i="2"/>
  <c r="G125" i="2"/>
  <c r="K228" i="2"/>
  <c r="L228" i="2" s="1"/>
  <c r="M228" i="2"/>
  <c r="N228" i="2" s="1"/>
  <c r="L108" i="2"/>
  <c r="W108" i="2"/>
  <c r="M114" i="2"/>
  <c r="K114" i="2"/>
  <c r="K118" i="2" s="1"/>
  <c r="I118" i="2"/>
  <c r="K126" i="2"/>
  <c r="M126" i="2"/>
  <c r="I132" i="2"/>
  <c r="G167" i="2"/>
  <c r="J33" i="2"/>
  <c r="G39" i="2"/>
  <c r="J202" i="2"/>
  <c r="L196" i="2"/>
  <c r="W196" i="2"/>
  <c r="L25" i="2"/>
  <c r="G234" i="2"/>
  <c r="M176" i="2"/>
  <c r="K176" i="2"/>
  <c r="X227" i="2"/>
  <c r="L210" i="2"/>
  <c r="L216" i="2" s="1"/>
  <c r="J216" i="2"/>
  <c r="W210" i="2"/>
  <c r="W216" i="2" s="1"/>
  <c r="G195" i="2"/>
  <c r="J189" i="2"/>
  <c r="M142" i="2"/>
  <c r="K142" i="2"/>
  <c r="M198" i="2"/>
  <c r="K198" i="2"/>
  <c r="K47" i="2"/>
  <c r="M47" i="2"/>
  <c r="I188" i="2"/>
  <c r="J83" i="2"/>
  <c r="L77" i="2"/>
  <c r="W77" i="2"/>
  <c r="L208" i="2"/>
  <c r="W208" i="2"/>
  <c r="H21" i="13"/>
  <c r="L27" i="2"/>
  <c r="W27" i="2"/>
  <c r="K218" i="2"/>
  <c r="M218" i="2"/>
  <c r="L51" i="2"/>
  <c r="W51" i="2"/>
  <c r="K212" i="2"/>
  <c r="K216" i="2" s="1"/>
  <c r="M212" i="2"/>
  <c r="M216" i="2" s="1"/>
  <c r="M179" i="2"/>
  <c r="K179" i="2"/>
  <c r="L180" i="2"/>
  <c r="W180" i="2"/>
  <c r="J209" i="2"/>
  <c r="W203" i="2"/>
  <c r="L203" i="2"/>
  <c r="L141" i="2"/>
  <c r="W141" i="2"/>
  <c r="M206" i="2"/>
  <c r="K206" i="2"/>
  <c r="L58" i="2"/>
  <c r="W58" i="2"/>
  <c r="K14" i="2"/>
  <c r="M14" i="2"/>
  <c r="K13" i="2"/>
  <c r="M13" i="2"/>
  <c r="L59" i="2"/>
  <c r="W59" i="2"/>
  <c r="G18" i="2"/>
  <c r="J12" i="2"/>
  <c r="G202" i="2"/>
  <c r="F234" i="2"/>
  <c r="G111" i="2"/>
  <c r="W219" i="2"/>
  <c r="L219" i="2"/>
  <c r="W164" i="2"/>
  <c r="L164" i="2"/>
  <c r="G118" i="2"/>
  <c r="J112" i="2"/>
  <c r="M41" i="2"/>
  <c r="K41" i="2"/>
  <c r="I46" i="2"/>
  <c r="G32" i="2"/>
  <c r="J97" i="2"/>
  <c r="L92" i="2"/>
  <c r="W92" i="2"/>
  <c r="W97" i="2" s="1"/>
  <c r="L50" i="2"/>
  <c r="W50" i="2"/>
  <c r="G69" i="2"/>
  <c r="J65" i="2"/>
  <c r="J218" i="2"/>
  <c r="G223" i="2"/>
  <c r="J169" i="2"/>
  <c r="G174" i="2"/>
  <c r="L176" i="2"/>
  <c r="W176" i="2"/>
  <c r="W144" i="2"/>
  <c r="L144" i="2"/>
  <c r="M141" i="2"/>
  <c r="K141" i="2"/>
  <c r="L206" i="2"/>
  <c r="W206" i="2"/>
  <c r="J175" i="2"/>
  <c r="G181" i="2"/>
  <c r="L41" i="2"/>
  <c r="L46" i="2" s="1"/>
  <c r="W41" i="2"/>
  <c r="W46" i="2" s="1"/>
  <c r="J46" i="2"/>
  <c r="L186" i="2"/>
  <c r="W186" i="2"/>
  <c r="L13" i="2"/>
  <c r="W13" i="2"/>
  <c r="M59" i="2"/>
  <c r="K59" i="2"/>
  <c r="J234" i="2"/>
  <c r="W106" i="2"/>
  <c r="L106" i="2"/>
  <c r="J111" i="2"/>
  <c r="B36" i="13"/>
  <c r="L90" i="2" l="1"/>
  <c r="K76" i="2"/>
  <c r="M209" i="2"/>
  <c r="L150" i="2"/>
  <c r="L153" i="2" s="1"/>
  <c r="W150" i="2"/>
  <c r="W153" i="2" s="1"/>
  <c r="J153" i="2"/>
  <c r="L11" i="2"/>
  <c r="K11" i="2"/>
  <c r="M69" i="2"/>
  <c r="O11" i="2"/>
  <c r="F4" i="13" s="1"/>
  <c r="D4" i="13"/>
  <c r="E4" i="13" s="1"/>
  <c r="M32" i="2"/>
  <c r="K25" i="2"/>
  <c r="K39" i="2"/>
  <c r="K132" i="2"/>
  <c r="M25" i="2"/>
  <c r="W83" i="2"/>
  <c r="M118" i="2"/>
  <c r="B32" i="4"/>
  <c r="K146" i="2"/>
  <c r="M146" i="2"/>
  <c r="J188" i="2"/>
  <c r="L83" i="2"/>
  <c r="K46" i="2"/>
  <c r="K223" i="2"/>
  <c r="B31" i="4"/>
  <c r="J104" i="2"/>
  <c r="W98" i="2"/>
  <c r="W104" i="2" s="1"/>
  <c r="O104" i="2" s="1"/>
  <c r="F17" i="13" s="1"/>
  <c r="L98" i="2"/>
  <c r="L104" i="2" s="1"/>
  <c r="M202" i="2"/>
  <c r="W32" i="2"/>
  <c r="D7" i="13" s="1"/>
  <c r="H36" i="13"/>
  <c r="M223" i="2"/>
  <c r="W154" i="2"/>
  <c r="W160" i="2" s="1"/>
  <c r="J160" i="2"/>
  <c r="L154" i="2"/>
  <c r="L160" i="2" s="1"/>
  <c r="M46" i="2"/>
  <c r="L167" i="2"/>
  <c r="L111" i="2"/>
  <c r="L76" i="2"/>
  <c r="W182" i="2"/>
  <c r="M132" i="2"/>
  <c r="K202" i="2"/>
  <c r="K69" i="2"/>
  <c r="W76" i="2"/>
  <c r="D13" i="13" s="1"/>
  <c r="M76" i="2"/>
  <c r="D9" i="13"/>
  <c r="O46" i="2"/>
  <c r="J18" i="2"/>
  <c r="L12" i="2"/>
  <c r="L18" i="2" s="1"/>
  <c r="W12" i="2"/>
  <c r="W18" i="2" s="1"/>
  <c r="L126" i="2"/>
  <c r="L132" i="2" s="1"/>
  <c r="J132" i="2"/>
  <c r="W126" i="2"/>
  <c r="W132" i="2" s="1"/>
  <c r="L32" i="2"/>
  <c r="K209" i="2"/>
  <c r="L65" i="2"/>
  <c r="L69" i="2" s="1"/>
  <c r="W65" i="2"/>
  <c r="W69" i="2" s="1"/>
  <c r="J69" i="2"/>
  <c r="D14" i="13"/>
  <c r="O83" i="2"/>
  <c r="F14" i="13" s="1"/>
  <c r="M62" i="2"/>
  <c r="K62" i="2"/>
  <c r="I17" i="13"/>
  <c r="I36" i="13" s="1"/>
  <c r="B34" i="4"/>
  <c r="J241" i="2"/>
  <c r="C5" i="11" s="1"/>
  <c r="B5" i="11" s="1"/>
  <c r="G236" i="2"/>
  <c r="O76" i="2"/>
  <c r="F13" i="13" s="1"/>
  <c r="L188" i="2"/>
  <c r="M181" i="2"/>
  <c r="W175" i="2"/>
  <c r="W181" i="2" s="1"/>
  <c r="L175" i="2"/>
  <c r="L181" i="2" s="1"/>
  <c r="J181" i="2"/>
  <c r="W189" i="2"/>
  <c r="W195" i="2" s="1"/>
  <c r="L189" i="2"/>
  <c r="L195" i="2" s="1"/>
  <c r="J195" i="2"/>
  <c r="O139" i="2"/>
  <c r="F22" i="13" s="1"/>
  <c r="D22" i="13"/>
  <c r="N227" i="2"/>
  <c r="N234" i="2" s="1"/>
  <c r="C9" i="11" s="1"/>
  <c r="B9" i="11" s="1"/>
  <c r="M234" i="2"/>
  <c r="C7" i="11" s="1"/>
  <c r="B7" i="11" s="1"/>
  <c r="L33" i="2"/>
  <c r="L39" i="2" s="1"/>
  <c r="J39" i="2"/>
  <c r="W33" i="2"/>
  <c r="W39" i="2" s="1"/>
  <c r="L47" i="2"/>
  <c r="L55" i="2" s="1"/>
  <c r="W188" i="2"/>
  <c r="L169" i="2"/>
  <c r="L174" i="2" s="1"/>
  <c r="W169" i="2"/>
  <c r="W174" i="2" s="1"/>
  <c r="J174" i="2"/>
  <c r="W112" i="2"/>
  <c r="W118" i="2" s="1"/>
  <c r="L112" i="2"/>
  <c r="L118" i="2" s="1"/>
  <c r="J118" i="2"/>
  <c r="L97" i="2"/>
  <c r="L209" i="2"/>
  <c r="D33" i="13"/>
  <c r="O216" i="2"/>
  <c r="W202" i="2"/>
  <c r="W167" i="2"/>
  <c r="W56" i="2"/>
  <c r="W62" i="2" s="1"/>
  <c r="J62" i="2"/>
  <c r="L56" i="2"/>
  <c r="L62" i="2" s="1"/>
  <c r="M18" i="2"/>
  <c r="W140" i="2"/>
  <c r="W146" i="2" s="1"/>
  <c r="J146" i="2"/>
  <c r="L140" i="2"/>
  <c r="L146" i="2" s="1"/>
  <c r="K234" i="2"/>
  <c r="C6" i="11" s="1"/>
  <c r="B6" i="11" s="1"/>
  <c r="L227" i="2"/>
  <c r="L234" i="2" s="1"/>
  <c r="C8" i="11" s="1"/>
  <c r="B8" i="11" s="1"/>
  <c r="K181" i="2"/>
  <c r="D24" i="13"/>
  <c r="O153" i="2"/>
  <c r="F24" i="13" s="1"/>
  <c r="D9" i="11"/>
  <c r="I239" i="2"/>
  <c r="O97" i="2"/>
  <c r="F16" i="13" s="1"/>
  <c r="D16" i="13"/>
  <c r="D7" i="11"/>
  <c r="G239" i="2"/>
  <c r="M55" i="2"/>
  <c r="W111" i="2"/>
  <c r="L218" i="2"/>
  <c r="L223" i="2" s="1"/>
  <c r="W218" i="2"/>
  <c r="W223" i="2" s="1"/>
  <c r="J223" i="2"/>
  <c r="W209" i="2"/>
  <c r="K55" i="2"/>
  <c r="L202" i="2"/>
  <c r="W120" i="2"/>
  <c r="W125" i="2" s="1"/>
  <c r="L120" i="2"/>
  <c r="L125" i="2" s="1"/>
  <c r="J125" i="2"/>
  <c r="D15" i="13"/>
  <c r="O90" i="2"/>
  <c r="F15" i="13" s="1"/>
  <c r="O25" i="2"/>
  <c r="F6" i="13" s="1"/>
  <c r="D6" i="13"/>
  <c r="K18" i="2"/>
  <c r="C36" i="13"/>
  <c r="O32" i="2" l="1"/>
  <c r="F7" i="13" s="1"/>
  <c r="D17" i="13"/>
  <c r="D25" i="13"/>
  <c r="O160" i="2"/>
  <c r="F25" i="13" s="1"/>
  <c r="O125" i="2"/>
  <c r="F20" i="13" s="1"/>
  <c r="D20" i="13"/>
  <c r="D23" i="13"/>
  <c r="O146" i="2"/>
  <c r="F23" i="13" s="1"/>
  <c r="D21" i="13"/>
  <c r="O132" i="2"/>
  <c r="F21" i="13" s="1"/>
  <c r="D30" i="13"/>
  <c r="O195" i="2"/>
  <c r="F30" i="13" s="1"/>
  <c r="D32" i="13"/>
  <c r="O209" i="2"/>
  <c r="F32" i="13" s="1"/>
  <c r="O188" i="2"/>
  <c r="F29" i="13" s="1"/>
  <c r="D29" i="13"/>
  <c r="D5" i="13"/>
  <c r="O18" i="2"/>
  <c r="F5" i="13" s="1"/>
  <c r="W227" i="2"/>
  <c r="O62" i="2"/>
  <c r="F11" i="13" s="1"/>
  <c r="D11" i="13"/>
  <c r="D10" i="13"/>
  <c r="O55" i="2"/>
  <c r="F10" i="13" s="1"/>
  <c r="D28" i="13"/>
  <c r="O181" i="2"/>
  <c r="F28" i="13" s="1"/>
  <c r="D12" i="13"/>
  <c r="O69" i="2"/>
  <c r="F12" i="13" s="1"/>
  <c r="D34" i="13"/>
  <c r="O223" i="2"/>
  <c r="F34" i="13" s="1"/>
  <c r="D26" i="13"/>
  <c r="O167" i="2"/>
  <c r="F26" i="13" s="1"/>
  <c r="D19" i="13"/>
  <c r="O118" i="2"/>
  <c r="F19" i="13" s="1"/>
  <c r="D31" i="13"/>
  <c r="O202" i="2"/>
  <c r="F31" i="13" s="1"/>
  <c r="F9" i="13"/>
  <c r="F33" i="13"/>
  <c r="D18" i="13"/>
  <c r="O111" i="2"/>
  <c r="F18" i="13" s="1"/>
  <c r="O174" i="2"/>
  <c r="F27" i="13" s="1"/>
  <c r="D27" i="13"/>
  <c r="D8" i="13"/>
  <c r="O39" i="2"/>
  <c r="F8" i="13" s="1"/>
  <c r="F36" i="13" l="1"/>
  <c r="E5" i="13"/>
  <c r="D36" i="13"/>
  <c r="E6" i="13" l="1"/>
  <c r="E7" i="13" s="1"/>
  <c r="E8" i="13" s="1"/>
  <c r="E9" i="13" s="1"/>
  <c r="E10" i="13" s="1"/>
  <c r="E11" i="13" s="1"/>
  <c r="E12" i="13" s="1"/>
  <c r="E13" i="13" s="1"/>
  <c r="E14" i="13" s="1"/>
  <c r="E15" i="13" s="1"/>
  <c r="E16" i="13" s="1"/>
  <c r="E17" i="13" s="1"/>
  <c r="E18" i="13" s="1"/>
  <c r="E19" i="13" s="1"/>
  <c r="E20" i="13" s="1"/>
  <c r="E21" i="13" s="1"/>
  <c r="E22" i="13" s="1"/>
  <c r="E23" i="13" s="1"/>
  <c r="E24" i="13" s="1"/>
  <c r="E25" i="13" s="1"/>
  <c r="E26" i="13" s="1"/>
  <c r="E27" i="13" s="1"/>
  <c r="E28" i="13" s="1"/>
  <c r="E29" i="13" s="1"/>
  <c r="E30" i="13" s="1"/>
  <c r="E31" i="13" s="1"/>
  <c r="E32" i="13" s="1"/>
  <c r="E33" i="13" s="1"/>
  <c r="E34" i="13" s="1"/>
  <c r="E36" i="1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Q26" authorId="0" shapeId="0" xr:uid="{C292339E-5A56-4610-82A7-CCAF0D3D29F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35688</t>
        </r>
      </text>
    </comment>
    <comment ref="T27" authorId="0" shapeId="0" xr:uid="{0FE9F9BF-1918-40F4-9341-31FC5B8049C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35772</t>
        </r>
      </text>
    </comment>
    <comment ref="Q28" authorId="0" shapeId="0" xr:uid="{DC4A69DD-BE07-4385-9005-D26C3550E3F3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35688</t>
        </r>
      </text>
    </comment>
    <comment ref="Q33" authorId="0" shapeId="0" xr:uid="{63FC0738-5AD9-4D73-B95A-2E668E8B1644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35825</t>
        </r>
      </text>
    </comment>
    <comment ref="T34" authorId="0" shapeId="0" xr:uid="{4639A66B-644B-41F4-BFD7-EA79A0A0F86E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35848</t>
        </r>
      </text>
    </comment>
    <comment ref="Q35" authorId="0" shapeId="0" xr:uid="{63768FCD-12E5-43E1-8D3A-C1C181D9DCD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35825</t>
        </r>
      </text>
    </comment>
    <comment ref="Q40" authorId="0" shapeId="0" xr:uid="{FE1C02BB-EE4B-49DD-9F5A-F6CDA99ACB7C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35909</t>
        </r>
      </text>
    </comment>
    <comment ref="T41" authorId="0" shapeId="0" xr:uid="{C8E72F95-E8C9-49FF-AFB5-C6090C398D2A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35927</t>
        </r>
      </text>
    </comment>
    <comment ref="Q42" authorId="0" shapeId="0" xr:uid="{A1097486-B87A-4A6C-9B63-971715855C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35909</t>
        </r>
      </text>
    </comment>
    <comment ref="Q47" authorId="0" shapeId="0" xr:uid="{13943B8E-3B5F-4155-B71B-0600FD7436E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35996
Estación El Belloto, vía 1. Servicio 473 XT-19-15 (viaje 22), 474 XT-27-17 (viaje 28), 659 XT-10-01 (viaje 50), 653 XT-16-02 (viaje 72), 654 XT-05-12 (viaje 74) y 656 XT-24-13 (viaje 78) son desacoplados.</t>
        </r>
      </text>
    </comment>
    <comment ref="T48" authorId="0" shapeId="0" xr:uid="{CC473A15-3E67-4880-84A5-C1485106A9FA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36025 
Estación El Belloto, vía 2. Servicio 656 XT-13-24 (viaje 121), 657 XT-11-05 (viaje 123) y 651 XT-18-10 (viaje 141) son acoplados para cumplir con oferta de equipos en unidad múltiple.</t>
        </r>
      </text>
    </comment>
    <comment ref="Q49" authorId="0" shapeId="0" xr:uid="{0738CBD6-3440-48ED-B73D-DD192808D21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35996
Estación El Belloto, vía 1. Servicio 473 XT-19-15 (viaje 22), 474 XT-27-17 (viaje 28), 659 XT-10-01 (viaje 50), 653 XT-16-02 (viaje 72), 654 XT-05-12 (viaje 74) y 656 XT-24-13 (viaje 78) son desacoplados.</t>
        </r>
      </text>
    </comment>
    <comment ref="Q56" authorId="0" shapeId="0" xr:uid="{BED627FC-B061-4E60-9967-DAD8A53B4B2D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36053</t>
        </r>
      </text>
    </comment>
    <comment ref="T57" authorId="0" shapeId="0" xr:uid="{08C175E7-4845-4603-B1AE-0FC1DBC97D9B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36098</t>
        </r>
      </text>
    </comment>
    <comment ref="Q58" authorId="0" shapeId="0" xr:uid="{14047947-6C01-46E9-B2AF-3B11FC1A50B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36053</t>
        </r>
      </text>
    </comment>
    <comment ref="Q77" authorId="0" shapeId="0" xr:uid="{5D28DFCE-93AB-49B3-94BC-DA2EB8A8C799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36251</t>
        </r>
      </text>
    </comment>
    <comment ref="T78" authorId="0" shapeId="0" xr:uid="{81D4452B-7269-4044-90D5-1031CFA0BA94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36337 
Estación El Belloto, vía 2. Servicio 656 XT-22-14 (viaje 126), 657 XT-23-26 (viaje 128), 651 XT-12-15 (viaje 150), 652 XT-10-07 (viaje 154) y 653 XT-18-08 (viaje 158) son acoplados para cumplir con oferta de equipos en unidad múltiple.</t>
        </r>
      </text>
    </comment>
    <comment ref="Q79" authorId="0" shapeId="0" xr:uid="{C2BB7DAD-FC56-4968-917D-D8D006D6EA17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36251</t>
        </r>
      </text>
    </comment>
    <comment ref="Q84" authorId="0" shapeId="0" xr:uid="{C3E2B86A-A6CE-45C2-92AD-63C99EAFC7FC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36400</t>
        </r>
      </text>
    </comment>
    <comment ref="T85" authorId="0" shapeId="0" xr:uid="{C4AC7A3A-3FA9-4DE5-8188-E2F121ADD9D1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36413 
Estación El Belloto, vía 2. Servicio 656 XT-26-18 (viaje 121), 657 XT-16-04 (viaje 123) y 651 XT-12-17 (viaje 141) son acoplados para cumplir con oferta de equipos en unidad múltiple.</t>
        </r>
      </text>
    </comment>
    <comment ref="Q86" authorId="0" shapeId="0" xr:uid="{5480DE4C-D629-4FEA-A526-20D2AE372F08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36400</t>
        </r>
      </text>
    </comment>
    <comment ref="Q91" authorId="0" shapeId="0" xr:uid="{66AF09F3-9C00-442B-A859-51185D657FA4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36465
Estación El Belloto, vía 1. Servicio 474 XT-11-01 (viaje 28), 655 XT-22-09 (viaje 30) y 659 XT-10-25 (viaje 50) son desacoplados.</t>
        </r>
      </text>
    </comment>
    <comment ref="T92" authorId="0" shapeId="0" xr:uid="{01C4BDAD-802B-4DCD-8EFD-878C1668FD4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36478
Estación El Belloto, vía 2. Servicio 656 XT-14-22 (viaje 121), 657 XT-09-11 (viaje 123), 651 XT-03-20 (viaje 141) y 652 XT-17-21 (viaje 145) son acoplados para cumplir con oferta de equipos en unidad múltiple.
</t>
        </r>
      </text>
    </comment>
    <comment ref="Q93" authorId="0" shapeId="0" xr:uid="{46C59144-91C6-48B8-974A-ACB67A00CB4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36465
Estación El Belloto, vía 1. Servicio 474 XT-11-01 (viaje 28), 655 XT-22-09 (viaje 30) y 659 XT-10-25 (viaje 50) son desacoplados.</t>
        </r>
      </text>
    </comment>
    <comment ref="Q98" authorId="0" shapeId="0" xr:uid="{B7B1A5F6-AC65-4FC4-BBC9-0B02919FA687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36553</t>
        </r>
      </text>
    </comment>
    <comment ref="T99" authorId="0" shapeId="0" xr:uid="{259B345E-2977-4B5E-B418-895E7D7A76EE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36632</t>
        </r>
      </text>
    </comment>
    <comment ref="Q100" authorId="0" shapeId="0" xr:uid="{6C3EE3AC-96CD-410D-935F-35BC88B1A8E5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36553</t>
        </r>
      </text>
    </comment>
    <comment ref="Q105" authorId="0" shapeId="0" xr:uid="{0B5269FB-45BC-401B-A757-D25301DFF190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36694</t>
        </r>
      </text>
    </comment>
    <comment ref="T106" authorId="0" shapeId="0" xr:uid="{89886257-7080-47B7-BD92-F993FC2158C5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36744</t>
        </r>
      </text>
    </comment>
    <comment ref="Q107" authorId="0" shapeId="0" xr:uid="{015FF916-B9D1-4696-B8F5-44F6C2E74138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36694</t>
        </r>
      </text>
    </comment>
    <comment ref="Q126" authorId="0" shapeId="0" xr:uid="{A073ABFC-99D3-4996-95CC-8DD7B73FC4C6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36868
vía 1. Servicio 473 XT-21-10 (viaje 22), 474 XT-16-13 (viaje 28), 655 XT-18-20 (viaje 30), 652 XT-02-12 (viaje 70), 653 XT-03-01 (viaje 72) y 656 XT-05-11 (viaje 78) son desacoplados.</t>
        </r>
      </text>
    </comment>
    <comment ref="T127" authorId="0" shapeId="0" xr:uid="{92A38AD4-21FE-4202-9C92-6601CBB85E9A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36889 
Estación El Belloto, vía 2. Servicio 656 XT-11-18 (viaje 121), 657 XT-22-17 (viaje 123), 651 XT-10-16 (viaje 141) y 652 XT-12-21 (viaje 145) son acoplados para cumplir con oferta de equipos en unidad múltiple.</t>
        </r>
      </text>
    </comment>
    <comment ref="Q128" authorId="0" shapeId="0" xr:uid="{5B193D43-2A95-4D67-8FF3-A1EDD305266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36868
vía 1. Servicio 473 XT-21-10 (viaje 22), 474 XT-16-13 (viaje 28), 655 XT-18-20 (viaje 30), 652 XT-02-12 (viaje 70), 653 XT-03-01 (viaje 72) y 656 XT-05-11 (viaje 78) son desacoplados.</t>
        </r>
      </text>
    </comment>
    <comment ref="Q133" authorId="0" shapeId="0" xr:uid="{B1C625B3-F508-4E9A-8352-BAD7D3086D2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Incidente37066 
vía 1. Servicio 473 XT-34-31 (viaje 22), 474 XT-20-15 (viaje 28), 655 XT-28-35 (viaje 30), 652 XT-010-24 (viaje 70), 653 XT-22-23 (viaje 72) y 656 XT-03-25 (viaje 78) son desacoplados.</t>
        </r>
      </text>
    </comment>
    <comment ref="T134" authorId="0" shapeId="0" xr:uid="{63342F72-AF0B-433D-B5FC-E1BBDD39E6F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37016
Estación El Belloto, vía 2. Servicio 656 XT-25-17 (viaje 121), 657 XT-21-16 (viaje 123) y 651 XT-18-10 (viaje 141) son acoplados para cumplir con oferta de equipos en unidad múltiple</t>
        </r>
      </text>
    </comment>
    <comment ref="Q135" authorId="0" shapeId="0" xr:uid="{8ADE0C85-BF36-43FF-8EBA-6B1EE43931EB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Incidente37066 
vía 1. Servicio 473 XT-34-31 (viaje 22), 474 XT-20-15 (viaje 28), 655 XT-28-35 (viaje 30), 652 XT-010-24 (viaje 70), 653 XT-22-23 (viaje 72) y 656 XT-03-25 (viaje 78) son desacoplados.</t>
        </r>
      </text>
    </comment>
    <comment ref="Q140" authorId="0" shapeId="0" xr:uid="{4B702086-574D-4A0F-8C01-F5D240F69A39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37171</t>
        </r>
      </text>
    </comment>
    <comment ref="T141" authorId="0" shapeId="0" xr:uid="{8991BD6B-96E8-4906-AD78-A8EF9B5A3D0F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37158</t>
        </r>
      </text>
    </comment>
    <comment ref="Q142" authorId="0" shapeId="0" xr:uid="{F18BD6EA-AE5C-4406-AE09-4CEB98478478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37171</t>
        </r>
      </text>
    </comment>
    <comment ref="T148" authorId="0" shapeId="0" xr:uid="{902B926F-F49E-4268-9210-CB1CEE073F06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37922</t>
        </r>
      </text>
    </comment>
    <comment ref="Q154" authorId="0" shapeId="0" xr:uid="{05A9D578-D949-41C4-B07C-98AA691F3D2D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37248</t>
        </r>
      </text>
    </comment>
    <comment ref="T155" authorId="0" shapeId="0" xr:uid="{5BED4C24-3126-4E4D-A5C1-76FA289F0DA7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37297</t>
        </r>
      </text>
    </comment>
    <comment ref="Q156" authorId="0" shapeId="0" xr:uid="{DE70781D-73EC-4E78-AAF8-043425A725F7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37248</t>
        </r>
      </text>
    </comment>
    <comment ref="Q175" authorId="0" shapeId="0" xr:uid="{8B7713C9-4D32-4F00-850F-F0D3348079C1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37642</t>
        </r>
      </text>
    </comment>
    <comment ref="T176" authorId="0" shapeId="0" xr:uid="{0818952C-D85C-49FD-A94D-7B567E3EF8A7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37499</t>
        </r>
      </text>
    </comment>
    <comment ref="Q177" authorId="0" shapeId="0" xr:uid="{A2BBEA86-6FB9-4B42-85B8-8BB70F847C9A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37642</t>
        </r>
      </text>
    </comment>
    <comment ref="Q182" authorId="0" shapeId="0" xr:uid="{1F6E616B-62F1-45EA-BA14-E79DD3B4C5EB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37547</t>
        </r>
      </text>
    </comment>
    <comment ref="T183" authorId="0" shapeId="0" xr:uid="{EF14425A-991F-4835-B039-4919B385EC08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37524</t>
        </r>
      </text>
    </comment>
    <comment ref="Q184" authorId="0" shapeId="0" xr:uid="{B397FE1C-B09A-4857-B666-CC5892C5767F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37547</t>
        </r>
      </text>
    </comment>
    <comment ref="Q189" authorId="0" shapeId="0" xr:uid="{7B9D23A2-643D-4DD4-BC43-D9F2611C46EC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37644</t>
        </r>
      </text>
    </comment>
    <comment ref="T190" authorId="0" shapeId="0" xr:uid="{3CFEB204-BAAC-4372-AAC5-F8DA89381FA4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37605</t>
        </r>
      </text>
    </comment>
    <comment ref="Q191" authorId="0" shapeId="0" xr:uid="{F0F1BD5E-B225-48E6-8CD8-7E61D8F5C5FA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37644</t>
        </r>
      </text>
    </comment>
    <comment ref="Q196" authorId="0" shapeId="0" xr:uid="{9BF0D8DD-F04D-477A-9181-F570732835BA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37637</t>
        </r>
      </text>
    </comment>
    <comment ref="T197" authorId="0" shapeId="0" xr:uid="{AA8DC2FB-6734-4962-B5CE-DD0755C3D945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37657</t>
        </r>
      </text>
    </comment>
    <comment ref="Q198" authorId="0" shapeId="0" xr:uid="{38DCCD69-13D5-401F-A9B3-8FDC74390264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37637</t>
        </r>
      </text>
    </comment>
    <comment ref="Q203" authorId="0" shapeId="0" xr:uid="{41F18EBC-C577-4AD5-9F63-EFFC5CCB5E01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37712</t>
        </r>
      </text>
    </comment>
    <comment ref="T204" authorId="0" shapeId="0" xr:uid="{39A08DCB-A63F-4446-9765-2DB2AF044E25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37715
Incidente 37729</t>
        </r>
      </text>
    </comment>
    <comment ref="Q205" authorId="0" shapeId="0" xr:uid="{5FCE8679-A508-47A6-B7BF-7F43A2EEC4D0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37712</t>
        </r>
      </text>
    </comment>
  </commentList>
</comments>
</file>

<file path=xl/sharedStrings.xml><?xml version="1.0" encoding="utf-8"?>
<sst xmlns="http://schemas.openxmlformats.org/spreadsheetml/2006/main" count="754" uniqueCount="193">
  <si>
    <t>Control Contador Kilometraje de Trenes</t>
  </si>
  <si>
    <t>Contador</t>
  </si>
  <si>
    <t>Tren</t>
  </si>
  <si>
    <t>Odómetro</t>
  </si>
  <si>
    <t>M01</t>
  </si>
  <si>
    <t>M02</t>
  </si>
  <si>
    <t>M03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</si>
  <si>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</si>
  <si>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</si>
  <si>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</si>
  <si>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</si>
  <si>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</si>
  <si>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</si>
  <si>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</si>
  <si>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</si>
  <si>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</si>
  <si>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</si>
  <si>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</si>
  <si>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</si>
  <si>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</si>
  <si>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</si>
  <si>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</si>
  <si>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</si>
  <si>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</si>
  <si>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</si>
  <si>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</si>
  <si>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</si>
  <si>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</si>
  <si>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M25</t>
  </si>
  <si>
    <t>M26</t>
  </si>
  <si>
    <t>M27</t>
  </si>
  <si>
    <t>Kilometraje Diario Recorrido</t>
  </si>
  <si>
    <t>Kilometraje</t>
  </si>
  <si>
    <t>Diario</t>
  </si>
  <si>
    <t>Kilometraje Diario</t>
  </si>
  <si>
    <t>EB-PU</t>
  </si>
  <si>
    <t>PU-SA</t>
  </si>
  <si>
    <t>CANTIDAD DE SERVICIOS</t>
  </si>
  <si>
    <t>PU-LI</t>
  </si>
  <si>
    <t>PROGRAMADOS</t>
  </si>
  <si>
    <t>REALIZADOS</t>
  </si>
  <si>
    <t>Origen-Destino</t>
  </si>
  <si>
    <t>Total Trenes</t>
  </si>
  <si>
    <t>Total Servicios</t>
  </si>
  <si>
    <t>Kms.xTrenes</t>
  </si>
  <si>
    <t>Kmsxservicios.</t>
  </si>
  <si>
    <t>Asientos x Kms.</t>
  </si>
  <si>
    <t>Disp x Km.</t>
  </si>
  <si>
    <t>Total Odómetro</t>
  </si>
  <si>
    <t>% Uso Trenes</t>
  </si>
  <si>
    <t>Simples</t>
  </si>
  <si>
    <t>Dobles</t>
  </si>
  <si>
    <t>LI-PU</t>
  </si>
  <si>
    <t>SA-PU</t>
  </si>
  <si>
    <t>Total</t>
  </si>
  <si>
    <t>SERVICIOS</t>
  </si>
  <si>
    <t>Programados</t>
  </si>
  <si>
    <t>Realizados</t>
  </si>
  <si>
    <t>simples</t>
  </si>
  <si>
    <t>multiples</t>
  </si>
  <si>
    <t>totales</t>
  </si>
  <si>
    <t>km-servicio</t>
  </si>
  <si>
    <t>tren-km</t>
  </si>
  <si>
    <t>asiento-km</t>
  </si>
  <si>
    <t>servicio km-programado</t>
  </si>
  <si>
    <t>Trenes</t>
  </si>
  <si>
    <t>Tren-km</t>
  </si>
  <si>
    <t>Asiento-km</t>
  </si>
  <si>
    <t>dobles</t>
  </si>
  <si>
    <t>programados</t>
  </si>
  <si>
    <t>realizados</t>
  </si>
  <si>
    <t>S</t>
  </si>
  <si>
    <t>M</t>
  </si>
  <si>
    <t>Servicios PU-SA</t>
  </si>
  <si>
    <t>Servicios PU-LI</t>
  </si>
  <si>
    <t>Servicios SA-PU</t>
  </si>
  <si>
    <t>Servicios EB-PU</t>
  </si>
  <si>
    <t>Servicios LI-PU</t>
  </si>
  <si>
    <t>Km Servicio</t>
  </si>
  <si>
    <t>PU - LI</t>
  </si>
  <si>
    <t>LI - PU</t>
  </si>
  <si>
    <t>PU - SA</t>
  </si>
  <si>
    <t>SA - PU</t>
  </si>
  <si>
    <t>total</t>
  </si>
  <si>
    <t>Servicios</t>
  </si>
  <si>
    <t>HÁBIL</t>
  </si>
  <si>
    <t>km</t>
  </si>
  <si>
    <t>Trenes PU-LI</t>
  </si>
  <si>
    <t>Trenes LI-PU</t>
  </si>
  <si>
    <t>Trenes PU-SA</t>
  </si>
  <si>
    <t>Trenes SA-PU</t>
  </si>
  <si>
    <t>Trenes EB-PU</t>
  </si>
  <si>
    <t>Trenes KM</t>
  </si>
  <si>
    <t>Servicios KM</t>
  </si>
  <si>
    <t>Asientos KM</t>
  </si>
  <si>
    <t>Coches KM</t>
  </si>
  <si>
    <t>Capacidad Total</t>
  </si>
  <si>
    <t>Ton Km Brutas</t>
  </si>
  <si>
    <t>VARIABLES OPERACIONALES</t>
  </si>
  <si>
    <t>VARIABLE</t>
  </si>
  <si>
    <t>Promedio diario</t>
  </si>
  <si>
    <t>Programado</t>
  </si>
  <si>
    <t>Nº trenes</t>
  </si>
  <si>
    <t>Nº servicios</t>
  </si>
  <si>
    <t>Km-serv</t>
  </si>
  <si>
    <t>Asientos km</t>
  </si>
  <si>
    <t>UMR %</t>
  </si>
  <si>
    <t>Energía kwh</t>
  </si>
  <si>
    <t>Pax</t>
  </si>
  <si>
    <t>TIEMPO DE VIAJE (PU-LI)</t>
  </si>
  <si>
    <t>MI-LI / LI-MI</t>
  </si>
  <si>
    <t>XM28</t>
  </si>
  <si>
    <t>XM29</t>
  </si>
  <si>
    <t>XM30</t>
  </si>
  <si>
    <t>XM31</t>
  </si>
  <si>
    <t>XM32</t>
  </si>
  <si>
    <t>XM33</t>
  </si>
  <si>
    <t>XM34</t>
  </si>
  <si>
    <t>XM35</t>
  </si>
  <si>
    <t>QU-LI / LI-QU</t>
  </si>
  <si>
    <t>v</t>
  </si>
  <si>
    <t>PO-SA</t>
  </si>
  <si>
    <t>PU-EB</t>
  </si>
  <si>
    <t>Servicios PU-EB</t>
  </si>
  <si>
    <t>Trenes PU-EB</t>
  </si>
  <si>
    <t>SA-MI</t>
  </si>
  <si>
    <t>Fecha</t>
  </si>
  <si>
    <t>Odómetro acum.</t>
  </si>
  <si>
    <t>Tren-Km</t>
  </si>
  <si>
    <t>Tren-Km Acum.</t>
  </si>
  <si>
    <t>UMR Diario</t>
  </si>
  <si>
    <t>Viajes Programados</t>
  </si>
  <si>
    <t>Viajes Realizados</t>
  </si>
  <si>
    <t>Tipo Dia</t>
  </si>
  <si>
    <t>Comentarios</t>
  </si>
  <si>
    <t>TOTAL</t>
  </si>
  <si>
    <t>Dgo-Festivo</t>
  </si>
  <si>
    <t>Laboral</t>
  </si>
  <si>
    <t>Sábado</t>
  </si>
  <si>
    <t xml:space="preserve">Cortes </t>
  </si>
  <si>
    <t>EB</t>
  </si>
  <si>
    <t>SA</t>
  </si>
  <si>
    <t>Acoples</t>
  </si>
  <si>
    <t>KmTren R</t>
  </si>
  <si>
    <t xml:space="preserve"> </t>
  </si>
  <si>
    <t>-</t>
  </si>
  <si>
    <t>PE</t>
  </si>
  <si>
    <t>PU-PE</t>
  </si>
  <si>
    <t>EB (400)</t>
  </si>
  <si>
    <t>Acople/Corte SA (600)</t>
  </si>
  <si>
    <t>HO-LI/LI-HO</t>
  </si>
  <si>
    <t>VM-PU</t>
  </si>
  <si>
    <t>VM-LI</t>
  </si>
  <si>
    <t>PU-MI</t>
  </si>
  <si>
    <t>Acople EB (600) vía 1</t>
  </si>
  <si>
    <t>PU-ES/ES-PU</t>
  </si>
  <si>
    <t>MI-SA</t>
  </si>
  <si>
    <t>LI-PO</t>
  </si>
  <si>
    <t>LI-PE</t>
  </si>
  <si>
    <t>Acople PE (600) via 2</t>
  </si>
  <si>
    <t>SA-QU/QU-SA</t>
  </si>
  <si>
    <t>Total Trenes P</t>
  </si>
  <si>
    <t>KmTren P</t>
  </si>
  <si>
    <t>EB-LI</t>
  </si>
  <si>
    <t>PU-RE</t>
  </si>
  <si>
    <t>PU-PO</t>
  </si>
  <si>
    <t>PU-BA</t>
  </si>
  <si>
    <t>TKB</t>
  </si>
  <si>
    <t>AM-QU</t>
  </si>
  <si>
    <t>SA-VM</t>
  </si>
  <si>
    <t>PU-CH</t>
  </si>
  <si>
    <t>Corte EB (600) V2</t>
  </si>
  <si>
    <t>Corte EB (400) V1</t>
  </si>
  <si>
    <t>Corte EB (600) V1</t>
  </si>
  <si>
    <t>Acople EB (600) V1</t>
  </si>
  <si>
    <t>PU-QU</t>
  </si>
  <si>
    <t>SFE-410</t>
  </si>
  <si>
    <t>SFE-412</t>
  </si>
  <si>
    <t>SFE-411</t>
  </si>
  <si>
    <t>SFE-413</t>
  </si>
  <si>
    <t>SFE-414</t>
  </si>
  <si>
    <t>Mayo 2026</t>
  </si>
  <si>
    <t>Oferta Mayo 2026</t>
  </si>
  <si>
    <t>Planilla 026 Laboral Lun-Vie Ver. 8  Servicio 434 XT-28 presenta falla HBS  se suprime viaje SA-PU-SA</t>
  </si>
  <si>
    <t xml:space="preserve">Falla SER Portales, obliga a redistribucion de equipos. </t>
  </si>
  <si>
    <t>Perdida de servicios por averias asociada a riel Quebrado (13965)  y Caida de Arbol sobre catenaria. (13976)</t>
  </si>
  <si>
    <t>PU-VL</t>
  </si>
  <si>
    <t>PU-BE</t>
  </si>
  <si>
    <t>Planilla 026 Laboral Lun-Vie Ver.9</t>
  </si>
  <si>
    <t xml:space="preserve">Programacion especial 21 Mayo </t>
  </si>
  <si>
    <t>Odometro</t>
  </si>
  <si>
    <t>PU-ES</t>
  </si>
  <si>
    <t>SA-EB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</si>
</sst>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* #,##0.00_-;\-* #,##0.00_-;_-* &quot;-&quot;??_-;_-@_-"/>
    <numFmt numFmtId="165" formatCode="d/mmm/yy"/>
    <numFmt numFmtId="166" formatCode="0.0"/>
    <numFmt numFmtId="167" formatCode="dd/mm/yy;@"/>
    <numFmt numFmtId="168" formatCode="_-* #,##0\ _€_-;\-* #,##0\ _€_-;_-* &quot;-&quot;??\ _€_-;_-@_-"/>
    <numFmt numFmtId="169" formatCode="#,##0.0"/>
  </numFmts>
  <fonts count="59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4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1"/>
      <color indexed="8"/>
      <name val="Arial"/>
      <family val="2"/>
    </font>
    <font>
      <sz val="11"/>
      <color indexed="8"/>
      <name val="Arial"/>
      <family val="2"/>
    </font>
    <font>
      <b/>
      <sz val="10"/>
      <name val="Arial"/>
      <family val="2"/>
    </font>
    <font>
      <b/>
      <sz val="9"/>
      <color indexed="9"/>
      <name val="Arial"/>
      <family val="2"/>
    </font>
    <font>
      <b/>
      <sz val="9"/>
      <name val="Arial"/>
      <family val="2"/>
    </font>
    <font>
      <b/>
      <i/>
      <sz val="11"/>
      <color indexed="8"/>
      <name val="Arial"/>
      <family val="2"/>
    </font>
    <font>
      <b/>
      <i/>
      <sz val="9"/>
      <name val="Arial"/>
      <family val="2"/>
    </font>
    <font>
      <b/>
      <sz val="10"/>
      <color indexed="8"/>
      <name val="Arial"/>
      <family val="2"/>
    </font>
    <font>
      <b/>
      <sz val="14"/>
      <color indexed="8"/>
      <name val="ARIAL"/>
      <family val="2"/>
    </font>
    <font>
      <sz val="14"/>
      <name val="Arial Black"/>
      <family val="2"/>
    </font>
    <font>
      <b/>
      <sz val="10"/>
      <color indexed="12"/>
      <name val="Arial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  <scheme val="minor"/>
    </font>
    <font>
      <sz val="11"/>
      <color indexed="9"/>
      <name val="Arial"/>
      <family val="2"/>
    </font>
    <font>
      <sz val="11"/>
      <color indexed="17"/>
      <name val="Arial"/>
      <family val="2"/>
    </font>
    <font>
      <b/>
      <sz val="11"/>
      <color indexed="9"/>
      <name val="Arial"/>
      <family val="2"/>
    </font>
    <font>
      <sz val="11"/>
      <color indexed="52"/>
      <name val="Arial"/>
      <family val="2"/>
    </font>
    <font>
      <b/>
      <sz val="11"/>
      <color indexed="52"/>
      <name val="Arial"/>
      <family val="2"/>
    </font>
    <font>
      <b/>
      <sz val="11"/>
      <color indexed="56"/>
      <name val="Arial"/>
      <family val="2"/>
    </font>
    <font>
      <sz val="11"/>
      <color indexed="62"/>
      <name val="Arial"/>
      <family val="2"/>
    </font>
    <font>
      <sz val="11"/>
      <color indexed="20"/>
      <name val="Arial"/>
      <family val="2"/>
    </font>
    <font>
      <sz val="11"/>
      <color indexed="60"/>
      <name val="Arial"/>
      <family val="2"/>
    </font>
    <font>
      <b/>
      <sz val="11"/>
      <color indexed="63"/>
      <name val="Arial"/>
      <family val="2"/>
    </font>
    <font>
      <sz val="11"/>
      <color indexed="10"/>
      <name val="Arial"/>
      <family val="2"/>
    </font>
    <font>
      <i/>
      <sz val="11"/>
      <color indexed="23"/>
      <name val="Arial"/>
      <family val="2"/>
    </font>
    <font>
      <b/>
      <sz val="18"/>
      <color indexed="56"/>
      <name val="Cambria"/>
      <family val="2"/>
    </font>
    <font>
      <b/>
      <sz val="15"/>
      <color indexed="56"/>
      <name val="Arial"/>
      <family val="2"/>
    </font>
    <font>
      <b/>
      <sz val="13"/>
      <color indexed="56"/>
      <name val="Arial"/>
      <family val="2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36"/>
      <color theme="1"/>
      <name val="Arial"/>
      <family val="2"/>
    </font>
    <font>
      <b/>
      <i/>
      <sz val="12"/>
      <color theme="1"/>
      <name val="Arial"/>
      <family val="2"/>
    </font>
    <font>
      <sz val="12"/>
      <color theme="1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1"/>
      <color theme="0"/>
      <name val="Calibri"/>
      <family val="2"/>
      <scheme val="minor"/>
    </font>
    <font>
      <b/>
      <sz val="9"/>
      <color rgb="FFFF0000"/>
      <name val="Arial"/>
      <family val="2"/>
    </font>
    <font>
      <sz val="9"/>
      <color rgb="FFFF0000"/>
      <name val="Arial"/>
      <family val="2"/>
    </font>
    <font>
      <sz val="10"/>
      <color theme="1"/>
      <name val="Arial"/>
      <family val="2"/>
    </font>
    <font>
      <b/>
      <sz val="9"/>
      <color theme="0"/>
      <name val="Arial"/>
      <family val="2"/>
    </font>
    <font>
      <sz val="11"/>
      <color theme="1"/>
      <name val="Arial"/>
      <family val="2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60">
    <fill>
      <patternFill patternType="none"/>
    </fill>
    <fill>
      <patternFill patternType="gray125"/>
    </fill>
    <fill>
      <patternFill patternType="solid">
        <fgColor indexed="5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10"/>
        <bgColor indexed="60"/>
      </patternFill>
    </fill>
    <fill>
      <patternFill patternType="solid">
        <fgColor indexed="48"/>
        <bgColor indexed="30"/>
      </patternFill>
    </fill>
    <fill>
      <patternFill patternType="solid">
        <fgColor indexed="40"/>
        <bgColor indexed="49"/>
      </patternFill>
    </fill>
    <fill>
      <patternFill patternType="solid">
        <fgColor rgb="FFFFC000"/>
        <bgColor indexed="41"/>
      </patternFill>
    </fill>
    <fill>
      <patternFill patternType="solid">
        <fgColor indexed="22"/>
        <bgColor indexed="31"/>
      </patternFill>
    </fill>
    <fill>
      <patternFill patternType="solid">
        <fgColor indexed="11"/>
        <bgColor indexed="49"/>
      </patternFill>
    </fill>
    <fill>
      <patternFill patternType="solid">
        <fgColor indexed="44"/>
        <bgColor indexed="31"/>
      </patternFill>
    </fill>
    <fill>
      <patternFill patternType="solid">
        <fgColor indexed="13"/>
        <bgColor indexed="34"/>
      </patternFill>
    </fill>
    <fill>
      <patternFill patternType="solid">
        <fgColor indexed="41"/>
        <bgColor indexed="41"/>
      </patternFill>
    </fill>
    <fill>
      <patternFill patternType="solid">
        <fgColor indexed="51"/>
        <bgColor indexed="13"/>
      </patternFill>
    </fill>
    <fill>
      <patternFill patternType="solid">
        <fgColor indexed="42"/>
        <bgColor indexed="27"/>
      </patternFill>
    </fill>
    <fill>
      <patternFill patternType="solid">
        <fgColor rgb="FFFFC000"/>
        <bgColor indexed="49"/>
      </patternFill>
    </fill>
    <fill>
      <patternFill patternType="solid">
        <fgColor indexed="41"/>
        <bgColor indexed="49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29"/>
        <bgColor indexed="45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55"/>
        <bgColor indexed="23"/>
      </patternFill>
    </fill>
    <fill>
      <patternFill patternType="solid">
        <fgColor indexed="62"/>
        <bgColor indexed="56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rgb="FFFFFF00"/>
        <bgColor indexed="41"/>
      </patternFill>
    </fill>
    <fill>
      <patternFill patternType="solid">
        <fgColor rgb="FFFFFF00"/>
        <bgColor indexed="64"/>
      </patternFill>
    </fill>
    <fill>
      <patternFill patternType="solid">
        <fgColor rgb="FFCCECFF"/>
        <bgColor indexed="41"/>
      </patternFill>
    </fill>
    <fill>
      <patternFill patternType="solid">
        <fgColor rgb="FFFFC000"/>
        <bgColor indexed="64"/>
      </patternFill>
    </fill>
    <fill>
      <patternFill patternType="solid">
        <fgColor rgb="FFCCECFF"/>
        <bgColor indexed="49"/>
      </patternFill>
    </fill>
    <fill>
      <patternFill patternType="solid">
        <fgColor rgb="FFFF0000"/>
        <bgColor indexed="41"/>
      </patternFill>
    </fill>
    <fill>
      <patternFill patternType="solid">
        <fgColor rgb="FFCCECFF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4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66CCFF"/>
        <bgColor indexed="31"/>
      </patternFill>
    </fill>
    <fill>
      <patternFill patternType="solid">
        <fgColor rgb="FF00B0F0"/>
        <bgColor indexed="49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31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31"/>
      </patternFill>
    </fill>
    <fill>
      <patternFill patternType="solid">
        <fgColor theme="3" tint="0.79998168889431442"/>
        <bgColor indexed="41"/>
      </patternFill>
    </fill>
  </fills>
  <borders count="8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59"/>
      </left>
      <right style="medium">
        <color indexed="59"/>
      </right>
      <top style="medium">
        <color indexed="59"/>
      </top>
      <bottom/>
      <diagonal/>
    </border>
    <border>
      <left style="medium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thin">
        <color indexed="59"/>
      </left>
      <right style="medium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59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59"/>
      </right>
      <top style="thin">
        <color indexed="59"/>
      </top>
      <bottom/>
      <diagonal/>
    </border>
    <border>
      <left style="thin">
        <color indexed="59"/>
      </left>
      <right/>
      <top style="thin">
        <color indexed="59"/>
      </top>
      <bottom/>
      <diagonal/>
    </border>
    <border>
      <left style="medium">
        <color indexed="64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64"/>
      </right>
      <top style="thin">
        <color indexed="59"/>
      </top>
      <bottom/>
      <diagonal/>
    </border>
    <border>
      <left/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thin">
        <color indexed="59"/>
      </right>
      <top style="thin">
        <color indexed="59"/>
      </top>
      <bottom/>
      <diagonal/>
    </border>
    <border>
      <left/>
      <right/>
      <top style="medium">
        <color indexed="59"/>
      </top>
      <bottom/>
      <diagonal/>
    </border>
    <border>
      <left style="thin">
        <color indexed="59"/>
      </left>
      <right/>
      <top style="medium">
        <color indexed="59"/>
      </top>
      <bottom style="thin">
        <color indexed="59"/>
      </bottom>
      <diagonal/>
    </border>
    <border>
      <left/>
      <right style="medium">
        <color indexed="59"/>
      </right>
      <top style="medium">
        <color indexed="59"/>
      </top>
      <bottom style="thin">
        <color indexed="59"/>
      </bottom>
      <diagonal/>
    </border>
    <border>
      <left style="thin">
        <color indexed="59"/>
      </left>
      <right/>
      <top style="thin">
        <color indexed="59"/>
      </top>
      <bottom style="thin">
        <color indexed="59"/>
      </bottom>
      <diagonal/>
    </border>
    <border>
      <left/>
      <right style="medium">
        <color indexed="59"/>
      </right>
      <top style="thin">
        <color indexed="59"/>
      </top>
      <bottom style="thin">
        <color indexed="59"/>
      </bottom>
      <diagonal/>
    </border>
    <border>
      <left/>
      <right/>
      <top style="thin">
        <color indexed="59"/>
      </top>
      <bottom style="thin">
        <color indexed="59"/>
      </bottom>
      <diagonal/>
    </border>
    <border>
      <left style="thin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59"/>
      </left>
      <right style="thin">
        <color indexed="59"/>
      </right>
      <top style="medium">
        <color indexed="59"/>
      </top>
      <bottom style="medium">
        <color indexed="59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59"/>
      </right>
      <top/>
      <bottom style="thin">
        <color indexed="59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/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4">
    <xf numFmtId="0" fontId="0" fillId="0" borderId="0"/>
    <xf numFmtId="164" fontId="2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16" borderId="0" applyNumberFormat="0" applyBorder="0" applyAlignment="0" applyProtection="0"/>
    <xf numFmtId="0" fontId="11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12" borderId="0" applyNumberFormat="0" applyBorder="0" applyAlignment="0" applyProtection="0"/>
    <xf numFmtId="0" fontId="11" fillId="26" borderId="0" applyNumberFormat="0" applyBorder="0" applyAlignment="0" applyProtection="0"/>
    <xf numFmtId="0" fontId="11" fillId="11" borderId="0" applyNumberFormat="0" applyBorder="0" applyAlignment="0" applyProtection="0"/>
    <xf numFmtId="0" fontId="11" fillId="23" borderId="0" applyNumberFormat="0" applyBorder="0" applyAlignment="0" applyProtection="0"/>
    <xf numFmtId="0" fontId="11" fillId="12" borderId="0" applyNumberFormat="0" applyBorder="0" applyAlignment="0" applyProtection="0"/>
    <xf numFmtId="0" fontId="11" fillId="15" borderId="0" applyNumberFormat="0" applyBorder="0" applyAlignment="0" applyProtection="0"/>
    <xf numFmtId="0" fontId="23" fillId="27" borderId="0" applyNumberFormat="0" applyBorder="0" applyAlignment="0" applyProtection="0"/>
    <xf numFmtId="0" fontId="23" fillId="26" borderId="0" applyNumberFormat="0" applyBorder="0" applyAlignment="0" applyProtection="0"/>
    <xf numFmtId="0" fontId="23" fillId="11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4" fillId="16" borderId="0" applyNumberFormat="0" applyBorder="0" applyAlignment="0" applyProtection="0"/>
    <xf numFmtId="0" fontId="27" fillId="10" borderId="51" applyNumberFormat="0" applyAlignment="0" applyProtection="0"/>
    <xf numFmtId="0" fontId="25" fillId="31" borderId="52" applyNumberFormat="0" applyAlignment="0" applyProtection="0"/>
    <xf numFmtId="0" fontId="26" fillId="0" borderId="53" applyNumberFormat="0" applyFill="0" applyAlignment="0" applyProtection="0"/>
    <xf numFmtId="0" fontId="28" fillId="0" borderId="0" applyNumberFormat="0" applyFill="0" applyBorder="0" applyAlignment="0" applyProtection="0"/>
    <xf numFmtId="0" fontId="23" fillId="32" borderId="0" applyNumberFormat="0" applyBorder="0" applyAlignment="0" applyProtection="0"/>
    <xf numFmtId="0" fontId="23" fillId="6" borderId="0" applyNumberFormat="0" applyBorder="0" applyAlignment="0" applyProtection="0"/>
    <xf numFmtId="0" fontId="23" fillId="33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4" borderId="0" applyNumberFormat="0" applyBorder="0" applyAlignment="0" applyProtection="0"/>
    <xf numFmtId="0" fontId="29" fillId="25" borderId="51" applyNumberFormat="0" applyAlignment="0" applyProtection="0"/>
    <xf numFmtId="0" fontId="30" fillId="22" borderId="0" applyNumberFormat="0" applyBorder="0" applyAlignment="0" applyProtection="0"/>
    <xf numFmtId="0" fontId="31" fillId="3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11" fillId="36" borderId="54" applyNumberFormat="0" applyAlignment="0" applyProtection="0"/>
    <xf numFmtId="0" fontId="32" fillId="10" borderId="55" applyNumberFormat="0" applyAlignment="0" applyProtection="0"/>
    <xf numFmtId="0" fontId="33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6" fillId="0" borderId="56" applyNumberFormat="0" applyFill="0" applyAlignment="0" applyProtection="0"/>
    <xf numFmtId="0" fontId="37" fillId="0" borderId="57" applyNumberFormat="0" applyFill="0" applyAlignment="0" applyProtection="0"/>
    <xf numFmtId="0" fontId="28" fillId="0" borderId="58" applyNumberFormat="0" applyFill="0" applyAlignment="0" applyProtection="0"/>
    <xf numFmtId="0" fontId="10" fillId="0" borderId="59" applyNumberFormat="0" applyFill="0" applyAlignment="0" applyProtection="0"/>
    <xf numFmtId="164" fontId="2" fillId="0" borderId="0" applyFont="0" applyFill="0" applyBorder="0" applyAlignment="0" applyProtection="0"/>
    <xf numFmtId="0" fontId="2" fillId="0" borderId="0"/>
    <xf numFmtId="0" fontId="2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5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6" fillId="0" borderId="0"/>
    <xf numFmtId="0" fontId="47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0" fontId="3" fillId="0" borderId="0"/>
  </cellStyleXfs>
  <cellXfs count="391">
    <xf numFmtId="0" fontId="0" fillId="0" borderId="0" xfId="0"/>
    <xf numFmtId="17" fontId="3" fillId="0" borderId="0" xfId="2" applyNumberFormat="1"/>
    <xf numFmtId="0" fontId="3" fillId="0" borderId="0" xfId="2"/>
    <xf numFmtId="0" fontId="5" fillId="2" borderId="0" xfId="2" applyFont="1" applyFill="1" applyAlignment="1">
      <alignment horizontal="center"/>
    </xf>
    <xf numFmtId="0" fontId="5" fillId="0" borderId="0" xfId="2" applyFont="1" applyFill="1" applyAlignment="1">
      <alignment horizontal="center"/>
    </xf>
    <xf numFmtId="3" fontId="5" fillId="3" borderId="1" xfId="2" applyNumberFormat="1" applyFont="1" applyFill="1" applyBorder="1" applyAlignment="1">
      <alignment horizontal="center" wrapText="1"/>
    </xf>
    <xf numFmtId="3" fontId="6" fillId="3" borderId="1" xfId="2" applyNumberFormat="1" applyFont="1" applyFill="1" applyBorder="1" applyAlignment="1">
      <alignment horizontal="center" wrapText="1"/>
    </xf>
    <xf numFmtId="3" fontId="5" fillId="3" borderId="3" xfId="2" applyNumberFormat="1" applyFont="1" applyFill="1" applyBorder="1" applyAlignment="1">
      <alignment horizontal="center" wrapText="1"/>
    </xf>
    <xf numFmtId="0" fontId="0" fillId="0" borderId="0" xfId="0" applyFill="1"/>
    <xf numFmtId="0" fontId="9" fillId="0" borderId="0" xfId="4" applyFont="1"/>
    <xf numFmtId="0" fontId="3" fillId="4" borderId="0" xfId="4" applyFont="1" applyFill="1" applyAlignment="1">
      <alignment horizontal="center"/>
    </xf>
    <xf numFmtId="3" fontId="3" fillId="5" borderId="2" xfId="4" applyNumberFormat="1" applyFont="1" applyFill="1" applyBorder="1" applyAlignment="1">
      <alignment horizontal="center" wrapText="1"/>
    </xf>
    <xf numFmtId="3" fontId="0" fillId="0" borderId="2" xfId="0" applyNumberFormat="1" applyBorder="1" applyAlignment="1">
      <alignment horizontal="center"/>
    </xf>
    <xf numFmtId="3" fontId="7" fillId="5" borderId="2" xfId="4" applyNumberFormat="1" applyFont="1" applyFill="1" applyBorder="1" applyAlignment="1">
      <alignment horizontal="center" wrapText="1"/>
    </xf>
    <xf numFmtId="0" fontId="3" fillId="0" borderId="0" xfId="4" applyFont="1"/>
    <xf numFmtId="0" fontId="3" fillId="0" borderId="2" xfId="4" applyFont="1" applyBorder="1" applyAlignment="1">
      <alignment horizontal="center"/>
    </xf>
    <xf numFmtId="3" fontId="0" fillId="0" borderId="4" xfId="0" applyNumberFormat="1" applyBorder="1" applyAlignment="1" applyProtection="1">
      <alignment horizontal="center" wrapText="1"/>
    </xf>
    <xf numFmtId="0" fontId="5" fillId="0" borderId="0" xfId="2" applyFont="1"/>
    <xf numFmtId="0" fontId="5" fillId="0" borderId="0" xfId="2" applyFont="1" applyBorder="1"/>
    <xf numFmtId="0" fontId="5" fillId="0" borderId="0" xfId="0" applyFont="1" applyAlignment="1">
      <alignment horizontal="center"/>
    </xf>
    <xf numFmtId="0" fontId="14" fillId="12" borderId="8" xfId="2" applyFont="1" applyFill="1" applyBorder="1" applyAlignment="1">
      <alignment horizontal="center"/>
    </xf>
    <xf numFmtId="166" fontId="5" fillId="13" borderId="0" xfId="2" applyNumberFormat="1" applyFont="1" applyFill="1" applyAlignment="1">
      <alignment horizontal="center"/>
    </xf>
    <xf numFmtId="0" fontId="15" fillId="0" borderId="2" xfId="0" applyFont="1" applyBorder="1"/>
    <xf numFmtId="0" fontId="16" fillId="14" borderId="2" xfId="0" applyFont="1" applyFill="1" applyBorder="1" applyAlignment="1">
      <alignment horizontal="center"/>
    </xf>
    <xf numFmtId="0" fontId="0" fillId="0" borderId="17" xfId="0" applyBorder="1"/>
    <xf numFmtId="0" fontId="0" fillId="0" borderId="13" xfId="0" applyBorder="1"/>
    <xf numFmtId="0" fontId="0" fillId="0" borderId="14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" xfId="0" applyBorder="1"/>
    <xf numFmtId="0" fontId="0" fillId="0" borderId="1" xfId="0" applyBorder="1"/>
    <xf numFmtId="0" fontId="0" fillId="0" borderId="16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3" fontId="0" fillId="0" borderId="2" xfId="0" applyNumberFormat="1" applyBorder="1"/>
    <xf numFmtId="3" fontId="0" fillId="0" borderId="21" xfId="0" applyNumberFormat="1" applyBorder="1"/>
    <xf numFmtId="0" fontId="0" fillId="0" borderId="24" xfId="0" applyBorder="1"/>
    <xf numFmtId="3" fontId="0" fillId="0" borderId="25" xfId="0" applyNumberFormat="1" applyBorder="1"/>
    <xf numFmtId="3" fontId="0" fillId="0" borderId="26" xfId="0" applyNumberFormat="1" applyBorder="1"/>
    <xf numFmtId="0" fontId="13" fillId="7" borderId="5" xfId="2" applyFont="1" applyFill="1" applyBorder="1" applyAlignment="1">
      <alignment horizontal="center" vertical="center"/>
    </xf>
    <xf numFmtId="0" fontId="13" fillId="6" borderId="6" xfId="2" applyFont="1" applyFill="1" applyBorder="1" applyAlignment="1">
      <alignment horizontal="center" vertical="center"/>
    </xf>
    <xf numFmtId="0" fontId="0" fillId="0" borderId="0" xfId="0" applyFill="1" applyBorder="1"/>
    <xf numFmtId="0" fontId="7" fillId="0" borderId="28" xfId="0" applyFont="1" applyFill="1" applyBorder="1" applyAlignment="1" applyProtection="1">
      <alignment horizontal="center"/>
      <protection locked="0"/>
    </xf>
    <xf numFmtId="0" fontId="7" fillId="0" borderId="29" xfId="0" applyFont="1" applyFill="1" applyBorder="1" applyAlignment="1" applyProtection="1">
      <alignment horizontal="center"/>
      <protection locked="0"/>
    </xf>
    <xf numFmtId="0" fontId="7" fillId="0" borderId="30" xfId="0" applyFont="1" applyFill="1" applyBorder="1" applyAlignment="1" applyProtection="1">
      <alignment horizontal="center"/>
      <protection locked="0"/>
    </xf>
    <xf numFmtId="0" fontId="7" fillId="0" borderId="31" xfId="0" applyFont="1" applyFill="1" applyBorder="1" applyAlignment="1" applyProtection="1">
      <alignment horizontal="center"/>
      <protection locked="0"/>
    </xf>
    <xf numFmtId="0" fontId="7" fillId="0" borderId="32" xfId="0" applyFont="1" applyFill="1" applyBorder="1" applyAlignment="1" applyProtection="1">
      <alignment horizontal="center"/>
      <protection locked="0"/>
    </xf>
    <xf numFmtId="0" fontId="7" fillId="0" borderId="33" xfId="0" applyFont="1" applyFill="1" applyBorder="1" applyAlignment="1" applyProtection="1">
      <alignment horizontal="center"/>
      <protection locked="0"/>
    </xf>
    <xf numFmtId="0" fontId="7" fillId="0" borderId="34" xfId="0" applyFont="1" applyFill="1" applyBorder="1" applyAlignment="1" applyProtection="1">
      <alignment horizontal="center"/>
      <protection locked="0"/>
    </xf>
    <xf numFmtId="0" fontId="7" fillId="0" borderId="35" xfId="0" applyFont="1" applyFill="1" applyBorder="1" applyAlignment="1" applyProtection="1">
      <alignment horizontal="center"/>
      <protection locked="0"/>
    </xf>
    <xf numFmtId="0" fontId="7" fillId="0" borderId="36" xfId="0" applyFont="1" applyFill="1" applyBorder="1" applyAlignment="1" applyProtection="1">
      <alignment horizontal="center"/>
      <protection locked="0"/>
    </xf>
    <xf numFmtId="0" fontId="7" fillId="0" borderId="37" xfId="0" applyFont="1" applyFill="1" applyBorder="1" applyAlignment="1"/>
    <xf numFmtId="166" fontId="3" fillId="0" borderId="0" xfId="0" applyNumberFormat="1" applyFont="1" applyFill="1" applyAlignment="1">
      <alignment horizontal="center"/>
    </xf>
    <xf numFmtId="0" fontId="18" fillId="0" borderId="0" xfId="0" applyFont="1" applyFill="1"/>
    <xf numFmtId="0" fontId="0" fillId="12" borderId="0" xfId="0" applyFont="1" applyFill="1"/>
    <xf numFmtId="0" fontId="0" fillId="0" borderId="0" xfId="0" applyAlignment="1">
      <alignment horizontal="center"/>
    </xf>
    <xf numFmtId="166" fontId="3" fillId="12" borderId="0" xfId="0" applyNumberFormat="1" applyFont="1" applyFill="1" applyAlignment="1">
      <alignment horizontal="center"/>
    </xf>
    <xf numFmtId="0" fontId="0" fillId="12" borderId="0" xfId="0" applyFill="1" applyAlignment="1">
      <alignment horizontal="center"/>
    </xf>
    <xf numFmtId="167" fontId="13" fillId="6" borderId="7" xfId="2" applyNumberFormat="1" applyFont="1" applyFill="1" applyBorder="1" applyAlignment="1" applyProtection="1">
      <alignment horizontal="center"/>
      <protection locked="0"/>
    </xf>
    <xf numFmtId="165" fontId="5" fillId="2" borderId="0" xfId="2" applyNumberFormat="1" applyFont="1" applyFill="1" applyAlignment="1" applyProtection="1">
      <alignment horizontal="center"/>
      <protection locked="0"/>
    </xf>
    <xf numFmtId="14" fontId="3" fillId="4" borderId="0" xfId="4" applyNumberFormat="1" applyFont="1" applyFill="1" applyAlignment="1" applyProtection="1">
      <alignment horizontal="center"/>
      <protection locked="0"/>
    </xf>
    <xf numFmtId="0" fontId="7" fillId="17" borderId="45" xfId="0" applyFont="1" applyFill="1" applyBorder="1" applyAlignment="1" applyProtection="1">
      <alignment horizontal="center"/>
    </xf>
    <xf numFmtId="0" fontId="7" fillId="18" borderId="45" xfId="0" applyFont="1" applyFill="1" applyBorder="1" applyAlignment="1" applyProtection="1">
      <alignment horizontal="center"/>
    </xf>
    <xf numFmtId="0" fontId="7" fillId="15" borderId="38" xfId="0" applyFont="1" applyFill="1" applyBorder="1" applyAlignment="1" applyProtection="1"/>
    <xf numFmtId="0" fontId="7" fillId="15" borderId="39" xfId="0" applyFont="1" applyFill="1" applyBorder="1" applyAlignment="1" applyProtection="1"/>
    <xf numFmtId="0" fontId="7" fillId="15" borderId="40" xfId="0" applyFont="1" applyFill="1" applyBorder="1" applyAlignment="1" applyProtection="1"/>
    <xf numFmtId="0" fontId="7" fillId="15" borderId="41" xfId="0" applyFont="1" applyFill="1" applyBorder="1" applyAlignment="1" applyProtection="1"/>
    <xf numFmtId="0" fontId="7" fillId="15" borderId="42" xfId="0" applyFont="1" applyFill="1" applyBorder="1" applyAlignment="1" applyProtection="1">
      <alignment horizontal="left"/>
    </xf>
    <xf numFmtId="0" fontId="7" fillId="16" borderId="40" xfId="0" applyFont="1" applyFill="1" applyBorder="1" applyAlignment="1" applyProtection="1"/>
    <xf numFmtId="0" fontId="7" fillId="16" borderId="41" xfId="0" applyFont="1" applyFill="1" applyBorder="1" applyAlignment="1" applyProtection="1"/>
    <xf numFmtId="0" fontId="7" fillId="16" borderId="43" xfId="0" applyFont="1" applyFill="1" applyBorder="1" applyAlignment="1" applyProtection="1">
      <alignment horizontal="left"/>
    </xf>
    <xf numFmtId="0" fontId="7" fillId="16" borderId="29" xfId="0" applyFont="1" applyFill="1" applyBorder="1" applyAlignment="1" applyProtection="1">
      <alignment horizontal="left"/>
    </xf>
    <xf numFmtId="0" fontId="7" fillId="16" borderId="36" xfId="0" applyFont="1" applyFill="1" applyBorder="1" applyAlignment="1" applyProtection="1">
      <alignment horizontal="left"/>
    </xf>
    <xf numFmtId="0" fontId="7" fillId="16" borderId="31" xfId="0" applyFont="1" applyFill="1" applyBorder="1" applyAlignment="1" applyProtection="1">
      <alignment horizontal="left"/>
    </xf>
    <xf numFmtId="0" fontId="7" fillId="15" borderId="0" xfId="0" applyFont="1" applyFill="1" applyBorder="1" applyAlignment="1" applyProtection="1">
      <alignment horizontal="left"/>
    </xf>
    <xf numFmtId="0" fontId="19" fillId="0" borderId="0" xfId="0" applyFont="1" applyAlignment="1"/>
    <xf numFmtId="1" fontId="3" fillId="0" borderId="0" xfId="0" applyNumberFormat="1" applyFont="1"/>
    <xf numFmtId="1" fontId="12" fillId="0" borderId="0" xfId="0" applyNumberFormat="1" applyFont="1"/>
    <xf numFmtId="1" fontId="12" fillId="0" borderId="0" xfId="0" applyNumberFormat="1" applyFont="1" applyAlignment="1">
      <alignment horizontal="center"/>
    </xf>
    <xf numFmtId="1" fontId="3" fillId="10" borderId="43" xfId="0" applyNumberFormat="1" applyFont="1" applyFill="1" applyBorder="1" applyAlignment="1">
      <alignment horizontal="left"/>
    </xf>
    <xf numFmtId="166" fontId="3" fillId="0" borderId="0" xfId="0" applyNumberFormat="1" applyFont="1" applyAlignment="1">
      <alignment horizontal="center"/>
    </xf>
    <xf numFmtId="0" fontId="8" fillId="0" borderId="0" xfId="2" applyFont="1" applyFill="1" applyBorder="1" applyAlignment="1">
      <alignment horizontal="center"/>
    </xf>
    <xf numFmtId="0" fontId="3" fillId="0" borderId="0" xfId="2" applyFont="1" applyFill="1" applyBorder="1" applyAlignment="1">
      <alignment horizontal="center"/>
    </xf>
    <xf numFmtId="0" fontId="8" fillId="0" borderId="0" xfId="0" applyFont="1"/>
    <xf numFmtId="1" fontId="3" fillId="12" borderId="43" xfId="0" applyNumberFormat="1" applyFont="1" applyFill="1" applyBorder="1" applyAlignment="1">
      <alignment horizontal="left"/>
    </xf>
    <xf numFmtId="1" fontId="3" fillId="0" borderId="0" xfId="0" applyNumberFormat="1" applyFont="1" applyFill="1"/>
    <xf numFmtId="1" fontId="12" fillId="10" borderId="43" xfId="0" applyNumberFormat="1" applyFont="1" applyFill="1" applyBorder="1"/>
    <xf numFmtId="3" fontId="20" fillId="0" borderId="0" xfId="0" applyNumberFormat="1" applyFont="1" applyAlignment="1">
      <alignment horizontal="right"/>
    </xf>
    <xf numFmtId="3" fontId="12" fillId="10" borderId="43" xfId="0" applyNumberFormat="1" applyFont="1" applyFill="1" applyBorder="1" applyAlignment="1">
      <alignment horizontal="left"/>
    </xf>
    <xf numFmtId="3" fontId="3" fillId="0" borderId="0" xfId="0" applyNumberFormat="1" applyFont="1" applyFill="1"/>
    <xf numFmtId="1" fontId="12" fillId="10" borderId="43" xfId="0" applyNumberFormat="1" applyFont="1" applyFill="1" applyBorder="1" applyAlignment="1">
      <alignment horizontal="left"/>
    </xf>
    <xf numFmtId="14" fontId="3" fillId="10" borderId="43" xfId="0" applyNumberFormat="1" applyFont="1" applyFill="1" applyBorder="1" applyAlignment="1" applyProtection="1">
      <alignment horizontal="center"/>
      <protection locked="0"/>
    </xf>
    <xf numFmtId="0" fontId="0" fillId="0" borderId="0" xfId="0" applyFill="1" applyProtection="1">
      <protection locked="0"/>
    </xf>
    <xf numFmtId="0" fontId="8" fillId="0" borderId="0" xfId="2" applyFont="1" applyFill="1" applyBorder="1" applyAlignment="1" applyProtection="1">
      <alignment horizontal="center"/>
      <protection locked="0"/>
    </xf>
    <xf numFmtId="0" fontId="21" fillId="0" borderId="23" xfId="0" applyFont="1" applyBorder="1" applyAlignment="1">
      <alignment horizontal="center"/>
    </xf>
    <xf numFmtId="17" fontId="21" fillId="0" borderId="16" xfId="0" applyNumberFormat="1" applyFont="1" applyBorder="1" applyAlignment="1">
      <alignment horizontal="center"/>
    </xf>
    <xf numFmtId="17" fontId="21" fillId="0" borderId="46" xfId="0" applyNumberFormat="1" applyFont="1" applyBorder="1" applyAlignment="1">
      <alignment horizontal="center"/>
    </xf>
    <xf numFmtId="168" fontId="0" fillId="0" borderId="0" xfId="0" applyNumberFormat="1"/>
    <xf numFmtId="21" fontId="0" fillId="0" borderId="0" xfId="0" applyNumberFormat="1" applyAlignment="1">
      <alignment horizontal="center"/>
    </xf>
    <xf numFmtId="21" fontId="0" fillId="0" borderId="0" xfId="0" applyNumberFormat="1"/>
    <xf numFmtId="17" fontId="21" fillId="0" borderId="23" xfId="0" applyNumberFormat="1" applyFont="1" applyBorder="1" applyAlignment="1">
      <alignment horizontal="center"/>
    </xf>
    <xf numFmtId="21" fontId="10" fillId="0" borderId="0" xfId="0" applyNumberFormat="1" applyFont="1" applyAlignment="1">
      <alignment horizontal="center"/>
    </xf>
    <xf numFmtId="21" fontId="11" fillId="0" borderId="0" xfId="0" applyNumberFormat="1" applyFont="1" applyAlignment="1">
      <alignment horizontal="center"/>
    </xf>
    <xf numFmtId="0" fontId="21" fillId="0" borderId="22" xfId="0" applyFont="1" applyBorder="1" applyAlignment="1">
      <alignment horizontal="center"/>
    </xf>
    <xf numFmtId="21" fontId="0" fillId="0" borderId="2" xfId="0" applyNumberFormat="1" applyBorder="1" applyAlignment="1">
      <alignment horizontal="center"/>
    </xf>
    <xf numFmtId="0" fontId="0" fillId="0" borderId="47" xfId="0" applyBorder="1"/>
    <xf numFmtId="21" fontId="0" fillId="0" borderId="48" xfId="0" applyNumberFormat="1" applyBorder="1" applyAlignment="1">
      <alignment horizontal="center"/>
    </xf>
    <xf numFmtId="21" fontId="0" fillId="0" borderId="2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0" fillId="0" borderId="2" xfId="0" applyFont="1" applyBorder="1" applyAlignment="1">
      <alignment horizontal="center"/>
    </xf>
    <xf numFmtId="0" fontId="21" fillId="0" borderId="48" xfId="0" applyFont="1" applyBorder="1" applyAlignment="1">
      <alignment horizontal="center"/>
    </xf>
    <xf numFmtId="0" fontId="0" fillId="0" borderId="49" xfId="0" applyBorder="1"/>
    <xf numFmtId="0" fontId="10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5" fillId="37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5" fillId="12" borderId="60" xfId="2" applyFont="1" applyFill="1" applyBorder="1" applyAlignment="1">
      <alignment horizontal="center"/>
    </xf>
    <xf numFmtId="0" fontId="5" fillId="12" borderId="11" xfId="2" applyFont="1" applyFill="1" applyBorder="1" applyAlignment="1">
      <alignment horizontal="center"/>
    </xf>
    <xf numFmtId="2" fontId="5" fillId="12" borderId="12" xfId="2" applyNumberFormat="1" applyFont="1" applyFill="1" applyBorder="1" applyAlignment="1">
      <alignment horizontal="center"/>
    </xf>
    <xf numFmtId="167" fontId="13" fillId="6" borderId="8" xfId="2" applyNumberFormat="1" applyFont="1" applyFill="1" applyBorder="1" applyAlignment="1" applyProtection="1">
      <alignment horizontal="center"/>
      <protection locked="0"/>
    </xf>
    <xf numFmtId="0" fontId="14" fillId="12" borderId="10" xfId="2" applyFont="1" applyFill="1" applyBorder="1" applyAlignment="1">
      <alignment horizontal="center"/>
    </xf>
    <xf numFmtId="3" fontId="5" fillId="12" borderId="12" xfId="2" applyNumberFormat="1" applyFont="1" applyFill="1" applyBorder="1" applyAlignment="1">
      <alignment horizontal="center"/>
    </xf>
    <xf numFmtId="0" fontId="0" fillId="0" borderId="0" xfId="0"/>
    <xf numFmtId="0" fontId="5" fillId="39" borderId="0" xfId="0" applyFont="1" applyFill="1" applyBorder="1" applyAlignment="1">
      <alignment horizontal="center"/>
    </xf>
    <xf numFmtId="0" fontId="5" fillId="39" borderId="2" xfId="0" applyFont="1" applyFill="1" applyBorder="1" applyAlignment="1">
      <alignment horizontal="center"/>
    </xf>
    <xf numFmtId="0" fontId="40" fillId="0" borderId="0" xfId="0" applyFont="1"/>
    <xf numFmtId="21" fontId="22" fillId="0" borderId="2" xfId="0" applyNumberFormat="1" applyFont="1" applyBorder="1" applyAlignment="1">
      <alignment horizontal="center"/>
    </xf>
    <xf numFmtId="168" fontId="22" fillId="0" borderId="2" xfId="1" applyNumberFormat="1" applyFont="1" applyBorder="1" applyAlignment="1">
      <alignment horizontal="center"/>
    </xf>
    <xf numFmtId="3" fontId="2" fillId="0" borderId="21" xfId="0" applyNumberFormat="1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168" fontId="22" fillId="0" borderId="21" xfId="1" applyNumberFormat="1" applyFont="1" applyBorder="1" applyAlignment="1">
      <alignment horizontal="center"/>
    </xf>
    <xf numFmtId="0" fontId="39" fillId="0" borderId="0" xfId="0" applyFont="1" applyFill="1" applyBorder="1" applyAlignment="1">
      <alignment vertical="center" wrapText="1"/>
    </xf>
    <xf numFmtId="0" fontId="0" fillId="0" borderId="0" xfId="0" applyFill="1" applyBorder="1" applyAlignment="1">
      <alignment vertical="center" wrapText="1"/>
    </xf>
    <xf numFmtId="0" fontId="3" fillId="38" borderId="2" xfId="6" applyFill="1" applyBorder="1" applyAlignment="1" applyProtection="1">
      <alignment horizontal="center"/>
      <protection locked="0"/>
    </xf>
    <xf numFmtId="0" fontId="3" fillId="40" borderId="2" xfId="6" applyFill="1" applyBorder="1" applyAlignment="1" applyProtection="1">
      <alignment horizontal="center"/>
      <protection locked="0"/>
    </xf>
    <xf numFmtId="0" fontId="7" fillId="41" borderId="45" xfId="0" applyFont="1" applyFill="1" applyBorder="1" applyAlignment="1" applyProtection="1">
      <alignment horizontal="center"/>
    </xf>
    <xf numFmtId="0" fontId="5" fillId="9" borderId="2" xfId="0" applyFont="1" applyFill="1" applyBorder="1" applyAlignment="1">
      <alignment horizontal="center"/>
    </xf>
    <xf numFmtId="3" fontId="15" fillId="0" borderId="2" xfId="0" applyNumberFormat="1" applyFont="1" applyBorder="1" applyAlignment="1">
      <alignment horizontal="center"/>
    </xf>
    <xf numFmtId="21" fontId="0" fillId="0" borderId="0" xfId="0" applyNumberFormat="1" applyFill="1" applyBorder="1" applyAlignment="1">
      <alignment horizontal="center"/>
    </xf>
    <xf numFmtId="21" fontId="0" fillId="0" borderId="0" xfId="0" applyNumberFormat="1" applyFill="1" applyBorder="1"/>
    <xf numFmtId="21" fontId="10" fillId="0" borderId="0" xfId="0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2" xfId="0" applyBorder="1" applyAlignment="1">
      <alignment horizontal="center"/>
    </xf>
    <xf numFmtId="21" fontId="0" fillId="0" borderId="0" xfId="0" applyNumberFormat="1" applyFill="1" applyBorder="1" applyAlignment="1">
      <alignment horizontal="center" vertical="center" wrapText="1"/>
    </xf>
    <xf numFmtId="0" fontId="0" fillId="0" borderId="0" xfId="0" applyFill="1" applyAlignment="1">
      <alignment vertical="center" wrapText="1"/>
    </xf>
    <xf numFmtId="0" fontId="5" fillId="37" borderId="2" xfId="0" applyFont="1" applyFill="1" applyBorder="1" applyAlignment="1">
      <alignment horizontal="center"/>
    </xf>
    <xf numFmtId="0" fontId="5" fillId="12" borderId="0" xfId="2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" fillId="12" borderId="44" xfId="2" applyFont="1" applyFill="1" applyBorder="1" applyAlignment="1">
      <alignment horizontal="center"/>
    </xf>
    <xf numFmtId="0" fontId="5" fillId="12" borderId="64" xfId="2" applyFont="1" applyFill="1" applyBorder="1" applyAlignment="1" applyProtection="1">
      <alignment horizontal="center"/>
    </xf>
    <xf numFmtId="0" fontId="5" fillId="42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5" borderId="68" xfId="0" applyFont="1" applyFill="1" applyBorder="1" applyAlignment="1" applyProtection="1"/>
    <xf numFmtId="0" fontId="3" fillId="43" borderId="2" xfId="6" applyFill="1" applyBorder="1" applyAlignment="1" applyProtection="1">
      <alignment horizontal="center"/>
      <protection locked="0"/>
    </xf>
    <xf numFmtId="0" fontId="13" fillId="6" borderId="5" xfId="2" applyFont="1" applyFill="1" applyBorder="1" applyAlignment="1">
      <alignment horizontal="center"/>
    </xf>
    <xf numFmtId="0" fontId="43" fillId="45" borderId="15" xfId="0" applyFont="1" applyFill="1" applyBorder="1" applyAlignment="1">
      <alignment horizontal="center" vertical="center"/>
    </xf>
    <xf numFmtId="0" fontId="43" fillId="45" borderId="2" xfId="0" applyFont="1" applyFill="1" applyBorder="1" applyAlignment="1">
      <alignment horizontal="center" vertical="center"/>
    </xf>
    <xf numFmtId="14" fontId="0" fillId="0" borderId="2" xfId="0" applyNumberFormat="1" applyBorder="1"/>
    <xf numFmtId="0" fontId="44" fillId="0" borderId="2" xfId="0" applyFont="1" applyBorder="1" applyAlignment="1">
      <alignment horizontal="center" vertical="center"/>
    </xf>
    <xf numFmtId="166" fontId="0" fillId="0" borderId="0" xfId="0" applyNumberFormat="1"/>
    <xf numFmtId="166" fontId="0" fillId="0" borderId="0" xfId="0" applyNumberFormat="1" applyBorder="1"/>
    <xf numFmtId="0" fontId="41" fillId="0" borderId="2" xfId="0" applyFont="1" applyBorder="1" applyAlignment="1">
      <alignment horizontal="center"/>
    </xf>
    <xf numFmtId="3" fontId="5" fillId="0" borderId="0" xfId="0" applyNumberFormat="1" applyFont="1" applyAlignment="1">
      <alignment horizontal="center"/>
    </xf>
    <xf numFmtId="166" fontId="0" fillId="0" borderId="2" xfId="0" applyNumberFormat="1" applyBorder="1" applyAlignment="1">
      <alignment horizontal="center"/>
    </xf>
    <xf numFmtId="0" fontId="0" fillId="0" borderId="2" xfId="0" applyNumberFormat="1" applyBorder="1" applyAlignment="1">
      <alignment horizontal="center"/>
    </xf>
    <xf numFmtId="14" fontId="39" fillId="0" borderId="2" xfId="0" applyNumberFormat="1" applyFont="1" applyBorder="1" applyAlignment="1">
      <alignment horizontal="center" vertical="center"/>
    </xf>
    <xf numFmtId="3" fontId="39" fillId="0" borderId="2" xfId="0" applyNumberFormat="1" applyFont="1" applyBorder="1" applyAlignment="1">
      <alignment horizontal="center" vertical="center"/>
    </xf>
    <xf numFmtId="166" fontId="39" fillId="0" borderId="2" xfId="0" applyNumberFormat="1" applyFont="1" applyBorder="1" applyAlignment="1">
      <alignment horizontal="center" vertical="center"/>
    </xf>
    <xf numFmtId="166" fontId="0" fillId="0" borderId="2" xfId="0" applyNumberFormat="1" applyFill="1" applyBorder="1" applyAlignment="1">
      <alignment horizontal="center"/>
    </xf>
    <xf numFmtId="3" fontId="0" fillId="0" borderId="0" xfId="0" applyNumberFormat="1"/>
    <xf numFmtId="0" fontId="7" fillId="46" borderId="45" xfId="0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41" fillId="0" borderId="2" xfId="0" applyFont="1" applyBorder="1" applyAlignment="1">
      <alignment horizontal="center" vertical="center" wrapText="1"/>
    </xf>
    <xf numFmtId="0" fontId="0" fillId="0" borderId="25" xfId="0" applyBorder="1" applyAlignment="1">
      <alignment horizontal="center"/>
    </xf>
    <xf numFmtId="0" fontId="16" fillId="14" borderId="2" xfId="0" applyFont="1" applyFill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3" fontId="5" fillId="12" borderId="47" xfId="2" applyNumberFormat="1" applyFont="1" applyFill="1" applyBorder="1" applyAlignment="1">
      <alignment horizontal="center"/>
    </xf>
    <xf numFmtId="0" fontId="0" fillId="49" borderId="0" xfId="0" applyFill="1"/>
    <xf numFmtId="0" fontId="0" fillId="43" borderId="0" xfId="0" applyFill="1" applyAlignment="1">
      <alignment horizontal="center"/>
    </xf>
    <xf numFmtId="0" fontId="0" fillId="0" borderId="70" xfId="0" applyBorder="1" applyAlignment="1">
      <alignment horizontal="center"/>
    </xf>
    <xf numFmtId="0" fontId="0" fillId="0" borderId="74" xfId="0" applyBorder="1"/>
    <xf numFmtId="0" fontId="0" fillId="43" borderId="72" xfId="0" applyFill="1" applyBorder="1" applyAlignment="1">
      <alignment horizontal="center"/>
    </xf>
    <xf numFmtId="0" fontId="0" fillId="48" borderId="71" xfId="0" applyFill="1" applyBorder="1" applyAlignment="1">
      <alignment horizontal="center"/>
    </xf>
    <xf numFmtId="0" fontId="0" fillId="48" borderId="72" xfId="0" applyFill="1" applyBorder="1"/>
    <xf numFmtId="0" fontId="0" fillId="48" borderId="71" xfId="0" applyFill="1" applyBorder="1"/>
    <xf numFmtId="0" fontId="0" fillId="48" borderId="0" xfId="0" applyFill="1"/>
    <xf numFmtId="0" fontId="0" fillId="48" borderId="72" xfId="0" applyFill="1" applyBorder="1" applyAlignment="1">
      <alignment horizontal="center"/>
    </xf>
    <xf numFmtId="0" fontId="0" fillId="48" borderId="73" xfId="0" applyFill="1" applyBorder="1" applyAlignment="1">
      <alignment horizontal="center"/>
    </xf>
    <xf numFmtId="0" fontId="0" fillId="49" borderId="0" xfId="0" applyFill="1" applyAlignment="1">
      <alignment vertical="center" wrapText="1"/>
    </xf>
    <xf numFmtId="3" fontId="5" fillId="50" borderId="2" xfId="2" applyNumberFormat="1" applyFont="1" applyFill="1" applyBorder="1" applyAlignment="1">
      <alignment horizontal="center"/>
    </xf>
    <xf numFmtId="0" fontId="5" fillId="51" borderId="24" xfId="2" applyFont="1" applyFill="1" applyBorder="1" applyAlignment="1">
      <alignment horizontal="center" vertical="center" wrapText="1"/>
    </xf>
    <xf numFmtId="0" fontId="5" fillId="51" borderId="25" xfId="2" applyFont="1" applyFill="1" applyBorder="1" applyAlignment="1">
      <alignment horizontal="center" vertical="center" wrapText="1"/>
    </xf>
    <xf numFmtId="0" fontId="0" fillId="52" borderId="25" xfId="0" applyFont="1" applyFill="1" applyBorder="1" applyAlignment="1">
      <alignment horizontal="center" vertical="center"/>
    </xf>
    <xf numFmtId="0" fontId="0" fillId="52" borderId="26" xfId="0" applyFont="1" applyFill="1" applyBorder="1" applyAlignment="1">
      <alignment horizontal="center" vertical="center"/>
    </xf>
    <xf numFmtId="2" fontId="0" fillId="0" borderId="0" xfId="0" applyNumberFormat="1"/>
    <xf numFmtId="3" fontId="0" fillId="0" borderId="0" xfId="0" applyNumberFormat="1" applyFont="1" applyAlignment="1">
      <alignment horizontal="center"/>
    </xf>
    <xf numFmtId="0" fontId="14" fillId="12" borderId="8" xfId="2" applyFont="1" applyFill="1" applyBorder="1" applyAlignment="1">
      <alignment horizontal="center" vertical="center" wrapText="1"/>
    </xf>
    <xf numFmtId="0" fontId="14" fillId="12" borderId="8" xfId="2" applyFont="1" applyFill="1" applyBorder="1" applyAlignment="1">
      <alignment horizontal="center" wrapText="1"/>
    </xf>
    <xf numFmtId="0" fontId="14" fillId="0" borderId="0" xfId="2" applyFont="1" applyFill="1" applyAlignment="1">
      <alignment vertical="center" wrapText="1"/>
    </xf>
    <xf numFmtId="0" fontId="0" fillId="0" borderId="72" xfId="0" applyFill="1" applyBorder="1" applyAlignment="1">
      <alignment horizontal="center"/>
    </xf>
    <xf numFmtId="0" fontId="0" fillId="0" borderId="74" xfId="0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72" xfId="0" applyBorder="1" applyAlignment="1">
      <alignment horizontal="center"/>
    </xf>
    <xf numFmtId="0" fontId="0" fillId="48" borderId="0" xfId="0" applyFill="1" applyBorder="1"/>
    <xf numFmtId="0" fontId="0" fillId="38" borderId="0" xfId="0" applyFill="1"/>
    <xf numFmtId="0" fontId="0" fillId="53" borderId="0" xfId="0" applyFill="1"/>
    <xf numFmtId="1" fontId="3" fillId="12" borderId="0" xfId="0" applyNumberFormat="1" applyFont="1" applyFill="1" applyBorder="1" applyAlignment="1">
      <alignment horizontal="left"/>
    </xf>
    <xf numFmtId="1" fontId="3" fillId="54" borderId="43" xfId="0" applyNumberFormat="1" applyFont="1" applyFill="1" applyBorder="1" applyAlignment="1">
      <alignment horizontal="left"/>
    </xf>
    <xf numFmtId="0" fontId="4" fillId="0" borderId="0" xfId="2" applyFont="1" applyFill="1" applyAlignment="1"/>
    <xf numFmtId="0" fontId="5" fillId="51" borderId="61" xfId="2" applyFont="1" applyFill="1" applyBorder="1" applyAlignment="1">
      <alignment horizontal="center" vertical="center" wrapText="1"/>
    </xf>
    <xf numFmtId="0" fontId="5" fillId="51" borderId="2" xfId="2" applyFont="1" applyFill="1" applyBorder="1" applyAlignment="1">
      <alignment vertical="center" wrapText="1"/>
    </xf>
    <xf numFmtId="0" fontId="0" fillId="52" borderId="2" xfId="0" applyFill="1" applyBorder="1" applyAlignment="1">
      <alignment horizontal="center" vertical="center" wrapText="1"/>
    </xf>
    <xf numFmtId="1" fontId="3" fillId="12" borderId="2" xfId="0" applyNumberFormat="1" applyFont="1" applyFill="1" applyBorder="1" applyAlignment="1">
      <alignment horizontal="left"/>
    </xf>
    <xf numFmtId="0" fontId="0" fillId="0" borderId="71" xfId="0" applyFill="1" applyBorder="1" applyAlignment="1">
      <alignment horizontal="center"/>
    </xf>
    <xf numFmtId="0" fontId="5" fillId="9" borderId="0" xfId="0" applyFont="1" applyFill="1" applyBorder="1" applyAlignment="1">
      <alignment horizontal="center"/>
    </xf>
    <xf numFmtId="0" fontId="0" fillId="55" borderId="0" xfId="0" applyFill="1"/>
    <xf numFmtId="0" fontId="5" fillId="39" borderId="66" xfId="0" applyFont="1" applyFill="1" applyBorder="1" applyAlignment="1">
      <alignment horizontal="center"/>
    </xf>
    <xf numFmtId="0" fontId="5" fillId="39" borderId="17" xfId="0" applyFont="1" applyFill="1" applyBorder="1" applyAlignment="1">
      <alignment horizontal="center"/>
    </xf>
    <xf numFmtId="0" fontId="5" fillId="39" borderId="65" xfId="0" applyFont="1" applyFill="1" applyBorder="1" applyAlignment="1">
      <alignment horizontal="center"/>
    </xf>
    <xf numFmtId="0" fontId="5" fillId="39" borderId="9" xfId="0" applyFont="1" applyFill="1" applyBorder="1" applyAlignment="1">
      <alignment horizontal="center"/>
    </xf>
    <xf numFmtId="0" fontId="5" fillId="39" borderId="67" xfId="0" applyFont="1" applyFill="1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3" fontId="20" fillId="57" borderId="0" xfId="0" applyNumberFormat="1" applyFont="1" applyFill="1" applyAlignment="1">
      <alignment horizontal="right"/>
    </xf>
    <xf numFmtId="0" fontId="0" fillId="52" borderId="77" xfId="0" applyFont="1" applyFill="1" applyBorder="1" applyAlignment="1">
      <alignment horizontal="center" vertical="center"/>
    </xf>
    <xf numFmtId="0" fontId="0" fillId="48" borderId="0" xfId="0" applyFill="1" applyBorder="1" applyAlignment="1">
      <alignment horizontal="center"/>
    </xf>
    <xf numFmtId="0" fontId="0" fillId="0" borderId="72" xfId="0" applyBorder="1"/>
    <xf numFmtId="0" fontId="13" fillId="6" borderId="5" xfId="2" applyFont="1" applyFill="1" applyBorder="1" applyAlignment="1">
      <alignment horizontal="center"/>
    </xf>
    <xf numFmtId="3" fontId="38" fillId="53" borderId="0" xfId="0" applyNumberFormat="1" applyFont="1" applyFill="1"/>
    <xf numFmtId="0" fontId="48" fillId="56" borderId="2" xfId="0" applyFont="1" applyFill="1" applyBorder="1"/>
    <xf numFmtId="0" fontId="0" fillId="0" borderId="0" xfId="0" applyAlignment="1">
      <alignment horizontal="center"/>
    </xf>
    <xf numFmtId="2" fontId="3" fillId="0" borderId="0" xfId="0" applyNumberFormat="1" applyFont="1" applyAlignment="1">
      <alignment horizontal="center"/>
    </xf>
    <xf numFmtId="0" fontId="0" fillId="52" borderId="61" xfId="0" applyFont="1" applyFill="1" applyBorder="1" applyAlignment="1">
      <alignment horizontal="center" vertical="center"/>
    </xf>
    <xf numFmtId="0" fontId="0" fillId="52" borderId="2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3" fontId="0" fillId="0" borderId="0" xfId="0" applyNumberFormat="1" applyFill="1"/>
    <xf numFmtId="0" fontId="0" fillId="0" borderId="70" xfId="0" applyFill="1" applyBorder="1" applyAlignment="1">
      <alignment horizontal="center"/>
    </xf>
    <xf numFmtId="0" fontId="3" fillId="0" borderId="0" xfId="4" applyFont="1" applyBorder="1" applyAlignment="1">
      <alignment horizontal="center"/>
    </xf>
    <xf numFmtId="3" fontId="0" fillId="0" borderId="0" xfId="0" applyNumberFormat="1" applyBorder="1" applyAlignment="1" applyProtection="1">
      <alignment horizontal="center" wrapText="1"/>
    </xf>
    <xf numFmtId="0" fontId="0" fillId="0" borderId="0" xfId="0" applyFill="1" applyAlignment="1">
      <alignment horizontal="center" vertical="center" wrapText="1"/>
    </xf>
    <xf numFmtId="4" fontId="38" fillId="53" borderId="0" xfId="0" applyNumberFormat="1" applyFont="1" applyFill="1"/>
    <xf numFmtId="0" fontId="0" fillId="0" borderId="75" xfId="0" applyBorder="1" applyAlignment="1">
      <alignment horizontal="center"/>
    </xf>
    <xf numFmtId="0" fontId="0" fillId="0" borderId="0" xfId="0" applyBorder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49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49" fillId="0" borderId="0" xfId="2" applyFont="1" applyFill="1" applyAlignment="1">
      <alignment vertical="center" wrapText="1"/>
    </xf>
    <xf numFmtId="0" fontId="5" fillId="43" borderId="2" xfId="0" applyFont="1" applyFill="1" applyBorder="1" applyAlignment="1">
      <alignment horizontal="center"/>
    </xf>
    <xf numFmtId="0" fontId="0" fillId="0" borderId="0" xfId="0" applyAlignment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6" borderId="78" xfId="0" applyFont="1" applyFill="1" applyBorder="1" applyAlignment="1" applyProtection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1" fontId="3" fillId="58" borderId="43" xfId="0" applyNumberFormat="1" applyFont="1" applyFill="1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0" fillId="0" borderId="0" xfId="2" applyFont="1" applyFill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3" fontId="15" fillId="0" borderId="2" xfId="0" applyNumberFormat="1" applyFont="1" applyFill="1" applyBorder="1" applyAlignment="1">
      <alignment horizontal="center" vertical="center"/>
    </xf>
    <xf numFmtId="0" fontId="0" fillId="53" borderId="72" xfId="0" applyFill="1" applyBorder="1" applyAlignment="1">
      <alignment horizontal="center"/>
    </xf>
    <xf numFmtId="0" fontId="3" fillId="43" borderId="2" xfId="6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2" fillId="56" borderId="0" xfId="2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3" fontId="0" fillId="0" borderId="1" xfId="0" applyNumberFormat="1" applyBorder="1"/>
    <xf numFmtId="3" fontId="0" fillId="0" borderId="61" xfId="0" applyNumberFormat="1" applyBorder="1"/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5" fillId="39" borderId="0" xfId="0" applyFont="1" applyFill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169" fontId="0" fillId="0" borderId="0" xfId="0" applyNumberFormat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3" fillId="43" borderId="1" xfId="6" applyFill="1" applyBorder="1" applyAlignment="1" applyProtection="1">
      <alignment horizontal="center"/>
      <protection locked="0"/>
    </xf>
    <xf numFmtId="0" fontId="51" fillId="43" borderId="2" xfId="0" applyFont="1" applyFill="1" applyBorder="1" applyAlignment="1">
      <alignment horizontal="center"/>
    </xf>
    <xf numFmtId="0" fontId="7" fillId="0" borderId="0" xfId="0" applyFont="1" applyFill="1" applyBorder="1" applyAlignment="1" applyProtection="1">
      <alignment horizontal="center"/>
      <protection locked="0"/>
    </xf>
    <xf numFmtId="0" fontId="3" fillId="40" borderId="2" xfId="6" applyFont="1" applyFill="1" applyBorder="1" applyAlignment="1" applyProtection="1">
      <alignment horizontal="center"/>
      <protection locked="0"/>
    </xf>
    <xf numFmtId="1" fontId="3" fillId="12" borderId="36" xfId="0" applyNumberFormat="1" applyFont="1" applyFill="1" applyBorder="1" applyAlignment="1">
      <alignment horizontal="left"/>
    </xf>
    <xf numFmtId="0" fontId="7" fillId="0" borderId="0" xfId="0" applyFont="1" applyFill="1" applyBorder="1" applyAlignment="1"/>
    <xf numFmtId="0" fontId="13" fillId="6" borderId="5" xfId="2" applyFont="1" applyFill="1" applyBorder="1" applyAlignment="1">
      <alignment horizontal="center"/>
    </xf>
    <xf numFmtId="0" fontId="3" fillId="38" borderId="2" xfId="6" applyFont="1" applyFill="1" applyBorder="1" applyAlignment="1" applyProtection="1">
      <alignment horizontal="center"/>
      <protection locked="0"/>
    </xf>
    <xf numFmtId="0" fontId="3" fillId="40" borderId="1" xfId="6" applyFill="1" applyBorder="1" applyAlignment="1" applyProtection="1">
      <alignment horizontal="center"/>
      <protection locked="0"/>
    </xf>
    <xf numFmtId="3" fontId="53" fillId="0" borderId="2" xfId="0" applyNumberFormat="1" applyFont="1" applyBorder="1" applyAlignment="1">
      <alignment horizontal="center" vertical="center" wrapText="1"/>
    </xf>
    <xf numFmtId="0" fontId="3" fillId="43" borderId="1" xfId="6" applyFont="1" applyFill="1" applyBorder="1" applyAlignment="1" applyProtection="1">
      <alignment horizontal="center"/>
      <protection locked="0"/>
    </xf>
    <xf numFmtId="3" fontId="0" fillId="53" borderId="2" xfId="0" applyNumberFormat="1" applyFill="1" applyBorder="1" applyAlignment="1">
      <alignment horizontal="center"/>
    </xf>
    <xf numFmtId="166" fontId="0" fillId="53" borderId="2" xfId="0" applyNumberFormat="1" applyFill="1" applyBorder="1" applyAlignment="1">
      <alignment horizontal="center"/>
    </xf>
    <xf numFmtId="0" fontId="0" fillId="53" borderId="2" xfId="0" applyNumberFormat="1" applyFill="1" applyBorder="1" applyAlignment="1">
      <alignment horizontal="center"/>
    </xf>
    <xf numFmtId="0" fontId="1" fillId="53" borderId="2" xfId="0" applyFont="1" applyFill="1" applyBorder="1" applyAlignment="1">
      <alignment horizontal="center" vertical="center"/>
    </xf>
    <xf numFmtId="0" fontId="41" fillId="53" borderId="2" xfId="0" applyFont="1" applyFill="1" applyBorder="1" applyAlignment="1">
      <alignment horizontal="center"/>
    </xf>
    <xf numFmtId="0" fontId="41" fillId="53" borderId="2" xfId="0" applyFont="1" applyFill="1" applyBorder="1" applyAlignment="1">
      <alignment horizontal="center" wrapText="1"/>
    </xf>
    <xf numFmtId="0" fontId="3" fillId="38" borderId="1" xfId="6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5" fillId="37" borderId="66" xfId="0" applyFont="1" applyFill="1" applyBorder="1" applyAlignment="1">
      <alignment horizontal="center"/>
    </xf>
    <xf numFmtId="0" fontId="5" fillId="37" borderId="17" xfId="0" applyFont="1" applyFill="1" applyBorder="1" applyAlignment="1">
      <alignment horizontal="center"/>
    </xf>
    <xf numFmtId="0" fontId="5" fillId="37" borderId="65" xfId="0" applyFont="1" applyFill="1" applyBorder="1" applyAlignment="1">
      <alignment horizontal="center"/>
    </xf>
    <xf numFmtId="0" fontId="5" fillId="37" borderId="9" xfId="0" applyFont="1" applyFill="1" applyBorder="1" applyAlignment="1">
      <alignment horizontal="center"/>
    </xf>
    <xf numFmtId="0" fontId="5" fillId="37" borderId="67" xfId="0" applyFont="1" applyFill="1" applyBorder="1" applyAlignment="1">
      <alignment horizontal="center"/>
    </xf>
    <xf numFmtId="0" fontId="0" fillId="0" borderId="0" xfId="0" applyAlignment="1">
      <alignment horizontal="center"/>
    </xf>
    <xf numFmtId="3" fontId="53" fillId="0" borderId="0" xfId="0" applyNumberFormat="1" applyFont="1" applyBorder="1" applyAlignment="1">
      <alignment horizontal="center" vertical="center" wrapText="1"/>
    </xf>
    <xf numFmtId="3" fontId="3" fillId="38" borderId="2" xfId="4" applyNumberFormat="1" applyFill="1" applyBorder="1" applyAlignment="1">
      <alignment horizontal="center" wrapText="1"/>
    </xf>
    <xf numFmtId="3" fontId="0" fillId="0" borderId="2" xfId="0" applyNumberFormat="1" applyBorder="1" applyAlignment="1">
      <alignment horizontal="center" vertical="center" wrapText="1"/>
    </xf>
    <xf numFmtId="3" fontId="7" fillId="38" borderId="2" xfId="4" applyNumberFormat="1" applyFont="1" applyFill="1" applyBorder="1" applyAlignment="1">
      <alignment horizontal="center" wrapText="1"/>
    </xf>
    <xf numFmtId="3" fontId="53" fillId="0" borderId="85" xfId="0" applyNumberFormat="1" applyFont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5" fillId="9" borderId="66" xfId="0" applyFont="1" applyFill="1" applyBorder="1" applyAlignment="1">
      <alignment horizontal="center"/>
    </xf>
    <xf numFmtId="0" fontId="5" fillId="9" borderId="17" xfId="0" applyFont="1" applyFill="1" applyBorder="1" applyAlignment="1">
      <alignment horizontal="center"/>
    </xf>
    <xf numFmtId="0" fontId="5" fillId="9" borderId="65" xfId="0" applyFont="1" applyFill="1" applyBorder="1" applyAlignment="1">
      <alignment horizontal="center"/>
    </xf>
    <xf numFmtId="0" fontId="5" fillId="9" borderId="9" xfId="0" applyFont="1" applyFill="1" applyBorder="1" applyAlignment="1">
      <alignment horizontal="center"/>
    </xf>
    <xf numFmtId="0" fontId="5" fillId="9" borderId="67" xfId="0" applyFont="1" applyFill="1" applyBorder="1" applyAlignment="1">
      <alignment horizontal="center"/>
    </xf>
    <xf numFmtId="0" fontId="5" fillId="59" borderId="2" xfId="0" applyFont="1" applyFill="1" applyBorder="1" applyAlignment="1">
      <alignment horizontal="center"/>
    </xf>
    <xf numFmtId="3" fontId="3" fillId="38" borderId="1" xfId="4" applyNumberFormat="1" applyFill="1" applyBorder="1" applyAlignment="1">
      <alignment horizontal="center" wrapText="1"/>
    </xf>
    <xf numFmtId="3" fontId="7" fillId="38" borderId="1" xfId="4" applyNumberFormat="1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3" fontId="53" fillId="0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38" borderId="0" xfId="0" applyFill="1" applyAlignment="1">
      <alignment horizontal="center"/>
    </xf>
    <xf numFmtId="4" fontId="0" fillId="0" borderId="0" xfId="0" applyNumberFormat="1" applyAlignment="1">
      <alignment horizontal="center"/>
    </xf>
    <xf numFmtId="0" fontId="14" fillId="38" borderId="0" xfId="2" applyFont="1" applyFill="1" applyAlignment="1">
      <alignment horizontal="center" vertical="center" wrapText="1"/>
    </xf>
    <xf numFmtId="0" fontId="13" fillId="6" borderId="5" xfId="2" applyFont="1" applyFill="1" applyBorder="1" applyAlignment="1">
      <alignment horizontal="center"/>
    </xf>
    <xf numFmtId="0" fontId="5" fillId="43" borderId="0" xfId="0" applyFont="1" applyFill="1" applyBorder="1" applyAlignment="1">
      <alignment horizontal="center"/>
    </xf>
    <xf numFmtId="0" fontId="4" fillId="0" borderId="0" xfId="2" applyFont="1" applyFill="1" applyAlignment="1">
      <alignment horizontal="center"/>
    </xf>
    <xf numFmtId="0" fontId="13" fillId="7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82" xfId="0" applyBorder="1" applyAlignment="1">
      <alignment horizontal="center"/>
    </xf>
    <xf numFmtId="0" fontId="10" fillId="47" borderId="10" xfId="0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0" fontId="10" fillId="47" borderId="12" xfId="0" applyFont="1" applyFill="1" applyBorder="1" applyAlignment="1">
      <alignment horizontal="center"/>
    </xf>
    <xf numFmtId="0" fontId="13" fillId="7" borderId="5" xfId="2" applyFont="1" applyFill="1" applyBorder="1" applyAlignment="1">
      <alignment horizontal="center" vertical="center"/>
    </xf>
    <xf numFmtId="0" fontId="13" fillId="7" borderId="6" xfId="2" applyFont="1" applyFill="1" applyBorder="1" applyAlignment="1">
      <alignment horizontal="center" vertical="center"/>
    </xf>
    <xf numFmtId="0" fontId="14" fillId="40" borderId="0" xfId="2" applyFont="1" applyFill="1" applyAlignment="1">
      <alignment horizontal="center" vertical="center" wrapText="1"/>
    </xf>
    <xf numFmtId="0" fontId="14" fillId="38" borderId="0" xfId="2" applyFont="1" applyFill="1" applyAlignment="1">
      <alignment horizontal="center" vertical="center" wrapText="1"/>
    </xf>
    <xf numFmtId="0" fontId="14" fillId="8" borderId="5" xfId="2" applyFont="1" applyFill="1" applyBorder="1" applyAlignment="1">
      <alignment horizontal="center" vertical="center" wrapText="1"/>
    </xf>
    <xf numFmtId="0" fontId="49" fillId="38" borderId="0" xfId="2" applyFont="1" applyFill="1" applyAlignment="1">
      <alignment horizontal="center" vertical="center" wrapText="1"/>
    </xf>
    <xf numFmtId="0" fontId="49" fillId="57" borderId="0" xfId="2" applyFont="1" applyFill="1" applyAlignment="1">
      <alignment horizontal="center" vertical="center" wrapText="1"/>
    </xf>
    <xf numFmtId="0" fontId="0" fillId="52" borderId="78" xfId="0" applyFill="1" applyBorder="1" applyAlignment="1">
      <alignment horizontal="center" vertical="center" wrapText="1"/>
    </xf>
    <xf numFmtId="0" fontId="0" fillId="52" borderId="79" xfId="0" applyFill="1" applyBorder="1" applyAlignment="1">
      <alignment horizontal="center" vertical="center" wrapText="1"/>
    </xf>
    <xf numFmtId="0" fontId="0" fillId="52" borderId="50" xfId="0" applyFill="1" applyBorder="1" applyAlignment="1">
      <alignment horizontal="center" vertical="center" wrapText="1"/>
    </xf>
    <xf numFmtId="0" fontId="0" fillId="52" borderId="77" xfId="0" applyFill="1" applyBorder="1" applyAlignment="1">
      <alignment horizontal="center" vertical="center" wrapText="1"/>
    </xf>
    <xf numFmtId="0" fontId="14" fillId="8" borderId="76" xfId="2" applyFont="1" applyFill="1" applyBorder="1" applyAlignment="1">
      <alignment horizontal="center" vertical="center" wrapText="1"/>
    </xf>
    <xf numFmtId="0" fontId="14" fillId="51" borderId="80" xfId="2" applyFont="1" applyFill="1" applyBorder="1" applyAlignment="1">
      <alignment horizontal="center" vertical="top"/>
    </xf>
    <xf numFmtId="0" fontId="14" fillId="51" borderId="81" xfId="2" applyFont="1" applyFill="1" applyBorder="1" applyAlignment="1">
      <alignment horizontal="center" vertical="top"/>
    </xf>
    <xf numFmtId="0" fontId="14" fillId="51" borderId="82" xfId="2" applyFont="1" applyFill="1" applyBorder="1" applyAlignment="1">
      <alignment horizontal="center" vertical="top"/>
    </xf>
    <xf numFmtId="0" fontId="39" fillId="52" borderId="83" xfId="0" applyFont="1" applyFill="1" applyBorder="1" applyAlignment="1">
      <alignment horizontal="center"/>
    </xf>
    <xf numFmtId="0" fontId="39" fillId="52" borderId="84" xfId="0" applyFont="1" applyFill="1" applyBorder="1" applyAlignment="1">
      <alignment horizontal="center"/>
    </xf>
    <xf numFmtId="0" fontId="39" fillId="52" borderId="50" xfId="0" applyFont="1" applyFill="1" applyBorder="1" applyAlignment="1">
      <alignment horizontal="center"/>
    </xf>
    <xf numFmtId="0" fontId="14" fillId="51" borderId="0" xfId="2" applyFont="1" applyFill="1" applyBorder="1" applyAlignment="1">
      <alignment horizontal="center" vertical="top"/>
    </xf>
    <xf numFmtId="0" fontId="14" fillId="51" borderId="17" xfId="2" applyFont="1" applyFill="1" applyBorder="1" applyAlignment="1">
      <alignment horizontal="center" vertical="top"/>
    </xf>
    <xf numFmtId="14" fontId="17" fillId="0" borderId="27" xfId="0" applyNumberFormat="1" applyFont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49" fontId="42" fillId="44" borderId="69" xfId="0" applyNumberFormat="1" applyFont="1" applyFill="1" applyBorder="1" applyAlignment="1">
      <alignment horizontal="center" vertical="center"/>
    </xf>
    <xf numFmtId="49" fontId="42" fillId="44" borderId="67" xfId="0" applyNumberFormat="1" applyFont="1" applyFill="1" applyBorder="1" applyAlignment="1">
      <alignment horizontal="center" vertical="center"/>
    </xf>
    <xf numFmtId="21" fontId="0" fillId="0" borderId="0" xfId="0" applyNumberFormat="1" applyFill="1" applyBorder="1" applyAlignment="1">
      <alignment horizontal="center" vertical="center" wrapText="1"/>
    </xf>
    <xf numFmtId="17" fontId="21" fillId="19" borderId="10" xfId="0" applyNumberFormat="1" applyFont="1" applyFill="1" applyBorder="1" applyAlignment="1">
      <alignment horizontal="center"/>
    </xf>
    <xf numFmtId="17" fontId="21" fillId="19" borderId="11" xfId="0" applyNumberFormat="1" applyFont="1" applyFill="1" applyBorder="1" applyAlignment="1">
      <alignment horizontal="center"/>
    </xf>
    <xf numFmtId="17" fontId="21" fillId="19" borderId="12" xfId="0" applyNumberFormat="1" applyFont="1" applyFill="1" applyBorder="1" applyAlignment="1">
      <alignment horizontal="center"/>
    </xf>
    <xf numFmtId="17" fontId="21" fillId="20" borderId="10" xfId="0" applyNumberFormat="1" applyFont="1" applyFill="1" applyBorder="1" applyAlignment="1">
      <alignment horizontal="center"/>
    </xf>
    <xf numFmtId="17" fontId="21" fillId="20" borderId="11" xfId="0" applyNumberFormat="1" applyFont="1" applyFill="1" applyBorder="1" applyAlignment="1">
      <alignment horizontal="center"/>
    </xf>
    <xf numFmtId="17" fontId="21" fillId="20" borderId="12" xfId="0" applyNumberFormat="1" applyFont="1" applyFill="1" applyBorder="1" applyAlignment="1">
      <alignment horizontal="center"/>
    </xf>
    <xf numFmtId="0" fontId="0" fillId="0" borderId="6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horizontal="center"/>
    </xf>
  </cellXfs>
  <cellStyles count="84">
    <cellStyle name="20% - Énfasis1 2" xfId="9" xr:uid="{00000000-0005-0000-0000-000000000000}"/>
    <cellStyle name="20% - Énfasis2 2" xfId="10" xr:uid="{00000000-0005-0000-0000-000001000000}"/>
    <cellStyle name="20% - Énfasis3 2" xfId="11" xr:uid="{00000000-0005-0000-0000-000002000000}"/>
    <cellStyle name="20% - Énfasis4 2" xfId="12" xr:uid="{00000000-0005-0000-0000-000003000000}"/>
    <cellStyle name="20% - Énfasis5 2" xfId="13" xr:uid="{00000000-0005-0000-0000-000004000000}"/>
    <cellStyle name="20% - Énfasis6 2" xfId="14" xr:uid="{00000000-0005-0000-0000-000005000000}"/>
    <cellStyle name="40% - Énfasis1 2" xfId="15" xr:uid="{00000000-0005-0000-0000-000006000000}"/>
    <cellStyle name="40% - Énfasis2 2" xfId="16" xr:uid="{00000000-0005-0000-0000-000007000000}"/>
    <cellStyle name="40% - Énfasis3 2" xfId="17" xr:uid="{00000000-0005-0000-0000-000008000000}"/>
    <cellStyle name="40% - Énfasis4 2" xfId="18" xr:uid="{00000000-0005-0000-0000-000009000000}"/>
    <cellStyle name="40% - Énfasis5 2" xfId="19" xr:uid="{00000000-0005-0000-0000-00000A000000}"/>
    <cellStyle name="40% - Énfasis6 2" xfId="20" xr:uid="{00000000-0005-0000-0000-00000B000000}"/>
    <cellStyle name="60% - Énfasis1 2" xfId="21" xr:uid="{00000000-0005-0000-0000-00000C000000}"/>
    <cellStyle name="60% - Énfasis2 2" xfId="22" xr:uid="{00000000-0005-0000-0000-00000D000000}"/>
    <cellStyle name="60% - Énfasis3 2" xfId="23" xr:uid="{00000000-0005-0000-0000-00000E000000}"/>
    <cellStyle name="60% - Énfasis4 2" xfId="24" xr:uid="{00000000-0005-0000-0000-00000F000000}"/>
    <cellStyle name="60% - Énfasis5 2" xfId="25" xr:uid="{00000000-0005-0000-0000-000010000000}"/>
    <cellStyle name="60% - Énfasis6 2" xfId="26" xr:uid="{00000000-0005-0000-0000-000011000000}"/>
    <cellStyle name="Buena 2" xfId="27" xr:uid="{00000000-0005-0000-0000-000012000000}"/>
    <cellStyle name="Cálculo 2" xfId="28" xr:uid="{00000000-0005-0000-0000-000013000000}"/>
    <cellStyle name="Celda de comprobación 2" xfId="29" xr:uid="{00000000-0005-0000-0000-000014000000}"/>
    <cellStyle name="Celda vinculada 2" xfId="30" xr:uid="{00000000-0005-0000-0000-000015000000}"/>
    <cellStyle name="Encabezado 4 2" xfId="31" xr:uid="{00000000-0005-0000-0000-000017000000}"/>
    <cellStyle name="Énfasis1 2" xfId="32" xr:uid="{00000000-0005-0000-0000-000018000000}"/>
    <cellStyle name="Énfasis2 2" xfId="33" xr:uid="{00000000-0005-0000-0000-000019000000}"/>
    <cellStyle name="Énfasis3 2" xfId="34" xr:uid="{00000000-0005-0000-0000-00001A000000}"/>
    <cellStyle name="Énfasis4 2" xfId="35" xr:uid="{00000000-0005-0000-0000-00001B000000}"/>
    <cellStyle name="Énfasis5 2" xfId="36" xr:uid="{00000000-0005-0000-0000-00001C000000}"/>
    <cellStyle name="Énfasis6 2" xfId="37" xr:uid="{00000000-0005-0000-0000-00001D000000}"/>
    <cellStyle name="Entrada 2" xfId="38" xr:uid="{00000000-0005-0000-0000-00001E000000}"/>
    <cellStyle name="Incorrecto 2" xfId="39" xr:uid="{00000000-0005-0000-0000-00001F000000}"/>
    <cellStyle name="Millares" xfId="1" builtinId="3"/>
    <cellStyle name="Millares 2" xfId="53" xr:uid="{00000000-0005-0000-0000-000020000000}"/>
    <cellStyle name="Millares 2 2" xfId="56" xr:uid="{00000000-0005-0000-0000-000021000000}"/>
    <cellStyle name="Millares 2 2 2" xfId="60" xr:uid="{00000000-0005-0000-0000-000022000000}"/>
    <cellStyle name="Millares 2 2 2 2" xfId="75" xr:uid="{00000000-0005-0000-0000-000023000000}"/>
    <cellStyle name="Millares 2 2 3" xfId="71" xr:uid="{00000000-0005-0000-0000-000024000000}"/>
    <cellStyle name="Millares 2 3" xfId="59" xr:uid="{00000000-0005-0000-0000-000025000000}"/>
    <cellStyle name="Millares 2 3 2" xfId="74" xr:uid="{00000000-0005-0000-0000-000026000000}"/>
    <cellStyle name="Millares 2 4" xfId="63" xr:uid="{00000000-0005-0000-0000-000027000000}"/>
    <cellStyle name="Millares 2 4 2" xfId="78" xr:uid="{00000000-0005-0000-0000-000028000000}"/>
    <cellStyle name="Millares 2 5" xfId="65" xr:uid="{00000000-0005-0000-0000-000029000000}"/>
    <cellStyle name="Millares 2 5 2" xfId="80" xr:uid="{00000000-0005-0000-0000-00002A000000}"/>
    <cellStyle name="Millares 2 6" xfId="70" xr:uid="{00000000-0005-0000-0000-00002B000000}"/>
    <cellStyle name="Millares 3" xfId="57" xr:uid="{00000000-0005-0000-0000-00002C000000}"/>
    <cellStyle name="Millares 3 2" xfId="61" xr:uid="{00000000-0005-0000-0000-00002D000000}"/>
    <cellStyle name="Millares 3 2 2" xfId="76" xr:uid="{00000000-0005-0000-0000-00002E000000}"/>
    <cellStyle name="Millares 3 3" xfId="64" xr:uid="{00000000-0005-0000-0000-00002F000000}"/>
    <cellStyle name="Millares 3 3 2" xfId="79" xr:uid="{00000000-0005-0000-0000-000030000000}"/>
    <cellStyle name="Millares 3 4" xfId="66" xr:uid="{00000000-0005-0000-0000-000031000000}"/>
    <cellStyle name="Millares 3 4 2" xfId="81" xr:uid="{00000000-0005-0000-0000-000032000000}"/>
    <cellStyle name="Millares 3 5" xfId="72" xr:uid="{00000000-0005-0000-0000-000033000000}"/>
    <cellStyle name="Millares 4" xfId="58" xr:uid="{00000000-0005-0000-0000-000034000000}"/>
    <cellStyle name="Millares 4 2" xfId="73" xr:uid="{00000000-0005-0000-0000-000035000000}"/>
    <cellStyle name="Millares 5" xfId="69" xr:uid="{00000000-0005-0000-0000-000036000000}"/>
    <cellStyle name="Neutral 2" xfId="40" xr:uid="{00000000-0005-0000-0000-000037000000}"/>
    <cellStyle name="Normal" xfId="0" builtinId="0"/>
    <cellStyle name="Normal 10" xfId="54" xr:uid="{00000000-0005-0000-0000-000039000000}"/>
    <cellStyle name="Normal 11" xfId="5" xr:uid="{00000000-0005-0000-0000-00003A000000}"/>
    <cellStyle name="Normal 12" xfId="55" xr:uid="{00000000-0005-0000-0000-00003B000000}"/>
    <cellStyle name="Normal 13" xfId="62" xr:uid="{00000000-0005-0000-0000-00003C000000}"/>
    <cellStyle name="Normal 13 2" xfId="77" xr:uid="{00000000-0005-0000-0000-00003D000000}"/>
    <cellStyle name="Normal 14" xfId="67" xr:uid="{00000000-0005-0000-0000-00003E000000}"/>
    <cellStyle name="Normal 14 2" xfId="82" xr:uid="{00000000-0005-0000-0000-00003F000000}"/>
    <cellStyle name="Normal 15" xfId="68" xr:uid="{00000000-0005-0000-0000-000040000000}"/>
    <cellStyle name="Normal 15 2" xfId="83" xr:uid="{00000000-0005-0000-0000-000041000000}"/>
    <cellStyle name="Normal 2" xfId="2" xr:uid="{00000000-0005-0000-0000-000042000000}"/>
    <cellStyle name="Normal 3" xfId="4" xr:uid="{00000000-0005-0000-0000-000043000000}"/>
    <cellStyle name="Normal 4" xfId="41" xr:uid="{00000000-0005-0000-0000-000044000000}"/>
    <cellStyle name="Normal 5" xfId="42" xr:uid="{00000000-0005-0000-0000-000045000000}"/>
    <cellStyle name="Normal 6" xfId="43" xr:uid="{00000000-0005-0000-0000-000046000000}"/>
    <cellStyle name="Normal 7" xfId="7" xr:uid="{00000000-0005-0000-0000-000047000000}"/>
    <cellStyle name="Normal 8" xfId="3" xr:uid="{00000000-0005-0000-0000-000048000000}"/>
    <cellStyle name="Normal 9" xfId="8" xr:uid="{00000000-0005-0000-0000-000049000000}"/>
    <cellStyle name="Normal_Data Ocupacion" xfId="6" xr:uid="{00000000-0005-0000-0000-00004A000000}"/>
    <cellStyle name="Notas 2" xfId="44" xr:uid="{00000000-0005-0000-0000-00004B000000}"/>
    <cellStyle name="Salida 2" xfId="45" xr:uid="{00000000-0005-0000-0000-00004C000000}"/>
    <cellStyle name="Texto de advertencia 2" xfId="46" xr:uid="{00000000-0005-0000-0000-00004D000000}"/>
    <cellStyle name="Texto explicativo 2" xfId="47" xr:uid="{00000000-0005-0000-0000-00004E000000}"/>
    <cellStyle name="Título 1" xfId="49" xr:uid="{00000000-0005-0000-0000-00004F000000}"/>
    <cellStyle name="Título 2 2" xfId="50" xr:uid="{00000000-0005-0000-0000-000050000000}"/>
    <cellStyle name="Título 3 2" xfId="51" xr:uid="{00000000-0005-0000-0000-000051000000}"/>
    <cellStyle name="Título 4" xfId="48" xr:uid="{00000000-0005-0000-0000-000052000000}"/>
    <cellStyle name="Total 2" xfId="52" xr:uid="{00000000-0005-0000-0000-000053000000}"/>
  </cellStyles>
  <dxfs count="33"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99CCFF"/>
      <color rgb="FFCCECFF"/>
      <color rgb="FF66CC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externalLinkPath" Target="file:///C:\Users\pco\Documents\Respaldo\A&#209;O%202013\Noviembre\resumen%20mensual\Resumen%20mensual%20PLANTILLA.xlsx" TargetMode="External"/><Relationship Id="rId1" Type="http://schemas.openxmlformats.org/officeDocument/2006/relationships/externalLinkPath" Target="file:///C:\Users\pco\Documents\Respaldo\A&#209;O%202013\Noviembre\resumen%20mensual\Resumen%20mensual%20PLANTILLA.xlsx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2.bin"/><Relationship Id="rId1" Type="http://schemas.openxmlformats.org/officeDocument/2006/relationships/externalLinkPath" Target="file:///C:\Users\pco\Documents\Respaldo\A&#209;O%202013\Noviembre\resumen%20mensual\Resumen%20mensual%20PLANTILLA.xlsx" TargetMode="Externa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I130"/>
  <sheetViews>
    <sheetView topLeftCell="A67" zoomScaleNormal="100" workbookViewId="0">
      <selection activeCell="M86" sqref="M86"/>
    </sheetView>
  </sheetViews>
  <sheetFormatPr baseColWidth="10" defaultColWidth="11.5703125" defaultRowHeight="15" x14ac:dyDescent="0.25"/>
  <cols>
    <col min="1" max="1" width="15.5703125" customWidth="1"/>
    <col min="2" max="4" width="10.28515625" customWidth="1"/>
    <col min="5" max="5" width="10.85546875" customWidth="1"/>
    <col min="6" max="14" width="10.28515625" customWidth="1"/>
    <col min="15" max="15" width="10.7109375" customWidth="1"/>
    <col min="16" max="28" width="10.28515625" customWidth="1"/>
    <col min="29" max="29" width="10.28515625" bestFit="1" customWidth="1"/>
  </cols>
  <sheetData>
    <row r="1" spans="1:35" ht="18" x14ac:dyDescent="0.25">
      <c r="A1" s="349" t="s">
        <v>0</v>
      </c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49"/>
      <c r="AC1" s="349"/>
    </row>
    <row r="2" spans="1:35" x14ac:dyDescent="0.25">
      <c r="A2" s="1"/>
      <c r="B2" s="61">
        <v>46143</v>
      </c>
      <c r="C2" s="61">
        <v>46144</v>
      </c>
      <c r="D2" s="61">
        <v>46145</v>
      </c>
      <c r="E2" s="61">
        <v>46146</v>
      </c>
      <c r="F2" s="61">
        <v>46147</v>
      </c>
      <c r="G2" s="61">
        <v>46148</v>
      </c>
      <c r="H2" s="61">
        <v>46149</v>
      </c>
      <c r="I2" s="61">
        <v>46150</v>
      </c>
      <c r="J2" s="61">
        <v>46151</v>
      </c>
      <c r="K2" s="61">
        <v>46152</v>
      </c>
      <c r="L2" s="61">
        <v>46153</v>
      </c>
      <c r="M2" s="61">
        <v>46154</v>
      </c>
      <c r="N2" s="61">
        <v>46155</v>
      </c>
      <c r="O2" s="61">
        <v>46156</v>
      </c>
      <c r="P2" s="61">
        <v>46157</v>
      </c>
      <c r="Q2" s="61">
        <v>46158</v>
      </c>
      <c r="R2" s="61">
        <v>46159</v>
      </c>
      <c r="S2" s="61">
        <v>46160</v>
      </c>
      <c r="T2" s="61">
        <v>46161</v>
      </c>
      <c r="U2" s="61">
        <v>46162</v>
      </c>
      <c r="V2" s="61">
        <v>46163</v>
      </c>
      <c r="W2" s="61">
        <v>46164</v>
      </c>
      <c r="X2" s="61">
        <v>46165</v>
      </c>
      <c r="Y2" s="61">
        <v>46166</v>
      </c>
      <c r="Z2" s="61">
        <v>46167</v>
      </c>
      <c r="AA2" s="61">
        <v>46168</v>
      </c>
      <c r="AB2" s="61">
        <v>46169</v>
      </c>
      <c r="AC2" s="61">
        <v>46170</v>
      </c>
      <c r="AD2" s="61">
        <v>46171</v>
      </c>
      <c r="AE2" s="61">
        <v>46172</v>
      </c>
      <c r="AF2" s="61">
        <v>46173</v>
      </c>
    </row>
    <row r="3" spans="1:35" x14ac:dyDescent="0.25">
      <c r="A3" s="2"/>
      <c r="B3" s="3" t="s">
        <v>1</v>
      </c>
      <c r="C3" s="3" t="s">
        <v>1</v>
      </c>
      <c r="D3" s="3" t="s">
        <v>1</v>
      </c>
      <c r="E3" s="3" t="s">
        <v>1</v>
      </c>
      <c r="F3" s="3" t="s">
        <v>1</v>
      </c>
      <c r="G3" s="3" t="s">
        <v>1</v>
      </c>
      <c r="H3" s="3" t="s">
        <v>1</v>
      </c>
      <c r="I3" s="3" t="s">
        <v>1</v>
      </c>
      <c r="J3" s="3" t="s">
        <v>1</v>
      </c>
      <c r="K3" s="3" t="s">
        <v>1</v>
      </c>
      <c r="L3" s="3" t="s">
        <v>1</v>
      </c>
      <c r="M3" s="3" t="s">
        <v>1</v>
      </c>
      <c r="N3" s="3" t="s">
        <v>1</v>
      </c>
      <c r="O3" s="3" t="s">
        <v>1</v>
      </c>
      <c r="P3" s="3" t="s">
        <v>1</v>
      </c>
      <c r="Q3" s="3" t="s">
        <v>1</v>
      </c>
      <c r="R3" s="3" t="s">
        <v>1</v>
      </c>
      <c r="S3" s="3" t="s">
        <v>1</v>
      </c>
      <c r="T3" s="3" t="s">
        <v>1</v>
      </c>
      <c r="U3" s="3" t="s">
        <v>1</v>
      </c>
      <c r="V3" s="3" t="s">
        <v>1</v>
      </c>
      <c r="W3" s="3" t="s">
        <v>1</v>
      </c>
      <c r="X3" s="3" t="s">
        <v>1</v>
      </c>
      <c r="Y3" s="3" t="s">
        <v>1</v>
      </c>
      <c r="Z3" s="3" t="s">
        <v>1</v>
      </c>
      <c r="AA3" s="3" t="s">
        <v>1</v>
      </c>
      <c r="AB3" s="3" t="s">
        <v>1</v>
      </c>
      <c r="AC3" s="3" t="s">
        <v>1</v>
      </c>
      <c r="AD3" s="3" t="s">
        <v>1</v>
      </c>
      <c r="AE3" s="3" t="s">
        <v>1</v>
      </c>
      <c r="AF3" s="3" t="s">
        <v>1</v>
      </c>
    </row>
    <row r="4" spans="1:35" x14ac:dyDescent="0.25">
      <c r="A4" s="4" t="s">
        <v>2</v>
      </c>
      <c r="B4" s="3" t="s">
        <v>3</v>
      </c>
      <c r="C4" s="3" t="s">
        <v>3</v>
      </c>
      <c r="D4" s="3" t="s">
        <v>3</v>
      </c>
      <c r="E4" s="3" t="s">
        <v>3</v>
      </c>
      <c r="F4" s="3" t="s">
        <v>3</v>
      </c>
      <c r="G4" s="3" t="s">
        <v>3</v>
      </c>
      <c r="H4" s="3" t="s">
        <v>3</v>
      </c>
      <c r="I4" s="3" t="s">
        <v>3</v>
      </c>
      <c r="J4" s="3" t="s">
        <v>3</v>
      </c>
      <c r="K4" s="3" t="s">
        <v>3</v>
      </c>
      <c r="L4" s="3" t="s">
        <v>3</v>
      </c>
      <c r="M4" s="3" t="s">
        <v>3</v>
      </c>
      <c r="N4" s="3" t="s">
        <v>3</v>
      </c>
      <c r="O4" s="3" t="s">
        <v>3</v>
      </c>
      <c r="P4" s="3" t="s">
        <v>3</v>
      </c>
      <c r="Q4" s="3" t="s">
        <v>3</v>
      </c>
      <c r="R4" s="3" t="s">
        <v>3</v>
      </c>
      <c r="S4" s="3" t="s">
        <v>3</v>
      </c>
      <c r="T4" s="3" t="s">
        <v>3</v>
      </c>
      <c r="U4" s="3" t="s">
        <v>3</v>
      </c>
      <c r="V4" s="3" t="s">
        <v>3</v>
      </c>
      <c r="W4" s="3" t="s">
        <v>3</v>
      </c>
      <c r="X4" s="3" t="s">
        <v>3</v>
      </c>
      <c r="Y4" s="3" t="s">
        <v>3</v>
      </c>
      <c r="Z4" s="3" t="s">
        <v>3</v>
      </c>
      <c r="AA4" s="3" t="s">
        <v>3</v>
      </c>
      <c r="AB4" s="3" t="s">
        <v>3</v>
      </c>
      <c r="AC4" s="3" t="s">
        <v>3</v>
      </c>
      <c r="AD4" s="3" t="s">
        <v>3</v>
      </c>
      <c r="AE4" s="3" t="s">
        <v>3</v>
      </c>
      <c r="AF4" s="3" t="s">
        <v>3</v>
      </c>
    </row>
    <row r="5" spans="1:35" x14ac:dyDescent="0.25">
      <c r="A5" s="5" t="s">
        <v>4</v>
      </c>
      <c r="B5" s="310">
        <v>2123011</v>
      </c>
      <c r="C5" s="310">
        <v>2123011</v>
      </c>
      <c r="D5" s="310">
        <v>2123011</v>
      </c>
      <c r="E5" s="310">
        <v>2123205</v>
      </c>
      <c r="F5" s="310">
        <v>2123630</v>
      </c>
      <c r="G5" s="310">
        <v>2124062</v>
      </c>
      <c r="H5" s="310">
        <v>2124579</v>
      </c>
      <c r="I5" s="310">
        <v>2125005</v>
      </c>
      <c r="J5" s="310">
        <v>2125049</v>
      </c>
      <c r="K5" s="310">
        <v>2125526</v>
      </c>
      <c r="L5" s="310">
        <v>2126088</v>
      </c>
      <c r="M5" s="310">
        <v>2126367</v>
      </c>
      <c r="N5" s="310">
        <v>2126619</v>
      </c>
      <c r="O5" s="310">
        <v>2126883</v>
      </c>
      <c r="P5" s="310">
        <v>2127238</v>
      </c>
      <c r="Q5" s="310">
        <v>2127761</v>
      </c>
      <c r="R5" s="310">
        <v>2128263</v>
      </c>
      <c r="S5" s="310">
        <v>2128797</v>
      </c>
      <c r="T5" s="310">
        <v>2129040</v>
      </c>
      <c r="U5" s="310">
        <v>2129290</v>
      </c>
      <c r="V5" s="310">
        <v>2129290</v>
      </c>
      <c r="W5" s="310">
        <v>2129541</v>
      </c>
      <c r="X5" s="310">
        <v>2129541</v>
      </c>
      <c r="Y5" s="310">
        <v>2129541</v>
      </c>
      <c r="Z5" s="310">
        <v>2129640</v>
      </c>
      <c r="AA5" s="310">
        <v>2129834</v>
      </c>
      <c r="AB5" s="310">
        <v>2130086</v>
      </c>
      <c r="AC5" s="330">
        <v>2130337</v>
      </c>
      <c r="AD5" s="310">
        <v>2130589</v>
      </c>
      <c r="AE5" s="310">
        <v>2130589</v>
      </c>
      <c r="AF5" s="310">
        <v>2130589</v>
      </c>
    </row>
    <row r="6" spans="1:35" x14ac:dyDescent="0.25">
      <c r="A6" s="5" t="s">
        <v>5</v>
      </c>
      <c r="B6" s="310">
        <v>2082284</v>
      </c>
      <c r="C6" s="310">
        <v>2082284</v>
      </c>
      <c r="D6" s="310">
        <v>2082284</v>
      </c>
      <c r="E6" s="310">
        <v>2082456</v>
      </c>
      <c r="F6" s="310">
        <v>2082909</v>
      </c>
      <c r="G6" s="310">
        <v>2083284</v>
      </c>
      <c r="H6" s="310">
        <v>2083716</v>
      </c>
      <c r="I6" s="310">
        <v>2084235</v>
      </c>
      <c r="J6" s="310">
        <v>2084755</v>
      </c>
      <c r="K6" s="310">
        <v>2085232</v>
      </c>
      <c r="L6" s="310">
        <v>2085793</v>
      </c>
      <c r="M6" s="310">
        <v>2086083</v>
      </c>
      <c r="N6" s="310">
        <v>2086337</v>
      </c>
      <c r="O6" s="310">
        <v>2086769</v>
      </c>
      <c r="P6" s="310">
        <v>2087287</v>
      </c>
      <c r="Q6" s="310">
        <v>2087849</v>
      </c>
      <c r="R6" s="310">
        <v>2087893</v>
      </c>
      <c r="S6" s="310">
        <v>2088131</v>
      </c>
      <c r="T6" s="310">
        <v>2088697</v>
      </c>
      <c r="U6" s="310">
        <v>2089258</v>
      </c>
      <c r="V6" s="310">
        <v>2089691</v>
      </c>
      <c r="W6" s="310">
        <v>2090123</v>
      </c>
      <c r="X6" s="310">
        <v>2090124</v>
      </c>
      <c r="Y6" s="310">
        <v>2090126</v>
      </c>
      <c r="Z6" s="310">
        <v>2090525</v>
      </c>
      <c r="AA6" s="310">
        <v>2090958</v>
      </c>
      <c r="AB6" s="310">
        <v>2091157</v>
      </c>
      <c r="AC6" s="330">
        <v>2091419</v>
      </c>
      <c r="AD6" s="310">
        <v>2091734</v>
      </c>
      <c r="AE6" s="310">
        <v>2092253</v>
      </c>
      <c r="AF6" s="310">
        <v>2092772</v>
      </c>
    </row>
    <row r="7" spans="1:35" x14ac:dyDescent="0.25">
      <c r="A7" s="5" t="s">
        <v>6</v>
      </c>
      <c r="B7" s="310">
        <v>2162491</v>
      </c>
      <c r="C7" s="310">
        <v>2163010</v>
      </c>
      <c r="D7" s="310">
        <v>2163187</v>
      </c>
      <c r="E7" s="310">
        <v>2163709</v>
      </c>
      <c r="F7" s="310">
        <v>2164109</v>
      </c>
      <c r="G7" s="310">
        <v>2164368</v>
      </c>
      <c r="H7" s="310">
        <v>2164869</v>
      </c>
      <c r="I7" s="310">
        <v>2165320</v>
      </c>
      <c r="J7" s="310">
        <v>2165320</v>
      </c>
      <c r="K7" s="310">
        <v>2165320</v>
      </c>
      <c r="L7" s="310">
        <v>2165419</v>
      </c>
      <c r="M7" s="310">
        <v>2165819</v>
      </c>
      <c r="N7" s="310">
        <v>2166337</v>
      </c>
      <c r="O7" s="310">
        <v>2166859</v>
      </c>
      <c r="P7" s="310">
        <v>2167419</v>
      </c>
      <c r="Q7" s="310">
        <v>2167592</v>
      </c>
      <c r="R7" s="310">
        <v>2167637</v>
      </c>
      <c r="S7" s="310">
        <v>2168035</v>
      </c>
      <c r="T7" s="310">
        <v>2168555</v>
      </c>
      <c r="U7" s="310">
        <v>2169159</v>
      </c>
      <c r="V7" s="310">
        <v>2169637</v>
      </c>
      <c r="W7" s="310">
        <v>2170122</v>
      </c>
      <c r="X7" s="310">
        <v>2170165</v>
      </c>
      <c r="Y7" s="310">
        <v>2170683</v>
      </c>
      <c r="Z7" s="310">
        <v>2170941</v>
      </c>
      <c r="AA7" s="310">
        <v>2171442</v>
      </c>
      <c r="AB7" s="310">
        <v>2171806</v>
      </c>
      <c r="AC7" s="330">
        <v>2172026</v>
      </c>
      <c r="AD7" s="310">
        <v>2172589</v>
      </c>
      <c r="AE7" s="310">
        <v>2172935</v>
      </c>
      <c r="AF7" s="310">
        <v>2172978</v>
      </c>
    </row>
    <row r="8" spans="1:35" x14ac:dyDescent="0.25">
      <c r="A8" s="6" t="s">
        <v>7</v>
      </c>
      <c r="B8" s="310">
        <v>2167182</v>
      </c>
      <c r="C8" s="310">
        <v>2167182</v>
      </c>
      <c r="D8" s="310">
        <v>2167182</v>
      </c>
      <c r="E8" s="310">
        <v>2167448</v>
      </c>
      <c r="F8" s="310">
        <v>2167900</v>
      </c>
      <c r="G8" s="310">
        <v>2167993</v>
      </c>
      <c r="H8" s="310">
        <v>2168502</v>
      </c>
      <c r="I8" s="310">
        <v>2169106</v>
      </c>
      <c r="J8" s="310">
        <v>2169127</v>
      </c>
      <c r="K8" s="310">
        <v>2169127</v>
      </c>
      <c r="L8" s="310">
        <v>2169630</v>
      </c>
      <c r="M8" s="310">
        <v>2169943</v>
      </c>
      <c r="N8" s="310">
        <v>2170377</v>
      </c>
      <c r="O8" s="310">
        <v>2170981</v>
      </c>
      <c r="P8" s="310">
        <v>2171386</v>
      </c>
      <c r="Q8" s="310">
        <v>2171386</v>
      </c>
      <c r="R8" s="310">
        <v>2171388</v>
      </c>
      <c r="S8" s="310">
        <v>2171678</v>
      </c>
      <c r="T8" s="310">
        <v>2172095</v>
      </c>
      <c r="U8" s="310">
        <v>2172615</v>
      </c>
      <c r="V8" s="310">
        <v>2173048</v>
      </c>
      <c r="W8" s="310">
        <v>2173431</v>
      </c>
      <c r="X8" s="310">
        <v>2173993</v>
      </c>
      <c r="Y8" s="310">
        <v>2174166</v>
      </c>
      <c r="Z8" s="310">
        <v>2174726</v>
      </c>
      <c r="AA8" s="310">
        <v>2175178</v>
      </c>
      <c r="AB8" s="310">
        <v>2175552</v>
      </c>
      <c r="AC8" s="330">
        <v>2176157</v>
      </c>
      <c r="AD8" s="310">
        <v>2176676</v>
      </c>
      <c r="AE8" s="310">
        <v>2176765</v>
      </c>
      <c r="AF8" s="310">
        <v>2176765</v>
      </c>
    </row>
    <row r="9" spans="1:35" x14ac:dyDescent="0.25">
      <c r="A9" s="6" t="s">
        <v>8</v>
      </c>
      <c r="B9" s="310">
        <v>2085088</v>
      </c>
      <c r="C9" s="310">
        <v>2085131</v>
      </c>
      <c r="D9" s="310">
        <v>2085605</v>
      </c>
      <c r="E9" s="310">
        <v>2086165</v>
      </c>
      <c r="F9" s="310">
        <v>2086726</v>
      </c>
      <c r="G9" s="310">
        <v>2087286</v>
      </c>
      <c r="H9" s="310">
        <v>2087685</v>
      </c>
      <c r="I9" s="310">
        <v>2087965</v>
      </c>
      <c r="J9" s="310">
        <v>2087965</v>
      </c>
      <c r="K9" s="310">
        <v>2087965</v>
      </c>
      <c r="L9" s="310">
        <v>2088148</v>
      </c>
      <c r="M9" s="310">
        <v>2088607</v>
      </c>
      <c r="N9" s="310">
        <v>2089168</v>
      </c>
      <c r="O9" s="310">
        <v>2089642</v>
      </c>
      <c r="P9" s="310">
        <v>2090078</v>
      </c>
      <c r="Q9" s="310">
        <v>2090078</v>
      </c>
      <c r="R9" s="310">
        <v>2090080</v>
      </c>
      <c r="S9" s="310">
        <v>2090369</v>
      </c>
      <c r="T9" s="310">
        <v>2090955</v>
      </c>
      <c r="U9" s="310">
        <v>2091559</v>
      </c>
      <c r="V9" s="310">
        <v>2091817</v>
      </c>
      <c r="W9" s="310">
        <v>2092268</v>
      </c>
      <c r="X9" s="310">
        <v>2092268</v>
      </c>
      <c r="Y9" s="310">
        <v>2092268</v>
      </c>
      <c r="Z9" s="310">
        <v>2092367</v>
      </c>
      <c r="AA9" s="310">
        <v>2092512</v>
      </c>
      <c r="AB9" s="310">
        <v>2092963</v>
      </c>
      <c r="AC9" s="330">
        <v>2093130</v>
      </c>
      <c r="AD9" s="310">
        <v>2093384</v>
      </c>
      <c r="AE9" s="310">
        <v>2093384</v>
      </c>
      <c r="AF9" s="310">
        <v>2093384</v>
      </c>
    </row>
    <row r="10" spans="1:35" x14ac:dyDescent="0.25">
      <c r="A10" s="6" t="s">
        <v>9</v>
      </c>
      <c r="B10" s="310">
        <v>2191298</v>
      </c>
      <c r="C10" s="310">
        <v>2191298</v>
      </c>
      <c r="D10" s="310">
        <v>2191298</v>
      </c>
      <c r="E10" s="310">
        <v>2191519</v>
      </c>
      <c r="F10" s="310">
        <v>2191770</v>
      </c>
      <c r="G10" s="310">
        <v>2192358</v>
      </c>
      <c r="H10" s="310">
        <v>2192553</v>
      </c>
      <c r="I10" s="310">
        <v>2192937</v>
      </c>
      <c r="J10" s="310">
        <v>2193455</v>
      </c>
      <c r="K10" s="310">
        <v>2193973</v>
      </c>
      <c r="L10" s="310">
        <v>2194408</v>
      </c>
      <c r="M10" s="310">
        <v>2194972</v>
      </c>
      <c r="N10" s="310">
        <v>2195533</v>
      </c>
      <c r="O10" s="310">
        <v>2195805</v>
      </c>
      <c r="P10" s="310">
        <v>2196366</v>
      </c>
      <c r="Q10" s="310">
        <v>2196884</v>
      </c>
      <c r="R10" s="310">
        <v>2197359</v>
      </c>
      <c r="S10" s="310">
        <v>2197852</v>
      </c>
      <c r="T10" s="310">
        <v>2198102</v>
      </c>
      <c r="U10" s="310">
        <v>2198373</v>
      </c>
      <c r="V10" s="310">
        <v>2198848</v>
      </c>
      <c r="W10" s="310">
        <v>2199452</v>
      </c>
      <c r="X10" s="310">
        <v>2199972</v>
      </c>
      <c r="Y10" s="310">
        <v>2200233</v>
      </c>
      <c r="Z10" s="310">
        <v>2200756</v>
      </c>
      <c r="AA10" s="310">
        <v>2201273</v>
      </c>
      <c r="AB10" s="310">
        <v>2201543</v>
      </c>
      <c r="AC10" s="330">
        <v>2201794</v>
      </c>
      <c r="AD10" s="310">
        <v>2202338</v>
      </c>
      <c r="AE10" s="310">
        <v>2202684</v>
      </c>
      <c r="AF10" s="310">
        <v>2202729</v>
      </c>
    </row>
    <row r="11" spans="1:35" x14ac:dyDescent="0.25">
      <c r="A11" s="6" t="s">
        <v>10</v>
      </c>
      <c r="B11" s="310">
        <v>2232323</v>
      </c>
      <c r="C11" s="310">
        <v>2232323</v>
      </c>
      <c r="D11" s="310">
        <v>2232323</v>
      </c>
      <c r="E11" s="310">
        <v>2232517</v>
      </c>
      <c r="F11" s="310">
        <v>2232684</v>
      </c>
      <c r="G11" s="310">
        <v>2233289</v>
      </c>
      <c r="H11" s="310">
        <v>2233721</v>
      </c>
      <c r="I11" s="310">
        <v>2234238</v>
      </c>
      <c r="J11" s="310">
        <v>2234798</v>
      </c>
      <c r="K11" s="310">
        <v>2234841</v>
      </c>
      <c r="L11" s="310">
        <v>2235090</v>
      </c>
      <c r="M11" s="310">
        <v>2235333</v>
      </c>
      <c r="N11" s="310">
        <v>2235783</v>
      </c>
      <c r="O11" s="310">
        <v>2236369</v>
      </c>
      <c r="P11" s="310">
        <v>2236655</v>
      </c>
      <c r="Q11" s="310">
        <v>2236655</v>
      </c>
      <c r="R11" s="310">
        <v>2236655</v>
      </c>
      <c r="S11" s="310">
        <v>2236904</v>
      </c>
      <c r="T11" s="310">
        <v>2237093</v>
      </c>
      <c r="U11" s="310">
        <v>2237441</v>
      </c>
      <c r="V11" s="310">
        <v>2237441</v>
      </c>
      <c r="W11" s="310">
        <v>2237747</v>
      </c>
      <c r="X11" s="310">
        <v>2238309</v>
      </c>
      <c r="Y11" s="310">
        <v>2238788</v>
      </c>
      <c r="Z11" s="310">
        <v>2239347</v>
      </c>
      <c r="AA11" s="310">
        <v>2239950</v>
      </c>
      <c r="AB11" s="310">
        <v>2240273</v>
      </c>
      <c r="AC11" s="330">
        <v>2240466</v>
      </c>
      <c r="AD11" s="310">
        <v>2240968</v>
      </c>
      <c r="AE11" s="310">
        <v>2241313</v>
      </c>
      <c r="AF11" s="310">
        <v>2241315</v>
      </c>
    </row>
    <row r="12" spans="1:35" x14ac:dyDescent="0.25">
      <c r="A12" s="5" t="s">
        <v>11</v>
      </c>
      <c r="B12" s="310">
        <v>2125824</v>
      </c>
      <c r="C12" s="310">
        <v>2125824</v>
      </c>
      <c r="D12" s="310">
        <v>2125824</v>
      </c>
      <c r="E12" s="310">
        <v>2126010</v>
      </c>
      <c r="F12" s="310">
        <v>2126213</v>
      </c>
      <c r="G12" s="310">
        <v>2126514</v>
      </c>
      <c r="H12" s="310">
        <v>2127035</v>
      </c>
      <c r="I12" s="310">
        <v>2127641</v>
      </c>
      <c r="J12" s="310">
        <v>2128205</v>
      </c>
      <c r="K12" s="310">
        <v>2128514</v>
      </c>
      <c r="L12" s="310">
        <v>2128654</v>
      </c>
      <c r="M12" s="310">
        <v>2129091</v>
      </c>
      <c r="N12" s="310">
        <v>2129616</v>
      </c>
      <c r="O12" s="310">
        <v>2130221</v>
      </c>
      <c r="P12" s="310">
        <v>2130658</v>
      </c>
      <c r="Q12" s="310">
        <v>2130662</v>
      </c>
      <c r="R12" s="310">
        <v>2130663</v>
      </c>
      <c r="S12" s="310">
        <v>2130753</v>
      </c>
      <c r="T12" s="310">
        <v>2130760</v>
      </c>
      <c r="U12" s="310">
        <v>2131194</v>
      </c>
      <c r="V12" s="310">
        <v>2131194</v>
      </c>
      <c r="W12" s="310">
        <v>2131281</v>
      </c>
      <c r="X12" s="310">
        <v>2131281</v>
      </c>
      <c r="Y12" s="310">
        <v>2131288</v>
      </c>
      <c r="Z12" s="310">
        <v>2131601</v>
      </c>
      <c r="AA12" s="310">
        <v>2132163</v>
      </c>
      <c r="AB12" s="310">
        <v>2132768</v>
      </c>
      <c r="AC12" s="330">
        <v>2133330</v>
      </c>
      <c r="AD12" s="310">
        <v>2133679</v>
      </c>
      <c r="AE12" s="310">
        <v>2134198</v>
      </c>
      <c r="AF12" s="310">
        <v>2134676</v>
      </c>
    </row>
    <row r="13" spans="1:35" x14ac:dyDescent="0.25">
      <c r="A13" s="5" t="s">
        <v>12</v>
      </c>
      <c r="B13" s="310">
        <v>2110556</v>
      </c>
      <c r="C13" s="310">
        <v>2111116</v>
      </c>
      <c r="D13" s="310">
        <v>2111632</v>
      </c>
      <c r="E13" s="310">
        <v>2112235</v>
      </c>
      <c r="F13" s="310">
        <v>2112675</v>
      </c>
      <c r="G13" s="310">
        <v>2113149</v>
      </c>
      <c r="H13" s="310">
        <v>2113668</v>
      </c>
      <c r="I13" s="310">
        <v>2114203</v>
      </c>
      <c r="J13" s="310">
        <v>2114203</v>
      </c>
      <c r="K13" s="310">
        <v>2114203</v>
      </c>
      <c r="L13" s="310">
        <v>2114396</v>
      </c>
      <c r="M13" s="310">
        <v>2114897</v>
      </c>
      <c r="N13" s="310">
        <v>2115459</v>
      </c>
      <c r="O13" s="310">
        <v>2116019</v>
      </c>
      <c r="P13" s="310">
        <v>2116311</v>
      </c>
      <c r="Q13" s="310">
        <v>2116311</v>
      </c>
      <c r="R13" s="310">
        <v>2116311</v>
      </c>
      <c r="S13" s="310">
        <v>2116391</v>
      </c>
      <c r="T13" s="310">
        <v>2116826</v>
      </c>
      <c r="U13" s="310">
        <v>2117194</v>
      </c>
      <c r="V13" s="310">
        <v>2117194</v>
      </c>
      <c r="W13" s="310">
        <v>2117566</v>
      </c>
      <c r="X13" s="310">
        <v>2117609</v>
      </c>
      <c r="Y13" s="310">
        <v>2118083</v>
      </c>
      <c r="Z13" s="310">
        <v>2118558</v>
      </c>
      <c r="AA13" s="310">
        <v>2119005</v>
      </c>
      <c r="AB13" s="310">
        <v>2119200</v>
      </c>
      <c r="AC13" s="330">
        <v>2119574</v>
      </c>
      <c r="AD13" s="310">
        <v>2120134</v>
      </c>
      <c r="AE13" s="310">
        <v>2120607</v>
      </c>
      <c r="AF13" s="310">
        <v>2121086</v>
      </c>
    </row>
    <row r="14" spans="1:35" x14ac:dyDescent="0.25">
      <c r="A14" s="5" t="s">
        <v>13</v>
      </c>
      <c r="B14" s="310">
        <v>2179010</v>
      </c>
      <c r="C14" s="310">
        <v>2179529</v>
      </c>
      <c r="D14" s="310">
        <v>2179960</v>
      </c>
      <c r="E14" s="310">
        <v>2180478</v>
      </c>
      <c r="F14" s="310">
        <v>2180997</v>
      </c>
      <c r="G14" s="310">
        <v>2181302</v>
      </c>
      <c r="H14" s="310">
        <v>2181614</v>
      </c>
      <c r="I14" s="310">
        <v>2182217</v>
      </c>
      <c r="J14" s="310">
        <v>2182696</v>
      </c>
      <c r="K14" s="310">
        <v>2182696</v>
      </c>
      <c r="L14" s="310">
        <v>2183300</v>
      </c>
      <c r="M14" s="310">
        <v>2183821</v>
      </c>
      <c r="N14" s="310">
        <v>2184025</v>
      </c>
      <c r="O14" s="310">
        <v>2184283</v>
      </c>
      <c r="P14" s="310">
        <v>2184736</v>
      </c>
      <c r="Q14" s="310">
        <v>2184736</v>
      </c>
      <c r="R14" s="310">
        <v>2184736</v>
      </c>
      <c r="S14" s="310">
        <v>2185307</v>
      </c>
      <c r="T14" s="310">
        <v>2185707</v>
      </c>
      <c r="U14" s="310">
        <v>2186226</v>
      </c>
      <c r="V14" s="310">
        <v>2186503</v>
      </c>
      <c r="W14" s="310">
        <v>2187003</v>
      </c>
      <c r="X14" s="310">
        <v>2187521</v>
      </c>
      <c r="Y14" s="310">
        <v>2187869</v>
      </c>
      <c r="Z14" s="310">
        <v>2188318</v>
      </c>
      <c r="AA14" s="310">
        <v>2188504</v>
      </c>
      <c r="AB14" s="310">
        <v>2188697</v>
      </c>
      <c r="AC14" s="330">
        <v>2188949</v>
      </c>
      <c r="AD14" s="310">
        <v>2189281</v>
      </c>
      <c r="AE14" s="310">
        <v>2189281</v>
      </c>
      <c r="AF14" s="310">
        <v>2189281</v>
      </c>
    </row>
    <row r="15" spans="1:35" x14ac:dyDescent="0.25">
      <c r="A15" s="6" t="s">
        <v>14</v>
      </c>
      <c r="B15" s="310">
        <v>2208736</v>
      </c>
      <c r="C15" s="310">
        <v>2209297</v>
      </c>
      <c r="D15" s="310">
        <v>2209642</v>
      </c>
      <c r="E15" s="310">
        <v>2210084</v>
      </c>
      <c r="F15" s="310">
        <v>2210346</v>
      </c>
      <c r="G15" s="310">
        <v>2210868</v>
      </c>
      <c r="H15" s="310">
        <v>2211388</v>
      </c>
      <c r="I15" s="310">
        <v>2211786</v>
      </c>
      <c r="J15" s="310">
        <v>2212351</v>
      </c>
      <c r="K15" s="310">
        <v>2212394</v>
      </c>
      <c r="L15" s="310">
        <v>2212847</v>
      </c>
      <c r="M15" s="310">
        <v>2213178</v>
      </c>
      <c r="N15" s="310">
        <v>2213526</v>
      </c>
      <c r="O15" s="310">
        <v>2213763</v>
      </c>
      <c r="P15" s="310">
        <v>2214019</v>
      </c>
      <c r="Q15" s="310">
        <v>2214024</v>
      </c>
      <c r="R15" s="310">
        <v>2214026</v>
      </c>
      <c r="S15" s="310">
        <v>2214476</v>
      </c>
      <c r="T15" s="310">
        <v>2214566</v>
      </c>
      <c r="U15" s="310">
        <v>2214760</v>
      </c>
      <c r="V15" s="310">
        <v>2214829</v>
      </c>
      <c r="W15" s="310">
        <v>2215260</v>
      </c>
      <c r="X15" s="310">
        <v>2215282</v>
      </c>
      <c r="Y15" s="310">
        <v>2215300</v>
      </c>
      <c r="Z15" s="310">
        <v>2215781</v>
      </c>
      <c r="AA15" s="310">
        <v>2216255</v>
      </c>
      <c r="AB15" s="310">
        <v>2216545</v>
      </c>
      <c r="AC15" s="330">
        <v>2217046</v>
      </c>
      <c r="AD15" s="310">
        <v>2217651</v>
      </c>
      <c r="AE15" s="310">
        <v>2217654</v>
      </c>
      <c r="AF15" s="310">
        <v>2217655</v>
      </c>
      <c r="AI15" t="s">
        <v>144</v>
      </c>
    </row>
    <row r="16" spans="1:35" x14ac:dyDescent="0.25">
      <c r="A16" s="6" t="s">
        <v>15</v>
      </c>
      <c r="B16" s="310">
        <v>2050726</v>
      </c>
      <c r="C16" s="310">
        <v>2051243</v>
      </c>
      <c r="D16" s="310">
        <v>2051760</v>
      </c>
      <c r="E16" s="310">
        <v>2052160</v>
      </c>
      <c r="F16" s="310">
        <v>2052651</v>
      </c>
      <c r="G16" s="310">
        <v>2052912</v>
      </c>
      <c r="H16" s="310">
        <v>2053343</v>
      </c>
      <c r="I16" s="310">
        <v>2053614</v>
      </c>
      <c r="J16" s="310">
        <v>2054174</v>
      </c>
      <c r="K16" s="310">
        <v>2054691</v>
      </c>
      <c r="L16" s="310">
        <v>2055295</v>
      </c>
      <c r="M16" s="310">
        <v>2055812</v>
      </c>
      <c r="N16" s="310">
        <v>2056098</v>
      </c>
      <c r="O16" s="310">
        <v>2056187</v>
      </c>
      <c r="P16" s="310">
        <v>2056450</v>
      </c>
      <c r="Q16" s="310">
        <v>2056450</v>
      </c>
      <c r="R16" s="310">
        <v>2056642</v>
      </c>
      <c r="S16" s="310">
        <v>2057246</v>
      </c>
      <c r="T16" s="310">
        <v>2057725</v>
      </c>
      <c r="U16" s="310">
        <v>2058098</v>
      </c>
      <c r="V16" s="310">
        <v>2058098</v>
      </c>
      <c r="W16" s="310">
        <v>2058581</v>
      </c>
      <c r="X16" s="310">
        <v>2059141</v>
      </c>
      <c r="Y16" s="310">
        <v>2059616</v>
      </c>
      <c r="Z16" s="310">
        <v>2060068</v>
      </c>
      <c r="AA16" s="310">
        <v>2060305</v>
      </c>
      <c r="AB16" s="310">
        <v>2060678</v>
      </c>
      <c r="AC16" s="330">
        <v>2061195</v>
      </c>
      <c r="AD16" s="310">
        <v>2061799</v>
      </c>
      <c r="AE16" s="310">
        <v>2062362</v>
      </c>
      <c r="AF16" s="310">
        <v>2062405</v>
      </c>
    </row>
    <row r="17" spans="1:32" x14ac:dyDescent="0.25">
      <c r="A17" s="6" t="s">
        <v>16</v>
      </c>
      <c r="B17" s="310">
        <v>2159399</v>
      </c>
      <c r="C17" s="310">
        <v>2159399</v>
      </c>
      <c r="D17" s="310">
        <v>2159399</v>
      </c>
      <c r="E17" s="310">
        <v>2159648</v>
      </c>
      <c r="F17" s="310">
        <v>2159951</v>
      </c>
      <c r="G17" s="310">
        <v>2160469</v>
      </c>
      <c r="H17" s="310">
        <v>2160985</v>
      </c>
      <c r="I17" s="310">
        <v>2161350</v>
      </c>
      <c r="J17" s="310">
        <v>2161350</v>
      </c>
      <c r="K17" s="310">
        <v>2161350</v>
      </c>
      <c r="L17" s="310">
        <v>2161749</v>
      </c>
      <c r="M17" s="310">
        <v>2162007</v>
      </c>
      <c r="N17" s="310">
        <v>2162337</v>
      </c>
      <c r="O17" s="310">
        <v>2162771</v>
      </c>
      <c r="P17" s="310">
        <v>2163286</v>
      </c>
      <c r="Q17" s="310">
        <v>2163391</v>
      </c>
      <c r="R17" s="310">
        <v>2163391</v>
      </c>
      <c r="S17" s="310">
        <v>2163651</v>
      </c>
      <c r="T17" s="310">
        <v>2163904</v>
      </c>
      <c r="U17" s="310">
        <v>2164466</v>
      </c>
      <c r="V17" s="310">
        <v>2164948</v>
      </c>
      <c r="W17" s="310">
        <v>2165400</v>
      </c>
      <c r="X17" s="310">
        <v>2165400</v>
      </c>
      <c r="Y17" s="310">
        <v>2165400</v>
      </c>
      <c r="Z17" s="310">
        <v>2165611</v>
      </c>
      <c r="AA17" s="310">
        <v>2166129</v>
      </c>
      <c r="AB17" s="310">
        <v>2166662</v>
      </c>
      <c r="AC17" s="330">
        <v>2166830</v>
      </c>
      <c r="AD17" s="310">
        <v>2167280</v>
      </c>
      <c r="AE17" s="310">
        <v>2167280</v>
      </c>
      <c r="AF17" s="310">
        <v>2167280</v>
      </c>
    </row>
    <row r="18" spans="1:32" x14ac:dyDescent="0.25">
      <c r="A18" s="6" t="s">
        <v>17</v>
      </c>
      <c r="B18" s="310">
        <v>2130544</v>
      </c>
      <c r="C18" s="310">
        <v>2130544</v>
      </c>
      <c r="D18" s="310">
        <v>2130544</v>
      </c>
      <c r="E18" s="310">
        <v>2130994</v>
      </c>
      <c r="F18" s="310">
        <v>2131187</v>
      </c>
      <c r="G18" s="310">
        <v>2131420</v>
      </c>
      <c r="H18" s="310">
        <v>2131577</v>
      </c>
      <c r="I18" s="310">
        <v>2132096</v>
      </c>
      <c r="J18" s="310">
        <v>2132613</v>
      </c>
      <c r="K18" s="310">
        <v>2132787</v>
      </c>
      <c r="L18" s="310">
        <v>2133144</v>
      </c>
      <c r="M18" s="310">
        <v>2133704</v>
      </c>
      <c r="N18" s="310">
        <v>2134223</v>
      </c>
      <c r="O18" s="310">
        <v>2134740</v>
      </c>
      <c r="P18" s="310">
        <v>2135066</v>
      </c>
      <c r="Q18" s="310">
        <v>2135066</v>
      </c>
      <c r="R18" s="310">
        <v>2135066</v>
      </c>
      <c r="S18" s="310">
        <v>2135611</v>
      </c>
      <c r="T18" s="310">
        <v>2136171</v>
      </c>
      <c r="U18" s="310">
        <v>2136687</v>
      </c>
      <c r="V18" s="310">
        <v>2136983</v>
      </c>
      <c r="W18" s="310">
        <v>2137435</v>
      </c>
      <c r="X18" s="310">
        <v>2137435</v>
      </c>
      <c r="Y18" s="310">
        <v>2137435</v>
      </c>
      <c r="Z18" s="310">
        <v>2137568</v>
      </c>
      <c r="AA18" s="310">
        <v>2138086</v>
      </c>
      <c r="AB18" s="310">
        <v>2138646</v>
      </c>
      <c r="AC18" s="330">
        <v>2139138</v>
      </c>
      <c r="AD18" s="310">
        <v>2139331</v>
      </c>
      <c r="AE18" s="310">
        <v>2139331</v>
      </c>
      <c r="AF18" s="310">
        <v>2139331</v>
      </c>
    </row>
    <row r="19" spans="1:32" x14ac:dyDescent="0.25">
      <c r="A19" s="6" t="s">
        <v>18</v>
      </c>
      <c r="B19" s="310">
        <v>2219238</v>
      </c>
      <c r="C19" s="310">
        <v>2219800</v>
      </c>
      <c r="D19" s="310">
        <v>2219843</v>
      </c>
      <c r="E19" s="310">
        <v>2219977</v>
      </c>
      <c r="F19" s="310">
        <v>2220170</v>
      </c>
      <c r="G19" s="310">
        <v>2220420</v>
      </c>
      <c r="H19" s="310">
        <v>2220661</v>
      </c>
      <c r="I19" s="310">
        <v>2220851</v>
      </c>
      <c r="J19" s="310">
        <v>2220851</v>
      </c>
      <c r="K19" s="310">
        <v>2220851</v>
      </c>
      <c r="L19" s="310">
        <v>2221140</v>
      </c>
      <c r="M19" s="310">
        <v>2221657</v>
      </c>
      <c r="N19" s="310">
        <v>2222174</v>
      </c>
      <c r="O19" s="310">
        <v>2222778</v>
      </c>
      <c r="P19" s="310">
        <v>2223235</v>
      </c>
      <c r="Q19" s="310">
        <v>2223235</v>
      </c>
      <c r="R19" s="310">
        <v>2223235</v>
      </c>
      <c r="S19" s="310">
        <v>2223427</v>
      </c>
      <c r="T19" s="310">
        <v>2223676</v>
      </c>
      <c r="U19" s="310">
        <v>2224264</v>
      </c>
      <c r="V19" s="310">
        <v>2224739</v>
      </c>
      <c r="W19" s="310">
        <v>2225069</v>
      </c>
      <c r="X19" s="310">
        <v>2225069</v>
      </c>
      <c r="Y19" s="310">
        <v>2225087</v>
      </c>
      <c r="Z19" s="310">
        <v>2225537</v>
      </c>
      <c r="AA19" s="310">
        <v>2225732</v>
      </c>
      <c r="AB19" s="310">
        <v>2226147</v>
      </c>
      <c r="AC19" s="330">
        <v>2226665</v>
      </c>
      <c r="AD19" s="310">
        <v>2227117</v>
      </c>
      <c r="AE19" s="310">
        <v>2227117</v>
      </c>
      <c r="AF19" s="310">
        <v>2227117</v>
      </c>
    </row>
    <row r="20" spans="1:32" x14ac:dyDescent="0.25">
      <c r="A20" s="6" t="s">
        <v>19</v>
      </c>
      <c r="B20" s="310">
        <v>2189170</v>
      </c>
      <c r="C20" s="310">
        <v>2189170</v>
      </c>
      <c r="D20" s="310">
        <v>2189170</v>
      </c>
      <c r="E20" s="310">
        <v>2189419</v>
      </c>
      <c r="F20" s="310">
        <v>2189919</v>
      </c>
      <c r="G20" s="310">
        <v>2190435</v>
      </c>
      <c r="H20" s="310">
        <v>2190661</v>
      </c>
      <c r="I20" s="310">
        <v>2190910</v>
      </c>
      <c r="J20" s="310">
        <v>2190931</v>
      </c>
      <c r="K20" s="310">
        <v>2191194</v>
      </c>
      <c r="L20" s="310">
        <v>2191756</v>
      </c>
      <c r="M20" s="310">
        <v>2192231</v>
      </c>
      <c r="N20" s="310">
        <v>2192432</v>
      </c>
      <c r="O20" s="310">
        <v>2192695</v>
      </c>
      <c r="P20" s="310">
        <v>2192991</v>
      </c>
      <c r="Q20" s="310">
        <v>2193053</v>
      </c>
      <c r="R20" s="310">
        <v>2193053</v>
      </c>
      <c r="S20" s="310">
        <v>2193358</v>
      </c>
      <c r="T20" s="310">
        <v>2193741</v>
      </c>
      <c r="U20" s="310">
        <v>2194163</v>
      </c>
      <c r="V20" s="310">
        <v>2194163</v>
      </c>
      <c r="W20" s="310">
        <v>2194415</v>
      </c>
      <c r="X20" s="310">
        <v>2194415</v>
      </c>
      <c r="Y20" s="310">
        <v>2194415</v>
      </c>
      <c r="Z20" s="310">
        <v>2194663</v>
      </c>
      <c r="AA20" s="310">
        <v>2194925</v>
      </c>
      <c r="AB20" s="310">
        <v>2195511</v>
      </c>
      <c r="AC20" s="330">
        <v>2196073</v>
      </c>
      <c r="AD20" s="310">
        <v>2196590</v>
      </c>
      <c r="AE20" s="310">
        <v>2197149</v>
      </c>
      <c r="AF20" s="310">
        <v>2197666</v>
      </c>
    </row>
    <row r="21" spans="1:32" x14ac:dyDescent="0.25">
      <c r="A21" s="6" t="s">
        <v>20</v>
      </c>
      <c r="B21" s="310">
        <v>2191399</v>
      </c>
      <c r="C21" s="310">
        <v>2191917</v>
      </c>
      <c r="D21" s="310">
        <v>2192351</v>
      </c>
      <c r="E21" s="310">
        <v>2192781</v>
      </c>
      <c r="F21" s="310">
        <v>2193230</v>
      </c>
      <c r="G21" s="310">
        <v>2193294</v>
      </c>
      <c r="H21" s="310">
        <v>2193521</v>
      </c>
      <c r="I21" s="310">
        <v>2194083</v>
      </c>
      <c r="J21" s="310">
        <v>2194126</v>
      </c>
      <c r="K21" s="310">
        <v>2194645</v>
      </c>
      <c r="L21" s="310">
        <v>2195162</v>
      </c>
      <c r="M21" s="310">
        <v>2195387</v>
      </c>
      <c r="N21" s="310">
        <v>2195818</v>
      </c>
      <c r="O21" s="310">
        <v>2196378</v>
      </c>
      <c r="P21" s="310">
        <v>2196937</v>
      </c>
      <c r="Q21" s="310">
        <v>2197455</v>
      </c>
      <c r="R21" s="310">
        <v>2197931</v>
      </c>
      <c r="S21" s="310">
        <v>2198140</v>
      </c>
      <c r="T21" s="310">
        <v>2198386</v>
      </c>
      <c r="U21" s="310">
        <v>2198724</v>
      </c>
      <c r="V21" s="310">
        <v>2198916</v>
      </c>
      <c r="W21" s="310">
        <v>2199167</v>
      </c>
      <c r="X21" s="310">
        <v>2199167</v>
      </c>
      <c r="Y21" s="310">
        <v>2199167</v>
      </c>
      <c r="Z21" s="310">
        <v>2199472</v>
      </c>
      <c r="AA21" s="310">
        <v>2200076</v>
      </c>
      <c r="AB21" s="310">
        <v>2200637</v>
      </c>
      <c r="AC21" s="330">
        <v>2201110</v>
      </c>
      <c r="AD21" s="310">
        <v>2201287</v>
      </c>
      <c r="AE21" s="310">
        <v>2201804</v>
      </c>
      <c r="AF21" s="310">
        <v>2202281</v>
      </c>
    </row>
    <row r="22" spans="1:32" x14ac:dyDescent="0.25">
      <c r="A22" s="6" t="s">
        <v>21</v>
      </c>
      <c r="B22" s="310">
        <v>2119868</v>
      </c>
      <c r="C22" s="310">
        <v>2120347</v>
      </c>
      <c r="D22" s="310">
        <v>2120349</v>
      </c>
      <c r="E22" s="310">
        <v>2120911</v>
      </c>
      <c r="F22" s="310">
        <v>2121405</v>
      </c>
      <c r="G22" s="310">
        <v>2121818</v>
      </c>
      <c r="H22" s="310">
        <v>2122335</v>
      </c>
      <c r="I22" s="310">
        <v>2122895</v>
      </c>
      <c r="J22" s="310">
        <v>2123412</v>
      </c>
      <c r="K22" s="310">
        <v>2123758</v>
      </c>
      <c r="L22" s="310">
        <v>2124362</v>
      </c>
      <c r="M22" s="310">
        <v>2124805</v>
      </c>
      <c r="N22" s="310">
        <v>2125365</v>
      </c>
      <c r="O22" s="310">
        <v>2125623</v>
      </c>
      <c r="P22" s="310">
        <v>2126209</v>
      </c>
      <c r="Q22" s="310">
        <v>2126729</v>
      </c>
      <c r="R22" s="310">
        <v>2127160</v>
      </c>
      <c r="S22" s="310">
        <v>2127403</v>
      </c>
      <c r="T22" s="310">
        <v>2127820</v>
      </c>
      <c r="U22" s="310">
        <v>2128251</v>
      </c>
      <c r="V22" s="310">
        <v>2128339</v>
      </c>
      <c r="W22" s="310">
        <v>2128643</v>
      </c>
      <c r="X22" s="310">
        <v>2128688</v>
      </c>
      <c r="Y22" s="310">
        <v>2128688</v>
      </c>
      <c r="Z22" s="310">
        <v>2129120</v>
      </c>
      <c r="AA22" s="310">
        <v>2129561</v>
      </c>
      <c r="AB22" s="310">
        <v>2130039</v>
      </c>
      <c r="AC22" s="330">
        <v>2130319</v>
      </c>
      <c r="AD22" s="310">
        <v>2130477</v>
      </c>
      <c r="AE22" s="310">
        <v>2130910</v>
      </c>
      <c r="AF22" s="310">
        <v>2131341</v>
      </c>
    </row>
    <row r="23" spans="1:32" x14ac:dyDescent="0.25">
      <c r="A23" s="6" t="s">
        <v>22</v>
      </c>
      <c r="B23" s="310">
        <v>2151167</v>
      </c>
      <c r="C23" s="310">
        <v>2151167</v>
      </c>
      <c r="D23" s="310">
        <v>2151167</v>
      </c>
      <c r="E23" s="310">
        <v>2151422</v>
      </c>
      <c r="F23" s="310">
        <v>2151855</v>
      </c>
      <c r="G23" s="310">
        <v>2152054</v>
      </c>
      <c r="H23" s="310">
        <v>2152202</v>
      </c>
      <c r="I23" s="310">
        <v>2152524</v>
      </c>
      <c r="J23" s="310">
        <v>2152544</v>
      </c>
      <c r="K23" s="310">
        <v>2152850</v>
      </c>
      <c r="L23" s="310">
        <v>2153342</v>
      </c>
      <c r="M23" s="310">
        <v>2153441</v>
      </c>
      <c r="N23" s="310">
        <v>2153642</v>
      </c>
      <c r="O23" s="310">
        <v>2153893</v>
      </c>
      <c r="P23" s="310">
        <v>2154144</v>
      </c>
      <c r="Q23" s="310">
        <v>2154144</v>
      </c>
      <c r="R23" s="310">
        <v>2154144</v>
      </c>
      <c r="S23" s="310">
        <v>2154501</v>
      </c>
      <c r="T23" s="310">
        <v>2154764</v>
      </c>
      <c r="U23" s="310">
        <v>2155014</v>
      </c>
      <c r="V23" s="310">
        <v>2155014</v>
      </c>
      <c r="W23" s="310">
        <v>2155515</v>
      </c>
      <c r="X23" s="310">
        <v>2156033</v>
      </c>
      <c r="Y23" s="310">
        <v>2156209</v>
      </c>
      <c r="Z23" s="310">
        <v>2156645</v>
      </c>
      <c r="AA23" s="310">
        <v>2156850</v>
      </c>
      <c r="AB23" s="310">
        <v>2157179</v>
      </c>
      <c r="AC23" s="330">
        <v>2157740</v>
      </c>
      <c r="AD23" s="310">
        <v>2158301</v>
      </c>
      <c r="AE23" s="310">
        <v>2158820</v>
      </c>
      <c r="AF23" s="310">
        <v>2159297</v>
      </c>
    </row>
    <row r="24" spans="1:32" x14ac:dyDescent="0.25">
      <c r="A24" s="5" t="s">
        <v>23</v>
      </c>
      <c r="B24" s="310">
        <v>2190241</v>
      </c>
      <c r="C24" s="310">
        <v>2190241</v>
      </c>
      <c r="D24" s="310">
        <v>2190252</v>
      </c>
      <c r="E24" s="310">
        <v>2190823</v>
      </c>
      <c r="F24" s="310">
        <v>2191297</v>
      </c>
      <c r="G24" s="310">
        <v>2191457</v>
      </c>
      <c r="H24" s="310">
        <v>2191624</v>
      </c>
      <c r="I24" s="310">
        <v>2192141</v>
      </c>
      <c r="J24" s="310">
        <v>2192701</v>
      </c>
      <c r="K24" s="310">
        <v>2192746</v>
      </c>
      <c r="L24" s="310">
        <v>2193265</v>
      </c>
      <c r="M24" s="310">
        <v>2193714</v>
      </c>
      <c r="N24" s="310">
        <v>2194089</v>
      </c>
      <c r="O24" s="310">
        <v>2194541</v>
      </c>
      <c r="P24" s="310">
        <v>2194794</v>
      </c>
      <c r="Q24" s="310">
        <v>2195312</v>
      </c>
      <c r="R24" s="310">
        <v>2195743</v>
      </c>
      <c r="S24" s="310">
        <v>2196193</v>
      </c>
      <c r="T24" s="310">
        <v>2196387</v>
      </c>
      <c r="U24" s="310">
        <v>2196638</v>
      </c>
      <c r="V24" s="310">
        <v>2196638</v>
      </c>
      <c r="W24" s="310">
        <v>2197052</v>
      </c>
      <c r="X24" s="310">
        <v>2197569</v>
      </c>
      <c r="Y24" s="310">
        <v>2198000</v>
      </c>
      <c r="Z24" s="310">
        <v>2198516</v>
      </c>
      <c r="AA24" s="310">
        <v>2198774</v>
      </c>
      <c r="AB24" s="310">
        <v>2198967</v>
      </c>
      <c r="AC24" s="330">
        <v>2199450</v>
      </c>
      <c r="AD24" s="310">
        <v>2200012</v>
      </c>
      <c r="AE24" s="310">
        <v>2200318</v>
      </c>
      <c r="AF24" s="310">
        <v>2200752</v>
      </c>
    </row>
    <row r="25" spans="1:32" x14ac:dyDescent="0.25">
      <c r="A25" s="6" t="s">
        <v>24</v>
      </c>
      <c r="B25" s="310">
        <v>2204450</v>
      </c>
      <c r="C25" s="310">
        <v>2205013</v>
      </c>
      <c r="D25" s="310">
        <v>2205056</v>
      </c>
      <c r="E25" s="310">
        <v>2205577</v>
      </c>
      <c r="F25" s="310">
        <v>2206013</v>
      </c>
      <c r="G25" s="310">
        <v>2206225</v>
      </c>
      <c r="H25" s="310">
        <v>2206428</v>
      </c>
      <c r="I25" s="310">
        <v>2206509</v>
      </c>
      <c r="J25" s="310">
        <v>2207029</v>
      </c>
      <c r="K25" s="310">
        <v>2207503</v>
      </c>
      <c r="L25" s="310">
        <v>2207895</v>
      </c>
      <c r="M25" s="310">
        <v>2208348</v>
      </c>
      <c r="N25" s="310">
        <v>2208490</v>
      </c>
      <c r="O25" s="310">
        <v>2209009</v>
      </c>
      <c r="P25" s="310">
        <v>2209530</v>
      </c>
      <c r="Q25" s="310">
        <v>2209962</v>
      </c>
      <c r="R25" s="310">
        <v>2210325</v>
      </c>
      <c r="S25" s="310">
        <v>2210585</v>
      </c>
      <c r="T25" s="310">
        <v>2211189</v>
      </c>
      <c r="U25" s="310">
        <v>2211751</v>
      </c>
      <c r="V25" s="310">
        <v>2212227</v>
      </c>
      <c r="W25" s="310">
        <v>2212787</v>
      </c>
      <c r="X25" s="310">
        <v>2213348</v>
      </c>
      <c r="Y25" s="310">
        <v>2213391</v>
      </c>
      <c r="Z25" s="310">
        <v>2213822</v>
      </c>
      <c r="AA25" s="310">
        <v>2214223</v>
      </c>
      <c r="AB25" s="310">
        <v>2214784</v>
      </c>
      <c r="AC25" s="330">
        <v>2215258</v>
      </c>
      <c r="AD25" s="310">
        <v>2215778</v>
      </c>
      <c r="AE25" s="310">
        <v>2216298</v>
      </c>
      <c r="AF25" s="310">
        <v>2216773</v>
      </c>
    </row>
    <row r="26" spans="1:32" x14ac:dyDescent="0.25">
      <c r="A26" s="6" t="s">
        <v>25</v>
      </c>
      <c r="B26" s="310">
        <v>2205116</v>
      </c>
      <c r="C26" s="310">
        <v>2205116</v>
      </c>
      <c r="D26" s="310">
        <v>2205116</v>
      </c>
      <c r="E26" s="310">
        <v>2205615</v>
      </c>
      <c r="F26" s="310">
        <v>2205982</v>
      </c>
      <c r="G26" s="310">
        <v>2206046</v>
      </c>
      <c r="H26" s="310">
        <v>2206386</v>
      </c>
      <c r="I26" s="310">
        <v>2206818</v>
      </c>
      <c r="J26" s="310">
        <v>2206846</v>
      </c>
      <c r="K26" s="310">
        <v>2206846</v>
      </c>
      <c r="L26" s="310">
        <v>2207406</v>
      </c>
      <c r="M26" s="310">
        <v>2207880</v>
      </c>
      <c r="N26" s="310">
        <v>2208194</v>
      </c>
      <c r="O26" s="310">
        <v>2208626</v>
      </c>
      <c r="P26" s="310">
        <v>2208977</v>
      </c>
      <c r="Q26" s="310">
        <v>2209495</v>
      </c>
      <c r="R26" s="310">
        <v>2209971</v>
      </c>
      <c r="S26" s="310">
        <v>2210531</v>
      </c>
      <c r="T26" s="310">
        <v>2210965</v>
      </c>
      <c r="U26" s="310">
        <v>2211236</v>
      </c>
      <c r="V26" s="310">
        <v>2211236</v>
      </c>
      <c r="W26" s="310">
        <v>2211427</v>
      </c>
      <c r="X26" s="310">
        <v>2211704</v>
      </c>
      <c r="Y26" s="310">
        <v>2211966</v>
      </c>
      <c r="Z26" s="310">
        <v>2212526</v>
      </c>
      <c r="AA26" s="310">
        <v>2212874</v>
      </c>
      <c r="AB26" s="310">
        <v>2213434</v>
      </c>
      <c r="AC26" s="330">
        <v>2213815</v>
      </c>
      <c r="AD26" s="310">
        <v>2213907</v>
      </c>
      <c r="AE26" s="310">
        <v>2213907</v>
      </c>
      <c r="AF26" s="310">
        <v>2213910</v>
      </c>
    </row>
    <row r="27" spans="1:32" x14ac:dyDescent="0.25">
      <c r="A27" s="6" t="s">
        <v>26</v>
      </c>
      <c r="B27" s="310">
        <v>2171183</v>
      </c>
      <c r="C27" s="310">
        <v>2171183</v>
      </c>
      <c r="D27" s="310">
        <v>2171701</v>
      </c>
      <c r="E27" s="310">
        <v>2172178</v>
      </c>
      <c r="F27" s="310">
        <v>2172653</v>
      </c>
      <c r="G27" s="310">
        <v>2173107</v>
      </c>
      <c r="H27" s="310">
        <v>2173285</v>
      </c>
      <c r="I27" s="310">
        <v>2173485</v>
      </c>
      <c r="J27" s="310">
        <v>2173512</v>
      </c>
      <c r="K27" s="310">
        <v>2173512</v>
      </c>
      <c r="L27" s="310">
        <v>2173964</v>
      </c>
      <c r="M27" s="310">
        <v>2174167</v>
      </c>
      <c r="N27" s="310">
        <v>2174432</v>
      </c>
      <c r="O27" s="310">
        <v>2174758</v>
      </c>
      <c r="P27" s="310">
        <v>2175150</v>
      </c>
      <c r="Q27" s="310">
        <v>2175625</v>
      </c>
      <c r="R27" s="310">
        <v>2176143</v>
      </c>
      <c r="S27" s="310">
        <v>2176636</v>
      </c>
      <c r="T27" s="310">
        <v>2177240</v>
      </c>
      <c r="U27" s="310">
        <v>2177777</v>
      </c>
      <c r="V27" s="310">
        <v>2177777</v>
      </c>
      <c r="W27" s="310">
        <v>2177971</v>
      </c>
      <c r="X27" s="310">
        <v>2177971</v>
      </c>
      <c r="Y27" s="310">
        <v>2178162</v>
      </c>
      <c r="Z27" s="310">
        <v>2178680</v>
      </c>
      <c r="AA27" s="310">
        <v>2179198</v>
      </c>
      <c r="AB27" s="310">
        <v>2179648</v>
      </c>
      <c r="AC27" s="330">
        <v>2179910</v>
      </c>
      <c r="AD27" s="310">
        <v>2180471</v>
      </c>
      <c r="AE27" s="310">
        <v>2180989</v>
      </c>
      <c r="AF27" s="310">
        <v>2181507</v>
      </c>
    </row>
    <row r="28" spans="1:32" x14ac:dyDescent="0.25">
      <c r="A28" s="6" t="s">
        <v>27</v>
      </c>
      <c r="B28" s="310">
        <v>2138317</v>
      </c>
      <c r="C28" s="310">
        <v>2138360</v>
      </c>
      <c r="D28" s="310">
        <v>2138619</v>
      </c>
      <c r="E28" s="310">
        <v>2139154</v>
      </c>
      <c r="F28" s="310">
        <v>2139631</v>
      </c>
      <c r="G28" s="310">
        <v>2140192</v>
      </c>
      <c r="H28" s="310">
        <v>2140632</v>
      </c>
      <c r="I28" s="310">
        <v>2141153</v>
      </c>
      <c r="J28" s="310">
        <v>2141153</v>
      </c>
      <c r="K28" s="310">
        <v>2141192</v>
      </c>
      <c r="L28" s="310">
        <v>2141711</v>
      </c>
      <c r="M28" s="310">
        <v>2142315</v>
      </c>
      <c r="N28" s="310">
        <v>2142680</v>
      </c>
      <c r="O28" s="310">
        <v>2143040</v>
      </c>
      <c r="P28" s="310">
        <v>2143235</v>
      </c>
      <c r="Q28" s="310">
        <v>2143235</v>
      </c>
      <c r="R28" s="310">
        <v>2143235</v>
      </c>
      <c r="S28" s="310">
        <v>2143822</v>
      </c>
      <c r="T28" s="310">
        <v>2144274</v>
      </c>
      <c r="U28" s="310">
        <v>2144419</v>
      </c>
      <c r="V28" s="310">
        <v>2144699</v>
      </c>
      <c r="W28" s="310">
        <v>2145216</v>
      </c>
      <c r="X28" s="310">
        <v>2145218</v>
      </c>
      <c r="Y28" s="310">
        <v>2145524</v>
      </c>
      <c r="Z28" s="310">
        <v>2146008</v>
      </c>
      <c r="AA28" s="310">
        <v>2146486</v>
      </c>
      <c r="AB28" s="310">
        <v>2147007</v>
      </c>
      <c r="AC28" s="330">
        <v>2147611</v>
      </c>
      <c r="AD28" s="310">
        <v>2147898</v>
      </c>
      <c r="AE28" s="310">
        <v>2147898</v>
      </c>
      <c r="AF28" s="310">
        <v>2147898</v>
      </c>
    </row>
    <row r="29" spans="1:32" x14ac:dyDescent="0.25">
      <c r="A29" s="5" t="s">
        <v>28</v>
      </c>
      <c r="B29" s="310">
        <v>2088368</v>
      </c>
      <c r="C29" s="310">
        <v>2088885</v>
      </c>
      <c r="D29" s="310">
        <v>2089362</v>
      </c>
      <c r="E29" s="310">
        <v>2089923</v>
      </c>
      <c r="F29" s="310">
        <v>2090399</v>
      </c>
      <c r="G29" s="310">
        <v>2090962</v>
      </c>
      <c r="H29" s="310">
        <v>2091413</v>
      </c>
      <c r="I29" s="310">
        <v>2091615</v>
      </c>
      <c r="J29" s="310">
        <v>2092135</v>
      </c>
      <c r="K29" s="310">
        <v>2092566</v>
      </c>
      <c r="L29" s="310">
        <v>2092958</v>
      </c>
      <c r="M29" s="310">
        <v>2093561</v>
      </c>
      <c r="N29" s="310">
        <v>2094122</v>
      </c>
      <c r="O29" s="310">
        <v>2094410</v>
      </c>
      <c r="P29" s="310">
        <v>2094827</v>
      </c>
      <c r="Q29" s="310">
        <v>2095344</v>
      </c>
      <c r="R29" s="310">
        <v>2095862</v>
      </c>
      <c r="S29" s="310">
        <v>2096379</v>
      </c>
      <c r="T29" s="310">
        <v>2096829</v>
      </c>
      <c r="U29" s="310">
        <v>2097144</v>
      </c>
      <c r="V29" s="310">
        <v>2097618</v>
      </c>
      <c r="W29" s="310">
        <v>2098221</v>
      </c>
      <c r="X29" s="310">
        <v>2098700</v>
      </c>
      <c r="Y29" s="310">
        <v>2099175</v>
      </c>
      <c r="Z29" s="310">
        <v>2099667</v>
      </c>
      <c r="AA29" s="310">
        <v>2099918</v>
      </c>
      <c r="AB29" s="310">
        <v>2099998</v>
      </c>
      <c r="AC29" s="330">
        <v>2100202</v>
      </c>
      <c r="AD29" s="310">
        <v>2100453</v>
      </c>
      <c r="AE29" s="310">
        <v>2100453</v>
      </c>
      <c r="AF29" s="310">
        <v>2100453</v>
      </c>
    </row>
    <row r="30" spans="1:32" x14ac:dyDescent="0.25">
      <c r="A30" s="6" t="s">
        <v>29</v>
      </c>
      <c r="B30" s="310">
        <v>1836054</v>
      </c>
      <c r="C30" s="310">
        <v>1836573</v>
      </c>
      <c r="D30" s="310">
        <v>1837005</v>
      </c>
      <c r="E30" s="310">
        <v>1837523</v>
      </c>
      <c r="F30" s="310">
        <v>1838040</v>
      </c>
      <c r="G30" s="310">
        <v>1838493</v>
      </c>
      <c r="H30" s="310">
        <v>1838664</v>
      </c>
      <c r="I30" s="310">
        <v>1838845</v>
      </c>
      <c r="J30" s="310">
        <v>1838845</v>
      </c>
      <c r="K30" s="310">
        <v>1838845</v>
      </c>
      <c r="L30" s="310">
        <v>1839150</v>
      </c>
      <c r="M30" s="310">
        <v>1839709</v>
      </c>
      <c r="N30" s="310">
        <v>1840312</v>
      </c>
      <c r="O30" s="310">
        <v>1840915</v>
      </c>
      <c r="P30" s="310">
        <v>1841305</v>
      </c>
      <c r="Q30" s="310">
        <v>1841865</v>
      </c>
      <c r="R30" s="310">
        <v>1841912</v>
      </c>
      <c r="S30" s="310">
        <v>1842472</v>
      </c>
      <c r="T30" s="310">
        <v>1843031</v>
      </c>
      <c r="U30" s="310">
        <v>1843462</v>
      </c>
      <c r="V30" s="310">
        <v>1843637</v>
      </c>
      <c r="W30" s="310">
        <v>1843903</v>
      </c>
      <c r="X30" s="310">
        <v>1844421</v>
      </c>
      <c r="Y30" s="310">
        <v>1844726</v>
      </c>
      <c r="Z30" s="310">
        <v>1844919</v>
      </c>
      <c r="AA30" s="310">
        <v>1845166</v>
      </c>
      <c r="AB30" s="310">
        <v>1845240</v>
      </c>
      <c r="AC30" s="330">
        <v>1845613</v>
      </c>
      <c r="AD30" s="310">
        <v>1845878</v>
      </c>
      <c r="AE30" s="310">
        <v>1845878</v>
      </c>
      <c r="AF30" s="310">
        <v>1845878</v>
      </c>
    </row>
    <row r="31" spans="1:32" x14ac:dyDescent="0.25">
      <c r="A31" s="7" t="s">
        <v>30</v>
      </c>
      <c r="B31" s="310">
        <v>2139800</v>
      </c>
      <c r="C31" s="310">
        <v>2140359</v>
      </c>
      <c r="D31" s="310">
        <v>2140624</v>
      </c>
      <c r="E31" s="310">
        <v>2141163</v>
      </c>
      <c r="F31" s="310">
        <v>2141742</v>
      </c>
      <c r="G31" s="310">
        <v>2142234</v>
      </c>
      <c r="H31" s="310">
        <v>2142359</v>
      </c>
      <c r="I31" s="310">
        <v>2142599</v>
      </c>
      <c r="J31" s="310">
        <v>2142599</v>
      </c>
      <c r="K31" s="310">
        <v>2142599</v>
      </c>
      <c r="L31" s="310">
        <v>2142858</v>
      </c>
      <c r="M31" s="310">
        <v>2143108</v>
      </c>
      <c r="N31" s="310">
        <v>2143694</v>
      </c>
      <c r="O31" s="310">
        <v>2143962</v>
      </c>
      <c r="P31" s="310">
        <v>2144523</v>
      </c>
      <c r="Q31" s="310">
        <v>2145041</v>
      </c>
      <c r="R31" s="310">
        <v>2145515</v>
      </c>
      <c r="S31" s="310">
        <v>2146076</v>
      </c>
      <c r="T31" s="310">
        <v>2146635</v>
      </c>
      <c r="U31" s="310">
        <v>2146852</v>
      </c>
      <c r="V31" s="310">
        <v>2146852</v>
      </c>
      <c r="W31" s="310">
        <v>2147004</v>
      </c>
      <c r="X31" s="310">
        <v>2147025</v>
      </c>
      <c r="Y31" s="310">
        <v>2147025</v>
      </c>
      <c r="Z31" s="310">
        <v>2147274</v>
      </c>
      <c r="AA31" s="310">
        <v>2147526</v>
      </c>
      <c r="AB31" s="310">
        <v>2148129</v>
      </c>
      <c r="AC31" s="330">
        <v>2148577</v>
      </c>
      <c r="AD31" s="310">
        <v>2148848</v>
      </c>
      <c r="AE31" s="310">
        <v>2148848</v>
      </c>
      <c r="AF31" s="310">
        <v>2148849</v>
      </c>
    </row>
    <row r="32" spans="1:32" s="124" customFormat="1" x14ac:dyDescent="0.25">
      <c r="A32" s="6" t="s">
        <v>111</v>
      </c>
      <c r="B32" s="310">
        <v>739432</v>
      </c>
      <c r="C32" s="310">
        <v>739436</v>
      </c>
      <c r="D32" s="310">
        <v>739439</v>
      </c>
      <c r="E32" s="310">
        <v>739531</v>
      </c>
      <c r="F32" s="310">
        <v>739796</v>
      </c>
      <c r="G32" s="310">
        <v>740401</v>
      </c>
      <c r="H32" s="310">
        <v>740855</v>
      </c>
      <c r="I32" s="310">
        <v>741038</v>
      </c>
      <c r="J32" s="310">
        <v>741038</v>
      </c>
      <c r="K32" s="310">
        <v>741038</v>
      </c>
      <c r="L32" s="310">
        <v>741135</v>
      </c>
      <c r="M32" s="310">
        <v>741329</v>
      </c>
      <c r="N32" s="310">
        <v>741511</v>
      </c>
      <c r="O32" s="310">
        <v>741755</v>
      </c>
      <c r="P32" s="310">
        <v>742207</v>
      </c>
      <c r="Q32" s="310">
        <v>742228</v>
      </c>
      <c r="R32" s="310">
        <v>742231</v>
      </c>
      <c r="S32" s="310">
        <v>742750</v>
      </c>
      <c r="T32" s="310">
        <v>742950</v>
      </c>
      <c r="U32" s="310">
        <v>743253</v>
      </c>
      <c r="V32" s="310">
        <v>743556</v>
      </c>
      <c r="W32" s="310">
        <v>744006</v>
      </c>
      <c r="X32" s="310">
        <v>744006</v>
      </c>
      <c r="Y32" s="310">
        <v>744006</v>
      </c>
      <c r="Z32" s="310">
        <v>744534</v>
      </c>
      <c r="AA32" s="310">
        <v>745113</v>
      </c>
      <c r="AB32" s="310">
        <v>745342</v>
      </c>
      <c r="AC32" s="330">
        <v>745860</v>
      </c>
      <c r="AD32" s="310">
        <v>746293</v>
      </c>
      <c r="AE32" s="310">
        <v>746293</v>
      </c>
      <c r="AF32" s="310">
        <v>746293</v>
      </c>
    </row>
    <row r="33" spans="1:32" s="124" customFormat="1" x14ac:dyDescent="0.25">
      <c r="A33" s="5" t="s">
        <v>112</v>
      </c>
      <c r="B33" s="310">
        <v>678060</v>
      </c>
      <c r="C33" s="310">
        <v>678060</v>
      </c>
      <c r="D33" s="310">
        <v>678060</v>
      </c>
      <c r="E33" s="310">
        <v>678060</v>
      </c>
      <c r="F33" s="310">
        <v>678060</v>
      </c>
      <c r="G33" s="310">
        <v>678060</v>
      </c>
      <c r="H33" s="310">
        <v>678060</v>
      </c>
      <c r="I33" s="310">
        <v>678060</v>
      </c>
      <c r="J33" s="310">
        <v>678060</v>
      </c>
      <c r="K33" s="310">
        <v>678060</v>
      </c>
      <c r="L33" s="310">
        <v>678060</v>
      </c>
      <c r="M33" s="310">
        <v>678060</v>
      </c>
      <c r="N33" s="310">
        <v>678060</v>
      </c>
      <c r="O33" s="310">
        <v>678060</v>
      </c>
      <c r="P33" s="310">
        <v>678060</v>
      </c>
      <c r="Q33" s="310">
        <v>678060</v>
      </c>
      <c r="R33" s="310">
        <v>678060</v>
      </c>
      <c r="S33" s="310">
        <v>678060</v>
      </c>
      <c r="T33" s="310">
        <v>678060</v>
      </c>
      <c r="U33" s="310">
        <v>678090</v>
      </c>
      <c r="V33" s="310">
        <v>678090</v>
      </c>
      <c r="W33" s="310">
        <v>678295</v>
      </c>
      <c r="X33" s="310">
        <v>678295</v>
      </c>
      <c r="Y33" s="310">
        <v>678295</v>
      </c>
      <c r="Z33" s="310">
        <v>678547</v>
      </c>
      <c r="AA33" s="310">
        <v>678799</v>
      </c>
      <c r="AB33" s="310">
        <v>679050</v>
      </c>
      <c r="AC33" s="330">
        <v>679302</v>
      </c>
      <c r="AD33" s="310">
        <v>679495</v>
      </c>
      <c r="AE33" s="310">
        <v>679495</v>
      </c>
      <c r="AF33" s="310">
        <v>679495</v>
      </c>
    </row>
    <row r="34" spans="1:32" s="124" customFormat="1" x14ac:dyDescent="0.25">
      <c r="A34" s="6" t="s">
        <v>113</v>
      </c>
      <c r="B34" s="310">
        <v>721268</v>
      </c>
      <c r="C34" s="310">
        <v>721268</v>
      </c>
      <c r="D34" s="310">
        <v>721268</v>
      </c>
      <c r="E34" s="310">
        <v>721521</v>
      </c>
      <c r="F34" s="310">
        <v>721774</v>
      </c>
      <c r="G34" s="310">
        <v>721971</v>
      </c>
      <c r="H34" s="310">
        <v>722162</v>
      </c>
      <c r="I34" s="310">
        <v>722414</v>
      </c>
      <c r="J34" s="310">
        <v>722414</v>
      </c>
      <c r="K34" s="310">
        <v>722414</v>
      </c>
      <c r="L34" s="310">
        <v>722672</v>
      </c>
      <c r="M34" s="310">
        <v>722987</v>
      </c>
      <c r="N34" s="310">
        <v>723259</v>
      </c>
      <c r="O34" s="310">
        <v>723714</v>
      </c>
      <c r="P34" s="310">
        <v>723785</v>
      </c>
      <c r="Q34" s="310">
        <v>723785</v>
      </c>
      <c r="R34" s="310">
        <v>723785</v>
      </c>
      <c r="S34" s="310">
        <v>723785</v>
      </c>
      <c r="T34" s="310">
        <v>723785</v>
      </c>
      <c r="U34" s="310">
        <v>723785</v>
      </c>
      <c r="V34" s="310">
        <v>723785</v>
      </c>
      <c r="W34" s="310">
        <v>723785</v>
      </c>
      <c r="X34" s="310">
        <v>723785</v>
      </c>
      <c r="Y34" s="310">
        <v>723785</v>
      </c>
      <c r="Z34" s="310">
        <v>723785</v>
      </c>
      <c r="AA34" s="310">
        <v>723785</v>
      </c>
      <c r="AB34" s="310">
        <v>723785</v>
      </c>
      <c r="AC34" s="330">
        <v>723785</v>
      </c>
      <c r="AD34" s="310">
        <v>723785</v>
      </c>
      <c r="AE34" s="310">
        <v>723785</v>
      </c>
      <c r="AF34" s="310">
        <v>723785</v>
      </c>
    </row>
    <row r="35" spans="1:32" s="124" customFormat="1" x14ac:dyDescent="0.25">
      <c r="A35" s="7" t="s">
        <v>114</v>
      </c>
      <c r="B35" s="310">
        <v>734738</v>
      </c>
      <c r="C35" s="310">
        <v>734738</v>
      </c>
      <c r="D35" s="310">
        <v>734738</v>
      </c>
      <c r="E35" s="310">
        <v>734989</v>
      </c>
      <c r="F35" s="310">
        <v>735240</v>
      </c>
      <c r="G35" s="310">
        <v>735656</v>
      </c>
      <c r="H35" s="310">
        <v>735918</v>
      </c>
      <c r="I35" s="310">
        <v>736099</v>
      </c>
      <c r="J35" s="310">
        <v>736099</v>
      </c>
      <c r="K35" s="310">
        <v>736099</v>
      </c>
      <c r="L35" s="310">
        <v>736282</v>
      </c>
      <c r="M35" s="310">
        <v>736610</v>
      </c>
      <c r="N35" s="310">
        <v>736777</v>
      </c>
      <c r="O35" s="310">
        <v>736864</v>
      </c>
      <c r="P35" s="310">
        <v>737069</v>
      </c>
      <c r="Q35" s="310">
        <v>737069</v>
      </c>
      <c r="R35" s="310">
        <v>737069</v>
      </c>
      <c r="S35" s="310">
        <v>737321</v>
      </c>
      <c r="T35" s="310">
        <v>737572</v>
      </c>
      <c r="U35" s="310">
        <v>738032</v>
      </c>
      <c r="V35" s="310">
        <v>738163</v>
      </c>
      <c r="W35" s="310">
        <v>738614</v>
      </c>
      <c r="X35" s="310">
        <v>738614</v>
      </c>
      <c r="Y35" s="310">
        <v>738614</v>
      </c>
      <c r="Z35" s="310">
        <v>738677</v>
      </c>
      <c r="AA35" s="310">
        <v>739180</v>
      </c>
      <c r="AB35" s="310">
        <v>739698</v>
      </c>
      <c r="AC35" s="330">
        <v>740216</v>
      </c>
      <c r="AD35" s="310">
        <v>740649</v>
      </c>
      <c r="AE35" s="310">
        <v>740649</v>
      </c>
      <c r="AF35" s="310">
        <v>740649</v>
      </c>
    </row>
    <row r="36" spans="1:32" s="124" customFormat="1" x14ac:dyDescent="0.25">
      <c r="A36" s="5" t="s">
        <v>115</v>
      </c>
      <c r="B36" s="310">
        <v>709479</v>
      </c>
      <c r="C36" s="310">
        <v>709479</v>
      </c>
      <c r="D36" s="310">
        <v>709479</v>
      </c>
      <c r="E36" s="310">
        <v>709731</v>
      </c>
      <c r="F36" s="310">
        <v>709994</v>
      </c>
      <c r="G36" s="310">
        <v>710377</v>
      </c>
      <c r="H36" s="310">
        <v>710871</v>
      </c>
      <c r="I36" s="310">
        <v>710990</v>
      </c>
      <c r="J36" s="310">
        <v>710997</v>
      </c>
      <c r="K36" s="310">
        <v>711000</v>
      </c>
      <c r="L36" s="310">
        <v>711260</v>
      </c>
      <c r="M36" s="310">
        <v>711358</v>
      </c>
      <c r="N36" s="310">
        <v>711552</v>
      </c>
      <c r="O36" s="310">
        <v>711802</v>
      </c>
      <c r="P36" s="310">
        <v>712134</v>
      </c>
      <c r="Q36" s="310">
        <v>712134</v>
      </c>
      <c r="R36" s="310">
        <v>712134</v>
      </c>
      <c r="S36" s="310">
        <v>712303</v>
      </c>
      <c r="T36" s="310">
        <v>712826</v>
      </c>
      <c r="U36" s="310">
        <v>713031</v>
      </c>
      <c r="V36" s="310">
        <v>713031</v>
      </c>
      <c r="W36" s="310">
        <v>713222</v>
      </c>
      <c r="X36" s="310">
        <v>713222</v>
      </c>
      <c r="Y36" s="310">
        <v>713222</v>
      </c>
      <c r="Z36" s="310">
        <v>713639</v>
      </c>
      <c r="AA36" s="310">
        <v>714153</v>
      </c>
      <c r="AB36" s="310">
        <v>714526</v>
      </c>
      <c r="AC36" s="330">
        <v>714719</v>
      </c>
      <c r="AD36" s="310">
        <v>714971</v>
      </c>
      <c r="AE36" s="310">
        <v>714971</v>
      </c>
      <c r="AF36" s="310">
        <v>714971</v>
      </c>
    </row>
    <row r="37" spans="1:32" s="124" customFormat="1" x14ac:dyDescent="0.25">
      <c r="A37" s="6" t="s">
        <v>116</v>
      </c>
      <c r="B37" s="310">
        <v>750488</v>
      </c>
      <c r="C37" s="310">
        <v>750488</v>
      </c>
      <c r="D37" s="310">
        <v>750488</v>
      </c>
      <c r="E37" s="310">
        <v>750682</v>
      </c>
      <c r="F37" s="310">
        <v>750926</v>
      </c>
      <c r="G37" s="310">
        <v>751412</v>
      </c>
      <c r="H37" s="310">
        <v>751794</v>
      </c>
      <c r="I37" s="310">
        <v>752288</v>
      </c>
      <c r="J37" s="310">
        <v>752288</v>
      </c>
      <c r="K37" s="310">
        <v>752288</v>
      </c>
      <c r="L37" s="310">
        <v>752482</v>
      </c>
      <c r="M37" s="342">
        <v>752703</v>
      </c>
      <c r="N37" s="310">
        <v>752925</v>
      </c>
      <c r="O37" s="310">
        <v>753130</v>
      </c>
      <c r="P37" s="310">
        <v>753395</v>
      </c>
      <c r="Q37" s="310">
        <v>753395</v>
      </c>
      <c r="R37" s="310">
        <v>753395</v>
      </c>
      <c r="S37" s="310">
        <v>753646</v>
      </c>
      <c r="T37" s="310">
        <v>753896</v>
      </c>
      <c r="U37" s="310">
        <v>754160</v>
      </c>
      <c r="V37" s="310">
        <v>754160</v>
      </c>
      <c r="W37" s="310">
        <v>754412</v>
      </c>
      <c r="X37" s="310">
        <v>754412</v>
      </c>
      <c r="Y37" s="310">
        <v>754412</v>
      </c>
      <c r="Z37" s="310">
        <v>754662</v>
      </c>
      <c r="AA37" s="310">
        <v>754837</v>
      </c>
      <c r="AB37" s="310">
        <v>755096</v>
      </c>
      <c r="AC37" s="330">
        <v>755387</v>
      </c>
      <c r="AD37" s="310">
        <v>755579</v>
      </c>
      <c r="AE37" s="310">
        <v>755579</v>
      </c>
      <c r="AF37" s="310">
        <v>755579</v>
      </c>
    </row>
    <row r="38" spans="1:32" x14ac:dyDescent="0.25">
      <c r="A38" s="7" t="s">
        <v>117</v>
      </c>
      <c r="B38" s="310">
        <v>401466</v>
      </c>
      <c r="C38" s="310">
        <v>401469</v>
      </c>
      <c r="D38" s="310">
        <v>401472</v>
      </c>
      <c r="E38" s="310">
        <v>401925</v>
      </c>
      <c r="F38" s="310">
        <v>402118</v>
      </c>
      <c r="G38" s="310">
        <v>402457</v>
      </c>
      <c r="H38" s="310">
        <v>403017</v>
      </c>
      <c r="I38" s="310">
        <v>403510</v>
      </c>
      <c r="J38" s="310">
        <v>403510</v>
      </c>
      <c r="K38" s="310">
        <v>403510</v>
      </c>
      <c r="L38" s="310">
        <v>403760</v>
      </c>
      <c r="M38" s="310">
        <v>403954</v>
      </c>
      <c r="N38" s="310">
        <v>404371</v>
      </c>
      <c r="O38" s="310">
        <v>404711</v>
      </c>
      <c r="P38" s="310">
        <v>405163</v>
      </c>
      <c r="Q38" s="310">
        <v>405163</v>
      </c>
      <c r="R38" s="310">
        <v>405163</v>
      </c>
      <c r="S38" s="310">
        <v>405349</v>
      </c>
      <c r="T38" s="310">
        <v>405546</v>
      </c>
      <c r="U38" s="310">
        <v>406067</v>
      </c>
      <c r="V38" s="310">
        <v>406500</v>
      </c>
      <c r="W38" s="310">
        <v>407018</v>
      </c>
      <c r="X38" s="310">
        <v>407537</v>
      </c>
      <c r="Y38" s="310">
        <v>407558</v>
      </c>
      <c r="Z38" s="310">
        <v>407740</v>
      </c>
      <c r="AA38" s="310">
        <v>407890</v>
      </c>
      <c r="AB38" s="310">
        <v>408111</v>
      </c>
      <c r="AC38" s="330">
        <v>408307</v>
      </c>
      <c r="AD38" s="310">
        <v>408511</v>
      </c>
      <c r="AE38" s="310">
        <v>408511</v>
      </c>
      <c r="AF38" s="310">
        <v>408511</v>
      </c>
    </row>
    <row r="39" spans="1:32" x14ac:dyDescent="0.25">
      <c r="A39" s="5" t="s">
        <v>118</v>
      </c>
      <c r="B39" s="310">
        <v>727025</v>
      </c>
      <c r="C39" s="310">
        <v>727025</v>
      </c>
      <c r="D39" s="310">
        <v>727025</v>
      </c>
      <c r="E39" s="310">
        <v>727459</v>
      </c>
      <c r="F39" s="310">
        <v>727711</v>
      </c>
      <c r="G39" s="310">
        <v>728008</v>
      </c>
      <c r="H39" s="310">
        <v>728148</v>
      </c>
      <c r="I39" s="310">
        <v>728351</v>
      </c>
      <c r="J39" s="310">
        <v>728351</v>
      </c>
      <c r="K39" s="310">
        <v>728351</v>
      </c>
      <c r="L39" s="310">
        <v>728600</v>
      </c>
      <c r="M39" s="310">
        <v>728852</v>
      </c>
      <c r="N39" s="310">
        <v>729268</v>
      </c>
      <c r="O39" s="310">
        <v>729462</v>
      </c>
      <c r="P39" s="310">
        <v>729711</v>
      </c>
      <c r="Q39" s="310">
        <v>729731</v>
      </c>
      <c r="R39" s="310">
        <v>729734</v>
      </c>
      <c r="S39" s="310">
        <v>730256</v>
      </c>
      <c r="T39" s="310">
        <v>730708</v>
      </c>
      <c r="U39" s="310">
        <v>730763</v>
      </c>
      <c r="V39" s="310">
        <v>730763</v>
      </c>
      <c r="W39" s="310">
        <v>731180</v>
      </c>
      <c r="X39" s="310">
        <v>731439</v>
      </c>
      <c r="Y39" s="310">
        <v>731460</v>
      </c>
      <c r="Z39" s="310">
        <v>731711</v>
      </c>
      <c r="AA39" s="310">
        <v>732128</v>
      </c>
      <c r="AB39" s="310">
        <v>732562</v>
      </c>
      <c r="AC39" s="330">
        <v>732775</v>
      </c>
      <c r="AD39" s="310">
        <v>733027</v>
      </c>
      <c r="AE39" s="310">
        <v>733027</v>
      </c>
      <c r="AF39" s="310">
        <v>733027</v>
      </c>
    </row>
    <row r="40" spans="1:32" s="124" customFormat="1" ht="18" x14ac:dyDescent="0.25">
      <c r="A40" s="212"/>
      <c r="B40" s="310"/>
      <c r="C40" s="310"/>
      <c r="D40" s="310"/>
      <c r="E40" s="310"/>
      <c r="F40" s="310"/>
      <c r="G40" s="310"/>
      <c r="H40" s="310"/>
      <c r="I40" s="310"/>
      <c r="L40" s="326"/>
      <c r="M40" s="326"/>
      <c r="N40" s="310"/>
      <c r="O40" s="310"/>
      <c r="P40" s="310"/>
      <c r="Q40" s="310"/>
      <c r="R40" s="310"/>
      <c r="S40" s="310"/>
      <c r="T40" s="310"/>
      <c r="U40" s="310"/>
      <c r="V40" s="310"/>
      <c r="W40" s="326"/>
      <c r="X40" s="326"/>
      <c r="Y40" s="326"/>
      <c r="Z40" s="310"/>
      <c r="AA40" s="310"/>
      <c r="AB40" s="310"/>
      <c r="AC40" s="326"/>
      <c r="AD40" s="326"/>
      <c r="AE40" s="310"/>
      <c r="AF40" s="310"/>
    </row>
    <row r="41" spans="1:32" s="124" customFormat="1" x14ac:dyDescent="0.25">
      <c r="A41" s="338" t="s">
        <v>176</v>
      </c>
      <c r="B41" s="310">
        <v>3675</v>
      </c>
      <c r="C41" s="310">
        <v>3675</v>
      </c>
      <c r="D41" s="310">
        <v>3675</v>
      </c>
      <c r="E41" s="310">
        <v>3675</v>
      </c>
      <c r="F41" s="310">
        <v>3675</v>
      </c>
      <c r="G41" s="310">
        <v>3675</v>
      </c>
      <c r="H41" s="310">
        <v>3675</v>
      </c>
      <c r="I41" s="310">
        <v>3675</v>
      </c>
      <c r="J41" s="310">
        <v>3675</v>
      </c>
      <c r="K41" s="310">
        <v>3675</v>
      </c>
      <c r="L41" s="310">
        <v>3675</v>
      </c>
      <c r="M41" s="310">
        <v>3675</v>
      </c>
      <c r="N41" s="310">
        <v>3675</v>
      </c>
      <c r="O41" s="310">
        <v>3675</v>
      </c>
      <c r="P41" s="310">
        <v>3675</v>
      </c>
      <c r="Q41" s="310">
        <v>3675</v>
      </c>
      <c r="R41" s="310">
        <v>3675</v>
      </c>
      <c r="S41" s="310">
        <v>3675</v>
      </c>
      <c r="T41" s="310">
        <v>3675</v>
      </c>
      <c r="U41" s="310">
        <v>3675</v>
      </c>
      <c r="V41" s="310">
        <v>3675</v>
      </c>
      <c r="W41" s="310">
        <v>3675</v>
      </c>
      <c r="X41" s="310">
        <v>3675</v>
      </c>
      <c r="Y41" s="310">
        <v>3675</v>
      </c>
      <c r="Z41" s="310">
        <v>3675</v>
      </c>
      <c r="AA41" s="310">
        <v>3675</v>
      </c>
      <c r="AB41" s="310">
        <v>3675</v>
      </c>
      <c r="AC41" s="310">
        <v>3675</v>
      </c>
      <c r="AD41" s="310">
        <v>3675</v>
      </c>
      <c r="AE41" s="310">
        <v>3675</v>
      </c>
      <c r="AF41" s="310">
        <v>3675</v>
      </c>
    </row>
    <row r="42" spans="1:32" s="124" customFormat="1" x14ac:dyDescent="0.25">
      <c r="A42" s="338" t="s">
        <v>178</v>
      </c>
      <c r="B42" s="310">
        <v>2001</v>
      </c>
      <c r="C42" s="310">
        <v>2001</v>
      </c>
      <c r="D42" s="310">
        <v>2001</v>
      </c>
      <c r="E42" s="310">
        <v>2001</v>
      </c>
      <c r="F42" s="310">
        <v>2001</v>
      </c>
      <c r="G42" s="310">
        <v>2001</v>
      </c>
      <c r="H42" s="310">
        <v>2001</v>
      </c>
      <c r="I42" s="310">
        <v>2001</v>
      </c>
      <c r="J42" s="310">
        <v>2001</v>
      </c>
      <c r="K42" s="310">
        <v>2001</v>
      </c>
      <c r="L42" s="310">
        <v>2001</v>
      </c>
      <c r="M42" s="310">
        <v>2001</v>
      </c>
      <c r="N42" s="310">
        <v>2001</v>
      </c>
      <c r="O42" s="310">
        <v>2001</v>
      </c>
      <c r="P42" s="310">
        <v>2001</v>
      </c>
      <c r="Q42" s="310">
        <v>2001</v>
      </c>
      <c r="R42" s="310">
        <v>2001</v>
      </c>
      <c r="S42" s="310">
        <v>2001</v>
      </c>
      <c r="T42" s="310">
        <v>2001</v>
      </c>
      <c r="U42" s="310">
        <v>2001</v>
      </c>
      <c r="V42" s="310">
        <v>2001</v>
      </c>
      <c r="W42" s="310">
        <v>2001</v>
      </c>
      <c r="X42" s="310">
        <v>2001</v>
      </c>
      <c r="Y42" s="310">
        <v>2001</v>
      </c>
      <c r="Z42" s="310">
        <v>2001</v>
      </c>
      <c r="AA42" s="310">
        <v>2001</v>
      </c>
      <c r="AB42" s="310">
        <v>2001</v>
      </c>
      <c r="AC42" s="310">
        <v>2001</v>
      </c>
      <c r="AD42" s="310">
        <v>2001</v>
      </c>
      <c r="AE42" s="310">
        <v>2001</v>
      </c>
      <c r="AF42" s="310">
        <v>2001</v>
      </c>
    </row>
    <row r="43" spans="1:32" s="124" customFormat="1" x14ac:dyDescent="0.25">
      <c r="A43" s="339" t="s">
        <v>177</v>
      </c>
      <c r="B43" s="310">
        <v>4383</v>
      </c>
      <c r="C43" s="310">
        <v>4383</v>
      </c>
      <c r="D43" s="310">
        <v>4383</v>
      </c>
      <c r="E43" s="310">
        <v>4675</v>
      </c>
      <c r="F43" s="310">
        <v>5076</v>
      </c>
      <c r="G43" s="310">
        <v>5076</v>
      </c>
      <c r="H43" s="310">
        <v>5409</v>
      </c>
      <c r="I43" s="310">
        <v>5668</v>
      </c>
      <c r="J43" s="310">
        <v>5759</v>
      </c>
      <c r="K43" s="310">
        <v>5759</v>
      </c>
      <c r="L43" s="310">
        <v>6048</v>
      </c>
      <c r="M43" s="310">
        <v>6319</v>
      </c>
      <c r="N43" s="310">
        <v>6500</v>
      </c>
      <c r="O43" s="310">
        <v>6812</v>
      </c>
      <c r="P43" s="310">
        <v>6914</v>
      </c>
      <c r="Q43" s="310">
        <v>6914</v>
      </c>
      <c r="R43" s="310">
        <v>6914</v>
      </c>
      <c r="S43" s="310">
        <v>7450</v>
      </c>
      <c r="T43" s="310">
        <v>7912</v>
      </c>
      <c r="U43" s="310">
        <v>8028</v>
      </c>
      <c r="V43" s="310">
        <v>8149</v>
      </c>
      <c r="W43" s="310">
        <v>8416</v>
      </c>
      <c r="X43" s="310">
        <v>8416</v>
      </c>
      <c r="Y43" s="310">
        <v>8416</v>
      </c>
      <c r="Z43" s="310">
        <v>8750</v>
      </c>
      <c r="AA43" s="310">
        <v>8836</v>
      </c>
      <c r="AB43" s="310">
        <v>9064</v>
      </c>
      <c r="AC43" s="310">
        <v>9324</v>
      </c>
      <c r="AD43" s="310">
        <v>9534</v>
      </c>
      <c r="AE43" s="310">
        <v>9535</v>
      </c>
      <c r="AF43" s="310">
        <v>9535</v>
      </c>
    </row>
    <row r="44" spans="1:32" s="124" customFormat="1" x14ac:dyDescent="0.25">
      <c r="A44" s="338" t="s">
        <v>179</v>
      </c>
      <c r="B44" s="310">
        <v>1802</v>
      </c>
      <c r="C44" s="310">
        <v>1802</v>
      </c>
      <c r="D44" s="310">
        <v>1802</v>
      </c>
      <c r="E44" s="310">
        <v>1802</v>
      </c>
      <c r="F44" s="310">
        <v>1802</v>
      </c>
      <c r="G44" s="310">
        <v>1802</v>
      </c>
      <c r="H44" s="310">
        <v>1802</v>
      </c>
      <c r="I44" s="310">
        <v>1802</v>
      </c>
      <c r="J44" s="310">
        <v>1802</v>
      </c>
      <c r="K44" s="310">
        <v>1802</v>
      </c>
      <c r="L44" s="310">
        <v>1802</v>
      </c>
      <c r="M44" s="310">
        <v>1802</v>
      </c>
      <c r="N44" s="310">
        <v>1802</v>
      </c>
      <c r="O44" s="310">
        <v>1802</v>
      </c>
      <c r="P44" s="310">
        <v>1802</v>
      </c>
      <c r="Q44" s="310">
        <v>1802</v>
      </c>
      <c r="R44" s="310">
        <v>1802</v>
      </c>
      <c r="S44" s="310">
        <v>1802</v>
      </c>
      <c r="T44" s="310">
        <v>1802</v>
      </c>
      <c r="U44" s="310">
        <v>1802</v>
      </c>
      <c r="V44" s="310">
        <v>1802</v>
      </c>
      <c r="W44" s="310">
        <v>1802</v>
      </c>
      <c r="X44" s="310">
        <v>1802</v>
      </c>
      <c r="Y44" s="310">
        <v>1802</v>
      </c>
      <c r="Z44" s="310">
        <v>1802</v>
      </c>
      <c r="AA44" s="310">
        <v>1802</v>
      </c>
      <c r="AB44" s="310">
        <v>1802</v>
      </c>
      <c r="AC44" s="310">
        <v>1802</v>
      </c>
      <c r="AD44" s="310">
        <v>1802</v>
      </c>
      <c r="AE44" s="310">
        <v>1802</v>
      </c>
      <c r="AF44" s="310">
        <v>1802</v>
      </c>
    </row>
    <row r="45" spans="1:32" s="124" customFormat="1" x14ac:dyDescent="0.25">
      <c r="A45" s="339" t="s">
        <v>180</v>
      </c>
      <c r="B45" s="310">
        <v>689</v>
      </c>
      <c r="C45" s="310">
        <v>893</v>
      </c>
      <c r="D45" s="310">
        <v>1093</v>
      </c>
      <c r="E45" s="310">
        <v>1093</v>
      </c>
      <c r="F45" s="310">
        <v>1790</v>
      </c>
      <c r="G45" s="310">
        <v>1790</v>
      </c>
      <c r="H45" s="310">
        <v>2123</v>
      </c>
      <c r="I45" s="310">
        <v>2123</v>
      </c>
      <c r="J45" s="310">
        <v>2123</v>
      </c>
      <c r="K45" s="310">
        <v>2123</v>
      </c>
      <c r="L45" s="310">
        <v>2123</v>
      </c>
      <c r="M45" s="310">
        <v>2123</v>
      </c>
      <c r="N45" s="310">
        <v>2123</v>
      </c>
      <c r="O45" s="310">
        <v>2123</v>
      </c>
      <c r="P45" s="310">
        <v>2123</v>
      </c>
      <c r="Q45" s="310">
        <v>2123</v>
      </c>
      <c r="R45" s="310">
        <v>2123</v>
      </c>
      <c r="S45" s="310">
        <v>2123</v>
      </c>
      <c r="T45" s="310">
        <v>2123</v>
      </c>
      <c r="U45" s="310">
        <v>2123</v>
      </c>
      <c r="V45" s="310">
        <v>2123</v>
      </c>
      <c r="W45" s="310">
        <v>2123</v>
      </c>
      <c r="X45" s="310">
        <v>2123</v>
      </c>
      <c r="Y45" s="310">
        <v>2123</v>
      </c>
      <c r="Z45" s="310">
        <v>2123</v>
      </c>
      <c r="AA45" s="310">
        <v>2123</v>
      </c>
      <c r="AB45" s="310">
        <v>2123</v>
      </c>
      <c r="AC45" s="310">
        <v>2123</v>
      </c>
      <c r="AD45" s="310">
        <v>2123</v>
      </c>
      <c r="AE45" s="310">
        <v>2123</v>
      </c>
      <c r="AF45" s="310">
        <v>2123</v>
      </c>
    </row>
    <row r="46" spans="1:32" s="124" customFormat="1" ht="18" x14ac:dyDescent="0.25">
      <c r="A46" s="212"/>
      <c r="B46" s="212"/>
      <c r="C46" s="212"/>
      <c r="D46" s="212"/>
      <c r="E46" s="212"/>
      <c r="F46" s="212"/>
      <c r="G46" s="212"/>
      <c r="H46" s="212"/>
      <c r="I46" s="212"/>
      <c r="J46" s="331"/>
      <c r="L46" s="212"/>
      <c r="M46" s="212"/>
      <c r="N46" s="212"/>
      <c r="O46" s="212"/>
      <c r="P46" s="212"/>
      <c r="Q46" s="212"/>
      <c r="R46" s="212"/>
      <c r="S46" s="212"/>
      <c r="T46" s="212"/>
      <c r="U46" s="212"/>
      <c r="V46" s="212"/>
      <c r="W46" s="212"/>
      <c r="X46" s="212"/>
      <c r="Y46" s="212"/>
      <c r="Z46" s="212"/>
      <c r="AA46" s="212"/>
      <c r="AB46" s="331"/>
      <c r="AC46" s="212"/>
    </row>
    <row r="47" spans="1:32" ht="18" x14ac:dyDescent="0.25">
      <c r="A47" s="349" t="s">
        <v>31</v>
      </c>
      <c r="B47" s="349"/>
      <c r="C47" s="349"/>
      <c r="D47" s="349"/>
      <c r="E47" s="349"/>
      <c r="F47" s="349"/>
      <c r="G47" s="349"/>
      <c r="H47" s="349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49"/>
      <c r="AC47" s="349"/>
      <c r="AF47" s="124"/>
    </row>
    <row r="48" spans="1:32" x14ac:dyDescent="0.25">
      <c r="A48" s="9"/>
      <c r="B48" s="62">
        <v>46143</v>
      </c>
      <c r="C48" s="62">
        <v>46144</v>
      </c>
      <c r="D48" s="62">
        <v>46145</v>
      </c>
      <c r="E48" s="62">
        <v>46146</v>
      </c>
      <c r="F48" s="62">
        <v>46147</v>
      </c>
      <c r="G48" s="62">
        <v>46148</v>
      </c>
      <c r="H48" s="62">
        <v>46149</v>
      </c>
      <c r="I48" s="62">
        <v>46150</v>
      </c>
      <c r="J48" s="62">
        <v>46151</v>
      </c>
      <c r="K48" s="62">
        <v>46152</v>
      </c>
      <c r="L48" s="62">
        <v>46153</v>
      </c>
      <c r="M48" s="62">
        <v>46154</v>
      </c>
      <c r="N48" s="62">
        <v>46155</v>
      </c>
      <c r="O48" s="62">
        <v>46156</v>
      </c>
      <c r="P48" s="62">
        <v>46157</v>
      </c>
      <c r="Q48" s="62">
        <v>46158</v>
      </c>
      <c r="R48" s="62">
        <v>46159</v>
      </c>
      <c r="S48" s="62">
        <v>46160</v>
      </c>
      <c r="T48" s="62">
        <v>46161</v>
      </c>
      <c r="U48" s="62">
        <v>46162</v>
      </c>
      <c r="V48" s="62">
        <v>46163</v>
      </c>
      <c r="W48" s="62">
        <v>46164</v>
      </c>
      <c r="X48" s="62">
        <v>46165</v>
      </c>
      <c r="Y48" s="62">
        <v>46166</v>
      </c>
      <c r="Z48" s="62">
        <v>46167</v>
      </c>
      <c r="AA48" s="62">
        <v>46168</v>
      </c>
      <c r="AB48" s="62">
        <v>46169</v>
      </c>
      <c r="AC48" s="62">
        <v>46170</v>
      </c>
      <c r="AD48" s="62">
        <v>46171</v>
      </c>
      <c r="AE48" s="62">
        <v>46172</v>
      </c>
      <c r="AF48" s="62">
        <v>46173</v>
      </c>
    </row>
    <row r="49" spans="1:32" x14ac:dyDescent="0.25">
      <c r="A49" s="9"/>
      <c r="B49" s="10" t="s">
        <v>32</v>
      </c>
      <c r="C49" s="10" t="s">
        <v>32</v>
      </c>
      <c r="D49" s="10" t="s">
        <v>32</v>
      </c>
      <c r="E49" s="10" t="s">
        <v>32</v>
      </c>
      <c r="F49" s="10" t="s">
        <v>32</v>
      </c>
      <c r="G49" s="10" t="s">
        <v>32</v>
      </c>
      <c r="H49" s="10" t="s">
        <v>32</v>
      </c>
      <c r="I49" s="10" t="s">
        <v>32</v>
      </c>
      <c r="J49" s="10" t="s">
        <v>32</v>
      </c>
      <c r="K49" s="10" t="s">
        <v>32</v>
      </c>
      <c r="L49" s="10" t="s">
        <v>32</v>
      </c>
      <c r="M49" s="10" t="s">
        <v>32</v>
      </c>
      <c r="N49" s="10" t="s">
        <v>32</v>
      </c>
      <c r="O49" s="10" t="s">
        <v>32</v>
      </c>
      <c r="P49" s="10" t="s">
        <v>32</v>
      </c>
      <c r="Q49" s="10" t="s">
        <v>32</v>
      </c>
      <c r="R49" s="10" t="s">
        <v>32</v>
      </c>
      <c r="S49" s="10" t="s">
        <v>32</v>
      </c>
      <c r="T49" s="10" t="s">
        <v>32</v>
      </c>
      <c r="U49" s="10" t="s">
        <v>32</v>
      </c>
      <c r="V49" s="10" t="s">
        <v>32</v>
      </c>
      <c r="W49" s="10" t="s">
        <v>32</v>
      </c>
      <c r="X49" s="10" t="s">
        <v>32</v>
      </c>
      <c r="Y49" s="10" t="s">
        <v>32</v>
      </c>
      <c r="Z49" s="10" t="s">
        <v>32</v>
      </c>
      <c r="AA49" s="10" t="s">
        <v>32</v>
      </c>
      <c r="AB49" s="10" t="s">
        <v>32</v>
      </c>
      <c r="AC49" s="10" t="s">
        <v>32</v>
      </c>
      <c r="AD49" s="10" t="s">
        <v>32</v>
      </c>
      <c r="AE49" s="10" t="s">
        <v>32</v>
      </c>
      <c r="AF49" s="10" t="s">
        <v>32</v>
      </c>
    </row>
    <row r="50" spans="1:32" x14ac:dyDescent="0.25">
      <c r="A50" s="9" t="s">
        <v>2</v>
      </c>
      <c r="B50" s="10" t="s">
        <v>33</v>
      </c>
      <c r="C50" s="10" t="s">
        <v>33</v>
      </c>
      <c r="D50" s="10" t="s">
        <v>33</v>
      </c>
      <c r="E50" s="10" t="s">
        <v>33</v>
      </c>
      <c r="F50" s="10" t="s">
        <v>33</v>
      </c>
      <c r="G50" s="10" t="s">
        <v>33</v>
      </c>
      <c r="H50" s="10" t="s">
        <v>33</v>
      </c>
      <c r="I50" s="10" t="s">
        <v>33</v>
      </c>
      <c r="J50" s="10" t="s">
        <v>33</v>
      </c>
      <c r="K50" s="10" t="s">
        <v>33</v>
      </c>
      <c r="L50" s="10" t="s">
        <v>33</v>
      </c>
      <c r="M50" s="10" t="s">
        <v>33</v>
      </c>
      <c r="N50" s="10" t="s">
        <v>33</v>
      </c>
      <c r="O50" s="10" t="s">
        <v>33</v>
      </c>
      <c r="P50" s="10" t="s">
        <v>33</v>
      </c>
      <c r="Q50" s="10" t="s">
        <v>33</v>
      </c>
      <c r="R50" s="10" t="s">
        <v>33</v>
      </c>
      <c r="S50" s="10" t="s">
        <v>33</v>
      </c>
      <c r="T50" s="10" t="s">
        <v>33</v>
      </c>
      <c r="U50" s="10" t="s">
        <v>33</v>
      </c>
      <c r="V50" s="10" t="s">
        <v>33</v>
      </c>
      <c r="W50" s="10" t="s">
        <v>33</v>
      </c>
      <c r="X50" s="10" t="s">
        <v>33</v>
      </c>
      <c r="Y50" s="10" t="s">
        <v>33</v>
      </c>
      <c r="Z50" s="10" t="s">
        <v>33</v>
      </c>
      <c r="AA50" s="10" t="s">
        <v>33</v>
      </c>
      <c r="AB50" s="10" t="s">
        <v>33</v>
      </c>
      <c r="AC50" s="10" t="s">
        <v>33</v>
      </c>
      <c r="AD50" s="10" t="s">
        <v>33</v>
      </c>
      <c r="AE50" s="10" t="s">
        <v>33</v>
      </c>
      <c r="AF50" s="10" t="s">
        <v>33</v>
      </c>
    </row>
    <row r="51" spans="1:32" x14ac:dyDescent="0.25">
      <c r="A51" s="11" t="s">
        <v>4</v>
      </c>
      <c r="B51" s="225">
        <v>0</v>
      </c>
      <c r="C51" s="12">
        <f t="shared" ref="C51:S51" si="0">C5-B5</f>
        <v>0</v>
      </c>
      <c r="D51" s="12">
        <f t="shared" si="0"/>
        <v>0</v>
      </c>
      <c r="E51" s="12">
        <f t="shared" si="0"/>
        <v>194</v>
      </c>
      <c r="F51" s="12">
        <f t="shared" si="0"/>
        <v>425</v>
      </c>
      <c r="G51" s="12">
        <f t="shared" si="0"/>
        <v>432</v>
      </c>
      <c r="H51" s="12">
        <f t="shared" si="0"/>
        <v>517</v>
      </c>
      <c r="I51" s="12">
        <f t="shared" si="0"/>
        <v>426</v>
      </c>
      <c r="J51" s="12">
        <f t="shared" si="0"/>
        <v>44</v>
      </c>
      <c r="K51" s="12">
        <f t="shared" si="0"/>
        <v>477</v>
      </c>
      <c r="L51" s="12">
        <f t="shared" si="0"/>
        <v>562</v>
      </c>
      <c r="M51" s="12">
        <f t="shared" si="0"/>
        <v>279</v>
      </c>
      <c r="N51" s="12">
        <f t="shared" si="0"/>
        <v>252</v>
      </c>
      <c r="O51" s="12">
        <f t="shared" si="0"/>
        <v>264</v>
      </c>
      <c r="P51" s="12">
        <f t="shared" si="0"/>
        <v>355</v>
      </c>
      <c r="Q51" s="12">
        <f t="shared" si="0"/>
        <v>523</v>
      </c>
      <c r="R51" s="12">
        <f t="shared" si="0"/>
        <v>502</v>
      </c>
      <c r="S51" s="12">
        <f t="shared" si="0"/>
        <v>534</v>
      </c>
      <c r="T51" s="12">
        <f t="shared" ref="T51:AF66" si="1">T5-S5</f>
        <v>243</v>
      </c>
      <c r="U51" s="12">
        <f t="shared" si="1"/>
        <v>250</v>
      </c>
      <c r="V51" s="12">
        <f>V5-U5</f>
        <v>0</v>
      </c>
      <c r="W51" s="12">
        <f t="shared" si="1"/>
        <v>251</v>
      </c>
      <c r="X51" s="12">
        <f t="shared" si="1"/>
        <v>0</v>
      </c>
      <c r="Y51" s="12">
        <f t="shared" si="1"/>
        <v>0</v>
      </c>
      <c r="Z51" s="12">
        <f t="shared" si="1"/>
        <v>99</v>
      </c>
      <c r="AA51" s="12">
        <f t="shared" si="1"/>
        <v>194</v>
      </c>
      <c r="AB51" s="12">
        <f t="shared" si="1"/>
        <v>252</v>
      </c>
      <c r="AC51" s="12">
        <f t="shared" si="1"/>
        <v>251</v>
      </c>
      <c r="AD51" s="12">
        <f t="shared" si="1"/>
        <v>252</v>
      </c>
      <c r="AE51" s="12">
        <f t="shared" si="1"/>
        <v>0</v>
      </c>
      <c r="AF51" s="12">
        <f t="shared" si="1"/>
        <v>0</v>
      </c>
    </row>
    <row r="52" spans="1:32" x14ac:dyDescent="0.25">
      <c r="A52" s="11" t="s">
        <v>5</v>
      </c>
      <c r="B52" s="225">
        <v>0</v>
      </c>
      <c r="C52" s="12">
        <f t="shared" ref="C52:S52" si="2">C6-B6</f>
        <v>0</v>
      </c>
      <c r="D52" s="12">
        <f t="shared" si="2"/>
        <v>0</v>
      </c>
      <c r="E52" s="12">
        <f t="shared" si="2"/>
        <v>172</v>
      </c>
      <c r="F52" s="12">
        <f t="shared" si="2"/>
        <v>453</v>
      </c>
      <c r="G52" s="12">
        <f t="shared" si="2"/>
        <v>375</v>
      </c>
      <c r="H52" s="12">
        <f t="shared" si="2"/>
        <v>432</v>
      </c>
      <c r="I52" s="12">
        <f t="shared" si="2"/>
        <v>519</v>
      </c>
      <c r="J52" s="12">
        <f t="shared" si="2"/>
        <v>520</v>
      </c>
      <c r="K52" s="12">
        <f t="shared" si="2"/>
        <v>477</v>
      </c>
      <c r="L52" s="12">
        <f t="shared" si="2"/>
        <v>561</v>
      </c>
      <c r="M52" s="12">
        <f t="shared" si="2"/>
        <v>290</v>
      </c>
      <c r="N52" s="12">
        <f t="shared" si="2"/>
        <v>254</v>
      </c>
      <c r="O52" s="12">
        <f t="shared" si="2"/>
        <v>432</v>
      </c>
      <c r="P52" s="12">
        <f t="shared" si="2"/>
        <v>518</v>
      </c>
      <c r="Q52" s="12">
        <f t="shared" si="2"/>
        <v>562</v>
      </c>
      <c r="R52" s="12">
        <f t="shared" si="2"/>
        <v>44</v>
      </c>
      <c r="S52" s="12">
        <f t="shared" si="2"/>
        <v>238</v>
      </c>
      <c r="T52" s="12">
        <f t="shared" ref="T52:AF52" si="3">T6-S6</f>
        <v>566</v>
      </c>
      <c r="U52" s="12">
        <f t="shared" si="3"/>
        <v>561</v>
      </c>
      <c r="V52" s="12">
        <f t="shared" si="3"/>
        <v>433</v>
      </c>
      <c r="W52" s="12">
        <f t="shared" si="3"/>
        <v>432</v>
      </c>
      <c r="X52" s="12">
        <f t="shared" si="3"/>
        <v>1</v>
      </c>
      <c r="Y52" s="12">
        <f t="shared" si="3"/>
        <v>2</v>
      </c>
      <c r="Z52" s="12">
        <f t="shared" si="3"/>
        <v>399</v>
      </c>
      <c r="AA52" s="12">
        <f t="shared" si="3"/>
        <v>433</v>
      </c>
      <c r="AB52" s="12">
        <f t="shared" si="3"/>
        <v>199</v>
      </c>
      <c r="AC52" s="12">
        <f t="shared" si="1"/>
        <v>262</v>
      </c>
      <c r="AD52" s="12">
        <f t="shared" si="3"/>
        <v>315</v>
      </c>
      <c r="AE52" s="12">
        <f t="shared" si="3"/>
        <v>519</v>
      </c>
      <c r="AF52" s="12">
        <f t="shared" si="3"/>
        <v>519</v>
      </c>
    </row>
    <row r="53" spans="1:32" x14ac:dyDescent="0.25">
      <c r="A53" s="11" t="s">
        <v>6</v>
      </c>
      <c r="B53" s="225">
        <v>49</v>
      </c>
      <c r="C53" s="12">
        <f t="shared" ref="C53:S53" si="4">C7-B7</f>
        <v>519</v>
      </c>
      <c r="D53" s="12">
        <f t="shared" si="4"/>
        <v>177</v>
      </c>
      <c r="E53" s="12">
        <f t="shared" si="4"/>
        <v>522</v>
      </c>
      <c r="F53" s="12">
        <f t="shared" si="4"/>
        <v>400</v>
      </c>
      <c r="G53" s="12">
        <f t="shared" si="4"/>
        <v>259</v>
      </c>
      <c r="H53" s="12">
        <f t="shared" si="4"/>
        <v>501</v>
      </c>
      <c r="I53" s="12">
        <f t="shared" si="4"/>
        <v>451</v>
      </c>
      <c r="J53" s="12">
        <f t="shared" si="4"/>
        <v>0</v>
      </c>
      <c r="K53" s="12">
        <f t="shared" si="4"/>
        <v>0</v>
      </c>
      <c r="L53" s="12">
        <f t="shared" si="4"/>
        <v>99</v>
      </c>
      <c r="M53" s="12">
        <f t="shared" si="4"/>
        <v>400</v>
      </c>
      <c r="N53" s="12">
        <f t="shared" si="4"/>
        <v>518</v>
      </c>
      <c r="O53" s="12">
        <f t="shared" si="4"/>
        <v>522</v>
      </c>
      <c r="P53" s="12">
        <f t="shared" si="4"/>
        <v>560</v>
      </c>
      <c r="Q53" s="12">
        <f t="shared" si="4"/>
        <v>173</v>
      </c>
      <c r="R53" s="12">
        <f t="shared" si="4"/>
        <v>45</v>
      </c>
      <c r="S53" s="12">
        <f t="shared" si="4"/>
        <v>398</v>
      </c>
      <c r="T53" s="12">
        <f t="shared" ref="T53:AF53" si="5">T7-S7</f>
        <v>520</v>
      </c>
      <c r="U53" s="12">
        <f t="shared" si="5"/>
        <v>604</v>
      </c>
      <c r="V53" s="12">
        <f t="shared" si="5"/>
        <v>478</v>
      </c>
      <c r="W53" s="12">
        <f t="shared" si="5"/>
        <v>485</v>
      </c>
      <c r="X53" s="12">
        <f t="shared" si="5"/>
        <v>43</v>
      </c>
      <c r="Y53" s="12">
        <f t="shared" si="5"/>
        <v>518</v>
      </c>
      <c r="Z53" s="12">
        <f t="shared" si="5"/>
        <v>258</v>
      </c>
      <c r="AA53" s="12">
        <f t="shared" si="5"/>
        <v>501</v>
      </c>
      <c r="AB53" s="12">
        <f t="shared" si="5"/>
        <v>364</v>
      </c>
      <c r="AC53" s="12">
        <f t="shared" si="1"/>
        <v>220</v>
      </c>
      <c r="AD53" s="12">
        <f t="shared" si="5"/>
        <v>563</v>
      </c>
      <c r="AE53" s="12">
        <f t="shared" si="5"/>
        <v>346</v>
      </c>
      <c r="AF53" s="12">
        <f t="shared" si="5"/>
        <v>43</v>
      </c>
    </row>
    <row r="54" spans="1:32" x14ac:dyDescent="0.25">
      <c r="A54" s="13" t="s">
        <v>7</v>
      </c>
      <c r="B54" s="225">
        <v>0</v>
      </c>
      <c r="C54" s="12">
        <f t="shared" ref="C54:S54" si="6">C8-B8</f>
        <v>0</v>
      </c>
      <c r="D54" s="12">
        <f t="shared" si="6"/>
        <v>0</v>
      </c>
      <c r="E54" s="12">
        <f t="shared" si="6"/>
        <v>266</v>
      </c>
      <c r="F54" s="12">
        <f t="shared" si="6"/>
        <v>452</v>
      </c>
      <c r="G54" s="12">
        <f t="shared" si="6"/>
        <v>93</v>
      </c>
      <c r="H54" s="12">
        <f t="shared" si="6"/>
        <v>509</v>
      </c>
      <c r="I54" s="12">
        <f t="shared" si="6"/>
        <v>604</v>
      </c>
      <c r="J54" s="12">
        <f t="shared" si="6"/>
        <v>21</v>
      </c>
      <c r="K54" s="12">
        <f t="shared" si="6"/>
        <v>0</v>
      </c>
      <c r="L54" s="12">
        <f t="shared" si="6"/>
        <v>503</v>
      </c>
      <c r="M54" s="12">
        <f t="shared" si="6"/>
        <v>313</v>
      </c>
      <c r="N54" s="12">
        <f t="shared" si="6"/>
        <v>434</v>
      </c>
      <c r="O54" s="12">
        <f t="shared" si="6"/>
        <v>604</v>
      </c>
      <c r="P54" s="12">
        <f t="shared" si="6"/>
        <v>405</v>
      </c>
      <c r="Q54" s="12">
        <f t="shared" si="6"/>
        <v>0</v>
      </c>
      <c r="R54" s="12">
        <f t="shared" si="6"/>
        <v>2</v>
      </c>
      <c r="S54" s="12">
        <f t="shared" si="6"/>
        <v>290</v>
      </c>
      <c r="T54" s="12">
        <f t="shared" ref="T54:AF54" si="7">T8-S8</f>
        <v>417</v>
      </c>
      <c r="U54" s="12">
        <f t="shared" si="7"/>
        <v>520</v>
      </c>
      <c r="V54" s="12">
        <f t="shared" si="7"/>
        <v>433</v>
      </c>
      <c r="W54" s="12">
        <f t="shared" si="7"/>
        <v>383</v>
      </c>
      <c r="X54" s="12">
        <f t="shared" si="7"/>
        <v>562</v>
      </c>
      <c r="Y54" s="12">
        <f t="shared" si="7"/>
        <v>173</v>
      </c>
      <c r="Z54" s="12">
        <f t="shared" si="7"/>
        <v>560</v>
      </c>
      <c r="AA54" s="12">
        <f t="shared" si="7"/>
        <v>452</v>
      </c>
      <c r="AB54" s="12">
        <f t="shared" si="7"/>
        <v>374</v>
      </c>
      <c r="AC54" s="12">
        <f t="shared" si="1"/>
        <v>605</v>
      </c>
      <c r="AD54" s="12">
        <f t="shared" si="7"/>
        <v>519</v>
      </c>
      <c r="AE54" s="12">
        <f t="shared" si="7"/>
        <v>89</v>
      </c>
      <c r="AF54" s="12">
        <f t="shared" si="7"/>
        <v>0</v>
      </c>
    </row>
    <row r="55" spans="1:32" x14ac:dyDescent="0.25">
      <c r="A55" s="13" t="s">
        <v>8</v>
      </c>
      <c r="B55" s="225">
        <v>475</v>
      </c>
      <c r="C55" s="12">
        <f t="shared" ref="C55:S55" si="8">C9-B9</f>
        <v>43</v>
      </c>
      <c r="D55" s="12">
        <f t="shared" si="8"/>
        <v>474</v>
      </c>
      <c r="E55" s="12">
        <f t="shared" si="8"/>
        <v>560</v>
      </c>
      <c r="F55" s="12">
        <f t="shared" si="8"/>
        <v>561</v>
      </c>
      <c r="G55" s="12">
        <f t="shared" si="8"/>
        <v>560</v>
      </c>
      <c r="H55" s="12">
        <f t="shared" si="8"/>
        <v>399</v>
      </c>
      <c r="I55" s="12">
        <f t="shared" si="8"/>
        <v>280</v>
      </c>
      <c r="J55" s="12">
        <f t="shared" si="8"/>
        <v>0</v>
      </c>
      <c r="K55" s="12">
        <f t="shared" si="8"/>
        <v>0</v>
      </c>
      <c r="L55" s="12">
        <f t="shared" si="8"/>
        <v>183</v>
      </c>
      <c r="M55" s="12">
        <f t="shared" si="8"/>
        <v>459</v>
      </c>
      <c r="N55" s="12">
        <f t="shared" si="8"/>
        <v>561</v>
      </c>
      <c r="O55" s="12">
        <f t="shared" si="8"/>
        <v>474</v>
      </c>
      <c r="P55" s="12">
        <f t="shared" si="8"/>
        <v>436</v>
      </c>
      <c r="Q55" s="12">
        <f t="shared" si="8"/>
        <v>0</v>
      </c>
      <c r="R55" s="12">
        <f t="shared" si="8"/>
        <v>2</v>
      </c>
      <c r="S55" s="12">
        <f t="shared" si="8"/>
        <v>289</v>
      </c>
      <c r="T55" s="12">
        <f t="shared" ref="T55:AF55" si="9">T9-S9</f>
        <v>586</v>
      </c>
      <c r="U55" s="12">
        <f t="shared" si="9"/>
        <v>604</v>
      </c>
      <c r="V55" s="12">
        <f t="shared" si="9"/>
        <v>258</v>
      </c>
      <c r="W55" s="12">
        <f t="shared" si="9"/>
        <v>451</v>
      </c>
      <c r="X55" s="12">
        <f t="shared" si="9"/>
        <v>0</v>
      </c>
      <c r="Y55" s="12">
        <f t="shared" si="9"/>
        <v>0</v>
      </c>
      <c r="Z55" s="12">
        <f t="shared" si="9"/>
        <v>99</v>
      </c>
      <c r="AA55" s="12">
        <f t="shared" si="9"/>
        <v>145</v>
      </c>
      <c r="AB55" s="12">
        <f t="shared" si="9"/>
        <v>451</v>
      </c>
      <c r="AC55" s="12">
        <f t="shared" si="1"/>
        <v>167</v>
      </c>
      <c r="AD55" s="12">
        <f t="shared" si="9"/>
        <v>254</v>
      </c>
      <c r="AE55" s="12">
        <f t="shared" si="9"/>
        <v>0</v>
      </c>
      <c r="AF55" s="12">
        <f t="shared" si="9"/>
        <v>0</v>
      </c>
    </row>
    <row r="56" spans="1:32" x14ac:dyDescent="0.25">
      <c r="A56" s="13" t="s">
        <v>9</v>
      </c>
      <c r="B56" s="225">
        <v>0</v>
      </c>
      <c r="C56" s="12">
        <f t="shared" ref="C56:S56" si="10">C10-B10</f>
        <v>0</v>
      </c>
      <c r="D56" s="12">
        <f t="shared" si="10"/>
        <v>0</v>
      </c>
      <c r="E56" s="12">
        <f t="shared" si="10"/>
        <v>221</v>
      </c>
      <c r="F56" s="12">
        <f t="shared" si="10"/>
        <v>251</v>
      </c>
      <c r="G56" s="12">
        <f t="shared" si="10"/>
        <v>588</v>
      </c>
      <c r="H56" s="12">
        <f t="shared" si="10"/>
        <v>195</v>
      </c>
      <c r="I56" s="12">
        <f t="shared" si="10"/>
        <v>384</v>
      </c>
      <c r="J56" s="12">
        <f t="shared" si="10"/>
        <v>518</v>
      </c>
      <c r="K56" s="12">
        <f t="shared" si="10"/>
        <v>518</v>
      </c>
      <c r="L56" s="12">
        <f t="shared" si="10"/>
        <v>435</v>
      </c>
      <c r="M56" s="12">
        <f t="shared" si="10"/>
        <v>564</v>
      </c>
      <c r="N56" s="12">
        <f t="shared" si="10"/>
        <v>561</v>
      </c>
      <c r="O56" s="12">
        <f t="shared" si="10"/>
        <v>272</v>
      </c>
      <c r="P56" s="12">
        <f t="shared" si="10"/>
        <v>561</v>
      </c>
      <c r="Q56" s="12">
        <f t="shared" si="10"/>
        <v>518</v>
      </c>
      <c r="R56" s="12">
        <f t="shared" si="10"/>
        <v>475</v>
      </c>
      <c r="S56" s="12">
        <f t="shared" si="10"/>
        <v>493</v>
      </c>
      <c r="T56" s="12">
        <f t="shared" ref="T56:AF56" si="11">T10-S10</f>
        <v>250</v>
      </c>
      <c r="U56" s="12">
        <f t="shared" si="11"/>
        <v>271</v>
      </c>
      <c r="V56" s="12">
        <f t="shared" si="11"/>
        <v>475</v>
      </c>
      <c r="W56" s="12">
        <f t="shared" si="11"/>
        <v>604</v>
      </c>
      <c r="X56" s="12">
        <f t="shared" si="11"/>
        <v>520</v>
      </c>
      <c r="Y56" s="12">
        <f t="shared" si="11"/>
        <v>261</v>
      </c>
      <c r="Z56" s="12">
        <f t="shared" si="11"/>
        <v>523</v>
      </c>
      <c r="AA56" s="12">
        <f t="shared" si="11"/>
        <v>517</v>
      </c>
      <c r="AB56" s="12">
        <f t="shared" si="11"/>
        <v>270</v>
      </c>
      <c r="AC56" s="12">
        <f t="shared" si="1"/>
        <v>251</v>
      </c>
      <c r="AD56" s="12">
        <f t="shared" si="11"/>
        <v>544</v>
      </c>
      <c r="AE56" s="12">
        <f t="shared" si="11"/>
        <v>346</v>
      </c>
      <c r="AF56" s="12">
        <f t="shared" si="11"/>
        <v>45</v>
      </c>
    </row>
    <row r="57" spans="1:32" x14ac:dyDescent="0.25">
      <c r="A57" s="13" t="s">
        <v>10</v>
      </c>
      <c r="B57" s="225">
        <v>0</v>
      </c>
      <c r="C57" s="12">
        <f t="shared" ref="C57:S57" si="12">C11-B11</f>
        <v>0</v>
      </c>
      <c r="D57" s="12">
        <f t="shared" si="12"/>
        <v>0</v>
      </c>
      <c r="E57" s="12">
        <f t="shared" si="12"/>
        <v>194</v>
      </c>
      <c r="F57" s="12">
        <f t="shared" si="12"/>
        <v>167</v>
      </c>
      <c r="G57" s="12">
        <f t="shared" si="12"/>
        <v>605</v>
      </c>
      <c r="H57" s="12">
        <f t="shared" si="12"/>
        <v>432</v>
      </c>
      <c r="I57" s="12">
        <f t="shared" si="12"/>
        <v>517</v>
      </c>
      <c r="J57" s="12">
        <f t="shared" si="12"/>
        <v>560</v>
      </c>
      <c r="K57" s="12">
        <f t="shared" si="12"/>
        <v>43</v>
      </c>
      <c r="L57" s="12">
        <f t="shared" si="12"/>
        <v>249</v>
      </c>
      <c r="M57" s="12">
        <f t="shared" si="12"/>
        <v>243</v>
      </c>
      <c r="N57" s="12">
        <f t="shared" si="12"/>
        <v>450</v>
      </c>
      <c r="O57" s="12">
        <f t="shared" si="12"/>
        <v>586</v>
      </c>
      <c r="P57" s="12">
        <f t="shared" si="12"/>
        <v>286</v>
      </c>
      <c r="Q57" s="12">
        <f t="shared" si="12"/>
        <v>0</v>
      </c>
      <c r="R57" s="12">
        <f t="shared" si="12"/>
        <v>0</v>
      </c>
      <c r="S57" s="12">
        <f t="shared" si="12"/>
        <v>249</v>
      </c>
      <c r="T57" s="12">
        <f t="shared" ref="T57:AF57" si="13">T11-S11</f>
        <v>189</v>
      </c>
      <c r="U57" s="12">
        <f t="shared" si="13"/>
        <v>348</v>
      </c>
      <c r="V57" s="12">
        <f t="shared" si="13"/>
        <v>0</v>
      </c>
      <c r="W57" s="12">
        <f t="shared" si="13"/>
        <v>306</v>
      </c>
      <c r="X57" s="12">
        <f t="shared" si="13"/>
        <v>562</v>
      </c>
      <c r="Y57" s="12">
        <f t="shared" si="13"/>
        <v>479</v>
      </c>
      <c r="Z57" s="12">
        <f t="shared" si="13"/>
        <v>559</v>
      </c>
      <c r="AA57" s="12">
        <f t="shared" si="13"/>
        <v>603</v>
      </c>
      <c r="AB57" s="12">
        <f t="shared" si="13"/>
        <v>323</v>
      </c>
      <c r="AC57" s="12">
        <f t="shared" si="1"/>
        <v>193</v>
      </c>
      <c r="AD57" s="12">
        <f t="shared" si="13"/>
        <v>502</v>
      </c>
      <c r="AE57" s="12">
        <f t="shared" si="13"/>
        <v>345</v>
      </c>
      <c r="AF57" s="12">
        <f t="shared" si="13"/>
        <v>2</v>
      </c>
    </row>
    <row r="58" spans="1:32" x14ac:dyDescent="0.25">
      <c r="A58" s="11" t="s">
        <v>11</v>
      </c>
      <c r="B58" s="225">
        <v>0</v>
      </c>
      <c r="C58" s="12">
        <f t="shared" ref="C58:S58" si="14">C12-B12</f>
        <v>0</v>
      </c>
      <c r="D58" s="12">
        <f t="shared" si="14"/>
        <v>0</v>
      </c>
      <c r="E58" s="12">
        <f t="shared" si="14"/>
        <v>186</v>
      </c>
      <c r="F58" s="12">
        <f t="shared" si="14"/>
        <v>203</v>
      </c>
      <c r="G58" s="12">
        <f t="shared" si="14"/>
        <v>301</v>
      </c>
      <c r="H58" s="12">
        <f t="shared" si="14"/>
        <v>521</v>
      </c>
      <c r="I58" s="12">
        <f t="shared" si="14"/>
        <v>606</v>
      </c>
      <c r="J58" s="12">
        <f t="shared" si="14"/>
        <v>564</v>
      </c>
      <c r="K58" s="12">
        <f t="shared" si="14"/>
        <v>309</v>
      </c>
      <c r="L58" s="12">
        <f t="shared" si="14"/>
        <v>140</v>
      </c>
      <c r="M58" s="12">
        <f t="shared" si="14"/>
        <v>437</v>
      </c>
      <c r="N58" s="12">
        <f t="shared" si="14"/>
        <v>525</v>
      </c>
      <c r="O58" s="12">
        <f t="shared" si="14"/>
        <v>605</v>
      </c>
      <c r="P58" s="12">
        <f t="shared" si="14"/>
        <v>437</v>
      </c>
      <c r="Q58" s="12">
        <f t="shared" si="14"/>
        <v>4</v>
      </c>
      <c r="R58" s="12">
        <f t="shared" si="14"/>
        <v>1</v>
      </c>
      <c r="S58" s="12">
        <f t="shared" si="14"/>
        <v>90</v>
      </c>
      <c r="T58" s="12">
        <f t="shared" ref="T58:AF58" si="15">T12-S12</f>
        <v>7</v>
      </c>
      <c r="U58" s="12">
        <f t="shared" si="15"/>
        <v>434</v>
      </c>
      <c r="V58" s="12">
        <f t="shared" si="15"/>
        <v>0</v>
      </c>
      <c r="W58" s="12">
        <f t="shared" si="15"/>
        <v>87</v>
      </c>
      <c r="X58" s="12">
        <f t="shared" si="15"/>
        <v>0</v>
      </c>
      <c r="Y58" s="12">
        <f t="shared" si="15"/>
        <v>7</v>
      </c>
      <c r="Z58" s="12">
        <f t="shared" si="15"/>
        <v>313</v>
      </c>
      <c r="AA58" s="12">
        <f t="shared" si="15"/>
        <v>562</v>
      </c>
      <c r="AB58" s="12">
        <f t="shared" si="15"/>
        <v>605</v>
      </c>
      <c r="AC58" s="12">
        <f t="shared" si="1"/>
        <v>562</v>
      </c>
      <c r="AD58" s="12">
        <f t="shared" si="15"/>
        <v>349</v>
      </c>
      <c r="AE58" s="12">
        <f t="shared" si="15"/>
        <v>519</v>
      </c>
      <c r="AF58" s="12">
        <f t="shared" si="15"/>
        <v>478</v>
      </c>
    </row>
    <row r="59" spans="1:32" x14ac:dyDescent="0.25">
      <c r="A59" s="11" t="s">
        <v>12</v>
      </c>
      <c r="B59" s="225">
        <v>475</v>
      </c>
      <c r="C59" s="12">
        <f t="shared" ref="C59:S59" si="16">C13-B13</f>
        <v>560</v>
      </c>
      <c r="D59" s="12">
        <f t="shared" si="16"/>
        <v>516</v>
      </c>
      <c r="E59" s="12">
        <f t="shared" si="16"/>
        <v>603</v>
      </c>
      <c r="F59" s="12">
        <f t="shared" si="16"/>
        <v>440</v>
      </c>
      <c r="G59" s="12">
        <f t="shared" si="16"/>
        <v>474</v>
      </c>
      <c r="H59" s="12">
        <f t="shared" si="16"/>
        <v>519</v>
      </c>
      <c r="I59" s="12">
        <f t="shared" si="16"/>
        <v>535</v>
      </c>
      <c r="J59" s="12">
        <f t="shared" si="16"/>
        <v>0</v>
      </c>
      <c r="K59" s="12">
        <f t="shared" si="16"/>
        <v>0</v>
      </c>
      <c r="L59" s="12">
        <f t="shared" si="16"/>
        <v>193</v>
      </c>
      <c r="M59" s="12">
        <f t="shared" si="16"/>
        <v>501</v>
      </c>
      <c r="N59" s="12">
        <f t="shared" si="16"/>
        <v>562</v>
      </c>
      <c r="O59" s="12">
        <f t="shared" si="16"/>
        <v>560</v>
      </c>
      <c r="P59" s="12">
        <f t="shared" si="16"/>
        <v>292</v>
      </c>
      <c r="Q59" s="12">
        <f t="shared" si="16"/>
        <v>0</v>
      </c>
      <c r="R59" s="12">
        <f t="shared" si="16"/>
        <v>0</v>
      </c>
      <c r="S59" s="12">
        <f t="shared" si="16"/>
        <v>80</v>
      </c>
      <c r="T59" s="12">
        <f t="shared" ref="T59:AF59" si="17">T13-S13</f>
        <v>435</v>
      </c>
      <c r="U59" s="12">
        <f t="shared" si="17"/>
        <v>368</v>
      </c>
      <c r="V59" s="12">
        <f t="shared" si="17"/>
        <v>0</v>
      </c>
      <c r="W59" s="12">
        <f t="shared" si="17"/>
        <v>372</v>
      </c>
      <c r="X59" s="12">
        <f t="shared" si="17"/>
        <v>43</v>
      </c>
      <c r="Y59" s="12">
        <f t="shared" si="17"/>
        <v>474</v>
      </c>
      <c r="Z59" s="12">
        <f t="shared" si="17"/>
        <v>475</v>
      </c>
      <c r="AA59" s="12">
        <f t="shared" si="17"/>
        <v>447</v>
      </c>
      <c r="AB59" s="12">
        <f t="shared" si="17"/>
        <v>195</v>
      </c>
      <c r="AC59" s="12">
        <f t="shared" si="1"/>
        <v>374</v>
      </c>
      <c r="AD59" s="12">
        <f t="shared" si="17"/>
        <v>560</v>
      </c>
      <c r="AE59" s="12">
        <f t="shared" si="17"/>
        <v>473</v>
      </c>
      <c r="AF59" s="12">
        <f t="shared" si="17"/>
        <v>479</v>
      </c>
    </row>
    <row r="60" spans="1:32" x14ac:dyDescent="0.25">
      <c r="A60" s="11" t="s">
        <v>13</v>
      </c>
      <c r="B60" s="225">
        <v>519</v>
      </c>
      <c r="C60" s="12">
        <f t="shared" ref="C60:S60" si="18">C14-B14</f>
        <v>519</v>
      </c>
      <c r="D60" s="12">
        <f t="shared" si="18"/>
        <v>431</v>
      </c>
      <c r="E60" s="12">
        <f t="shared" si="18"/>
        <v>518</v>
      </c>
      <c r="F60" s="12">
        <f t="shared" si="18"/>
        <v>519</v>
      </c>
      <c r="G60" s="12">
        <f t="shared" si="18"/>
        <v>305</v>
      </c>
      <c r="H60" s="12">
        <f t="shared" si="18"/>
        <v>312</v>
      </c>
      <c r="I60" s="12">
        <f t="shared" si="18"/>
        <v>603</v>
      </c>
      <c r="J60" s="12">
        <f t="shared" si="18"/>
        <v>479</v>
      </c>
      <c r="K60" s="12">
        <f t="shared" si="18"/>
        <v>0</v>
      </c>
      <c r="L60" s="12">
        <f t="shared" si="18"/>
        <v>604</v>
      </c>
      <c r="M60" s="12">
        <f t="shared" si="18"/>
        <v>521</v>
      </c>
      <c r="N60" s="12">
        <f t="shared" si="18"/>
        <v>204</v>
      </c>
      <c r="O60" s="12">
        <f t="shared" si="18"/>
        <v>258</v>
      </c>
      <c r="P60" s="12">
        <f t="shared" si="18"/>
        <v>453</v>
      </c>
      <c r="Q60" s="12">
        <f t="shared" si="18"/>
        <v>0</v>
      </c>
      <c r="R60" s="12">
        <f t="shared" si="18"/>
        <v>0</v>
      </c>
      <c r="S60" s="12">
        <f t="shared" si="18"/>
        <v>571</v>
      </c>
      <c r="T60" s="12">
        <f t="shared" ref="T60:AF60" si="19">T14-S14</f>
        <v>400</v>
      </c>
      <c r="U60" s="12">
        <f t="shared" si="19"/>
        <v>519</v>
      </c>
      <c r="V60" s="12">
        <f t="shared" si="19"/>
        <v>277</v>
      </c>
      <c r="W60" s="12">
        <f t="shared" si="19"/>
        <v>500</v>
      </c>
      <c r="X60" s="12">
        <f t="shared" si="19"/>
        <v>518</v>
      </c>
      <c r="Y60" s="12">
        <f t="shared" si="19"/>
        <v>348</v>
      </c>
      <c r="Z60" s="12">
        <f t="shared" si="19"/>
        <v>449</v>
      </c>
      <c r="AA60" s="12">
        <f t="shared" si="19"/>
        <v>186</v>
      </c>
      <c r="AB60" s="12">
        <f t="shared" si="19"/>
        <v>193</v>
      </c>
      <c r="AC60" s="12">
        <f t="shared" si="1"/>
        <v>252</v>
      </c>
      <c r="AD60" s="12">
        <f t="shared" si="19"/>
        <v>332</v>
      </c>
      <c r="AE60" s="12">
        <f t="shared" si="19"/>
        <v>0</v>
      </c>
      <c r="AF60" s="12">
        <f t="shared" si="19"/>
        <v>0</v>
      </c>
    </row>
    <row r="61" spans="1:32" x14ac:dyDescent="0.25">
      <c r="A61" s="13" t="s">
        <v>14</v>
      </c>
      <c r="B61" s="225">
        <v>517</v>
      </c>
      <c r="C61" s="12">
        <f t="shared" ref="C61:S61" si="20">C15-B15</f>
        <v>561</v>
      </c>
      <c r="D61" s="12">
        <f t="shared" si="20"/>
        <v>345</v>
      </c>
      <c r="E61" s="12">
        <f t="shared" si="20"/>
        <v>442</v>
      </c>
      <c r="F61" s="12">
        <f t="shared" si="20"/>
        <v>262</v>
      </c>
      <c r="G61" s="12">
        <f t="shared" si="20"/>
        <v>522</v>
      </c>
      <c r="H61" s="12">
        <f t="shared" si="20"/>
        <v>520</v>
      </c>
      <c r="I61" s="12">
        <f t="shared" si="20"/>
        <v>398</v>
      </c>
      <c r="J61" s="12">
        <f t="shared" si="20"/>
        <v>565</v>
      </c>
      <c r="K61" s="12">
        <f t="shared" si="20"/>
        <v>43</v>
      </c>
      <c r="L61" s="12">
        <f t="shared" si="20"/>
        <v>453</v>
      </c>
      <c r="M61" s="12">
        <f t="shared" si="20"/>
        <v>331</v>
      </c>
      <c r="N61" s="12">
        <f t="shared" si="20"/>
        <v>348</v>
      </c>
      <c r="O61" s="12">
        <f t="shared" si="20"/>
        <v>237</v>
      </c>
      <c r="P61" s="12">
        <f t="shared" si="20"/>
        <v>256</v>
      </c>
      <c r="Q61" s="12">
        <f t="shared" si="20"/>
        <v>5</v>
      </c>
      <c r="R61" s="12">
        <f t="shared" si="20"/>
        <v>2</v>
      </c>
      <c r="S61" s="12">
        <f t="shared" si="20"/>
        <v>450</v>
      </c>
      <c r="T61" s="12">
        <f t="shared" ref="T61:AF61" si="21">T15-S15</f>
        <v>90</v>
      </c>
      <c r="U61" s="12">
        <f t="shared" si="21"/>
        <v>194</v>
      </c>
      <c r="V61" s="12">
        <f t="shared" si="21"/>
        <v>69</v>
      </c>
      <c r="W61" s="12">
        <f t="shared" si="21"/>
        <v>431</v>
      </c>
      <c r="X61" s="12">
        <f t="shared" si="21"/>
        <v>22</v>
      </c>
      <c r="Y61" s="12">
        <f t="shared" si="21"/>
        <v>18</v>
      </c>
      <c r="Z61" s="12">
        <f t="shared" si="21"/>
        <v>481</v>
      </c>
      <c r="AA61" s="12">
        <f t="shared" si="21"/>
        <v>474</v>
      </c>
      <c r="AB61" s="12">
        <f t="shared" si="21"/>
        <v>290</v>
      </c>
      <c r="AC61" s="12">
        <f t="shared" si="1"/>
        <v>501</v>
      </c>
      <c r="AD61" s="12">
        <f t="shared" si="21"/>
        <v>605</v>
      </c>
      <c r="AE61" s="12">
        <f t="shared" si="21"/>
        <v>3</v>
      </c>
      <c r="AF61" s="12">
        <f t="shared" si="21"/>
        <v>1</v>
      </c>
    </row>
    <row r="62" spans="1:32" x14ac:dyDescent="0.25">
      <c r="A62" s="13" t="s">
        <v>15</v>
      </c>
      <c r="B62" s="225">
        <v>432</v>
      </c>
      <c r="C62" s="12">
        <f t="shared" ref="C62:S62" si="22">C16-B16</f>
        <v>517</v>
      </c>
      <c r="D62" s="12">
        <f t="shared" si="22"/>
        <v>517</v>
      </c>
      <c r="E62" s="12">
        <f t="shared" si="22"/>
        <v>400</v>
      </c>
      <c r="F62" s="12">
        <f t="shared" si="22"/>
        <v>491</v>
      </c>
      <c r="G62" s="12">
        <f t="shared" si="22"/>
        <v>261</v>
      </c>
      <c r="H62" s="12">
        <f t="shared" si="22"/>
        <v>431</v>
      </c>
      <c r="I62" s="12">
        <f t="shared" si="22"/>
        <v>271</v>
      </c>
      <c r="J62" s="12">
        <f t="shared" si="22"/>
        <v>560</v>
      </c>
      <c r="K62" s="12">
        <f t="shared" si="22"/>
        <v>517</v>
      </c>
      <c r="L62" s="12">
        <f t="shared" si="22"/>
        <v>604</v>
      </c>
      <c r="M62" s="12">
        <f t="shared" si="22"/>
        <v>517</v>
      </c>
      <c r="N62" s="12">
        <f t="shared" si="22"/>
        <v>286</v>
      </c>
      <c r="O62" s="12">
        <f t="shared" si="22"/>
        <v>89</v>
      </c>
      <c r="P62" s="12">
        <f t="shared" si="22"/>
        <v>263</v>
      </c>
      <c r="Q62" s="12">
        <f t="shared" si="22"/>
        <v>0</v>
      </c>
      <c r="R62" s="12">
        <f t="shared" si="22"/>
        <v>192</v>
      </c>
      <c r="S62" s="12">
        <f t="shared" si="22"/>
        <v>604</v>
      </c>
      <c r="T62" s="12">
        <f t="shared" ref="T62:AF62" si="23">T16-S16</f>
        <v>479</v>
      </c>
      <c r="U62" s="12">
        <f t="shared" si="23"/>
        <v>373</v>
      </c>
      <c r="V62" s="12">
        <f t="shared" si="23"/>
        <v>0</v>
      </c>
      <c r="W62" s="12">
        <f t="shared" si="23"/>
        <v>483</v>
      </c>
      <c r="X62" s="12">
        <f t="shared" si="23"/>
        <v>560</v>
      </c>
      <c r="Y62" s="12">
        <f t="shared" si="23"/>
        <v>475</v>
      </c>
      <c r="Z62" s="12">
        <f t="shared" si="23"/>
        <v>452</v>
      </c>
      <c r="AA62" s="12">
        <f t="shared" si="23"/>
        <v>237</v>
      </c>
      <c r="AB62" s="12">
        <f t="shared" si="23"/>
        <v>373</v>
      </c>
      <c r="AC62" s="12">
        <f t="shared" si="1"/>
        <v>517</v>
      </c>
      <c r="AD62" s="12">
        <f t="shared" si="23"/>
        <v>604</v>
      </c>
      <c r="AE62" s="12">
        <f t="shared" si="23"/>
        <v>563</v>
      </c>
      <c r="AF62" s="12">
        <f t="shared" si="23"/>
        <v>43</v>
      </c>
    </row>
    <row r="63" spans="1:32" x14ac:dyDescent="0.25">
      <c r="A63" s="13" t="s">
        <v>16</v>
      </c>
      <c r="B63" s="225">
        <v>0</v>
      </c>
      <c r="C63" s="12">
        <f t="shared" ref="C63:S63" si="24">C17-B17</f>
        <v>0</v>
      </c>
      <c r="D63" s="12">
        <f t="shared" si="24"/>
        <v>0</v>
      </c>
      <c r="E63" s="12">
        <f t="shared" si="24"/>
        <v>249</v>
      </c>
      <c r="F63" s="12">
        <f t="shared" si="24"/>
        <v>303</v>
      </c>
      <c r="G63" s="12">
        <f t="shared" si="24"/>
        <v>518</v>
      </c>
      <c r="H63" s="12">
        <f t="shared" si="24"/>
        <v>516</v>
      </c>
      <c r="I63" s="12">
        <f t="shared" si="24"/>
        <v>365</v>
      </c>
      <c r="J63" s="12">
        <f t="shared" si="24"/>
        <v>0</v>
      </c>
      <c r="K63" s="12">
        <f t="shared" si="24"/>
        <v>0</v>
      </c>
      <c r="L63" s="12">
        <f t="shared" si="24"/>
        <v>399</v>
      </c>
      <c r="M63" s="12">
        <f t="shared" si="24"/>
        <v>258</v>
      </c>
      <c r="N63" s="12">
        <f t="shared" si="24"/>
        <v>330</v>
      </c>
      <c r="O63" s="12">
        <f t="shared" si="24"/>
        <v>434</v>
      </c>
      <c r="P63" s="12">
        <f t="shared" si="24"/>
        <v>515</v>
      </c>
      <c r="Q63" s="12">
        <f t="shared" si="24"/>
        <v>105</v>
      </c>
      <c r="R63" s="12">
        <f t="shared" si="24"/>
        <v>0</v>
      </c>
      <c r="S63" s="12">
        <f t="shared" si="24"/>
        <v>260</v>
      </c>
      <c r="T63" s="12">
        <f t="shared" ref="T63:AF63" si="25">T17-S17</f>
        <v>253</v>
      </c>
      <c r="U63" s="12">
        <f t="shared" si="25"/>
        <v>562</v>
      </c>
      <c r="V63" s="12">
        <f t="shared" si="25"/>
        <v>482</v>
      </c>
      <c r="W63" s="12">
        <f t="shared" si="25"/>
        <v>452</v>
      </c>
      <c r="X63" s="12">
        <f t="shared" si="25"/>
        <v>0</v>
      </c>
      <c r="Y63" s="12">
        <f t="shared" si="25"/>
        <v>0</v>
      </c>
      <c r="Z63" s="12">
        <f t="shared" si="25"/>
        <v>211</v>
      </c>
      <c r="AA63" s="12">
        <f t="shared" si="25"/>
        <v>518</v>
      </c>
      <c r="AB63" s="12">
        <f t="shared" si="25"/>
        <v>533</v>
      </c>
      <c r="AC63" s="12">
        <f t="shared" si="1"/>
        <v>168</v>
      </c>
      <c r="AD63" s="12">
        <f t="shared" si="25"/>
        <v>450</v>
      </c>
      <c r="AE63" s="12">
        <f t="shared" si="25"/>
        <v>0</v>
      </c>
      <c r="AF63" s="12">
        <f t="shared" si="25"/>
        <v>0</v>
      </c>
    </row>
    <row r="64" spans="1:32" x14ac:dyDescent="0.25">
      <c r="A64" s="13" t="s">
        <v>17</v>
      </c>
      <c r="B64" s="225">
        <v>0</v>
      </c>
      <c r="C64" s="12">
        <f t="shared" ref="C64:S64" si="26">C18-B18</f>
        <v>0</v>
      </c>
      <c r="D64" s="12">
        <f t="shared" si="26"/>
        <v>0</v>
      </c>
      <c r="E64" s="12">
        <f t="shared" si="26"/>
        <v>450</v>
      </c>
      <c r="F64" s="12">
        <f t="shared" si="26"/>
        <v>193</v>
      </c>
      <c r="G64" s="12">
        <f t="shared" si="26"/>
        <v>233</v>
      </c>
      <c r="H64" s="12">
        <f t="shared" si="26"/>
        <v>157</v>
      </c>
      <c r="I64" s="12">
        <f t="shared" si="26"/>
        <v>519</v>
      </c>
      <c r="J64" s="12">
        <f t="shared" si="26"/>
        <v>517</v>
      </c>
      <c r="K64" s="12">
        <f t="shared" si="26"/>
        <v>174</v>
      </c>
      <c r="L64" s="12">
        <f t="shared" si="26"/>
        <v>357</v>
      </c>
      <c r="M64" s="12">
        <f t="shared" si="26"/>
        <v>560</v>
      </c>
      <c r="N64" s="12">
        <f t="shared" si="26"/>
        <v>519</v>
      </c>
      <c r="O64" s="12">
        <f t="shared" si="26"/>
        <v>517</v>
      </c>
      <c r="P64" s="12">
        <f t="shared" si="26"/>
        <v>326</v>
      </c>
      <c r="Q64" s="12">
        <f t="shared" si="26"/>
        <v>0</v>
      </c>
      <c r="R64" s="12">
        <f t="shared" si="26"/>
        <v>0</v>
      </c>
      <c r="S64" s="12">
        <f t="shared" si="26"/>
        <v>545</v>
      </c>
      <c r="T64" s="12">
        <f t="shared" ref="T64:AF64" si="27">T18-S18</f>
        <v>560</v>
      </c>
      <c r="U64" s="12">
        <f t="shared" si="27"/>
        <v>516</v>
      </c>
      <c r="V64" s="12">
        <f t="shared" si="27"/>
        <v>296</v>
      </c>
      <c r="W64" s="12">
        <f t="shared" si="27"/>
        <v>452</v>
      </c>
      <c r="X64" s="12">
        <f t="shared" si="27"/>
        <v>0</v>
      </c>
      <c r="Y64" s="12">
        <f t="shared" si="27"/>
        <v>0</v>
      </c>
      <c r="Z64" s="12">
        <f t="shared" si="27"/>
        <v>133</v>
      </c>
      <c r="AA64" s="12">
        <f t="shared" si="27"/>
        <v>518</v>
      </c>
      <c r="AB64" s="12">
        <f t="shared" si="27"/>
        <v>560</v>
      </c>
      <c r="AC64" s="12">
        <f t="shared" si="1"/>
        <v>492</v>
      </c>
      <c r="AD64" s="12">
        <f t="shared" si="27"/>
        <v>193</v>
      </c>
      <c r="AE64" s="12">
        <f t="shared" si="27"/>
        <v>0</v>
      </c>
      <c r="AF64" s="12">
        <f t="shared" si="27"/>
        <v>0</v>
      </c>
    </row>
    <row r="65" spans="1:32" x14ac:dyDescent="0.25">
      <c r="A65" s="13" t="s">
        <v>18</v>
      </c>
      <c r="B65" s="225">
        <v>4</v>
      </c>
      <c r="C65" s="12">
        <f t="shared" ref="C65:S65" si="28">C19-B19</f>
        <v>562</v>
      </c>
      <c r="D65" s="12">
        <f t="shared" si="28"/>
        <v>43</v>
      </c>
      <c r="E65" s="12">
        <f t="shared" si="28"/>
        <v>134</v>
      </c>
      <c r="F65" s="12">
        <f t="shared" si="28"/>
        <v>193</v>
      </c>
      <c r="G65" s="12">
        <f t="shared" si="28"/>
        <v>250</v>
      </c>
      <c r="H65" s="12">
        <f t="shared" si="28"/>
        <v>241</v>
      </c>
      <c r="I65" s="12">
        <f t="shared" si="28"/>
        <v>190</v>
      </c>
      <c r="J65" s="12">
        <f t="shared" si="28"/>
        <v>0</v>
      </c>
      <c r="K65" s="12">
        <f t="shared" si="28"/>
        <v>0</v>
      </c>
      <c r="L65" s="12">
        <f t="shared" si="28"/>
        <v>289</v>
      </c>
      <c r="M65" s="12">
        <f t="shared" si="28"/>
        <v>517</v>
      </c>
      <c r="N65" s="12">
        <f t="shared" si="28"/>
        <v>517</v>
      </c>
      <c r="O65" s="12">
        <f t="shared" si="28"/>
        <v>604</v>
      </c>
      <c r="P65" s="12">
        <f t="shared" si="28"/>
        <v>457</v>
      </c>
      <c r="Q65" s="12">
        <f t="shared" si="28"/>
        <v>0</v>
      </c>
      <c r="R65" s="12">
        <f t="shared" si="28"/>
        <v>0</v>
      </c>
      <c r="S65" s="12">
        <f t="shared" si="28"/>
        <v>192</v>
      </c>
      <c r="T65" s="12">
        <f t="shared" ref="T65:AF65" si="29">T19-S19</f>
        <v>249</v>
      </c>
      <c r="U65" s="12">
        <f t="shared" si="29"/>
        <v>588</v>
      </c>
      <c r="V65" s="12">
        <f t="shared" si="29"/>
        <v>475</v>
      </c>
      <c r="W65" s="12">
        <f t="shared" si="29"/>
        <v>330</v>
      </c>
      <c r="X65" s="12">
        <f t="shared" si="29"/>
        <v>0</v>
      </c>
      <c r="Y65" s="12">
        <f t="shared" si="29"/>
        <v>18</v>
      </c>
      <c r="Z65" s="12">
        <f t="shared" si="29"/>
        <v>450</v>
      </c>
      <c r="AA65" s="12">
        <f t="shared" si="29"/>
        <v>195</v>
      </c>
      <c r="AB65" s="12">
        <f t="shared" si="29"/>
        <v>415</v>
      </c>
      <c r="AC65" s="12">
        <f t="shared" si="1"/>
        <v>518</v>
      </c>
      <c r="AD65" s="12">
        <f t="shared" si="29"/>
        <v>452</v>
      </c>
      <c r="AE65" s="12">
        <f t="shared" si="29"/>
        <v>0</v>
      </c>
      <c r="AF65" s="12">
        <f t="shared" si="29"/>
        <v>0</v>
      </c>
    </row>
    <row r="66" spans="1:32" x14ac:dyDescent="0.25">
      <c r="A66" s="13" t="s">
        <v>19</v>
      </c>
      <c r="B66" s="225">
        <v>0</v>
      </c>
      <c r="C66" s="12">
        <f t="shared" ref="C66:S66" si="30">C20-B20</f>
        <v>0</v>
      </c>
      <c r="D66" s="12">
        <f t="shared" si="30"/>
        <v>0</v>
      </c>
      <c r="E66" s="12">
        <f t="shared" si="30"/>
        <v>249</v>
      </c>
      <c r="F66" s="12">
        <f t="shared" si="30"/>
        <v>500</v>
      </c>
      <c r="G66" s="12">
        <f t="shared" si="30"/>
        <v>516</v>
      </c>
      <c r="H66" s="12">
        <f t="shared" si="30"/>
        <v>226</v>
      </c>
      <c r="I66" s="12">
        <f t="shared" si="30"/>
        <v>249</v>
      </c>
      <c r="J66" s="12">
        <f t="shared" si="30"/>
        <v>21</v>
      </c>
      <c r="K66" s="12">
        <f t="shared" si="30"/>
        <v>263</v>
      </c>
      <c r="L66" s="12">
        <f t="shared" si="30"/>
        <v>562</v>
      </c>
      <c r="M66" s="12">
        <f t="shared" si="30"/>
        <v>475</v>
      </c>
      <c r="N66" s="12">
        <f t="shared" si="30"/>
        <v>201</v>
      </c>
      <c r="O66" s="12">
        <f t="shared" si="30"/>
        <v>263</v>
      </c>
      <c r="P66" s="12">
        <f t="shared" si="30"/>
        <v>296</v>
      </c>
      <c r="Q66" s="12">
        <f t="shared" si="30"/>
        <v>62</v>
      </c>
      <c r="R66" s="12">
        <f t="shared" si="30"/>
        <v>0</v>
      </c>
      <c r="S66" s="12">
        <f t="shared" si="30"/>
        <v>305</v>
      </c>
      <c r="T66" s="12">
        <f t="shared" ref="T66:AF66" si="31">T20-S20</f>
        <v>383</v>
      </c>
      <c r="U66" s="12">
        <f t="shared" si="31"/>
        <v>422</v>
      </c>
      <c r="V66" s="12">
        <f t="shared" si="31"/>
        <v>0</v>
      </c>
      <c r="W66" s="12">
        <f t="shared" si="31"/>
        <v>252</v>
      </c>
      <c r="X66" s="12">
        <f t="shared" si="31"/>
        <v>0</v>
      </c>
      <c r="Y66" s="12">
        <f t="shared" si="31"/>
        <v>0</v>
      </c>
      <c r="Z66" s="12">
        <f t="shared" si="31"/>
        <v>248</v>
      </c>
      <c r="AA66" s="12">
        <f t="shared" si="31"/>
        <v>262</v>
      </c>
      <c r="AB66" s="12">
        <f t="shared" si="31"/>
        <v>586</v>
      </c>
      <c r="AC66" s="12">
        <f t="shared" si="1"/>
        <v>562</v>
      </c>
      <c r="AD66" s="12">
        <f t="shared" si="31"/>
        <v>517</v>
      </c>
      <c r="AE66" s="12">
        <f t="shared" si="31"/>
        <v>559</v>
      </c>
      <c r="AF66" s="12">
        <f t="shared" si="31"/>
        <v>517</v>
      </c>
    </row>
    <row r="67" spans="1:32" x14ac:dyDescent="0.25">
      <c r="A67" s="13" t="s">
        <v>20</v>
      </c>
      <c r="B67" s="225">
        <v>475</v>
      </c>
      <c r="C67" s="12">
        <f t="shared" ref="C67:S67" si="32">C21-B21</f>
        <v>518</v>
      </c>
      <c r="D67" s="12">
        <f t="shared" si="32"/>
        <v>434</v>
      </c>
      <c r="E67" s="12">
        <f t="shared" si="32"/>
        <v>430</v>
      </c>
      <c r="F67" s="12">
        <f t="shared" si="32"/>
        <v>449</v>
      </c>
      <c r="G67" s="12">
        <f t="shared" si="32"/>
        <v>64</v>
      </c>
      <c r="H67" s="12">
        <f t="shared" si="32"/>
        <v>227</v>
      </c>
      <c r="I67" s="12">
        <f t="shared" si="32"/>
        <v>562</v>
      </c>
      <c r="J67" s="12">
        <f t="shared" si="32"/>
        <v>43</v>
      </c>
      <c r="K67" s="12">
        <f t="shared" si="32"/>
        <v>519</v>
      </c>
      <c r="L67" s="12">
        <f t="shared" si="32"/>
        <v>517</v>
      </c>
      <c r="M67" s="12">
        <f t="shared" si="32"/>
        <v>225</v>
      </c>
      <c r="N67" s="12">
        <f t="shared" si="32"/>
        <v>431</v>
      </c>
      <c r="O67" s="12">
        <f t="shared" si="32"/>
        <v>560</v>
      </c>
      <c r="P67" s="12">
        <f t="shared" si="32"/>
        <v>559</v>
      </c>
      <c r="Q67" s="12">
        <f t="shared" si="32"/>
        <v>518</v>
      </c>
      <c r="R67" s="12">
        <f t="shared" si="32"/>
        <v>476</v>
      </c>
      <c r="S67" s="12">
        <f t="shared" si="32"/>
        <v>209</v>
      </c>
      <c r="T67" s="12">
        <f t="shared" ref="T67:AF82" si="33">T21-S21</f>
        <v>246</v>
      </c>
      <c r="U67" s="12">
        <f t="shared" si="33"/>
        <v>338</v>
      </c>
      <c r="V67" s="12">
        <f t="shared" si="33"/>
        <v>192</v>
      </c>
      <c r="W67" s="12">
        <f t="shared" si="33"/>
        <v>251</v>
      </c>
      <c r="X67" s="12">
        <f t="shared" si="33"/>
        <v>0</v>
      </c>
      <c r="Y67" s="12">
        <f t="shared" si="33"/>
        <v>0</v>
      </c>
      <c r="Z67" s="12">
        <f t="shared" si="33"/>
        <v>305</v>
      </c>
      <c r="AA67" s="12">
        <f t="shared" si="33"/>
        <v>604</v>
      </c>
      <c r="AB67" s="12">
        <f t="shared" si="33"/>
        <v>561</v>
      </c>
      <c r="AC67" s="12">
        <f t="shared" si="33"/>
        <v>473</v>
      </c>
      <c r="AD67" s="12">
        <f t="shared" si="33"/>
        <v>177</v>
      </c>
      <c r="AE67" s="12">
        <f t="shared" si="33"/>
        <v>517</v>
      </c>
      <c r="AF67" s="12">
        <f t="shared" si="33"/>
        <v>477</v>
      </c>
    </row>
    <row r="68" spans="1:32" x14ac:dyDescent="0.25">
      <c r="A68" s="13" t="s">
        <v>21</v>
      </c>
      <c r="B68" s="225">
        <v>476</v>
      </c>
      <c r="C68" s="12">
        <f t="shared" ref="C68:S68" si="34">C22-B22</f>
        <v>479</v>
      </c>
      <c r="D68" s="12">
        <f t="shared" si="34"/>
        <v>2</v>
      </c>
      <c r="E68" s="12">
        <f t="shared" si="34"/>
        <v>562</v>
      </c>
      <c r="F68" s="12">
        <f t="shared" si="34"/>
        <v>494</v>
      </c>
      <c r="G68" s="12">
        <f t="shared" si="34"/>
        <v>413</v>
      </c>
      <c r="H68" s="12">
        <f t="shared" si="34"/>
        <v>517</v>
      </c>
      <c r="I68" s="12">
        <f t="shared" si="34"/>
        <v>560</v>
      </c>
      <c r="J68" s="12">
        <f t="shared" si="34"/>
        <v>517</v>
      </c>
      <c r="K68" s="12">
        <f t="shared" si="34"/>
        <v>346</v>
      </c>
      <c r="L68" s="12">
        <f t="shared" si="34"/>
        <v>604</v>
      </c>
      <c r="M68" s="12">
        <f t="shared" si="34"/>
        <v>443</v>
      </c>
      <c r="N68" s="12">
        <f t="shared" si="34"/>
        <v>560</v>
      </c>
      <c r="O68" s="12">
        <f t="shared" si="34"/>
        <v>258</v>
      </c>
      <c r="P68" s="12">
        <f t="shared" si="34"/>
        <v>586</v>
      </c>
      <c r="Q68" s="12">
        <f t="shared" si="34"/>
        <v>520</v>
      </c>
      <c r="R68" s="12">
        <f t="shared" si="34"/>
        <v>431</v>
      </c>
      <c r="S68" s="12">
        <f t="shared" si="34"/>
        <v>243</v>
      </c>
      <c r="T68" s="12">
        <f t="shared" ref="T68:AF68" si="35">T22-S22</f>
        <v>417</v>
      </c>
      <c r="U68" s="12">
        <f t="shared" si="35"/>
        <v>431</v>
      </c>
      <c r="V68" s="12">
        <f t="shared" si="35"/>
        <v>88</v>
      </c>
      <c r="W68" s="12">
        <f t="shared" si="35"/>
        <v>304</v>
      </c>
      <c r="X68" s="12">
        <f t="shared" si="35"/>
        <v>45</v>
      </c>
      <c r="Y68" s="12">
        <f t="shared" si="35"/>
        <v>0</v>
      </c>
      <c r="Z68" s="12">
        <f t="shared" si="35"/>
        <v>432</v>
      </c>
      <c r="AA68" s="12">
        <f t="shared" si="35"/>
        <v>441</v>
      </c>
      <c r="AB68" s="12">
        <f t="shared" si="35"/>
        <v>478</v>
      </c>
      <c r="AC68" s="12">
        <f t="shared" si="33"/>
        <v>280</v>
      </c>
      <c r="AD68" s="12">
        <f t="shared" si="35"/>
        <v>158</v>
      </c>
      <c r="AE68" s="12">
        <f t="shared" si="35"/>
        <v>433</v>
      </c>
      <c r="AF68" s="12">
        <f t="shared" si="35"/>
        <v>431</v>
      </c>
    </row>
    <row r="69" spans="1:32" x14ac:dyDescent="0.25">
      <c r="A69" s="13" t="s">
        <v>22</v>
      </c>
      <c r="B69" s="225">
        <v>0</v>
      </c>
      <c r="C69" s="12">
        <f t="shared" ref="C69:S69" si="36">C23-B23</f>
        <v>0</v>
      </c>
      <c r="D69" s="12">
        <f t="shared" si="36"/>
        <v>0</v>
      </c>
      <c r="E69" s="12">
        <f t="shared" si="36"/>
        <v>255</v>
      </c>
      <c r="F69" s="12">
        <f t="shared" si="36"/>
        <v>433</v>
      </c>
      <c r="G69" s="12">
        <f t="shared" si="36"/>
        <v>199</v>
      </c>
      <c r="H69" s="12">
        <f t="shared" si="36"/>
        <v>148</v>
      </c>
      <c r="I69" s="12">
        <f t="shared" si="36"/>
        <v>322</v>
      </c>
      <c r="J69" s="12">
        <f t="shared" si="36"/>
        <v>20</v>
      </c>
      <c r="K69" s="12">
        <f t="shared" si="36"/>
        <v>306</v>
      </c>
      <c r="L69" s="12">
        <f t="shared" si="36"/>
        <v>492</v>
      </c>
      <c r="M69" s="12">
        <f t="shared" si="36"/>
        <v>99</v>
      </c>
      <c r="N69" s="12">
        <f t="shared" si="36"/>
        <v>201</v>
      </c>
      <c r="O69" s="12">
        <f t="shared" si="36"/>
        <v>251</v>
      </c>
      <c r="P69" s="12">
        <f t="shared" si="36"/>
        <v>251</v>
      </c>
      <c r="Q69" s="12">
        <f t="shared" si="36"/>
        <v>0</v>
      </c>
      <c r="R69" s="12">
        <f t="shared" si="36"/>
        <v>0</v>
      </c>
      <c r="S69" s="12">
        <f t="shared" si="36"/>
        <v>357</v>
      </c>
      <c r="T69" s="12">
        <f t="shared" ref="T69:AF69" si="37">T23-S23</f>
        <v>263</v>
      </c>
      <c r="U69" s="12">
        <f t="shared" si="37"/>
        <v>250</v>
      </c>
      <c r="V69" s="12">
        <f t="shared" si="37"/>
        <v>0</v>
      </c>
      <c r="W69" s="12">
        <f t="shared" si="37"/>
        <v>501</v>
      </c>
      <c r="X69" s="12">
        <f t="shared" si="37"/>
        <v>518</v>
      </c>
      <c r="Y69" s="12">
        <f t="shared" si="37"/>
        <v>176</v>
      </c>
      <c r="Z69" s="12">
        <f t="shared" si="37"/>
        <v>436</v>
      </c>
      <c r="AA69" s="12">
        <f t="shared" si="37"/>
        <v>205</v>
      </c>
      <c r="AB69" s="12">
        <f t="shared" si="37"/>
        <v>329</v>
      </c>
      <c r="AC69" s="12">
        <f t="shared" si="33"/>
        <v>561</v>
      </c>
      <c r="AD69" s="12">
        <f t="shared" si="37"/>
        <v>561</v>
      </c>
      <c r="AE69" s="12">
        <f t="shared" si="37"/>
        <v>519</v>
      </c>
      <c r="AF69" s="12">
        <f t="shared" si="37"/>
        <v>477</v>
      </c>
    </row>
    <row r="70" spans="1:32" x14ac:dyDescent="0.25">
      <c r="A70" s="11" t="s">
        <v>23</v>
      </c>
      <c r="B70" s="225">
        <v>0</v>
      </c>
      <c r="C70" s="12">
        <f t="shared" ref="C70:S70" si="38">C24-B24</f>
        <v>0</v>
      </c>
      <c r="D70" s="12">
        <f t="shared" si="38"/>
        <v>11</v>
      </c>
      <c r="E70" s="12">
        <f t="shared" si="38"/>
        <v>571</v>
      </c>
      <c r="F70" s="12">
        <f t="shared" si="38"/>
        <v>474</v>
      </c>
      <c r="G70" s="12">
        <f t="shared" si="38"/>
        <v>160</v>
      </c>
      <c r="H70" s="12">
        <f t="shared" si="38"/>
        <v>167</v>
      </c>
      <c r="I70" s="12">
        <f t="shared" si="38"/>
        <v>517</v>
      </c>
      <c r="J70" s="12">
        <f t="shared" si="38"/>
        <v>560</v>
      </c>
      <c r="K70" s="12">
        <f t="shared" si="38"/>
        <v>45</v>
      </c>
      <c r="L70" s="12">
        <f t="shared" si="38"/>
        <v>519</v>
      </c>
      <c r="M70" s="12">
        <f t="shared" si="38"/>
        <v>449</v>
      </c>
      <c r="N70" s="12">
        <f t="shared" si="38"/>
        <v>375</v>
      </c>
      <c r="O70" s="12">
        <f t="shared" si="38"/>
        <v>452</v>
      </c>
      <c r="P70" s="12">
        <f t="shared" si="38"/>
        <v>253</v>
      </c>
      <c r="Q70" s="12">
        <f t="shared" si="38"/>
        <v>518</v>
      </c>
      <c r="R70" s="12">
        <f t="shared" si="38"/>
        <v>431</v>
      </c>
      <c r="S70" s="12">
        <f t="shared" si="38"/>
        <v>450</v>
      </c>
      <c r="T70" s="12">
        <f t="shared" ref="T70:AF70" si="39">T24-S24</f>
        <v>194</v>
      </c>
      <c r="U70" s="12">
        <f t="shared" si="39"/>
        <v>251</v>
      </c>
      <c r="V70" s="12">
        <f t="shared" si="39"/>
        <v>0</v>
      </c>
      <c r="W70" s="12">
        <f t="shared" si="39"/>
        <v>414</v>
      </c>
      <c r="X70" s="12">
        <f t="shared" si="39"/>
        <v>517</v>
      </c>
      <c r="Y70" s="12">
        <f t="shared" si="39"/>
        <v>431</v>
      </c>
      <c r="Z70" s="12">
        <f t="shared" si="39"/>
        <v>516</v>
      </c>
      <c r="AA70" s="12">
        <f t="shared" si="39"/>
        <v>258</v>
      </c>
      <c r="AB70" s="12">
        <f t="shared" si="39"/>
        <v>193</v>
      </c>
      <c r="AC70" s="12">
        <f t="shared" si="33"/>
        <v>483</v>
      </c>
      <c r="AD70" s="12">
        <f t="shared" si="39"/>
        <v>562</v>
      </c>
      <c r="AE70" s="12">
        <f t="shared" si="39"/>
        <v>306</v>
      </c>
      <c r="AF70" s="12">
        <f t="shared" si="39"/>
        <v>434</v>
      </c>
    </row>
    <row r="71" spans="1:32" x14ac:dyDescent="0.25">
      <c r="A71" s="13" t="s">
        <v>24</v>
      </c>
      <c r="B71" s="225">
        <v>43</v>
      </c>
      <c r="C71" s="12">
        <f t="shared" ref="C71:S71" si="40">C25-B25</f>
        <v>563</v>
      </c>
      <c r="D71" s="12">
        <f t="shared" si="40"/>
        <v>43</v>
      </c>
      <c r="E71" s="12">
        <f t="shared" si="40"/>
        <v>521</v>
      </c>
      <c r="F71" s="12">
        <f t="shared" si="40"/>
        <v>436</v>
      </c>
      <c r="G71" s="12">
        <f t="shared" si="40"/>
        <v>212</v>
      </c>
      <c r="H71" s="12">
        <f t="shared" si="40"/>
        <v>203</v>
      </c>
      <c r="I71" s="12">
        <f t="shared" si="40"/>
        <v>81</v>
      </c>
      <c r="J71" s="12">
        <f t="shared" si="40"/>
        <v>520</v>
      </c>
      <c r="K71" s="12">
        <f t="shared" si="40"/>
        <v>474</v>
      </c>
      <c r="L71" s="12">
        <f t="shared" si="40"/>
        <v>392</v>
      </c>
      <c r="M71" s="12">
        <f t="shared" si="40"/>
        <v>453</v>
      </c>
      <c r="N71" s="12">
        <f t="shared" si="40"/>
        <v>142</v>
      </c>
      <c r="O71" s="12">
        <f t="shared" si="40"/>
        <v>519</v>
      </c>
      <c r="P71" s="12">
        <f t="shared" si="40"/>
        <v>521</v>
      </c>
      <c r="Q71" s="12">
        <f t="shared" si="40"/>
        <v>432</v>
      </c>
      <c r="R71" s="12">
        <f t="shared" si="40"/>
        <v>363</v>
      </c>
      <c r="S71" s="12">
        <f t="shared" si="40"/>
        <v>260</v>
      </c>
      <c r="T71" s="12">
        <f t="shared" ref="T71:AF71" si="41">T25-S25</f>
        <v>604</v>
      </c>
      <c r="U71" s="12">
        <f t="shared" si="41"/>
        <v>562</v>
      </c>
      <c r="V71" s="12">
        <f t="shared" si="41"/>
        <v>476</v>
      </c>
      <c r="W71" s="12">
        <f t="shared" si="41"/>
        <v>560</v>
      </c>
      <c r="X71" s="12">
        <f t="shared" si="41"/>
        <v>561</v>
      </c>
      <c r="Y71" s="12">
        <f t="shared" si="41"/>
        <v>43</v>
      </c>
      <c r="Z71" s="12">
        <f t="shared" si="41"/>
        <v>431</v>
      </c>
      <c r="AA71" s="12">
        <f t="shared" si="41"/>
        <v>401</v>
      </c>
      <c r="AB71" s="12">
        <f t="shared" si="41"/>
        <v>561</v>
      </c>
      <c r="AC71" s="12">
        <f t="shared" si="33"/>
        <v>474</v>
      </c>
      <c r="AD71" s="12">
        <f t="shared" si="41"/>
        <v>520</v>
      </c>
      <c r="AE71" s="12">
        <f t="shared" si="41"/>
        <v>520</v>
      </c>
      <c r="AF71" s="12">
        <f t="shared" si="41"/>
        <v>475</v>
      </c>
    </row>
    <row r="72" spans="1:32" x14ac:dyDescent="0.25">
      <c r="A72" s="13" t="s">
        <v>25</v>
      </c>
      <c r="B72" s="225">
        <v>62</v>
      </c>
      <c r="C72" s="12">
        <f t="shared" ref="C72:S72" si="42">C26-B26</f>
        <v>0</v>
      </c>
      <c r="D72" s="12">
        <f t="shared" si="42"/>
        <v>0</v>
      </c>
      <c r="E72" s="12">
        <f t="shared" si="42"/>
        <v>499</v>
      </c>
      <c r="F72" s="12">
        <f t="shared" si="42"/>
        <v>367</v>
      </c>
      <c r="G72" s="12">
        <f t="shared" si="42"/>
        <v>64</v>
      </c>
      <c r="H72" s="12">
        <f t="shared" si="42"/>
        <v>340</v>
      </c>
      <c r="I72" s="12">
        <f t="shared" si="42"/>
        <v>432</v>
      </c>
      <c r="J72" s="12">
        <f t="shared" si="42"/>
        <v>28</v>
      </c>
      <c r="K72" s="12">
        <f t="shared" si="42"/>
        <v>0</v>
      </c>
      <c r="L72" s="12">
        <f t="shared" si="42"/>
        <v>560</v>
      </c>
      <c r="M72" s="12">
        <f t="shared" si="42"/>
        <v>474</v>
      </c>
      <c r="N72" s="12">
        <f t="shared" si="42"/>
        <v>314</v>
      </c>
      <c r="O72" s="12">
        <f t="shared" si="42"/>
        <v>432</v>
      </c>
      <c r="P72" s="12">
        <f t="shared" si="42"/>
        <v>351</v>
      </c>
      <c r="Q72" s="12">
        <f t="shared" si="42"/>
        <v>518</v>
      </c>
      <c r="R72" s="12">
        <f t="shared" si="42"/>
        <v>476</v>
      </c>
      <c r="S72" s="12">
        <f t="shared" si="42"/>
        <v>560</v>
      </c>
      <c r="T72" s="12">
        <f t="shared" ref="T72:AF72" si="43">T26-S26</f>
        <v>434</v>
      </c>
      <c r="U72" s="12">
        <f t="shared" si="43"/>
        <v>271</v>
      </c>
      <c r="V72" s="12">
        <f t="shared" si="43"/>
        <v>0</v>
      </c>
      <c r="W72" s="12">
        <f t="shared" si="43"/>
        <v>191</v>
      </c>
      <c r="X72" s="12">
        <f t="shared" si="43"/>
        <v>277</v>
      </c>
      <c r="Y72" s="12">
        <f t="shared" si="43"/>
        <v>262</v>
      </c>
      <c r="Z72" s="12">
        <f t="shared" si="43"/>
        <v>560</v>
      </c>
      <c r="AA72" s="12">
        <f t="shared" si="43"/>
        <v>348</v>
      </c>
      <c r="AB72" s="12">
        <f t="shared" si="43"/>
        <v>560</v>
      </c>
      <c r="AC72" s="12">
        <f t="shared" si="33"/>
        <v>381</v>
      </c>
      <c r="AD72" s="12">
        <f t="shared" si="43"/>
        <v>92</v>
      </c>
      <c r="AE72" s="12">
        <f t="shared" si="43"/>
        <v>0</v>
      </c>
      <c r="AF72" s="12">
        <f t="shared" si="43"/>
        <v>3</v>
      </c>
    </row>
    <row r="73" spans="1:32" x14ac:dyDescent="0.25">
      <c r="A73" s="13" t="s">
        <v>26</v>
      </c>
      <c r="B73" s="225">
        <v>0</v>
      </c>
      <c r="C73" s="12">
        <f t="shared" ref="C73:S73" si="44">C27-B27</f>
        <v>0</v>
      </c>
      <c r="D73" s="12">
        <f t="shared" si="44"/>
        <v>518</v>
      </c>
      <c r="E73" s="12">
        <f t="shared" si="44"/>
        <v>477</v>
      </c>
      <c r="F73" s="12">
        <f t="shared" si="44"/>
        <v>475</v>
      </c>
      <c r="G73" s="12">
        <f t="shared" si="44"/>
        <v>454</v>
      </c>
      <c r="H73" s="12">
        <f t="shared" si="44"/>
        <v>178</v>
      </c>
      <c r="I73" s="12">
        <f t="shared" si="44"/>
        <v>200</v>
      </c>
      <c r="J73" s="12">
        <f t="shared" si="44"/>
        <v>27</v>
      </c>
      <c r="K73" s="12">
        <f t="shared" si="44"/>
        <v>0</v>
      </c>
      <c r="L73" s="12">
        <f t="shared" si="44"/>
        <v>452</v>
      </c>
      <c r="M73" s="12">
        <f t="shared" si="44"/>
        <v>203</v>
      </c>
      <c r="N73" s="12">
        <f t="shared" si="44"/>
        <v>265</v>
      </c>
      <c r="O73" s="12">
        <f t="shared" si="44"/>
        <v>326</v>
      </c>
      <c r="P73" s="12">
        <f t="shared" si="44"/>
        <v>392</v>
      </c>
      <c r="Q73" s="12">
        <f t="shared" si="44"/>
        <v>475</v>
      </c>
      <c r="R73" s="12">
        <f t="shared" si="44"/>
        <v>518</v>
      </c>
      <c r="S73" s="12">
        <f t="shared" si="44"/>
        <v>493</v>
      </c>
      <c r="T73" s="12">
        <f t="shared" ref="T73:AF73" si="45">T27-S27</f>
        <v>604</v>
      </c>
      <c r="U73" s="12">
        <f t="shared" si="45"/>
        <v>537</v>
      </c>
      <c r="V73" s="12">
        <f t="shared" si="45"/>
        <v>0</v>
      </c>
      <c r="W73" s="12">
        <f t="shared" si="45"/>
        <v>194</v>
      </c>
      <c r="X73" s="12">
        <f t="shared" si="45"/>
        <v>0</v>
      </c>
      <c r="Y73" s="12">
        <f t="shared" si="45"/>
        <v>191</v>
      </c>
      <c r="Z73" s="12">
        <f t="shared" si="45"/>
        <v>518</v>
      </c>
      <c r="AA73" s="12">
        <f t="shared" si="45"/>
        <v>518</v>
      </c>
      <c r="AB73" s="12">
        <f t="shared" si="45"/>
        <v>450</v>
      </c>
      <c r="AC73" s="12">
        <f t="shared" si="33"/>
        <v>262</v>
      </c>
      <c r="AD73" s="12">
        <f t="shared" si="45"/>
        <v>561</v>
      </c>
      <c r="AE73" s="12">
        <f t="shared" si="45"/>
        <v>518</v>
      </c>
      <c r="AF73" s="12">
        <f t="shared" si="45"/>
        <v>518</v>
      </c>
    </row>
    <row r="74" spans="1:32" x14ac:dyDescent="0.25">
      <c r="A74" s="13" t="s">
        <v>27</v>
      </c>
      <c r="B74" s="225">
        <v>234</v>
      </c>
      <c r="C74" s="12">
        <f t="shared" ref="C74:S74" si="46">C28-B28</f>
        <v>43</v>
      </c>
      <c r="D74" s="12">
        <f t="shared" si="46"/>
        <v>259</v>
      </c>
      <c r="E74" s="12">
        <f t="shared" si="46"/>
        <v>535</v>
      </c>
      <c r="F74" s="12">
        <f t="shared" si="46"/>
        <v>477</v>
      </c>
      <c r="G74" s="12">
        <f t="shared" si="46"/>
        <v>561</v>
      </c>
      <c r="H74" s="12">
        <f t="shared" si="46"/>
        <v>440</v>
      </c>
      <c r="I74" s="12">
        <f t="shared" si="46"/>
        <v>521</v>
      </c>
      <c r="J74" s="12">
        <f t="shared" si="46"/>
        <v>0</v>
      </c>
      <c r="K74" s="12">
        <f t="shared" si="46"/>
        <v>39</v>
      </c>
      <c r="L74" s="12">
        <f t="shared" si="46"/>
        <v>519</v>
      </c>
      <c r="M74" s="12">
        <f t="shared" si="46"/>
        <v>604</v>
      </c>
      <c r="N74" s="12">
        <f t="shared" si="46"/>
        <v>365</v>
      </c>
      <c r="O74" s="12">
        <f t="shared" si="46"/>
        <v>360</v>
      </c>
      <c r="P74" s="12">
        <f t="shared" si="46"/>
        <v>195</v>
      </c>
      <c r="Q74" s="12">
        <f t="shared" si="46"/>
        <v>0</v>
      </c>
      <c r="R74" s="12">
        <f t="shared" si="46"/>
        <v>0</v>
      </c>
      <c r="S74" s="12">
        <f t="shared" si="46"/>
        <v>587</v>
      </c>
      <c r="T74" s="12">
        <f t="shared" ref="T74:AF74" si="47">T28-S28</f>
        <v>452</v>
      </c>
      <c r="U74" s="12">
        <f t="shared" si="47"/>
        <v>145</v>
      </c>
      <c r="V74" s="12">
        <f t="shared" si="47"/>
        <v>280</v>
      </c>
      <c r="W74" s="12">
        <f t="shared" si="47"/>
        <v>517</v>
      </c>
      <c r="X74" s="12">
        <f t="shared" si="47"/>
        <v>2</v>
      </c>
      <c r="Y74" s="12">
        <f t="shared" si="47"/>
        <v>306</v>
      </c>
      <c r="Z74" s="12">
        <f t="shared" si="47"/>
        <v>484</v>
      </c>
      <c r="AA74" s="12">
        <f t="shared" si="47"/>
        <v>478</v>
      </c>
      <c r="AB74" s="12">
        <f t="shared" si="47"/>
        <v>521</v>
      </c>
      <c r="AC74" s="12">
        <f t="shared" si="33"/>
        <v>604</v>
      </c>
      <c r="AD74" s="12">
        <f t="shared" si="47"/>
        <v>287</v>
      </c>
      <c r="AE74" s="12">
        <f t="shared" si="47"/>
        <v>0</v>
      </c>
      <c r="AF74" s="12">
        <f t="shared" si="47"/>
        <v>0</v>
      </c>
    </row>
    <row r="75" spans="1:32" x14ac:dyDescent="0.25">
      <c r="A75" s="11" t="s">
        <v>28</v>
      </c>
      <c r="B75" s="225">
        <v>434</v>
      </c>
      <c r="C75" s="12">
        <f t="shared" ref="C75:S75" si="48">C29-B29</f>
        <v>517</v>
      </c>
      <c r="D75" s="12">
        <f t="shared" si="48"/>
        <v>477</v>
      </c>
      <c r="E75" s="12">
        <f t="shared" si="48"/>
        <v>561</v>
      </c>
      <c r="F75" s="12">
        <f t="shared" si="48"/>
        <v>476</v>
      </c>
      <c r="G75" s="12">
        <f t="shared" si="48"/>
        <v>563</v>
      </c>
      <c r="H75" s="12">
        <f t="shared" si="48"/>
        <v>451</v>
      </c>
      <c r="I75" s="12">
        <f t="shared" si="48"/>
        <v>202</v>
      </c>
      <c r="J75" s="12">
        <f t="shared" si="48"/>
        <v>520</v>
      </c>
      <c r="K75" s="12">
        <f t="shared" si="48"/>
        <v>431</v>
      </c>
      <c r="L75" s="12">
        <f t="shared" si="48"/>
        <v>392</v>
      </c>
      <c r="M75" s="12">
        <f t="shared" si="48"/>
        <v>603</v>
      </c>
      <c r="N75" s="12">
        <f t="shared" si="48"/>
        <v>561</v>
      </c>
      <c r="O75" s="12">
        <f t="shared" si="48"/>
        <v>288</v>
      </c>
      <c r="P75" s="12">
        <f t="shared" si="48"/>
        <v>417</v>
      </c>
      <c r="Q75" s="12">
        <f t="shared" si="48"/>
        <v>517</v>
      </c>
      <c r="R75" s="12">
        <f t="shared" si="48"/>
        <v>518</v>
      </c>
      <c r="S75" s="12">
        <f t="shared" si="48"/>
        <v>517</v>
      </c>
      <c r="T75" s="12">
        <f t="shared" ref="T75:AF75" si="49">T29-S29</f>
        <v>450</v>
      </c>
      <c r="U75" s="12">
        <f t="shared" si="49"/>
        <v>315</v>
      </c>
      <c r="V75" s="12">
        <f t="shared" si="49"/>
        <v>474</v>
      </c>
      <c r="W75" s="12">
        <f t="shared" si="49"/>
        <v>603</v>
      </c>
      <c r="X75" s="12">
        <f t="shared" si="49"/>
        <v>479</v>
      </c>
      <c r="Y75" s="12">
        <f t="shared" si="49"/>
        <v>475</v>
      </c>
      <c r="Z75" s="12">
        <f t="shared" si="49"/>
        <v>492</v>
      </c>
      <c r="AA75" s="12">
        <f t="shared" si="49"/>
        <v>251</v>
      </c>
      <c r="AB75" s="12">
        <f t="shared" si="49"/>
        <v>80</v>
      </c>
      <c r="AC75" s="12">
        <f t="shared" si="33"/>
        <v>204</v>
      </c>
      <c r="AD75" s="12">
        <f t="shared" si="49"/>
        <v>251</v>
      </c>
      <c r="AE75" s="12">
        <f t="shared" si="49"/>
        <v>0</v>
      </c>
      <c r="AF75" s="12">
        <f t="shared" si="49"/>
        <v>0</v>
      </c>
    </row>
    <row r="76" spans="1:32" x14ac:dyDescent="0.25">
      <c r="A76" s="13" t="s">
        <v>29</v>
      </c>
      <c r="B76" s="225">
        <v>262</v>
      </c>
      <c r="C76" s="12">
        <f t="shared" ref="C76:S76" si="50">C30-B30</f>
        <v>519</v>
      </c>
      <c r="D76" s="12">
        <f t="shared" si="50"/>
        <v>432</v>
      </c>
      <c r="E76" s="12">
        <f t="shared" si="50"/>
        <v>518</v>
      </c>
      <c r="F76" s="12">
        <f t="shared" si="50"/>
        <v>517</v>
      </c>
      <c r="G76" s="12">
        <f t="shared" si="50"/>
        <v>453</v>
      </c>
      <c r="H76" s="12">
        <f t="shared" si="50"/>
        <v>171</v>
      </c>
      <c r="I76" s="12">
        <f t="shared" si="50"/>
        <v>181</v>
      </c>
      <c r="J76" s="12">
        <f t="shared" si="50"/>
        <v>0</v>
      </c>
      <c r="K76" s="12">
        <f t="shared" si="50"/>
        <v>0</v>
      </c>
      <c r="L76" s="12">
        <f t="shared" si="50"/>
        <v>305</v>
      </c>
      <c r="M76" s="12">
        <f t="shared" si="50"/>
        <v>559</v>
      </c>
      <c r="N76" s="12">
        <f t="shared" si="50"/>
        <v>603</v>
      </c>
      <c r="O76" s="12">
        <f t="shared" si="50"/>
        <v>603</v>
      </c>
      <c r="P76" s="12">
        <f t="shared" si="50"/>
        <v>390</v>
      </c>
      <c r="Q76" s="12">
        <f t="shared" si="50"/>
        <v>560</v>
      </c>
      <c r="R76" s="12">
        <f t="shared" si="50"/>
        <v>47</v>
      </c>
      <c r="S76" s="12">
        <f t="shared" si="50"/>
        <v>560</v>
      </c>
      <c r="T76" s="12">
        <f t="shared" ref="T76:AF76" si="51">T30-S30</f>
        <v>559</v>
      </c>
      <c r="U76" s="12">
        <f t="shared" si="51"/>
        <v>431</v>
      </c>
      <c r="V76" s="12">
        <f t="shared" si="51"/>
        <v>175</v>
      </c>
      <c r="W76" s="12">
        <f t="shared" si="51"/>
        <v>266</v>
      </c>
      <c r="X76" s="12">
        <f t="shared" si="51"/>
        <v>518</v>
      </c>
      <c r="Y76" s="12">
        <f t="shared" si="51"/>
        <v>305</v>
      </c>
      <c r="Z76" s="12">
        <f t="shared" si="51"/>
        <v>193</v>
      </c>
      <c r="AA76" s="12">
        <f t="shared" si="51"/>
        <v>247</v>
      </c>
      <c r="AB76" s="12">
        <f t="shared" si="51"/>
        <v>74</v>
      </c>
      <c r="AC76" s="12">
        <f t="shared" si="33"/>
        <v>373</v>
      </c>
      <c r="AD76" s="12">
        <f t="shared" si="51"/>
        <v>265</v>
      </c>
      <c r="AE76" s="12">
        <f t="shared" si="51"/>
        <v>0</v>
      </c>
      <c r="AF76" s="12">
        <f t="shared" si="51"/>
        <v>0</v>
      </c>
    </row>
    <row r="77" spans="1:32" x14ac:dyDescent="0.25">
      <c r="A77" s="11" t="s">
        <v>30</v>
      </c>
      <c r="B77" s="225">
        <v>520</v>
      </c>
      <c r="C77" s="12">
        <f t="shared" ref="C77:S77" si="52">C31-B31</f>
        <v>559</v>
      </c>
      <c r="D77" s="12">
        <f t="shared" si="52"/>
        <v>265</v>
      </c>
      <c r="E77" s="12">
        <f t="shared" si="52"/>
        <v>539</v>
      </c>
      <c r="F77" s="12">
        <f t="shared" si="52"/>
        <v>579</v>
      </c>
      <c r="G77" s="12">
        <f t="shared" si="52"/>
        <v>492</v>
      </c>
      <c r="H77" s="12">
        <f t="shared" si="52"/>
        <v>125</v>
      </c>
      <c r="I77" s="12">
        <f t="shared" si="52"/>
        <v>240</v>
      </c>
      <c r="J77" s="12">
        <f t="shared" si="52"/>
        <v>0</v>
      </c>
      <c r="K77" s="12">
        <f t="shared" si="52"/>
        <v>0</v>
      </c>
      <c r="L77" s="12">
        <f t="shared" si="52"/>
        <v>259</v>
      </c>
      <c r="M77" s="12">
        <f t="shared" si="52"/>
        <v>250</v>
      </c>
      <c r="N77" s="12">
        <f t="shared" si="52"/>
        <v>586</v>
      </c>
      <c r="O77" s="12">
        <f t="shared" si="52"/>
        <v>268</v>
      </c>
      <c r="P77" s="12">
        <f t="shared" si="52"/>
        <v>561</v>
      </c>
      <c r="Q77" s="12">
        <f t="shared" si="52"/>
        <v>518</v>
      </c>
      <c r="R77" s="12">
        <f t="shared" si="52"/>
        <v>474</v>
      </c>
      <c r="S77" s="12">
        <f t="shared" si="52"/>
        <v>561</v>
      </c>
      <c r="T77" s="12">
        <f t="shared" ref="T77:AF77" si="53">T31-S31</f>
        <v>559</v>
      </c>
      <c r="U77" s="12">
        <f t="shared" si="53"/>
        <v>217</v>
      </c>
      <c r="V77" s="12">
        <f t="shared" si="53"/>
        <v>0</v>
      </c>
      <c r="W77" s="12">
        <f t="shared" si="53"/>
        <v>152</v>
      </c>
      <c r="X77" s="12">
        <f t="shared" si="53"/>
        <v>21</v>
      </c>
      <c r="Y77" s="12">
        <f t="shared" si="53"/>
        <v>0</v>
      </c>
      <c r="Z77" s="12">
        <f t="shared" si="53"/>
        <v>249</v>
      </c>
      <c r="AA77" s="12">
        <f t="shared" si="53"/>
        <v>252</v>
      </c>
      <c r="AB77" s="12">
        <f t="shared" si="53"/>
        <v>603</v>
      </c>
      <c r="AC77" s="12">
        <f t="shared" si="33"/>
        <v>448</v>
      </c>
      <c r="AD77" s="12">
        <f t="shared" si="53"/>
        <v>271</v>
      </c>
      <c r="AE77" s="12">
        <f t="shared" si="53"/>
        <v>0</v>
      </c>
      <c r="AF77" s="12">
        <f t="shared" si="53"/>
        <v>1</v>
      </c>
    </row>
    <row r="78" spans="1:32" s="124" customFormat="1" x14ac:dyDescent="0.25">
      <c r="A78" s="13" t="s">
        <v>111</v>
      </c>
      <c r="B78" s="225">
        <v>1</v>
      </c>
      <c r="C78" s="12">
        <f t="shared" ref="C78:S78" si="54">C32-B32</f>
        <v>4</v>
      </c>
      <c r="D78" s="12">
        <f t="shared" si="54"/>
        <v>3</v>
      </c>
      <c r="E78" s="12">
        <f t="shared" si="54"/>
        <v>92</v>
      </c>
      <c r="F78" s="12">
        <f t="shared" si="54"/>
        <v>265</v>
      </c>
      <c r="G78" s="12">
        <f t="shared" si="54"/>
        <v>605</v>
      </c>
      <c r="H78" s="12">
        <f t="shared" si="54"/>
        <v>454</v>
      </c>
      <c r="I78" s="12">
        <f t="shared" si="54"/>
        <v>183</v>
      </c>
      <c r="J78" s="12">
        <f t="shared" si="54"/>
        <v>0</v>
      </c>
      <c r="K78" s="12">
        <f t="shared" si="54"/>
        <v>0</v>
      </c>
      <c r="L78" s="12">
        <f t="shared" si="54"/>
        <v>97</v>
      </c>
      <c r="M78" s="12">
        <f t="shared" si="54"/>
        <v>194</v>
      </c>
      <c r="N78" s="12">
        <f t="shared" si="54"/>
        <v>182</v>
      </c>
      <c r="O78" s="12">
        <f t="shared" si="54"/>
        <v>244</v>
      </c>
      <c r="P78" s="12">
        <f t="shared" si="54"/>
        <v>452</v>
      </c>
      <c r="Q78" s="12">
        <f t="shared" si="54"/>
        <v>21</v>
      </c>
      <c r="R78" s="12">
        <f t="shared" si="54"/>
        <v>3</v>
      </c>
      <c r="S78" s="12">
        <f t="shared" si="54"/>
        <v>519</v>
      </c>
      <c r="T78" s="12">
        <f t="shared" ref="T78:AF78" si="55">T32-S32</f>
        <v>200</v>
      </c>
      <c r="U78" s="12">
        <f t="shared" si="55"/>
        <v>303</v>
      </c>
      <c r="V78" s="12">
        <f t="shared" si="55"/>
        <v>303</v>
      </c>
      <c r="W78" s="12">
        <f t="shared" si="55"/>
        <v>450</v>
      </c>
      <c r="X78" s="12">
        <f t="shared" si="55"/>
        <v>0</v>
      </c>
      <c r="Y78" s="12">
        <f t="shared" si="55"/>
        <v>0</v>
      </c>
      <c r="Z78" s="12">
        <f t="shared" si="55"/>
        <v>528</v>
      </c>
      <c r="AA78" s="12">
        <f t="shared" si="55"/>
        <v>579</v>
      </c>
      <c r="AB78" s="12">
        <f t="shared" si="55"/>
        <v>229</v>
      </c>
      <c r="AC78" s="12">
        <f t="shared" si="33"/>
        <v>518</v>
      </c>
      <c r="AD78" s="12">
        <f t="shared" si="55"/>
        <v>433</v>
      </c>
      <c r="AE78" s="12">
        <f t="shared" si="55"/>
        <v>0</v>
      </c>
      <c r="AF78" s="12">
        <f t="shared" si="55"/>
        <v>0</v>
      </c>
    </row>
    <row r="79" spans="1:32" s="124" customFormat="1" x14ac:dyDescent="0.25">
      <c r="A79" s="11" t="s">
        <v>112</v>
      </c>
      <c r="B79" s="225">
        <v>0</v>
      </c>
      <c r="C79" s="12">
        <f t="shared" ref="C79:S79" si="56">C33-B33</f>
        <v>0</v>
      </c>
      <c r="D79" s="12">
        <f t="shared" si="56"/>
        <v>0</v>
      </c>
      <c r="E79" s="12">
        <f t="shared" si="56"/>
        <v>0</v>
      </c>
      <c r="F79" s="12">
        <f t="shared" si="56"/>
        <v>0</v>
      </c>
      <c r="G79" s="12">
        <f t="shared" si="56"/>
        <v>0</v>
      </c>
      <c r="H79" s="12">
        <f t="shared" si="56"/>
        <v>0</v>
      </c>
      <c r="I79" s="12">
        <f t="shared" si="56"/>
        <v>0</v>
      </c>
      <c r="J79" s="12">
        <f t="shared" si="56"/>
        <v>0</v>
      </c>
      <c r="K79" s="12">
        <f t="shared" si="56"/>
        <v>0</v>
      </c>
      <c r="L79" s="12">
        <f t="shared" si="56"/>
        <v>0</v>
      </c>
      <c r="M79" s="12">
        <f t="shared" si="56"/>
        <v>0</v>
      </c>
      <c r="N79" s="12">
        <f t="shared" si="56"/>
        <v>0</v>
      </c>
      <c r="O79" s="12">
        <f t="shared" si="56"/>
        <v>0</v>
      </c>
      <c r="P79" s="12">
        <f t="shared" si="56"/>
        <v>0</v>
      </c>
      <c r="Q79" s="12">
        <f t="shared" si="56"/>
        <v>0</v>
      </c>
      <c r="R79" s="12">
        <f t="shared" si="56"/>
        <v>0</v>
      </c>
      <c r="S79" s="12">
        <f t="shared" si="56"/>
        <v>0</v>
      </c>
      <c r="T79" s="12">
        <f t="shared" ref="T79:AF79" si="57">T33-S33</f>
        <v>0</v>
      </c>
      <c r="U79" s="12">
        <f t="shared" si="57"/>
        <v>30</v>
      </c>
      <c r="V79" s="12">
        <f t="shared" si="57"/>
        <v>0</v>
      </c>
      <c r="W79" s="12">
        <f t="shared" si="57"/>
        <v>205</v>
      </c>
      <c r="X79" s="12">
        <f t="shared" si="57"/>
        <v>0</v>
      </c>
      <c r="Y79" s="12">
        <f t="shared" si="57"/>
        <v>0</v>
      </c>
      <c r="Z79" s="12">
        <f t="shared" si="57"/>
        <v>252</v>
      </c>
      <c r="AA79" s="12">
        <f t="shared" si="57"/>
        <v>252</v>
      </c>
      <c r="AB79" s="12">
        <f t="shared" si="57"/>
        <v>251</v>
      </c>
      <c r="AC79" s="12">
        <f t="shared" si="33"/>
        <v>252</v>
      </c>
      <c r="AD79" s="12">
        <f t="shared" si="57"/>
        <v>193</v>
      </c>
      <c r="AE79" s="12">
        <f t="shared" si="57"/>
        <v>0</v>
      </c>
      <c r="AF79" s="12">
        <f t="shared" si="57"/>
        <v>0</v>
      </c>
    </row>
    <row r="80" spans="1:32" s="124" customFormat="1" x14ac:dyDescent="0.25">
      <c r="A80" s="13" t="s">
        <v>113</v>
      </c>
      <c r="B80" s="225">
        <v>0</v>
      </c>
      <c r="C80" s="12">
        <f t="shared" ref="C80:S80" si="58">C34-B34</f>
        <v>0</v>
      </c>
      <c r="D80" s="12">
        <f t="shared" si="58"/>
        <v>0</v>
      </c>
      <c r="E80" s="12">
        <f t="shared" si="58"/>
        <v>253</v>
      </c>
      <c r="F80" s="12">
        <f t="shared" si="58"/>
        <v>253</v>
      </c>
      <c r="G80" s="12">
        <f t="shared" si="58"/>
        <v>197</v>
      </c>
      <c r="H80" s="12">
        <f t="shared" si="58"/>
        <v>191</v>
      </c>
      <c r="I80" s="12">
        <f t="shared" si="58"/>
        <v>252</v>
      </c>
      <c r="J80" s="12">
        <f t="shared" si="58"/>
        <v>0</v>
      </c>
      <c r="K80" s="12">
        <f t="shared" si="58"/>
        <v>0</v>
      </c>
      <c r="L80" s="12">
        <f t="shared" si="58"/>
        <v>258</v>
      </c>
      <c r="M80" s="12">
        <f t="shared" si="58"/>
        <v>315</v>
      </c>
      <c r="N80" s="12">
        <f t="shared" si="58"/>
        <v>272</v>
      </c>
      <c r="O80" s="12">
        <f t="shared" si="58"/>
        <v>455</v>
      </c>
      <c r="P80" s="12">
        <f t="shared" si="58"/>
        <v>71</v>
      </c>
      <c r="Q80" s="12">
        <f t="shared" si="58"/>
        <v>0</v>
      </c>
      <c r="R80" s="12">
        <f t="shared" si="58"/>
        <v>0</v>
      </c>
      <c r="S80" s="12">
        <f t="shared" si="58"/>
        <v>0</v>
      </c>
      <c r="T80" s="12">
        <f t="shared" ref="T80:AF80" si="59">T34-S34</f>
        <v>0</v>
      </c>
      <c r="U80" s="12">
        <f t="shared" si="59"/>
        <v>0</v>
      </c>
      <c r="V80" s="12">
        <f t="shared" si="59"/>
        <v>0</v>
      </c>
      <c r="W80" s="12">
        <f t="shared" si="59"/>
        <v>0</v>
      </c>
      <c r="X80" s="12">
        <f t="shared" si="59"/>
        <v>0</v>
      </c>
      <c r="Y80" s="12">
        <f t="shared" si="59"/>
        <v>0</v>
      </c>
      <c r="Z80" s="12">
        <f t="shared" si="59"/>
        <v>0</v>
      </c>
      <c r="AA80" s="12">
        <f t="shared" si="59"/>
        <v>0</v>
      </c>
      <c r="AB80" s="12">
        <f t="shared" si="59"/>
        <v>0</v>
      </c>
      <c r="AC80" s="12">
        <f t="shared" si="33"/>
        <v>0</v>
      </c>
      <c r="AD80" s="12">
        <f t="shared" si="59"/>
        <v>0</v>
      </c>
      <c r="AE80" s="12">
        <f t="shared" si="59"/>
        <v>0</v>
      </c>
      <c r="AF80" s="12">
        <f t="shared" si="59"/>
        <v>0</v>
      </c>
    </row>
    <row r="81" spans="1:32" s="124" customFormat="1" x14ac:dyDescent="0.25">
      <c r="A81" s="11" t="s">
        <v>114</v>
      </c>
      <c r="B81" s="225">
        <v>0</v>
      </c>
      <c r="C81" s="12">
        <f t="shared" ref="C81:S81" si="60">C35-B35</f>
        <v>0</v>
      </c>
      <c r="D81" s="12">
        <f t="shared" si="60"/>
        <v>0</v>
      </c>
      <c r="E81" s="12">
        <f t="shared" si="60"/>
        <v>251</v>
      </c>
      <c r="F81" s="12">
        <f t="shared" si="60"/>
        <v>251</v>
      </c>
      <c r="G81" s="12">
        <f t="shared" si="60"/>
        <v>416</v>
      </c>
      <c r="H81" s="12">
        <f t="shared" si="60"/>
        <v>262</v>
      </c>
      <c r="I81" s="12">
        <f t="shared" si="60"/>
        <v>181</v>
      </c>
      <c r="J81" s="12">
        <f t="shared" si="60"/>
        <v>0</v>
      </c>
      <c r="K81" s="12">
        <f t="shared" si="60"/>
        <v>0</v>
      </c>
      <c r="L81" s="12">
        <f t="shared" si="60"/>
        <v>183</v>
      </c>
      <c r="M81" s="12">
        <f t="shared" si="60"/>
        <v>328</v>
      </c>
      <c r="N81" s="12">
        <f t="shared" si="60"/>
        <v>167</v>
      </c>
      <c r="O81" s="12">
        <f t="shared" si="60"/>
        <v>87</v>
      </c>
      <c r="P81" s="12">
        <f t="shared" si="60"/>
        <v>205</v>
      </c>
      <c r="Q81" s="12">
        <f t="shared" si="60"/>
        <v>0</v>
      </c>
      <c r="R81" s="12">
        <f t="shared" si="60"/>
        <v>0</v>
      </c>
      <c r="S81" s="12">
        <f t="shared" si="60"/>
        <v>252</v>
      </c>
      <c r="T81" s="12">
        <f t="shared" ref="T81:AF81" si="61">T35-S35</f>
        <v>251</v>
      </c>
      <c r="U81" s="12">
        <f t="shared" si="61"/>
        <v>460</v>
      </c>
      <c r="V81" s="12">
        <f t="shared" si="61"/>
        <v>131</v>
      </c>
      <c r="W81" s="12">
        <f t="shared" si="61"/>
        <v>451</v>
      </c>
      <c r="X81" s="12">
        <f t="shared" si="61"/>
        <v>0</v>
      </c>
      <c r="Y81" s="12">
        <f t="shared" si="61"/>
        <v>0</v>
      </c>
      <c r="Z81" s="12">
        <f t="shared" si="61"/>
        <v>63</v>
      </c>
      <c r="AA81" s="12">
        <f t="shared" si="61"/>
        <v>503</v>
      </c>
      <c r="AB81" s="12">
        <f t="shared" si="61"/>
        <v>518</v>
      </c>
      <c r="AC81" s="12">
        <f t="shared" si="33"/>
        <v>518</v>
      </c>
      <c r="AD81" s="12">
        <f t="shared" si="61"/>
        <v>433</v>
      </c>
      <c r="AE81" s="12">
        <f t="shared" si="61"/>
        <v>0</v>
      </c>
      <c r="AF81" s="12">
        <f t="shared" si="61"/>
        <v>0</v>
      </c>
    </row>
    <row r="82" spans="1:32" s="124" customFormat="1" x14ac:dyDescent="0.25">
      <c r="A82" s="13" t="s">
        <v>115</v>
      </c>
      <c r="B82" s="225">
        <v>0</v>
      </c>
      <c r="C82" s="12">
        <f t="shared" ref="C82:S82" si="62">C36-B36</f>
        <v>0</v>
      </c>
      <c r="D82" s="12">
        <f t="shared" si="62"/>
        <v>0</v>
      </c>
      <c r="E82" s="12">
        <f t="shared" si="62"/>
        <v>252</v>
      </c>
      <c r="F82" s="12">
        <f t="shared" si="62"/>
        <v>263</v>
      </c>
      <c r="G82" s="12">
        <f t="shared" si="62"/>
        <v>383</v>
      </c>
      <c r="H82" s="12">
        <f t="shared" si="62"/>
        <v>494</v>
      </c>
      <c r="I82" s="12">
        <f t="shared" si="62"/>
        <v>119</v>
      </c>
      <c r="J82" s="12">
        <f t="shared" si="62"/>
        <v>7</v>
      </c>
      <c r="K82" s="12">
        <f t="shared" si="62"/>
        <v>3</v>
      </c>
      <c r="L82" s="12">
        <f t="shared" si="62"/>
        <v>260</v>
      </c>
      <c r="M82" s="12">
        <f t="shared" si="62"/>
        <v>98</v>
      </c>
      <c r="N82" s="12">
        <f t="shared" si="62"/>
        <v>194</v>
      </c>
      <c r="O82" s="12">
        <f t="shared" si="62"/>
        <v>250</v>
      </c>
      <c r="P82" s="12">
        <f t="shared" si="62"/>
        <v>332</v>
      </c>
      <c r="Q82" s="12">
        <f t="shared" si="62"/>
        <v>0</v>
      </c>
      <c r="R82" s="12">
        <f t="shared" si="62"/>
        <v>0</v>
      </c>
      <c r="S82" s="12">
        <f t="shared" si="62"/>
        <v>169</v>
      </c>
      <c r="T82" s="12">
        <f t="shared" ref="T82:AF82" si="63">T36-S36</f>
        <v>523</v>
      </c>
      <c r="U82" s="12">
        <f t="shared" si="63"/>
        <v>205</v>
      </c>
      <c r="V82" s="12">
        <f t="shared" si="63"/>
        <v>0</v>
      </c>
      <c r="W82" s="12">
        <f t="shared" si="63"/>
        <v>191</v>
      </c>
      <c r="X82" s="12">
        <f t="shared" si="63"/>
        <v>0</v>
      </c>
      <c r="Y82" s="12">
        <f t="shared" si="63"/>
        <v>0</v>
      </c>
      <c r="Z82" s="12">
        <f t="shared" si="63"/>
        <v>417</v>
      </c>
      <c r="AA82" s="12">
        <f t="shared" si="63"/>
        <v>514</v>
      </c>
      <c r="AB82" s="12">
        <f t="shared" si="63"/>
        <v>373</v>
      </c>
      <c r="AC82" s="12">
        <f t="shared" si="33"/>
        <v>193</v>
      </c>
      <c r="AD82" s="12">
        <f t="shared" si="63"/>
        <v>252</v>
      </c>
      <c r="AE82" s="12">
        <f t="shared" si="63"/>
        <v>0</v>
      </c>
      <c r="AF82" s="12">
        <f t="shared" si="63"/>
        <v>0</v>
      </c>
    </row>
    <row r="83" spans="1:32" s="124" customFormat="1" x14ac:dyDescent="0.25">
      <c r="A83" s="11" t="s">
        <v>116</v>
      </c>
      <c r="B83" s="225">
        <v>0</v>
      </c>
      <c r="C83" s="12">
        <f t="shared" ref="C83:S83" si="64">C37-B37</f>
        <v>0</v>
      </c>
      <c r="D83" s="12">
        <f t="shared" si="64"/>
        <v>0</v>
      </c>
      <c r="E83" s="12">
        <f t="shared" si="64"/>
        <v>194</v>
      </c>
      <c r="F83" s="12">
        <f t="shared" si="64"/>
        <v>244</v>
      </c>
      <c r="G83" s="12">
        <f t="shared" si="64"/>
        <v>486</v>
      </c>
      <c r="H83" s="12">
        <f t="shared" si="64"/>
        <v>382</v>
      </c>
      <c r="I83" s="12">
        <f t="shared" si="64"/>
        <v>494</v>
      </c>
      <c r="J83" s="12">
        <f t="shared" si="64"/>
        <v>0</v>
      </c>
      <c r="K83" s="12">
        <f t="shared" si="64"/>
        <v>0</v>
      </c>
      <c r="L83" s="12">
        <f t="shared" si="64"/>
        <v>194</v>
      </c>
      <c r="M83" s="12">
        <f t="shared" si="64"/>
        <v>221</v>
      </c>
      <c r="N83" s="12">
        <f t="shared" si="64"/>
        <v>222</v>
      </c>
      <c r="O83" s="12">
        <f t="shared" si="64"/>
        <v>205</v>
      </c>
      <c r="P83" s="12">
        <f t="shared" si="64"/>
        <v>265</v>
      </c>
      <c r="Q83" s="12">
        <f t="shared" si="64"/>
        <v>0</v>
      </c>
      <c r="R83" s="12">
        <f t="shared" si="64"/>
        <v>0</v>
      </c>
      <c r="S83" s="12">
        <f t="shared" si="64"/>
        <v>251</v>
      </c>
      <c r="T83" s="12">
        <f t="shared" ref="T83:AF85" si="65">T37-S37</f>
        <v>250</v>
      </c>
      <c r="U83" s="12">
        <f t="shared" si="65"/>
        <v>264</v>
      </c>
      <c r="V83" s="12">
        <f t="shared" si="65"/>
        <v>0</v>
      </c>
      <c r="W83" s="12">
        <f t="shared" si="65"/>
        <v>252</v>
      </c>
      <c r="X83" s="12">
        <f t="shared" si="65"/>
        <v>0</v>
      </c>
      <c r="Y83" s="12">
        <f t="shared" si="65"/>
        <v>0</v>
      </c>
      <c r="Z83" s="12">
        <f t="shared" si="65"/>
        <v>250</v>
      </c>
      <c r="AA83" s="12">
        <f t="shared" si="65"/>
        <v>175</v>
      </c>
      <c r="AB83" s="12">
        <f t="shared" si="65"/>
        <v>259</v>
      </c>
      <c r="AC83" s="12">
        <f t="shared" si="65"/>
        <v>291</v>
      </c>
      <c r="AD83" s="12">
        <f t="shared" si="65"/>
        <v>192</v>
      </c>
      <c r="AE83" s="12">
        <f t="shared" si="65"/>
        <v>0</v>
      </c>
      <c r="AF83" s="12">
        <f t="shared" si="65"/>
        <v>0</v>
      </c>
    </row>
    <row r="84" spans="1:32" s="124" customFormat="1" x14ac:dyDescent="0.25">
      <c r="A84" s="13" t="s">
        <v>117</v>
      </c>
      <c r="B84" s="225">
        <v>3</v>
      </c>
      <c r="C84" s="12">
        <f t="shared" ref="C84:S84" si="66">C38-B38</f>
        <v>3</v>
      </c>
      <c r="D84" s="12">
        <f t="shared" si="66"/>
        <v>3</v>
      </c>
      <c r="E84" s="12">
        <f t="shared" si="66"/>
        <v>453</v>
      </c>
      <c r="F84" s="12">
        <f t="shared" si="66"/>
        <v>193</v>
      </c>
      <c r="G84" s="12">
        <f t="shared" si="66"/>
        <v>339</v>
      </c>
      <c r="H84" s="12">
        <f t="shared" si="66"/>
        <v>560</v>
      </c>
      <c r="I84" s="12">
        <f t="shared" si="66"/>
        <v>493</v>
      </c>
      <c r="J84" s="12">
        <f t="shared" si="66"/>
        <v>0</v>
      </c>
      <c r="K84" s="12">
        <f t="shared" si="66"/>
        <v>0</v>
      </c>
      <c r="L84" s="12">
        <f t="shared" si="66"/>
        <v>250</v>
      </c>
      <c r="M84" s="12">
        <f t="shared" si="66"/>
        <v>194</v>
      </c>
      <c r="N84" s="12">
        <f t="shared" si="66"/>
        <v>417</v>
      </c>
      <c r="O84" s="12">
        <f t="shared" si="66"/>
        <v>340</v>
      </c>
      <c r="P84" s="12">
        <f t="shared" si="66"/>
        <v>452</v>
      </c>
      <c r="Q84" s="12">
        <f t="shared" si="66"/>
        <v>0</v>
      </c>
      <c r="R84" s="12">
        <f t="shared" si="66"/>
        <v>0</v>
      </c>
      <c r="S84" s="12">
        <f t="shared" si="66"/>
        <v>186</v>
      </c>
      <c r="T84" s="12">
        <f t="shared" ref="T84:AF84" si="67">T38-S38</f>
        <v>197</v>
      </c>
      <c r="U84" s="12">
        <f t="shared" si="67"/>
        <v>521</v>
      </c>
      <c r="V84" s="12">
        <f t="shared" si="67"/>
        <v>433</v>
      </c>
      <c r="W84" s="12">
        <f t="shared" si="67"/>
        <v>518</v>
      </c>
      <c r="X84" s="12">
        <f t="shared" si="67"/>
        <v>519</v>
      </c>
      <c r="Y84" s="12">
        <f t="shared" si="67"/>
        <v>21</v>
      </c>
      <c r="Z84" s="12">
        <f t="shared" si="67"/>
        <v>182</v>
      </c>
      <c r="AA84" s="12">
        <f t="shared" si="67"/>
        <v>150</v>
      </c>
      <c r="AB84" s="12">
        <f t="shared" si="67"/>
        <v>221</v>
      </c>
      <c r="AC84" s="12">
        <f t="shared" si="65"/>
        <v>196</v>
      </c>
      <c r="AD84" s="12">
        <f t="shared" si="67"/>
        <v>204</v>
      </c>
      <c r="AE84" s="12">
        <f t="shared" si="67"/>
        <v>0</v>
      </c>
      <c r="AF84" s="12">
        <f t="shared" si="67"/>
        <v>0</v>
      </c>
    </row>
    <row r="85" spans="1:32" s="124" customFormat="1" x14ac:dyDescent="0.25">
      <c r="A85" s="11" t="s">
        <v>118</v>
      </c>
      <c r="B85" s="225">
        <v>0</v>
      </c>
      <c r="C85" s="12">
        <f t="shared" ref="C85:S85" si="68">C39-B39</f>
        <v>0</v>
      </c>
      <c r="D85" s="12">
        <f t="shared" si="68"/>
        <v>0</v>
      </c>
      <c r="E85" s="12">
        <f t="shared" si="68"/>
        <v>434</v>
      </c>
      <c r="F85" s="12">
        <f t="shared" si="68"/>
        <v>252</v>
      </c>
      <c r="G85" s="12">
        <f t="shared" si="68"/>
        <v>297</v>
      </c>
      <c r="H85" s="12">
        <f t="shared" si="68"/>
        <v>140</v>
      </c>
      <c r="I85" s="12">
        <f t="shared" si="68"/>
        <v>203</v>
      </c>
      <c r="J85" s="12">
        <f t="shared" si="68"/>
        <v>0</v>
      </c>
      <c r="K85" s="12">
        <f t="shared" si="68"/>
        <v>0</v>
      </c>
      <c r="L85" s="12">
        <f t="shared" si="68"/>
        <v>249</v>
      </c>
      <c r="M85" s="12">
        <f t="shared" si="68"/>
        <v>252</v>
      </c>
      <c r="N85" s="12">
        <f t="shared" si="68"/>
        <v>416</v>
      </c>
      <c r="O85" s="12">
        <f t="shared" si="68"/>
        <v>194</v>
      </c>
      <c r="P85" s="12">
        <f t="shared" si="68"/>
        <v>249</v>
      </c>
      <c r="Q85" s="12">
        <f t="shared" si="68"/>
        <v>20</v>
      </c>
      <c r="R85" s="12">
        <f t="shared" si="68"/>
        <v>3</v>
      </c>
      <c r="S85" s="12">
        <f t="shared" si="68"/>
        <v>522</v>
      </c>
      <c r="T85" s="12">
        <f t="shared" ref="T85:AF85" si="69">T39-S39</f>
        <v>452</v>
      </c>
      <c r="U85" s="12">
        <f t="shared" si="69"/>
        <v>55</v>
      </c>
      <c r="V85" s="12">
        <f t="shared" si="69"/>
        <v>0</v>
      </c>
      <c r="W85" s="12">
        <f t="shared" si="69"/>
        <v>417</v>
      </c>
      <c r="X85" s="12">
        <f t="shared" si="69"/>
        <v>259</v>
      </c>
      <c r="Y85" s="12">
        <f t="shared" si="69"/>
        <v>21</v>
      </c>
      <c r="Z85" s="12">
        <f t="shared" si="69"/>
        <v>251</v>
      </c>
      <c r="AA85" s="12">
        <f t="shared" si="69"/>
        <v>417</v>
      </c>
      <c r="AB85" s="12">
        <f t="shared" si="69"/>
        <v>434</v>
      </c>
      <c r="AC85" s="12">
        <f t="shared" si="65"/>
        <v>213</v>
      </c>
      <c r="AD85" s="12">
        <f t="shared" si="69"/>
        <v>252</v>
      </c>
      <c r="AE85" s="12">
        <f t="shared" si="69"/>
        <v>0</v>
      </c>
      <c r="AF85" s="12">
        <f t="shared" si="69"/>
        <v>0</v>
      </c>
    </row>
    <row r="86" spans="1:32" s="124" customFormat="1" x14ac:dyDescent="0.25">
      <c r="A86" s="329" t="s">
        <v>177</v>
      </c>
      <c r="B86" s="225">
        <v>0</v>
      </c>
      <c r="C86" s="328">
        <f t="shared" ref="C86" si="70">C43-B43</f>
        <v>0</v>
      </c>
      <c r="D86" s="328">
        <f t="shared" ref="D86" si="71">D43-C43</f>
        <v>0</v>
      </c>
      <c r="E86" s="328">
        <f t="shared" ref="E86" si="72">E43-D43</f>
        <v>292</v>
      </c>
      <c r="F86" s="328">
        <f t="shared" ref="F86" si="73">F43-E43</f>
        <v>401</v>
      </c>
      <c r="G86" s="328">
        <f t="shared" ref="G86" si="74">G43-F43</f>
        <v>0</v>
      </c>
      <c r="H86" s="328">
        <f t="shared" ref="H86" si="75">H43-G43</f>
        <v>333</v>
      </c>
      <c r="I86" s="328">
        <f t="shared" ref="I86" si="76">I43-H43</f>
        <v>259</v>
      </c>
      <c r="J86" s="328">
        <f t="shared" ref="J86" si="77">J43-I43</f>
        <v>91</v>
      </c>
      <c r="K86" s="328">
        <f t="shared" ref="K86" si="78">K43-J43</f>
        <v>0</v>
      </c>
      <c r="L86" s="328">
        <f t="shared" ref="L86" si="79">L43-K43</f>
        <v>289</v>
      </c>
      <c r="M86" s="328">
        <f t="shared" ref="M86" si="80">M43-L43</f>
        <v>271</v>
      </c>
      <c r="N86" s="328">
        <f t="shared" ref="N86" si="81">N43-M43</f>
        <v>181</v>
      </c>
      <c r="O86" s="328">
        <f t="shared" ref="O86" si="82">O43-N43</f>
        <v>312</v>
      </c>
      <c r="P86" s="328">
        <f t="shared" ref="P86" si="83">P43-O43</f>
        <v>102</v>
      </c>
      <c r="Q86" s="328">
        <f t="shared" ref="Q86" si="84">Q43-P43</f>
        <v>0</v>
      </c>
      <c r="R86" s="328">
        <f t="shared" ref="R86" si="85">R43-Q43</f>
        <v>0</v>
      </c>
      <c r="S86" s="328">
        <f t="shared" ref="S86" si="86">S43-R43</f>
        <v>536</v>
      </c>
      <c r="T86" s="328">
        <f t="shared" ref="T86" si="87">T43-S43</f>
        <v>462</v>
      </c>
      <c r="U86" s="328">
        <f t="shared" ref="U86" si="88">U43-T43</f>
        <v>116</v>
      </c>
      <c r="V86" s="328">
        <f t="shared" ref="V86" si="89">V43-U43</f>
        <v>121</v>
      </c>
      <c r="W86" s="328">
        <f t="shared" ref="W86" si="90">W43-V43</f>
        <v>267</v>
      </c>
      <c r="X86" s="328">
        <f t="shared" ref="X86" si="91">X43-W43</f>
        <v>0</v>
      </c>
      <c r="Y86" s="328">
        <f t="shared" ref="Y86" si="92">Y43-X43</f>
        <v>0</v>
      </c>
      <c r="Z86" s="328">
        <f t="shared" ref="Z86" si="93">Z43-Y43</f>
        <v>334</v>
      </c>
      <c r="AA86" s="328">
        <f t="shared" ref="AA86" si="94">AA43-Z43</f>
        <v>86</v>
      </c>
      <c r="AB86" s="328">
        <f t="shared" ref="AB86" si="95">AB43-AA43</f>
        <v>228</v>
      </c>
      <c r="AC86" s="328">
        <f t="shared" ref="AC86" si="96">AC43-AB43</f>
        <v>260</v>
      </c>
      <c r="AD86" s="328">
        <f t="shared" ref="AD86" si="97">AD43-AC43</f>
        <v>210</v>
      </c>
      <c r="AE86" s="328">
        <f t="shared" ref="AE86" si="98">AE43-AD43</f>
        <v>1</v>
      </c>
      <c r="AF86" s="328">
        <f t="shared" ref="AF86" si="99">AF43-AE43</f>
        <v>0</v>
      </c>
    </row>
    <row r="87" spans="1:32" ht="15.75" thickBot="1" x14ac:dyDescent="0.3">
      <c r="A87" s="14"/>
      <c r="B87" s="172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  <c r="AF87" s="124"/>
    </row>
    <row r="88" spans="1:32" ht="15.75" thickBot="1" x14ac:dyDescent="0.3">
      <c r="A88" s="15" t="s">
        <v>34</v>
      </c>
      <c r="B88" s="16">
        <f t="shared" ref="B88:F88" si="100">SUM(B51:B86)</f>
        <v>4981</v>
      </c>
      <c r="C88" s="16">
        <f t="shared" si="100"/>
        <v>6486</v>
      </c>
      <c r="D88" s="16">
        <f t="shared" si="100"/>
        <v>4950</v>
      </c>
      <c r="E88" s="16">
        <f t="shared" si="100"/>
        <v>13049</v>
      </c>
      <c r="F88" s="16">
        <f t="shared" si="100"/>
        <v>13112</v>
      </c>
      <c r="G88" s="16">
        <f>SUM(G51:G86)</f>
        <v>12650</v>
      </c>
      <c r="H88" s="16">
        <f t="shared" ref="H88:AF88" si="101">SUM(H51:H86)</f>
        <v>12211</v>
      </c>
      <c r="I88" s="16">
        <f t="shared" si="101"/>
        <v>12919</v>
      </c>
      <c r="J88" s="16">
        <f t="shared" si="101"/>
        <v>6702</v>
      </c>
      <c r="K88" s="16">
        <f t="shared" si="101"/>
        <v>4984</v>
      </c>
      <c r="L88" s="16">
        <f t="shared" si="101"/>
        <v>12984</v>
      </c>
      <c r="M88" s="16">
        <f t="shared" si="101"/>
        <v>12900</v>
      </c>
      <c r="N88" s="16">
        <f t="shared" si="101"/>
        <v>12976</v>
      </c>
      <c r="O88" s="16">
        <f t="shared" si="101"/>
        <v>13125</v>
      </c>
      <c r="P88" s="16">
        <f t="shared" si="101"/>
        <v>13020</v>
      </c>
      <c r="Q88" s="16">
        <f t="shared" si="101"/>
        <v>6569</v>
      </c>
      <c r="R88" s="16">
        <f t="shared" si="101"/>
        <v>5005</v>
      </c>
      <c r="S88" s="16">
        <f t="shared" si="101"/>
        <v>12820</v>
      </c>
      <c r="T88" s="16">
        <f t="shared" si="101"/>
        <v>12744</v>
      </c>
      <c r="U88" s="16">
        <f t="shared" si="101"/>
        <v>12836</v>
      </c>
      <c r="V88" s="16">
        <f t="shared" si="101"/>
        <v>6349</v>
      </c>
      <c r="W88" s="16">
        <f t="shared" si="101"/>
        <v>12975</v>
      </c>
      <c r="X88" s="16">
        <f t="shared" si="101"/>
        <v>6547</v>
      </c>
      <c r="Y88" s="16">
        <f t="shared" si="101"/>
        <v>5004</v>
      </c>
      <c r="Z88" s="16">
        <f t="shared" si="101"/>
        <v>12602</v>
      </c>
      <c r="AA88" s="16">
        <f t="shared" si="101"/>
        <v>12923</v>
      </c>
      <c r="AB88" s="16">
        <f t="shared" si="101"/>
        <v>12906</v>
      </c>
      <c r="AC88" s="16">
        <f t="shared" si="101"/>
        <v>12879</v>
      </c>
      <c r="AD88" s="16">
        <f t="shared" si="101"/>
        <v>12885</v>
      </c>
      <c r="AE88" s="16">
        <f t="shared" si="101"/>
        <v>6576</v>
      </c>
      <c r="AF88" s="16">
        <f t="shared" si="101"/>
        <v>4943</v>
      </c>
    </row>
    <row r="89" spans="1:32" s="124" customFormat="1" x14ac:dyDescent="0.25">
      <c r="A89" s="240"/>
      <c r="B89" s="241"/>
      <c r="C89" s="241"/>
      <c r="D89" s="241"/>
      <c r="E89" s="241"/>
      <c r="F89" s="241"/>
      <c r="G89" s="241"/>
      <c r="H89" s="241"/>
      <c r="I89" s="241"/>
      <c r="J89" s="241"/>
      <c r="K89" s="241"/>
      <c r="L89" s="241"/>
      <c r="M89" s="241"/>
      <c r="N89" s="241"/>
      <c r="O89" s="241"/>
      <c r="P89" s="241"/>
      <c r="Q89" s="241"/>
      <c r="R89" s="241"/>
      <c r="S89" s="241"/>
      <c r="T89" s="241"/>
      <c r="U89" s="241"/>
      <c r="V89" s="241"/>
      <c r="W89" s="241"/>
      <c r="X89" s="241"/>
      <c r="Y89" s="241"/>
      <c r="Z89" s="241"/>
      <c r="AA89" s="241"/>
      <c r="AB89" s="241"/>
      <c r="AC89" s="241"/>
    </row>
    <row r="90" spans="1:32" x14ac:dyDescent="0.25">
      <c r="A90" s="327" t="s">
        <v>176</v>
      </c>
      <c r="B90" s="225">
        <v>0</v>
      </c>
      <c r="C90" s="328">
        <f t="shared" ref="C90" si="102">C41-B41</f>
        <v>0</v>
      </c>
      <c r="D90" s="328">
        <f t="shared" ref="D90:D91" si="103">D41-C41</f>
        <v>0</v>
      </c>
      <c r="E90" s="328">
        <f t="shared" ref="E90:E91" si="104">E41-D41</f>
        <v>0</v>
      </c>
      <c r="F90" s="328">
        <f t="shared" ref="F90:F91" si="105">F41-E41</f>
        <v>0</v>
      </c>
      <c r="G90" s="328">
        <f t="shared" ref="G90:G91" si="106">G41-F41</f>
        <v>0</v>
      </c>
      <c r="H90" s="328">
        <f t="shared" ref="H90:H91" si="107">H41-G41</f>
        <v>0</v>
      </c>
      <c r="I90" s="328">
        <f t="shared" ref="I90:I91" si="108">I41-H41</f>
        <v>0</v>
      </c>
      <c r="J90" s="328">
        <f t="shared" ref="J90:J91" si="109">J41-I41</f>
        <v>0</v>
      </c>
      <c r="K90" s="328">
        <f t="shared" ref="K90:K91" si="110">K41-J41</f>
        <v>0</v>
      </c>
      <c r="L90" s="328">
        <f t="shared" ref="L90:L91" si="111">L41-K41</f>
        <v>0</v>
      </c>
      <c r="M90" s="328">
        <f t="shared" ref="M90:M91" si="112">M41-L41</f>
        <v>0</v>
      </c>
      <c r="N90" s="328">
        <f t="shared" ref="N90:N91" si="113">N41-M41</f>
        <v>0</v>
      </c>
      <c r="O90" s="328">
        <f t="shared" ref="O90:O91" si="114">O41-N41</f>
        <v>0</v>
      </c>
      <c r="P90" s="328">
        <f t="shared" ref="P90:P91" si="115">P41-O41</f>
        <v>0</v>
      </c>
      <c r="Q90" s="328">
        <f t="shared" ref="Q90:Q91" si="116">Q41-P41</f>
        <v>0</v>
      </c>
      <c r="R90" s="328">
        <f t="shared" ref="R90:R91" si="117">R41-Q41</f>
        <v>0</v>
      </c>
      <c r="S90" s="328">
        <f t="shared" ref="S90:S91" si="118">S41-R41</f>
        <v>0</v>
      </c>
      <c r="T90" s="328">
        <f t="shared" ref="T90:T91" si="119">T41-S41</f>
        <v>0</v>
      </c>
      <c r="U90" s="328">
        <f t="shared" ref="U90:U91" si="120">U41-T41</f>
        <v>0</v>
      </c>
      <c r="V90" s="328">
        <f t="shared" ref="V90:V91" si="121">V41-U41</f>
        <v>0</v>
      </c>
      <c r="W90" s="328">
        <f t="shared" ref="W90:W91" si="122">W41-V41</f>
        <v>0</v>
      </c>
      <c r="X90" s="328">
        <f t="shared" ref="X90:X91" si="123">X41-W41</f>
        <v>0</v>
      </c>
      <c r="Y90" s="328">
        <f t="shared" ref="Y90:Y91" si="124">Y41-X41</f>
        <v>0</v>
      </c>
      <c r="Z90" s="328">
        <f t="shared" ref="Z90:Z91" si="125">Z41-Y41</f>
        <v>0</v>
      </c>
      <c r="AA90" s="328">
        <f t="shared" ref="AA90:AA91" si="126">AA41-Z41</f>
        <v>0</v>
      </c>
      <c r="AB90" s="328">
        <f t="shared" ref="AB90:AB91" si="127">AB41-AA41</f>
        <v>0</v>
      </c>
      <c r="AC90" s="328">
        <f t="shared" ref="AC90:AC91" si="128">AC41-AB41</f>
        <v>0</v>
      </c>
      <c r="AD90" s="328">
        <f t="shared" ref="AD90:AD91" si="129">AD41-AC41</f>
        <v>0</v>
      </c>
      <c r="AE90" s="328">
        <f t="shared" ref="AE90:AE91" si="130">AE41-AD41</f>
        <v>0</v>
      </c>
      <c r="AF90" s="328">
        <f t="shared" ref="AF90:AF91" si="131">AF41-AE41</f>
        <v>0</v>
      </c>
    </row>
    <row r="91" spans="1:32" s="124" customFormat="1" x14ac:dyDescent="0.25">
      <c r="A91" s="327" t="s">
        <v>178</v>
      </c>
      <c r="B91" s="225">
        <v>0</v>
      </c>
      <c r="C91" s="328">
        <f>C42-B42</f>
        <v>0</v>
      </c>
      <c r="D91" s="328">
        <f t="shared" si="103"/>
        <v>0</v>
      </c>
      <c r="E91" s="328">
        <f t="shared" si="104"/>
        <v>0</v>
      </c>
      <c r="F91" s="328">
        <f t="shared" si="105"/>
        <v>0</v>
      </c>
      <c r="G91" s="328">
        <f t="shared" si="106"/>
        <v>0</v>
      </c>
      <c r="H91" s="328">
        <f t="shared" si="107"/>
        <v>0</v>
      </c>
      <c r="I91" s="328">
        <f t="shared" si="108"/>
        <v>0</v>
      </c>
      <c r="J91" s="328">
        <f t="shared" si="109"/>
        <v>0</v>
      </c>
      <c r="K91" s="328">
        <f t="shared" si="110"/>
        <v>0</v>
      </c>
      <c r="L91" s="328">
        <f t="shared" si="111"/>
        <v>0</v>
      </c>
      <c r="M91" s="328">
        <f t="shared" si="112"/>
        <v>0</v>
      </c>
      <c r="N91" s="328">
        <f t="shared" si="113"/>
        <v>0</v>
      </c>
      <c r="O91" s="328">
        <f t="shared" si="114"/>
        <v>0</v>
      </c>
      <c r="P91" s="328">
        <f t="shared" si="115"/>
        <v>0</v>
      </c>
      <c r="Q91" s="328">
        <f t="shared" si="116"/>
        <v>0</v>
      </c>
      <c r="R91" s="328">
        <f t="shared" si="117"/>
        <v>0</v>
      </c>
      <c r="S91" s="328">
        <f t="shared" si="118"/>
        <v>0</v>
      </c>
      <c r="T91" s="328">
        <f t="shared" si="119"/>
        <v>0</v>
      </c>
      <c r="U91" s="328">
        <f t="shared" si="120"/>
        <v>0</v>
      </c>
      <c r="V91" s="328">
        <f t="shared" si="121"/>
        <v>0</v>
      </c>
      <c r="W91" s="328">
        <f t="shared" si="122"/>
        <v>0</v>
      </c>
      <c r="X91" s="328">
        <f t="shared" si="123"/>
        <v>0</v>
      </c>
      <c r="Y91" s="328">
        <f t="shared" si="124"/>
        <v>0</v>
      </c>
      <c r="Z91" s="328">
        <f t="shared" si="125"/>
        <v>0</v>
      </c>
      <c r="AA91" s="328">
        <f t="shared" si="126"/>
        <v>0</v>
      </c>
      <c r="AB91" s="328">
        <f t="shared" si="127"/>
        <v>0</v>
      </c>
      <c r="AC91" s="328">
        <f t="shared" si="128"/>
        <v>0</v>
      </c>
      <c r="AD91" s="328">
        <f t="shared" si="129"/>
        <v>0</v>
      </c>
      <c r="AE91" s="328">
        <f t="shared" si="130"/>
        <v>0</v>
      </c>
      <c r="AF91" s="328">
        <f t="shared" si="131"/>
        <v>0</v>
      </c>
    </row>
    <row r="92" spans="1:32" s="124" customFormat="1" x14ac:dyDescent="0.25">
      <c r="A92" s="327" t="s">
        <v>179</v>
      </c>
      <c r="B92" s="225">
        <v>0</v>
      </c>
      <c r="C92" s="328">
        <f>C44-B44</f>
        <v>0</v>
      </c>
      <c r="D92" s="328">
        <f t="shared" ref="D92:AF92" si="132">D44-C44</f>
        <v>0</v>
      </c>
      <c r="E92" s="328">
        <f t="shared" si="132"/>
        <v>0</v>
      </c>
      <c r="F92" s="328">
        <f t="shared" si="132"/>
        <v>0</v>
      </c>
      <c r="G92" s="328">
        <f t="shared" si="132"/>
        <v>0</v>
      </c>
      <c r="H92" s="328">
        <f t="shared" si="132"/>
        <v>0</v>
      </c>
      <c r="I92" s="328">
        <f t="shared" si="132"/>
        <v>0</v>
      </c>
      <c r="J92" s="328">
        <f t="shared" si="132"/>
        <v>0</v>
      </c>
      <c r="K92" s="328">
        <f t="shared" si="132"/>
        <v>0</v>
      </c>
      <c r="L92" s="328">
        <f t="shared" si="132"/>
        <v>0</v>
      </c>
      <c r="M92" s="328">
        <f t="shared" si="132"/>
        <v>0</v>
      </c>
      <c r="N92" s="328">
        <f t="shared" si="132"/>
        <v>0</v>
      </c>
      <c r="O92" s="328">
        <f t="shared" si="132"/>
        <v>0</v>
      </c>
      <c r="P92" s="328">
        <f t="shared" si="132"/>
        <v>0</v>
      </c>
      <c r="Q92" s="328">
        <f t="shared" si="132"/>
        <v>0</v>
      </c>
      <c r="R92" s="328">
        <f t="shared" si="132"/>
        <v>0</v>
      </c>
      <c r="S92" s="328">
        <f t="shared" si="132"/>
        <v>0</v>
      </c>
      <c r="T92" s="328">
        <f t="shared" si="132"/>
        <v>0</v>
      </c>
      <c r="U92" s="328">
        <f t="shared" si="132"/>
        <v>0</v>
      </c>
      <c r="V92" s="328">
        <f t="shared" si="132"/>
        <v>0</v>
      </c>
      <c r="W92" s="328">
        <f t="shared" si="132"/>
        <v>0</v>
      </c>
      <c r="X92" s="328">
        <f t="shared" si="132"/>
        <v>0</v>
      </c>
      <c r="Y92" s="328">
        <f t="shared" si="132"/>
        <v>0</v>
      </c>
      <c r="Z92" s="328">
        <f t="shared" si="132"/>
        <v>0</v>
      </c>
      <c r="AA92" s="328">
        <f t="shared" si="132"/>
        <v>0</v>
      </c>
      <c r="AB92" s="328">
        <f t="shared" si="132"/>
        <v>0</v>
      </c>
      <c r="AC92" s="328">
        <f t="shared" si="132"/>
        <v>0</v>
      </c>
      <c r="AD92" s="328">
        <f t="shared" si="132"/>
        <v>0</v>
      </c>
      <c r="AE92" s="328">
        <f t="shared" si="132"/>
        <v>0</v>
      </c>
      <c r="AF92" s="328">
        <f t="shared" si="132"/>
        <v>0</v>
      </c>
    </row>
    <row r="93" spans="1:32" s="124" customFormat="1" x14ac:dyDescent="0.25">
      <c r="A93" s="329" t="s">
        <v>180</v>
      </c>
      <c r="B93" s="225">
        <v>204</v>
      </c>
      <c r="C93" s="328">
        <f>C45-B45</f>
        <v>204</v>
      </c>
      <c r="D93" s="328">
        <f t="shared" ref="D93:AF93" si="133">D45-C45</f>
        <v>200</v>
      </c>
      <c r="E93" s="328">
        <f t="shared" si="133"/>
        <v>0</v>
      </c>
      <c r="F93" s="328">
        <f t="shared" si="133"/>
        <v>697</v>
      </c>
      <c r="G93" s="328">
        <f t="shared" si="133"/>
        <v>0</v>
      </c>
      <c r="H93" s="328">
        <f t="shared" si="133"/>
        <v>333</v>
      </c>
      <c r="I93" s="328">
        <f t="shared" si="133"/>
        <v>0</v>
      </c>
      <c r="J93" s="328">
        <f t="shared" si="133"/>
        <v>0</v>
      </c>
      <c r="K93" s="328">
        <f t="shared" si="133"/>
        <v>0</v>
      </c>
      <c r="L93" s="328">
        <f t="shared" si="133"/>
        <v>0</v>
      </c>
      <c r="M93" s="328">
        <f t="shared" si="133"/>
        <v>0</v>
      </c>
      <c r="N93" s="328">
        <f t="shared" si="133"/>
        <v>0</v>
      </c>
      <c r="O93" s="328">
        <f t="shared" si="133"/>
        <v>0</v>
      </c>
      <c r="P93" s="328">
        <f t="shared" si="133"/>
        <v>0</v>
      </c>
      <c r="Q93" s="328">
        <f t="shared" si="133"/>
        <v>0</v>
      </c>
      <c r="R93" s="328">
        <f t="shared" si="133"/>
        <v>0</v>
      </c>
      <c r="S93" s="328">
        <f t="shared" si="133"/>
        <v>0</v>
      </c>
      <c r="T93" s="328">
        <f t="shared" si="133"/>
        <v>0</v>
      </c>
      <c r="U93" s="328">
        <f t="shared" si="133"/>
        <v>0</v>
      </c>
      <c r="V93" s="328">
        <f t="shared" si="133"/>
        <v>0</v>
      </c>
      <c r="W93" s="328">
        <f t="shared" si="133"/>
        <v>0</v>
      </c>
      <c r="X93" s="328">
        <f t="shared" si="133"/>
        <v>0</v>
      </c>
      <c r="Y93" s="328">
        <f t="shared" si="133"/>
        <v>0</v>
      </c>
      <c r="Z93" s="328">
        <f t="shared" si="133"/>
        <v>0</v>
      </c>
      <c r="AA93" s="328">
        <f t="shared" si="133"/>
        <v>0</v>
      </c>
      <c r="AB93" s="328">
        <f t="shared" si="133"/>
        <v>0</v>
      </c>
      <c r="AC93" s="328">
        <f t="shared" si="133"/>
        <v>0</v>
      </c>
      <c r="AD93" s="328">
        <f t="shared" si="133"/>
        <v>0</v>
      </c>
      <c r="AE93" s="328">
        <f t="shared" si="133"/>
        <v>0</v>
      </c>
      <c r="AF93" s="328">
        <f t="shared" si="133"/>
        <v>0</v>
      </c>
    </row>
    <row r="97" spans="1:32" x14ac:dyDescent="0.25">
      <c r="B97">
        <v>0</v>
      </c>
      <c r="C97">
        <v>0</v>
      </c>
      <c r="D97">
        <v>0</v>
      </c>
      <c r="E97">
        <v>292</v>
      </c>
      <c r="F97">
        <v>401</v>
      </c>
      <c r="G97">
        <v>0</v>
      </c>
      <c r="H97">
        <v>333</v>
      </c>
      <c r="I97">
        <v>259</v>
      </c>
      <c r="J97">
        <v>91</v>
      </c>
      <c r="K97">
        <v>0</v>
      </c>
      <c r="L97">
        <v>289</v>
      </c>
      <c r="M97">
        <v>271</v>
      </c>
      <c r="N97" s="208">
        <v>181</v>
      </c>
      <c r="O97">
        <v>312</v>
      </c>
      <c r="P97">
        <v>102</v>
      </c>
      <c r="Q97">
        <v>0</v>
      </c>
      <c r="R97">
        <v>0</v>
      </c>
      <c r="S97">
        <v>536</v>
      </c>
      <c r="T97">
        <v>462</v>
      </c>
      <c r="U97">
        <v>116</v>
      </c>
      <c r="V97">
        <v>121</v>
      </c>
      <c r="W97">
        <v>267</v>
      </c>
      <c r="X97">
        <v>0</v>
      </c>
      <c r="Y97">
        <v>0</v>
      </c>
      <c r="Z97">
        <v>334</v>
      </c>
      <c r="AA97">
        <v>86</v>
      </c>
      <c r="AB97">
        <v>228</v>
      </c>
      <c r="AC97">
        <v>260</v>
      </c>
      <c r="AD97">
        <v>210</v>
      </c>
      <c r="AE97">
        <v>1</v>
      </c>
      <c r="AF97">
        <v>0</v>
      </c>
    </row>
    <row r="100" spans="1:32" x14ac:dyDescent="0.25">
      <c r="A100" t="s">
        <v>38</v>
      </c>
      <c r="B100" s="124"/>
      <c r="E100">
        <f>(1)*43.13+17.83</f>
        <v>60.96</v>
      </c>
      <c r="F100" s="124">
        <f>(2)*43.13+17.83+1.05</f>
        <v>105.14</v>
      </c>
      <c r="I100" s="124">
        <f>(2)*43.13</f>
        <v>86.26</v>
      </c>
      <c r="N100" s="124">
        <f>(2)*43.13</f>
        <v>86.26</v>
      </c>
    </row>
    <row r="101" spans="1:32" x14ac:dyDescent="0.25">
      <c r="A101" t="s">
        <v>52</v>
      </c>
      <c r="B101" s="124"/>
      <c r="E101">
        <f>(1)*43.13+17.83</f>
        <v>60.96</v>
      </c>
      <c r="F101" s="124">
        <f>(2)*43.13+17.83+1.05</f>
        <v>105.14</v>
      </c>
      <c r="I101" s="124">
        <f>(2)*43.13</f>
        <v>86.26</v>
      </c>
      <c r="N101" s="124">
        <f>(2)*43.13</f>
        <v>86.26</v>
      </c>
    </row>
    <row r="102" spans="1:32" x14ac:dyDescent="0.25">
      <c r="B102" s="124"/>
      <c r="E102">
        <f>E100+E101</f>
        <v>121.92</v>
      </c>
      <c r="F102" s="124">
        <f>F100+F101</f>
        <v>210.28</v>
      </c>
      <c r="I102" s="124">
        <f>I100+I101</f>
        <v>172.52</v>
      </c>
      <c r="N102" s="124">
        <f>N100+N101</f>
        <v>172.52</v>
      </c>
    </row>
    <row r="103" spans="1:32" x14ac:dyDescent="0.25">
      <c r="B103" s="124"/>
      <c r="E103" s="172">
        <f>E102-E86</f>
        <v>-170.07999999999998</v>
      </c>
      <c r="F103" s="172">
        <f>F102-F86</f>
        <v>-190.72</v>
      </c>
      <c r="I103" s="172">
        <f>I102-I86</f>
        <v>-86.47999999999999</v>
      </c>
      <c r="N103" s="172">
        <f>N102-N86</f>
        <v>-8.4799999999999898</v>
      </c>
    </row>
    <row r="104" spans="1:32" x14ac:dyDescent="0.25">
      <c r="B104" s="124"/>
    </row>
    <row r="105" spans="1:32" x14ac:dyDescent="0.25">
      <c r="B105" s="124"/>
    </row>
    <row r="106" spans="1:32" x14ac:dyDescent="0.25">
      <c r="B106" s="124">
        <f>1</f>
        <v>1</v>
      </c>
      <c r="C106">
        <f>B106+1</f>
        <v>2</v>
      </c>
      <c r="D106" s="124">
        <f t="shared" ref="D106:AF106" si="134">C106+1</f>
        <v>3</v>
      </c>
      <c r="E106" s="124">
        <f t="shared" si="134"/>
        <v>4</v>
      </c>
      <c r="F106" s="124">
        <f t="shared" si="134"/>
        <v>5</v>
      </c>
      <c r="G106" s="124">
        <f t="shared" si="134"/>
        <v>6</v>
      </c>
      <c r="H106" s="124">
        <f t="shared" si="134"/>
        <v>7</v>
      </c>
      <c r="I106" s="124">
        <f t="shared" si="134"/>
        <v>8</v>
      </c>
      <c r="J106" s="124">
        <f t="shared" si="134"/>
        <v>9</v>
      </c>
      <c r="K106" s="124">
        <f t="shared" si="134"/>
        <v>10</v>
      </c>
      <c r="L106" s="124">
        <f t="shared" si="134"/>
        <v>11</v>
      </c>
      <c r="M106" s="124">
        <f t="shared" si="134"/>
        <v>12</v>
      </c>
      <c r="N106" s="124">
        <f t="shared" si="134"/>
        <v>13</v>
      </c>
      <c r="O106" s="124">
        <f t="shared" si="134"/>
        <v>14</v>
      </c>
      <c r="P106" s="124">
        <f t="shared" si="134"/>
        <v>15</v>
      </c>
      <c r="Q106" s="124">
        <f t="shared" si="134"/>
        <v>16</v>
      </c>
      <c r="R106" s="124">
        <f t="shared" si="134"/>
        <v>17</v>
      </c>
      <c r="S106" s="124">
        <f t="shared" si="134"/>
        <v>18</v>
      </c>
      <c r="T106" s="124">
        <f t="shared" si="134"/>
        <v>19</v>
      </c>
      <c r="U106" s="124">
        <f t="shared" si="134"/>
        <v>20</v>
      </c>
      <c r="V106" s="124">
        <f t="shared" si="134"/>
        <v>21</v>
      </c>
      <c r="W106" s="124">
        <f t="shared" si="134"/>
        <v>22</v>
      </c>
      <c r="X106" s="124">
        <f t="shared" si="134"/>
        <v>23</v>
      </c>
      <c r="Y106" s="124">
        <f t="shared" si="134"/>
        <v>24</v>
      </c>
      <c r="Z106" s="124">
        <f t="shared" si="134"/>
        <v>25</v>
      </c>
      <c r="AA106" s="124">
        <f t="shared" si="134"/>
        <v>26</v>
      </c>
      <c r="AB106" s="124">
        <f t="shared" si="134"/>
        <v>27</v>
      </c>
      <c r="AC106" s="124">
        <f t="shared" si="134"/>
        <v>28</v>
      </c>
      <c r="AD106" s="124">
        <f t="shared" si="134"/>
        <v>29</v>
      </c>
      <c r="AE106" s="124">
        <f t="shared" si="134"/>
        <v>30</v>
      </c>
      <c r="AF106" s="124">
        <f t="shared" si="134"/>
        <v>31</v>
      </c>
    </row>
    <row r="107" spans="1:32" x14ac:dyDescent="0.25">
      <c r="B107" s="124"/>
    </row>
    <row r="108" spans="1:32" x14ac:dyDescent="0.25">
      <c r="B108" s="124"/>
    </row>
    <row r="109" spans="1:32" x14ac:dyDescent="0.25">
      <c r="B109" s="124"/>
    </row>
    <row r="110" spans="1:32" x14ac:dyDescent="0.25">
      <c r="B110" s="124"/>
    </row>
    <row r="111" spans="1:32" x14ac:dyDescent="0.25">
      <c r="B111" s="124"/>
    </row>
    <row r="112" spans="1:32" x14ac:dyDescent="0.25">
      <c r="B112" s="124"/>
    </row>
    <row r="113" spans="2:2" x14ac:dyDescent="0.25">
      <c r="B113" s="124"/>
    </row>
    <row r="114" spans="2:2" x14ac:dyDescent="0.25">
      <c r="B114" s="124"/>
    </row>
    <row r="115" spans="2:2" x14ac:dyDescent="0.25">
      <c r="B115" s="124"/>
    </row>
    <row r="116" spans="2:2" x14ac:dyDescent="0.25">
      <c r="B116" s="124"/>
    </row>
    <row r="117" spans="2:2" x14ac:dyDescent="0.25">
      <c r="B117" s="124"/>
    </row>
    <row r="118" spans="2:2" x14ac:dyDescent="0.25">
      <c r="B118" s="124"/>
    </row>
    <row r="119" spans="2:2" x14ac:dyDescent="0.25">
      <c r="B119" s="124"/>
    </row>
    <row r="120" spans="2:2" x14ac:dyDescent="0.25">
      <c r="B120" s="124"/>
    </row>
    <row r="121" spans="2:2" x14ac:dyDescent="0.25">
      <c r="B121" s="124"/>
    </row>
    <row r="122" spans="2:2" x14ac:dyDescent="0.25">
      <c r="B122" s="124"/>
    </row>
    <row r="123" spans="2:2" x14ac:dyDescent="0.25">
      <c r="B123" s="124"/>
    </row>
    <row r="124" spans="2:2" x14ac:dyDescent="0.25">
      <c r="B124" s="124"/>
    </row>
    <row r="125" spans="2:2" x14ac:dyDescent="0.25">
      <c r="B125" s="124"/>
    </row>
    <row r="126" spans="2:2" x14ac:dyDescent="0.25">
      <c r="B126" s="124"/>
    </row>
    <row r="127" spans="2:2" x14ac:dyDescent="0.25">
      <c r="B127" s="124"/>
    </row>
    <row r="128" spans="2:2" x14ac:dyDescent="0.25">
      <c r="B128" s="124"/>
    </row>
    <row r="129" spans="2:2" x14ac:dyDescent="0.25">
      <c r="B129" s="124"/>
    </row>
    <row r="130" spans="2:2" x14ac:dyDescent="0.25">
      <c r="B130" s="124"/>
    </row>
  </sheetData>
  <dataConsolidate>
    <dataRefs count="2">
      <dataRef ref="B38:B64" sheet="Odometro-Kilometraje" r:id="rId1"/>
      <dataRef ref="D38:D64" sheet="Odometro-Kilometraje" r:id="rId2"/>
    </dataRefs>
  </dataConsolidate>
  <mergeCells count="2">
    <mergeCell ref="A1:AC1"/>
    <mergeCell ref="A47:AC47"/>
  </mergeCells>
  <phoneticPr fontId="54" type="noConversion"/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M243"/>
  <sheetViews>
    <sheetView tabSelected="1" topLeftCell="G1" zoomScaleNormal="100" workbookViewId="0">
      <pane ySplit="4" topLeftCell="A34" activePane="bottomLeft" state="frozen"/>
      <selection activeCell="P1" sqref="P1"/>
      <selection pane="bottomLeft" activeCell="W50" sqref="W50"/>
    </sheetView>
  </sheetViews>
  <sheetFormatPr baseColWidth="10" defaultColWidth="11.5703125" defaultRowHeight="15" x14ac:dyDescent="0.25"/>
  <cols>
    <col min="1" max="1" width="23.85546875" customWidth="1"/>
    <col min="2" max="2" width="11.7109375" customWidth="1"/>
    <col min="3" max="3" width="10.85546875" customWidth="1"/>
    <col min="4" max="4" width="10.28515625" customWidth="1"/>
    <col min="5" max="5" width="14.28515625" customWidth="1"/>
    <col min="6" max="6" width="13" customWidth="1"/>
    <col min="7" max="7" width="16" customWidth="1"/>
    <col min="8" max="8" width="16" style="124" customWidth="1"/>
    <col min="9" max="9" width="13.28515625" customWidth="1"/>
    <col min="12" max="12" width="14.140625" customWidth="1"/>
    <col min="14" max="14" width="15.140625" customWidth="1"/>
    <col min="16" max="16" width="12" customWidth="1"/>
    <col min="17" max="17" width="6.7109375" customWidth="1"/>
    <col min="18" max="18" width="6.28515625" customWidth="1"/>
    <col min="19" max="19" width="6" style="124" customWidth="1"/>
    <col min="20" max="20" width="8.140625" customWidth="1"/>
    <col min="21" max="21" width="5.28515625" customWidth="1"/>
    <col min="22" max="22" width="7.85546875" style="124" customWidth="1"/>
  </cols>
  <sheetData>
    <row r="1" spans="1:34" x14ac:dyDescent="0.25">
      <c r="A1" s="17"/>
      <c r="B1" s="18"/>
      <c r="C1" s="18"/>
      <c r="D1" s="18"/>
      <c r="E1" s="289" t="s">
        <v>160</v>
      </c>
      <c r="F1" s="289">
        <v>7.68</v>
      </c>
      <c r="H1" s="157" t="s">
        <v>125</v>
      </c>
      <c r="I1" s="157">
        <v>21.7</v>
      </c>
      <c r="J1" s="157" t="s">
        <v>35</v>
      </c>
      <c r="K1" s="157">
        <v>25.4</v>
      </c>
      <c r="L1" s="157" t="s">
        <v>36</v>
      </c>
      <c r="M1" s="157">
        <v>29.11</v>
      </c>
      <c r="N1" s="157" t="s">
        <v>119</v>
      </c>
      <c r="O1" s="157">
        <v>21.7</v>
      </c>
      <c r="P1" s="232" t="s">
        <v>151</v>
      </c>
      <c r="Q1" s="246">
        <v>8.3000000000000007</v>
      </c>
      <c r="R1" s="232" t="s">
        <v>152</v>
      </c>
      <c r="S1" s="246">
        <v>34.83</v>
      </c>
      <c r="T1" s="232" t="s">
        <v>157</v>
      </c>
      <c r="U1" s="281">
        <v>39.19</v>
      </c>
      <c r="W1" s="232" t="s">
        <v>155</v>
      </c>
      <c r="X1" s="259">
        <v>11.71</v>
      </c>
      <c r="Y1" s="232" t="s">
        <v>164</v>
      </c>
      <c r="Z1" s="294">
        <v>6</v>
      </c>
      <c r="AA1" s="232" t="s">
        <v>166</v>
      </c>
      <c r="AB1" s="294">
        <v>2.2000000000000002</v>
      </c>
      <c r="AC1" s="232" t="s">
        <v>169</v>
      </c>
      <c r="AD1" s="297">
        <v>20.81</v>
      </c>
      <c r="AE1" s="232" t="s">
        <v>175</v>
      </c>
      <c r="AF1" s="307">
        <v>21.43</v>
      </c>
      <c r="AG1" s="232" t="s">
        <v>187</v>
      </c>
      <c r="AH1" s="341">
        <v>0.72</v>
      </c>
    </row>
    <row r="2" spans="1:34" ht="15.75" thickBot="1" x14ac:dyDescent="0.3">
      <c r="A2" s="17"/>
      <c r="B2" s="350" t="s">
        <v>37</v>
      </c>
      <c r="C2" s="350"/>
      <c r="D2" s="351" t="s">
        <v>37</v>
      </c>
      <c r="E2" s="351"/>
      <c r="F2" s="232" t="s">
        <v>163</v>
      </c>
      <c r="G2" s="293">
        <f>M2-K1</f>
        <v>17.730000000000004</v>
      </c>
      <c r="H2" s="205" t="s">
        <v>147</v>
      </c>
      <c r="I2" s="205">
        <v>30.4</v>
      </c>
      <c r="J2" s="157" t="s">
        <v>121</v>
      </c>
      <c r="K2" s="157">
        <v>25.4</v>
      </c>
      <c r="L2" s="157" t="s">
        <v>38</v>
      </c>
      <c r="M2" s="157">
        <v>43.13</v>
      </c>
      <c r="N2" s="157" t="s">
        <v>110</v>
      </c>
      <c r="O2" s="157">
        <v>35.729999999999997</v>
      </c>
      <c r="P2" s="232" t="s">
        <v>150</v>
      </c>
      <c r="Q2" s="230">
        <v>33.97</v>
      </c>
      <c r="R2" s="232" t="s">
        <v>153</v>
      </c>
      <c r="S2" s="256">
        <v>7.4</v>
      </c>
      <c r="T2" s="232" t="s">
        <v>158</v>
      </c>
      <c r="U2" s="282">
        <v>12.72</v>
      </c>
      <c r="W2" s="232" t="s">
        <v>156</v>
      </c>
      <c r="X2" s="283">
        <v>21.7</v>
      </c>
      <c r="Y2" s="232" t="s">
        <v>165</v>
      </c>
      <c r="Z2" s="294">
        <v>3.9</v>
      </c>
      <c r="AA2" s="232" t="s">
        <v>168</v>
      </c>
      <c r="AB2" s="296">
        <f>(26.4-21.43)</f>
        <v>4.9699999999999989</v>
      </c>
      <c r="AC2" s="232" t="s">
        <v>170</v>
      </c>
      <c r="AD2" s="299">
        <v>10.55</v>
      </c>
      <c r="AE2" s="232" t="s">
        <v>186</v>
      </c>
      <c r="AF2" s="341">
        <v>19</v>
      </c>
      <c r="AG2" s="232" t="s">
        <v>192</v>
      </c>
      <c r="AH2" s="347">
        <f>G2-(M2-M1)</f>
        <v>3.7100000000000009</v>
      </c>
    </row>
    <row r="3" spans="1:34" ht="14.1" customHeight="1" x14ac:dyDescent="0.25">
      <c r="A3" s="17"/>
      <c r="B3" s="350" t="s">
        <v>39</v>
      </c>
      <c r="C3" s="350"/>
      <c r="D3" s="351" t="s">
        <v>40</v>
      </c>
      <c r="E3" s="351"/>
      <c r="F3" s="357" t="s">
        <v>41</v>
      </c>
      <c r="G3" s="357" t="s">
        <v>42</v>
      </c>
      <c r="H3" s="357" t="s">
        <v>161</v>
      </c>
      <c r="I3" s="357" t="s">
        <v>43</v>
      </c>
      <c r="J3" s="357" t="s">
        <v>44</v>
      </c>
      <c r="K3" s="357" t="s">
        <v>45</v>
      </c>
      <c r="L3" s="357" t="s">
        <v>46</v>
      </c>
      <c r="M3" s="357" t="s">
        <v>47</v>
      </c>
      <c r="N3" s="361" t="s">
        <v>48</v>
      </c>
      <c r="O3" s="361" t="s">
        <v>49</v>
      </c>
      <c r="P3" s="368"/>
      <c r="Q3" s="369" t="s">
        <v>139</v>
      </c>
      <c r="R3" s="370"/>
      <c r="S3" s="371"/>
      <c r="T3" s="372" t="s">
        <v>142</v>
      </c>
      <c r="U3" s="373"/>
      <c r="V3" s="374"/>
      <c r="W3" s="366" t="s">
        <v>143</v>
      </c>
      <c r="X3" s="366" t="s">
        <v>162</v>
      </c>
    </row>
    <row r="4" spans="1:34" ht="17.25" customHeight="1" thickBot="1" x14ac:dyDescent="0.3">
      <c r="A4" s="17"/>
      <c r="B4" s="41" t="s">
        <v>50</v>
      </c>
      <c r="C4" s="41" t="s">
        <v>51</v>
      </c>
      <c r="D4" s="42" t="s">
        <v>50</v>
      </c>
      <c r="E4" s="42" t="s">
        <v>51</v>
      </c>
      <c r="F4" s="357"/>
      <c r="G4" s="358"/>
      <c r="H4" s="358"/>
      <c r="I4" s="357"/>
      <c r="J4" s="357"/>
      <c r="K4" s="357"/>
      <c r="L4" s="357"/>
      <c r="M4" s="357"/>
      <c r="N4" s="361"/>
      <c r="O4" s="361"/>
      <c r="P4" s="368"/>
      <c r="Q4" s="194" t="s">
        <v>140</v>
      </c>
      <c r="R4" s="195" t="s">
        <v>141</v>
      </c>
      <c r="S4" s="195" t="s">
        <v>146</v>
      </c>
      <c r="T4" s="196" t="s">
        <v>140</v>
      </c>
      <c r="U4" s="235" t="s">
        <v>141</v>
      </c>
      <c r="V4" s="236" t="s">
        <v>146</v>
      </c>
      <c r="W4" s="367"/>
      <c r="X4" s="367"/>
    </row>
    <row r="5" spans="1:34" x14ac:dyDescent="0.25">
      <c r="A5" s="60">
        <v>46143</v>
      </c>
      <c r="B5" s="218">
        <v>51</v>
      </c>
      <c r="C5" s="218">
        <v>3</v>
      </c>
      <c r="D5" s="138">
        <f>'Data Ocupacion'!D31</f>
        <v>51</v>
      </c>
      <c r="E5" s="138">
        <f>'Data Ocupacion'!E31</f>
        <v>3</v>
      </c>
      <c r="F5" s="218" t="s">
        <v>38</v>
      </c>
      <c r="G5" s="218">
        <f t="shared" ref="G5:G10" si="0">D5+E5*2</f>
        <v>57</v>
      </c>
      <c r="H5" s="218">
        <f>B5+C5*2</f>
        <v>57</v>
      </c>
      <c r="I5" s="218">
        <f t="shared" ref="I5:I10" si="1">D5+E5</f>
        <v>54</v>
      </c>
      <c r="J5" s="218">
        <f>G5*M$2</f>
        <v>2458.4100000000003</v>
      </c>
      <c r="K5" s="153">
        <f>I5*M$2</f>
        <v>2329.02</v>
      </c>
      <c r="L5" s="218">
        <f t="shared" ref="L5:L10" si="2">J5*104</f>
        <v>255674.64000000004</v>
      </c>
      <c r="M5" s="218">
        <f t="shared" ref="M5:M10" si="3">I5*104</f>
        <v>5616</v>
      </c>
      <c r="N5" s="19"/>
      <c r="O5" s="19"/>
      <c r="P5" s="146"/>
      <c r="Q5" s="183"/>
      <c r="R5" s="183"/>
      <c r="S5" s="206"/>
      <c r="T5" s="285"/>
      <c r="U5" s="191"/>
      <c r="V5" s="228"/>
      <c r="W5" s="182">
        <f>J5-(Q5*($M$2-$K$1))-(R5*($M$2-$M$1))- (S5*($M$2-$I$2))+ (T5*($G$2))</f>
        <v>2458.4100000000003</v>
      </c>
      <c r="X5" s="182">
        <f>H5*$M$2</f>
        <v>2458.4100000000003</v>
      </c>
    </row>
    <row r="6" spans="1:34" ht="15" customHeight="1" x14ac:dyDescent="0.25">
      <c r="A6" s="202"/>
      <c r="B6" s="218">
        <v>57</v>
      </c>
      <c r="C6" s="218">
        <v>0</v>
      </c>
      <c r="D6" s="138">
        <f>'Data Ocupacion'!D32</f>
        <v>57</v>
      </c>
      <c r="E6" s="138">
        <f>'Data Ocupacion'!E32</f>
        <v>0</v>
      </c>
      <c r="F6" s="218" t="s">
        <v>52</v>
      </c>
      <c r="G6" s="218">
        <f t="shared" si="0"/>
        <v>57</v>
      </c>
      <c r="H6" s="218">
        <f t="shared" ref="H6:H10" si="4">B6+C6*2</f>
        <v>57</v>
      </c>
      <c r="I6" s="218">
        <f t="shared" si="1"/>
        <v>57</v>
      </c>
      <c r="J6" s="218">
        <f>G6*M$2</f>
        <v>2458.4100000000003</v>
      </c>
      <c r="K6" s="153">
        <f>I6*M$2</f>
        <v>2458.4100000000003</v>
      </c>
      <c r="L6" s="218">
        <f t="shared" si="2"/>
        <v>255674.64000000004</v>
      </c>
      <c r="M6" s="218">
        <f t="shared" si="3"/>
        <v>5928</v>
      </c>
      <c r="N6" s="19"/>
      <c r="O6" s="19"/>
      <c r="P6" s="146"/>
      <c r="Q6" s="186"/>
      <c r="R6" s="186"/>
      <c r="S6" s="217"/>
      <c r="T6" s="183"/>
      <c r="U6" s="217"/>
      <c r="V6" s="229"/>
      <c r="W6" s="185">
        <f>J6-(T6*($M$2-$K$1)+(U6*($M$2-$M$1)))</f>
        <v>2458.4100000000003</v>
      </c>
      <c r="X6" s="182">
        <f>H6*$M$2</f>
        <v>2458.4100000000003</v>
      </c>
    </row>
    <row r="7" spans="1:34" ht="15" customHeight="1" x14ac:dyDescent="0.25">
      <c r="A7" s="202"/>
      <c r="B7" s="218">
        <v>0</v>
      </c>
      <c r="C7" s="218">
        <v>0</v>
      </c>
      <c r="D7" s="138">
        <f>'Data Ocupacion'!D33</f>
        <v>0</v>
      </c>
      <c r="E7" s="138">
        <f>'Data Ocupacion'!E33</f>
        <v>0</v>
      </c>
      <c r="F7" s="218" t="s">
        <v>36</v>
      </c>
      <c r="G7" s="218">
        <f t="shared" si="0"/>
        <v>0</v>
      </c>
      <c r="H7" s="218">
        <f t="shared" si="4"/>
        <v>0</v>
      </c>
      <c r="I7" s="218">
        <f t="shared" si="1"/>
        <v>0</v>
      </c>
      <c r="J7" s="218">
        <f>G7*M$1</f>
        <v>0</v>
      </c>
      <c r="K7" s="153">
        <f>I7*M$1</f>
        <v>0</v>
      </c>
      <c r="L7" s="218">
        <f t="shared" si="2"/>
        <v>0</v>
      </c>
      <c r="M7" s="218">
        <f t="shared" si="3"/>
        <v>0</v>
      </c>
      <c r="N7" s="19"/>
      <c r="O7" s="19"/>
      <c r="P7" s="146"/>
      <c r="Q7" s="183"/>
      <c r="R7" s="190"/>
      <c r="S7" s="228"/>
      <c r="T7" s="186"/>
      <c r="U7" s="189"/>
      <c r="V7" s="189"/>
      <c r="W7" s="182">
        <f>J7-(Q7*($M$1-$K$1))</f>
        <v>0</v>
      </c>
      <c r="X7" s="182">
        <f>H7*$M$1</f>
        <v>0</v>
      </c>
    </row>
    <row r="8" spans="1:34" ht="15" customHeight="1" x14ac:dyDescent="0.25">
      <c r="A8" s="202"/>
      <c r="B8" s="218">
        <v>0</v>
      </c>
      <c r="C8" s="218">
        <v>0</v>
      </c>
      <c r="D8" s="138">
        <f>'Data Ocupacion'!D34</f>
        <v>0</v>
      </c>
      <c r="E8" s="138">
        <f>'Data Ocupacion'!E34</f>
        <v>0</v>
      </c>
      <c r="F8" s="218" t="s">
        <v>53</v>
      </c>
      <c r="G8" s="218">
        <f t="shared" si="0"/>
        <v>0</v>
      </c>
      <c r="H8" s="218">
        <f t="shared" si="4"/>
        <v>0</v>
      </c>
      <c r="I8" s="218">
        <f t="shared" si="1"/>
        <v>0</v>
      </c>
      <c r="J8" s="218">
        <f>G8*M$1</f>
        <v>0</v>
      </c>
      <c r="K8" s="153">
        <f>I8*M$1</f>
        <v>0</v>
      </c>
      <c r="L8" s="218">
        <f t="shared" si="2"/>
        <v>0</v>
      </c>
      <c r="M8" s="218">
        <f t="shared" si="3"/>
        <v>0</v>
      </c>
      <c r="N8" s="19"/>
      <c r="O8" s="19"/>
      <c r="P8" s="146"/>
      <c r="Q8" s="189"/>
      <c r="R8" s="189"/>
      <c r="S8" s="189"/>
      <c r="T8" s="189"/>
      <c r="U8" s="189"/>
      <c r="V8" s="189"/>
      <c r="W8" s="182">
        <f>J8</f>
        <v>0</v>
      </c>
      <c r="X8" s="182">
        <f>H8*$M$1</f>
        <v>0</v>
      </c>
    </row>
    <row r="9" spans="1:34" s="124" customFormat="1" ht="15" customHeight="1" x14ac:dyDescent="0.25">
      <c r="A9" s="202"/>
      <c r="B9" s="218">
        <v>0</v>
      </c>
      <c r="C9" s="218">
        <v>0</v>
      </c>
      <c r="D9" s="138">
        <f>'Data Ocupacion'!D35</f>
        <v>0</v>
      </c>
      <c r="E9" s="138">
        <f>'Data Ocupacion'!E35</f>
        <v>0</v>
      </c>
      <c r="F9" s="218" t="s">
        <v>122</v>
      </c>
      <c r="G9" s="218">
        <f t="shared" si="0"/>
        <v>0</v>
      </c>
      <c r="H9" s="218">
        <f t="shared" si="4"/>
        <v>0</v>
      </c>
      <c r="I9" s="218">
        <f t="shared" si="1"/>
        <v>0</v>
      </c>
      <c r="J9" s="218">
        <f>G9*K$1</f>
        <v>0</v>
      </c>
      <c r="K9" s="153">
        <f>I9*K$1</f>
        <v>0</v>
      </c>
      <c r="L9" s="218">
        <f t="shared" si="2"/>
        <v>0</v>
      </c>
      <c r="M9" s="218">
        <f t="shared" si="3"/>
        <v>0</v>
      </c>
      <c r="N9" s="19"/>
      <c r="O9" s="19"/>
      <c r="P9" s="146"/>
      <c r="Q9" s="189"/>
      <c r="R9" s="189"/>
      <c r="S9" s="189"/>
      <c r="T9" s="189"/>
      <c r="U9" s="189"/>
      <c r="V9" s="189"/>
      <c r="W9" s="182">
        <f>J9</f>
        <v>0</v>
      </c>
      <c r="X9" s="182">
        <f>H9*$K$1</f>
        <v>0</v>
      </c>
    </row>
    <row r="10" spans="1:34" ht="16.149999999999999" customHeight="1" thickBot="1" x14ac:dyDescent="0.3">
      <c r="A10" s="202"/>
      <c r="B10" s="218">
        <v>0</v>
      </c>
      <c r="C10" s="218">
        <v>0</v>
      </c>
      <c r="D10" s="138">
        <f>'Data Ocupacion'!D36</f>
        <v>0</v>
      </c>
      <c r="E10" s="138">
        <f>'Data Ocupacion'!E36</f>
        <v>0</v>
      </c>
      <c r="F10" s="218" t="s">
        <v>35</v>
      </c>
      <c r="G10" s="218">
        <f t="shared" si="0"/>
        <v>0</v>
      </c>
      <c r="H10" s="218">
        <f t="shared" si="4"/>
        <v>0</v>
      </c>
      <c r="I10" s="218">
        <f t="shared" si="1"/>
        <v>0</v>
      </c>
      <c r="J10" s="218">
        <f>G10*K$1</f>
        <v>0</v>
      </c>
      <c r="K10" s="153">
        <f>I10*K$1</f>
        <v>0</v>
      </c>
      <c r="L10" s="218">
        <f t="shared" si="2"/>
        <v>0</v>
      </c>
      <c r="M10" s="218">
        <f t="shared" si="3"/>
        <v>0</v>
      </c>
      <c r="N10" s="19"/>
      <c r="O10" s="19"/>
      <c r="P10" s="146"/>
      <c r="Q10" s="189"/>
      <c r="R10" s="189"/>
      <c r="S10" s="189"/>
      <c r="T10" s="189"/>
      <c r="U10" s="189"/>
      <c r="V10" s="189"/>
      <c r="W10" s="182">
        <f>J10</f>
        <v>0</v>
      </c>
      <c r="X10" s="182">
        <f>H10*$K$1</f>
        <v>0</v>
      </c>
    </row>
    <row r="11" spans="1:34" ht="15.75" thickBot="1" x14ac:dyDescent="0.3">
      <c r="A11" s="20"/>
      <c r="B11" s="119">
        <f>SUM(B5:B10)</f>
        <v>108</v>
      </c>
      <c r="C11" s="119">
        <f>SUM(C5:C10)</f>
        <v>3</v>
      </c>
      <c r="D11" s="148">
        <f>SUM(D5:D10)</f>
        <v>108</v>
      </c>
      <c r="E11" s="148">
        <f>SUM(E5:E10)</f>
        <v>3</v>
      </c>
      <c r="F11" s="119"/>
      <c r="G11" s="119">
        <f t="shared" ref="G11:M11" si="5">SUM(G5:G10)</f>
        <v>114</v>
      </c>
      <c r="H11" s="119">
        <f t="shared" si="5"/>
        <v>114</v>
      </c>
      <c r="I11" s="119">
        <f t="shared" si="5"/>
        <v>111</v>
      </c>
      <c r="J11" s="119">
        <f t="shared" si="5"/>
        <v>4916.8200000000006</v>
      </c>
      <c r="K11" s="119">
        <f t="shared" si="5"/>
        <v>4787.43</v>
      </c>
      <c r="L11" s="119">
        <f t="shared" si="5"/>
        <v>511349.28000000009</v>
      </c>
      <c r="M11" s="119">
        <f t="shared" si="5"/>
        <v>11544</v>
      </c>
      <c r="N11" s="123">
        <f>'Odometro-Kilometraje'!B88</f>
        <v>4981</v>
      </c>
      <c r="O11" s="21">
        <f>(W11/N11)*100</f>
        <v>98.711503714113647</v>
      </c>
      <c r="P11" s="192"/>
      <c r="Q11" s="181"/>
      <c r="R11" s="181"/>
      <c r="S11" s="181"/>
      <c r="T11" s="181"/>
      <c r="U11" s="181"/>
      <c r="V11" s="181"/>
      <c r="W11" s="193">
        <f>SUM(W5:W10)</f>
        <v>4916.8200000000006</v>
      </c>
      <c r="X11" s="193">
        <f>SUM(X5:X10)</f>
        <v>4916.8200000000006</v>
      </c>
      <c r="AA11" s="172"/>
    </row>
    <row r="12" spans="1:34" x14ac:dyDescent="0.25">
      <c r="A12" s="60">
        <f>A5+1</f>
        <v>46144</v>
      </c>
      <c r="B12" s="116">
        <v>69</v>
      </c>
      <c r="C12" s="116">
        <v>3</v>
      </c>
      <c r="D12" s="147">
        <f>'Data Ocupacion'!F31</f>
        <v>69</v>
      </c>
      <c r="E12" s="147">
        <f>'Data Ocupacion'!G31</f>
        <v>3</v>
      </c>
      <c r="F12" s="116" t="s">
        <v>38</v>
      </c>
      <c r="G12" s="116">
        <f t="shared" ref="G12:G17" si="6">D12+E12*2</f>
        <v>75</v>
      </c>
      <c r="H12" s="116">
        <f>B12+C12*2</f>
        <v>75</v>
      </c>
      <c r="I12" s="116">
        <f t="shared" ref="I12:I17" si="7">D12+E12</f>
        <v>72</v>
      </c>
      <c r="J12" s="116">
        <f>G12*M$2</f>
        <v>3234.75</v>
      </c>
      <c r="K12" s="153">
        <f>I12*M$2</f>
        <v>3105.36</v>
      </c>
      <c r="L12" s="116">
        <f t="shared" ref="L12:L17" si="8">J12*104</f>
        <v>336414</v>
      </c>
      <c r="M12" s="116">
        <f t="shared" ref="M12:M17" si="9">I12*104</f>
        <v>7488</v>
      </c>
      <c r="N12" s="19"/>
      <c r="O12" s="19"/>
      <c r="P12" s="146"/>
      <c r="Q12" s="183"/>
      <c r="R12" s="183"/>
      <c r="S12" s="206"/>
      <c r="T12" s="285"/>
      <c r="U12" s="191"/>
      <c r="V12" s="228"/>
      <c r="W12" s="182">
        <f>J12-(Q12*($M$2-$K$1))-(R12*($M$2-$M$1))- (S12*($M$2-$I$2))+ (T12*($G$2))</f>
        <v>3234.75</v>
      </c>
      <c r="X12" s="182">
        <f>H12*$M$2</f>
        <v>3234.75</v>
      </c>
      <c r="Z12" s="124"/>
    </row>
    <row r="13" spans="1:34" ht="15" customHeight="1" x14ac:dyDescent="0.25">
      <c r="A13" s="202"/>
      <c r="B13" s="116">
        <v>75</v>
      </c>
      <c r="C13" s="116">
        <v>0</v>
      </c>
      <c r="D13" s="147">
        <f>'Data Ocupacion'!F32</f>
        <v>75</v>
      </c>
      <c r="E13" s="147">
        <f>'Data Ocupacion'!G32</f>
        <v>0</v>
      </c>
      <c r="F13" s="116" t="s">
        <v>52</v>
      </c>
      <c r="G13" s="116">
        <f t="shared" si="6"/>
        <v>75</v>
      </c>
      <c r="H13" s="116">
        <f t="shared" ref="H13:H17" si="10">B13+C13*2</f>
        <v>75</v>
      </c>
      <c r="I13" s="116">
        <f t="shared" si="7"/>
        <v>75</v>
      </c>
      <c r="J13" s="116">
        <f>G13*M$2</f>
        <v>3234.75</v>
      </c>
      <c r="K13" s="153">
        <f>I13*M$2</f>
        <v>3234.75</v>
      </c>
      <c r="L13" s="116">
        <f t="shared" si="8"/>
        <v>336414</v>
      </c>
      <c r="M13" s="116">
        <f t="shared" si="9"/>
        <v>7800</v>
      </c>
      <c r="N13" s="19"/>
      <c r="O13" s="19"/>
      <c r="P13" s="146"/>
      <c r="Q13" s="186"/>
      <c r="R13" s="186"/>
      <c r="S13" s="217"/>
      <c r="T13" s="183"/>
      <c r="U13" s="217"/>
      <c r="V13" s="229"/>
      <c r="W13" s="185">
        <f>J13-(T13*($M$2-$K$1)+(U13*($M$2-$M$1)))</f>
        <v>3234.75</v>
      </c>
      <c r="X13" s="182">
        <f>H13*$M$2</f>
        <v>3234.75</v>
      </c>
      <c r="Z13" s="124"/>
    </row>
    <row r="14" spans="1:34" ht="16.149999999999999" customHeight="1" x14ac:dyDescent="0.25">
      <c r="A14" s="202"/>
      <c r="B14" s="116">
        <v>0</v>
      </c>
      <c r="C14" s="116">
        <v>0</v>
      </c>
      <c r="D14" s="147">
        <f>'Data Ocupacion'!F33</f>
        <v>0</v>
      </c>
      <c r="E14" s="147">
        <f>'Data Ocupacion'!G33</f>
        <v>0</v>
      </c>
      <c r="F14" s="116" t="s">
        <v>36</v>
      </c>
      <c r="G14" s="116">
        <f t="shared" si="6"/>
        <v>0</v>
      </c>
      <c r="H14" s="116">
        <f t="shared" si="10"/>
        <v>0</v>
      </c>
      <c r="I14" s="116">
        <f t="shared" si="7"/>
        <v>0</v>
      </c>
      <c r="J14" s="116">
        <f>G14*M$1</f>
        <v>0</v>
      </c>
      <c r="K14" s="153">
        <f>I14*M$1</f>
        <v>0</v>
      </c>
      <c r="L14" s="116">
        <f t="shared" si="8"/>
        <v>0</v>
      </c>
      <c r="M14" s="116">
        <f t="shared" si="9"/>
        <v>0</v>
      </c>
      <c r="N14" s="19"/>
      <c r="O14" s="19"/>
      <c r="P14" s="146"/>
      <c r="Q14" s="244"/>
      <c r="R14" s="190"/>
      <c r="S14" s="228"/>
      <c r="T14" s="186"/>
      <c r="U14" s="189"/>
      <c r="V14" s="189"/>
      <c r="W14" s="182">
        <f>J14-(Q14*($M$1-$K$1))</f>
        <v>0</v>
      </c>
      <c r="X14" s="182">
        <f>H14*$M$1</f>
        <v>0</v>
      </c>
      <c r="Z14" s="124"/>
    </row>
    <row r="15" spans="1:34" ht="15" customHeight="1" x14ac:dyDescent="0.25">
      <c r="A15" s="202"/>
      <c r="B15" s="116">
        <v>0</v>
      </c>
      <c r="C15" s="116">
        <v>0</v>
      </c>
      <c r="D15" s="147">
        <f>'Data Ocupacion'!F34</f>
        <v>0</v>
      </c>
      <c r="E15" s="147">
        <f>'Data Ocupacion'!G34</f>
        <v>0</v>
      </c>
      <c r="F15" s="116" t="s">
        <v>53</v>
      </c>
      <c r="G15" s="116">
        <f t="shared" si="6"/>
        <v>0</v>
      </c>
      <c r="H15" s="116">
        <f t="shared" si="10"/>
        <v>0</v>
      </c>
      <c r="I15" s="116">
        <f t="shared" si="7"/>
        <v>0</v>
      </c>
      <c r="J15" s="116">
        <f>G15*M$1</f>
        <v>0</v>
      </c>
      <c r="K15" s="153">
        <f>I15*M$1</f>
        <v>0</v>
      </c>
      <c r="L15" s="116">
        <f t="shared" si="8"/>
        <v>0</v>
      </c>
      <c r="M15" s="116">
        <f t="shared" si="9"/>
        <v>0</v>
      </c>
      <c r="N15" s="165"/>
      <c r="O15" s="19"/>
      <c r="P15" s="146"/>
      <c r="Q15" s="189"/>
      <c r="R15" s="189"/>
      <c r="S15" s="189"/>
      <c r="T15" s="189"/>
      <c r="U15" s="189"/>
      <c r="V15" s="189"/>
      <c r="W15" s="182">
        <f>J15</f>
        <v>0</v>
      </c>
      <c r="X15" s="182">
        <f>H15*$M$1</f>
        <v>0</v>
      </c>
    </row>
    <row r="16" spans="1:34" s="124" customFormat="1" ht="15" customHeight="1" x14ac:dyDescent="0.25">
      <c r="A16" s="202"/>
      <c r="B16" s="116">
        <v>0</v>
      </c>
      <c r="C16" s="116">
        <v>0</v>
      </c>
      <c r="D16" s="147">
        <f>'Data Ocupacion'!F35</f>
        <v>0</v>
      </c>
      <c r="E16" s="147">
        <f>'Data Ocupacion'!G35</f>
        <v>0</v>
      </c>
      <c r="F16" s="116" t="s">
        <v>122</v>
      </c>
      <c r="G16" s="116">
        <f t="shared" si="6"/>
        <v>0</v>
      </c>
      <c r="H16" s="116">
        <f t="shared" si="10"/>
        <v>0</v>
      </c>
      <c r="I16" s="116">
        <f t="shared" si="7"/>
        <v>0</v>
      </c>
      <c r="J16" s="116">
        <f>G16*K$1</f>
        <v>0</v>
      </c>
      <c r="K16" s="153">
        <f>I16*K$1</f>
        <v>0</v>
      </c>
      <c r="L16" s="116">
        <f t="shared" si="8"/>
        <v>0</v>
      </c>
      <c r="M16" s="116">
        <f t="shared" si="9"/>
        <v>0</v>
      </c>
      <c r="N16" s="165"/>
      <c r="O16" s="19"/>
      <c r="P16" s="146"/>
      <c r="Q16" s="189"/>
      <c r="R16" s="189"/>
      <c r="S16" s="189"/>
      <c r="T16" s="189"/>
      <c r="U16" s="189"/>
      <c r="V16" s="189"/>
      <c r="W16" s="182">
        <f>J16</f>
        <v>0</v>
      </c>
      <c r="X16" s="182">
        <f>H16*$K$1</f>
        <v>0</v>
      </c>
    </row>
    <row r="17" spans="1:24" s="124" customFormat="1" ht="15" customHeight="1" thickBot="1" x14ac:dyDescent="0.3">
      <c r="A17" s="202"/>
      <c r="B17" s="116">
        <v>0</v>
      </c>
      <c r="C17" s="116">
        <v>0</v>
      </c>
      <c r="D17" s="147">
        <f>'Data Ocupacion'!F36</f>
        <v>0</v>
      </c>
      <c r="E17" s="147">
        <f>'Data Ocupacion'!G36</f>
        <v>0</v>
      </c>
      <c r="F17" s="116" t="s">
        <v>35</v>
      </c>
      <c r="G17" s="116">
        <f t="shared" si="6"/>
        <v>0</v>
      </c>
      <c r="H17" s="116">
        <f t="shared" si="10"/>
        <v>0</v>
      </c>
      <c r="I17" s="116">
        <f t="shared" si="7"/>
        <v>0</v>
      </c>
      <c r="J17" s="116">
        <f>G17*K$1</f>
        <v>0</v>
      </c>
      <c r="K17" s="153">
        <f>I17*K$1</f>
        <v>0</v>
      </c>
      <c r="L17" s="116">
        <f t="shared" si="8"/>
        <v>0</v>
      </c>
      <c r="M17" s="116">
        <f t="shared" si="9"/>
        <v>0</v>
      </c>
      <c r="N17" s="19"/>
      <c r="O17" s="19"/>
      <c r="P17" s="146"/>
      <c r="Q17" s="189"/>
      <c r="R17" s="189"/>
      <c r="S17" s="189"/>
      <c r="T17" s="189"/>
      <c r="U17" s="189"/>
      <c r="V17" s="189"/>
      <c r="W17" s="182">
        <f>J17</f>
        <v>0</v>
      </c>
      <c r="X17" s="182">
        <f>H17*$K$1</f>
        <v>0</v>
      </c>
    </row>
    <row r="18" spans="1:24" ht="15.75" thickBot="1" x14ac:dyDescent="0.3">
      <c r="A18" s="20"/>
      <c r="B18" s="119">
        <f>SUM(B12:B17)</f>
        <v>144</v>
      </c>
      <c r="C18" s="119">
        <f>SUM(C12:C17)</f>
        <v>3</v>
      </c>
      <c r="D18" s="148">
        <f>SUM(D12:D17)</f>
        <v>144</v>
      </c>
      <c r="E18" s="148">
        <f>SUM(E12:E17)</f>
        <v>3</v>
      </c>
      <c r="F18" s="119"/>
      <c r="G18" s="119">
        <f t="shared" ref="G18:M18" si="11">SUM(G12:G17)</f>
        <v>150</v>
      </c>
      <c r="H18" s="119">
        <f t="shared" si="11"/>
        <v>150</v>
      </c>
      <c r="I18" s="119">
        <f t="shared" si="11"/>
        <v>147</v>
      </c>
      <c r="J18" s="119">
        <f t="shared" si="11"/>
        <v>6469.5</v>
      </c>
      <c r="K18" s="119">
        <f t="shared" si="11"/>
        <v>6340.1100000000006</v>
      </c>
      <c r="L18" s="119">
        <f t="shared" si="11"/>
        <v>672828</v>
      </c>
      <c r="M18" s="119">
        <f t="shared" si="11"/>
        <v>15288</v>
      </c>
      <c r="N18" s="123">
        <f>'Odometro-Kilometraje'!C88</f>
        <v>6486</v>
      </c>
      <c r="O18" s="21">
        <f>(W18/N18)*100</f>
        <v>99.745605920444035</v>
      </c>
      <c r="P18" s="192"/>
      <c r="Q18" s="181"/>
      <c r="R18" s="181"/>
      <c r="S18" s="181"/>
      <c r="T18" s="181"/>
      <c r="U18" s="181"/>
      <c r="V18" s="181"/>
      <c r="W18" s="193">
        <f>SUM(W12:W17)</f>
        <v>6469.5</v>
      </c>
      <c r="X18" s="193">
        <f>SUM(X12:X17)</f>
        <v>6469.5</v>
      </c>
    </row>
    <row r="19" spans="1:24" x14ac:dyDescent="0.25">
      <c r="A19" s="60">
        <f>A12+1</f>
        <v>46145</v>
      </c>
      <c r="B19" s="218">
        <v>51</v>
      </c>
      <c r="C19" s="218">
        <v>3</v>
      </c>
      <c r="D19" s="138">
        <f>'Data Ocupacion'!H31</f>
        <v>51</v>
      </c>
      <c r="E19" s="138">
        <f>'Data Ocupacion'!I31</f>
        <v>3</v>
      </c>
      <c r="F19" s="218" t="s">
        <v>38</v>
      </c>
      <c r="G19" s="218">
        <f t="shared" ref="G19:G24" si="12">D19+E19*2</f>
        <v>57</v>
      </c>
      <c r="H19" s="218">
        <f>B19+C19*2</f>
        <v>57</v>
      </c>
      <c r="I19" s="218">
        <f t="shared" ref="I19:I24" si="13">D19+E19</f>
        <v>54</v>
      </c>
      <c r="J19" s="218">
        <f>G19*M$2</f>
        <v>2458.4100000000003</v>
      </c>
      <c r="K19" s="153">
        <f>I19*M$2</f>
        <v>2329.02</v>
      </c>
      <c r="L19" s="218">
        <f t="shared" ref="L19:L24" si="14">J19*104</f>
        <v>255674.64000000004</v>
      </c>
      <c r="M19" s="218">
        <f t="shared" ref="M19:M24" si="15">I19*104</f>
        <v>5616</v>
      </c>
      <c r="N19" s="19"/>
      <c r="O19" s="19"/>
      <c r="P19" s="146"/>
      <c r="Q19" s="183"/>
      <c r="R19" s="183"/>
      <c r="S19" s="206"/>
      <c r="T19" s="285"/>
      <c r="U19" s="191"/>
      <c r="V19" s="228"/>
      <c r="W19" s="182">
        <f>J19-(Q19*($M$2-$K$1))-(R19*($M$2-$M$1))- (S19*($M$2-$I$2))+ (T19*($G$2))</f>
        <v>2458.4100000000003</v>
      </c>
      <c r="X19" s="182">
        <f>H19*$M$2</f>
        <v>2458.4100000000003</v>
      </c>
    </row>
    <row r="20" spans="1:24" ht="16.149999999999999" customHeight="1" x14ac:dyDescent="0.25">
      <c r="A20" s="202"/>
      <c r="B20" s="218">
        <v>57</v>
      </c>
      <c r="C20" s="218">
        <v>0</v>
      </c>
      <c r="D20" s="138">
        <f>'Data Ocupacion'!H32</f>
        <v>57</v>
      </c>
      <c r="E20" s="138">
        <f>'Data Ocupacion'!I32</f>
        <v>0</v>
      </c>
      <c r="F20" s="218" t="s">
        <v>52</v>
      </c>
      <c r="G20" s="218">
        <f t="shared" si="12"/>
        <v>57</v>
      </c>
      <c r="H20" s="218">
        <f t="shared" ref="H20:H24" si="16">B20+C20*2</f>
        <v>57</v>
      </c>
      <c r="I20" s="218">
        <f t="shared" si="13"/>
        <v>57</v>
      </c>
      <c r="J20" s="218">
        <f>G20*M$2</f>
        <v>2458.4100000000003</v>
      </c>
      <c r="K20" s="153">
        <f>I20*M$2</f>
        <v>2458.4100000000003</v>
      </c>
      <c r="L20" s="218">
        <f t="shared" si="14"/>
        <v>255674.64000000004</v>
      </c>
      <c r="M20" s="218">
        <f t="shared" si="15"/>
        <v>5928</v>
      </c>
      <c r="N20" s="19"/>
      <c r="O20" s="19"/>
      <c r="P20" s="146"/>
      <c r="Q20" s="186"/>
      <c r="R20" s="186"/>
      <c r="S20" s="217"/>
      <c r="T20" s="183"/>
      <c r="U20" s="217"/>
      <c r="V20" s="229"/>
      <c r="W20" s="185">
        <f>J20-(T20*($M$2-$K$1)+(U20*($M$2-$M$1)))</f>
        <v>2458.4100000000003</v>
      </c>
      <c r="X20" s="182">
        <f>H20*$M$2</f>
        <v>2458.4100000000003</v>
      </c>
    </row>
    <row r="21" spans="1:24" ht="15" customHeight="1" x14ac:dyDescent="0.25">
      <c r="A21" s="202"/>
      <c r="B21" s="218">
        <v>0</v>
      </c>
      <c r="C21" s="218">
        <v>0</v>
      </c>
      <c r="D21" s="138">
        <f>'Data Ocupacion'!H33</f>
        <v>0</v>
      </c>
      <c r="E21" s="138">
        <f>'Data Ocupacion'!I33</f>
        <v>0</v>
      </c>
      <c r="F21" s="218" t="s">
        <v>36</v>
      </c>
      <c r="G21" s="218">
        <f t="shared" si="12"/>
        <v>0</v>
      </c>
      <c r="H21" s="218">
        <f t="shared" si="16"/>
        <v>0</v>
      </c>
      <c r="I21" s="218">
        <f t="shared" si="13"/>
        <v>0</v>
      </c>
      <c r="J21" s="218">
        <f>G21*M$1</f>
        <v>0</v>
      </c>
      <c r="K21" s="153">
        <f>I21*M$1</f>
        <v>0</v>
      </c>
      <c r="L21" s="218">
        <f t="shared" si="14"/>
        <v>0</v>
      </c>
      <c r="M21" s="218">
        <f t="shared" si="15"/>
        <v>0</v>
      </c>
      <c r="N21" s="19"/>
      <c r="O21" s="19"/>
      <c r="P21" s="146"/>
      <c r="Q21" s="244"/>
      <c r="R21" s="190"/>
      <c r="S21" s="228"/>
      <c r="T21" s="186"/>
      <c r="U21" s="189"/>
      <c r="V21" s="189"/>
      <c r="W21" s="182">
        <f>J21-(Q21*($M$1-$K$1))</f>
        <v>0</v>
      </c>
      <c r="X21" s="182">
        <f>H21*$M$1</f>
        <v>0</v>
      </c>
    </row>
    <row r="22" spans="1:24" ht="15" customHeight="1" x14ac:dyDescent="0.25">
      <c r="A22" s="202"/>
      <c r="B22" s="218">
        <v>0</v>
      </c>
      <c r="C22" s="218">
        <v>0</v>
      </c>
      <c r="D22" s="138">
        <f>'Data Ocupacion'!H34</f>
        <v>0</v>
      </c>
      <c r="E22" s="138">
        <f>'Data Ocupacion'!I34</f>
        <v>0</v>
      </c>
      <c r="F22" s="218" t="s">
        <v>53</v>
      </c>
      <c r="G22" s="218">
        <f t="shared" si="12"/>
        <v>0</v>
      </c>
      <c r="H22" s="218">
        <f t="shared" si="16"/>
        <v>0</v>
      </c>
      <c r="I22" s="218">
        <f t="shared" si="13"/>
        <v>0</v>
      </c>
      <c r="J22" s="218">
        <f>G22*M$1</f>
        <v>0</v>
      </c>
      <c r="K22" s="153">
        <f>I22*M$1</f>
        <v>0</v>
      </c>
      <c r="L22" s="218">
        <f t="shared" si="14"/>
        <v>0</v>
      </c>
      <c r="M22" s="218">
        <f t="shared" si="15"/>
        <v>0</v>
      </c>
      <c r="N22" s="19"/>
      <c r="O22" s="19"/>
      <c r="P22" s="146"/>
      <c r="Q22" s="189"/>
      <c r="R22" s="189"/>
      <c r="S22" s="189"/>
      <c r="T22" s="189"/>
      <c r="U22" s="189"/>
      <c r="V22" s="189"/>
      <c r="W22" s="182">
        <f>J22</f>
        <v>0</v>
      </c>
      <c r="X22" s="182">
        <f>H22*$M$1</f>
        <v>0</v>
      </c>
    </row>
    <row r="23" spans="1:24" s="124" customFormat="1" ht="15" customHeight="1" x14ac:dyDescent="0.25">
      <c r="A23" s="202"/>
      <c r="B23" s="218">
        <v>0</v>
      </c>
      <c r="C23" s="218">
        <v>0</v>
      </c>
      <c r="D23" s="138">
        <f>'Data Ocupacion'!H35</f>
        <v>0</v>
      </c>
      <c r="E23" s="138">
        <f>'Data Ocupacion'!I35</f>
        <v>0</v>
      </c>
      <c r="F23" s="218" t="s">
        <v>122</v>
      </c>
      <c r="G23" s="218">
        <f t="shared" si="12"/>
        <v>0</v>
      </c>
      <c r="H23" s="218">
        <f t="shared" si="16"/>
        <v>0</v>
      </c>
      <c r="I23" s="218">
        <f t="shared" si="13"/>
        <v>0</v>
      </c>
      <c r="J23" s="218">
        <f>G23*K$1</f>
        <v>0</v>
      </c>
      <c r="K23" s="153">
        <f>I23*K$1</f>
        <v>0</v>
      </c>
      <c r="L23" s="218">
        <f t="shared" si="14"/>
        <v>0</v>
      </c>
      <c r="M23" s="218">
        <f t="shared" si="15"/>
        <v>0</v>
      </c>
      <c r="N23" s="19"/>
      <c r="O23" s="19"/>
      <c r="P23" s="146"/>
      <c r="Q23" s="189"/>
      <c r="R23" s="189"/>
      <c r="S23" s="189"/>
      <c r="T23" s="189"/>
      <c r="U23" s="189"/>
      <c r="V23" s="189"/>
      <c r="W23" s="182">
        <f>J23</f>
        <v>0</v>
      </c>
      <c r="X23" s="182">
        <f>H23*$K$1</f>
        <v>0</v>
      </c>
    </row>
    <row r="24" spans="1:24" s="124" customFormat="1" ht="15" customHeight="1" thickBot="1" x14ac:dyDescent="0.3">
      <c r="A24" s="202"/>
      <c r="B24" s="218">
        <v>0</v>
      </c>
      <c r="C24" s="218">
        <v>0</v>
      </c>
      <c r="D24" s="138">
        <f>'Data Ocupacion'!H36</f>
        <v>0</v>
      </c>
      <c r="E24" s="138">
        <f>'Data Ocupacion'!I36</f>
        <v>0</v>
      </c>
      <c r="F24" s="218" t="s">
        <v>35</v>
      </c>
      <c r="G24" s="218">
        <f t="shared" si="12"/>
        <v>0</v>
      </c>
      <c r="H24" s="218">
        <f t="shared" si="16"/>
        <v>0</v>
      </c>
      <c r="I24" s="218">
        <f t="shared" si="13"/>
        <v>0</v>
      </c>
      <c r="J24" s="218">
        <f>G24*K$1</f>
        <v>0</v>
      </c>
      <c r="K24" s="153">
        <f>I24*K$1</f>
        <v>0</v>
      </c>
      <c r="L24" s="218">
        <f t="shared" si="14"/>
        <v>0</v>
      </c>
      <c r="M24" s="218">
        <f t="shared" si="15"/>
        <v>0</v>
      </c>
      <c r="N24" s="19"/>
      <c r="O24" s="19"/>
      <c r="P24" s="146"/>
      <c r="Q24" s="189"/>
      <c r="R24" s="189"/>
      <c r="S24" s="189"/>
      <c r="T24" s="189"/>
      <c r="U24" s="189"/>
      <c r="V24" s="189"/>
      <c r="W24" s="182">
        <f>J24</f>
        <v>0</v>
      </c>
      <c r="X24" s="182">
        <f>H24*$K$1</f>
        <v>0</v>
      </c>
    </row>
    <row r="25" spans="1:24" ht="16.149999999999999" customHeight="1" thickBot="1" x14ac:dyDescent="0.3">
      <c r="A25" s="20"/>
      <c r="B25" s="119">
        <f>SUM(B19:B24)</f>
        <v>108</v>
      </c>
      <c r="C25" s="119">
        <f>SUM(C19:C24)</f>
        <v>3</v>
      </c>
      <c r="D25" s="148">
        <f>SUM(D19:D24)</f>
        <v>108</v>
      </c>
      <c r="E25" s="148">
        <f>SUM(E19:E24)</f>
        <v>3</v>
      </c>
      <c r="F25" s="119"/>
      <c r="G25" s="119">
        <f t="shared" ref="G25:M25" si="17">SUM(G19:G24)</f>
        <v>114</v>
      </c>
      <c r="H25" s="119">
        <f t="shared" si="17"/>
        <v>114</v>
      </c>
      <c r="I25" s="119">
        <f t="shared" si="17"/>
        <v>111</v>
      </c>
      <c r="J25" s="119">
        <f t="shared" si="17"/>
        <v>4916.8200000000006</v>
      </c>
      <c r="K25" s="119">
        <f t="shared" si="17"/>
        <v>4787.43</v>
      </c>
      <c r="L25" s="119">
        <f t="shared" si="17"/>
        <v>511349.28000000009</v>
      </c>
      <c r="M25" s="119">
        <f t="shared" si="17"/>
        <v>11544</v>
      </c>
      <c r="N25" s="180">
        <f>'Odometro-Kilometraje'!D88</f>
        <v>4950</v>
      </c>
      <c r="O25" s="21">
        <f>(W25/N25)*100</f>
        <v>99.329696969696982</v>
      </c>
      <c r="P25" s="192"/>
      <c r="Q25" s="181"/>
      <c r="R25" s="181"/>
      <c r="S25" s="181"/>
      <c r="T25" s="181"/>
      <c r="U25" s="181"/>
      <c r="V25" s="181"/>
      <c r="W25" s="193">
        <f>SUM(W19:W24)</f>
        <v>4916.8200000000006</v>
      </c>
      <c r="X25" s="193">
        <f>SUM(X19:X24)</f>
        <v>4916.8200000000006</v>
      </c>
    </row>
    <row r="26" spans="1:24" x14ac:dyDescent="0.25">
      <c r="A26" s="60">
        <f>A19+1</f>
        <v>46146</v>
      </c>
      <c r="B26" s="295">
        <v>38</v>
      </c>
      <c r="C26" s="295">
        <v>41</v>
      </c>
      <c r="D26" s="126">
        <f>'Data Ocupacion'!J31</f>
        <v>38</v>
      </c>
      <c r="E26" s="126">
        <f>'Data Ocupacion'!K31</f>
        <v>41</v>
      </c>
      <c r="F26" s="125" t="s">
        <v>38</v>
      </c>
      <c r="G26" s="125">
        <f t="shared" ref="G26:G31" si="18">D26+E26*2</f>
        <v>120</v>
      </c>
      <c r="H26" s="125">
        <f>B26+C26*2</f>
        <v>120</v>
      </c>
      <c r="I26" s="125">
        <f t="shared" ref="I26:I31" si="19">D26+E26</f>
        <v>79</v>
      </c>
      <c r="J26" s="125">
        <f>G26*M$2</f>
        <v>5175.6000000000004</v>
      </c>
      <c r="K26" s="153">
        <f>I26*M$2</f>
        <v>3407.27</v>
      </c>
      <c r="L26" s="125">
        <f t="shared" ref="L26:L31" si="20">J26*104</f>
        <v>538262.4</v>
      </c>
      <c r="M26" s="125">
        <f t="shared" ref="M26:M31" si="21">I26*104</f>
        <v>8216</v>
      </c>
      <c r="N26" s="19"/>
      <c r="O26" s="19"/>
      <c r="P26" s="146"/>
      <c r="Q26" s="183">
        <v>3</v>
      </c>
      <c r="R26" s="183"/>
      <c r="S26" s="206"/>
      <c r="T26" s="285"/>
      <c r="U26" s="191"/>
      <c r="V26" s="228"/>
      <c r="W26" s="182">
        <f>J26-(Q26*($M$2-$K$1))-(R26*($M$2-$M$1))- (S26*($M$2-$I$2))+ (T26*($G$2))</f>
        <v>5122.4100000000008</v>
      </c>
      <c r="X26" s="182">
        <f>H26*$M$2</f>
        <v>5175.6000000000004</v>
      </c>
    </row>
    <row r="27" spans="1:24" ht="17.25" customHeight="1" x14ac:dyDescent="0.25">
      <c r="A27" s="360" t="s">
        <v>183</v>
      </c>
      <c r="B27" s="295">
        <v>36</v>
      </c>
      <c r="C27" s="295">
        <v>42</v>
      </c>
      <c r="D27" s="126">
        <f>'Data Ocupacion'!J32</f>
        <v>36</v>
      </c>
      <c r="E27" s="126">
        <f>'Data Ocupacion'!K32</f>
        <v>42</v>
      </c>
      <c r="F27" s="125" t="s">
        <v>52</v>
      </c>
      <c r="G27" s="125">
        <f t="shared" si="18"/>
        <v>120</v>
      </c>
      <c r="H27" s="125">
        <f t="shared" ref="H27:H31" si="22">B27+C27*2</f>
        <v>120</v>
      </c>
      <c r="I27" s="125">
        <f t="shared" si="19"/>
        <v>78</v>
      </c>
      <c r="J27" s="125">
        <f>G27*M$2</f>
        <v>5175.6000000000004</v>
      </c>
      <c r="K27" s="153">
        <f>I27*M$2</f>
        <v>3364.1400000000003</v>
      </c>
      <c r="L27" s="125">
        <f t="shared" si="20"/>
        <v>538262.4</v>
      </c>
      <c r="M27" s="125">
        <f t="shared" si="21"/>
        <v>8112</v>
      </c>
      <c r="N27" s="19"/>
      <c r="O27" s="19"/>
      <c r="P27" s="146"/>
      <c r="Q27" s="186"/>
      <c r="R27" s="186"/>
      <c r="S27" s="217"/>
      <c r="T27" s="183">
        <v>4</v>
      </c>
      <c r="U27" s="217"/>
      <c r="V27" s="229"/>
      <c r="W27" s="185">
        <f>J27-(T27*($M$2-$K$1)+(U27*($M$2-$M$1))+(V27*($M$2-$I$2)))</f>
        <v>5104.68</v>
      </c>
      <c r="X27" s="182">
        <f>H27*$M$2</f>
        <v>5175.6000000000004</v>
      </c>
    </row>
    <row r="28" spans="1:24" ht="15" customHeight="1" x14ac:dyDescent="0.25">
      <c r="A28" s="360"/>
      <c r="B28" s="295">
        <v>33</v>
      </c>
      <c r="C28" s="295">
        <v>3</v>
      </c>
      <c r="D28" s="126">
        <f>'Data Ocupacion'!J33</f>
        <v>33</v>
      </c>
      <c r="E28" s="126">
        <f>'Data Ocupacion'!K33</f>
        <v>2</v>
      </c>
      <c r="F28" s="125" t="s">
        <v>36</v>
      </c>
      <c r="G28" s="125">
        <f t="shared" si="18"/>
        <v>37</v>
      </c>
      <c r="H28" s="125">
        <f t="shared" si="22"/>
        <v>39</v>
      </c>
      <c r="I28" s="125">
        <f t="shared" si="19"/>
        <v>35</v>
      </c>
      <c r="J28" s="125">
        <f>G28*M$1</f>
        <v>1077.07</v>
      </c>
      <c r="K28" s="153">
        <f>I28*M$1</f>
        <v>1018.85</v>
      </c>
      <c r="L28" s="125">
        <f t="shared" si="20"/>
        <v>112015.28</v>
      </c>
      <c r="M28" s="125">
        <f t="shared" si="21"/>
        <v>3640</v>
      </c>
      <c r="N28" s="19"/>
      <c r="O28" s="19"/>
      <c r="P28" s="146"/>
      <c r="Q28" s="244">
        <v>1</v>
      </c>
      <c r="R28" s="190"/>
      <c r="S28" s="228"/>
      <c r="T28" s="186"/>
      <c r="U28" s="189"/>
      <c r="V28" s="189"/>
      <c r="W28" s="182">
        <f>J28-(Q28*($M$1-$K$1))</f>
        <v>1073.3599999999999</v>
      </c>
      <c r="X28" s="182">
        <f>H28*$M$1</f>
        <v>1135.29</v>
      </c>
    </row>
    <row r="29" spans="1:24" ht="15" customHeight="1" x14ac:dyDescent="0.25">
      <c r="A29" s="360"/>
      <c r="B29" s="295">
        <v>29</v>
      </c>
      <c r="C29" s="295">
        <v>3</v>
      </c>
      <c r="D29" s="126">
        <f>'Data Ocupacion'!J34</f>
        <v>29</v>
      </c>
      <c r="E29" s="126">
        <f>'Data Ocupacion'!K34</f>
        <v>2</v>
      </c>
      <c r="F29" s="125" t="s">
        <v>53</v>
      </c>
      <c r="G29" s="125">
        <f t="shared" si="18"/>
        <v>33</v>
      </c>
      <c r="H29" s="125">
        <f t="shared" si="22"/>
        <v>35</v>
      </c>
      <c r="I29" s="125">
        <f t="shared" si="19"/>
        <v>31</v>
      </c>
      <c r="J29" s="125">
        <f>G29*M$1</f>
        <v>960.63</v>
      </c>
      <c r="K29" s="153">
        <f>I29*M$1</f>
        <v>902.41</v>
      </c>
      <c r="L29" s="125">
        <f t="shared" si="20"/>
        <v>99905.52</v>
      </c>
      <c r="M29" s="125">
        <f t="shared" si="21"/>
        <v>3224</v>
      </c>
      <c r="N29" s="19"/>
      <c r="O29" s="19"/>
      <c r="P29" s="146"/>
      <c r="Q29" s="189"/>
      <c r="R29" s="189"/>
      <c r="S29" s="189"/>
      <c r="T29" s="189"/>
      <c r="U29" s="189"/>
      <c r="V29" s="189"/>
      <c r="W29" s="182">
        <f>J29</f>
        <v>960.63</v>
      </c>
      <c r="X29" s="182">
        <f>H29*$M$1</f>
        <v>1018.85</v>
      </c>
    </row>
    <row r="30" spans="1:24" s="124" customFormat="1" ht="15" customHeight="1" x14ac:dyDescent="0.25">
      <c r="A30" s="360"/>
      <c r="B30" s="295">
        <v>0</v>
      </c>
      <c r="C30" s="295">
        <v>0</v>
      </c>
      <c r="D30" s="126">
        <f>'Data Ocupacion'!J35</f>
        <v>0</v>
      </c>
      <c r="E30" s="126">
        <f>'Data Ocupacion'!K35</f>
        <v>0</v>
      </c>
      <c r="F30" s="125" t="s">
        <v>122</v>
      </c>
      <c r="G30" s="125">
        <f t="shared" si="18"/>
        <v>0</v>
      </c>
      <c r="H30" s="125">
        <f t="shared" si="22"/>
        <v>0</v>
      </c>
      <c r="I30" s="125">
        <f t="shared" si="19"/>
        <v>0</v>
      </c>
      <c r="J30" s="125">
        <f>G30*K$1</f>
        <v>0</v>
      </c>
      <c r="K30" s="153">
        <f>I30*K$1</f>
        <v>0</v>
      </c>
      <c r="L30" s="125">
        <f t="shared" si="20"/>
        <v>0</v>
      </c>
      <c r="M30" s="125">
        <f t="shared" si="21"/>
        <v>0</v>
      </c>
      <c r="N30" s="19"/>
      <c r="P30" s="146"/>
      <c r="Q30" s="189"/>
      <c r="R30" s="189"/>
      <c r="S30" s="189"/>
      <c r="T30" s="189"/>
      <c r="U30" s="189"/>
      <c r="V30" s="189"/>
      <c r="W30" s="182">
        <f>J30</f>
        <v>0</v>
      </c>
      <c r="X30" s="182">
        <f>H30*$K$1</f>
        <v>0</v>
      </c>
    </row>
    <row r="31" spans="1:24" ht="16.149999999999999" customHeight="1" thickBot="1" x14ac:dyDescent="0.3">
      <c r="A31" s="360"/>
      <c r="B31" s="295">
        <v>4</v>
      </c>
      <c r="C31" s="295">
        <v>0</v>
      </c>
      <c r="D31" s="254">
        <f>'Data Ocupacion'!J36</f>
        <v>4</v>
      </c>
      <c r="E31" s="126">
        <f>'Data Ocupacion'!K36</f>
        <v>0</v>
      </c>
      <c r="F31" s="125" t="s">
        <v>35</v>
      </c>
      <c r="G31" s="125">
        <f t="shared" si="18"/>
        <v>4</v>
      </c>
      <c r="H31" s="125">
        <f t="shared" si="22"/>
        <v>4</v>
      </c>
      <c r="I31" s="125">
        <f t="shared" si="19"/>
        <v>4</v>
      </c>
      <c r="J31" s="125">
        <f>G31*K$1</f>
        <v>101.6</v>
      </c>
      <c r="K31" s="153">
        <f>I31*K$1</f>
        <v>101.6</v>
      </c>
      <c r="L31" s="125">
        <f t="shared" si="20"/>
        <v>10566.4</v>
      </c>
      <c r="M31" s="125">
        <f t="shared" si="21"/>
        <v>416</v>
      </c>
      <c r="N31" s="19"/>
      <c r="P31" s="146"/>
      <c r="Q31" s="189"/>
      <c r="R31" s="189"/>
      <c r="S31" s="189"/>
      <c r="T31" s="189"/>
      <c r="U31" s="189"/>
      <c r="V31" s="189"/>
      <c r="W31" s="182">
        <f>J31</f>
        <v>101.6</v>
      </c>
      <c r="X31" s="182">
        <f>H31*$K$1</f>
        <v>101.6</v>
      </c>
    </row>
    <row r="32" spans="1:24" ht="15.75" thickBot="1" x14ac:dyDescent="0.3">
      <c r="A32" s="20"/>
      <c r="B32" s="119">
        <f>SUM(B26:B31)</f>
        <v>140</v>
      </c>
      <c r="C32" s="119">
        <f>SUM(C26:C31)</f>
        <v>89</v>
      </c>
      <c r="D32" s="152">
        <f>SUM(D26:D31)</f>
        <v>140</v>
      </c>
      <c r="E32" s="152">
        <f>SUM(E26:E31)</f>
        <v>87</v>
      </c>
      <c r="F32" s="119"/>
      <c r="G32" s="119">
        <f t="shared" ref="G32:M32" si="23">SUM(G26:G31)</f>
        <v>314</v>
      </c>
      <c r="H32" s="119">
        <f t="shared" si="23"/>
        <v>318</v>
      </c>
      <c r="I32" s="119">
        <f t="shared" si="23"/>
        <v>227</v>
      </c>
      <c r="J32" s="120">
        <f t="shared" si="23"/>
        <v>12490.5</v>
      </c>
      <c r="K32" s="119">
        <f t="shared" si="23"/>
        <v>8794.27</v>
      </c>
      <c r="L32" s="118">
        <f t="shared" si="23"/>
        <v>1299012</v>
      </c>
      <c r="M32" s="151">
        <f t="shared" si="23"/>
        <v>23608</v>
      </c>
      <c r="N32" s="123">
        <f>'Odometro-Kilometraje'!E88</f>
        <v>13049</v>
      </c>
      <c r="O32" s="21">
        <f>(W32/N32)*100</f>
        <v>94.740439880450609</v>
      </c>
      <c r="P32" s="192"/>
      <c r="Q32" s="181"/>
      <c r="R32" s="181"/>
      <c r="S32" s="181"/>
      <c r="T32" s="181"/>
      <c r="U32" s="181"/>
      <c r="V32" s="181"/>
      <c r="W32" s="193">
        <f>SUM(W26:W31)</f>
        <v>12362.68</v>
      </c>
      <c r="X32" s="193">
        <f>SUM(X26:X31)</f>
        <v>12606.940000000002</v>
      </c>
    </row>
    <row r="33" spans="1:32" x14ac:dyDescent="0.25">
      <c r="A33" s="60">
        <f>A26+1</f>
        <v>46147</v>
      </c>
      <c r="B33" s="295">
        <v>38</v>
      </c>
      <c r="C33" s="295">
        <v>41</v>
      </c>
      <c r="D33" s="126">
        <f>'Data Ocupacion'!L31</f>
        <v>38</v>
      </c>
      <c r="E33" s="126">
        <f>'Data Ocupacion'!M31</f>
        <v>41</v>
      </c>
      <c r="F33" s="125" t="s">
        <v>38</v>
      </c>
      <c r="G33" s="125">
        <f t="shared" ref="G33:G38" si="24">D33+E33*2</f>
        <v>120</v>
      </c>
      <c r="H33" s="125">
        <f>B33+C33*2</f>
        <v>120</v>
      </c>
      <c r="I33" s="125">
        <f t="shared" ref="I33:I38" si="25">D33+E33</f>
        <v>79</v>
      </c>
      <c r="J33" s="125">
        <f>G33*M$2</f>
        <v>5175.6000000000004</v>
      </c>
      <c r="K33" s="153">
        <f>I33*M$2</f>
        <v>3407.27</v>
      </c>
      <c r="L33" s="125">
        <f t="shared" ref="L33:L38" si="26">J33*104</f>
        <v>538262.4</v>
      </c>
      <c r="M33" s="125">
        <f t="shared" ref="M33:M38" si="27">I33*104</f>
        <v>8216</v>
      </c>
      <c r="N33" s="19"/>
      <c r="O33" s="19"/>
      <c r="P33" s="146"/>
      <c r="Q33" s="183">
        <v>2</v>
      </c>
      <c r="R33" s="183"/>
      <c r="S33" s="206"/>
      <c r="T33" s="285"/>
      <c r="U33" s="191"/>
      <c r="V33" s="228"/>
      <c r="W33" s="182">
        <f>J33-(Q33*($M$2-$K$1))-(R33*($M$2-$M$1))- (S33*($M$2-$I$2))+ (T33*($G$2))</f>
        <v>5140.1400000000003</v>
      </c>
      <c r="X33" s="182">
        <f>H33*$M$2</f>
        <v>5175.6000000000004</v>
      </c>
    </row>
    <row r="34" spans="1:32" ht="15" customHeight="1" x14ac:dyDescent="0.25">
      <c r="A34" s="253"/>
      <c r="B34" s="295">
        <v>36</v>
      </c>
      <c r="C34" s="295">
        <v>42</v>
      </c>
      <c r="D34" s="126">
        <f>'Data Ocupacion'!L32</f>
        <v>36</v>
      </c>
      <c r="E34" s="126">
        <f>'Data Ocupacion'!M32</f>
        <v>42</v>
      </c>
      <c r="F34" s="125" t="s">
        <v>52</v>
      </c>
      <c r="G34" s="125">
        <f t="shared" si="24"/>
        <v>120</v>
      </c>
      <c r="H34" s="125">
        <f t="shared" ref="H34:H38" si="28">B34+C34*2</f>
        <v>120</v>
      </c>
      <c r="I34" s="125">
        <f t="shared" si="25"/>
        <v>78</v>
      </c>
      <c r="J34" s="125">
        <f>G34*M$2</f>
        <v>5175.6000000000004</v>
      </c>
      <c r="K34" s="153">
        <f>I34*M$2</f>
        <v>3364.1400000000003</v>
      </c>
      <c r="L34" s="125">
        <f t="shared" si="26"/>
        <v>538262.4</v>
      </c>
      <c r="M34" s="125">
        <f t="shared" si="27"/>
        <v>8112</v>
      </c>
      <c r="N34" s="19"/>
      <c r="O34" s="19"/>
      <c r="P34" s="146"/>
      <c r="Q34" s="186"/>
      <c r="R34" s="186"/>
      <c r="S34" s="217"/>
      <c r="T34" s="183">
        <v>3</v>
      </c>
      <c r="U34" s="217"/>
      <c r="V34" s="229"/>
      <c r="W34" s="185">
        <f>J34-(T34*($M$2-$K$1)+(U34*($M$2-$M$1))+(V34*($M$2-$I$2)))</f>
        <v>5122.4100000000008</v>
      </c>
      <c r="X34" s="182">
        <f>H34*$M$2</f>
        <v>5175.6000000000004</v>
      </c>
    </row>
    <row r="35" spans="1:32" ht="15" customHeight="1" x14ac:dyDescent="0.25">
      <c r="A35" s="253"/>
      <c r="B35" s="295">
        <v>33</v>
      </c>
      <c r="C35" s="295">
        <v>3</v>
      </c>
      <c r="D35" s="126">
        <f>'Data Ocupacion'!L33</f>
        <v>34</v>
      </c>
      <c r="E35" s="126">
        <f>'Data Ocupacion'!M33</f>
        <v>2</v>
      </c>
      <c r="F35" s="125" t="s">
        <v>36</v>
      </c>
      <c r="G35" s="125">
        <f t="shared" si="24"/>
        <v>38</v>
      </c>
      <c r="H35" s="125">
        <f t="shared" si="28"/>
        <v>39</v>
      </c>
      <c r="I35" s="125">
        <f t="shared" si="25"/>
        <v>36</v>
      </c>
      <c r="J35" s="125">
        <f>G35*M$1</f>
        <v>1106.18</v>
      </c>
      <c r="K35" s="153">
        <f>I35*M$1</f>
        <v>1047.96</v>
      </c>
      <c r="L35" s="125">
        <f t="shared" si="26"/>
        <v>115042.72</v>
      </c>
      <c r="M35" s="125">
        <f t="shared" si="27"/>
        <v>3744</v>
      </c>
      <c r="N35" s="19"/>
      <c r="O35" s="19"/>
      <c r="P35" s="146"/>
      <c r="Q35" s="244">
        <v>2</v>
      </c>
      <c r="R35" s="244"/>
      <c r="S35" s="228"/>
      <c r="T35" s="186"/>
      <c r="U35" s="189"/>
      <c r="V35" s="189"/>
      <c r="W35" s="182">
        <f>J35-(Q35*($M$1-$K$1))</f>
        <v>1098.76</v>
      </c>
      <c r="X35" s="182">
        <f>H35*$M$1</f>
        <v>1135.29</v>
      </c>
    </row>
    <row r="36" spans="1:32" ht="15" customHeight="1" x14ac:dyDescent="0.25">
      <c r="A36" s="253"/>
      <c r="B36" s="295">
        <v>29</v>
      </c>
      <c r="C36" s="295">
        <v>3</v>
      </c>
      <c r="D36" s="126">
        <f>'Data Ocupacion'!L34</f>
        <v>30</v>
      </c>
      <c r="E36" s="126">
        <f>'Data Ocupacion'!M34</f>
        <v>2</v>
      </c>
      <c r="F36" s="125" t="s">
        <v>53</v>
      </c>
      <c r="G36" s="125">
        <f t="shared" si="24"/>
        <v>34</v>
      </c>
      <c r="H36" s="125">
        <f t="shared" si="28"/>
        <v>35</v>
      </c>
      <c r="I36" s="125">
        <f t="shared" si="25"/>
        <v>32</v>
      </c>
      <c r="J36" s="125">
        <f>G36*M$1</f>
        <v>989.74</v>
      </c>
      <c r="K36" s="153">
        <f>I36*M$1</f>
        <v>931.52</v>
      </c>
      <c r="L36" s="125">
        <f t="shared" si="26"/>
        <v>102932.96</v>
      </c>
      <c r="M36" s="125">
        <f t="shared" si="27"/>
        <v>3328</v>
      </c>
      <c r="N36" s="19"/>
      <c r="O36" s="19"/>
      <c r="P36" s="146"/>
      <c r="Q36" s="189"/>
      <c r="R36" s="189"/>
      <c r="S36" s="189"/>
      <c r="T36" s="189"/>
      <c r="U36" s="189"/>
      <c r="V36" s="189"/>
      <c r="W36" s="182">
        <f>J36</f>
        <v>989.74</v>
      </c>
      <c r="X36" s="182">
        <f>H36*$M$1</f>
        <v>1018.85</v>
      </c>
    </row>
    <row r="37" spans="1:32" s="124" customFormat="1" ht="15" customHeight="1" x14ac:dyDescent="0.25">
      <c r="A37" s="253"/>
      <c r="B37" s="295">
        <v>0</v>
      </c>
      <c r="C37" s="295">
        <v>0</v>
      </c>
      <c r="D37" s="126">
        <f>'Data Ocupacion'!L35</f>
        <v>0</v>
      </c>
      <c r="E37" s="126">
        <f>'Data Ocupacion'!M35</f>
        <v>0</v>
      </c>
      <c r="F37" s="125" t="s">
        <v>122</v>
      </c>
      <c r="G37" s="125">
        <f t="shared" si="24"/>
        <v>0</v>
      </c>
      <c r="H37" s="125">
        <f t="shared" si="28"/>
        <v>0</v>
      </c>
      <c r="I37" s="125">
        <f t="shared" si="25"/>
        <v>0</v>
      </c>
      <c r="J37" s="125">
        <f>G37*K$1</f>
        <v>0</v>
      </c>
      <c r="K37" s="153">
        <f>I37*K$1</f>
        <v>0</v>
      </c>
      <c r="L37" s="125">
        <f t="shared" si="26"/>
        <v>0</v>
      </c>
      <c r="M37" s="125">
        <f t="shared" si="27"/>
        <v>0</v>
      </c>
      <c r="N37" s="19"/>
      <c r="O37" s="19"/>
      <c r="P37" s="146"/>
      <c r="Q37" s="189"/>
      <c r="R37" s="189"/>
      <c r="S37" s="189"/>
      <c r="T37" s="189"/>
      <c r="U37" s="189"/>
      <c r="V37" s="189"/>
      <c r="W37" s="182">
        <f>J37</f>
        <v>0</v>
      </c>
      <c r="X37" s="182">
        <f>H37*$K$1</f>
        <v>0</v>
      </c>
    </row>
    <row r="38" spans="1:32" ht="16.149999999999999" customHeight="1" thickBot="1" x14ac:dyDescent="0.3">
      <c r="A38" s="253"/>
      <c r="B38" s="295">
        <v>4</v>
      </c>
      <c r="C38" s="295">
        <v>0</v>
      </c>
      <c r="D38" s="254">
        <f>'Data Ocupacion'!L36</f>
        <v>4</v>
      </c>
      <c r="E38" s="126">
        <f>'Data Ocupacion'!M36</f>
        <v>0</v>
      </c>
      <c r="F38" s="125" t="s">
        <v>35</v>
      </c>
      <c r="G38" s="125">
        <f t="shared" si="24"/>
        <v>4</v>
      </c>
      <c r="H38" s="125">
        <f t="shared" si="28"/>
        <v>4</v>
      </c>
      <c r="I38" s="125">
        <f t="shared" si="25"/>
        <v>4</v>
      </c>
      <c r="J38" s="125">
        <f>G38*K$1</f>
        <v>101.6</v>
      </c>
      <c r="K38" s="153">
        <f>I38*K$1</f>
        <v>101.6</v>
      </c>
      <c r="L38" s="125">
        <f t="shared" si="26"/>
        <v>10566.4</v>
      </c>
      <c r="M38" s="125">
        <f t="shared" si="27"/>
        <v>416</v>
      </c>
      <c r="N38" s="19"/>
      <c r="O38" s="19"/>
      <c r="P38" s="146"/>
      <c r="Q38" s="189"/>
      <c r="R38" s="189"/>
      <c r="S38" s="189"/>
      <c r="T38" s="189"/>
      <c r="U38" s="189"/>
      <c r="V38" s="189"/>
      <c r="W38" s="182">
        <f>J38</f>
        <v>101.6</v>
      </c>
      <c r="X38" s="182">
        <f>H38*$K$1</f>
        <v>101.6</v>
      </c>
    </row>
    <row r="39" spans="1:32" ht="15.75" thickBot="1" x14ac:dyDescent="0.3">
      <c r="A39" s="20"/>
      <c r="B39" s="119">
        <f>SUM(B33:B38)</f>
        <v>140</v>
      </c>
      <c r="C39" s="119">
        <f>SUM(C33:C38)</f>
        <v>89</v>
      </c>
      <c r="D39" s="152">
        <f>SUM(D33:D38)</f>
        <v>142</v>
      </c>
      <c r="E39" s="152">
        <f>SUM(E33:E38)</f>
        <v>87</v>
      </c>
      <c r="F39" s="119"/>
      <c r="G39" s="119">
        <f t="shared" ref="G39:M39" si="29">SUM(G33:G38)</f>
        <v>316</v>
      </c>
      <c r="H39" s="119">
        <f t="shared" si="29"/>
        <v>318</v>
      </c>
      <c r="I39" s="119">
        <f t="shared" si="29"/>
        <v>229</v>
      </c>
      <c r="J39" s="120">
        <f t="shared" si="29"/>
        <v>12548.720000000001</v>
      </c>
      <c r="K39" s="119">
        <f t="shared" si="29"/>
        <v>8852.49</v>
      </c>
      <c r="L39" s="118">
        <f t="shared" si="29"/>
        <v>1305066.8799999999</v>
      </c>
      <c r="M39" s="151">
        <f t="shared" si="29"/>
        <v>23816</v>
      </c>
      <c r="N39" s="123">
        <f>'Odometro-Kilometraje'!F88</f>
        <v>13112</v>
      </c>
      <c r="O39" s="21">
        <f>(W39/N39)*100</f>
        <v>94.971400244051267</v>
      </c>
      <c r="P39" s="192"/>
      <c r="Q39" s="181"/>
      <c r="R39" s="181"/>
      <c r="S39" s="181"/>
      <c r="T39" s="181"/>
      <c r="U39" s="181"/>
      <c r="V39" s="181"/>
      <c r="W39" s="193">
        <f>SUM(W33:W38)</f>
        <v>12452.650000000001</v>
      </c>
      <c r="X39" s="193">
        <f>SUM(X33:X38)</f>
        <v>12606.940000000002</v>
      </c>
    </row>
    <row r="40" spans="1:32" x14ac:dyDescent="0.25">
      <c r="A40" s="60">
        <f>A33+1</f>
        <v>46148</v>
      </c>
      <c r="B40" s="295">
        <v>38</v>
      </c>
      <c r="C40" s="295">
        <v>41</v>
      </c>
      <c r="D40" s="126">
        <f>'Data Ocupacion'!N31</f>
        <v>40</v>
      </c>
      <c r="E40" s="126">
        <f>'Data Ocupacion'!O31</f>
        <v>39</v>
      </c>
      <c r="F40" s="125" t="s">
        <v>38</v>
      </c>
      <c r="G40" s="125">
        <f t="shared" ref="G40:G45" si="30">D40+E40*2</f>
        <v>118</v>
      </c>
      <c r="H40" s="125">
        <f>B40+C40*2</f>
        <v>120</v>
      </c>
      <c r="I40" s="125">
        <f t="shared" ref="I40:I45" si="31">D40+E40</f>
        <v>79</v>
      </c>
      <c r="J40" s="125">
        <f>G40*M$2</f>
        <v>5089.34</v>
      </c>
      <c r="K40" s="153">
        <f>I40*M$2</f>
        <v>3407.27</v>
      </c>
      <c r="L40" s="125">
        <f t="shared" ref="L40:L45" si="32">J40*104</f>
        <v>529291.36</v>
      </c>
      <c r="M40" s="125">
        <f t="shared" ref="M40:M45" si="33">I40*104</f>
        <v>8216</v>
      </c>
      <c r="N40" s="19"/>
      <c r="O40" s="19"/>
      <c r="P40" s="146"/>
      <c r="Q40" s="183">
        <v>1</v>
      </c>
      <c r="R40" s="183"/>
      <c r="S40" s="206"/>
      <c r="T40" s="285"/>
      <c r="U40" s="191"/>
      <c r="V40" s="228"/>
      <c r="W40" s="182">
        <f>J40-(Q40*($M$2-$K$1))-(R40*($M$2-$M$1))- (S40*($M$2-$I$2))+ (T40*($G$2))</f>
        <v>5071.6100000000006</v>
      </c>
      <c r="X40" s="182">
        <f>H40*$M$2</f>
        <v>5175.6000000000004</v>
      </c>
    </row>
    <row r="41" spans="1:32" ht="15" customHeight="1" x14ac:dyDescent="0.25">
      <c r="A41" s="359" t="s">
        <v>184</v>
      </c>
      <c r="B41" s="295">
        <v>36</v>
      </c>
      <c r="C41" s="295">
        <v>42</v>
      </c>
      <c r="D41" s="126">
        <f>'Data Ocupacion'!N32</f>
        <v>36</v>
      </c>
      <c r="E41" s="126">
        <f>'Data Ocupacion'!O32</f>
        <v>42</v>
      </c>
      <c r="F41" s="125" t="s">
        <v>52</v>
      </c>
      <c r="G41" s="125">
        <f t="shared" si="30"/>
        <v>120</v>
      </c>
      <c r="H41" s="125">
        <f t="shared" ref="H41:H45" si="34">B41+C41*2</f>
        <v>120</v>
      </c>
      <c r="I41" s="125">
        <f t="shared" si="31"/>
        <v>78</v>
      </c>
      <c r="J41" s="125">
        <f>G41*M$2</f>
        <v>5175.6000000000004</v>
      </c>
      <c r="K41" s="153">
        <f>I41*M$2</f>
        <v>3364.1400000000003</v>
      </c>
      <c r="L41" s="125">
        <f t="shared" si="32"/>
        <v>538262.4</v>
      </c>
      <c r="M41" s="125">
        <f t="shared" si="33"/>
        <v>8112</v>
      </c>
      <c r="N41" s="19"/>
      <c r="O41" s="19"/>
      <c r="P41" s="146"/>
      <c r="Q41" s="186"/>
      <c r="R41" s="186"/>
      <c r="S41" s="217"/>
      <c r="T41" s="183">
        <v>2</v>
      </c>
      <c r="U41" s="217"/>
      <c r="V41" s="229"/>
      <c r="W41" s="185">
        <f>J41-(T41*($M$2-$K$1)+(U41*($M$2-$M$1)))</f>
        <v>5140.1400000000003</v>
      </c>
      <c r="X41" s="182">
        <f>H41*$M$2</f>
        <v>5175.6000000000004</v>
      </c>
    </row>
    <row r="42" spans="1:32" ht="15" customHeight="1" x14ac:dyDescent="0.25">
      <c r="A42" s="359"/>
      <c r="B42" s="295">
        <v>33</v>
      </c>
      <c r="C42" s="295">
        <v>3</v>
      </c>
      <c r="D42" s="126">
        <f>'Data Ocupacion'!N33</f>
        <v>33</v>
      </c>
      <c r="E42" s="126">
        <f>'Data Ocupacion'!O33</f>
        <v>3</v>
      </c>
      <c r="F42" s="125" t="s">
        <v>36</v>
      </c>
      <c r="G42" s="125">
        <f t="shared" si="30"/>
        <v>39</v>
      </c>
      <c r="H42" s="125">
        <f t="shared" si="34"/>
        <v>39</v>
      </c>
      <c r="I42" s="125">
        <f t="shared" si="31"/>
        <v>36</v>
      </c>
      <c r="J42" s="125">
        <f>G42*M$1</f>
        <v>1135.29</v>
      </c>
      <c r="K42" s="153">
        <f>I42*M$1</f>
        <v>1047.96</v>
      </c>
      <c r="L42" s="125">
        <f t="shared" si="32"/>
        <v>118070.16</v>
      </c>
      <c r="M42" s="125">
        <f t="shared" si="33"/>
        <v>3744</v>
      </c>
      <c r="N42" s="19"/>
      <c r="O42" s="19"/>
      <c r="P42" s="146"/>
      <c r="Q42" s="244">
        <v>3</v>
      </c>
      <c r="R42" s="190"/>
      <c r="S42" s="228"/>
      <c r="T42" s="186"/>
      <c r="U42" s="189"/>
      <c r="V42" s="189"/>
      <c r="W42" s="182">
        <f>J42-(Q42*($M$1-$K$1))</f>
        <v>1124.1599999999999</v>
      </c>
      <c r="X42" s="182">
        <f>H42*$M$1</f>
        <v>1135.29</v>
      </c>
      <c r="Z42" s="255"/>
      <c r="AA42" s="255"/>
      <c r="AB42" s="255"/>
      <c r="AC42" s="255"/>
      <c r="AD42" s="255"/>
      <c r="AE42" s="255"/>
      <c r="AF42" s="255"/>
    </row>
    <row r="43" spans="1:32" x14ac:dyDescent="0.25">
      <c r="A43" s="359"/>
      <c r="B43" s="295">
        <v>29</v>
      </c>
      <c r="C43" s="295">
        <v>3</v>
      </c>
      <c r="D43" s="126">
        <f>'Data Ocupacion'!N34</f>
        <v>27</v>
      </c>
      <c r="E43" s="126">
        <f>'Data Ocupacion'!O34</f>
        <v>3</v>
      </c>
      <c r="F43" s="125" t="s">
        <v>53</v>
      </c>
      <c r="G43" s="125">
        <f t="shared" si="30"/>
        <v>33</v>
      </c>
      <c r="H43" s="125">
        <f t="shared" si="34"/>
        <v>35</v>
      </c>
      <c r="I43" s="125">
        <f t="shared" si="31"/>
        <v>30</v>
      </c>
      <c r="J43" s="125">
        <f>G43*M$1</f>
        <v>960.63</v>
      </c>
      <c r="K43" s="153">
        <f>I43*M$1</f>
        <v>873.3</v>
      </c>
      <c r="L43" s="125">
        <f t="shared" si="32"/>
        <v>99905.52</v>
      </c>
      <c r="M43" s="125">
        <f t="shared" si="33"/>
        <v>3120</v>
      </c>
      <c r="N43" s="19"/>
      <c r="O43" s="19"/>
      <c r="P43" s="146"/>
      <c r="Q43" s="189"/>
      <c r="R43" s="189"/>
      <c r="S43" s="189"/>
      <c r="T43" s="189"/>
      <c r="U43" s="189"/>
      <c r="V43" s="189"/>
      <c r="W43" s="182">
        <f>J43</f>
        <v>960.63</v>
      </c>
      <c r="X43" s="182">
        <f>H43*$M$1</f>
        <v>1018.85</v>
      </c>
      <c r="Z43" s="255"/>
      <c r="AA43" s="255"/>
      <c r="AB43" s="255"/>
      <c r="AC43" s="255"/>
      <c r="AD43" s="255"/>
      <c r="AE43" s="255"/>
      <c r="AF43" s="255"/>
    </row>
    <row r="44" spans="1:32" s="124" customFormat="1" x14ac:dyDescent="0.25">
      <c r="A44" s="359"/>
      <c r="B44" s="295">
        <v>0</v>
      </c>
      <c r="C44" s="295">
        <v>0</v>
      </c>
      <c r="D44" s="126">
        <f>'Data Ocupacion'!N35</f>
        <v>0</v>
      </c>
      <c r="E44" s="126">
        <f>'Data Ocupacion'!O35</f>
        <v>0</v>
      </c>
      <c r="F44" s="125" t="s">
        <v>122</v>
      </c>
      <c r="G44" s="125">
        <f t="shared" si="30"/>
        <v>0</v>
      </c>
      <c r="H44" s="125">
        <f t="shared" si="34"/>
        <v>0</v>
      </c>
      <c r="I44" s="125">
        <f t="shared" si="31"/>
        <v>0</v>
      </c>
      <c r="J44" s="125">
        <f>G44*K$1</f>
        <v>0</v>
      </c>
      <c r="K44" s="153">
        <f>I44*K$1</f>
        <v>0</v>
      </c>
      <c r="L44" s="125">
        <f t="shared" si="32"/>
        <v>0</v>
      </c>
      <c r="M44" s="125">
        <f t="shared" si="33"/>
        <v>0</v>
      </c>
      <c r="N44" s="19"/>
      <c r="O44" s="19"/>
      <c r="P44" s="146"/>
      <c r="Q44" s="189"/>
      <c r="R44" s="189"/>
      <c r="S44" s="189"/>
      <c r="T44" s="189"/>
      <c r="U44" s="189"/>
      <c r="V44" s="189"/>
      <c r="W44" s="182">
        <f>J44</f>
        <v>0</v>
      </c>
      <c r="X44" s="182">
        <f>H44*$K$1</f>
        <v>0</v>
      </c>
      <c r="Z44" s="255"/>
      <c r="AA44" s="255"/>
      <c r="AB44" s="255"/>
      <c r="AC44" s="255"/>
      <c r="AD44" s="255"/>
      <c r="AE44" s="255"/>
      <c r="AF44" s="255"/>
    </row>
    <row r="45" spans="1:32" ht="15.75" thickBot="1" x14ac:dyDescent="0.3">
      <c r="A45" s="359"/>
      <c r="B45" s="295">
        <v>4</v>
      </c>
      <c r="C45" s="295">
        <v>0</v>
      </c>
      <c r="D45" s="254">
        <f>'Data Ocupacion'!N36</f>
        <v>4</v>
      </c>
      <c r="E45" s="126">
        <f>'Data Ocupacion'!O36</f>
        <v>0</v>
      </c>
      <c r="F45" s="125" t="s">
        <v>35</v>
      </c>
      <c r="G45" s="125">
        <f t="shared" si="30"/>
        <v>4</v>
      </c>
      <c r="H45" s="125">
        <f t="shared" si="34"/>
        <v>4</v>
      </c>
      <c r="I45" s="125">
        <f t="shared" si="31"/>
        <v>4</v>
      </c>
      <c r="J45" s="125">
        <f>G45*K$1</f>
        <v>101.6</v>
      </c>
      <c r="K45" s="153">
        <f>I45*K$1</f>
        <v>101.6</v>
      </c>
      <c r="L45" s="125">
        <f t="shared" si="32"/>
        <v>10566.4</v>
      </c>
      <c r="M45" s="125">
        <f t="shared" si="33"/>
        <v>416</v>
      </c>
      <c r="N45" s="19"/>
      <c r="O45" s="19"/>
      <c r="P45" s="146"/>
      <c r="Q45" s="189"/>
      <c r="R45" s="189"/>
      <c r="S45" s="189"/>
      <c r="T45" s="189"/>
      <c r="U45" s="189"/>
      <c r="V45" s="189"/>
      <c r="W45" s="182">
        <f>J45</f>
        <v>101.6</v>
      </c>
      <c r="X45" s="182">
        <f>H45*$K$1</f>
        <v>101.6</v>
      </c>
      <c r="Z45" s="255"/>
      <c r="AA45" s="255"/>
      <c r="AB45" s="255"/>
      <c r="AC45" s="255"/>
      <c r="AD45" s="255"/>
      <c r="AE45" s="255"/>
      <c r="AF45" s="255"/>
    </row>
    <row r="46" spans="1:32" ht="15.75" thickBot="1" x14ac:dyDescent="0.3">
      <c r="A46" s="200"/>
      <c r="B46" s="119">
        <f>SUM(B40:B45)</f>
        <v>140</v>
      </c>
      <c r="C46" s="119">
        <f>SUM(C40:C45)</f>
        <v>89</v>
      </c>
      <c r="D46" s="152">
        <f>SUM(D40:D45)</f>
        <v>140</v>
      </c>
      <c r="E46" s="152">
        <f>SUM(E40:E45)</f>
        <v>87</v>
      </c>
      <c r="F46" s="119"/>
      <c r="G46" s="119">
        <f t="shared" ref="G46:M46" si="35">SUM(G40:G45)</f>
        <v>314</v>
      </c>
      <c r="H46" s="119">
        <f t="shared" si="35"/>
        <v>318</v>
      </c>
      <c r="I46" s="119">
        <f t="shared" si="35"/>
        <v>227</v>
      </c>
      <c r="J46" s="120">
        <f t="shared" si="35"/>
        <v>12462.46</v>
      </c>
      <c r="K46" s="119">
        <f t="shared" si="35"/>
        <v>8794.27</v>
      </c>
      <c r="L46" s="118">
        <f t="shared" si="35"/>
        <v>1296095.8399999999</v>
      </c>
      <c r="M46" s="151">
        <f t="shared" si="35"/>
        <v>23608</v>
      </c>
      <c r="N46" s="123">
        <f>'Odometro-Kilometraje'!G88</f>
        <v>12650</v>
      </c>
      <c r="O46" s="21">
        <f>(W46/N46)*100</f>
        <v>98.009011857707506</v>
      </c>
      <c r="P46" s="192"/>
      <c r="Q46" s="181"/>
      <c r="R46" s="181"/>
      <c r="S46" s="181"/>
      <c r="T46" s="181"/>
      <c r="U46" s="181"/>
      <c r="V46" s="181"/>
      <c r="W46" s="193">
        <f>SUM(W40:W45)</f>
        <v>12398.14</v>
      </c>
      <c r="X46" s="193">
        <f>SUM(X40:X45)</f>
        <v>12606.940000000002</v>
      </c>
      <c r="Z46" s="255"/>
      <c r="AA46" s="255"/>
      <c r="AB46" s="255"/>
      <c r="AC46" s="255"/>
      <c r="AD46" s="255"/>
      <c r="AE46" s="255"/>
      <c r="AF46" s="255"/>
    </row>
    <row r="47" spans="1:32" x14ac:dyDescent="0.25">
      <c r="A47" s="60">
        <f>A40+1</f>
        <v>46149</v>
      </c>
      <c r="B47" s="295">
        <v>38</v>
      </c>
      <c r="C47" s="295">
        <v>41</v>
      </c>
      <c r="D47" s="126">
        <v>26</v>
      </c>
      <c r="E47" s="126">
        <v>44</v>
      </c>
      <c r="F47" s="125" t="s">
        <v>38</v>
      </c>
      <c r="G47" s="125">
        <f t="shared" ref="G47:G51" si="36">D47+E47*2</f>
        <v>114</v>
      </c>
      <c r="H47" s="125">
        <f>B47+C47*2</f>
        <v>120</v>
      </c>
      <c r="I47" s="125">
        <f t="shared" ref="I47:I56" si="37">D47+E47</f>
        <v>70</v>
      </c>
      <c r="J47" s="125">
        <f>G47*M$2</f>
        <v>4916.8200000000006</v>
      </c>
      <c r="K47" s="153">
        <f>I47*M$2</f>
        <v>3019.1000000000004</v>
      </c>
      <c r="L47" s="125">
        <f t="shared" ref="L47:L52" si="38">J47*104</f>
        <v>511349.28000000009</v>
      </c>
      <c r="M47" s="125">
        <f t="shared" ref="M47:M52" si="39">I47*104</f>
        <v>7280</v>
      </c>
      <c r="N47" s="19"/>
      <c r="O47" s="19"/>
      <c r="P47" s="146"/>
      <c r="Q47" s="183">
        <v>4</v>
      </c>
      <c r="R47" s="183"/>
      <c r="S47" s="206"/>
      <c r="T47" s="285"/>
      <c r="U47" s="191"/>
      <c r="V47" s="228"/>
      <c r="W47" s="182">
        <f>J47-(Q47*($M$2-$K$1))-(R47*($M$2-$M$1))- (S47*($M$2-$I$2))+ (T47*($G$2))</f>
        <v>4845.9000000000005</v>
      </c>
      <c r="X47" s="182">
        <f>H47*$M$2</f>
        <v>5175.6000000000004</v>
      </c>
      <c r="Z47" s="255"/>
      <c r="AA47" s="255"/>
      <c r="AB47" s="255"/>
      <c r="AC47" s="255"/>
      <c r="AD47" s="255"/>
      <c r="AE47" s="255"/>
      <c r="AF47" s="255"/>
    </row>
    <row r="48" spans="1:32" ht="15" customHeight="1" x14ac:dyDescent="0.25">
      <c r="A48" s="360" t="s">
        <v>185</v>
      </c>
      <c r="B48" s="295">
        <v>36</v>
      </c>
      <c r="C48" s="295">
        <v>42</v>
      </c>
      <c r="D48" s="126">
        <f>'Data Ocupacion'!P32</f>
        <v>22</v>
      </c>
      <c r="E48" s="126">
        <f>'Data Ocupacion'!Q32</f>
        <v>46</v>
      </c>
      <c r="F48" s="125" t="s">
        <v>52</v>
      </c>
      <c r="G48" s="125">
        <f t="shared" si="36"/>
        <v>114</v>
      </c>
      <c r="H48" s="125">
        <f t="shared" ref="H48:H52" si="40">B48+C48*2</f>
        <v>120</v>
      </c>
      <c r="I48" s="125">
        <f t="shared" si="37"/>
        <v>68</v>
      </c>
      <c r="J48" s="125">
        <f>G48*M$2</f>
        <v>4916.8200000000006</v>
      </c>
      <c r="K48" s="153">
        <f>I48*M$2</f>
        <v>2932.84</v>
      </c>
      <c r="L48" s="125">
        <f t="shared" si="38"/>
        <v>511349.28000000009</v>
      </c>
      <c r="M48" s="125">
        <f t="shared" si="39"/>
        <v>7072</v>
      </c>
      <c r="N48" s="19"/>
      <c r="O48" s="19"/>
      <c r="P48" s="146"/>
      <c r="Q48" s="186"/>
      <c r="R48" s="186"/>
      <c r="S48" s="217"/>
      <c r="T48" s="183">
        <v>3</v>
      </c>
      <c r="U48" s="217"/>
      <c r="V48" s="229"/>
      <c r="W48" s="185">
        <f>J48-(T48*($M$2-$K$1)+(U48*($M$2-$M$1)))</f>
        <v>4863.630000000001</v>
      </c>
      <c r="X48" s="182">
        <f>H48*$M$2</f>
        <v>5175.6000000000004</v>
      </c>
    </row>
    <row r="49" spans="1:65" ht="16.5" customHeight="1" x14ac:dyDescent="0.25">
      <c r="A49" s="360"/>
      <c r="B49" s="295">
        <v>33</v>
      </c>
      <c r="C49" s="295">
        <v>3</v>
      </c>
      <c r="D49" s="126">
        <v>22</v>
      </c>
      <c r="E49" s="126">
        <v>2</v>
      </c>
      <c r="F49" s="125" t="s">
        <v>36</v>
      </c>
      <c r="G49" s="125">
        <f t="shared" si="36"/>
        <v>26</v>
      </c>
      <c r="H49" s="125">
        <f t="shared" si="40"/>
        <v>39</v>
      </c>
      <c r="I49" s="125">
        <f t="shared" si="37"/>
        <v>24</v>
      </c>
      <c r="J49" s="125">
        <f>G49*M$1</f>
        <v>756.86</v>
      </c>
      <c r="K49" s="153">
        <f>I49*M$1</f>
        <v>698.64</v>
      </c>
      <c r="L49" s="125">
        <f t="shared" si="38"/>
        <v>78713.440000000002</v>
      </c>
      <c r="M49" s="125">
        <f t="shared" si="39"/>
        <v>2496</v>
      </c>
      <c r="N49" s="19"/>
      <c r="O49" s="19"/>
      <c r="P49" s="146"/>
      <c r="Q49" s="183">
        <v>2</v>
      </c>
      <c r="R49" s="190"/>
      <c r="S49" s="228"/>
      <c r="T49" s="186"/>
      <c r="U49" s="189"/>
      <c r="V49" s="189"/>
      <c r="W49" s="182">
        <f>J49-(Q49*($M$1-$K$1))</f>
        <v>749.44</v>
      </c>
      <c r="X49" s="182">
        <f>H49*$M$1</f>
        <v>1135.29</v>
      </c>
    </row>
    <row r="50" spans="1:65" x14ac:dyDescent="0.25">
      <c r="A50" s="360"/>
      <c r="B50" s="295">
        <v>29</v>
      </c>
      <c r="C50" s="295">
        <v>3</v>
      </c>
      <c r="D50" s="126">
        <v>24</v>
      </c>
      <c r="E50" s="126">
        <v>2</v>
      </c>
      <c r="F50" s="125" t="s">
        <v>53</v>
      </c>
      <c r="G50" s="125">
        <f t="shared" si="36"/>
        <v>28</v>
      </c>
      <c r="H50" s="125">
        <f t="shared" si="40"/>
        <v>35</v>
      </c>
      <c r="I50" s="125">
        <f t="shared" si="37"/>
        <v>26</v>
      </c>
      <c r="J50" s="125">
        <f>G50*M$1</f>
        <v>815.07999999999993</v>
      </c>
      <c r="K50" s="153">
        <f>I50*M$1</f>
        <v>756.86</v>
      </c>
      <c r="L50" s="125">
        <f t="shared" si="38"/>
        <v>84768.319999999992</v>
      </c>
      <c r="M50" s="125">
        <f t="shared" si="39"/>
        <v>2704</v>
      </c>
      <c r="N50" s="19"/>
      <c r="O50" s="19"/>
      <c r="P50" s="146"/>
      <c r="Q50" s="189"/>
      <c r="R50" s="189"/>
      <c r="S50" s="189"/>
      <c r="T50" s="189"/>
      <c r="U50" s="189"/>
      <c r="V50" s="189"/>
      <c r="W50" s="182">
        <f>J50-0.72-25.4</f>
        <v>788.95999999999992</v>
      </c>
      <c r="X50" s="182">
        <f>H50*$M$1</f>
        <v>1018.85</v>
      </c>
    </row>
    <row r="51" spans="1:65" s="124" customFormat="1" x14ac:dyDescent="0.25">
      <c r="A51" s="360"/>
      <c r="B51" s="295">
        <v>0</v>
      </c>
      <c r="C51" s="295">
        <v>0</v>
      </c>
      <c r="D51" s="126">
        <v>1</v>
      </c>
      <c r="E51" s="126">
        <f>'Data Ocupacion'!Q35</f>
        <v>0</v>
      </c>
      <c r="F51" s="125" t="s">
        <v>122</v>
      </c>
      <c r="G51" s="125">
        <f t="shared" si="36"/>
        <v>1</v>
      </c>
      <c r="H51" s="125">
        <f t="shared" si="40"/>
        <v>0</v>
      </c>
      <c r="I51" s="125">
        <f t="shared" si="37"/>
        <v>1</v>
      </c>
      <c r="J51" s="125">
        <f>G51*K$1</f>
        <v>25.4</v>
      </c>
      <c r="K51" s="153">
        <f>I51*K$1</f>
        <v>25.4</v>
      </c>
      <c r="L51" s="125">
        <f t="shared" si="38"/>
        <v>2641.6</v>
      </c>
      <c r="M51" s="125">
        <f t="shared" si="39"/>
        <v>104</v>
      </c>
      <c r="N51" s="19"/>
      <c r="O51" s="19"/>
      <c r="P51" s="146"/>
      <c r="Q51" s="189"/>
      <c r="R51" s="189"/>
      <c r="S51" s="189"/>
      <c r="T51" s="189"/>
      <c r="U51" s="189"/>
      <c r="V51" s="189"/>
      <c r="W51" s="182">
        <f>J51</f>
        <v>25.4</v>
      </c>
      <c r="X51" s="182">
        <f>H51*$K$1</f>
        <v>0</v>
      </c>
    </row>
    <row r="52" spans="1:65" x14ac:dyDescent="0.25">
      <c r="A52" s="360"/>
      <c r="B52" s="295">
        <v>4</v>
      </c>
      <c r="C52" s="295">
        <v>0</v>
      </c>
      <c r="D52" s="254">
        <f>'Data Ocupacion'!P36</f>
        <v>4</v>
      </c>
      <c r="E52" s="126">
        <f>'Data Ocupacion'!Q36</f>
        <v>0</v>
      </c>
      <c r="F52" s="125" t="s">
        <v>35</v>
      </c>
      <c r="G52" s="125">
        <f>D52+E52*2</f>
        <v>4</v>
      </c>
      <c r="H52" s="125">
        <f t="shared" si="40"/>
        <v>4</v>
      </c>
      <c r="I52" s="125">
        <f t="shared" si="37"/>
        <v>4</v>
      </c>
      <c r="J52" s="125">
        <f>G52*K$1</f>
        <v>101.6</v>
      </c>
      <c r="K52" s="153">
        <f>I52*K$1</f>
        <v>101.6</v>
      </c>
      <c r="L52" s="125">
        <f t="shared" si="38"/>
        <v>10566.4</v>
      </c>
      <c r="M52" s="125">
        <f t="shared" si="39"/>
        <v>416</v>
      </c>
      <c r="N52" s="19"/>
      <c r="O52" s="19"/>
      <c r="P52" s="146"/>
      <c r="Q52" s="189"/>
      <c r="R52" s="189"/>
      <c r="S52" s="189"/>
      <c r="T52" s="189"/>
      <c r="U52" s="189"/>
      <c r="V52" s="189"/>
      <c r="W52" s="182">
        <f>J52</f>
        <v>101.6</v>
      </c>
      <c r="X52" s="182">
        <f>H52*$K$1</f>
        <v>101.6</v>
      </c>
    </row>
    <row r="53" spans="1:65" s="124" customFormat="1" x14ac:dyDescent="0.25">
      <c r="A53" s="346"/>
      <c r="B53" s="295">
        <v>0</v>
      </c>
      <c r="C53" s="295">
        <v>0</v>
      </c>
      <c r="D53" s="348">
        <v>1</v>
      </c>
      <c r="E53" s="125">
        <v>0</v>
      </c>
      <c r="F53" s="125" t="s">
        <v>191</v>
      </c>
      <c r="G53" s="125">
        <f t="shared" ref="G53:G54" si="41">D53+E53*2</f>
        <v>1</v>
      </c>
      <c r="H53" s="125">
        <f t="shared" ref="H53:H54" si="42">B53+C53*2</f>
        <v>0</v>
      </c>
      <c r="I53" s="125">
        <f t="shared" ref="I53:I54" si="43">D53+E53</f>
        <v>1</v>
      </c>
      <c r="J53" s="125">
        <f>G53*X1</f>
        <v>11.71</v>
      </c>
      <c r="K53" s="153"/>
      <c r="L53" s="125"/>
      <c r="M53" s="125"/>
      <c r="N53" s="19"/>
      <c r="O53" s="19"/>
      <c r="P53" s="146"/>
      <c r="Q53" s="189"/>
      <c r="R53" s="189"/>
      <c r="S53" s="189"/>
      <c r="T53" s="189"/>
      <c r="U53" s="189"/>
      <c r="V53" s="189"/>
      <c r="W53" s="182">
        <f t="shared" ref="W53:W54" si="44">J53</f>
        <v>11.71</v>
      </c>
      <c r="X53" s="182">
        <f t="shared" ref="X53:X54" si="45">H53*$K$1</f>
        <v>0</v>
      </c>
    </row>
    <row r="54" spans="1:65" s="124" customFormat="1" ht="15.75" thickBot="1" x14ac:dyDescent="0.3">
      <c r="A54" s="346"/>
      <c r="B54" s="295">
        <v>0</v>
      </c>
      <c r="C54" s="295">
        <v>0</v>
      </c>
      <c r="D54" s="348">
        <v>1</v>
      </c>
      <c r="E54" s="125">
        <v>0</v>
      </c>
      <c r="F54" s="125" t="s">
        <v>192</v>
      </c>
      <c r="G54" s="125">
        <f t="shared" si="41"/>
        <v>1</v>
      </c>
      <c r="H54" s="125">
        <f t="shared" si="42"/>
        <v>0</v>
      </c>
      <c r="I54" s="125">
        <f t="shared" si="43"/>
        <v>1</v>
      </c>
      <c r="J54" s="125">
        <f>G54*AH2</f>
        <v>3.7100000000000009</v>
      </c>
      <c r="K54" s="153"/>
      <c r="L54" s="125"/>
      <c r="M54" s="125"/>
      <c r="N54" s="19"/>
      <c r="O54" s="19"/>
      <c r="P54" s="146"/>
      <c r="Q54" s="189"/>
      <c r="R54" s="189"/>
      <c r="S54" s="189"/>
      <c r="T54" s="189"/>
      <c r="U54" s="189"/>
      <c r="V54" s="189"/>
      <c r="W54" s="182">
        <f t="shared" si="44"/>
        <v>3.7100000000000009</v>
      </c>
      <c r="X54" s="182">
        <f t="shared" si="45"/>
        <v>0</v>
      </c>
    </row>
    <row r="55" spans="1:65" ht="18" customHeight="1" thickBot="1" x14ac:dyDescent="0.3">
      <c r="A55" s="20"/>
      <c r="B55" s="119">
        <f>SUM(B47:B52)</f>
        <v>140</v>
      </c>
      <c r="C55" s="119">
        <f>SUM(C47:C52)</f>
        <v>89</v>
      </c>
      <c r="D55" s="152">
        <f>SUM(D47:D52)</f>
        <v>99</v>
      </c>
      <c r="E55" s="152">
        <f>SUM(E47:E52)</f>
        <v>94</v>
      </c>
      <c r="F55" s="119"/>
      <c r="G55" s="119">
        <f>SUM(G47:G54)</f>
        <v>289</v>
      </c>
      <c r="H55" s="119">
        <f t="shared" ref="H55:I55" si="46">SUM(H47:H54)</f>
        <v>318</v>
      </c>
      <c r="I55" s="119">
        <f t="shared" si="46"/>
        <v>195</v>
      </c>
      <c r="J55" s="120">
        <f>SUM(J47:J54)</f>
        <v>11548</v>
      </c>
      <c r="K55" s="119">
        <f t="shared" ref="G55:M55" si="47">SUM(K47:K52)</f>
        <v>7534.4400000000005</v>
      </c>
      <c r="L55" s="118">
        <f t="shared" si="47"/>
        <v>1199388.3200000003</v>
      </c>
      <c r="M55" s="151">
        <f t="shared" si="47"/>
        <v>20072</v>
      </c>
      <c r="N55" s="123">
        <f>'Odometro-Kilometraje'!H88</f>
        <v>12211</v>
      </c>
      <c r="O55" s="21">
        <f>(W55/N55)*100</f>
        <v>93.279420194906237</v>
      </c>
      <c r="P55" s="192"/>
      <c r="Q55" s="181"/>
      <c r="R55" s="181"/>
      <c r="S55" s="181"/>
      <c r="T55" s="181"/>
      <c r="U55" s="181"/>
      <c r="V55" s="181"/>
      <c r="W55" s="193">
        <f>SUM(W47:W54)</f>
        <v>11390.35</v>
      </c>
      <c r="X55" s="193">
        <f>SUM(X47:X52)</f>
        <v>12606.940000000002</v>
      </c>
    </row>
    <row r="56" spans="1:65" x14ac:dyDescent="0.25">
      <c r="A56" s="60">
        <f>A47+1</f>
        <v>46150</v>
      </c>
      <c r="B56" s="295">
        <v>38</v>
      </c>
      <c r="C56" s="295">
        <v>41</v>
      </c>
      <c r="D56" s="126">
        <f>'Data Ocupacion'!R31</f>
        <v>38</v>
      </c>
      <c r="E56" s="126">
        <f>'Data Ocupacion'!S31</f>
        <v>41</v>
      </c>
      <c r="F56" s="125" t="s">
        <v>38</v>
      </c>
      <c r="G56" s="125">
        <f t="shared" ref="G56:G61" si="48">D56+E56*2</f>
        <v>120</v>
      </c>
      <c r="H56" s="125">
        <f>B56+C56*2</f>
        <v>120</v>
      </c>
      <c r="I56" s="125">
        <f t="shared" si="37"/>
        <v>79</v>
      </c>
      <c r="J56" s="125">
        <f>G56*M$2</f>
        <v>5175.6000000000004</v>
      </c>
      <c r="K56" s="153">
        <f>I56*M$2</f>
        <v>3407.27</v>
      </c>
      <c r="L56" s="125">
        <f t="shared" ref="L56:L61" si="49">J56*104</f>
        <v>538262.4</v>
      </c>
      <c r="M56" s="125">
        <f t="shared" ref="M56:M61" si="50">I56*104</f>
        <v>8216</v>
      </c>
      <c r="N56" s="19"/>
      <c r="O56" s="19"/>
      <c r="P56" s="146"/>
      <c r="Q56" s="183">
        <v>2</v>
      </c>
      <c r="R56" s="183"/>
      <c r="S56" s="206"/>
      <c r="T56" s="183"/>
      <c r="U56" s="191"/>
      <c r="V56" s="228"/>
      <c r="W56" s="182">
        <f>J56-(Q56*($M$2-$K$1))-(R56*($M$2-$M$1))- (S56*($M$2-$I$2))+ (T56*($G$2))</f>
        <v>5140.1400000000003</v>
      </c>
      <c r="X56" s="182">
        <f>H56*$M$2</f>
        <v>5175.6000000000004</v>
      </c>
    </row>
    <row r="57" spans="1:65" ht="15" customHeight="1" x14ac:dyDescent="0.25">
      <c r="A57" s="202"/>
      <c r="B57" s="295">
        <v>36</v>
      </c>
      <c r="C57" s="295">
        <v>42</v>
      </c>
      <c r="D57" s="126">
        <f>'Data Ocupacion'!R32</f>
        <v>36</v>
      </c>
      <c r="E57" s="126">
        <f>'Data Ocupacion'!S32</f>
        <v>42</v>
      </c>
      <c r="F57" s="125" t="s">
        <v>52</v>
      </c>
      <c r="G57" s="125">
        <f t="shared" si="48"/>
        <v>120</v>
      </c>
      <c r="H57" s="125">
        <f t="shared" ref="H57:H61" si="51">B57+C57*2</f>
        <v>120</v>
      </c>
      <c r="I57" s="125">
        <f t="shared" ref="I57:I61" si="52">D57+E57</f>
        <v>78</v>
      </c>
      <c r="J57" s="125">
        <f>G57*M$2</f>
        <v>5175.6000000000004</v>
      </c>
      <c r="K57" s="153">
        <f>I57*M$2</f>
        <v>3364.1400000000003</v>
      </c>
      <c r="L57" s="125">
        <f t="shared" si="49"/>
        <v>538262.4</v>
      </c>
      <c r="M57" s="125">
        <f t="shared" si="50"/>
        <v>8112</v>
      </c>
      <c r="N57" s="19"/>
      <c r="O57" s="19"/>
      <c r="P57" s="146"/>
      <c r="Q57" s="186"/>
      <c r="R57" s="186"/>
      <c r="S57" s="186"/>
      <c r="T57" s="203">
        <v>5</v>
      </c>
      <c r="U57" s="184"/>
      <c r="V57" s="229"/>
      <c r="W57" s="185">
        <f>J57-(T57*($M$2-$K$1)+(U57*($M$2-$M$1)))</f>
        <v>5086.9500000000007</v>
      </c>
      <c r="X57" s="182">
        <f>H57*$M$2</f>
        <v>5175.6000000000004</v>
      </c>
    </row>
    <row r="58" spans="1:65" ht="15" customHeight="1" x14ac:dyDescent="0.25">
      <c r="A58" s="202"/>
      <c r="B58" s="295">
        <v>33</v>
      </c>
      <c r="C58" s="295">
        <v>3</v>
      </c>
      <c r="D58" s="126">
        <f>'Data Ocupacion'!R33</f>
        <v>34</v>
      </c>
      <c r="E58" s="126">
        <f>'Data Ocupacion'!S33</f>
        <v>2</v>
      </c>
      <c r="F58" s="125" t="s">
        <v>36</v>
      </c>
      <c r="G58" s="125">
        <f t="shared" si="48"/>
        <v>38</v>
      </c>
      <c r="H58" s="125">
        <f t="shared" si="51"/>
        <v>39</v>
      </c>
      <c r="I58" s="125">
        <f t="shared" si="52"/>
        <v>36</v>
      </c>
      <c r="J58" s="125">
        <f>G58*M$1</f>
        <v>1106.18</v>
      </c>
      <c r="K58" s="153">
        <f>I58*M$1</f>
        <v>1047.96</v>
      </c>
      <c r="L58" s="125">
        <f t="shared" si="49"/>
        <v>115042.72</v>
      </c>
      <c r="M58" s="125">
        <f t="shared" si="50"/>
        <v>3744</v>
      </c>
      <c r="N58" s="19"/>
      <c r="O58" s="19"/>
      <c r="P58" s="146"/>
      <c r="Q58" s="244">
        <v>1</v>
      </c>
      <c r="R58" s="187"/>
      <c r="S58" s="207"/>
      <c r="T58" s="188"/>
      <c r="U58" s="189"/>
      <c r="V58" s="189"/>
      <c r="W58" s="182">
        <f>J58-(Q58*($M$1-$K$1))</f>
        <v>1102.47</v>
      </c>
      <c r="X58" s="182">
        <f>H58*$M$1</f>
        <v>1135.29</v>
      </c>
    </row>
    <row r="59" spans="1:65" ht="15" customHeight="1" x14ac:dyDescent="0.25">
      <c r="A59" s="202"/>
      <c r="B59" s="295">
        <v>29</v>
      </c>
      <c r="C59" s="295">
        <v>3</v>
      </c>
      <c r="D59" s="138">
        <f>'Data Ocupacion'!R34</f>
        <v>30</v>
      </c>
      <c r="E59" s="138">
        <f>'Data Ocupacion'!S34</f>
        <v>2</v>
      </c>
      <c r="F59" s="125" t="s">
        <v>53</v>
      </c>
      <c r="G59" s="125">
        <f t="shared" si="48"/>
        <v>34</v>
      </c>
      <c r="H59" s="125">
        <f t="shared" si="51"/>
        <v>35</v>
      </c>
      <c r="I59" s="125">
        <f t="shared" si="52"/>
        <v>32</v>
      </c>
      <c r="J59" s="125">
        <f>G59*M$1</f>
        <v>989.74</v>
      </c>
      <c r="K59" s="153">
        <f>I59*M$1</f>
        <v>931.52</v>
      </c>
      <c r="L59" s="125">
        <f t="shared" si="49"/>
        <v>102932.96</v>
      </c>
      <c r="M59" s="125">
        <f t="shared" si="50"/>
        <v>3328</v>
      </c>
      <c r="N59" s="19"/>
      <c r="O59" s="19"/>
      <c r="P59" s="146"/>
      <c r="Q59" s="189"/>
      <c r="R59" s="189"/>
      <c r="S59" s="189"/>
      <c r="T59" s="189"/>
      <c r="U59" s="189"/>
      <c r="V59" s="189"/>
      <c r="W59" s="182">
        <f>J59</f>
        <v>989.74</v>
      </c>
      <c r="X59" s="182">
        <f>H59*$M$1</f>
        <v>1018.85</v>
      </c>
      <c r="BM59" t="s">
        <v>120</v>
      </c>
    </row>
    <row r="60" spans="1:65" s="124" customFormat="1" ht="15" customHeight="1" x14ac:dyDescent="0.25">
      <c r="A60" s="202"/>
      <c r="B60" s="295">
        <v>0</v>
      </c>
      <c r="C60" s="295">
        <v>0</v>
      </c>
      <c r="D60" s="126">
        <f>'Data Ocupacion'!R35</f>
        <v>0</v>
      </c>
      <c r="E60" s="126">
        <f>'Data Ocupacion'!S35</f>
        <v>0</v>
      </c>
      <c r="F60" s="125" t="s">
        <v>122</v>
      </c>
      <c r="G60" s="125">
        <f t="shared" si="48"/>
        <v>0</v>
      </c>
      <c r="H60" s="125">
        <f t="shared" si="51"/>
        <v>0</v>
      </c>
      <c r="I60" s="125">
        <f t="shared" si="52"/>
        <v>0</v>
      </c>
      <c r="J60" s="125">
        <f>G60*K$1</f>
        <v>0</v>
      </c>
      <c r="K60" s="153">
        <f>I60*K$1</f>
        <v>0</v>
      </c>
      <c r="L60" s="125">
        <f t="shared" si="49"/>
        <v>0</v>
      </c>
      <c r="M60" s="125">
        <f t="shared" si="50"/>
        <v>0</v>
      </c>
      <c r="N60" s="19"/>
      <c r="O60" s="19"/>
      <c r="P60" s="146"/>
      <c r="Q60" s="189"/>
      <c r="R60" s="189"/>
      <c r="S60" s="189"/>
      <c r="T60" s="189"/>
      <c r="U60" s="189"/>
      <c r="V60" s="189"/>
      <c r="W60" s="182">
        <f>J60</f>
        <v>0</v>
      </c>
      <c r="X60" s="182">
        <f>H60*$K$1</f>
        <v>0</v>
      </c>
    </row>
    <row r="61" spans="1:65" ht="15.95" customHeight="1" thickBot="1" x14ac:dyDescent="0.3">
      <c r="A61" s="202"/>
      <c r="B61" s="295">
        <v>4</v>
      </c>
      <c r="C61" s="295">
        <v>0</v>
      </c>
      <c r="D61" s="254">
        <f>'Data Ocupacion'!R36</f>
        <v>4</v>
      </c>
      <c r="E61" s="126">
        <f>'Data Ocupacion'!S36</f>
        <v>0</v>
      </c>
      <c r="F61" s="125" t="s">
        <v>35</v>
      </c>
      <c r="G61" s="125">
        <f t="shared" si="48"/>
        <v>4</v>
      </c>
      <c r="H61" s="125">
        <f t="shared" si="51"/>
        <v>4</v>
      </c>
      <c r="I61" s="125">
        <f t="shared" si="52"/>
        <v>4</v>
      </c>
      <c r="J61" s="125">
        <f>G61*K$1</f>
        <v>101.6</v>
      </c>
      <c r="K61" s="153">
        <f>I61*K$1</f>
        <v>101.6</v>
      </c>
      <c r="L61" s="125">
        <f t="shared" si="49"/>
        <v>10566.4</v>
      </c>
      <c r="M61" s="125">
        <f t="shared" si="50"/>
        <v>416</v>
      </c>
      <c r="N61" s="19"/>
      <c r="O61" s="19"/>
      <c r="P61" s="146"/>
      <c r="Q61" s="189"/>
      <c r="R61" s="189"/>
      <c r="S61" s="189"/>
      <c r="T61" s="189"/>
      <c r="U61" s="189"/>
      <c r="V61" s="189"/>
      <c r="W61" s="182">
        <f>J61</f>
        <v>101.6</v>
      </c>
      <c r="X61" s="182">
        <f>H61*$K$1</f>
        <v>101.6</v>
      </c>
    </row>
    <row r="62" spans="1:65" ht="15.75" thickBot="1" x14ac:dyDescent="0.3">
      <c r="A62" s="20"/>
      <c r="B62" s="119">
        <f>SUM(B56:B61)</f>
        <v>140</v>
      </c>
      <c r="C62" s="119">
        <f>SUM(C56:C61)</f>
        <v>89</v>
      </c>
      <c r="D62" s="152">
        <f>SUM(D56:D61)</f>
        <v>142</v>
      </c>
      <c r="E62" s="152">
        <f>SUM(E56:E61)</f>
        <v>87</v>
      </c>
      <c r="F62" s="119"/>
      <c r="G62" s="119">
        <f t="shared" ref="G62:M62" si="53">SUM(G56:G61)</f>
        <v>316</v>
      </c>
      <c r="H62" s="119">
        <f t="shared" si="53"/>
        <v>318</v>
      </c>
      <c r="I62" s="119">
        <f t="shared" si="53"/>
        <v>229</v>
      </c>
      <c r="J62" s="120">
        <f t="shared" si="53"/>
        <v>12548.720000000001</v>
      </c>
      <c r="K62" s="119">
        <f t="shared" si="53"/>
        <v>8852.49</v>
      </c>
      <c r="L62" s="118">
        <f t="shared" si="53"/>
        <v>1305066.8799999999</v>
      </c>
      <c r="M62" s="151">
        <f t="shared" si="53"/>
        <v>23816</v>
      </c>
      <c r="N62" s="123">
        <f>'Odometro-Kilometraje'!I88</f>
        <v>12919</v>
      </c>
      <c r="O62" s="21">
        <f>(W62/N62)*100</f>
        <v>96.144438424026617</v>
      </c>
      <c r="P62" s="192"/>
      <c r="Q62" s="181"/>
      <c r="R62" s="181"/>
      <c r="S62" s="181"/>
      <c r="T62" s="181"/>
      <c r="U62" s="181"/>
      <c r="V62" s="181"/>
      <c r="W62" s="193">
        <f>SUM(W56:W61)</f>
        <v>12420.9</v>
      </c>
      <c r="X62" s="193">
        <f>SUM(X56:X61)</f>
        <v>12606.940000000002</v>
      </c>
    </row>
    <row r="63" spans="1:65" x14ac:dyDescent="0.25">
      <c r="A63" s="60">
        <f>A56+1</f>
        <v>46151</v>
      </c>
      <c r="B63" s="116">
        <v>69</v>
      </c>
      <c r="C63" s="116">
        <v>3</v>
      </c>
      <c r="D63" s="147">
        <f>'Data Ocupacion'!T31</f>
        <v>69</v>
      </c>
      <c r="E63" s="147">
        <f>'Data Ocupacion'!U31</f>
        <v>3</v>
      </c>
      <c r="F63" s="116" t="s">
        <v>38</v>
      </c>
      <c r="G63" s="116">
        <f t="shared" ref="G63:G68" si="54">D63+E63*2</f>
        <v>75</v>
      </c>
      <c r="H63" s="116">
        <f>B63+C63*2</f>
        <v>75</v>
      </c>
      <c r="I63" s="116">
        <f t="shared" ref="I63:I68" si="55">D63+E63</f>
        <v>72</v>
      </c>
      <c r="J63" s="116">
        <f>G63*M$2</f>
        <v>3234.75</v>
      </c>
      <c r="K63" s="153">
        <f>I63*M$2</f>
        <v>3105.36</v>
      </c>
      <c r="L63" s="116">
        <f t="shared" ref="L63:L68" si="56">J63*104</f>
        <v>336414</v>
      </c>
      <c r="M63" s="116">
        <f t="shared" ref="M63:M68" si="57">I63*104</f>
        <v>7488</v>
      </c>
      <c r="N63" s="19"/>
      <c r="O63" s="19"/>
      <c r="P63" s="146"/>
      <c r="Q63" s="183"/>
      <c r="R63" s="183"/>
      <c r="S63" s="206"/>
      <c r="T63" s="203"/>
      <c r="U63" s="191"/>
      <c r="V63" s="228"/>
      <c r="W63" s="182">
        <f>J63-(Q63*($M$2-$K$1))-(R63*($M$2-$M$1))- (S63*($M$2-$I$2))+ (T63*($G$2))</f>
        <v>3234.75</v>
      </c>
      <c r="X63" s="182">
        <f>H63*$M$2</f>
        <v>3234.75</v>
      </c>
    </row>
    <row r="64" spans="1:65" ht="15" customHeight="1" x14ac:dyDescent="0.25">
      <c r="A64" s="253"/>
      <c r="B64" s="116">
        <v>75</v>
      </c>
      <c r="C64" s="116">
        <v>0</v>
      </c>
      <c r="D64" s="147">
        <f>'Data Ocupacion'!T32</f>
        <v>75</v>
      </c>
      <c r="E64" s="147">
        <f>'Data Ocupacion'!U32</f>
        <v>0</v>
      </c>
      <c r="F64" s="116" t="s">
        <v>52</v>
      </c>
      <c r="G64" s="116">
        <f t="shared" si="54"/>
        <v>75</v>
      </c>
      <c r="H64" s="116">
        <f t="shared" ref="H64:H68" si="58">B64+C64*2</f>
        <v>75</v>
      </c>
      <c r="I64" s="116">
        <f t="shared" si="55"/>
        <v>75</v>
      </c>
      <c r="J64" s="116">
        <f>G64*M$2</f>
        <v>3234.75</v>
      </c>
      <c r="K64" s="153">
        <f>I64*M$2</f>
        <v>3234.75</v>
      </c>
      <c r="L64" s="116">
        <f t="shared" si="56"/>
        <v>336414</v>
      </c>
      <c r="M64" s="116">
        <f t="shared" si="57"/>
        <v>7800</v>
      </c>
      <c r="N64" s="19"/>
      <c r="O64" s="19"/>
      <c r="P64" s="146"/>
      <c r="Q64" s="186"/>
      <c r="R64" s="186"/>
      <c r="S64" s="186"/>
      <c r="T64" s="203"/>
      <c r="U64" s="183"/>
      <c r="V64" s="229"/>
      <c r="W64" s="185">
        <f>J64-(T64*($M$2-$K$1)+(U64*($M$2-$M$1)))</f>
        <v>3234.75</v>
      </c>
      <c r="X64" s="182">
        <f>H64*$M$2</f>
        <v>3234.75</v>
      </c>
      <c r="Y64" s="237"/>
      <c r="AA64" s="124"/>
      <c r="AB64" s="124"/>
    </row>
    <row r="65" spans="1:27" x14ac:dyDescent="0.25">
      <c r="A65" s="253"/>
      <c r="B65" s="116">
        <v>0</v>
      </c>
      <c r="C65" s="116">
        <v>0</v>
      </c>
      <c r="D65" s="147">
        <f>'Data Ocupacion'!T33</f>
        <v>0</v>
      </c>
      <c r="E65" s="147">
        <f>'Data Ocupacion'!U33</f>
        <v>0</v>
      </c>
      <c r="F65" s="116" t="s">
        <v>36</v>
      </c>
      <c r="G65" s="116">
        <f t="shared" si="54"/>
        <v>0</v>
      </c>
      <c r="H65" s="116">
        <f t="shared" si="58"/>
        <v>0</v>
      </c>
      <c r="I65" s="116">
        <f t="shared" si="55"/>
        <v>0</v>
      </c>
      <c r="J65" s="116">
        <f>G65*M$1</f>
        <v>0</v>
      </c>
      <c r="K65" s="153">
        <f>I65*M$1</f>
        <v>0</v>
      </c>
      <c r="L65" s="116">
        <f t="shared" si="56"/>
        <v>0</v>
      </c>
      <c r="M65" s="116">
        <f t="shared" si="57"/>
        <v>0</v>
      </c>
      <c r="N65" s="19"/>
      <c r="O65" s="19"/>
      <c r="P65" s="146"/>
      <c r="Q65" s="244"/>
      <c r="R65" s="187"/>
      <c r="S65" s="207"/>
      <c r="T65" s="188"/>
      <c r="U65" s="189"/>
      <c r="V65" s="189"/>
      <c r="W65" s="182">
        <f>J65-(Q65*($M$1-$K$1))</f>
        <v>0</v>
      </c>
      <c r="X65" s="182">
        <f>H65*$M$1</f>
        <v>0</v>
      </c>
      <c r="Y65" s="237"/>
    </row>
    <row r="66" spans="1:27" x14ac:dyDescent="0.25">
      <c r="A66" s="253"/>
      <c r="B66" s="116">
        <v>0</v>
      </c>
      <c r="C66" s="116">
        <v>0</v>
      </c>
      <c r="D66" s="147">
        <f>'Data Ocupacion'!T34</f>
        <v>0</v>
      </c>
      <c r="E66" s="147">
        <f>'Data Ocupacion'!U34</f>
        <v>0</v>
      </c>
      <c r="F66" s="116" t="s">
        <v>53</v>
      </c>
      <c r="G66" s="116">
        <f t="shared" si="54"/>
        <v>0</v>
      </c>
      <c r="H66" s="116">
        <f t="shared" si="58"/>
        <v>0</v>
      </c>
      <c r="I66" s="116">
        <f t="shared" si="55"/>
        <v>0</v>
      </c>
      <c r="J66" s="116">
        <f>G66*M$1</f>
        <v>0</v>
      </c>
      <c r="K66" s="153">
        <f>I66*M$1</f>
        <v>0</v>
      </c>
      <c r="L66" s="116">
        <f t="shared" si="56"/>
        <v>0</v>
      </c>
      <c r="M66" s="116">
        <f t="shared" si="57"/>
        <v>0</v>
      </c>
      <c r="N66" s="165"/>
      <c r="O66" s="19"/>
      <c r="P66" s="146"/>
      <c r="Q66" s="189"/>
      <c r="R66" s="189"/>
      <c r="S66" s="189"/>
      <c r="T66" s="189"/>
      <c r="U66" s="189"/>
      <c r="V66" s="189"/>
      <c r="W66" s="182">
        <f>J66</f>
        <v>0</v>
      </c>
      <c r="X66" s="182">
        <f>H66*$M$1</f>
        <v>0</v>
      </c>
    </row>
    <row r="67" spans="1:27" s="124" customFormat="1" x14ac:dyDescent="0.25">
      <c r="A67" s="253"/>
      <c r="B67" s="116">
        <v>0</v>
      </c>
      <c r="C67" s="116">
        <v>0</v>
      </c>
      <c r="D67" s="147">
        <f>'Data Ocupacion'!T35</f>
        <v>0</v>
      </c>
      <c r="E67" s="147">
        <f>'Data Ocupacion'!U35</f>
        <v>0</v>
      </c>
      <c r="F67" s="116" t="s">
        <v>122</v>
      </c>
      <c r="G67" s="116">
        <f t="shared" si="54"/>
        <v>0</v>
      </c>
      <c r="H67" s="116">
        <f t="shared" si="58"/>
        <v>0</v>
      </c>
      <c r="I67" s="116">
        <f t="shared" si="55"/>
        <v>0</v>
      </c>
      <c r="J67" s="116">
        <f>G67*K$1</f>
        <v>0</v>
      </c>
      <c r="K67" s="153">
        <f>I67*K$1</f>
        <v>0</v>
      </c>
      <c r="L67" s="116">
        <f t="shared" si="56"/>
        <v>0</v>
      </c>
      <c r="M67" s="116">
        <f t="shared" si="57"/>
        <v>0</v>
      </c>
      <c r="N67" s="165"/>
      <c r="O67" s="19"/>
      <c r="P67" s="146"/>
      <c r="Q67" s="189"/>
      <c r="R67" s="189"/>
      <c r="S67" s="189"/>
      <c r="T67" s="189"/>
      <c r="U67" s="189"/>
      <c r="V67" s="189"/>
      <c r="W67" s="182">
        <f>J67</f>
        <v>0</v>
      </c>
      <c r="X67" s="182">
        <f>H67*$K$1</f>
        <v>0</v>
      </c>
    </row>
    <row r="68" spans="1:27" ht="15.75" thickBot="1" x14ac:dyDescent="0.3">
      <c r="A68" s="253"/>
      <c r="B68" s="116">
        <v>0</v>
      </c>
      <c r="C68" s="116">
        <v>0</v>
      </c>
      <c r="D68" s="147">
        <f>'Data Ocupacion'!T36</f>
        <v>0</v>
      </c>
      <c r="E68" s="147">
        <f>'Data Ocupacion'!U36</f>
        <v>0</v>
      </c>
      <c r="F68" s="116" t="s">
        <v>35</v>
      </c>
      <c r="G68" s="116">
        <f t="shared" si="54"/>
        <v>0</v>
      </c>
      <c r="H68" s="116">
        <f t="shared" si="58"/>
        <v>0</v>
      </c>
      <c r="I68" s="116">
        <f t="shared" si="55"/>
        <v>0</v>
      </c>
      <c r="J68" s="116">
        <f>G68*K$1</f>
        <v>0</v>
      </c>
      <c r="K68" s="153">
        <f>I68*K$1</f>
        <v>0</v>
      </c>
      <c r="L68" s="116">
        <f t="shared" si="56"/>
        <v>0</v>
      </c>
      <c r="M68" s="116">
        <f t="shared" si="57"/>
        <v>0</v>
      </c>
      <c r="N68" s="19"/>
      <c r="O68" s="19"/>
      <c r="P68" s="146"/>
      <c r="Q68" s="189"/>
      <c r="R68" s="189"/>
      <c r="S68" s="189"/>
      <c r="T68" s="189"/>
      <c r="U68" s="189"/>
      <c r="V68" s="189"/>
      <c r="W68" s="182">
        <f>J68</f>
        <v>0</v>
      </c>
      <c r="X68" s="182">
        <f>H68*$K$1</f>
        <v>0</v>
      </c>
    </row>
    <row r="69" spans="1:27" s="124" customFormat="1" ht="18.75" customHeight="1" thickBot="1" x14ac:dyDescent="0.3">
      <c r="A69" s="20"/>
      <c r="B69" s="119">
        <f>SUM(B63:B68)</f>
        <v>144</v>
      </c>
      <c r="C69" s="119">
        <f>SUM(C63:C68)</f>
        <v>3</v>
      </c>
      <c r="D69" s="148">
        <f>SUM(D63:D68)</f>
        <v>144</v>
      </c>
      <c r="E69" s="148">
        <f>SUM(E63:E68)</f>
        <v>3</v>
      </c>
      <c r="F69" s="119"/>
      <c r="G69" s="119">
        <f t="shared" ref="G69:M69" si="59">SUM(G63:G68)</f>
        <v>150</v>
      </c>
      <c r="H69" s="119">
        <f t="shared" si="59"/>
        <v>150</v>
      </c>
      <c r="I69" s="119">
        <f t="shared" si="59"/>
        <v>147</v>
      </c>
      <c r="J69" s="119">
        <f t="shared" si="59"/>
        <v>6469.5</v>
      </c>
      <c r="K69" s="119">
        <f t="shared" si="59"/>
        <v>6340.1100000000006</v>
      </c>
      <c r="L69" s="119">
        <f t="shared" si="59"/>
        <v>672828</v>
      </c>
      <c r="M69" s="119">
        <f t="shared" si="59"/>
        <v>15288</v>
      </c>
      <c r="N69" s="123">
        <f>'Odometro-Kilometraje'!J88</f>
        <v>6702</v>
      </c>
      <c r="O69" s="21">
        <f>(W69/N69)*100</f>
        <v>96.530886302596244</v>
      </c>
      <c r="P69" s="192"/>
      <c r="Q69" s="181"/>
      <c r="R69" s="181"/>
      <c r="S69" s="181"/>
      <c r="T69" s="181"/>
      <c r="U69" s="181"/>
      <c r="V69" s="181"/>
      <c r="W69" s="193">
        <f>SUM(W63:W68)</f>
        <v>6469.5</v>
      </c>
      <c r="X69" s="193">
        <f>SUM(X63:X68)</f>
        <v>6469.5</v>
      </c>
      <c r="Y69" s="238"/>
    </row>
    <row r="70" spans="1:27" s="124" customFormat="1" x14ac:dyDescent="0.25">
      <c r="A70" s="60">
        <f>A63+1</f>
        <v>46152</v>
      </c>
      <c r="B70" s="218">
        <v>51</v>
      </c>
      <c r="C70" s="218">
        <v>3</v>
      </c>
      <c r="D70" s="138">
        <f>'Data Ocupacion'!V31</f>
        <v>51</v>
      </c>
      <c r="E70" s="138">
        <f>'Data Ocupacion'!W31</f>
        <v>3</v>
      </c>
      <c r="F70" s="218" t="s">
        <v>38</v>
      </c>
      <c r="G70" s="218">
        <f t="shared" ref="G70:G77" si="60">D70+E70*2</f>
        <v>57</v>
      </c>
      <c r="H70" s="218">
        <f>B70+C70*2</f>
        <v>57</v>
      </c>
      <c r="I70" s="218">
        <f t="shared" ref="I70:I75" si="61">D70+E70</f>
        <v>54</v>
      </c>
      <c r="J70" s="218">
        <f>G70*M$2</f>
        <v>2458.4100000000003</v>
      </c>
      <c r="K70" s="153">
        <f>I70*M$2</f>
        <v>2329.02</v>
      </c>
      <c r="L70" s="218">
        <f t="shared" ref="L70:L75" si="62">J70*104</f>
        <v>255674.64000000004</v>
      </c>
      <c r="M70" s="218">
        <f t="shared" ref="M70:M75" si="63">I70*104</f>
        <v>5616</v>
      </c>
      <c r="N70" s="19"/>
      <c r="O70" s="19"/>
      <c r="P70" s="146"/>
      <c r="Q70" s="183"/>
      <c r="R70" s="183"/>
      <c r="S70" s="206"/>
      <c r="T70" s="285"/>
      <c r="U70" s="191"/>
      <c r="V70" s="228"/>
      <c r="W70" s="182">
        <f>J70-(Q70*($M$2-$K$1))-(R70*($M$2-$M$1))- (S70*($M$2-$I$2))+ (T70*($G$2))</f>
        <v>2458.4100000000003</v>
      </c>
      <c r="X70" s="182">
        <f>H70*$M$2</f>
        <v>2458.4100000000003</v>
      </c>
    </row>
    <row r="71" spans="1:27" ht="14.45" customHeight="1" x14ac:dyDescent="0.25">
      <c r="A71" s="253"/>
      <c r="B71" s="218">
        <v>57</v>
      </c>
      <c r="C71" s="218">
        <v>0</v>
      </c>
      <c r="D71" s="138">
        <f>'Data Ocupacion'!V32</f>
        <v>57</v>
      </c>
      <c r="E71" s="138">
        <f>'Data Ocupacion'!W32</f>
        <v>0</v>
      </c>
      <c r="F71" s="218" t="s">
        <v>52</v>
      </c>
      <c r="G71" s="218">
        <f t="shared" si="60"/>
        <v>57</v>
      </c>
      <c r="H71" s="218">
        <f t="shared" ref="H71:H75" si="64">B71+C71*2</f>
        <v>57</v>
      </c>
      <c r="I71" s="218">
        <f t="shared" si="61"/>
        <v>57</v>
      </c>
      <c r="J71" s="218">
        <f>G71*M$2</f>
        <v>2458.4100000000003</v>
      </c>
      <c r="K71" s="153">
        <f>I71*M$2</f>
        <v>2458.4100000000003</v>
      </c>
      <c r="L71" s="218">
        <f t="shared" si="62"/>
        <v>255674.64000000004</v>
      </c>
      <c r="M71" s="218">
        <f t="shared" si="63"/>
        <v>5928</v>
      </c>
      <c r="N71" s="19"/>
      <c r="O71" s="19"/>
      <c r="P71" s="146"/>
      <c r="Q71" s="186"/>
      <c r="R71" s="186"/>
      <c r="S71" s="217"/>
      <c r="T71" s="183"/>
      <c r="U71" s="217"/>
      <c r="V71" s="229"/>
      <c r="W71" s="185">
        <f>J71-(T71*($M$2-$K$1)+(U71*($M$2-$M$1))+(V71*($U$2)))</f>
        <v>2458.4100000000003</v>
      </c>
      <c r="X71" s="182">
        <f>H71*$M$2</f>
        <v>2458.4100000000003</v>
      </c>
    </row>
    <row r="72" spans="1:27" ht="15" customHeight="1" x14ac:dyDescent="0.25">
      <c r="A72" s="253"/>
      <c r="B72" s="218">
        <v>0</v>
      </c>
      <c r="C72" s="218">
        <v>0</v>
      </c>
      <c r="D72" s="138">
        <f>'Data Ocupacion'!V33</f>
        <v>0</v>
      </c>
      <c r="E72" s="138">
        <f>'Data Ocupacion'!W33</f>
        <v>0</v>
      </c>
      <c r="F72" s="218" t="s">
        <v>36</v>
      </c>
      <c r="G72" s="218">
        <f t="shared" si="60"/>
        <v>0</v>
      </c>
      <c r="H72" s="218">
        <f t="shared" si="64"/>
        <v>0</v>
      </c>
      <c r="I72" s="218">
        <f t="shared" si="61"/>
        <v>0</v>
      </c>
      <c r="J72" s="218">
        <f>G72*M$1</f>
        <v>0</v>
      </c>
      <c r="K72" s="153">
        <f>I72*M$1</f>
        <v>0</v>
      </c>
      <c r="L72" s="218">
        <f t="shared" si="62"/>
        <v>0</v>
      </c>
      <c r="M72" s="218">
        <f t="shared" si="63"/>
        <v>0</v>
      </c>
      <c r="N72" s="19"/>
      <c r="O72" s="19"/>
      <c r="P72" s="146"/>
      <c r="Q72" s="244"/>
      <c r="R72" s="190"/>
      <c r="S72" s="228"/>
      <c r="T72" s="186"/>
      <c r="U72" s="189"/>
      <c r="V72" s="189"/>
      <c r="W72" s="182">
        <f>J72-(Q72*($M$1-$K$1))</f>
        <v>0</v>
      </c>
      <c r="X72" s="182">
        <f>H72*$M$1</f>
        <v>0</v>
      </c>
    </row>
    <row r="73" spans="1:27" ht="15" customHeight="1" x14ac:dyDescent="0.25">
      <c r="A73" s="253"/>
      <c r="B73" s="218">
        <v>0</v>
      </c>
      <c r="C73" s="218">
        <v>0</v>
      </c>
      <c r="D73" s="138">
        <f>'Data Ocupacion'!V34</f>
        <v>0</v>
      </c>
      <c r="E73" s="138">
        <f>'Data Ocupacion'!W34</f>
        <v>0</v>
      </c>
      <c r="F73" s="218" t="s">
        <v>53</v>
      </c>
      <c r="G73" s="218">
        <f t="shared" si="60"/>
        <v>0</v>
      </c>
      <c r="H73" s="218">
        <f t="shared" si="64"/>
        <v>0</v>
      </c>
      <c r="I73" s="218">
        <f t="shared" si="61"/>
        <v>0</v>
      </c>
      <c r="J73" s="218">
        <f>G73*M$1</f>
        <v>0</v>
      </c>
      <c r="K73" s="153">
        <f>I73*M$1</f>
        <v>0</v>
      </c>
      <c r="L73" s="218">
        <f t="shared" si="62"/>
        <v>0</v>
      </c>
      <c r="M73" s="218">
        <f t="shared" si="63"/>
        <v>0</v>
      </c>
      <c r="N73" s="19"/>
      <c r="O73" s="19"/>
      <c r="P73" s="146"/>
      <c r="Q73" s="189"/>
      <c r="R73" s="189"/>
      <c r="S73" s="189"/>
      <c r="T73" s="189"/>
      <c r="U73" s="189"/>
      <c r="V73" s="189"/>
      <c r="W73" s="182">
        <f>J73</f>
        <v>0</v>
      </c>
      <c r="X73" s="182">
        <f>H73*$M$1</f>
        <v>0</v>
      </c>
    </row>
    <row r="74" spans="1:27" ht="15" customHeight="1" x14ac:dyDescent="0.25">
      <c r="A74" s="253"/>
      <c r="B74" s="218">
        <v>0</v>
      </c>
      <c r="C74" s="218">
        <v>0</v>
      </c>
      <c r="D74" s="138">
        <f>'Data Ocupacion'!V35</f>
        <v>0</v>
      </c>
      <c r="E74" s="138">
        <f>'Data Ocupacion'!W35</f>
        <v>0</v>
      </c>
      <c r="F74" s="218" t="s">
        <v>122</v>
      </c>
      <c r="G74" s="218">
        <f t="shared" si="60"/>
        <v>0</v>
      </c>
      <c r="H74" s="218">
        <f t="shared" si="64"/>
        <v>0</v>
      </c>
      <c r="I74" s="218">
        <f t="shared" si="61"/>
        <v>0</v>
      </c>
      <c r="J74" s="218">
        <f>G74*K$1</f>
        <v>0</v>
      </c>
      <c r="K74" s="153">
        <f>I74*K$1</f>
        <v>0</v>
      </c>
      <c r="L74" s="218">
        <f t="shared" si="62"/>
        <v>0</v>
      </c>
      <c r="M74" s="218">
        <f t="shared" si="63"/>
        <v>0</v>
      </c>
      <c r="N74" s="19"/>
      <c r="O74" s="19"/>
      <c r="P74" s="146"/>
      <c r="Q74" s="189"/>
      <c r="R74" s="189"/>
      <c r="S74" s="189"/>
      <c r="T74" s="189"/>
      <c r="U74" s="189"/>
      <c r="V74" s="189"/>
      <c r="W74" s="182">
        <f>J74</f>
        <v>0</v>
      </c>
      <c r="X74" s="182">
        <f>H74*$K$1</f>
        <v>0</v>
      </c>
    </row>
    <row r="75" spans="1:27" ht="14.25" customHeight="1" thickBot="1" x14ac:dyDescent="0.3">
      <c r="A75" s="253"/>
      <c r="B75" s="218">
        <v>0</v>
      </c>
      <c r="C75" s="218">
        <v>0</v>
      </c>
      <c r="D75" s="138">
        <f>'Data Ocupacion'!V36</f>
        <v>0</v>
      </c>
      <c r="E75" s="138">
        <f>'Data Ocupacion'!W36</f>
        <v>0</v>
      </c>
      <c r="F75" s="218" t="s">
        <v>35</v>
      </c>
      <c r="G75" s="218">
        <f t="shared" si="60"/>
        <v>0</v>
      </c>
      <c r="H75" s="218">
        <f t="shared" si="64"/>
        <v>0</v>
      </c>
      <c r="I75" s="218">
        <f t="shared" si="61"/>
        <v>0</v>
      </c>
      <c r="J75" s="218">
        <f>G75*K$1</f>
        <v>0</v>
      </c>
      <c r="K75" s="153">
        <f>I75*K$1</f>
        <v>0</v>
      </c>
      <c r="L75" s="218">
        <f t="shared" si="62"/>
        <v>0</v>
      </c>
      <c r="M75" s="218">
        <f t="shared" si="63"/>
        <v>0</v>
      </c>
      <c r="N75" s="19"/>
      <c r="O75" s="19"/>
      <c r="P75" s="146"/>
      <c r="Q75" s="189"/>
      <c r="R75" s="189"/>
      <c r="S75" s="189"/>
      <c r="T75" s="189"/>
      <c r="U75" s="189"/>
      <c r="V75" s="189"/>
      <c r="W75" s="182">
        <f>J75</f>
        <v>0</v>
      </c>
      <c r="X75" s="182">
        <f>H75*$K$1</f>
        <v>0</v>
      </c>
      <c r="Y75" s="255"/>
      <c r="Z75" s="255"/>
      <c r="AA75" s="255"/>
    </row>
    <row r="76" spans="1:27" s="124" customFormat="1" ht="15.75" thickBot="1" x14ac:dyDescent="0.3">
      <c r="A76" s="20"/>
      <c r="B76" s="119">
        <f>SUM(B70:B75)</f>
        <v>108</v>
      </c>
      <c r="C76" s="119">
        <f>SUM(C70:C75)</f>
        <v>3</v>
      </c>
      <c r="D76" s="148">
        <f>SUM(D70:D75)</f>
        <v>108</v>
      </c>
      <c r="E76" s="148">
        <f>SUM(E70:E75)</f>
        <v>3</v>
      </c>
      <c r="F76" s="119"/>
      <c r="G76" s="119">
        <f t="shared" ref="G76:M76" si="65">SUM(G70:G75)</f>
        <v>114</v>
      </c>
      <c r="H76" s="119">
        <f t="shared" si="65"/>
        <v>114</v>
      </c>
      <c r="I76" s="119">
        <f t="shared" si="65"/>
        <v>111</v>
      </c>
      <c r="J76" s="119">
        <f t="shared" si="65"/>
        <v>4916.8200000000006</v>
      </c>
      <c r="K76" s="119">
        <f t="shared" si="65"/>
        <v>4787.43</v>
      </c>
      <c r="L76" s="119">
        <f t="shared" si="65"/>
        <v>511349.28000000009</v>
      </c>
      <c r="M76" s="119">
        <f t="shared" si="65"/>
        <v>11544</v>
      </c>
      <c r="N76" s="180">
        <f>'Odometro-Kilometraje'!K88</f>
        <v>4984</v>
      </c>
      <c r="O76" s="21">
        <f>(W76/N76)*100</f>
        <v>98.652086677367592</v>
      </c>
      <c r="P76" s="192"/>
      <c r="Q76" s="181"/>
      <c r="R76" s="181"/>
      <c r="S76" s="181"/>
      <c r="T76" s="181"/>
      <c r="U76" s="181"/>
      <c r="V76" s="181"/>
      <c r="W76" s="193">
        <f>SUM(W70:W75)</f>
        <v>4916.8200000000006</v>
      </c>
      <c r="X76" s="193">
        <f>SUM(X70:X75)</f>
        <v>4916.8200000000006</v>
      </c>
      <c r="Y76" s="255"/>
      <c r="Z76" s="255"/>
      <c r="AA76" s="255"/>
    </row>
    <row r="77" spans="1:27" x14ac:dyDescent="0.25">
      <c r="A77" s="60">
        <f>A70+1</f>
        <v>46153</v>
      </c>
      <c r="B77" s="295">
        <v>38</v>
      </c>
      <c r="C77" s="295">
        <v>41</v>
      </c>
      <c r="D77" s="138">
        <f>'Data Ocupacion'!X31</f>
        <v>37</v>
      </c>
      <c r="E77" s="138">
        <f>'Data Ocupacion'!Y31</f>
        <v>42</v>
      </c>
      <c r="F77" s="125" t="s">
        <v>38</v>
      </c>
      <c r="G77" s="125">
        <f t="shared" si="60"/>
        <v>121</v>
      </c>
      <c r="H77" s="125">
        <f>B77+C77*2</f>
        <v>120</v>
      </c>
      <c r="I77" s="125">
        <f t="shared" ref="I77:I82" si="66">D77+E77</f>
        <v>79</v>
      </c>
      <c r="J77" s="125">
        <f>G77*M$2</f>
        <v>5218.7300000000005</v>
      </c>
      <c r="K77" s="153">
        <f>I77*M$2</f>
        <v>3407.27</v>
      </c>
      <c r="L77" s="125">
        <f t="shared" ref="L77:L82" si="67">J77*104</f>
        <v>542747.92000000004</v>
      </c>
      <c r="M77" s="125">
        <f t="shared" ref="M77:M82" si="68">I77*104</f>
        <v>8216</v>
      </c>
      <c r="N77" s="19"/>
      <c r="O77" s="19"/>
      <c r="P77" s="146"/>
      <c r="Q77" s="183">
        <v>3</v>
      </c>
      <c r="R77" s="183"/>
      <c r="S77" s="206"/>
      <c r="T77" s="285"/>
      <c r="U77" s="191"/>
      <c r="V77" s="228"/>
      <c r="W77" s="182">
        <f>J77-(Q77*($M$2-$K$1))-(R77*($M$2-$M$1))- (S77*($M$2-$I$2))+ (T77*($G$2))</f>
        <v>5165.5400000000009</v>
      </c>
      <c r="X77" s="182">
        <f>H77*$M$2</f>
        <v>5175.6000000000004</v>
      </c>
      <c r="Y77" s="255"/>
      <c r="Z77" s="255"/>
      <c r="AA77" s="255"/>
    </row>
    <row r="78" spans="1:27" ht="15" customHeight="1" x14ac:dyDescent="0.25">
      <c r="A78" s="276"/>
      <c r="B78" s="295">
        <v>36</v>
      </c>
      <c r="C78" s="295">
        <v>42</v>
      </c>
      <c r="D78" s="138">
        <f>'Data Ocupacion'!X32</f>
        <v>35</v>
      </c>
      <c r="E78" s="138">
        <f>'Data Ocupacion'!Y32</f>
        <v>43</v>
      </c>
      <c r="F78" s="125" t="s">
        <v>52</v>
      </c>
      <c r="G78" s="125">
        <f t="shared" ref="G78:G82" si="69">D78+E78*2</f>
        <v>121</v>
      </c>
      <c r="H78" s="125">
        <f t="shared" ref="H78:H82" si="70">B78+C78*2</f>
        <v>120</v>
      </c>
      <c r="I78" s="125">
        <f t="shared" si="66"/>
        <v>78</v>
      </c>
      <c r="J78" s="125">
        <f>G78*M$2</f>
        <v>5218.7300000000005</v>
      </c>
      <c r="K78" s="153">
        <f>I78*M$2</f>
        <v>3364.1400000000003</v>
      </c>
      <c r="L78" s="125">
        <f t="shared" si="67"/>
        <v>542747.92000000004</v>
      </c>
      <c r="M78" s="125">
        <f t="shared" si="68"/>
        <v>8112</v>
      </c>
      <c r="N78" s="19"/>
      <c r="O78" s="19"/>
      <c r="P78" s="146"/>
      <c r="Q78" s="186"/>
      <c r="R78" s="186"/>
      <c r="S78" s="217"/>
      <c r="T78" s="183">
        <v>6</v>
      </c>
      <c r="U78" s="217"/>
      <c r="V78" s="229"/>
      <c r="W78" s="185">
        <f>J78-(T78*($M$2-$K$1)+(U78*($M$2-$M$1)))</f>
        <v>5112.3500000000004</v>
      </c>
      <c r="X78" s="182">
        <f>H78*$M$2</f>
        <v>5175.6000000000004</v>
      </c>
      <c r="Y78" s="255"/>
      <c r="Z78" s="255"/>
      <c r="AA78" s="255"/>
    </row>
    <row r="79" spans="1:27" ht="15" customHeight="1" x14ac:dyDescent="0.25">
      <c r="A79" s="253"/>
      <c r="B79" s="295">
        <v>33</v>
      </c>
      <c r="C79" s="295">
        <v>3</v>
      </c>
      <c r="D79" s="138">
        <f>'Data Ocupacion'!X33</f>
        <v>34</v>
      </c>
      <c r="E79" s="126">
        <f>'Data Ocupacion'!Y33</f>
        <v>2</v>
      </c>
      <c r="F79" s="125" t="s">
        <v>36</v>
      </c>
      <c r="G79" s="125">
        <f t="shared" si="69"/>
        <v>38</v>
      </c>
      <c r="H79" s="125">
        <f t="shared" si="70"/>
        <v>39</v>
      </c>
      <c r="I79" s="125">
        <f t="shared" si="66"/>
        <v>36</v>
      </c>
      <c r="J79" s="125">
        <f>G79*M$1</f>
        <v>1106.18</v>
      </c>
      <c r="K79" s="153">
        <f>I79*M$1</f>
        <v>1047.96</v>
      </c>
      <c r="L79" s="125">
        <f t="shared" si="67"/>
        <v>115042.72</v>
      </c>
      <c r="M79" s="125">
        <f t="shared" si="68"/>
        <v>3744</v>
      </c>
      <c r="N79" s="19"/>
      <c r="O79" s="19" t="s">
        <v>144</v>
      </c>
      <c r="P79" s="146"/>
      <c r="Q79" s="183">
        <v>2</v>
      </c>
      <c r="R79" s="190"/>
      <c r="S79" s="228"/>
      <c r="T79" s="186"/>
      <c r="U79" s="189"/>
      <c r="V79" s="189"/>
      <c r="W79" s="182">
        <f>J79-(Q79*($M$1-$K$1))</f>
        <v>1098.76</v>
      </c>
      <c r="X79" s="182">
        <f>H79*$M$1</f>
        <v>1135.29</v>
      </c>
      <c r="Y79" s="255"/>
      <c r="Z79" s="255"/>
      <c r="AA79" s="255"/>
    </row>
    <row r="80" spans="1:27" ht="13.5" customHeight="1" x14ac:dyDescent="0.25">
      <c r="A80" s="253"/>
      <c r="B80" s="295">
        <v>29</v>
      </c>
      <c r="C80" s="295">
        <v>3</v>
      </c>
      <c r="D80" s="138">
        <f>'Data Ocupacion'!X34</f>
        <v>30</v>
      </c>
      <c r="E80" s="126">
        <f>'Data Ocupacion'!Y34</f>
        <v>2</v>
      </c>
      <c r="F80" s="125" t="s">
        <v>53</v>
      </c>
      <c r="G80" s="125">
        <f t="shared" si="69"/>
        <v>34</v>
      </c>
      <c r="H80" s="125">
        <f t="shared" si="70"/>
        <v>35</v>
      </c>
      <c r="I80" s="125">
        <f t="shared" si="66"/>
        <v>32</v>
      </c>
      <c r="J80" s="125">
        <f>G80*M$1</f>
        <v>989.74</v>
      </c>
      <c r="K80" s="153">
        <f>I80*M$1</f>
        <v>931.52</v>
      </c>
      <c r="L80" s="125">
        <f t="shared" si="67"/>
        <v>102932.96</v>
      </c>
      <c r="M80" s="125">
        <f t="shared" si="68"/>
        <v>3328</v>
      </c>
      <c r="N80" s="19"/>
      <c r="O80" s="19" t="s">
        <v>144</v>
      </c>
      <c r="P80" s="146"/>
      <c r="Q80" s="189"/>
      <c r="R80" s="189"/>
      <c r="S80" s="189"/>
      <c r="T80" s="189"/>
      <c r="U80" s="189"/>
      <c r="V80" s="189"/>
      <c r="W80" s="182">
        <f>J80</f>
        <v>989.74</v>
      </c>
      <c r="X80" s="182">
        <f>H80*$M$1</f>
        <v>1018.85</v>
      </c>
      <c r="Y80" s="255"/>
      <c r="Z80" s="255"/>
      <c r="AA80" s="255"/>
    </row>
    <row r="81" spans="1:30" s="124" customFormat="1" ht="13.5" customHeight="1" x14ac:dyDescent="0.25">
      <c r="A81" s="253"/>
      <c r="B81" s="295">
        <v>0</v>
      </c>
      <c r="C81" s="295">
        <v>0</v>
      </c>
      <c r="D81" s="126">
        <f>'Data Ocupacion'!X35</f>
        <v>0</v>
      </c>
      <c r="E81" s="126">
        <f>'Data Ocupacion'!Y35</f>
        <v>0</v>
      </c>
      <c r="F81" s="125" t="s">
        <v>122</v>
      </c>
      <c r="G81" s="125">
        <f t="shared" si="69"/>
        <v>0</v>
      </c>
      <c r="H81" s="125">
        <f t="shared" si="70"/>
        <v>0</v>
      </c>
      <c r="I81" s="125">
        <f t="shared" si="66"/>
        <v>0</v>
      </c>
      <c r="J81" s="125">
        <f>G81*K$1</f>
        <v>0</v>
      </c>
      <c r="K81" s="153">
        <f>I81*K$1</f>
        <v>0</v>
      </c>
      <c r="L81" s="125">
        <f t="shared" si="67"/>
        <v>0</v>
      </c>
      <c r="M81" s="125">
        <f t="shared" si="68"/>
        <v>0</v>
      </c>
      <c r="N81" s="19"/>
      <c r="O81" s="19"/>
      <c r="P81" s="146"/>
      <c r="Q81" s="189"/>
      <c r="R81" s="189"/>
      <c r="S81" s="189"/>
      <c r="T81" s="189"/>
      <c r="U81" s="189"/>
      <c r="V81" s="189"/>
      <c r="W81" s="182">
        <f>J81</f>
        <v>0</v>
      </c>
      <c r="X81" s="182">
        <f>H81*$K$1</f>
        <v>0</v>
      </c>
      <c r="Y81" s="255"/>
      <c r="Z81" s="255"/>
      <c r="AA81" s="255"/>
    </row>
    <row r="82" spans="1:30" s="124" customFormat="1" ht="15" customHeight="1" thickBot="1" x14ac:dyDescent="0.3">
      <c r="A82" s="253"/>
      <c r="B82" s="295">
        <v>4</v>
      </c>
      <c r="C82" s="295">
        <v>0</v>
      </c>
      <c r="D82" s="254">
        <f>'Data Ocupacion'!X36</f>
        <v>4</v>
      </c>
      <c r="E82" s="126">
        <f>'Data Ocupacion'!Y36</f>
        <v>0</v>
      </c>
      <c r="F82" s="125" t="s">
        <v>35</v>
      </c>
      <c r="G82" s="125">
        <f t="shared" si="69"/>
        <v>4</v>
      </c>
      <c r="H82" s="125">
        <f t="shared" si="70"/>
        <v>4</v>
      </c>
      <c r="I82" s="125">
        <f t="shared" si="66"/>
        <v>4</v>
      </c>
      <c r="J82" s="125">
        <f>G82*K$1</f>
        <v>101.6</v>
      </c>
      <c r="K82" s="153">
        <f>I82*K$1</f>
        <v>101.6</v>
      </c>
      <c r="L82" s="125">
        <f t="shared" si="67"/>
        <v>10566.4</v>
      </c>
      <c r="M82" s="125">
        <f t="shared" si="68"/>
        <v>416</v>
      </c>
      <c r="N82" s="19"/>
      <c r="O82" s="19"/>
      <c r="P82" s="146"/>
      <c r="Q82" s="189"/>
      <c r="R82" s="189"/>
      <c r="S82" s="189"/>
      <c r="T82" s="189"/>
      <c r="U82" s="189"/>
      <c r="V82" s="189"/>
      <c r="W82" s="182">
        <f>J82</f>
        <v>101.6</v>
      </c>
      <c r="X82" s="182">
        <f>H82*$K$1</f>
        <v>101.6</v>
      </c>
      <c r="Y82" s="255"/>
      <c r="Z82" s="255"/>
      <c r="AA82" s="255"/>
    </row>
    <row r="83" spans="1:30" ht="15" customHeight="1" thickBot="1" x14ac:dyDescent="0.3">
      <c r="A83" s="20"/>
      <c r="B83" s="119">
        <f>SUM(B77:B82)</f>
        <v>140</v>
      </c>
      <c r="C83" s="119">
        <f>SUM(C77:C82)</f>
        <v>89</v>
      </c>
      <c r="D83" s="152">
        <f>SUM(D77:D82)</f>
        <v>140</v>
      </c>
      <c r="E83" s="152">
        <f>SUM(E77:E82)</f>
        <v>89</v>
      </c>
      <c r="F83" s="119"/>
      <c r="G83" s="119">
        <f t="shared" ref="G83:M83" si="71">SUM(G77:G82)</f>
        <v>318</v>
      </c>
      <c r="H83" s="119">
        <f t="shared" si="71"/>
        <v>318</v>
      </c>
      <c r="I83" s="119">
        <f t="shared" si="71"/>
        <v>229</v>
      </c>
      <c r="J83" s="120">
        <f t="shared" si="71"/>
        <v>12634.980000000001</v>
      </c>
      <c r="K83" s="119">
        <f t="shared" si="71"/>
        <v>8852.49</v>
      </c>
      <c r="L83" s="118">
        <f t="shared" si="71"/>
        <v>1314037.92</v>
      </c>
      <c r="M83" s="151">
        <f t="shared" si="71"/>
        <v>23816</v>
      </c>
      <c r="N83" s="123">
        <f>'Odometro-Kilometraje'!L88</f>
        <v>12984</v>
      </c>
      <c r="O83" s="21">
        <f>(W83/N83)*100</f>
        <v>96.025800985828724</v>
      </c>
      <c r="P83" s="192"/>
      <c r="Q83" s="181"/>
      <c r="R83" s="181"/>
      <c r="S83" s="181"/>
      <c r="T83" s="181"/>
      <c r="U83" s="181"/>
      <c r="V83" s="181"/>
      <c r="W83" s="193">
        <f>SUM(W77:W82)</f>
        <v>12467.990000000002</v>
      </c>
      <c r="X83" s="193">
        <f>SUM(X77:X82)</f>
        <v>12606.940000000002</v>
      </c>
      <c r="Y83" s="255"/>
      <c r="Z83" s="255"/>
      <c r="AA83" s="255"/>
      <c r="AD83" s="172"/>
    </row>
    <row r="84" spans="1:30" ht="16.149999999999999" customHeight="1" x14ac:dyDescent="0.25">
      <c r="A84" s="60">
        <f>A77+1</f>
        <v>46154</v>
      </c>
      <c r="B84" s="295">
        <v>38</v>
      </c>
      <c r="C84" s="295">
        <v>41</v>
      </c>
      <c r="D84" s="126">
        <f>'Data Ocupacion'!Z31</f>
        <v>38</v>
      </c>
      <c r="E84" s="126">
        <f>'Data Ocupacion'!AA31</f>
        <v>41</v>
      </c>
      <c r="F84" s="125" t="s">
        <v>38</v>
      </c>
      <c r="G84" s="125">
        <f t="shared" ref="G84:G89" si="72">D84+E84*2</f>
        <v>120</v>
      </c>
      <c r="H84" s="125">
        <f>B84+C84*2</f>
        <v>120</v>
      </c>
      <c r="I84" s="125">
        <f t="shared" ref="I84:I89" si="73">D84+E84</f>
        <v>79</v>
      </c>
      <c r="J84" s="125">
        <f>G84*M$2</f>
        <v>5175.6000000000004</v>
      </c>
      <c r="K84" s="153">
        <f>I84*M$2</f>
        <v>3407.27</v>
      </c>
      <c r="L84" s="125">
        <f t="shared" ref="L84:L89" si="74">J84*104</f>
        <v>538262.4</v>
      </c>
      <c r="M84" s="125">
        <f t="shared" ref="M84:M89" si="75">I84*104</f>
        <v>8216</v>
      </c>
      <c r="N84" s="19"/>
      <c r="O84" s="19"/>
      <c r="P84" s="146"/>
      <c r="Q84" s="244">
        <v>5</v>
      </c>
      <c r="R84" s="183"/>
      <c r="S84" s="206"/>
      <c r="T84" s="285"/>
      <c r="U84" s="191"/>
      <c r="V84" s="228"/>
      <c r="W84" s="182">
        <f>J84-(Q84*($M$2-$K$1))-(R84*($M$2-$M$1))- (S84*($M$2-$I$2))+ (T84*($G$2))</f>
        <v>5086.9500000000007</v>
      </c>
      <c r="X84" s="182">
        <f>H84*$M$2</f>
        <v>5175.6000000000004</v>
      </c>
      <c r="Y84" s="255"/>
      <c r="Z84" s="255"/>
      <c r="AA84" s="255"/>
    </row>
    <row r="85" spans="1:30" ht="15" customHeight="1" x14ac:dyDescent="0.25">
      <c r="A85" s="202"/>
      <c r="B85" s="295">
        <v>36</v>
      </c>
      <c r="C85" s="295">
        <v>42</v>
      </c>
      <c r="D85" s="126">
        <f>'Data Ocupacion'!Z32</f>
        <v>36</v>
      </c>
      <c r="E85" s="126">
        <f>'Data Ocupacion'!AA32</f>
        <v>42</v>
      </c>
      <c r="F85" s="125" t="s">
        <v>52</v>
      </c>
      <c r="G85" s="125">
        <f t="shared" si="72"/>
        <v>120</v>
      </c>
      <c r="H85" s="125">
        <f t="shared" ref="H85:H89" si="76">B85+C85*2</f>
        <v>120</v>
      </c>
      <c r="I85" s="125">
        <f t="shared" si="73"/>
        <v>78</v>
      </c>
      <c r="J85" s="125">
        <f>G85*M$2</f>
        <v>5175.6000000000004</v>
      </c>
      <c r="K85" s="153">
        <f>I85*M$2</f>
        <v>3364.1400000000003</v>
      </c>
      <c r="L85" s="125">
        <f t="shared" si="74"/>
        <v>538262.4</v>
      </c>
      <c r="M85" s="125">
        <f t="shared" si="75"/>
        <v>8112</v>
      </c>
      <c r="N85" s="19"/>
      <c r="O85" s="19"/>
      <c r="P85" s="146"/>
      <c r="Q85" s="186"/>
      <c r="R85" s="186"/>
      <c r="S85" s="217"/>
      <c r="T85" s="183">
        <v>5</v>
      </c>
      <c r="U85" s="217"/>
      <c r="V85" s="206"/>
      <c r="W85" s="185">
        <f>J85-(T85*($M$2-$K$1)+(U85*($M$2-$M$1)))</f>
        <v>5086.9500000000007</v>
      </c>
      <c r="X85" s="182">
        <f>H85*$M$2</f>
        <v>5175.6000000000004</v>
      </c>
      <c r="Y85" s="255"/>
      <c r="Z85" s="255"/>
      <c r="AA85" s="255"/>
    </row>
    <row r="86" spans="1:30" ht="15" customHeight="1" x14ac:dyDescent="0.25">
      <c r="A86" s="202"/>
      <c r="B86" s="295">
        <v>33</v>
      </c>
      <c r="C86" s="295">
        <v>3</v>
      </c>
      <c r="D86" s="126">
        <f>'Data Ocupacion'!Z33</f>
        <v>34</v>
      </c>
      <c r="E86" s="126">
        <f>'Data Ocupacion'!AA33</f>
        <v>2</v>
      </c>
      <c r="F86" s="125" t="s">
        <v>36</v>
      </c>
      <c r="G86" s="125">
        <f t="shared" si="72"/>
        <v>38</v>
      </c>
      <c r="H86" s="125">
        <f t="shared" si="76"/>
        <v>39</v>
      </c>
      <c r="I86" s="125">
        <f t="shared" si="73"/>
        <v>36</v>
      </c>
      <c r="J86" s="125">
        <f>G86*M$1</f>
        <v>1106.18</v>
      </c>
      <c r="K86" s="153">
        <f>I86*M$1</f>
        <v>1047.96</v>
      </c>
      <c r="L86" s="125">
        <f t="shared" si="74"/>
        <v>115042.72</v>
      </c>
      <c r="M86" s="125">
        <f t="shared" si="75"/>
        <v>3744</v>
      </c>
      <c r="N86" s="19"/>
      <c r="O86" s="19"/>
      <c r="P86" s="146"/>
      <c r="Q86" s="244">
        <v>1</v>
      </c>
      <c r="R86" s="190"/>
      <c r="S86" s="228"/>
      <c r="T86" s="186"/>
      <c r="U86" s="189"/>
      <c r="V86" s="189"/>
      <c r="W86" s="182">
        <f>J86-(Q86*($M$1-$K$1))</f>
        <v>1102.47</v>
      </c>
      <c r="X86" s="182">
        <f>H86*$M$1</f>
        <v>1135.29</v>
      </c>
      <c r="Y86" s="255"/>
      <c r="Z86" s="255"/>
      <c r="AA86" s="255"/>
    </row>
    <row r="87" spans="1:30" ht="15" customHeight="1" x14ac:dyDescent="0.25">
      <c r="A87" s="202"/>
      <c r="B87" s="295">
        <v>29</v>
      </c>
      <c r="C87" s="295">
        <v>3</v>
      </c>
      <c r="D87" s="126">
        <f>'Data Ocupacion'!Z34</f>
        <v>30</v>
      </c>
      <c r="E87" s="126">
        <f>'Data Ocupacion'!AA34</f>
        <v>2</v>
      </c>
      <c r="F87" s="125" t="s">
        <v>53</v>
      </c>
      <c r="G87" s="125">
        <f t="shared" si="72"/>
        <v>34</v>
      </c>
      <c r="H87" s="125">
        <f t="shared" si="76"/>
        <v>35</v>
      </c>
      <c r="I87" s="125">
        <f t="shared" si="73"/>
        <v>32</v>
      </c>
      <c r="J87" s="125">
        <f>G87*M$1</f>
        <v>989.74</v>
      </c>
      <c r="K87" s="153">
        <f>I87*M$1</f>
        <v>931.52</v>
      </c>
      <c r="L87" s="125">
        <f t="shared" si="74"/>
        <v>102932.96</v>
      </c>
      <c r="M87" s="125">
        <f t="shared" si="75"/>
        <v>3328</v>
      </c>
      <c r="N87" s="19"/>
      <c r="O87" s="19"/>
      <c r="P87" s="146"/>
      <c r="Q87" s="189"/>
      <c r="R87" s="189"/>
      <c r="S87" s="189"/>
      <c r="T87" s="189"/>
      <c r="U87" s="189"/>
      <c r="V87" s="189"/>
      <c r="W87" s="182">
        <f>J87</f>
        <v>989.74</v>
      </c>
      <c r="X87" s="182">
        <f>H87*$M$1</f>
        <v>1018.85</v>
      </c>
      <c r="Y87" s="255"/>
      <c r="Z87" s="255"/>
      <c r="AA87" s="255"/>
    </row>
    <row r="88" spans="1:30" ht="15" customHeight="1" x14ac:dyDescent="0.25">
      <c r="A88" s="202"/>
      <c r="B88" s="295">
        <v>0</v>
      </c>
      <c r="C88" s="295">
        <v>0</v>
      </c>
      <c r="D88" s="126">
        <f>'Data Ocupacion'!Z35</f>
        <v>0</v>
      </c>
      <c r="E88" s="126">
        <f>'Data Ocupacion'!AA35</f>
        <v>0</v>
      </c>
      <c r="F88" s="125" t="s">
        <v>122</v>
      </c>
      <c r="G88" s="125">
        <f t="shared" si="72"/>
        <v>0</v>
      </c>
      <c r="H88" s="125">
        <f t="shared" si="76"/>
        <v>0</v>
      </c>
      <c r="I88" s="125">
        <f t="shared" si="73"/>
        <v>0</v>
      </c>
      <c r="J88" s="125">
        <f>G88*K$1</f>
        <v>0</v>
      </c>
      <c r="K88" s="153">
        <f>I88*K$1</f>
        <v>0</v>
      </c>
      <c r="L88" s="125">
        <f t="shared" si="74"/>
        <v>0</v>
      </c>
      <c r="M88" s="125">
        <f t="shared" si="75"/>
        <v>0</v>
      </c>
      <c r="N88" s="19"/>
      <c r="O88" s="19"/>
      <c r="P88" s="146"/>
      <c r="Q88" s="189"/>
      <c r="R88" s="189"/>
      <c r="S88" s="189"/>
      <c r="T88" s="189"/>
      <c r="U88" s="189"/>
      <c r="V88" s="189"/>
      <c r="W88" s="182">
        <f>J88</f>
        <v>0</v>
      </c>
      <c r="X88" s="182">
        <f>H88*$K$1</f>
        <v>0</v>
      </c>
      <c r="Y88" s="255"/>
      <c r="Z88" s="255"/>
      <c r="AA88" s="255"/>
    </row>
    <row r="89" spans="1:30" ht="15.75" thickBot="1" x14ac:dyDescent="0.3">
      <c r="A89" s="202"/>
      <c r="B89" s="295">
        <v>4</v>
      </c>
      <c r="C89" s="295">
        <v>0</v>
      </c>
      <c r="D89" s="254">
        <f>'Data Ocupacion'!Z36</f>
        <v>4</v>
      </c>
      <c r="E89" s="126">
        <f>'Data Ocupacion'!AA36</f>
        <v>0</v>
      </c>
      <c r="F89" s="125" t="s">
        <v>35</v>
      </c>
      <c r="G89" s="125">
        <f t="shared" si="72"/>
        <v>4</v>
      </c>
      <c r="H89" s="125">
        <f t="shared" si="76"/>
        <v>4</v>
      </c>
      <c r="I89" s="125">
        <f t="shared" si="73"/>
        <v>4</v>
      </c>
      <c r="J89" s="125">
        <f>G89*K$1</f>
        <v>101.6</v>
      </c>
      <c r="K89" s="153">
        <f>I89*K$1</f>
        <v>101.6</v>
      </c>
      <c r="L89" s="125">
        <f t="shared" si="74"/>
        <v>10566.4</v>
      </c>
      <c r="M89" s="125">
        <f t="shared" si="75"/>
        <v>416</v>
      </c>
      <c r="N89" s="19"/>
      <c r="O89" s="19"/>
      <c r="P89" s="146"/>
      <c r="Q89" s="189"/>
      <c r="R89" s="189"/>
      <c r="S89" s="189"/>
      <c r="T89" s="189"/>
      <c r="U89" s="189"/>
      <c r="V89" s="189"/>
      <c r="W89" s="182">
        <f>J89</f>
        <v>101.6</v>
      </c>
      <c r="X89" s="182">
        <f>H89*$K$1</f>
        <v>101.6</v>
      </c>
    </row>
    <row r="90" spans="1:30" s="124" customFormat="1" ht="15.75" thickBot="1" x14ac:dyDescent="0.3">
      <c r="A90" s="122"/>
      <c r="B90" s="119">
        <f>SUM(B84:B89)</f>
        <v>140</v>
      </c>
      <c r="C90" s="119">
        <f>SUM(C84:C89)</f>
        <v>89</v>
      </c>
      <c r="D90" s="152">
        <f>SUM(D84:D89)</f>
        <v>142</v>
      </c>
      <c r="E90" s="152">
        <f>SUM(E84:E89)</f>
        <v>87</v>
      </c>
      <c r="F90" s="119"/>
      <c r="G90" s="119">
        <f t="shared" ref="G90:M90" si="77">SUM(G84:G89)</f>
        <v>316</v>
      </c>
      <c r="H90" s="119">
        <f t="shared" si="77"/>
        <v>318</v>
      </c>
      <c r="I90" s="119">
        <f t="shared" si="77"/>
        <v>229</v>
      </c>
      <c r="J90" s="120">
        <f t="shared" si="77"/>
        <v>12548.720000000001</v>
      </c>
      <c r="K90" s="119">
        <f t="shared" si="77"/>
        <v>8852.49</v>
      </c>
      <c r="L90" s="118">
        <f t="shared" si="77"/>
        <v>1305066.8799999999</v>
      </c>
      <c r="M90" s="151">
        <f t="shared" si="77"/>
        <v>23816</v>
      </c>
      <c r="N90" s="123">
        <f>'Odometro-Kilometraje'!M88</f>
        <v>12900</v>
      </c>
      <c r="O90" s="21">
        <f>(W90/N90)*100</f>
        <v>95.873720930232565</v>
      </c>
      <c r="P90" s="192"/>
      <c r="Q90" s="181"/>
      <c r="R90" s="181"/>
      <c r="S90" s="181"/>
      <c r="T90" s="181"/>
      <c r="U90" s="181"/>
      <c r="V90" s="181"/>
      <c r="W90" s="193">
        <f>SUM(W84:W89)</f>
        <v>12367.710000000001</v>
      </c>
      <c r="X90" s="193">
        <f>SUM(X84:X89)</f>
        <v>12606.940000000002</v>
      </c>
      <c r="AA90" s="172"/>
    </row>
    <row r="91" spans="1:30" x14ac:dyDescent="0.25">
      <c r="A91" s="121">
        <f>A84+1</f>
        <v>46155</v>
      </c>
      <c r="B91" s="295">
        <v>38</v>
      </c>
      <c r="C91" s="295">
        <v>41</v>
      </c>
      <c r="D91" s="126">
        <f>'Data Ocupacion'!AB31</f>
        <v>38</v>
      </c>
      <c r="E91" s="126">
        <f>'Data Ocupacion'!AC31</f>
        <v>41</v>
      </c>
      <c r="F91" s="125" t="s">
        <v>38</v>
      </c>
      <c r="G91" s="125">
        <f t="shared" ref="G91:G96" si="78">D91+E91*2</f>
        <v>120</v>
      </c>
      <c r="H91" s="125">
        <f>B91+C91*2</f>
        <v>120</v>
      </c>
      <c r="I91" s="125">
        <f t="shared" ref="I91:I96" si="79">D91+E91</f>
        <v>79</v>
      </c>
      <c r="J91" s="125">
        <f>G91*M$2</f>
        <v>5175.6000000000004</v>
      </c>
      <c r="K91" s="153">
        <f>I91*M$2</f>
        <v>3407.27</v>
      </c>
      <c r="L91" s="125">
        <f t="shared" ref="L91:L96" si="80">J91*104</f>
        <v>538262.4</v>
      </c>
      <c r="M91" s="125">
        <f t="shared" ref="M91:M96" si="81">I91*104</f>
        <v>8216</v>
      </c>
      <c r="N91" s="19"/>
      <c r="O91" s="19"/>
      <c r="P91" s="146"/>
      <c r="Q91" s="183">
        <v>2</v>
      </c>
      <c r="R91" s="183"/>
      <c r="S91" s="206"/>
      <c r="T91" s="285"/>
      <c r="U91" s="191"/>
      <c r="V91" s="228"/>
      <c r="W91" s="182">
        <f>J91-(Q91*($M$2-$K$1))-(R91*($M$2-$M$1))- (S91*($M$2-$I$2))+ (T91*($G$2))</f>
        <v>5140.1400000000003</v>
      </c>
      <c r="X91" s="182">
        <f>H91*$M$2</f>
        <v>5175.6000000000004</v>
      </c>
    </row>
    <row r="92" spans="1:30" ht="17.25" customHeight="1" x14ac:dyDescent="0.25">
      <c r="A92" s="202"/>
      <c r="B92" s="295">
        <v>36</v>
      </c>
      <c r="C92" s="295">
        <v>42</v>
      </c>
      <c r="D92" s="126">
        <f>'Data Ocupacion'!AB32</f>
        <v>36</v>
      </c>
      <c r="E92" s="126">
        <f>'Data Ocupacion'!AC32</f>
        <v>42</v>
      </c>
      <c r="F92" s="125" t="s">
        <v>52</v>
      </c>
      <c r="G92" s="125">
        <f t="shared" si="78"/>
        <v>120</v>
      </c>
      <c r="H92" s="125">
        <f t="shared" ref="H92:H96" si="82">B92+C92*2</f>
        <v>120</v>
      </c>
      <c r="I92" s="125">
        <f t="shared" si="79"/>
        <v>78</v>
      </c>
      <c r="J92" s="125">
        <f>G92*M$2</f>
        <v>5175.6000000000004</v>
      </c>
      <c r="K92" s="153">
        <f>I92*M$2</f>
        <v>3364.1400000000003</v>
      </c>
      <c r="L92" s="125">
        <f t="shared" si="80"/>
        <v>538262.4</v>
      </c>
      <c r="M92" s="125">
        <f t="shared" si="81"/>
        <v>8112</v>
      </c>
      <c r="N92" s="19"/>
      <c r="O92" s="19"/>
      <c r="P92" s="146"/>
      <c r="Q92" s="186"/>
      <c r="R92" s="186"/>
      <c r="S92" s="217"/>
      <c r="T92" s="183">
        <v>4</v>
      </c>
      <c r="U92" s="217"/>
      <c r="V92" s="229"/>
      <c r="W92" s="185">
        <f>J92-(T92*($M$2-$K$1)+(U92*($M$2-$M$1)))</f>
        <v>5104.68</v>
      </c>
      <c r="X92" s="182">
        <f>H92*$M$2</f>
        <v>5175.6000000000004</v>
      </c>
    </row>
    <row r="93" spans="1:30" ht="14.45" customHeight="1" x14ac:dyDescent="0.25">
      <c r="A93" s="202"/>
      <c r="B93" s="295">
        <v>33</v>
      </c>
      <c r="C93" s="295">
        <v>3</v>
      </c>
      <c r="D93" s="126">
        <f>'Data Ocupacion'!AB33</f>
        <v>34</v>
      </c>
      <c r="E93" s="126">
        <f>'Data Ocupacion'!AC33</f>
        <v>2</v>
      </c>
      <c r="F93" s="125" t="s">
        <v>36</v>
      </c>
      <c r="G93" s="125">
        <f t="shared" si="78"/>
        <v>38</v>
      </c>
      <c r="H93" s="125">
        <f t="shared" si="82"/>
        <v>39</v>
      </c>
      <c r="I93" s="125">
        <f t="shared" si="79"/>
        <v>36</v>
      </c>
      <c r="J93" s="125">
        <f>G93*M$1</f>
        <v>1106.18</v>
      </c>
      <c r="K93" s="153">
        <f>I93*M$1</f>
        <v>1047.96</v>
      </c>
      <c r="L93" s="125">
        <f t="shared" si="80"/>
        <v>115042.72</v>
      </c>
      <c r="M93" s="125">
        <f t="shared" si="81"/>
        <v>3744</v>
      </c>
      <c r="N93" s="19"/>
      <c r="O93" s="19"/>
      <c r="P93" s="146"/>
      <c r="Q93" s="183">
        <v>1</v>
      </c>
      <c r="R93" s="190"/>
      <c r="S93" s="228"/>
      <c r="T93" s="186"/>
      <c r="U93" s="189"/>
      <c r="V93" s="189"/>
      <c r="W93" s="182">
        <f>J93-(Q93*($M$1-$K$1))</f>
        <v>1102.47</v>
      </c>
      <c r="X93" s="182">
        <f>H93*$M$1</f>
        <v>1135.29</v>
      </c>
    </row>
    <row r="94" spans="1:30" ht="15" customHeight="1" x14ac:dyDescent="0.25">
      <c r="A94" s="202"/>
      <c r="B94" s="295">
        <v>29</v>
      </c>
      <c r="C94" s="295">
        <v>3</v>
      </c>
      <c r="D94" s="126">
        <f>'Data Ocupacion'!AB34</f>
        <v>30</v>
      </c>
      <c r="E94" s="126">
        <f>'Data Ocupacion'!AC34</f>
        <v>2</v>
      </c>
      <c r="F94" s="125" t="s">
        <v>53</v>
      </c>
      <c r="G94" s="125">
        <f t="shared" si="78"/>
        <v>34</v>
      </c>
      <c r="H94" s="125">
        <f t="shared" si="82"/>
        <v>35</v>
      </c>
      <c r="I94" s="125">
        <f t="shared" si="79"/>
        <v>32</v>
      </c>
      <c r="J94" s="125">
        <f>G94*M$1</f>
        <v>989.74</v>
      </c>
      <c r="K94" s="153">
        <f>I94*M$1</f>
        <v>931.52</v>
      </c>
      <c r="L94" s="125">
        <f t="shared" si="80"/>
        <v>102932.96</v>
      </c>
      <c r="M94" s="125">
        <f t="shared" si="81"/>
        <v>3328</v>
      </c>
      <c r="N94" s="19"/>
      <c r="O94" s="19"/>
      <c r="P94" s="146"/>
      <c r="Q94" s="189"/>
      <c r="R94" s="189"/>
      <c r="S94" s="189"/>
      <c r="T94" s="189"/>
      <c r="U94" s="189"/>
      <c r="V94" s="189"/>
      <c r="W94" s="182">
        <f>J94</f>
        <v>989.74</v>
      </c>
      <c r="X94" s="182">
        <f>H94*$M$1</f>
        <v>1018.85</v>
      </c>
    </row>
    <row r="95" spans="1:30" ht="15" customHeight="1" x14ac:dyDescent="0.25">
      <c r="A95" s="202"/>
      <c r="B95" s="295">
        <v>0</v>
      </c>
      <c r="C95" s="295">
        <v>0</v>
      </c>
      <c r="D95" s="126">
        <f>'Data Ocupacion'!AB35</f>
        <v>0</v>
      </c>
      <c r="E95" s="126">
        <f>'Data Ocupacion'!AC35</f>
        <v>0</v>
      </c>
      <c r="F95" s="125" t="s">
        <v>122</v>
      </c>
      <c r="G95" s="125">
        <f t="shared" si="78"/>
        <v>0</v>
      </c>
      <c r="H95" s="125">
        <f t="shared" si="82"/>
        <v>0</v>
      </c>
      <c r="I95" s="125">
        <f t="shared" si="79"/>
        <v>0</v>
      </c>
      <c r="J95" s="125">
        <f>G95*K$1</f>
        <v>0</v>
      </c>
      <c r="K95" s="153">
        <f>I95*K$1</f>
        <v>0</v>
      </c>
      <c r="L95" s="125">
        <f t="shared" si="80"/>
        <v>0</v>
      </c>
      <c r="M95" s="125">
        <f t="shared" si="81"/>
        <v>0</v>
      </c>
      <c r="N95" s="19"/>
      <c r="O95" s="19"/>
      <c r="P95" s="146"/>
      <c r="Q95" s="189"/>
      <c r="R95" s="189"/>
      <c r="S95" s="189"/>
      <c r="T95" s="189"/>
      <c r="U95" s="189"/>
      <c r="V95" s="189"/>
      <c r="W95" s="182">
        <f>J95</f>
        <v>0</v>
      </c>
      <c r="X95" s="182">
        <f>H95*$K$1</f>
        <v>0</v>
      </c>
    </row>
    <row r="96" spans="1:30" ht="15.75" thickBot="1" x14ac:dyDescent="0.3">
      <c r="A96" s="202"/>
      <c r="B96" s="295">
        <v>4</v>
      </c>
      <c r="C96" s="295">
        <v>0</v>
      </c>
      <c r="D96" s="254">
        <f>'Data Ocupacion'!AB36</f>
        <v>4</v>
      </c>
      <c r="E96" s="126">
        <f>'Data Ocupacion'!AC36</f>
        <v>0</v>
      </c>
      <c r="F96" s="125" t="s">
        <v>35</v>
      </c>
      <c r="G96" s="125">
        <f t="shared" si="78"/>
        <v>4</v>
      </c>
      <c r="H96" s="125">
        <f t="shared" si="82"/>
        <v>4</v>
      </c>
      <c r="I96" s="125">
        <f t="shared" si="79"/>
        <v>4</v>
      </c>
      <c r="J96" s="125">
        <f>G96*K$1</f>
        <v>101.6</v>
      </c>
      <c r="K96" s="153">
        <f>I96*K$1</f>
        <v>101.6</v>
      </c>
      <c r="L96" s="125">
        <f t="shared" si="80"/>
        <v>10566.4</v>
      </c>
      <c r="M96" s="125">
        <f t="shared" si="81"/>
        <v>416</v>
      </c>
      <c r="N96" s="19"/>
      <c r="O96" s="19"/>
      <c r="P96" s="146"/>
      <c r="Q96" s="189"/>
      <c r="R96" s="189"/>
      <c r="S96" s="189"/>
      <c r="T96" s="189"/>
      <c r="U96" s="189"/>
      <c r="V96" s="189"/>
      <c r="W96" s="182">
        <f>J96</f>
        <v>101.6</v>
      </c>
      <c r="X96" s="182">
        <f>H96*$K$1</f>
        <v>101.6</v>
      </c>
    </row>
    <row r="97" spans="1:30" s="124" customFormat="1" ht="15.75" thickBot="1" x14ac:dyDescent="0.3">
      <c r="A97" s="20"/>
      <c r="B97" s="119">
        <f>SUM(B91:B96)</f>
        <v>140</v>
      </c>
      <c r="C97" s="119">
        <f>SUM(C91:C96)</f>
        <v>89</v>
      </c>
      <c r="D97" s="152">
        <f>SUM(D91:D96)</f>
        <v>142</v>
      </c>
      <c r="E97" s="152">
        <f>SUM(E91:E96)</f>
        <v>87</v>
      </c>
      <c r="F97" s="119"/>
      <c r="G97" s="119">
        <f t="shared" ref="G97:M97" si="83">SUM(G91:G96)</f>
        <v>316</v>
      </c>
      <c r="H97" s="119">
        <f t="shared" si="83"/>
        <v>318</v>
      </c>
      <c r="I97" s="119">
        <f t="shared" si="83"/>
        <v>229</v>
      </c>
      <c r="J97" s="120">
        <f t="shared" si="83"/>
        <v>12548.720000000001</v>
      </c>
      <c r="K97" s="119">
        <f t="shared" si="83"/>
        <v>8852.49</v>
      </c>
      <c r="L97" s="118">
        <f t="shared" si="83"/>
        <v>1305066.8799999999</v>
      </c>
      <c r="M97" s="151">
        <f t="shared" si="83"/>
        <v>23816</v>
      </c>
      <c r="N97" s="123">
        <f>'Odometro-Kilometraje'!N88</f>
        <v>12976</v>
      </c>
      <c r="O97" s="21">
        <f>(W97/N97)*100</f>
        <v>95.8587392108508</v>
      </c>
      <c r="P97" s="192"/>
      <c r="Q97" s="249"/>
      <c r="R97" s="249"/>
      <c r="S97" s="249"/>
      <c r="T97" s="249"/>
      <c r="U97" s="181"/>
      <c r="V97" s="181"/>
      <c r="W97" s="193">
        <f>SUM(W91:W96)</f>
        <v>12438.63</v>
      </c>
      <c r="X97" s="193">
        <f>SUM(X91:X96)</f>
        <v>12606.940000000002</v>
      </c>
    </row>
    <row r="98" spans="1:30" ht="17.25" customHeight="1" x14ac:dyDescent="0.25">
      <c r="A98" s="60">
        <f>A91+1</f>
        <v>46156</v>
      </c>
      <c r="B98" s="295">
        <v>38</v>
      </c>
      <c r="C98" s="295">
        <v>41</v>
      </c>
      <c r="D98" s="147">
        <f>'Data Ocupacion'!AD31</f>
        <v>37</v>
      </c>
      <c r="E98" s="147">
        <f>'Data Ocupacion'!AE31</f>
        <v>42</v>
      </c>
      <c r="F98" s="125" t="s">
        <v>38</v>
      </c>
      <c r="G98" s="125">
        <f t="shared" ref="G98:G103" si="84">D98+E98*2</f>
        <v>121</v>
      </c>
      <c r="H98" s="125">
        <f>B98+C98*2</f>
        <v>120</v>
      </c>
      <c r="I98" s="125">
        <f>D98+E98</f>
        <v>79</v>
      </c>
      <c r="J98" s="125">
        <f>G98*M$2</f>
        <v>5218.7300000000005</v>
      </c>
      <c r="K98" s="153">
        <f>I98*M$2</f>
        <v>3407.27</v>
      </c>
      <c r="L98" s="125">
        <f t="shared" ref="L98:L103" si="85">J98*104</f>
        <v>542747.92000000004</v>
      </c>
      <c r="M98" s="125">
        <f t="shared" ref="M98:M103" si="86">I98*104</f>
        <v>8216</v>
      </c>
      <c r="N98" s="19"/>
      <c r="O98" s="19"/>
      <c r="P98" s="146"/>
      <c r="Q98" s="183">
        <v>3</v>
      </c>
      <c r="R98" s="183"/>
      <c r="S98" s="206"/>
      <c r="T98" s="285"/>
      <c r="U98" s="191"/>
      <c r="V98" s="228"/>
      <c r="W98" s="182">
        <f>J98-(Q98*($M$2-$K$1))-(R98*($M$2-$M$1))- (S98*($M$2-$I$2))+ (T98*($G$2))</f>
        <v>5165.5400000000009</v>
      </c>
      <c r="X98" s="182">
        <f>H98*$M$2</f>
        <v>5175.6000000000004</v>
      </c>
    </row>
    <row r="99" spans="1:30" ht="15" customHeight="1" x14ac:dyDescent="0.25">
      <c r="A99" s="276"/>
      <c r="B99" s="295">
        <v>36</v>
      </c>
      <c r="C99" s="295">
        <v>42</v>
      </c>
      <c r="D99" s="147">
        <f>'Data Ocupacion'!AD32</f>
        <v>35</v>
      </c>
      <c r="E99" s="147">
        <f>'Data Ocupacion'!AE32</f>
        <v>43</v>
      </c>
      <c r="F99" s="125" t="s">
        <v>52</v>
      </c>
      <c r="G99" s="125">
        <f t="shared" si="84"/>
        <v>121</v>
      </c>
      <c r="H99" s="125">
        <f t="shared" ref="H99:H103" si="87">B99+C99*2</f>
        <v>120</v>
      </c>
      <c r="I99" s="125">
        <f t="shared" ref="I99:I103" si="88">D99+E99</f>
        <v>78</v>
      </c>
      <c r="J99" s="125">
        <f>G99*M$2</f>
        <v>5218.7300000000005</v>
      </c>
      <c r="K99" s="153">
        <f>I99*M$2</f>
        <v>3364.1400000000003</v>
      </c>
      <c r="L99" s="125">
        <f t="shared" si="85"/>
        <v>542747.92000000004</v>
      </c>
      <c r="M99" s="125">
        <f t="shared" si="86"/>
        <v>8112</v>
      </c>
      <c r="N99" s="19"/>
      <c r="O99" s="19"/>
      <c r="P99" s="146"/>
      <c r="Q99" s="186"/>
      <c r="R99" s="186"/>
      <c r="S99" s="217"/>
      <c r="T99" s="183">
        <v>3</v>
      </c>
      <c r="U99" s="217"/>
      <c r="V99" s="206"/>
      <c r="W99" s="185">
        <f>J99-(T99*($M$2-$K$1)+(U99*($M$2-$M$1)))</f>
        <v>5165.5400000000009</v>
      </c>
      <c r="X99" s="182">
        <f>H99*$M$2</f>
        <v>5175.6000000000004</v>
      </c>
    </row>
    <row r="100" spans="1:30" ht="15" customHeight="1" x14ac:dyDescent="0.25">
      <c r="A100" s="253"/>
      <c r="B100" s="295">
        <v>33</v>
      </c>
      <c r="C100" s="295">
        <v>3</v>
      </c>
      <c r="D100" s="147">
        <f>'Data Ocupacion'!AD33</f>
        <v>34</v>
      </c>
      <c r="E100" s="147">
        <f>'Data Ocupacion'!AE33</f>
        <v>2</v>
      </c>
      <c r="F100" s="125" t="s">
        <v>36</v>
      </c>
      <c r="G100" s="125">
        <f t="shared" si="84"/>
        <v>38</v>
      </c>
      <c r="H100" s="125">
        <f t="shared" si="87"/>
        <v>39</v>
      </c>
      <c r="I100" s="125">
        <f t="shared" si="88"/>
        <v>36</v>
      </c>
      <c r="J100" s="125">
        <f>G100*M$1</f>
        <v>1106.18</v>
      </c>
      <c r="K100" s="153">
        <f>I100*M$1</f>
        <v>1047.96</v>
      </c>
      <c r="L100" s="125">
        <f t="shared" si="85"/>
        <v>115042.72</v>
      </c>
      <c r="M100" s="125">
        <f t="shared" si="86"/>
        <v>3744</v>
      </c>
      <c r="N100" s="19"/>
      <c r="O100" s="19"/>
      <c r="P100" s="146"/>
      <c r="Q100" s="244">
        <v>2</v>
      </c>
      <c r="R100" s="190"/>
      <c r="S100" s="228"/>
      <c r="T100" s="186"/>
      <c r="U100" s="189"/>
      <c r="V100" s="189"/>
      <c r="W100" s="182">
        <f>J100-(Q100*($M$1-$K$1))</f>
        <v>1098.76</v>
      </c>
      <c r="X100" s="182">
        <f>H100*$M$1</f>
        <v>1135.29</v>
      </c>
    </row>
    <row r="101" spans="1:30" ht="15" customHeight="1" x14ac:dyDescent="0.25">
      <c r="A101" s="253"/>
      <c r="B101" s="295">
        <v>29</v>
      </c>
      <c r="C101" s="295">
        <v>3</v>
      </c>
      <c r="D101" s="147">
        <f>'Data Ocupacion'!AD34</f>
        <v>30</v>
      </c>
      <c r="E101" s="147">
        <f>'Data Ocupacion'!AE34</f>
        <v>2</v>
      </c>
      <c r="F101" s="125" t="s">
        <v>53</v>
      </c>
      <c r="G101" s="125">
        <f t="shared" si="84"/>
        <v>34</v>
      </c>
      <c r="H101" s="125">
        <f t="shared" si="87"/>
        <v>35</v>
      </c>
      <c r="I101" s="125">
        <f t="shared" si="88"/>
        <v>32</v>
      </c>
      <c r="J101" s="125">
        <f>G101*M$1</f>
        <v>989.74</v>
      </c>
      <c r="K101" s="153">
        <f>I101*M$1</f>
        <v>931.52</v>
      </c>
      <c r="L101" s="125">
        <f t="shared" si="85"/>
        <v>102932.96</v>
      </c>
      <c r="M101" s="125">
        <f t="shared" si="86"/>
        <v>3328</v>
      </c>
      <c r="N101" s="19"/>
      <c r="O101" s="19"/>
      <c r="P101" s="146"/>
      <c r="Q101" s="189"/>
      <c r="R101" s="189"/>
      <c r="S101" s="189"/>
      <c r="T101" s="189"/>
      <c r="U101" s="189"/>
      <c r="V101" s="189"/>
      <c r="W101" s="182">
        <f>J101</f>
        <v>989.74</v>
      </c>
      <c r="X101" s="182">
        <f>H101*$M$1</f>
        <v>1018.85</v>
      </c>
    </row>
    <row r="102" spans="1:30" ht="15" customHeight="1" x14ac:dyDescent="0.25">
      <c r="A102" s="253"/>
      <c r="B102" s="295">
        <v>0</v>
      </c>
      <c r="C102" s="295">
        <v>0</v>
      </c>
      <c r="D102" s="126">
        <f>'Data Ocupacion'!AD35</f>
        <v>0</v>
      </c>
      <c r="E102" s="126">
        <f>'Data Ocupacion'!AE35</f>
        <v>0</v>
      </c>
      <c r="F102" s="125" t="s">
        <v>122</v>
      </c>
      <c r="G102" s="125">
        <f t="shared" si="84"/>
        <v>0</v>
      </c>
      <c r="H102" s="125">
        <f t="shared" si="87"/>
        <v>0</v>
      </c>
      <c r="I102" s="125">
        <f t="shared" si="88"/>
        <v>0</v>
      </c>
      <c r="J102" s="125">
        <f>G102*K$1</f>
        <v>0</v>
      </c>
      <c r="K102" s="153">
        <f>I102*K$1</f>
        <v>0</v>
      </c>
      <c r="L102" s="125">
        <f t="shared" si="85"/>
        <v>0</v>
      </c>
      <c r="M102" s="125">
        <f t="shared" si="86"/>
        <v>0</v>
      </c>
      <c r="N102" s="19"/>
      <c r="O102" s="19"/>
      <c r="P102" s="146"/>
      <c r="Q102" s="189"/>
      <c r="R102" s="189"/>
      <c r="S102" s="189"/>
      <c r="T102" s="189"/>
      <c r="U102" s="189"/>
      <c r="V102" s="189"/>
      <c r="W102" s="182">
        <f>J102</f>
        <v>0</v>
      </c>
      <c r="X102" s="182">
        <f>H102*$K$1</f>
        <v>0</v>
      </c>
    </row>
    <row r="103" spans="1:30" ht="15" customHeight="1" thickBot="1" x14ac:dyDescent="0.3">
      <c r="A103" s="253"/>
      <c r="B103" s="295">
        <v>4</v>
      </c>
      <c r="C103" s="295">
        <v>0</v>
      </c>
      <c r="D103" s="337">
        <f>'Data Ocupacion'!AD36</f>
        <v>4</v>
      </c>
      <c r="E103" s="337">
        <f>'Data Ocupacion'!AE36</f>
        <v>0</v>
      </c>
      <c r="F103" s="125" t="s">
        <v>35</v>
      </c>
      <c r="G103" s="125">
        <f t="shared" si="84"/>
        <v>4</v>
      </c>
      <c r="H103" s="125">
        <f t="shared" si="87"/>
        <v>4</v>
      </c>
      <c r="I103" s="125">
        <f t="shared" si="88"/>
        <v>4</v>
      </c>
      <c r="J103" s="125">
        <f>G103*K$1</f>
        <v>101.6</v>
      </c>
      <c r="K103" s="153">
        <f>I103*K$1</f>
        <v>101.6</v>
      </c>
      <c r="L103" s="125">
        <f t="shared" si="85"/>
        <v>10566.4</v>
      </c>
      <c r="M103" s="125">
        <f t="shared" si="86"/>
        <v>416</v>
      </c>
      <c r="N103" s="19"/>
      <c r="O103" s="19"/>
      <c r="P103" s="146"/>
      <c r="Q103" s="189"/>
      <c r="R103" s="189"/>
      <c r="S103" s="189"/>
      <c r="T103" s="189"/>
      <c r="U103" s="189"/>
      <c r="V103" s="189"/>
      <c r="W103" s="182">
        <f>J103</f>
        <v>101.6</v>
      </c>
      <c r="X103" s="182">
        <f>H103*$K$1</f>
        <v>101.6</v>
      </c>
    </row>
    <row r="104" spans="1:30" s="124" customFormat="1" ht="15" customHeight="1" thickBot="1" x14ac:dyDescent="0.3">
      <c r="A104" s="20"/>
      <c r="B104" s="119">
        <f>SUM(B98:B103)</f>
        <v>140</v>
      </c>
      <c r="C104" s="119">
        <f>SUM(C98:C103)</f>
        <v>89</v>
      </c>
      <c r="D104" s="152">
        <f>SUM(D98:D103)</f>
        <v>140</v>
      </c>
      <c r="E104" s="152">
        <f>SUM(E98:E103)</f>
        <v>89</v>
      </c>
      <c r="F104" s="119"/>
      <c r="G104" s="119">
        <f t="shared" ref="G104:M104" si="89">SUM(G98:G103)</f>
        <v>318</v>
      </c>
      <c r="H104" s="119">
        <f t="shared" si="89"/>
        <v>318</v>
      </c>
      <c r="I104" s="119">
        <f t="shared" si="89"/>
        <v>229</v>
      </c>
      <c r="J104" s="120">
        <f t="shared" si="89"/>
        <v>12634.980000000001</v>
      </c>
      <c r="K104" s="119">
        <f t="shared" si="89"/>
        <v>8852.49</v>
      </c>
      <c r="L104" s="118">
        <f t="shared" si="89"/>
        <v>1314037.92</v>
      </c>
      <c r="M104" s="151">
        <f t="shared" si="89"/>
        <v>23816</v>
      </c>
      <c r="N104" s="123">
        <f>'Odometro-Kilometraje'!O88</f>
        <v>13125</v>
      </c>
      <c r="O104" s="21">
        <f>(W104/N104)*100</f>
        <v>95.399466666666683</v>
      </c>
      <c r="P104" s="192"/>
      <c r="Q104" s="181"/>
      <c r="R104" s="181"/>
      <c r="S104" s="181"/>
      <c r="T104" s="181"/>
      <c r="U104" s="181"/>
      <c r="V104" s="181"/>
      <c r="W104" s="193">
        <f>SUM(W98:W103)</f>
        <v>12521.180000000002</v>
      </c>
      <c r="X104" s="193">
        <f>SUM(X98:X103)</f>
        <v>12606.940000000002</v>
      </c>
      <c r="AA104" s="172"/>
      <c r="AD104"/>
    </row>
    <row r="105" spans="1:30" ht="16.149999999999999" customHeight="1" x14ac:dyDescent="0.25">
      <c r="A105" s="60">
        <f>A98+1</f>
        <v>46157</v>
      </c>
      <c r="B105" s="295">
        <v>38</v>
      </c>
      <c r="C105" s="295">
        <v>41</v>
      </c>
      <c r="D105" s="138">
        <f>'Data Ocupacion'!AF31</f>
        <v>37</v>
      </c>
      <c r="E105" s="138">
        <f>'Data Ocupacion'!AG31</f>
        <v>42</v>
      </c>
      <c r="F105" s="125" t="s">
        <v>38</v>
      </c>
      <c r="G105" s="125">
        <f t="shared" ref="G105:G110" si="90">D105+E105*2</f>
        <v>121</v>
      </c>
      <c r="H105" s="125">
        <f>B105+C105*2</f>
        <v>120</v>
      </c>
      <c r="I105" s="125">
        <f t="shared" ref="I105:I110" si="91">D105+E105</f>
        <v>79</v>
      </c>
      <c r="J105" s="125">
        <f>G105*M$2</f>
        <v>5218.7300000000005</v>
      </c>
      <c r="K105" s="153">
        <f>I105*M$2</f>
        <v>3407.27</v>
      </c>
      <c r="L105" s="125">
        <f t="shared" ref="L105:L110" si="92">J105*104</f>
        <v>542747.92000000004</v>
      </c>
      <c r="M105" s="125">
        <f t="shared" ref="M105:M110" si="93">I105*104</f>
        <v>8216</v>
      </c>
      <c r="N105" s="19"/>
      <c r="O105" s="19"/>
      <c r="P105" s="146"/>
      <c r="Q105" s="244">
        <v>2</v>
      </c>
      <c r="R105" s="183"/>
      <c r="S105" s="206"/>
      <c r="T105" s="190"/>
      <c r="U105" s="191"/>
      <c r="V105" s="228"/>
      <c r="W105" s="182">
        <f>J105-(Q105*($M$2-$K$1))-(R105*($M$2-$M$1))- (S105*($M$2-$I$2))+ (T105*($G$2))</f>
        <v>5183.2700000000004</v>
      </c>
      <c r="X105" s="182">
        <f>H105*$M$2</f>
        <v>5175.6000000000004</v>
      </c>
    </row>
    <row r="106" spans="1:30" ht="15" customHeight="1" x14ac:dyDescent="0.25">
      <c r="A106" s="276"/>
      <c r="B106" s="295">
        <v>36</v>
      </c>
      <c r="C106" s="295">
        <v>42</v>
      </c>
      <c r="D106" s="138">
        <f>'Data Ocupacion'!AF32</f>
        <v>35</v>
      </c>
      <c r="E106" s="138">
        <f>'Data Ocupacion'!AG32</f>
        <v>43</v>
      </c>
      <c r="F106" s="125" t="s">
        <v>52</v>
      </c>
      <c r="G106" s="125">
        <f t="shared" si="90"/>
        <v>121</v>
      </c>
      <c r="H106" s="125">
        <f t="shared" ref="H106:H110" si="94">B106+C106*2</f>
        <v>120</v>
      </c>
      <c r="I106" s="125">
        <f t="shared" si="91"/>
        <v>78</v>
      </c>
      <c r="J106" s="125">
        <f>G106*M$2</f>
        <v>5218.7300000000005</v>
      </c>
      <c r="K106" s="153">
        <f>I106*M$2</f>
        <v>3364.1400000000003</v>
      </c>
      <c r="L106" s="125">
        <f t="shared" si="92"/>
        <v>542747.92000000004</v>
      </c>
      <c r="M106" s="125">
        <f t="shared" si="93"/>
        <v>8112</v>
      </c>
      <c r="N106" s="19"/>
      <c r="O106" s="19"/>
      <c r="P106" s="146"/>
      <c r="Q106" s="186"/>
      <c r="R106" s="186"/>
      <c r="S106" s="186"/>
      <c r="T106" s="239">
        <v>1</v>
      </c>
      <c r="U106" s="184"/>
      <c r="V106" s="229"/>
      <c r="W106" s="185">
        <f>J106-(T106*($M$2-$K$1)+(U106*($M$2-$M$1)))</f>
        <v>5201.0000000000009</v>
      </c>
      <c r="X106" s="182">
        <f>H106*$M$2</f>
        <v>5175.6000000000004</v>
      </c>
    </row>
    <row r="107" spans="1:30" ht="14.25" customHeight="1" x14ac:dyDescent="0.25">
      <c r="A107" s="253"/>
      <c r="B107" s="295">
        <v>33</v>
      </c>
      <c r="C107" s="295">
        <v>3</v>
      </c>
      <c r="D107" s="138">
        <f>'Data Ocupacion'!AF33</f>
        <v>34</v>
      </c>
      <c r="E107" s="138">
        <f>'Data Ocupacion'!AG33</f>
        <v>2</v>
      </c>
      <c r="F107" s="125" t="s">
        <v>36</v>
      </c>
      <c r="G107" s="125">
        <f t="shared" si="90"/>
        <v>38</v>
      </c>
      <c r="H107" s="125">
        <f t="shared" si="94"/>
        <v>39</v>
      </c>
      <c r="I107" s="125">
        <f t="shared" si="91"/>
        <v>36</v>
      </c>
      <c r="J107" s="125">
        <f>G107*M$1</f>
        <v>1106.18</v>
      </c>
      <c r="K107" s="153">
        <f>I107*M$1</f>
        <v>1047.96</v>
      </c>
      <c r="L107" s="125">
        <f t="shared" si="92"/>
        <v>115042.72</v>
      </c>
      <c r="M107" s="125">
        <f t="shared" si="93"/>
        <v>3744</v>
      </c>
      <c r="N107" s="19"/>
      <c r="O107" s="19"/>
      <c r="P107" s="146"/>
      <c r="Q107" s="244">
        <v>2</v>
      </c>
      <c r="R107" s="187"/>
      <c r="S107" s="207"/>
      <c r="T107" s="188"/>
      <c r="U107" s="189"/>
      <c r="V107" s="189"/>
      <c r="W107" s="182">
        <f>J107-(Q107*($M$1-$K$1))</f>
        <v>1098.76</v>
      </c>
      <c r="X107" s="182">
        <f>H107*$M$1</f>
        <v>1135.29</v>
      </c>
    </row>
    <row r="108" spans="1:30" ht="15" customHeight="1" x14ac:dyDescent="0.25">
      <c r="A108" s="253"/>
      <c r="B108" s="295">
        <v>29</v>
      </c>
      <c r="C108" s="295">
        <v>3</v>
      </c>
      <c r="D108" s="138">
        <f>'Data Ocupacion'!AF34</f>
        <v>30</v>
      </c>
      <c r="E108" s="138">
        <f>'Data Ocupacion'!AG34</f>
        <v>2</v>
      </c>
      <c r="F108" s="125" t="s">
        <v>53</v>
      </c>
      <c r="G108" s="125">
        <f t="shared" si="90"/>
        <v>34</v>
      </c>
      <c r="H108" s="125">
        <f t="shared" si="94"/>
        <v>35</v>
      </c>
      <c r="I108" s="125">
        <f t="shared" si="91"/>
        <v>32</v>
      </c>
      <c r="J108" s="125">
        <f>G108*M$1</f>
        <v>989.74</v>
      </c>
      <c r="K108" s="153">
        <f>I108*M$1</f>
        <v>931.52</v>
      </c>
      <c r="L108" s="125">
        <f t="shared" si="92"/>
        <v>102932.96</v>
      </c>
      <c r="M108" s="125">
        <f t="shared" si="93"/>
        <v>3328</v>
      </c>
      <c r="N108" s="19"/>
      <c r="O108" s="19"/>
      <c r="P108" s="146"/>
      <c r="Q108" s="189"/>
      <c r="R108" s="189"/>
      <c r="S108" s="189"/>
      <c r="T108" s="189"/>
      <c r="U108" s="189"/>
      <c r="V108" s="189"/>
      <c r="W108" s="182">
        <f>J108</f>
        <v>989.74</v>
      </c>
      <c r="X108" s="182">
        <f>H108*$M$1</f>
        <v>1018.85</v>
      </c>
    </row>
    <row r="109" spans="1:30" ht="15" customHeight="1" x14ac:dyDescent="0.25">
      <c r="A109" s="253"/>
      <c r="B109" s="295">
        <v>0</v>
      </c>
      <c r="C109" s="295">
        <v>0</v>
      </c>
      <c r="D109" s="126">
        <f>'Data Ocupacion'!AF35</f>
        <v>0</v>
      </c>
      <c r="E109" s="126">
        <f>'Data Ocupacion'!AG35</f>
        <v>0</v>
      </c>
      <c r="F109" s="125" t="s">
        <v>122</v>
      </c>
      <c r="G109" s="125">
        <f t="shared" si="90"/>
        <v>0</v>
      </c>
      <c r="H109" s="125">
        <f t="shared" si="94"/>
        <v>0</v>
      </c>
      <c r="I109" s="125">
        <f t="shared" si="91"/>
        <v>0</v>
      </c>
      <c r="J109" s="125">
        <f>G109*K$1</f>
        <v>0</v>
      </c>
      <c r="K109" s="153">
        <f>I109*K$1</f>
        <v>0</v>
      </c>
      <c r="L109" s="125">
        <f t="shared" si="92"/>
        <v>0</v>
      </c>
      <c r="M109" s="125">
        <f t="shared" si="93"/>
        <v>0</v>
      </c>
      <c r="N109" s="19"/>
      <c r="O109" s="19"/>
      <c r="P109" s="146"/>
      <c r="Q109" s="189"/>
      <c r="R109" s="189"/>
      <c r="S109" s="189"/>
      <c r="T109" s="189"/>
      <c r="U109" s="189"/>
      <c r="V109" s="189"/>
      <c r="W109" s="182">
        <f>J109</f>
        <v>0</v>
      </c>
      <c r="X109" s="182">
        <f>H109*$K$1</f>
        <v>0</v>
      </c>
    </row>
    <row r="110" spans="1:30" ht="15" customHeight="1" thickBot="1" x14ac:dyDescent="0.3">
      <c r="A110" s="253"/>
      <c r="B110" s="295">
        <v>4</v>
      </c>
      <c r="C110" s="295">
        <v>0</v>
      </c>
      <c r="D110" s="295">
        <f>'Data Ocupacion'!AF36</f>
        <v>4</v>
      </c>
      <c r="E110" s="295">
        <f>'Data Ocupacion'!AG36</f>
        <v>0</v>
      </c>
      <c r="F110" s="125" t="s">
        <v>35</v>
      </c>
      <c r="G110" s="125">
        <f t="shared" si="90"/>
        <v>4</v>
      </c>
      <c r="H110" s="125">
        <f t="shared" si="94"/>
        <v>4</v>
      </c>
      <c r="I110" s="125">
        <f t="shared" si="91"/>
        <v>4</v>
      </c>
      <c r="J110" s="125">
        <f>G110*K$1</f>
        <v>101.6</v>
      </c>
      <c r="K110" s="153">
        <f>I110*K$1</f>
        <v>101.6</v>
      </c>
      <c r="L110" s="125">
        <f t="shared" si="92"/>
        <v>10566.4</v>
      </c>
      <c r="M110" s="125">
        <f t="shared" si="93"/>
        <v>416</v>
      </c>
      <c r="N110" s="19"/>
      <c r="O110" s="19"/>
      <c r="P110" s="146"/>
      <c r="Q110" s="189"/>
      <c r="R110" s="189"/>
      <c r="S110" s="189"/>
      <c r="T110" s="189"/>
      <c r="U110" s="189"/>
      <c r="V110" s="189"/>
      <c r="W110" s="182">
        <f>J110</f>
        <v>101.6</v>
      </c>
      <c r="X110" s="182">
        <f>H110*$K$1</f>
        <v>101.6</v>
      </c>
    </row>
    <row r="111" spans="1:30" s="124" customFormat="1" ht="15" customHeight="1" thickBot="1" x14ac:dyDescent="0.3">
      <c r="A111" s="20"/>
      <c r="B111" s="119">
        <f>SUM(B105:B110)</f>
        <v>140</v>
      </c>
      <c r="C111" s="119">
        <f>SUM(C105:C110)</f>
        <v>89</v>
      </c>
      <c r="D111" s="152">
        <f>SUM(D105:D110)</f>
        <v>140</v>
      </c>
      <c r="E111" s="152">
        <f>SUM(E105:E110)</f>
        <v>89</v>
      </c>
      <c r="F111" s="119"/>
      <c r="G111" s="119">
        <f t="shared" ref="G111:M111" si="95">SUM(G105:G110)</f>
        <v>318</v>
      </c>
      <c r="H111" s="119">
        <f t="shared" si="95"/>
        <v>318</v>
      </c>
      <c r="I111" s="119">
        <f t="shared" si="95"/>
        <v>229</v>
      </c>
      <c r="J111" s="120">
        <f t="shared" si="95"/>
        <v>12634.980000000001</v>
      </c>
      <c r="K111" s="119">
        <f t="shared" si="95"/>
        <v>8852.49</v>
      </c>
      <c r="L111" s="118">
        <f t="shared" si="95"/>
        <v>1314037.92</v>
      </c>
      <c r="M111" s="151">
        <f t="shared" si="95"/>
        <v>23816</v>
      </c>
      <c r="N111" s="123">
        <f>'Odometro-Kilometraje'!P88</f>
        <v>13020</v>
      </c>
      <c r="O111" s="21">
        <f>(W111/N111)*100</f>
        <v>96.577342549923202</v>
      </c>
      <c r="P111" s="192"/>
      <c r="Q111" s="181"/>
      <c r="R111" s="181"/>
      <c r="S111" s="181"/>
      <c r="T111" s="181"/>
      <c r="U111" s="181"/>
      <c r="V111" s="181"/>
      <c r="W111" s="193">
        <f>SUM(W105:W110)</f>
        <v>12574.37</v>
      </c>
      <c r="X111" s="193">
        <f>SUM(X105:X110)</f>
        <v>12606.940000000002</v>
      </c>
    </row>
    <row r="112" spans="1:30" ht="16.149999999999999" customHeight="1" x14ac:dyDescent="0.25">
      <c r="A112" s="60">
        <f>A105+1</f>
        <v>46158</v>
      </c>
      <c r="B112" s="116">
        <v>69</v>
      </c>
      <c r="C112" s="116">
        <v>3</v>
      </c>
      <c r="D112" s="147">
        <f>'Data Ocupacion'!AH31</f>
        <v>69</v>
      </c>
      <c r="E112" s="147">
        <f>'Data Ocupacion'!AI31</f>
        <v>3</v>
      </c>
      <c r="F112" s="320" t="s">
        <v>38</v>
      </c>
      <c r="G112" s="321">
        <f t="shared" ref="G112:G117" si="96">D112+E112*2</f>
        <v>75</v>
      </c>
      <c r="H112" s="116">
        <f>B112+C112*2</f>
        <v>75</v>
      </c>
      <c r="I112" s="322">
        <f t="shared" ref="I112:I117" si="97">D112+E112</f>
        <v>72</v>
      </c>
      <c r="J112" s="322">
        <f>G112*M$2</f>
        <v>3234.75</v>
      </c>
      <c r="K112" s="153">
        <f>I112*M$2</f>
        <v>3105.36</v>
      </c>
      <c r="L112" s="116">
        <f t="shared" ref="L112:L117" si="98">J112*104</f>
        <v>336414</v>
      </c>
      <c r="M112" s="116">
        <f t="shared" ref="M112:M117" si="99">I112*104</f>
        <v>7488</v>
      </c>
      <c r="N112" s="19"/>
      <c r="O112" s="19"/>
      <c r="P112" s="146"/>
      <c r="Q112" s="183"/>
      <c r="R112" s="183"/>
      <c r="S112" s="206"/>
      <c r="T112" s="244"/>
      <c r="U112" s="191"/>
      <c r="V112" s="228"/>
      <c r="W112" s="182">
        <f>J112-(Q112*($M$2-$K$1))-(R112*($M$2-$M$1))- (S112*($M$2-$I$2))+ (T112*($G$2))</f>
        <v>3234.75</v>
      </c>
      <c r="X112" s="182">
        <f>H112*$M$2</f>
        <v>3234.75</v>
      </c>
    </row>
    <row r="113" spans="1:26" ht="15" customHeight="1" x14ac:dyDescent="0.25">
      <c r="A113" s="202"/>
      <c r="B113" s="116">
        <v>75</v>
      </c>
      <c r="C113" s="116">
        <v>0</v>
      </c>
      <c r="D113" s="147">
        <f>'Data Ocupacion'!AH32</f>
        <v>75</v>
      </c>
      <c r="E113" s="147">
        <f>'Data Ocupacion'!AI32</f>
        <v>0</v>
      </c>
      <c r="F113" s="320" t="s">
        <v>52</v>
      </c>
      <c r="G113" s="321">
        <f t="shared" si="96"/>
        <v>75</v>
      </c>
      <c r="H113" s="116">
        <f t="shared" ref="H113:H117" si="100">B113+C113*2</f>
        <v>75</v>
      </c>
      <c r="I113" s="116">
        <f t="shared" si="97"/>
        <v>75</v>
      </c>
      <c r="J113" s="116">
        <f>G113*M$2</f>
        <v>3234.75</v>
      </c>
      <c r="K113" s="153">
        <f>I113*M$2</f>
        <v>3234.75</v>
      </c>
      <c r="L113" s="116">
        <f t="shared" si="98"/>
        <v>336414</v>
      </c>
      <c r="M113" s="116">
        <f t="shared" si="99"/>
        <v>7800</v>
      </c>
      <c r="N113" s="19"/>
      <c r="O113" s="19"/>
      <c r="P113" s="146"/>
      <c r="Q113" s="186"/>
      <c r="R113" s="186"/>
      <c r="S113" s="186"/>
      <c r="T113" s="183"/>
      <c r="U113" s="204"/>
      <c r="V113" s="229"/>
      <c r="W113" s="185">
        <f>J113-(T113*($M$2-$K$1)+(U113*($M$2-$M$1)))</f>
        <v>3234.75</v>
      </c>
      <c r="X113" s="182">
        <f>H113*$M$2</f>
        <v>3234.75</v>
      </c>
      <c r="Y113" s="172"/>
    </row>
    <row r="114" spans="1:26" ht="18" customHeight="1" x14ac:dyDescent="0.25">
      <c r="A114" s="202"/>
      <c r="B114" s="116">
        <v>0</v>
      </c>
      <c r="C114" s="116">
        <v>0</v>
      </c>
      <c r="D114" s="147">
        <f>'Data Ocupacion'!AH33</f>
        <v>0</v>
      </c>
      <c r="E114" s="147">
        <f>'Data Ocupacion'!AI33</f>
        <v>0</v>
      </c>
      <c r="F114" s="320" t="s">
        <v>36</v>
      </c>
      <c r="G114" s="321">
        <f t="shared" si="96"/>
        <v>0</v>
      </c>
      <c r="H114" s="116">
        <f t="shared" si="100"/>
        <v>0</v>
      </c>
      <c r="I114" s="116">
        <f t="shared" si="97"/>
        <v>0</v>
      </c>
      <c r="J114" s="116">
        <f>G114*M$1</f>
        <v>0</v>
      </c>
      <c r="K114" s="153">
        <f>I114*M$1</f>
        <v>0</v>
      </c>
      <c r="L114" s="116">
        <f t="shared" si="98"/>
        <v>0</v>
      </c>
      <c r="M114" s="116">
        <f t="shared" si="99"/>
        <v>0</v>
      </c>
      <c r="N114" s="19"/>
      <c r="O114" s="19"/>
      <c r="P114" s="146"/>
      <c r="Q114" s="244"/>
      <c r="R114" s="187"/>
      <c r="S114" s="207"/>
      <c r="T114" s="188"/>
      <c r="U114" s="189"/>
      <c r="V114" s="189"/>
      <c r="W114" s="182">
        <f>J114-(Q114*($M$1-$K$1))</f>
        <v>0</v>
      </c>
      <c r="X114" s="182">
        <f>H114*$M$1</f>
        <v>0</v>
      </c>
    </row>
    <row r="115" spans="1:26" ht="16.149999999999999" customHeight="1" x14ac:dyDescent="0.25">
      <c r="A115" s="202"/>
      <c r="B115" s="116">
        <v>0</v>
      </c>
      <c r="C115" s="116">
        <v>0</v>
      </c>
      <c r="D115" s="147">
        <f>'Data Ocupacion'!AH34</f>
        <v>0</v>
      </c>
      <c r="E115" s="147">
        <f>'Data Ocupacion'!AI34</f>
        <v>0</v>
      </c>
      <c r="F115" s="320" t="s">
        <v>53</v>
      </c>
      <c r="G115" s="321">
        <f t="shared" si="96"/>
        <v>0</v>
      </c>
      <c r="H115" s="116">
        <f t="shared" si="100"/>
        <v>0</v>
      </c>
      <c r="I115" s="116">
        <f t="shared" si="97"/>
        <v>0</v>
      </c>
      <c r="J115" s="116">
        <f>G115*M$1</f>
        <v>0</v>
      </c>
      <c r="K115" s="153">
        <f>I115*M$1</f>
        <v>0</v>
      </c>
      <c r="L115" s="116">
        <f t="shared" si="98"/>
        <v>0</v>
      </c>
      <c r="M115" s="116">
        <f t="shared" si="99"/>
        <v>0</v>
      </c>
      <c r="N115" s="19"/>
      <c r="O115" s="19"/>
      <c r="P115" s="146"/>
      <c r="Q115" s="189"/>
      <c r="R115" s="189"/>
      <c r="S115" s="189"/>
      <c r="T115" s="189"/>
      <c r="U115" s="189"/>
      <c r="V115" s="189"/>
      <c r="W115" s="182">
        <f>J115</f>
        <v>0</v>
      </c>
      <c r="X115" s="182">
        <f>H115*$M$1</f>
        <v>0</v>
      </c>
    </row>
    <row r="116" spans="1:26" ht="15" customHeight="1" x14ac:dyDescent="0.25">
      <c r="A116" s="202"/>
      <c r="B116" s="116">
        <v>0</v>
      </c>
      <c r="C116" s="116">
        <v>0</v>
      </c>
      <c r="D116" s="147">
        <f>'Data Ocupacion'!AH35</f>
        <v>0</v>
      </c>
      <c r="E116" s="147">
        <f>'Data Ocupacion'!AI35</f>
        <v>0</v>
      </c>
      <c r="F116" s="320" t="s">
        <v>122</v>
      </c>
      <c r="G116" s="321">
        <f t="shared" si="96"/>
        <v>0</v>
      </c>
      <c r="H116" s="116">
        <f t="shared" si="100"/>
        <v>0</v>
      </c>
      <c r="I116" s="116">
        <f t="shared" si="97"/>
        <v>0</v>
      </c>
      <c r="J116" s="323">
        <f>G116*K$1</f>
        <v>0</v>
      </c>
      <c r="K116" s="153">
        <f>I116*K$1</f>
        <v>0</v>
      </c>
      <c r="L116" s="116">
        <f t="shared" si="98"/>
        <v>0</v>
      </c>
      <c r="M116" s="116">
        <f t="shared" si="99"/>
        <v>0</v>
      </c>
      <c r="N116" s="19"/>
      <c r="O116" s="19"/>
      <c r="P116" s="146"/>
      <c r="Q116" s="189"/>
      <c r="R116" s="189"/>
      <c r="S116" s="189"/>
      <c r="T116" s="189"/>
      <c r="U116" s="189"/>
      <c r="V116" s="189"/>
      <c r="W116" s="182">
        <f>J116</f>
        <v>0</v>
      </c>
      <c r="X116" s="182">
        <f>H116*$K$1</f>
        <v>0</v>
      </c>
    </row>
    <row r="117" spans="1:26" ht="15" customHeight="1" thickBot="1" x14ac:dyDescent="0.3">
      <c r="A117" s="202"/>
      <c r="B117" s="116">
        <v>0</v>
      </c>
      <c r="C117" s="116">
        <v>0</v>
      </c>
      <c r="D117" s="147">
        <f>'Data Ocupacion'!AH36</f>
        <v>0</v>
      </c>
      <c r="E117" s="147">
        <f>'Data Ocupacion'!AI36</f>
        <v>0</v>
      </c>
      <c r="F117" s="320" t="s">
        <v>35</v>
      </c>
      <c r="G117" s="321">
        <f t="shared" si="96"/>
        <v>0</v>
      </c>
      <c r="H117" s="116">
        <f t="shared" si="100"/>
        <v>0</v>
      </c>
      <c r="I117" s="324">
        <f t="shared" si="97"/>
        <v>0</v>
      </c>
      <c r="J117" s="324">
        <f>G117*K$1</f>
        <v>0</v>
      </c>
      <c r="K117" s="153">
        <f>I117*K$1</f>
        <v>0</v>
      </c>
      <c r="L117" s="116">
        <f t="shared" si="98"/>
        <v>0</v>
      </c>
      <c r="M117" s="116">
        <f t="shared" si="99"/>
        <v>0</v>
      </c>
      <c r="N117" s="19"/>
      <c r="O117" s="19"/>
      <c r="P117" s="146"/>
      <c r="Q117" s="189"/>
      <c r="R117" s="189"/>
      <c r="S117" s="189"/>
      <c r="T117" s="189"/>
      <c r="U117" s="189"/>
      <c r="V117" s="189"/>
      <c r="W117" s="182">
        <f>J117</f>
        <v>0</v>
      </c>
      <c r="X117" s="182">
        <f>H117*$K$1</f>
        <v>0</v>
      </c>
    </row>
    <row r="118" spans="1:26" s="124" customFormat="1" ht="15" customHeight="1" thickBot="1" x14ac:dyDescent="0.3">
      <c r="A118" s="20"/>
      <c r="B118" s="119">
        <f>SUM(B112:B117)</f>
        <v>144</v>
      </c>
      <c r="C118" s="119">
        <f>SUM(C112:C117)</f>
        <v>3</v>
      </c>
      <c r="D118" s="148">
        <f>SUM(D112:D117)</f>
        <v>144</v>
      </c>
      <c r="E118" s="148">
        <f>SUM(E112:E117)</f>
        <v>3</v>
      </c>
      <c r="F118" s="119"/>
      <c r="G118" s="119">
        <f t="shared" ref="G118:M118" si="101">SUM(G112:G117)</f>
        <v>150</v>
      </c>
      <c r="H118" s="119">
        <f t="shared" si="101"/>
        <v>150</v>
      </c>
      <c r="I118" s="119">
        <f t="shared" si="101"/>
        <v>147</v>
      </c>
      <c r="J118" s="120">
        <f t="shared" si="101"/>
        <v>6469.5</v>
      </c>
      <c r="K118" s="119">
        <f t="shared" si="101"/>
        <v>6340.1100000000006</v>
      </c>
      <c r="L118" s="119">
        <f t="shared" si="101"/>
        <v>672828</v>
      </c>
      <c r="M118" s="119">
        <f t="shared" si="101"/>
        <v>15288</v>
      </c>
      <c r="N118" s="123">
        <f>'Odometro-Kilometraje'!Q88</f>
        <v>6569</v>
      </c>
      <c r="O118" s="21">
        <f>(W118/N118)*100</f>
        <v>98.485309788400059</v>
      </c>
      <c r="P118" s="192"/>
      <c r="Q118" s="181"/>
      <c r="R118" s="181"/>
      <c r="S118" s="181"/>
      <c r="T118" s="181"/>
      <c r="U118" s="181"/>
      <c r="V118" s="181"/>
      <c r="W118" s="193">
        <f>SUM(W112:W117)</f>
        <v>6469.5</v>
      </c>
      <c r="X118" s="193">
        <f>SUM(X112:X117)</f>
        <v>6469.5</v>
      </c>
    </row>
    <row r="119" spans="1:26" ht="16.149999999999999" customHeight="1" x14ac:dyDescent="0.25">
      <c r="A119" s="60">
        <f>A112+1</f>
        <v>46159</v>
      </c>
      <c r="B119" s="218">
        <v>51</v>
      </c>
      <c r="C119" s="218">
        <v>3</v>
      </c>
      <c r="D119" s="138">
        <f>'Data Ocupacion'!AJ31</f>
        <v>51</v>
      </c>
      <c r="E119" s="138">
        <f>'Data Ocupacion'!AK31</f>
        <v>3</v>
      </c>
      <c r="F119" s="332" t="s">
        <v>38</v>
      </c>
      <c r="G119" s="333">
        <f t="shared" ref="G119:G124" si="102">D119+E119*2</f>
        <v>57</v>
      </c>
      <c r="H119" s="218">
        <f>B119+C119*2</f>
        <v>57</v>
      </c>
      <c r="I119" s="334">
        <f t="shared" ref="I119:I124" si="103">D119+E119</f>
        <v>54</v>
      </c>
      <c r="J119" s="334">
        <f>G119*M$2</f>
        <v>2458.4100000000003</v>
      </c>
      <c r="K119" s="153">
        <f>I119*M$2</f>
        <v>2329.02</v>
      </c>
      <c r="L119" s="218">
        <f t="shared" ref="L119:L124" si="104">J119*104</f>
        <v>255674.64000000004</v>
      </c>
      <c r="M119" s="218">
        <f t="shared" ref="M119:M124" si="105">I119*104</f>
        <v>5616</v>
      </c>
      <c r="N119" s="19"/>
      <c r="O119" s="19"/>
      <c r="P119" s="146"/>
      <c r="Q119" s="183"/>
      <c r="R119" s="183"/>
      <c r="S119" s="206"/>
      <c r="T119" s="285"/>
      <c r="U119" s="191"/>
      <c r="V119" s="228"/>
      <c r="W119" s="182">
        <f>J119-(Q119*($M$2-$K$1))-(R119*($M$2-$M$1))- (S119*($M$2-$I$2))+ (T119*($G$2))</f>
        <v>2458.4100000000003</v>
      </c>
      <c r="X119" s="182">
        <f>H119*$M$2</f>
        <v>2458.4100000000003</v>
      </c>
    </row>
    <row r="120" spans="1:26" ht="15" customHeight="1" x14ac:dyDescent="0.25">
      <c r="A120" s="253"/>
      <c r="B120" s="218">
        <v>57</v>
      </c>
      <c r="C120" s="218">
        <v>0</v>
      </c>
      <c r="D120" s="138">
        <f>'Data Ocupacion'!AJ32</f>
        <v>57</v>
      </c>
      <c r="E120" s="138">
        <f>'Data Ocupacion'!AK32</f>
        <v>0</v>
      </c>
      <c r="F120" s="332" t="s">
        <v>52</v>
      </c>
      <c r="G120" s="333">
        <f t="shared" si="102"/>
        <v>57</v>
      </c>
      <c r="H120" s="218">
        <f t="shared" ref="H120:H124" si="106">B120+C120*2</f>
        <v>57</v>
      </c>
      <c r="I120" s="218">
        <f t="shared" si="103"/>
        <v>57</v>
      </c>
      <c r="J120" s="218">
        <f>G120*M$2</f>
        <v>2458.4100000000003</v>
      </c>
      <c r="K120" s="153">
        <f>I120*M$2</f>
        <v>2458.4100000000003</v>
      </c>
      <c r="L120" s="218">
        <f t="shared" si="104"/>
        <v>255674.64000000004</v>
      </c>
      <c r="M120" s="218">
        <f t="shared" si="105"/>
        <v>5928</v>
      </c>
      <c r="N120" s="19"/>
      <c r="O120" s="19"/>
      <c r="P120" s="146"/>
      <c r="Q120" s="186"/>
      <c r="R120" s="186"/>
      <c r="S120" s="217"/>
      <c r="T120" s="183"/>
      <c r="U120" s="217"/>
      <c r="V120" s="229"/>
      <c r="W120" s="185">
        <f>J120-(T120*($M$2-$K$1)+(U120*($M$2-$M$1)))</f>
        <v>2458.4100000000003</v>
      </c>
      <c r="X120" s="182">
        <f>H120*$M$2</f>
        <v>2458.4100000000003</v>
      </c>
      <c r="Y120" s="172"/>
    </row>
    <row r="121" spans="1:26" ht="15" customHeight="1" x14ac:dyDescent="0.25">
      <c r="A121" s="253"/>
      <c r="B121" s="218">
        <v>0</v>
      </c>
      <c r="C121" s="218">
        <v>0</v>
      </c>
      <c r="D121" s="138">
        <f>'Data Ocupacion'!AJ33</f>
        <v>0</v>
      </c>
      <c r="E121" s="138">
        <f>'Data Ocupacion'!AK33</f>
        <v>0</v>
      </c>
      <c r="F121" s="332" t="s">
        <v>36</v>
      </c>
      <c r="G121" s="333">
        <f t="shared" si="102"/>
        <v>0</v>
      </c>
      <c r="H121" s="218">
        <f t="shared" si="106"/>
        <v>0</v>
      </c>
      <c r="I121" s="218">
        <f t="shared" si="103"/>
        <v>0</v>
      </c>
      <c r="J121" s="218">
        <f>G121*M$1</f>
        <v>0</v>
      </c>
      <c r="K121" s="153">
        <f>I121*M$1</f>
        <v>0</v>
      </c>
      <c r="L121" s="218">
        <f t="shared" si="104"/>
        <v>0</v>
      </c>
      <c r="M121" s="218">
        <f t="shared" si="105"/>
        <v>0</v>
      </c>
      <c r="N121" s="19"/>
      <c r="O121" s="19"/>
      <c r="P121" s="146"/>
      <c r="Q121" s="244"/>
      <c r="R121" s="190"/>
      <c r="S121" s="228"/>
      <c r="T121" s="186"/>
      <c r="U121" s="189"/>
      <c r="V121" s="189"/>
      <c r="W121" s="182">
        <f>J121-(Q121*($M$1-$K$1))</f>
        <v>0</v>
      </c>
      <c r="X121" s="182">
        <f>H121*$M$1</f>
        <v>0</v>
      </c>
    </row>
    <row r="122" spans="1:26" ht="15" customHeight="1" x14ac:dyDescent="0.25">
      <c r="A122" s="253"/>
      <c r="B122" s="218">
        <v>0</v>
      </c>
      <c r="C122" s="218">
        <v>0</v>
      </c>
      <c r="D122" s="138">
        <f>'Data Ocupacion'!AJ34</f>
        <v>0</v>
      </c>
      <c r="E122" s="138">
        <f>'Data Ocupacion'!AK34</f>
        <v>0</v>
      </c>
      <c r="F122" s="332" t="s">
        <v>53</v>
      </c>
      <c r="G122" s="333">
        <f t="shared" si="102"/>
        <v>0</v>
      </c>
      <c r="H122" s="218">
        <f t="shared" si="106"/>
        <v>0</v>
      </c>
      <c r="I122" s="218">
        <f t="shared" si="103"/>
        <v>0</v>
      </c>
      <c r="J122" s="218">
        <f>G122*M$1</f>
        <v>0</v>
      </c>
      <c r="K122" s="153">
        <f>I122*M$1</f>
        <v>0</v>
      </c>
      <c r="L122" s="218">
        <f t="shared" si="104"/>
        <v>0</v>
      </c>
      <c r="M122" s="218">
        <f t="shared" si="105"/>
        <v>0</v>
      </c>
      <c r="N122" s="19"/>
      <c r="O122" s="19"/>
      <c r="P122" s="146"/>
      <c r="Q122" s="189"/>
      <c r="R122" s="189"/>
      <c r="S122" s="189"/>
      <c r="T122" s="189"/>
      <c r="U122" s="189"/>
      <c r="V122" s="189"/>
      <c r="W122" s="182">
        <f>J122</f>
        <v>0</v>
      </c>
      <c r="X122" s="182">
        <f>H122*$M$1</f>
        <v>0</v>
      </c>
      <c r="Z122" s="198"/>
    </row>
    <row r="123" spans="1:26" ht="15" customHeight="1" x14ac:dyDescent="0.25">
      <c r="A123" s="253"/>
      <c r="B123" s="218">
        <v>0</v>
      </c>
      <c r="C123" s="218">
        <v>0</v>
      </c>
      <c r="D123" s="138">
        <f>'Data Ocupacion'!AJ35</f>
        <v>0</v>
      </c>
      <c r="E123" s="138">
        <f>'Data Ocupacion'!AK35</f>
        <v>0</v>
      </c>
      <c r="F123" s="332" t="s">
        <v>122</v>
      </c>
      <c r="G123" s="333">
        <f t="shared" si="102"/>
        <v>0</v>
      </c>
      <c r="H123" s="218">
        <f t="shared" si="106"/>
        <v>0</v>
      </c>
      <c r="I123" s="218">
        <f t="shared" si="103"/>
        <v>0</v>
      </c>
      <c r="J123" s="335">
        <f>G123*K$1</f>
        <v>0</v>
      </c>
      <c r="K123" s="153">
        <f>I123*K$1</f>
        <v>0</v>
      </c>
      <c r="L123" s="218">
        <f t="shared" si="104"/>
        <v>0</v>
      </c>
      <c r="M123" s="218">
        <f t="shared" si="105"/>
        <v>0</v>
      </c>
      <c r="N123" s="19"/>
      <c r="O123" s="19"/>
      <c r="P123" s="146"/>
      <c r="Q123" s="189"/>
      <c r="R123" s="189"/>
      <c r="S123" s="189"/>
      <c r="T123" s="189"/>
      <c r="U123" s="189"/>
      <c r="V123" s="189"/>
      <c r="W123" s="182">
        <f>J123</f>
        <v>0</v>
      </c>
      <c r="X123" s="182">
        <f>H123*$K$1</f>
        <v>0</v>
      </c>
    </row>
    <row r="124" spans="1:26" ht="14.25" customHeight="1" thickBot="1" x14ac:dyDescent="0.3">
      <c r="A124" s="253"/>
      <c r="B124" s="218">
        <v>0</v>
      </c>
      <c r="C124" s="218">
        <v>0</v>
      </c>
      <c r="D124" s="138">
        <f>'Data Ocupacion'!AJ36</f>
        <v>0</v>
      </c>
      <c r="E124" s="138">
        <f>'Data Ocupacion'!AK36</f>
        <v>0</v>
      </c>
      <c r="F124" s="332" t="s">
        <v>35</v>
      </c>
      <c r="G124" s="333">
        <f t="shared" si="102"/>
        <v>0</v>
      </c>
      <c r="H124" s="218">
        <f t="shared" si="106"/>
        <v>0</v>
      </c>
      <c r="I124" s="336">
        <f t="shared" si="103"/>
        <v>0</v>
      </c>
      <c r="J124" s="336">
        <f>G124*K$1</f>
        <v>0</v>
      </c>
      <c r="K124" s="153">
        <f>I124*K$1</f>
        <v>0</v>
      </c>
      <c r="L124" s="218">
        <f t="shared" si="104"/>
        <v>0</v>
      </c>
      <c r="M124" s="218">
        <f t="shared" si="105"/>
        <v>0</v>
      </c>
      <c r="N124" s="19"/>
      <c r="O124" s="19"/>
      <c r="P124" s="146"/>
      <c r="Q124" s="189"/>
      <c r="R124" s="189"/>
      <c r="S124" s="189"/>
      <c r="T124" s="189"/>
      <c r="U124" s="189"/>
      <c r="V124" s="189"/>
      <c r="W124" s="182">
        <f>J124</f>
        <v>0</v>
      </c>
      <c r="X124" s="182">
        <f>H124*$K$1</f>
        <v>0</v>
      </c>
    </row>
    <row r="125" spans="1:26" s="124" customFormat="1" ht="15" customHeight="1" thickBot="1" x14ac:dyDescent="0.3">
      <c r="A125" s="20"/>
      <c r="B125" s="119">
        <f>SUM(B119:B124)</f>
        <v>108</v>
      </c>
      <c r="C125" s="119">
        <f>SUM(C119:C124)</f>
        <v>3</v>
      </c>
      <c r="D125" s="148">
        <f>SUM(D119:D124)</f>
        <v>108</v>
      </c>
      <c r="E125" s="148">
        <f>SUM(E119:E124)</f>
        <v>3</v>
      </c>
      <c r="F125" s="119"/>
      <c r="G125" s="119">
        <f t="shared" ref="G125:M125" si="107">SUM(G119:G124)</f>
        <v>114</v>
      </c>
      <c r="H125" s="119">
        <f t="shared" si="107"/>
        <v>114</v>
      </c>
      <c r="I125" s="119">
        <f t="shared" si="107"/>
        <v>111</v>
      </c>
      <c r="J125" s="120">
        <f>SUM(J119:J124)</f>
        <v>4916.8200000000006</v>
      </c>
      <c r="K125" s="119">
        <f t="shared" si="107"/>
        <v>4787.43</v>
      </c>
      <c r="L125" s="119">
        <f t="shared" si="107"/>
        <v>511349.28000000009</v>
      </c>
      <c r="M125" s="119">
        <f t="shared" si="107"/>
        <v>11544</v>
      </c>
      <c r="N125" s="123">
        <f>'Odometro-Kilometraje'!R88</f>
        <v>5005</v>
      </c>
      <c r="O125" s="21">
        <f>(W125/N125)*100</f>
        <v>98.238161838161858</v>
      </c>
      <c r="P125" s="192"/>
      <c r="Q125" s="181"/>
      <c r="R125" s="181"/>
      <c r="S125" s="181"/>
      <c r="T125" s="181"/>
      <c r="U125" s="181"/>
      <c r="V125" s="181"/>
      <c r="W125" s="193">
        <f>SUM(W119:W124)</f>
        <v>4916.8200000000006</v>
      </c>
      <c r="X125" s="193">
        <f>SUM(X119:X124)</f>
        <v>4916.8200000000006</v>
      </c>
    </row>
    <row r="126" spans="1:26" ht="16.149999999999999" customHeight="1" x14ac:dyDescent="0.25">
      <c r="A126" s="60">
        <f>A119+1</f>
        <v>46160</v>
      </c>
      <c r="B126" s="295">
        <v>38</v>
      </c>
      <c r="C126" s="295">
        <v>41</v>
      </c>
      <c r="D126" s="126">
        <f>'Data Ocupacion'!AL31</f>
        <v>41</v>
      </c>
      <c r="E126" s="126">
        <f>'Data Ocupacion'!AM31</f>
        <v>39</v>
      </c>
      <c r="F126" s="125" t="s">
        <v>38</v>
      </c>
      <c r="G126" s="125">
        <f t="shared" ref="G126:G131" si="108">D126+E126*2</f>
        <v>119</v>
      </c>
      <c r="H126" s="125">
        <f>B126+C126*2</f>
        <v>120</v>
      </c>
      <c r="I126" s="125">
        <f t="shared" ref="I126:I131" si="109">D126+E126</f>
        <v>80</v>
      </c>
      <c r="J126" s="125">
        <f>G126*M$2</f>
        <v>5132.47</v>
      </c>
      <c r="K126" s="153">
        <f>I126*M$2</f>
        <v>3450.4</v>
      </c>
      <c r="L126" s="125">
        <f t="shared" ref="L126:L131" si="110">J126*104</f>
        <v>533776.88</v>
      </c>
      <c r="M126" s="125">
        <f t="shared" ref="M126:M131" si="111">I126*104</f>
        <v>8320</v>
      </c>
      <c r="N126" s="19"/>
      <c r="O126" s="19"/>
      <c r="P126" s="146"/>
      <c r="Q126" s="244">
        <v>4</v>
      </c>
      <c r="R126" s="183"/>
      <c r="S126" s="206"/>
      <c r="T126" s="285"/>
      <c r="U126" s="191"/>
      <c r="V126" s="228"/>
      <c r="W126" s="182">
        <f>J126-(Q126*($M$2-$K$1))-(R126*($M$2-$M$1))- (S126*($M$2-$I$2))+ (T126*($G$2))</f>
        <v>5061.55</v>
      </c>
      <c r="X126" s="182">
        <f>H126*$M$2</f>
        <v>5175.6000000000004</v>
      </c>
    </row>
    <row r="127" spans="1:26" ht="15" customHeight="1" x14ac:dyDescent="0.25">
      <c r="A127" s="202"/>
      <c r="B127" s="295">
        <v>36</v>
      </c>
      <c r="C127" s="295">
        <v>42</v>
      </c>
      <c r="D127" s="126">
        <f>'Data Ocupacion'!AL32</f>
        <v>38</v>
      </c>
      <c r="E127" s="126">
        <f>'Data Ocupacion'!AM32</f>
        <v>40</v>
      </c>
      <c r="F127" s="125" t="s">
        <v>52</v>
      </c>
      <c r="G127" s="125">
        <f t="shared" si="108"/>
        <v>118</v>
      </c>
      <c r="H127" s="125">
        <f t="shared" ref="H127:H131" si="112">B127+C127*2</f>
        <v>120</v>
      </c>
      <c r="I127" s="125">
        <f t="shared" si="109"/>
        <v>78</v>
      </c>
      <c r="J127" s="125">
        <f>G127*M$2</f>
        <v>5089.34</v>
      </c>
      <c r="K127" s="153">
        <f>I127*M$2</f>
        <v>3364.1400000000003</v>
      </c>
      <c r="L127" s="125">
        <f t="shared" si="110"/>
        <v>529291.36</v>
      </c>
      <c r="M127" s="125">
        <f t="shared" si="111"/>
        <v>8112</v>
      </c>
      <c r="N127" s="19"/>
      <c r="O127" s="19"/>
      <c r="P127" s="146"/>
      <c r="Q127" s="186"/>
      <c r="R127" s="186"/>
      <c r="S127" s="217"/>
      <c r="T127" s="183">
        <v>4</v>
      </c>
      <c r="U127" s="217"/>
      <c r="V127" s="229"/>
      <c r="W127" s="182">
        <f>J127-(Q127*($K$1)+(T127*($M$2-$K$1))+(U127*($M$2-$M$1)))</f>
        <v>5018.42</v>
      </c>
      <c r="X127" s="182">
        <f>H127*$M$2</f>
        <v>5175.6000000000004</v>
      </c>
    </row>
    <row r="128" spans="1:26" ht="15" customHeight="1" x14ac:dyDescent="0.25">
      <c r="A128" s="202"/>
      <c r="B128" s="295">
        <v>33</v>
      </c>
      <c r="C128" s="295">
        <v>3</v>
      </c>
      <c r="D128" s="126">
        <f>'Data Ocupacion'!AL33</f>
        <v>33</v>
      </c>
      <c r="E128" s="126">
        <f>'Data Ocupacion'!AM33</f>
        <v>2</v>
      </c>
      <c r="F128" s="125" t="s">
        <v>36</v>
      </c>
      <c r="G128" s="125">
        <f t="shared" si="108"/>
        <v>37</v>
      </c>
      <c r="H128" s="125">
        <f t="shared" si="112"/>
        <v>39</v>
      </c>
      <c r="I128" s="125">
        <f t="shared" si="109"/>
        <v>35</v>
      </c>
      <c r="J128" s="125">
        <f>G128*M$1</f>
        <v>1077.07</v>
      </c>
      <c r="K128" s="153">
        <f>I128*M$1</f>
        <v>1018.85</v>
      </c>
      <c r="L128" s="125">
        <f t="shared" si="110"/>
        <v>112015.28</v>
      </c>
      <c r="M128" s="125">
        <f t="shared" si="111"/>
        <v>3640</v>
      </c>
      <c r="N128" s="19"/>
      <c r="O128" s="19"/>
      <c r="P128" s="146"/>
      <c r="Q128" s="244">
        <v>2</v>
      </c>
      <c r="R128" s="190"/>
      <c r="S128" s="228"/>
      <c r="T128" s="186"/>
      <c r="U128" s="189"/>
      <c r="V128" s="189"/>
      <c r="W128" s="182">
        <f>J128-(Q128*($M$1-$K$1))</f>
        <v>1069.6499999999999</v>
      </c>
      <c r="X128" s="182">
        <f>H128*$M$1</f>
        <v>1135.29</v>
      </c>
    </row>
    <row r="129" spans="1:24" ht="15" customHeight="1" x14ac:dyDescent="0.25">
      <c r="A129" s="202"/>
      <c r="B129" s="295">
        <v>29</v>
      </c>
      <c r="C129" s="295">
        <v>3</v>
      </c>
      <c r="D129" s="126">
        <f>'Data Ocupacion'!AL34</f>
        <v>30</v>
      </c>
      <c r="E129" s="126">
        <f>'Data Ocupacion'!AM34</f>
        <v>2</v>
      </c>
      <c r="F129" s="125" t="s">
        <v>53</v>
      </c>
      <c r="G129" s="125">
        <f t="shared" si="108"/>
        <v>34</v>
      </c>
      <c r="H129" s="125">
        <f t="shared" si="112"/>
        <v>35</v>
      </c>
      <c r="I129" s="125">
        <f t="shared" si="109"/>
        <v>32</v>
      </c>
      <c r="J129" s="125">
        <f>G129*M$1</f>
        <v>989.74</v>
      </c>
      <c r="K129" s="153">
        <f>I129*M$1</f>
        <v>931.52</v>
      </c>
      <c r="L129" s="125">
        <f t="shared" si="110"/>
        <v>102932.96</v>
      </c>
      <c r="M129" s="125">
        <f t="shared" si="111"/>
        <v>3328</v>
      </c>
      <c r="N129" s="19"/>
      <c r="O129" s="19"/>
      <c r="P129" s="146"/>
      <c r="Q129" s="189"/>
      <c r="R129" s="189"/>
      <c r="S129" s="189"/>
      <c r="T129" s="189"/>
      <c r="U129" s="189"/>
      <c r="V129" s="189"/>
      <c r="W129" s="182">
        <f>J129</f>
        <v>989.74</v>
      </c>
      <c r="X129" s="182">
        <f>H129*$M$1</f>
        <v>1018.85</v>
      </c>
    </row>
    <row r="130" spans="1:24" s="124" customFormat="1" ht="15" customHeight="1" x14ac:dyDescent="0.25">
      <c r="A130" s="202"/>
      <c r="B130" s="295">
        <v>0</v>
      </c>
      <c r="C130" s="295">
        <v>0</v>
      </c>
      <c r="D130" s="126">
        <f>'Data Ocupacion'!AL35</f>
        <v>0</v>
      </c>
      <c r="E130" s="126">
        <f>'Data Ocupacion'!AM35</f>
        <v>0</v>
      </c>
      <c r="F130" s="125" t="s">
        <v>122</v>
      </c>
      <c r="G130" s="125">
        <f t="shared" si="108"/>
        <v>0</v>
      </c>
      <c r="H130" s="125">
        <f t="shared" si="112"/>
        <v>0</v>
      </c>
      <c r="I130" s="125">
        <f t="shared" si="109"/>
        <v>0</v>
      </c>
      <c r="J130" s="125">
        <f>G130*K$1</f>
        <v>0</v>
      </c>
      <c r="K130" s="153">
        <f>I130*K$1</f>
        <v>0</v>
      </c>
      <c r="L130" s="125">
        <f t="shared" si="110"/>
        <v>0</v>
      </c>
      <c r="M130" s="125">
        <f t="shared" si="111"/>
        <v>0</v>
      </c>
      <c r="N130" s="19"/>
      <c r="O130" s="19"/>
      <c r="P130" s="146"/>
      <c r="Q130" s="189"/>
      <c r="R130" s="189"/>
      <c r="S130" s="189"/>
      <c r="T130" s="189"/>
      <c r="U130" s="189"/>
      <c r="V130" s="189"/>
      <c r="W130" s="182">
        <f>J130</f>
        <v>0</v>
      </c>
      <c r="X130" s="182">
        <f>H130*$K$1</f>
        <v>0</v>
      </c>
    </row>
    <row r="131" spans="1:24" s="124" customFormat="1" ht="15" customHeight="1" thickBot="1" x14ac:dyDescent="0.3">
      <c r="A131" s="202"/>
      <c r="B131" s="295">
        <v>4</v>
      </c>
      <c r="C131" s="295">
        <v>0</v>
      </c>
      <c r="D131" s="126">
        <f>'Data Ocupacion'!AL36</f>
        <v>4</v>
      </c>
      <c r="E131" s="126">
        <f>'Data Ocupacion'!AM36</f>
        <v>0</v>
      </c>
      <c r="F131" s="125" t="s">
        <v>35</v>
      </c>
      <c r="G131" s="125">
        <f t="shared" si="108"/>
        <v>4</v>
      </c>
      <c r="H131" s="125">
        <f t="shared" si="112"/>
        <v>4</v>
      </c>
      <c r="I131" s="125">
        <f t="shared" si="109"/>
        <v>4</v>
      </c>
      <c r="J131" s="125">
        <f>G131*K$1</f>
        <v>101.6</v>
      </c>
      <c r="K131" s="153">
        <f>I131*K$1</f>
        <v>101.6</v>
      </c>
      <c r="L131" s="125">
        <f t="shared" si="110"/>
        <v>10566.4</v>
      </c>
      <c r="M131" s="125">
        <f t="shared" si="111"/>
        <v>416</v>
      </c>
      <c r="N131" s="19"/>
      <c r="O131" s="19"/>
      <c r="P131" s="146"/>
      <c r="Q131" s="189"/>
      <c r="R131" s="189"/>
      <c r="S131" s="189"/>
      <c r="T131" s="189"/>
      <c r="U131" s="189"/>
      <c r="V131" s="189"/>
      <c r="W131" s="182">
        <f>J131</f>
        <v>101.6</v>
      </c>
      <c r="X131" s="182">
        <f>H131*$K$1</f>
        <v>101.6</v>
      </c>
    </row>
    <row r="132" spans="1:24" s="124" customFormat="1" ht="15" customHeight="1" thickBot="1" x14ac:dyDescent="0.3">
      <c r="A132" s="20"/>
      <c r="B132" s="119">
        <f>SUM(B126:B131)</f>
        <v>140</v>
      </c>
      <c r="C132" s="119">
        <f>SUM(C126:C131)</f>
        <v>89</v>
      </c>
      <c r="D132" s="152">
        <f>SUM(D126:D131)</f>
        <v>146</v>
      </c>
      <c r="E132" s="152">
        <f>SUM(E126:E131)</f>
        <v>83</v>
      </c>
      <c r="F132" s="119"/>
      <c r="G132" s="119">
        <f t="shared" ref="G132:M132" si="113">SUM(G126:G131)</f>
        <v>312</v>
      </c>
      <c r="H132" s="119">
        <f t="shared" si="113"/>
        <v>318</v>
      </c>
      <c r="I132" s="119">
        <f t="shared" si="113"/>
        <v>229</v>
      </c>
      <c r="J132" s="120">
        <f t="shared" si="113"/>
        <v>12390.220000000001</v>
      </c>
      <c r="K132" s="119">
        <f t="shared" si="113"/>
        <v>8866.510000000002</v>
      </c>
      <c r="L132" s="118">
        <f t="shared" si="113"/>
        <v>1288582.8799999999</v>
      </c>
      <c r="M132" s="151">
        <f t="shared" si="113"/>
        <v>23816</v>
      </c>
      <c r="N132" s="123">
        <f>'Odometro-Kilometraje'!S88</f>
        <v>12820</v>
      </c>
      <c r="O132" s="21">
        <f>(W132/N132)*100</f>
        <v>95.483307332293293</v>
      </c>
      <c r="P132" s="192"/>
      <c r="Q132" s="181"/>
      <c r="R132" s="181"/>
      <c r="S132" s="181"/>
      <c r="T132" s="181"/>
      <c r="U132" s="181"/>
      <c r="V132" s="181"/>
      <c r="W132" s="193">
        <f>SUM(W126:W131)</f>
        <v>12240.960000000001</v>
      </c>
      <c r="X132" s="193">
        <f>SUM(X126:X131)</f>
        <v>12606.940000000002</v>
      </c>
    </row>
    <row r="133" spans="1:24" ht="15" customHeight="1" x14ac:dyDescent="0.25">
      <c r="A133" s="60">
        <f>A126+1</f>
        <v>46161</v>
      </c>
      <c r="B133" s="295">
        <v>38</v>
      </c>
      <c r="C133" s="295">
        <v>41</v>
      </c>
      <c r="D133" s="138">
        <f>'Data Ocupacion'!AN31</f>
        <v>39</v>
      </c>
      <c r="E133" s="138">
        <f>'Data Ocupacion'!AO31</f>
        <v>40</v>
      </c>
      <c r="F133" s="125" t="s">
        <v>38</v>
      </c>
      <c r="G133" s="125">
        <f t="shared" ref="G133:G138" si="114">D133+E133*2</f>
        <v>119</v>
      </c>
      <c r="H133" s="125">
        <f>B133+C133*2</f>
        <v>120</v>
      </c>
      <c r="I133" s="125">
        <f t="shared" ref="I133:I138" si="115">D133+E133</f>
        <v>79</v>
      </c>
      <c r="J133" s="125">
        <f>G133*M$2</f>
        <v>5132.47</v>
      </c>
      <c r="K133" s="153">
        <f>I133*M$2</f>
        <v>3407.27</v>
      </c>
      <c r="L133" s="125">
        <f t="shared" ref="L133:L138" si="116">J133*104</f>
        <v>533776.88</v>
      </c>
      <c r="M133" s="125">
        <f t="shared" ref="M133:M138" si="117">I133*104</f>
        <v>8216</v>
      </c>
      <c r="N133" s="19"/>
      <c r="O133" s="19"/>
      <c r="P133" s="146"/>
      <c r="Q133" s="183">
        <v>4</v>
      </c>
      <c r="R133" s="183"/>
      <c r="S133" s="206"/>
      <c r="T133" s="285"/>
      <c r="U133" s="191"/>
      <c r="V133" s="228"/>
      <c r="W133" s="182">
        <f>J133-(Q133*($M$2-$K$1))-(R133*($M$2-$M$1))- (S133*($M$2-$I$2))+ (T133*($G$2))</f>
        <v>5061.55</v>
      </c>
      <c r="X133" s="182">
        <f>H133*$M$2</f>
        <v>5175.6000000000004</v>
      </c>
    </row>
    <row r="134" spans="1:24" ht="15" customHeight="1" x14ac:dyDescent="0.25">
      <c r="A134" s="202"/>
      <c r="B134" s="295">
        <v>36</v>
      </c>
      <c r="C134" s="295">
        <v>42</v>
      </c>
      <c r="D134" s="138">
        <f>'Data Ocupacion'!AN32</f>
        <v>37</v>
      </c>
      <c r="E134" s="138">
        <f>'Data Ocupacion'!AO32</f>
        <v>41</v>
      </c>
      <c r="F134" s="125" t="s">
        <v>52</v>
      </c>
      <c r="G134" s="125">
        <f t="shared" si="114"/>
        <v>119</v>
      </c>
      <c r="H134" s="125">
        <f t="shared" ref="H134:H138" si="118">B134+C134*2</f>
        <v>120</v>
      </c>
      <c r="I134" s="125">
        <f t="shared" si="115"/>
        <v>78</v>
      </c>
      <c r="J134" s="125">
        <f>G134*M$2</f>
        <v>5132.47</v>
      </c>
      <c r="K134" s="153">
        <f>I134*M$2</f>
        <v>3364.1400000000003</v>
      </c>
      <c r="L134" s="125">
        <f t="shared" si="116"/>
        <v>533776.88</v>
      </c>
      <c r="M134" s="125">
        <f t="shared" si="117"/>
        <v>8112</v>
      </c>
      <c r="N134" s="19"/>
      <c r="O134" s="19"/>
      <c r="P134" s="146"/>
      <c r="Q134" s="186"/>
      <c r="R134" s="186"/>
      <c r="S134" s="217"/>
      <c r="T134" s="183">
        <v>3</v>
      </c>
      <c r="U134" s="217"/>
      <c r="V134" s="229"/>
      <c r="W134" s="185">
        <f>J134-(T134*($M$2-$K$1)+(U134*($M$2-$M$1)))</f>
        <v>5079.2800000000007</v>
      </c>
      <c r="X134" s="182">
        <f>H134*$M$2</f>
        <v>5175.6000000000004</v>
      </c>
    </row>
    <row r="135" spans="1:24" ht="15" customHeight="1" x14ac:dyDescent="0.25">
      <c r="A135" s="202"/>
      <c r="B135" s="295">
        <v>33</v>
      </c>
      <c r="C135" s="295">
        <v>3</v>
      </c>
      <c r="D135" s="138">
        <f>'Data Ocupacion'!AN33</f>
        <v>34</v>
      </c>
      <c r="E135" s="138">
        <f>'Data Ocupacion'!AO33</f>
        <v>2</v>
      </c>
      <c r="F135" s="125" t="s">
        <v>36</v>
      </c>
      <c r="G135" s="125">
        <f t="shared" si="114"/>
        <v>38</v>
      </c>
      <c r="H135" s="125">
        <f t="shared" si="118"/>
        <v>39</v>
      </c>
      <c r="I135" s="125">
        <f t="shared" si="115"/>
        <v>36</v>
      </c>
      <c r="J135" s="125">
        <f>G135*M$1</f>
        <v>1106.18</v>
      </c>
      <c r="K135" s="153">
        <f>I135*M$1</f>
        <v>1047.96</v>
      </c>
      <c r="L135" s="125">
        <f t="shared" si="116"/>
        <v>115042.72</v>
      </c>
      <c r="M135" s="125">
        <f t="shared" si="117"/>
        <v>3744</v>
      </c>
      <c r="N135" s="19"/>
      <c r="O135" s="19"/>
      <c r="P135" s="146"/>
      <c r="Q135" s="183">
        <v>2</v>
      </c>
      <c r="R135" s="190"/>
      <c r="S135" s="228"/>
      <c r="T135" s="186"/>
      <c r="U135" s="189"/>
      <c r="V135" s="189"/>
      <c r="W135" s="182">
        <f>J135-(Q135*($M$1-$K$1))</f>
        <v>1098.76</v>
      </c>
      <c r="X135" s="182">
        <f>H135*$M$1</f>
        <v>1135.29</v>
      </c>
    </row>
    <row r="136" spans="1:24" ht="15" customHeight="1" x14ac:dyDescent="0.25">
      <c r="A136" s="202"/>
      <c r="B136" s="295">
        <v>29</v>
      </c>
      <c r="C136" s="295">
        <v>3</v>
      </c>
      <c r="D136" s="138">
        <f>'Data Ocupacion'!AN34</f>
        <v>30</v>
      </c>
      <c r="E136" s="138">
        <f>'Data Ocupacion'!AO34</f>
        <v>2</v>
      </c>
      <c r="F136" s="125" t="s">
        <v>53</v>
      </c>
      <c r="G136" s="125">
        <f t="shared" si="114"/>
        <v>34</v>
      </c>
      <c r="H136" s="125">
        <f t="shared" si="118"/>
        <v>35</v>
      </c>
      <c r="I136" s="125">
        <f t="shared" si="115"/>
        <v>32</v>
      </c>
      <c r="J136" s="125">
        <f>G136*M$1</f>
        <v>989.74</v>
      </c>
      <c r="K136" s="153">
        <f>I136*M$1</f>
        <v>931.52</v>
      </c>
      <c r="L136" s="125">
        <f t="shared" si="116"/>
        <v>102932.96</v>
      </c>
      <c r="M136" s="125">
        <f t="shared" si="117"/>
        <v>3328</v>
      </c>
      <c r="N136" s="19"/>
      <c r="O136" s="19"/>
      <c r="P136" s="146"/>
      <c r="Q136" s="189"/>
      <c r="R136" s="189"/>
      <c r="S136" s="189"/>
      <c r="T136" s="189"/>
      <c r="U136" s="189"/>
      <c r="V136" s="189"/>
      <c r="W136" s="182">
        <f>J136</f>
        <v>989.74</v>
      </c>
      <c r="X136" s="182">
        <f>H136*$M$1</f>
        <v>1018.85</v>
      </c>
    </row>
    <row r="137" spans="1:24" ht="15" customHeight="1" x14ac:dyDescent="0.25">
      <c r="A137" s="202"/>
      <c r="B137" s="295">
        <v>0</v>
      </c>
      <c r="C137" s="295">
        <v>0</v>
      </c>
      <c r="D137" s="126">
        <f>'Data Ocupacion'!AN35</f>
        <v>0</v>
      </c>
      <c r="E137" s="126">
        <f>'Data Ocupacion'!AO35</f>
        <v>0</v>
      </c>
      <c r="F137" s="125" t="s">
        <v>122</v>
      </c>
      <c r="G137" s="125">
        <f t="shared" si="114"/>
        <v>0</v>
      </c>
      <c r="H137" s="125">
        <f t="shared" si="118"/>
        <v>0</v>
      </c>
      <c r="I137" s="125">
        <f t="shared" si="115"/>
        <v>0</v>
      </c>
      <c r="J137" s="125">
        <f>G137*K$1</f>
        <v>0</v>
      </c>
      <c r="K137" s="153">
        <f>I137*K$1</f>
        <v>0</v>
      </c>
      <c r="L137" s="125">
        <f t="shared" si="116"/>
        <v>0</v>
      </c>
      <c r="M137" s="125">
        <f t="shared" si="117"/>
        <v>0</v>
      </c>
      <c r="N137" s="19"/>
      <c r="O137" s="19"/>
      <c r="P137" s="146"/>
      <c r="Q137" s="189"/>
      <c r="R137" s="189"/>
      <c r="S137" s="189"/>
      <c r="T137" s="189"/>
      <c r="U137" s="189"/>
      <c r="V137" s="189"/>
      <c r="W137" s="182">
        <f>J137</f>
        <v>0</v>
      </c>
      <c r="X137" s="182">
        <f>H137*$K$1</f>
        <v>0</v>
      </c>
    </row>
    <row r="138" spans="1:24" ht="15" customHeight="1" thickBot="1" x14ac:dyDescent="0.3">
      <c r="A138" s="202"/>
      <c r="B138" s="295">
        <v>4</v>
      </c>
      <c r="C138" s="295">
        <v>0</v>
      </c>
      <c r="D138" s="295">
        <f>'Data Ocupacion'!AN36</f>
        <v>4</v>
      </c>
      <c r="E138" s="295">
        <f>'Data Ocupacion'!AO36</f>
        <v>0</v>
      </c>
      <c r="F138" s="125" t="s">
        <v>35</v>
      </c>
      <c r="G138" s="125">
        <f t="shared" si="114"/>
        <v>4</v>
      </c>
      <c r="H138" s="125">
        <f t="shared" si="118"/>
        <v>4</v>
      </c>
      <c r="I138" s="125">
        <f t="shared" si="115"/>
        <v>4</v>
      </c>
      <c r="J138" s="125">
        <f>G138*K$1</f>
        <v>101.6</v>
      </c>
      <c r="K138" s="153">
        <f>I138*K$1</f>
        <v>101.6</v>
      </c>
      <c r="L138" s="125">
        <f t="shared" si="116"/>
        <v>10566.4</v>
      </c>
      <c r="M138" s="125">
        <f t="shared" si="117"/>
        <v>416</v>
      </c>
      <c r="N138" s="19"/>
      <c r="O138" s="19"/>
      <c r="P138" s="146"/>
      <c r="Q138" s="189"/>
      <c r="R138" s="189"/>
      <c r="S138" s="189"/>
      <c r="T138" s="189"/>
      <c r="U138" s="189"/>
      <c r="V138" s="189"/>
      <c r="W138" s="182">
        <f>J138</f>
        <v>101.6</v>
      </c>
      <c r="X138" s="182">
        <f>H138*$K$1</f>
        <v>101.6</v>
      </c>
    </row>
    <row r="139" spans="1:24" s="124" customFormat="1" ht="15" customHeight="1" thickBot="1" x14ac:dyDescent="0.3">
      <c r="A139" s="20"/>
      <c r="B139" s="119">
        <f>SUM(B133:B138)</f>
        <v>140</v>
      </c>
      <c r="C139" s="119">
        <f>SUM(C133:C138)</f>
        <v>89</v>
      </c>
      <c r="D139" s="152">
        <f>SUM(D133:D138)</f>
        <v>144</v>
      </c>
      <c r="E139" s="152">
        <f>SUM(E133:E138)</f>
        <v>85</v>
      </c>
      <c r="F139" s="119"/>
      <c r="G139" s="119">
        <f t="shared" ref="G139:M139" si="119">SUM(G133:G138)</f>
        <v>314</v>
      </c>
      <c r="H139" s="119">
        <f t="shared" si="119"/>
        <v>318</v>
      </c>
      <c r="I139" s="119">
        <f t="shared" si="119"/>
        <v>229</v>
      </c>
      <c r="J139" s="120">
        <f t="shared" si="119"/>
        <v>12462.460000000001</v>
      </c>
      <c r="K139" s="119">
        <f t="shared" si="119"/>
        <v>8852.49</v>
      </c>
      <c r="L139" s="118">
        <f t="shared" si="119"/>
        <v>1296095.8399999999</v>
      </c>
      <c r="M139" s="151">
        <f t="shared" si="119"/>
        <v>23816</v>
      </c>
      <c r="N139" s="123">
        <f>'Odometro-Kilometraje'!T88</f>
        <v>12744</v>
      </c>
      <c r="O139" s="21">
        <f>(W139/N139)*100</f>
        <v>96.758709981167627</v>
      </c>
      <c r="P139" s="192"/>
      <c r="Q139" s="181"/>
      <c r="R139" s="181"/>
      <c r="S139" s="181"/>
      <c r="T139" s="181"/>
      <c r="U139" s="181"/>
      <c r="V139" s="181"/>
      <c r="W139" s="193">
        <f>SUM(W133:W138)</f>
        <v>12330.930000000002</v>
      </c>
      <c r="X139" s="193">
        <f>SUM(X133:X138)</f>
        <v>12606.940000000002</v>
      </c>
    </row>
    <row r="140" spans="1:24" ht="16.149999999999999" customHeight="1" x14ac:dyDescent="0.25">
      <c r="A140" s="60">
        <f>A133+1</f>
        <v>46162</v>
      </c>
      <c r="B140" s="295">
        <v>38</v>
      </c>
      <c r="C140" s="295">
        <v>41</v>
      </c>
      <c r="D140" s="126">
        <f>'Data Ocupacion'!AP31</f>
        <v>40</v>
      </c>
      <c r="E140" s="126">
        <f>'Data Ocupacion'!AQ31</f>
        <v>39</v>
      </c>
      <c r="F140" s="220" t="s">
        <v>38</v>
      </c>
      <c r="G140" s="221">
        <f t="shared" ref="G140:G145" si="120">D140+E140*2</f>
        <v>118</v>
      </c>
      <c r="H140" s="125">
        <f>B140+C140*2</f>
        <v>120</v>
      </c>
      <c r="I140" s="222">
        <f t="shared" ref="I140:I145" si="121">D140+E140</f>
        <v>79</v>
      </c>
      <c r="J140" s="222">
        <f>G140*M$2</f>
        <v>5089.34</v>
      </c>
      <c r="K140" s="153">
        <f>I140*M$2</f>
        <v>3407.27</v>
      </c>
      <c r="L140" s="125">
        <f t="shared" ref="L140:L145" si="122">J140*104</f>
        <v>529291.36</v>
      </c>
      <c r="M140" s="125">
        <f t="shared" ref="M140:M145" si="123">I140*104</f>
        <v>8216</v>
      </c>
      <c r="N140" s="19"/>
      <c r="O140" s="19"/>
      <c r="P140" s="146"/>
      <c r="Q140" s="183">
        <v>1</v>
      </c>
      <c r="R140" s="183"/>
      <c r="S140" s="206"/>
      <c r="T140" s="285"/>
      <c r="U140" s="191"/>
      <c r="V140" s="228"/>
      <c r="W140" s="182">
        <f>J140-(Q140*($M$2-$K$1))-(R140*($M$2-$M$1))- (S140*($M$2-$I$2))+ (T140*($G$2))</f>
        <v>5071.6100000000006</v>
      </c>
      <c r="X140" s="182">
        <f>H140*$M$2</f>
        <v>5175.6000000000004</v>
      </c>
    </row>
    <row r="141" spans="1:24" ht="15" customHeight="1" x14ac:dyDescent="0.25">
      <c r="A141" s="253"/>
      <c r="B141" s="295">
        <v>36</v>
      </c>
      <c r="C141" s="295">
        <v>42</v>
      </c>
      <c r="D141" s="126">
        <f>'Data Ocupacion'!AP32</f>
        <v>38</v>
      </c>
      <c r="E141" s="126">
        <f>'Data Ocupacion'!AQ32</f>
        <v>40</v>
      </c>
      <c r="F141" s="220" t="s">
        <v>52</v>
      </c>
      <c r="G141" s="221">
        <f t="shared" si="120"/>
        <v>118</v>
      </c>
      <c r="H141" s="125">
        <f t="shared" ref="H141:H145" si="124">B141+C141*2</f>
        <v>120</v>
      </c>
      <c r="I141" s="125">
        <f t="shared" si="121"/>
        <v>78</v>
      </c>
      <c r="J141" s="125">
        <f>G141*M$2</f>
        <v>5089.34</v>
      </c>
      <c r="K141" s="153">
        <f>I141*M$2</f>
        <v>3364.1400000000003</v>
      </c>
      <c r="L141" s="125">
        <f t="shared" si="122"/>
        <v>529291.36</v>
      </c>
      <c r="M141" s="125">
        <f t="shared" si="123"/>
        <v>8112</v>
      </c>
      <c r="N141" s="19"/>
      <c r="O141" s="19"/>
      <c r="P141" s="146"/>
      <c r="Q141" s="186"/>
      <c r="R141" s="186"/>
      <c r="S141" s="217"/>
      <c r="T141" s="183">
        <v>3</v>
      </c>
      <c r="U141" s="217"/>
      <c r="V141" s="229"/>
      <c r="W141" s="185">
        <f>J141-(T141*($M$2-$K$1)+(U141*($M$2-$M$1)))</f>
        <v>5036.1500000000005</v>
      </c>
      <c r="X141" s="182">
        <f>H141*$M$2</f>
        <v>5175.6000000000004</v>
      </c>
    </row>
    <row r="142" spans="1:24" ht="15" customHeight="1" x14ac:dyDescent="0.25">
      <c r="A142" s="253"/>
      <c r="B142" s="295">
        <v>33</v>
      </c>
      <c r="C142" s="295">
        <v>3</v>
      </c>
      <c r="D142" s="126">
        <f>'Data Ocupacion'!AP33</f>
        <v>34</v>
      </c>
      <c r="E142" s="126">
        <f>'Data Ocupacion'!AQ33</f>
        <v>2</v>
      </c>
      <c r="F142" s="220" t="s">
        <v>36</v>
      </c>
      <c r="G142" s="221">
        <f t="shared" si="120"/>
        <v>38</v>
      </c>
      <c r="H142" s="125">
        <f t="shared" si="124"/>
        <v>39</v>
      </c>
      <c r="I142" s="125">
        <f t="shared" si="121"/>
        <v>36</v>
      </c>
      <c r="J142" s="125">
        <f>G142*M$1</f>
        <v>1106.18</v>
      </c>
      <c r="K142" s="153">
        <f>I142*M$1</f>
        <v>1047.96</v>
      </c>
      <c r="L142" s="125">
        <f t="shared" si="122"/>
        <v>115042.72</v>
      </c>
      <c r="M142" s="125">
        <f t="shared" si="123"/>
        <v>3744</v>
      </c>
      <c r="N142" s="19"/>
      <c r="O142" s="19"/>
      <c r="P142" s="146"/>
      <c r="Q142" s="183">
        <v>2</v>
      </c>
      <c r="R142" s="190"/>
      <c r="S142" s="228"/>
      <c r="T142" s="186"/>
      <c r="U142" s="189"/>
      <c r="V142" s="189"/>
      <c r="W142" s="182">
        <f>J142-(Q142*($M$1-$K$1))</f>
        <v>1098.76</v>
      </c>
      <c r="X142" s="182">
        <f>H142*$M$1</f>
        <v>1135.29</v>
      </c>
    </row>
    <row r="143" spans="1:24" ht="15" customHeight="1" x14ac:dyDescent="0.25">
      <c r="A143" s="253"/>
      <c r="B143" s="295">
        <v>29</v>
      </c>
      <c r="C143" s="295">
        <v>3</v>
      </c>
      <c r="D143" s="126">
        <f>'Data Ocupacion'!AP34</f>
        <v>30</v>
      </c>
      <c r="E143" s="126">
        <f>'Data Ocupacion'!AQ34</f>
        <v>2</v>
      </c>
      <c r="F143" s="220" t="s">
        <v>53</v>
      </c>
      <c r="G143" s="221">
        <f t="shared" si="120"/>
        <v>34</v>
      </c>
      <c r="H143" s="125">
        <f t="shared" si="124"/>
        <v>35</v>
      </c>
      <c r="I143" s="125">
        <f t="shared" si="121"/>
        <v>32</v>
      </c>
      <c r="J143" s="125">
        <f>G143*M$1</f>
        <v>989.74</v>
      </c>
      <c r="K143" s="153">
        <f>I143*M$1</f>
        <v>931.52</v>
      </c>
      <c r="L143" s="125">
        <f t="shared" si="122"/>
        <v>102932.96</v>
      </c>
      <c r="M143" s="125">
        <f t="shared" si="123"/>
        <v>3328</v>
      </c>
      <c r="N143" s="19"/>
      <c r="O143" s="19"/>
      <c r="P143" s="146"/>
      <c r="Q143" s="189"/>
      <c r="R143" s="189"/>
      <c r="S143" s="189"/>
      <c r="T143" s="189"/>
      <c r="U143" s="189"/>
      <c r="V143" s="189"/>
      <c r="W143" s="182">
        <f>J143</f>
        <v>989.74</v>
      </c>
      <c r="X143" s="182">
        <f>H143*$M$1</f>
        <v>1018.85</v>
      </c>
    </row>
    <row r="144" spans="1:24" ht="15" customHeight="1" x14ac:dyDescent="0.25">
      <c r="A144" s="253"/>
      <c r="B144" s="295">
        <v>0</v>
      </c>
      <c r="C144" s="295">
        <v>0</v>
      </c>
      <c r="D144" s="126">
        <f>'Data Ocupacion'!AP35</f>
        <v>0</v>
      </c>
      <c r="E144" s="126">
        <f>'Data Ocupacion'!AQ35</f>
        <v>0</v>
      </c>
      <c r="F144" s="220" t="s">
        <v>122</v>
      </c>
      <c r="G144" s="221">
        <f t="shared" si="120"/>
        <v>0</v>
      </c>
      <c r="H144" s="125">
        <f t="shared" si="124"/>
        <v>0</v>
      </c>
      <c r="I144" s="125">
        <f t="shared" si="121"/>
        <v>0</v>
      </c>
      <c r="J144" s="223">
        <f>G144*K$1</f>
        <v>0</v>
      </c>
      <c r="K144" s="153">
        <f>I144*K$1</f>
        <v>0</v>
      </c>
      <c r="L144" s="125">
        <f t="shared" si="122"/>
        <v>0</v>
      </c>
      <c r="M144" s="125">
        <f t="shared" si="123"/>
        <v>0</v>
      </c>
      <c r="N144" s="19"/>
      <c r="O144" s="19"/>
      <c r="P144" s="146"/>
      <c r="Q144" s="189"/>
      <c r="R144" s="189"/>
      <c r="S144" s="189"/>
      <c r="T144" s="189"/>
      <c r="U144" s="189"/>
      <c r="V144" s="189"/>
      <c r="W144" s="182">
        <f>J144</f>
        <v>0</v>
      </c>
      <c r="X144" s="182">
        <f>H144*$K$1</f>
        <v>0</v>
      </c>
    </row>
    <row r="145" spans="1:27" ht="15" customHeight="1" thickBot="1" x14ac:dyDescent="0.3">
      <c r="A145" s="253"/>
      <c r="B145" s="295">
        <v>4</v>
      </c>
      <c r="C145" s="295">
        <v>0</v>
      </c>
      <c r="D145" s="126">
        <f>'Data Ocupacion'!AP36</f>
        <v>4</v>
      </c>
      <c r="E145" s="126">
        <f>'Data Ocupacion'!AQ36</f>
        <v>0</v>
      </c>
      <c r="F145" s="220" t="s">
        <v>35</v>
      </c>
      <c r="G145" s="221">
        <f t="shared" si="120"/>
        <v>4</v>
      </c>
      <c r="H145" s="125">
        <f t="shared" si="124"/>
        <v>4</v>
      </c>
      <c r="I145" s="224">
        <f t="shared" si="121"/>
        <v>4</v>
      </c>
      <c r="J145" s="224">
        <f>G145*K$1</f>
        <v>101.6</v>
      </c>
      <c r="K145" s="153">
        <f>I145*K$1</f>
        <v>101.6</v>
      </c>
      <c r="L145" s="125">
        <f t="shared" si="122"/>
        <v>10566.4</v>
      </c>
      <c r="M145" s="125">
        <f t="shared" si="123"/>
        <v>416</v>
      </c>
      <c r="N145" s="19"/>
      <c r="O145" s="19"/>
      <c r="P145" s="146"/>
      <c r="Q145" s="189"/>
      <c r="R145" s="189"/>
      <c r="S145" s="189"/>
      <c r="T145" s="189"/>
      <c r="U145" s="189"/>
      <c r="V145" s="189"/>
      <c r="W145" s="182">
        <f>J145</f>
        <v>101.6</v>
      </c>
      <c r="X145" s="182">
        <f>H145*$K$1</f>
        <v>101.6</v>
      </c>
    </row>
    <row r="146" spans="1:27" s="124" customFormat="1" ht="15" customHeight="1" thickBot="1" x14ac:dyDescent="0.3">
      <c r="A146" s="20"/>
      <c r="B146" s="119">
        <f>SUM(B140:B145)</f>
        <v>140</v>
      </c>
      <c r="C146" s="119">
        <f>SUM(C140:C145)</f>
        <v>89</v>
      </c>
      <c r="D146" s="148">
        <f>SUM(D140:D145)</f>
        <v>146</v>
      </c>
      <c r="E146" s="148">
        <f>SUM(E140:E145)</f>
        <v>83</v>
      </c>
      <c r="F146" s="119"/>
      <c r="G146" s="119">
        <f t="shared" ref="G146:M146" si="125">SUM(G140:G145)</f>
        <v>312</v>
      </c>
      <c r="H146" s="119">
        <f t="shared" si="125"/>
        <v>318</v>
      </c>
      <c r="I146" s="119">
        <f t="shared" si="125"/>
        <v>229</v>
      </c>
      <c r="J146" s="120">
        <f t="shared" si="125"/>
        <v>12376.2</v>
      </c>
      <c r="K146" s="119">
        <f t="shared" si="125"/>
        <v>8852.49</v>
      </c>
      <c r="L146" s="119">
        <f t="shared" si="125"/>
        <v>1287124.7999999998</v>
      </c>
      <c r="M146" s="119">
        <f t="shared" si="125"/>
        <v>23816</v>
      </c>
      <c r="N146" s="123">
        <f>'Odometro-Kilometraje'!U88</f>
        <v>12836</v>
      </c>
      <c r="O146" s="21">
        <f>(W146/N146)*100</f>
        <v>95.80757245247743</v>
      </c>
      <c r="P146" s="192"/>
      <c r="Q146" s="181"/>
      <c r="R146" s="181"/>
      <c r="S146" s="181"/>
      <c r="T146" s="181"/>
      <c r="U146" s="181"/>
      <c r="V146" s="181"/>
      <c r="W146" s="193">
        <f>SUM(W140:W145)</f>
        <v>12297.860000000002</v>
      </c>
      <c r="X146" s="193">
        <f>SUM(X140:X145)</f>
        <v>12606.940000000002</v>
      </c>
      <c r="AA146" s="172"/>
    </row>
    <row r="147" spans="1:27" x14ac:dyDescent="0.25">
      <c r="A147" s="60">
        <f>A140+1</f>
        <v>46163</v>
      </c>
      <c r="B147" s="218">
        <v>37</v>
      </c>
      <c r="C147" s="218">
        <v>17</v>
      </c>
      <c r="D147" s="138">
        <f>'Data Ocupacion'!AR31</f>
        <v>37</v>
      </c>
      <c r="E147" s="138">
        <f>'Data Ocupacion'!AS31</f>
        <v>17</v>
      </c>
      <c r="F147" s="218" t="s">
        <v>38</v>
      </c>
      <c r="G147" s="218">
        <f t="shared" ref="G147:G152" si="126">D147+E147*2</f>
        <v>71</v>
      </c>
      <c r="H147" s="218">
        <f>B147+C147*2</f>
        <v>71</v>
      </c>
      <c r="I147" s="218">
        <f t="shared" ref="I147:I152" si="127">D147+E147</f>
        <v>54</v>
      </c>
      <c r="J147" s="218">
        <f>G147*M$2</f>
        <v>3062.23</v>
      </c>
      <c r="K147" s="153">
        <f>I147*M$2</f>
        <v>2329.02</v>
      </c>
      <c r="L147" s="218">
        <f t="shared" ref="L147:L152" si="128">J147*104</f>
        <v>318471.92</v>
      </c>
      <c r="M147" s="218">
        <f t="shared" ref="M147:M152" si="129">I147*104</f>
        <v>5616</v>
      </c>
      <c r="N147" s="19"/>
      <c r="O147" s="19"/>
      <c r="P147" s="146"/>
      <c r="Q147" s="183"/>
      <c r="R147" s="183"/>
      <c r="S147" s="206"/>
      <c r="T147" s="285"/>
      <c r="U147" s="191"/>
      <c r="V147" s="228"/>
      <c r="W147" s="182">
        <f>J147-(Q147*($M$2-$K$1))-(R147*($M$2-$M$1))- (S147*($M$2-$I$2))+ (T147*($G$2))</f>
        <v>3062.23</v>
      </c>
      <c r="X147" s="182">
        <f>H147*$M$2</f>
        <v>3062.23</v>
      </c>
    </row>
    <row r="148" spans="1:27" ht="15" customHeight="1" x14ac:dyDescent="0.25">
      <c r="A148" s="363" t="s">
        <v>189</v>
      </c>
      <c r="B148" s="218">
        <v>43</v>
      </c>
      <c r="C148" s="218">
        <v>14</v>
      </c>
      <c r="D148" s="138">
        <f>'Data Ocupacion'!AR32</f>
        <v>43</v>
      </c>
      <c r="E148" s="138">
        <f>'Data Ocupacion'!AS32</f>
        <v>14</v>
      </c>
      <c r="F148" s="218" t="s">
        <v>52</v>
      </c>
      <c r="G148" s="218">
        <f t="shared" si="126"/>
        <v>71</v>
      </c>
      <c r="H148" s="218">
        <f t="shared" ref="H148:H152" si="130">B148+C148*2</f>
        <v>71</v>
      </c>
      <c r="I148" s="218">
        <f t="shared" si="127"/>
        <v>57</v>
      </c>
      <c r="J148" s="218">
        <f>G148*M$2</f>
        <v>3062.23</v>
      </c>
      <c r="K148" s="153">
        <f>I148*M$2</f>
        <v>2458.4100000000003</v>
      </c>
      <c r="L148" s="218">
        <f t="shared" si="128"/>
        <v>318471.92</v>
      </c>
      <c r="M148" s="218">
        <f t="shared" si="129"/>
        <v>5928</v>
      </c>
      <c r="N148" s="19"/>
      <c r="O148" s="19"/>
      <c r="P148" s="146"/>
      <c r="Q148" s="186"/>
      <c r="R148" s="186"/>
      <c r="S148" s="217"/>
      <c r="T148" s="183">
        <v>1</v>
      </c>
      <c r="U148" s="217"/>
      <c r="V148" s="229"/>
      <c r="W148" s="185">
        <f>J148-(T148*($M$2-$K$1)+(U148*($M$2-$M$1)))</f>
        <v>3044.5</v>
      </c>
      <c r="X148" s="182">
        <f>H148*$M$2</f>
        <v>3062.23</v>
      </c>
    </row>
    <row r="149" spans="1:27" x14ac:dyDescent="0.25">
      <c r="A149" s="363"/>
      <c r="B149" s="218">
        <v>0</v>
      </c>
      <c r="C149" s="218">
        <v>0</v>
      </c>
      <c r="D149" s="138">
        <f>'Data Ocupacion'!AR33</f>
        <v>0</v>
      </c>
      <c r="E149" s="138">
        <f>'Data Ocupacion'!AS33</f>
        <v>0</v>
      </c>
      <c r="F149" s="218" t="s">
        <v>36</v>
      </c>
      <c r="G149" s="218">
        <f t="shared" si="126"/>
        <v>0</v>
      </c>
      <c r="H149" s="218">
        <f t="shared" si="130"/>
        <v>0</v>
      </c>
      <c r="I149" s="218">
        <f t="shared" si="127"/>
        <v>0</v>
      </c>
      <c r="J149" s="218">
        <f>G149*M$1</f>
        <v>0</v>
      </c>
      <c r="K149" s="153">
        <f>I149*M$1</f>
        <v>0</v>
      </c>
      <c r="L149" s="218">
        <f t="shared" si="128"/>
        <v>0</v>
      </c>
      <c r="M149" s="218">
        <f t="shared" si="129"/>
        <v>0</v>
      </c>
      <c r="N149" s="19"/>
      <c r="O149" s="19"/>
      <c r="P149" s="146"/>
      <c r="Q149" s="244"/>
      <c r="R149" s="190"/>
      <c r="S149" s="228"/>
      <c r="T149" s="186"/>
      <c r="U149" s="189"/>
      <c r="V149" s="189"/>
      <c r="W149" s="182">
        <f>J149-(Q149*($M$1-$K$1))</f>
        <v>0</v>
      </c>
      <c r="X149" s="182">
        <f>H149*$M$1</f>
        <v>0</v>
      </c>
    </row>
    <row r="150" spans="1:27" x14ac:dyDescent="0.25">
      <c r="A150" s="363"/>
      <c r="B150" s="218">
        <v>0</v>
      </c>
      <c r="C150" s="218">
        <v>0</v>
      </c>
      <c r="D150" s="138">
        <f>'Data Ocupacion'!AR34</f>
        <v>0</v>
      </c>
      <c r="E150" s="138">
        <f>'Data Ocupacion'!AS34</f>
        <v>0</v>
      </c>
      <c r="F150" s="218" t="s">
        <v>53</v>
      </c>
      <c r="G150" s="218">
        <f t="shared" si="126"/>
        <v>0</v>
      </c>
      <c r="H150" s="218">
        <f t="shared" si="130"/>
        <v>0</v>
      </c>
      <c r="I150" s="218">
        <f t="shared" si="127"/>
        <v>0</v>
      </c>
      <c r="J150" s="218">
        <f>G150*M$1</f>
        <v>0</v>
      </c>
      <c r="K150" s="153">
        <f>I150*M$1</f>
        <v>0</v>
      </c>
      <c r="L150" s="218">
        <f t="shared" si="128"/>
        <v>0</v>
      </c>
      <c r="M150" s="218">
        <f t="shared" si="129"/>
        <v>0</v>
      </c>
      <c r="N150" s="19"/>
      <c r="O150" s="19"/>
      <c r="P150" s="242"/>
      <c r="Q150" s="189"/>
      <c r="R150" s="189"/>
      <c r="S150" s="189"/>
      <c r="T150" s="189"/>
      <c r="U150" s="189"/>
      <c r="V150" s="189"/>
      <c r="W150" s="182">
        <f>J150</f>
        <v>0</v>
      </c>
      <c r="X150" s="182">
        <f>H150*$M$1</f>
        <v>0</v>
      </c>
    </row>
    <row r="151" spans="1:27" ht="15" customHeight="1" x14ac:dyDescent="0.25">
      <c r="A151" s="363"/>
      <c r="B151" s="218">
        <v>0</v>
      </c>
      <c r="C151" s="218">
        <v>0</v>
      </c>
      <c r="D151" s="138">
        <f>'Data Ocupacion'!AR35</f>
        <v>0</v>
      </c>
      <c r="E151" s="138">
        <f>'Data Ocupacion'!AS35</f>
        <v>0</v>
      </c>
      <c r="F151" s="218" t="s">
        <v>122</v>
      </c>
      <c r="G151" s="218">
        <f t="shared" si="126"/>
        <v>0</v>
      </c>
      <c r="H151" s="218">
        <f t="shared" si="130"/>
        <v>0</v>
      </c>
      <c r="I151" s="218">
        <f t="shared" si="127"/>
        <v>0</v>
      </c>
      <c r="J151" s="218">
        <f>G151*K$1</f>
        <v>0</v>
      </c>
      <c r="K151" s="153">
        <f>I151*K$1</f>
        <v>0</v>
      </c>
      <c r="L151" s="218">
        <f t="shared" si="128"/>
        <v>0</v>
      </c>
      <c r="M151" s="218">
        <f t="shared" si="129"/>
        <v>0</v>
      </c>
      <c r="N151" s="19"/>
      <c r="O151" s="19"/>
      <c r="P151" s="146"/>
      <c r="Q151" s="189"/>
      <c r="R151" s="189"/>
      <c r="S151" s="189"/>
      <c r="T151" s="189"/>
      <c r="U151" s="189"/>
      <c r="V151" s="189"/>
      <c r="W151" s="182">
        <f>J151</f>
        <v>0</v>
      </c>
      <c r="X151" s="182">
        <f>H151*$K$1</f>
        <v>0</v>
      </c>
    </row>
    <row r="152" spans="1:27" ht="15.75" thickBot="1" x14ac:dyDescent="0.3">
      <c r="A152" s="363"/>
      <c r="B152" s="218">
        <v>0</v>
      </c>
      <c r="C152" s="218">
        <v>0</v>
      </c>
      <c r="D152" s="138">
        <f>'Data Ocupacion'!AR36</f>
        <v>0</v>
      </c>
      <c r="E152" s="138">
        <f>'Data Ocupacion'!AS36</f>
        <v>0</v>
      </c>
      <c r="F152" s="218" t="s">
        <v>35</v>
      </c>
      <c r="G152" s="218">
        <f t="shared" si="126"/>
        <v>0</v>
      </c>
      <c r="H152" s="218">
        <f t="shared" si="130"/>
        <v>0</v>
      </c>
      <c r="I152" s="218">
        <f t="shared" si="127"/>
        <v>0</v>
      </c>
      <c r="J152" s="218">
        <f>G152*K$1</f>
        <v>0</v>
      </c>
      <c r="K152" s="153">
        <f>I152*K$1</f>
        <v>0</v>
      </c>
      <c r="L152" s="218">
        <f t="shared" si="128"/>
        <v>0</v>
      </c>
      <c r="M152" s="218">
        <f t="shared" si="129"/>
        <v>0</v>
      </c>
      <c r="N152" s="19"/>
      <c r="O152" s="19"/>
      <c r="P152" s="146"/>
      <c r="Q152" s="189"/>
      <c r="R152" s="189"/>
      <c r="S152" s="189"/>
      <c r="T152" s="189"/>
      <c r="U152" s="189"/>
      <c r="V152" s="189"/>
      <c r="W152" s="182">
        <f>J152</f>
        <v>0</v>
      </c>
      <c r="X152" s="182">
        <f>H152*$K$1</f>
        <v>0</v>
      </c>
    </row>
    <row r="153" spans="1:27" s="124" customFormat="1" ht="15.75" thickBot="1" x14ac:dyDescent="0.3">
      <c r="A153" s="20"/>
      <c r="B153" s="119">
        <f>SUM(B147:B152)</f>
        <v>80</v>
      </c>
      <c r="C153" s="119">
        <f>SUM(C147:C152)</f>
        <v>31</v>
      </c>
      <c r="D153" s="152">
        <f>SUM(D147:D152)</f>
        <v>80</v>
      </c>
      <c r="E153" s="152">
        <f>SUM(E147:E152)</f>
        <v>31</v>
      </c>
      <c r="F153" s="119"/>
      <c r="G153" s="119">
        <f t="shared" ref="G153:M153" si="131">SUM(G147:G152)</f>
        <v>142</v>
      </c>
      <c r="H153" s="119">
        <f t="shared" si="131"/>
        <v>142</v>
      </c>
      <c r="I153" s="119">
        <f t="shared" si="131"/>
        <v>111</v>
      </c>
      <c r="J153" s="120">
        <f>SUM(J147:J152)</f>
        <v>6124.46</v>
      </c>
      <c r="K153" s="119">
        <f t="shared" si="131"/>
        <v>4787.43</v>
      </c>
      <c r="L153" s="118">
        <f t="shared" si="131"/>
        <v>636943.84</v>
      </c>
      <c r="M153" s="151">
        <f t="shared" si="131"/>
        <v>11544</v>
      </c>
      <c r="N153" s="123">
        <f>'Odometro-Kilometraje'!V88</f>
        <v>6349</v>
      </c>
      <c r="O153" s="21">
        <f>(W153/N153)*100</f>
        <v>96.184123484013227</v>
      </c>
      <c r="P153" s="192"/>
      <c r="Q153" s="181"/>
      <c r="R153" s="181"/>
      <c r="S153" s="181"/>
      <c r="T153" s="181"/>
      <c r="U153" s="181"/>
      <c r="V153" s="181"/>
      <c r="W153" s="193">
        <f>SUM(W147:W152)</f>
        <v>6106.73</v>
      </c>
      <c r="X153" s="193">
        <f>SUM(X147:X152)</f>
        <v>6124.46</v>
      </c>
    </row>
    <row r="154" spans="1:27" x14ac:dyDescent="0.25">
      <c r="A154" s="60">
        <f>A147+1</f>
        <v>46164</v>
      </c>
      <c r="B154" s="295">
        <v>38</v>
      </c>
      <c r="C154" s="295">
        <v>41</v>
      </c>
      <c r="D154" s="126">
        <f>'Data Ocupacion'!AT31</f>
        <v>38</v>
      </c>
      <c r="E154" s="126">
        <f>'Data Ocupacion'!AU31</f>
        <v>41</v>
      </c>
      <c r="F154" s="125" t="s">
        <v>38</v>
      </c>
      <c r="G154" s="125">
        <f t="shared" ref="G154:G159" si="132">D154+E154*2</f>
        <v>120</v>
      </c>
      <c r="H154" s="125">
        <f>B154+C154*2</f>
        <v>120</v>
      </c>
      <c r="I154" s="125">
        <f t="shared" ref="I154:I159" si="133">D154+E154</f>
        <v>79</v>
      </c>
      <c r="J154" s="125">
        <f>G154*M$2</f>
        <v>5175.6000000000004</v>
      </c>
      <c r="K154" s="153">
        <f>I154*M$2</f>
        <v>3407.27</v>
      </c>
      <c r="L154" s="125">
        <f t="shared" ref="L154:L159" si="134">J154*104</f>
        <v>538262.4</v>
      </c>
      <c r="M154" s="125">
        <f t="shared" ref="M154:M159" si="135">I154*104</f>
        <v>8216</v>
      </c>
      <c r="N154" s="19"/>
      <c r="O154" s="19"/>
      <c r="P154" s="146"/>
      <c r="Q154" s="183">
        <v>3</v>
      </c>
      <c r="R154" s="183"/>
      <c r="S154" s="206"/>
      <c r="T154" s="244"/>
      <c r="U154" s="191"/>
      <c r="V154" s="228"/>
      <c r="W154" s="182">
        <f>J154-(Q154*($M$2-$K$1))-(R154*($M$2-$M$1))- (S154*($M$2-$I$2))+ (T154*($G$2))</f>
        <v>5122.4100000000008</v>
      </c>
      <c r="X154" s="182">
        <f>H154*$M$2</f>
        <v>5175.6000000000004</v>
      </c>
    </row>
    <row r="155" spans="1:27" ht="15" customHeight="1" x14ac:dyDescent="0.25">
      <c r="A155" s="202"/>
      <c r="B155" s="295">
        <v>36</v>
      </c>
      <c r="C155" s="295">
        <v>42</v>
      </c>
      <c r="D155" s="126">
        <f>'Data Ocupacion'!AT32</f>
        <v>36</v>
      </c>
      <c r="E155" s="126">
        <f>'Data Ocupacion'!AU32</f>
        <v>42</v>
      </c>
      <c r="F155" s="125" t="s">
        <v>52</v>
      </c>
      <c r="G155" s="125">
        <f t="shared" si="132"/>
        <v>120</v>
      </c>
      <c r="H155" s="125">
        <f t="shared" ref="H155:H159" si="136">B155+C155*2</f>
        <v>120</v>
      </c>
      <c r="I155" s="125">
        <f t="shared" si="133"/>
        <v>78</v>
      </c>
      <c r="J155" s="125">
        <f>G155*M$2</f>
        <v>5175.6000000000004</v>
      </c>
      <c r="K155" s="153">
        <f>I155*M$2</f>
        <v>3364.1400000000003</v>
      </c>
      <c r="L155" s="125">
        <f t="shared" si="134"/>
        <v>538262.4</v>
      </c>
      <c r="M155" s="125">
        <f t="shared" si="135"/>
        <v>8112</v>
      </c>
      <c r="N155" s="19"/>
      <c r="O155" s="19"/>
      <c r="P155" s="146"/>
      <c r="Q155" s="186"/>
      <c r="R155" s="186"/>
      <c r="S155" s="186"/>
      <c r="T155" s="183">
        <v>5</v>
      </c>
      <c r="U155" s="204"/>
      <c r="V155" s="229"/>
      <c r="W155" s="185">
        <f>J155-(T155*($M$2-$K$1)+(U155*($M$2-$M$1)))</f>
        <v>5086.9500000000007</v>
      </c>
      <c r="X155" s="182">
        <f>H155*$M$2</f>
        <v>5175.6000000000004</v>
      </c>
      <c r="Y155" s="124"/>
      <c r="Z155" s="124"/>
    </row>
    <row r="156" spans="1:27" ht="14.45" customHeight="1" x14ac:dyDescent="0.25">
      <c r="A156" s="202"/>
      <c r="B156" s="295">
        <v>33</v>
      </c>
      <c r="C156" s="295">
        <v>3</v>
      </c>
      <c r="D156" s="126">
        <f>'Data Ocupacion'!AT33</f>
        <v>34</v>
      </c>
      <c r="E156" s="126">
        <f>'Data Ocupacion'!AU33</f>
        <v>2</v>
      </c>
      <c r="F156" s="125" t="s">
        <v>36</v>
      </c>
      <c r="G156" s="125">
        <f t="shared" si="132"/>
        <v>38</v>
      </c>
      <c r="H156" s="125">
        <f t="shared" si="136"/>
        <v>39</v>
      </c>
      <c r="I156" s="125">
        <f t="shared" si="133"/>
        <v>36</v>
      </c>
      <c r="J156" s="125">
        <f>G156*M$1</f>
        <v>1106.18</v>
      </c>
      <c r="K156" s="153">
        <f>I156*M$1</f>
        <v>1047.96</v>
      </c>
      <c r="L156" s="125">
        <f t="shared" si="134"/>
        <v>115042.72</v>
      </c>
      <c r="M156" s="125">
        <f t="shared" si="135"/>
        <v>3744</v>
      </c>
      <c r="N156" s="19"/>
      <c r="O156" s="19"/>
      <c r="P156" s="146"/>
      <c r="Q156" s="244">
        <v>2</v>
      </c>
      <c r="R156" s="187"/>
      <c r="S156" s="207"/>
      <c r="T156" s="188"/>
      <c r="U156" s="189"/>
      <c r="V156" s="189"/>
      <c r="W156" s="182">
        <f>J156-(Q156*($M$1-$K$1))</f>
        <v>1098.76</v>
      </c>
      <c r="X156" s="182">
        <f>H156*$M$1</f>
        <v>1135.29</v>
      </c>
      <c r="Y156" s="124"/>
      <c r="Z156" s="124"/>
    </row>
    <row r="157" spans="1:27" ht="15" customHeight="1" x14ac:dyDescent="0.25">
      <c r="A157" s="202"/>
      <c r="B157" s="295">
        <v>29</v>
      </c>
      <c r="C157" s="295">
        <v>3</v>
      </c>
      <c r="D157" s="126">
        <f>'Data Ocupacion'!AT34</f>
        <v>30</v>
      </c>
      <c r="E157" s="126">
        <f>'Data Ocupacion'!AU34</f>
        <v>2</v>
      </c>
      <c r="F157" s="125" t="s">
        <v>53</v>
      </c>
      <c r="G157" s="125">
        <f t="shared" si="132"/>
        <v>34</v>
      </c>
      <c r="H157" s="125">
        <f t="shared" si="136"/>
        <v>35</v>
      </c>
      <c r="I157" s="125">
        <f t="shared" si="133"/>
        <v>32</v>
      </c>
      <c r="J157" s="125">
        <f>G157*M$1</f>
        <v>989.74</v>
      </c>
      <c r="K157" s="153">
        <f>I157*M$1</f>
        <v>931.52</v>
      </c>
      <c r="L157" s="125">
        <f t="shared" si="134"/>
        <v>102932.96</v>
      </c>
      <c r="M157" s="125">
        <f t="shared" si="135"/>
        <v>3328</v>
      </c>
      <c r="N157" s="19"/>
      <c r="O157" s="19"/>
      <c r="P157" s="146"/>
      <c r="Q157" s="189"/>
      <c r="R157" s="189"/>
      <c r="S157" s="189"/>
      <c r="T157" s="189"/>
      <c r="U157" s="189"/>
      <c r="V157" s="189"/>
      <c r="W157" s="182">
        <f>J157</f>
        <v>989.74</v>
      </c>
      <c r="X157" s="182">
        <f>H157*$M$1</f>
        <v>1018.85</v>
      </c>
      <c r="Y157" s="124"/>
      <c r="Z157" s="124"/>
    </row>
    <row r="158" spans="1:27" ht="13.5" customHeight="1" x14ac:dyDescent="0.25">
      <c r="A158" s="202"/>
      <c r="B158" s="295">
        <v>0</v>
      </c>
      <c r="C158" s="295">
        <v>0</v>
      </c>
      <c r="D158" s="126">
        <f>'Data Ocupacion'!AT35</f>
        <v>0</v>
      </c>
      <c r="E158" s="126">
        <f>'Data Ocupacion'!AU35</f>
        <v>0</v>
      </c>
      <c r="F158" s="125" t="s">
        <v>122</v>
      </c>
      <c r="G158" s="125">
        <f t="shared" si="132"/>
        <v>0</v>
      </c>
      <c r="H158" s="125">
        <f t="shared" si="136"/>
        <v>0</v>
      </c>
      <c r="I158" s="125">
        <f t="shared" si="133"/>
        <v>0</v>
      </c>
      <c r="J158" s="125">
        <f>G158*K$1</f>
        <v>0</v>
      </c>
      <c r="K158" s="153">
        <f>I158*M$1</f>
        <v>0</v>
      </c>
      <c r="L158" s="125">
        <f t="shared" si="134"/>
        <v>0</v>
      </c>
      <c r="M158" s="125">
        <f t="shared" si="135"/>
        <v>0</v>
      </c>
      <c r="N158" s="19"/>
      <c r="O158" s="19"/>
      <c r="P158" s="146"/>
      <c r="Q158" s="189"/>
      <c r="R158" s="189"/>
      <c r="S158" s="189"/>
      <c r="T158" s="189"/>
      <c r="U158" s="189"/>
      <c r="V158" s="189"/>
      <c r="W158" s="182">
        <f>J158</f>
        <v>0</v>
      </c>
      <c r="X158" s="182">
        <f>H158*$K$1</f>
        <v>0</v>
      </c>
      <c r="Y158" s="124"/>
      <c r="Z158" s="124"/>
    </row>
    <row r="159" spans="1:27" ht="15.75" thickBot="1" x14ac:dyDescent="0.3">
      <c r="A159" s="202"/>
      <c r="B159" s="295">
        <v>4</v>
      </c>
      <c r="C159" s="295">
        <v>0</v>
      </c>
      <c r="D159" s="254">
        <f>'Data Ocupacion'!AT36</f>
        <v>4</v>
      </c>
      <c r="E159" s="126">
        <f>'Data Ocupacion'!AU36</f>
        <v>0</v>
      </c>
      <c r="F159" s="125" t="s">
        <v>35</v>
      </c>
      <c r="G159" s="125">
        <f t="shared" si="132"/>
        <v>4</v>
      </c>
      <c r="H159" s="125">
        <f t="shared" si="136"/>
        <v>4</v>
      </c>
      <c r="I159" s="125">
        <f t="shared" si="133"/>
        <v>4</v>
      </c>
      <c r="J159" s="125">
        <f>G159*K$1</f>
        <v>101.6</v>
      </c>
      <c r="K159" s="153">
        <f>I159*K$1</f>
        <v>101.6</v>
      </c>
      <c r="L159" s="125">
        <f t="shared" si="134"/>
        <v>10566.4</v>
      </c>
      <c r="M159" s="125">
        <f t="shared" si="135"/>
        <v>416</v>
      </c>
      <c r="N159" s="19"/>
      <c r="O159" s="19"/>
      <c r="P159" s="146"/>
      <c r="Q159" s="189"/>
      <c r="R159" s="189"/>
      <c r="S159" s="189"/>
      <c r="T159" s="189"/>
      <c r="U159" s="189"/>
      <c r="V159" s="189"/>
      <c r="W159" s="182">
        <f>J159</f>
        <v>101.6</v>
      </c>
      <c r="X159" s="182">
        <f>H159*$K$1</f>
        <v>101.6</v>
      </c>
    </row>
    <row r="160" spans="1:27" s="124" customFormat="1" ht="15.75" thickBot="1" x14ac:dyDescent="0.3">
      <c r="A160" s="20"/>
      <c r="B160" s="119">
        <f>SUM(B154:B159)</f>
        <v>140</v>
      </c>
      <c r="C160" s="119">
        <f>SUM(C154:C159)</f>
        <v>89</v>
      </c>
      <c r="D160" s="152">
        <f>SUM(D154:D159)</f>
        <v>142</v>
      </c>
      <c r="E160" s="152">
        <f>SUM(E154:E159)</f>
        <v>87</v>
      </c>
      <c r="F160" s="119"/>
      <c r="G160" s="119">
        <f t="shared" ref="G160:M160" si="137">SUM(G154:G159)</f>
        <v>316</v>
      </c>
      <c r="H160" s="119">
        <f t="shared" si="137"/>
        <v>318</v>
      </c>
      <c r="I160" s="119">
        <f t="shared" si="137"/>
        <v>229</v>
      </c>
      <c r="J160" s="120">
        <f t="shared" si="137"/>
        <v>12548.720000000001</v>
      </c>
      <c r="K160" s="119">
        <f t="shared" si="137"/>
        <v>8852.49</v>
      </c>
      <c r="L160" s="118">
        <f t="shared" si="137"/>
        <v>1305066.8799999999</v>
      </c>
      <c r="M160" s="151">
        <f t="shared" si="137"/>
        <v>23816</v>
      </c>
      <c r="N160" s="123">
        <f>'Odometro-Kilometraje'!W88</f>
        <v>12975</v>
      </c>
      <c r="O160" s="21">
        <f>(W160/N160)*100</f>
        <v>95.56423892100193</v>
      </c>
      <c r="P160" s="192"/>
      <c r="Q160" s="181"/>
      <c r="R160" s="181"/>
      <c r="S160" s="181"/>
      <c r="T160" s="181"/>
      <c r="U160" s="181"/>
      <c r="V160" s="181"/>
      <c r="W160" s="193">
        <f>SUM(W154:W159)</f>
        <v>12399.460000000001</v>
      </c>
      <c r="X160" s="193">
        <f>SUM(X154:X159)</f>
        <v>12606.940000000002</v>
      </c>
    </row>
    <row r="161" spans="1:25" s="124" customFormat="1" x14ac:dyDescent="0.25">
      <c r="A161" s="60">
        <f>A154+1</f>
        <v>46165</v>
      </c>
      <c r="B161" s="116">
        <v>69</v>
      </c>
      <c r="C161" s="116">
        <v>3</v>
      </c>
      <c r="D161" s="147">
        <f>'Data Ocupacion'!AV31</f>
        <v>69</v>
      </c>
      <c r="E161" s="147">
        <f>'Data Ocupacion'!AW31</f>
        <v>3</v>
      </c>
      <c r="F161" s="320" t="s">
        <v>38</v>
      </c>
      <c r="G161" s="321">
        <f t="shared" ref="G161:G166" si="138">D161+E161*2</f>
        <v>75</v>
      </c>
      <c r="H161" s="116">
        <f>B161+C161*2</f>
        <v>75</v>
      </c>
      <c r="I161" s="322">
        <f t="shared" ref="I161:I166" si="139">D161+E161</f>
        <v>72</v>
      </c>
      <c r="J161" s="322">
        <f>G161*M$2</f>
        <v>3234.75</v>
      </c>
      <c r="K161" s="153">
        <f>I161*M$2</f>
        <v>3105.36</v>
      </c>
      <c r="L161" s="116">
        <f t="shared" ref="L161:L166" si="140">J161*104</f>
        <v>336414</v>
      </c>
      <c r="M161" s="116">
        <f t="shared" ref="M161:M166" si="141">I161*104</f>
        <v>7488</v>
      </c>
      <c r="N161" s="19"/>
      <c r="O161" s="19"/>
      <c r="P161" s="146"/>
      <c r="Q161" s="183"/>
      <c r="R161" s="183"/>
      <c r="S161" s="206"/>
      <c r="T161" s="244"/>
      <c r="U161" s="191"/>
      <c r="V161" s="228"/>
      <c r="W161" s="182">
        <f>J161-(Q161*($M$2-$K$1))-(R161*($M$2-$M$1))- (S161*($M$2-$I$2))+ (T161*($G$2))</f>
        <v>3234.75</v>
      </c>
      <c r="X161" s="182">
        <f>H161*$M$2</f>
        <v>3234.75</v>
      </c>
    </row>
    <row r="162" spans="1:25" ht="15" customHeight="1" x14ac:dyDescent="0.25">
      <c r="A162" s="276"/>
      <c r="B162" s="116">
        <v>75</v>
      </c>
      <c r="C162" s="116">
        <v>0</v>
      </c>
      <c r="D162" s="147">
        <f>'Data Ocupacion'!AV32</f>
        <v>75</v>
      </c>
      <c r="E162" s="147">
        <f>'Data Ocupacion'!AW32</f>
        <v>0</v>
      </c>
      <c r="F162" s="320" t="s">
        <v>52</v>
      </c>
      <c r="G162" s="321">
        <f t="shared" si="138"/>
        <v>75</v>
      </c>
      <c r="H162" s="116">
        <f t="shared" ref="H162:H166" si="142">B162+C162*2</f>
        <v>75</v>
      </c>
      <c r="I162" s="116">
        <f t="shared" si="139"/>
        <v>75</v>
      </c>
      <c r="J162" s="116">
        <f>G162*M$2</f>
        <v>3234.75</v>
      </c>
      <c r="K162" s="153">
        <f>I162*M$2</f>
        <v>3234.75</v>
      </c>
      <c r="L162" s="116">
        <f t="shared" si="140"/>
        <v>336414</v>
      </c>
      <c r="M162" s="116">
        <f t="shared" si="141"/>
        <v>7800</v>
      </c>
      <c r="N162" s="19"/>
      <c r="O162" s="19"/>
      <c r="P162" s="146"/>
      <c r="Q162" s="186"/>
      <c r="R162" s="186"/>
      <c r="S162" s="217"/>
      <c r="T162" s="183"/>
      <c r="U162" s="217"/>
      <c r="V162" s="229"/>
      <c r="W162" s="185">
        <f>J162-(T162*($M$2-$K$1)+(U162*($M$2-$M$1)))</f>
        <v>3234.75</v>
      </c>
      <c r="X162" s="182">
        <f>H162*$M$2</f>
        <v>3234.75</v>
      </c>
      <c r="Y162" s="172"/>
    </row>
    <row r="163" spans="1:25" ht="15" customHeight="1" x14ac:dyDescent="0.25">
      <c r="A163" s="276"/>
      <c r="B163" s="116">
        <v>0</v>
      </c>
      <c r="C163" s="116">
        <v>0</v>
      </c>
      <c r="D163" s="147">
        <f>'Data Ocupacion'!AV33</f>
        <v>0</v>
      </c>
      <c r="E163" s="147">
        <f>'Data Ocupacion'!AW33</f>
        <v>0</v>
      </c>
      <c r="F163" s="320" t="s">
        <v>36</v>
      </c>
      <c r="G163" s="321">
        <f t="shared" si="138"/>
        <v>0</v>
      </c>
      <c r="H163" s="116">
        <f t="shared" si="142"/>
        <v>0</v>
      </c>
      <c r="I163" s="116">
        <f t="shared" si="139"/>
        <v>0</v>
      </c>
      <c r="J163" s="116">
        <f>G163*M$1</f>
        <v>0</v>
      </c>
      <c r="K163" s="153">
        <f>I163*M$1</f>
        <v>0</v>
      </c>
      <c r="L163" s="116">
        <f t="shared" si="140"/>
        <v>0</v>
      </c>
      <c r="M163" s="116">
        <f t="shared" si="141"/>
        <v>0</v>
      </c>
      <c r="N163" s="19"/>
      <c r="O163" s="19"/>
      <c r="P163" s="146"/>
      <c r="Q163" s="183"/>
      <c r="R163" s="187"/>
      <c r="S163" s="207"/>
      <c r="T163" s="188"/>
      <c r="U163" s="189"/>
      <c r="V163" s="189"/>
      <c r="W163" s="182">
        <f>J163-(Q163*($M$1-$K$1))</f>
        <v>0</v>
      </c>
      <c r="X163" s="182">
        <f>H163*$M$1</f>
        <v>0</v>
      </c>
    </row>
    <row r="164" spans="1:25" ht="15" customHeight="1" x14ac:dyDescent="0.25">
      <c r="A164" s="276"/>
      <c r="B164" s="116">
        <v>0</v>
      </c>
      <c r="C164" s="116">
        <v>0</v>
      </c>
      <c r="D164" s="147">
        <f>'Data Ocupacion'!AV34</f>
        <v>0</v>
      </c>
      <c r="E164" s="147">
        <f>'Data Ocupacion'!AW34</f>
        <v>0</v>
      </c>
      <c r="F164" s="320" t="s">
        <v>53</v>
      </c>
      <c r="G164" s="321">
        <f t="shared" si="138"/>
        <v>0</v>
      </c>
      <c r="H164" s="116">
        <f t="shared" si="142"/>
        <v>0</v>
      </c>
      <c r="I164" s="116">
        <f t="shared" si="139"/>
        <v>0</v>
      </c>
      <c r="J164" s="116">
        <f>G164*M$1</f>
        <v>0</v>
      </c>
      <c r="K164" s="153">
        <f>I164*M$1</f>
        <v>0</v>
      </c>
      <c r="L164" s="116">
        <f t="shared" si="140"/>
        <v>0</v>
      </c>
      <c r="M164" s="116">
        <f t="shared" si="141"/>
        <v>0</v>
      </c>
      <c r="N164" s="19"/>
      <c r="O164" s="19"/>
      <c r="P164" s="146"/>
      <c r="Q164" s="189"/>
      <c r="R164" s="189"/>
      <c r="S164" s="189"/>
      <c r="T164" s="189"/>
      <c r="U164" s="189"/>
      <c r="V164" s="189"/>
      <c r="W164" s="182">
        <f>J164</f>
        <v>0</v>
      </c>
      <c r="X164" s="182">
        <f>H164*$M$1</f>
        <v>0</v>
      </c>
    </row>
    <row r="165" spans="1:25" ht="13.5" customHeight="1" x14ac:dyDescent="0.25">
      <c r="A165" s="276"/>
      <c r="B165" s="116">
        <v>0</v>
      </c>
      <c r="C165" s="116">
        <v>0</v>
      </c>
      <c r="D165" s="147">
        <f>'Data Ocupacion'!AV35</f>
        <v>0</v>
      </c>
      <c r="E165" s="147">
        <f>'Data Ocupacion'!AW35</f>
        <v>0</v>
      </c>
      <c r="F165" s="320" t="s">
        <v>122</v>
      </c>
      <c r="G165" s="321">
        <f t="shared" si="138"/>
        <v>0</v>
      </c>
      <c r="H165" s="116">
        <f t="shared" si="142"/>
        <v>0</v>
      </c>
      <c r="I165" s="116">
        <f t="shared" si="139"/>
        <v>0</v>
      </c>
      <c r="J165" s="323">
        <f>G165*K$1</f>
        <v>0</v>
      </c>
      <c r="K165" s="153">
        <f>I165*K$1</f>
        <v>0</v>
      </c>
      <c r="L165" s="116">
        <f t="shared" si="140"/>
        <v>0</v>
      </c>
      <c r="M165" s="116">
        <f t="shared" si="141"/>
        <v>0</v>
      </c>
      <c r="N165" s="19"/>
      <c r="O165" s="19"/>
      <c r="P165" s="146"/>
      <c r="Q165" s="189"/>
      <c r="R165" s="189"/>
      <c r="S165" s="189"/>
      <c r="T165" s="189"/>
      <c r="U165" s="189"/>
      <c r="V165" s="189"/>
      <c r="W165" s="182">
        <f>J165</f>
        <v>0</v>
      </c>
      <c r="X165" s="182">
        <f>H165*$K$1</f>
        <v>0</v>
      </c>
    </row>
    <row r="166" spans="1:25" ht="12.75" customHeight="1" thickBot="1" x14ac:dyDescent="0.3">
      <c r="A166" s="276"/>
      <c r="B166" s="116">
        <v>0</v>
      </c>
      <c r="C166" s="116">
        <v>0</v>
      </c>
      <c r="D166" s="147">
        <f>'Data Ocupacion'!AV36</f>
        <v>0</v>
      </c>
      <c r="E166" s="147">
        <f>'Data Ocupacion'!AW36</f>
        <v>0</v>
      </c>
      <c r="F166" s="320" t="s">
        <v>35</v>
      </c>
      <c r="G166" s="321">
        <f t="shared" si="138"/>
        <v>0</v>
      </c>
      <c r="H166" s="116">
        <f t="shared" si="142"/>
        <v>0</v>
      </c>
      <c r="I166" s="324">
        <f t="shared" si="139"/>
        <v>0</v>
      </c>
      <c r="J166" s="324">
        <f>G166*K$1</f>
        <v>0</v>
      </c>
      <c r="K166" s="153">
        <f>I166*K$1</f>
        <v>0</v>
      </c>
      <c r="L166" s="116">
        <f t="shared" si="140"/>
        <v>0</v>
      </c>
      <c r="M166" s="116">
        <f t="shared" si="141"/>
        <v>0</v>
      </c>
      <c r="N166" s="19"/>
      <c r="O166" s="19"/>
      <c r="P166" s="146"/>
      <c r="Q166" s="189"/>
      <c r="R166" s="189"/>
      <c r="S166" s="189"/>
      <c r="T166" s="189"/>
      <c r="U166" s="189"/>
      <c r="V166" s="189"/>
      <c r="W166" s="182">
        <f>J166</f>
        <v>0</v>
      </c>
      <c r="X166" s="182">
        <f>H166*$K$1</f>
        <v>0</v>
      </c>
    </row>
    <row r="167" spans="1:25" s="124" customFormat="1" ht="15" customHeight="1" thickBot="1" x14ac:dyDescent="0.3">
      <c r="A167" s="20"/>
      <c r="B167" s="119">
        <f>SUM(B161:B166)</f>
        <v>144</v>
      </c>
      <c r="C167" s="119">
        <f>SUM(C161:C166)</f>
        <v>3</v>
      </c>
      <c r="D167" s="148">
        <f>SUM(D161:D166)</f>
        <v>144</v>
      </c>
      <c r="E167" s="148">
        <f>SUM(E161:E166)</f>
        <v>3</v>
      </c>
      <c r="F167" s="119"/>
      <c r="G167" s="119">
        <f t="shared" ref="G167:M167" si="143">SUM(G161:G166)</f>
        <v>150</v>
      </c>
      <c r="H167" s="119">
        <f t="shared" si="143"/>
        <v>150</v>
      </c>
      <c r="I167" s="119">
        <f t="shared" si="143"/>
        <v>147</v>
      </c>
      <c r="J167" s="120">
        <f t="shared" si="143"/>
        <v>6469.5</v>
      </c>
      <c r="K167" s="119">
        <f t="shared" si="143"/>
        <v>6340.1100000000006</v>
      </c>
      <c r="L167" s="119">
        <f t="shared" si="143"/>
        <v>672828</v>
      </c>
      <c r="M167" s="119">
        <f t="shared" si="143"/>
        <v>15288</v>
      </c>
      <c r="N167" s="123">
        <f>'Odometro-Kilometraje'!X88</f>
        <v>6547</v>
      </c>
      <c r="O167" s="21">
        <f>(W167/N167)*100</f>
        <v>98.81625171834429</v>
      </c>
      <c r="P167" s="192"/>
      <c r="Q167" s="181"/>
      <c r="R167" s="181"/>
      <c r="S167" s="181"/>
      <c r="T167" s="181"/>
      <c r="U167" s="181"/>
      <c r="V167" s="181"/>
      <c r="W167" s="193">
        <f>SUM(W161:W166)</f>
        <v>6469.5</v>
      </c>
      <c r="X167" s="193">
        <f>SUM(X161:X166)</f>
        <v>6469.5</v>
      </c>
    </row>
    <row r="168" spans="1:25" x14ac:dyDescent="0.25">
      <c r="A168" s="60">
        <f>A161+1</f>
        <v>46166</v>
      </c>
      <c r="B168" s="218">
        <v>51</v>
      </c>
      <c r="C168" s="218">
        <v>3</v>
      </c>
      <c r="D168" s="126">
        <f>'Data Ocupacion'!AX31</f>
        <v>52</v>
      </c>
      <c r="E168" s="126">
        <f>'Data Ocupacion'!AY31</f>
        <v>2</v>
      </c>
      <c r="F168" s="332" t="s">
        <v>38</v>
      </c>
      <c r="G168" s="333">
        <f t="shared" ref="G168:G173" si="144">D168+E168*2</f>
        <v>56</v>
      </c>
      <c r="H168" s="218">
        <f>B168+C168*2</f>
        <v>57</v>
      </c>
      <c r="I168" s="334">
        <f t="shared" ref="I168:I173" si="145">D168+E168</f>
        <v>54</v>
      </c>
      <c r="J168" s="334">
        <f>G168*M$2</f>
        <v>2415.2800000000002</v>
      </c>
      <c r="K168" s="153">
        <f>I168*M$2</f>
        <v>2329.02</v>
      </c>
      <c r="L168" s="218">
        <f t="shared" ref="L168:L173" si="146">J168*104</f>
        <v>251189.12000000002</v>
      </c>
      <c r="M168" s="218">
        <f t="shared" ref="M168:M173" si="147">I168*104</f>
        <v>5616</v>
      </c>
      <c r="N168" s="19"/>
      <c r="O168" s="19"/>
      <c r="P168" s="146"/>
      <c r="Q168" s="183"/>
      <c r="R168" s="183"/>
      <c r="S168" s="206"/>
      <c r="T168" s="206"/>
      <c r="U168" s="191"/>
      <c r="V168" s="228"/>
      <c r="W168" s="182">
        <f>J168-(Q168*($M$2-$K$1))-(R168*($M$2-$M$1))- (S168*($M$2-$I$2))+ (T168*($G$2))</f>
        <v>2415.2800000000002</v>
      </c>
      <c r="X168" s="182">
        <f>H168*$M$2</f>
        <v>2458.4100000000003</v>
      </c>
    </row>
    <row r="169" spans="1:25" ht="15" customHeight="1" x14ac:dyDescent="0.25">
      <c r="A169" s="276"/>
      <c r="B169" s="218">
        <v>57</v>
      </c>
      <c r="C169" s="218">
        <v>0</v>
      </c>
      <c r="D169" s="138">
        <f>'Data Ocupacion'!AX32</f>
        <v>57</v>
      </c>
      <c r="E169" s="138">
        <f>'Data Ocupacion'!AY32</f>
        <v>0</v>
      </c>
      <c r="F169" s="332" t="s">
        <v>52</v>
      </c>
      <c r="G169" s="333">
        <f t="shared" si="144"/>
        <v>57</v>
      </c>
      <c r="H169" s="218">
        <f t="shared" ref="H169:H173" si="148">B169+C169*2</f>
        <v>57</v>
      </c>
      <c r="I169" s="218">
        <f t="shared" si="145"/>
        <v>57</v>
      </c>
      <c r="J169" s="218">
        <f>G169*M$2</f>
        <v>2458.4100000000003</v>
      </c>
      <c r="K169" s="153">
        <f>I169*M$2</f>
        <v>2458.4100000000003</v>
      </c>
      <c r="L169" s="218">
        <f t="shared" si="146"/>
        <v>255674.64000000004</v>
      </c>
      <c r="M169" s="218">
        <f t="shared" si="147"/>
        <v>5928</v>
      </c>
      <c r="N169" s="19"/>
      <c r="O169" s="19"/>
      <c r="P169" s="146"/>
      <c r="Q169" s="186"/>
      <c r="R169" s="186"/>
      <c r="S169" s="217"/>
      <c r="T169" s="217"/>
      <c r="U169" s="217"/>
      <c r="V169" s="229"/>
      <c r="W169" s="185">
        <f>J169-(T169*($M$2-$K$1)+(U169*($M$2-$M$1)))-AF2</f>
        <v>2439.4100000000003</v>
      </c>
      <c r="X169" s="182">
        <f>H169*$M$2</f>
        <v>2458.4100000000003</v>
      </c>
      <c r="Y169" s="172"/>
    </row>
    <row r="170" spans="1:25" ht="15" customHeight="1" x14ac:dyDescent="0.25">
      <c r="A170" s="276"/>
      <c r="B170" s="218">
        <v>0</v>
      </c>
      <c r="C170" s="218">
        <v>0</v>
      </c>
      <c r="D170" s="138">
        <f>'Data Ocupacion'!AX33</f>
        <v>0</v>
      </c>
      <c r="E170" s="138">
        <f>'Data Ocupacion'!AY33</f>
        <v>0</v>
      </c>
      <c r="F170" s="332" t="s">
        <v>36</v>
      </c>
      <c r="G170" s="333">
        <f t="shared" si="144"/>
        <v>0</v>
      </c>
      <c r="H170" s="218">
        <f t="shared" si="148"/>
        <v>0</v>
      </c>
      <c r="I170" s="218">
        <f t="shared" si="145"/>
        <v>0</v>
      </c>
      <c r="J170" s="218">
        <f>G170*M$1</f>
        <v>0</v>
      </c>
      <c r="K170" s="153">
        <f>I170*M$1</f>
        <v>0</v>
      </c>
      <c r="L170" s="218">
        <f t="shared" si="146"/>
        <v>0</v>
      </c>
      <c r="M170" s="218">
        <f t="shared" si="147"/>
        <v>0</v>
      </c>
      <c r="N170" s="19"/>
      <c r="O170" s="19"/>
      <c r="P170" s="146"/>
      <c r="Q170" s="183"/>
      <c r="R170" s="190"/>
      <c r="S170" s="228"/>
      <c r="T170" s="186"/>
      <c r="U170" s="189"/>
      <c r="V170" s="189"/>
      <c r="W170" s="182">
        <f>J170-(Q170*($M$1-$K$1))</f>
        <v>0</v>
      </c>
      <c r="X170" s="182">
        <f>H170*$M$1</f>
        <v>0</v>
      </c>
    </row>
    <row r="171" spans="1:25" ht="15" customHeight="1" x14ac:dyDescent="0.25">
      <c r="A171" s="276"/>
      <c r="B171" s="218">
        <v>0</v>
      </c>
      <c r="C171" s="218">
        <v>0</v>
      </c>
      <c r="D171" s="138">
        <f>'Data Ocupacion'!AX34</f>
        <v>0</v>
      </c>
      <c r="E171" s="138">
        <f>'Data Ocupacion'!AY34</f>
        <v>0</v>
      </c>
      <c r="F171" s="332" t="s">
        <v>53</v>
      </c>
      <c r="G171" s="333">
        <f t="shared" si="144"/>
        <v>0</v>
      </c>
      <c r="H171" s="218">
        <f t="shared" si="148"/>
        <v>0</v>
      </c>
      <c r="I171" s="218">
        <f t="shared" si="145"/>
        <v>0</v>
      </c>
      <c r="J171" s="218">
        <f>G171*M$1</f>
        <v>0</v>
      </c>
      <c r="K171" s="153">
        <f>I171*M$1</f>
        <v>0</v>
      </c>
      <c r="L171" s="218">
        <f t="shared" si="146"/>
        <v>0</v>
      </c>
      <c r="M171" s="218">
        <f t="shared" si="147"/>
        <v>0</v>
      </c>
      <c r="N171" s="19"/>
      <c r="O171" s="19"/>
      <c r="P171" s="146"/>
      <c r="Q171" s="189"/>
      <c r="R171" s="189"/>
      <c r="S171" s="189"/>
      <c r="T171" s="189"/>
      <c r="U171" s="189"/>
      <c r="V171" s="189"/>
      <c r="W171" s="182">
        <f>J171</f>
        <v>0</v>
      </c>
      <c r="X171" s="182">
        <f>H171*$M$1</f>
        <v>0</v>
      </c>
    </row>
    <row r="172" spans="1:25" ht="15" customHeight="1" x14ac:dyDescent="0.25">
      <c r="A172" s="276"/>
      <c r="B172" s="218">
        <v>0</v>
      </c>
      <c r="C172" s="218">
        <v>0</v>
      </c>
      <c r="D172" s="138">
        <f>'Data Ocupacion'!AX35</f>
        <v>0</v>
      </c>
      <c r="E172" s="138">
        <f>'Data Ocupacion'!AY35</f>
        <v>0</v>
      </c>
      <c r="F172" s="332" t="s">
        <v>122</v>
      </c>
      <c r="G172" s="333">
        <f t="shared" si="144"/>
        <v>0</v>
      </c>
      <c r="H172" s="218">
        <f t="shared" si="148"/>
        <v>0</v>
      </c>
      <c r="I172" s="218">
        <f t="shared" si="145"/>
        <v>0</v>
      </c>
      <c r="J172" s="335">
        <f>G172*K$1</f>
        <v>0</v>
      </c>
      <c r="K172" s="153">
        <f>I172*K$1</f>
        <v>0</v>
      </c>
      <c r="L172" s="218">
        <f t="shared" si="146"/>
        <v>0</v>
      </c>
      <c r="M172" s="218">
        <f t="shared" si="147"/>
        <v>0</v>
      </c>
      <c r="N172" s="19"/>
      <c r="O172" s="19"/>
      <c r="P172" s="146"/>
      <c r="Q172" s="189"/>
      <c r="R172" s="189"/>
      <c r="S172" s="189"/>
      <c r="T172" s="189"/>
      <c r="U172" s="189"/>
      <c r="V172" s="189"/>
      <c r="W172" s="182">
        <f>J172</f>
        <v>0</v>
      </c>
      <c r="X172" s="182">
        <f>H172*$K$1</f>
        <v>0</v>
      </c>
    </row>
    <row r="173" spans="1:25" ht="15.75" thickBot="1" x14ac:dyDescent="0.3">
      <c r="A173" s="276"/>
      <c r="B173" s="218">
        <v>0</v>
      </c>
      <c r="C173" s="218">
        <v>0</v>
      </c>
      <c r="D173" s="138">
        <f>'Data Ocupacion'!AX36</f>
        <v>0</v>
      </c>
      <c r="E173" s="138">
        <f>'Data Ocupacion'!AY36</f>
        <v>0</v>
      </c>
      <c r="F173" s="332" t="s">
        <v>35</v>
      </c>
      <c r="G173" s="333">
        <f t="shared" si="144"/>
        <v>0</v>
      </c>
      <c r="H173" s="218">
        <f t="shared" si="148"/>
        <v>0</v>
      </c>
      <c r="I173" s="336">
        <f t="shared" si="145"/>
        <v>0</v>
      </c>
      <c r="J173" s="336">
        <f>G173*K$1</f>
        <v>0</v>
      </c>
      <c r="K173" s="153">
        <f>I173*K$1</f>
        <v>0</v>
      </c>
      <c r="L173" s="218">
        <f t="shared" si="146"/>
        <v>0</v>
      </c>
      <c r="M173" s="218">
        <f t="shared" si="147"/>
        <v>0</v>
      </c>
      <c r="N173" s="19"/>
      <c r="O173" s="19"/>
      <c r="P173" s="146"/>
      <c r="Q173" s="189"/>
      <c r="R173" s="189"/>
      <c r="S173" s="189"/>
      <c r="T173" s="189"/>
      <c r="U173" s="189"/>
      <c r="V173" s="189"/>
      <c r="W173" s="182">
        <f>J173</f>
        <v>0</v>
      </c>
      <c r="X173" s="182">
        <f>H173*$K$1</f>
        <v>0</v>
      </c>
    </row>
    <row r="174" spans="1:25" s="124" customFormat="1" ht="15.75" thickBot="1" x14ac:dyDescent="0.3">
      <c r="A174" s="20"/>
      <c r="B174" s="119">
        <f>SUM(B168:B173)</f>
        <v>108</v>
      </c>
      <c r="C174" s="119">
        <f>SUM(C168:C173)</f>
        <v>3</v>
      </c>
      <c r="D174" s="148">
        <f>SUM(D168:D173)</f>
        <v>109</v>
      </c>
      <c r="E174" s="148">
        <f>SUM(E168:E173)</f>
        <v>2</v>
      </c>
      <c r="F174" s="119"/>
      <c r="G174" s="119">
        <f t="shared" ref="G174:M174" si="149">SUM(G168:G173)</f>
        <v>113</v>
      </c>
      <c r="H174" s="119">
        <f t="shared" si="149"/>
        <v>114</v>
      </c>
      <c r="I174" s="119">
        <f t="shared" si="149"/>
        <v>111</v>
      </c>
      <c r="J174" s="120">
        <f t="shared" si="149"/>
        <v>4873.6900000000005</v>
      </c>
      <c r="K174" s="119">
        <f t="shared" si="149"/>
        <v>4787.43</v>
      </c>
      <c r="L174" s="119">
        <f t="shared" si="149"/>
        <v>506863.76000000007</v>
      </c>
      <c r="M174" s="119">
        <f t="shared" si="149"/>
        <v>11544</v>
      </c>
      <c r="N174" s="123">
        <f>'Odometro-Kilometraje'!Y88</f>
        <v>5004</v>
      </c>
      <c r="O174" s="21">
        <f>(W174/N174)*100</f>
        <v>97.016187050359719</v>
      </c>
      <c r="P174" s="192"/>
      <c r="Q174" s="181"/>
      <c r="R174" s="181"/>
      <c r="S174" s="181"/>
      <c r="T174" s="181"/>
      <c r="U174" s="181"/>
      <c r="V174" s="181"/>
      <c r="W174" s="193">
        <f>SUM(W168:W173)</f>
        <v>4854.6900000000005</v>
      </c>
      <c r="X174" s="193">
        <f>SUM(X168:X173)</f>
        <v>4916.8200000000006</v>
      </c>
    </row>
    <row r="175" spans="1:25" x14ac:dyDescent="0.25">
      <c r="A175" s="60">
        <f>A168+1</f>
        <v>46167</v>
      </c>
      <c r="B175" s="295">
        <v>38</v>
      </c>
      <c r="C175" s="295">
        <v>41</v>
      </c>
      <c r="D175" s="147">
        <f>'Data Ocupacion'!AZ31</f>
        <v>40</v>
      </c>
      <c r="E175" s="147">
        <f>'Data Ocupacion'!BA31</f>
        <v>39</v>
      </c>
      <c r="F175" s="220" t="s">
        <v>38</v>
      </c>
      <c r="G175" s="221">
        <f t="shared" ref="G175:G180" si="150">D175+E175*2</f>
        <v>118</v>
      </c>
      <c r="H175" s="125">
        <f>B175+C175*2</f>
        <v>120</v>
      </c>
      <c r="I175" s="222">
        <f t="shared" ref="I175:I180" si="151">D175+E175</f>
        <v>79</v>
      </c>
      <c r="J175" s="222">
        <f>G175*M$2</f>
        <v>5089.34</v>
      </c>
      <c r="K175" s="153">
        <f>I175*M$2</f>
        <v>3407.27</v>
      </c>
      <c r="L175" s="125">
        <f t="shared" ref="L175:L180" si="152">J175*104</f>
        <v>529291.36</v>
      </c>
      <c r="M175" s="125">
        <f t="shared" ref="M175:M180" si="153">I175*104</f>
        <v>8216</v>
      </c>
      <c r="N175" s="19"/>
      <c r="O175" s="19"/>
      <c r="P175" s="146"/>
      <c r="Q175" s="183">
        <v>3</v>
      </c>
      <c r="R175" s="183"/>
      <c r="S175" s="206"/>
      <c r="T175" s="285"/>
      <c r="U175" s="191"/>
      <c r="V175" s="228"/>
      <c r="W175" s="182">
        <f>J175-(Q175*($M$2-$K$1))-(R175*($M$2-$M$1))- (S175*($M$2-$I$2))+ (T175*($G$2))</f>
        <v>5036.1500000000005</v>
      </c>
      <c r="X175" s="182">
        <f>H175*$M$2</f>
        <v>5175.6000000000004</v>
      </c>
    </row>
    <row r="176" spans="1:25" ht="18" customHeight="1" x14ac:dyDescent="0.25">
      <c r="A176" s="362" t="s">
        <v>188</v>
      </c>
      <c r="B176" s="295">
        <v>36</v>
      </c>
      <c r="C176" s="295">
        <v>42</v>
      </c>
      <c r="D176" s="147">
        <f>'Data Ocupacion'!AZ32</f>
        <v>38</v>
      </c>
      <c r="E176" s="147">
        <f>'Data Ocupacion'!BA32</f>
        <v>40</v>
      </c>
      <c r="F176" s="220" t="s">
        <v>52</v>
      </c>
      <c r="G176" s="221">
        <f t="shared" si="150"/>
        <v>118</v>
      </c>
      <c r="H176" s="125">
        <f t="shared" ref="H176:H180" si="154">B176+C176*2</f>
        <v>120</v>
      </c>
      <c r="I176" s="125">
        <f t="shared" si="151"/>
        <v>78</v>
      </c>
      <c r="J176" s="125">
        <f>G176*M$2</f>
        <v>5089.34</v>
      </c>
      <c r="K176" s="153">
        <f>I176*M$2</f>
        <v>3364.1400000000003</v>
      </c>
      <c r="L176" s="125">
        <f t="shared" si="152"/>
        <v>529291.36</v>
      </c>
      <c r="M176" s="125">
        <f t="shared" si="153"/>
        <v>8112</v>
      </c>
      <c r="N176" s="19"/>
      <c r="O176" s="19"/>
      <c r="P176" s="146"/>
      <c r="Q176" s="186"/>
      <c r="R176" s="186"/>
      <c r="S176" s="217"/>
      <c r="T176" s="183">
        <v>4</v>
      </c>
      <c r="U176" s="217"/>
      <c r="V176" s="229"/>
      <c r="W176" s="185">
        <f>J176-(T176*($M$2-$K$1)+(U176*($M$2-$M$1)))</f>
        <v>5018.42</v>
      </c>
      <c r="X176" s="182">
        <f>H176*$M$2</f>
        <v>5175.6000000000004</v>
      </c>
      <c r="Y176" s="172"/>
    </row>
    <row r="177" spans="1:30" x14ac:dyDescent="0.25">
      <c r="A177" s="362"/>
      <c r="B177" s="295">
        <v>33</v>
      </c>
      <c r="C177" s="295">
        <v>3</v>
      </c>
      <c r="D177" s="126">
        <f>'Data Ocupacion'!AZ33</f>
        <v>33</v>
      </c>
      <c r="E177" s="126">
        <f>'Data Ocupacion'!BA33</f>
        <v>3</v>
      </c>
      <c r="F177" s="220" t="s">
        <v>36</v>
      </c>
      <c r="G177" s="221">
        <f t="shared" si="150"/>
        <v>39</v>
      </c>
      <c r="H177" s="125">
        <f t="shared" si="154"/>
        <v>39</v>
      </c>
      <c r="I177" s="125">
        <f t="shared" si="151"/>
        <v>36</v>
      </c>
      <c r="J177" s="125">
        <f>G177*M$1</f>
        <v>1135.29</v>
      </c>
      <c r="K177" s="153">
        <f>I177*M$1</f>
        <v>1047.96</v>
      </c>
      <c r="L177" s="125">
        <f t="shared" si="152"/>
        <v>118070.16</v>
      </c>
      <c r="M177" s="125">
        <f t="shared" si="153"/>
        <v>3744</v>
      </c>
      <c r="N177" s="19"/>
      <c r="O177" s="19"/>
      <c r="P177" s="146"/>
      <c r="Q177" s="244">
        <v>3</v>
      </c>
      <c r="R177" s="190"/>
      <c r="S177" s="228"/>
      <c r="T177" s="186"/>
      <c r="U177" s="189"/>
      <c r="V177" s="189"/>
      <c r="W177" s="182">
        <f>J177-(Q177*($M$1-$K$1))</f>
        <v>1124.1599999999999</v>
      </c>
      <c r="X177" s="182">
        <f>H177*$M$1</f>
        <v>1135.29</v>
      </c>
    </row>
    <row r="178" spans="1:30" ht="15" customHeight="1" x14ac:dyDescent="0.25">
      <c r="A178" s="362"/>
      <c r="B178" s="295">
        <v>29</v>
      </c>
      <c r="C178" s="295">
        <v>3</v>
      </c>
      <c r="D178" s="126">
        <f>'Data Ocupacion'!AZ34</f>
        <v>29</v>
      </c>
      <c r="E178" s="126">
        <f>'Data Ocupacion'!BA34</f>
        <v>3</v>
      </c>
      <c r="F178" s="220" t="s">
        <v>53</v>
      </c>
      <c r="G178" s="221">
        <f t="shared" si="150"/>
        <v>35</v>
      </c>
      <c r="H178" s="125">
        <f t="shared" si="154"/>
        <v>35</v>
      </c>
      <c r="I178" s="125">
        <f t="shared" si="151"/>
        <v>32</v>
      </c>
      <c r="J178" s="125">
        <f>G178*M$1</f>
        <v>1018.85</v>
      </c>
      <c r="K178" s="153">
        <f>I178*M$1</f>
        <v>931.52</v>
      </c>
      <c r="L178" s="125">
        <f t="shared" si="152"/>
        <v>105960.40000000001</v>
      </c>
      <c r="M178" s="125">
        <f t="shared" si="153"/>
        <v>3328</v>
      </c>
      <c r="N178" s="19"/>
      <c r="O178" s="19"/>
      <c r="P178" s="146"/>
      <c r="Q178" s="189"/>
      <c r="R178" s="189"/>
      <c r="S178" s="189"/>
      <c r="T178" s="189"/>
      <c r="U178" s="189"/>
      <c r="V178" s="189"/>
      <c r="W178" s="182">
        <f>J178</f>
        <v>1018.85</v>
      </c>
      <c r="X178" s="182">
        <f>H178*$M$1</f>
        <v>1018.85</v>
      </c>
    </row>
    <row r="179" spans="1:30" ht="16.149999999999999" customHeight="1" x14ac:dyDescent="0.25">
      <c r="A179" s="362"/>
      <c r="B179" s="295">
        <v>0</v>
      </c>
      <c r="C179" s="295">
        <v>0</v>
      </c>
      <c r="D179" s="126">
        <f>'Data Ocupacion'!AZ35</f>
        <v>0</v>
      </c>
      <c r="E179" s="126">
        <f>'Data Ocupacion'!BA35</f>
        <v>0</v>
      </c>
      <c r="F179" s="220" t="s">
        <v>122</v>
      </c>
      <c r="G179" s="221">
        <f t="shared" si="150"/>
        <v>0</v>
      </c>
      <c r="H179" s="125">
        <f t="shared" si="154"/>
        <v>0</v>
      </c>
      <c r="I179" s="125">
        <f t="shared" si="151"/>
        <v>0</v>
      </c>
      <c r="J179" s="223">
        <f>G179*K$1</f>
        <v>0</v>
      </c>
      <c r="K179" s="153">
        <f>I179*K$1</f>
        <v>0</v>
      </c>
      <c r="L179" s="125">
        <f t="shared" si="152"/>
        <v>0</v>
      </c>
      <c r="M179" s="125">
        <f t="shared" si="153"/>
        <v>0</v>
      </c>
      <c r="N179" s="19"/>
      <c r="O179" s="19"/>
      <c r="P179" s="146"/>
      <c r="Q179" s="189"/>
      <c r="R179" s="189"/>
      <c r="S179" s="189"/>
      <c r="T179" s="189"/>
      <c r="U179" s="189"/>
      <c r="V179" s="189"/>
      <c r="W179" s="182">
        <f>J179</f>
        <v>0</v>
      </c>
      <c r="X179" s="182">
        <f>H179*$K$1</f>
        <v>0</v>
      </c>
    </row>
    <row r="180" spans="1:30" ht="15.75" thickBot="1" x14ac:dyDescent="0.3">
      <c r="A180" s="362"/>
      <c r="B180" s="295">
        <v>4</v>
      </c>
      <c r="C180" s="295">
        <v>0</v>
      </c>
      <c r="D180" s="126">
        <f>'Data Ocupacion'!AZ36</f>
        <v>4</v>
      </c>
      <c r="E180" s="126">
        <f>'Data Ocupacion'!BA36</f>
        <v>0</v>
      </c>
      <c r="F180" s="220" t="s">
        <v>35</v>
      </c>
      <c r="G180" s="221">
        <f t="shared" si="150"/>
        <v>4</v>
      </c>
      <c r="H180" s="125">
        <f t="shared" si="154"/>
        <v>4</v>
      </c>
      <c r="I180" s="224">
        <f t="shared" si="151"/>
        <v>4</v>
      </c>
      <c r="J180" s="224">
        <f>G180*K$1</f>
        <v>101.6</v>
      </c>
      <c r="K180" s="153">
        <f>I180*K$1</f>
        <v>101.6</v>
      </c>
      <c r="L180" s="125">
        <f t="shared" si="152"/>
        <v>10566.4</v>
      </c>
      <c r="M180" s="125">
        <f t="shared" si="153"/>
        <v>416</v>
      </c>
      <c r="N180" s="19"/>
      <c r="O180" s="19"/>
      <c r="P180" s="146"/>
      <c r="Q180" s="189"/>
      <c r="R180" s="189"/>
      <c r="S180" s="189"/>
      <c r="T180" s="189"/>
      <c r="U180" s="189"/>
      <c r="V180" s="189"/>
      <c r="W180" s="182">
        <f>J180</f>
        <v>101.6</v>
      </c>
      <c r="X180" s="182">
        <f>H180*$K$1</f>
        <v>101.6</v>
      </c>
    </row>
    <row r="181" spans="1:30" s="124" customFormat="1" ht="15.75" thickBot="1" x14ac:dyDescent="0.3">
      <c r="A181" s="201"/>
      <c r="B181" s="119">
        <f>SUM(B175:B180)</f>
        <v>140</v>
      </c>
      <c r="C181" s="119">
        <f>SUM(C175:C180)</f>
        <v>89</v>
      </c>
      <c r="D181" s="148">
        <f>SUM(D175:D180)</f>
        <v>144</v>
      </c>
      <c r="E181" s="148">
        <f>SUM(E175:E180)</f>
        <v>85</v>
      </c>
      <c r="F181" s="119"/>
      <c r="G181" s="119">
        <f t="shared" ref="G181:M181" si="155">SUM(G175:G180)</f>
        <v>314</v>
      </c>
      <c r="H181" s="119">
        <f t="shared" si="155"/>
        <v>318</v>
      </c>
      <c r="I181" s="119">
        <f t="shared" si="155"/>
        <v>229</v>
      </c>
      <c r="J181" s="120">
        <f t="shared" si="155"/>
        <v>12434.420000000002</v>
      </c>
      <c r="K181" s="119">
        <f t="shared" si="155"/>
        <v>8852.49</v>
      </c>
      <c r="L181" s="119">
        <f t="shared" si="155"/>
        <v>1293179.6799999997</v>
      </c>
      <c r="M181" s="119">
        <f t="shared" si="155"/>
        <v>23816</v>
      </c>
      <c r="N181" s="123">
        <f>'Odometro-Kilometraje'!Z88</f>
        <v>12602</v>
      </c>
      <c r="O181" s="21">
        <f>(W181/N181)*100</f>
        <v>97.597048087605145</v>
      </c>
      <c r="P181" s="192"/>
      <c r="Q181" s="181"/>
      <c r="R181" s="181"/>
      <c r="S181" s="181"/>
      <c r="T181" s="181"/>
      <c r="U181" s="181"/>
      <c r="V181" s="181"/>
      <c r="W181" s="193">
        <f>SUM(W175:W180)</f>
        <v>12299.18</v>
      </c>
      <c r="X181" s="193">
        <f>SUM(X175:X180)</f>
        <v>12606.940000000002</v>
      </c>
      <c r="AB181" s="172"/>
    </row>
    <row r="182" spans="1:30" x14ac:dyDescent="0.25">
      <c r="A182" s="60">
        <f>A175+1</f>
        <v>46168</v>
      </c>
      <c r="B182" s="295">
        <v>38</v>
      </c>
      <c r="C182" s="295">
        <v>41</v>
      </c>
      <c r="D182" s="126">
        <f>'Data Ocupacion'!BB31</f>
        <v>38</v>
      </c>
      <c r="E182" s="126">
        <f>'Data Ocupacion'!BC31</f>
        <v>41</v>
      </c>
      <c r="F182" s="125" t="s">
        <v>38</v>
      </c>
      <c r="G182" s="125">
        <f t="shared" ref="G182:G187" si="156">D182+E182*2</f>
        <v>120</v>
      </c>
      <c r="H182" s="125">
        <f>B182+C182*2</f>
        <v>120</v>
      </c>
      <c r="I182" s="125">
        <f t="shared" ref="I182:I187" si="157">D182+E182</f>
        <v>79</v>
      </c>
      <c r="J182" s="125">
        <f>G182*M$2</f>
        <v>5175.6000000000004</v>
      </c>
      <c r="K182" s="153">
        <f>I182*M$2</f>
        <v>3407.27</v>
      </c>
      <c r="L182" s="125">
        <f t="shared" ref="L182:L187" si="158">J182*104</f>
        <v>538262.4</v>
      </c>
      <c r="M182" s="125">
        <f t="shared" ref="M182:M187" si="159">I182*104</f>
        <v>8216</v>
      </c>
      <c r="N182" s="19"/>
      <c r="O182" s="19"/>
      <c r="P182" s="146"/>
      <c r="Q182" s="183">
        <v>3</v>
      </c>
      <c r="R182" s="183"/>
      <c r="S182" s="206"/>
      <c r="T182" s="285"/>
      <c r="U182" s="191"/>
      <c r="V182" s="228"/>
      <c r="W182" s="182">
        <f>J182-(Q182*($M$2-$K$1))-(R182*($M$2-$M$1))- (S182*($M$2-$I$2))+ (T182*($G$2))</f>
        <v>5122.4100000000008</v>
      </c>
      <c r="X182" s="182">
        <f>H182*$M$2</f>
        <v>5175.6000000000004</v>
      </c>
      <c r="Z182" s="124"/>
      <c r="AA182" s="124"/>
      <c r="AB182" s="124"/>
      <c r="AC182" s="124"/>
      <c r="AD182" s="124"/>
    </row>
    <row r="183" spans="1:30" ht="15" customHeight="1" x14ac:dyDescent="0.25">
      <c r="A183" s="276"/>
      <c r="B183" s="295">
        <v>36</v>
      </c>
      <c r="C183" s="295">
        <v>42</v>
      </c>
      <c r="D183" s="138">
        <f>'Data Ocupacion'!BB32</f>
        <v>37</v>
      </c>
      <c r="E183" s="138">
        <f>'Data Ocupacion'!BC32</f>
        <v>42</v>
      </c>
      <c r="F183" s="125" t="s">
        <v>52</v>
      </c>
      <c r="G183" s="125">
        <f t="shared" si="156"/>
        <v>121</v>
      </c>
      <c r="H183" s="125">
        <f t="shared" ref="H183:H187" si="160">B183+C183*2</f>
        <v>120</v>
      </c>
      <c r="I183" s="125">
        <f t="shared" si="157"/>
        <v>79</v>
      </c>
      <c r="J183" s="125">
        <f>G183*M$2</f>
        <v>5218.7300000000005</v>
      </c>
      <c r="K183" s="153">
        <f>I183*M$2</f>
        <v>3407.27</v>
      </c>
      <c r="L183" s="125">
        <f t="shared" si="158"/>
        <v>542747.92000000004</v>
      </c>
      <c r="M183" s="125">
        <f t="shared" si="159"/>
        <v>8216</v>
      </c>
      <c r="N183" s="19"/>
      <c r="O183" s="19"/>
      <c r="P183" s="146"/>
      <c r="Q183" s="186"/>
      <c r="R183" s="186"/>
      <c r="S183" s="217"/>
      <c r="T183" s="285">
        <v>4</v>
      </c>
      <c r="U183" s="217"/>
      <c r="V183" s="206"/>
      <c r="W183" s="182">
        <f>J183-(Q183*($K$1)+(T183*($M$2-$K$1))+(U183*($M$2-$M$1)))</f>
        <v>5147.8100000000004</v>
      </c>
      <c r="X183" s="182">
        <f>H183*$M$2</f>
        <v>5175.6000000000004</v>
      </c>
      <c r="Z183" s="124"/>
      <c r="AA183" s="124"/>
      <c r="AB183" s="124"/>
      <c r="AC183" s="124"/>
      <c r="AD183" s="124"/>
    </row>
    <row r="184" spans="1:30" x14ac:dyDescent="0.25">
      <c r="A184" s="276"/>
      <c r="B184" s="295">
        <v>33</v>
      </c>
      <c r="C184" s="295">
        <v>3</v>
      </c>
      <c r="D184" s="126">
        <f>'Data Ocupacion'!BB33</f>
        <v>33</v>
      </c>
      <c r="E184" s="126">
        <f>'Data Ocupacion'!BC33</f>
        <v>3</v>
      </c>
      <c r="F184" s="125" t="s">
        <v>36</v>
      </c>
      <c r="G184" s="125">
        <f t="shared" si="156"/>
        <v>39</v>
      </c>
      <c r="H184" s="125">
        <f t="shared" si="160"/>
        <v>39</v>
      </c>
      <c r="I184" s="125">
        <f t="shared" si="157"/>
        <v>36</v>
      </c>
      <c r="J184" s="125">
        <f>G184*M$1</f>
        <v>1135.29</v>
      </c>
      <c r="K184" s="153">
        <f>I184*M$1</f>
        <v>1047.96</v>
      </c>
      <c r="L184" s="125">
        <f t="shared" si="158"/>
        <v>118070.16</v>
      </c>
      <c r="M184" s="125">
        <f t="shared" si="159"/>
        <v>3744</v>
      </c>
      <c r="N184" s="19"/>
      <c r="O184" s="19" t="s">
        <v>144</v>
      </c>
      <c r="P184" s="146"/>
      <c r="Q184" s="183">
        <v>3</v>
      </c>
      <c r="R184" s="190"/>
      <c r="S184" s="228"/>
      <c r="T184" s="186"/>
      <c r="U184" s="189"/>
      <c r="V184" s="189"/>
      <c r="W184" s="182">
        <f>J184-(Q184*($M$1-$K$1))</f>
        <v>1124.1599999999999</v>
      </c>
      <c r="X184" s="182">
        <f>H184*$M$1</f>
        <v>1135.29</v>
      </c>
    </row>
    <row r="185" spans="1:30" ht="15" customHeight="1" x14ac:dyDescent="0.25">
      <c r="A185" s="276"/>
      <c r="B185" s="295">
        <v>29</v>
      </c>
      <c r="C185" s="295">
        <v>3</v>
      </c>
      <c r="D185" s="138">
        <f>'Data Ocupacion'!BB34</f>
        <v>28</v>
      </c>
      <c r="E185" s="138">
        <f>'Data Ocupacion'!BC34</f>
        <v>3</v>
      </c>
      <c r="F185" s="125" t="s">
        <v>53</v>
      </c>
      <c r="G185" s="125">
        <f t="shared" si="156"/>
        <v>34</v>
      </c>
      <c r="H185" s="125">
        <f t="shared" si="160"/>
        <v>35</v>
      </c>
      <c r="I185" s="125">
        <f t="shared" si="157"/>
        <v>31</v>
      </c>
      <c r="J185" s="125">
        <f>G185*M$1</f>
        <v>989.74</v>
      </c>
      <c r="K185" s="153">
        <f>I185*M$1</f>
        <v>902.41</v>
      </c>
      <c r="L185" s="125">
        <f t="shared" si="158"/>
        <v>102932.96</v>
      </c>
      <c r="M185" s="125">
        <f t="shared" si="159"/>
        <v>3224</v>
      </c>
      <c r="N185" s="19"/>
      <c r="O185" s="19"/>
      <c r="P185" s="146"/>
      <c r="Q185" s="189"/>
      <c r="R185" s="189"/>
      <c r="S185" s="189"/>
      <c r="T185" s="189"/>
      <c r="U185" s="189"/>
      <c r="V185" s="189"/>
      <c r="W185" s="182">
        <f>J185</f>
        <v>989.74</v>
      </c>
      <c r="X185" s="182">
        <f>H185*$M$1</f>
        <v>1018.85</v>
      </c>
    </row>
    <row r="186" spans="1:30" ht="15" customHeight="1" x14ac:dyDescent="0.25">
      <c r="A186" s="276"/>
      <c r="B186" s="295">
        <v>0</v>
      </c>
      <c r="C186" s="295">
        <v>0</v>
      </c>
      <c r="D186" s="126">
        <f>'Data Ocupacion'!BB35</f>
        <v>0</v>
      </c>
      <c r="E186" s="126">
        <f>'Data Ocupacion'!BC35</f>
        <v>0</v>
      </c>
      <c r="F186" s="125" t="s">
        <v>122</v>
      </c>
      <c r="G186" s="125">
        <f t="shared" si="156"/>
        <v>0</v>
      </c>
      <c r="H186" s="125">
        <f t="shared" si="160"/>
        <v>0</v>
      </c>
      <c r="I186" s="125">
        <f t="shared" si="157"/>
        <v>0</v>
      </c>
      <c r="J186" s="125">
        <f>G186*K$1</f>
        <v>0</v>
      </c>
      <c r="K186" s="153">
        <f>I186*K$1</f>
        <v>0</v>
      </c>
      <c r="L186" s="125">
        <f t="shared" si="158"/>
        <v>0</v>
      </c>
      <c r="M186" s="125">
        <f t="shared" si="159"/>
        <v>0</v>
      </c>
      <c r="N186" s="19"/>
      <c r="O186" s="19"/>
      <c r="P186" s="146"/>
      <c r="Q186" s="189"/>
      <c r="R186" s="189"/>
      <c r="S186" s="189"/>
      <c r="T186" s="189"/>
      <c r="U186" s="189"/>
      <c r="V186" s="189"/>
      <c r="W186" s="182">
        <f>J186</f>
        <v>0</v>
      </c>
      <c r="X186" s="182">
        <f>H186*$K$1</f>
        <v>0</v>
      </c>
    </row>
    <row r="187" spans="1:30" ht="15" customHeight="1" thickBot="1" x14ac:dyDescent="0.3">
      <c r="A187" s="276"/>
      <c r="B187" s="295">
        <v>4</v>
      </c>
      <c r="C187" s="295">
        <v>0</v>
      </c>
      <c r="D187" s="126">
        <f>'Data Ocupacion'!BB36</f>
        <v>4</v>
      </c>
      <c r="E187" s="126">
        <f>'Data Ocupacion'!BC36</f>
        <v>0</v>
      </c>
      <c r="F187" s="125" t="s">
        <v>35</v>
      </c>
      <c r="G187" s="125">
        <f t="shared" si="156"/>
        <v>4</v>
      </c>
      <c r="H187" s="125">
        <f t="shared" si="160"/>
        <v>4</v>
      </c>
      <c r="I187" s="125">
        <f t="shared" si="157"/>
        <v>4</v>
      </c>
      <c r="J187" s="125">
        <f>G187*K$1</f>
        <v>101.6</v>
      </c>
      <c r="K187" s="153">
        <f>I187*K$1</f>
        <v>101.6</v>
      </c>
      <c r="L187" s="125">
        <f t="shared" si="158"/>
        <v>10566.4</v>
      </c>
      <c r="M187" s="125">
        <f t="shared" si="159"/>
        <v>416</v>
      </c>
      <c r="N187" s="19"/>
      <c r="O187" s="19"/>
      <c r="P187" s="146"/>
      <c r="Q187" s="189"/>
      <c r="R187" s="189"/>
      <c r="S187" s="189"/>
      <c r="T187" s="189"/>
      <c r="U187" s="189"/>
      <c r="V187" s="189"/>
      <c r="W187" s="182">
        <f>J187</f>
        <v>101.6</v>
      </c>
      <c r="X187" s="182">
        <f>H187*$K$1</f>
        <v>101.6</v>
      </c>
    </row>
    <row r="188" spans="1:30" s="124" customFormat="1" ht="15.75" thickBot="1" x14ac:dyDescent="0.3">
      <c r="A188" s="20"/>
      <c r="B188" s="119">
        <f>SUM(B182:B187)</f>
        <v>140</v>
      </c>
      <c r="C188" s="119">
        <f>SUM(C182:C187)</f>
        <v>89</v>
      </c>
      <c r="D188" s="152">
        <f>SUM(D182:D187)</f>
        <v>140</v>
      </c>
      <c r="E188" s="152">
        <f>SUM(E182:E187)</f>
        <v>89</v>
      </c>
      <c r="F188" s="119"/>
      <c r="G188" s="119">
        <f t="shared" ref="G188:M188" si="161">SUM(G182:G187)</f>
        <v>318</v>
      </c>
      <c r="H188" s="119">
        <f t="shared" si="161"/>
        <v>318</v>
      </c>
      <c r="I188" s="119">
        <f t="shared" si="161"/>
        <v>229</v>
      </c>
      <c r="J188" s="120">
        <f t="shared" si="161"/>
        <v>12620.960000000003</v>
      </c>
      <c r="K188" s="119">
        <f t="shared" si="161"/>
        <v>8866.51</v>
      </c>
      <c r="L188" s="118">
        <f t="shared" si="161"/>
        <v>1312579.8399999999</v>
      </c>
      <c r="M188" s="151">
        <f t="shared" si="161"/>
        <v>23816</v>
      </c>
      <c r="N188" s="123">
        <f>'Odometro-Kilometraje'!AA88</f>
        <v>12923</v>
      </c>
      <c r="O188" s="21">
        <f>(W188/N188)*100</f>
        <v>96.616265573009372</v>
      </c>
      <c r="P188" s="192"/>
      <c r="Q188" s="181"/>
      <c r="R188" s="181"/>
      <c r="S188" s="181"/>
      <c r="T188" s="181"/>
      <c r="U188" s="181"/>
      <c r="V188" s="181"/>
      <c r="W188" s="193">
        <f>SUM(W182:W187)</f>
        <v>12485.720000000001</v>
      </c>
      <c r="X188" s="193">
        <f>SUM(X182:X187)</f>
        <v>12606.940000000002</v>
      </c>
    </row>
    <row r="189" spans="1:30" x14ac:dyDescent="0.25">
      <c r="A189" s="60">
        <f>A182+1</f>
        <v>46169</v>
      </c>
      <c r="B189" s="295">
        <v>38</v>
      </c>
      <c r="C189" s="295">
        <v>41</v>
      </c>
      <c r="D189" s="126">
        <f>'Data Ocupacion'!BD31</f>
        <v>39</v>
      </c>
      <c r="E189" s="126">
        <f>'Data Ocupacion'!BE31</f>
        <v>40</v>
      </c>
      <c r="F189" s="220" t="s">
        <v>38</v>
      </c>
      <c r="G189" s="221">
        <f t="shared" ref="G189:G194" si="162">D189+E189*2</f>
        <v>119</v>
      </c>
      <c r="H189" s="125">
        <f>B189+C189*2</f>
        <v>120</v>
      </c>
      <c r="I189" s="222">
        <f t="shared" ref="I189:I194" si="163">D189+E189</f>
        <v>79</v>
      </c>
      <c r="J189" s="222">
        <f>G189*M$2</f>
        <v>5132.47</v>
      </c>
      <c r="K189" s="153">
        <f>I189*M$2</f>
        <v>3407.27</v>
      </c>
      <c r="L189" s="125">
        <f t="shared" ref="L189:L194" si="164">J189*104</f>
        <v>533776.88</v>
      </c>
      <c r="M189" s="125">
        <f t="shared" ref="M189:M194" si="165">I189*104</f>
        <v>8216</v>
      </c>
      <c r="N189" s="19"/>
      <c r="O189" s="19"/>
      <c r="P189" s="146"/>
      <c r="Q189" s="183">
        <v>3</v>
      </c>
      <c r="R189" s="183"/>
      <c r="S189" s="206"/>
      <c r="T189" s="285"/>
      <c r="U189" s="191"/>
      <c r="V189" s="228"/>
      <c r="W189" s="182">
        <f>J189-(Q189*($M$2-$K$1))-(R189*($M$2-$M$1))- (S189*($M$2-$I$2))+ (T189*($G$2))</f>
        <v>5079.2800000000007</v>
      </c>
      <c r="X189" s="182">
        <f>H189*$M$2</f>
        <v>5175.6000000000004</v>
      </c>
    </row>
    <row r="190" spans="1:30" ht="18" customHeight="1" x14ac:dyDescent="0.25">
      <c r="A190" s="276"/>
      <c r="B190" s="295">
        <v>36</v>
      </c>
      <c r="C190" s="295">
        <v>42</v>
      </c>
      <c r="D190" s="126">
        <f>'Data Ocupacion'!BD32</f>
        <v>37</v>
      </c>
      <c r="E190" s="126">
        <f>'Data Ocupacion'!BE32</f>
        <v>41</v>
      </c>
      <c r="F190" s="220" t="s">
        <v>52</v>
      </c>
      <c r="G190" s="221">
        <f t="shared" si="162"/>
        <v>119</v>
      </c>
      <c r="H190" s="125">
        <f t="shared" ref="H190:H194" si="166">B190+C190*2</f>
        <v>120</v>
      </c>
      <c r="I190" s="125">
        <f t="shared" si="163"/>
        <v>78</v>
      </c>
      <c r="J190" s="125">
        <f>G190*M$2</f>
        <v>5132.47</v>
      </c>
      <c r="K190" s="153">
        <f>I190*M$2</f>
        <v>3364.1400000000003</v>
      </c>
      <c r="L190" s="125">
        <f t="shared" si="164"/>
        <v>533776.88</v>
      </c>
      <c r="M190" s="125">
        <f t="shared" si="165"/>
        <v>8112</v>
      </c>
      <c r="N190" s="19"/>
      <c r="O190" s="19"/>
      <c r="P190" s="146"/>
      <c r="Q190" s="186"/>
      <c r="R190" s="186"/>
      <c r="S190" s="217"/>
      <c r="T190" s="183">
        <v>4</v>
      </c>
      <c r="U190" s="217"/>
      <c r="V190" s="229"/>
      <c r="W190" s="185">
        <f>J190-(T190*($M$2-$K$1)+(U190*($M$2-$M$1)))</f>
        <v>5061.55</v>
      </c>
      <c r="X190" s="182">
        <f>H190*$M$2</f>
        <v>5175.6000000000004</v>
      </c>
    </row>
    <row r="191" spans="1:30" ht="15" customHeight="1" x14ac:dyDescent="0.25">
      <c r="A191" s="276"/>
      <c r="B191" s="295">
        <v>33</v>
      </c>
      <c r="C191" s="295">
        <v>3</v>
      </c>
      <c r="D191" s="126">
        <f>'Data Ocupacion'!BD33</f>
        <v>33</v>
      </c>
      <c r="E191" s="126">
        <f>'Data Ocupacion'!BE33</f>
        <v>3</v>
      </c>
      <c r="F191" s="220" t="s">
        <v>36</v>
      </c>
      <c r="G191" s="221">
        <f t="shared" si="162"/>
        <v>39</v>
      </c>
      <c r="H191" s="125">
        <f t="shared" si="166"/>
        <v>39</v>
      </c>
      <c r="I191" s="125">
        <f t="shared" si="163"/>
        <v>36</v>
      </c>
      <c r="J191" s="125">
        <f>G191*M$1</f>
        <v>1135.29</v>
      </c>
      <c r="K191" s="153">
        <f>I191*M$1</f>
        <v>1047.96</v>
      </c>
      <c r="L191" s="125">
        <f t="shared" si="164"/>
        <v>118070.16</v>
      </c>
      <c r="M191" s="125">
        <f t="shared" si="165"/>
        <v>3744</v>
      </c>
      <c r="N191" s="19"/>
      <c r="O191" s="19"/>
      <c r="P191" s="146"/>
      <c r="Q191" s="244">
        <v>3</v>
      </c>
      <c r="R191" s="190"/>
      <c r="S191" s="228"/>
      <c r="T191" s="186"/>
      <c r="U191" s="189"/>
      <c r="V191" s="189"/>
      <c r="W191" s="182">
        <f>J191-(Q191*($M$1-$K$1))</f>
        <v>1124.1599999999999</v>
      </c>
      <c r="X191" s="182">
        <f>H191*$M$1</f>
        <v>1135.29</v>
      </c>
    </row>
    <row r="192" spans="1:30" ht="15" customHeight="1" x14ac:dyDescent="0.25">
      <c r="A192" s="276"/>
      <c r="B192" s="295">
        <v>29</v>
      </c>
      <c r="C192" s="295">
        <v>3</v>
      </c>
      <c r="D192" s="126">
        <f>'Data Ocupacion'!BD34</f>
        <v>29</v>
      </c>
      <c r="E192" s="126">
        <f>'Data Ocupacion'!BE34</f>
        <v>3</v>
      </c>
      <c r="F192" s="220" t="s">
        <v>53</v>
      </c>
      <c r="G192" s="221">
        <f t="shared" si="162"/>
        <v>35</v>
      </c>
      <c r="H192" s="125">
        <f t="shared" si="166"/>
        <v>35</v>
      </c>
      <c r="I192" s="125">
        <f t="shared" si="163"/>
        <v>32</v>
      </c>
      <c r="J192" s="125">
        <f>G192*M$1</f>
        <v>1018.85</v>
      </c>
      <c r="K192" s="153">
        <f>I192*M$1</f>
        <v>931.52</v>
      </c>
      <c r="L192" s="125">
        <f t="shared" si="164"/>
        <v>105960.40000000001</v>
      </c>
      <c r="M192" s="125">
        <f t="shared" si="165"/>
        <v>3328</v>
      </c>
      <c r="N192" s="19"/>
      <c r="O192" s="19"/>
      <c r="P192" s="146"/>
      <c r="Q192" s="189"/>
      <c r="R192" s="189"/>
      <c r="S192" s="189"/>
      <c r="T192" s="189"/>
      <c r="U192" s="189"/>
      <c r="V192" s="189"/>
      <c r="W192" s="182">
        <f>J192</f>
        <v>1018.85</v>
      </c>
      <c r="X192" s="182">
        <f>H192*$M$1</f>
        <v>1018.85</v>
      </c>
    </row>
    <row r="193" spans="1:24" ht="15" customHeight="1" x14ac:dyDescent="0.25">
      <c r="A193" s="276"/>
      <c r="B193" s="295">
        <v>0</v>
      </c>
      <c r="C193" s="295">
        <v>0</v>
      </c>
      <c r="D193" s="126">
        <f>'Data Ocupacion'!BD35</f>
        <v>0</v>
      </c>
      <c r="E193" s="126">
        <f>'Data Ocupacion'!BE35</f>
        <v>0</v>
      </c>
      <c r="F193" s="220" t="s">
        <v>122</v>
      </c>
      <c r="G193" s="221">
        <f t="shared" si="162"/>
        <v>0</v>
      </c>
      <c r="H193" s="125">
        <f t="shared" si="166"/>
        <v>0</v>
      </c>
      <c r="I193" s="125">
        <f t="shared" si="163"/>
        <v>0</v>
      </c>
      <c r="J193" s="223">
        <f>G193*K$1</f>
        <v>0</v>
      </c>
      <c r="K193" s="153">
        <f>I193*K$1</f>
        <v>0</v>
      </c>
      <c r="L193" s="125">
        <f t="shared" si="164"/>
        <v>0</v>
      </c>
      <c r="M193" s="125">
        <f t="shared" si="165"/>
        <v>0</v>
      </c>
      <c r="N193" s="19"/>
      <c r="O193" s="19"/>
      <c r="P193" s="146"/>
      <c r="Q193" s="189"/>
      <c r="R193" s="189"/>
      <c r="S193" s="189"/>
      <c r="T193" s="189"/>
      <c r="U193" s="189"/>
      <c r="V193" s="189"/>
      <c r="W193" s="182">
        <f>J193</f>
        <v>0</v>
      </c>
      <c r="X193" s="182">
        <f>H193*$K$1</f>
        <v>0</v>
      </c>
    </row>
    <row r="194" spans="1:24" ht="15.95" customHeight="1" thickBot="1" x14ac:dyDescent="0.3">
      <c r="A194" s="276"/>
      <c r="B194" s="295">
        <v>4</v>
      </c>
      <c r="C194" s="295">
        <v>0</v>
      </c>
      <c r="D194" s="126">
        <f>'Data Ocupacion'!BD36</f>
        <v>4</v>
      </c>
      <c r="E194" s="126">
        <f>'Data Ocupacion'!BE36</f>
        <v>0</v>
      </c>
      <c r="F194" s="220" t="s">
        <v>35</v>
      </c>
      <c r="G194" s="221">
        <f t="shared" si="162"/>
        <v>4</v>
      </c>
      <c r="H194" s="125">
        <f t="shared" si="166"/>
        <v>4</v>
      </c>
      <c r="I194" s="224">
        <f t="shared" si="163"/>
        <v>4</v>
      </c>
      <c r="J194" s="224">
        <f>G194*K$1</f>
        <v>101.6</v>
      </c>
      <c r="K194" s="153">
        <f>I194*K$1</f>
        <v>101.6</v>
      </c>
      <c r="L194" s="125">
        <f t="shared" si="164"/>
        <v>10566.4</v>
      </c>
      <c r="M194" s="125">
        <f t="shared" si="165"/>
        <v>416</v>
      </c>
      <c r="N194" s="19"/>
      <c r="O194" s="19"/>
      <c r="P194" s="146"/>
      <c r="Q194" s="189"/>
      <c r="R194" s="189"/>
      <c r="S194" s="189"/>
      <c r="T194" s="189"/>
      <c r="U194" s="189"/>
      <c r="V194" s="189"/>
      <c r="W194" s="182">
        <f>J194</f>
        <v>101.6</v>
      </c>
      <c r="X194" s="182">
        <f>H194*$K$1</f>
        <v>101.6</v>
      </c>
    </row>
    <row r="195" spans="1:24" s="124" customFormat="1" ht="15.75" thickBot="1" x14ac:dyDescent="0.3">
      <c r="A195" s="20"/>
      <c r="B195" s="119">
        <f>SUM(B189:B194)</f>
        <v>140</v>
      </c>
      <c r="C195" s="119">
        <f>SUM(C189:C194)</f>
        <v>89</v>
      </c>
      <c r="D195" s="148">
        <f>SUM(D189:D194)</f>
        <v>142</v>
      </c>
      <c r="E195" s="148">
        <f>SUM(E189:E194)</f>
        <v>87</v>
      </c>
      <c r="F195" s="119"/>
      <c r="G195" s="119">
        <f t="shared" ref="G195:M195" si="167">SUM(G189:G194)</f>
        <v>316</v>
      </c>
      <c r="H195" s="119">
        <f t="shared" si="167"/>
        <v>318</v>
      </c>
      <c r="I195" s="119">
        <f t="shared" si="167"/>
        <v>229</v>
      </c>
      <c r="J195" s="119">
        <f t="shared" si="167"/>
        <v>12520.68</v>
      </c>
      <c r="K195" s="119">
        <f t="shared" si="167"/>
        <v>8852.49</v>
      </c>
      <c r="L195" s="119">
        <f t="shared" si="167"/>
        <v>1302150.7199999997</v>
      </c>
      <c r="M195" s="119">
        <f t="shared" si="167"/>
        <v>23816</v>
      </c>
      <c r="N195" s="123">
        <f>'Odometro-Kilometraje'!AB88</f>
        <v>12906</v>
      </c>
      <c r="O195" s="21">
        <f>(W195/N195)*100</f>
        <v>95.966527196652734</v>
      </c>
      <c r="P195" s="192"/>
      <c r="Q195" s="181"/>
      <c r="R195" s="181"/>
      <c r="S195" s="181"/>
      <c r="T195" s="181"/>
      <c r="U195" s="181"/>
      <c r="V195" s="181"/>
      <c r="W195" s="193">
        <f>SUM(W189:W194)</f>
        <v>12385.440000000002</v>
      </c>
      <c r="X195" s="193">
        <f>SUM(X189:X194)</f>
        <v>12606.940000000002</v>
      </c>
    </row>
    <row r="196" spans="1:24" x14ac:dyDescent="0.25">
      <c r="A196" s="60">
        <f>A189+1</f>
        <v>46170</v>
      </c>
      <c r="B196" s="295">
        <v>38</v>
      </c>
      <c r="C196" s="295">
        <v>41</v>
      </c>
      <c r="D196" s="126">
        <f>'Data Ocupacion'!BF31</f>
        <v>39</v>
      </c>
      <c r="E196" s="126">
        <f>'Data Ocupacion'!BG31</f>
        <v>40</v>
      </c>
      <c r="F196" s="220" t="s">
        <v>38</v>
      </c>
      <c r="G196" s="221">
        <f t="shared" ref="G196:G201" si="168">D196+E196*2</f>
        <v>119</v>
      </c>
      <c r="H196" s="125">
        <f>B196+C196*2</f>
        <v>120</v>
      </c>
      <c r="I196" s="222">
        <f t="shared" ref="I196:I201" si="169">D196+E196</f>
        <v>79</v>
      </c>
      <c r="J196" s="222">
        <f>G196*M$2</f>
        <v>5132.47</v>
      </c>
      <c r="K196" s="153">
        <f>I196*M$2</f>
        <v>3407.27</v>
      </c>
      <c r="L196" s="125">
        <f t="shared" ref="L196:L201" si="170">J196*104</f>
        <v>533776.88</v>
      </c>
      <c r="M196" s="125">
        <f t="shared" ref="M196:M201" si="171">I196*104</f>
        <v>8216</v>
      </c>
      <c r="N196" s="19"/>
      <c r="O196" s="19"/>
      <c r="P196" s="146"/>
      <c r="Q196" s="183">
        <v>2</v>
      </c>
      <c r="R196" s="183"/>
      <c r="S196" s="206"/>
      <c r="T196" s="285"/>
      <c r="U196" s="191"/>
      <c r="V196" s="228"/>
      <c r="W196" s="182">
        <f>J196-(Q196*($M$2-$K$1))-(R196*($M$2-$M$1))- (S196*($M$2-$I$2))+ (T196*($G$2))</f>
        <v>5097.01</v>
      </c>
      <c r="X196" s="182">
        <f>H196*$M$2</f>
        <v>5175.6000000000004</v>
      </c>
    </row>
    <row r="197" spans="1:24" ht="15" customHeight="1" x14ac:dyDescent="0.25">
      <c r="A197" s="202"/>
      <c r="B197" s="295">
        <v>36</v>
      </c>
      <c r="C197" s="295">
        <v>42</v>
      </c>
      <c r="D197" s="126">
        <f>'Data Ocupacion'!BF32</f>
        <v>37</v>
      </c>
      <c r="E197" s="126">
        <f>'Data Ocupacion'!BG32</f>
        <v>41</v>
      </c>
      <c r="F197" s="220" t="s">
        <v>52</v>
      </c>
      <c r="G197" s="221">
        <f t="shared" si="168"/>
        <v>119</v>
      </c>
      <c r="H197" s="125">
        <f t="shared" ref="H197:H201" si="172">B197+C197*2</f>
        <v>120</v>
      </c>
      <c r="I197" s="125">
        <f t="shared" si="169"/>
        <v>78</v>
      </c>
      <c r="J197" s="125">
        <f>G197*M$2</f>
        <v>5132.47</v>
      </c>
      <c r="K197" s="153">
        <f>I197*M$2</f>
        <v>3364.1400000000003</v>
      </c>
      <c r="L197" s="125">
        <f t="shared" si="170"/>
        <v>533776.88</v>
      </c>
      <c r="M197" s="125">
        <f t="shared" si="171"/>
        <v>8112</v>
      </c>
      <c r="N197" s="19"/>
      <c r="O197" s="19"/>
      <c r="P197" s="146"/>
      <c r="Q197" s="186"/>
      <c r="R197" s="186"/>
      <c r="S197" s="217"/>
      <c r="T197" s="183">
        <v>3</v>
      </c>
      <c r="U197" s="217"/>
      <c r="V197" s="229"/>
      <c r="W197" s="185">
        <f>J197-(T197*($M$2-$K$1)+(U197*($M$2-$M$1)))</f>
        <v>5079.2800000000007</v>
      </c>
      <c r="X197" s="182">
        <f>H197*$M$2</f>
        <v>5175.6000000000004</v>
      </c>
    </row>
    <row r="198" spans="1:24" ht="15" customHeight="1" x14ac:dyDescent="0.25">
      <c r="A198" s="202"/>
      <c r="B198" s="295">
        <v>33</v>
      </c>
      <c r="C198" s="295">
        <v>3</v>
      </c>
      <c r="D198" s="126">
        <f>'Data Ocupacion'!BF33</f>
        <v>33</v>
      </c>
      <c r="E198" s="126">
        <f>'Data Ocupacion'!BG33</f>
        <v>3</v>
      </c>
      <c r="F198" s="220" t="s">
        <v>36</v>
      </c>
      <c r="G198" s="221">
        <f t="shared" si="168"/>
        <v>39</v>
      </c>
      <c r="H198" s="125">
        <f t="shared" si="172"/>
        <v>39</v>
      </c>
      <c r="I198" s="125">
        <f t="shared" si="169"/>
        <v>36</v>
      </c>
      <c r="J198" s="125">
        <f>G198*M$1</f>
        <v>1135.29</v>
      </c>
      <c r="K198" s="153">
        <f>I198*M$1</f>
        <v>1047.96</v>
      </c>
      <c r="L198" s="125">
        <f t="shared" si="170"/>
        <v>118070.16</v>
      </c>
      <c r="M198" s="125">
        <f t="shared" si="171"/>
        <v>3744</v>
      </c>
      <c r="N198" s="19"/>
      <c r="O198" s="19" t="s">
        <v>144</v>
      </c>
      <c r="P198" s="146"/>
      <c r="Q198" s="244">
        <v>3</v>
      </c>
      <c r="R198" s="190"/>
      <c r="S198" s="228"/>
      <c r="T198" s="186"/>
      <c r="U198" s="189"/>
      <c r="V198" s="189"/>
      <c r="W198" s="182">
        <f>J198-(Q198*($M$1-$K$1))</f>
        <v>1124.1599999999999</v>
      </c>
      <c r="X198" s="182">
        <f>H198*$M$1</f>
        <v>1135.29</v>
      </c>
    </row>
    <row r="199" spans="1:24" ht="15" customHeight="1" x14ac:dyDescent="0.25">
      <c r="A199" s="202"/>
      <c r="B199" s="295">
        <v>29</v>
      </c>
      <c r="C199" s="295">
        <v>3</v>
      </c>
      <c r="D199" s="126">
        <f>'Data Ocupacion'!BF34</f>
        <v>29</v>
      </c>
      <c r="E199" s="126">
        <f>'Data Ocupacion'!BG34</f>
        <v>3</v>
      </c>
      <c r="F199" s="220" t="s">
        <v>53</v>
      </c>
      <c r="G199" s="221">
        <f t="shared" si="168"/>
        <v>35</v>
      </c>
      <c r="H199" s="125">
        <f t="shared" si="172"/>
        <v>35</v>
      </c>
      <c r="I199" s="125">
        <f t="shared" si="169"/>
        <v>32</v>
      </c>
      <c r="J199" s="125">
        <f>G199*M$1</f>
        <v>1018.85</v>
      </c>
      <c r="K199" s="153">
        <f>I199*M$1</f>
        <v>931.52</v>
      </c>
      <c r="L199" s="125">
        <f t="shared" si="170"/>
        <v>105960.40000000001</v>
      </c>
      <c r="M199" s="125">
        <f t="shared" si="171"/>
        <v>3328</v>
      </c>
      <c r="N199" s="19"/>
      <c r="O199" s="19" t="s">
        <v>144</v>
      </c>
      <c r="P199" s="146"/>
      <c r="Q199" s="189"/>
      <c r="R199" s="189"/>
      <c r="S199" s="189"/>
      <c r="T199" s="189"/>
      <c r="U199" s="189"/>
      <c r="V199" s="189"/>
      <c r="W199" s="182">
        <f>J199</f>
        <v>1018.85</v>
      </c>
      <c r="X199" s="182">
        <f>H199*$M$1</f>
        <v>1018.85</v>
      </c>
    </row>
    <row r="200" spans="1:24" ht="15" customHeight="1" x14ac:dyDescent="0.25">
      <c r="A200" s="202"/>
      <c r="B200" s="295">
        <v>0</v>
      </c>
      <c r="C200" s="295">
        <v>0</v>
      </c>
      <c r="D200" s="126">
        <f>'Data Ocupacion'!BF35</f>
        <v>0</v>
      </c>
      <c r="E200" s="126">
        <f>'Data Ocupacion'!BG35</f>
        <v>0</v>
      </c>
      <c r="F200" s="220" t="s">
        <v>122</v>
      </c>
      <c r="G200" s="221">
        <f t="shared" si="168"/>
        <v>0</v>
      </c>
      <c r="H200" s="125">
        <f t="shared" si="172"/>
        <v>0</v>
      </c>
      <c r="I200" s="125">
        <f t="shared" si="169"/>
        <v>0</v>
      </c>
      <c r="J200" s="223">
        <f>G200*K$1</f>
        <v>0</v>
      </c>
      <c r="K200" s="153">
        <f>I200*K$1</f>
        <v>0</v>
      </c>
      <c r="L200" s="125">
        <f t="shared" si="170"/>
        <v>0</v>
      </c>
      <c r="M200" s="125">
        <f t="shared" si="171"/>
        <v>0</v>
      </c>
      <c r="N200" s="19"/>
      <c r="O200" s="19"/>
      <c r="P200" s="146"/>
      <c r="Q200" s="189"/>
      <c r="R200" s="189"/>
      <c r="S200" s="189"/>
      <c r="T200" s="189"/>
      <c r="U200" s="189"/>
      <c r="V200" s="189"/>
      <c r="W200" s="182">
        <f>J200</f>
        <v>0</v>
      </c>
      <c r="X200" s="182">
        <f>H200*$K$1</f>
        <v>0</v>
      </c>
    </row>
    <row r="201" spans="1:24" ht="15.95" customHeight="1" thickBot="1" x14ac:dyDescent="0.3">
      <c r="A201" s="202"/>
      <c r="B201" s="295">
        <v>4</v>
      </c>
      <c r="C201" s="295">
        <v>0</v>
      </c>
      <c r="D201" s="126">
        <f>'Data Ocupacion'!BF36</f>
        <v>4</v>
      </c>
      <c r="E201" s="126">
        <f>'Data Ocupacion'!BG36</f>
        <v>0</v>
      </c>
      <c r="F201" s="220" t="s">
        <v>35</v>
      </c>
      <c r="G201" s="221">
        <f t="shared" si="168"/>
        <v>4</v>
      </c>
      <c r="H201" s="125">
        <f t="shared" si="172"/>
        <v>4</v>
      </c>
      <c r="I201" s="224">
        <f t="shared" si="169"/>
        <v>4</v>
      </c>
      <c r="J201" s="224">
        <f>G201*K$1</f>
        <v>101.6</v>
      </c>
      <c r="K201" s="153">
        <f>I201*K$1</f>
        <v>101.6</v>
      </c>
      <c r="L201" s="125">
        <f t="shared" si="170"/>
        <v>10566.4</v>
      </c>
      <c r="M201" s="125">
        <f t="shared" si="171"/>
        <v>416</v>
      </c>
      <c r="N201" s="19"/>
      <c r="O201" s="19"/>
      <c r="P201" s="146"/>
      <c r="Q201" s="189"/>
      <c r="R201" s="189"/>
      <c r="S201" s="189"/>
      <c r="T201" s="189"/>
      <c r="U201" s="189"/>
      <c r="V201" s="189"/>
      <c r="W201" s="182">
        <f>J201</f>
        <v>101.6</v>
      </c>
      <c r="X201" s="182">
        <f>H201*$K$1</f>
        <v>101.6</v>
      </c>
    </row>
    <row r="202" spans="1:24" s="124" customFormat="1" ht="12.75" customHeight="1" thickBot="1" x14ac:dyDescent="0.3">
      <c r="A202" s="20"/>
      <c r="B202" s="119">
        <f>SUM(B196:B201)</f>
        <v>140</v>
      </c>
      <c r="C202" s="119">
        <f>SUM(C196:C201)</f>
        <v>89</v>
      </c>
      <c r="D202" s="148">
        <f>SUM(D196:D201)</f>
        <v>142</v>
      </c>
      <c r="E202" s="148">
        <f>SUM(E196:E201)</f>
        <v>87</v>
      </c>
      <c r="F202" s="119"/>
      <c r="G202" s="119">
        <f t="shared" ref="G202:M202" si="173">SUM(G196:G201)</f>
        <v>316</v>
      </c>
      <c r="H202" s="119">
        <f t="shared" si="173"/>
        <v>318</v>
      </c>
      <c r="I202" s="119">
        <f t="shared" si="173"/>
        <v>229</v>
      </c>
      <c r="J202" s="119">
        <f t="shared" si="173"/>
        <v>12520.68</v>
      </c>
      <c r="K202" s="119">
        <f t="shared" si="173"/>
        <v>8852.49</v>
      </c>
      <c r="L202" s="119">
        <f t="shared" si="173"/>
        <v>1302150.7199999997</v>
      </c>
      <c r="M202" s="119">
        <f t="shared" si="173"/>
        <v>23816</v>
      </c>
      <c r="N202" s="123">
        <f>'Odometro-Kilometraje'!AC88</f>
        <v>12879</v>
      </c>
      <c r="O202" s="21">
        <f>(W202/N202)*100</f>
        <v>96.443046820405314</v>
      </c>
      <c r="P202" s="192"/>
      <c r="Q202" s="181"/>
      <c r="R202" s="181"/>
      <c r="S202" s="181"/>
      <c r="T202" s="181"/>
      <c r="U202" s="181"/>
      <c r="V202" s="181"/>
      <c r="W202" s="193">
        <f>SUM(W196:W201)</f>
        <v>12420.900000000001</v>
      </c>
      <c r="X202" s="193">
        <f>SUM(X196:X201)</f>
        <v>12606.940000000002</v>
      </c>
    </row>
    <row r="203" spans="1:24" x14ac:dyDescent="0.25">
      <c r="A203" s="60">
        <f>A196+1</f>
        <v>46171</v>
      </c>
      <c r="B203" s="295">
        <v>38</v>
      </c>
      <c r="C203" s="295">
        <v>41</v>
      </c>
      <c r="D203" s="138">
        <f>'Data Ocupacion'!BH31</f>
        <v>39</v>
      </c>
      <c r="E203" s="138">
        <f>'Data Ocupacion'!BI31</f>
        <v>40</v>
      </c>
      <c r="F203" s="125" t="s">
        <v>38</v>
      </c>
      <c r="G203" s="125">
        <f t="shared" ref="G203:G208" si="174">D203+E203*2</f>
        <v>119</v>
      </c>
      <c r="H203" s="125">
        <f>B203+C203*2</f>
        <v>120</v>
      </c>
      <c r="I203" s="125">
        <f t="shared" ref="I203:I208" si="175">D203+E203</f>
        <v>79</v>
      </c>
      <c r="J203" s="125">
        <f>G203*M$2</f>
        <v>5132.47</v>
      </c>
      <c r="K203" s="153">
        <f>I203*M$2</f>
        <v>3407.27</v>
      </c>
      <c r="L203" s="125">
        <f t="shared" ref="L203:L208" si="176">J203*104</f>
        <v>533776.88</v>
      </c>
      <c r="M203" s="125">
        <f t="shared" ref="M203:M208" si="177">I203*104</f>
        <v>8216</v>
      </c>
      <c r="N203" s="19"/>
      <c r="O203" s="19"/>
      <c r="P203" s="146"/>
      <c r="Q203" s="183">
        <v>2</v>
      </c>
      <c r="R203" s="183"/>
      <c r="S203" s="206"/>
      <c r="T203" s="244"/>
      <c r="U203" s="191"/>
      <c r="V203" s="228"/>
      <c r="W203" s="182">
        <f>J203-(Q203*($M$2-$K$1))-(R203*($M$2-$M$1))- (S203*($M$2-$I$2))+ (T203*($G$2))</f>
        <v>5097.01</v>
      </c>
      <c r="X203" s="182">
        <f>H203*$M$2</f>
        <v>5175.6000000000004</v>
      </c>
    </row>
    <row r="204" spans="1:24" x14ac:dyDescent="0.25">
      <c r="A204" s="202"/>
      <c r="B204" s="295">
        <v>36</v>
      </c>
      <c r="C204" s="295">
        <v>42</v>
      </c>
      <c r="D204" s="138">
        <f>'Data Ocupacion'!BH32</f>
        <v>37</v>
      </c>
      <c r="E204" s="138">
        <f>'Data Ocupacion'!BI32</f>
        <v>41</v>
      </c>
      <c r="F204" s="125" t="s">
        <v>52</v>
      </c>
      <c r="G204" s="125">
        <f t="shared" si="174"/>
        <v>119</v>
      </c>
      <c r="H204" s="125">
        <f t="shared" ref="H204:H208" si="178">B204+C204*2</f>
        <v>120</v>
      </c>
      <c r="I204" s="125">
        <f t="shared" si="175"/>
        <v>78</v>
      </c>
      <c r="J204" s="125">
        <f>G204*M$2</f>
        <v>5132.47</v>
      </c>
      <c r="K204" s="153">
        <f>I204*M$2</f>
        <v>3364.1400000000003</v>
      </c>
      <c r="L204" s="125">
        <f t="shared" si="176"/>
        <v>533776.88</v>
      </c>
      <c r="M204" s="125">
        <f t="shared" si="177"/>
        <v>8112</v>
      </c>
      <c r="N204" s="19"/>
      <c r="O204" s="19"/>
      <c r="P204" s="146"/>
      <c r="Q204" s="186"/>
      <c r="R204" s="186"/>
      <c r="S204" s="217"/>
      <c r="T204" s="183">
        <v>3</v>
      </c>
      <c r="U204" s="217"/>
      <c r="V204" s="229"/>
      <c r="W204" s="185">
        <f>J204-(T204*($M$2-$K$1)+(U204*($M$2-$M$1)))</f>
        <v>5079.2800000000007</v>
      </c>
      <c r="X204" s="182">
        <f>H204*$M$2</f>
        <v>5175.6000000000004</v>
      </c>
    </row>
    <row r="205" spans="1:24" s="124" customFormat="1" x14ac:dyDescent="0.25">
      <c r="A205" s="202"/>
      <c r="B205" s="295">
        <v>33</v>
      </c>
      <c r="C205" s="295">
        <v>3</v>
      </c>
      <c r="D205" s="126">
        <f>'Data Ocupacion'!BH33</f>
        <v>33</v>
      </c>
      <c r="E205" s="126">
        <f>'Data Ocupacion'!BI33</f>
        <v>3</v>
      </c>
      <c r="F205" s="125" t="s">
        <v>36</v>
      </c>
      <c r="G205" s="125">
        <f t="shared" si="174"/>
        <v>39</v>
      </c>
      <c r="H205" s="125">
        <f t="shared" si="178"/>
        <v>39</v>
      </c>
      <c r="I205" s="125">
        <f t="shared" si="175"/>
        <v>36</v>
      </c>
      <c r="J205" s="125">
        <f>G205*M$1</f>
        <v>1135.29</v>
      </c>
      <c r="K205" s="153">
        <f>I205*M$1</f>
        <v>1047.96</v>
      </c>
      <c r="L205" s="125">
        <f t="shared" si="176"/>
        <v>118070.16</v>
      </c>
      <c r="M205" s="125">
        <f t="shared" si="177"/>
        <v>3744</v>
      </c>
      <c r="N205" s="19"/>
      <c r="O205" s="19"/>
      <c r="P205" s="146"/>
      <c r="Q205" s="183">
        <v>3</v>
      </c>
      <c r="R205" s="187"/>
      <c r="S205" s="207"/>
      <c r="T205" s="188"/>
      <c r="U205" s="189"/>
      <c r="V205" s="189"/>
      <c r="W205" s="182">
        <f>J205-(Q205*($M$1-$K$1))</f>
        <v>1124.1599999999999</v>
      </c>
      <c r="X205" s="182">
        <f>H205*$M$1</f>
        <v>1135.29</v>
      </c>
    </row>
    <row r="206" spans="1:24" s="124" customFormat="1" x14ac:dyDescent="0.25">
      <c r="A206" s="202"/>
      <c r="B206" s="295">
        <v>29</v>
      </c>
      <c r="C206" s="295">
        <v>3</v>
      </c>
      <c r="D206" s="126">
        <f>'Data Ocupacion'!BH34</f>
        <v>29</v>
      </c>
      <c r="E206" s="126">
        <f>'Data Ocupacion'!BI34</f>
        <v>3</v>
      </c>
      <c r="F206" s="125" t="s">
        <v>53</v>
      </c>
      <c r="G206" s="125">
        <f t="shared" si="174"/>
        <v>35</v>
      </c>
      <c r="H206" s="125">
        <f t="shared" si="178"/>
        <v>35</v>
      </c>
      <c r="I206" s="125">
        <f t="shared" si="175"/>
        <v>32</v>
      </c>
      <c r="J206" s="125">
        <f>G206*M$1</f>
        <v>1018.85</v>
      </c>
      <c r="K206" s="153">
        <f>I206*M$1</f>
        <v>931.52</v>
      </c>
      <c r="L206" s="125">
        <f t="shared" si="176"/>
        <v>105960.40000000001</v>
      </c>
      <c r="M206" s="125">
        <f t="shared" si="177"/>
        <v>3328</v>
      </c>
      <c r="N206" s="165"/>
      <c r="O206" s="19"/>
      <c r="P206" s="146"/>
      <c r="Q206" s="189"/>
      <c r="R206" s="189"/>
      <c r="S206" s="189"/>
      <c r="T206" s="189"/>
      <c r="U206" s="189"/>
      <c r="V206" s="189"/>
      <c r="W206" s="182">
        <f>J206</f>
        <v>1018.85</v>
      </c>
      <c r="X206" s="182">
        <f>H206*$M$1</f>
        <v>1018.85</v>
      </c>
    </row>
    <row r="207" spans="1:24" s="124" customFormat="1" x14ac:dyDescent="0.25">
      <c r="A207" s="202"/>
      <c r="B207" s="295">
        <v>0</v>
      </c>
      <c r="C207" s="295">
        <v>0</v>
      </c>
      <c r="D207" s="126">
        <f>'Data Ocupacion'!BH35</f>
        <v>0</v>
      </c>
      <c r="E207" s="126">
        <f>'Data Ocupacion'!BI35</f>
        <v>0</v>
      </c>
      <c r="F207" s="125" t="s">
        <v>122</v>
      </c>
      <c r="G207" s="125">
        <f t="shared" si="174"/>
        <v>0</v>
      </c>
      <c r="H207" s="125">
        <f t="shared" si="178"/>
        <v>0</v>
      </c>
      <c r="I207" s="125">
        <f t="shared" si="175"/>
        <v>0</v>
      </c>
      <c r="J207" s="125">
        <f>G207*K$1</f>
        <v>0</v>
      </c>
      <c r="K207" s="153">
        <f>I207*M$1</f>
        <v>0</v>
      </c>
      <c r="L207" s="125">
        <f t="shared" si="176"/>
        <v>0</v>
      </c>
      <c r="M207" s="125">
        <f t="shared" si="177"/>
        <v>0</v>
      </c>
      <c r="N207" s="19"/>
      <c r="O207" s="19"/>
      <c r="P207" s="146"/>
      <c r="Q207" s="189"/>
      <c r="R207" s="189"/>
      <c r="S207" s="189"/>
      <c r="T207" s="189"/>
      <c r="U207" s="189"/>
      <c r="V207" s="189"/>
      <c r="W207" s="182">
        <f>J207</f>
        <v>0</v>
      </c>
      <c r="X207" s="182">
        <f>H207*$K$1</f>
        <v>0</v>
      </c>
    </row>
    <row r="208" spans="1:24" s="124" customFormat="1" ht="15.75" thickBot="1" x14ac:dyDescent="0.3">
      <c r="A208" s="202"/>
      <c r="B208" s="295">
        <v>4</v>
      </c>
      <c r="C208" s="295">
        <v>0</v>
      </c>
      <c r="D208" s="126">
        <f>'Data Ocupacion'!BH36</f>
        <v>4</v>
      </c>
      <c r="E208" s="126">
        <f>'Data Ocupacion'!BI36</f>
        <v>0</v>
      </c>
      <c r="F208" s="125" t="s">
        <v>35</v>
      </c>
      <c r="G208" s="125">
        <f t="shared" si="174"/>
        <v>4</v>
      </c>
      <c r="H208" s="125">
        <f t="shared" si="178"/>
        <v>4</v>
      </c>
      <c r="I208" s="125">
        <f t="shared" si="175"/>
        <v>4</v>
      </c>
      <c r="J208" s="125">
        <f>G208*K$1</f>
        <v>101.6</v>
      </c>
      <c r="K208" s="153">
        <f>I208*K$1</f>
        <v>101.6</v>
      </c>
      <c r="L208" s="125">
        <f t="shared" si="176"/>
        <v>10566.4</v>
      </c>
      <c r="M208" s="125">
        <f t="shared" si="177"/>
        <v>416</v>
      </c>
      <c r="N208" s="19"/>
      <c r="O208" s="19"/>
      <c r="P208" s="146"/>
      <c r="Q208" s="189"/>
      <c r="R208" s="189"/>
      <c r="S208" s="189"/>
      <c r="T208" s="189"/>
      <c r="U208" s="189"/>
      <c r="V208" s="189"/>
      <c r="W208" s="182">
        <f>J208</f>
        <v>101.6</v>
      </c>
      <c r="X208" s="182">
        <f>H208*$K$1</f>
        <v>101.6</v>
      </c>
    </row>
    <row r="209" spans="1:28" s="124" customFormat="1" ht="15.75" thickBot="1" x14ac:dyDescent="0.3">
      <c r="A209" s="119"/>
      <c r="B209" s="119">
        <f>SUM(B203:B208)</f>
        <v>140</v>
      </c>
      <c r="C209" s="119">
        <f>SUM(C203:C208)</f>
        <v>89</v>
      </c>
      <c r="D209" s="148">
        <f>SUM(D203:D208)</f>
        <v>142</v>
      </c>
      <c r="E209" s="148">
        <f>SUM(E203:E208)</f>
        <v>87</v>
      </c>
      <c r="F209" s="119"/>
      <c r="G209" s="119">
        <f t="shared" ref="G209:L209" si="179">SUM(G203:G208)</f>
        <v>316</v>
      </c>
      <c r="H209" s="119">
        <f t="shared" si="179"/>
        <v>318</v>
      </c>
      <c r="I209" s="119">
        <f t="shared" si="179"/>
        <v>229</v>
      </c>
      <c r="J209" s="119">
        <f t="shared" si="179"/>
        <v>12520.68</v>
      </c>
      <c r="K209" s="119">
        <f t="shared" si="179"/>
        <v>8852.49</v>
      </c>
      <c r="L209" s="119">
        <f t="shared" si="179"/>
        <v>1302150.7199999997</v>
      </c>
      <c r="M209" s="123">
        <f>SUM(M203:M208)</f>
        <v>23816</v>
      </c>
      <c r="N209" s="123">
        <f>'Odometro-Kilometraje'!AD88</f>
        <v>12885</v>
      </c>
      <c r="O209" s="21">
        <f>(W209/N209)*100</f>
        <v>96.398137369033776</v>
      </c>
      <c r="P209" s="192"/>
      <c r="Q209" s="181"/>
      <c r="R209" s="181"/>
      <c r="S209" s="181"/>
      <c r="T209" s="181"/>
      <c r="U209" s="181"/>
      <c r="V209" s="181"/>
      <c r="W209" s="193">
        <f>SUM(W203:W208)</f>
        <v>12420.900000000001</v>
      </c>
      <c r="X209" s="193">
        <f>SUM(X203:X208)</f>
        <v>12606.940000000002</v>
      </c>
      <c r="Y209" s="243"/>
    </row>
    <row r="210" spans="1:28" s="124" customFormat="1" x14ac:dyDescent="0.25">
      <c r="A210" s="60">
        <f>A203+1</f>
        <v>46172</v>
      </c>
      <c r="B210" s="116">
        <v>69</v>
      </c>
      <c r="C210" s="116">
        <v>3</v>
      </c>
      <c r="D210" s="147">
        <f>'Data Ocupacion'!BJ31</f>
        <v>69</v>
      </c>
      <c r="E210" s="147">
        <f>'Data Ocupacion'!BK31</f>
        <v>3</v>
      </c>
      <c r="F210" s="320" t="s">
        <v>38</v>
      </c>
      <c r="G210" s="321">
        <f t="shared" ref="G210:G215" si="180">D210+E210*2</f>
        <v>75</v>
      </c>
      <c r="H210" s="116">
        <f>B210+C210*2</f>
        <v>75</v>
      </c>
      <c r="I210" s="322">
        <f t="shared" ref="I210:I215" si="181">D210+E210</f>
        <v>72</v>
      </c>
      <c r="J210" s="322">
        <f>G210*M$2</f>
        <v>3234.75</v>
      </c>
      <c r="K210" s="153">
        <f>I210*M$2</f>
        <v>3105.36</v>
      </c>
      <c r="L210" s="116">
        <f t="shared" ref="L210:L215" si="182">J210*104</f>
        <v>336414</v>
      </c>
      <c r="M210" s="116">
        <f t="shared" ref="M210:M215" si="183">I210*104</f>
        <v>7488</v>
      </c>
      <c r="N210" s="19"/>
      <c r="O210" s="19"/>
      <c r="P210" s="146"/>
      <c r="Q210" s="244"/>
      <c r="R210" s="183"/>
      <c r="S210" s="206"/>
      <c r="T210" s="244"/>
      <c r="U210" s="191"/>
      <c r="V210" s="228"/>
      <c r="W210" s="182">
        <f>J210-(Q210*($M$2-$K$1))-(R210*($M$2-$M$1))- (S210*($M$2-$I$2))+ (T210*($G$2))</f>
        <v>3234.75</v>
      </c>
      <c r="X210" s="182">
        <f>H210*$M$2</f>
        <v>3234.75</v>
      </c>
    </row>
    <row r="211" spans="1:28" s="124" customFormat="1" x14ac:dyDescent="0.25">
      <c r="A211" s="202"/>
      <c r="B211" s="116">
        <v>75</v>
      </c>
      <c r="C211" s="116">
        <v>0</v>
      </c>
      <c r="D211" s="126">
        <f>'Data Ocupacion'!BJ32</f>
        <v>74</v>
      </c>
      <c r="E211" s="126">
        <f>'Data Ocupacion'!BK32</f>
        <v>1</v>
      </c>
      <c r="F211" s="320" t="s">
        <v>52</v>
      </c>
      <c r="G211" s="321">
        <f t="shared" si="180"/>
        <v>76</v>
      </c>
      <c r="H211" s="116">
        <f t="shared" ref="H211:H215" si="184">B211+C211*2</f>
        <v>75</v>
      </c>
      <c r="I211" s="116">
        <f t="shared" si="181"/>
        <v>75</v>
      </c>
      <c r="J211" s="116">
        <f>G211*M$2</f>
        <v>3277.88</v>
      </c>
      <c r="K211" s="153">
        <f>I211*M$2</f>
        <v>3234.75</v>
      </c>
      <c r="L211" s="116">
        <f t="shared" si="182"/>
        <v>340899.52</v>
      </c>
      <c r="M211" s="116">
        <f t="shared" si="183"/>
        <v>7800</v>
      </c>
      <c r="N211" s="19"/>
      <c r="O211" s="19"/>
      <c r="P211" s="146"/>
      <c r="Q211" s="186"/>
      <c r="R211" s="186"/>
      <c r="S211" s="186"/>
      <c r="T211" s="183"/>
      <c r="U211" s="183"/>
      <c r="V211" s="206"/>
      <c r="W211" s="185">
        <f>J211-(T211*($M$2-$K$1)+(U211*($M$2-$M$1)))</f>
        <v>3277.88</v>
      </c>
      <c r="X211" s="182">
        <f>H211*$M$2</f>
        <v>3234.75</v>
      </c>
    </row>
    <row r="212" spans="1:28" s="124" customFormat="1" x14ac:dyDescent="0.25">
      <c r="A212" s="202"/>
      <c r="B212" s="116">
        <v>0</v>
      </c>
      <c r="C212" s="116">
        <v>0</v>
      </c>
      <c r="D212" s="147">
        <f>'Data Ocupacion'!BJ33</f>
        <v>0</v>
      </c>
      <c r="E212" s="147">
        <f>'Data Ocupacion'!BK33</f>
        <v>0</v>
      </c>
      <c r="F212" s="320" t="s">
        <v>36</v>
      </c>
      <c r="G212" s="321">
        <f t="shared" si="180"/>
        <v>0</v>
      </c>
      <c r="H212" s="116">
        <f t="shared" si="184"/>
        <v>0</v>
      </c>
      <c r="I212" s="116">
        <f t="shared" si="181"/>
        <v>0</v>
      </c>
      <c r="J212" s="116">
        <f>G212*M$1</f>
        <v>0</v>
      </c>
      <c r="K212" s="153">
        <f>I212*M$1</f>
        <v>0</v>
      </c>
      <c r="L212" s="116">
        <f t="shared" si="182"/>
        <v>0</v>
      </c>
      <c r="M212" s="116">
        <f t="shared" si="183"/>
        <v>0</v>
      </c>
      <c r="N212" s="19"/>
      <c r="O212" s="19"/>
      <c r="P212" s="146"/>
      <c r="Q212" s="244"/>
      <c r="R212" s="187"/>
      <c r="S212" s="207"/>
      <c r="T212" s="188"/>
      <c r="U212" s="189"/>
      <c r="V212" s="189"/>
      <c r="W212" s="182">
        <f>J212-(Q212*($M$1-$K$1))</f>
        <v>0</v>
      </c>
      <c r="X212" s="182">
        <f>H212*$M$1</f>
        <v>0</v>
      </c>
    </row>
    <row r="213" spans="1:28" s="124" customFormat="1" x14ac:dyDescent="0.25">
      <c r="A213" s="202"/>
      <c r="B213" s="116">
        <v>0</v>
      </c>
      <c r="C213" s="116">
        <v>0</v>
      </c>
      <c r="D213" s="147">
        <f>'Data Ocupacion'!BJ34</f>
        <v>0</v>
      </c>
      <c r="E213" s="147">
        <f>'Data Ocupacion'!BK34</f>
        <v>0</v>
      </c>
      <c r="F213" s="320" t="s">
        <v>53</v>
      </c>
      <c r="G213" s="321">
        <f t="shared" si="180"/>
        <v>0</v>
      </c>
      <c r="H213" s="116">
        <f t="shared" si="184"/>
        <v>0</v>
      </c>
      <c r="I213" s="116">
        <f t="shared" si="181"/>
        <v>0</v>
      </c>
      <c r="J213" s="116">
        <f>G213*M$1</f>
        <v>0</v>
      </c>
      <c r="K213" s="153">
        <f>I213*M$1</f>
        <v>0</v>
      </c>
      <c r="L213" s="116">
        <f t="shared" si="182"/>
        <v>0</v>
      </c>
      <c r="M213" s="116">
        <f t="shared" si="183"/>
        <v>0</v>
      </c>
      <c r="N213" s="19"/>
      <c r="O213" s="19"/>
      <c r="P213" s="146"/>
      <c r="Q213" s="189"/>
      <c r="R213" s="189"/>
      <c r="S213" s="189"/>
      <c r="T213" s="189"/>
      <c r="U213" s="189"/>
      <c r="V213" s="189"/>
      <c r="W213" s="182">
        <f>J213</f>
        <v>0</v>
      </c>
      <c r="X213" s="182">
        <f>H213*$M$1</f>
        <v>0</v>
      </c>
    </row>
    <row r="214" spans="1:28" s="124" customFormat="1" x14ac:dyDescent="0.25">
      <c r="A214" s="202"/>
      <c r="B214" s="116">
        <v>0</v>
      </c>
      <c r="C214" s="116">
        <v>0</v>
      </c>
      <c r="D214" s="147">
        <f>'Data Ocupacion'!BJ35</f>
        <v>0</v>
      </c>
      <c r="E214" s="147">
        <f>'Data Ocupacion'!BK35</f>
        <v>0</v>
      </c>
      <c r="F214" s="320" t="s">
        <v>122</v>
      </c>
      <c r="G214" s="321">
        <f t="shared" si="180"/>
        <v>0</v>
      </c>
      <c r="H214" s="116">
        <f t="shared" si="184"/>
        <v>0</v>
      </c>
      <c r="I214" s="116">
        <f t="shared" si="181"/>
        <v>0</v>
      </c>
      <c r="J214" s="323">
        <f>G214*K$1</f>
        <v>0</v>
      </c>
      <c r="K214" s="153">
        <f>I214*K$1</f>
        <v>0</v>
      </c>
      <c r="L214" s="116">
        <f t="shared" si="182"/>
        <v>0</v>
      </c>
      <c r="M214" s="116">
        <f t="shared" si="183"/>
        <v>0</v>
      </c>
      <c r="N214" s="19"/>
      <c r="O214" s="19"/>
      <c r="P214" s="146"/>
      <c r="Q214" s="189"/>
      <c r="R214" s="189"/>
      <c r="S214" s="189"/>
      <c r="T214" s="189"/>
      <c r="U214" s="189"/>
      <c r="V214" s="189"/>
      <c r="W214" s="182">
        <f>J214</f>
        <v>0</v>
      </c>
      <c r="X214" s="182">
        <f>H214*$K$1</f>
        <v>0</v>
      </c>
    </row>
    <row r="215" spans="1:28" s="124" customFormat="1" ht="15.75" thickBot="1" x14ac:dyDescent="0.3">
      <c r="A215" s="202"/>
      <c r="B215" s="116">
        <v>0</v>
      </c>
      <c r="C215" s="116">
        <v>0</v>
      </c>
      <c r="D215" s="147">
        <f>'Data Ocupacion'!BJ36</f>
        <v>0</v>
      </c>
      <c r="E215" s="147">
        <f>'Data Ocupacion'!BK36</f>
        <v>0</v>
      </c>
      <c r="F215" s="320" t="s">
        <v>35</v>
      </c>
      <c r="G215" s="321">
        <f t="shared" si="180"/>
        <v>0</v>
      </c>
      <c r="H215" s="116">
        <f t="shared" si="184"/>
        <v>0</v>
      </c>
      <c r="I215" s="324">
        <f t="shared" si="181"/>
        <v>0</v>
      </c>
      <c r="J215" s="324">
        <f>G215*K$1</f>
        <v>0</v>
      </c>
      <c r="K215" s="153">
        <f>I215*K$1</f>
        <v>0</v>
      </c>
      <c r="L215" s="116">
        <f t="shared" si="182"/>
        <v>0</v>
      </c>
      <c r="M215" s="116">
        <f t="shared" si="183"/>
        <v>0</v>
      </c>
      <c r="N215" s="19"/>
      <c r="O215" s="19"/>
      <c r="P215" s="146"/>
      <c r="Q215" s="189"/>
      <c r="R215" s="189"/>
      <c r="S215" s="189"/>
      <c r="T215" s="189"/>
      <c r="U215" s="189"/>
      <c r="V215" s="189"/>
      <c r="W215" s="182">
        <f>J215</f>
        <v>0</v>
      </c>
      <c r="X215" s="182">
        <f>H215*$K$1</f>
        <v>0</v>
      </c>
    </row>
    <row r="216" spans="1:28" s="124" customFormat="1" ht="14.25" customHeight="1" thickBot="1" x14ac:dyDescent="0.3">
      <c r="A216" s="119"/>
      <c r="B216" s="119">
        <f>SUM(B210:B215)</f>
        <v>144</v>
      </c>
      <c r="C216" s="119">
        <f>SUM(C210:C215)</f>
        <v>3</v>
      </c>
      <c r="D216" s="148">
        <f>SUM(D210:D215)</f>
        <v>143</v>
      </c>
      <c r="E216" s="148">
        <f>SUM(E210:E215)</f>
        <v>4</v>
      </c>
      <c r="F216" s="119"/>
      <c r="G216" s="119">
        <f t="shared" ref="G216:M216" si="185">SUM(G210:G215)</f>
        <v>151</v>
      </c>
      <c r="H216" s="119">
        <f t="shared" si="185"/>
        <v>150</v>
      </c>
      <c r="I216" s="119">
        <f t="shared" si="185"/>
        <v>147</v>
      </c>
      <c r="J216" s="119">
        <f t="shared" si="185"/>
        <v>6512.63</v>
      </c>
      <c r="K216" s="119">
        <f t="shared" si="185"/>
        <v>6340.1100000000006</v>
      </c>
      <c r="L216" s="119">
        <f t="shared" si="185"/>
        <v>677313.52</v>
      </c>
      <c r="M216" s="119">
        <f t="shared" si="185"/>
        <v>15288</v>
      </c>
      <c r="N216" s="123">
        <f>'Odometro-Kilometraje'!AE88</f>
        <v>6576</v>
      </c>
      <c r="O216" s="21">
        <f>(W216/N216)*100</f>
        <v>99.036344282238446</v>
      </c>
      <c r="P216" s="192"/>
      <c r="Q216" s="181"/>
      <c r="R216" s="181"/>
      <c r="S216" s="181"/>
      <c r="T216" s="181"/>
      <c r="U216" s="181"/>
      <c r="V216" s="181"/>
      <c r="W216" s="193">
        <f>SUM(W210:W215)</f>
        <v>6512.63</v>
      </c>
      <c r="X216" s="193">
        <f>SUM(X210:X215)</f>
        <v>6469.5</v>
      </c>
      <c r="Y216" s="257"/>
    </row>
    <row r="217" spans="1:28" s="124" customFormat="1" x14ac:dyDescent="0.25">
      <c r="A217" s="60">
        <f>A210+1</f>
        <v>46173</v>
      </c>
      <c r="B217" s="218">
        <v>51</v>
      </c>
      <c r="C217" s="218">
        <v>3</v>
      </c>
      <c r="D217" s="138">
        <f>'Data Ocupacion'!BL31</f>
        <v>51</v>
      </c>
      <c r="E217" s="138">
        <f>'Data Ocupacion'!BM31</f>
        <v>3</v>
      </c>
      <c r="F217" s="218" t="s">
        <v>38</v>
      </c>
      <c r="G217" s="218">
        <f t="shared" ref="G217:G222" si="186">D217+E217*2</f>
        <v>57</v>
      </c>
      <c r="H217" s="218">
        <f>B217+C217*2</f>
        <v>57</v>
      </c>
      <c r="I217" s="218">
        <f t="shared" ref="I217:I222" si="187">D217+E217</f>
        <v>54</v>
      </c>
      <c r="J217" s="218">
        <f>G217*M$2</f>
        <v>2458.4100000000003</v>
      </c>
      <c r="K217" s="153">
        <f>I217*M$2</f>
        <v>2329.02</v>
      </c>
      <c r="L217" s="218">
        <f t="shared" ref="L217:L222" si="188">J217*104</f>
        <v>255674.64000000004</v>
      </c>
      <c r="M217" s="218">
        <f t="shared" ref="M217:M222" si="189">I217*104</f>
        <v>5616</v>
      </c>
      <c r="N217" s="19"/>
      <c r="O217" s="19"/>
      <c r="P217" s="146"/>
      <c r="Q217" s="183"/>
      <c r="R217" s="183"/>
      <c r="S217" s="206"/>
      <c r="T217" s="244"/>
      <c r="U217" s="191"/>
      <c r="V217" s="228"/>
      <c r="W217" s="182">
        <f>J217-(Q217*($M$2-$K$1))-(R217*($M$2-$M$1))- (S217*($M$2-$I$2))+ (T217*($G$2))</f>
        <v>2458.4100000000003</v>
      </c>
      <c r="X217" s="182">
        <f>H217*$M$2</f>
        <v>2458.4100000000003</v>
      </c>
      <c r="Y217" s="287"/>
    </row>
    <row r="218" spans="1:28" s="124" customFormat="1" x14ac:dyDescent="0.25">
      <c r="A218" s="202"/>
      <c r="B218" s="218">
        <v>57</v>
      </c>
      <c r="C218" s="218">
        <v>0</v>
      </c>
      <c r="D218" s="138">
        <f>'Data Ocupacion'!BL32</f>
        <v>57</v>
      </c>
      <c r="E218" s="138">
        <f>'Data Ocupacion'!BM32</f>
        <v>0</v>
      </c>
      <c r="F218" s="218" t="s">
        <v>52</v>
      </c>
      <c r="G218" s="218">
        <f t="shared" si="186"/>
        <v>57</v>
      </c>
      <c r="H218" s="218">
        <f t="shared" ref="H218:H222" si="190">B218+C218*2</f>
        <v>57</v>
      </c>
      <c r="I218" s="218">
        <f t="shared" si="187"/>
        <v>57</v>
      </c>
      <c r="J218" s="218">
        <f>G218*M$2</f>
        <v>2458.4100000000003</v>
      </c>
      <c r="K218" s="153">
        <f>I218*M$2</f>
        <v>2458.4100000000003</v>
      </c>
      <c r="L218" s="218">
        <f t="shared" si="188"/>
        <v>255674.64000000004</v>
      </c>
      <c r="M218" s="218">
        <f t="shared" si="189"/>
        <v>5928</v>
      </c>
      <c r="N218" s="19"/>
      <c r="O218" s="19"/>
      <c r="P218" s="146"/>
      <c r="Q218" s="186"/>
      <c r="R218" s="186"/>
      <c r="S218" s="186"/>
      <c r="T218" s="183"/>
      <c r="U218" s="183"/>
      <c r="V218" s="206"/>
      <c r="W218" s="185">
        <f>J218-(T218*($M$2-$K$1)+(U218*($M$2-$M$1)))</f>
        <v>2458.4100000000003</v>
      </c>
      <c r="X218" s="182">
        <f>H218*$M$2</f>
        <v>2458.4100000000003</v>
      </c>
      <c r="Y218" s="287"/>
    </row>
    <row r="219" spans="1:28" s="124" customFormat="1" x14ac:dyDescent="0.25">
      <c r="A219" s="202"/>
      <c r="B219" s="218">
        <v>0</v>
      </c>
      <c r="C219" s="218">
        <v>0</v>
      </c>
      <c r="D219" s="138">
        <f>'Data Ocupacion'!BL33</f>
        <v>0</v>
      </c>
      <c r="E219" s="138">
        <f>'Data Ocupacion'!BM33</f>
        <v>0</v>
      </c>
      <c r="F219" s="218" t="s">
        <v>36</v>
      </c>
      <c r="G219" s="218">
        <f t="shared" si="186"/>
        <v>0</v>
      </c>
      <c r="H219" s="218">
        <f t="shared" si="190"/>
        <v>0</v>
      </c>
      <c r="I219" s="218">
        <f t="shared" si="187"/>
        <v>0</v>
      </c>
      <c r="J219" s="218">
        <f>G219*M$1</f>
        <v>0</v>
      </c>
      <c r="K219" s="153">
        <f>I219*M$1</f>
        <v>0</v>
      </c>
      <c r="L219" s="218">
        <f t="shared" si="188"/>
        <v>0</v>
      </c>
      <c r="M219" s="218">
        <f t="shared" si="189"/>
        <v>0</v>
      </c>
      <c r="N219" s="19"/>
      <c r="O219" s="19"/>
      <c r="P219" s="146"/>
      <c r="Q219" s="244"/>
      <c r="R219" s="187"/>
      <c r="S219" s="207"/>
      <c r="T219" s="188"/>
      <c r="U219" s="189"/>
      <c r="V219" s="189"/>
      <c r="W219" s="182">
        <f>J219-(Q219*($M$1-$K$1))</f>
        <v>0</v>
      </c>
      <c r="X219" s="182">
        <f>H219*$M$1</f>
        <v>0</v>
      </c>
      <c r="Y219" s="287"/>
    </row>
    <row r="220" spans="1:28" s="124" customFormat="1" x14ac:dyDescent="0.25">
      <c r="A220" s="202"/>
      <c r="B220" s="218">
        <v>0</v>
      </c>
      <c r="C220" s="218">
        <v>0</v>
      </c>
      <c r="D220" s="138">
        <f>'Data Ocupacion'!BL34</f>
        <v>0</v>
      </c>
      <c r="E220" s="138">
        <f>'Data Ocupacion'!BM34</f>
        <v>0</v>
      </c>
      <c r="F220" s="218" t="s">
        <v>53</v>
      </c>
      <c r="G220" s="218">
        <f t="shared" si="186"/>
        <v>0</v>
      </c>
      <c r="H220" s="218">
        <f t="shared" si="190"/>
        <v>0</v>
      </c>
      <c r="I220" s="218">
        <f t="shared" si="187"/>
        <v>0</v>
      </c>
      <c r="J220" s="218">
        <f>G220*M$1</f>
        <v>0</v>
      </c>
      <c r="K220" s="153">
        <f>I220*M$1</f>
        <v>0</v>
      </c>
      <c r="L220" s="218">
        <f t="shared" si="188"/>
        <v>0</v>
      </c>
      <c r="M220" s="218">
        <f t="shared" si="189"/>
        <v>0</v>
      </c>
      <c r="N220" s="19"/>
      <c r="O220" s="19"/>
      <c r="P220" s="146"/>
      <c r="Q220" s="189"/>
      <c r="R220" s="189"/>
      <c r="S220" s="189"/>
      <c r="T220" s="189"/>
      <c r="U220" s="189"/>
      <c r="V220" s="189"/>
      <c r="W220" s="182">
        <f>J220</f>
        <v>0</v>
      </c>
      <c r="X220" s="182">
        <f>H220*$M$1</f>
        <v>0</v>
      </c>
      <c r="Y220" s="287"/>
    </row>
    <row r="221" spans="1:28" s="124" customFormat="1" x14ac:dyDescent="0.25">
      <c r="A221" s="202"/>
      <c r="B221" s="218">
        <v>0</v>
      </c>
      <c r="C221" s="218">
        <v>0</v>
      </c>
      <c r="D221" s="138">
        <f>'Data Ocupacion'!BL35</f>
        <v>0</v>
      </c>
      <c r="E221" s="138">
        <f>'Data Ocupacion'!BM35</f>
        <v>0</v>
      </c>
      <c r="F221" s="218" t="s">
        <v>122</v>
      </c>
      <c r="G221" s="218">
        <f t="shared" si="186"/>
        <v>0</v>
      </c>
      <c r="H221" s="218">
        <f t="shared" si="190"/>
        <v>0</v>
      </c>
      <c r="I221" s="218">
        <f t="shared" si="187"/>
        <v>0</v>
      </c>
      <c r="J221" s="218">
        <f>G221*K$1</f>
        <v>0</v>
      </c>
      <c r="K221" s="153">
        <f>I221*K$1</f>
        <v>0</v>
      </c>
      <c r="L221" s="218">
        <f t="shared" si="188"/>
        <v>0</v>
      </c>
      <c r="M221" s="218">
        <f t="shared" si="189"/>
        <v>0</v>
      </c>
      <c r="N221" s="19"/>
      <c r="O221" s="19"/>
      <c r="P221" s="146"/>
      <c r="Q221" s="189"/>
      <c r="R221" s="189"/>
      <c r="S221" s="189"/>
      <c r="T221" s="189"/>
      <c r="U221" s="189"/>
      <c r="V221" s="189"/>
      <c r="W221" s="182">
        <f>J221</f>
        <v>0</v>
      </c>
      <c r="X221" s="182">
        <f>H221*$K$1</f>
        <v>0</v>
      </c>
      <c r="Y221" s="287"/>
    </row>
    <row r="222" spans="1:28" s="124" customFormat="1" ht="15.75" thickBot="1" x14ac:dyDescent="0.3">
      <c r="A222" s="202"/>
      <c r="B222" s="218">
        <v>0</v>
      </c>
      <c r="C222" s="218">
        <v>0</v>
      </c>
      <c r="D222" s="138">
        <f>'Data Ocupacion'!BL36</f>
        <v>0</v>
      </c>
      <c r="E222" s="138">
        <f>'Data Ocupacion'!BM36</f>
        <v>0</v>
      </c>
      <c r="F222" s="218" t="s">
        <v>35</v>
      </c>
      <c r="G222" s="218">
        <f t="shared" si="186"/>
        <v>0</v>
      </c>
      <c r="H222" s="218">
        <f t="shared" si="190"/>
        <v>0</v>
      </c>
      <c r="I222" s="218">
        <f t="shared" si="187"/>
        <v>0</v>
      </c>
      <c r="J222" s="218">
        <f>G222*K$1</f>
        <v>0</v>
      </c>
      <c r="K222" s="153">
        <f>I222*K$1</f>
        <v>0</v>
      </c>
      <c r="L222" s="218">
        <f t="shared" si="188"/>
        <v>0</v>
      </c>
      <c r="M222" s="218">
        <f t="shared" si="189"/>
        <v>0</v>
      </c>
      <c r="N222" s="19"/>
      <c r="O222" s="19"/>
      <c r="P222" s="146"/>
      <c r="Q222" s="189"/>
      <c r="R222" s="189"/>
      <c r="S222" s="189"/>
      <c r="T222" s="189"/>
      <c r="U222" s="189"/>
      <c r="V222" s="189"/>
      <c r="W222" s="182">
        <f>J222</f>
        <v>0</v>
      </c>
      <c r="X222" s="182">
        <f>H222*$K$1</f>
        <v>0</v>
      </c>
      <c r="Y222" s="287"/>
    </row>
    <row r="223" spans="1:28" s="124" customFormat="1" ht="15.75" thickBot="1" x14ac:dyDescent="0.3">
      <c r="A223" s="20"/>
      <c r="B223" s="119">
        <f>SUM(B217:B222)</f>
        <v>108</v>
      </c>
      <c r="C223" s="148">
        <f>SUM(C217:C222)</f>
        <v>3</v>
      </c>
      <c r="D223" s="148">
        <f>SUM(D217:D222)</f>
        <v>108</v>
      </c>
      <c r="E223" s="148">
        <f>SUM(E217:E222)</f>
        <v>3</v>
      </c>
      <c r="F223" s="119"/>
      <c r="G223" s="119">
        <f t="shared" ref="G223:L223" si="191">SUM(G217:G222)</f>
        <v>114</v>
      </c>
      <c r="H223" s="119">
        <f t="shared" si="191"/>
        <v>114</v>
      </c>
      <c r="I223" s="119">
        <f t="shared" si="191"/>
        <v>111</v>
      </c>
      <c r="J223" s="119">
        <f t="shared" si="191"/>
        <v>4916.8200000000006</v>
      </c>
      <c r="K223" s="119">
        <f t="shared" si="191"/>
        <v>4787.43</v>
      </c>
      <c r="L223" s="119">
        <f t="shared" si="191"/>
        <v>511349.28000000009</v>
      </c>
      <c r="M223" s="123">
        <f>SUM(M217:M222)</f>
        <v>11544</v>
      </c>
      <c r="N223" s="123">
        <f>'Odometro-Kilometraje'!AF88</f>
        <v>4943</v>
      </c>
      <c r="O223" s="21">
        <f>(W223/N223)*100</f>
        <v>99.470362128262195</v>
      </c>
      <c r="P223" s="192"/>
      <c r="Q223" s="181"/>
      <c r="R223" s="181"/>
      <c r="S223" s="181"/>
      <c r="T223" s="181"/>
      <c r="U223" s="181"/>
      <c r="V223" s="181"/>
      <c r="W223" s="193">
        <f>SUM(W217:W222)</f>
        <v>4916.8200000000006</v>
      </c>
      <c r="X223" s="193">
        <f>SUM(X217:X222)</f>
        <v>4916.8200000000006</v>
      </c>
      <c r="Y223" s="287"/>
      <c r="AB223" s="172"/>
    </row>
    <row r="224" spans="1:28" s="124" customFormat="1" ht="15.75" thickBot="1" x14ac:dyDescent="0.3"/>
    <row r="225" spans="1:29" s="124" customFormat="1" ht="15.75" thickBot="1" x14ac:dyDescent="0.3">
      <c r="A225"/>
      <c r="B225" s="354" t="s">
        <v>56</v>
      </c>
      <c r="C225" s="355"/>
      <c r="D225" s="355"/>
      <c r="E225" s="355"/>
      <c r="F225" s="355"/>
      <c r="G225" s="356"/>
      <c r="H225" s="290"/>
      <c r="I225" s="354" t="s">
        <v>57</v>
      </c>
      <c r="J225" s="355"/>
      <c r="K225" s="355"/>
      <c r="L225" s="355"/>
      <c r="M225" s="355"/>
      <c r="N225" s="356"/>
      <c r="P225" s="375" t="s">
        <v>139</v>
      </c>
      <c r="Q225" s="375"/>
      <c r="R225" s="375"/>
      <c r="S225" s="376"/>
      <c r="T225" s="372" t="s">
        <v>142</v>
      </c>
      <c r="U225" s="373"/>
      <c r="V225" s="374"/>
      <c r="W225" s="364" t="s">
        <v>143</v>
      </c>
      <c r="X225" s="364" t="s">
        <v>162</v>
      </c>
    </row>
    <row r="226" spans="1:29" s="124" customFormat="1" ht="24.75" thickBot="1" x14ac:dyDescent="0.3">
      <c r="A226" s="22" t="s">
        <v>56</v>
      </c>
      <c r="B226" s="179" t="s">
        <v>58</v>
      </c>
      <c r="C226" s="179" t="s">
        <v>59</v>
      </c>
      <c r="D226" s="179" t="s">
        <v>60</v>
      </c>
      <c r="E226" s="179" t="s">
        <v>61</v>
      </c>
      <c r="F226" s="179" t="s">
        <v>62</v>
      </c>
      <c r="G226" s="179" t="s">
        <v>63</v>
      </c>
      <c r="H226" s="179"/>
      <c r="I226" s="179" t="s">
        <v>58</v>
      </c>
      <c r="J226" s="179" t="s">
        <v>59</v>
      </c>
      <c r="K226" s="179" t="s">
        <v>60</v>
      </c>
      <c r="L226" s="179" t="s">
        <v>61</v>
      </c>
      <c r="M226" s="179" t="s">
        <v>62</v>
      </c>
      <c r="N226" s="179" t="s">
        <v>63</v>
      </c>
      <c r="P226" s="214" t="s">
        <v>140</v>
      </c>
      <c r="Q226" s="195" t="s">
        <v>141</v>
      </c>
      <c r="R226" s="213" t="s">
        <v>148</v>
      </c>
      <c r="S226" s="215" t="s">
        <v>146</v>
      </c>
      <c r="T226" s="196" t="s">
        <v>140</v>
      </c>
      <c r="U226" s="197" t="s">
        <v>141</v>
      </c>
      <c r="V226" s="227" t="s">
        <v>146</v>
      </c>
      <c r="W226" s="365"/>
      <c r="X226" s="365"/>
    </row>
    <row r="227" spans="1:29" ht="16.149999999999999" customHeight="1" x14ac:dyDescent="0.25">
      <c r="A227" s="23" t="s">
        <v>38</v>
      </c>
      <c r="B227" s="114">
        <f t="shared" ref="B227:C229" si="192">B5+B12+B19+B26+B33+B40+B47+B56+B63+B70+B77+B84+B91+B98+B105+B112+B119+B126+B133+B140+B147+B154+B161+B168+B175+B182+B189+B196+B203+B210+B217</f>
        <v>1410</v>
      </c>
      <c r="C227" s="114">
        <f t="shared" si="192"/>
        <v>829</v>
      </c>
      <c r="D227" s="114">
        <f t="shared" ref="D227:D232" si="193">B227+C227</f>
        <v>2239</v>
      </c>
      <c r="E227" s="139">
        <f>D227*43.13</f>
        <v>96568.07</v>
      </c>
      <c r="F227" s="139">
        <f>B227*43.13+C227*86.26</f>
        <v>132322.84000000003</v>
      </c>
      <c r="G227" s="139">
        <f t="shared" ref="G227:G232" si="194">F227*104</f>
        <v>13761575.360000003</v>
      </c>
      <c r="H227" s="139"/>
      <c r="I227" s="114">
        <f t="shared" ref="I227:J230" si="195">D5+D12+D26+D33+D40+D47+D56+D63+D70+D77+D84+D91+D98+D105+D112+D119+D126+D133+D140+D147+D154+D161+D168+D175+D182+D189+D196+D203+D210+D217+D19</f>
        <v>1409</v>
      </c>
      <c r="J227" s="114">
        <f t="shared" si="195"/>
        <v>822</v>
      </c>
      <c r="K227" s="114">
        <f t="shared" ref="K227:K232" si="196">I227+J227</f>
        <v>2231</v>
      </c>
      <c r="L227" s="139">
        <f>K227*43.13</f>
        <v>96223.03</v>
      </c>
      <c r="M227" s="139">
        <f>I227*43.13+J227*86.26</f>
        <v>131675.89000000001</v>
      </c>
      <c r="N227" s="139">
        <f t="shared" ref="N227:N232" si="197">M227*104</f>
        <v>13694292.560000002</v>
      </c>
      <c r="O227" s="124"/>
      <c r="P227" s="209">
        <f>SUM(Q196,Q189,Q182,Q175,Q168,Q161,Q154,Q147,Q140,Q133,Q126,Q119,Q112,Q105,Q98,Q91,Q84,Q77,Q70,Q63,Q56,Q47,Q40,Q33,Q26,Q19,Q12,Q5,Q203,Q210,Q217)</f>
        <v>52</v>
      </c>
      <c r="Q227" s="209">
        <f>SUM(R196,R189,R182,R175,R168,R161,R154,R147,R140,R133,R126,R119,R112,R105,R98,R91,R84,R77,R70,R63,R56,R47,R40,R33,R26,R19,R12,R5,R203,R210,R217)</f>
        <v>0</v>
      </c>
      <c r="R227" s="209">
        <f>Q28+Q35+Q42+Q49+Q58+Q79+Q86+Q93+Q100+Q107+Q128+Q135+Q142+Q156+Q177+Q184+Q191+Q198+Q205</f>
        <v>40</v>
      </c>
      <c r="S227" s="209">
        <f>SUM(S196,S189,S182,S175,S168,S161,S154,S147,S140,S133,S126,S119,S112,S105,S98,S91,S84,S77,S70,S63,S56,S47,S40,S33,S26,S19,S12,S5,S203,S210,S217)</f>
        <v>0</v>
      </c>
      <c r="T227" s="209">
        <f>SUM(T196,T189,T182,T175,T168,T161,T154,T147,T140,T133,T126,T119,T112,T105,T98,T91,T84,T77,T70,T63,T56,T47,T40,T33,T26,T19,T12,T5,T203,T210,T217)+T6+T13+T20+T27+T34+T41+T48+T57+T64+T71+T78+T85+T92+T99+T106+T113+T120+T127+T134+T141+T148+T155+T162+T169+T176+T183+T190+T197+T204+T211+T218</f>
        <v>70</v>
      </c>
      <c r="U227" s="209">
        <f>SUM(U196,U189,U182,U175,U168,U161,U154,U147,U140,U133,U126,U119,U112,U105,U98,U91,U84,U77,U70,U63,U56,U47,U40,U33,U26,U19,U12,U5,U203,U210,U218)</f>
        <v>0</v>
      </c>
      <c r="V227" s="209">
        <f>SUM(V196,V189,V182,V175,V168,V161,V154,V147,V140,V133,V126,V119,V112,V105,V98,V91,V84,V77,V70,V63,V56,V47,V40,V33,V26,V19,V12,V5,V203,V210,V218)</f>
        <v>0</v>
      </c>
      <c r="W227" s="231">
        <f>W11+W18+W25+W32+W39+W46+W55+W62+W69+W76+W83+W90+W97+W104+W111+W118+W125+W132+W139+W146+W153+W160+W167+W174+W181+W188+W195+W202+W209+W216+W223</f>
        <v>302612.10000000009</v>
      </c>
      <c r="X227" s="231">
        <f>X11+X18+X25+X32+X39+X46+X55+X62+X69+X76+X83+X90+X97+X104+X111+X118+X125+X132+X139+X146+X153+X160+X167+X174+X181+X188+X195+X202+X209+X216+X223</f>
        <v>307504.74000000005</v>
      </c>
    </row>
    <row r="228" spans="1:29" ht="17.25" customHeight="1" x14ac:dyDescent="0.25">
      <c r="A228" s="23" t="s">
        <v>52</v>
      </c>
      <c r="B228" s="114">
        <f t="shared" si="192"/>
        <v>1444</v>
      </c>
      <c r="C228" s="114">
        <f t="shared" si="192"/>
        <v>812</v>
      </c>
      <c r="D228" s="114">
        <f t="shared" si="193"/>
        <v>2256</v>
      </c>
      <c r="E228" s="139">
        <f>D228*43.13</f>
        <v>97301.28</v>
      </c>
      <c r="F228" s="139">
        <f>B228*43.13+C228*86.26</f>
        <v>132322.84000000003</v>
      </c>
      <c r="G228" s="139">
        <f t="shared" si="194"/>
        <v>13761575.360000003</v>
      </c>
      <c r="H228" s="139"/>
      <c r="I228" s="114">
        <f t="shared" si="195"/>
        <v>1437</v>
      </c>
      <c r="J228" s="114">
        <f t="shared" si="195"/>
        <v>810</v>
      </c>
      <c r="K228" s="114">
        <f t="shared" si="196"/>
        <v>2247</v>
      </c>
      <c r="L228" s="139">
        <f t="shared" ref="L228" si="198">K228*43.13</f>
        <v>96913.11</v>
      </c>
      <c r="M228" s="139">
        <f>I228*43.13+J228*86.26</f>
        <v>131848.41</v>
      </c>
      <c r="N228" s="139">
        <f t="shared" si="197"/>
        <v>13712234.640000001</v>
      </c>
      <c r="O228" s="124"/>
      <c r="W228" s="124"/>
      <c r="AA228" s="8"/>
    </row>
    <row r="229" spans="1:29" x14ac:dyDescent="0.25">
      <c r="A229" s="23" t="s">
        <v>36</v>
      </c>
      <c r="B229" s="114">
        <f t="shared" si="192"/>
        <v>627</v>
      </c>
      <c r="C229" s="114">
        <f t="shared" si="192"/>
        <v>57</v>
      </c>
      <c r="D229" s="114">
        <f t="shared" si="193"/>
        <v>684</v>
      </c>
      <c r="E229" s="139">
        <f>D229*29.11</f>
        <v>19911.239999999998</v>
      </c>
      <c r="F229" s="139">
        <f>B229*29.11+C229*58.22</f>
        <v>21570.510000000002</v>
      </c>
      <c r="G229" s="139">
        <f t="shared" si="194"/>
        <v>2243333.04</v>
      </c>
      <c r="H229" s="139"/>
      <c r="I229" s="114">
        <f t="shared" si="195"/>
        <v>626</v>
      </c>
      <c r="J229" s="114">
        <f t="shared" si="195"/>
        <v>44</v>
      </c>
      <c r="K229" s="114">
        <f t="shared" si="196"/>
        <v>670</v>
      </c>
      <c r="L229" s="139">
        <f>K229*29.11</f>
        <v>19503.7</v>
      </c>
      <c r="M229" s="139">
        <f>I229*29.11+J229*58.22</f>
        <v>20784.54</v>
      </c>
      <c r="N229" s="139">
        <f t="shared" si="197"/>
        <v>2161592.16</v>
      </c>
      <c r="O229" s="124"/>
      <c r="W229" s="124"/>
    </row>
    <row r="230" spans="1:29" x14ac:dyDescent="0.25">
      <c r="A230" s="23" t="s">
        <v>53</v>
      </c>
      <c r="B230" s="114">
        <f>B8+B15+B22+B29+B36+B43+B50+B59+B66+B73+B80+B87+B94+B101+B108+B115+B122+B129+B136+B143+B150+B157+B164+B171+B178+B185+B192+B199+B206+B213+B220</f>
        <v>551</v>
      </c>
      <c r="C230" s="114">
        <f>C8+C15+C22+C29+C36+C43+C50+C59+C66+C73+C80+C87+C94+C101+C108+C115+C122+C129+C136+C143+C150+C157+C164+C171+C178+C185+C192+C199+C206+C213+C221</f>
        <v>57</v>
      </c>
      <c r="D230" s="114">
        <f t="shared" si="193"/>
        <v>608</v>
      </c>
      <c r="E230" s="139">
        <f>D230*29.11</f>
        <v>17698.88</v>
      </c>
      <c r="F230" s="139">
        <f>B230*29.11+C230*58.22</f>
        <v>19358.150000000001</v>
      </c>
      <c r="G230" s="139">
        <f t="shared" si="194"/>
        <v>2013247.6</v>
      </c>
      <c r="H230" s="139"/>
      <c r="I230" s="114">
        <f t="shared" si="195"/>
        <v>554</v>
      </c>
      <c r="J230" s="114">
        <f t="shared" si="195"/>
        <v>44</v>
      </c>
      <c r="K230" s="114">
        <f t="shared" si="196"/>
        <v>598</v>
      </c>
      <c r="L230" s="139">
        <f>K230*29.11</f>
        <v>17407.78</v>
      </c>
      <c r="M230" s="139">
        <f>I230*29.11+J230*58.22</f>
        <v>18688.62</v>
      </c>
      <c r="N230" s="139">
        <f t="shared" si="197"/>
        <v>1943616.48</v>
      </c>
      <c r="O230" s="124"/>
      <c r="W230" s="124"/>
      <c r="AA230" s="101"/>
      <c r="AB230" s="101"/>
      <c r="AC230" s="101"/>
    </row>
    <row r="231" spans="1:29" x14ac:dyDescent="0.25">
      <c r="A231" s="23" t="s">
        <v>122</v>
      </c>
      <c r="B231" s="114">
        <f>B9+B16+B23+B30+B37+B44+B51+B60+B67+B74+B81+B88+B95+B102+B109+B116+B123+B130+B137+B144+B151+B158+B165+B172+B179+B186+B193+B200+B207+B214+B221</f>
        <v>0</v>
      </c>
      <c r="C231" s="114">
        <f>C9+C16+C23+C30+C37+C44+C51+C60+C67+C74+C81+C88+C95+C102+C109+C116+C123+C130+C137+C144+C151+C158+C165+C172+C179+C186+C193+C200+C207+C214+C222</f>
        <v>0</v>
      </c>
      <c r="D231" s="114">
        <f t="shared" si="193"/>
        <v>0</v>
      </c>
      <c r="E231" s="139">
        <f>D231*25.4</f>
        <v>0</v>
      </c>
      <c r="F231" s="139">
        <f>B231*25.4+C231*50.8</f>
        <v>0</v>
      </c>
      <c r="G231" s="139">
        <f t="shared" si="194"/>
        <v>0</v>
      </c>
      <c r="H231" s="139"/>
      <c r="I231" s="114">
        <f>D9+D16+D30+D37+D44+D51+D60+D67+D74+D81+D88+D95+D102+D109+D116+D123+D130+D137+D144+D151+D158+D165+D172+D179+D186+D193+D200+D207+D214+D221+D23</f>
        <v>1</v>
      </c>
      <c r="J231" s="114">
        <f>E9+E16+E30+E37+E44+E51+E60+E67+E74+E81+E88+E95+E102+E109+E116+E123+E130+E137+E144+E151+E158+E165+E172+E179+E186+E193+E200+E207+E214+E221</f>
        <v>0</v>
      </c>
      <c r="K231" s="114">
        <f t="shared" si="196"/>
        <v>1</v>
      </c>
      <c r="L231" s="139">
        <f>K231*25.4</f>
        <v>25.4</v>
      </c>
      <c r="M231" s="139">
        <f>I231*25.4+J231*50.8</f>
        <v>25.4</v>
      </c>
      <c r="N231" s="139">
        <f t="shared" si="197"/>
        <v>2641.6</v>
      </c>
      <c r="O231" s="124"/>
      <c r="W231" s="124"/>
    </row>
    <row r="232" spans="1:29" x14ac:dyDescent="0.25">
      <c r="A232" s="23" t="s">
        <v>35</v>
      </c>
      <c r="B232" s="114">
        <f>B10+B17+B24+B31+B38+B45+B52+B61+B68+B75+B82+B89+B96+B103+B110+B117+B124+B131+B138+B145+B152+B159+B166+B173+B180+B187+B194+B201+B208+B215+B222</f>
        <v>76</v>
      </c>
      <c r="C232" s="114">
        <f>C10+C17+C24+C31+C38+C45+C52+C61+C68+C75+C82+C89+C96+C103+C110+C117+C124+C131+C138+C145+C152+C159+C166+C173+C180+C187+C194+C201+C208+C215+C222</f>
        <v>0</v>
      </c>
      <c r="D232" s="114">
        <f t="shared" si="193"/>
        <v>76</v>
      </c>
      <c r="E232" s="139">
        <f>D232*25.4</f>
        <v>1930.3999999999999</v>
      </c>
      <c r="F232" s="139">
        <f>B232*25.4+C232*50.8</f>
        <v>1930.3999999999999</v>
      </c>
      <c r="G232" s="139">
        <f t="shared" si="194"/>
        <v>200761.59999999998</v>
      </c>
      <c r="H232" s="139"/>
      <c r="I232" s="114">
        <f>D10+D17+D31+D38+D45+D52+D61+D68+D75+D82+D89+D96+D103+D110+D117+D124+D131+D138+D145+D152+D159+D166+D173+D180+D187+D194+D201+D208+D215+D222+D24</f>
        <v>76</v>
      </c>
      <c r="J232" s="114">
        <f>E10+E17+E31+E38+E45+E52+E61+E68+E75+E82+E89+E96+E103+E110+E117+E124+E131+E138+E145+E152+E159+E166+E173+E180+E187+E194+E201+E208+E215+E222</f>
        <v>0</v>
      </c>
      <c r="K232" s="114">
        <f t="shared" si="196"/>
        <v>76</v>
      </c>
      <c r="L232" s="139">
        <f>K232*25.4</f>
        <v>1930.3999999999999</v>
      </c>
      <c r="M232" s="139">
        <f>I232*25.4+J232*50.8</f>
        <v>1930.3999999999999</v>
      </c>
      <c r="N232" s="139">
        <f t="shared" si="197"/>
        <v>200761.59999999998</v>
      </c>
      <c r="O232" s="124"/>
      <c r="P232" s="124"/>
      <c r="Q232" s="124"/>
      <c r="R232" s="124"/>
      <c r="T232" s="124"/>
      <c r="U232" s="124"/>
      <c r="W232" s="124"/>
      <c r="AA232" s="101"/>
      <c r="AB232" s="101"/>
      <c r="AC232" s="101"/>
    </row>
    <row r="233" spans="1:29" s="124" customFormat="1" x14ac:dyDescent="0.25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P233"/>
      <c r="Q233"/>
      <c r="R233"/>
      <c r="T233"/>
      <c r="U233"/>
    </row>
    <row r="234" spans="1:29" s="124" customFormat="1" x14ac:dyDescent="0.25">
      <c r="A234" s="178" t="s">
        <v>64</v>
      </c>
      <c r="B234" s="284">
        <f>SUM(B227:B233)</f>
        <v>4108</v>
      </c>
      <c r="C234" s="284">
        <f>SUM(C227:C233)</f>
        <v>1755</v>
      </c>
      <c r="D234" s="284">
        <f>SUM(D227:D233)</f>
        <v>5863</v>
      </c>
      <c r="E234" s="284">
        <f>SUM(E227:E232)</f>
        <v>233409.87</v>
      </c>
      <c r="F234" s="284">
        <f>SUM(F227:F232)</f>
        <v>307504.74000000011</v>
      </c>
      <c r="G234" s="284">
        <f>SUM(G227:G232)</f>
        <v>31980492.960000008</v>
      </c>
      <c r="H234" s="284"/>
      <c r="I234" s="284">
        <f>SUM(I227:I232)</f>
        <v>4103</v>
      </c>
      <c r="J234" s="284">
        <f>SUM(J227:J232)</f>
        <v>1720</v>
      </c>
      <c r="K234" s="284">
        <f>SUM(K227:K233)</f>
        <v>5823</v>
      </c>
      <c r="L234" s="284">
        <f>SUM(L227:L233)</f>
        <v>232003.42</v>
      </c>
      <c r="M234" s="284">
        <f>SUM(M227:M233)</f>
        <v>304953.26000000007</v>
      </c>
      <c r="N234" s="284">
        <f>SUM(N227:N233)</f>
        <v>31715139.040000007</v>
      </c>
      <c r="P234"/>
      <c r="Q234"/>
      <c r="R234"/>
      <c r="T234"/>
      <c r="U234"/>
    </row>
    <row r="235" spans="1:29" x14ac:dyDescent="0.25">
      <c r="A235" s="124"/>
      <c r="B235" s="124"/>
      <c r="C235" s="124"/>
      <c r="D235" s="124"/>
      <c r="E235" s="124"/>
      <c r="F235" s="124"/>
      <c r="G235" s="124"/>
      <c r="I235" s="124"/>
      <c r="J235" s="124"/>
      <c r="K235" s="124"/>
      <c r="L235" s="124"/>
      <c r="M235" s="209"/>
      <c r="N235" s="124"/>
      <c r="O235" s="124"/>
      <c r="W235" s="124"/>
    </row>
    <row r="236" spans="1:29" ht="42" customHeight="1" thickBot="1" x14ac:dyDescent="0.3">
      <c r="B236" s="124" t="s">
        <v>65</v>
      </c>
      <c r="C236" s="124">
        <f>(B234)+(C234*2)</f>
        <v>7618</v>
      </c>
      <c r="D236" s="124"/>
      <c r="E236" s="124"/>
      <c r="F236" s="124" t="s">
        <v>65</v>
      </c>
      <c r="G236" s="124">
        <f>(I234)+(J234*2)</f>
        <v>7543</v>
      </c>
      <c r="I236" s="124"/>
      <c r="J236" s="198"/>
      <c r="K236" s="124"/>
      <c r="L236" s="124"/>
      <c r="M236" s="209"/>
      <c r="N236" s="124"/>
      <c r="O236" s="124"/>
      <c r="W236" s="124"/>
    </row>
    <row r="237" spans="1:29" x14ac:dyDescent="0.25">
      <c r="A237" s="24"/>
      <c r="B237" s="352" t="s">
        <v>55</v>
      </c>
      <c r="C237" s="353"/>
      <c r="D237" s="25" t="s">
        <v>65</v>
      </c>
      <c r="E237" s="26"/>
      <c r="F237" s="27" t="s">
        <v>61</v>
      </c>
      <c r="G237" s="27" t="s">
        <v>66</v>
      </c>
      <c r="H237" s="25"/>
      <c r="I237" s="28" t="s">
        <v>67</v>
      </c>
      <c r="J237" s="124"/>
      <c r="K237" s="124"/>
      <c r="L237" s="124"/>
      <c r="M237" s="124"/>
      <c r="N237" s="124"/>
      <c r="O237" s="124"/>
      <c r="V237" s="243"/>
      <c r="W237" s="124"/>
    </row>
    <row r="238" spans="1:29" x14ac:dyDescent="0.25">
      <c r="A238" s="29"/>
      <c r="B238" s="30" t="s">
        <v>58</v>
      </c>
      <c r="C238" s="30" t="s">
        <v>68</v>
      </c>
      <c r="D238" s="31"/>
      <c r="E238" s="32"/>
      <c r="F238" s="30"/>
      <c r="G238" s="30"/>
      <c r="H238" s="31"/>
      <c r="I238" s="33"/>
      <c r="J238" s="124"/>
      <c r="K238" s="124"/>
      <c r="L238" s="124"/>
      <c r="M238" s="124"/>
      <c r="N238" s="343" t="s">
        <v>190</v>
      </c>
      <c r="O238" s="124"/>
      <c r="W238" s="124"/>
    </row>
    <row r="239" spans="1:29" ht="15" hidden="1" customHeight="1" x14ac:dyDescent="0.25">
      <c r="A239" s="34" t="s">
        <v>69</v>
      </c>
      <c r="B239" s="144" t="e">
        <f>+#REF!</f>
        <v>#REF!</v>
      </c>
      <c r="C239" s="144" t="e">
        <f>+#REF!</f>
        <v>#REF!</v>
      </c>
      <c r="D239" s="144" t="e">
        <f>+B239+2*C239</f>
        <v>#REF!</v>
      </c>
      <c r="E239" s="35" t="s">
        <v>69</v>
      </c>
      <c r="F239" s="36">
        <f>+E234</f>
        <v>233409.87</v>
      </c>
      <c r="G239" s="36">
        <f>+F234</f>
        <v>307504.74000000011</v>
      </c>
      <c r="H239" s="291"/>
      <c r="I239" s="37">
        <f>+G234</f>
        <v>31980492.960000008</v>
      </c>
      <c r="J239" s="124"/>
      <c r="K239" s="124"/>
      <c r="L239" s="124"/>
      <c r="M239" s="124"/>
      <c r="N239" s="343"/>
      <c r="O239" s="124"/>
      <c r="W239" s="208"/>
    </row>
    <row r="240" spans="1:29" ht="15.95" hidden="1" customHeight="1" thickBot="1" x14ac:dyDescent="0.3">
      <c r="A240" s="38" t="s">
        <v>70</v>
      </c>
      <c r="B240" s="177" t="e">
        <f>+#REF!</f>
        <v>#REF!</v>
      </c>
      <c r="C240" s="177" t="e">
        <f>+#REF!</f>
        <v>#REF!</v>
      </c>
      <c r="D240" s="144" t="e">
        <f>+B240+2*C240</f>
        <v>#REF!</v>
      </c>
      <c r="E240" s="38" t="s">
        <v>70</v>
      </c>
      <c r="F240" s="39" t="e">
        <f>+#REF!</f>
        <v>#REF!</v>
      </c>
      <c r="G240" s="39" t="e">
        <f>+#REF!</f>
        <v>#REF!</v>
      </c>
      <c r="H240" s="292"/>
      <c r="I240" s="40" t="e">
        <f>+#REF!</f>
        <v>#REF!</v>
      </c>
      <c r="J240" s="124"/>
      <c r="K240" s="124"/>
      <c r="L240" s="124"/>
      <c r="M240" s="124"/>
      <c r="N240" s="343"/>
      <c r="O240" s="124"/>
      <c r="W240" s="208"/>
    </row>
    <row r="241" spans="3:23" ht="15" hidden="1" customHeight="1" x14ac:dyDescent="0.25">
      <c r="C241" s="124"/>
      <c r="D241" s="124"/>
      <c r="E241" s="124"/>
      <c r="F241" s="124"/>
      <c r="G241" s="124"/>
      <c r="I241" s="124" t="s">
        <v>65</v>
      </c>
      <c r="J241" s="219">
        <f>(I234)+(J234*2)</f>
        <v>7543</v>
      </c>
      <c r="K241" s="124"/>
      <c r="L241" s="124"/>
      <c r="M241" s="208"/>
      <c r="N241" s="344"/>
      <c r="O241" s="208"/>
      <c r="P241" s="208"/>
      <c r="Q241" s="208"/>
      <c r="R241" s="208"/>
      <c r="S241" s="208"/>
      <c r="T241" s="208"/>
      <c r="U241" s="208"/>
      <c r="V241" s="208"/>
      <c r="W241" s="208"/>
    </row>
    <row r="242" spans="3:23" ht="15" hidden="1" customHeight="1" x14ac:dyDescent="0.25">
      <c r="C242" s="124"/>
      <c r="D242" s="124"/>
      <c r="E242" s="124"/>
      <c r="F242" s="124"/>
      <c r="G242" s="124"/>
      <c r="I242" s="124"/>
      <c r="J242" s="124"/>
      <c r="K242" s="124"/>
      <c r="L242" s="124"/>
      <c r="M242" s="124"/>
      <c r="N242" s="343"/>
      <c r="O242" s="124"/>
    </row>
    <row r="243" spans="3:23" x14ac:dyDescent="0.25">
      <c r="C243" s="124"/>
      <c r="N243" s="345">
        <f>SUM(N11:N223)</f>
        <v>313612</v>
      </c>
    </row>
  </sheetData>
  <dataConsolidate>
    <dataRefs count="1">
      <dataRef name="=suma($G$5:$G$9)" r:id="rId1"/>
    </dataRefs>
  </dataConsolidate>
  <mergeCells count="31">
    <mergeCell ref="X225:X226"/>
    <mergeCell ref="W225:W226"/>
    <mergeCell ref="W3:W4"/>
    <mergeCell ref="P3:P4"/>
    <mergeCell ref="O3:O4"/>
    <mergeCell ref="Q3:S3"/>
    <mergeCell ref="T225:V225"/>
    <mergeCell ref="T3:V3"/>
    <mergeCell ref="X3:X4"/>
    <mergeCell ref="P225:S225"/>
    <mergeCell ref="A41:A45"/>
    <mergeCell ref="A27:A31"/>
    <mergeCell ref="M3:M4"/>
    <mergeCell ref="N3:N4"/>
    <mergeCell ref="I225:N225"/>
    <mergeCell ref="I3:I4"/>
    <mergeCell ref="K3:K4"/>
    <mergeCell ref="A176:A180"/>
    <mergeCell ref="A148:A152"/>
    <mergeCell ref="A48:A52"/>
    <mergeCell ref="L3:L4"/>
    <mergeCell ref="J3:J4"/>
    <mergeCell ref="H3:H4"/>
    <mergeCell ref="B2:C2"/>
    <mergeCell ref="D2:E2"/>
    <mergeCell ref="B3:C3"/>
    <mergeCell ref="D3:E3"/>
    <mergeCell ref="B237:C237"/>
    <mergeCell ref="B225:G225"/>
    <mergeCell ref="F3:F4"/>
    <mergeCell ref="G3:G4"/>
  </mergeCells>
  <conditionalFormatting sqref="D26:D31 D47:D54">
    <cfRule type="expression" dxfId="32" priority="28">
      <formula>AND($B26&lt;&gt;$D26)</formula>
    </cfRule>
  </conditionalFormatting>
  <conditionalFormatting sqref="D33:D38">
    <cfRule type="expression" dxfId="31" priority="20">
      <formula>AND($B33&lt;&gt;$D33)</formula>
    </cfRule>
  </conditionalFormatting>
  <conditionalFormatting sqref="D40:D45">
    <cfRule type="expression" dxfId="30" priority="79">
      <formula>AND($B40&lt;&gt;$D40)</formula>
    </cfRule>
  </conditionalFormatting>
  <conditionalFormatting sqref="D56:D61">
    <cfRule type="expression" dxfId="29" priority="75">
      <formula>AND($B56&lt;&gt;$D56)</formula>
    </cfRule>
  </conditionalFormatting>
  <conditionalFormatting sqref="D77:D82">
    <cfRule type="expression" dxfId="28" priority="24">
      <formula>AND($B77&lt;&gt;$D77)</formula>
    </cfRule>
  </conditionalFormatting>
  <conditionalFormatting sqref="D84:D89">
    <cfRule type="expression" dxfId="27" priority="14">
      <formula>AND($B84&lt;&gt;$D84)</formula>
    </cfRule>
  </conditionalFormatting>
  <conditionalFormatting sqref="D91:D96">
    <cfRule type="expression" dxfId="26" priority="30">
      <formula>AND($B91&lt;&gt;$D91)</formula>
    </cfRule>
  </conditionalFormatting>
  <conditionalFormatting sqref="D154:D159">
    <cfRule type="expression" dxfId="25" priority="45">
      <formula>AND($B154&lt;&gt;$D154)</formula>
    </cfRule>
  </conditionalFormatting>
  <conditionalFormatting sqref="D5:E10">
    <cfRule type="expression" dxfId="24" priority="35">
      <formula>AND($B5&lt;&gt;$D5)</formula>
    </cfRule>
  </conditionalFormatting>
  <conditionalFormatting sqref="D12:E17">
    <cfRule type="expression" dxfId="23" priority="80">
      <formula>AND($B12&lt;&gt;$D12)</formula>
    </cfRule>
  </conditionalFormatting>
  <conditionalFormatting sqref="D19:E24">
    <cfRule type="expression" dxfId="22" priority="114">
      <formula>AND($B19&lt;&gt;$D19)</formula>
    </cfRule>
  </conditionalFormatting>
  <conditionalFormatting sqref="D63:E68">
    <cfRule type="expression" dxfId="21" priority="25">
      <formula>AND($B63&lt;&gt;$D63)</formula>
    </cfRule>
  </conditionalFormatting>
  <conditionalFormatting sqref="D70:E75">
    <cfRule type="expression" dxfId="20" priority="26">
      <formula>AND($B70&lt;&gt;$D70)</formula>
    </cfRule>
  </conditionalFormatting>
  <conditionalFormatting sqref="D98:E103">
    <cfRule type="expression" dxfId="19" priority="69">
      <formula>AND($B98&lt;&gt;$D98)</formula>
    </cfRule>
  </conditionalFormatting>
  <conditionalFormatting sqref="D105:E109">
    <cfRule type="expression" dxfId="18" priority="67">
      <formula>AND($B105&lt;&gt;$D105)</formula>
    </cfRule>
  </conditionalFormatting>
  <conditionalFormatting sqref="D112:E117">
    <cfRule type="expression" dxfId="17" priority="11">
      <formula>AND($B112&lt;&gt;$D112)</formula>
    </cfRule>
  </conditionalFormatting>
  <conditionalFormatting sqref="D119:E124">
    <cfRule type="expression" dxfId="16" priority="9">
      <formula>AND($B119&lt;&gt;$D119)</formula>
    </cfRule>
  </conditionalFormatting>
  <conditionalFormatting sqref="D126:E131">
    <cfRule type="expression" dxfId="15" priority="2">
      <formula>AND($B126&lt;&gt;$D126)</formula>
    </cfRule>
  </conditionalFormatting>
  <conditionalFormatting sqref="D133:E137">
    <cfRule type="expression" dxfId="14" priority="5">
      <formula>AND($B133&lt;&gt;$D133)</formula>
    </cfRule>
  </conditionalFormatting>
  <conditionalFormatting sqref="D140:E145">
    <cfRule type="expression" dxfId="13" priority="64">
      <formula>AND($B140&lt;&gt;$D140)</formula>
    </cfRule>
  </conditionalFormatting>
  <conditionalFormatting sqref="D147:E152">
    <cfRule type="expression" dxfId="12" priority="46">
      <formula>AND($B147&lt;&gt;$D147)</formula>
    </cfRule>
  </conditionalFormatting>
  <conditionalFormatting sqref="D161:E166 D168:E173 D175:E180 D182:E187 D189:E194 D196:E201">
    <cfRule type="expression" dxfId="11" priority="162">
      <formula>AND($B161&lt;&gt;$D161)</formula>
    </cfRule>
  </conditionalFormatting>
  <conditionalFormatting sqref="D203:E208">
    <cfRule type="expression" dxfId="10" priority="40">
      <formula>AND($B203&lt;&gt;$D203)</formula>
    </cfRule>
  </conditionalFormatting>
  <conditionalFormatting sqref="D210:E215">
    <cfRule type="expression" dxfId="9" priority="38">
      <formula>AND($B210&lt;&gt;$D210)</formula>
    </cfRule>
  </conditionalFormatting>
  <conditionalFormatting sqref="D217:E222">
    <cfRule type="expression" dxfId="8" priority="1">
      <formula>AND($B217&lt;&gt;$D217)</formula>
    </cfRule>
  </conditionalFormatting>
  <conditionalFormatting sqref="E26:E31 E47:E54">
    <cfRule type="expression" dxfId="7" priority="27">
      <formula>AND($C26&lt;&gt;$E26)</formula>
    </cfRule>
  </conditionalFormatting>
  <conditionalFormatting sqref="E33:E38">
    <cfRule type="expression" dxfId="6" priority="19">
      <formula>AND($C33&lt;&gt;$E33)</formula>
    </cfRule>
  </conditionalFormatting>
  <conditionalFormatting sqref="E40:E45">
    <cfRule type="expression" dxfId="5" priority="78">
      <formula>AND($C40&lt;&gt;$E40)</formula>
    </cfRule>
  </conditionalFormatting>
  <conditionalFormatting sqref="E56:E61">
    <cfRule type="expression" dxfId="4" priority="74">
      <formula>AND($C56&lt;&gt;$E56)</formula>
    </cfRule>
  </conditionalFormatting>
  <conditionalFormatting sqref="E77:E82">
    <cfRule type="expression" dxfId="3" priority="23">
      <formula>AND($C77&lt;&gt;$E77)</formula>
    </cfRule>
  </conditionalFormatting>
  <conditionalFormatting sqref="E84:E89">
    <cfRule type="expression" dxfId="2" priority="13">
      <formula>AND($C84&lt;&gt;$E84)</formula>
    </cfRule>
  </conditionalFormatting>
  <conditionalFormatting sqref="E91:E96">
    <cfRule type="expression" dxfId="1" priority="29">
      <formula>AND($C91&lt;&gt;$E91)</formula>
    </cfRule>
  </conditionalFormatting>
  <conditionalFormatting sqref="E154:E159">
    <cfRule type="expression" dxfId="0" priority="44">
      <formula>AND($C154&lt;&gt;$E154)</formula>
    </cfRule>
  </conditionalFormatting>
  <pageMargins left="0.7" right="0.7" top="0.75" bottom="0.75" header="0.3" footer="0.3"/>
  <pageSetup orientation="portrait"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BU72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P33" sqref="BP33"/>
    </sheetView>
  </sheetViews>
  <sheetFormatPr baseColWidth="10" defaultColWidth="5.140625" defaultRowHeight="15" x14ac:dyDescent="0.25"/>
  <cols>
    <col min="2" max="2" width="10.140625" customWidth="1"/>
    <col min="3" max="3" width="2.5703125" customWidth="1"/>
    <col min="20" max="20" width="5.28515625" customWidth="1"/>
    <col min="34" max="34" width="5.42578125" customWidth="1"/>
    <col min="54" max="54" width="5.42578125" customWidth="1"/>
    <col min="55" max="55" width="4.85546875" customWidth="1"/>
    <col min="58" max="59" width="5.5703125" customWidth="1"/>
  </cols>
  <sheetData>
    <row r="1" spans="1:65" x14ac:dyDescent="0.25">
      <c r="C1" s="8"/>
      <c r="D1" s="377">
        <v>46143</v>
      </c>
      <c r="E1" s="377"/>
      <c r="F1" s="377">
        <v>46144</v>
      </c>
      <c r="G1" s="377"/>
      <c r="H1" s="377">
        <v>46145</v>
      </c>
      <c r="I1" s="377"/>
      <c r="J1" s="377">
        <v>46146</v>
      </c>
      <c r="K1" s="377"/>
      <c r="L1" s="377">
        <v>46147</v>
      </c>
      <c r="M1" s="377"/>
      <c r="N1" s="377">
        <v>46148</v>
      </c>
      <c r="O1" s="377"/>
      <c r="P1" s="377">
        <v>46149</v>
      </c>
      <c r="Q1" s="377"/>
      <c r="R1" s="377">
        <v>46150</v>
      </c>
      <c r="S1" s="377"/>
      <c r="T1" s="377">
        <v>46151</v>
      </c>
      <c r="U1" s="377"/>
      <c r="V1" s="377">
        <v>46152</v>
      </c>
      <c r="W1" s="377"/>
      <c r="X1" s="377">
        <v>46153</v>
      </c>
      <c r="Y1" s="377"/>
      <c r="Z1" s="377">
        <v>46154</v>
      </c>
      <c r="AA1" s="377"/>
      <c r="AB1" s="377">
        <v>46155</v>
      </c>
      <c r="AC1" s="377"/>
      <c r="AD1" s="377">
        <v>46156</v>
      </c>
      <c r="AE1" s="377"/>
      <c r="AF1" s="377">
        <v>46157</v>
      </c>
      <c r="AG1" s="377"/>
      <c r="AH1" s="377">
        <v>46158</v>
      </c>
      <c r="AI1" s="377"/>
      <c r="AJ1" s="377">
        <v>46159</v>
      </c>
      <c r="AK1" s="377"/>
      <c r="AL1" s="377">
        <v>46160</v>
      </c>
      <c r="AM1" s="377"/>
      <c r="AN1" s="377">
        <v>46161</v>
      </c>
      <c r="AO1" s="377"/>
      <c r="AP1" s="377">
        <v>46162</v>
      </c>
      <c r="AQ1" s="377"/>
      <c r="AR1" s="377">
        <v>46163</v>
      </c>
      <c r="AS1" s="377"/>
      <c r="AT1" s="377">
        <v>46164</v>
      </c>
      <c r="AU1" s="377"/>
      <c r="AV1" s="377">
        <v>46165</v>
      </c>
      <c r="AW1" s="377"/>
      <c r="AX1" s="377">
        <v>46166</v>
      </c>
      <c r="AY1" s="377"/>
      <c r="AZ1" s="377">
        <v>46167</v>
      </c>
      <c r="BA1" s="377"/>
      <c r="BB1" s="377">
        <v>46168</v>
      </c>
      <c r="BC1" s="377"/>
      <c r="BD1" s="377">
        <v>46169</v>
      </c>
      <c r="BE1" s="377"/>
      <c r="BF1" s="377">
        <v>46170</v>
      </c>
      <c r="BG1" s="377"/>
      <c r="BH1" s="377">
        <v>46171</v>
      </c>
      <c r="BI1" s="377"/>
      <c r="BJ1" s="377">
        <v>46172</v>
      </c>
      <c r="BK1" s="377"/>
      <c r="BL1" s="377">
        <v>46173</v>
      </c>
      <c r="BM1" s="377"/>
    </row>
    <row r="2" spans="1:65" ht="15.75" thickBot="1" x14ac:dyDescent="0.3">
      <c r="C2" s="8"/>
      <c r="D2" s="44" t="s">
        <v>71</v>
      </c>
      <c r="E2" s="45" t="s">
        <v>72</v>
      </c>
      <c r="F2" s="44" t="s">
        <v>71</v>
      </c>
      <c r="G2" s="45" t="s">
        <v>72</v>
      </c>
      <c r="H2" s="46" t="s">
        <v>71</v>
      </c>
      <c r="I2" s="47" t="s">
        <v>72</v>
      </c>
      <c r="J2" s="46" t="s">
        <v>71</v>
      </c>
      <c r="K2" s="47" t="s">
        <v>72</v>
      </c>
      <c r="L2" s="46" t="s">
        <v>71</v>
      </c>
      <c r="M2" s="47" t="s">
        <v>72</v>
      </c>
      <c r="N2" s="46" t="s">
        <v>71</v>
      </c>
      <c r="O2" s="48" t="s">
        <v>72</v>
      </c>
      <c r="P2" s="49" t="s">
        <v>71</v>
      </c>
      <c r="Q2" s="50" t="s">
        <v>72</v>
      </c>
      <c r="R2" s="51" t="s">
        <v>71</v>
      </c>
      <c r="S2" s="47" t="s">
        <v>72</v>
      </c>
      <c r="T2" s="46" t="s">
        <v>71</v>
      </c>
      <c r="U2" s="47" t="s">
        <v>72</v>
      </c>
      <c r="V2" s="46" t="s">
        <v>71</v>
      </c>
      <c r="W2" s="47" t="s">
        <v>72</v>
      </c>
      <c r="X2" s="46" t="s">
        <v>71</v>
      </c>
      <c r="Y2" s="47" t="s">
        <v>72</v>
      </c>
      <c r="Z2" s="46" t="s">
        <v>71</v>
      </c>
      <c r="AA2" s="47" t="s">
        <v>72</v>
      </c>
      <c r="AB2" s="46" t="s">
        <v>71</v>
      </c>
      <c r="AC2" s="47" t="s">
        <v>72</v>
      </c>
      <c r="AD2" s="46" t="s">
        <v>71</v>
      </c>
      <c r="AE2" s="47" t="s">
        <v>72</v>
      </c>
      <c r="AF2" s="46" t="s">
        <v>71</v>
      </c>
      <c r="AG2" s="47" t="s">
        <v>72</v>
      </c>
      <c r="AH2" s="46" t="s">
        <v>71</v>
      </c>
      <c r="AI2" s="47" t="s">
        <v>72</v>
      </c>
      <c r="AJ2" s="46" t="s">
        <v>71</v>
      </c>
      <c r="AK2" s="47" t="s">
        <v>72</v>
      </c>
      <c r="AL2" s="46" t="s">
        <v>71</v>
      </c>
      <c r="AM2" s="47" t="s">
        <v>72</v>
      </c>
      <c r="AN2" s="46" t="s">
        <v>71</v>
      </c>
      <c r="AO2" s="47" t="s">
        <v>72</v>
      </c>
      <c r="AP2" s="46" t="s">
        <v>71</v>
      </c>
      <c r="AQ2" s="47" t="s">
        <v>72</v>
      </c>
      <c r="AR2" s="46" t="s">
        <v>71</v>
      </c>
      <c r="AS2" s="47" t="s">
        <v>72</v>
      </c>
      <c r="AT2" s="46" t="s">
        <v>71</v>
      </c>
      <c r="AU2" s="47" t="s">
        <v>72</v>
      </c>
      <c r="AV2" s="46" t="s">
        <v>71</v>
      </c>
      <c r="AW2" s="47" t="s">
        <v>72</v>
      </c>
      <c r="AX2" s="51" t="s">
        <v>71</v>
      </c>
      <c r="AY2" s="52" t="s">
        <v>72</v>
      </c>
      <c r="AZ2" s="52" t="s">
        <v>71</v>
      </c>
      <c r="BA2" s="52" t="s">
        <v>72</v>
      </c>
      <c r="BB2" s="52" t="s">
        <v>71</v>
      </c>
      <c r="BC2" s="52" t="s">
        <v>72</v>
      </c>
      <c r="BD2" s="52" t="s">
        <v>71</v>
      </c>
      <c r="BE2" s="52" t="s">
        <v>72</v>
      </c>
      <c r="BF2" s="52" t="s">
        <v>71</v>
      </c>
      <c r="BG2" s="52" t="s">
        <v>72</v>
      </c>
      <c r="BH2" s="46" t="s">
        <v>71</v>
      </c>
      <c r="BI2" s="47" t="s">
        <v>72</v>
      </c>
      <c r="BJ2" s="52" t="s">
        <v>71</v>
      </c>
      <c r="BK2" s="52" t="s">
        <v>72</v>
      </c>
      <c r="BL2" s="52" t="s">
        <v>71</v>
      </c>
      <c r="BM2" s="52" t="s">
        <v>72</v>
      </c>
    </row>
    <row r="3" spans="1:65" ht="15.75" thickBot="1" x14ac:dyDescent="0.3">
      <c r="A3" s="65" t="s">
        <v>73</v>
      </c>
      <c r="B3" s="66"/>
      <c r="C3" s="8"/>
      <c r="D3" s="136">
        <v>0</v>
      </c>
      <c r="E3" s="136">
        <v>0</v>
      </c>
      <c r="F3" s="135">
        <v>0</v>
      </c>
      <c r="G3" s="135">
        <v>0</v>
      </c>
      <c r="H3" s="136">
        <v>0</v>
      </c>
      <c r="I3" s="136">
        <v>0</v>
      </c>
      <c r="J3" s="156">
        <v>10</v>
      </c>
      <c r="K3" s="156">
        <v>2</v>
      </c>
      <c r="L3" s="156">
        <v>10</v>
      </c>
      <c r="M3" s="156">
        <v>2</v>
      </c>
      <c r="N3" s="156">
        <v>9</v>
      </c>
      <c r="O3" s="156">
        <v>3</v>
      </c>
      <c r="P3" s="156">
        <v>10</v>
      </c>
      <c r="Q3" s="156">
        <v>2</v>
      </c>
      <c r="R3" s="156">
        <v>10</v>
      </c>
      <c r="S3" s="156">
        <v>2</v>
      </c>
      <c r="T3" s="135">
        <v>0</v>
      </c>
      <c r="U3" s="135">
        <v>0</v>
      </c>
      <c r="V3" s="136">
        <v>0</v>
      </c>
      <c r="W3" s="136">
        <v>0</v>
      </c>
      <c r="X3" s="156">
        <v>10</v>
      </c>
      <c r="Y3" s="156">
        <v>2</v>
      </c>
      <c r="Z3" s="156">
        <v>10</v>
      </c>
      <c r="AA3" s="156">
        <v>2</v>
      </c>
      <c r="AB3" s="156">
        <v>10</v>
      </c>
      <c r="AC3" s="156">
        <v>2</v>
      </c>
      <c r="AD3" s="156">
        <v>10</v>
      </c>
      <c r="AE3" s="301">
        <v>2</v>
      </c>
      <c r="AF3" s="156">
        <v>10</v>
      </c>
      <c r="AG3" s="156">
        <v>2</v>
      </c>
      <c r="AH3" s="135">
        <v>0</v>
      </c>
      <c r="AI3" s="318">
        <v>0</v>
      </c>
      <c r="AJ3" s="136">
        <v>0</v>
      </c>
      <c r="AK3" s="309">
        <v>0</v>
      </c>
      <c r="AL3" s="156">
        <v>10</v>
      </c>
      <c r="AM3" s="156">
        <v>2</v>
      </c>
      <c r="AN3" s="156">
        <v>10</v>
      </c>
      <c r="AO3" s="156">
        <v>2</v>
      </c>
      <c r="AP3" s="156">
        <v>10</v>
      </c>
      <c r="AQ3" s="156">
        <v>2</v>
      </c>
      <c r="AR3" s="136">
        <v>0</v>
      </c>
      <c r="AS3" s="309">
        <v>0</v>
      </c>
      <c r="AT3" s="156">
        <v>10</v>
      </c>
      <c r="AU3" s="301">
        <v>2</v>
      </c>
      <c r="AV3" s="135">
        <v>0</v>
      </c>
      <c r="AW3" s="318">
        <v>0</v>
      </c>
      <c r="AX3" s="136">
        <v>0</v>
      </c>
      <c r="AY3" s="309">
        <v>0</v>
      </c>
      <c r="AZ3" s="156">
        <v>9</v>
      </c>
      <c r="BA3" s="301">
        <v>3</v>
      </c>
      <c r="BB3" s="156">
        <v>9</v>
      </c>
      <c r="BC3" s="156">
        <v>3</v>
      </c>
      <c r="BD3" s="156">
        <v>9</v>
      </c>
      <c r="BE3" s="156">
        <v>3</v>
      </c>
      <c r="BF3" s="156">
        <v>9</v>
      </c>
      <c r="BG3" s="301">
        <v>3</v>
      </c>
      <c r="BH3" s="156">
        <v>9</v>
      </c>
      <c r="BI3" s="301">
        <v>3</v>
      </c>
      <c r="BJ3" s="135">
        <v>0</v>
      </c>
      <c r="BK3" s="135">
        <v>0</v>
      </c>
      <c r="BL3" s="136">
        <v>0</v>
      </c>
      <c r="BM3" s="136">
        <v>0</v>
      </c>
    </row>
    <row r="4" spans="1:65" s="124" customFormat="1" x14ac:dyDescent="0.25">
      <c r="A4" s="65" t="s">
        <v>123</v>
      </c>
      <c r="B4" s="155"/>
      <c r="C4" s="8"/>
      <c r="D4" s="136">
        <v>0</v>
      </c>
      <c r="E4" s="136">
        <v>0</v>
      </c>
      <c r="F4" s="135">
        <v>0</v>
      </c>
      <c r="G4" s="135">
        <v>0</v>
      </c>
      <c r="H4" s="136">
        <v>0</v>
      </c>
      <c r="I4" s="136">
        <v>0</v>
      </c>
      <c r="J4" s="156">
        <v>0</v>
      </c>
      <c r="K4" s="156">
        <v>0</v>
      </c>
      <c r="L4" s="156">
        <v>0</v>
      </c>
      <c r="M4" s="156">
        <v>0</v>
      </c>
      <c r="N4" s="156">
        <v>0</v>
      </c>
      <c r="O4" s="156">
        <v>0</v>
      </c>
      <c r="P4" s="156">
        <v>0</v>
      </c>
      <c r="Q4" s="156">
        <v>0</v>
      </c>
      <c r="R4" s="156">
        <v>0</v>
      </c>
      <c r="S4" s="156">
        <v>0</v>
      </c>
      <c r="T4" s="135">
        <v>0</v>
      </c>
      <c r="U4" s="135">
        <v>0</v>
      </c>
      <c r="V4" s="136">
        <v>0</v>
      </c>
      <c r="W4" s="136">
        <v>0</v>
      </c>
      <c r="X4" s="156">
        <v>0</v>
      </c>
      <c r="Y4" s="156">
        <v>0</v>
      </c>
      <c r="Z4" s="156">
        <v>0</v>
      </c>
      <c r="AA4" s="156">
        <v>0</v>
      </c>
      <c r="AB4" s="156">
        <v>0</v>
      </c>
      <c r="AC4" s="156">
        <v>0</v>
      </c>
      <c r="AD4" s="156">
        <v>0</v>
      </c>
      <c r="AE4" s="301">
        <v>0</v>
      </c>
      <c r="AF4" s="156">
        <v>0</v>
      </c>
      <c r="AG4" s="156">
        <v>0</v>
      </c>
      <c r="AH4" s="135">
        <v>0</v>
      </c>
      <c r="AI4" s="318">
        <v>0</v>
      </c>
      <c r="AJ4" s="136">
        <v>0</v>
      </c>
      <c r="AK4" s="309">
        <v>0</v>
      </c>
      <c r="AL4" s="156">
        <v>0</v>
      </c>
      <c r="AM4" s="156">
        <v>0</v>
      </c>
      <c r="AN4" s="156">
        <v>0</v>
      </c>
      <c r="AO4" s="156">
        <v>0</v>
      </c>
      <c r="AP4" s="156">
        <v>0</v>
      </c>
      <c r="AQ4" s="156">
        <v>0</v>
      </c>
      <c r="AR4" s="136">
        <v>0</v>
      </c>
      <c r="AS4" s="309">
        <v>0</v>
      </c>
      <c r="AT4" s="156">
        <v>0</v>
      </c>
      <c r="AU4" s="301">
        <v>0</v>
      </c>
      <c r="AV4" s="135">
        <v>0</v>
      </c>
      <c r="AW4" s="318">
        <v>0</v>
      </c>
      <c r="AX4" s="136">
        <v>0</v>
      </c>
      <c r="AY4" s="309">
        <v>0</v>
      </c>
      <c r="AZ4" s="156">
        <v>0</v>
      </c>
      <c r="BA4" s="301">
        <v>0</v>
      </c>
      <c r="BB4" s="156">
        <v>0</v>
      </c>
      <c r="BC4" s="156">
        <v>0</v>
      </c>
      <c r="BD4" s="156">
        <v>0</v>
      </c>
      <c r="BE4" s="156">
        <v>0</v>
      </c>
      <c r="BF4" s="156">
        <v>0</v>
      </c>
      <c r="BG4" s="301">
        <v>0</v>
      </c>
      <c r="BH4" s="156">
        <v>0</v>
      </c>
      <c r="BI4" s="301">
        <v>0</v>
      </c>
      <c r="BJ4" s="135">
        <v>0</v>
      </c>
      <c r="BK4" s="135">
        <v>0</v>
      </c>
      <c r="BL4" s="136">
        <v>0</v>
      </c>
      <c r="BM4" s="136">
        <v>0</v>
      </c>
    </row>
    <row r="5" spans="1:65" x14ac:dyDescent="0.25">
      <c r="A5" s="67" t="s">
        <v>74</v>
      </c>
      <c r="B5" s="68"/>
      <c r="C5" s="8"/>
      <c r="D5" s="136">
        <v>0</v>
      </c>
      <c r="E5" s="136">
        <v>0</v>
      </c>
      <c r="F5" s="135">
        <v>0</v>
      </c>
      <c r="G5" s="135">
        <v>0</v>
      </c>
      <c r="H5" s="136">
        <v>0</v>
      </c>
      <c r="I5" s="136">
        <v>0</v>
      </c>
      <c r="J5" s="156">
        <v>2</v>
      </c>
      <c r="K5" s="156">
        <v>8</v>
      </c>
      <c r="L5" s="156">
        <v>2</v>
      </c>
      <c r="M5" s="156">
        <v>8</v>
      </c>
      <c r="N5" s="156">
        <v>2</v>
      </c>
      <c r="O5" s="156">
        <v>8</v>
      </c>
      <c r="P5" s="156">
        <v>1</v>
      </c>
      <c r="Q5" s="156">
        <v>9</v>
      </c>
      <c r="R5" s="156">
        <v>1</v>
      </c>
      <c r="S5" s="156">
        <v>9</v>
      </c>
      <c r="T5" s="135">
        <v>0</v>
      </c>
      <c r="U5" s="135">
        <v>0</v>
      </c>
      <c r="V5" s="136">
        <v>0</v>
      </c>
      <c r="W5" s="136">
        <v>0</v>
      </c>
      <c r="X5" s="156">
        <v>1</v>
      </c>
      <c r="Y5" s="156">
        <v>9</v>
      </c>
      <c r="Z5" s="156">
        <v>1</v>
      </c>
      <c r="AA5" s="156">
        <v>9</v>
      </c>
      <c r="AB5" s="156">
        <v>2</v>
      </c>
      <c r="AC5" s="156">
        <v>8</v>
      </c>
      <c r="AD5" s="156">
        <v>1</v>
      </c>
      <c r="AE5" s="301">
        <v>9</v>
      </c>
      <c r="AF5" s="156">
        <v>1</v>
      </c>
      <c r="AG5" s="156">
        <v>9</v>
      </c>
      <c r="AH5" s="135">
        <v>0</v>
      </c>
      <c r="AI5" s="318">
        <v>0</v>
      </c>
      <c r="AJ5" s="136">
        <v>0</v>
      </c>
      <c r="AK5" s="309">
        <v>0</v>
      </c>
      <c r="AL5" s="156">
        <v>2</v>
      </c>
      <c r="AM5" s="156">
        <v>8</v>
      </c>
      <c r="AN5" s="156">
        <v>3</v>
      </c>
      <c r="AO5" s="156">
        <v>7</v>
      </c>
      <c r="AP5" s="156">
        <v>2</v>
      </c>
      <c r="AQ5" s="156">
        <v>8</v>
      </c>
      <c r="AR5" s="136">
        <v>0</v>
      </c>
      <c r="AS5" s="309">
        <v>0</v>
      </c>
      <c r="AT5" s="156">
        <v>2</v>
      </c>
      <c r="AU5" s="301">
        <v>8</v>
      </c>
      <c r="AV5" s="135">
        <v>0</v>
      </c>
      <c r="AW5" s="318">
        <v>0</v>
      </c>
      <c r="AX5" s="136">
        <v>0</v>
      </c>
      <c r="AY5" s="309">
        <v>0</v>
      </c>
      <c r="AZ5" s="156">
        <v>2</v>
      </c>
      <c r="BA5" s="301">
        <v>8</v>
      </c>
      <c r="BB5" s="156">
        <v>2</v>
      </c>
      <c r="BC5" s="156">
        <v>8</v>
      </c>
      <c r="BD5" s="156">
        <v>2</v>
      </c>
      <c r="BE5" s="156">
        <v>8</v>
      </c>
      <c r="BF5" s="156">
        <v>2</v>
      </c>
      <c r="BG5" s="301">
        <v>8</v>
      </c>
      <c r="BH5" s="156">
        <v>2</v>
      </c>
      <c r="BI5" s="301">
        <v>8</v>
      </c>
      <c r="BJ5" s="135">
        <v>0</v>
      </c>
      <c r="BK5" s="135">
        <v>0</v>
      </c>
      <c r="BL5" s="136">
        <v>0</v>
      </c>
      <c r="BM5" s="136">
        <v>0</v>
      </c>
    </row>
    <row r="6" spans="1:65" x14ac:dyDescent="0.25">
      <c r="A6" s="67" t="s">
        <v>75</v>
      </c>
      <c r="B6" s="68"/>
      <c r="C6" s="8"/>
      <c r="D6" s="136">
        <v>0</v>
      </c>
      <c r="E6" s="136">
        <v>0</v>
      </c>
      <c r="F6" s="135">
        <v>0</v>
      </c>
      <c r="G6" s="135">
        <v>0</v>
      </c>
      <c r="H6" s="136">
        <v>0</v>
      </c>
      <c r="I6" s="136">
        <v>0</v>
      </c>
      <c r="J6" s="156">
        <v>10</v>
      </c>
      <c r="K6" s="156">
        <v>0</v>
      </c>
      <c r="L6" s="156">
        <v>10</v>
      </c>
      <c r="M6" s="156">
        <v>0</v>
      </c>
      <c r="N6" s="156">
        <v>10</v>
      </c>
      <c r="O6" s="156">
        <v>0</v>
      </c>
      <c r="P6" s="156">
        <v>10</v>
      </c>
      <c r="Q6" s="156">
        <v>0</v>
      </c>
      <c r="R6" s="156">
        <v>10</v>
      </c>
      <c r="S6" s="156">
        <v>0</v>
      </c>
      <c r="T6" s="135">
        <v>0</v>
      </c>
      <c r="U6" s="135">
        <v>0</v>
      </c>
      <c r="V6" s="136">
        <v>0</v>
      </c>
      <c r="W6" s="136">
        <v>0</v>
      </c>
      <c r="X6" s="156">
        <v>10</v>
      </c>
      <c r="Y6" s="156">
        <v>0</v>
      </c>
      <c r="Z6" s="156">
        <v>10</v>
      </c>
      <c r="AA6" s="156">
        <v>0</v>
      </c>
      <c r="AB6" s="156">
        <v>10</v>
      </c>
      <c r="AC6" s="156">
        <v>0</v>
      </c>
      <c r="AD6" s="156">
        <v>10</v>
      </c>
      <c r="AE6" s="301">
        <v>0</v>
      </c>
      <c r="AF6" s="156">
        <v>10</v>
      </c>
      <c r="AG6" s="156">
        <v>0</v>
      </c>
      <c r="AH6" s="135">
        <v>0</v>
      </c>
      <c r="AI6" s="318">
        <v>0</v>
      </c>
      <c r="AJ6" s="136">
        <v>0</v>
      </c>
      <c r="AK6" s="309">
        <v>0</v>
      </c>
      <c r="AL6" s="156">
        <v>10</v>
      </c>
      <c r="AM6" s="156">
        <v>0</v>
      </c>
      <c r="AN6" s="156">
        <v>10</v>
      </c>
      <c r="AO6" s="156">
        <v>0</v>
      </c>
      <c r="AP6" s="156">
        <v>10</v>
      </c>
      <c r="AQ6" s="156">
        <v>0</v>
      </c>
      <c r="AR6" s="136">
        <v>0</v>
      </c>
      <c r="AS6" s="309">
        <v>0</v>
      </c>
      <c r="AT6" s="156">
        <v>10</v>
      </c>
      <c r="AU6" s="301">
        <v>0</v>
      </c>
      <c r="AV6" s="135">
        <v>0</v>
      </c>
      <c r="AW6" s="318">
        <v>0</v>
      </c>
      <c r="AX6" s="136">
        <v>0</v>
      </c>
      <c r="AY6" s="309">
        <v>0</v>
      </c>
      <c r="AZ6" s="156">
        <v>10</v>
      </c>
      <c r="BA6" s="301">
        <v>0</v>
      </c>
      <c r="BB6" s="156">
        <v>9</v>
      </c>
      <c r="BC6" s="156">
        <v>0</v>
      </c>
      <c r="BD6" s="156">
        <v>10</v>
      </c>
      <c r="BE6" s="156">
        <v>0</v>
      </c>
      <c r="BF6" s="156">
        <v>10</v>
      </c>
      <c r="BG6" s="301">
        <v>0</v>
      </c>
      <c r="BH6" s="156">
        <v>10</v>
      </c>
      <c r="BI6" s="301">
        <v>0</v>
      </c>
      <c r="BJ6" s="135">
        <v>0</v>
      </c>
      <c r="BK6" s="135">
        <v>0</v>
      </c>
      <c r="BL6" s="136">
        <v>0</v>
      </c>
      <c r="BM6" s="136">
        <v>0</v>
      </c>
    </row>
    <row r="7" spans="1:65" x14ac:dyDescent="0.25">
      <c r="A7" s="67" t="s">
        <v>76</v>
      </c>
      <c r="B7" s="68"/>
      <c r="C7" s="8"/>
      <c r="D7" s="136">
        <v>0</v>
      </c>
      <c r="E7" s="136">
        <v>0</v>
      </c>
      <c r="F7" s="135">
        <v>0</v>
      </c>
      <c r="G7" s="135">
        <v>0</v>
      </c>
      <c r="H7" s="136">
        <v>0</v>
      </c>
      <c r="I7" s="136">
        <v>0</v>
      </c>
      <c r="J7" s="156">
        <v>1</v>
      </c>
      <c r="K7" s="156">
        <v>0</v>
      </c>
      <c r="L7" s="156">
        <v>1</v>
      </c>
      <c r="M7" s="156">
        <v>0</v>
      </c>
      <c r="N7" s="156">
        <v>1</v>
      </c>
      <c r="O7" s="156">
        <v>0</v>
      </c>
      <c r="P7" s="156">
        <v>1</v>
      </c>
      <c r="Q7" s="156">
        <v>0</v>
      </c>
      <c r="R7" s="156">
        <v>1</v>
      </c>
      <c r="S7" s="156">
        <v>0</v>
      </c>
      <c r="T7" s="135">
        <v>0</v>
      </c>
      <c r="U7" s="135">
        <v>0</v>
      </c>
      <c r="V7" s="136">
        <v>0</v>
      </c>
      <c r="W7" s="136">
        <v>0</v>
      </c>
      <c r="X7" s="156">
        <v>1</v>
      </c>
      <c r="Y7" s="156">
        <v>0</v>
      </c>
      <c r="Z7" s="156">
        <v>1</v>
      </c>
      <c r="AA7" s="156">
        <v>0</v>
      </c>
      <c r="AB7" s="156">
        <v>1</v>
      </c>
      <c r="AC7" s="156">
        <v>0</v>
      </c>
      <c r="AD7" s="156">
        <v>1</v>
      </c>
      <c r="AE7" s="301">
        <v>0</v>
      </c>
      <c r="AF7" s="156">
        <v>1</v>
      </c>
      <c r="AG7" s="156">
        <v>0</v>
      </c>
      <c r="AH7" s="135">
        <v>0</v>
      </c>
      <c r="AI7" s="318">
        <v>0</v>
      </c>
      <c r="AJ7" s="136">
        <v>0</v>
      </c>
      <c r="AK7" s="309">
        <v>0</v>
      </c>
      <c r="AL7" s="156">
        <v>1</v>
      </c>
      <c r="AM7" s="156">
        <v>0</v>
      </c>
      <c r="AN7" s="156">
        <v>1</v>
      </c>
      <c r="AO7" s="156">
        <v>0</v>
      </c>
      <c r="AP7" s="156">
        <v>1</v>
      </c>
      <c r="AQ7" s="156">
        <v>0</v>
      </c>
      <c r="AR7" s="136">
        <v>0</v>
      </c>
      <c r="AS7" s="309">
        <v>0</v>
      </c>
      <c r="AT7" s="156">
        <v>1</v>
      </c>
      <c r="AU7" s="301">
        <v>0</v>
      </c>
      <c r="AV7" s="135">
        <v>0</v>
      </c>
      <c r="AW7" s="318">
        <v>0</v>
      </c>
      <c r="AX7" s="136">
        <v>0</v>
      </c>
      <c r="AY7" s="309">
        <v>0</v>
      </c>
      <c r="AZ7" s="156">
        <v>1</v>
      </c>
      <c r="BA7" s="301">
        <v>0</v>
      </c>
      <c r="BB7" s="156">
        <v>1</v>
      </c>
      <c r="BC7" s="156">
        <v>0</v>
      </c>
      <c r="BD7" s="156">
        <v>1</v>
      </c>
      <c r="BE7" s="156">
        <v>0</v>
      </c>
      <c r="BF7" s="156">
        <v>1</v>
      </c>
      <c r="BG7" s="301">
        <v>0</v>
      </c>
      <c r="BH7" s="156">
        <v>1</v>
      </c>
      <c r="BI7" s="301">
        <v>0</v>
      </c>
      <c r="BJ7" s="135">
        <v>0</v>
      </c>
      <c r="BK7" s="135">
        <v>0</v>
      </c>
      <c r="BL7" s="136">
        <v>0</v>
      </c>
      <c r="BM7" s="136">
        <v>0</v>
      </c>
    </row>
    <row r="8" spans="1:65" ht="15.75" thickBot="1" x14ac:dyDescent="0.3">
      <c r="A8" s="67" t="s">
        <v>77</v>
      </c>
      <c r="B8" s="69"/>
      <c r="C8" s="8"/>
      <c r="D8" s="136">
        <v>0</v>
      </c>
      <c r="E8" s="136">
        <v>0</v>
      </c>
      <c r="F8" s="135">
        <v>0</v>
      </c>
      <c r="G8" s="135">
        <v>0</v>
      </c>
      <c r="H8" s="136">
        <v>0</v>
      </c>
      <c r="I8" s="136">
        <v>0</v>
      </c>
      <c r="J8" s="156">
        <v>4</v>
      </c>
      <c r="K8" s="156">
        <v>6</v>
      </c>
      <c r="L8" s="156">
        <v>4</v>
      </c>
      <c r="M8" s="156">
        <v>6</v>
      </c>
      <c r="N8" s="156">
        <v>3</v>
      </c>
      <c r="O8" s="156">
        <v>7</v>
      </c>
      <c r="P8" s="156">
        <v>3</v>
      </c>
      <c r="Q8" s="156">
        <v>7</v>
      </c>
      <c r="R8" s="156">
        <v>3</v>
      </c>
      <c r="S8" s="156">
        <v>7</v>
      </c>
      <c r="T8" s="135">
        <v>0</v>
      </c>
      <c r="U8" s="135">
        <v>0</v>
      </c>
      <c r="V8" s="136">
        <v>0</v>
      </c>
      <c r="W8" s="136">
        <v>0</v>
      </c>
      <c r="X8" s="156">
        <v>3</v>
      </c>
      <c r="Y8" s="156">
        <v>7</v>
      </c>
      <c r="Z8" s="156">
        <v>3</v>
      </c>
      <c r="AA8" s="156">
        <v>7</v>
      </c>
      <c r="AB8" s="156">
        <v>4</v>
      </c>
      <c r="AC8" s="156">
        <v>6</v>
      </c>
      <c r="AD8" s="156">
        <v>3</v>
      </c>
      <c r="AE8" s="301">
        <v>7</v>
      </c>
      <c r="AF8" s="156">
        <v>3</v>
      </c>
      <c r="AG8" s="156">
        <v>7</v>
      </c>
      <c r="AH8" s="135">
        <v>0</v>
      </c>
      <c r="AI8" s="318">
        <v>0</v>
      </c>
      <c r="AJ8" s="136">
        <v>0</v>
      </c>
      <c r="AK8" s="309">
        <v>0</v>
      </c>
      <c r="AL8" s="156">
        <v>4</v>
      </c>
      <c r="AM8" s="156">
        <v>6</v>
      </c>
      <c r="AN8" s="156">
        <v>5</v>
      </c>
      <c r="AO8" s="156">
        <v>5</v>
      </c>
      <c r="AP8" s="156">
        <v>4</v>
      </c>
      <c r="AQ8" s="156">
        <v>6</v>
      </c>
      <c r="AR8" s="136">
        <v>0</v>
      </c>
      <c r="AS8" s="309">
        <v>0</v>
      </c>
      <c r="AT8" s="156">
        <v>4</v>
      </c>
      <c r="AU8" s="301">
        <v>6</v>
      </c>
      <c r="AV8" s="135">
        <v>0</v>
      </c>
      <c r="AW8" s="318">
        <v>0</v>
      </c>
      <c r="AX8" s="136">
        <v>0</v>
      </c>
      <c r="AY8" s="309">
        <v>0</v>
      </c>
      <c r="AZ8" s="156">
        <v>4</v>
      </c>
      <c r="BA8" s="301">
        <v>6</v>
      </c>
      <c r="BB8" s="156">
        <v>5</v>
      </c>
      <c r="BC8" s="156">
        <v>6</v>
      </c>
      <c r="BD8" s="156">
        <v>4</v>
      </c>
      <c r="BE8" s="156">
        <v>6</v>
      </c>
      <c r="BF8" s="156">
        <v>4</v>
      </c>
      <c r="BG8" s="301">
        <v>6</v>
      </c>
      <c r="BH8" s="156">
        <v>4</v>
      </c>
      <c r="BI8" s="301">
        <v>6</v>
      </c>
      <c r="BJ8" s="135">
        <v>0</v>
      </c>
      <c r="BK8" s="135">
        <v>0</v>
      </c>
      <c r="BL8" s="136">
        <v>0</v>
      </c>
      <c r="BM8" s="136">
        <v>0</v>
      </c>
    </row>
    <row r="9" spans="1:65" x14ac:dyDescent="0.25">
      <c r="A9" s="53"/>
      <c r="B9" s="53"/>
      <c r="C9" s="8"/>
      <c r="D9" s="303"/>
      <c r="E9" s="303"/>
      <c r="F9" s="303"/>
      <c r="G9" s="303"/>
      <c r="H9" s="303"/>
      <c r="I9" s="303"/>
      <c r="J9" s="303"/>
      <c r="K9" s="303"/>
      <c r="L9" s="303"/>
      <c r="M9" s="303"/>
      <c r="N9" s="303"/>
      <c r="O9" s="303"/>
      <c r="P9" s="303"/>
      <c r="Q9" s="303"/>
      <c r="R9" s="303" t="s">
        <v>144</v>
      </c>
      <c r="S9" s="303" t="s">
        <v>144</v>
      </c>
      <c r="T9" s="303" t="s">
        <v>144</v>
      </c>
      <c r="U9" s="303" t="s">
        <v>144</v>
      </c>
      <c r="V9" s="303" t="s">
        <v>144</v>
      </c>
      <c r="W9" s="303" t="s">
        <v>144</v>
      </c>
      <c r="X9" s="303" t="s">
        <v>144</v>
      </c>
      <c r="Y9" s="303" t="s">
        <v>144</v>
      </c>
      <c r="Z9" s="303"/>
      <c r="AA9" s="303"/>
      <c r="AB9" s="303"/>
      <c r="AC9" s="303"/>
      <c r="AD9" s="303" t="s">
        <v>144</v>
      </c>
      <c r="AE9" s="303" t="s">
        <v>144</v>
      </c>
      <c r="AF9" s="303" t="s">
        <v>144</v>
      </c>
      <c r="AG9" s="303" t="s">
        <v>144</v>
      </c>
      <c r="AH9" s="303"/>
      <c r="AI9" s="303"/>
      <c r="AJ9" s="303"/>
      <c r="AK9" s="303"/>
      <c r="AL9" s="303"/>
      <c r="AM9" s="303"/>
      <c r="AN9" s="303"/>
      <c r="AO9" s="303"/>
      <c r="AP9" s="303" t="s">
        <v>144</v>
      </c>
      <c r="AQ9" s="303" t="s">
        <v>144</v>
      </c>
      <c r="AR9" s="303" t="s">
        <v>144</v>
      </c>
      <c r="AS9" s="303" t="s">
        <v>144</v>
      </c>
      <c r="AT9" s="303" t="s">
        <v>144</v>
      </c>
      <c r="AU9" s="303" t="s">
        <v>144</v>
      </c>
      <c r="AV9" s="303" t="s">
        <v>144</v>
      </c>
      <c r="AW9" s="303" t="s">
        <v>144</v>
      </c>
      <c r="AX9" s="303" t="s">
        <v>144</v>
      </c>
      <c r="AY9" s="303" t="s">
        <v>144</v>
      </c>
      <c r="AZ9" s="303"/>
      <c r="BA9" s="303"/>
      <c r="BB9" s="303"/>
      <c r="BC9" s="303"/>
      <c r="BD9" s="303"/>
      <c r="BE9" s="303"/>
      <c r="BF9" s="303"/>
      <c r="BG9" s="303"/>
      <c r="BH9" s="303" t="s">
        <v>144</v>
      </c>
      <c r="BI9" s="303" t="s">
        <v>144</v>
      </c>
      <c r="BJ9" s="303"/>
      <c r="BK9" s="303"/>
      <c r="BL9" s="303"/>
      <c r="BM9" s="303"/>
    </row>
    <row r="10" spans="1:65" x14ac:dyDescent="0.25">
      <c r="A10" s="70" t="s">
        <v>73</v>
      </c>
      <c r="B10" s="71"/>
      <c r="C10" s="8"/>
      <c r="D10" s="136">
        <v>0</v>
      </c>
      <c r="E10" s="136">
        <v>0</v>
      </c>
      <c r="F10" s="135">
        <v>0</v>
      </c>
      <c r="G10" s="135">
        <v>0</v>
      </c>
      <c r="H10" s="136">
        <v>0</v>
      </c>
      <c r="I10" s="136">
        <v>0</v>
      </c>
      <c r="J10" s="156">
        <v>16</v>
      </c>
      <c r="K10" s="156">
        <v>0</v>
      </c>
      <c r="L10" s="156">
        <v>17</v>
      </c>
      <c r="M10" s="156">
        <v>0</v>
      </c>
      <c r="N10" s="156">
        <v>17</v>
      </c>
      <c r="O10" s="156">
        <v>0</v>
      </c>
      <c r="P10" s="156">
        <v>14</v>
      </c>
      <c r="Q10" s="156">
        <v>0</v>
      </c>
      <c r="R10" s="156">
        <v>17</v>
      </c>
      <c r="S10" s="156">
        <v>0</v>
      </c>
      <c r="T10" s="135">
        <v>0</v>
      </c>
      <c r="U10" s="135">
        <v>0</v>
      </c>
      <c r="V10" s="136">
        <v>0</v>
      </c>
      <c r="W10" s="136">
        <v>0</v>
      </c>
      <c r="X10" s="156">
        <v>17</v>
      </c>
      <c r="Y10" s="156">
        <v>0</v>
      </c>
      <c r="Z10" s="156">
        <v>17</v>
      </c>
      <c r="AA10" s="156">
        <v>0</v>
      </c>
      <c r="AB10" s="156">
        <v>17</v>
      </c>
      <c r="AC10" s="156">
        <v>0</v>
      </c>
      <c r="AD10" s="156">
        <v>17</v>
      </c>
      <c r="AE10" s="301">
        <v>0</v>
      </c>
      <c r="AF10" s="156">
        <v>17</v>
      </c>
      <c r="AG10" s="156">
        <v>0</v>
      </c>
      <c r="AH10" s="135">
        <v>0</v>
      </c>
      <c r="AI10" s="318">
        <v>0</v>
      </c>
      <c r="AJ10" s="136">
        <v>0</v>
      </c>
      <c r="AK10" s="309">
        <v>0</v>
      </c>
      <c r="AL10" s="156">
        <v>16</v>
      </c>
      <c r="AM10" s="156">
        <v>0</v>
      </c>
      <c r="AN10" s="156">
        <v>17</v>
      </c>
      <c r="AO10" s="156">
        <v>0</v>
      </c>
      <c r="AP10" s="156">
        <v>17</v>
      </c>
      <c r="AQ10" s="156">
        <v>0</v>
      </c>
      <c r="AR10" s="136">
        <v>0</v>
      </c>
      <c r="AS10" s="309">
        <v>0</v>
      </c>
      <c r="AT10" s="156">
        <v>17</v>
      </c>
      <c r="AU10" s="301">
        <v>0</v>
      </c>
      <c r="AV10" s="135">
        <v>0</v>
      </c>
      <c r="AW10" s="318">
        <v>0</v>
      </c>
      <c r="AX10" s="136">
        <v>0</v>
      </c>
      <c r="AY10" s="309">
        <v>0</v>
      </c>
      <c r="AZ10" s="156">
        <v>17</v>
      </c>
      <c r="BA10" s="301">
        <v>0</v>
      </c>
      <c r="BB10" s="156">
        <v>17</v>
      </c>
      <c r="BC10" s="156">
        <v>0</v>
      </c>
      <c r="BD10" s="156">
        <v>17</v>
      </c>
      <c r="BE10" s="156">
        <v>0</v>
      </c>
      <c r="BF10" s="156">
        <v>17</v>
      </c>
      <c r="BG10" s="301">
        <v>0</v>
      </c>
      <c r="BH10" s="156">
        <v>17</v>
      </c>
      <c r="BI10" s="301">
        <v>0</v>
      </c>
      <c r="BJ10" s="135">
        <v>0</v>
      </c>
      <c r="BK10" s="135">
        <v>0</v>
      </c>
      <c r="BL10" s="136">
        <v>0</v>
      </c>
      <c r="BM10" s="136">
        <v>0</v>
      </c>
    </row>
    <row r="11" spans="1:65" s="124" customFormat="1" x14ac:dyDescent="0.25">
      <c r="A11" s="70" t="s">
        <v>123</v>
      </c>
      <c r="B11" s="71"/>
      <c r="C11" s="8"/>
      <c r="D11" s="136">
        <v>0</v>
      </c>
      <c r="E11" s="136">
        <v>0</v>
      </c>
      <c r="F11" s="135">
        <v>0</v>
      </c>
      <c r="G11" s="135">
        <v>0</v>
      </c>
      <c r="H11" s="136">
        <v>0</v>
      </c>
      <c r="I11" s="136">
        <v>0</v>
      </c>
      <c r="J11" s="156">
        <v>0</v>
      </c>
      <c r="K11" s="156">
        <v>0</v>
      </c>
      <c r="L11" s="156">
        <v>0</v>
      </c>
      <c r="M11" s="156">
        <v>0</v>
      </c>
      <c r="N11" s="156">
        <v>0</v>
      </c>
      <c r="O11" s="156">
        <v>0</v>
      </c>
      <c r="P11" s="156">
        <v>0</v>
      </c>
      <c r="Q11" s="156">
        <v>0</v>
      </c>
      <c r="R11" s="156">
        <v>0</v>
      </c>
      <c r="S11" s="156">
        <v>0</v>
      </c>
      <c r="T11" s="135">
        <v>0</v>
      </c>
      <c r="U11" s="135">
        <v>0</v>
      </c>
      <c r="V11" s="136">
        <v>0</v>
      </c>
      <c r="W11" s="136">
        <v>0</v>
      </c>
      <c r="X11" s="156">
        <v>0</v>
      </c>
      <c r="Y11" s="156">
        <v>0</v>
      </c>
      <c r="Z11" s="156">
        <v>0</v>
      </c>
      <c r="AA11" s="156">
        <v>0</v>
      </c>
      <c r="AB11" s="156">
        <v>0</v>
      </c>
      <c r="AC11" s="156">
        <v>0</v>
      </c>
      <c r="AD11" s="156">
        <v>0</v>
      </c>
      <c r="AE11" s="301">
        <v>0</v>
      </c>
      <c r="AF11" s="156">
        <v>0</v>
      </c>
      <c r="AG11" s="156">
        <v>0</v>
      </c>
      <c r="AH11" s="135">
        <v>0</v>
      </c>
      <c r="AI11" s="318">
        <v>0</v>
      </c>
      <c r="AJ11" s="136">
        <v>0</v>
      </c>
      <c r="AK11" s="309">
        <v>0</v>
      </c>
      <c r="AL11" s="156">
        <v>0</v>
      </c>
      <c r="AM11" s="156">
        <v>0</v>
      </c>
      <c r="AN11" s="156">
        <v>0</v>
      </c>
      <c r="AO11" s="156">
        <v>0</v>
      </c>
      <c r="AP11" s="156">
        <v>0</v>
      </c>
      <c r="AQ11" s="156">
        <v>0</v>
      </c>
      <c r="AR11" s="136">
        <v>0</v>
      </c>
      <c r="AS11" s="309">
        <v>0</v>
      </c>
      <c r="AT11" s="156">
        <v>0</v>
      </c>
      <c r="AU11" s="301">
        <v>0</v>
      </c>
      <c r="AV11" s="135">
        <v>0</v>
      </c>
      <c r="AW11" s="318">
        <v>0</v>
      </c>
      <c r="AX11" s="136">
        <v>0</v>
      </c>
      <c r="AY11" s="309">
        <v>0</v>
      </c>
      <c r="AZ11" s="156">
        <v>0</v>
      </c>
      <c r="BA11" s="301">
        <v>0</v>
      </c>
      <c r="BB11" s="156">
        <v>0</v>
      </c>
      <c r="BC11" s="156">
        <v>0</v>
      </c>
      <c r="BD11" s="156">
        <v>0</v>
      </c>
      <c r="BE11" s="156">
        <v>0</v>
      </c>
      <c r="BF11" s="156">
        <v>0</v>
      </c>
      <c r="BG11" s="301">
        <v>0</v>
      </c>
      <c r="BH11" s="156">
        <v>0</v>
      </c>
      <c r="BI11" s="301">
        <v>0</v>
      </c>
      <c r="BJ11" s="135">
        <v>0</v>
      </c>
      <c r="BK11" s="135">
        <v>0</v>
      </c>
      <c r="BL11" s="136">
        <v>0</v>
      </c>
      <c r="BM11" s="136">
        <v>0</v>
      </c>
    </row>
    <row r="12" spans="1:65" x14ac:dyDescent="0.25">
      <c r="A12" s="72" t="s">
        <v>74</v>
      </c>
      <c r="B12" s="73"/>
      <c r="C12" s="8"/>
      <c r="D12" s="136">
        <v>51</v>
      </c>
      <c r="E12" s="136">
        <v>3</v>
      </c>
      <c r="F12" s="135">
        <v>69</v>
      </c>
      <c r="G12" s="135">
        <v>3</v>
      </c>
      <c r="H12" s="136">
        <v>51</v>
      </c>
      <c r="I12" s="136">
        <v>3</v>
      </c>
      <c r="J12" s="156">
        <v>35</v>
      </c>
      <c r="K12" s="156">
        <v>26</v>
      </c>
      <c r="L12" s="156">
        <v>35</v>
      </c>
      <c r="M12" s="156">
        <v>26</v>
      </c>
      <c r="N12" s="156">
        <v>37</v>
      </c>
      <c r="O12" s="156">
        <v>24</v>
      </c>
      <c r="P12" s="156">
        <v>26</v>
      </c>
      <c r="Q12" s="156">
        <v>30</v>
      </c>
      <c r="R12" s="156">
        <v>36</v>
      </c>
      <c r="S12" s="156">
        <v>25</v>
      </c>
      <c r="T12" s="135">
        <v>69</v>
      </c>
      <c r="U12" s="135">
        <v>3</v>
      </c>
      <c r="V12" s="136">
        <v>51</v>
      </c>
      <c r="W12" s="136">
        <v>3</v>
      </c>
      <c r="X12" s="156">
        <v>35</v>
      </c>
      <c r="Y12" s="156">
        <v>26</v>
      </c>
      <c r="Z12" s="156">
        <v>36</v>
      </c>
      <c r="AA12" s="156">
        <v>25</v>
      </c>
      <c r="AB12" s="156">
        <v>35</v>
      </c>
      <c r="AC12" s="156">
        <v>26</v>
      </c>
      <c r="AD12" s="156">
        <v>35</v>
      </c>
      <c r="AE12" s="301">
        <v>26</v>
      </c>
      <c r="AF12" s="156">
        <v>35</v>
      </c>
      <c r="AG12" s="156">
        <v>26</v>
      </c>
      <c r="AH12" s="135">
        <v>69</v>
      </c>
      <c r="AI12" s="318">
        <v>3</v>
      </c>
      <c r="AJ12" s="136">
        <v>51</v>
      </c>
      <c r="AK12" s="309">
        <v>3</v>
      </c>
      <c r="AL12" s="156">
        <v>38</v>
      </c>
      <c r="AM12" s="156">
        <v>24</v>
      </c>
      <c r="AN12" s="156">
        <v>35</v>
      </c>
      <c r="AO12" s="156">
        <v>26</v>
      </c>
      <c r="AP12" s="156">
        <v>37</v>
      </c>
      <c r="AQ12" s="156">
        <v>24</v>
      </c>
      <c r="AR12" s="136">
        <v>37</v>
      </c>
      <c r="AS12" s="309">
        <v>17</v>
      </c>
      <c r="AT12" s="156">
        <v>35</v>
      </c>
      <c r="AU12" s="301">
        <v>26</v>
      </c>
      <c r="AV12" s="135">
        <v>69</v>
      </c>
      <c r="AW12" s="318">
        <v>3</v>
      </c>
      <c r="AX12" s="136">
        <v>52</v>
      </c>
      <c r="AY12" s="309">
        <v>2</v>
      </c>
      <c r="AZ12" s="156">
        <v>36</v>
      </c>
      <c r="BA12" s="301">
        <v>25</v>
      </c>
      <c r="BB12" s="156">
        <v>35</v>
      </c>
      <c r="BC12" s="156">
        <v>26</v>
      </c>
      <c r="BD12" s="156">
        <v>35</v>
      </c>
      <c r="BE12" s="156">
        <v>26</v>
      </c>
      <c r="BF12" s="156">
        <v>36</v>
      </c>
      <c r="BG12" s="301">
        <v>25</v>
      </c>
      <c r="BH12" s="156">
        <v>36</v>
      </c>
      <c r="BI12" s="301">
        <v>25</v>
      </c>
      <c r="BJ12" s="135">
        <v>69</v>
      </c>
      <c r="BK12" s="135">
        <v>3</v>
      </c>
      <c r="BL12" s="136">
        <v>51</v>
      </c>
      <c r="BM12" s="136">
        <v>3</v>
      </c>
    </row>
    <row r="13" spans="1:65" x14ac:dyDescent="0.25">
      <c r="A13" s="72" t="s">
        <v>75</v>
      </c>
      <c r="B13" s="73"/>
      <c r="C13" s="8"/>
      <c r="D13" s="136">
        <v>0</v>
      </c>
      <c r="E13" s="136">
        <v>0</v>
      </c>
      <c r="F13" s="135">
        <v>0</v>
      </c>
      <c r="G13" s="135">
        <v>0</v>
      </c>
      <c r="H13" s="136">
        <v>0</v>
      </c>
      <c r="I13" s="136">
        <v>0</v>
      </c>
      <c r="J13" s="156">
        <v>13</v>
      </c>
      <c r="K13" s="156">
        <v>2</v>
      </c>
      <c r="L13" s="156">
        <v>14</v>
      </c>
      <c r="M13" s="156">
        <v>2</v>
      </c>
      <c r="N13" s="156">
        <v>11</v>
      </c>
      <c r="O13" s="156">
        <v>3</v>
      </c>
      <c r="P13" s="156">
        <v>14</v>
      </c>
      <c r="Q13" s="156">
        <v>2</v>
      </c>
      <c r="R13" s="156">
        <v>14</v>
      </c>
      <c r="S13" s="156">
        <v>2</v>
      </c>
      <c r="T13" s="135">
        <v>0</v>
      </c>
      <c r="U13" s="135">
        <v>0</v>
      </c>
      <c r="V13" s="136">
        <v>0</v>
      </c>
      <c r="W13" s="136">
        <v>0</v>
      </c>
      <c r="X13" s="156">
        <v>14</v>
      </c>
      <c r="Y13" s="156">
        <v>2</v>
      </c>
      <c r="Z13" s="156">
        <v>14</v>
      </c>
      <c r="AA13" s="156">
        <v>2</v>
      </c>
      <c r="AB13" s="156">
        <v>14</v>
      </c>
      <c r="AC13" s="156">
        <v>2</v>
      </c>
      <c r="AD13" s="156">
        <v>14</v>
      </c>
      <c r="AE13" s="301">
        <v>2</v>
      </c>
      <c r="AF13" s="156">
        <v>14</v>
      </c>
      <c r="AG13" s="156">
        <v>2</v>
      </c>
      <c r="AH13" s="135">
        <v>0</v>
      </c>
      <c r="AI13" s="318">
        <v>0</v>
      </c>
      <c r="AJ13" s="136">
        <v>0</v>
      </c>
      <c r="AK13" s="309">
        <v>0</v>
      </c>
      <c r="AL13" s="156">
        <v>14</v>
      </c>
      <c r="AM13" s="156">
        <v>2</v>
      </c>
      <c r="AN13" s="156">
        <v>14</v>
      </c>
      <c r="AO13" s="156">
        <v>2</v>
      </c>
      <c r="AP13" s="156">
        <v>14</v>
      </c>
      <c r="AQ13" s="156">
        <v>2</v>
      </c>
      <c r="AR13" s="136">
        <v>0</v>
      </c>
      <c r="AS13" s="309">
        <v>0</v>
      </c>
      <c r="AT13" s="156">
        <v>14</v>
      </c>
      <c r="AU13" s="301">
        <v>2</v>
      </c>
      <c r="AV13" s="135">
        <v>0</v>
      </c>
      <c r="AW13" s="318">
        <v>0</v>
      </c>
      <c r="AX13" s="136">
        <v>0</v>
      </c>
      <c r="AY13" s="309">
        <v>0</v>
      </c>
      <c r="AZ13" s="156">
        <v>13</v>
      </c>
      <c r="BA13" s="301">
        <v>3</v>
      </c>
      <c r="BB13" s="156">
        <v>13</v>
      </c>
      <c r="BC13" s="156">
        <v>3</v>
      </c>
      <c r="BD13" s="156">
        <v>13</v>
      </c>
      <c r="BE13" s="156">
        <v>3</v>
      </c>
      <c r="BF13" s="156">
        <v>13</v>
      </c>
      <c r="BG13" s="301">
        <v>3</v>
      </c>
      <c r="BH13" s="156">
        <v>13</v>
      </c>
      <c r="BI13" s="301">
        <v>3</v>
      </c>
      <c r="BJ13" s="135">
        <v>0</v>
      </c>
      <c r="BK13" s="135">
        <v>0</v>
      </c>
      <c r="BL13" s="136">
        <v>0</v>
      </c>
      <c r="BM13" s="136">
        <v>0</v>
      </c>
    </row>
    <row r="14" spans="1:65" ht="15.75" thickBot="1" x14ac:dyDescent="0.3">
      <c r="A14" s="74" t="s">
        <v>76</v>
      </c>
      <c r="B14" s="75"/>
      <c r="C14" s="8"/>
      <c r="D14" s="136">
        <v>0</v>
      </c>
      <c r="E14" s="136">
        <v>0</v>
      </c>
      <c r="F14" s="135">
        <v>0</v>
      </c>
      <c r="G14" s="135">
        <v>0</v>
      </c>
      <c r="H14" s="136">
        <v>0</v>
      </c>
      <c r="I14" s="136">
        <v>0</v>
      </c>
      <c r="J14" s="156">
        <v>3</v>
      </c>
      <c r="K14" s="156">
        <v>0</v>
      </c>
      <c r="L14" s="156">
        <v>3</v>
      </c>
      <c r="M14" s="156">
        <v>0</v>
      </c>
      <c r="N14" s="156">
        <v>3</v>
      </c>
      <c r="O14" s="156">
        <v>0</v>
      </c>
      <c r="P14" s="156">
        <v>3</v>
      </c>
      <c r="Q14" s="156">
        <v>0</v>
      </c>
      <c r="R14" s="156">
        <v>3</v>
      </c>
      <c r="S14" s="156">
        <v>0</v>
      </c>
      <c r="T14" s="135">
        <v>0</v>
      </c>
      <c r="U14" s="135">
        <v>0</v>
      </c>
      <c r="V14" s="136">
        <v>0</v>
      </c>
      <c r="W14" s="136">
        <v>0</v>
      </c>
      <c r="X14" s="156">
        <v>3</v>
      </c>
      <c r="Y14" s="156">
        <v>0</v>
      </c>
      <c r="Z14" s="156">
        <v>3</v>
      </c>
      <c r="AA14" s="156">
        <v>0</v>
      </c>
      <c r="AB14" s="156">
        <v>3</v>
      </c>
      <c r="AC14" s="156">
        <v>0</v>
      </c>
      <c r="AD14" s="156">
        <v>3</v>
      </c>
      <c r="AE14" s="301">
        <v>0</v>
      </c>
      <c r="AF14" s="156">
        <v>3</v>
      </c>
      <c r="AG14" s="156">
        <v>0</v>
      </c>
      <c r="AH14" s="135">
        <v>0</v>
      </c>
      <c r="AI14" s="318">
        <v>0</v>
      </c>
      <c r="AJ14" s="136">
        <v>0</v>
      </c>
      <c r="AK14" s="309">
        <v>0</v>
      </c>
      <c r="AL14" s="156">
        <v>3</v>
      </c>
      <c r="AM14" s="156">
        <v>0</v>
      </c>
      <c r="AN14" s="156">
        <v>3</v>
      </c>
      <c r="AO14" s="156">
        <v>0</v>
      </c>
      <c r="AP14" s="156">
        <v>3</v>
      </c>
      <c r="AQ14" s="156">
        <v>0</v>
      </c>
      <c r="AR14" s="136">
        <v>0</v>
      </c>
      <c r="AS14" s="309">
        <v>0</v>
      </c>
      <c r="AT14" s="156">
        <v>3</v>
      </c>
      <c r="AU14" s="301">
        <v>0</v>
      </c>
      <c r="AV14" s="135">
        <v>0</v>
      </c>
      <c r="AW14" s="318">
        <v>0</v>
      </c>
      <c r="AX14" s="136">
        <v>0</v>
      </c>
      <c r="AY14" s="309">
        <v>0</v>
      </c>
      <c r="AZ14" s="156">
        <v>3</v>
      </c>
      <c r="BA14" s="301">
        <v>0</v>
      </c>
      <c r="BB14" s="156">
        <v>3</v>
      </c>
      <c r="BC14" s="156">
        <v>0</v>
      </c>
      <c r="BD14" s="156">
        <v>3</v>
      </c>
      <c r="BE14" s="156">
        <v>0</v>
      </c>
      <c r="BF14" s="156">
        <v>3</v>
      </c>
      <c r="BG14" s="301">
        <v>0</v>
      </c>
      <c r="BH14" s="156">
        <v>3</v>
      </c>
      <c r="BI14" s="301">
        <v>0</v>
      </c>
      <c r="BJ14" s="135">
        <v>0</v>
      </c>
      <c r="BK14" s="135">
        <v>0</v>
      </c>
      <c r="BL14" s="136">
        <v>0</v>
      </c>
      <c r="BM14" s="136">
        <v>0</v>
      </c>
    </row>
    <row r="15" spans="1:65" x14ac:dyDescent="0.25">
      <c r="A15" s="261" t="s">
        <v>77</v>
      </c>
      <c r="B15" s="261"/>
      <c r="C15" s="8"/>
      <c r="D15" s="136">
        <v>57</v>
      </c>
      <c r="E15" s="136">
        <v>0</v>
      </c>
      <c r="F15" s="135">
        <v>75</v>
      </c>
      <c r="G15" s="135">
        <v>0</v>
      </c>
      <c r="H15" s="136">
        <v>57</v>
      </c>
      <c r="I15" s="136">
        <v>0</v>
      </c>
      <c r="J15" s="156">
        <v>28</v>
      </c>
      <c r="K15" s="156">
        <v>33</v>
      </c>
      <c r="L15" s="156">
        <v>28</v>
      </c>
      <c r="M15" s="156">
        <v>33</v>
      </c>
      <c r="N15" s="156">
        <v>29</v>
      </c>
      <c r="O15" s="156">
        <v>32</v>
      </c>
      <c r="P15" s="156">
        <v>19</v>
      </c>
      <c r="Q15" s="156">
        <v>36</v>
      </c>
      <c r="R15" s="156">
        <v>29</v>
      </c>
      <c r="S15" s="156">
        <v>32</v>
      </c>
      <c r="T15" s="135">
        <v>75</v>
      </c>
      <c r="U15" s="135">
        <v>0</v>
      </c>
      <c r="V15" s="136">
        <v>57</v>
      </c>
      <c r="W15" s="136">
        <v>0</v>
      </c>
      <c r="X15" s="156">
        <v>28</v>
      </c>
      <c r="Y15" s="156">
        <v>33</v>
      </c>
      <c r="Z15" s="156">
        <v>29</v>
      </c>
      <c r="AA15" s="156">
        <v>32</v>
      </c>
      <c r="AB15" s="156">
        <v>28</v>
      </c>
      <c r="AC15" s="156">
        <v>33</v>
      </c>
      <c r="AD15" s="156">
        <v>28</v>
      </c>
      <c r="AE15" s="301">
        <v>33</v>
      </c>
      <c r="AF15" s="156">
        <v>28</v>
      </c>
      <c r="AG15" s="156">
        <v>33</v>
      </c>
      <c r="AH15" s="135">
        <v>75</v>
      </c>
      <c r="AI15" s="318">
        <v>0</v>
      </c>
      <c r="AJ15" s="136">
        <v>57</v>
      </c>
      <c r="AK15" s="309">
        <v>0</v>
      </c>
      <c r="AL15" s="156">
        <v>30</v>
      </c>
      <c r="AM15" s="156">
        <v>31</v>
      </c>
      <c r="AN15" s="156">
        <v>28</v>
      </c>
      <c r="AO15" s="156">
        <v>33</v>
      </c>
      <c r="AP15" s="156">
        <v>30</v>
      </c>
      <c r="AQ15" s="156">
        <v>31</v>
      </c>
      <c r="AR15" s="136">
        <v>43</v>
      </c>
      <c r="AS15" s="309">
        <v>14</v>
      </c>
      <c r="AT15" s="156">
        <v>28</v>
      </c>
      <c r="AU15" s="301">
        <v>33</v>
      </c>
      <c r="AV15" s="135">
        <v>75</v>
      </c>
      <c r="AW15" s="318">
        <v>0</v>
      </c>
      <c r="AX15" s="136">
        <v>57</v>
      </c>
      <c r="AY15" s="309">
        <v>0</v>
      </c>
      <c r="AZ15" s="156">
        <v>29</v>
      </c>
      <c r="BA15" s="301">
        <v>32</v>
      </c>
      <c r="BB15" s="156">
        <v>28</v>
      </c>
      <c r="BC15" s="156">
        <v>33</v>
      </c>
      <c r="BD15" s="156">
        <v>29</v>
      </c>
      <c r="BE15" s="156">
        <v>32</v>
      </c>
      <c r="BF15" s="156">
        <v>29</v>
      </c>
      <c r="BG15" s="301">
        <v>32</v>
      </c>
      <c r="BH15" s="156">
        <v>29</v>
      </c>
      <c r="BI15" s="301">
        <v>32</v>
      </c>
      <c r="BJ15" s="135">
        <v>74</v>
      </c>
      <c r="BK15" s="135">
        <v>1</v>
      </c>
      <c r="BL15" s="136">
        <v>57</v>
      </c>
      <c r="BM15" s="136">
        <v>0</v>
      </c>
    </row>
    <row r="16" spans="1:65" s="124" customFormat="1" x14ac:dyDescent="0.25">
      <c r="A16" s="306"/>
      <c r="B16" s="306"/>
      <c r="C16" s="8"/>
      <c r="D16" s="303"/>
      <c r="E16" s="303"/>
      <c r="F16" s="303"/>
      <c r="G16" s="303"/>
      <c r="H16" s="303"/>
      <c r="I16" s="303"/>
      <c r="J16" s="303"/>
      <c r="K16" s="303"/>
      <c r="L16" s="303"/>
      <c r="M16" s="303"/>
      <c r="N16" s="303"/>
      <c r="O16" s="303"/>
      <c r="P16" s="303"/>
      <c r="Q16" s="303"/>
      <c r="R16" s="303" t="s">
        <v>144</v>
      </c>
      <c r="S16" s="303" t="s">
        <v>144</v>
      </c>
      <c r="T16" s="303" t="s">
        <v>144</v>
      </c>
      <c r="U16" s="303" t="s">
        <v>144</v>
      </c>
      <c r="V16" s="303" t="s">
        <v>144</v>
      </c>
      <c r="W16" s="303" t="s">
        <v>144</v>
      </c>
      <c r="X16" s="303" t="s">
        <v>144</v>
      </c>
      <c r="Y16" s="303" t="s">
        <v>144</v>
      </c>
      <c r="Z16" s="303"/>
      <c r="AA16" s="303"/>
      <c r="AB16" s="303"/>
      <c r="AC16" s="303"/>
      <c r="AD16" s="303" t="s">
        <v>144</v>
      </c>
      <c r="AE16" s="303" t="s">
        <v>144</v>
      </c>
      <c r="AF16" s="303" t="s">
        <v>144</v>
      </c>
      <c r="AG16" s="303" t="s">
        <v>144</v>
      </c>
      <c r="AH16" s="303"/>
      <c r="AI16" s="303"/>
      <c r="AJ16" s="303"/>
      <c r="AK16" s="303"/>
      <c r="AL16" s="303"/>
      <c r="AM16" s="303"/>
      <c r="AN16" s="303"/>
      <c r="AO16" s="303"/>
      <c r="AP16" s="303" t="s">
        <v>144</v>
      </c>
      <c r="AQ16" s="303" t="s">
        <v>144</v>
      </c>
      <c r="AR16" s="303" t="s">
        <v>144</v>
      </c>
      <c r="AS16" s="303" t="s">
        <v>144</v>
      </c>
      <c r="AT16" s="303" t="s">
        <v>144</v>
      </c>
      <c r="AU16" s="303" t="s">
        <v>144</v>
      </c>
      <c r="AV16" s="303" t="s">
        <v>144</v>
      </c>
      <c r="AW16" s="303" t="s">
        <v>144</v>
      </c>
      <c r="AX16" s="303" t="s">
        <v>144</v>
      </c>
      <c r="AY16" s="303" t="s">
        <v>144</v>
      </c>
      <c r="AZ16" s="303"/>
      <c r="BA16" s="303"/>
      <c r="BB16" s="303"/>
      <c r="BC16" s="303"/>
      <c r="BD16" s="303"/>
      <c r="BE16" s="303"/>
      <c r="BF16" s="303"/>
      <c r="BG16" s="303"/>
      <c r="BH16" s="303" t="s">
        <v>144</v>
      </c>
      <c r="BI16" s="303" t="s">
        <v>144</v>
      </c>
      <c r="BJ16" s="303"/>
      <c r="BK16" s="303"/>
      <c r="BL16" s="303"/>
      <c r="BM16" s="303"/>
    </row>
    <row r="17" spans="1:65 16297:16297" x14ac:dyDescent="0.25">
      <c r="A17" s="67" t="s">
        <v>73</v>
      </c>
      <c r="B17" s="68"/>
      <c r="C17" s="8"/>
      <c r="D17" s="304">
        <v>0</v>
      </c>
      <c r="E17" s="304">
        <v>0</v>
      </c>
      <c r="F17" s="308">
        <v>0</v>
      </c>
      <c r="G17" s="308">
        <v>0</v>
      </c>
      <c r="H17" s="304">
        <v>0</v>
      </c>
      <c r="I17" s="304">
        <v>0</v>
      </c>
      <c r="J17" s="286">
        <v>7</v>
      </c>
      <c r="K17" s="286">
        <v>0</v>
      </c>
      <c r="L17" s="302">
        <v>7</v>
      </c>
      <c r="M17" s="302">
        <v>0</v>
      </c>
      <c r="N17" s="286">
        <v>7</v>
      </c>
      <c r="O17" s="286">
        <v>0</v>
      </c>
      <c r="P17" s="302">
        <v>0</v>
      </c>
      <c r="Q17" s="302">
        <v>0</v>
      </c>
      <c r="R17" s="286">
        <v>7</v>
      </c>
      <c r="S17" s="286">
        <v>0</v>
      </c>
      <c r="T17" s="135">
        <v>0</v>
      </c>
      <c r="U17" s="135">
        <v>0</v>
      </c>
      <c r="V17" s="304">
        <v>0</v>
      </c>
      <c r="W17" s="304">
        <v>0</v>
      </c>
      <c r="X17" s="286">
        <v>7</v>
      </c>
      <c r="Y17" s="286">
        <v>0</v>
      </c>
      <c r="Z17" s="286">
        <v>7</v>
      </c>
      <c r="AA17" s="286">
        <v>0</v>
      </c>
      <c r="AB17" s="286">
        <v>7</v>
      </c>
      <c r="AC17" s="286">
        <v>0</v>
      </c>
      <c r="AD17" s="286">
        <v>7</v>
      </c>
      <c r="AE17" s="311">
        <v>0</v>
      </c>
      <c r="AF17" s="302">
        <v>7</v>
      </c>
      <c r="AG17" s="302">
        <v>0</v>
      </c>
      <c r="AH17" s="135">
        <v>0</v>
      </c>
      <c r="AI17" s="318">
        <v>0</v>
      </c>
      <c r="AJ17" s="136">
        <v>0</v>
      </c>
      <c r="AK17" s="309">
        <v>0</v>
      </c>
      <c r="AL17" s="286">
        <v>7</v>
      </c>
      <c r="AM17" s="311">
        <v>0</v>
      </c>
      <c r="AN17" s="286">
        <v>7</v>
      </c>
      <c r="AO17" s="311">
        <v>0</v>
      </c>
      <c r="AP17" s="286">
        <v>7</v>
      </c>
      <c r="AQ17" s="311">
        <v>0</v>
      </c>
      <c r="AR17" s="136">
        <v>0</v>
      </c>
      <c r="AS17" s="309">
        <v>0</v>
      </c>
      <c r="AT17" s="156">
        <v>7</v>
      </c>
      <c r="AU17" s="301">
        <v>0</v>
      </c>
      <c r="AV17" s="135">
        <v>0</v>
      </c>
      <c r="AW17" s="318">
        <v>0</v>
      </c>
      <c r="AX17" s="136">
        <v>0</v>
      </c>
      <c r="AY17" s="309">
        <v>0</v>
      </c>
      <c r="AZ17" s="156">
        <v>7</v>
      </c>
      <c r="BA17" s="301">
        <v>0</v>
      </c>
      <c r="BB17" s="286">
        <v>7</v>
      </c>
      <c r="BC17" s="286">
        <v>0</v>
      </c>
      <c r="BD17" s="286">
        <v>7</v>
      </c>
      <c r="BE17" s="311">
        <v>0</v>
      </c>
      <c r="BF17" s="286">
        <v>7</v>
      </c>
      <c r="BG17" s="311">
        <v>0</v>
      </c>
      <c r="BH17" s="156">
        <v>7</v>
      </c>
      <c r="BI17" s="301">
        <v>0</v>
      </c>
      <c r="BJ17" s="308">
        <v>0</v>
      </c>
      <c r="BK17" s="308">
        <v>0</v>
      </c>
      <c r="BL17" s="304">
        <v>0</v>
      </c>
      <c r="BM17" s="304">
        <v>0</v>
      </c>
    </row>
    <row r="18" spans="1:65 16297:16297" s="124" customFormat="1" x14ac:dyDescent="0.25">
      <c r="A18" s="67" t="s">
        <v>123</v>
      </c>
      <c r="B18" s="68"/>
      <c r="C18" s="8"/>
      <c r="D18" s="304">
        <v>0</v>
      </c>
      <c r="E18" s="304">
        <v>0</v>
      </c>
      <c r="F18" s="308">
        <v>0</v>
      </c>
      <c r="G18" s="308">
        <v>0</v>
      </c>
      <c r="H18" s="304">
        <v>0</v>
      </c>
      <c r="I18" s="304">
        <v>0</v>
      </c>
      <c r="J18" s="286">
        <v>0</v>
      </c>
      <c r="K18" s="286">
        <v>0</v>
      </c>
      <c r="L18" s="302">
        <v>0</v>
      </c>
      <c r="M18" s="302">
        <v>0</v>
      </c>
      <c r="N18" s="286">
        <v>0</v>
      </c>
      <c r="O18" s="286">
        <v>0</v>
      </c>
      <c r="P18" s="302">
        <v>0</v>
      </c>
      <c r="Q18" s="302">
        <v>0</v>
      </c>
      <c r="R18" s="286">
        <v>0</v>
      </c>
      <c r="S18" s="286">
        <v>0</v>
      </c>
      <c r="T18" s="135">
        <v>0</v>
      </c>
      <c r="U18" s="135">
        <v>0</v>
      </c>
      <c r="V18" s="304">
        <v>0</v>
      </c>
      <c r="W18" s="304">
        <v>0</v>
      </c>
      <c r="X18" s="286">
        <v>0</v>
      </c>
      <c r="Y18" s="286">
        <v>0</v>
      </c>
      <c r="Z18" s="286">
        <v>0</v>
      </c>
      <c r="AA18" s="286">
        <v>0</v>
      </c>
      <c r="AB18" s="286">
        <v>0</v>
      </c>
      <c r="AC18" s="286">
        <v>0</v>
      </c>
      <c r="AD18" s="286">
        <v>0</v>
      </c>
      <c r="AE18" s="311">
        <v>0</v>
      </c>
      <c r="AF18" s="302">
        <v>0</v>
      </c>
      <c r="AG18" s="302">
        <v>0</v>
      </c>
      <c r="AH18" s="135">
        <v>0</v>
      </c>
      <c r="AI18" s="318">
        <v>0</v>
      </c>
      <c r="AJ18" s="136">
        <v>0</v>
      </c>
      <c r="AK18" s="309">
        <v>0</v>
      </c>
      <c r="AL18" s="286">
        <v>0</v>
      </c>
      <c r="AM18" s="311">
        <v>0</v>
      </c>
      <c r="AN18" s="286">
        <v>0</v>
      </c>
      <c r="AO18" s="311">
        <v>0</v>
      </c>
      <c r="AP18" s="286">
        <v>0</v>
      </c>
      <c r="AQ18" s="311">
        <v>0</v>
      </c>
      <c r="AR18" s="136">
        <v>0</v>
      </c>
      <c r="AS18" s="309">
        <v>0</v>
      </c>
      <c r="AT18" s="156">
        <v>0</v>
      </c>
      <c r="AU18" s="301">
        <v>0</v>
      </c>
      <c r="AV18" s="135">
        <v>0</v>
      </c>
      <c r="AW18" s="318">
        <v>0</v>
      </c>
      <c r="AX18" s="136">
        <v>0</v>
      </c>
      <c r="AY18" s="309">
        <v>0</v>
      </c>
      <c r="AZ18" s="156">
        <v>0</v>
      </c>
      <c r="BA18" s="301">
        <v>0</v>
      </c>
      <c r="BB18" s="286">
        <v>0</v>
      </c>
      <c r="BC18" s="286">
        <v>0</v>
      </c>
      <c r="BD18" s="286">
        <v>0</v>
      </c>
      <c r="BE18" s="311">
        <v>0</v>
      </c>
      <c r="BF18" s="286">
        <v>0</v>
      </c>
      <c r="BG18" s="311">
        <v>0</v>
      </c>
      <c r="BH18" s="156">
        <v>0</v>
      </c>
      <c r="BI18" s="301">
        <v>0</v>
      </c>
      <c r="BJ18" s="308">
        <v>0</v>
      </c>
      <c r="BK18" s="308">
        <v>0</v>
      </c>
      <c r="BL18" s="304">
        <v>0</v>
      </c>
      <c r="BM18" s="304">
        <v>0</v>
      </c>
    </row>
    <row r="19" spans="1:65 16297:16297" x14ac:dyDescent="0.25">
      <c r="A19" s="67" t="s">
        <v>74</v>
      </c>
      <c r="B19" s="68"/>
      <c r="C19" s="8"/>
      <c r="D19" s="304">
        <v>0</v>
      </c>
      <c r="E19" s="304">
        <v>0</v>
      </c>
      <c r="F19" s="308">
        <v>0</v>
      </c>
      <c r="G19" s="308">
        <v>0</v>
      </c>
      <c r="H19" s="304">
        <v>0</v>
      </c>
      <c r="I19" s="304">
        <v>0</v>
      </c>
      <c r="J19" s="286">
        <v>1</v>
      </c>
      <c r="K19" s="286">
        <v>7</v>
      </c>
      <c r="L19" s="302">
        <v>1</v>
      </c>
      <c r="M19" s="302">
        <v>7</v>
      </c>
      <c r="N19" s="286">
        <v>1</v>
      </c>
      <c r="O19" s="286">
        <v>7</v>
      </c>
      <c r="P19" s="302">
        <v>0</v>
      </c>
      <c r="Q19" s="302">
        <v>4</v>
      </c>
      <c r="R19" s="286">
        <v>1</v>
      </c>
      <c r="S19" s="286">
        <v>7</v>
      </c>
      <c r="T19" s="135">
        <v>0</v>
      </c>
      <c r="U19" s="135">
        <v>0</v>
      </c>
      <c r="V19" s="304">
        <v>0</v>
      </c>
      <c r="W19" s="304">
        <v>0</v>
      </c>
      <c r="X19" s="286">
        <v>1</v>
      </c>
      <c r="Y19" s="286">
        <v>7</v>
      </c>
      <c r="Z19" s="286">
        <v>1</v>
      </c>
      <c r="AA19" s="286">
        <v>7</v>
      </c>
      <c r="AB19" s="286">
        <v>1</v>
      </c>
      <c r="AC19" s="286">
        <v>7</v>
      </c>
      <c r="AD19" s="286">
        <v>1</v>
      </c>
      <c r="AE19" s="311">
        <v>7</v>
      </c>
      <c r="AF19" s="302">
        <v>1</v>
      </c>
      <c r="AG19" s="302">
        <v>7</v>
      </c>
      <c r="AH19" s="135">
        <v>0</v>
      </c>
      <c r="AI19" s="318">
        <v>0</v>
      </c>
      <c r="AJ19" s="136">
        <v>0</v>
      </c>
      <c r="AK19" s="309">
        <v>0</v>
      </c>
      <c r="AL19" s="286">
        <v>1</v>
      </c>
      <c r="AM19" s="311">
        <v>7</v>
      </c>
      <c r="AN19" s="286">
        <v>1</v>
      </c>
      <c r="AO19" s="311">
        <v>7</v>
      </c>
      <c r="AP19" s="286">
        <v>1</v>
      </c>
      <c r="AQ19" s="311">
        <v>7</v>
      </c>
      <c r="AR19" s="136">
        <v>0</v>
      </c>
      <c r="AS19" s="309">
        <v>0</v>
      </c>
      <c r="AT19" s="156">
        <v>1</v>
      </c>
      <c r="AU19" s="301">
        <v>7</v>
      </c>
      <c r="AV19" s="135">
        <v>0</v>
      </c>
      <c r="AW19" s="318">
        <v>0</v>
      </c>
      <c r="AX19" s="136">
        <v>0</v>
      </c>
      <c r="AY19" s="309">
        <v>0</v>
      </c>
      <c r="AZ19" s="156">
        <v>2</v>
      </c>
      <c r="BA19" s="301">
        <v>6</v>
      </c>
      <c r="BB19" s="286">
        <v>1</v>
      </c>
      <c r="BC19" s="286">
        <v>7</v>
      </c>
      <c r="BD19" s="286">
        <v>2</v>
      </c>
      <c r="BE19" s="311">
        <v>6</v>
      </c>
      <c r="BF19" s="286">
        <v>1</v>
      </c>
      <c r="BG19" s="311">
        <v>7</v>
      </c>
      <c r="BH19" s="156">
        <v>1</v>
      </c>
      <c r="BI19" s="301">
        <v>7</v>
      </c>
      <c r="BJ19" s="308">
        <v>0</v>
      </c>
      <c r="BK19" s="308">
        <v>0</v>
      </c>
      <c r="BL19" s="304">
        <v>0</v>
      </c>
      <c r="BM19" s="304">
        <v>0</v>
      </c>
    </row>
    <row r="20" spans="1:65 16297:16297" x14ac:dyDescent="0.25">
      <c r="A20" s="67" t="s">
        <v>75</v>
      </c>
      <c r="B20" s="68"/>
      <c r="C20" s="8"/>
      <c r="D20" s="304">
        <v>0</v>
      </c>
      <c r="E20" s="304">
        <v>0</v>
      </c>
      <c r="F20" s="308">
        <v>0</v>
      </c>
      <c r="G20" s="308">
        <v>0</v>
      </c>
      <c r="H20" s="304">
        <v>0</v>
      </c>
      <c r="I20" s="304">
        <v>0</v>
      </c>
      <c r="J20" s="286">
        <v>6</v>
      </c>
      <c r="K20" s="286">
        <v>0</v>
      </c>
      <c r="L20" s="302">
        <v>6</v>
      </c>
      <c r="M20" s="302">
        <v>0</v>
      </c>
      <c r="N20" s="286">
        <v>6</v>
      </c>
      <c r="O20" s="286">
        <v>0</v>
      </c>
      <c r="P20" s="302">
        <v>1</v>
      </c>
      <c r="Q20" s="302">
        <v>0</v>
      </c>
      <c r="R20" s="286">
        <v>6</v>
      </c>
      <c r="S20" s="286">
        <v>0</v>
      </c>
      <c r="T20" s="135">
        <v>0</v>
      </c>
      <c r="U20" s="135">
        <v>0</v>
      </c>
      <c r="V20" s="304">
        <v>0</v>
      </c>
      <c r="W20" s="304">
        <v>0</v>
      </c>
      <c r="X20" s="286">
        <v>6</v>
      </c>
      <c r="Y20" s="286">
        <v>0</v>
      </c>
      <c r="Z20" s="286">
        <v>6</v>
      </c>
      <c r="AA20" s="286">
        <v>0</v>
      </c>
      <c r="AB20" s="286">
        <v>6</v>
      </c>
      <c r="AC20" s="286">
        <v>0</v>
      </c>
      <c r="AD20" s="286">
        <v>6</v>
      </c>
      <c r="AE20" s="311">
        <v>0</v>
      </c>
      <c r="AF20" s="302">
        <v>6</v>
      </c>
      <c r="AG20" s="302">
        <v>0</v>
      </c>
      <c r="AH20" s="135">
        <v>0</v>
      </c>
      <c r="AI20" s="318">
        <v>0</v>
      </c>
      <c r="AJ20" s="136">
        <v>0</v>
      </c>
      <c r="AK20" s="309">
        <v>0</v>
      </c>
      <c r="AL20" s="286">
        <v>6</v>
      </c>
      <c r="AM20" s="311">
        <v>0</v>
      </c>
      <c r="AN20" s="286">
        <v>6</v>
      </c>
      <c r="AO20" s="311">
        <v>0</v>
      </c>
      <c r="AP20" s="286">
        <v>6</v>
      </c>
      <c r="AQ20" s="311">
        <v>0</v>
      </c>
      <c r="AR20" s="136">
        <v>0</v>
      </c>
      <c r="AS20" s="309">
        <v>0</v>
      </c>
      <c r="AT20" s="156">
        <v>6</v>
      </c>
      <c r="AU20" s="301">
        <v>0</v>
      </c>
      <c r="AV20" s="135">
        <v>0</v>
      </c>
      <c r="AW20" s="318">
        <v>0</v>
      </c>
      <c r="AX20" s="136">
        <v>0</v>
      </c>
      <c r="AY20" s="309">
        <v>0</v>
      </c>
      <c r="AZ20" s="156">
        <v>6</v>
      </c>
      <c r="BA20" s="301">
        <v>0</v>
      </c>
      <c r="BB20" s="286">
        <v>6</v>
      </c>
      <c r="BC20" s="286">
        <v>0</v>
      </c>
      <c r="BD20" s="286">
        <v>6</v>
      </c>
      <c r="BE20" s="311">
        <v>0</v>
      </c>
      <c r="BF20" s="286">
        <v>6</v>
      </c>
      <c r="BG20" s="311">
        <v>0</v>
      </c>
      <c r="BH20" s="156">
        <v>6</v>
      </c>
      <c r="BI20" s="301">
        <v>0</v>
      </c>
      <c r="BJ20" s="308">
        <v>0</v>
      </c>
      <c r="BK20" s="308">
        <v>0</v>
      </c>
      <c r="BL20" s="304">
        <v>0</v>
      </c>
      <c r="BM20" s="304">
        <v>0</v>
      </c>
    </row>
    <row r="21" spans="1:65 16297:16297" x14ac:dyDescent="0.25">
      <c r="A21" s="67" t="s">
        <v>76</v>
      </c>
      <c r="B21" s="68"/>
      <c r="C21" s="8"/>
      <c r="D21" s="304">
        <v>0</v>
      </c>
      <c r="E21" s="304">
        <v>0</v>
      </c>
      <c r="F21" s="308">
        <v>0</v>
      </c>
      <c r="G21" s="308">
        <v>0</v>
      </c>
      <c r="H21" s="304">
        <v>0</v>
      </c>
      <c r="I21" s="304">
        <v>0</v>
      </c>
      <c r="J21" s="286">
        <v>0</v>
      </c>
      <c r="K21" s="286">
        <v>0</v>
      </c>
      <c r="L21" s="302">
        <v>0</v>
      </c>
      <c r="M21" s="302">
        <v>0</v>
      </c>
      <c r="N21" s="286">
        <v>0</v>
      </c>
      <c r="O21" s="286">
        <v>0</v>
      </c>
      <c r="P21" s="302">
        <v>0</v>
      </c>
      <c r="Q21" s="302">
        <v>0</v>
      </c>
      <c r="R21" s="286">
        <v>0</v>
      </c>
      <c r="S21" s="286">
        <v>0</v>
      </c>
      <c r="T21" s="135">
        <v>0</v>
      </c>
      <c r="U21" s="135">
        <v>0</v>
      </c>
      <c r="V21" s="304">
        <v>0</v>
      </c>
      <c r="W21" s="304">
        <v>0</v>
      </c>
      <c r="X21" s="286">
        <v>0</v>
      </c>
      <c r="Y21" s="286">
        <v>0</v>
      </c>
      <c r="Z21" s="286">
        <v>0</v>
      </c>
      <c r="AA21" s="286">
        <v>0</v>
      </c>
      <c r="AB21" s="286">
        <v>0</v>
      </c>
      <c r="AC21" s="286">
        <v>0</v>
      </c>
      <c r="AD21" s="286">
        <v>0</v>
      </c>
      <c r="AE21" s="311">
        <v>0</v>
      </c>
      <c r="AF21" s="302">
        <v>0</v>
      </c>
      <c r="AG21" s="302">
        <v>0</v>
      </c>
      <c r="AH21" s="135">
        <v>0</v>
      </c>
      <c r="AI21" s="318">
        <v>0</v>
      </c>
      <c r="AJ21" s="136">
        <v>0</v>
      </c>
      <c r="AK21" s="309">
        <v>0</v>
      </c>
      <c r="AL21" s="286">
        <v>0</v>
      </c>
      <c r="AM21" s="311">
        <v>0</v>
      </c>
      <c r="AN21" s="286">
        <v>0</v>
      </c>
      <c r="AO21" s="311">
        <v>0</v>
      </c>
      <c r="AP21" s="286">
        <v>0</v>
      </c>
      <c r="AQ21" s="311">
        <v>0</v>
      </c>
      <c r="AR21" s="136">
        <v>0</v>
      </c>
      <c r="AS21" s="309">
        <v>0</v>
      </c>
      <c r="AT21" s="156">
        <v>0</v>
      </c>
      <c r="AU21" s="301">
        <v>0</v>
      </c>
      <c r="AV21" s="135">
        <v>0</v>
      </c>
      <c r="AW21" s="318">
        <v>0</v>
      </c>
      <c r="AX21" s="136">
        <v>0</v>
      </c>
      <c r="AY21" s="309">
        <v>0</v>
      </c>
      <c r="AZ21" s="156">
        <v>0</v>
      </c>
      <c r="BA21" s="301">
        <v>0</v>
      </c>
      <c r="BB21" s="286">
        <v>0</v>
      </c>
      <c r="BC21" s="286">
        <v>0</v>
      </c>
      <c r="BD21" s="286">
        <v>0</v>
      </c>
      <c r="BE21" s="311">
        <v>0</v>
      </c>
      <c r="BF21" s="286">
        <v>0</v>
      </c>
      <c r="BG21" s="311">
        <v>0</v>
      </c>
      <c r="BH21" s="156">
        <v>0</v>
      </c>
      <c r="BI21" s="301">
        <v>0</v>
      </c>
      <c r="BJ21" s="308">
        <v>0</v>
      </c>
      <c r="BK21" s="308">
        <v>0</v>
      </c>
      <c r="BL21" s="304">
        <v>0</v>
      </c>
      <c r="BM21" s="304">
        <v>0</v>
      </c>
    </row>
    <row r="22" spans="1:65 16297:16297" x14ac:dyDescent="0.25">
      <c r="A22" s="67" t="s">
        <v>77</v>
      </c>
      <c r="B22" s="76"/>
      <c r="C22" s="8"/>
      <c r="D22" s="304">
        <v>0</v>
      </c>
      <c r="E22" s="304">
        <v>0</v>
      </c>
      <c r="F22" s="308">
        <v>0</v>
      </c>
      <c r="G22" s="308">
        <v>0</v>
      </c>
      <c r="H22" s="304">
        <v>0</v>
      </c>
      <c r="I22" s="304">
        <v>0</v>
      </c>
      <c r="J22" s="286">
        <v>4</v>
      </c>
      <c r="K22" s="286">
        <v>3</v>
      </c>
      <c r="L22" s="302">
        <v>4</v>
      </c>
      <c r="M22" s="302">
        <v>3</v>
      </c>
      <c r="N22" s="286">
        <v>4</v>
      </c>
      <c r="O22" s="286">
        <v>3</v>
      </c>
      <c r="P22" s="302">
        <v>0</v>
      </c>
      <c r="Q22" s="302">
        <v>3</v>
      </c>
      <c r="R22" s="286">
        <v>4</v>
      </c>
      <c r="S22" s="286">
        <v>3</v>
      </c>
      <c r="T22" s="135">
        <v>0</v>
      </c>
      <c r="U22" s="135">
        <v>0</v>
      </c>
      <c r="V22" s="304">
        <v>0</v>
      </c>
      <c r="W22" s="304">
        <v>0</v>
      </c>
      <c r="X22" s="286">
        <v>4</v>
      </c>
      <c r="Y22" s="286">
        <v>3</v>
      </c>
      <c r="Z22" s="286">
        <v>4</v>
      </c>
      <c r="AA22" s="286">
        <v>3</v>
      </c>
      <c r="AB22" s="286">
        <v>4</v>
      </c>
      <c r="AC22" s="286">
        <v>3</v>
      </c>
      <c r="AD22" s="286">
        <v>4</v>
      </c>
      <c r="AE22" s="311">
        <v>3</v>
      </c>
      <c r="AF22" s="302">
        <v>4</v>
      </c>
      <c r="AG22" s="302">
        <v>3</v>
      </c>
      <c r="AH22" s="135">
        <v>0</v>
      </c>
      <c r="AI22" s="318">
        <v>0</v>
      </c>
      <c r="AJ22" s="136">
        <v>0</v>
      </c>
      <c r="AK22" s="309">
        <v>0</v>
      </c>
      <c r="AL22" s="286">
        <v>4</v>
      </c>
      <c r="AM22" s="311">
        <v>3</v>
      </c>
      <c r="AN22" s="286">
        <v>4</v>
      </c>
      <c r="AO22" s="311">
        <v>3</v>
      </c>
      <c r="AP22" s="286">
        <v>4</v>
      </c>
      <c r="AQ22" s="311">
        <v>3</v>
      </c>
      <c r="AR22" s="136">
        <v>0</v>
      </c>
      <c r="AS22" s="309">
        <v>0</v>
      </c>
      <c r="AT22" s="156">
        <v>4</v>
      </c>
      <c r="AU22" s="301">
        <v>3</v>
      </c>
      <c r="AV22" s="135">
        <v>0</v>
      </c>
      <c r="AW22" s="318">
        <v>0</v>
      </c>
      <c r="AX22" s="136">
        <v>0</v>
      </c>
      <c r="AY22" s="309">
        <v>0</v>
      </c>
      <c r="AZ22" s="156">
        <v>5</v>
      </c>
      <c r="BA22" s="301">
        <v>2</v>
      </c>
      <c r="BB22" s="286">
        <v>4</v>
      </c>
      <c r="BC22" s="286">
        <v>3</v>
      </c>
      <c r="BD22" s="286">
        <v>4</v>
      </c>
      <c r="BE22" s="311">
        <v>3</v>
      </c>
      <c r="BF22" s="286">
        <v>4</v>
      </c>
      <c r="BG22" s="311">
        <v>3</v>
      </c>
      <c r="BH22" s="156">
        <v>4</v>
      </c>
      <c r="BI22" s="301">
        <v>3</v>
      </c>
      <c r="BJ22" s="308">
        <v>0</v>
      </c>
      <c r="BK22" s="308">
        <v>0</v>
      </c>
      <c r="BL22" s="304">
        <v>0</v>
      </c>
      <c r="BM22" s="304">
        <v>0</v>
      </c>
    </row>
    <row r="23" spans="1:65 16297:16297" ht="15.75" thickBot="1" x14ac:dyDescent="0.3">
      <c r="C23" s="8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  <c r="AD23" s="124"/>
      <c r="AE23" s="124"/>
      <c r="AF23" s="124"/>
      <c r="AG23" s="124"/>
      <c r="AH23" s="124"/>
      <c r="AI23" s="124"/>
      <c r="AJ23" s="124"/>
      <c r="AK23" s="124"/>
      <c r="AL23" s="124"/>
      <c r="AM23" s="124"/>
      <c r="AN23" s="124"/>
      <c r="AO23" s="124"/>
      <c r="AP23" s="124"/>
      <c r="AQ23" s="124"/>
      <c r="AR23" s="124"/>
      <c r="AS23" s="124"/>
      <c r="AT23" s="124"/>
      <c r="AU23" s="124"/>
      <c r="AV23" s="124"/>
      <c r="AW23" s="124"/>
      <c r="AX23" s="124"/>
      <c r="AY23" s="124"/>
      <c r="AZ23" s="124"/>
      <c r="BA23" s="124"/>
      <c r="BB23" s="124"/>
      <c r="BC23" s="124"/>
      <c r="BD23" s="124"/>
      <c r="BE23" s="124"/>
      <c r="BF23" s="124"/>
      <c r="BG23" s="124"/>
      <c r="BH23" s="124"/>
      <c r="BI23" s="124"/>
      <c r="BJ23" s="124"/>
      <c r="BK23" s="124"/>
      <c r="BL23" s="124"/>
      <c r="BM23" s="124"/>
    </row>
    <row r="24" spans="1:65 16297:16297" ht="15.75" thickBot="1" x14ac:dyDescent="0.3">
      <c r="C24" s="8"/>
      <c r="D24" s="63">
        <f t="shared" ref="D24:BK24" si="0">SUM(D3:D22)</f>
        <v>108</v>
      </c>
      <c r="E24" s="63">
        <f t="shared" si="0"/>
        <v>3</v>
      </c>
      <c r="F24" s="173">
        <f t="shared" si="0"/>
        <v>144</v>
      </c>
      <c r="G24" s="173">
        <f t="shared" si="0"/>
        <v>3</v>
      </c>
      <c r="H24" s="63">
        <f t="shared" si="0"/>
        <v>108</v>
      </c>
      <c r="I24" s="63">
        <f t="shared" si="0"/>
        <v>3</v>
      </c>
      <c r="J24" s="137">
        <f t="shared" si="0"/>
        <v>140</v>
      </c>
      <c r="K24" s="137">
        <f t="shared" si="0"/>
        <v>87</v>
      </c>
      <c r="L24" s="137">
        <f t="shared" si="0"/>
        <v>142</v>
      </c>
      <c r="M24" s="137">
        <f t="shared" si="0"/>
        <v>87</v>
      </c>
      <c r="N24" s="137">
        <f t="shared" si="0"/>
        <v>140</v>
      </c>
      <c r="O24" s="137">
        <f t="shared" si="0"/>
        <v>87</v>
      </c>
      <c r="P24" s="137">
        <f t="shared" si="0"/>
        <v>102</v>
      </c>
      <c r="Q24" s="137">
        <f t="shared" si="0"/>
        <v>93</v>
      </c>
      <c r="R24" s="137">
        <f t="shared" si="0"/>
        <v>142</v>
      </c>
      <c r="S24" s="137">
        <f t="shared" si="0"/>
        <v>87</v>
      </c>
      <c r="T24" s="173">
        <f t="shared" si="0"/>
        <v>144</v>
      </c>
      <c r="U24" s="173">
        <f t="shared" si="0"/>
        <v>3</v>
      </c>
      <c r="V24" s="63">
        <f t="shared" si="0"/>
        <v>108</v>
      </c>
      <c r="W24" s="63">
        <f t="shared" si="0"/>
        <v>3</v>
      </c>
      <c r="X24" s="137">
        <f t="shared" si="0"/>
        <v>140</v>
      </c>
      <c r="Y24" s="137">
        <f t="shared" si="0"/>
        <v>89</v>
      </c>
      <c r="Z24" s="137">
        <f t="shared" si="0"/>
        <v>142</v>
      </c>
      <c r="AA24" s="137">
        <f t="shared" si="0"/>
        <v>87</v>
      </c>
      <c r="AB24" s="137">
        <f t="shared" si="0"/>
        <v>142</v>
      </c>
      <c r="AC24" s="137">
        <f t="shared" si="0"/>
        <v>87</v>
      </c>
      <c r="AD24" s="137">
        <f t="shared" si="0"/>
        <v>140</v>
      </c>
      <c r="AE24" s="137">
        <f t="shared" si="0"/>
        <v>89</v>
      </c>
      <c r="AF24" s="137">
        <f t="shared" si="0"/>
        <v>140</v>
      </c>
      <c r="AG24" s="137">
        <f t="shared" si="0"/>
        <v>89</v>
      </c>
      <c r="AH24" s="173">
        <f t="shared" ref="AH24:AO24" si="1">SUM(AH3:AH22)</f>
        <v>144</v>
      </c>
      <c r="AI24" s="173">
        <f t="shared" si="1"/>
        <v>3</v>
      </c>
      <c r="AJ24" s="63">
        <f t="shared" si="1"/>
        <v>108</v>
      </c>
      <c r="AK24" s="63">
        <f t="shared" si="1"/>
        <v>3</v>
      </c>
      <c r="AL24" s="137">
        <f t="shared" si="1"/>
        <v>146</v>
      </c>
      <c r="AM24" s="137">
        <f t="shared" si="1"/>
        <v>83</v>
      </c>
      <c r="AN24" s="137">
        <f t="shared" si="1"/>
        <v>144</v>
      </c>
      <c r="AO24" s="137">
        <f t="shared" si="1"/>
        <v>85</v>
      </c>
      <c r="AP24" s="137">
        <f t="shared" si="0"/>
        <v>146</v>
      </c>
      <c r="AQ24" s="137">
        <f t="shared" si="0"/>
        <v>83</v>
      </c>
      <c r="AR24" s="63">
        <f t="shared" si="0"/>
        <v>80</v>
      </c>
      <c r="AS24" s="63">
        <f t="shared" si="0"/>
        <v>31</v>
      </c>
      <c r="AT24" s="137">
        <f t="shared" si="0"/>
        <v>142</v>
      </c>
      <c r="AU24" s="137">
        <f t="shared" si="0"/>
        <v>87</v>
      </c>
      <c r="AV24" s="173">
        <f t="shared" si="0"/>
        <v>144</v>
      </c>
      <c r="AW24" s="173">
        <f t="shared" si="0"/>
        <v>3</v>
      </c>
      <c r="AX24" s="63">
        <f t="shared" si="0"/>
        <v>109</v>
      </c>
      <c r="AY24" s="63">
        <f t="shared" si="0"/>
        <v>2</v>
      </c>
      <c r="AZ24" s="137">
        <f t="shared" si="0"/>
        <v>144</v>
      </c>
      <c r="BA24" s="137">
        <f t="shared" si="0"/>
        <v>85</v>
      </c>
      <c r="BB24" s="137">
        <f t="shared" si="0"/>
        <v>140</v>
      </c>
      <c r="BC24" s="137">
        <f t="shared" si="0"/>
        <v>89</v>
      </c>
      <c r="BD24" s="137">
        <f t="shared" si="0"/>
        <v>142</v>
      </c>
      <c r="BE24" s="137">
        <f t="shared" si="0"/>
        <v>87</v>
      </c>
      <c r="BF24" s="137">
        <f t="shared" si="0"/>
        <v>142</v>
      </c>
      <c r="BG24" s="137">
        <f t="shared" si="0"/>
        <v>87</v>
      </c>
      <c r="BH24" s="137">
        <f t="shared" si="0"/>
        <v>142</v>
      </c>
      <c r="BI24" s="137">
        <f t="shared" si="0"/>
        <v>87</v>
      </c>
      <c r="BJ24" s="173">
        <f t="shared" si="0"/>
        <v>143</v>
      </c>
      <c r="BK24" s="173">
        <f t="shared" si="0"/>
        <v>4</v>
      </c>
      <c r="BL24" s="63">
        <f t="shared" ref="BL24:BM24" si="2">SUM(BL3:BL22)</f>
        <v>108</v>
      </c>
      <c r="BM24" s="63">
        <f t="shared" si="2"/>
        <v>3</v>
      </c>
      <c r="XBU24" s="64"/>
    </row>
    <row r="25" spans="1:65 16297:16297" x14ac:dyDescent="0.25">
      <c r="C25" s="8"/>
      <c r="L25" s="124"/>
      <c r="Z25" s="124"/>
      <c r="AA25" s="124"/>
      <c r="AB25" s="124"/>
      <c r="AC25" s="124"/>
      <c r="AG25" s="124"/>
      <c r="AH25" s="124"/>
      <c r="AI25" s="124"/>
      <c r="AR25" s="54"/>
      <c r="AS25" s="54"/>
      <c r="AT25" s="54"/>
      <c r="AU25" s="54"/>
      <c r="AV25" s="54"/>
      <c r="AW25" s="54"/>
      <c r="AX25" s="54"/>
      <c r="AY25" s="54"/>
      <c r="AZ25" s="54"/>
      <c r="BH25" s="54"/>
      <c r="BI25" s="54"/>
      <c r="BJ25" s="124"/>
      <c r="BK25" s="124"/>
    </row>
    <row r="26" spans="1:65 16297:16297" ht="18" x14ac:dyDescent="0.25">
      <c r="C26" s="8"/>
      <c r="L26" s="124"/>
      <c r="Z26" s="55"/>
      <c r="AR26" s="54"/>
      <c r="AS26" s="54"/>
      <c r="AT26" s="54"/>
      <c r="AU26" s="54"/>
      <c r="AV26" s="54"/>
      <c r="AW26" s="54"/>
      <c r="AX26" s="54"/>
      <c r="AY26" s="54"/>
      <c r="AZ26" s="54"/>
      <c r="BH26" s="54"/>
      <c r="BI26" s="54"/>
      <c r="BJ26" s="124"/>
      <c r="BK26" s="124"/>
    </row>
    <row r="27" spans="1:65 16297:16297" x14ac:dyDescent="0.25">
      <c r="C27" s="8"/>
      <c r="F27" s="124"/>
      <c r="G27" s="124"/>
      <c r="H27" s="124"/>
      <c r="I27" s="124"/>
      <c r="J27" s="8"/>
      <c r="K27" s="8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  <c r="AD27" s="124"/>
      <c r="AZ27" s="124"/>
      <c r="BA27" s="124"/>
      <c r="BB27" s="124"/>
      <c r="BC27" s="124"/>
      <c r="BD27" s="124"/>
      <c r="BE27" s="124"/>
      <c r="BF27" s="124"/>
      <c r="BG27" s="124"/>
      <c r="BH27" s="124"/>
      <c r="BI27" s="124"/>
      <c r="BJ27" s="124"/>
      <c r="BK27" s="124"/>
    </row>
    <row r="28" spans="1:65 16297:16297" x14ac:dyDescent="0.25">
      <c r="C28" s="8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  <c r="AD28" s="124"/>
      <c r="AZ28" s="124"/>
      <c r="BA28" s="124"/>
      <c r="BB28" s="124"/>
      <c r="BC28" s="124"/>
      <c r="BD28" s="124"/>
      <c r="BE28" s="124"/>
      <c r="BF28" s="124"/>
      <c r="BG28" s="124"/>
      <c r="BH28" s="124"/>
      <c r="BI28" s="124"/>
      <c r="BJ28" s="124"/>
      <c r="BK28" s="124"/>
    </row>
    <row r="29" spans="1:65 16297:16297" x14ac:dyDescent="0.25">
      <c r="C29" s="8"/>
      <c r="L29" s="124"/>
      <c r="AZ29" s="124"/>
      <c r="BA29" s="124"/>
      <c r="BB29" s="124"/>
      <c r="BC29" s="124"/>
      <c r="BD29" s="124"/>
      <c r="BE29" s="124"/>
      <c r="BF29" s="124"/>
      <c r="BG29" s="124"/>
      <c r="BH29" s="124"/>
      <c r="BI29" s="124"/>
      <c r="BJ29" s="124"/>
      <c r="BK29" s="124"/>
    </row>
    <row r="30" spans="1:65 16297:16297" x14ac:dyDescent="0.25">
      <c r="A30" s="56" t="s">
        <v>78</v>
      </c>
      <c r="B30" s="56"/>
      <c r="C30" s="56"/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  <c r="AA30" s="56"/>
      <c r="AB30" s="56"/>
      <c r="AC30" s="56"/>
      <c r="AD30" s="56"/>
      <c r="AE30" s="56"/>
      <c r="AF30" s="56"/>
      <c r="AG30" s="56"/>
      <c r="AH30" s="56"/>
      <c r="AI30" s="56"/>
      <c r="AJ30" s="56"/>
      <c r="AK30" s="56"/>
      <c r="AL30" s="56"/>
      <c r="AM30" s="56"/>
      <c r="AN30" s="56"/>
      <c r="AO30" s="56"/>
      <c r="AP30" s="56"/>
      <c r="AQ30" s="56"/>
      <c r="AR30" s="56"/>
      <c r="AS30" s="56"/>
      <c r="AT30" s="56"/>
      <c r="AU30" s="56"/>
      <c r="AV30" s="56"/>
      <c r="AW30" s="56"/>
      <c r="AX30" s="56"/>
      <c r="AY30" s="56"/>
      <c r="AZ30" s="56"/>
      <c r="BA30" s="56"/>
      <c r="BB30" s="56"/>
      <c r="BC30" s="56"/>
      <c r="BD30" s="56"/>
      <c r="BE30" s="56"/>
      <c r="BF30" s="56"/>
      <c r="BG30" s="56"/>
      <c r="BH30" s="56"/>
      <c r="BI30" s="56"/>
      <c r="BJ30" s="56"/>
      <c r="BK30" s="56"/>
      <c r="BL30" s="56"/>
      <c r="BM30" s="56"/>
    </row>
    <row r="31" spans="1:65 16297:16297" x14ac:dyDescent="0.25">
      <c r="A31" t="s">
        <v>79</v>
      </c>
      <c r="C31" s="8"/>
      <c r="D31" s="57">
        <f>D5+D12+D19</f>
        <v>51</v>
      </c>
      <c r="E31" s="57">
        <f>E5+E12+E19</f>
        <v>3</v>
      </c>
      <c r="F31" s="57">
        <f>F5+F12+F19</f>
        <v>69</v>
      </c>
      <c r="G31" s="57">
        <f>G5+G12+G19</f>
        <v>3</v>
      </c>
      <c r="H31" s="57">
        <f>H5+H12+H19</f>
        <v>51</v>
      </c>
      <c r="I31" s="57">
        <f>I5+I12+I19</f>
        <v>3</v>
      </c>
      <c r="J31" s="57">
        <f>J5+J12+J19</f>
        <v>38</v>
      </c>
      <c r="K31" s="57">
        <f>K5+K12+K19</f>
        <v>41</v>
      </c>
      <c r="L31" s="150">
        <f>L5+L12+L19</f>
        <v>38</v>
      </c>
      <c r="M31" s="57">
        <f>M5+M12+M19</f>
        <v>41</v>
      </c>
      <c r="N31" s="277">
        <f>N5+N12+N19</f>
        <v>40</v>
      </c>
      <c r="O31" s="277">
        <f>O5+O12+O19</f>
        <v>39</v>
      </c>
      <c r="P31" s="278">
        <f>P5+P12+P19</f>
        <v>27</v>
      </c>
      <c r="Q31" s="278">
        <f>Q5+Q12+Q19</f>
        <v>43</v>
      </c>
      <c r="R31" s="258">
        <f>R5+R12+R19</f>
        <v>38</v>
      </c>
      <c r="S31" s="258">
        <f>S5+S12+S19</f>
        <v>41</v>
      </c>
      <c r="T31" s="57">
        <f>T5+T12+T19</f>
        <v>69</v>
      </c>
      <c r="U31" s="57">
        <f>U5+U12+U19</f>
        <v>3</v>
      </c>
      <c r="V31" s="266">
        <f>V5+V12+V19</f>
        <v>51</v>
      </c>
      <c r="W31" s="266">
        <f>W5+W12+W19</f>
        <v>3</v>
      </c>
      <c r="X31" s="267">
        <f>X5+X12+X19</f>
        <v>37</v>
      </c>
      <c r="Y31" s="267">
        <f>Y5+Y12+Y19</f>
        <v>42</v>
      </c>
      <c r="Z31" s="268">
        <f>Z5+Z12+Z19</f>
        <v>38</v>
      </c>
      <c r="AA31" s="268">
        <f>AA5+AA12+AA19</f>
        <v>41</v>
      </c>
      <c r="AB31" s="269">
        <f>AB5+AB12+AB19</f>
        <v>38</v>
      </c>
      <c r="AC31" s="269">
        <f>AC5+AC12+AC19</f>
        <v>41</v>
      </c>
      <c r="AD31" s="57">
        <f>AD5+AD12+AD19</f>
        <v>37</v>
      </c>
      <c r="AE31" s="57">
        <f>AE5+AE12+AE19</f>
        <v>42</v>
      </c>
      <c r="AF31" s="57">
        <f>AF5+AF12+AF19</f>
        <v>37</v>
      </c>
      <c r="AG31" s="248">
        <f>AG5+AG12+AG19</f>
        <v>42</v>
      </c>
      <c r="AH31" s="57">
        <f>AH5+AH12+AH19</f>
        <v>69</v>
      </c>
      <c r="AI31" s="57">
        <f>AI5+AI12+AI19</f>
        <v>3</v>
      </c>
      <c r="AJ31" s="262">
        <f>AJ5+AJ12+AJ19</f>
        <v>51</v>
      </c>
      <c r="AK31" s="262">
        <f>AK5+AK12+AK19</f>
        <v>3</v>
      </c>
      <c r="AL31" s="280">
        <f>AL5+AL12+AL19</f>
        <v>41</v>
      </c>
      <c r="AM31" s="280">
        <f>AM5+AM12+AM19</f>
        <v>39</v>
      </c>
      <c r="AN31" s="271">
        <f>AN5+AN12+AN19</f>
        <v>39</v>
      </c>
      <c r="AO31" s="271">
        <f>AO5+AO12+AO19</f>
        <v>40</v>
      </c>
      <c r="AP31" s="280">
        <f>AP5+AP12+AP19</f>
        <v>40</v>
      </c>
      <c r="AQ31" s="280">
        <f>AQ5+AQ12+AQ19</f>
        <v>39</v>
      </c>
      <c r="AR31" s="272">
        <f>AR5+AR12+AR19</f>
        <v>37</v>
      </c>
      <c r="AS31" s="272">
        <f>AS5+AS12+AS19</f>
        <v>17</v>
      </c>
      <c r="AT31" s="273">
        <f>AT5+AT12+AT19</f>
        <v>38</v>
      </c>
      <c r="AU31" s="273">
        <f>AU5+AU12+AU19</f>
        <v>41</v>
      </c>
      <c r="AV31" s="274">
        <f>AV5+AV12+AV19</f>
        <v>69</v>
      </c>
      <c r="AW31" s="274">
        <f>AW5+AW12+AW19</f>
        <v>3</v>
      </c>
      <c r="AX31" s="275">
        <f>AX5+AX12+AX19</f>
        <v>52</v>
      </c>
      <c r="AY31" s="275">
        <f>AY5+AY12+AY19</f>
        <v>2</v>
      </c>
      <c r="AZ31" s="57">
        <f>AZ5+AZ12+AZ19</f>
        <v>40</v>
      </c>
      <c r="BA31" s="250">
        <f>BA5+BA12+BA19</f>
        <v>39</v>
      </c>
      <c r="BB31" s="115">
        <f>BB5+BB12+BB19</f>
        <v>38</v>
      </c>
      <c r="BC31" s="251">
        <f>BC5+BC12+BC19</f>
        <v>41</v>
      </c>
      <c r="BD31" s="263">
        <f>BD5+BD12+BD19</f>
        <v>39</v>
      </c>
      <c r="BE31" s="263">
        <f>BE5+BE12+BE19</f>
        <v>40</v>
      </c>
      <c r="BF31" s="174">
        <f>BF5+BF12+BF19</f>
        <v>39</v>
      </c>
      <c r="BG31" s="174">
        <f>BG5+BG12+BG19</f>
        <v>40</v>
      </c>
      <c r="BH31" s="325">
        <f>BH5+BH12+BH19</f>
        <v>39</v>
      </c>
      <c r="BI31" s="325">
        <f>BI5+BI12+BI19</f>
        <v>40</v>
      </c>
      <c r="BJ31" s="325">
        <f>BJ5+BJ12+BJ19</f>
        <v>69</v>
      </c>
      <c r="BK31" s="325">
        <f>BK5+BK12+BK19</f>
        <v>3</v>
      </c>
      <c r="BL31" s="340">
        <f>BL5+BL12+BL19</f>
        <v>51</v>
      </c>
      <c r="BM31" s="340">
        <f>BM5+BM12+BM19</f>
        <v>3</v>
      </c>
    </row>
    <row r="32" spans="1:65 16297:16297" x14ac:dyDescent="0.25">
      <c r="A32" t="s">
        <v>80</v>
      </c>
      <c r="C32" s="8"/>
      <c r="D32" s="57">
        <f>D8+D15+D22</f>
        <v>57</v>
      </c>
      <c r="E32" s="57">
        <f>E8+E15+E22</f>
        <v>0</v>
      </c>
      <c r="F32" s="57">
        <f>F8+F15+F22</f>
        <v>75</v>
      </c>
      <c r="G32" s="57">
        <f>G8+G15+G22</f>
        <v>0</v>
      </c>
      <c r="H32" s="57">
        <f>H8+H15+H22</f>
        <v>57</v>
      </c>
      <c r="I32" s="57">
        <f>I8+I15+I22</f>
        <v>0</v>
      </c>
      <c r="J32" s="57">
        <f>J8+J15+J22</f>
        <v>36</v>
      </c>
      <c r="K32" s="57">
        <f>K8+K15+K22</f>
        <v>42</v>
      </c>
      <c r="L32" s="150">
        <f>L8+L15+L22</f>
        <v>36</v>
      </c>
      <c r="M32" s="57">
        <f>M8+M15+M22</f>
        <v>42</v>
      </c>
      <c r="N32" s="277">
        <f>N8+N15+N22</f>
        <v>36</v>
      </c>
      <c r="O32" s="277">
        <f>O8+O15+O22</f>
        <v>42</v>
      </c>
      <c r="P32" s="278">
        <f>P8+P15+P22</f>
        <v>22</v>
      </c>
      <c r="Q32" s="278">
        <f>Q8+Q15+Q22</f>
        <v>46</v>
      </c>
      <c r="R32" s="258">
        <f>R8+R15+R22</f>
        <v>36</v>
      </c>
      <c r="S32" s="258">
        <f>S8+S15+S22</f>
        <v>42</v>
      </c>
      <c r="T32" s="57">
        <f>T8+T15+T22</f>
        <v>75</v>
      </c>
      <c r="U32" s="57">
        <f>U8+U15+U22</f>
        <v>0</v>
      </c>
      <c r="V32" s="266">
        <f>V8+V15+V22</f>
        <v>57</v>
      </c>
      <c r="W32" s="266">
        <f>W8+W15+W22</f>
        <v>0</v>
      </c>
      <c r="X32" s="267">
        <f>X8+X15+X22</f>
        <v>35</v>
      </c>
      <c r="Y32" s="267">
        <f>Y8+Y15+Y22</f>
        <v>43</v>
      </c>
      <c r="Z32" s="268">
        <f>Z8+Z15+Z22</f>
        <v>36</v>
      </c>
      <c r="AA32" s="268">
        <f>AA8+AA15+AA22</f>
        <v>42</v>
      </c>
      <c r="AB32" s="269">
        <f>AB8+AB15+AB22</f>
        <v>36</v>
      </c>
      <c r="AC32" s="269">
        <f>AC8+AC15+AC22</f>
        <v>42</v>
      </c>
      <c r="AD32" s="57">
        <f>AD8+AD15+AD22</f>
        <v>35</v>
      </c>
      <c r="AE32" s="247">
        <f>AE8+AE15+AE22</f>
        <v>43</v>
      </c>
      <c r="AF32" s="248">
        <f>AF8+AF15+AF22</f>
        <v>35</v>
      </c>
      <c r="AG32" s="248">
        <f>AG8+AG15+AG22</f>
        <v>43</v>
      </c>
      <c r="AH32" s="57">
        <f>AH8+AH15+AH22</f>
        <v>75</v>
      </c>
      <c r="AI32" s="57">
        <f>AI8+AI15+AI22</f>
        <v>0</v>
      </c>
      <c r="AJ32" s="262">
        <f>AJ8+AJ15+AJ22</f>
        <v>57</v>
      </c>
      <c r="AK32" s="262">
        <f>AK8+AK15+AK22</f>
        <v>0</v>
      </c>
      <c r="AL32" s="280">
        <f>AL8+AL15+AL22</f>
        <v>38</v>
      </c>
      <c r="AM32" s="280">
        <f>AM8+AM15+AM22</f>
        <v>40</v>
      </c>
      <c r="AN32" s="271">
        <f>AN8+AN15+AN22</f>
        <v>37</v>
      </c>
      <c r="AO32" s="271">
        <f>AO8+AO15+AO22</f>
        <v>41</v>
      </c>
      <c r="AP32" s="280">
        <f>AP8+AP15+AP22</f>
        <v>38</v>
      </c>
      <c r="AQ32" s="280">
        <f>AQ8+AQ15+AQ22</f>
        <v>40</v>
      </c>
      <c r="AR32" s="272">
        <f>AR8+AR15+AR22</f>
        <v>43</v>
      </c>
      <c r="AS32" s="272">
        <f>AS8+AS15+AS22</f>
        <v>14</v>
      </c>
      <c r="AT32" s="273">
        <f>AT8+AT15+AT22</f>
        <v>36</v>
      </c>
      <c r="AU32" s="273">
        <f>AU8+AU15+AU22</f>
        <v>42</v>
      </c>
      <c r="AV32" s="274">
        <f>AV8+AV15+AV22</f>
        <v>75</v>
      </c>
      <c r="AW32" s="274">
        <f>AW8+AW15+AW22</f>
        <v>0</v>
      </c>
      <c r="AX32" s="275">
        <f>AX8+AX15+AX22</f>
        <v>57</v>
      </c>
      <c r="AY32" s="275">
        <f>AY8+AY15+AY22</f>
        <v>0</v>
      </c>
      <c r="AZ32" s="250">
        <f>AZ8+AZ15+AZ22</f>
        <v>38</v>
      </c>
      <c r="BA32" s="250">
        <f>BA8+BA15+BA22</f>
        <v>40</v>
      </c>
      <c r="BB32" s="251">
        <f>BB8+BB15+BB22</f>
        <v>37</v>
      </c>
      <c r="BC32" s="251">
        <f>BC8+BC15+BC22</f>
        <v>42</v>
      </c>
      <c r="BD32" s="263">
        <f>BD8+BD15+BD22</f>
        <v>37</v>
      </c>
      <c r="BE32" s="263">
        <f>BE8+BE15+BE22</f>
        <v>41</v>
      </c>
      <c r="BF32" s="174">
        <f>BF8+BF15+BF22</f>
        <v>37</v>
      </c>
      <c r="BG32" s="174">
        <f>BG8+BG15+BG22</f>
        <v>41</v>
      </c>
      <c r="BH32" s="325">
        <f>BH8+BH15+BH22</f>
        <v>37</v>
      </c>
      <c r="BI32" s="325">
        <f>BI8+BI15+BI22</f>
        <v>41</v>
      </c>
      <c r="BJ32" s="325">
        <f>BJ8+BJ15+BJ22</f>
        <v>74</v>
      </c>
      <c r="BK32" s="325">
        <f>BK8+BK15+BK22</f>
        <v>1</v>
      </c>
      <c r="BL32" s="340">
        <f>BL8+BL15+BL22</f>
        <v>57</v>
      </c>
      <c r="BM32" s="340">
        <f>BM8+BM15+BM22</f>
        <v>0</v>
      </c>
    </row>
    <row r="33" spans="1:65" x14ac:dyDescent="0.25">
      <c r="A33" t="s">
        <v>81</v>
      </c>
      <c r="C33" s="8"/>
      <c r="D33" s="57">
        <f t="shared" ref="D33:AI33" si="3">D3+D10+D17</f>
        <v>0</v>
      </c>
      <c r="E33" s="57">
        <f t="shared" si="3"/>
        <v>0</v>
      </c>
      <c r="F33" s="57">
        <f t="shared" si="3"/>
        <v>0</v>
      </c>
      <c r="G33" s="57">
        <f t="shared" si="3"/>
        <v>0</v>
      </c>
      <c r="H33" s="57">
        <f t="shared" si="3"/>
        <v>0</v>
      </c>
      <c r="I33" s="57">
        <f t="shared" si="3"/>
        <v>0</v>
      </c>
      <c r="J33" s="57">
        <f t="shared" si="3"/>
        <v>33</v>
      </c>
      <c r="K33" s="57">
        <f t="shared" si="3"/>
        <v>2</v>
      </c>
      <c r="L33" s="150">
        <f t="shared" si="3"/>
        <v>34</v>
      </c>
      <c r="M33" s="57">
        <f t="shared" si="3"/>
        <v>2</v>
      </c>
      <c r="N33" s="277">
        <f t="shared" si="3"/>
        <v>33</v>
      </c>
      <c r="O33" s="277">
        <f t="shared" si="3"/>
        <v>3</v>
      </c>
      <c r="P33" s="278">
        <f t="shared" si="3"/>
        <v>24</v>
      </c>
      <c r="Q33" s="278">
        <f t="shared" si="3"/>
        <v>2</v>
      </c>
      <c r="R33" s="258">
        <f t="shared" si="3"/>
        <v>34</v>
      </c>
      <c r="S33" s="258">
        <f t="shared" si="3"/>
        <v>2</v>
      </c>
      <c r="T33" s="57">
        <f t="shared" si="3"/>
        <v>0</v>
      </c>
      <c r="U33" s="57">
        <f t="shared" si="3"/>
        <v>0</v>
      </c>
      <c r="V33" s="266">
        <f t="shared" si="3"/>
        <v>0</v>
      </c>
      <c r="W33" s="266">
        <f t="shared" si="3"/>
        <v>0</v>
      </c>
      <c r="X33" s="267">
        <f t="shared" si="3"/>
        <v>34</v>
      </c>
      <c r="Y33" s="267">
        <f t="shared" si="3"/>
        <v>2</v>
      </c>
      <c r="Z33" s="268">
        <f t="shared" si="3"/>
        <v>34</v>
      </c>
      <c r="AA33" s="268">
        <f t="shared" si="3"/>
        <v>2</v>
      </c>
      <c r="AB33" s="269">
        <f t="shared" si="3"/>
        <v>34</v>
      </c>
      <c r="AC33" s="269">
        <f t="shared" si="3"/>
        <v>2</v>
      </c>
      <c r="AD33" s="57">
        <f t="shared" si="3"/>
        <v>34</v>
      </c>
      <c r="AE33" s="247">
        <f t="shared" si="3"/>
        <v>2</v>
      </c>
      <c r="AF33" s="57">
        <f t="shared" si="3"/>
        <v>34</v>
      </c>
      <c r="AG33" s="248">
        <f t="shared" si="3"/>
        <v>2</v>
      </c>
      <c r="AH33" s="57">
        <f t="shared" si="3"/>
        <v>0</v>
      </c>
      <c r="AI33" s="57">
        <f t="shared" si="3"/>
        <v>0</v>
      </c>
      <c r="AJ33" s="262">
        <f t="shared" ref="AJ33:BG33" si="4">AJ3+AJ10+AJ17</f>
        <v>0</v>
      </c>
      <c r="AK33" s="262">
        <f t="shared" si="4"/>
        <v>0</v>
      </c>
      <c r="AL33" s="280">
        <f t="shared" si="4"/>
        <v>33</v>
      </c>
      <c r="AM33" s="280">
        <f t="shared" si="4"/>
        <v>2</v>
      </c>
      <c r="AN33" s="271">
        <f t="shared" si="4"/>
        <v>34</v>
      </c>
      <c r="AO33" s="271">
        <f t="shared" si="4"/>
        <v>2</v>
      </c>
      <c r="AP33" s="280">
        <f t="shared" si="4"/>
        <v>34</v>
      </c>
      <c r="AQ33" s="280">
        <f t="shared" si="4"/>
        <v>2</v>
      </c>
      <c r="AR33" s="272">
        <f t="shared" si="4"/>
        <v>0</v>
      </c>
      <c r="AS33" s="272">
        <f t="shared" si="4"/>
        <v>0</v>
      </c>
      <c r="AT33" s="273">
        <f t="shared" si="4"/>
        <v>34</v>
      </c>
      <c r="AU33" s="273">
        <f t="shared" si="4"/>
        <v>2</v>
      </c>
      <c r="AV33" s="274">
        <f t="shared" si="4"/>
        <v>0</v>
      </c>
      <c r="AW33" s="274">
        <f t="shared" si="4"/>
        <v>0</v>
      </c>
      <c r="AX33" s="275">
        <f t="shared" si="4"/>
        <v>0</v>
      </c>
      <c r="AY33" s="275">
        <f t="shared" si="4"/>
        <v>0</v>
      </c>
      <c r="AZ33" s="57">
        <f t="shared" si="4"/>
        <v>33</v>
      </c>
      <c r="BA33" s="250">
        <f t="shared" si="4"/>
        <v>3</v>
      </c>
      <c r="BB33" s="251">
        <f t="shared" si="4"/>
        <v>33</v>
      </c>
      <c r="BC33" s="251">
        <f t="shared" si="4"/>
        <v>3</v>
      </c>
      <c r="BD33" s="263">
        <f t="shared" si="4"/>
        <v>33</v>
      </c>
      <c r="BE33" s="263">
        <f t="shared" si="4"/>
        <v>3</v>
      </c>
      <c r="BF33" s="252">
        <f t="shared" si="4"/>
        <v>33</v>
      </c>
      <c r="BG33" s="174">
        <f t="shared" si="4"/>
        <v>3</v>
      </c>
      <c r="BH33" s="325">
        <f t="shared" ref="BH33:BK33" si="5">BH3+BH10+BH17</f>
        <v>33</v>
      </c>
      <c r="BI33" s="325">
        <f t="shared" si="5"/>
        <v>3</v>
      </c>
      <c r="BJ33" s="325">
        <f t="shared" si="5"/>
        <v>0</v>
      </c>
      <c r="BK33" s="325">
        <f t="shared" si="5"/>
        <v>0</v>
      </c>
      <c r="BL33" s="340">
        <f t="shared" ref="BL33:BM33" si="6">BL3+BL10+BL17</f>
        <v>0</v>
      </c>
      <c r="BM33" s="340">
        <f t="shared" si="6"/>
        <v>0</v>
      </c>
    </row>
    <row r="34" spans="1:65" x14ac:dyDescent="0.25">
      <c r="A34" t="s">
        <v>82</v>
      </c>
      <c r="C34" s="8"/>
      <c r="D34" s="57">
        <f t="shared" ref="D34:AI34" si="7">D6+D13+D20</f>
        <v>0</v>
      </c>
      <c r="E34" s="57">
        <f t="shared" si="7"/>
        <v>0</v>
      </c>
      <c r="F34" s="57">
        <f t="shared" si="7"/>
        <v>0</v>
      </c>
      <c r="G34" s="57">
        <f t="shared" si="7"/>
        <v>0</v>
      </c>
      <c r="H34" s="57">
        <f t="shared" si="7"/>
        <v>0</v>
      </c>
      <c r="I34" s="57">
        <f t="shared" si="7"/>
        <v>0</v>
      </c>
      <c r="J34" s="57">
        <f t="shared" si="7"/>
        <v>29</v>
      </c>
      <c r="K34" s="57">
        <f t="shared" si="7"/>
        <v>2</v>
      </c>
      <c r="L34" s="150">
        <f t="shared" si="7"/>
        <v>30</v>
      </c>
      <c r="M34" s="57">
        <f t="shared" si="7"/>
        <v>2</v>
      </c>
      <c r="N34" s="277">
        <f t="shared" si="7"/>
        <v>27</v>
      </c>
      <c r="O34" s="277">
        <f t="shared" si="7"/>
        <v>3</v>
      </c>
      <c r="P34" s="278">
        <f t="shared" si="7"/>
        <v>25</v>
      </c>
      <c r="Q34" s="278">
        <f t="shared" si="7"/>
        <v>2</v>
      </c>
      <c r="R34" s="258">
        <f t="shared" si="7"/>
        <v>30</v>
      </c>
      <c r="S34" s="258">
        <f t="shared" si="7"/>
        <v>2</v>
      </c>
      <c r="T34" s="57">
        <f t="shared" si="7"/>
        <v>0</v>
      </c>
      <c r="U34" s="57">
        <f t="shared" si="7"/>
        <v>0</v>
      </c>
      <c r="V34" s="266">
        <f t="shared" si="7"/>
        <v>0</v>
      </c>
      <c r="W34" s="266">
        <f t="shared" si="7"/>
        <v>0</v>
      </c>
      <c r="X34" s="267">
        <f t="shared" si="7"/>
        <v>30</v>
      </c>
      <c r="Y34" s="267">
        <f t="shared" si="7"/>
        <v>2</v>
      </c>
      <c r="Z34" s="268">
        <f t="shared" si="7"/>
        <v>30</v>
      </c>
      <c r="AA34" s="268">
        <f t="shared" si="7"/>
        <v>2</v>
      </c>
      <c r="AB34" s="269">
        <f t="shared" si="7"/>
        <v>30</v>
      </c>
      <c r="AC34" s="269">
        <f t="shared" si="7"/>
        <v>2</v>
      </c>
      <c r="AD34" s="57">
        <f t="shared" si="7"/>
        <v>30</v>
      </c>
      <c r="AE34" s="247">
        <f t="shared" si="7"/>
        <v>2</v>
      </c>
      <c r="AF34" s="57">
        <f t="shared" si="7"/>
        <v>30</v>
      </c>
      <c r="AG34" s="248">
        <f t="shared" si="7"/>
        <v>2</v>
      </c>
      <c r="AH34" s="57">
        <f t="shared" si="7"/>
        <v>0</v>
      </c>
      <c r="AI34" s="57">
        <f t="shared" si="7"/>
        <v>0</v>
      </c>
      <c r="AJ34" s="262">
        <f t="shared" ref="AJ34:BG34" si="8">AJ6+AJ13+AJ20</f>
        <v>0</v>
      </c>
      <c r="AK34" s="262">
        <f t="shared" si="8"/>
        <v>0</v>
      </c>
      <c r="AL34" s="280">
        <f t="shared" si="8"/>
        <v>30</v>
      </c>
      <c r="AM34" s="280">
        <f t="shared" si="8"/>
        <v>2</v>
      </c>
      <c r="AN34" s="271">
        <f t="shared" si="8"/>
        <v>30</v>
      </c>
      <c r="AO34" s="271">
        <f t="shared" si="8"/>
        <v>2</v>
      </c>
      <c r="AP34" s="280">
        <f t="shared" si="8"/>
        <v>30</v>
      </c>
      <c r="AQ34" s="280">
        <f t="shared" si="8"/>
        <v>2</v>
      </c>
      <c r="AR34" s="272">
        <f t="shared" si="8"/>
        <v>0</v>
      </c>
      <c r="AS34" s="272">
        <f t="shared" si="8"/>
        <v>0</v>
      </c>
      <c r="AT34" s="273">
        <f t="shared" si="8"/>
        <v>30</v>
      </c>
      <c r="AU34" s="273">
        <f t="shared" si="8"/>
        <v>2</v>
      </c>
      <c r="AV34" s="274">
        <f t="shared" si="8"/>
        <v>0</v>
      </c>
      <c r="AW34" s="274">
        <f t="shared" si="8"/>
        <v>0</v>
      </c>
      <c r="AX34" s="275">
        <f t="shared" si="8"/>
        <v>0</v>
      </c>
      <c r="AY34" s="275">
        <f t="shared" si="8"/>
        <v>0</v>
      </c>
      <c r="AZ34" s="57">
        <f t="shared" si="8"/>
        <v>29</v>
      </c>
      <c r="BA34" s="250">
        <f t="shared" si="8"/>
        <v>3</v>
      </c>
      <c r="BB34" s="115">
        <f t="shared" si="8"/>
        <v>28</v>
      </c>
      <c r="BC34" s="251">
        <f t="shared" si="8"/>
        <v>3</v>
      </c>
      <c r="BD34" s="263">
        <f t="shared" si="8"/>
        <v>29</v>
      </c>
      <c r="BE34" s="263">
        <f t="shared" si="8"/>
        <v>3</v>
      </c>
      <c r="BF34" s="174">
        <f t="shared" si="8"/>
        <v>29</v>
      </c>
      <c r="BG34" s="174">
        <f t="shared" si="8"/>
        <v>3</v>
      </c>
      <c r="BH34" s="325">
        <f t="shared" ref="BH34:BK34" si="9">BH6+BH13+BH20</f>
        <v>29</v>
      </c>
      <c r="BI34" s="325">
        <f t="shared" si="9"/>
        <v>3</v>
      </c>
      <c r="BJ34" s="325">
        <f t="shared" si="9"/>
        <v>0</v>
      </c>
      <c r="BK34" s="325">
        <f t="shared" si="9"/>
        <v>0</v>
      </c>
      <c r="BL34" s="340">
        <f t="shared" ref="BL34:BM34" si="10">BL6+BL13+BL20</f>
        <v>0</v>
      </c>
      <c r="BM34" s="340">
        <f t="shared" si="10"/>
        <v>0</v>
      </c>
    </row>
    <row r="35" spans="1:65" s="124" customFormat="1" x14ac:dyDescent="0.25">
      <c r="A35" s="124" t="s">
        <v>122</v>
      </c>
      <c r="C35" s="8"/>
      <c r="D35" s="154">
        <f t="shared" ref="D35:AI35" si="11">D4+D11+D18</f>
        <v>0</v>
      </c>
      <c r="E35" s="154">
        <f t="shared" si="11"/>
        <v>0</v>
      </c>
      <c r="F35" s="154">
        <f t="shared" si="11"/>
        <v>0</v>
      </c>
      <c r="G35" s="154">
        <f t="shared" si="11"/>
        <v>0</v>
      </c>
      <c r="H35" s="154">
        <f t="shared" si="11"/>
        <v>0</v>
      </c>
      <c r="I35" s="154">
        <f t="shared" si="11"/>
        <v>0</v>
      </c>
      <c r="J35" s="154">
        <f t="shared" si="11"/>
        <v>0</v>
      </c>
      <c r="K35" s="154">
        <f t="shared" si="11"/>
        <v>0</v>
      </c>
      <c r="L35" s="154">
        <f t="shared" si="11"/>
        <v>0</v>
      </c>
      <c r="M35" s="154">
        <f t="shared" si="11"/>
        <v>0</v>
      </c>
      <c r="N35" s="277">
        <f t="shared" si="11"/>
        <v>0</v>
      </c>
      <c r="O35" s="277">
        <f t="shared" si="11"/>
        <v>0</v>
      </c>
      <c r="P35" s="278">
        <f t="shared" si="11"/>
        <v>0</v>
      </c>
      <c r="Q35" s="278">
        <f t="shared" si="11"/>
        <v>0</v>
      </c>
      <c r="R35" s="258">
        <f t="shared" si="11"/>
        <v>0</v>
      </c>
      <c r="S35" s="258">
        <f t="shared" si="11"/>
        <v>0</v>
      </c>
      <c r="T35" s="154">
        <f t="shared" si="11"/>
        <v>0</v>
      </c>
      <c r="U35" s="154">
        <f t="shared" si="11"/>
        <v>0</v>
      </c>
      <c r="V35" s="266">
        <f t="shared" si="11"/>
        <v>0</v>
      </c>
      <c r="W35" s="266">
        <f t="shared" si="11"/>
        <v>0</v>
      </c>
      <c r="X35" s="267">
        <f t="shared" si="11"/>
        <v>0</v>
      </c>
      <c r="Y35" s="267">
        <f t="shared" si="11"/>
        <v>0</v>
      </c>
      <c r="Z35" s="268">
        <f t="shared" si="11"/>
        <v>0</v>
      </c>
      <c r="AA35" s="268">
        <f t="shared" si="11"/>
        <v>0</v>
      </c>
      <c r="AB35" s="269">
        <f t="shared" si="11"/>
        <v>0</v>
      </c>
      <c r="AC35" s="269">
        <f t="shared" si="11"/>
        <v>0</v>
      </c>
      <c r="AD35" s="154">
        <f t="shared" si="11"/>
        <v>0</v>
      </c>
      <c r="AE35" s="247">
        <f t="shared" si="11"/>
        <v>0</v>
      </c>
      <c r="AF35" s="154">
        <f t="shared" si="11"/>
        <v>0</v>
      </c>
      <c r="AG35" s="248">
        <f t="shared" si="11"/>
        <v>0</v>
      </c>
      <c r="AH35" s="154">
        <f t="shared" si="11"/>
        <v>0</v>
      </c>
      <c r="AI35" s="154">
        <f t="shared" si="11"/>
        <v>0</v>
      </c>
      <c r="AJ35" s="262">
        <f t="shared" ref="AJ35:BG35" si="12">AJ4+AJ11+AJ18</f>
        <v>0</v>
      </c>
      <c r="AK35" s="262">
        <f t="shared" si="12"/>
        <v>0</v>
      </c>
      <c r="AL35" s="280">
        <f t="shared" si="12"/>
        <v>0</v>
      </c>
      <c r="AM35" s="280">
        <f t="shared" si="12"/>
        <v>0</v>
      </c>
      <c r="AN35" s="271">
        <f t="shared" si="12"/>
        <v>0</v>
      </c>
      <c r="AO35" s="271">
        <f t="shared" si="12"/>
        <v>0</v>
      </c>
      <c r="AP35" s="280">
        <f t="shared" si="12"/>
        <v>0</v>
      </c>
      <c r="AQ35" s="280">
        <f t="shared" si="12"/>
        <v>0</v>
      </c>
      <c r="AR35" s="272">
        <f t="shared" si="12"/>
        <v>0</v>
      </c>
      <c r="AS35" s="272">
        <f t="shared" si="12"/>
        <v>0</v>
      </c>
      <c r="AT35" s="273">
        <f t="shared" si="12"/>
        <v>0</v>
      </c>
      <c r="AU35" s="273">
        <f t="shared" si="12"/>
        <v>0</v>
      </c>
      <c r="AV35" s="274">
        <f t="shared" si="12"/>
        <v>0</v>
      </c>
      <c r="AW35" s="274">
        <f t="shared" si="12"/>
        <v>0</v>
      </c>
      <c r="AX35" s="275">
        <f t="shared" si="12"/>
        <v>0</v>
      </c>
      <c r="AY35" s="275">
        <f t="shared" si="12"/>
        <v>0</v>
      </c>
      <c r="AZ35" s="154">
        <f t="shared" si="12"/>
        <v>0</v>
      </c>
      <c r="BA35" s="250">
        <f t="shared" si="12"/>
        <v>0</v>
      </c>
      <c r="BB35" s="154">
        <f t="shared" si="12"/>
        <v>0</v>
      </c>
      <c r="BC35" s="251">
        <f t="shared" si="12"/>
        <v>0</v>
      </c>
      <c r="BD35" s="263">
        <f t="shared" si="12"/>
        <v>0</v>
      </c>
      <c r="BE35" s="263">
        <f t="shared" si="12"/>
        <v>0</v>
      </c>
      <c r="BF35" s="174">
        <f t="shared" si="12"/>
        <v>0</v>
      </c>
      <c r="BG35" s="174">
        <f t="shared" si="12"/>
        <v>0</v>
      </c>
      <c r="BH35" s="325">
        <f t="shared" ref="BH35:BK35" si="13">BH4+BH11+BH18</f>
        <v>0</v>
      </c>
      <c r="BI35" s="325">
        <f t="shared" si="13"/>
        <v>0</v>
      </c>
      <c r="BJ35" s="325">
        <f t="shared" si="13"/>
        <v>0</v>
      </c>
      <c r="BK35" s="325">
        <f t="shared" si="13"/>
        <v>0</v>
      </c>
      <c r="BL35" s="340">
        <f t="shared" ref="BL35:BM35" si="14">BL4+BL11+BL18</f>
        <v>0</v>
      </c>
      <c r="BM35" s="340">
        <f t="shared" si="14"/>
        <v>0</v>
      </c>
    </row>
    <row r="36" spans="1:65" x14ac:dyDescent="0.25">
      <c r="A36" t="s">
        <v>35</v>
      </c>
      <c r="C36" s="8"/>
      <c r="D36" s="57">
        <f t="shared" ref="D36:AI36" si="15">D7+D14+D21</f>
        <v>0</v>
      </c>
      <c r="E36" s="57">
        <f t="shared" si="15"/>
        <v>0</v>
      </c>
      <c r="F36" s="57">
        <f t="shared" si="15"/>
        <v>0</v>
      </c>
      <c r="G36" s="57">
        <f t="shared" si="15"/>
        <v>0</v>
      </c>
      <c r="H36" s="57">
        <f t="shared" si="15"/>
        <v>0</v>
      </c>
      <c r="I36" s="57">
        <f t="shared" si="15"/>
        <v>0</v>
      </c>
      <c r="J36" s="57">
        <f t="shared" si="15"/>
        <v>4</v>
      </c>
      <c r="K36" s="57">
        <f t="shared" si="15"/>
        <v>0</v>
      </c>
      <c r="L36" s="150">
        <f t="shared" si="15"/>
        <v>4</v>
      </c>
      <c r="M36" s="57">
        <f t="shared" si="15"/>
        <v>0</v>
      </c>
      <c r="N36" s="277">
        <f t="shared" si="15"/>
        <v>4</v>
      </c>
      <c r="O36" s="277">
        <f t="shared" si="15"/>
        <v>0</v>
      </c>
      <c r="P36" s="278">
        <f t="shared" si="15"/>
        <v>4</v>
      </c>
      <c r="Q36" s="278">
        <f t="shared" si="15"/>
        <v>0</v>
      </c>
      <c r="R36" s="258">
        <f t="shared" si="15"/>
        <v>4</v>
      </c>
      <c r="S36" s="258">
        <f t="shared" si="15"/>
        <v>0</v>
      </c>
      <c r="T36" s="57">
        <f t="shared" si="15"/>
        <v>0</v>
      </c>
      <c r="U36" s="57">
        <f t="shared" si="15"/>
        <v>0</v>
      </c>
      <c r="V36" s="266">
        <f t="shared" si="15"/>
        <v>0</v>
      </c>
      <c r="W36" s="266">
        <f t="shared" si="15"/>
        <v>0</v>
      </c>
      <c r="X36" s="267">
        <f t="shared" si="15"/>
        <v>4</v>
      </c>
      <c r="Y36" s="267">
        <f t="shared" si="15"/>
        <v>0</v>
      </c>
      <c r="Z36" s="268">
        <f t="shared" si="15"/>
        <v>4</v>
      </c>
      <c r="AA36" s="268">
        <f t="shared" si="15"/>
        <v>0</v>
      </c>
      <c r="AB36" s="269">
        <f t="shared" si="15"/>
        <v>4</v>
      </c>
      <c r="AC36" s="269">
        <f t="shared" si="15"/>
        <v>0</v>
      </c>
      <c r="AD36" s="57">
        <f t="shared" si="15"/>
        <v>4</v>
      </c>
      <c r="AE36" s="247">
        <f t="shared" si="15"/>
        <v>0</v>
      </c>
      <c r="AF36" s="248">
        <f t="shared" si="15"/>
        <v>4</v>
      </c>
      <c r="AG36" s="248">
        <f t="shared" si="15"/>
        <v>0</v>
      </c>
      <c r="AH36" s="57">
        <f t="shared" si="15"/>
        <v>0</v>
      </c>
      <c r="AI36" s="57">
        <f t="shared" si="15"/>
        <v>0</v>
      </c>
      <c r="AJ36" s="262">
        <f t="shared" ref="AJ36:BG36" si="16">AJ7+AJ14+AJ21</f>
        <v>0</v>
      </c>
      <c r="AK36" s="262">
        <f t="shared" si="16"/>
        <v>0</v>
      </c>
      <c r="AL36" s="280">
        <f t="shared" si="16"/>
        <v>4</v>
      </c>
      <c r="AM36" s="280">
        <f t="shared" si="16"/>
        <v>0</v>
      </c>
      <c r="AN36" s="271">
        <f t="shared" si="16"/>
        <v>4</v>
      </c>
      <c r="AO36" s="271">
        <f t="shared" si="16"/>
        <v>0</v>
      </c>
      <c r="AP36" s="280">
        <f t="shared" si="16"/>
        <v>4</v>
      </c>
      <c r="AQ36" s="280">
        <f t="shared" si="16"/>
        <v>0</v>
      </c>
      <c r="AR36" s="272">
        <f t="shared" si="16"/>
        <v>0</v>
      </c>
      <c r="AS36" s="272">
        <f t="shared" si="16"/>
        <v>0</v>
      </c>
      <c r="AT36" s="273">
        <f t="shared" si="16"/>
        <v>4</v>
      </c>
      <c r="AU36" s="273">
        <f t="shared" si="16"/>
        <v>0</v>
      </c>
      <c r="AV36" s="274">
        <f t="shared" si="16"/>
        <v>0</v>
      </c>
      <c r="AW36" s="274">
        <f t="shared" si="16"/>
        <v>0</v>
      </c>
      <c r="AX36" s="275">
        <f t="shared" si="16"/>
        <v>0</v>
      </c>
      <c r="AY36" s="275">
        <f t="shared" si="16"/>
        <v>0</v>
      </c>
      <c r="AZ36" s="250">
        <f t="shared" si="16"/>
        <v>4</v>
      </c>
      <c r="BA36" s="250">
        <f t="shared" si="16"/>
        <v>0</v>
      </c>
      <c r="BB36" s="251">
        <f t="shared" si="16"/>
        <v>4</v>
      </c>
      <c r="BC36" s="251">
        <f t="shared" si="16"/>
        <v>0</v>
      </c>
      <c r="BD36" s="263">
        <f t="shared" si="16"/>
        <v>4</v>
      </c>
      <c r="BE36" s="263">
        <f t="shared" si="16"/>
        <v>0</v>
      </c>
      <c r="BF36" s="174">
        <f t="shared" si="16"/>
        <v>4</v>
      </c>
      <c r="BG36" s="174">
        <f t="shared" si="16"/>
        <v>0</v>
      </c>
      <c r="BH36" s="325">
        <f t="shared" ref="BH36:BK36" si="17">BH7+BH14+BH21</f>
        <v>4</v>
      </c>
      <c r="BI36" s="325">
        <f t="shared" si="17"/>
        <v>0</v>
      </c>
      <c r="BJ36" s="325">
        <f t="shared" si="17"/>
        <v>0</v>
      </c>
      <c r="BK36" s="325">
        <f t="shared" si="17"/>
        <v>0</v>
      </c>
      <c r="BL36" s="340">
        <f t="shared" ref="BL36:BM36" si="18">BL7+BL14+BL21</f>
        <v>0</v>
      </c>
      <c r="BM36" s="340">
        <f t="shared" si="18"/>
        <v>0</v>
      </c>
    </row>
    <row r="37" spans="1:65" x14ac:dyDescent="0.25">
      <c r="A37" s="378" t="s">
        <v>83</v>
      </c>
      <c r="B37" s="378"/>
      <c r="C37" s="8"/>
      <c r="D37" s="149">
        <f t="shared" ref="D37:AI37" si="19">SUM(D31:D36)</f>
        <v>108</v>
      </c>
      <c r="E37" s="233">
        <f t="shared" si="19"/>
        <v>3</v>
      </c>
      <c r="F37" s="233">
        <f t="shared" si="19"/>
        <v>144</v>
      </c>
      <c r="G37" s="233">
        <f t="shared" si="19"/>
        <v>3</v>
      </c>
      <c r="H37" s="233">
        <f t="shared" si="19"/>
        <v>108</v>
      </c>
      <c r="I37" s="233">
        <f t="shared" si="19"/>
        <v>3</v>
      </c>
      <c r="J37" s="233">
        <f t="shared" si="19"/>
        <v>140</v>
      </c>
      <c r="K37" s="233">
        <f t="shared" si="19"/>
        <v>87</v>
      </c>
      <c r="L37" s="233">
        <f t="shared" si="19"/>
        <v>142</v>
      </c>
      <c r="M37" s="233">
        <f t="shared" si="19"/>
        <v>87</v>
      </c>
      <c r="N37" s="233">
        <f t="shared" si="19"/>
        <v>140</v>
      </c>
      <c r="O37" s="233">
        <f t="shared" si="19"/>
        <v>87</v>
      </c>
      <c r="P37" s="233">
        <f t="shared" si="19"/>
        <v>102</v>
      </c>
      <c r="Q37" s="233">
        <f t="shared" si="19"/>
        <v>93</v>
      </c>
      <c r="R37" s="233">
        <f t="shared" si="19"/>
        <v>142</v>
      </c>
      <c r="S37" s="288">
        <f t="shared" si="19"/>
        <v>87</v>
      </c>
      <c r="T37" s="233">
        <f t="shared" si="19"/>
        <v>144</v>
      </c>
      <c r="U37" s="233">
        <f t="shared" si="19"/>
        <v>3</v>
      </c>
      <c r="V37" s="260">
        <f t="shared" si="19"/>
        <v>108</v>
      </c>
      <c r="W37" s="260">
        <f t="shared" si="19"/>
        <v>3</v>
      </c>
      <c r="X37" s="233">
        <f t="shared" si="19"/>
        <v>140</v>
      </c>
      <c r="Y37" s="233">
        <f t="shared" si="19"/>
        <v>89</v>
      </c>
      <c r="Z37" s="233">
        <f t="shared" si="19"/>
        <v>142</v>
      </c>
      <c r="AA37" s="233">
        <f t="shared" si="19"/>
        <v>87</v>
      </c>
      <c r="AB37" s="233">
        <f t="shared" si="19"/>
        <v>142</v>
      </c>
      <c r="AC37" s="233">
        <f t="shared" si="19"/>
        <v>87</v>
      </c>
      <c r="AD37" s="233">
        <f t="shared" si="19"/>
        <v>140</v>
      </c>
      <c r="AE37" s="233">
        <f t="shared" si="19"/>
        <v>89</v>
      </c>
      <c r="AF37" s="233">
        <f t="shared" si="19"/>
        <v>140</v>
      </c>
      <c r="AG37" s="233">
        <f t="shared" si="19"/>
        <v>89</v>
      </c>
      <c r="AH37" s="233">
        <f t="shared" si="19"/>
        <v>144</v>
      </c>
      <c r="AI37" s="233">
        <f t="shared" si="19"/>
        <v>3</v>
      </c>
      <c r="AJ37" s="233">
        <f t="shared" ref="AJ37:BG37" si="20">SUM(AJ31:AJ36)</f>
        <v>108</v>
      </c>
      <c r="AK37" s="233">
        <f t="shared" si="20"/>
        <v>3</v>
      </c>
      <c r="AL37" s="233">
        <f t="shared" si="20"/>
        <v>146</v>
      </c>
      <c r="AM37" s="233">
        <f t="shared" si="20"/>
        <v>83</v>
      </c>
      <c r="AN37" s="233">
        <f t="shared" si="20"/>
        <v>144</v>
      </c>
      <c r="AO37" s="233">
        <f t="shared" si="20"/>
        <v>85</v>
      </c>
      <c r="AP37" s="233">
        <f t="shared" si="20"/>
        <v>146</v>
      </c>
      <c r="AQ37" s="233">
        <f t="shared" si="20"/>
        <v>83</v>
      </c>
      <c r="AR37" s="233">
        <f t="shared" si="20"/>
        <v>80</v>
      </c>
      <c r="AS37" s="233">
        <f t="shared" si="20"/>
        <v>31</v>
      </c>
      <c r="AT37" s="233">
        <f t="shared" si="20"/>
        <v>142</v>
      </c>
      <c r="AU37" s="233">
        <f t="shared" si="20"/>
        <v>87</v>
      </c>
      <c r="AV37" s="233">
        <f t="shared" si="20"/>
        <v>144</v>
      </c>
      <c r="AW37" s="233">
        <f t="shared" si="20"/>
        <v>3</v>
      </c>
      <c r="AX37" s="319">
        <f t="shared" si="20"/>
        <v>109</v>
      </c>
      <c r="AY37" s="319">
        <f t="shared" si="20"/>
        <v>2</v>
      </c>
      <c r="AZ37" s="319">
        <f t="shared" si="20"/>
        <v>144</v>
      </c>
      <c r="BA37" s="319">
        <f t="shared" si="20"/>
        <v>85</v>
      </c>
      <c r="BB37" s="319">
        <f t="shared" si="20"/>
        <v>140</v>
      </c>
      <c r="BC37" s="319">
        <f t="shared" si="20"/>
        <v>89</v>
      </c>
      <c r="BD37" s="319">
        <f t="shared" si="20"/>
        <v>142</v>
      </c>
      <c r="BE37" s="319">
        <f t="shared" si="20"/>
        <v>87</v>
      </c>
      <c r="BF37" s="319">
        <f t="shared" si="20"/>
        <v>142</v>
      </c>
      <c r="BG37" s="319">
        <f t="shared" si="20"/>
        <v>87</v>
      </c>
      <c r="BH37" s="325">
        <f t="shared" ref="BH37:BK37" si="21">SUM(BH31:BH36)</f>
        <v>142</v>
      </c>
      <c r="BI37" s="325">
        <f t="shared" si="21"/>
        <v>87</v>
      </c>
      <c r="BJ37" s="325">
        <f t="shared" si="21"/>
        <v>143</v>
      </c>
      <c r="BK37" s="325">
        <f t="shared" si="21"/>
        <v>4</v>
      </c>
      <c r="BL37" s="340">
        <f t="shared" ref="BL37:BM37" si="22">SUM(BL31:BL36)</f>
        <v>108</v>
      </c>
      <c r="BM37" s="340">
        <f t="shared" si="22"/>
        <v>3</v>
      </c>
    </row>
    <row r="38" spans="1:65" x14ac:dyDescent="0.25">
      <c r="C38" s="8"/>
      <c r="L38" s="124"/>
      <c r="AR38" s="54"/>
      <c r="AS38" s="54"/>
      <c r="AT38" s="54"/>
      <c r="AU38" s="54"/>
      <c r="AV38" s="54"/>
      <c r="AW38" s="54"/>
      <c r="AX38" s="54"/>
      <c r="AY38" s="54"/>
      <c r="AZ38" s="54"/>
      <c r="BB38" s="54"/>
      <c r="BD38" s="54"/>
      <c r="BH38" s="54"/>
      <c r="BI38" s="54"/>
      <c r="BJ38" s="54"/>
      <c r="BK38" s="124"/>
      <c r="BL38" s="54"/>
      <c r="BM38" s="124"/>
    </row>
    <row r="39" spans="1:65" x14ac:dyDescent="0.25">
      <c r="A39" s="56" t="s">
        <v>84</v>
      </c>
      <c r="B39" s="56"/>
      <c r="C39" s="56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  <c r="AJ39" s="56"/>
      <c r="AK39" s="56"/>
      <c r="AL39" s="56"/>
      <c r="AM39" s="56"/>
      <c r="AN39" s="56"/>
      <c r="AO39" s="56"/>
      <c r="AP39" s="56"/>
      <c r="AQ39" s="56"/>
      <c r="AR39" s="58"/>
      <c r="AS39" s="58"/>
      <c r="AT39" s="58"/>
      <c r="AU39" s="58"/>
      <c r="AV39" s="58"/>
      <c r="AW39" s="58"/>
      <c r="AX39" s="58"/>
      <c r="AY39" s="58"/>
      <c r="AZ39" s="58"/>
      <c r="BA39" s="56"/>
      <c r="BB39" s="58"/>
      <c r="BC39" s="56"/>
      <c r="BD39" s="58"/>
      <c r="BE39" s="56"/>
      <c r="BF39" s="56"/>
      <c r="BG39" s="56"/>
      <c r="BH39" s="58"/>
      <c r="BI39" s="58"/>
      <c r="BJ39" s="58"/>
      <c r="BK39" s="56"/>
      <c r="BL39" s="58"/>
      <c r="BM39" s="56"/>
    </row>
    <row r="40" spans="1:65" x14ac:dyDescent="0.25">
      <c r="A40" t="s">
        <v>79</v>
      </c>
      <c r="C40" s="8"/>
      <c r="D40" s="57">
        <f>D5+E5+D12+E12+D19+E19</f>
        <v>54</v>
      </c>
      <c r="E40" s="57"/>
      <c r="F40" s="57">
        <f>F5+G5+F12+G12+F19+G19</f>
        <v>72</v>
      </c>
      <c r="G40" s="57"/>
      <c r="H40" s="57">
        <f>H5+I5+H12+I12+H19+I19</f>
        <v>54</v>
      </c>
      <c r="I40" s="57"/>
      <c r="J40" s="57">
        <f>J5+K5+J12+K12+J19+K19</f>
        <v>79</v>
      </c>
      <c r="K40" s="57"/>
      <c r="L40" s="150">
        <f>L5+M5+L12+M12+L19+M19</f>
        <v>79</v>
      </c>
      <c r="M40" s="277"/>
      <c r="N40" s="277">
        <f>N5+O5+N12+O12+N19+O19</f>
        <v>79</v>
      </c>
      <c r="O40" s="278"/>
      <c r="P40" s="278">
        <f>P5+Q5+P12+Q12+P19+Q19</f>
        <v>70</v>
      </c>
      <c r="Q40" s="258"/>
      <c r="R40" s="258">
        <f>R5+S5+R12+S12+R19+S19</f>
        <v>79</v>
      </c>
      <c r="S40" s="57"/>
      <c r="T40" s="57">
        <f>T5+U5+T12+U12+T19+U19</f>
        <v>72</v>
      </c>
      <c r="U40" s="266"/>
      <c r="V40" s="266">
        <f>V5+W5+V12+W12+V19+W19</f>
        <v>54</v>
      </c>
      <c r="W40" s="267"/>
      <c r="X40" s="267">
        <f>X5+Y5+X12+Y12+X19+Y19</f>
        <v>79</v>
      </c>
      <c r="Y40" s="268"/>
      <c r="Z40" s="268">
        <f>Z5+AA5+Z12+AA12+Z19+AA19</f>
        <v>79</v>
      </c>
      <c r="AA40" s="269"/>
      <c r="AB40" s="269">
        <f>AB5+AC5+AB12+AC12+AB19+AC19</f>
        <v>79</v>
      </c>
      <c r="AC40" s="57"/>
      <c r="AD40" s="57">
        <f>AD5+AE5+AD12+AE12+AD19+AE19</f>
        <v>79</v>
      </c>
      <c r="AE40" s="57"/>
      <c r="AF40" s="57">
        <f>AF5+AG5+AF12+AG12+AF19+AG19</f>
        <v>79</v>
      </c>
      <c r="AG40" s="57"/>
      <c r="AH40" s="57">
        <f>AH5+AI5+AH12+AI12+AH19+AI19</f>
        <v>72</v>
      </c>
      <c r="AI40" s="262"/>
      <c r="AJ40" s="262">
        <f>AJ5+AK5+AJ12+AK12+AJ19+AK19</f>
        <v>54</v>
      </c>
      <c r="AK40" s="270"/>
      <c r="AL40" s="279">
        <f>AL5+AM5+AL12+AM12+AL19+AM19</f>
        <v>80</v>
      </c>
      <c r="AM40" s="271"/>
      <c r="AN40" s="271">
        <f>AN5+AO5+AN12+AO12+AN19+AO19</f>
        <v>79</v>
      </c>
      <c r="AO40" s="280"/>
      <c r="AP40" s="280">
        <f>AP5+AQ5+AP12+AQ12+AP19+AQ19</f>
        <v>79</v>
      </c>
      <c r="AQ40" s="272"/>
      <c r="AR40" s="272">
        <f>AR5+AS5+AR12+AS12+AR19+AS19</f>
        <v>54</v>
      </c>
      <c r="AS40" s="273"/>
      <c r="AT40" s="273">
        <f>AT5+AU5+AT12+AU12+AT19+AU19</f>
        <v>79</v>
      </c>
      <c r="AU40" s="274"/>
      <c r="AV40" s="274">
        <f>AV5+AW5+AV12+AW12+AV19+AW19</f>
        <v>72</v>
      </c>
      <c r="AW40" s="275"/>
      <c r="AX40" s="275">
        <f>AX5+AY5+AX12+AY12+AX19+AY19</f>
        <v>54</v>
      </c>
      <c r="AY40" s="57"/>
      <c r="AZ40" s="57">
        <f>AZ5+BA5+AZ12+BA12+AZ19+BA19</f>
        <v>79</v>
      </c>
      <c r="BA40" s="57"/>
      <c r="BB40" s="115">
        <f>BB5+BC5+BB12+BC12+BB19+BC19</f>
        <v>79</v>
      </c>
      <c r="BC40" s="263"/>
      <c r="BD40" s="263">
        <f>BD5+BE5+BD12+BE12+BD19+BE19</f>
        <v>79</v>
      </c>
      <c r="BE40" s="115"/>
      <c r="BF40" s="57">
        <f>BF5+BG5+BF12+BG12+BF19+BG19</f>
        <v>79</v>
      </c>
      <c r="BG40" s="264"/>
      <c r="BH40" s="325">
        <f>BH5+BI5+BH12+BI12+BH19+BI19</f>
        <v>79</v>
      </c>
      <c r="BI40" s="325"/>
      <c r="BJ40" s="325">
        <f>BJ5+BK5+BJ12+BK12+BJ19+BK19</f>
        <v>72</v>
      </c>
      <c r="BK40" s="325"/>
      <c r="BL40" s="340">
        <f>BL5+BM5+BL12+BM12+BL19+BM19</f>
        <v>54</v>
      </c>
      <c r="BM40" s="340"/>
    </row>
    <row r="41" spans="1:65" x14ac:dyDescent="0.25">
      <c r="A41" t="s">
        <v>80</v>
      </c>
      <c r="C41" s="8"/>
      <c r="D41" s="57">
        <f>D8+E8+D15+E15+D22+E22</f>
        <v>57</v>
      </c>
      <c r="E41" s="57"/>
      <c r="F41" s="57">
        <f>F8+G8+F15+G15+F22+G22</f>
        <v>75</v>
      </c>
      <c r="G41" s="57"/>
      <c r="H41" s="57">
        <f>H8+I8+H15+I15+H22+I22</f>
        <v>57</v>
      </c>
      <c r="I41" s="57"/>
      <c r="J41" s="57">
        <f>J8+K8+J15+K15+J22+K22</f>
        <v>78</v>
      </c>
      <c r="K41" s="57"/>
      <c r="L41" s="57">
        <f>L8+M8+L15+M15+L22+M22</f>
        <v>78</v>
      </c>
      <c r="M41" s="277"/>
      <c r="N41" s="277">
        <f>N8+O8+N15+O15+N22+O22</f>
        <v>78</v>
      </c>
      <c r="O41" s="278"/>
      <c r="P41" s="278">
        <f>P8+Q8+P15+Q15+P22+Q22</f>
        <v>68</v>
      </c>
      <c r="Q41" s="258"/>
      <c r="R41" s="258">
        <f>R8+S8+R15+S15+R22+S22</f>
        <v>78</v>
      </c>
      <c r="S41" s="57"/>
      <c r="T41" s="57">
        <f>T8+U8+T15+U15+T22+U22</f>
        <v>75</v>
      </c>
      <c r="U41" s="266"/>
      <c r="V41" s="266">
        <f>V8+W8+V15+W15+V22+W22</f>
        <v>57</v>
      </c>
      <c r="W41" s="267"/>
      <c r="X41" s="267">
        <f>X8+Y8+X15+Y15+X22+Y22</f>
        <v>78</v>
      </c>
      <c r="Y41" s="268"/>
      <c r="Z41" s="268">
        <f>Z8+AA8+Z15+AA15+Z22+AA22</f>
        <v>78</v>
      </c>
      <c r="AA41" s="269"/>
      <c r="AB41" s="269">
        <f>AB8+AC8+AB15+AC15+AB22+AC22</f>
        <v>78</v>
      </c>
      <c r="AC41" s="57"/>
      <c r="AD41" s="57">
        <f>AD8+AE8+AD15+AE15+AD22+AE22</f>
        <v>78</v>
      </c>
      <c r="AE41" s="57"/>
      <c r="AF41" s="248">
        <f>AF8+AG8+AF15+AG15+AF22+AG22</f>
        <v>78</v>
      </c>
      <c r="AG41" s="57"/>
      <c r="AH41" s="57">
        <f>AH8+AI8+AH15+AI15+AH22+AI22</f>
        <v>75</v>
      </c>
      <c r="AI41" s="262"/>
      <c r="AJ41" s="262">
        <f>AJ8+AK8+AJ15+AK15+AJ22+AK22</f>
        <v>57</v>
      </c>
      <c r="AK41" s="270"/>
      <c r="AL41" s="279">
        <f>AL8+AM8+AL15+AM15+AL22+AM22</f>
        <v>78</v>
      </c>
      <c r="AM41" s="271"/>
      <c r="AN41" s="271">
        <f>AN8+AO8+AN15+AO15+AN22+AO22</f>
        <v>78</v>
      </c>
      <c r="AO41" s="280"/>
      <c r="AP41" s="280">
        <f>AP8+AQ8+AP15+AQ15+AP22+AQ22</f>
        <v>78</v>
      </c>
      <c r="AQ41" s="272"/>
      <c r="AR41" s="272">
        <f>AR8+AS8+AR15+AS15+AR22+AS22</f>
        <v>57</v>
      </c>
      <c r="AS41" s="273"/>
      <c r="AT41" s="273">
        <f>AT8+AU8+AT15+AU15+AT22+AU22</f>
        <v>78</v>
      </c>
      <c r="AU41" s="274"/>
      <c r="AV41" s="274">
        <f>AV8+AW8+AV15+AW15+AV22+AW22</f>
        <v>75</v>
      </c>
      <c r="AW41" s="275"/>
      <c r="AX41" s="275">
        <f>AX8+AY8+AX15+AY15+AX22+AY22</f>
        <v>57</v>
      </c>
      <c r="AY41" s="57"/>
      <c r="AZ41" s="250">
        <f>AZ8+BA8+AZ15+BA15+AZ22+BA22</f>
        <v>78</v>
      </c>
      <c r="BA41" s="57"/>
      <c r="BB41" s="251">
        <f>BB8+BC8+BB15+BC15+BB22+BC22</f>
        <v>79</v>
      </c>
      <c r="BC41" s="263"/>
      <c r="BD41" s="263">
        <f>BD8+BE8+BD15+BE15+BD22+BE22</f>
        <v>78</v>
      </c>
      <c r="BE41" s="115"/>
      <c r="BF41" s="57">
        <f>BF8+BG8+BF15+BG15+BF22+BG22</f>
        <v>78</v>
      </c>
      <c r="BG41" s="264"/>
      <c r="BH41" s="325">
        <f>BH8+BI8+BH15+BI15+BH22+BI22</f>
        <v>78</v>
      </c>
      <c r="BI41" s="325"/>
      <c r="BJ41" s="325">
        <f>BJ8+BK8+BJ15+BK15+BJ22+BK22</f>
        <v>75</v>
      </c>
      <c r="BK41" s="325"/>
      <c r="BL41" s="340">
        <f>BL8+BM8+BL15+BM15+BL22+BM22</f>
        <v>57</v>
      </c>
      <c r="BM41" s="340"/>
    </row>
    <row r="42" spans="1:65" x14ac:dyDescent="0.25">
      <c r="A42" t="s">
        <v>81</v>
      </c>
      <c r="C42" s="8"/>
      <c r="D42" s="57">
        <f>D3+E3+D10+E10+D17+E17</f>
        <v>0</v>
      </c>
      <c r="E42" s="57"/>
      <c r="F42" s="57">
        <f>F3+G3+F10+G10+F17+G17</f>
        <v>0</v>
      </c>
      <c r="G42" s="57"/>
      <c r="H42" s="57">
        <f>H3+I3+H10+I10+H17+I17</f>
        <v>0</v>
      </c>
      <c r="I42" s="57"/>
      <c r="J42" s="57">
        <f>J3+K3+J10+K10+J17+K17</f>
        <v>35</v>
      </c>
      <c r="K42" s="57"/>
      <c r="L42" s="57">
        <f>L3+M3+L10+M10+L17+M17</f>
        <v>36</v>
      </c>
      <c r="M42" s="277"/>
      <c r="N42" s="277">
        <f>N3+O3+N10+O10+N17+O17</f>
        <v>36</v>
      </c>
      <c r="O42" s="278"/>
      <c r="P42" s="278">
        <f>P3+Q3+P10+Q10+P17+Q17</f>
        <v>26</v>
      </c>
      <c r="Q42" s="258"/>
      <c r="R42" s="258">
        <f>R3+S3+R10+S10+R17+S17</f>
        <v>36</v>
      </c>
      <c r="S42" s="57"/>
      <c r="T42" s="57">
        <f>T3+U3+T10+U10+T17+U17</f>
        <v>0</v>
      </c>
      <c r="U42" s="266"/>
      <c r="V42" s="266">
        <f>V3+W3+V10+W10+V17+W17</f>
        <v>0</v>
      </c>
      <c r="W42" s="267"/>
      <c r="X42" s="267">
        <f>X3+Y3+X10+Y10+X17+Y17</f>
        <v>36</v>
      </c>
      <c r="Y42" s="268"/>
      <c r="Z42" s="268">
        <f>Z3+AA3+Z10+AA10+Z17+AA17</f>
        <v>36</v>
      </c>
      <c r="AA42" s="269"/>
      <c r="AB42" s="269">
        <f>AB3+AC3+AB10+AC10+AB17+AC17</f>
        <v>36</v>
      </c>
      <c r="AC42" s="57"/>
      <c r="AD42" s="57">
        <f>AD3+AE3+AD10+AE10+AD17+AE17</f>
        <v>36</v>
      </c>
      <c r="AE42" s="57"/>
      <c r="AF42" s="57">
        <f>AF3+AG3+AF10+AG10+AF17+AG17</f>
        <v>36</v>
      </c>
      <c r="AG42" s="57"/>
      <c r="AH42" s="57">
        <f>AH3+AI3+AH10+AI10+AH17+AI17</f>
        <v>0</v>
      </c>
      <c r="AI42" s="262"/>
      <c r="AJ42" s="262">
        <f>AJ3+AK3+AJ10+AK10+AJ17+AK17</f>
        <v>0</v>
      </c>
      <c r="AK42" s="270"/>
      <c r="AL42" s="279">
        <f>AL3+AM3+AL10+AM10+AL17+AM17</f>
        <v>35</v>
      </c>
      <c r="AM42" s="271"/>
      <c r="AN42" s="271">
        <f>AN3+AO3+AN10+AO10+AN17+AO17</f>
        <v>36</v>
      </c>
      <c r="AO42" s="280"/>
      <c r="AP42" s="280">
        <f>AP3+AQ3+AP10+AQ10+AP17+AQ17</f>
        <v>36</v>
      </c>
      <c r="AQ42" s="272"/>
      <c r="AR42" s="272">
        <f>AR3+AS3+AR10+AS10+AR17+AS17</f>
        <v>0</v>
      </c>
      <c r="AS42" s="273"/>
      <c r="AT42" s="273">
        <f>AT3+AU3+AT10+AU10+AT17+AU17</f>
        <v>36</v>
      </c>
      <c r="AU42" s="274"/>
      <c r="AV42" s="274">
        <f>AV3+AW3+AV10+AW10+AV17+AW17</f>
        <v>0</v>
      </c>
      <c r="AW42" s="275"/>
      <c r="AX42" s="275">
        <f>AX3+AY3+AX10+AY10+AX17+AY17</f>
        <v>0</v>
      </c>
      <c r="AY42" s="57"/>
      <c r="AZ42" s="57">
        <f>AZ3+BA3+AZ10+BA10+AZ17+BA17</f>
        <v>36</v>
      </c>
      <c r="BA42" s="57"/>
      <c r="BB42" s="115">
        <f>BB3+BC3+BB10+BC10+BB17+BC17</f>
        <v>36</v>
      </c>
      <c r="BC42" s="263"/>
      <c r="BD42" s="263">
        <f>BD3+BE3+BD10+BE10+BD17+BE17</f>
        <v>36</v>
      </c>
      <c r="BE42" s="115"/>
      <c r="BF42" s="57">
        <f>BF3+BG3+BF10+BG10+BF17+BG17</f>
        <v>36</v>
      </c>
      <c r="BG42" s="264"/>
      <c r="BH42" s="325">
        <f>BH3+BI3+BH10+BI10+BH17+BI17</f>
        <v>36</v>
      </c>
      <c r="BI42" s="325"/>
      <c r="BJ42" s="325">
        <f>BJ3+BK3+BJ10+BK10+BJ17+BK17</f>
        <v>0</v>
      </c>
      <c r="BK42" s="325"/>
      <c r="BL42" s="340">
        <f>BL3+BM3+BL10+BM10+BL17+BM17</f>
        <v>0</v>
      </c>
      <c r="BM42" s="340"/>
    </row>
    <row r="43" spans="1:65" x14ac:dyDescent="0.25">
      <c r="A43" t="s">
        <v>82</v>
      </c>
      <c r="C43" s="8"/>
      <c r="D43" s="57">
        <f>D6+E6+D13+E13+D20+E20</f>
        <v>0</v>
      </c>
      <c r="E43" s="57"/>
      <c r="F43" s="57">
        <f>F6+G6+F13+G13+F20+G20</f>
        <v>0</v>
      </c>
      <c r="G43" s="57"/>
      <c r="H43" s="57">
        <f>H6+I6+H13+I13+H20+I20</f>
        <v>0</v>
      </c>
      <c r="I43" s="57"/>
      <c r="J43" s="57">
        <f>J6+K6+J13+K13+J20+K20</f>
        <v>31</v>
      </c>
      <c r="K43" s="57"/>
      <c r="L43" s="57">
        <f>L6+M6+L13+M13+L20+M20</f>
        <v>32</v>
      </c>
      <c r="M43" s="277"/>
      <c r="N43" s="277">
        <f>N6+O6+N13+O13+N20+O20</f>
        <v>30</v>
      </c>
      <c r="O43" s="278"/>
      <c r="P43" s="278">
        <f>P6+Q6+P13+Q13+P20+Q20</f>
        <v>27</v>
      </c>
      <c r="Q43" s="258"/>
      <c r="R43" s="258">
        <f>R6+S6+R13+S13+R20+S20</f>
        <v>32</v>
      </c>
      <c r="S43" s="57"/>
      <c r="T43" s="57">
        <f>T6+U6+T13+U13+T20+U20</f>
        <v>0</v>
      </c>
      <c r="U43" s="266"/>
      <c r="V43" s="266">
        <f>V6+W6+V13+W13+V20+W20</f>
        <v>0</v>
      </c>
      <c r="W43" s="267"/>
      <c r="X43" s="267">
        <f>X6+Y6+X13+Y13+X20+Y20</f>
        <v>32</v>
      </c>
      <c r="Y43" s="268"/>
      <c r="Z43" s="268">
        <f>Z6+AA6+Z13+AA13+Z20+AA20</f>
        <v>32</v>
      </c>
      <c r="AA43" s="269"/>
      <c r="AB43" s="269">
        <f>AB6+AC6+AB13+AC13+AB20+AC20</f>
        <v>32</v>
      </c>
      <c r="AC43" s="57"/>
      <c r="AD43" s="57">
        <f>AD6+AE6+AD13+AE13+AD20+AE20</f>
        <v>32</v>
      </c>
      <c r="AE43" s="57"/>
      <c r="AF43" s="57">
        <f>AF6+AG6+AF13+AG13+AF20+AG20</f>
        <v>32</v>
      </c>
      <c r="AG43" s="57"/>
      <c r="AH43" s="57">
        <f>AH6+AI6+AH13+AI13+AH20+AI20</f>
        <v>0</v>
      </c>
      <c r="AI43" s="262"/>
      <c r="AJ43" s="262">
        <f>AJ6+AK6+AJ13+AK13+AJ20+AK20</f>
        <v>0</v>
      </c>
      <c r="AK43" s="270"/>
      <c r="AL43" s="279">
        <f>AL6+AM6+AL13+AM13+AL20+AM20</f>
        <v>32</v>
      </c>
      <c r="AM43" s="271"/>
      <c r="AN43" s="271">
        <f>AN6+AO6+AN13+AO13+AN20+AO20</f>
        <v>32</v>
      </c>
      <c r="AO43" s="280"/>
      <c r="AP43" s="280">
        <f>AP6+AQ6+AP13+AQ13+AP20+AQ20</f>
        <v>32</v>
      </c>
      <c r="AQ43" s="272"/>
      <c r="AR43" s="272">
        <f>AR6+AS6+AR13+AS13+AR20+AS20</f>
        <v>0</v>
      </c>
      <c r="AS43" s="273"/>
      <c r="AT43" s="273">
        <f>AT6+AU6+AT13+AU13+AT20+AU20</f>
        <v>32</v>
      </c>
      <c r="AU43" s="274"/>
      <c r="AV43" s="274">
        <f>AV6+AW6+AV13+AW13+AV20+AW20</f>
        <v>0</v>
      </c>
      <c r="AW43" s="275"/>
      <c r="AX43" s="275">
        <f>AX6+AY6+AX13+AY13+AX20+AY20</f>
        <v>0</v>
      </c>
      <c r="AY43" s="57"/>
      <c r="AZ43" s="57">
        <f>AZ6+BA6+AZ13+BA13+AZ20+BA20</f>
        <v>32</v>
      </c>
      <c r="BA43" s="57"/>
      <c r="BB43" s="115">
        <f>BB6+BC6+BB13+BC13+BB20+BC20</f>
        <v>31</v>
      </c>
      <c r="BC43" s="263"/>
      <c r="BD43" s="263">
        <f>BD6+BE6+BD13+BE13+BD20+BE20</f>
        <v>32</v>
      </c>
      <c r="BE43" s="115"/>
      <c r="BF43" s="57">
        <f>BF6+BG6+BF13+BG13+BF20+BG20</f>
        <v>32</v>
      </c>
      <c r="BG43" s="264"/>
      <c r="BH43" s="325">
        <f>BH6+BI6+BH13+BI13+BH20+BI20</f>
        <v>32</v>
      </c>
      <c r="BI43" s="325"/>
      <c r="BJ43" s="325">
        <f>BJ6+BK6+BJ13+BK13+BJ20+BK20</f>
        <v>0</v>
      </c>
      <c r="BK43" s="325"/>
      <c r="BL43" s="340">
        <f>BL6+BM6+BL13+BM13+BL20+BM20</f>
        <v>0</v>
      </c>
      <c r="BM43" s="340"/>
    </row>
    <row r="44" spans="1:65" s="124" customFormat="1" x14ac:dyDescent="0.25">
      <c r="A44" s="124" t="s">
        <v>122</v>
      </c>
      <c r="C44" s="8"/>
      <c r="D44" s="154">
        <f>D4+E4+D11+E11+D18+E18</f>
        <v>0</v>
      </c>
      <c r="E44" s="154"/>
      <c r="F44" s="154">
        <f>F4+G4+F11+G11+F18+G18</f>
        <v>0</v>
      </c>
      <c r="G44" s="154"/>
      <c r="H44" s="154">
        <f>H4+I4+H11+I11+H18+I18</f>
        <v>0</v>
      </c>
      <c r="I44" s="154"/>
      <c r="J44" s="154">
        <f>J4+K4+J11+K11+J18+K18</f>
        <v>0</v>
      </c>
      <c r="K44" s="154"/>
      <c r="L44" s="154">
        <f>L4+M4+L11+M11+L18+M18</f>
        <v>0</v>
      </c>
      <c r="M44" s="277"/>
      <c r="N44" s="277">
        <f>N4+O4+N11+O11+N18+O18</f>
        <v>0</v>
      </c>
      <c r="O44" s="278"/>
      <c r="P44" s="278">
        <f>P4+Q4+P11+Q11+P18+Q18</f>
        <v>0</v>
      </c>
      <c r="Q44" s="258"/>
      <c r="R44" s="258">
        <f>R4+S4+R11+S11+R18+S18</f>
        <v>0</v>
      </c>
      <c r="S44" s="154"/>
      <c r="T44" s="154">
        <f>T4+U4+T11+U11+T18+U18</f>
        <v>0</v>
      </c>
      <c r="U44" s="266"/>
      <c r="V44" s="266">
        <f>V4+W4+V11+W11+V18+W18</f>
        <v>0</v>
      </c>
      <c r="W44" s="267"/>
      <c r="X44" s="267">
        <f>X4+Y4+X11+Y11+X18+Y18</f>
        <v>0</v>
      </c>
      <c r="Y44" s="268"/>
      <c r="Z44" s="268">
        <f>Z4+AA4+Z11+AA11+Z18+AA18</f>
        <v>0</v>
      </c>
      <c r="AA44" s="269"/>
      <c r="AB44" s="269">
        <f>AB4+AC4+AB11+AC11+AB18+AC18</f>
        <v>0</v>
      </c>
      <c r="AC44" s="154"/>
      <c r="AD44" s="154">
        <f>AD4+AE4+AD11+AE11+AD18+AE18</f>
        <v>0</v>
      </c>
      <c r="AE44" s="154"/>
      <c r="AF44" s="154">
        <f>AF4+AG4+AF11+AG11+AF18+AG18</f>
        <v>0</v>
      </c>
      <c r="AG44" s="154"/>
      <c r="AH44" s="154">
        <f>AH4+AI4+AH11+AI11+AH18+AI18</f>
        <v>0</v>
      </c>
      <c r="AI44" s="262"/>
      <c r="AJ44" s="262">
        <f>AJ4+AK4+AJ11+AK11+AJ18+AK18</f>
        <v>0</v>
      </c>
      <c r="AK44" s="270"/>
      <c r="AL44" s="279">
        <f>AL4+AM4+AL11+AM11+AL18+AM18</f>
        <v>0</v>
      </c>
      <c r="AM44" s="271"/>
      <c r="AN44" s="271">
        <f>AN4+AO4+AN11+AO11+AN18+AO18</f>
        <v>0</v>
      </c>
      <c r="AO44" s="280"/>
      <c r="AP44" s="280">
        <f>AP4+AQ4+AP11+AQ11+AP18+AQ18</f>
        <v>0</v>
      </c>
      <c r="AQ44" s="272"/>
      <c r="AR44" s="272">
        <f>AR4+AS4+AR11+AS11+AR18+AS18</f>
        <v>0</v>
      </c>
      <c r="AS44" s="273"/>
      <c r="AT44" s="273">
        <f>AT4+AU4+AT11+AU11+AT18+AU18</f>
        <v>0</v>
      </c>
      <c r="AU44" s="274"/>
      <c r="AV44" s="274">
        <f>AV4+AW4+AV11+AW11+AV18+AW18</f>
        <v>0</v>
      </c>
      <c r="AW44" s="319"/>
      <c r="AX44" s="275">
        <f>AX4+AY4+AX11+AY11+AX18+AY18</f>
        <v>0</v>
      </c>
      <c r="AY44" s="154"/>
      <c r="AZ44" s="154">
        <f>AZ4+BA4+AZ11+BA11+AZ18+BA18</f>
        <v>0</v>
      </c>
      <c r="BA44" s="319"/>
      <c r="BB44" s="154">
        <f>BB4+BC4+BB11+BC11+BB18+BC18</f>
        <v>0</v>
      </c>
      <c r="BC44" s="319"/>
      <c r="BD44" s="263">
        <f>BD4+BE4+BD11+BE11+BD18+BE18</f>
        <v>0</v>
      </c>
      <c r="BE44" s="319"/>
      <c r="BF44" s="154">
        <f>BF4+BG4+BF11+BG11+BF18+BG18</f>
        <v>0</v>
      </c>
      <c r="BG44" s="264"/>
      <c r="BH44" s="325">
        <f>BH4+BI4+BH11+BI11+BH18+BI18</f>
        <v>0</v>
      </c>
      <c r="BI44" s="325"/>
      <c r="BJ44" s="325">
        <f>BJ4+BK4+BJ11+BK11+BJ18+BK18</f>
        <v>0</v>
      </c>
      <c r="BK44" s="325"/>
      <c r="BL44" s="340">
        <f>BL4+BM4+BL11+BM11+BL18+BM18</f>
        <v>0</v>
      </c>
      <c r="BM44" s="340"/>
    </row>
    <row r="45" spans="1:65" x14ac:dyDescent="0.25">
      <c r="A45" t="s">
        <v>35</v>
      </c>
      <c r="C45" s="8"/>
      <c r="D45" s="57">
        <f>D7+E7+D14+E14+D21+E21</f>
        <v>0</v>
      </c>
      <c r="E45" s="57"/>
      <c r="F45" s="57">
        <f>F7+G7+F14+G14+F21+G21</f>
        <v>0</v>
      </c>
      <c r="G45" s="57"/>
      <c r="H45" s="57">
        <f>H7+I7+H14+I14+H21+I21</f>
        <v>0</v>
      </c>
      <c r="I45" s="57"/>
      <c r="J45" s="57">
        <f>J7+K7+J14+K14+J21+K21</f>
        <v>4</v>
      </c>
      <c r="K45" s="57"/>
      <c r="L45" s="57">
        <f>L7+M7+L14+M14+L21+M21</f>
        <v>4</v>
      </c>
      <c r="M45" s="277"/>
      <c r="N45" s="277">
        <f>N7+O7+N14+O14+N21+O21</f>
        <v>4</v>
      </c>
      <c r="O45" s="278"/>
      <c r="P45" s="278">
        <f>P7+Q7+P14+Q14+P21+Q21</f>
        <v>4</v>
      </c>
      <c r="Q45" s="258"/>
      <c r="R45" s="258">
        <f>R7+S7+R14+S14+R21+S21</f>
        <v>4</v>
      </c>
      <c r="S45" s="57"/>
      <c r="T45" s="57">
        <f>T7+U7+T14+U14+T21+U21</f>
        <v>0</v>
      </c>
      <c r="U45" s="266"/>
      <c r="V45" s="266">
        <f>V7+W7+V14+W14+V21+W21</f>
        <v>0</v>
      </c>
      <c r="W45" s="267"/>
      <c r="X45" s="267">
        <f>X7+Y7+X14+Y14+X21+Y21</f>
        <v>4</v>
      </c>
      <c r="Y45" s="268"/>
      <c r="Z45" s="268">
        <f>Z7+AA7+Z14+AA14+Z21+AA21</f>
        <v>4</v>
      </c>
      <c r="AA45" s="269"/>
      <c r="AB45" s="269">
        <f>AB7+AC7+AB14+AC14+AB21+AC21</f>
        <v>4</v>
      </c>
      <c r="AC45" s="57"/>
      <c r="AD45" s="57">
        <f>AD7+AE7+AD14+AE14+AD21+AE21</f>
        <v>4</v>
      </c>
      <c r="AE45" s="57"/>
      <c r="AF45" s="248">
        <f>AF7+AG7+AF14+AG14+AF21+AG21</f>
        <v>4</v>
      </c>
      <c r="AG45" s="57"/>
      <c r="AH45" s="57">
        <f>AH7+AI7+AH14+AI14+AH21+AI21</f>
        <v>0</v>
      </c>
      <c r="AI45" s="262"/>
      <c r="AJ45" s="262">
        <f>AJ7+AK7+AJ14+AK14+AJ21+AK21</f>
        <v>0</v>
      </c>
      <c r="AK45" s="270"/>
      <c r="AL45" s="279">
        <f>AL7+AM7+AL14+AM14+AL21+AM21</f>
        <v>4</v>
      </c>
      <c r="AM45" s="271"/>
      <c r="AN45" s="271">
        <f>AN7+AO7+AN14+AO14+AN21+AO21</f>
        <v>4</v>
      </c>
      <c r="AO45" s="280"/>
      <c r="AP45" s="280">
        <f>AP7+AQ7+AP14+AQ14+AP21+AQ21</f>
        <v>4</v>
      </c>
      <c r="AQ45" s="272"/>
      <c r="AR45" s="272">
        <f>AR7+AS7+AR14+AS14+AR21+AS21</f>
        <v>0</v>
      </c>
      <c r="AS45" s="273"/>
      <c r="AT45" s="273">
        <f>AT7+AU7+AT14+AU14+AT21+AU21</f>
        <v>4</v>
      </c>
      <c r="AU45" s="274"/>
      <c r="AV45" s="274">
        <f>AV7+AW7+AV14+AW14+AV21+AW21</f>
        <v>0</v>
      </c>
      <c r="AW45" s="319"/>
      <c r="AX45" s="275">
        <f>AX7+AY7+AX14+AY14+AX21+AY21</f>
        <v>0</v>
      </c>
      <c r="AY45" s="319"/>
      <c r="AZ45" s="250">
        <f>AZ7+BA7+AZ14+BA14+AZ21+BA21</f>
        <v>4</v>
      </c>
      <c r="BA45" s="319"/>
      <c r="BB45" s="251">
        <f>BB7+BC7+BB14+BC14+BB21+BC21</f>
        <v>4</v>
      </c>
      <c r="BC45" s="319"/>
      <c r="BD45" s="263">
        <f>BD7+BE7+BD14+BE14+BD21+BE21</f>
        <v>4</v>
      </c>
      <c r="BE45" s="319"/>
      <c r="BF45" s="57">
        <f>BF7+BG7+BF14+BG14+BF21+BG21</f>
        <v>4</v>
      </c>
      <c r="BG45" s="264"/>
      <c r="BH45" s="325">
        <f>BH7+BI7+BH14+BI14+BH21+BI21</f>
        <v>4</v>
      </c>
      <c r="BI45" s="325"/>
      <c r="BJ45" s="325">
        <f>BJ7+BK7+BJ14+BK14+BJ21+BK21</f>
        <v>0</v>
      </c>
      <c r="BK45" s="325"/>
      <c r="BL45" s="340">
        <f>BL7+BM7+BL14+BM14+BL21+BM21</f>
        <v>0</v>
      </c>
      <c r="BM45" s="340"/>
    </row>
    <row r="46" spans="1:65" s="124" customFormat="1" x14ac:dyDescent="0.25">
      <c r="C46" s="8"/>
      <c r="D46" s="300"/>
      <c r="E46" s="300"/>
      <c r="F46" s="300"/>
      <c r="G46" s="300"/>
      <c r="H46" s="300"/>
      <c r="I46" s="300"/>
      <c r="J46" s="300"/>
      <c r="K46" s="300"/>
      <c r="L46" s="300"/>
      <c r="M46" s="300"/>
      <c r="N46" s="300"/>
      <c r="O46" s="300"/>
      <c r="P46" s="300"/>
      <c r="Q46" s="300"/>
      <c r="R46" s="300"/>
      <c r="S46" s="300"/>
      <c r="T46" s="300"/>
      <c r="U46" s="300"/>
      <c r="V46" s="300"/>
      <c r="W46" s="300"/>
      <c r="X46" s="300"/>
      <c r="Y46" s="300"/>
      <c r="Z46" s="300"/>
      <c r="AA46" s="300"/>
      <c r="AB46" s="300"/>
      <c r="AC46" s="300"/>
      <c r="AD46" s="300"/>
      <c r="AE46" s="300"/>
      <c r="AF46" s="300"/>
      <c r="AG46" s="300"/>
      <c r="AH46" s="300"/>
      <c r="AI46" s="300"/>
      <c r="AJ46" s="300"/>
      <c r="AK46" s="300"/>
      <c r="AL46" s="300"/>
      <c r="AM46" s="300"/>
      <c r="AN46" s="300"/>
      <c r="AO46" s="300"/>
      <c r="AP46" s="300"/>
      <c r="AQ46" s="300"/>
      <c r="AR46" s="300"/>
      <c r="AS46" s="300"/>
      <c r="AT46" s="300"/>
      <c r="AU46" s="300"/>
      <c r="AV46" s="300"/>
      <c r="AW46" s="300"/>
      <c r="AX46" s="300"/>
      <c r="AY46" s="300"/>
      <c r="AZ46" s="300"/>
      <c r="BA46" s="300"/>
      <c r="BB46" s="300"/>
      <c r="BC46" s="300"/>
      <c r="BD46" s="300"/>
      <c r="BE46" s="300"/>
      <c r="BF46" s="300"/>
      <c r="BG46" s="300"/>
      <c r="BH46" s="325"/>
      <c r="BI46" s="325"/>
      <c r="BJ46" s="325"/>
      <c r="BK46" s="325"/>
      <c r="BL46" s="340"/>
      <c r="BM46" s="340"/>
    </row>
    <row r="47" spans="1:65" x14ac:dyDescent="0.25">
      <c r="A47" s="56" t="s">
        <v>65</v>
      </c>
      <c r="B47" s="56"/>
      <c r="C47" s="56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  <c r="AF47" s="59"/>
      <c r="AG47" s="59"/>
      <c r="AH47" s="59"/>
      <c r="AI47" s="59"/>
      <c r="AJ47" s="59"/>
      <c r="AK47" s="59"/>
      <c r="AL47" s="59"/>
      <c r="AM47" s="59"/>
      <c r="AN47" s="59"/>
      <c r="AO47" s="59"/>
      <c r="AP47" s="59"/>
      <c r="AQ47" s="59"/>
      <c r="AR47" s="58"/>
      <c r="AS47" s="58"/>
      <c r="AT47" s="58"/>
      <c r="AU47" s="58"/>
      <c r="AV47" s="58"/>
      <c r="AW47" s="58"/>
      <c r="AX47" s="58"/>
      <c r="AY47" s="58"/>
      <c r="AZ47" s="58"/>
      <c r="BA47" s="59"/>
      <c r="BB47" s="58"/>
      <c r="BC47" s="59"/>
      <c r="BD47" s="58"/>
      <c r="BE47" s="59"/>
      <c r="BF47" s="59"/>
      <c r="BG47" s="59"/>
      <c r="BH47" s="58"/>
      <c r="BI47" s="58"/>
      <c r="BJ47" s="58"/>
      <c r="BK47" s="59"/>
      <c r="BL47" s="58"/>
      <c r="BM47" s="59"/>
    </row>
    <row r="48" spans="1:65" x14ac:dyDescent="0.25">
      <c r="A48" t="s">
        <v>79</v>
      </c>
      <c r="C48" s="8"/>
      <c r="D48" s="57">
        <f>(D5+D12+D19)+2*(E5+E12+E19)</f>
        <v>57</v>
      </c>
      <c r="E48" s="57"/>
      <c r="F48" s="57">
        <f>(F5+F12+F19)+2*(G5+G12+G19)</f>
        <v>75</v>
      </c>
      <c r="G48" s="57"/>
      <c r="H48" s="57">
        <f>(H5+H12+H19)+2*(I5+I12+I19)</f>
        <v>57</v>
      </c>
      <c r="I48" s="57"/>
      <c r="J48" s="57">
        <f>(J5+J12+J19)+2*(K5+K12+K19)</f>
        <v>120</v>
      </c>
      <c r="K48" s="57"/>
      <c r="L48" s="57">
        <f>(L5+L12+L19)+2*(M5+M12+M19)</f>
        <v>120</v>
      </c>
      <c r="M48" s="277"/>
      <c r="N48" s="277">
        <f>(N5+N12+N19)+2*(O5+O12+O19)</f>
        <v>118</v>
      </c>
      <c r="O48" s="278"/>
      <c r="P48" s="278">
        <f>(P5+P12+P19)+2*(Q5+Q12+Q19)</f>
        <v>113</v>
      </c>
      <c r="Q48" s="258"/>
      <c r="R48" s="258">
        <f>(R5+R12+R19)+2*(S5+S12+S19)</f>
        <v>120</v>
      </c>
      <c r="S48" s="57"/>
      <c r="T48" s="57">
        <f>(T5+T12+T19)+2*(U5+U12+U19)</f>
        <v>75</v>
      </c>
      <c r="U48" s="266"/>
      <c r="V48" s="266">
        <f>(V5+V12+V19)+2*(W5+W12+W19)</f>
        <v>57</v>
      </c>
      <c r="W48" s="267"/>
      <c r="X48" s="267">
        <f>(X5+X12+X19)+2*(Y5+Y12+Y19)</f>
        <v>121</v>
      </c>
      <c r="Y48" s="268"/>
      <c r="Z48" s="268">
        <f>(Z5+Z12+Z19)+2*(AA5+AA12+AA19)</f>
        <v>120</v>
      </c>
      <c r="AA48" s="269"/>
      <c r="AB48" s="269">
        <f>(AB5+AB12+AB19)+2*(AC5+AC12+AC19)</f>
        <v>120</v>
      </c>
      <c r="AC48" s="57"/>
      <c r="AD48" s="57">
        <f>(AD5+AD12+AD19)+2*(AE5+AE12+AE19)</f>
        <v>121</v>
      </c>
      <c r="AE48" s="57"/>
      <c r="AF48" s="57">
        <f>(AF5+AF12+AF19)+2*(AG5+AG12+AG19)</f>
        <v>121</v>
      </c>
      <c r="AG48" s="57"/>
      <c r="AH48" s="57">
        <f>(AH5+AH12+AH19)+2*(AI5+AI12+AI19)</f>
        <v>75</v>
      </c>
      <c r="AI48" s="262"/>
      <c r="AJ48" s="262">
        <f>(AJ5+AJ12+AJ19)+2*(AK5+AK12+AK19)</f>
        <v>57</v>
      </c>
      <c r="AK48" s="270"/>
      <c r="AL48" s="279">
        <f>(AL5+AL12+AL19)+2*(AM5+AM12+AM19)</f>
        <v>119</v>
      </c>
      <c r="AM48" s="271"/>
      <c r="AN48" s="271">
        <f>(AN5+AN12+AN19)+2*(AO5+AO12+AO19)</f>
        <v>119</v>
      </c>
      <c r="AO48" s="280"/>
      <c r="AP48" s="280">
        <f>(AP5+AP12+AP19)+2*(AQ5+AQ12+AQ19)</f>
        <v>118</v>
      </c>
      <c r="AQ48" s="272"/>
      <c r="AR48" s="272">
        <f>(AR5+AR12+AR19)+2*(AS5+AS12+AS19)</f>
        <v>71</v>
      </c>
      <c r="AS48" s="273"/>
      <c r="AT48" s="273">
        <f>(AT5+AT12+AT19)+2*(AU5+AU12+AU19)</f>
        <v>120</v>
      </c>
      <c r="AU48" s="274"/>
      <c r="AV48" s="274">
        <f>(AV5+AV12+AV19)+2*(AW5+AW12+AW19)</f>
        <v>75</v>
      </c>
      <c r="AW48" s="275"/>
      <c r="AX48" s="275">
        <f>(AX5+AX12+AX19)+2*(AY5+AY12+AY19)</f>
        <v>56</v>
      </c>
      <c r="AY48" s="57"/>
      <c r="AZ48" s="57">
        <f>(AZ5+AZ12+AZ19)+2*(BA5+BA12+BA19)</f>
        <v>118</v>
      </c>
      <c r="BA48" s="117"/>
      <c r="BB48" s="115">
        <f>(BB5+BB12+BB19)+2*(BC5+BC12+BC19)</f>
        <v>120</v>
      </c>
      <c r="BC48" s="263"/>
      <c r="BD48" s="263">
        <f>(BD5+BD12+BD19)+2*(BE5+BE12+BE19)</f>
        <v>119</v>
      </c>
      <c r="BE48" s="117"/>
      <c r="BF48" s="57">
        <f>(BF5+BF12+BF19)+2*(BG5+BG12+BG19)</f>
        <v>119</v>
      </c>
      <c r="BG48" s="264"/>
      <c r="BH48" s="325">
        <f>(BH5+BH12+BH19)+2*(BI5+BI12+BI19)</f>
        <v>119</v>
      </c>
      <c r="BI48" s="325"/>
      <c r="BJ48" s="325">
        <f>(BJ5+BJ12+BJ19)+2*(BK5+BK12+BK19)</f>
        <v>75</v>
      </c>
      <c r="BK48" s="325"/>
      <c r="BL48" s="340">
        <f>(BL5+BL12+BL19)+2*(BM5+BM12+BM19)</f>
        <v>57</v>
      </c>
      <c r="BM48" s="340"/>
    </row>
    <row r="49" spans="1:65" x14ac:dyDescent="0.25">
      <c r="A49" t="s">
        <v>80</v>
      </c>
      <c r="C49" s="8"/>
      <c r="D49" s="57">
        <f>(D8+D15+D22)+2*(E8+E15+E22)</f>
        <v>57</v>
      </c>
      <c r="E49" s="57"/>
      <c r="F49" s="57">
        <f>(F8+F15+F22)+2*(G8+G15+G22)</f>
        <v>75</v>
      </c>
      <c r="G49" s="57"/>
      <c r="H49" s="57">
        <f>(H8+H15+H22)+2*(I8+I15+I22)</f>
        <v>57</v>
      </c>
      <c r="I49" s="57"/>
      <c r="J49" s="57">
        <f>(J8+J15+J22)+2*(K8+K15+K22)</f>
        <v>120</v>
      </c>
      <c r="K49" s="57"/>
      <c r="L49" s="57">
        <f>(L8+L15+L22)+2*(M8+M15+M22)</f>
        <v>120</v>
      </c>
      <c r="M49" s="277"/>
      <c r="N49" s="277">
        <f>(N8+N15+N22)+2*(O8+O15+O22)</f>
        <v>120</v>
      </c>
      <c r="O49" s="278"/>
      <c r="P49" s="278">
        <f>(P8+P15+P22)+2*(Q8+Q15+Q22)</f>
        <v>114</v>
      </c>
      <c r="Q49" s="258"/>
      <c r="R49" s="258">
        <f>(R8+R15+R22)+2*(S8+S15+S22)</f>
        <v>120</v>
      </c>
      <c r="S49" s="57"/>
      <c r="T49" s="57">
        <f>(T8+T15+T22)+2*(U8+U15+U22)</f>
        <v>75</v>
      </c>
      <c r="U49" s="266"/>
      <c r="V49" s="266">
        <f>(V8+V15+V22)+2*(W8+W15+W22)</f>
        <v>57</v>
      </c>
      <c r="W49" s="267"/>
      <c r="X49" s="267">
        <f>(X8+X15+X22)+2*(Y8+Y15+Y22)</f>
        <v>121</v>
      </c>
      <c r="Y49" s="268"/>
      <c r="Z49" s="268">
        <f>(Z8+Z15+Z22)+2*(AA8+AA15+AA22)</f>
        <v>120</v>
      </c>
      <c r="AA49" s="269"/>
      <c r="AB49" s="269">
        <f>(AB8+AB15+AB22)+2*(AC8+AC15+AC22)</f>
        <v>120</v>
      </c>
      <c r="AC49" s="57"/>
      <c r="AD49" s="57">
        <f>(AD8+AD15+AD22)+2*(AE8+AE15+AE22)</f>
        <v>121</v>
      </c>
      <c r="AE49" s="57"/>
      <c r="AF49" s="248">
        <f>(AF8+AF15+AF22)+2*(AG8+AG15+AG22)</f>
        <v>121</v>
      </c>
      <c r="AG49" s="57"/>
      <c r="AH49" s="57">
        <f>(AH8+AH15+AH22)+2*(AI8+AI15+AI22)</f>
        <v>75</v>
      </c>
      <c r="AI49" s="262"/>
      <c r="AJ49" s="262">
        <f>(AJ8+AJ15+AJ22)+2*(AK8+AK15+AK22)</f>
        <v>57</v>
      </c>
      <c r="AK49" s="270"/>
      <c r="AL49" s="279">
        <f>(AL8+AL15+AL22)+2*(AM8+AM15+AM22)</f>
        <v>118</v>
      </c>
      <c r="AM49" s="271"/>
      <c r="AN49" s="271">
        <f>(AN8+AN15+AN22)+2*(AO8+AO15+AO22)</f>
        <v>119</v>
      </c>
      <c r="AO49" s="280"/>
      <c r="AP49" s="280">
        <f>(AP8+AP15+AP22)+2*(AQ8+AQ15+AQ22)</f>
        <v>118</v>
      </c>
      <c r="AQ49" s="272"/>
      <c r="AR49" s="272">
        <f>(AR8+AR15+AR22)+2*(AS8+AS15+AS22)</f>
        <v>71</v>
      </c>
      <c r="AS49" s="273"/>
      <c r="AT49" s="273">
        <f>(AT8+AT15+AT22)+2*(AU8+AU15+AU22)</f>
        <v>120</v>
      </c>
      <c r="AU49" s="274"/>
      <c r="AV49" s="274">
        <f>(AV8+AV15+AV22)+2*(AW8+AW15+AW22)</f>
        <v>75</v>
      </c>
      <c r="AW49" s="275"/>
      <c r="AX49" s="275">
        <f>(AX8+AX15+AX22)+2*(AY8+AY15+AY22)</f>
        <v>57</v>
      </c>
      <c r="AY49" s="57"/>
      <c r="AZ49" s="250">
        <f>(AZ8+AZ15+AZ22)+2*(BA8+BA15+BA22)</f>
        <v>118</v>
      </c>
      <c r="BA49" s="117"/>
      <c r="BB49" s="251">
        <f>(BB8+BB15+BB22)+2*(BC8+BC15+BC22)</f>
        <v>121</v>
      </c>
      <c r="BC49" s="263"/>
      <c r="BD49" s="263">
        <f>(BD8+BD15+BD22)+2*(BE8+BE15+BE22)</f>
        <v>119</v>
      </c>
      <c r="BE49" s="117"/>
      <c r="BF49" s="57">
        <f>(BF8+BF15+BF22)+2*(BG8+BG15+BG22)</f>
        <v>119</v>
      </c>
      <c r="BG49" s="264"/>
      <c r="BH49" s="325">
        <f>(BH8+BH15+BH22)+2*(BI8+BI15+BI22)</f>
        <v>119</v>
      </c>
      <c r="BI49" s="325"/>
      <c r="BJ49" s="325">
        <f>(BJ8+BJ15+BJ22)+2*(BK8+BK15+BK22)</f>
        <v>76</v>
      </c>
      <c r="BK49" s="325"/>
      <c r="BL49" s="340">
        <f>(BL8+BL15+BL22)+2*(BM8+BM15+BM22)</f>
        <v>57</v>
      </c>
      <c r="BM49" s="340"/>
    </row>
    <row r="50" spans="1:65" x14ac:dyDescent="0.25">
      <c r="A50" t="s">
        <v>81</v>
      </c>
      <c r="C50" s="8"/>
      <c r="D50" s="57">
        <f>(D3+D10+D17)+2*(E3+E10+E17)</f>
        <v>0</v>
      </c>
      <c r="E50" s="57"/>
      <c r="F50" s="57">
        <f>(F3+F10+F17)+2*(G3+G10+G17)</f>
        <v>0</v>
      </c>
      <c r="G50" s="57"/>
      <c r="H50" s="57">
        <f>(H3+H10+H17)+2*(I3+I10+I17)</f>
        <v>0</v>
      </c>
      <c r="I50" s="57"/>
      <c r="J50" s="57">
        <f>(J3+J10+J17)+2*(K3+K10+K17)</f>
        <v>37</v>
      </c>
      <c r="K50" s="57"/>
      <c r="L50" s="57">
        <f>(L3+L10+L17)+2*(M3+M10+M17)</f>
        <v>38</v>
      </c>
      <c r="M50" s="277"/>
      <c r="N50" s="277">
        <f>(N3+N10+N17)+2*(O3+O10+O17)</f>
        <v>39</v>
      </c>
      <c r="O50" s="278"/>
      <c r="P50" s="278">
        <f>(P3+P10+P17)+2*(Q3+Q10+Q17)</f>
        <v>28</v>
      </c>
      <c r="Q50" s="258"/>
      <c r="R50" s="258">
        <f>(R3+R10+R17)+2*(S3+S10+S17)</f>
        <v>38</v>
      </c>
      <c r="S50" s="57"/>
      <c r="T50" s="57">
        <f>(T3+T10+T17)+2*(U3+U10+U17)</f>
        <v>0</v>
      </c>
      <c r="U50" s="266"/>
      <c r="V50" s="266">
        <f>(V3+V10+V17)+2*(W3+W10+W17)</f>
        <v>0</v>
      </c>
      <c r="W50" s="267"/>
      <c r="X50" s="267">
        <f>(X3+X10+X17)+2*(Y3+Y10+Y17)</f>
        <v>38</v>
      </c>
      <c r="Y50" s="268"/>
      <c r="Z50" s="268">
        <f>(Z3+Z10+Z17)+2*(AA3+AA10+AA17)</f>
        <v>38</v>
      </c>
      <c r="AA50" s="269"/>
      <c r="AB50" s="269">
        <f>(AB3+AB10+AB17)+2*(AC3+AC10+AC17)</f>
        <v>38</v>
      </c>
      <c r="AC50" s="57"/>
      <c r="AD50" s="57">
        <f>(AD3+AD10+AD17)+2*(AE3+AE10+AE17)</f>
        <v>38</v>
      </c>
      <c r="AE50" s="57"/>
      <c r="AF50" s="57">
        <f>(AF3+AF10+AF17)+2*(AG3+AG10+AG17)</f>
        <v>38</v>
      </c>
      <c r="AG50" s="57"/>
      <c r="AH50" s="57">
        <f>(AH3+AH10+AH17)+2*(AI3+AI10+AI17)</f>
        <v>0</v>
      </c>
      <c r="AI50" s="262"/>
      <c r="AJ50" s="262">
        <f>(AJ3+AJ10+AJ17)+2*(AK3+AK10+AK17)</f>
        <v>0</v>
      </c>
      <c r="AK50" s="270"/>
      <c r="AL50" s="279">
        <f>(AL3+AL10+AL17)+2*(AM3+AM10+AM17)</f>
        <v>37</v>
      </c>
      <c r="AM50" s="271"/>
      <c r="AN50" s="271">
        <f>(AN3+AN10+AN17)+2*(AO3+AO10+AO17)</f>
        <v>38</v>
      </c>
      <c r="AO50" s="280"/>
      <c r="AP50" s="280">
        <f>(AP3+AP10+AP17)+2*(AQ3+AQ10+AQ17)</f>
        <v>38</v>
      </c>
      <c r="AQ50" s="272"/>
      <c r="AR50" s="272">
        <f>(AR3+AR10+AR17)+2*(AS3+AS10+AS17)</f>
        <v>0</v>
      </c>
      <c r="AS50" s="273"/>
      <c r="AT50" s="273">
        <f>(AT3+AT10+AT17)+2*(AU3+AU10+AU17)</f>
        <v>38</v>
      </c>
      <c r="AU50" s="274"/>
      <c r="AV50" s="274">
        <f>(AV3+AV10+AV17)+2*(AW3+AW10+AW17)</f>
        <v>0</v>
      </c>
      <c r="AW50" s="275"/>
      <c r="AX50" s="275">
        <f>(AX3+AX10+AX17)+2*(AY3+AY10+AY17)</f>
        <v>0</v>
      </c>
      <c r="AY50" s="57"/>
      <c r="AZ50" s="57">
        <f>(AZ3+AZ10+AZ17)+2*(BA3+BA10+BA17)</f>
        <v>39</v>
      </c>
      <c r="BA50" s="117"/>
      <c r="BB50" s="115">
        <f>(BB3+BB10+BB17)+2*(BC3+BC10+BC17)</f>
        <v>39</v>
      </c>
      <c r="BC50" s="263"/>
      <c r="BD50" s="263">
        <f>(BD3+BD10+BD17)+2*(BE3+BE10+BE17)</f>
        <v>39</v>
      </c>
      <c r="BE50" s="117"/>
      <c r="BF50" s="57">
        <f>(BF3+BF10+BF17)+2*(BG3+BG10+BG17)</f>
        <v>39</v>
      </c>
      <c r="BG50" s="264"/>
      <c r="BH50" s="325">
        <f>(BH3+BH10+BH17)+2*(BI3+BI10+BI17)</f>
        <v>39</v>
      </c>
      <c r="BI50" s="325"/>
      <c r="BJ50" s="325">
        <f>(BJ3+BJ10+BJ17)+2*(BK3+BK10+BK17)</f>
        <v>0</v>
      </c>
      <c r="BK50" s="325"/>
      <c r="BL50" s="340">
        <f>(BL3+BL10+BL17)+2*(BM3+BM10+BM17)</f>
        <v>0</v>
      </c>
      <c r="BM50" s="340"/>
    </row>
    <row r="51" spans="1:65" x14ac:dyDescent="0.25">
      <c r="A51" t="s">
        <v>82</v>
      </c>
      <c r="C51" s="8"/>
      <c r="D51" s="57">
        <f>(D6+D13+D20)+2*(E6+E13+E20)</f>
        <v>0</v>
      </c>
      <c r="E51" s="57"/>
      <c r="F51" s="57">
        <f>(F6+F13+F20)+2*(G6+G13+G20)</f>
        <v>0</v>
      </c>
      <c r="G51" s="57"/>
      <c r="H51" s="57">
        <f>(H6+H13+H20)+2*(I6+I13+I20)</f>
        <v>0</v>
      </c>
      <c r="I51" s="57"/>
      <c r="J51" s="57">
        <f>(J6+J13+J20)+2*(K6+K13+K20)</f>
        <v>33</v>
      </c>
      <c r="K51" s="57"/>
      <c r="L51" s="57">
        <f>(L6+L13+L20)+2*(M6+M13+M20)</f>
        <v>34</v>
      </c>
      <c r="M51" s="277"/>
      <c r="N51" s="277">
        <f>(N6+N13+N20)+2*(O6+O13+O20)</f>
        <v>33</v>
      </c>
      <c r="O51" s="278"/>
      <c r="P51" s="278">
        <f>(P6+P13+P20)+2*(Q6+Q13+Q20)</f>
        <v>29</v>
      </c>
      <c r="Q51" s="258"/>
      <c r="R51" s="258">
        <f>(R6+R13+R20)+2*(S6+S13+S20)</f>
        <v>34</v>
      </c>
      <c r="S51" s="57"/>
      <c r="T51" s="57">
        <f>(T6+T13+T20)+2*(U6+U13+U20)</f>
        <v>0</v>
      </c>
      <c r="U51" s="266"/>
      <c r="V51" s="266">
        <f>(V6+V13+V20)+2*(W6+W13+W20)</f>
        <v>0</v>
      </c>
      <c r="W51" s="267"/>
      <c r="X51" s="267">
        <f>(X6+X13+X20)+2*(Y6+Y13+Y20)</f>
        <v>34</v>
      </c>
      <c r="Y51" s="268"/>
      <c r="Z51" s="268">
        <f>(Z6+Z13+Z20)+2*(AA6+AA13+AA20)</f>
        <v>34</v>
      </c>
      <c r="AA51" s="269"/>
      <c r="AB51" s="269">
        <f>(AB6+AB13+AB20)+2*(AC6+AC13+AC20)</f>
        <v>34</v>
      </c>
      <c r="AC51" s="57"/>
      <c r="AD51" s="57">
        <f>(AD6+AD13+AD20)+2*(AE6+AE13+AE20)</f>
        <v>34</v>
      </c>
      <c r="AE51" s="57"/>
      <c r="AF51" s="57">
        <f>(AF6+AF13+AF20)+2*(AG6+AG13+AG20)</f>
        <v>34</v>
      </c>
      <c r="AG51" s="57"/>
      <c r="AH51" s="57">
        <f>(AH6+AH13+AH20)+2*(AI6+AI13+AI20)</f>
        <v>0</v>
      </c>
      <c r="AI51" s="262"/>
      <c r="AJ51" s="262">
        <f>(AJ6+AJ13+AJ20)+2*(AK6+AK13+AK20)</f>
        <v>0</v>
      </c>
      <c r="AK51" s="270"/>
      <c r="AL51" s="279">
        <f>(AL6+AL13+AL20)+2*(AM6+AM13+AM20)</f>
        <v>34</v>
      </c>
      <c r="AM51" s="271"/>
      <c r="AN51" s="271">
        <f>(AN6+AN13+AN20)+2*(AO6+AO13+AO20)</f>
        <v>34</v>
      </c>
      <c r="AO51" s="280"/>
      <c r="AP51" s="280">
        <f>(AP6+AP13+AP20)+2*(AQ6+AQ13+AQ20)</f>
        <v>34</v>
      </c>
      <c r="AQ51" s="272"/>
      <c r="AR51" s="272">
        <f>(AR6+AR13+AR20)+2*(AS6+AS13+AS20)</f>
        <v>0</v>
      </c>
      <c r="AS51" s="273"/>
      <c r="AT51" s="273">
        <f>(AT6+AT13+AT20)+2*(AU6+AU13+AU20)</f>
        <v>34</v>
      </c>
      <c r="AU51" s="274"/>
      <c r="AV51" s="274">
        <f>(AV6+AV13+AV20)+2*(AW6+AW13+AW20)</f>
        <v>0</v>
      </c>
      <c r="AW51" s="275"/>
      <c r="AX51" s="275">
        <f>(AX6+AX13+AX20)+2*(AY6+AY13+AY20)</f>
        <v>0</v>
      </c>
      <c r="AY51" s="57"/>
      <c r="AZ51" s="57">
        <f>(AZ6+AZ13+AZ20)+2*(BA6+BA13+BA20)</f>
        <v>35</v>
      </c>
      <c r="BA51" s="117"/>
      <c r="BB51" s="115">
        <f>(BB6+BB13+BB20)+2*(BC6+BC13+BC20)</f>
        <v>34</v>
      </c>
      <c r="BC51" s="263"/>
      <c r="BD51" s="263">
        <f>(BD6+BD13+BD20)+2*(BE6+BE13+BE20)</f>
        <v>35</v>
      </c>
      <c r="BE51" s="117"/>
      <c r="BF51" s="57">
        <f>(BF6+BF13+BF20)+2*(BG6+BG13+BG20)</f>
        <v>35</v>
      </c>
      <c r="BG51" s="264"/>
      <c r="BH51" s="325">
        <f>(BH6+BH13+BH20)+2*(BI6+BI13+BI20)</f>
        <v>35</v>
      </c>
      <c r="BI51" s="325"/>
      <c r="BJ51" s="325">
        <f>(BJ6+BJ13+BJ20)+2*(BK6+BK13+BK20)</f>
        <v>0</v>
      </c>
      <c r="BK51" s="325"/>
      <c r="BL51" s="340">
        <f>(BL6+BL13+BL20)+2*(BM6+BM13+BM20)</f>
        <v>0</v>
      </c>
      <c r="BM51" s="340"/>
    </row>
    <row r="52" spans="1:65" s="124" customFormat="1" x14ac:dyDescent="0.25">
      <c r="A52" s="124" t="s">
        <v>122</v>
      </c>
      <c r="C52" s="8"/>
      <c r="D52" s="154">
        <f>(D4+D11+D18)+2*(E4+E11+E18)</f>
        <v>0</v>
      </c>
      <c r="E52" s="154"/>
      <c r="F52" s="154">
        <f>(F4+F11+F18)+2*(G4+G11+G18)</f>
        <v>0</v>
      </c>
      <c r="G52" s="154"/>
      <c r="H52" s="154">
        <f>(H4+H11+H18)+2*(I4+I11+I18)</f>
        <v>0</v>
      </c>
      <c r="I52" s="154"/>
      <c r="J52" s="154">
        <f>(J4+J11+J18)+2*(K4+K11+K18)</f>
        <v>0</v>
      </c>
      <c r="K52" s="154"/>
      <c r="L52" s="154">
        <f>(L4+L11+L18)+2*(M4+M11+M18)</f>
        <v>0</v>
      </c>
      <c r="M52" s="277"/>
      <c r="N52" s="277">
        <f>(N4+N11+N18)+2*(O4+O11+O18)</f>
        <v>0</v>
      </c>
      <c r="O52" s="278"/>
      <c r="P52" s="278">
        <f>(P4+P11+P18)+2*(Q4+Q11+Q18)</f>
        <v>0</v>
      </c>
      <c r="Q52" s="258"/>
      <c r="R52" s="258">
        <f>(R4+R11+R18)+2*(S4+S11+S18)</f>
        <v>0</v>
      </c>
      <c r="S52" s="154"/>
      <c r="T52" s="154">
        <f>(T4+T11+T18)+2*(U4+U11+U18)</f>
        <v>0</v>
      </c>
      <c r="U52" s="266"/>
      <c r="V52" s="266">
        <f>(V4+V11+V18)+2*(W4+W11+W18)</f>
        <v>0</v>
      </c>
      <c r="W52" s="267"/>
      <c r="X52" s="267">
        <f>(X4+X11+X18)+2*(Y4+Y11+Y18)</f>
        <v>0</v>
      </c>
      <c r="Y52" s="268"/>
      <c r="Z52" s="268">
        <f>(Z4+Z11+Z18)+2*(AA4+AA11+AA18)</f>
        <v>0</v>
      </c>
      <c r="AA52" s="269"/>
      <c r="AB52" s="269">
        <f>(AB4+AB11+AB18)+2*(AC4+AC11+AC18)</f>
        <v>0</v>
      </c>
      <c r="AC52" s="154"/>
      <c r="AD52" s="154">
        <f>(AD4+AD11+AD18)+2*(AE4+AE11+AE18)</f>
        <v>0</v>
      </c>
      <c r="AE52" s="154"/>
      <c r="AF52" s="154">
        <f>(AF4+AF11+AF18)+2*(AG4+AG11+AG18)</f>
        <v>0</v>
      </c>
      <c r="AG52" s="154"/>
      <c r="AH52" s="154">
        <f>(AH4+AH11+AH18)+2*(AI4+AI11+AI18)</f>
        <v>0</v>
      </c>
      <c r="AI52" s="262"/>
      <c r="AJ52" s="262">
        <f>(AJ4+AJ11+AJ18)+2*(AK4+AK11+AK18)</f>
        <v>0</v>
      </c>
      <c r="AK52" s="270"/>
      <c r="AL52" s="279">
        <f>(AL4+AL11+AL18)+2*(AM4+AM11+AM18)</f>
        <v>0</v>
      </c>
      <c r="AM52" s="271"/>
      <c r="AN52" s="271">
        <f>(AN4+AN11+AN18)+2*(AO4+AO11+AO18)</f>
        <v>0</v>
      </c>
      <c r="AO52" s="280"/>
      <c r="AP52" s="280">
        <f>(AP4+AP11+AP18)+2*(AQ4+AQ11+AQ18)</f>
        <v>0</v>
      </c>
      <c r="AQ52" s="272"/>
      <c r="AR52" s="272">
        <f>(AR4+AR11+AR18)+2*(AS4+AS11+AS18)</f>
        <v>0</v>
      </c>
      <c r="AS52" s="273"/>
      <c r="AT52" s="273">
        <f>(AT4+AT11+AT18)+2*(AU4+AU11+AU18)</f>
        <v>0</v>
      </c>
      <c r="AU52" s="274"/>
      <c r="AV52" s="274">
        <f>(AV4+AV11+AV18)+2*(AW4+AW11+AW18)</f>
        <v>0</v>
      </c>
      <c r="AW52" s="319"/>
      <c r="AX52" s="275">
        <f>(AX4+AX11+AX18)+2*(AY4+AY11+AY18)</f>
        <v>0</v>
      </c>
      <c r="AY52" s="319"/>
      <c r="AZ52" s="154">
        <f>(AZ4+AZ11+AZ18)+2*(BA4+BA11+BA18)</f>
        <v>0</v>
      </c>
      <c r="BA52" s="319"/>
      <c r="BB52" s="154">
        <f>(BB4+BB11+BB18)+2*(BC4+BC11+BC18)</f>
        <v>0</v>
      </c>
      <c r="BC52" s="263"/>
      <c r="BD52" s="263">
        <f>(BD4+BD11+BD18)+2*(BE4+BE11+BE18)</f>
        <v>0</v>
      </c>
      <c r="BE52" s="154"/>
      <c r="BF52" s="154">
        <f>(BF4+BF11+BF18)+2*(BG4+BG11+BG18)</f>
        <v>0</v>
      </c>
      <c r="BG52" s="264"/>
      <c r="BH52" s="325">
        <f>(BH4+BH11+BH18)+2*(BI4+BI11+BI18)</f>
        <v>0</v>
      </c>
      <c r="BI52" s="325"/>
      <c r="BJ52" s="325">
        <f>(BJ4+BJ11+BJ18)+2*(BK4+BK11+BK18)</f>
        <v>0</v>
      </c>
      <c r="BK52" s="325"/>
      <c r="BL52" s="340">
        <f>(BL4+BL11+BL18)+2*(BM4+BM11+BM18)</f>
        <v>0</v>
      </c>
      <c r="BM52" s="340"/>
    </row>
    <row r="53" spans="1:65" x14ac:dyDescent="0.25">
      <c r="A53" t="s">
        <v>35</v>
      </c>
      <c r="C53" s="8"/>
      <c r="D53" s="57">
        <f>(D7+D14+D21)+2*(E7+E14+E21)</f>
        <v>0</v>
      </c>
      <c r="E53" s="57"/>
      <c r="F53" s="57">
        <f>(F7+F14+F21)+2*(G7+G14+G21)</f>
        <v>0</v>
      </c>
      <c r="G53" s="57"/>
      <c r="H53" s="57">
        <f>(H7+H14+H21)+2*(I7+I14+I21)</f>
        <v>0</v>
      </c>
      <c r="I53" s="57"/>
      <c r="J53" s="57">
        <f>(J7+J14+J21)+2*(K7+K14+K21)</f>
        <v>4</v>
      </c>
      <c r="K53" s="57"/>
      <c r="L53" s="57">
        <f>(L7+L14+L21)+2*(M7+M14+M21)</f>
        <v>4</v>
      </c>
      <c r="M53" s="277"/>
      <c r="N53" s="277">
        <f>(N7+N14+N21)+2*(O7+O14+O21)</f>
        <v>4</v>
      </c>
      <c r="O53" s="278"/>
      <c r="P53" s="278">
        <f>(P7+P14+P21)+2*(Q7+Q14+Q21)</f>
        <v>4</v>
      </c>
      <c r="Q53" s="258"/>
      <c r="R53" s="258">
        <f>(R7+R14+R21)+2*(S7+S14+S21)</f>
        <v>4</v>
      </c>
      <c r="S53" s="57"/>
      <c r="T53" s="57">
        <f>(T7+T14+T21)+2*(U7+U14+U21)</f>
        <v>0</v>
      </c>
      <c r="U53" s="266"/>
      <c r="V53" s="266">
        <f>(V7+V14+V21)+2*(W7+W14+W21)</f>
        <v>0</v>
      </c>
      <c r="W53" s="267"/>
      <c r="X53" s="267">
        <f>(X7+X14+X21)+2*(Y7+Y14+Y21)</f>
        <v>4</v>
      </c>
      <c r="Y53" s="268"/>
      <c r="Z53" s="268">
        <f>(Z7+Z14+Z21)+2*(AA7+AA14+AA21)</f>
        <v>4</v>
      </c>
      <c r="AA53" s="269"/>
      <c r="AB53" s="269">
        <f>(AB7+AB14+AB21)+2*(AC7+AC14+AC21)</f>
        <v>4</v>
      </c>
      <c r="AC53" s="57"/>
      <c r="AD53" s="57">
        <f>(AD7+AD14+AD21)+2*(AE7+AE14+AE21)</f>
        <v>4</v>
      </c>
      <c r="AE53" s="57"/>
      <c r="AF53" s="248">
        <f>(AF7+AF14+AF21)+2*(AG7+AG14+AG21)</f>
        <v>4</v>
      </c>
      <c r="AG53" s="57"/>
      <c r="AH53" s="57">
        <f>(AH7+AH14+AH21)+2*(AI7+AI14+AI21)</f>
        <v>0</v>
      </c>
      <c r="AI53" s="262"/>
      <c r="AJ53" s="262">
        <f>(AJ7+AJ14+AJ21)+2*(AK7+AK14+AK21)</f>
        <v>0</v>
      </c>
      <c r="AK53" s="270"/>
      <c r="AL53" s="279">
        <f>(AL7+AL14+AL21)+2*(AM7+AM14+AM21)</f>
        <v>4</v>
      </c>
      <c r="AM53" s="271"/>
      <c r="AN53" s="271">
        <f>(AN7+AN14+AN21)+2*(AO7+AO14+AO21)</f>
        <v>4</v>
      </c>
      <c r="AO53" s="280"/>
      <c r="AP53" s="280">
        <f>(AP7+AP14+AP21)+2*(AQ7+AQ14+AQ21)</f>
        <v>4</v>
      </c>
      <c r="AQ53" s="272"/>
      <c r="AR53" s="272">
        <f>(AR7+AR14+AR21)+2*(AS7+AS14+AS21)</f>
        <v>0</v>
      </c>
      <c r="AS53" s="273"/>
      <c r="AT53" s="273">
        <f>(AT7+AT14+AT21)+2*(AU7+AU14+AU21)</f>
        <v>4</v>
      </c>
      <c r="AU53" s="274"/>
      <c r="AV53" s="274">
        <f>(AV7+AV14+AV21)+2*(AW7+AW14+AW21)</f>
        <v>0</v>
      </c>
      <c r="AW53" s="319"/>
      <c r="AX53" s="275">
        <f>(AX7+AX14+AX21)+2*(AY7+AY14+AY21)</f>
        <v>0</v>
      </c>
      <c r="AY53" s="319"/>
      <c r="AZ53" s="250">
        <f>(AZ7+AZ14+AZ21)+2*(BA7+BA14+BA21)</f>
        <v>4</v>
      </c>
      <c r="BA53" s="319"/>
      <c r="BB53" s="251">
        <f>(BB7+BB14+BB21)+2*(BC7+BC14+BC21)</f>
        <v>4</v>
      </c>
      <c r="BC53" s="319"/>
      <c r="BD53" s="263">
        <f>(BD7+BD14+BD21)+2*(BE7+BE14+BE21)</f>
        <v>4</v>
      </c>
      <c r="BE53" s="319"/>
      <c r="BF53" s="57">
        <f>(BF7+BF14+BF21)+2*(BG7+BG14+BG21)</f>
        <v>4</v>
      </c>
      <c r="BG53" s="264"/>
      <c r="BH53" s="325">
        <f>(BH7+BH14+BH21)+2*(BI7+BI14+BI21)</f>
        <v>4</v>
      </c>
      <c r="BI53" s="325"/>
      <c r="BJ53" s="325">
        <f>(BJ7+BJ14+BJ21)+2*(BK7+BK14+BK21)</f>
        <v>0</v>
      </c>
      <c r="BK53" s="325"/>
      <c r="BL53" s="340">
        <f>(BL7+BL14+BL21)+2*(BM7+BM14+BM21)</f>
        <v>0</v>
      </c>
      <c r="BM53" s="340"/>
    </row>
    <row r="54" spans="1:65" x14ac:dyDescent="0.25">
      <c r="AW54" s="319"/>
      <c r="AY54" s="319"/>
      <c r="BA54" s="319"/>
      <c r="BC54" s="319"/>
      <c r="BE54" s="319"/>
    </row>
    <row r="55" spans="1:65" x14ac:dyDescent="0.25">
      <c r="Y55" s="255"/>
      <c r="Z55" s="255"/>
      <c r="AA55" s="255"/>
      <c r="AB55" s="255"/>
      <c r="AC55" s="255"/>
      <c r="AD55" s="255"/>
      <c r="AE55" s="255"/>
      <c r="AF55" s="255"/>
      <c r="AG55" s="255"/>
      <c r="AH55" s="255"/>
      <c r="AI55" s="255"/>
      <c r="AJ55" s="255"/>
      <c r="AK55" s="255"/>
      <c r="AL55" s="255"/>
      <c r="AM55" s="255"/>
      <c r="AN55" s="255"/>
      <c r="AO55" s="255"/>
      <c r="AP55" s="255"/>
      <c r="AQ55" s="255"/>
      <c r="AR55" s="255"/>
      <c r="AS55" s="255"/>
      <c r="AT55" s="255"/>
      <c r="AU55" s="255"/>
      <c r="AV55" s="255"/>
      <c r="AW55" s="255"/>
      <c r="AX55" s="255"/>
      <c r="AY55" s="255"/>
      <c r="AZ55" s="255"/>
      <c r="BA55" s="255"/>
      <c r="BB55" s="255"/>
      <c r="BC55" s="255"/>
      <c r="BD55" s="255"/>
      <c r="BE55" s="255"/>
      <c r="BF55" s="255"/>
      <c r="BG55" s="255"/>
      <c r="BH55" s="255"/>
      <c r="BI55" s="255"/>
      <c r="BJ55" s="255"/>
    </row>
    <row r="58" spans="1:65" x14ac:dyDescent="0.25">
      <c r="AJ58" s="255"/>
      <c r="AK58" s="255"/>
      <c r="AL58" s="255"/>
      <c r="AM58" s="255"/>
      <c r="AN58" s="255"/>
      <c r="AO58" s="255"/>
      <c r="AP58" s="255"/>
      <c r="AQ58" s="255"/>
      <c r="AR58" s="255"/>
      <c r="AS58" s="255"/>
      <c r="AT58" s="255"/>
      <c r="AU58" s="255"/>
      <c r="AV58" s="255"/>
      <c r="AW58" s="255"/>
      <c r="AX58" s="255"/>
      <c r="AY58" s="255"/>
      <c r="AZ58" s="255"/>
      <c r="BA58" s="255"/>
      <c r="BB58" s="255"/>
      <c r="BC58" s="255"/>
      <c r="BD58" s="255"/>
      <c r="BE58" s="255"/>
      <c r="BF58" s="255"/>
    </row>
    <row r="59" spans="1:65" x14ac:dyDescent="0.25">
      <c r="AJ59" s="255"/>
      <c r="AK59" s="255"/>
      <c r="AL59" s="255"/>
      <c r="AM59" s="255"/>
      <c r="AN59" s="255"/>
      <c r="AO59" s="255"/>
      <c r="AP59" s="255"/>
      <c r="AQ59" s="255"/>
      <c r="AR59" s="255"/>
      <c r="AS59" s="255"/>
      <c r="AT59" s="255"/>
      <c r="AU59" s="255"/>
      <c r="AV59" s="255"/>
      <c r="AW59" s="255"/>
      <c r="AX59" s="255"/>
      <c r="AY59" s="255"/>
      <c r="AZ59" s="255"/>
      <c r="BA59" s="255"/>
      <c r="BB59" s="255"/>
      <c r="BC59" s="255"/>
      <c r="BD59" s="255"/>
      <c r="BE59" s="255"/>
      <c r="BF59" s="255"/>
      <c r="BG59" s="255"/>
      <c r="BH59" s="255"/>
      <c r="BI59" s="255"/>
      <c r="BJ59" s="124"/>
    </row>
    <row r="60" spans="1:65" x14ac:dyDescent="0.25">
      <c r="X60" s="255"/>
      <c r="Y60" s="255"/>
      <c r="Z60" s="255"/>
      <c r="AA60" s="255"/>
      <c r="AB60" s="255"/>
      <c r="AC60" s="255"/>
      <c r="AD60" s="255"/>
      <c r="AE60" s="255"/>
      <c r="AF60" s="255"/>
      <c r="AG60" s="255"/>
      <c r="AH60" s="255"/>
      <c r="AI60" s="255"/>
      <c r="AJ60" s="255"/>
      <c r="AK60" s="255"/>
      <c r="AL60" s="255"/>
      <c r="AM60" s="255"/>
      <c r="AN60" s="255"/>
      <c r="AO60" s="255"/>
      <c r="AP60" s="255"/>
      <c r="AQ60" s="255"/>
      <c r="AR60" s="255"/>
      <c r="AS60" s="255"/>
      <c r="AT60" s="255"/>
      <c r="AU60" s="255"/>
      <c r="AV60" s="255"/>
      <c r="AW60" s="255"/>
      <c r="AX60" s="255"/>
      <c r="AY60" s="255"/>
      <c r="AZ60" s="255"/>
      <c r="BA60" s="255"/>
      <c r="BB60" s="255"/>
      <c r="BC60" s="255"/>
      <c r="BD60" s="255"/>
      <c r="BE60" s="255"/>
      <c r="BF60" s="255"/>
      <c r="BG60" s="255"/>
      <c r="BH60" s="255"/>
      <c r="BI60" s="255"/>
      <c r="BJ60" s="124"/>
      <c r="BK60" s="124"/>
    </row>
    <row r="61" spans="1:65" x14ac:dyDescent="0.25">
      <c r="X61" s="255"/>
      <c r="Y61" s="255"/>
      <c r="Z61" s="255"/>
      <c r="AA61" s="255"/>
      <c r="AB61" s="255"/>
      <c r="AC61" s="255"/>
      <c r="AD61" s="255"/>
      <c r="AE61" s="255"/>
      <c r="AF61" s="255"/>
      <c r="AG61" s="255"/>
      <c r="AH61" s="255"/>
      <c r="AI61" s="255"/>
      <c r="AJ61" s="255"/>
      <c r="AK61" s="255"/>
      <c r="AL61" s="255"/>
      <c r="AM61" s="255"/>
      <c r="AN61" s="255"/>
      <c r="AO61" s="255"/>
      <c r="AP61" s="255"/>
      <c r="AQ61" s="255"/>
      <c r="AR61" s="255"/>
      <c r="AS61" s="255"/>
      <c r="AT61" s="255"/>
      <c r="AU61" s="255"/>
      <c r="AV61" s="255"/>
      <c r="AW61" s="255"/>
      <c r="AX61" s="255"/>
      <c r="AY61" s="255"/>
      <c r="AZ61" s="255"/>
      <c r="BA61" s="255"/>
      <c r="BB61" s="255"/>
      <c r="BC61" s="255"/>
      <c r="BD61" s="255"/>
      <c r="BE61" s="255"/>
      <c r="BF61" s="255"/>
      <c r="BG61" s="255"/>
      <c r="BH61" s="255"/>
      <c r="BI61" s="255"/>
      <c r="BJ61" s="124"/>
      <c r="BK61" s="124"/>
    </row>
    <row r="62" spans="1:65" x14ac:dyDescent="0.25">
      <c r="X62" s="255"/>
      <c r="Y62" s="255"/>
      <c r="Z62" s="255"/>
      <c r="AA62" s="255"/>
      <c r="AB62" s="255"/>
      <c r="AC62" s="255"/>
      <c r="AD62" s="255"/>
      <c r="AE62" s="255"/>
      <c r="AF62" s="255"/>
      <c r="AG62" s="255"/>
      <c r="AH62" s="255"/>
      <c r="AI62" s="255"/>
      <c r="AJ62" s="255"/>
      <c r="AK62" s="255"/>
      <c r="AL62" s="255"/>
      <c r="AM62" s="255"/>
      <c r="AN62" s="255"/>
      <c r="AO62" s="255"/>
      <c r="AP62" s="255"/>
      <c r="AQ62" s="255"/>
      <c r="AR62" s="255"/>
      <c r="AS62" s="255"/>
      <c r="AT62" s="255"/>
      <c r="AU62" s="255"/>
      <c r="AV62" s="255"/>
      <c r="AW62" s="255"/>
      <c r="AX62" s="255"/>
      <c r="AY62" s="255"/>
      <c r="AZ62" s="255"/>
      <c r="BA62" s="255"/>
      <c r="BB62" s="255"/>
      <c r="BC62" s="255"/>
      <c r="BD62" s="255"/>
      <c r="BE62" s="255"/>
      <c r="BF62" s="255"/>
      <c r="BG62" s="255"/>
      <c r="BH62" s="255"/>
      <c r="BI62" s="255"/>
    </row>
    <row r="63" spans="1:65" x14ac:dyDescent="0.25">
      <c r="X63" s="255"/>
      <c r="Y63" s="255"/>
      <c r="Z63" s="255"/>
      <c r="AA63" s="255"/>
      <c r="AB63" s="255"/>
      <c r="AC63" s="255"/>
      <c r="AD63" s="255"/>
      <c r="AE63" s="255"/>
      <c r="AF63" s="255"/>
      <c r="AG63" s="255"/>
      <c r="AH63" s="255"/>
      <c r="AI63" s="255"/>
      <c r="AJ63" s="255"/>
      <c r="AK63" s="255"/>
      <c r="AL63" s="255"/>
      <c r="AM63" s="255"/>
      <c r="AN63" s="255"/>
      <c r="AO63" s="255"/>
      <c r="AP63" s="255"/>
      <c r="AQ63" s="255"/>
      <c r="AR63" s="255"/>
      <c r="AS63" s="255"/>
      <c r="AT63" s="255"/>
      <c r="AU63" s="255"/>
      <c r="AV63" s="255"/>
      <c r="AW63" s="255"/>
      <c r="AX63" s="255"/>
      <c r="AY63" s="255"/>
      <c r="AZ63" s="255"/>
      <c r="BA63" s="255"/>
      <c r="BB63" s="255"/>
      <c r="BC63" s="255"/>
      <c r="BD63" s="255"/>
      <c r="BE63" s="255"/>
      <c r="BF63" s="255"/>
      <c r="BG63" s="255"/>
      <c r="BH63" s="255"/>
      <c r="BI63" s="255"/>
    </row>
    <row r="64" spans="1:65" x14ac:dyDescent="0.25">
      <c r="X64" s="255"/>
      <c r="Y64" s="255"/>
      <c r="Z64" s="255"/>
      <c r="AA64" s="255"/>
      <c r="AB64" s="255"/>
      <c r="AC64" s="255"/>
      <c r="AD64" s="255"/>
      <c r="AE64" s="255"/>
      <c r="AF64" s="255"/>
      <c r="AG64" s="255"/>
      <c r="AH64" s="255"/>
      <c r="AI64" s="255"/>
      <c r="AJ64" s="255"/>
      <c r="AK64" s="255"/>
      <c r="AL64" s="255"/>
      <c r="AM64" s="255"/>
      <c r="AN64" s="255"/>
      <c r="AO64" s="255"/>
      <c r="AP64" s="255"/>
      <c r="AQ64" s="255"/>
      <c r="AR64" s="255"/>
      <c r="AS64" s="255"/>
      <c r="AT64" s="255"/>
      <c r="AU64" s="255"/>
      <c r="AV64" s="255"/>
      <c r="AW64" s="255"/>
      <c r="AX64" s="255"/>
      <c r="AY64" s="255"/>
    </row>
    <row r="65" spans="24:51" x14ac:dyDescent="0.25">
      <c r="X65" s="255"/>
      <c r="Y65" s="255"/>
      <c r="Z65" s="255"/>
      <c r="AA65" s="255"/>
      <c r="AB65" s="255"/>
      <c r="AC65" s="255"/>
      <c r="AD65" s="255"/>
      <c r="AE65" s="255"/>
      <c r="AF65" s="255"/>
      <c r="AG65" s="255"/>
      <c r="AH65" s="255"/>
      <c r="AI65" s="255"/>
      <c r="AJ65" s="255"/>
      <c r="AK65" s="255"/>
      <c r="AL65" s="255"/>
      <c r="AM65" s="255"/>
      <c r="AN65" s="255"/>
      <c r="AO65" s="255"/>
      <c r="AP65" s="255"/>
      <c r="AQ65" s="255"/>
      <c r="AR65" s="255"/>
      <c r="AS65" s="255"/>
      <c r="AT65" s="255"/>
      <c r="AU65" s="255"/>
      <c r="AV65" s="255"/>
      <c r="AW65" s="255"/>
      <c r="AX65" s="255"/>
      <c r="AY65" s="255"/>
    </row>
    <row r="66" spans="24:51" x14ac:dyDescent="0.25">
      <c r="X66" s="255"/>
      <c r="Y66" s="255"/>
      <c r="Z66" s="255"/>
      <c r="AA66" s="255"/>
      <c r="AB66" s="255"/>
      <c r="AC66" s="255"/>
      <c r="AD66" s="255"/>
      <c r="AE66" s="255"/>
      <c r="AF66" s="255"/>
      <c r="AG66" s="255"/>
      <c r="AH66" s="255"/>
      <c r="AI66" s="255"/>
      <c r="AJ66" s="255"/>
      <c r="AK66" s="255"/>
      <c r="AL66" s="255"/>
      <c r="AM66" s="255"/>
      <c r="AN66" s="255"/>
      <c r="AO66" s="255"/>
      <c r="AP66" s="255"/>
      <c r="AQ66" s="255"/>
      <c r="AR66" s="255"/>
      <c r="AS66" s="255"/>
      <c r="AT66" s="255"/>
      <c r="AU66" s="255"/>
      <c r="AV66" s="255"/>
      <c r="AW66" s="255"/>
      <c r="AX66" s="255"/>
      <c r="AY66" s="255"/>
    </row>
    <row r="67" spans="24:51" x14ac:dyDescent="0.25">
      <c r="X67" s="255"/>
      <c r="Y67" s="255"/>
      <c r="Z67" s="255"/>
      <c r="AA67" s="255"/>
      <c r="AB67" s="255"/>
      <c r="AC67" s="255"/>
      <c r="AD67" s="255"/>
      <c r="AE67" s="255"/>
      <c r="AF67" s="255"/>
      <c r="AG67" s="255"/>
      <c r="AH67" s="255"/>
      <c r="AI67" s="255"/>
      <c r="AJ67" s="255"/>
      <c r="AK67" s="255"/>
      <c r="AL67" s="255"/>
      <c r="AM67" s="255"/>
      <c r="AN67" s="255"/>
      <c r="AO67" s="255"/>
      <c r="AP67" s="255"/>
      <c r="AQ67" s="255"/>
      <c r="AR67" s="255"/>
      <c r="AS67" s="255"/>
      <c r="AT67" s="255"/>
      <c r="AU67" s="255"/>
      <c r="AV67" s="255"/>
      <c r="AW67" s="255"/>
      <c r="AX67" s="255"/>
      <c r="AY67" s="255"/>
    </row>
    <row r="68" spans="24:51" x14ac:dyDescent="0.25">
      <c r="X68" s="255"/>
      <c r="Y68" s="255"/>
      <c r="Z68" s="255"/>
      <c r="AA68" s="255"/>
      <c r="AB68" s="255"/>
      <c r="AC68" s="255"/>
      <c r="AD68" s="255"/>
      <c r="AE68" s="255"/>
      <c r="AF68" s="255"/>
      <c r="AG68" s="255"/>
      <c r="AH68" s="255"/>
      <c r="AI68" s="255"/>
      <c r="AJ68" s="255"/>
      <c r="AK68" s="255"/>
      <c r="AL68" s="255"/>
      <c r="AM68" s="255"/>
      <c r="AN68" s="255"/>
      <c r="AO68" s="255"/>
      <c r="AP68" s="255"/>
      <c r="AQ68" s="255"/>
      <c r="AR68" s="255"/>
      <c r="AS68" s="255"/>
      <c r="AT68" s="255"/>
      <c r="AU68" s="255"/>
      <c r="AV68" s="255"/>
      <c r="AW68" s="255"/>
      <c r="AX68" s="255"/>
      <c r="AY68" s="255"/>
    </row>
    <row r="69" spans="24:51" x14ac:dyDescent="0.25">
      <c r="X69" s="255"/>
      <c r="Y69" s="255"/>
      <c r="Z69" s="255"/>
      <c r="AA69" s="255"/>
      <c r="AB69" s="255"/>
      <c r="AC69" s="255"/>
      <c r="AD69" s="255"/>
      <c r="AE69" s="255"/>
      <c r="AF69" s="255"/>
      <c r="AG69" s="255"/>
      <c r="AH69" s="255"/>
      <c r="AI69" s="255"/>
      <c r="AJ69" s="255"/>
      <c r="AK69" s="255"/>
      <c r="AL69" s="255"/>
      <c r="AM69" s="255"/>
      <c r="AN69" s="255"/>
      <c r="AO69" s="255"/>
      <c r="AP69" s="255"/>
      <c r="AQ69" s="255"/>
      <c r="AR69" s="255"/>
      <c r="AS69" s="255"/>
      <c r="AT69" s="255"/>
      <c r="AU69" s="255"/>
      <c r="AV69" s="255"/>
      <c r="AW69" s="255"/>
      <c r="AX69" s="255"/>
      <c r="AY69" s="255"/>
    </row>
    <row r="70" spans="24:51" x14ac:dyDescent="0.25">
      <c r="X70" s="255"/>
      <c r="Y70" s="255"/>
      <c r="Z70" s="255"/>
      <c r="AA70" s="255"/>
      <c r="AB70" s="255"/>
      <c r="AC70" s="255"/>
      <c r="AD70" s="255"/>
      <c r="AE70" s="255"/>
      <c r="AF70" s="255"/>
      <c r="AG70" s="255"/>
      <c r="AH70" s="255"/>
      <c r="AI70" s="255"/>
      <c r="AJ70" s="255"/>
      <c r="AK70" s="255"/>
      <c r="AL70" s="255"/>
      <c r="AM70" s="255"/>
      <c r="AN70" s="255"/>
      <c r="AO70" s="255"/>
      <c r="AP70" s="255"/>
      <c r="AQ70" s="255"/>
      <c r="AR70" s="255"/>
      <c r="AS70" s="255"/>
      <c r="AT70" s="255"/>
      <c r="AU70" s="255"/>
      <c r="AV70" s="255"/>
      <c r="AW70" s="255"/>
      <c r="AX70" s="255"/>
      <c r="AY70" s="255"/>
    </row>
    <row r="71" spans="24:51" x14ac:dyDescent="0.25">
      <c r="X71" s="255"/>
      <c r="Y71" s="255"/>
      <c r="Z71" s="255"/>
      <c r="AA71" s="255"/>
      <c r="AB71" s="255"/>
      <c r="AC71" s="255"/>
      <c r="AD71" s="255"/>
      <c r="AE71" s="255"/>
      <c r="AF71" s="255"/>
      <c r="AG71" s="255"/>
      <c r="AH71" s="255"/>
      <c r="AI71" s="255"/>
      <c r="AJ71" s="255"/>
      <c r="AK71" s="255"/>
      <c r="AL71" s="255"/>
      <c r="AM71" s="255"/>
      <c r="AN71" s="255"/>
      <c r="AO71" s="255"/>
      <c r="AP71" s="255"/>
      <c r="AQ71" s="255"/>
      <c r="AR71" s="255"/>
      <c r="AS71" s="255"/>
      <c r="AT71" s="255"/>
      <c r="AU71" s="255"/>
      <c r="AV71" s="255"/>
      <c r="AW71" s="255"/>
      <c r="AX71" s="255"/>
      <c r="AY71" s="255"/>
    </row>
    <row r="72" spans="24:51" x14ac:dyDescent="0.25">
      <c r="X72" s="255"/>
      <c r="Y72" s="255"/>
      <c r="Z72" s="255"/>
      <c r="AA72" s="255"/>
      <c r="AB72" s="255"/>
      <c r="AC72" s="255"/>
      <c r="AD72" s="255"/>
      <c r="AE72" s="255"/>
      <c r="AF72" s="255"/>
      <c r="AG72" s="255"/>
      <c r="AH72" s="255"/>
      <c r="AI72" s="255"/>
      <c r="AJ72" s="255"/>
      <c r="AK72" s="255"/>
      <c r="AL72" s="255"/>
      <c r="AM72" s="255"/>
      <c r="AN72" s="255"/>
      <c r="AO72" s="255"/>
      <c r="AP72" s="255"/>
      <c r="AQ72" s="255"/>
      <c r="AR72" s="255"/>
      <c r="AS72" s="255"/>
      <c r="AT72" s="255"/>
      <c r="AU72" s="255"/>
      <c r="AV72" s="255"/>
      <c r="AW72" s="255"/>
      <c r="AX72" s="255"/>
      <c r="AY72" s="255"/>
    </row>
  </sheetData>
  <mergeCells count="32">
    <mergeCell ref="BL1:BM1"/>
    <mergeCell ref="BH1:BI1"/>
    <mergeCell ref="BJ1:BK1"/>
    <mergeCell ref="AB1:AC1"/>
    <mergeCell ref="AD1:AE1"/>
    <mergeCell ref="AJ1:AK1"/>
    <mergeCell ref="AF1:AG1"/>
    <mergeCell ref="AL1:AM1"/>
    <mergeCell ref="AH1:AI1"/>
    <mergeCell ref="BF1:BG1"/>
    <mergeCell ref="AT1:AU1"/>
    <mergeCell ref="AN1:AO1"/>
    <mergeCell ref="BD1:BE1"/>
    <mergeCell ref="AR1:AS1"/>
    <mergeCell ref="AP1:AQ1"/>
    <mergeCell ref="AZ1:BA1"/>
    <mergeCell ref="BB1:BC1"/>
    <mergeCell ref="AX1:AY1"/>
    <mergeCell ref="AV1:AW1"/>
    <mergeCell ref="A37:B37"/>
    <mergeCell ref="D1:E1"/>
    <mergeCell ref="F1:G1"/>
    <mergeCell ref="L1:M1"/>
    <mergeCell ref="H1:I1"/>
    <mergeCell ref="J1:K1"/>
    <mergeCell ref="N1:O1"/>
    <mergeCell ref="P1:Q1"/>
    <mergeCell ref="Z1:AA1"/>
    <mergeCell ref="V1:W1"/>
    <mergeCell ref="T1:U1"/>
    <mergeCell ref="R1:S1"/>
    <mergeCell ref="X1:Y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71"/>
  <sheetViews>
    <sheetView topLeftCell="A4" zoomScale="145" zoomScaleNormal="145" workbookViewId="0">
      <selection activeCell="I40" sqref="I40"/>
    </sheetView>
  </sheetViews>
  <sheetFormatPr baseColWidth="10" defaultColWidth="15.140625" defaultRowHeight="15" x14ac:dyDescent="0.25"/>
  <cols>
    <col min="1" max="1" width="39.28515625" customWidth="1"/>
    <col min="2" max="2" width="15.28515625" customWidth="1"/>
    <col min="3" max="21" width="10.7109375" customWidth="1"/>
    <col min="22" max="22" width="10.85546875" customWidth="1"/>
    <col min="23" max="30" width="10.7109375" customWidth="1"/>
  </cols>
  <sheetData>
    <row r="1" spans="1:33" ht="24.75" x14ac:dyDescent="0.45">
      <c r="A1" s="127" t="s">
        <v>182</v>
      </c>
      <c r="B1" s="77"/>
    </row>
    <row r="3" spans="1:33" x14ac:dyDescent="0.25">
      <c r="A3" s="78"/>
      <c r="B3" s="78"/>
      <c r="C3" s="93">
        <v>46143</v>
      </c>
      <c r="D3" s="93">
        <v>46144</v>
      </c>
      <c r="E3" s="93">
        <v>46145</v>
      </c>
      <c r="F3" s="93">
        <v>46146</v>
      </c>
      <c r="G3" s="93">
        <v>46147</v>
      </c>
      <c r="H3" s="93">
        <v>46148</v>
      </c>
      <c r="I3" s="93">
        <v>46149</v>
      </c>
      <c r="J3" s="93">
        <v>46150</v>
      </c>
      <c r="K3" s="93">
        <v>46151</v>
      </c>
      <c r="L3" s="93">
        <v>46152</v>
      </c>
      <c r="M3" s="93">
        <v>46153</v>
      </c>
      <c r="N3" s="93">
        <v>46154</v>
      </c>
      <c r="O3" s="93">
        <v>46155</v>
      </c>
      <c r="P3" s="93">
        <v>46156</v>
      </c>
      <c r="Q3" s="93">
        <v>46157</v>
      </c>
      <c r="R3" s="93">
        <v>46158</v>
      </c>
      <c r="S3" s="93">
        <v>46159</v>
      </c>
      <c r="T3" s="93">
        <v>46160</v>
      </c>
      <c r="U3" s="93">
        <v>46161</v>
      </c>
      <c r="V3" s="93">
        <v>46162</v>
      </c>
      <c r="W3" s="93">
        <v>46163</v>
      </c>
      <c r="X3" s="93">
        <v>46164</v>
      </c>
      <c r="Y3" s="93">
        <v>46165</v>
      </c>
      <c r="Z3" s="93">
        <v>46166</v>
      </c>
      <c r="AA3" s="93">
        <v>46167</v>
      </c>
      <c r="AB3" s="93">
        <v>46168</v>
      </c>
      <c r="AC3" s="93">
        <v>46169</v>
      </c>
      <c r="AD3" s="93">
        <v>46170</v>
      </c>
      <c r="AE3" s="93">
        <v>46171</v>
      </c>
      <c r="AF3" s="93">
        <v>46172</v>
      </c>
      <c r="AG3" s="93">
        <v>46173</v>
      </c>
    </row>
    <row r="4" spans="1:33" x14ac:dyDescent="0.25">
      <c r="A4" s="79" t="s">
        <v>85</v>
      </c>
      <c r="B4" s="80" t="s">
        <v>86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</row>
    <row r="5" spans="1:33" s="85" customFormat="1" ht="14.25" x14ac:dyDescent="0.2">
      <c r="A5" s="81" t="s">
        <v>74</v>
      </c>
      <c r="B5" s="82">
        <v>43.13</v>
      </c>
      <c r="C5" s="95">
        <f>'Data Ocupacion'!D40</f>
        <v>54</v>
      </c>
      <c r="D5" s="95">
        <f>'Data Ocupacion'!F40</f>
        <v>72</v>
      </c>
      <c r="E5" s="95">
        <f>'Data Ocupacion'!H40</f>
        <v>54</v>
      </c>
      <c r="F5" s="95">
        <f>'Data Ocupacion'!J40</f>
        <v>79</v>
      </c>
      <c r="G5" s="95">
        <f>'Data Ocupacion'!L40</f>
        <v>79</v>
      </c>
      <c r="H5" s="95">
        <f>'Data Ocupacion'!N40</f>
        <v>79</v>
      </c>
      <c r="I5" s="95">
        <f>'Data Ocupacion'!P40</f>
        <v>70</v>
      </c>
      <c r="J5" s="95">
        <f>'Data Ocupacion'!R40</f>
        <v>79</v>
      </c>
      <c r="K5" s="95">
        <f>'Data Ocupacion'!T40</f>
        <v>72</v>
      </c>
      <c r="L5" s="95">
        <f>'Data Ocupacion'!V40</f>
        <v>54</v>
      </c>
      <c r="M5" s="95">
        <f>'Data Ocupacion'!X40</f>
        <v>79</v>
      </c>
      <c r="N5" s="95">
        <f>'Data Ocupacion'!Z40</f>
        <v>79</v>
      </c>
      <c r="O5" s="95">
        <f>'Data Ocupacion'!AB40</f>
        <v>79</v>
      </c>
      <c r="P5" s="95">
        <f>'Data Ocupacion'!AD40</f>
        <v>79</v>
      </c>
      <c r="Q5" s="95">
        <f>'Data Ocupacion'!AF40</f>
        <v>79</v>
      </c>
      <c r="R5" s="95">
        <f>'Data Ocupacion'!AH40</f>
        <v>72</v>
      </c>
      <c r="S5" s="95">
        <f>'Data Ocupacion'!AJ40</f>
        <v>54</v>
      </c>
      <c r="T5" s="95">
        <f>'Data Ocupacion'!AL40</f>
        <v>80</v>
      </c>
      <c r="U5" s="95">
        <f>'Data Ocupacion'!AN40</f>
        <v>79</v>
      </c>
      <c r="V5" s="95">
        <f>'Data Ocupacion'!AP40</f>
        <v>79</v>
      </c>
      <c r="W5" s="95">
        <f>'Data Ocupacion'!AR40</f>
        <v>54</v>
      </c>
      <c r="X5" s="95">
        <f>'Data Ocupacion'!AT40</f>
        <v>79</v>
      </c>
      <c r="Y5" s="95">
        <f>'Data Ocupacion'!AV40</f>
        <v>72</v>
      </c>
      <c r="Z5" s="95">
        <f>'Data Ocupacion'!AX40</f>
        <v>54</v>
      </c>
      <c r="AA5" s="95">
        <f>'Data Ocupacion'!AZ40</f>
        <v>79</v>
      </c>
      <c r="AB5" s="95">
        <f>'Data Ocupacion'!BB40</f>
        <v>79</v>
      </c>
      <c r="AC5" s="95">
        <f>'Data Ocupacion'!BD40</f>
        <v>79</v>
      </c>
      <c r="AD5" s="95">
        <f>'Data Ocupacion'!BF40</f>
        <v>79</v>
      </c>
      <c r="AE5" s="95">
        <f>'Data Ocupacion'!BH40</f>
        <v>79</v>
      </c>
      <c r="AF5" s="95">
        <f>'Data Ocupacion'!BJ40</f>
        <v>72</v>
      </c>
      <c r="AG5" s="95">
        <f>'Data Ocupacion'!BL40</f>
        <v>54</v>
      </c>
    </row>
    <row r="6" spans="1:33" s="85" customFormat="1" ht="14.25" x14ac:dyDescent="0.2">
      <c r="A6" s="81" t="s">
        <v>77</v>
      </c>
      <c r="B6" s="82">
        <v>43.13</v>
      </c>
      <c r="C6" s="95">
        <f>'Data Ocupacion'!D41</f>
        <v>57</v>
      </c>
      <c r="D6" s="95">
        <f>'Data Ocupacion'!F41</f>
        <v>75</v>
      </c>
      <c r="E6" s="95">
        <f>'Data Ocupacion'!H41</f>
        <v>57</v>
      </c>
      <c r="F6" s="95">
        <f>'Data Ocupacion'!J41</f>
        <v>78</v>
      </c>
      <c r="G6" s="95">
        <f>'Data Ocupacion'!L41</f>
        <v>78</v>
      </c>
      <c r="H6" s="95">
        <f>'Data Ocupacion'!N41</f>
        <v>78</v>
      </c>
      <c r="I6" s="95">
        <f>'Data Ocupacion'!P41</f>
        <v>68</v>
      </c>
      <c r="J6" s="95">
        <f>'Data Ocupacion'!R41</f>
        <v>78</v>
      </c>
      <c r="K6" s="95">
        <f>'Data Ocupacion'!T41</f>
        <v>75</v>
      </c>
      <c r="L6" s="95">
        <f>'Data Ocupacion'!V41</f>
        <v>57</v>
      </c>
      <c r="M6" s="95">
        <f>'Data Ocupacion'!X41</f>
        <v>78</v>
      </c>
      <c r="N6" s="95">
        <f>'Data Ocupacion'!Z41</f>
        <v>78</v>
      </c>
      <c r="O6" s="95">
        <f>'Data Ocupacion'!AB41</f>
        <v>78</v>
      </c>
      <c r="P6" s="95">
        <f>'Data Ocupacion'!AD41</f>
        <v>78</v>
      </c>
      <c r="Q6" s="95">
        <f>'Data Ocupacion'!AF41</f>
        <v>78</v>
      </c>
      <c r="R6" s="95">
        <f>'Data Ocupacion'!AH41</f>
        <v>75</v>
      </c>
      <c r="S6" s="95">
        <f>'Data Ocupacion'!AJ41</f>
        <v>57</v>
      </c>
      <c r="T6" s="95">
        <f>'Data Ocupacion'!AL41</f>
        <v>78</v>
      </c>
      <c r="U6" s="95">
        <f>'Data Ocupacion'!AN41</f>
        <v>78</v>
      </c>
      <c r="V6" s="95">
        <f>'Data Ocupacion'!AP41</f>
        <v>78</v>
      </c>
      <c r="W6" s="95">
        <f>'Data Ocupacion'!AR41</f>
        <v>57</v>
      </c>
      <c r="X6" s="95">
        <f>'Data Ocupacion'!AT41</f>
        <v>78</v>
      </c>
      <c r="Y6" s="95">
        <f>'Data Ocupacion'!AV41</f>
        <v>75</v>
      </c>
      <c r="Z6" s="95">
        <f>'Data Ocupacion'!AX41</f>
        <v>57</v>
      </c>
      <c r="AA6" s="95">
        <f>'Data Ocupacion'!AZ41</f>
        <v>78</v>
      </c>
      <c r="AB6" s="95">
        <f>'Data Ocupacion'!BB41</f>
        <v>79</v>
      </c>
      <c r="AC6" s="95">
        <f>'Data Ocupacion'!BD41</f>
        <v>78</v>
      </c>
      <c r="AD6" s="95">
        <f>'Data Ocupacion'!BF41</f>
        <v>78</v>
      </c>
      <c r="AE6" s="95">
        <f>'Data Ocupacion'!BH41</f>
        <v>78</v>
      </c>
      <c r="AF6" s="95">
        <f>'Data Ocupacion'!BJ41</f>
        <v>75</v>
      </c>
      <c r="AG6" s="95">
        <f>'Data Ocupacion'!BL41</f>
        <v>57</v>
      </c>
    </row>
    <row r="7" spans="1:33" s="85" customFormat="1" ht="14.25" x14ac:dyDescent="0.2">
      <c r="A7" s="81" t="s">
        <v>73</v>
      </c>
      <c r="B7" s="82">
        <v>29.11</v>
      </c>
      <c r="C7" s="95">
        <f>'Data Ocupacion'!D42</f>
        <v>0</v>
      </c>
      <c r="D7" s="95">
        <f>'Data Ocupacion'!F42</f>
        <v>0</v>
      </c>
      <c r="E7" s="95">
        <f>'Data Ocupacion'!H42</f>
        <v>0</v>
      </c>
      <c r="F7" s="95">
        <f>'Data Ocupacion'!J42</f>
        <v>35</v>
      </c>
      <c r="G7" s="95">
        <f>'Data Ocupacion'!L42</f>
        <v>36</v>
      </c>
      <c r="H7" s="95">
        <f>'Data Ocupacion'!N42</f>
        <v>36</v>
      </c>
      <c r="I7" s="95">
        <f>'Data Ocupacion'!P42</f>
        <v>26</v>
      </c>
      <c r="J7" s="95">
        <f>'Data Ocupacion'!R42</f>
        <v>36</v>
      </c>
      <c r="K7" s="95">
        <f>'Data Ocupacion'!T42</f>
        <v>0</v>
      </c>
      <c r="L7" s="95">
        <f>'Data Ocupacion'!V42</f>
        <v>0</v>
      </c>
      <c r="M7" s="95">
        <f>'Data Ocupacion'!X42</f>
        <v>36</v>
      </c>
      <c r="N7" s="95">
        <f>'Data Ocupacion'!Z42</f>
        <v>36</v>
      </c>
      <c r="O7" s="95">
        <f>'Data Ocupacion'!AB42</f>
        <v>36</v>
      </c>
      <c r="P7" s="95">
        <f>'Data Ocupacion'!AD42</f>
        <v>36</v>
      </c>
      <c r="Q7" s="95">
        <f>'Data Ocupacion'!AF42</f>
        <v>36</v>
      </c>
      <c r="R7" s="95">
        <f>'Data Ocupacion'!AH42</f>
        <v>0</v>
      </c>
      <c r="S7" s="95">
        <f>'Data Ocupacion'!AJ42</f>
        <v>0</v>
      </c>
      <c r="T7" s="95">
        <f>'Data Ocupacion'!AL42</f>
        <v>35</v>
      </c>
      <c r="U7" s="95">
        <f>'Data Ocupacion'!AN42</f>
        <v>36</v>
      </c>
      <c r="V7" s="95">
        <f>'Data Ocupacion'!AP42</f>
        <v>36</v>
      </c>
      <c r="W7" s="95">
        <f>'Data Ocupacion'!AR42</f>
        <v>0</v>
      </c>
      <c r="X7" s="95">
        <f>'Data Ocupacion'!AT42</f>
        <v>36</v>
      </c>
      <c r="Y7" s="95">
        <f>'Data Ocupacion'!AV42</f>
        <v>0</v>
      </c>
      <c r="Z7" s="95">
        <f>'Data Ocupacion'!AX42</f>
        <v>0</v>
      </c>
      <c r="AA7" s="95">
        <f>'Data Ocupacion'!AZ42</f>
        <v>36</v>
      </c>
      <c r="AB7" s="95">
        <f>'Data Ocupacion'!BB42</f>
        <v>36</v>
      </c>
      <c r="AC7" s="95">
        <f>'Data Ocupacion'!BD42</f>
        <v>36</v>
      </c>
      <c r="AD7" s="95">
        <f>'Data Ocupacion'!BF42</f>
        <v>36</v>
      </c>
      <c r="AE7" s="95">
        <f>'Data Ocupacion'!BH42</f>
        <v>36</v>
      </c>
      <c r="AF7" s="95">
        <f>'Data Ocupacion'!BJ42</f>
        <v>0</v>
      </c>
      <c r="AG7" s="95">
        <f>'Data Ocupacion'!BL42</f>
        <v>0</v>
      </c>
    </row>
    <row r="8" spans="1:33" s="85" customFormat="1" ht="14.25" x14ac:dyDescent="0.2">
      <c r="A8" s="81" t="s">
        <v>75</v>
      </c>
      <c r="B8" s="82">
        <v>29.11</v>
      </c>
      <c r="C8" s="95">
        <f>'Data Ocupacion'!D43</f>
        <v>0</v>
      </c>
      <c r="D8" s="95">
        <f>'Data Ocupacion'!F43</f>
        <v>0</v>
      </c>
      <c r="E8" s="95">
        <f>'Data Ocupacion'!H43</f>
        <v>0</v>
      </c>
      <c r="F8" s="95">
        <f>'Data Ocupacion'!J43</f>
        <v>31</v>
      </c>
      <c r="G8" s="95">
        <f>'Data Ocupacion'!L43</f>
        <v>32</v>
      </c>
      <c r="H8" s="95">
        <f>'Data Ocupacion'!N43</f>
        <v>30</v>
      </c>
      <c r="I8" s="95">
        <f>'Data Ocupacion'!P43</f>
        <v>27</v>
      </c>
      <c r="J8" s="95">
        <f>'Data Ocupacion'!R43</f>
        <v>32</v>
      </c>
      <c r="K8" s="95">
        <f>'Data Ocupacion'!T43</f>
        <v>0</v>
      </c>
      <c r="L8" s="95">
        <f>'Data Ocupacion'!V43</f>
        <v>0</v>
      </c>
      <c r="M8" s="95">
        <f>'Data Ocupacion'!X43</f>
        <v>32</v>
      </c>
      <c r="N8" s="95">
        <f>'Data Ocupacion'!Z43</f>
        <v>32</v>
      </c>
      <c r="O8" s="95">
        <f>'Data Ocupacion'!AB43</f>
        <v>32</v>
      </c>
      <c r="P8" s="95">
        <f>'Data Ocupacion'!AD43</f>
        <v>32</v>
      </c>
      <c r="Q8" s="95">
        <f>'Data Ocupacion'!AF43</f>
        <v>32</v>
      </c>
      <c r="R8" s="95">
        <f>'Data Ocupacion'!AH43</f>
        <v>0</v>
      </c>
      <c r="S8" s="95">
        <f>'Data Ocupacion'!AJ43</f>
        <v>0</v>
      </c>
      <c r="T8" s="95">
        <f>'Data Ocupacion'!AL43</f>
        <v>32</v>
      </c>
      <c r="U8" s="95">
        <f>'Data Ocupacion'!AN43</f>
        <v>32</v>
      </c>
      <c r="V8" s="95">
        <f>'Data Ocupacion'!AP43</f>
        <v>32</v>
      </c>
      <c r="W8" s="95">
        <f>'Data Ocupacion'!AR43</f>
        <v>0</v>
      </c>
      <c r="X8" s="95">
        <f>'Data Ocupacion'!AT43</f>
        <v>32</v>
      </c>
      <c r="Y8" s="95">
        <f>'Data Ocupacion'!AV43</f>
        <v>0</v>
      </c>
      <c r="Z8" s="95">
        <f>'Data Ocupacion'!AX43</f>
        <v>0</v>
      </c>
      <c r="AA8" s="95">
        <f>'Data Ocupacion'!AZ43</f>
        <v>32</v>
      </c>
      <c r="AB8" s="95">
        <f>'Data Ocupacion'!BB43</f>
        <v>31</v>
      </c>
      <c r="AC8" s="95">
        <f>'Data Ocupacion'!BD43</f>
        <v>32</v>
      </c>
      <c r="AD8" s="95">
        <f>'Data Ocupacion'!BF43</f>
        <v>32</v>
      </c>
      <c r="AE8" s="95">
        <f>'Data Ocupacion'!BH43</f>
        <v>32</v>
      </c>
      <c r="AF8" s="95">
        <f>'Data Ocupacion'!BJ43</f>
        <v>0</v>
      </c>
      <c r="AG8" s="95">
        <f>'Data Ocupacion'!BL43</f>
        <v>0</v>
      </c>
    </row>
    <row r="9" spans="1:33" s="85" customFormat="1" ht="14.25" x14ac:dyDescent="0.2">
      <c r="A9" s="81" t="s">
        <v>123</v>
      </c>
      <c r="B9" s="82">
        <v>25.4</v>
      </c>
      <c r="C9" s="95">
        <f>'Data Ocupacion'!D44</f>
        <v>0</v>
      </c>
      <c r="D9" s="95">
        <f>'Data Ocupacion'!F44</f>
        <v>0</v>
      </c>
      <c r="E9" s="95">
        <f>'Data Ocupacion'!H44</f>
        <v>0</v>
      </c>
      <c r="F9" s="95">
        <f>'Data Ocupacion'!J44</f>
        <v>0</v>
      </c>
      <c r="G9" s="95">
        <f>'Data Ocupacion'!L44</f>
        <v>0</v>
      </c>
      <c r="H9" s="95">
        <f>'Data Ocupacion'!N44</f>
        <v>0</v>
      </c>
      <c r="I9" s="95">
        <f>'Data Ocupacion'!P44</f>
        <v>0</v>
      </c>
      <c r="J9" s="95">
        <f>'Data Ocupacion'!R44</f>
        <v>0</v>
      </c>
      <c r="K9" s="95">
        <f>'Data Ocupacion'!T44</f>
        <v>0</v>
      </c>
      <c r="L9" s="95">
        <f>'Data Ocupacion'!V44</f>
        <v>0</v>
      </c>
      <c r="M9" s="95">
        <f>'Data Ocupacion'!X44</f>
        <v>0</v>
      </c>
      <c r="N9" s="95">
        <f>'Data Ocupacion'!Z44</f>
        <v>0</v>
      </c>
      <c r="O9" s="95">
        <f>'Data Ocupacion'!AB44</f>
        <v>0</v>
      </c>
      <c r="P9" s="95">
        <f>'Data Ocupacion'!AD44</f>
        <v>0</v>
      </c>
      <c r="Q9" s="95">
        <f>'Data Ocupacion'!AF44</f>
        <v>0</v>
      </c>
      <c r="R9" s="95">
        <f>'Data Ocupacion'!AH44</f>
        <v>0</v>
      </c>
      <c r="S9" s="95">
        <f>'Data Ocupacion'!AJ44</f>
        <v>0</v>
      </c>
      <c r="T9" s="95">
        <f>'Data Ocupacion'!AL44</f>
        <v>0</v>
      </c>
      <c r="U9" s="95">
        <f>'Data Ocupacion'!AN44</f>
        <v>0</v>
      </c>
      <c r="V9" s="95">
        <f>'Data Ocupacion'!AP44</f>
        <v>0</v>
      </c>
      <c r="W9" s="95">
        <f>'Data Ocupacion'!AR44</f>
        <v>0</v>
      </c>
      <c r="X9" s="95">
        <f>'Data Ocupacion'!AT44</f>
        <v>0</v>
      </c>
      <c r="Y9" s="95">
        <f>'Data Ocupacion'!AV44</f>
        <v>0</v>
      </c>
      <c r="Z9" s="95">
        <f>'Data Ocupacion'!AX44</f>
        <v>0</v>
      </c>
      <c r="AA9" s="95">
        <f>'Data Ocupacion'!AZ44</f>
        <v>0</v>
      </c>
      <c r="AB9" s="95">
        <f>'Data Ocupacion'!BB44</f>
        <v>0</v>
      </c>
      <c r="AC9" s="95">
        <f>'Data Ocupacion'!BD44</f>
        <v>0</v>
      </c>
      <c r="AD9" s="95">
        <f>'Data Ocupacion'!BF44</f>
        <v>0</v>
      </c>
      <c r="AE9" s="95">
        <f>'Data Ocupacion'!BH44</f>
        <v>0</v>
      </c>
      <c r="AF9" s="95">
        <f>'Data Ocupacion'!BJ44</f>
        <v>0</v>
      </c>
      <c r="AG9" s="95">
        <f>'Data Ocupacion'!BL44</f>
        <v>0</v>
      </c>
    </row>
    <row r="10" spans="1:33" s="85" customFormat="1" ht="14.25" x14ac:dyDescent="0.2">
      <c r="A10" s="211" t="s">
        <v>76</v>
      </c>
      <c r="B10" s="82">
        <v>25.4</v>
      </c>
      <c r="C10" s="95">
        <f>'Data Ocupacion'!D45</f>
        <v>0</v>
      </c>
      <c r="D10" s="95">
        <f>'Data Ocupacion'!F45</f>
        <v>0</v>
      </c>
      <c r="E10" s="95">
        <f>'Data Ocupacion'!H45</f>
        <v>0</v>
      </c>
      <c r="F10" s="95">
        <f>'Data Ocupacion'!J45</f>
        <v>4</v>
      </c>
      <c r="G10" s="95">
        <f>'Data Ocupacion'!L45</f>
        <v>4</v>
      </c>
      <c r="H10" s="95">
        <f>'Data Ocupacion'!N45</f>
        <v>4</v>
      </c>
      <c r="I10" s="95">
        <f>'Data Ocupacion'!P45</f>
        <v>4</v>
      </c>
      <c r="J10" s="95">
        <f>'Data Ocupacion'!R45</f>
        <v>4</v>
      </c>
      <c r="K10" s="95">
        <f>'Data Ocupacion'!T45</f>
        <v>0</v>
      </c>
      <c r="L10" s="95">
        <f>'Data Ocupacion'!V45</f>
        <v>0</v>
      </c>
      <c r="M10" s="95">
        <f>'Data Ocupacion'!X45</f>
        <v>4</v>
      </c>
      <c r="N10" s="95">
        <f>'Data Ocupacion'!Z45</f>
        <v>4</v>
      </c>
      <c r="O10" s="95">
        <f>'Data Ocupacion'!AB45</f>
        <v>4</v>
      </c>
      <c r="P10" s="95">
        <f>'Data Ocupacion'!AD45</f>
        <v>4</v>
      </c>
      <c r="Q10" s="95">
        <f>'Data Ocupacion'!AF45</f>
        <v>4</v>
      </c>
      <c r="R10" s="95">
        <f>'Data Ocupacion'!AH45</f>
        <v>0</v>
      </c>
      <c r="S10" s="95">
        <f>'Data Ocupacion'!AJ45</f>
        <v>0</v>
      </c>
      <c r="T10" s="95">
        <f>'Data Ocupacion'!AL45</f>
        <v>4</v>
      </c>
      <c r="U10" s="95">
        <f>'Data Ocupacion'!AN45</f>
        <v>4</v>
      </c>
      <c r="V10" s="95">
        <f>'Data Ocupacion'!AP45</f>
        <v>4</v>
      </c>
      <c r="W10" s="95">
        <f>'Data Ocupacion'!AR45</f>
        <v>0</v>
      </c>
      <c r="X10" s="95">
        <f>'Data Ocupacion'!AT45</f>
        <v>4</v>
      </c>
      <c r="Y10" s="95">
        <f>'Data Ocupacion'!AV45</f>
        <v>0</v>
      </c>
      <c r="Z10" s="95">
        <f>'Data Ocupacion'!AX45</f>
        <v>0</v>
      </c>
      <c r="AA10" s="95">
        <f>'Data Ocupacion'!AZ45</f>
        <v>4</v>
      </c>
      <c r="AB10" s="95">
        <f>'Data Ocupacion'!BB45</f>
        <v>4</v>
      </c>
      <c r="AC10" s="95">
        <f>'Data Ocupacion'!BD45</f>
        <v>4</v>
      </c>
      <c r="AD10" s="95">
        <f>'Data Ocupacion'!BF45</f>
        <v>4</v>
      </c>
      <c r="AE10" s="95">
        <f>'Data Ocupacion'!BH45</f>
        <v>4</v>
      </c>
      <c r="AF10" s="95">
        <f>'Data Ocupacion'!BJ45</f>
        <v>0</v>
      </c>
      <c r="AG10" s="95">
        <f>'Data Ocupacion'!BL45</f>
        <v>0</v>
      </c>
    </row>
    <row r="11" spans="1:33" s="85" customFormat="1" ht="14.25" x14ac:dyDescent="0.2">
      <c r="A11" s="265"/>
      <c r="B11" s="82"/>
      <c r="C11" s="95"/>
      <c r="D11" s="95"/>
      <c r="E11" s="95"/>
      <c r="F11" s="95"/>
      <c r="G11" s="95"/>
      <c r="H11" s="95"/>
      <c r="I11" s="95"/>
      <c r="J11" s="95"/>
      <c r="K11" s="95"/>
      <c r="L11" s="95"/>
      <c r="M11" s="95"/>
      <c r="N11" s="95"/>
      <c r="O11" s="95"/>
      <c r="P11" s="95"/>
      <c r="Q11" s="95"/>
      <c r="R11" s="95"/>
      <c r="T11" s="95"/>
      <c r="V11" s="95"/>
      <c r="X11" s="95"/>
      <c r="Z11" s="95"/>
      <c r="AB11" s="95"/>
      <c r="AD11" s="95"/>
      <c r="AE11" s="95"/>
      <c r="AF11" s="95"/>
      <c r="AG11" s="95"/>
    </row>
    <row r="12" spans="1:33" s="85" customFormat="1" ht="14.25" x14ac:dyDescent="0.2">
      <c r="A12" s="81" t="s">
        <v>87</v>
      </c>
      <c r="B12" s="82">
        <v>43.13</v>
      </c>
      <c r="C12" s="95">
        <f>'Data Ocupacion'!D48</f>
        <v>57</v>
      </c>
      <c r="D12" s="95">
        <f>'Data Ocupacion'!F48</f>
        <v>75</v>
      </c>
      <c r="E12" s="95">
        <f>'Data Ocupacion'!H48</f>
        <v>57</v>
      </c>
      <c r="F12" s="95">
        <f>'Data Ocupacion'!J48</f>
        <v>120</v>
      </c>
      <c r="G12" s="95">
        <f>'Data Ocupacion'!L48</f>
        <v>120</v>
      </c>
      <c r="H12" s="95">
        <f>'Data Ocupacion'!N48</f>
        <v>118</v>
      </c>
      <c r="I12" s="95">
        <f>'Data Ocupacion'!P48</f>
        <v>113</v>
      </c>
      <c r="J12" s="95">
        <f>'Data Ocupacion'!R48</f>
        <v>120</v>
      </c>
      <c r="K12" s="95">
        <f>'Data Ocupacion'!T48</f>
        <v>75</v>
      </c>
      <c r="L12" s="95">
        <f>'Data Ocupacion'!V48</f>
        <v>57</v>
      </c>
      <c r="M12" s="95">
        <f>'Data Ocupacion'!X48</f>
        <v>121</v>
      </c>
      <c r="N12" s="95">
        <f>'Data Ocupacion'!Z48</f>
        <v>120</v>
      </c>
      <c r="O12" s="95">
        <f>'Data Ocupacion'!AB48</f>
        <v>120</v>
      </c>
      <c r="P12" s="95">
        <f>'Data Ocupacion'!AD48</f>
        <v>121</v>
      </c>
      <c r="Q12" s="95">
        <f>'Data Ocupacion'!AF48</f>
        <v>121</v>
      </c>
      <c r="R12" s="95">
        <f>'Data Ocupacion'!AH48</f>
        <v>75</v>
      </c>
      <c r="S12" s="95">
        <f>'Data Ocupacion'!AJ48</f>
        <v>57</v>
      </c>
      <c r="T12" s="95">
        <f>'Data Ocupacion'!AL48</f>
        <v>119</v>
      </c>
      <c r="U12" s="95">
        <f>'Data Ocupacion'!AN48</f>
        <v>119</v>
      </c>
      <c r="V12" s="95">
        <f>'Data Ocupacion'!AP48</f>
        <v>118</v>
      </c>
      <c r="W12" s="95">
        <f>'Data Ocupacion'!AR48</f>
        <v>71</v>
      </c>
      <c r="X12" s="95">
        <f>'Data Ocupacion'!AT48</f>
        <v>120</v>
      </c>
      <c r="Y12" s="95">
        <f>'Data Ocupacion'!AV48</f>
        <v>75</v>
      </c>
      <c r="Z12" s="95">
        <f>'Data Ocupacion'!AX48</f>
        <v>56</v>
      </c>
      <c r="AA12" s="95">
        <f>'Data Ocupacion'!AZ48</f>
        <v>118</v>
      </c>
      <c r="AB12" s="95">
        <f>'Data Ocupacion'!BB48</f>
        <v>120</v>
      </c>
      <c r="AC12" s="95">
        <f>'Data Ocupacion'!BD48</f>
        <v>119</v>
      </c>
      <c r="AD12" s="95">
        <f>'Data Ocupacion'!BF48</f>
        <v>119</v>
      </c>
      <c r="AE12" s="95">
        <f>'Data Ocupacion'!BH48</f>
        <v>119</v>
      </c>
      <c r="AF12" s="95">
        <f>'Data Ocupacion'!BJ48</f>
        <v>75</v>
      </c>
      <c r="AG12" s="95">
        <f>'Data Ocupacion'!BL48</f>
        <v>57</v>
      </c>
    </row>
    <row r="13" spans="1:33" s="85" customFormat="1" ht="14.25" x14ac:dyDescent="0.2">
      <c r="A13" s="81" t="s">
        <v>88</v>
      </c>
      <c r="B13" s="82">
        <v>43.13</v>
      </c>
      <c r="C13" s="95">
        <f>'Data Ocupacion'!D49</f>
        <v>57</v>
      </c>
      <c r="D13" s="95">
        <f>'Data Ocupacion'!F49</f>
        <v>75</v>
      </c>
      <c r="E13" s="95">
        <f>'Data Ocupacion'!H49</f>
        <v>57</v>
      </c>
      <c r="F13" s="95">
        <f>'Data Ocupacion'!J49</f>
        <v>120</v>
      </c>
      <c r="G13" s="95">
        <f>'Data Ocupacion'!L49</f>
        <v>120</v>
      </c>
      <c r="H13" s="95">
        <f>'Data Ocupacion'!N49</f>
        <v>120</v>
      </c>
      <c r="I13" s="95">
        <f>'Data Ocupacion'!P49</f>
        <v>114</v>
      </c>
      <c r="J13" s="95">
        <f>'Data Ocupacion'!R49</f>
        <v>120</v>
      </c>
      <c r="K13" s="95">
        <f>'Data Ocupacion'!T49</f>
        <v>75</v>
      </c>
      <c r="L13" s="95">
        <f>'Data Ocupacion'!V49</f>
        <v>57</v>
      </c>
      <c r="M13" s="95">
        <f>'Data Ocupacion'!X49</f>
        <v>121</v>
      </c>
      <c r="N13" s="95">
        <f>'Data Ocupacion'!Z49</f>
        <v>120</v>
      </c>
      <c r="O13" s="95">
        <f>'Data Ocupacion'!AB49</f>
        <v>120</v>
      </c>
      <c r="P13" s="95">
        <f>'Data Ocupacion'!AD49</f>
        <v>121</v>
      </c>
      <c r="Q13" s="95">
        <f>'Data Ocupacion'!AF49</f>
        <v>121</v>
      </c>
      <c r="R13" s="95">
        <f>'Data Ocupacion'!AH49</f>
        <v>75</v>
      </c>
      <c r="S13" s="95">
        <f>'Data Ocupacion'!AJ49</f>
        <v>57</v>
      </c>
      <c r="T13" s="95">
        <f>'Data Ocupacion'!AL49</f>
        <v>118</v>
      </c>
      <c r="U13" s="95">
        <f>'Data Ocupacion'!AN49</f>
        <v>119</v>
      </c>
      <c r="V13" s="95">
        <f>'Data Ocupacion'!AP49</f>
        <v>118</v>
      </c>
      <c r="W13" s="95">
        <f>'Data Ocupacion'!AR49</f>
        <v>71</v>
      </c>
      <c r="X13" s="95">
        <f>'Data Ocupacion'!AT49</f>
        <v>120</v>
      </c>
      <c r="Y13" s="95">
        <f>'Data Ocupacion'!AV49</f>
        <v>75</v>
      </c>
      <c r="Z13" s="95">
        <f>'Data Ocupacion'!AX49</f>
        <v>57</v>
      </c>
      <c r="AA13" s="95">
        <f>'Data Ocupacion'!AZ49</f>
        <v>118</v>
      </c>
      <c r="AB13" s="95">
        <f>'Data Ocupacion'!BB49</f>
        <v>121</v>
      </c>
      <c r="AC13" s="95">
        <f>'Data Ocupacion'!BD49</f>
        <v>119</v>
      </c>
      <c r="AD13" s="95">
        <f>'Data Ocupacion'!BF49</f>
        <v>119</v>
      </c>
      <c r="AE13" s="95">
        <f>'Data Ocupacion'!BH49</f>
        <v>119</v>
      </c>
      <c r="AF13" s="95">
        <f>'Data Ocupacion'!BJ49</f>
        <v>76</v>
      </c>
      <c r="AG13" s="95">
        <f>'Data Ocupacion'!BL49</f>
        <v>57</v>
      </c>
    </row>
    <row r="14" spans="1:33" s="85" customFormat="1" ht="14.25" x14ac:dyDescent="0.2">
      <c r="A14" s="81" t="s">
        <v>89</v>
      </c>
      <c r="B14" s="82">
        <v>29.11</v>
      </c>
      <c r="C14" s="95">
        <f>'Data Ocupacion'!D50</f>
        <v>0</v>
      </c>
      <c r="D14" s="95">
        <f>'Data Ocupacion'!F50</f>
        <v>0</v>
      </c>
      <c r="E14" s="95">
        <f>'Data Ocupacion'!H50</f>
        <v>0</v>
      </c>
      <c r="F14" s="95">
        <f>'Data Ocupacion'!J50</f>
        <v>37</v>
      </c>
      <c r="G14" s="95">
        <f>'Data Ocupacion'!L50</f>
        <v>38</v>
      </c>
      <c r="H14" s="95">
        <f>'Data Ocupacion'!N50</f>
        <v>39</v>
      </c>
      <c r="I14" s="95">
        <f>'Data Ocupacion'!P50</f>
        <v>28</v>
      </c>
      <c r="J14" s="95">
        <f>'Data Ocupacion'!R50</f>
        <v>38</v>
      </c>
      <c r="K14" s="95">
        <f>'Data Ocupacion'!T50</f>
        <v>0</v>
      </c>
      <c r="L14" s="95">
        <f>'Data Ocupacion'!V50</f>
        <v>0</v>
      </c>
      <c r="M14" s="95">
        <f>'Data Ocupacion'!X50</f>
        <v>38</v>
      </c>
      <c r="N14" s="95">
        <f>'Data Ocupacion'!Z50</f>
        <v>38</v>
      </c>
      <c r="O14" s="95">
        <f>'Data Ocupacion'!AB50</f>
        <v>38</v>
      </c>
      <c r="P14" s="95">
        <f>'Data Ocupacion'!AD50</f>
        <v>38</v>
      </c>
      <c r="Q14" s="95">
        <f>'Data Ocupacion'!AF50</f>
        <v>38</v>
      </c>
      <c r="R14" s="95">
        <f>'Data Ocupacion'!AH50</f>
        <v>0</v>
      </c>
      <c r="S14" s="95">
        <f>'Data Ocupacion'!AJ50</f>
        <v>0</v>
      </c>
      <c r="T14" s="95">
        <f>'Data Ocupacion'!AL50</f>
        <v>37</v>
      </c>
      <c r="U14" s="95">
        <f>'Data Ocupacion'!AN50</f>
        <v>38</v>
      </c>
      <c r="V14" s="95">
        <f>'Data Ocupacion'!AP50</f>
        <v>38</v>
      </c>
      <c r="W14" s="95">
        <f>'Data Ocupacion'!AR50</f>
        <v>0</v>
      </c>
      <c r="X14" s="95">
        <f>'Data Ocupacion'!AT50</f>
        <v>38</v>
      </c>
      <c r="Y14" s="95">
        <f>'Data Ocupacion'!AV50</f>
        <v>0</v>
      </c>
      <c r="Z14" s="95">
        <f>'Data Ocupacion'!AX50</f>
        <v>0</v>
      </c>
      <c r="AA14" s="95">
        <f>'Data Ocupacion'!AZ50</f>
        <v>39</v>
      </c>
      <c r="AB14" s="95">
        <f>'Data Ocupacion'!BB50</f>
        <v>39</v>
      </c>
      <c r="AC14" s="95">
        <f>'Data Ocupacion'!BD50</f>
        <v>39</v>
      </c>
      <c r="AD14" s="95">
        <f>'Data Ocupacion'!BF50</f>
        <v>39</v>
      </c>
      <c r="AE14" s="95">
        <f>'Data Ocupacion'!BH50</f>
        <v>39</v>
      </c>
      <c r="AF14" s="95">
        <f>'Data Ocupacion'!BJ50</f>
        <v>0</v>
      </c>
      <c r="AG14" s="95">
        <f>'Data Ocupacion'!BL50</f>
        <v>0</v>
      </c>
    </row>
    <row r="15" spans="1:33" s="85" customFormat="1" ht="14.25" x14ac:dyDescent="0.2">
      <c r="A15" s="81" t="s">
        <v>90</v>
      </c>
      <c r="B15" s="82">
        <v>29.11</v>
      </c>
      <c r="C15" s="95">
        <f>'Data Ocupacion'!D51</f>
        <v>0</v>
      </c>
      <c r="D15" s="95">
        <f>'Data Ocupacion'!F51</f>
        <v>0</v>
      </c>
      <c r="E15" s="95">
        <f>'Data Ocupacion'!H51</f>
        <v>0</v>
      </c>
      <c r="F15" s="95">
        <f>'Data Ocupacion'!J51</f>
        <v>33</v>
      </c>
      <c r="G15" s="95">
        <f>'Data Ocupacion'!L51</f>
        <v>34</v>
      </c>
      <c r="H15" s="95">
        <f>'Data Ocupacion'!N51</f>
        <v>33</v>
      </c>
      <c r="I15" s="95">
        <f>'Data Ocupacion'!P51</f>
        <v>29</v>
      </c>
      <c r="J15" s="95">
        <f>'Data Ocupacion'!R51</f>
        <v>34</v>
      </c>
      <c r="K15" s="95">
        <f>'Data Ocupacion'!T51</f>
        <v>0</v>
      </c>
      <c r="L15" s="95">
        <f>'Data Ocupacion'!V51</f>
        <v>0</v>
      </c>
      <c r="M15" s="95">
        <f>'Data Ocupacion'!X51</f>
        <v>34</v>
      </c>
      <c r="N15" s="95">
        <f>'Data Ocupacion'!Z51</f>
        <v>34</v>
      </c>
      <c r="O15" s="95">
        <f>'Data Ocupacion'!AB51</f>
        <v>34</v>
      </c>
      <c r="P15" s="95">
        <f>'Data Ocupacion'!AD51</f>
        <v>34</v>
      </c>
      <c r="Q15" s="95">
        <f>'Data Ocupacion'!AF51</f>
        <v>34</v>
      </c>
      <c r="R15" s="95">
        <f>'Data Ocupacion'!AH51</f>
        <v>0</v>
      </c>
      <c r="S15" s="95">
        <f>'Data Ocupacion'!AJ51</f>
        <v>0</v>
      </c>
      <c r="T15" s="95">
        <f>'Data Ocupacion'!AL51</f>
        <v>34</v>
      </c>
      <c r="U15" s="95">
        <f>'Data Ocupacion'!AN51</f>
        <v>34</v>
      </c>
      <c r="V15" s="95">
        <f>'Data Ocupacion'!AP51</f>
        <v>34</v>
      </c>
      <c r="W15" s="95">
        <f>'Data Ocupacion'!AR51</f>
        <v>0</v>
      </c>
      <c r="X15" s="95">
        <f>'Data Ocupacion'!AT51</f>
        <v>34</v>
      </c>
      <c r="Y15" s="95">
        <f>'Data Ocupacion'!AV51</f>
        <v>0</v>
      </c>
      <c r="Z15" s="95">
        <f>'Data Ocupacion'!AX51</f>
        <v>0</v>
      </c>
      <c r="AA15" s="95">
        <f>'Data Ocupacion'!AZ51</f>
        <v>35</v>
      </c>
      <c r="AB15" s="95">
        <f>'Data Ocupacion'!BB51</f>
        <v>34</v>
      </c>
      <c r="AC15" s="95">
        <f>'Data Ocupacion'!BD51</f>
        <v>35</v>
      </c>
      <c r="AD15" s="95">
        <f>'Data Ocupacion'!BF51</f>
        <v>35</v>
      </c>
      <c r="AE15" s="95">
        <f>'Data Ocupacion'!BH51</f>
        <v>35</v>
      </c>
      <c r="AF15" s="95">
        <f>'Data Ocupacion'!BJ51</f>
        <v>0</v>
      </c>
      <c r="AG15" s="95">
        <f>'Data Ocupacion'!BL51</f>
        <v>0</v>
      </c>
    </row>
    <row r="16" spans="1:33" s="85" customFormat="1" ht="14.25" x14ac:dyDescent="0.2">
      <c r="A16" s="81" t="s">
        <v>91</v>
      </c>
      <c r="B16" s="82">
        <v>25.4</v>
      </c>
      <c r="C16" s="95">
        <f>'Data Ocupacion'!D53</f>
        <v>0</v>
      </c>
      <c r="D16" s="95">
        <f>'Data Ocupacion'!F53</f>
        <v>0</v>
      </c>
      <c r="E16" s="95">
        <f>'Data Ocupacion'!H53</f>
        <v>0</v>
      </c>
      <c r="F16" s="95">
        <f>'Data Ocupacion'!J53</f>
        <v>4</v>
      </c>
      <c r="G16" s="95">
        <f>'Data Ocupacion'!L53</f>
        <v>4</v>
      </c>
      <c r="H16" s="95">
        <f>'Data Ocupacion'!N53</f>
        <v>4</v>
      </c>
      <c r="I16" s="95">
        <f>'Data Ocupacion'!P53</f>
        <v>4</v>
      </c>
      <c r="J16" s="95">
        <f>'Data Ocupacion'!R53</f>
        <v>4</v>
      </c>
      <c r="K16" s="95">
        <f>'Data Ocupacion'!T53</f>
        <v>0</v>
      </c>
      <c r="L16" s="95">
        <f>'Data Ocupacion'!V53</f>
        <v>0</v>
      </c>
      <c r="M16" s="95">
        <f>'Data Ocupacion'!X53</f>
        <v>4</v>
      </c>
      <c r="N16" s="95">
        <f>'Data Ocupacion'!Z53</f>
        <v>4</v>
      </c>
      <c r="O16" s="95">
        <f>'Data Ocupacion'!AB53</f>
        <v>4</v>
      </c>
      <c r="P16" s="95">
        <f>'Data Ocupacion'!AD53</f>
        <v>4</v>
      </c>
      <c r="Q16" s="95">
        <f>'Data Ocupacion'!AF53</f>
        <v>4</v>
      </c>
      <c r="R16" s="95">
        <f>'Data Ocupacion'!AH53</f>
        <v>0</v>
      </c>
      <c r="S16" s="95">
        <f>'Data Ocupacion'!AJ53</f>
        <v>0</v>
      </c>
      <c r="T16" s="95">
        <f>'Data Ocupacion'!AL53</f>
        <v>4</v>
      </c>
      <c r="U16" s="95">
        <f>'Data Ocupacion'!AN53</f>
        <v>4</v>
      </c>
      <c r="V16" s="95">
        <f>'Data Ocupacion'!AP53</f>
        <v>4</v>
      </c>
      <c r="W16" s="95">
        <f>'Data Ocupacion'!AR53</f>
        <v>0</v>
      </c>
      <c r="X16" s="95">
        <f>'Data Ocupacion'!AT53</f>
        <v>4</v>
      </c>
      <c r="Y16" s="95">
        <f>'Data Ocupacion'!AV53</f>
        <v>0</v>
      </c>
      <c r="Z16" s="95">
        <f>'Data Ocupacion'!AX53</f>
        <v>0</v>
      </c>
      <c r="AA16" s="95">
        <f>'Data Ocupacion'!AZ53</f>
        <v>4</v>
      </c>
      <c r="AB16" s="95">
        <f>'Data Ocupacion'!BB53</f>
        <v>4</v>
      </c>
      <c r="AC16" s="95">
        <f>'Data Ocupacion'!BD53</f>
        <v>4</v>
      </c>
      <c r="AD16" s="95">
        <f>'Data Ocupacion'!BF53</f>
        <v>4</v>
      </c>
      <c r="AE16" s="95">
        <f>'Data Ocupacion'!BH53</f>
        <v>4</v>
      </c>
      <c r="AF16" s="95">
        <f>'Data Ocupacion'!BJ53</f>
        <v>0</v>
      </c>
      <c r="AG16" s="95">
        <f>'Data Ocupacion'!BL53</f>
        <v>0</v>
      </c>
    </row>
    <row r="17" spans="1:33" s="85" customFormat="1" ht="14.25" x14ac:dyDescent="0.2">
      <c r="A17" s="211" t="s">
        <v>124</v>
      </c>
      <c r="B17" s="82">
        <v>25.4</v>
      </c>
      <c r="C17" s="95">
        <v>0</v>
      </c>
      <c r="D17" s="83">
        <v>0</v>
      </c>
      <c r="E17" s="83">
        <v>0</v>
      </c>
      <c r="F17" s="83">
        <v>0</v>
      </c>
      <c r="G17" s="83">
        <v>0</v>
      </c>
      <c r="H17" s="83">
        <v>0</v>
      </c>
      <c r="I17" s="83">
        <v>0</v>
      </c>
      <c r="J17" s="95"/>
      <c r="K17" s="83">
        <v>0</v>
      </c>
      <c r="L17" s="95">
        <v>0</v>
      </c>
      <c r="M17" s="83">
        <v>0</v>
      </c>
      <c r="N17" s="83">
        <v>0</v>
      </c>
      <c r="O17" s="83">
        <v>0</v>
      </c>
      <c r="P17" s="83">
        <v>0</v>
      </c>
      <c r="Q17" s="95">
        <v>0</v>
      </c>
      <c r="R17" s="83">
        <v>0</v>
      </c>
      <c r="S17" s="83">
        <v>0</v>
      </c>
      <c r="T17" s="83">
        <v>0</v>
      </c>
      <c r="U17" s="83">
        <v>0</v>
      </c>
      <c r="V17" s="83">
        <v>0</v>
      </c>
      <c r="W17" s="83">
        <v>0</v>
      </c>
      <c r="X17" s="95">
        <v>0</v>
      </c>
      <c r="Y17" s="95">
        <v>0</v>
      </c>
      <c r="Z17" s="95">
        <v>0</v>
      </c>
      <c r="AA17" s="95">
        <v>0</v>
      </c>
      <c r="AB17" s="95">
        <v>0</v>
      </c>
      <c r="AC17" s="95">
        <v>0</v>
      </c>
      <c r="AD17" s="95">
        <v>0</v>
      </c>
      <c r="AE17" s="95">
        <v>0</v>
      </c>
      <c r="AF17" s="95">
        <v>0</v>
      </c>
      <c r="AG17" s="95">
        <v>0</v>
      </c>
    </row>
    <row r="18" spans="1:33" s="85" customFormat="1" ht="14.25" x14ac:dyDescent="0.2">
      <c r="A18" s="265"/>
      <c r="B18" s="234"/>
      <c r="C18" s="83"/>
      <c r="D18" s="83"/>
      <c r="E18" s="83"/>
      <c r="F18" s="83"/>
      <c r="G18" s="83"/>
      <c r="H18" s="83"/>
      <c r="I18" s="83"/>
      <c r="J18" s="83"/>
      <c r="K18" s="83"/>
      <c r="L18" s="95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  <c r="Z18" s="95"/>
      <c r="AA18" s="83"/>
      <c r="AB18" s="83"/>
      <c r="AC18" s="83"/>
      <c r="AD18" s="83"/>
      <c r="AE18" s="83"/>
      <c r="AF18" s="83"/>
      <c r="AG18" s="83"/>
    </row>
    <row r="19" spans="1:33" x14ac:dyDescent="0.25">
      <c r="A19" s="86" t="s">
        <v>173</v>
      </c>
      <c r="B19" s="82">
        <v>-17.73</v>
      </c>
      <c r="C19" s="83">
        <f>'KM-Servicio'!Q5</f>
        <v>0</v>
      </c>
      <c r="D19" s="83">
        <f>'KM-Servicio'!Q12</f>
        <v>0</v>
      </c>
      <c r="E19" s="83">
        <f>'KM-Servicio'!Q19</f>
        <v>0</v>
      </c>
      <c r="F19" s="83">
        <f>'KM-Servicio'!Q26</f>
        <v>3</v>
      </c>
      <c r="G19" s="83">
        <f>'KM-Servicio'!Q33</f>
        <v>2</v>
      </c>
      <c r="H19" s="83">
        <f>'KM-Servicio'!Q40</f>
        <v>1</v>
      </c>
      <c r="I19" s="83">
        <f>'KM-Servicio'!Q47</f>
        <v>4</v>
      </c>
      <c r="J19" s="83">
        <f>'KM-Servicio'!Q56</f>
        <v>2</v>
      </c>
      <c r="K19" s="83">
        <f>'KM-Servicio'!Q63</f>
        <v>0</v>
      </c>
      <c r="L19" s="83">
        <f>'KM-Servicio'!Q70</f>
        <v>0</v>
      </c>
      <c r="M19" s="83">
        <f>'KM-Servicio'!Q77</f>
        <v>3</v>
      </c>
      <c r="N19" s="83">
        <f>'KM-Servicio'!Q84</f>
        <v>5</v>
      </c>
      <c r="O19" s="83">
        <f>'KM-Servicio'!Q91</f>
        <v>2</v>
      </c>
      <c r="P19" s="83">
        <f>'KM-Servicio'!Q98</f>
        <v>3</v>
      </c>
      <c r="Q19" s="83">
        <f>'KM-Servicio'!Q105</f>
        <v>2</v>
      </c>
      <c r="R19" s="83">
        <f>'KM-Servicio'!Q112</f>
        <v>0</v>
      </c>
      <c r="S19" s="83">
        <f>'KM-Servicio'!Q119</f>
        <v>0</v>
      </c>
      <c r="T19" s="83">
        <f>'KM-Servicio'!Q126</f>
        <v>4</v>
      </c>
      <c r="U19" s="83">
        <f>'KM-Servicio'!Q133</f>
        <v>4</v>
      </c>
      <c r="V19" s="83">
        <f>'KM-Servicio'!Q140</f>
        <v>1</v>
      </c>
      <c r="W19" s="83">
        <f>'KM-Servicio'!Q147</f>
        <v>0</v>
      </c>
      <c r="X19" s="83">
        <f>'KM-Servicio'!Q154</f>
        <v>3</v>
      </c>
      <c r="Y19" s="83">
        <f>'KM-Servicio'!Q161</f>
        <v>0</v>
      </c>
      <c r="Z19" s="83">
        <f>'KM-Servicio'!Q168</f>
        <v>0</v>
      </c>
      <c r="AA19" s="83">
        <f>'KM-Servicio'!Q175</f>
        <v>3</v>
      </c>
      <c r="AB19" s="83">
        <f>'KM-Servicio'!Q182</f>
        <v>3</v>
      </c>
      <c r="AC19" s="83">
        <f>'KM-Servicio'!Q189</f>
        <v>3</v>
      </c>
      <c r="AD19" s="83">
        <f>'KM-Servicio'!Q196</f>
        <v>2</v>
      </c>
      <c r="AE19" s="83">
        <f>'KM-Servicio'!Q203</f>
        <v>2</v>
      </c>
      <c r="AF19" s="83">
        <f>'KM-Servicio'!Q210</f>
        <v>0</v>
      </c>
      <c r="AG19" s="83">
        <f>'KM-Servicio'!Q217</f>
        <v>0</v>
      </c>
    </row>
    <row r="20" spans="1:33" x14ac:dyDescent="0.25">
      <c r="A20" s="86" t="s">
        <v>174</v>
      </c>
      <c r="B20" s="82">
        <v>-17.73</v>
      </c>
      <c r="C20" s="83">
        <f>'KM-Servicio'!T6</f>
        <v>0</v>
      </c>
      <c r="D20" s="83">
        <f>'KM-Servicio'!T13</f>
        <v>0</v>
      </c>
      <c r="E20" s="83">
        <f>'KM-Servicio'!T20</f>
        <v>0</v>
      </c>
      <c r="F20" s="83">
        <f>'KM-Servicio'!T27</f>
        <v>4</v>
      </c>
      <c r="G20" s="83">
        <f>'KM-Servicio'!T34</f>
        <v>3</v>
      </c>
      <c r="H20" s="83">
        <f>'KM-Servicio'!T41</f>
        <v>2</v>
      </c>
      <c r="I20" s="83">
        <f>'KM-Servicio'!T48</f>
        <v>3</v>
      </c>
      <c r="J20" s="83">
        <f>'KM-Servicio'!T57</f>
        <v>5</v>
      </c>
      <c r="K20" s="83">
        <f>'KM-Servicio'!T64</f>
        <v>0</v>
      </c>
      <c r="L20" s="83">
        <f>'KM-Servicio'!T71</f>
        <v>0</v>
      </c>
      <c r="M20" s="83">
        <f>'KM-Servicio'!T78</f>
        <v>6</v>
      </c>
      <c r="N20" s="83">
        <f>'KM-Servicio'!T85</f>
        <v>5</v>
      </c>
      <c r="O20" s="83">
        <f>'KM-Servicio'!T92</f>
        <v>4</v>
      </c>
      <c r="P20" s="83">
        <f>'KM-Servicio'!T99</f>
        <v>3</v>
      </c>
      <c r="Q20" s="83">
        <f>'KM-Servicio'!T106</f>
        <v>1</v>
      </c>
      <c r="R20" s="83">
        <f>'KM-Servicio'!T113</f>
        <v>0</v>
      </c>
      <c r="S20" s="83">
        <f>'KM-Servicio'!T120</f>
        <v>0</v>
      </c>
      <c r="T20" s="83">
        <f>'KM-Servicio'!T127</f>
        <v>4</v>
      </c>
      <c r="U20" s="83">
        <f>'KM-Servicio'!T134</f>
        <v>3</v>
      </c>
      <c r="V20" s="83">
        <f>'KM-Servicio'!T141</f>
        <v>3</v>
      </c>
      <c r="W20" s="83">
        <f>'KM-Servicio'!T148</f>
        <v>1</v>
      </c>
      <c r="X20" s="83">
        <f>'KM-Servicio'!T155</f>
        <v>5</v>
      </c>
      <c r="Y20" s="83">
        <f>'KM-Servicio'!T162</f>
        <v>0</v>
      </c>
      <c r="Z20" s="83">
        <f>'KM-Servicio'!T169</f>
        <v>0</v>
      </c>
      <c r="AA20" s="83">
        <f>'KM-Servicio'!T176</f>
        <v>4</v>
      </c>
      <c r="AB20" s="83">
        <f>'KM-Servicio'!T183</f>
        <v>4</v>
      </c>
      <c r="AC20" s="83">
        <f>'KM-Servicio'!T190</f>
        <v>4</v>
      </c>
      <c r="AD20" s="83">
        <f>'KM-Servicio'!T197</f>
        <v>3</v>
      </c>
      <c r="AE20" s="83">
        <f>'KM-Servicio'!T204</f>
        <v>3</v>
      </c>
      <c r="AF20" s="83">
        <f>'KM-Servicio'!T211</f>
        <v>0</v>
      </c>
      <c r="AG20" s="83">
        <f>'KM-Servicio'!T218</f>
        <v>0</v>
      </c>
    </row>
    <row r="21" spans="1:33" s="124" customFormat="1" x14ac:dyDescent="0.25">
      <c r="A21" s="305" t="s">
        <v>149</v>
      </c>
      <c r="B21" s="82">
        <v>-14.02</v>
      </c>
      <c r="C21" s="83">
        <f>'KM-Servicio'!U6</f>
        <v>0</v>
      </c>
      <c r="D21" s="83">
        <f>'KM-Servicio'!U13</f>
        <v>0</v>
      </c>
      <c r="E21" s="83">
        <f>'KM-Servicio'!U20</f>
        <v>0</v>
      </c>
      <c r="F21" s="83">
        <f>'KM-Servicio'!U27</f>
        <v>0</v>
      </c>
      <c r="G21" s="83">
        <f>'KM-Servicio'!U34</f>
        <v>0</v>
      </c>
      <c r="H21" s="83">
        <f>'KM-Servicio'!U41</f>
        <v>0</v>
      </c>
      <c r="I21" s="83">
        <f>'KM-Servicio'!U48</f>
        <v>0</v>
      </c>
      <c r="J21" s="83">
        <f>'KM-Servicio'!U57</f>
        <v>0</v>
      </c>
      <c r="K21" s="83">
        <f>'KM-Servicio'!U64</f>
        <v>0</v>
      </c>
      <c r="L21" s="83">
        <f>'KM-Servicio'!U71</f>
        <v>0</v>
      </c>
      <c r="M21" s="83">
        <f>'KM-Servicio'!U78</f>
        <v>0</v>
      </c>
      <c r="N21" s="83">
        <f>'KM-Servicio'!U85</f>
        <v>0</v>
      </c>
      <c r="O21" s="83">
        <f>'KM-Servicio'!U92</f>
        <v>0</v>
      </c>
      <c r="P21" s="83">
        <f>'KM-Servicio'!U99</f>
        <v>0</v>
      </c>
      <c r="Q21" s="83">
        <f>'KM-Servicio'!U106</f>
        <v>0</v>
      </c>
      <c r="R21" s="83">
        <f>'KM-Servicio'!U113</f>
        <v>0</v>
      </c>
      <c r="S21" s="83">
        <f>'KM-Servicio'!U120</f>
        <v>0</v>
      </c>
      <c r="T21" s="83">
        <f>'KM-Servicio'!U127</f>
        <v>0</v>
      </c>
      <c r="U21" s="83">
        <f>'KM-Servicio'!U134</f>
        <v>0</v>
      </c>
      <c r="V21" s="83">
        <f>'KM-Servicio'!U141</f>
        <v>0</v>
      </c>
      <c r="W21" s="83">
        <f>'KM-Servicio'!U148</f>
        <v>0</v>
      </c>
      <c r="X21" s="83">
        <f>'KM-Servicio'!U155</f>
        <v>0</v>
      </c>
      <c r="Y21" s="83">
        <f>'KM-Servicio'!U162</f>
        <v>0</v>
      </c>
      <c r="Z21" s="83">
        <f>'KM-Servicio'!U169</f>
        <v>0</v>
      </c>
      <c r="AA21" s="83">
        <f>'KM-Servicio'!U176</f>
        <v>0</v>
      </c>
      <c r="AB21" s="83">
        <f>'KM-Servicio'!U183</f>
        <v>0</v>
      </c>
      <c r="AC21" s="83">
        <f>'KM-Servicio'!U190</f>
        <v>0</v>
      </c>
      <c r="AD21" s="83">
        <f>'KM-Servicio'!U197</f>
        <v>0</v>
      </c>
      <c r="AE21" s="83">
        <f>'KM-Servicio'!U204</f>
        <v>0</v>
      </c>
      <c r="AF21" s="83">
        <f>'KM-Servicio'!U211</f>
        <v>0</v>
      </c>
      <c r="AG21" s="83">
        <f>'KM-Servicio'!U218</f>
        <v>0</v>
      </c>
    </row>
    <row r="22" spans="1:33" s="124" customFormat="1" x14ac:dyDescent="0.25">
      <c r="A22" s="216" t="s">
        <v>172</v>
      </c>
      <c r="B22" s="82">
        <v>-3.71</v>
      </c>
      <c r="C22" s="83">
        <f>'KM-Servicio'!Q7</f>
        <v>0</v>
      </c>
      <c r="D22" s="83">
        <f>'KM-Servicio'!Q14</f>
        <v>0</v>
      </c>
      <c r="E22" s="83">
        <f>'KM-Servicio'!Q21</f>
        <v>0</v>
      </c>
      <c r="F22" s="83">
        <f>'KM-Servicio'!Q28</f>
        <v>1</v>
      </c>
      <c r="G22" s="83">
        <f>'KM-Servicio'!Q35</f>
        <v>2</v>
      </c>
      <c r="H22" s="83">
        <v>3</v>
      </c>
      <c r="I22" s="83">
        <v>2</v>
      </c>
      <c r="J22" s="83">
        <v>1</v>
      </c>
      <c r="K22" s="83">
        <v>0</v>
      </c>
      <c r="L22" s="83">
        <v>0</v>
      </c>
      <c r="M22" s="83">
        <v>2</v>
      </c>
      <c r="N22" s="83">
        <v>1</v>
      </c>
      <c r="O22" s="83">
        <v>1</v>
      </c>
      <c r="P22" s="83">
        <v>2</v>
      </c>
      <c r="Q22" s="83">
        <v>2</v>
      </c>
      <c r="R22" s="83">
        <v>0</v>
      </c>
      <c r="S22" s="83">
        <v>0</v>
      </c>
      <c r="T22" s="83">
        <v>2</v>
      </c>
      <c r="U22" s="83">
        <v>2</v>
      </c>
      <c r="V22" s="83">
        <v>2</v>
      </c>
      <c r="W22" s="83">
        <v>0</v>
      </c>
      <c r="X22" s="83">
        <v>2</v>
      </c>
      <c r="Y22" s="83">
        <v>0</v>
      </c>
      <c r="Z22" s="83">
        <v>0</v>
      </c>
      <c r="AA22" s="83">
        <v>3</v>
      </c>
      <c r="AB22" s="83">
        <v>3</v>
      </c>
      <c r="AC22" s="83">
        <v>3</v>
      </c>
      <c r="AD22" s="83">
        <v>3</v>
      </c>
      <c r="AE22" s="83">
        <v>3</v>
      </c>
      <c r="AF22" s="83">
        <v>0</v>
      </c>
      <c r="AG22" s="83">
        <v>0</v>
      </c>
    </row>
    <row r="23" spans="1:33" s="124" customFormat="1" x14ac:dyDescent="0.25">
      <c r="A23" s="210" t="s">
        <v>171</v>
      </c>
      <c r="B23" s="82">
        <v>-25.4</v>
      </c>
      <c r="C23" s="83"/>
      <c r="D23" s="83"/>
      <c r="E23" s="83"/>
      <c r="F23" s="83"/>
      <c r="G23" s="83"/>
      <c r="H23" s="83"/>
      <c r="I23" s="83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</row>
    <row r="24" spans="1:33" s="124" customFormat="1" x14ac:dyDescent="0.25">
      <c r="A24" s="216" t="s">
        <v>154</v>
      </c>
      <c r="B24" s="82">
        <v>17.73</v>
      </c>
      <c r="C24" s="83"/>
      <c r="D24" s="83"/>
      <c r="E24" s="83"/>
      <c r="F24" s="83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83"/>
      <c r="AA24" s="83"/>
      <c r="AB24" s="83"/>
      <c r="AC24" s="83"/>
      <c r="AD24" s="83"/>
      <c r="AE24" s="83"/>
      <c r="AF24" s="83"/>
      <c r="AG24" s="83"/>
    </row>
    <row r="25" spans="1:33" s="124" customFormat="1" x14ac:dyDescent="0.25">
      <c r="A25" s="216" t="s">
        <v>159</v>
      </c>
      <c r="B25" s="82">
        <v>-12.73</v>
      </c>
      <c r="C25" s="83"/>
      <c r="D25" s="83"/>
      <c r="E25" s="83"/>
      <c r="F25" s="83"/>
      <c r="G25" s="83"/>
      <c r="H25" s="83"/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</row>
    <row r="26" spans="1:33" x14ac:dyDescent="0.25">
      <c r="A26" s="87"/>
      <c r="B26" s="82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  <c r="AD26" s="124"/>
      <c r="AE26" s="124"/>
      <c r="AF26" s="124"/>
      <c r="AG26" s="124"/>
    </row>
    <row r="27" spans="1:33" x14ac:dyDescent="0.25">
      <c r="A27" s="88" t="s">
        <v>84</v>
      </c>
      <c r="B27" s="226">
        <f t="shared" ref="B27:B33" si="0">SUM(C27:AG27)</f>
        <v>5825</v>
      </c>
      <c r="C27" s="91">
        <f t="shared" ref="C27:AD27" si="1">SUM(C5:C10)</f>
        <v>111</v>
      </c>
      <c r="D27" s="91">
        <f t="shared" si="1"/>
        <v>147</v>
      </c>
      <c r="E27" s="91">
        <f t="shared" si="1"/>
        <v>111</v>
      </c>
      <c r="F27" s="91">
        <f t="shared" si="1"/>
        <v>227</v>
      </c>
      <c r="G27" s="91">
        <f t="shared" si="1"/>
        <v>229</v>
      </c>
      <c r="H27" s="91">
        <f t="shared" si="1"/>
        <v>227</v>
      </c>
      <c r="I27" s="91">
        <f t="shared" si="1"/>
        <v>195</v>
      </c>
      <c r="J27" s="91">
        <f t="shared" si="1"/>
        <v>229</v>
      </c>
      <c r="K27" s="91">
        <f t="shared" si="1"/>
        <v>147</v>
      </c>
      <c r="L27" s="91">
        <f t="shared" si="1"/>
        <v>111</v>
      </c>
      <c r="M27" s="91">
        <f t="shared" si="1"/>
        <v>229</v>
      </c>
      <c r="N27" s="91">
        <f t="shared" si="1"/>
        <v>229</v>
      </c>
      <c r="O27" s="91">
        <f t="shared" si="1"/>
        <v>229</v>
      </c>
      <c r="P27" s="91">
        <f t="shared" si="1"/>
        <v>229</v>
      </c>
      <c r="Q27" s="91">
        <f t="shared" si="1"/>
        <v>229</v>
      </c>
      <c r="R27" s="91">
        <f t="shared" si="1"/>
        <v>147</v>
      </c>
      <c r="S27" s="91">
        <f t="shared" si="1"/>
        <v>111</v>
      </c>
      <c r="T27" s="91">
        <f t="shared" si="1"/>
        <v>229</v>
      </c>
      <c r="U27" s="91">
        <f t="shared" si="1"/>
        <v>229</v>
      </c>
      <c r="V27" s="91">
        <f t="shared" si="1"/>
        <v>229</v>
      </c>
      <c r="W27" s="91">
        <f t="shared" si="1"/>
        <v>111</v>
      </c>
      <c r="X27" s="91">
        <f t="shared" si="1"/>
        <v>229</v>
      </c>
      <c r="Y27" s="91">
        <f t="shared" si="1"/>
        <v>147</v>
      </c>
      <c r="Z27" s="91">
        <f t="shared" si="1"/>
        <v>111</v>
      </c>
      <c r="AA27" s="91">
        <f t="shared" si="1"/>
        <v>229</v>
      </c>
      <c r="AB27" s="91">
        <f t="shared" si="1"/>
        <v>229</v>
      </c>
      <c r="AC27" s="91">
        <f t="shared" si="1"/>
        <v>229</v>
      </c>
      <c r="AD27" s="91">
        <f t="shared" si="1"/>
        <v>229</v>
      </c>
      <c r="AE27" s="91">
        <f t="shared" ref="AE27" si="2">SUM(AE5:AE10)</f>
        <v>229</v>
      </c>
      <c r="AF27" s="91">
        <f t="shared" ref="AF27:AG27" si="3">SUM(AF5:AF10)</f>
        <v>147</v>
      </c>
      <c r="AG27" s="91">
        <f t="shared" si="3"/>
        <v>111</v>
      </c>
    </row>
    <row r="28" spans="1:33" x14ac:dyDescent="0.25">
      <c r="A28" s="90" t="s">
        <v>65</v>
      </c>
      <c r="B28" s="226">
        <f t="shared" si="0"/>
        <v>7544</v>
      </c>
      <c r="C28" s="91">
        <f t="shared" ref="C28:AD28" si="4">SUM(C12:C17)</f>
        <v>114</v>
      </c>
      <c r="D28" s="91">
        <f t="shared" si="4"/>
        <v>150</v>
      </c>
      <c r="E28" s="91">
        <f t="shared" si="4"/>
        <v>114</v>
      </c>
      <c r="F28" s="91">
        <f t="shared" si="4"/>
        <v>314</v>
      </c>
      <c r="G28" s="91">
        <f t="shared" si="4"/>
        <v>316</v>
      </c>
      <c r="H28" s="91">
        <f t="shared" si="4"/>
        <v>314</v>
      </c>
      <c r="I28" s="91">
        <f t="shared" si="4"/>
        <v>288</v>
      </c>
      <c r="J28" s="91">
        <f t="shared" si="4"/>
        <v>316</v>
      </c>
      <c r="K28" s="91">
        <f t="shared" si="4"/>
        <v>150</v>
      </c>
      <c r="L28" s="91">
        <f t="shared" si="4"/>
        <v>114</v>
      </c>
      <c r="M28" s="91">
        <f t="shared" si="4"/>
        <v>318</v>
      </c>
      <c r="N28" s="91">
        <f t="shared" si="4"/>
        <v>316</v>
      </c>
      <c r="O28" s="91">
        <f t="shared" si="4"/>
        <v>316</v>
      </c>
      <c r="P28" s="91">
        <f t="shared" si="4"/>
        <v>318</v>
      </c>
      <c r="Q28" s="91">
        <f t="shared" si="4"/>
        <v>318</v>
      </c>
      <c r="R28" s="91">
        <f t="shared" si="4"/>
        <v>150</v>
      </c>
      <c r="S28" s="91">
        <f t="shared" si="4"/>
        <v>114</v>
      </c>
      <c r="T28" s="91">
        <f t="shared" si="4"/>
        <v>312</v>
      </c>
      <c r="U28" s="91">
        <f t="shared" si="4"/>
        <v>314</v>
      </c>
      <c r="V28" s="91">
        <f t="shared" si="4"/>
        <v>312</v>
      </c>
      <c r="W28" s="91">
        <f t="shared" si="4"/>
        <v>142</v>
      </c>
      <c r="X28" s="91">
        <f t="shared" si="4"/>
        <v>316</v>
      </c>
      <c r="Y28" s="91">
        <f t="shared" si="4"/>
        <v>150</v>
      </c>
      <c r="Z28" s="91">
        <f t="shared" si="4"/>
        <v>113</v>
      </c>
      <c r="AA28" s="91">
        <f t="shared" si="4"/>
        <v>314</v>
      </c>
      <c r="AB28" s="91">
        <f t="shared" si="4"/>
        <v>318</v>
      </c>
      <c r="AC28" s="91">
        <f t="shared" si="4"/>
        <v>316</v>
      </c>
      <c r="AD28" s="91">
        <f t="shared" si="4"/>
        <v>316</v>
      </c>
      <c r="AE28" s="91">
        <f t="shared" ref="AE28" si="5">SUM(AE12:AE17)</f>
        <v>316</v>
      </c>
      <c r="AF28" s="91">
        <f t="shared" ref="AF28:AG28" si="6">SUM(AF12:AF17)</f>
        <v>151</v>
      </c>
      <c r="AG28" s="91">
        <f t="shared" si="6"/>
        <v>114</v>
      </c>
    </row>
    <row r="29" spans="1:33" x14ac:dyDescent="0.25">
      <c r="A29" s="90" t="s">
        <v>92</v>
      </c>
      <c r="B29" s="226">
        <f t="shared" si="0"/>
        <v>302573.62000000005</v>
      </c>
      <c r="C29" s="91">
        <f>(C12*$B$12+C13*$B$13+C14*$B$14+C15*$B$15+C17*$B$17+C20*$B$20+C16*$B$16+C19*$B$19+C22*$B$22+C23*$B$23+C21*B21)</f>
        <v>4916.8200000000006</v>
      </c>
      <c r="D29" s="91">
        <f>(D12*$B$12+D13*$B$13+D14*$B$14+D15*$B$15+D17*$B$17+D20*$B$20+D16*$B$16+D19*$B$19+D21*$B$21+D23*$B$23+D24*B24+D22*B22)</f>
        <v>6469.5</v>
      </c>
      <c r="E29" s="91">
        <f>(E12*$B$12+E13*$B$13+E14*$B$14+E15*$B$15+E17*$B$17+E20*$B$20+E16*$B$16+E19*$B$19+E21*$B$21+E23*$B$23+E24*B24+E22*B22)</f>
        <v>4916.8200000000006</v>
      </c>
      <c r="F29" s="91">
        <f>(F12*$B$12+F13*$B$13+F14*$B$14+F15*$B$15+F17*$B$17+F20*$B$20+F16*$B$16+F19*$B$19+F21*$B$21+F22*$B$22+F24*B24)</f>
        <v>12362.68</v>
      </c>
      <c r="G29" s="91">
        <f>(G12*$B$12+G13*$B$13+G14*$B$14+G15*$B$15+G17*$B$17+G20*$B$20+G16*$B$16+G19*$B$19+G21*$B$21+G22*$B$22+G24*B24)</f>
        <v>12452.650000000001</v>
      </c>
      <c r="H29" s="91">
        <f>(H12*$B$12+H13*$B$13+H14*$B$14+H15*$B$15+H17*$B$17+H20*$B$20+H16*$B$16+H19*$B$19+H21*$B$21+H22*$B$22+H23*B23+H25*B25)</f>
        <v>12398.140000000001</v>
      </c>
      <c r="I29" s="91">
        <f>(I12*$B$12+I13*$B$13+I14*$B$14+I15*$B$15+I17*$B$17+I20*$B$20+I16*$B$16+I19*$B$19+I21*$B$21+I22*$B$22+I24*B24)-24.13-17.73-0.72-25.4</f>
        <v>11351.870000000004</v>
      </c>
      <c r="J29" s="91">
        <f>(J12*$B$12+J13*$B$13+J14*$B$14+J15*$B$15+J17*$B$17+J20*$B$20+J16*$B$16+J19*$B$19+J21*$B$21+J22*$B$22+J24*B24)</f>
        <v>12420.900000000003</v>
      </c>
      <c r="K29" s="91">
        <f>(K12*$B$12+K13*$B$13+K14*$B$14+K15*$B$15+K17*$B$17+K20*$B$20+K16*$B$16+K19*$B$19+K21*$B$21+K22*$B$22+K24*B24)</f>
        <v>6469.5</v>
      </c>
      <c r="L29" s="91">
        <f>(L12*$B$12+L13*$B$13+L14*$B$14+L15*$B$15+L17*$B$17+L20*$B$20+L16*$B$16+L19*$B$19+L21*$B$21+L22*$B$22+L24*B24)</f>
        <v>4916.8200000000006</v>
      </c>
      <c r="M29" s="91">
        <f>(M12*$B$12+M13*$B$13+M14*$B$14+M15*$B$15+M17*$B$17+M20*$B$20+M16*$B$16+M19*$B$19+M21*$B$21+M22*$B$22+M24*B24)</f>
        <v>12467.990000000002</v>
      </c>
      <c r="N29" s="91">
        <f>(N12*$B$12+N13*$B$13+N14*$B$14+N15*$B$15+N17*$B$17+N20*$B$20+N16*$B$16+N19*$B$19+N21*$B$21+N22*$B$22+N24*B24)</f>
        <v>12367.710000000003</v>
      </c>
      <c r="O29" s="91">
        <f>(O12*$B$12+O13*$B$13+O14*$B$14+O15*$B$15+O17*$B$17+O20*$B$20+O16*$B$16+O19*$B$19+O21*$B$21+O22*$B$22+O23*B23)</f>
        <v>12438.630000000003</v>
      </c>
      <c r="P29" s="91">
        <f>(P12*$B$12+P13*$B$13+P14*$B$14+P15*$B$15+P17*$B$17+P20*$B$20+P16*$B$16+P19*$B$19+P21*$B$21+P22*$B$22+P24*B24)</f>
        <v>12521.18</v>
      </c>
      <c r="Q29" s="91">
        <f>(Q12*$B$12+Q13*$B$13+Q14*$B$14+Q15*$B$15+Q17*$B$17+Q20*$B$20+Q16*$B$16+Q19*$B$19+Q21*$B$21+Q22*$B$22)</f>
        <v>12574.370000000003</v>
      </c>
      <c r="R29" s="91">
        <f>(R12*$B$12+R13*$B$13+R14*$B$14+R15*$B$15+R17*$B$17+R20*$B$20+R16*$B$16+R19*$B$19+R21*$B$21+R22*$B$22)</f>
        <v>6469.5</v>
      </c>
      <c r="S29" s="91">
        <f>(S12*$B$12+S13*$B$13+S14*$B$14+S15*$B$15+S17*$B$17+S20*$B$20+S16*$B$16+S19*$B$19+S21*$B$21+S22*$B$22)</f>
        <v>4916.8200000000006</v>
      </c>
      <c r="T29" s="91">
        <f>(T12*$B$12+T13*$B$13+T14*$B$14+T15*$B$15+T17*$B$17+T20*$B$20+T16*$B$16+T19*$B$19+T21*$B$21+T22*$B$22)</f>
        <v>12240.960000000001</v>
      </c>
      <c r="U29" s="91">
        <f>(U12*$B$12+U13*$B$13+U14*$B$14+U15*$B$15+U17*$B$17+U20*$B$20+U16*$B$16+U19*$B$19+U21*$B$21+U22*$B$22+U24*B24)</f>
        <v>12330.93</v>
      </c>
      <c r="V29" s="91">
        <f>(V12*$B$12+V13*$B$13+V14*$B$14+V15*$B$15+V17*$B$17+V20*$B$20+V16*$B$16+V19*$B$19+V21*$B$21+V22*$B$22)</f>
        <v>12297.86</v>
      </c>
      <c r="W29" s="91">
        <f t="shared" ref="W29:AD29" si="7">(W12*$B$12+W13*$B$13+W14*$B$14+W15*$B$15+W17*$B$17+W20*$B$20+W16*$B$16+W19*$B$19+W21*$B$21+W22*$B$22)</f>
        <v>6106.7300000000005</v>
      </c>
      <c r="X29" s="91">
        <f t="shared" si="7"/>
        <v>12399.460000000001</v>
      </c>
      <c r="Y29" s="91">
        <f t="shared" si="7"/>
        <v>6469.5</v>
      </c>
      <c r="Z29" s="91">
        <f>(Z12*$B$12+Z13*$B$13+Z14*$B$14+Z15*$B$15+Z17*$B$17+Z20*$B$20+Z16*$B$16+Z19*$B$19+Z21*$B$21+Z22*$B$22)-19</f>
        <v>4854.6900000000005</v>
      </c>
      <c r="AA29" s="91">
        <f t="shared" si="7"/>
        <v>12299.180000000002</v>
      </c>
      <c r="AB29" s="91">
        <f t="shared" si="7"/>
        <v>12485.720000000003</v>
      </c>
      <c r="AC29" s="91">
        <f t="shared" si="7"/>
        <v>12385.44</v>
      </c>
      <c r="AD29" s="91">
        <f t="shared" si="7"/>
        <v>12420.900000000001</v>
      </c>
      <c r="AE29" s="91">
        <f t="shared" ref="AE29:AF29" si="8">(AE12*$B$12+AE13*$B$13+AE14*$B$14+AE15*$B$15+AE17*$B$17+AE20*$B$20+AE16*$B$16+AE19*$B$19+AE21*$B$21+AE22*$B$22)</f>
        <v>12420.900000000001</v>
      </c>
      <c r="AF29" s="91">
        <f t="shared" si="8"/>
        <v>6512.63</v>
      </c>
      <c r="AG29" s="91">
        <f t="shared" ref="AG29" si="9">(AG12*$B$12+AG13*$B$13+AG14*$B$14+AG15*$B$15+AG17*$B$17+AG20*$B$20+AG16*$B$16+AG19*$B$19+AG21*$B$21+AG22*$B$22)</f>
        <v>4916.8200000000006</v>
      </c>
    </row>
    <row r="30" spans="1:33" x14ac:dyDescent="0.25">
      <c r="A30" s="90" t="s">
        <v>93</v>
      </c>
      <c r="B30" s="226">
        <f t="shared" si="0"/>
        <v>232065.34999999992</v>
      </c>
      <c r="C30" s="91">
        <f t="shared" ref="C30:AD30" si="10">$B$5*C5+$B$6*C6+$B$7*C7+$B$8*C8+$B$10*C10+$B$9*C9</f>
        <v>4787.43</v>
      </c>
      <c r="D30" s="91">
        <f t="shared" si="10"/>
        <v>6340.1100000000006</v>
      </c>
      <c r="E30" s="91">
        <f t="shared" si="10"/>
        <v>4787.43</v>
      </c>
      <c r="F30" s="91">
        <f t="shared" si="10"/>
        <v>8794.27</v>
      </c>
      <c r="G30" s="91">
        <f t="shared" si="10"/>
        <v>8852.49</v>
      </c>
      <c r="H30" s="91">
        <f t="shared" si="10"/>
        <v>8794.27</v>
      </c>
      <c r="I30" s="91">
        <f t="shared" si="10"/>
        <v>7596.3700000000008</v>
      </c>
      <c r="J30" s="91">
        <f t="shared" si="10"/>
        <v>8852.49</v>
      </c>
      <c r="K30" s="91">
        <f t="shared" si="10"/>
        <v>6340.1100000000006</v>
      </c>
      <c r="L30" s="91">
        <f t="shared" si="10"/>
        <v>4787.43</v>
      </c>
      <c r="M30" s="91">
        <f t="shared" si="10"/>
        <v>8852.49</v>
      </c>
      <c r="N30" s="91">
        <f t="shared" si="10"/>
        <v>8852.49</v>
      </c>
      <c r="O30" s="91">
        <f t="shared" si="10"/>
        <v>8852.49</v>
      </c>
      <c r="P30" s="91">
        <f t="shared" si="10"/>
        <v>8852.49</v>
      </c>
      <c r="Q30" s="91">
        <f t="shared" si="10"/>
        <v>8852.49</v>
      </c>
      <c r="R30" s="91">
        <f t="shared" si="10"/>
        <v>6340.1100000000006</v>
      </c>
      <c r="S30" s="91">
        <f t="shared" si="10"/>
        <v>4787.43</v>
      </c>
      <c r="T30" s="91">
        <f t="shared" si="10"/>
        <v>8866.510000000002</v>
      </c>
      <c r="U30" s="91">
        <f t="shared" si="10"/>
        <v>8852.49</v>
      </c>
      <c r="V30" s="91">
        <f t="shared" si="10"/>
        <v>8852.49</v>
      </c>
      <c r="W30" s="91">
        <f t="shared" si="10"/>
        <v>4787.43</v>
      </c>
      <c r="X30" s="91">
        <f t="shared" si="10"/>
        <v>8852.49</v>
      </c>
      <c r="Y30" s="91">
        <f t="shared" si="10"/>
        <v>6340.1100000000006</v>
      </c>
      <c r="Z30" s="91">
        <f t="shared" si="10"/>
        <v>4787.43</v>
      </c>
      <c r="AA30" s="91">
        <f t="shared" si="10"/>
        <v>8852.49</v>
      </c>
      <c r="AB30" s="91">
        <f t="shared" si="10"/>
        <v>8866.51</v>
      </c>
      <c r="AC30" s="91">
        <f t="shared" si="10"/>
        <v>8852.49</v>
      </c>
      <c r="AD30" s="91">
        <f t="shared" si="10"/>
        <v>8852.49</v>
      </c>
      <c r="AE30" s="91">
        <f t="shared" ref="AE30" si="11">$B$5*AE5+$B$6*AE6+$B$7*AE7+$B$8*AE8+$B$10*AE10+$B$9*AE9</f>
        <v>8852.49</v>
      </c>
      <c r="AF30" s="91">
        <f t="shared" ref="AF30:AG30" si="12">$B$5*AF5+$B$6*AF6+$B$7*AF7+$B$8*AF8+$B$10*AF10+$B$9*AF9</f>
        <v>6340.1100000000006</v>
      </c>
      <c r="AG30" s="91">
        <f t="shared" si="12"/>
        <v>4787.43</v>
      </c>
    </row>
    <row r="31" spans="1:33" x14ac:dyDescent="0.25">
      <c r="A31" s="90" t="s">
        <v>94</v>
      </c>
      <c r="B31" s="226">
        <f t="shared" si="0"/>
        <v>31467656.480000012</v>
      </c>
      <c r="C31" s="91">
        <f t="shared" ref="C31:AD31" si="13">C29*104</f>
        <v>511349.28000000009</v>
      </c>
      <c r="D31" s="91">
        <f t="shared" si="13"/>
        <v>672828</v>
      </c>
      <c r="E31" s="91">
        <f t="shared" si="13"/>
        <v>511349.28000000009</v>
      </c>
      <c r="F31" s="91">
        <f t="shared" si="13"/>
        <v>1285718.72</v>
      </c>
      <c r="G31" s="91">
        <f t="shared" si="13"/>
        <v>1295075.6000000001</v>
      </c>
      <c r="H31" s="91">
        <f t="shared" si="13"/>
        <v>1289406.56</v>
      </c>
      <c r="I31" s="91">
        <f t="shared" si="13"/>
        <v>1180594.4800000004</v>
      </c>
      <c r="J31" s="91">
        <f t="shared" si="13"/>
        <v>1291773.6000000003</v>
      </c>
      <c r="K31" s="91">
        <f t="shared" si="13"/>
        <v>672828</v>
      </c>
      <c r="L31" s="91">
        <f t="shared" si="13"/>
        <v>511349.28000000009</v>
      </c>
      <c r="M31" s="91">
        <f t="shared" si="13"/>
        <v>1296670.9600000002</v>
      </c>
      <c r="N31" s="91">
        <f t="shared" si="13"/>
        <v>1286241.8400000003</v>
      </c>
      <c r="O31" s="91">
        <f t="shared" si="13"/>
        <v>1293617.5200000003</v>
      </c>
      <c r="P31" s="91">
        <f t="shared" si="13"/>
        <v>1302202.72</v>
      </c>
      <c r="Q31" s="91">
        <f t="shared" si="13"/>
        <v>1307734.4800000002</v>
      </c>
      <c r="R31" s="91">
        <f t="shared" si="13"/>
        <v>672828</v>
      </c>
      <c r="S31" s="91">
        <f t="shared" si="13"/>
        <v>511349.28000000009</v>
      </c>
      <c r="T31" s="91">
        <f t="shared" si="13"/>
        <v>1273059.8400000001</v>
      </c>
      <c r="U31" s="91">
        <f t="shared" si="13"/>
        <v>1282416.72</v>
      </c>
      <c r="V31" s="91">
        <f t="shared" si="13"/>
        <v>1278977.44</v>
      </c>
      <c r="W31" s="91">
        <f t="shared" si="13"/>
        <v>635099.92000000004</v>
      </c>
      <c r="X31" s="91">
        <f t="shared" si="13"/>
        <v>1289543.8400000001</v>
      </c>
      <c r="Y31" s="91">
        <f t="shared" si="13"/>
        <v>672828</v>
      </c>
      <c r="Z31" s="91">
        <f t="shared" si="13"/>
        <v>504887.76000000007</v>
      </c>
      <c r="AA31" s="91">
        <f t="shared" si="13"/>
        <v>1279114.7200000002</v>
      </c>
      <c r="AB31" s="91">
        <f t="shared" si="13"/>
        <v>1298514.8800000004</v>
      </c>
      <c r="AC31" s="91">
        <f t="shared" si="13"/>
        <v>1288085.76</v>
      </c>
      <c r="AD31" s="91">
        <f t="shared" si="13"/>
        <v>1291773.6000000001</v>
      </c>
      <c r="AE31" s="91">
        <f t="shared" ref="AE31" si="14">AE29*104</f>
        <v>1291773.6000000001</v>
      </c>
      <c r="AF31" s="91">
        <f t="shared" ref="AF31:AG31" si="15">AF29*104</f>
        <v>677313.52</v>
      </c>
      <c r="AG31" s="91">
        <f t="shared" si="15"/>
        <v>511349.28000000009</v>
      </c>
    </row>
    <row r="32" spans="1:33" x14ac:dyDescent="0.25">
      <c r="A32" s="90" t="s">
        <v>95</v>
      </c>
      <c r="B32" s="89">
        <f t="shared" si="0"/>
        <v>605147.24000000011</v>
      </c>
      <c r="C32" s="91">
        <f>C29*2</f>
        <v>9833.6400000000012</v>
      </c>
      <c r="D32" s="91">
        <f t="shared" ref="D32:AD32" si="16">D29*2</f>
        <v>12939</v>
      </c>
      <c r="E32" s="91">
        <f t="shared" si="16"/>
        <v>9833.6400000000012</v>
      </c>
      <c r="F32" s="91">
        <f t="shared" si="16"/>
        <v>24725.360000000001</v>
      </c>
      <c r="G32" s="91">
        <f t="shared" si="16"/>
        <v>24905.300000000003</v>
      </c>
      <c r="H32" s="91">
        <f t="shared" si="16"/>
        <v>24796.280000000002</v>
      </c>
      <c r="I32" s="91">
        <f t="shared" si="16"/>
        <v>22703.740000000009</v>
      </c>
      <c r="J32" s="91">
        <f t="shared" si="16"/>
        <v>24841.800000000007</v>
      </c>
      <c r="K32" s="91">
        <f t="shared" si="16"/>
        <v>12939</v>
      </c>
      <c r="L32" s="91">
        <f t="shared" si="16"/>
        <v>9833.6400000000012</v>
      </c>
      <c r="M32" s="91">
        <f t="shared" si="16"/>
        <v>24935.980000000003</v>
      </c>
      <c r="N32" s="91">
        <f t="shared" si="16"/>
        <v>24735.420000000006</v>
      </c>
      <c r="O32" s="91">
        <f t="shared" si="16"/>
        <v>24877.260000000006</v>
      </c>
      <c r="P32" s="91">
        <f t="shared" si="16"/>
        <v>25042.36</v>
      </c>
      <c r="Q32" s="91">
        <f t="shared" si="16"/>
        <v>25148.740000000005</v>
      </c>
      <c r="R32" s="91">
        <f t="shared" si="16"/>
        <v>12939</v>
      </c>
      <c r="S32" s="91">
        <f t="shared" si="16"/>
        <v>9833.6400000000012</v>
      </c>
      <c r="T32" s="91">
        <f t="shared" si="16"/>
        <v>24481.920000000002</v>
      </c>
      <c r="U32" s="91">
        <f t="shared" si="16"/>
        <v>24661.86</v>
      </c>
      <c r="V32" s="91">
        <f t="shared" si="16"/>
        <v>24595.72</v>
      </c>
      <c r="W32" s="91">
        <f t="shared" si="16"/>
        <v>12213.460000000001</v>
      </c>
      <c r="X32" s="91">
        <f t="shared" si="16"/>
        <v>24798.920000000002</v>
      </c>
      <c r="Y32" s="91">
        <f t="shared" si="16"/>
        <v>12939</v>
      </c>
      <c r="Z32" s="91">
        <f t="shared" si="16"/>
        <v>9709.380000000001</v>
      </c>
      <c r="AA32" s="91">
        <f t="shared" si="16"/>
        <v>24598.360000000004</v>
      </c>
      <c r="AB32" s="91">
        <f t="shared" si="16"/>
        <v>24971.440000000006</v>
      </c>
      <c r="AC32" s="91">
        <f t="shared" si="16"/>
        <v>24770.880000000001</v>
      </c>
      <c r="AD32" s="91">
        <f t="shared" si="16"/>
        <v>24841.800000000003</v>
      </c>
      <c r="AE32" s="91">
        <f t="shared" ref="AE32" si="17">AE29*2</f>
        <v>24841.800000000003</v>
      </c>
      <c r="AF32" s="91">
        <f t="shared" ref="AF32:AG32" si="18">AF29*2</f>
        <v>13025.26</v>
      </c>
      <c r="AG32" s="91">
        <f t="shared" si="18"/>
        <v>9833.6400000000012</v>
      </c>
    </row>
    <row r="33" spans="1:33" x14ac:dyDescent="0.25">
      <c r="A33" s="90" t="s">
        <v>96</v>
      </c>
      <c r="B33" s="89">
        <f t="shared" si="0"/>
        <v>2730928</v>
      </c>
      <c r="C33" s="91">
        <f>+C28*362</f>
        <v>41268</v>
      </c>
      <c r="D33" s="91">
        <f t="shared" ref="D33:AD33" si="19">+D28*362</f>
        <v>54300</v>
      </c>
      <c r="E33" s="91">
        <f t="shared" si="19"/>
        <v>41268</v>
      </c>
      <c r="F33" s="91">
        <f t="shared" si="19"/>
        <v>113668</v>
      </c>
      <c r="G33" s="91">
        <f t="shared" si="19"/>
        <v>114392</v>
      </c>
      <c r="H33" s="91">
        <f t="shared" si="19"/>
        <v>113668</v>
      </c>
      <c r="I33" s="91">
        <f t="shared" si="19"/>
        <v>104256</v>
      </c>
      <c r="J33" s="91">
        <f t="shared" si="19"/>
        <v>114392</v>
      </c>
      <c r="K33" s="91">
        <f t="shared" si="19"/>
        <v>54300</v>
      </c>
      <c r="L33" s="91">
        <f t="shared" si="19"/>
        <v>41268</v>
      </c>
      <c r="M33" s="91">
        <f t="shared" si="19"/>
        <v>115116</v>
      </c>
      <c r="N33" s="91">
        <f t="shared" si="19"/>
        <v>114392</v>
      </c>
      <c r="O33" s="91">
        <f t="shared" si="19"/>
        <v>114392</v>
      </c>
      <c r="P33" s="91">
        <f t="shared" si="19"/>
        <v>115116</v>
      </c>
      <c r="Q33" s="91">
        <f t="shared" si="19"/>
        <v>115116</v>
      </c>
      <c r="R33" s="91">
        <f t="shared" si="19"/>
        <v>54300</v>
      </c>
      <c r="S33" s="91">
        <f t="shared" si="19"/>
        <v>41268</v>
      </c>
      <c r="T33" s="91">
        <f t="shared" si="19"/>
        <v>112944</v>
      </c>
      <c r="U33" s="91">
        <f t="shared" si="19"/>
        <v>113668</v>
      </c>
      <c r="V33" s="91">
        <f t="shared" si="19"/>
        <v>112944</v>
      </c>
      <c r="W33" s="91">
        <f t="shared" si="19"/>
        <v>51404</v>
      </c>
      <c r="X33" s="91">
        <f t="shared" si="19"/>
        <v>114392</v>
      </c>
      <c r="Y33" s="91">
        <f t="shared" si="19"/>
        <v>54300</v>
      </c>
      <c r="Z33" s="91">
        <f t="shared" si="19"/>
        <v>40906</v>
      </c>
      <c r="AA33" s="91">
        <f t="shared" si="19"/>
        <v>113668</v>
      </c>
      <c r="AB33" s="91">
        <f t="shared" si="19"/>
        <v>115116</v>
      </c>
      <c r="AC33" s="91">
        <f t="shared" si="19"/>
        <v>114392</v>
      </c>
      <c r="AD33" s="91">
        <f t="shared" si="19"/>
        <v>114392</v>
      </c>
      <c r="AE33" s="91">
        <f t="shared" ref="AE33" si="20">+AE28*362</f>
        <v>114392</v>
      </c>
      <c r="AF33" s="91">
        <f t="shared" ref="AF33:AG33" si="21">+AF28*362</f>
        <v>54662</v>
      </c>
      <c r="AG33" s="91">
        <f t="shared" si="21"/>
        <v>41268</v>
      </c>
    </row>
    <row r="34" spans="1:33" ht="14.25" customHeight="1" x14ac:dyDescent="0.25">
      <c r="A34" s="92" t="s">
        <v>97</v>
      </c>
      <c r="B34" s="226">
        <f>SUM(C34:AG34)</f>
        <v>23994088.066000007</v>
      </c>
      <c r="C34" s="91">
        <f>C29*79.3</f>
        <v>389903.82600000006</v>
      </c>
      <c r="D34" s="91">
        <f t="shared" ref="D34:AD34" si="22">D29*79.3</f>
        <v>513031.35</v>
      </c>
      <c r="E34" s="91">
        <f t="shared" si="22"/>
        <v>389903.82600000006</v>
      </c>
      <c r="F34" s="91">
        <f t="shared" si="22"/>
        <v>980360.52399999998</v>
      </c>
      <c r="G34" s="91">
        <f t="shared" si="22"/>
        <v>987495.14500000014</v>
      </c>
      <c r="H34" s="91">
        <f t="shared" si="22"/>
        <v>983172.50200000009</v>
      </c>
      <c r="I34" s="91">
        <f t="shared" si="22"/>
        <v>900203.29100000032</v>
      </c>
      <c r="J34" s="91">
        <f t="shared" si="22"/>
        <v>984977.37000000023</v>
      </c>
      <c r="K34" s="91">
        <f t="shared" si="22"/>
        <v>513031.35</v>
      </c>
      <c r="L34" s="91">
        <f t="shared" si="22"/>
        <v>389903.82600000006</v>
      </c>
      <c r="M34" s="91">
        <f t="shared" si="22"/>
        <v>988711.60700000008</v>
      </c>
      <c r="N34" s="91">
        <f t="shared" si="22"/>
        <v>980759.40300000017</v>
      </c>
      <c r="O34" s="91">
        <f t="shared" si="22"/>
        <v>986383.35900000017</v>
      </c>
      <c r="P34" s="91">
        <f t="shared" si="22"/>
        <v>992929.57400000002</v>
      </c>
      <c r="Q34" s="91">
        <f t="shared" si="22"/>
        <v>997147.5410000002</v>
      </c>
      <c r="R34" s="91">
        <f t="shared" si="22"/>
        <v>513031.35</v>
      </c>
      <c r="S34" s="91">
        <f t="shared" si="22"/>
        <v>389903.82600000006</v>
      </c>
      <c r="T34" s="91">
        <f t="shared" si="22"/>
        <v>970708.12800000003</v>
      </c>
      <c r="U34" s="91">
        <f t="shared" si="22"/>
        <v>977842.74899999995</v>
      </c>
      <c r="V34" s="91">
        <f t="shared" si="22"/>
        <v>975220.29800000007</v>
      </c>
      <c r="W34" s="91">
        <f t="shared" si="22"/>
        <v>484263.68900000001</v>
      </c>
      <c r="X34" s="91">
        <f t="shared" si="22"/>
        <v>983277.17800000007</v>
      </c>
      <c r="Y34" s="91">
        <f t="shared" si="22"/>
        <v>513031.35</v>
      </c>
      <c r="Z34" s="91">
        <f t="shared" si="22"/>
        <v>384976.91700000002</v>
      </c>
      <c r="AA34" s="91">
        <f t="shared" si="22"/>
        <v>975324.97400000016</v>
      </c>
      <c r="AB34" s="91">
        <f t="shared" si="22"/>
        <v>990117.59600000025</v>
      </c>
      <c r="AC34" s="91">
        <f>AC29*79.3</f>
        <v>982165.39199999999</v>
      </c>
      <c r="AD34" s="91">
        <f t="shared" si="22"/>
        <v>984977.37000000011</v>
      </c>
      <c r="AE34" s="91">
        <f t="shared" ref="AE34" si="23">AE29*79.3</f>
        <v>984977.37000000011</v>
      </c>
      <c r="AF34" s="91">
        <f t="shared" ref="AF34:AG34" si="24">AF29*79.3</f>
        <v>516451.55900000001</v>
      </c>
      <c r="AG34" s="91">
        <f t="shared" si="24"/>
        <v>389903.82600000006</v>
      </c>
    </row>
    <row r="35" spans="1:33" x14ac:dyDescent="0.25"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91"/>
      <c r="O35" s="8"/>
    </row>
    <row r="36" spans="1:33" x14ac:dyDescent="0.25"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  <c r="AD36" s="124"/>
    </row>
    <row r="38" spans="1:33" x14ac:dyDescent="0.25">
      <c r="C38" s="172"/>
      <c r="D38" s="298"/>
      <c r="E38" s="172"/>
      <c r="F38" s="172"/>
      <c r="G38" s="172"/>
      <c r="H38" s="124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  <c r="AC38" s="172"/>
      <c r="AD38" s="172"/>
    </row>
    <row r="39" spans="1:33" x14ac:dyDescent="0.25">
      <c r="E39" s="43"/>
      <c r="F39" s="133"/>
      <c r="G39" s="134"/>
      <c r="H39" s="124"/>
      <c r="I39" s="134"/>
      <c r="J39" s="134"/>
      <c r="K39" s="134"/>
      <c r="L39" s="134"/>
      <c r="M39" s="134"/>
      <c r="N39" s="134"/>
      <c r="O39" s="134"/>
      <c r="P39" s="134"/>
      <c r="Q39" s="134"/>
      <c r="R39" s="134"/>
      <c r="S39" s="134"/>
      <c r="T39" s="134"/>
      <c r="U39" s="134"/>
      <c r="V39" s="134"/>
      <c r="W39" s="134"/>
      <c r="X39" s="133"/>
      <c r="Y39" s="43"/>
      <c r="AB39" s="8"/>
    </row>
    <row r="40" spans="1:33" x14ac:dyDescent="0.25">
      <c r="E40" s="43"/>
      <c r="F40" s="43"/>
      <c r="G40" s="43"/>
      <c r="H40" s="124"/>
      <c r="I40" s="43"/>
      <c r="J40" s="43"/>
      <c r="K40" s="124"/>
      <c r="L40" s="43"/>
      <c r="M40" s="43"/>
      <c r="N40" s="43"/>
      <c r="O40" s="124"/>
      <c r="P40" s="43"/>
      <c r="Q40" s="43"/>
      <c r="R40" s="43"/>
      <c r="S40" s="124"/>
      <c r="T40" s="43"/>
      <c r="U40" s="43"/>
      <c r="V40" s="43"/>
      <c r="W40" s="124"/>
      <c r="X40" s="43"/>
      <c r="Y40" s="43"/>
      <c r="Z40" s="43"/>
      <c r="AA40" s="124"/>
      <c r="AB40" s="43"/>
      <c r="AD40" s="43"/>
    </row>
    <row r="41" spans="1:33" x14ac:dyDescent="0.25">
      <c r="H41" s="172"/>
      <c r="P41" s="84"/>
      <c r="R41" s="172"/>
      <c r="AB41" s="8"/>
    </row>
    <row r="42" spans="1:33" x14ac:dyDescent="0.25">
      <c r="H42" s="172"/>
      <c r="P42" s="84"/>
      <c r="R42" s="172"/>
      <c r="AB42" s="8"/>
    </row>
    <row r="43" spans="1:33" x14ac:dyDescent="0.25">
      <c r="D43" s="124"/>
      <c r="E43" s="124"/>
      <c r="F43" s="124"/>
      <c r="G43" s="124"/>
      <c r="H43" s="172"/>
      <c r="I43" s="124"/>
      <c r="J43" s="124"/>
      <c r="K43" s="124"/>
      <c r="L43" s="124"/>
      <c r="M43" s="124"/>
      <c r="N43" s="124"/>
      <c r="O43" s="124"/>
      <c r="P43" s="124"/>
      <c r="Q43" s="124"/>
      <c r="R43" s="172"/>
      <c r="S43" s="124"/>
      <c r="T43" s="124"/>
      <c r="U43" s="124"/>
      <c r="V43" s="124"/>
      <c r="W43" s="124"/>
      <c r="X43" s="124"/>
      <c r="Y43" s="124"/>
      <c r="Z43" s="124"/>
      <c r="AA43" s="124"/>
      <c r="AB43" s="8"/>
      <c r="AD43" s="124"/>
    </row>
    <row r="44" spans="1:33" x14ac:dyDescent="0.25">
      <c r="P44" s="84"/>
      <c r="R44" s="172"/>
      <c r="AB44" s="8"/>
    </row>
    <row r="45" spans="1:33" x14ac:dyDescent="0.25">
      <c r="P45" s="84"/>
      <c r="R45" s="172"/>
      <c r="AB45" s="8"/>
    </row>
    <row r="46" spans="1:33" x14ac:dyDescent="0.25"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72"/>
      <c r="S46" s="124"/>
      <c r="T46" s="124"/>
      <c r="U46" s="124"/>
      <c r="V46" s="124"/>
      <c r="W46" s="124"/>
      <c r="X46" s="124"/>
      <c r="Y46" s="124"/>
      <c r="Z46" s="124"/>
      <c r="AA46" s="124"/>
      <c r="AB46" s="8"/>
      <c r="AD46" s="124"/>
    </row>
    <row r="47" spans="1:33" x14ac:dyDescent="0.25">
      <c r="Q47" s="84"/>
      <c r="R47" s="172"/>
      <c r="AB47" s="8"/>
    </row>
    <row r="48" spans="1:33" x14ac:dyDescent="0.25">
      <c r="Q48" s="84"/>
      <c r="R48" s="172"/>
    </row>
    <row r="49" spans="17:18" x14ac:dyDescent="0.25">
      <c r="Q49" s="84"/>
      <c r="R49" s="172"/>
    </row>
    <row r="50" spans="17:18" x14ac:dyDescent="0.25">
      <c r="Q50" s="84"/>
      <c r="R50" s="172"/>
    </row>
    <row r="51" spans="17:18" x14ac:dyDescent="0.25">
      <c r="Q51" s="8"/>
      <c r="R51" s="172"/>
    </row>
    <row r="52" spans="17:18" x14ac:dyDescent="0.25">
      <c r="Q52" s="8"/>
      <c r="R52" s="172"/>
    </row>
    <row r="53" spans="17:18" x14ac:dyDescent="0.25">
      <c r="R53" s="172"/>
    </row>
    <row r="54" spans="17:18" x14ac:dyDescent="0.25">
      <c r="R54" s="172"/>
    </row>
    <row r="55" spans="17:18" x14ac:dyDescent="0.25">
      <c r="R55" s="172"/>
    </row>
    <row r="56" spans="17:18" x14ac:dyDescent="0.25">
      <c r="R56" s="172"/>
    </row>
    <row r="57" spans="17:18" x14ac:dyDescent="0.25">
      <c r="R57" s="172"/>
    </row>
    <row r="58" spans="17:18" x14ac:dyDescent="0.25">
      <c r="R58" s="172"/>
    </row>
    <row r="59" spans="17:18" x14ac:dyDescent="0.25">
      <c r="R59" s="172"/>
    </row>
    <row r="60" spans="17:18" x14ac:dyDescent="0.25">
      <c r="R60" s="172"/>
    </row>
    <row r="61" spans="17:18" x14ac:dyDescent="0.25">
      <c r="R61" s="172"/>
    </row>
    <row r="62" spans="17:18" x14ac:dyDescent="0.25">
      <c r="R62" s="124"/>
    </row>
    <row r="63" spans="17:18" x14ac:dyDescent="0.25">
      <c r="R63" s="124"/>
    </row>
    <row r="64" spans="17:18" x14ac:dyDescent="0.25">
      <c r="R64" s="124"/>
    </row>
    <row r="65" spans="18:18" x14ac:dyDescent="0.25">
      <c r="R65" s="124"/>
    </row>
    <row r="66" spans="18:18" x14ac:dyDescent="0.25">
      <c r="R66" s="124"/>
    </row>
    <row r="67" spans="18:18" x14ac:dyDescent="0.25">
      <c r="R67" s="124"/>
    </row>
    <row r="68" spans="18:18" x14ac:dyDescent="0.25">
      <c r="R68" s="124"/>
    </row>
    <row r="69" spans="18:18" x14ac:dyDescent="0.25">
      <c r="R69" s="124"/>
    </row>
    <row r="70" spans="18:18" x14ac:dyDescent="0.25">
      <c r="R70" s="124"/>
    </row>
    <row r="71" spans="18:18" x14ac:dyDescent="0.25">
      <c r="R71" s="124"/>
    </row>
  </sheetData>
  <pageMargins left="0.7" right="0.7" top="0.75" bottom="0.75" header="0.3" footer="0.3"/>
  <pageSetup orientation="portrait" r:id="rId1"/>
  <ignoredErrors>
    <ignoredError sqref="Q27:Q28 X27:X28 U29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N40"/>
  <sheetViews>
    <sheetView zoomScale="115" zoomScaleNormal="115"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D10" sqref="D10"/>
    </sheetView>
  </sheetViews>
  <sheetFormatPr baseColWidth="10" defaultColWidth="11.42578125" defaultRowHeight="15" x14ac:dyDescent="0.25"/>
  <cols>
    <col min="1" max="2" width="11.42578125" style="124"/>
    <col min="3" max="3" width="19.140625" style="124" customWidth="1"/>
    <col min="4" max="4" width="11.42578125" style="124"/>
    <col min="5" max="5" width="18.42578125" style="124" customWidth="1"/>
    <col min="6" max="6" width="14.140625" style="124" customWidth="1"/>
    <col min="7" max="7" width="23.85546875" style="124" customWidth="1"/>
    <col min="8" max="8" width="22.7109375" style="124" customWidth="1"/>
    <col min="9" max="9" width="18.5703125" style="124" customWidth="1"/>
    <col min="10" max="10" width="14.28515625" style="124" customWidth="1"/>
    <col min="11" max="11" width="25.5703125" style="124" customWidth="1"/>
    <col min="12" max="16384" width="11.42578125" style="124"/>
  </cols>
  <sheetData>
    <row r="2" spans="1:12" ht="44.25" x14ac:dyDescent="0.25">
      <c r="A2" s="379" t="s">
        <v>181</v>
      </c>
      <c r="B2" s="380"/>
      <c r="C2" s="380"/>
      <c r="D2" s="380"/>
      <c r="E2" s="380"/>
      <c r="F2" s="380"/>
      <c r="G2" s="380"/>
      <c r="H2" s="380"/>
      <c r="I2" s="380"/>
      <c r="J2" s="380"/>
      <c r="K2" s="380"/>
    </row>
    <row r="3" spans="1:12" x14ac:dyDescent="0.25">
      <c r="A3" s="158" t="s">
        <v>126</v>
      </c>
      <c r="B3" s="158" t="s">
        <v>3</v>
      </c>
      <c r="C3" s="158" t="s">
        <v>127</v>
      </c>
      <c r="D3" s="158" t="s">
        <v>128</v>
      </c>
      <c r="E3" s="159" t="s">
        <v>129</v>
      </c>
      <c r="F3" s="159" t="s">
        <v>130</v>
      </c>
      <c r="G3" s="159" t="s">
        <v>131</v>
      </c>
      <c r="H3" s="159" t="s">
        <v>132</v>
      </c>
      <c r="I3" s="159" t="s">
        <v>167</v>
      </c>
      <c r="J3" s="159" t="s">
        <v>133</v>
      </c>
      <c r="K3" s="159" t="s">
        <v>134</v>
      </c>
    </row>
    <row r="4" spans="1:12" x14ac:dyDescent="0.25">
      <c r="A4" s="160">
        <v>46143</v>
      </c>
      <c r="B4" s="12">
        <f>'KM-Servicio'!N11</f>
        <v>4981</v>
      </c>
      <c r="C4" s="12">
        <f>B4</f>
        <v>4981</v>
      </c>
      <c r="D4" s="12">
        <f>'KM-Servicio'!W11</f>
        <v>4916.8200000000006</v>
      </c>
      <c r="E4" s="12">
        <f>D4</f>
        <v>4916.8200000000006</v>
      </c>
      <c r="F4" s="166">
        <f>'KM-Servicio'!O11</f>
        <v>98.711503714113647</v>
      </c>
      <c r="G4" s="167">
        <f>SUM('KM-Servicio'!B11:C11)</f>
        <v>111</v>
      </c>
      <c r="H4" s="167">
        <f>SUM('KM-Servicio'!D11:E11)</f>
        <v>111</v>
      </c>
      <c r="I4" s="12">
        <f>'Oferta Diaria'!C34</f>
        <v>389903.82600000006</v>
      </c>
      <c r="J4" s="315" t="s">
        <v>136</v>
      </c>
      <c r="K4" s="164"/>
      <c r="L4" s="162"/>
    </row>
    <row r="5" spans="1:12" x14ac:dyDescent="0.25">
      <c r="A5" s="160">
        <v>46144</v>
      </c>
      <c r="B5" s="12">
        <f>'KM-Servicio'!N18</f>
        <v>6486</v>
      </c>
      <c r="C5" s="12">
        <f>B5+C4</f>
        <v>11467</v>
      </c>
      <c r="D5" s="12">
        <f>'KM-Servicio'!W18</f>
        <v>6469.5</v>
      </c>
      <c r="E5" s="12">
        <f>D5+E4</f>
        <v>11386.32</v>
      </c>
      <c r="F5" s="166">
        <f>'KM-Servicio'!O18</f>
        <v>99.745605920444035</v>
      </c>
      <c r="G5" s="167">
        <f>SUM('KM-Servicio'!B18:C18)</f>
        <v>147</v>
      </c>
      <c r="H5" s="167">
        <f>SUM('KM-Servicio'!D18:E18)</f>
        <v>147</v>
      </c>
      <c r="I5" s="12">
        <f>'Oferta Diaria'!D34</f>
        <v>513031.35</v>
      </c>
      <c r="J5" s="315" t="s">
        <v>138</v>
      </c>
      <c r="K5" s="164"/>
      <c r="L5" s="162"/>
    </row>
    <row r="6" spans="1:12" x14ac:dyDescent="0.25">
      <c r="A6" s="160">
        <v>46145</v>
      </c>
      <c r="B6" s="12">
        <f>'KM-Servicio'!N25</f>
        <v>4950</v>
      </c>
      <c r="C6" s="12">
        <f t="shared" ref="C6:C33" si="0">B6+C5</f>
        <v>16417</v>
      </c>
      <c r="D6" s="12">
        <f>'KM-Servicio'!W25</f>
        <v>4916.8200000000006</v>
      </c>
      <c r="E6" s="12">
        <f t="shared" ref="E6:E33" si="1">D6+E5</f>
        <v>16303.14</v>
      </c>
      <c r="F6" s="166">
        <f>'KM-Servicio'!O25</f>
        <v>99.329696969696982</v>
      </c>
      <c r="G6" s="167">
        <f>SUM('KM-Servicio'!B25:C25)</f>
        <v>111</v>
      </c>
      <c r="H6" s="167">
        <f>SUM('KM-Servicio'!D25:E25)</f>
        <v>111</v>
      </c>
      <c r="I6" s="12">
        <f>'Oferta Diaria'!E34</f>
        <v>389903.82600000006</v>
      </c>
      <c r="J6" s="315" t="s">
        <v>136</v>
      </c>
      <c r="K6" s="164"/>
      <c r="L6" s="162"/>
    </row>
    <row r="7" spans="1:12" x14ac:dyDescent="0.25">
      <c r="A7" s="160">
        <v>46146</v>
      </c>
      <c r="B7" s="12">
        <f>'KM-Servicio'!N32</f>
        <v>13049</v>
      </c>
      <c r="C7" s="12">
        <f t="shared" si="0"/>
        <v>29466</v>
      </c>
      <c r="D7" s="12">
        <f>'KM-Servicio'!W32</f>
        <v>12362.68</v>
      </c>
      <c r="E7" s="12">
        <f t="shared" si="1"/>
        <v>28665.82</v>
      </c>
      <c r="F7" s="166">
        <f>'KM-Servicio'!O32</f>
        <v>94.740439880450609</v>
      </c>
      <c r="G7" s="167">
        <f>SUM('KM-Servicio'!B32:C32)</f>
        <v>229</v>
      </c>
      <c r="H7" s="167">
        <f>SUM('KM-Servicio'!D32:E32)</f>
        <v>227</v>
      </c>
      <c r="I7" s="12">
        <f>'Oferta Diaria'!F34</f>
        <v>980360.52399999998</v>
      </c>
      <c r="J7" s="161" t="s">
        <v>137</v>
      </c>
      <c r="K7" s="164"/>
      <c r="L7" s="162"/>
    </row>
    <row r="8" spans="1:12" ht="16.5" customHeight="1" x14ac:dyDescent="0.25">
      <c r="A8" s="160">
        <v>46147</v>
      </c>
      <c r="B8" s="12">
        <f>'KM-Servicio'!N39</f>
        <v>13112</v>
      </c>
      <c r="C8" s="12">
        <f t="shared" si="0"/>
        <v>42578</v>
      </c>
      <c r="D8" s="12">
        <f>'KM-Servicio'!W39</f>
        <v>12452.650000000001</v>
      </c>
      <c r="E8" s="12">
        <f t="shared" si="1"/>
        <v>41118.47</v>
      </c>
      <c r="F8" s="166">
        <f>'KM-Servicio'!O39</f>
        <v>94.971400244051267</v>
      </c>
      <c r="G8" s="167">
        <f>SUM('KM-Servicio'!B39:C39)</f>
        <v>229</v>
      </c>
      <c r="H8" s="167">
        <f>SUM('KM-Servicio'!D39:E39)</f>
        <v>229</v>
      </c>
      <c r="I8" s="12">
        <f>'Oferta Diaria'!G34</f>
        <v>987495.14500000014</v>
      </c>
      <c r="J8" s="161" t="s">
        <v>137</v>
      </c>
      <c r="K8" s="176"/>
      <c r="L8" s="162"/>
    </row>
    <row r="9" spans="1:12" x14ac:dyDescent="0.25">
      <c r="A9" s="160">
        <v>46148</v>
      </c>
      <c r="B9" s="312">
        <f>'KM-Servicio'!N46</f>
        <v>12650</v>
      </c>
      <c r="C9" s="312">
        <f t="shared" si="0"/>
        <v>55228</v>
      </c>
      <c r="D9" s="312">
        <f>'KM-Servicio'!W46</f>
        <v>12398.14</v>
      </c>
      <c r="E9" s="312">
        <f t="shared" si="1"/>
        <v>53516.61</v>
      </c>
      <c r="F9" s="313">
        <f>'KM-Servicio'!O46</f>
        <v>98.009011857707506</v>
      </c>
      <c r="G9" s="314">
        <f>SUM('KM-Servicio'!B46:C46)</f>
        <v>229</v>
      </c>
      <c r="H9" s="314">
        <f>SUM('KM-Servicio'!D46:E46)</f>
        <v>227</v>
      </c>
      <c r="I9" s="312">
        <f>'Oferta Diaria'!H34</f>
        <v>983172.50200000009</v>
      </c>
      <c r="J9" s="161" t="s">
        <v>137</v>
      </c>
      <c r="K9" s="316"/>
      <c r="L9" s="162"/>
    </row>
    <row r="10" spans="1:12" x14ac:dyDescent="0.25">
      <c r="A10" s="160">
        <v>46149</v>
      </c>
      <c r="B10" s="312">
        <f>'KM-Servicio'!N55</f>
        <v>12211</v>
      </c>
      <c r="C10" s="312">
        <f t="shared" si="0"/>
        <v>67439</v>
      </c>
      <c r="D10" s="312">
        <f>'KM-Servicio'!W55</f>
        <v>11390.35</v>
      </c>
      <c r="E10" s="312">
        <f t="shared" si="1"/>
        <v>64906.96</v>
      </c>
      <c r="F10" s="313">
        <f>'KM-Servicio'!O55</f>
        <v>93.279420194906237</v>
      </c>
      <c r="G10" s="314">
        <f>SUM('KM-Servicio'!B55:C55)</f>
        <v>229</v>
      </c>
      <c r="H10" s="314">
        <f>SUM('KM-Servicio'!D55:E55)</f>
        <v>193</v>
      </c>
      <c r="I10" s="312">
        <f>'Oferta Diaria'!I34</f>
        <v>900203.29100000032</v>
      </c>
      <c r="J10" s="161" t="s">
        <v>137</v>
      </c>
      <c r="K10" s="317"/>
      <c r="L10" s="162"/>
    </row>
    <row r="11" spans="1:12" x14ac:dyDescent="0.25">
      <c r="A11" s="160">
        <v>46150</v>
      </c>
      <c r="B11" s="312">
        <f>'KM-Servicio'!N62</f>
        <v>12919</v>
      </c>
      <c r="C11" s="312">
        <f t="shared" si="0"/>
        <v>80358</v>
      </c>
      <c r="D11" s="312">
        <f>'KM-Servicio'!W62</f>
        <v>12420.9</v>
      </c>
      <c r="E11" s="312">
        <f t="shared" si="1"/>
        <v>77327.86</v>
      </c>
      <c r="F11" s="313">
        <f>'KM-Servicio'!O62</f>
        <v>96.144438424026617</v>
      </c>
      <c r="G11" s="314">
        <f>SUM('KM-Servicio'!B62:C62)</f>
        <v>229</v>
      </c>
      <c r="H11" s="314">
        <f>SUM('KM-Servicio'!D62:E62)</f>
        <v>229</v>
      </c>
      <c r="I11" s="312">
        <f>'Oferta Diaria'!J34</f>
        <v>984977.37000000023</v>
      </c>
      <c r="J11" s="161" t="s">
        <v>137</v>
      </c>
      <c r="K11" s="316"/>
      <c r="L11" s="162"/>
    </row>
    <row r="12" spans="1:12" x14ac:dyDescent="0.25">
      <c r="A12" s="160">
        <v>46151</v>
      </c>
      <c r="B12" s="12">
        <f>'KM-Servicio'!N69</f>
        <v>6702</v>
      </c>
      <c r="C12" s="12">
        <f t="shared" si="0"/>
        <v>87060</v>
      </c>
      <c r="D12" s="12">
        <f>'KM-Servicio'!W69</f>
        <v>6469.5</v>
      </c>
      <c r="E12" s="12">
        <f t="shared" si="1"/>
        <v>83797.36</v>
      </c>
      <c r="F12" s="166">
        <f>'KM-Servicio'!O69</f>
        <v>96.530886302596244</v>
      </c>
      <c r="G12" s="167">
        <f>SUM('KM-Servicio'!B69:C69)</f>
        <v>147</v>
      </c>
      <c r="H12" s="167">
        <f>SUM('KM-Servicio'!D69:E69)</f>
        <v>147</v>
      </c>
      <c r="I12" s="12">
        <f>'Oferta Diaria'!K34</f>
        <v>513031.35</v>
      </c>
      <c r="J12" s="315" t="s">
        <v>138</v>
      </c>
      <c r="K12" s="164"/>
      <c r="L12" s="162"/>
    </row>
    <row r="13" spans="1:12" x14ac:dyDescent="0.25">
      <c r="A13" s="160">
        <v>46152</v>
      </c>
      <c r="B13" s="12">
        <f>'KM-Servicio'!N76</f>
        <v>4984</v>
      </c>
      <c r="C13" s="12">
        <f t="shared" si="0"/>
        <v>92044</v>
      </c>
      <c r="D13" s="12">
        <f>'KM-Servicio'!W76</f>
        <v>4916.8200000000006</v>
      </c>
      <c r="E13" s="12">
        <f t="shared" si="1"/>
        <v>88714.180000000008</v>
      </c>
      <c r="F13" s="166">
        <f>'KM-Servicio'!O76</f>
        <v>98.652086677367592</v>
      </c>
      <c r="G13" s="167">
        <f>SUM('KM-Servicio'!B76:C76)</f>
        <v>111</v>
      </c>
      <c r="H13" s="167">
        <f>SUM('KM-Servicio'!D76:E76)</f>
        <v>111</v>
      </c>
      <c r="I13" s="12">
        <f>'Oferta Diaria'!L34</f>
        <v>389903.82600000006</v>
      </c>
      <c r="J13" s="315" t="s">
        <v>136</v>
      </c>
      <c r="K13" s="164"/>
      <c r="L13" s="162"/>
    </row>
    <row r="14" spans="1:12" x14ac:dyDescent="0.25">
      <c r="A14" s="160">
        <v>46153</v>
      </c>
      <c r="B14" s="12">
        <f>'KM-Servicio'!N83</f>
        <v>12984</v>
      </c>
      <c r="C14" s="12">
        <f t="shared" si="0"/>
        <v>105028</v>
      </c>
      <c r="D14" s="12">
        <f>'KM-Servicio'!W83</f>
        <v>12467.990000000002</v>
      </c>
      <c r="E14" s="12">
        <f t="shared" si="1"/>
        <v>101182.17000000001</v>
      </c>
      <c r="F14" s="166">
        <f>'KM-Servicio'!O83</f>
        <v>96.025800985828724</v>
      </c>
      <c r="G14" s="167">
        <f>SUM('KM-Servicio'!B83:C83)</f>
        <v>229</v>
      </c>
      <c r="H14" s="167">
        <f>SUM('KM-Servicio'!D83:E83)</f>
        <v>229</v>
      </c>
      <c r="I14" s="12">
        <f>'Oferta Diaria'!M34</f>
        <v>988711.60700000008</v>
      </c>
      <c r="J14" s="161" t="s">
        <v>137</v>
      </c>
      <c r="K14" s="164"/>
      <c r="L14" s="162"/>
    </row>
    <row r="15" spans="1:12" x14ac:dyDescent="0.25">
      <c r="A15" s="160">
        <v>46154</v>
      </c>
      <c r="B15" s="12">
        <f>'KM-Servicio'!N90</f>
        <v>12900</v>
      </c>
      <c r="C15" s="12">
        <f t="shared" si="0"/>
        <v>117928</v>
      </c>
      <c r="D15" s="12">
        <f>'KM-Servicio'!W90</f>
        <v>12367.710000000001</v>
      </c>
      <c r="E15" s="12">
        <f t="shared" si="1"/>
        <v>113549.88000000002</v>
      </c>
      <c r="F15" s="166">
        <f>'KM-Servicio'!O90</f>
        <v>95.873720930232565</v>
      </c>
      <c r="G15" s="167">
        <f>SUM('KM-Servicio'!B90:C90)</f>
        <v>229</v>
      </c>
      <c r="H15" s="167">
        <f>SUM('KM-Servicio'!D90:E90)</f>
        <v>229</v>
      </c>
      <c r="I15" s="12">
        <f>'Oferta Diaria'!N34</f>
        <v>980759.40300000017</v>
      </c>
      <c r="J15" s="161" t="s">
        <v>137</v>
      </c>
      <c r="K15" s="164"/>
      <c r="L15" s="162"/>
    </row>
    <row r="16" spans="1:12" ht="16.5" customHeight="1" x14ac:dyDescent="0.25">
      <c r="A16" s="160">
        <v>46155</v>
      </c>
      <c r="B16" s="312">
        <f>'KM-Servicio'!N97</f>
        <v>12976</v>
      </c>
      <c r="C16" s="312">
        <f t="shared" si="0"/>
        <v>130904</v>
      </c>
      <c r="D16" s="312">
        <f>'KM-Servicio'!W97</f>
        <v>12438.63</v>
      </c>
      <c r="E16" s="312">
        <f t="shared" si="1"/>
        <v>125988.51000000002</v>
      </c>
      <c r="F16" s="313">
        <f>'KM-Servicio'!O97</f>
        <v>95.8587392108508</v>
      </c>
      <c r="G16" s="314">
        <f>SUM('KM-Servicio'!B97:C97)</f>
        <v>229</v>
      </c>
      <c r="H16" s="314">
        <f>SUM('KM-Servicio'!D97:E97)</f>
        <v>229</v>
      </c>
      <c r="I16" s="312">
        <f>'Oferta Diaria'!O34</f>
        <v>986383.35900000017</v>
      </c>
      <c r="J16" s="161" t="s">
        <v>137</v>
      </c>
      <c r="K16" s="316"/>
      <c r="L16" s="162"/>
    </row>
    <row r="17" spans="1:12" x14ac:dyDescent="0.25">
      <c r="A17" s="160">
        <v>46156</v>
      </c>
      <c r="B17" s="312">
        <f>'KM-Servicio'!N104</f>
        <v>13125</v>
      </c>
      <c r="C17" s="312">
        <f t="shared" si="0"/>
        <v>144029</v>
      </c>
      <c r="D17" s="312">
        <f>'KM-Servicio'!W104</f>
        <v>12521.180000000002</v>
      </c>
      <c r="E17" s="312">
        <f t="shared" si="1"/>
        <v>138509.69000000003</v>
      </c>
      <c r="F17" s="313">
        <f>'KM-Servicio'!O104</f>
        <v>95.399466666666683</v>
      </c>
      <c r="G17" s="314">
        <f>SUM('KM-Servicio'!B104:C104)</f>
        <v>229</v>
      </c>
      <c r="H17" s="314">
        <f>SUM('KM-Servicio'!D104:E104)</f>
        <v>229</v>
      </c>
      <c r="I17" s="312">
        <f>'Oferta Diaria'!P34</f>
        <v>992929.57400000002</v>
      </c>
      <c r="J17" s="161" t="s">
        <v>137</v>
      </c>
      <c r="K17" s="316"/>
      <c r="L17" s="162"/>
    </row>
    <row r="18" spans="1:12" x14ac:dyDescent="0.25">
      <c r="A18" s="160">
        <v>46157</v>
      </c>
      <c r="B18" s="12">
        <f>'KM-Servicio'!N111</f>
        <v>13020</v>
      </c>
      <c r="C18" s="12">
        <f t="shared" si="0"/>
        <v>157049</v>
      </c>
      <c r="D18" s="12">
        <f>'KM-Servicio'!W111</f>
        <v>12574.37</v>
      </c>
      <c r="E18" s="12">
        <f t="shared" si="1"/>
        <v>151084.06000000003</v>
      </c>
      <c r="F18" s="166">
        <f>'KM-Servicio'!O111</f>
        <v>96.577342549923202</v>
      </c>
      <c r="G18" s="167">
        <f>SUM('KM-Servicio'!B111:C111)</f>
        <v>229</v>
      </c>
      <c r="H18" s="167">
        <f>SUM('KM-Servicio'!D111:E111)</f>
        <v>229</v>
      </c>
      <c r="I18" s="12">
        <f>'Oferta Diaria'!Q34</f>
        <v>997147.5410000002</v>
      </c>
      <c r="J18" s="161" t="s">
        <v>137</v>
      </c>
      <c r="K18" s="164"/>
      <c r="L18" s="162"/>
    </row>
    <row r="19" spans="1:12" ht="14.25" customHeight="1" x14ac:dyDescent="0.25">
      <c r="A19" s="160">
        <v>46158</v>
      </c>
      <c r="B19" s="12">
        <f>'KM-Servicio'!$N$118</f>
        <v>6569</v>
      </c>
      <c r="C19" s="12">
        <f t="shared" si="0"/>
        <v>163618</v>
      </c>
      <c r="D19" s="12">
        <f>'KM-Servicio'!$W$118</f>
        <v>6469.5</v>
      </c>
      <c r="E19" s="12">
        <f t="shared" si="1"/>
        <v>157553.56000000003</v>
      </c>
      <c r="F19" s="166">
        <f>'KM-Servicio'!O118</f>
        <v>98.485309788400059</v>
      </c>
      <c r="G19" s="167">
        <f>SUM('KM-Servicio'!B118:C118)</f>
        <v>147</v>
      </c>
      <c r="H19" s="167">
        <f>SUM('KM-Servicio'!D118:E118)</f>
        <v>147</v>
      </c>
      <c r="I19" s="12">
        <f>'Oferta Diaria'!R34</f>
        <v>513031.35</v>
      </c>
      <c r="J19" s="315" t="s">
        <v>138</v>
      </c>
      <c r="K19" s="144"/>
    </row>
    <row r="20" spans="1:12" x14ac:dyDescent="0.25">
      <c r="A20" s="160">
        <v>46159</v>
      </c>
      <c r="B20" s="12">
        <f>'KM-Servicio'!$N$125</f>
        <v>5005</v>
      </c>
      <c r="C20" s="12">
        <f t="shared" si="0"/>
        <v>168623</v>
      </c>
      <c r="D20" s="12">
        <f>'KM-Servicio'!$W$125</f>
        <v>4916.8200000000006</v>
      </c>
      <c r="E20" s="12">
        <f t="shared" si="1"/>
        <v>162470.38000000003</v>
      </c>
      <c r="F20" s="166">
        <f>'KM-Servicio'!O125</f>
        <v>98.238161838161858</v>
      </c>
      <c r="G20" s="167">
        <f>SUM('KM-Servicio'!B125:C125)</f>
        <v>111</v>
      </c>
      <c r="H20" s="167">
        <f>SUM('KM-Servicio'!D125:E125)</f>
        <v>111</v>
      </c>
      <c r="I20" s="12">
        <f>'Oferta Diaria'!S34</f>
        <v>389903.82600000006</v>
      </c>
      <c r="J20" s="315" t="s">
        <v>136</v>
      </c>
      <c r="K20" s="164"/>
      <c r="L20" s="162"/>
    </row>
    <row r="21" spans="1:12" x14ac:dyDescent="0.25">
      <c r="A21" s="160">
        <v>46160</v>
      </c>
      <c r="B21" s="12">
        <f>'KM-Servicio'!N132</f>
        <v>12820</v>
      </c>
      <c r="C21" s="12">
        <f t="shared" si="0"/>
        <v>181443</v>
      </c>
      <c r="D21" s="12">
        <f>'KM-Servicio'!$W$132</f>
        <v>12240.960000000001</v>
      </c>
      <c r="E21" s="12">
        <f t="shared" si="1"/>
        <v>174711.34000000003</v>
      </c>
      <c r="F21" s="166">
        <f>'KM-Servicio'!O132</f>
        <v>95.483307332293293</v>
      </c>
      <c r="G21" s="167">
        <f>SUM('KM-Servicio'!B132:C132)</f>
        <v>229</v>
      </c>
      <c r="H21" s="167">
        <f>SUM('KM-Servicio'!D132:E132)</f>
        <v>229</v>
      </c>
      <c r="I21" s="12">
        <f>'Oferta Diaria'!T34</f>
        <v>970708.12800000003</v>
      </c>
      <c r="J21" s="161" t="s">
        <v>137</v>
      </c>
      <c r="K21" s="164"/>
      <c r="L21" s="162"/>
    </row>
    <row r="22" spans="1:12" x14ac:dyDescent="0.25">
      <c r="A22" s="160">
        <v>46161</v>
      </c>
      <c r="B22" s="12">
        <f>'KM-Servicio'!N139</f>
        <v>12744</v>
      </c>
      <c r="C22" s="12">
        <f t="shared" si="0"/>
        <v>194187</v>
      </c>
      <c r="D22" s="12">
        <f>'KM-Servicio'!$W$139</f>
        <v>12330.930000000002</v>
      </c>
      <c r="E22" s="12">
        <f t="shared" si="1"/>
        <v>187042.27000000002</v>
      </c>
      <c r="F22" s="171">
        <f>'KM-Servicio'!O139</f>
        <v>96.758709981167627</v>
      </c>
      <c r="G22" s="167">
        <f>SUM('KM-Servicio'!B139:C139)</f>
        <v>229</v>
      </c>
      <c r="H22" s="167">
        <f>SUM('KM-Servicio'!D139:E139)</f>
        <v>229</v>
      </c>
      <c r="I22" s="12">
        <f>'Oferta Diaria'!U34</f>
        <v>977842.74899999995</v>
      </c>
      <c r="J22" s="161" t="s">
        <v>137</v>
      </c>
      <c r="K22" s="164"/>
      <c r="L22" s="162"/>
    </row>
    <row r="23" spans="1:12" x14ac:dyDescent="0.25">
      <c r="A23" s="160">
        <v>46162</v>
      </c>
      <c r="B23" s="312">
        <f>'KM-Servicio'!N146</f>
        <v>12836</v>
      </c>
      <c r="C23" s="312">
        <f t="shared" si="0"/>
        <v>207023</v>
      </c>
      <c r="D23" s="312">
        <f>'KM-Servicio'!$W$146</f>
        <v>12297.860000000002</v>
      </c>
      <c r="E23" s="312">
        <f t="shared" si="1"/>
        <v>199340.13000000003</v>
      </c>
      <c r="F23" s="313">
        <f>'KM-Servicio'!O146</f>
        <v>95.80757245247743</v>
      </c>
      <c r="G23" s="314">
        <f>SUM('KM-Servicio'!B146:C146)</f>
        <v>229</v>
      </c>
      <c r="H23" s="314">
        <f>SUM('KM-Servicio'!D146:E146)</f>
        <v>229</v>
      </c>
      <c r="I23" s="312">
        <f>'Oferta Diaria'!V34</f>
        <v>975220.29800000007</v>
      </c>
      <c r="J23" s="161" t="s">
        <v>137</v>
      </c>
      <c r="K23" s="316"/>
      <c r="L23" s="162"/>
    </row>
    <row r="24" spans="1:12" x14ac:dyDescent="0.25">
      <c r="A24" s="160">
        <v>46163</v>
      </c>
      <c r="B24" s="312">
        <f>'KM-Servicio'!N153</f>
        <v>6349</v>
      </c>
      <c r="C24" s="312">
        <f t="shared" si="0"/>
        <v>213372</v>
      </c>
      <c r="D24" s="312">
        <f>'KM-Servicio'!$W$153</f>
        <v>6106.73</v>
      </c>
      <c r="E24" s="312">
        <f t="shared" si="1"/>
        <v>205446.86000000004</v>
      </c>
      <c r="F24" s="313">
        <f>'KM-Servicio'!O153</f>
        <v>96.184123484013227</v>
      </c>
      <c r="G24" s="314">
        <f>SUM('KM-Servicio'!B153:C153)</f>
        <v>111</v>
      </c>
      <c r="H24" s="314">
        <f>SUM('KM-Servicio'!D153:E153)</f>
        <v>111</v>
      </c>
      <c r="I24" s="312">
        <f>'Oferta Diaria'!W34</f>
        <v>484263.68900000001</v>
      </c>
      <c r="J24" s="315" t="s">
        <v>136</v>
      </c>
      <c r="K24" s="316"/>
      <c r="L24" s="162"/>
    </row>
    <row r="25" spans="1:12" x14ac:dyDescent="0.25">
      <c r="A25" s="160">
        <v>46164</v>
      </c>
      <c r="B25" s="12">
        <f>'KM-Servicio'!N160</f>
        <v>12975</v>
      </c>
      <c r="C25" s="12">
        <f t="shared" si="0"/>
        <v>226347</v>
      </c>
      <c r="D25" s="12">
        <f>'KM-Servicio'!$W$160</f>
        <v>12399.460000000001</v>
      </c>
      <c r="E25" s="12">
        <f t="shared" si="1"/>
        <v>217846.32000000004</v>
      </c>
      <c r="F25" s="166">
        <f>'KM-Servicio'!O160</f>
        <v>95.56423892100193</v>
      </c>
      <c r="G25" s="167">
        <f>SUM('KM-Servicio'!B160:C160)</f>
        <v>229</v>
      </c>
      <c r="H25" s="167">
        <f>SUM('KM-Servicio'!D160:E160)</f>
        <v>229</v>
      </c>
      <c r="I25" s="12">
        <f>'Oferta Diaria'!X34</f>
        <v>983277.17800000007</v>
      </c>
      <c r="J25" s="161" t="s">
        <v>137</v>
      </c>
      <c r="K25" s="164"/>
      <c r="L25" s="162"/>
    </row>
    <row r="26" spans="1:12" x14ac:dyDescent="0.25">
      <c r="A26" s="160">
        <v>46165</v>
      </c>
      <c r="B26" s="12">
        <f>'KM-Servicio'!N167</f>
        <v>6547</v>
      </c>
      <c r="C26" s="12">
        <f t="shared" si="0"/>
        <v>232894</v>
      </c>
      <c r="D26" s="12">
        <f>'KM-Servicio'!$W$167</f>
        <v>6469.5</v>
      </c>
      <c r="E26" s="12">
        <f t="shared" si="1"/>
        <v>224315.82000000004</v>
      </c>
      <c r="F26" s="166">
        <f>'KM-Servicio'!O167</f>
        <v>98.81625171834429</v>
      </c>
      <c r="G26" s="167">
        <f>SUM('KM-Servicio'!B167:C167)</f>
        <v>147</v>
      </c>
      <c r="H26" s="167">
        <f>SUM('KM-Servicio'!D167:E167)</f>
        <v>147</v>
      </c>
      <c r="I26" s="12">
        <f>'Oferta Diaria'!Y34</f>
        <v>513031.35</v>
      </c>
      <c r="J26" s="315" t="s">
        <v>138</v>
      </c>
      <c r="K26" s="164"/>
      <c r="L26" s="162"/>
    </row>
    <row r="27" spans="1:12" x14ac:dyDescent="0.25">
      <c r="A27" s="160">
        <v>46166</v>
      </c>
      <c r="B27" s="12">
        <f>'KM-Servicio'!N174</f>
        <v>5004</v>
      </c>
      <c r="C27" s="12">
        <f t="shared" si="0"/>
        <v>237898</v>
      </c>
      <c r="D27" s="12">
        <f>'KM-Servicio'!$W$174</f>
        <v>4854.6900000000005</v>
      </c>
      <c r="E27" s="12">
        <f t="shared" si="1"/>
        <v>229170.51000000004</v>
      </c>
      <c r="F27" s="166">
        <f>'KM-Servicio'!O174</f>
        <v>97.016187050359719</v>
      </c>
      <c r="G27" s="167">
        <f>SUM('KM-Servicio'!B174:C174)</f>
        <v>111</v>
      </c>
      <c r="H27" s="167">
        <f>SUM('KM-Servicio'!D174:E174)</f>
        <v>111</v>
      </c>
      <c r="I27" s="12">
        <f>'Oferta Diaria'!Z34</f>
        <v>384976.91700000002</v>
      </c>
      <c r="J27" s="315" t="s">
        <v>136</v>
      </c>
      <c r="K27" s="164"/>
      <c r="L27" s="162"/>
    </row>
    <row r="28" spans="1:12" x14ac:dyDescent="0.25">
      <c r="A28" s="160">
        <v>46167</v>
      </c>
      <c r="B28" s="312">
        <f>'KM-Servicio'!N181</f>
        <v>12602</v>
      </c>
      <c r="C28" s="312">
        <f t="shared" si="0"/>
        <v>250500</v>
      </c>
      <c r="D28" s="312">
        <f>'KM-Servicio'!$W$181</f>
        <v>12299.18</v>
      </c>
      <c r="E28" s="312">
        <f t="shared" si="1"/>
        <v>241469.69000000003</v>
      </c>
      <c r="F28" s="313">
        <f>'KM-Servicio'!O181</f>
        <v>97.597048087605145</v>
      </c>
      <c r="G28" s="314">
        <f>SUM('KM-Servicio'!B181:C181)</f>
        <v>229</v>
      </c>
      <c r="H28" s="314">
        <f>SUM('KM-Servicio'!D181:E181)</f>
        <v>229</v>
      </c>
      <c r="I28" s="312">
        <f>'Oferta Diaria'!AA34</f>
        <v>975324.97400000016</v>
      </c>
      <c r="J28" s="161" t="s">
        <v>137</v>
      </c>
      <c r="K28" s="316"/>
      <c r="L28" s="162"/>
    </row>
    <row r="29" spans="1:12" x14ac:dyDescent="0.25">
      <c r="A29" s="160">
        <v>46168</v>
      </c>
      <c r="B29" s="12">
        <f>'KM-Servicio'!N188</f>
        <v>12923</v>
      </c>
      <c r="C29" s="12">
        <f t="shared" si="0"/>
        <v>263423</v>
      </c>
      <c r="D29" s="12">
        <f>'KM-Servicio'!$W$188</f>
        <v>12485.720000000001</v>
      </c>
      <c r="E29" s="12">
        <f t="shared" si="1"/>
        <v>253955.41000000003</v>
      </c>
      <c r="F29" s="166">
        <f>'KM-Servicio'!O188</f>
        <v>96.616265573009372</v>
      </c>
      <c r="G29" s="167">
        <f>SUM('KM-Servicio'!B188:C188)</f>
        <v>229</v>
      </c>
      <c r="H29" s="167">
        <f>SUM('KM-Servicio'!D188:E188)</f>
        <v>229</v>
      </c>
      <c r="I29" s="12">
        <f>'Oferta Diaria'!AB34</f>
        <v>990117.59600000025</v>
      </c>
      <c r="J29" s="161" t="s">
        <v>137</v>
      </c>
      <c r="K29" s="164"/>
      <c r="L29" s="162"/>
    </row>
    <row r="30" spans="1:12" x14ac:dyDescent="0.25">
      <c r="A30" s="160">
        <v>46169</v>
      </c>
      <c r="B30" s="312">
        <f>'KM-Servicio'!N195</f>
        <v>12906</v>
      </c>
      <c r="C30" s="312">
        <f t="shared" si="0"/>
        <v>276329</v>
      </c>
      <c r="D30" s="312">
        <f>'KM-Servicio'!$W$195</f>
        <v>12385.440000000002</v>
      </c>
      <c r="E30" s="312">
        <f t="shared" si="1"/>
        <v>266340.85000000003</v>
      </c>
      <c r="F30" s="313">
        <f>'KM-Servicio'!O195</f>
        <v>95.966527196652734</v>
      </c>
      <c r="G30" s="314">
        <f>SUM('KM-Servicio'!B195:C195)</f>
        <v>229</v>
      </c>
      <c r="H30" s="314">
        <f>SUM('KM-Servicio'!D195:E195)</f>
        <v>229</v>
      </c>
      <c r="I30" s="312">
        <f>'Oferta Diaria'!AC34</f>
        <v>982165.39199999999</v>
      </c>
      <c r="J30" s="161" t="s">
        <v>137</v>
      </c>
      <c r="K30" s="316"/>
      <c r="L30" s="162"/>
    </row>
    <row r="31" spans="1:12" x14ac:dyDescent="0.25">
      <c r="A31" s="160">
        <v>46170</v>
      </c>
      <c r="B31" s="312">
        <f>'KM-Servicio'!N202</f>
        <v>12879</v>
      </c>
      <c r="C31" s="312">
        <f t="shared" si="0"/>
        <v>289208</v>
      </c>
      <c r="D31" s="312">
        <f>'KM-Servicio'!$W$202</f>
        <v>12420.900000000001</v>
      </c>
      <c r="E31" s="312">
        <f t="shared" si="1"/>
        <v>278761.75000000006</v>
      </c>
      <c r="F31" s="313">
        <f>'KM-Servicio'!O202</f>
        <v>96.443046820405314</v>
      </c>
      <c r="G31" s="314">
        <f>SUM('KM-Servicio'!B202:C202)</f>
        <v>229</v>
      </c>
      <c r="H31" s="314">
        <f>SUM('KM-Servicio'!D202:E202)</f>
        <v>229</v>
      </c>
      <c r="I31" s="312">
        <f>'Oferta Diaria'!AD34</f>
        <v>984977.37000000011</v>
      </c>
      <c r="J31" s="161" t="s">
        <v>137</v>
      </c>
      <c r="K31" s="316"/>
      <c r="L31" s="163"/>
    </row>
    <row r="32" spans="1:12" x14ac:dyDescent="0.25">
      <c r="A32" s="160">
        <v>46171</v>
      </c>
      <c r="B32" s="312">
        <f>'KM-Servicio'!N209</f>
        <v>12885</v>
      </c>
      <c r="C32" s="312">
        <f t="shared" si="0"/>
        <v>302093</v>
      </c>
      <c r="D32" s="12">
        <f>'KM-Servicio'!W209</f>
        <v>12420.900000000001</v>
      </c>
      <c r="E32" s="312">
        <f t="shared" si="1"/>
        <v>291182.65000000008</v>
      </c>
      <c r="F32" s="313">
        <f>'KM-Servicio'!O209</f>
        <v>96.398137369033776</v>
      </c>
      <c r="G32" s="167">
        <f>'KM-Servicio'!B209+'KM-Servicio'!C209</f>
        <v>229</v>
      </c>
      <c r="H32" s="167">
        <f>'KM-Servicio'!D209+'KM-Servicio'!E209</f>
        <v>229</v>
      </c>
      <c r="I32" s="12">
        <f>'Oferta Diaria'!AE34</f>
        <v>984977.37000000011</v>
      </c>
      <c r="J32" s="161" t="s">
        <v>137</v>
      </c>
      <c r="K32" s="164"/>
      <c r="L32" s="163"/>
    </row>
    <row r="33" spans="1:14" x14ac:dyDescent="0.25">
      <c r="A33" s="160">
        <v>46172</v>
      </c>
      <c r="B33" s="312">
        <f>'KM-Servicio'!N216</f>
        <v>6576</v>
      </c>
      <c r="C33" s="312">
        <f t="shared" si="0"/>
        <v>308669</v>
      </c>
      <c r="D33" s="12">
        <f>'KM-Servicio'!W216</f>
        <v>6512.63</v>
      </c>
      <c r="E33" s="312">
        <f t="shared" si="1"/>
        <v>297695.28000000009</v>
      </c>
      <c r="F33" s="166">
        <f>'KM-Servicio'!O46</f>
        <v>98.009011857707506</v>
      </c>
      <c r="G33" s="167">
        <f>'KM-Servicio'!B216+'KM-Servicio'!C216</f>
        <v>147</v>
      </c>
      <c r="H33" s="167">
        <f>'KM-Servicio'!D216+'KM-Servicio'!E216</f>
        <v>147</v>
      </c>
      <c r="I33" s="12">
        <f>'Oferta Diaria'!AF34</f>
        <v>516451.55900000001</v>
      </c>
      <c r="J33" s="315" t="s">
        <v>138</v>
      </c>
      <c r="K33" s="164"/>
      <c r="L33" s="163"/>
      <c r="M33" s="245"/>
      <c r="N33" s="245"/>
    </row>
    <row r="34" spans="1:14" x14ac:dyDescent="0.25">
      <c r="A34" s="160">
        <v>46173</v>
      </c>
      <c r="B34" s="12">
        <f>'KM-Servicio'!N223</f>
        <v>4943</v>
      </c>
      <c r="C34" s="12">
        <f t="shared" ref="C34" si="2">B34+C33</f>
        <v>313612</v>
      </c>
      <c r="D34" s="12">
        <f>'KM-Servicio'!W223</f>
        <v>4916.8200000000006</v>
      </c>
      <c r="E34" s="12">
        <f t="shared" ref="E34" si="3">D34+E33</f>
        <v>302612.10000000009</v>
      </c>
      <c r="F34" s="171">
        <f>'KM-Servicio'!O223</f>
        <v>99.470362128262195</v>
      </c>
      <c r="G34" s="167">
        <f>'KM-Servicio'!B223+'KM-Servicio'!C223</f>
        <v>111</v>
      </c>
      <c r="H34" s="167">
        <f>'KM-Servicio'!D223+'KM-Servicio'!E223</f>
        <v>111</v>
      </c>
      <c r="I34" s="12">
        <f>'Oferta Diaria'!AG34</f>
        <v>389903.82600000006</v>
      </c>
      <c r="J34" s="315" t="s">
        <v>136</v>
      </c>
      <c r="K34" s="164"/>
      <c r="L34" s="163"/>
      <c r="M34" s="245"/>
      <c r="N34" s="245"/>
    </row>
    <row r="35" spans="1:14" x14ac:dyDescent="0.25">
      <c r="A35" s="160"/>
      <c r="B35" s="12"/>
      <c r="C35" s="12"/>
      <c r="D35" s="12"/>
      <c r="E35" s="12"/>
      <c r="F35" s="166"/>
      <c r="G35" s="167"/>
      <c r="H35" s="167"/>
      <c r="I35" s="12"/>
      <c r="J35" s="175"/>
      <c r="K35" s="164"/>
      <c r="L35" s="163"/>
      <c r="M35" s="245"/>
      <c r="N35" s="245"/>
    </row>
    <row r="36" spans="1:14" x14ac:dyDescent="0.25">
      <c r="A36" s="168" t="s">
        <v>135</v>
      </c>
      <c r="B36" s="169">
        <f>SUM(B4:B34)</f>
        <v>313612</v>
      </c>
      <c r="C36" s="169">
        <f>SUM(C4:C34)</f>
        <v>4971215</v>
      </c>
      <c r="D36" s="169">
        <f>SUM(D4:D34)</f>
        <v>302612.10000000009</v>
      </c>
      <c r="E36" s="169">
        <f>SUM(E4:E34)</f>
        <v>4790882.7700000014</v>
      </c>
      <c r="F36" s="170">
        <f>AVERAGE(F4:F34)</f>
        <v>96.86141361702451</v>
      </c>
      <c r="G36" s="169">
        <f>SUM(G4:G34)</f>
        <v>5863</v>
      </c>
      <c r="H36" s="169">
        <f>SUM(H4:H34)</f>
        <v>5823</v>
      </c>
      <c r="I36" s="169">
        <f>SUM(I4:I34)</f>
        <v>23994088.066000007</v>
      </c>
      <c r="J36" s="30"/>
      <c r="K36" s="168"/>
      <c r="L36" s="245"/>
      <c r="M36" s="245"/>
      <c r="N36" s="245"/>
    </row>
    <row r="40" spans="1:14" x14ac:dyDescent="0.25">
      <c r="F40" s="162"/>
    </row>
  </sheetData>
  <mergeCells count="1">
    <mergeCell ref="A2:K2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O74"/>
  <sheetViews>
    <sheetView workbookViewId="0">
      <selection activeCell="F39" sqref="F39"/>
    </sheetView>
  </sheetViews>
  <sheetFormatPr baseColWidth="10" defaultColWidth="11.5703125" defaultRowHeight="15" x14ac:dyDescent="0.25"/>
  <cols>
    <col min="1" max="1" width="22.140625" customWidth="1"/>
    <col min="2" max="2" width="18" customWidth="1"/>
    <col min="3" max="4" width="14.7109375" customWidth="1"/>
  </cols>
  <sheetData>
    <row r="2" spans="1:15" ht="15.75" thickBot="1" x14ac:dyDescent="0.3"/>
    <row r="3" spans="1:15" ht="15.75" thickBot="1" x14ac:dyDescent="0.3">
      <c r="A3" s="382" t="s">
        <v>98</v>
      </c>
      <c r="B3" s="383"/>
      <c r="C3" s="383"/>
      <c r="D3" s="384"/>
    </row>
    <row r="4" spans="1:15" x14ac:dyDescent="0.25">
      <c r="A4" s="96" t="s">
        <v>99</v>
      </c>
      <c r="B4" s="97" t="s">
        <v>100</v>
      </c>
      <c r="C4" s="98" t="s">
        <v>54</v>
      </c>
      <c r="D4" s="98" t="s">
        <v>101</v>
      </c>
    </row>
    <row r="5" spans="1:15" x14ac:dyDescent="0.25">
      <c r="A5" s="34" t="s">
        <v>102</v>
      </c>
      <c r="B5" s="129">
        <f>C5/30</f>
        <v>251.43333333333334</v>
      </c>
      <c r="C5" s="130">
        <f>'KM-Servicio'!J241</f>
        <v>7543</v>
      </c>
      <c r="D5" s="130">
        <f>'KM-Servicio'!C236</f>
        <v>7618</v>
      </c>
    </row>
    <row r="6" spans="1:15" x14ac:dyDescent="0.25">
      <c r="A6" s="34" t="s">
        <v>103</v>
      </c>
      <c r="B6" s="129">
        <f>C6/30</f>
        <v>194.1</v>
      </c>
      <c r="C6" s="130">
        <f>'KM-Servicio'!K234</f>
        <v>5823</v>
      </c>
      <c r="D6" s="130">
        <f>'KM-Servicio'!D234</f>
        <v>5863</v>
      </c>
    </row>
    <row r="7" spans="1:15" x14ac:dyDescent="0.25">
      <c r="A7" s="34" t="s">
        <v>66</v>
      </c>
      <c r="B7" s="129">
        <f>C7/30</f>
        <v>10165.108666666669</v>
      </c>
      <c r="C7" s="130">
        <f>'KM-Servicio'!M234</f>
        <v>304953.26000000007</v>
      </c>
      <c r="D7" s="130">
        <f>'KM-Servicio'!F234</f>
        <v>307504.74000000011</v>
      </c>
    </row>
    <row r="8" spans="1:15" x14ac:dyDescent="0.25">
      <c r="A8" s="34" t="s">
        <v>104</v>
      </c>
      <c r="B8" s="129">
        <f>C8/30</f>
        <v>7733.4473333333335</v>
      </c>
      <c r="C8" s="130">
        <f>'KM-Servicio'!L234</f>
        <v>232003.42</v>
      </c>
      <c r="D8" s="130">
        <f>'KM-Servicio'!E234</f>
        <v>233409.87</v>
      </c>
    </row>
    <row r="9" spans="1:15" x14ac:dyDescent="0.25">
      <c r="A9" s="34" t="s">
        <v>105</v>
      </c>
      <c r="B9" s="129">
        <f>C9/30</f>
        <v>1057171.3013333336</v>
      </c>
      <c r="C9" s="130">
        <f>'KM-Servicio'!N234</f>
        <v>31715139.040000007</v>
      </c>
      <c r="D9" s="130">
        <f>'KM-Servicio'!G234</f>
        <v>31980492.960000008</v>
      </c>
    </row>
    <row r="10" spans="1:15" x14ac:dyDescent="0.25">
      <c r="A10" s="34" t="s">
        <v>106</v>
      </c>
      <c r="B10" s="129"/>
      <c r="C10" s="131"/>
      <c r="J10" s="101"/>
    </row>
    <row r="11" spans="1:15" x14ac:dyDescent="0.25">
      <c r="A11" s="34" t="s">
        <v>107</v>
      </c>
      <c r="B11" s="129">
        <f>C11/30</f>
        <v>40531.73333333333</v>
      </c>
      <c r="C11" s="199">
        <v>1215952</v>
      </c>
      <c r="D11" s="132" t="s">
        <v>145</v>
      </c>
      <c r="E11" s="99"/>
      <c r="H11" s="101"/>
      <c r="I11" s="101"/>
      <c r="J11" s="101"/>
      <c r="K11" s="101"/>
      <c r="L11" s="104"/>
      <c r="M11" s="100"/>
      <c r="N11" s="100"/>
    </row>
    <row r="12" spans="1:15" ht="15.75" thickBot="1" x14ac:dyDescent="0.3">
      <c r="A12" s="34" t="s">
        <v>108</v>
      </c>
      <c r="B12" s="132"/>
      <c r="C12" s="129"/>
      <c r="D12" s="132"/>
      <c r="F12" s="100"/>
      <c r="G12" s="101"/>
      <c r="H12" s="101"/>
      <c r="I12" s="101"/>
      <c r="J12" s="101"/>
    </row>
    <row r="13" spans="1:15" ht="15.75" thickBot="1" x14ac:dyDescent="0.3">
      <c r="A13" s="385" t="s">
        <v>109</v>
      </c>
      <c r="B13" s="386"/>
      <c r="C13" s="386"/>
      <c r="D13" s="387"/>
      <c r="F13" s="140"/>
      <c r="G13" s="141"/>
      <c r="H13" s="141"/>
      <c r="I13" s="141"/>
      <c r="J13" s="141"/>
      <c r="K13" s="140"/>
      <c r="L13" s="141"/>
      <c r="M13" s="141"/>
      <c r="N13" s="43"/>
    </row>
    <row r="14" spans="1:15" x14ac:dyDescent="0.25">
      <c r="A14" s="102"/>
      <c r="B14" s="97"/>
      <c r="C14" s="98"/>
      <c r="D14" s="98"/>
      <c r="F14" s="142"/>
      <c r="G14" s="142"/>
      <c r="H14" s="140"/>
      <c r="I14" s="140"/>
      <c r="J14" s="140"/>
      <c r="K14" s="140"/>
      <c r="L14" s="140"/>
      <c r="M14" s="43"/>
      <c r="N14" s="43"/>
    </row>
    <row r="15" spans="1:15" x14ac:dyDescent="0.25">
      <c r="A15" s="105"/>
      <c r="B15" s="144"/>
      <c r="C15" s="144"/>
      <c r="D15" s="107"/>
      <c r="F15" s="140"/>
      <c r="G15" s="140"/>
      <c r="H15" s="140"/>
      <c r="I15" s="140"/>
      <c r="J15" s="140"/>
      <c r="K15" s="141"/>
      <c r="L15" s="141"/>
      <c r="M15" s="141"/>
      <c r="N15" s="141"/>
    </row>
    <row r="16" spans="1:15" x14ac:dyDescent="0.25">
      <c r="A16" s="105"/>
      <c r="B16" s="106"/>
      <c r="C16" s="106"/>
      <c r="D16" s="107"/>
      <c r="F16" s="140"/>
      <c r="G16" s="381"/>
      <c r="H16" s="381"/>
      <c r="I16" s="140"/>
      <c r="J16" s="140"/>
      <c r="K16" s="140"/>
      <c r="L16" s="141"/>
      <c r="M16" s="141"/>
      <c r="N16" s="141"/>
      <c r="O16" s="100"/>
    </row>
    <row r="17" spans="1:15" x14ac:dyDescent="0.25">
      <c r="A17" s="105"/>
      <c r="B17" s="106"/>
      <c r="C17" s="106"/>
      <c r="D17" s="107"/>
      <c r="F17" s="140"/>
      <c r="G17" s="381"/>
      <c r="H17" s="381"/>
      <c r="I17" s="140"/>
      <c r="J17" s="141"/>
      <c r="K17" s="141"/>
      <c r="L17" s="141"/>
      <c r="M17" s="141"/>
      <c r="N17" s="141"/>
      <c r="O17" s="101"/>
    </row>
    <row r="18" spans="1:15" x14ac:dyDescent="0.25">
      <c r="A18" s="105"/>
      <c r="B18" s="106"/>
      <c r="C18" s="106"/>
      <c r="D18" s="107"/>
      <c r="F18" s="140"/>
      <c r="G18" s="381"/>
      <c r="H18" s="381"/>
      <c r="I18" s="141"/>
      <c r="J18" s="141"/>
      <c r="K18" s="43"/>
      <c r="L18" s="43"/>
      <c r="M18" s="43"/>
      <c r="N18" s="43"/>
    </row>
    <row r="19" spans="1:15" x14ac:dyDescent="0.25">
      <c r="A19" s="105"/>
      <c r="B19" s="111"/>
      <c r="C19" s="111"/>
      <c r="D19" s="107"/>
      <c r="F19" s="140"/>
      <c r="G19" s="381"/>
      <c r="H19" s="381"/>
      <c r="I19" s="141"/>
      <c r="J19" s="141"/>
      <c r="K19" s="43"/>
      <c r="L19" s="43"/>
      <c r="M19" s="43"/>
      <c r="N19" s="43"/>
    </row>
    <row r="20" spans="1:15" x14ac:dyDescent="0.25">
      <c r="A20" s="105"/>
      <c r="B20" s="106"/>
      <c r="C20" s="106"/>
      <c r="D20" s="107"/>
      <c r="F20" s="140"/>
      <c r="G20" s="381"/>
      <c r="H20" s="381"/>
      <c r="I20" s="141"/>
      <c r="J20" s="141"/>
      <c r="K20" s="43"/>
      <c r="L20" s="43"/>
      <c r="M20" s="43"/>
      <c r="N20" s="43"/>
    </row>
    <row r="21" spans="1:15" x14ac:dyDescent="0.25">
      <c r="A21" s="105"/>
      <c r="B21" s="106"/>
      <c r="C21" s="106"/>
      <c r="D21" s="107"/>
      <c r="F21" s="140"/>
      <c r="G21" s="381"/>
      <c r="H21" s="381"/>
      <c r="I21" s="140"/>
      <c r="J21" s="43"/>
      <c r="K21" s="43"/>
      <c r="L21" s="43"/>
      <c r="M21" s="43"/>
      <c r="N21" s="43"/>
    </row>
    <row r="22" spans="1:15" x14ac:dyDescent="0.25">
      <c r="A22" s="105"/>
      <c r="B22" s="106"/>
      <c r="C22" s="106"/>
      <c r="D22" s="107"/>
      <c r="F22" s="140"/>
      <c r="G22" s="141"/>
      <c r="H22" s="141"/>
      <c r="I22" s="141"/>
      <c r="J22" s="141"/>
      <c r="K22" s="140"/>
      <c r="L22" s="142"/>
      <c r="M22" s="140"/>
      <c r="N22" s="43"/>
    </row>
    <row r="23" spans="1:15" ht="15.75" thickBot="1" x14ac:dyDescent="0.3">
      <c r="A23" s="108"/>
      <c r="B23" s="388"/>
      <c r="C23" s="389"/>
      <c r="D23" s="390"/>
      <c r="F23" s="143"/>
      <c r="G23" s="141"/>
      <c r="H23" s="141"/>
      <c r="I23" s="141"/>
      <c r="J23" s="43"/>
      <c r="K23" s="43"/>
      <c r="L23" s="43"/>
      <c r="M23" s="43"/>
      <c r="N23" s="43"/>
    </row>
    <row r="24" spans="1:15" ht="15.75" thickBot="1" x14ac:dyDescent="0.3">
      <c r="A24" s="385"/>
      <c r="B24" s="386"/>
      <c r="C24" s="386"/>
      <c r="D24" s="387"/>
      <c r="F24" s="141"/>
      <c r="G24" s="141"/>
      <c r="H24" s="141"/>
      <c r="I24" s="140"/>
      <c r="J24" s="142"/>
      <c r="K24" s="140"/>
      <c r="L24" s="141"/>
      <c r="M24" s="141"/>
      <c r="N24" s="43"/>
    </row>
    <row r="25" spans="1:15" x14ac:dyDescent="0.25">
      <c r="A25" s="102"/>
      <c r="B25" s="97"/>
      <c r="C25" s="98"/>
      <c r="D25" s="98"/>
      <c r="F25" s="140"/>
      <c r="G25" s="100"/>
      <c r="H25" s="100"/>
      <c r="I25" s="103"/>
      <c r="J25" s="100"/>
      <c r="K25" s="101"/>
      <c r="L25" s="101"/>
      <c r="M25" s="101"/>
    </row>
    <row r="26" spans="1:15" x14ac:dyDescent="0.25">
      <c r="A26" s="105"/>
      <c r="B26" s="30"/>
      <c r="C26" s="30"/>
      <c r="D26" s="107"/>
      <c r="F26" s="145"/>
      <c r="G26" s="103"/>
      <c r="H26" s="103"/>
      <c r="I26" s="100"/>
      <c r="J26" s="101"/>
      <c r="K26" s="101"/>
      <c r="L26" s="101"/>
      <c r="M26" s="101"/>
    </row>
    <row r="27" spans="1:15" x14ac:dyDescent="0.25">
      <c r="A27" s="105"/>
      <c r="B27" s="128"/>
      <c r="C27" s="128"/>
      <c r="D27" s="107"/>
      <c r="F27" s="145"/>
      <c r="G27" s="100"/>
      <c r="H27" s="100"/>
      <c r="I27" s="100"/>
      <c r="J27" s="100"/>
      <c r="K27" s="100"/>
      <c r="L27" s="100"/>
    </row>
    <row r="28" spans="1:15" x14ac:dyDescent="0.25">
      <c r="A28" s="105"/>
      <c r="B28" s="109"/>
      <c r="C28" s="109"/>
      <c r="D28" s="107"/>
      <c r="F28" s="145"/>
      <c r="G28" s="101"/>
      <c r="H28" s="101"/>
      <c r="I28" s="101"/>
      <c r="J28" s="101"/>
      <c r="K28" s="101"/>
      <c r="L28" s="101"/>
      <c r="M28" s="101"/>
    </row>
    <row r="29" spans="1:15" x14ac:dyDescent="0.25">
      <c r="A29" s="105"/>
      <c r="B29" s="109"/>
      <c r="C29" s="109"/>
      <c r="D29" s="107"/>
      <c r="F29" s="145"/>
      <c r="G29" s="101"/>
      <c r="I29" s="110"/>
    </row>
    <row r="30" spans="1:15" x14ac:dyDescent="0.25">
      <c r="A30" s="105"/>
      <c r="B30" s="111"/>
      <c r="C30" s="111"/>
      <c r="D30" s="107"/>
      <c r="F30" s="145"/>
      <c r="G30" s="101"/>
      <c r="I30" s="100"/>
    </row>
    <row r="31" spans="1:15" x14ac:dyDescent="0.25">
      <c r="A31" s="105"/>
      <c r="B31" s="128"/>
      <c r="C31" s="128"/>
      <c r="D31" s="107"/>
      <c r="F31" s="145"/>
      <c r="G31" s="101"/>
      <c r="I31" s="100"/>
    </row>
    <row r="32" spans="1:15" x14ac:dyDescent="0.25">
      <c r="A32" s="105"/>
      <c r="B32" s="109"/>
      <c r="C32" s="109"/>
      <c r="D32" s="107"/>
      <c r="F32" s="140"/>
      <c r="G32" s="101"/>
      <c r="I32" s="100"/>
    </row>
    <row r="33" spans="1:9" x14ac:dyDescent="0.25">
      <c r="A33" s="112"/>
      <c r="B33" s="109"/>
      <c r="C33" s="109"/>
      <c r="D33" s="113"/>
      <c r="F33" s="110"/>
      <c r="G33" s="101"/>
      <c r="I33" s="100"/>
    </row>
    <row r="34" spans="1:9" ht="15.75" thickBot="1" x14ac:dyDescent="0.3">
      <c r="A34" s="106"/>
      <c r="B34" s="388"/>
      <c r="C34" s="389"/>
      <c r="D34" s="390"/>
      <c r="F34" s="100"/>
      <c r="I34" s="110"/>
    </row>
    <row r="35" spans="1:9" x14ac:dyDescent="0.25">
      <c r="F35" s="100"/>
      <c r="I35" s="100"/>
    </row>
    <row r="36" spans="1:9" x14ac:dyDescent="0.25">
      <c r="F36" s="100"/>
      <c r="I36" s="100"/>
    </row>
    <row r="37" spans="1:9" x14ac:dyDescent="0.25">
      <c r="F37" s="57"/>
      <c r="I37" s="57"/>
    </row>
    <row r="38" spans="1:9" x14ac:dyDescent="0.25">
      <c r="F38" s="100"/>
      <c r="I38" s="100"/>
    </row>
    <row r="39" spans="1:9" x14ac:dyDescent="0.25">
      <c r="F39" s="100"/>
      <c r="I39" s="100"/>
    </row>
    <row r="40" spans="1:9" x14ac:dyDescent="0.25">
      <c r="F40" s="100"/>
      <c r="I40" s="110"/>
    </row>
    <row r="41" spans="1:9" x14ac:dyDescent="0.25">
      <c r="F41" s="100"/>
      <c r="I41" s="100"/>
    </row>
    <row r="42" spans="1:9" x14ac:dyDescent="0.25">
      <c r="F42" s="57"/>
      <c r="I42" s="100"/>
    </row>
    <row r="43" spans="1:9" x14ac:dyDescent="0.25">
      <c r="F43" s="57"/>
      <c r="I43" s="100"/>
    </row>
    <row r="44" spans="1:9" x14ac:dyDescent="0.25">
      <c r="F44" s="57"/>
      <c r="I44" s="100"/>
    </row>
    <row r="45" spans="1:9" x14ac:dyDescent="0.25">
      <c r="F45" s="110"/>
    </row>
    <row r="46" spans="1:9" x14ac:dyDescent="0.25">
      <c r="F46" s="100"/>
    </row>
    <row r="47" spans="1:9" x14ac:dyDescent="0.25">
      <c r="F47" s="100"/>
    </row>
    <row r="48" spans="1:9" x14ac:dyDescent="0.25">
      <c r="F48" s="100"/>
    </row>
    <row r="49" spans="6:6" x14ac:dyDescent="0.25">
      <c r="F49" s="100"/>
    </row>
    <row r="50" spans="6:6" x14ac:dyDescent="0.25">
      <c r="F50" s="100"/>
    </row>
    <row r="51" spans="6:6" x14ac:dyDescent="0.25">
      <c r="F51" s="100"/>
    </row>
    <row r="52" spans="6:6" x14ac:dyDescent="0.25">
      <c r="F52" s="110"/>
    </row>
    <row r="53" spans="6:6" x14ac:dyDescent="0.25">
      <c r="F53" s="100"/>
    </row>
    <row r="54" spans="6:6" x14ac:dyDescent="0.25">
      <c r="F54" s="100"/>
    </row>
    <row r="55" spans="6:6" x14ac:dyDescent="0.25">
      <c r="F55" s="100"/>
    </row>
    <row r="56" spans="6:6" x14ac:dyDescent="0.25">
      <c r="F56" s="57"/>
    </row>
    <row r="57" spans="6:6" x14ac:dyDescent="0.25">
      <c r="F57" s="100"/>
    </row>
    <row r="58" spans="6:6" x14ac:dyDescent="0.25">
      <c r="F58" s="100"/>
    </row>
    <row r="59" spans="6:6" x14ac:dyDescent="0.25">
      <c r="F59" s="100"/>
    </row>
    <row r="60" spans="6:6" x14ac:dyDescent="0.25">
      <c r="F60" s="100"/>
    </row>
    <row r="61" spans="6:6" x14ac:dyDescent="0.25">
      <c r="F61" s="57"/>
    </row>
    <row r="62" spans="6:6" x14ac:dyDescent="0.25">
      <c r="F62" s="57"/>
    </row>
    <row r="63" spans="6:6" x14ac:dyDescent="0.25">
      <c r="F63" s="57"/>
    </row>
    <row r="64" spans="6:6" x14ac:dyDescent="0.25">
      <c r="F64" s="110"/>
    </row>
    <row r="65" spans="6:6" x14ac:dyDescent="0.25">
      <c r="F65" s="100"/>
    </row>
    <row r="66" spans="6:6" x14ac:dyDescent="0.25">
      <c r="F66" s="100"/>
    </row>
    <row r="67" spans="6:6" x14ac:dyDescent="0.25">
      <c r="F67" s="100"/>
    </row>
    <row r="68" spans="6:6" x14ac:dyDescent="0.25">
      <c r="F68" s="100"/>
    </row>
    <row r="69" spans="6:6" x14ac:dyDescent="0.25">
      <c r="F69" s="100"/>
    </row>
    <row r="70" spans="6:6" x14ac:dyDescent="0.25">
      <c r="F70" s="100"/>
    </row>
    <row r="71" spans="6:6" x14ac:dyDescent="0.25">
      <c r="F71" s="57"/>
    </row>
    <row r="73" spans="6:6" x14ac:dyDescent="0.25">
      <c r="F73" s="57"/>
    </row>
    <row r="74" spans="6:6" x14ac:dyDescent="0.25">
      <c r="F74" s="57"/>
    </row>
  </sheetData>
  <mergeCells count="11">
    <mergeCell ref="A3:D3"/>
    <mergeCell ref="A13:D13"/>
    <mergeCell ref="A24:D24"/>
    <mergeCell ref="B23:D23"/>
    <mergeCell ref="B34:D34"/>
    <mergeCell ref="G21:H21"/>
    <mergeCell ref="G16:H16"/>
    <mergeCell ref="G17:H17"/>
    <mergeCell ref="G18:H18"/>
    <mergeCell ref="G19:H19"/>
    <mergeCell ref="G20:H20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3C748FF7EC2ED4E8EAD43CD1EEC2D0E" ma:contentTypeVersion="17" ma:contentTypeDescription="Crear nuevo documento." ma:contentTypeScope="" ma:versionID="ea203103aa5aa41fa7dd49b43cb8a2de">
  <xsd:schema xmlns:xsd="http://www.w3.org/2001/XMLSchema" xmlns:xs="http://www.w3.org/2001/XMLSchema" xmlns:p="http://schemas.microsoft.com/office/2006/metadata/properties" xmlns:ns2="a49c09fe-4018-4f3a-9927-d6e5af32fdd5" xmlns:ns3="ffac592c-cdc9-47d3-9b5f-572462ebd9e4" targetNamespace="http://schemas.microsoft.com/office/2006/metadata/properties" ma:root="true" ma:fieldsID="49b0a91519af75797ffa607b75695ffb" ns2:_="" ns3:_="">
    <xsd:import namespace="a49c09fe-4018-4f3a-9927-d6e5af32fdd5"/>
    <xsd:import namespace="ffac592c-cdc9-47d3-9b5f-572462ebd9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C_x00f3_digo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9c09fe-4018-4f3a-9927-d6e5af32fdd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_x00f3_digo" ma:index="10" nillable="true" ma:displayName="Código" ma:format="Dropdown" ma:internalName="C_x00f3_digo" ma:percentage="FALSE">
      <xsd:simpleType>
        <xsd:restriction base="dms:Number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50a62023-e717-42a3-add4-768fa6f1878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4" nillable="true" ma:displayName="Estado de aprobación" ma:internalName="Estado_x0020_de_x0020_aprobaci_x00f3_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ac592c-cdc9-47d3-9b5f-572462ebd9e4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63d14f6b-b096-421e-a71a-e4d1460aeb2a}" ma:internalName="TaxCatchAll" ma:showField="CatchAllData" ma:web="ffac592c-cdc9-47d3-9b5f-572462ebd9e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fac592c-cdc9-47d3-9b5f-572462ebd9e4" xsi:nil="true"/>
    <_Flow_SignoffStatus xmlns="a49c09fe-4018-4f3a-9927-d6e5af32fdd5" xsi:nil="true"/>
    <C_x00f3_digo xmlns="a49c09fe-4018-4f3a-9927-d6e5af32fdd5" xsi:nil="true"/>
    <lcf76f155ced4ddcb4097134ff3c332f xmlns="a49c09fe-4018-4f3a-9927-d6e5af32fdd5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F53AD24-439F-44F1-8272-A2184D6C79E1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a49c09fe-4018-4f3a-9927-d6e5af32fdd5"/>
    <ds:schemaRef ds:uri="ffac592c-cdc9-47d3-9b5f-572462ebd9e4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B550D0-58EE-498C-B38E-9B72F9C57DDA}">
  <ds:schemaRefs>
    <ds:schemaRef ds:uri="http://schemas.microsoft.com/office/2006/metadata/properties"/>
    <ds:schemaRef ds:uri="http://www.w3.org/2000/xmlns/"/>
    <ds:schemaRef ds:uri="ffac592c-cdc9-47d3-9b5f-572462ebd9e4"/>
    <ds:schemaRef ds:uri="http://www.w3.org/2001/XMLSchema-instance"/>
    <ds:schemaRef ds:uri="a49c09fe-4018-4f3a-9927-d6e5af32fdd5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C5E3D1A5-9383-405D-B1EF-97C8A11D262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Odometro-Kilometraje</vt:lpstr>
      <vt:lpstr>KM-Servicio</vt:lpstr>
      <vt:lpstr>Data Ocupacion</vt:lpstr>
      <vt:lpstr>Oferta Diaria</vt:lpstr>
      <vt:lpstr>UMR Resumen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2026-07-13T18:01:55Z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0x010100E3C748FF7EC2ED4E8EAD43CD1EEC2D0E</vt:lpwstr>
  </property>
  <property fmtid="{D5CDD505-2E9C-101B-9397-08002B2CF9AE}" pid="3" name="MediaServiceImageTags">
    <vt:lpwstr/>
  </property>
</Properties>
</file>