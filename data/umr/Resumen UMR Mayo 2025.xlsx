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41280" windowHeight="13116" tabRatio="686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4" l="1"/>
  <c r="J35" i="4"/>
  <c r="J36" i="4"/>
  <c r="J37" i="4"/>
  <c r="J18" i="4"/>
  <c r="J19" i="4"/>
  <c r="J20" i="4"/>
  <c r="J17" i="4"/>
  <c r="R53" i="3"/>
  <c r="D56" i="2"/>
  <c r="D55" i="2"/>
  <c r="E54" i="2"/>
  <c r="D54" i="2"/>
  <c r="R41" i="3"/>
  <c r="D69" i="2" l="1"/>
  <c r="H69" i="2"/>
  <c r="E68" i="2" l="1"/>
  <c r="E67" i="2"/>
  <c r="E66" i="2"/>
  <c r="E65" i="2"/>
  <c r="D68" i="2"/>
  <c r="D67" i="2"/>
  <c r="D66" i="2"/>
  <c r="D65" i="2"/>
  <c r="S55" i="3"/>
  <c r="R55" i="3"/>
  <c r="S54" i="3"/>
  <c r="R54" i="3"/>
  <c r="S53" i="3"/>
  <c r="S52" i="3"/>
  <c r="R52" i="3"/>
  <c r="R90" i="3"/>
  <c r="R89" i="3"/>
  <c r="R88" i="3"/>
  <c r="R87" i="3"/>
  <c r="R73" i="3"/>
  <c r="R72" i="3"/>
  <c r="R71" i="3"/>
  <c r="R70" i="3"/>
  <c r="X69" i="2"/>
  <c r="G250" i="2" l="1"/>
  <c r="F250" i="2"/>
  <c r="E250" i="2"/>
  <c r="X234" i="2"/>
  <c r="M246" i="2"/>
  <c r="N248" i="2"/>
  <c r="N247" i="2"/>
  <c r="N246" i="2"/>
  <c r="N245" i="2"/>
  <c r="M248" i="2"/>
  <c r="M247" i="2"/>
  <c r="M245" i="2"/>
  <c r="L248" i="2"/>
  <c r="L247" i="2"/>
  <c r="L246" i="2"/>
  <c r="L245" i="2"/>
  <c r="K248" i="2"/>
  <c r="K247" i="2"/>
  <c r="K246" i="2"/>
  <c r="K245" i="2"/>
  <c r="F248" i="2"/>
  <c r="G248" i="2" s="1"/>
  <c r="E248" i="2"/>
  <c r="D248" i="2"/>
  <c r="F247" i="2"/>
  <c r="G247" i="2" s="1"/>
  <c r="D247" i="2"/>
  <c r="E247" i="2" s="1"/>
  <c r="F246" i="2"/>
  <c r="G246" i="2" s="1"/>
  <c r="D246" i="2"/>
  <c r="E246" i="2" s="1"/>
  <c r="F245" i="2"/>
  <c r="G245" i="2" s="1"/>
  <c r="E245" i="2"/>
  <c r="D245" i="2"/>
  <c r="X68" i="2"/>
  <c r="X67" i="2"/>
  <c r="X66" i="2"/>
  <c r="X65" i="2"/>
  <c r="B234" i="2"/>
  <c r="X59" i="2"/>
  <c r="I68" i="2"/>
  <c r="K68" i="2" s="1"/>
  <c r="I67" i="2"/>
  <c r="M67" i="2" s="1"/>
  <c r="I66" i="2"/>
  <c r="K66" i="2" s="1"/>
  <c r="I65" i="2"/>
  <c r="K65" i="2" s="1"/>
  <c r="H68" i="2"/>
  <c r="H67" i="2"/>
  <c r="H66" i="2"/>
  <c r="G68" i="2"/>
  <c r="J68" i="2" s="1"/>
  <c r="G67" i="2"/>
  <c r="J67" i="2" s="1"/>
  <c r="G66" i="2"/>
  <c r="J66" i="2" s="1"/>
  <c r="G65" i="2"/>
  <c r="J65" i="2" s="1"/>
  <c r="H65" i="2"/>
  <c r="B69" i="2"/>
  <c r="M68" i="2" l="1"/>
  <c r="L67" i="2"/>
  <c r="W67" i="2"/>
  <c r="W68" i="2"/>
  <c r="L68" i="2"/>
  <c r="K67" i="2"/>
  <c r="W66" i="2"/>
  <c r="L66" i="2"/>
  <c r="M66" i="2"/>
  <c r="W65" i="2"/>
  <c r="L65" i="2"/>
  <c r="M65" i="2"/>
  <c r="C239" i="2"/>
  <c r="AF40" i="4" l="1"/>
  <c r="AG40" i="4"/>
  <c r="AG41" i="4"/>
  <c r="Z73" i="1" l="1"/>
  <c r="D228" i="2"/>
  <c r="D229" i="2"/>
  <c r="E229" i="2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G39" i="4"/>
  <c r="AG8" i="4"/>
  <c r="AG5" i="4"/>
  <c r="BL76" i="3"/>
  <c r="AG22" i="4" s="1"/>
  <c r="BL77" i="3"/>
  <c r="AG23" i="4" s="1"/>
  <c r="BL78" i="3"/>
  <c r="AG24" i="4" s="1"/>
  <c r="BL79" i="3"/>
  <c r="AG25" i="4" s="1"/>
  <c r="BL80" i="3"/>
  <c r="BL81" i="3"/>
  <c r="AG26" i="4" s="1"/>
  <c r="BL59" i="3"/>
  <c r="BL60" i="3"/>
  <c r="AG6" i="4" s="1"/>
  <c r="BL61" i="3"/>
  <c r="AG7" i="4" s="1"/>
  <c r="BL62" i="3"/>
  <c r="BL63" i="3"/>
  <c r="AG9" i="4" s="1"/>
  <c r="BL64" i="3"/>
  <c r="AG10" i="4" s="1"/>
  <c r="BL41" i="3"/>
  <c r="D224" i="2" s="1"/>
  <c r="BM41" i="3"/>
  <c r="BL42" i="3"/>
  <c r="D225" i="2" s="1"/>
  <c r="BM42" i="3"/>
  <c r="E225" i="2" s="1"/>
  <c r="BL43" i="3"/>
  <c r="D226" i="2" s="1"/>
  <c r="BM43" i="3"/>
  <c r="E226" i="2" s="1"/>
  <c r="BL44" i="3"/>
  <c r="D227" i="2" s="1"/>
  <c r="BM44" i="3"/>
  <c r="E227" i="2" s="1"/>
  <c r="BL45" i="3"/>
  <c r="BM45" i="3"/>
  <c r="E228" i="2" s="1"/>
  <c r="BL46" i="3"/>
  <c r="BM46" i="3"/>
  <c r="BL34" i="3"/>
  <c r="BM34" i="3"/>
  <c r="BM56" i="3" l="1"/>
  <c r="E224" i="2"/>
  <c r="AF81" i="1"/>
  <c r="N230" i="2" s="1"/>
  <c r="B33" i="13" s="1"/>
  <c r="BL56" i="3"/>
  <c r="AG47" i="4"/>
  <c r="AG52" i="4" s="1"/>
  <c r="AG48" i="4"/>
  <c r="AG53" i="4" s="1"/>
  <c r="K33" i="13" s="1"/>
  <c r="AG46" i="4"/>
  <c r="AG49" i="4"/>
  <c r="C238" i="2"/>
  <c r="C237" i="2"/>
  <c r="C236" i="2"/>
  <c r="C235" i="2"/>
  <c r="B239" i="2"/>
  <c r="B238" i="2"/>
  <c r="B237" i="2"/>
  <c r="B236" i="2"/>
  <c r="B235" i="2"/>
  <c r="C234" i="2"/>
  <c r="F240" i="2"/>
  <c r="G240" i="2" s="1"/>
  <c r="F241" i="2"/>
  <c r="G241" i="2"/>
  <c r="F242" i="2"/>
  <c r="G242" i="2" s="1"/>
  <c r="E243" i="2"/>
  <c r="F243" i="2"/>
  <c r="G243" i="2"/>
  <c r="E244" i="2"/>
  <c r="F244" i="2"/>
  <c r="G244" i="2"/>
  <c r="D240" i="2"/>
  <c r="E240" i="2" s="1"/>
  <c r="D241" i="2"/>
  <c r="E241" i="2" s="1"/>
  <c r="D242" i="2"/>
  <c r="E242" i="2" s="1"/>
  <c r="D243" i="2"/>
  <c r="D244" i="2"/>
  <c r="AG51" i="4" l="1"/>
  <c r="AG50" i="4"/>
  <c r="V234" i="2"/>
  <c r="U234" i="2"/>
  <c r="T234" i="2"/>
  <c r="S234" i="2"/>
  <c r="R234" i="2"/>
  <c r="Q234" i="2"/>
  <c r="P234" i="2"/>
  <c r="G2" i="2"/>
  <c r="BG34" i="3" l="1"/>
  <c r="BF34" i="3"/>
  <c r="BE34" i="3"/>
  <c r="BD34" i="3"/>
  <c r="BC34" i="3"/>
  <c r="BB34" i="3"/>
  <c r="BA34" i="3"/>
  <c r="AZ34" i="3"/>
  <c r="AY34" i="3"/>
  <c r="AX34" i="3"/>
  <c r="AQ34" i="3" l="1"/>
  <c r="AP34" i="3"/>
  <c r="AO34" i="3"/>
  <c r="AN34" i="3"/>
  <c r="X213" i="2" l="1"/>
  <c r="X205" i="2"/>
  <c r="X204" i="2"/>
  <c r="X200" i="2"/>
  <c r="X193" i="2"/>
  <c r="X159" i="2"/>
  <c r="X137" i="2"/>
  <c r="X124" i="2"/>
  <c r="X121" i="2"/>
  <c r="X109" i="2"/>
  <c r="X107" i="2"/>
  <c r="X105" i="2"/>
  <c r="X93" i="2"/>
  <c r="X88" i="2"/>
  <c r="X82" i="2"/>
  <c r="X47" i="2"/>
  <c r="X5" i="2"/>
  <c r="H60" i="2"/>
  <c r="X60" i="2" s="1"/>
  <c r="H61" i="2"/>
  <c r="X61" i="2" s="1"/>
  <c r="H62" i="2"/>
  <c r="X62" i="2" s="1"/>
  <c r="H63" i="2"/>
  <c r="X63" i="2" s="1"/>
  <c r="H64" i="2"/>
  <c r="X64" i="2" s="1"/>
  <c r="H59" i="2"/>
  <c r="H58" i="2"/>
  <c r="X58" i="2" s="1"/>
  <c r="H57" i="2"/>
  <c r="X57" i="2" s="1"/>
  <c r="H56" i="2"/>
  <c r="X56" i="2" s="1"/>
  <c r="H55" i="2"/>
  <c r="X55" i="2" s="1"/>
  <c r="H54" i="2"/>
  <c r="H89" i="2"/>
  <c r="X89" i="2" s="1"/>
  <c r="H88" i="2"/>
  <c r="H87" i="2"/>
  <c r="X87" i="2" s="1"/>
  <c r="H86" i="2"/>
  <c r="H85" i="2"/>
  <c r="X85" i="2" s="1"/>
  <c r="H84" i="2"/>
  <c r="X84" i="2" s="1"/>
  <c r="H82" i="2"/>
  <c r="H81" i="2"/>
  <c r="X81" i="2" s="1"/>
  <c r="H80" i="2"/>
  <c r="X80" i="2" s="1"/>
  <c r="H79" i="2"/>
  <c r="X79" i="2" s="1"/>
  <c r="H78" i="2"/>
  <c r="X78" i="2" s="1"/>
  <c r="H77" i="2"/>
  <c r="X77" i="2" s="1"/>
  <c r="H138" i="2"/>
  <c r="X138" i="2" s="1"/>
  <c r="H137" i="2"/>
  <c r="H136" i="2"/>
  <c r="X136" i="2" s="1"/>
  <c r="H135" i="2"/>
  <c r="X135" i="2" s="1"/>
  <c r="H134" i="2"/>
  <c r="H133" i="2"/>
  <c r="X133" i="2" s="1"/>
  <c r="H229" i="2"/>
  <c r="X229" i="2" s="1"/>
  <c r="H228" i="2"/>
  <c r="X228" i="2" s="1"/>
  <c r="H227" i="2"/>
  <c r="X227" i="2" s="1"/>
  <c r="H226" i="2"/>
  <c r="X226" i="2" s="1"/>
  <c r="H225" i="2"/>
  <c r="X225" i="2" s="1"/>
  <c r="H224" i="2"/>
  <c r="X224" i="2" s="1"/>
  <c r="H222" i="2"/>
  <c r="X222" i="2" s="1"/>
  <c r="H221" i="2"/>
  <c r="X221" i="2" s="1"/>
  <c r="H220" i="2"/>
  <c r="X220" i="2" s="1"/>
  <c r="H219" i="2"/>
  <c r="X219" i="2" s="1"/>
  <c r="H218" i="2"/>
  <c r="X218" i="2" s="1"/>
  <c r="H217" i="2"/>
  <c r="H215" i="2"/>
  <c r="X215" i="2" s="1"/>
  <c r="H214" i="2"/>
  <c r="X214" i="2" s="1"/>
  <c r="H213" i="2"/>
  <c r="H212" i="2"/>
  <c r="X212" i="2" s="1"/>
  <c r="H211" i="2"/>
  <c r="X211" i="2" s="1"/>
  <c r="H210" i="2"/>
  <c r="X210" i="2" s="1"/>
  <c r="H208" i="2"/>
  <c r="X208" i="2" s="1"/>
  <c r="H207" i="2"/>
  <c r="X207" i="2" s="1"/>
  <c r="H206" i="2"/>
  <c r="X206" i="2" s="1"/>
  <c r="H205" i="2"/>
  <c r="H204" i="2"/>
  <c r="H203" i="2"/>
  <c r="H209" i="2" s="1"/>
  <c r="H201" i="2"/>
  <c r="X201" i="2" s="1"/>
  <c r="H200" i="2"/>
  <c r="H199" i="2"/>
  <c r="X199" i="2" s="1"/>
  <c r="H198" i="2"/>
  <c r="X198" i="2" s="1"/>
  <c r="H197" i="2"/>
  <c r="X197" i="2" s="1"/>
  <c r="H196" i="2"/>
  <c r="X196" i="2" s="1"/>
  <c r="H194" i="2"/>
  <c r="X194" i="2" s="1"/>
  <c r="H193" i="2"/>
  <c r="H192" i="2"/>
  <c r="X192" i="2" s="1"/>
  <c r="H191" i="2"/>
  <c r="X191" i="2" s="1"/>
  <c r="H190" i="2"/>
  <c r="X190" i="2" s="1"/>
  <c r="H189" i="2"/>
  <c r="X189" i="2" s="1"/>
  <c r="H187" i="2"/>
  <c r="X187" i="2" s="1"/>
  <c r="H186" i="2"/>
  <c r="X186" i="2" s="1"/>
  <c r="H185" i="2"/>
  <c r="X185" i="2" s="1"/>
  <c r="H184" i="2"/>
  <c r="X184" i="2" s="1"/>
  <c r="H183" i="2"/>
  <c r="X183" i="2" s="1"/>
  <c r="H182" i="2"/>
  <c r="H180" i="2"/>
  <c r="X180" i="2" s="1"/>
  <c r="H179" i="2"/>
  <c r="X179" i="2" s="1"/>
  <c r="H178" i="2"/>
  <c r="X178" i="2" s="1"/>
  <c r="H177" i="2"/>
  <c r="X177" i="2" s="1"/>
  <c r="H176" i="2"/>
  <c r="X176" i="2" s="1"/>
  <c r="H175" i="2"/>
  <c r="X175" i="2" s="1"/>
  <c r="H173" i="2"/>
  <c r="X173" i="2" s="1"/>
  <c r="H172" i="2"/>
  <c r="X172" i="2" s="1"/>
  <c r="H171" i="2"/>
  <c r="X171" i="2" s="1"/>
  <c r="H170" i="2"/>
  <c r="X170" i="2" s="1"/>
  <c r="H169" i="2"/>
  <c r="X169" i="2" s="1"/>
  <c r="H168" i="2"/>
  <c r="X168" i="2" s="1"/>
  <c r="H166" i="2"/>
  <c r="X166" i="2" s="1"/>
  <c r="H165" i="2"/>
  <c r="X165" i="2" s="1"/>
  <c r="H164" i="2"/>
  <c r="X164" i="2" s="1"/>
  <c r="H163" i="2"/>
  <c r="X163" i="2" s="1"/>
  <c r="H162" i="2"/>
  <c r="X162" i="2" s="1"/>
  <c r="H161" i="2"/>
  <c r="H167" i="2" s="1"/>
  <c r="H159" i="2"/>
  <c r="H158" i="2"/>
  <c r="X158" i="2" s="1"/>
  <c r="H157" i="2"/>
  <c r="X157" i="2" s="1"/>
  <c r="H156" i="2"/>
  <c r="X156" i="2" s="1"/>
  <c r="H155" i="2"/>
  <c r="X155" i="2" s="1"/>
  <c r="H154" i="2"/>
  <c r="X154" i="2" s="1"/>
  <c r="H152" i="2"/>
  <c r="X152" i="2" s="1"/>
  <c r="H151" i="2"/>
  <c r="X151" i="2" s="1"/>
  <c r="H150" i="2"/>
  <c r="X150" i="2" s="1"/>
  <c r="H149" i="2"/>
  <c r="X149" i="2" s="1"/>
  <c r="H148" i="2"/>
  <c r="X148" i="2" s="1"/>
  <c r="H147" i="2"/>
  <c r="X147" i="2" s="1"/>
  <c r="H145" i="2"/>
  <c r="X145" i="2" s="1"/>
  <c r="H144" i="2"/>
  <c r="H143" i="2"/>
  <c r="X143" i="2" s="1"/>
  <c r="H142" i="2"/>
  <c r="X142" i="2" s="1"/>
  <c r="H141" i="2"/>
  <c r="X141" i="2" s="1"/>
  <c r="H140" i="2"/>
  <c r="X140" i="2" s="1"/>
  <c r="H131" i="2"/>
  <c r="X131" i="2" s="1"/>
  <c r="H130" i="2"/>
  <c r="X130" i="2" s="1"/>
  <c r="H129" i="2"/>
  <c r="X129" i="2" s="1"/>
  <c r="H128" i="2"/>
  <c r="X128" i="2" s="1"/>
  <c r="H127" i="2"/>
  <c r="X127" i="2" s="1"/>
  <c r="H126" i="2"/>
  <c r="X126" i="2" s="1"/>
  <c r="H124" i="2"/>
  <c r="H123" i="2"/>
  <c r="X123" i="2" s="1"/>
  <c r="H122" i="2"/>
  <c r="X122" i="2" s="1"/>
  <c r="H121" i="2"/>
  <c r="H120" i="2"/>
  <c r="X120" i="2" s="1"/>
  <c r="H119" i="2"/>
  <c r="H117" i="2"/>
  <c r="X117" i="2" s="1"/>
  <c r="H116" i="2"/>
  <c r="X116" i="2" s="1"/>
  <c r="H115" i="2"/>
  <c r="X115" i="2" s="1"/>
  <c r="H114" i="2"/>
  <c r="X114" i="2" s="1"/>
  <c r="H113" i="2"/>
  <c r="X113" i="2" s="1"/>
  <c r="H112" i="2"/>
  <c r="X112" i="2" s="1"/>
  <c r="H110" i="2"/>
  <c r="X110" i="2" s="1"/>
  <c r="H109" i="2"/>
  <c r="H108" i="2"/>
  <c r="X108" i="2" s="1"/>
  <c r="H107" i="2"/>
  <c r="H106" i="2"/>
  <c r="X106" i="2" s="1"/>
  <c r="H105" i="2"/>
  <c r="H103" i="2"/>
  <c r="X103" i="2" s="1"/>
  <c r="H102" i="2"/>
  <c r="X102" i="2" s="1"/>
  <c r="H101" i="2"/>
  <c r="X101" i="2" s="1"/>
  <c r="H100" i="2"/>
  <c r="X100" i="2" s="1"/>
  <c r="H99" i="2"/>
  <c r="X99" i="2" s="1"/>
  <c r="H98" i="2"/>
  <c r="X98" i="2" s="1"/>
  <c r="H96" i="2"/>
  <c r="X96" i="2" s="1"/>
  <c r="H95" i="2"/>
  <c r="X95" i="2" s="1"/>
  <c r="H94" i="2"/>
  <c r="X94" i="2" s="1"/>
  <c r="H93" i="2"/>
  <c r="H92" i="2"/>
  <c r="X92" i="2" s="1"/>
  <c r="H91" i="2"/>
  <c r="X91" i="2" s="1"/>
  <c r="H75" i="2"/>
  <c r="X75" i="2" s="1"/>
  <c r="H74" i="2"/>
  <c r="X74" i="2" s="1"/>
  <c r="H73" i="2"/>
  <c r="X73" i="2" s="1"/>
  <c r="H72" i="2"/>
  <c r="X72" i="2" s="1"/>
  <c r="H71" i="2"/>
  <c r="X71" i="2" s="1"/>
  <c r="H70" i="2"/>
  <c r="H76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X209" i="2" l="1"/>
  <c r="H111" i="2"/>
  <c r="H125" i="2"/>
  <c r="H188" i="2"/>
  <c r="H223" i="2"/>
  <c r="X217" i="2"/>
  <c r="X223" i="2" s="1"/>
  <c r="X97" i="2"/>
  <c r="X119" i="2"/>
  <c r="X125" i="2" s="1"/>
  <c r="X203" i="2"/>
  <c r="H139" i="2"/>
  <c r="H90" i="2"/>
  <c r="H11" i="2"/>
  <c r="X83" i="2"/>
  <c r="X153" i="2"/>
  <c r="X118" i="2"/>
  <c r="X195" i="2"/>
  <c r="X39" i="2"/>
  <c r="X174" i="2"/>
  <c r="X230" i="2"/>
  <c r="H181" i="2"/>
  <c r="X216" i="2"/>
  <c r="H18" i="2"/>
  <c r="H53" i="2"/>
  <c r="H132" i="2"/>
  <c r="H195" i="2"/>
  <c r="X11" i="2"/>
  <c r="X53" i="2"/>
  <c r="X161" i="2"/>
  <c r="X167" i="2" s="1"/>
  <c r="X86" i="2"/>
  <c r="X90" i="2" s="1"/>
  <c r="X32" i="2"/>
  <c r="X182" i="2"/>
  <c r="X188" i="2" s="1"/>
  <c r="H216" i="2"/>
  <c r="X181" i="2"/>
  <c r="H104" i="2"/>
  <c r="X111" i="2"/>
  <c r="H118" i="2"/>
  <c r="X54" i="2"/>
  <c r="X46" i="2"/>
  <c r="X70" i="2"/>
  <c r="X76" i="2" s="1"/>
  <c r="X18" i="2"/>
  <c r="H83" i="2"/>
  <c r="H46" i="2"/>
  <c r="H202" i="2"/>
  <c r="X132" i="2"/>
  <c r="H153" i="2"/>
  <c r="H32" i="2"/>
  <c r="H174" i="2"/>
  <c r="H230" i="2"/>
  <c r="H39" i="2"/>
  <c r="H25" i="2"/>
  <c r="H146" i="2"/>
  <c r="X144" i="2"/>
  <c r="X146" i="2" s="1"/>
  <c r="X104" i="2"/>
  <c r="H97" i="2"/>
  <c r="X134" i="2"/>
  <c r="X139" i="2" s="1"/>
  <c r="X202" i="2"/>
  <c r="X22" i="2"/>
  <c r="X25" i="2" s="1"/>
  <c r="H160" i="2"/>
  <c r="X160" i="2"/>
  <c r="C69" i="2"/>
  <c r="R86" i="3"/>
  <c r="J33" i="4" s="1"/>
  <c r="R69" i="3"/>
  <c r="J16" i="4" s="1"/>
  <c r="S51" i="3"/>
  <c r="E64" i="2" s="1"/>
  <c r="J244" i="2" s="1"/>
  <c r="R51" i="3"/>
  <c r="D64" i="2" s="1"/>
  <c r="I244" i="2" s="1"/>
  <c r="R83" i="3"/>
  <c r="J30" i="4" s="1"/>
  <c r="R84" i="3"/>
  <c r="J31" i="4" s="1"/>
  <c r="R85" i="3"/>
  <c r="J32" i="4" s="1"/>
  <c r="R82" i="3"/>
  <c r="J29" i="4" s="1"/>
  <c r="R66" i="3"/>
  <c r="J13" i="4" s="1"/>
  <c r="R67" i="3"/>
  <c r="J14" i="4" s="1"/>
  <c r="R68" i="3"/>
  <c r="J15" i="4" s="1"/>
  <c r="R65" i="3"/>
  <c r="J12" i="4" s="1"/>
  <c r="R48" i="3"/>
  <c r="D61" i="2" s="1"/>
  <c r="I241" i="2" s="1"/>
  <c r="S48" i="3"/>
  <c r="E61" i="2" s="1"/>
  <c r="J241" i="2" s="1"/>
  <c r="R49" i="3"/>
  <c r="D62" i="2" s="1"/>
  <c r="I242" i="2" s="1"/>
  <c r="S49" i="3"/>
  <c r="E62" i="2" s="1"/>
  <c r="J242" i="2" s="1"/>
  <c r="R50" i="3"/>
  <c r="D63" i="2" s="1"/>
  <c r="I243" i="2" s="1"/>
  <c r="S50" i="3"/>
  <c r="E63" i="2" s="1"/>
  <c r="J243" i="2" s="1"/>
  <c r="S47" i="3"/>
  <c r="E60" i="2" s="1"/>
  <c r="J240" i="2" s="1"/>
  <c r="R47" i="3"/>
  <c r="D60" i="2" s="1"/>
  <c r="I240" i="2" s="1"/>
  <c r="K244" i="2" l="1"/>
  <c r="L244" i="2" s="1"/>
  <c r="M244" i="2"/>
  <c r="N244" i="2" s="1"/>
  <c r="M243" i="2"/>
  <c r="N243" i="2" s="1"/>
  <c r="K243" i="2"/>
  <c r="L243" i="2" s="1"/>
  <c r="M242" i="2"/>
  <c r="N242" i="2" s="1"/>
  <c r="K242" i="2"/>
  <c r="L242" i="2" s="1"/>
  <c r="M241" i="2"/>
  <c r="N241" i="2" s="1"/>
  <c r="K241" i="2"/>
  <c r="L241" i="2" s="1"/>
  <c r="M240" i="2"/>
  <c r="N240" i="2" s="1"/>
  <c r="K240" i="2"/>
  <c r="L240" i="2" s="1"/>
  <c r="G64" i="2"/>
  <c r="I64" i="2"/>
  <c r="G62" i="2"/>
  <c r="J62" i="2" s="1"/>
  <c r="W62" i="2" s="1"/>
  <c r="I62" i="2"/>
  <c r="M62" i="2" s="1"/>
  <c r="I60" i="2"/>
  <c r="K60" i="2" s="1"/>
  <c r="G63" i="2"/>
  <c r="J63" i="2" s="1"/>
  <c r="W63" i="2" s="1"/>
  <c r="G60" i="2"/>
  <c r="I63" i="2"/>
  <c r="C230" i="2"/>
  <c r="B230" i="2"/>
  <c r="G33" i="13" s="1"/>
  <c r="J64" i="2" l="1"/>
  <c r="M64" i="2"/>
  <c r="K64" i="2"/>
  <c r="L62" i="2"/>
  <c r="K62" i="2"/>
  <c r="M60" i="2"/>
  <c r="L63" i="2"/>
  <c r="I226" i="2"/>
  <c r="K226" i="2" s="1"/>
  <c r="K63" i="2"/>
  <c r="M63" i="2"/>
  <c r="J60" i="2"/>
  <c r="G225" i="2"/>
  <c r="J225" i="2" s="1"/>
  <c r="L225" i="2" s="1"/>
  <c r="G226" i="2"/>
  <c r="J226" i="2" s="1"/>
  <c r="I225" i="2"/>
  <c r="W64" i="2" l="1"/>
  <c r="L64" i="2"/>
  <c r="M226" i="2"/>
  <c r="L60" i="2"/>
  <c r="W60" i="2"/>
  <c r="W225" i="2"/>
  <c r="K225" i="2"/>
  <c r="M225" i="2"/>
  <c r="W226" i="2"/>
  <c r="L226" i="2"/>
  <c r="BK34" i="3" l="1"/>
  <c r="BJ34" i="3"/>
  <c r="Y39" i="4" l="1"/>
  <c r="AM34" i="3" l="1"/>
  <c r="AL34" i="3"/>
  <c r="BI34" i="3" l="1"/>
  <c r="BH34" i="3"/>
  <c r="AW34" i="3"/>
  <c r="AV34" i="3"/>
  <c r="AU34" i="3"/>
  <c r="AT34" i="3"/>
  <c r="AS34" i="3"/>
  <c r="AR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223" i="2"/>
  <c r="B223" i="2"/>
  <c r="C216" i="2"/>
  <c r="B216" i="2"/>
  <c r="C202" i="2"/>
  <c r="B202" i="2"/>
  <c r="C195" i="2"/>
  <c r="B195" i="2"/>
  <c r="C174" i="2"/>
  <c r="B174" i="2"/>
  <c r="C167" i="2"/>
  <c r="B167" i="2"/>
  <c r="C153" i="2"/>
  <c r="B153" i="2"/>
  <c r="C146" i="2"/>
  <c r="B146" i="2"/>
  <c r="C139" i="2"/>
  <c r="B139" i="2"/>
  <c r="C132" i="2"/>
  <c r="B132" i="2"/>
  <c r="C125" i="2"/>
  <c r="B125" i="2"/>
  <c r="C118" i="2"/>
  <c r="B118" i="2"/>
  <c r="C111" i="2"/>
  <c r="B111" i="2"/>
  <c r="C90" i="2"/>
  <c r="B90" i="2"/>
  <c r="C83" i="2"/>
  <c r="B83" i="2"/>
  <c r="C76" i="2"/>
  <c r="B76" i="2"/>
  <c r="C53" i="2"/>
  <c r="B53" i="2"/>
  <c r="C32" i="2"/>
  <c r="B32" i="2"/>
  <c r="C104" i="2"/>
  <c r="B104" i="2"/>
  <c r="C97" i="2"/>
  <c r="B97" i="2"/>
  <c r="C46" i="2"/>
  <c r="B46" i="2"/>
  <c r="C39" i="2"/>
  <c r="B39" i="2"/>
  <c r="C25" i="2"/>
  <c r="B25" i="2"/>
  <c r="C18" i="2"/>
  <c r="B18" i="2"/>
  <c r="C11" i="2"/>
  <c r="B11" i="2"/>
  <c r="C188" i="2" l="1"/>
  <c r="B188" i="2"/>
  <c r="AL41" i="3" l="1"/>
  <c r="AM41" i="3"/>
  <c r="AL42" i="3"/>
  <c r="AM42" i="3"/>
  <c r="AL43" i="3"/>
  <c r="AM43" i="3"/>
  <c r="AL44" i="3"/>
  <c r="AM44" i="3"/>
  <c r="AL45" i="3"/>
  <c r="AM45" i="3"/>
  <c r="AL46" i="3"/>
  <c r="AM46" i="3"/>
  <c r="AP76" i="3"/>
  <c r="AP77" i="3"/>
  <c r="AP78" i="3"/>
  <c r="AP79" i="3"/>
  <c r="AP80" i="3"/>
  <c r="AP81" i="3"/>
  <c r="AP59" i="3"/>
  <c r="AP60" i="3"/>
  <c r="AP61" i="3"/>
  <c r="AP62" i="3"/>
  <c r="AP63" i="3"/>
  <c r="AP64" i="3"/>
  <c r="AP41" i="3"/>
  <c r="AQ41" i="3"/>
  <c r="AP42" i="3"/>
  <c r="AQ42" i="3"/>
  <c r="AP43" i="3"/>
  <c r="AQ43" i="3"/>
  <c r="AP44" i="3"/>
  <c r="AQ44" i="3"/>
  <c r="AP45" i="3"/>
  <c r="AQ45" i="3"/>
  <c r="AP46" i="3"/>
  <c r="AQ46" i="3"/>
  <c r="AL81" i="3" l="1"/>
  <c r="AL80" i="3"/>
  <c r="AL79" i="3"/>
  <c r="AL78" i="3"/>
  <c r="AL77" i="3"/>
  <c r="AL76" i="3"/>
  <c r="AL64" i="3"/>
  <c r="AL63" i="3"/>
  <c r="AL62" i="3"/>
  <c r="AL61" i="3"/>
  <c r="AL60" i="3"/>
  <c r="AL59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59" i="3" l="1"/>
  <c r="P60" i="3"/>
  <c r="P61" i="3"/>
  <c r="P62" i="3"/>
  <c r="P63" i="3"/>
  <c r="P64" i="3"/>
  <c r="P76" i="3"/>
  <c r="P77" i="3"/>
  <c r="P78" i="3"/>
  <c r="P79" i="3"/>
  <c r="P80" i="3"/>
  <c r="P81" i="3"/>
  <c r="P41" i="3"/>
  <c r="D47" i="2" s="1"/>
  <c r="Q41" i="3"/>
  <c r="E47" i="2" s="1"/>
  <c r="P42" i="3"/>
  <c r="D48" i="2" s="1"/>
  <c r="Q42" i="3"/>
  <c r="E48" i="2" s="1"/>
  <c r="P43" i="3"/>
  <c r="D49" i="2" s="1"/>
  <c r="Q43" i="3"/>
  <c r="E49" i="2" s="1"/>
  <c r="P44" i="3"/>
  <c r="D50" i="2" s="1"/>
  <c r="Q44" i="3"/>
  <c r="E50" i="2" s="1"/>
  <c r="P45" i="3"/>
  <c r="D51" i="2" s="1"/>
  <c r="Q45" i="3"/>
  <c r="E51" i="2" s="1"/>
  <c r="P46" i="3"/>
  <c r="D52" i="2" s="1"/>
  <c r="Q4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39" i="4"/>
  <c r="N76" i="3"/>
  <c r="N77" i="3"/>
  <c r="N78" i="3"/>
  <c r="N79" i="3"/>
  <c r="N80" i="3"/>
  <c r="N81" i="3"/>
  <c r="N59" i="3"/>
  <c r="N60" i="3"/>
  <c r="N61" i="3"/>
  <c r="N62" i="3"/>
  <c r="N63" i="3"/>
  <c r="N64" i="3"/>
  <c r="N41" i="3"/>
  <c r="O41" i="3"/>
  <c r="N42" i="3"/>
  <c r="O42" i="3"/>
  <c r="N43" i="3"/>
  <c r="O43" i="3"/>
  <c r="N44" i="3"/>
  <c r="O44" i="3"/>
  <c r="N45" i="3"/>
  <c r="O45" i="3"/>
  <c r="N46" i="3"/>
  <c r="O46" i="3"/>
  <c r="M50" i="2" l="1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76" i="3" l="1"/>
  <c r="AX77" i="3"/>
  <c r="AX78" i="3"/>
  <c r="AX79" i="3"/>
  <c r="AX80" i="3"/>
  <c r="AX81" i="3"/>
  <c r="AX59" i="3"/>
  <c r="AX60" i="3"/>
  <c r="AX61" i="3"/>
  <c r="AX62" i="3"/>
  <c r="AX63" i="3"/>
  <c r="AX64" i="3"/>
  <c r="AX41" i="3"/>
  <c r="D175" i="2" s="1"/>
  <c r="AY41" i="3"/>
  <c r="E175" i="2" s="1"/>
  <c r="AX42" i="3"/>
  <c r="D176" i="2" s="1"/>
  <c r="AY42" i="3"/>
  <c r="E176" i="2" s="1"/>
  <c r="AX43" i="3"/>
  <c r="D177" i="2" s="1"/>
  <c r="AY43" i="3"/>
  <c r="E177" i="2" s="1"/>
  <c r="AX44" i="3"/>
  <c r="D178" i="2" s="1"/>
  <c r="AY44" i="3"/>
  <c r="E178" i="2" s="1"/>
  <c r="AX45" i="3"/>
  <c r="D179" i="2" s="1"/>
  <c r="AY45" i="3"/>
  <c r="E179" i="2" s="1"/>
  <c r="AX46" i="3"/>
  <c r="D180" i="2" s="1"/>
  <c r="AY46" i="3"/>
  <c r="E180" i="2" s="1"/>
  <c r="AV76" i="3" l="1"/>
  <c r="AV77" i="3"/>
  <c r="AV78" i="3"/>
  <c r="AV79" i="3"/>
  <c r="AV80" i="3"/>
  <c r="AV81" i="3"/>
  <c r="AV59" i="3"/>
  <c r="AV60" i="3"/>
  <c r="AV61" i="3"/>
  <c r="AV62" i="3"/>
  <c r="AV63" i="3"/>
  <c r="AV64" i="3"/>
  <c r="AV41" i="3"/>
  <c r="D168" i="2" s="1"/>
  <c r="AW41" i="3"/>
  <c r="E168" i="2" s="1"/>
  <c r="AV42" i="3"/>
  <c r="D169" i="2" s="1"/>
  <c r="AW42" i="3"/>
  <c r="E169" i="2" s="1"/>
  <c r="AV43" i="3"/>
  <c r="D170" i="2" s="1"/>
  <c r="AW43" i="3"/>
  <c r="E170" i="2" s="1"/>
  <c r="AV44" i="3"/>
  <c r="D171" i="2" s="1"/>
  <c r="AW44" i="3"/>
  <c r="E171" i="2" s="1"/>
  <c r="AV45" i="3"/>
  <c r="D172" i="2" s="1"/>
  <c r="AW45" i="3"/>
  <c r="E172" i="2" s="1"/>
  <c r="AV46" i="3"/>
  <c r="D173" i="2" s="1"/>
  <c r="AW46" i="3"/>
  <c r="E173" i="2" s="1"/>
  <c r="C209" i="2" l="1"/>
  <c r="B209" i="2"/>
  <c r="C181" i="2" l="1"/>
  <c r="B181" i="2"/>
  <c r="AT76" i="3" l="1"/>
  <c r="AT77" i="3"/>
  <c r="AT78" i="3"/>
  <c r="AT79" i="3"/>
  <c r="AT80" i="3"/>
  <c r="AT81" i="3"/>
  <c r="AT59" i="3"/>
  <c r="AT60" i="3"/>
  <c r="AT61" i="3"/>
  <c r="AT62" i="3"/>
  <c r="AT63" i="3"/>
  <c r="AT64" i="3"/>
  <c r="AT41" i="3"/>
  <c r="D161" i="2" s="1"/>
  <c r="AU41" i="3"/>
  <c r="E161" i="2" s="1"/>
  <c r="AT42" i="3"/>
  <c r="D162" i="2" s="1"/>
  <c r="AU42" i="3"/>
  <c r="E162" i="2" s="1"/>
  <c r="AT43" i="3"/>
  <c r="D163" i="2" s="1"/>
  <c r="AU43" i="3"/>
  <c r="E163" i="2" s="1"/>
  <c r="AT44" i="3"/>
  <c r="D164" i="2" s="1"/>
  <c r="AU44" i="3"/>
  <c r="E164" i="2" s="1"/>
  <c r="AT45" i="3"/>
  <c r="D165" i="2" s="1"/>
  <c r="AU45" i="3"/>
  <c r="E165" i="2" s="1"/>
  <c r="AT46" i="3"/>
  <c r="D166" i="2" s="1"/>
  <c r="AU46" i="3"/>
  <c r="E166" i="2" s="1"/>
  <c r="AR76" i="3" l="1"/>
  <c r="AR77" i="3"/>
  <c r="AR78" i="3"/>
  <c r="AR79" i="3"/>
  <c r="AR80" i="3"/>
  <c r="AR81" i="3"/>
  <c r="AR59" i="3"/>
  <c r="AR60" i="3"/>
  <c r="AR61" i="3"/>
  <c r="AR62" i="3"/>
  <c r="AR63" i="3"/>
  <c r="AR64" i="3"/>
  <c r="AR41" i="3"/>
  <c r="D154" i="2" s="1"/>
  <c r="AS41" i="3"/>
  <c r="E154" i="2" s="1"/>
  <c r="AR42" i="3"/>
  <c r="D155" i="2" s="1"/>
  <c r="AS42" i="3"/>
  <c r="E155" i="2" s="1"/>
  <c r="AR43" i="3"/>
  <c r="D156" i="2" s="1"/>
  <c r="AS43" i="3"/>
  <c r="E156" i="2" s="1"/>
  <c r="AR44" i="3"/>
  <c r="D157" i="2" s="1"/>
  <c r="AS44" i="3"/>
  <c r="E157" i="2" s="1"/>
  <c r="AR45" i="3"/>
  <c r="D158" i="2" s="1"/>
  <c r="AS45" i="3"/>
  <c r="E158" i="2" s="1"/>
  <c r="AR46" i="3"/>
  <c r="D159" i="2" s="1"/>
  <c r="AS46" i="3"/>
  <c r="E159" i="2" s="1"/>
  <c r="AN76" i="3" l="1"/>
  <c r="AN77" i="3"/>
  <c r="AN78" i="3"/>
  <c r="AN79" i="3"/>
  <c r="AN80" i="3"/>
  <c r="AN81" i="3"/>
  <c r="AN59" i="3"/>
  <c r="AN60" i="3"/>
  <c r="AN61" i="3"/>
  <c r="AN62" i="3"/>
  <c r="AN63" i="3"/>
  <c r="AN64" i="3"/>
  <c r="AN41" i="3"/>
  <c r="AO41" i="3"/>
  <c r="AN42" i="3"/>
  <c r="AO42" i="3"/>
  <c r="AN43" i="3"/>
  <c r="AO43" i="3"/>
  <c r="AN44" i="3"/>
  <c r="AO44" i="3"/>
  <c r="AN45" i="3"/>
  <c r="AO45" i="3"/>
  <c r="AN46" i="3"/>
  <c r="AO46" i="3"/>
  <c r="AB76" i="3" l="1"/>
  <c r="AB77" i="3"/>
  <c r="AB78" i="3"/>
  <c r="AB79" i="3"/>
  <c r="AB80" i="3"/>
  <c r="AB81" i="3"/>
  <c r="AB59" i="3"/>
  <c r="AB60" i="3"/>
  <c r="AB61" i="3"/>
  <c r="AB62" i="3"/>
  <c r="AB63" i="3"/>
  <c r="AB64" i="3"/>
  <c r="AB41" i="3"/>
  <c r="D98" i="2" s="1"/>
  <c r="AC41" i="3"/>
  <c r="E98" i="2" s="1"/>
  <c r="AB42" i="3"/>
  <c r="AC42" i="3"/>
  <c r="AB43" i="3"/>
  <c r="AC43" i="3"/>
  <c r="AB44" i="3"/>
  <c r="AC44" i="3"/>
  <c r="AB45" i="3"/>
  <c r="AC45" i="3"/>
  <c r="AB46" i="3"/>
  <c r="AC46" i="3"/>
  <c r="Z76" i="3" l="1"/>
  <c r="Z77" i="3"/>
  <c r="Z78" i="3"/>
  <c r="Z79" i="3"/>
  <c r="Z80" i="3"/>
  <c r="Z81" i="3"/>
  <c r="Z59" i="3"/>
  <c r="Z60" i="3"/>
  <c r="Z61" i="3"/>
  <c r="Z62" i="3"/>
  <c r="Z63" i="3"/>
  <c r="Z64" i="3"/>
  <c r="Z41" i="3"/>
  <c r="AA41" i="3"/>
  <c r="Z42" i="3"/>
  <c r="AA42" i="3"/>
  <c r="Z43" i="3"/>
  <c r="AA43" i="3"/>
  <c r="Z44" i="3"/>
  <c r="AA44" i="3"/>
  <c r="Z45" i="3"/>
  <c r="AA45" i="3"/>
  <c r="Z46" i="3"/>
  <c r="AA46" i="3"/>
  <c r="X76" i="3" l="1"/>
  <c r="X77" i="3"/>
  <c r="X78" i="3"/>
  <c r="X79" i="3"/>
  <c r="X80" i="3"/>
  <c r="X81" i="3"/>
  <c r="X59" i="3"/>
  <c r="X60" i="3"/>
  <c r="X61" i="3"/>
  <c r="X62" i="3"/>
  <c r="X63" i="3"/>
  <c r="X64" i="3"/>
  <c r="X41" i="3"/>
  <c r="D84" i="2" s="1"/>
  <c r="Y41" i="3"/>
  <c r="E84" i="2" s="1"/>
  <c r="X42" i="3"/>
  <c r="Y42" i="3"/>
  <c r="X43" i="3"/>
  <c r="D86" i="2" s="1"/>
  <c r="Y43" i="3"/>
  <c r="E86" i="2" s="1"/>
  <c r="X44" i="3"/>
  <c r="D87" i="2" s="1"/>
  <c r="Y44" i="3"/>
  <c r="E87" i="2" s="1"/>
  <c r="X45" i="3"/>
  <c r="D88" i="2" s="1"/>
  <c r="Y45" i="3"/>
  <c r="E88" i="2" s="1"/>
  <c r="X46" i="3"/>
  <c r="D89" i="2" s="1"/>
  <c r="Y46" i="3"/>
  <c r="E89" i="2" s="1"/>
  <c r="E85" i="2" l="1"/>
  <c r="E90" i="2" s="1"/>
  <c r="Y56" i="3"/>
  <c r="D85" i="2"/>
  <c r="X56" i="3"/>
  <c r="I88" i="2"/>
  <c r="M88" i="2" s="1"/>
  <c r="G88" i="2"/>
  <c r="J88" i="2" s="1"/>
  <c r="L88" i="2" s="1"/>
  <c r="G89" i="2"/>
  <c r="J89" i="2" s="1"/>
  <c r="L89" i="2" s="1"/>
  <c r="I89" i="2"/>
  <c r="M89" i="2" s="1"/>
  <c r="I87" i="2"/>
  <c r="M87" i="2" s="1"/>
  <c r="G87" i="2"/>
  <c r="J87" i="2" s="1"/>
  <c r="I86" i="2"/>
  <c r="G86" i="2"/>
  <c r="J86" i="2" s="1"/>
  <c r="G84" i="2"/>
  <c r="I84" i="2"/>
  <c r="V76" i="3"/>
  <c r="V77" i="3"/>
  <c r="V78" i="3"/>
  <c r="V79" i="3"/>
  <c r="V80" i="3"/>
  <c r="V81" i="3"/>
  <c r="V59" i="3"/>
  <c r="V60" i="3"/>
  <c r="V61" i="3"/>
  <c r="V62" i="3"/>
  <c r="V63" i="3"/>
  <c r="V64" i="3"/>
  <c r="V41" i="3"/>
  <c r="W41" i="3"/>
  <c r="V42" i="3"/>
  <c r="W42" i="3"/>
  <c r="V43" i="3"/>
  <c r="W43" i="3"/>
  <c r="V44" i="3"/>
  <c r="W44" i="3"/>
  <c r="V45" i="3"/>
  <c r="W45" i="3"/>
  <c r="V46" i="3"/>
  <c r="W46" i="3"/>
  <c r="G85" i="2" l="1"/>
  <c r="J85" i="2" s="1"/>
  <c r="L85" i="2" s="1"/>
  <c r="I85" i="2"/>
  <c r="K85" i="2" s="1"/>
  <c r="D90" i="2"/>
  <c r="K84" i="2"/>
  <c r="M84" i="2"/>
  <c r="W86" i="2"/>
  <c r="L86" i="2"/>
  <c r="W89" i="2"/>
  <c r="W87" i="2"/>
  <c r="L87" i="2"/>
  <c r="K89" i="2"/>
  <c r="W88" i="2"/>
  <c r="M86" i="2"/>
  <c r="K86" i="2"/>
  <c r="K87" i="2"/>
  <c r="J84" i="2"/>
  <c r="W84" i="2" s="1"/>
  <c r="K88" i="2"/>
  <c r="G90" i="2" l="1"/>
  <c r="W85" i="2"/>
  <c r="I90" i="2"/>
  <c r="M85" i="2"/>
  <c r="M90" i="2" s="1"/>
  <c r="J90" i="2"/>
  <c r="L84" i="2"/>
  <c r="L90" i="2" s="1"/>
  <c r="K90" i="2"/>
  <c r="H64" i="3" l="1"/>
  <c r="A12" i="2" l="1"/>
  <c r="BJ76" i="3" l="1"/>
  <c r="BJ77" i="3"/>
  <c r="BJ78" i="3"/>
  <c r="BJ79" i="3"/>
  <c r="BJ80" i="3"/>
  <c r="BJ81" i="3"/>
  <c r="BJ59" i="3"/>
  <c r="BJ60" i="3"/>
  <c r="BJ61" i="3"/>
  <c r="BJ62" i="3"/>
  <c r="BJ63" i="3"/>
  <c r="BJ64" i="3"/>
  <c r="BJ41" i="3"/>
  <c r="BK41" i="3"/>
  <c r="BJ42" i="3"/>
  <c r="BK42" i="3"/>
  <c r="BJ43" i="3"/>
  <c r="BK43" i="3"/>
  <c r="BJ44" i="3"/>
  <c r="BK44" i="3"/>
  <c r="BJ45" i="3"/>
  <c r="BK45" i="3"/>
  <c r="BJ46" i="3"/>
  <c r="BK46" i="3"/>
  <c r="G228" i="2" l="1"/>
  <c r="J228" i="2" s="1"/>
  <c r="I228" i="2"/>
  <c r="G229" i="2"/>
  <c r="J229" i="2" s="1"/>
  <c r="I229" i="2"/>
  <c r="G227" i="2"/>
  <c r="J227" i="2" s="1"/>
  <c r="I227" i="2"/>
  <c r="C160" i="2"/>
  <c r="B160" i="2"/>
  <c r="W228" i="2" l="1"/>
  <c r="L228" i="2"/>
  <c r="M227" i="2"/>
  <c r="K227" i="2"/>
  <c r="L227" i="2"/>
  <c r="W227" i="2"/>
  <c r="K229" i="2"/>
  <c r="M229" i="2"/>
  <c r="L229" i="2"/>
  <c r="W229" i="2"/>
  <c r="K228" i="2"/>
  <c r="M228" i="2"/>
  <c r="BH76" i="3"/>
  <c r="BH77" i="3"/>
  <c r="BH78" i="3"/>
  <c r="BH79" i="3"/>
  <c r="BH80" i="3"/>
  <c r="BH81" i="3"/>
  <c r="BH59" i="3"/>
  <c r="BH60" i="3"/>
  <c r="BH61" i="3"/>
  <c r="BH62" i="3"/>
  <c r="BH63" i="3"/>
  <c r="BH64" i="3"/>
  <c r="BH41" i="3"/>
  <c r="BI41" i="3"/>
  <c r="BH42" i="3"/>
  <c r="BI42" i="3"/>
  <c r="BH43" i="3"/>
  <c r="BI43" i="3"/>
  <c r="BH44" i="3"/>
  <c r="BI44" i="3"/>
  <c r="BH45" i="3"/>
  <c r="D214" i="2" s="1"/>
  <c r="BI45" i="3"/>
  <c r="BH46" i="3"/>
  <c r="D215" i="2" s="1"/>
  <c r="BI46" i="3"/>
  <c r="BD76" i="3" l="1"/>
  <c r="BD77" i="3"/>
  <c r="BD78" i="3"/>
  <c r="BD79" i="3"/>
  <c r="BD80" i="3"/>
  <c r="BD81" i="3"/>
  <c r="BD59" i="3"/>
  <c r="BD60" i="3"/>
  <c r="BD61" i="3"/>
  <c r="BD62" i="3"/>
  <c r="BD63" i="3"/>
  <c r="BD64" i="3"/>
  <c r="BD41" i="3"/>
  <c r="BE41" i="3"/>
  <c r="BD42" i="3"/>
  <c r="BE42" i="3"/>
  <c r="BD43" i="3"/>
  <c r="BE43" i="3"/>
  <c r="BD44" i="3"/>
  <c r="BE44" i="3"/>
  <c r="BD45" i="3"/>
  <c r="BE45" i="3"/>
  <c r="BD46" i="3"/>
  <c r="BE46" i="3"/>
  <c r="BE56" i="3" l="1"/>
  <c r="BD56" i="3"/>
  <c r="U22" i="4" l="1"/>
  <c r="U23" i="4"/>
  <c r="U24" i="4"/>
  <c r="U25" i="4"/>
  <c r="U26" i="4"/>
  <c r="AJ76" i="3" l="1"/>
  <c r="AJ77" i="3"/>
  <c r="AJ78" i="3"/>
  <c r="AJ79" i="3"/>
  <c r="AJ80" i="3"/>
  <c r="AJ81" i="3"/>
  <c r="AJ59" i="3"/>
  <c r="AJ60" i="3"/>
  <c r="AJ61" i="3"/>
  <c r="AJ62" i="3"/>
  <c r="AJ63" i="3"/>
  <c r="AJ64" i="3"/>
  <c r="AJ41" i="3"/>
  <c r="AK41" i="3"/>
  <c r="AJ42" i="3"/>
  <c r="AK42" i="3"/>
  <c r="AJ43" i="3"/>
  <c r="AK43" i="3"/>
  <c r="AJ44" i="3"/>
  <c r="AK44" i="3"/>
  <c r="AJ45" i="3"/>
  <c r="AK45" i="3"/>
  <c r="AJ46" i="3"/>
  <c r="AK46" i="3"/>
  <c r="J39" i="4" l="1"/>
  <c r="R76" i="3"/>
  <c r="R77" i="3"/>
  <c r="R78" i="3"/>
  <c r="R79" i="3"/>
  <c r="R80" i="3"/>
  <c r="R81" i="3"/>
  <c r="R59" i="3"/>
  <c r="R60" i="3"/>
  <c r="R61" i="3"/>
  <c r="R62" i="3"/>
  <c r="R63" i="3"/>
  <c r="R64" i="3"/>
  <c r="S41" i="3"/>
  <c r="R42" i="3"/>
  <c r="S42" i="3"/>
  <c r="R43" i="3"/>
  <c r="S43" i="3"/>
  <c r="R44" i="3"/>
  <c r="S44" i="3"/>
  <c r="R45" i="3"/>
  <c r="S45" i="3"/>
  <c r="R46" i="3"/>
  <c r="S46" i="3"/>
  <c r="S56" i="3" l="1"/>
  <c r="R56" i="3"/>
  <c r="B81" i="1"/>
  <c r="I61" i="2" l="1"/>
  <c r="K61" i="2" s="1"/>
  <c r="G61" i="2"/>
  <c r="J61" i="2" s="1"/>
  <c r="W61" i="2" s="1"/>
  <c r="G40" i="4"/>
  <c r="M61" i="2" l="1"/>
  <c r="L61" i="2"/>
  <c r="BC41" i="3"/>
  <c r="BB41" i="3"/>
  <c r="E189" i="2" l="1"/>
  <c r="D189" i="2"/>
  <c r="I189" i="2" l="1"/>
  <c r="M189" i="2" s="1"/>
  <c r="G189" i="2"/>
  <c r="J189" i="2" s="1"/>
  <c r="W189" i="2" s="1"/>
  <c r="K189" i="2" l="1"/>
  <c r="L189" i="2"/>
  <c r="AF10" i="4"/>
  <c r="D222" i="2" l="1"/>
  <c r="D221" i="2"/>
  <c r="D220" i="2"/>
  <c r="D219" i="2"/>
  <c r="D218" i="2"/>
  <c r="D217" i="2"/>
  <c r="E222" i="2"/>
  <c r="E221" i="2"/>
  <c r="E220" i="2"/>
  <c r="E219" i="2"/>
  <c r="E218" i="2"/>
  <c r="E217" i="2"/>
  <c r="I217" i="2" l="1"/>
  <c r="G217" i="2"/>
  <c r="J217" i="2" s="1"/>
  <c r="W217" i="2" s="1"/>
  <c r="G218" i="2"/>
  <c r="J218" i="2" s="1"/>
  <c r="I218" i="2"/>
  <c r="I219" i="2"/>
  <c r="G219" i="2"/>
  <c r="J219" i="2" s="1"/>
  <c r="I220" i="2"/>
  <c r="G220" i="2"/>
  <c r="J220" i="2" s="1"/>
  <c r="I221" i="2"/>
  <c r="G221" i="2"/>
  <c r="J221" i="2" s="1"/>
  <c r="I222" i="2"/>
  <c r="G222" i="2"/>
  <c r="J222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L222" i="2" l="1"/>
  <c r="W222" i="2"/>
  <c r="L219" i="2"/>
  <c r="W219" i="2"/>
  <c r="L220" i="2"/>
  <c r="W220" i="2"/>
  <c r="L221" i="2"/>
  <c r="W221" i="2"/>
  <c r="L218" i="2"/>
  <c r="W218" i="2"/>
  <c r="L217" i="2"/>
  <c r="K222" i="2"/>
  <c r="M222" i="2"/>
  <c r="M221" i="2"/>
  <c r="K221" i="2"/>
  <c r="M220" i="2"/>
  <c r="K220" i="2"/>
  <c r="K219" i="2"/>
  <c r="M219" i="2"/>
  <c r="M218" i="2"/>
  <c r="K218" i="2"/>
  <c r="M217" i="2"/>
  <c r="K217" i="2"/>
  <c r="W223" i="2" l="1"/>
  <c r="E201" i="2"/>
  <c r="D201" i="2"/>
  <c r="E200" i="2"/>
  <c r="D200" i="2"/>
  <c r="E199" i="2"/>
  <c r="D199" i="2"/>
  <c r="E198" i="2"/>
  <c r="D198" i="2"/>
  <c r="BF43" i="3"/>
  <c r="D205" i="2" s="1"/>
  <c r="E197" i="2"/>
  <c r="D197" i="2"/>
  <c r="E196" i="2"/>
  <c r="D196" i="2"/>
  <c r="E202" i="2" l="1"/>
  <c r="D202" i="2"/>
  <c r="I200" i="2"/>
  <c r="G200" i="2"/>
  <c r="J200" i="2" s="1"/>
  <c r="L200" i="2" s="1"/>
  <c r="I197" i="2"/>
  <c r="G197" i="2"/>
  <c r="J197" i="2" s="1"/>
  <c r="L197" i="2" s="1"/>
  <c r="I201" i="2"/>
  <c r="G201" i="2"/>
  <c r="J201" i="2" s="1"/>
  <c r="L201" i="2" s="1"/>
  <c r="G198" i="2"/>
  <c r="J198" i="2" s="1"/>
  <c r="L198" i="2" s="1"/>
  <c r="I198" i="2"/>
  <c r="G199" i="2"/>
  <c r="J199" i="2" s="1"/>
  <c r="L199" i="2" s="1"/>
  <c r="I199" i="2"/>
  <c r="I196" i="2"/>
  <c r="G196" i="2"/>
  <c r="BB81" i="3"/>
  <c r="BB80" i="3"/>
  <c r="BB79" i="3"/>
  <c r="BB78" i="3"/>
  <c r="BB77" i="3"/>
  <c r="BB76" i="3"/>
  <c r="BB64" i="3"/>
  <c r="AB10" i="4" s="1"/>
  <c r="BB63" i="3"/>
  <c r="AB9" i="4" s="1"/>
  <c r="BB62" i="3"/>
  <c r="BB61" i="3"/>
  <c r="BB60" i="3"/>
  <c r="BB59" i="3"/>
  <c r="BC45" i="3"/>
  <c r="E193" i="2" s="1"/>
  <c r="BC46" i="3"/>
  <c r="E194" i="2" s="1"/>
  <c r="BB46" i="3"/>
  <c r="D194" i="2" s="1"/>
  <c r="BB45" i="3"/>
  <c r="D193" i="2" s="1"/>
  <c r="BC44" i="3"/>
  <c r="E192" i="2" s="1"/>
  <c r="BB44" i="3"/>
  <c r="D192" i="2" s="1"/>
  <c r="BC43" i="3"/>
  <c r="E191" i="2" s="1"/>
  <c r="BB43" i="3"/>
  <c r="D191" i="2" s="1"/>
  <c r="BC42" i="3"/>
  <c r="BB42" i="3"/>
  <c r="BB56" i="3" l="1"/>
  <c r="BC56" i="3"/>
  <c r="I191" i="2"/>
  <c r="M191" i="2" s="1"/>
  <c r="D190" i="2"/>
  <c r="D195" i="2" s="1"/>
  <c r="E190" i="2"/>
  <c r="E195" i="2" s="1"/>
  <c r="G192" i="2"/>
  <c r="J192" i="2" s="1"/>
  <c r="I192" i="2"/>
  <c r="G191" i="2"/>
  <c r="J191" i="2" s="1"/>
  <c r="I193" i="2"/>
  <c r="G193" i="2"/>
  <c r="J193" i="2" s="1"/>
  <c r="I194" i="2"/>
  <c r="G194" i="2"/>
  <c r="J194" i="2" s="1"/>
  <c r="I202" i="2"/>
  <c r="J196" i="2"/>
  <c r="W196" i="2" s="1"/>
  <c r="G202" i="2"/>
  <c r="K196" i="2"/>
  <c r="M196" i="2"/>
  <c r="K199" i="2"/>
  <c r="M199" i="2"/>
  <c r="K198" i="2"/>
  <c r="M198" i="2"/>
  <c r="M201" i="2"/>
  <c r="K201" i="2"/>
  <c r="M197" i="2"/>
  <c r="K197" i="2"/>
  <c r="M200" i="2"/>
  <c r="K200" i="2"/>
  <c r="AZ81" i="3"/>
  <c r="AZ80" i="3"/>
  <c r="AZ79" i="3"/>
  <c r="AZ78" i="3"/>
  <c r="AZ77" i="3"/>
  <c r="AZ76" i="3"/>
  <c r="AZ64" i="3"/>
  <c r="AA10" i="4" s="1"/>
  <c r="AZ63" i="3"/>
  <c r="AA9" i="4" s="1"/>
  <c r="AZ62" i="3"/>
  <c r="AZ61" i="3"/>
  <c r="AZ60" i="3"/>
  <c r="AZ59" i="3"/>
  <c r="BA46" i="3"/>
  <c r="E187" i="2" s="1"/>
  <c r="AZ46" i="3"/>
  <c r="D187" i="2" s="1"/>
  <c r="BA45" i="3"/>
  <c r="E186" i="2" s="1"/>
  <c r="AZ45" i="3"/>
  <c r="D186" i="2" s="1"/>
  <c r="BA44" i="3"/>
  <c r="E185" i="2" s="1"/>
  <c r="AZ44" i="3"/>
  <c r="D185" i="2" s="1"/>
  <c r="BA43" i="3"/>
  <c r="E184" i="2" s="1"/>
  <c r="AZ43" i="3"/>
  <c r="D184" i="2" s="1"/>
  <c r="BA42" i="3"/>
  <c r="E183" i="2" s="1"/>
  <c r="AZ42" i="3"/>
  <c r="D183" i="2" s="1"/>
  <c r="BA41" i="3"/>
  <c r="AZ41" i="3"/>
  <c r="AZ56" i="3" l="1"/>
  <c r="BA56" i="3"/>
  <c r="K191" i="2"/>
  <c r="W191" i="2"/>
  <c r="L191" i="2"/>
  <c r="L192" i="2"/>
  <c r="W192" i="2"/>
  <c r="M194" i="2"/>
  <c r="K194" i="2"/>
  <c r="M193" i="2"/>
  <c r="K193" i="2"/>
  <c r="K192" i="2"/>
  <c r="M192" i="2"/>
  <c r="I190" i="2"/>
  <c r="I195" i="2" s="1"/>
  <c r="G190" i="2"/>
  <c r="G195" i="2" s="1"/>
  <c r="L193" i="2"/>
  <c r="W193" i="2"/>
  <c r="L194" i="2"/>
  <c r="W194" i="2"/>
  <c r="D182" i="2"/>
  <c r="D188" i="2" s="1"/>
  <c r="E182" i="2"/>
  <c r="E188" i="2" s="1"/>
  <c r="K202" i="2"/>
  <c r="M202" i="2"/>
  <c r="L196" i="2"/>
  <c r="L202" i="2" s="1"/>
  <c r="J202" i="2"/>
  <c r="G183" i="2"/>
  <c r="J183" i="2" s="1"/>
  <c r="L183" i="2" s="1"/>
  <c r="I183" i="2"/>
  <c r="I185" i="2"/>
  <c r="G185" i="2"/>
  <c r="J185" i="2" s="1"/>
  <c r="L185" i="2" s="1"/>
  <c r="I184" i="2"/>
  <c r="G184" i="2"/>
  <c r="J184" i="2" s="1"/>
  <c r="L184" i="2" s="1"/>
  <c r="I186" i="2"/>
  <c r="G186" i="2"/>
  <c r="J186" i="2" s="1"/>
  <c r="L186" i="2" s="1"/>
  <c r="I187" i="2"/>
  <c r="G187" i="2"/>
  <c r="J187" i="2" s="1"/>
  <c r="L187" i="2" s="1"/>
  <c r="G182" i="2" l="1"/>
  <c r="G188" i="2" s="1"/>
  <c r="I182" i="2"/>
  <c r="M182" i="2" s="1"/>
  <c r="M190" i="2"/>
  <c r="M195" i="2" s="1"/>
  <c r="K190" i="2"/>
  <c r="K195" i="2" s="1"/>
  <c r="J190" i="2"/>
  <c r="D181" i="2"/>
  <c r="AX56" i="3"/>
  <c r="E181" i="2"/>
  <c r="AY56" i="3"/>
  <c r="M185" i="2"/>
  <c r="K185" i="2"/>
  <c r="M183" i="2"/>
  <c r="K183" i="2"/>
  <c r="K186" i="2"/>
  <c r="M186" i="2"/>
  <c r="K187" i="2"/>
  <c r="M187" i="2"/>
  <c r="K184" i="2"/>
  <c r="M184" i="2"/>
  <c r="G177" i="2"/>
  <c r="J177" i="2" s="1"/>
  <c r="L177" i="2" s="1"/>
  <c r="I177" i="2"/>
  <c r="I178" i="2"/>
  <c r="G178" i="2"/>
  <c r="J178" i="2" s="1"/>
  <c r="L178" i="2" s="1"/>
  <c r="I176" i="2"/>
  <c r="G176" i="2"/>
  <c r="J176" i="2" s="1"/>
  <c r="L176" i="2" s="1"/>
  <c r="I179" i="2"/>
  <c r="G179" i="2"/>
  <c r="J179" i="2" s="1"/>
  <c r="L179" i="2" s="1"/>
  <c r="I180" i="2"/>
  <c r="G180" i="2"/>
  <c r="J180" i="2" s="1"/>
  <c r="L180" i="2" s="1"/>
  <c r="U10" i="4"/>
  <c r="U9" i="4"/>
  <c r="W190" i="2" l="1"/>
  <c r="W195" i="2" s="1"/>
  <c r="J195" i="2"/>
  <c r="J182" i="2"/>
  <c r="W182" i="2" s="1"/>
  <c r="M188" i="2"/>
  <c r="K182" i="2"/>
  <c r="K188" i="2" s="1"/>
  <c r="I188" i="2"/>
  <c r="L190" i="2"/>
  <c r="L195" i="2" s="1"/>
  <c r="I175" i="2"/>
  <c r="M175" i="2" s="1"/>
  <c r="G175" i="2"/>
  <c r="J175" i="2" s="1"/>
  <c r="W175" i="2" s="1"/>
  <c r="M176" i="2"/>
  <c r="K176" i="2"/>
  <c r="K180" i="2"/>
  <c r="M180" i="2"/>
  <c r="M178" i="2"/>
  <c r="K178" i="2"/>
  <c r="K179" i="2"/>
  <c r="M179" i="2"/>
  <c r="K177" i="2"/>
  <c r="M177" i="2"/>
  <c r="T10" i="4"/>
  <c r="T9" i="4"/>
  <c r="J188" i="2" l="1"/>
  <c r="L182" i="2"/>
  <c r="L188" i="2" s="1"/>
  <c r="I181" i="2"/>
  <c r="K175" i="2"/>
  <c r="K181" i="2" s="1"/>
  <c r="J181" i="2"/>
  <c r="G181" i="2"/>
  <c r="L175" i="2"/>
  <c r="L181" i="2" s="1"/>
  <c r="M181" i="2"/>
  <c r="AF81" i="3"/>
  <c r="AF80" i="3"/>
  <c r="AF79" i="3"/>
  <c r="AF78" i="3"/>
  <c r="AF77" i="3"/>
  <c r="AF76" i="3"/>
  <c r="AF64" i="3"/>
  <c r="AF63" i="3"/>
  <c r="AF62" i="3"/>
  <c r="AF61" i="3"/>
  <c r="AF60" i="3"/>
  <c r="AF59" i="3"/>
  <c r="AG46" i="3"/>
  <c r="AF46" i="3"/>
  <c r="AG45" i="3"/>
  <c r="AF45" i="3"/>
  <c r="AG44" i="3"/>
  <c r="AF44" i="3"/>
  <c r="AG43" i="3"/>
  <c r="AF43" i="3"/>
  <c r="AG42" i="3"/>
  <c r="AF42" i="3"/>
  <c r="AG41" i="3"/>
  <c r="AF41" i="3"/>
  <c r="E112" i="2" l="1"/>
  <c r="AD81" i="3"/>
  <c r="AD80" i="3"/>
  <c r="AD79" i="3"/>
  <c r="AD78" i="3"/>
  <c r="AD77" i="3"/>
  <c r="AD76" i="3"/>
  <c r="AD64" i="3"/>
  <c r="AD63" i="3"/>
  <c r="AD62" i="3"/>
  <c r="AD61" i="3"/>
  <c r="AD60" i="3"/>
  <c r="AD59" i="3"/>
  <c r="AE46" i="3"/>
  <c r="E110" i="2" s="1"/>
  <c r="AD46" i="3"/>
  <c r="D110" i="2" s="1"/>
  <c r="AE45" i="3"/>
  <c r="E109" i="2" s="1"/>
  <c r="AD45" i="3"/>
  <c r="D109" i="2" s="1"/>
  <c r="AE44" i="3"/>
  <c r="E108" i="2" s="1"/>
  <c r="AD44" i="3"/>
  <c r="D108" i="2" s="1"/>
  <c r="AE43" i="3"/>
  <c r="E107" i="2" s="1"/>
  <c r="AD43" i="3"/>
  <c r="D107" i="2" s="1"/>
  <c r="AE42" i="3"/>
  <c r="E106" i="2" s="1"/>
  <c r="AD42" i="3"/>
  <c r="D106" i="2" s="1"/>
  <c r="AE41" i="3"/>
  <c r="E105" i="2" s="1"/>
  <c r="AD41" i="3"/>
  <c r="D105" i="2" s="1"/>
  <c r="I106" i="2" l="1"/>
  <c r="G106" i="2"/>
  <c r="J106" i="2" s="1"/>
  <c r="I105" i="2"/>
  <c r="G105" i="2"/>
  <c r="J105" i="2" s="1"/>
  <c r="W105" i="2" s="1"/>
  <c r="G107" i="2"/>
  <c r="J107" i="2" s="1"/>
  <c r="I107" i="2"/>
  <c r="I108" i="2"/>
  <c r="G108" i="2"/>
  <c r="J108" i="2" s="1"/>
  <c r="G109" i="2"/>
  <c r="J109" i="2" s="1"/>
  <c r="I109" i="2"/>
  <c r="I110" i="2"/>
  <c r="G110" i="2"/>
  <c r="J110" i="2" s="1"/>
  <c r="L110" i="2" l="1"/>
  <c r="W110" i="2"/>
  <c r="L108" i="2"/>
  <c r="W108" i="2"/>
  <c r="L105" i="2"/>
  <c r="L106" i="2"/>
  <c r="W106" i="2"/>
  <c r="L109" i="2"/>
  <c r="W109" i="2"/>
  <c r="L107" i="2"/>
  <c r="W107" i="2"/>
  <c r="M106" i="2"/>
  <c r="K106" i="2"/>
  <c r="M109" i="2"/>
  <c r="K109" i="2"/>
  <c r="M107" i="2"/>
  <c r="K107" i="2"/>
  <c r="K105" i="2"/>
  <c r="M105" i="2"/>
  <c r="M110" i="2"/>
  <c r="K110" i="2"/>
  <c r="M108" i="2"/>
  <c r="K108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41" i="4" l="1"/>
  <c r="J34" i="13" l="1"/>
  <c r="I34" i="13"/>
  <c r="F236" i="2" l="1"/>
  <c r="F237" i="2"/>
  <c r="C250" i="2" l="1"/>
  <c r="B250" i="2"/>
  <c r="AE41" i="4" l="1"/>
  <c r="AE40" i="4"/>
  <c r="AE39" i="4"/>
  <c r="Z39" i="4"/>
  <c r="Z41" i="4"/>
  <c r="Z40" i="4"/>
  <c r="AD81" i="1" l="1"/>
  <c r="N216" i="2" s="1"/>
  <c r="B31" i="13" s="1"/>
  <c r="AE81" i="1"/>
  <c r="N223" i="2" s="1"/>
  <c r="B32" i="13" l="1"/>
  <c r="G31" i="13"/>
  <c r="AF26" i="4"/>
  <c r="AE26" i="4"/>
  <c r="AF25" i="4"/>
  <c r="AE25" i="4"/>
  <c r="AF24" i="4"/>
  <c r="AE24" i="4"/>
  <c r="AF23" i="4"/>
  <c r="AE23" i="4"/>
  <c r="AF22" i="4"/>
  <c r="AE22" i="4"/>
  <c r="AE10" i="4"/>
  <c r="AF9" i="4"/>
  <c r="AF8" i="4"/>
  <c r="AF7" i="4"/>
  <c r="AE7" i="4"/>
  <c r="AF6" i="4"/>
  <c r="AE6" i="4"/>
  <c r="AF5" i="4"/>
  <c r="AE5" i="4"/>
  <c r="E215" i="2"/>
  <c r="E214" i="2"/>
  <c r="E213" i="2"/>
  <c r="D213" i="2"/>
  <c r="E212" i="2"/>
  <c r="D212" i="2"/>
  <c r="E211" i="2"/>
  <c r="D211" i="2"/>
  <c r="E210" i="2"/>
  <c r="D210" i="2"/>
  <c r="AF48" i="4" l="1"/>
  <c r="AE48" i="4"/>
  <c r="I211" i="2"/>
  <c r="G211" i="2"/>
  <c r="J211" i="2" s="1"/>
  <c r="L211" i="2" s="1"/>
  <c r="I212" i="2"/>
  <c r="G212" i="2"/>
  <c r="J212" i="2" s="1"/>
  <c r="L212" i="2" s="1"/>
  <c r="I210" i="2"/>
  <c r="G210" i="2"/>
  <c r="J210" i="2" s="1"/>
  <c r="W210" i="2" s="1"/>
  <c r="G213" i="2"/>
  <c r="J213" i="2" s="1"/>
  <c r="L213" i="2" s="1"/>
  <c r="I213" i="2"/>
  <c r="I214" i="2"/>
  <c r="G214" i="2"/>
  <c r="J214" i="2" s="1"/>
  <c r="L214" i="2" s="1"/>
  <c r="I215" i="2"/>
  <c r="G215" i="2"/>
  <c r="J215" i="2" s="1"/>
  <c r="L215" i="2" s="1"/>
  <c r="AF49" i="4"/>
  <c r="BJ56" i="3"/>
  <c r="BH56" i="3"/>
  <c r="BK56" i="3"/>
  <c r="E216" i="2"/>
  <c r="BI56" i="3"/>
  <c r="G32" i="13"/>
  <c r="AF47" i="4"/>
  <c r="AF52" i="4" s="1"/>
  <c r="AF46" i="4"/>
  <c r="AE8" i="4"/>
  <c r="AE9" i="4"/>
  <c r="AE47" i="4"/>
  <c r="E230" i="2" l="1"/>
  <c r="G224" i="2"/>
  <c r="I224" i="2"/>
  <c r="D230" i="2"/>
  <c r="L210" i="2"/>
  <c r="M214" i="2"/>
  <c r="K214" i="2"/>
  <c r="K215" i="2"/>
  <c r="M215" i="2"/>
  <c r="M210" i="2"/>
  <c r="K210" i="2"/>
  <c r="M212" i="2"/>
  <c r="K212" i="2"/>
  <c r="M213" i="2"/>
  <c r="K213" i="2"/>
  <c r="K211" i="2"/>
  <c r="M211" i="2"/>
  <c r="AE49" i="4"/>
  <c r="W211" i="2"/>
  <c r="AE52" i="4"/>
  <c r="D216" i="2"/>
  <c r="H31" i="13" s="1"/>
  <c r="AE46" i="4"/>
  <c r="H33" i="13" l="1"/>
  <c r="K224" i="2"/>
  <c r="K230" i="2" s="1"/>
  <c r="I230" i="2"/>
  <c r="M224" i="2"/>
  <c r="M230" i="2" s="1"/>
  <c r="G230" i="2"/>
  <c r="J224" i="2"/>
  <c r="W224" i="2" s="1"/>
  <c r="L76" i="1"/>
  <c r="L77" i="1"/>
  <c r="L78" i="1"/>
  <c r="L79" i="1"/>
  <c r="W230" i="2" l="1"/>
  <c r="J230" i="2"/>
  <c r="L224" i="2"/>
  <c r="L230" i="2" s="1"/>
  <c r="K76" i="1"/>
  <c r="K77" i="1"/>
  <c r="K78" i="1"/>
  <c r="K79" i="1"/>
  <c r="O230" i="2" l="1"/>
  <c r="F33" i="13" s="1"/>
  <c r="D33" i="13"/>
  <c r="Y34" i="3"/>
  <c r="X34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3" i="13" l="1"/>
  <c r="D41" i="4"/>
  <c r="AF50" i="4" l="1"/>
  <c r="AF53" i="4"/>
  <c r="AF51" i="4"/>
  <c r="B11" i="11"/>
  <c r="K32" i="13" l="1"/>
  <c r="D40" i="4" l="1"/>
  <c r="N42" i="4" l="1"/>
  <c r="G42" i="4" l="1"/>
  <c r="D39" i="4" l="1"/>
  <c r="E42" i="4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41" i="4" l="1"/>
  <c r="AC41" i="4"/>
  <c r="AB41" i="4"/>
  <c r="AA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G41" i="4"/>
  <c r="F41" i="4"/>
  <c r="E41" i="4"/>
  <c r="I41" i="4"/>
  <c r="H41" i="4"/>
  <c r="C41" i="4"/>
  <c r="AE50" i="4" l="1"/>
  <c r="AE53" i="4"/>
  <c r="AE51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K31" i="13" l="1"/>
  <c r="AD40" i="4"/>
  <c r="AD39" i="4"/>
  <c r="G10" i="13" l="1"/>
  <c r="G11" i="13" l="1"/>
  <c r="C45" i="1" l="1"/>
  <c r="D45" i="1"/>
  <c r="F45" i="1"/>
  <c r="G45" i="1"/>
  <c r="H45" i="1"/>
  <c r="I45" i="1"/>
  <c r="J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J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J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J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J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J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J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J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J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J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J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J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J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J61" i="1"/>
  <c r="K61" i="1"/>
  <c r="L61" i="1"/>
  <c r="M61" i="1"/>
  <c r="N61" i="1"/>
  <c r="O61" i="1"/>
  <c r="P61" i="1"/>
  <c r="C62" i="1"/>
  <c r="D62" i="1"/>
  <c r="F62" i="1"/>
  <c r="G62" i="1"/>
  <c r="H62" i="1"/>
  <c r="I62" i="1"/>
  <c r="J62" i="1"/>
  <c r="K62" i="1"/>
  <c r="L62" i="1"/>
  <c r="M62" i="1"/>
  <c r="N62" i="1"/>
  <c r="O62" i="1"/>
  <c r="P62" i="1"/>
  <c r="C63" i="1"/>
  <c r="D63" i="1"/>
  <c r="F63" i="1"/>
  <c r="G63" i="1"/>
  <c r="H63" i="1"/>
  <c r="I63" i="1"/>
  <c r="J63" i="1"/>
  <c r="K63" i="1"/>
  <c r="L63" i="1"/>
  <c r="M63" i="1"/>
  <c r="N63" i="1"/>
  <c r="O63" i="1"/>
  <c r="P63" i="1"/>
  <c r="C64" i="1"/>
  <c r="D64" i="1"/>
  <c r="F64" i="1"/>
  <c r="G64" i="1"/>
  <c r="H64" i="1"/>
  <c r="I64" i="1"/>
  <c r="J64" i="1"/>
  <c r="K64" i="1"/>
  <c r="L64" i="1"/>
  <c r="M64" i="1"/>
  <c r="N64" i="1"/>
  <c r="O64" i="1"/>
  <c r="P64" i="1"/>
  <c r="C65" i="1"/>
  <c r="D65" i="1"/>
  <c r="F65" i="1"/>
  <c r="G65" i="1"/>
  <c r="H65" i="1"/>
  <c r="I65" i="1"/>
  <c r="J65" i="1"/>
  <c r="K65" i="1"/>
  <c r="L65" i="1"/>
  <c r="M65" i="1"/>
  <c r="N65" i="1"/>
  <c r="O65" i="1"/>
  <c r="P65" i="1"/>
  <c r="C66" i="1"/>
  <c r="D66" i="1"/>
  <c r="F66" i="1"/>
  <c r="G66" i="1"/>
  <c r="H66" i="1"/>
  <c r="I66" i="1"/>
  <c r="J66" i="1"/>
  <c r="K66" i="1"/>
  <c r="L66" i="1"/>
  <c r="M66" i="1"/>
  <c r="N66" i="1"/>
  <c r="O66" i="1"/>
  <c r="P66" i="1"/>
  <c r="C67" i="1"/>
  <c r="D67" i="1"/>
  <c r="F67" i="1"/>
  <c r="G67" i="1"/>
  <c r="H67" i="1"/>
  <c r="I67" i="1"/>
  <c r="J67" i="1"/>
  <c r="K67" i="1"/>
  <c r="L67" i="1"/>
  <c r="M67" i="1"/>
  <c r="N67" i="1"/>
  <c r="O67" i="1"/>
  <c r="P67" i="1"/>
  <c r="C68" i="1"/>
  <c r="D68" i="1"/>
  <c r="F68" i="1"/>
  <c r="G68" i="1"/>
  <c r="H68" i="1"/>
  <c r="I68" i="1"/>
  <c r="J68" i="1"/>
  <c r="K68" i="1"/>
  <c r="L68" i="1"/>
  <c r="M68" i="1"/>
  <c r="N68" i="1"/>
  <c r="O68" i="1"/>
  <c r="P68" i="1"/>
  <c r="C69" i="1"/>
  <c r="D69" i="1"/>
  <c r="F69" i="1"/>
  <c r="G69" i="1"/>
  <c r="H69" i="1"/>
  <c r="I69" i="1"/>
  <c r="J69" i="1"/>
  <c r="K69" i="1"/>
  <c r="L69" i="1"/>
  <c r="M69" i="1"/>
  <c r="N69" i="1"/>
  <c r="O69" i="1"/>
  <c r="P69" i="1"/>
  <c r="C70" i="1"/>
  <c r="D70" i="1"/>
  <c r="F70" i="1"/>
  <c r="G70" i="1"/>
  <c r="H70" i="1"/>
  <c r="I70" i="1"/>
  <c r="J70" i="1"/>
  <c r="K70" i="1"/>
  <c r="L70" i="1"/>
  <c r="M70" i="1"/>
  <c r="N70" i="1"/>
  <c r="O70" i="1"/>
  <c r="P70" i="1"/>
  <c r="C71" i="1"/>
  <c r="D71" i="1"/>
  <c r="F71" i="1"/>
  <c r="G71" i="1"/>
  <c r="H71" i="1"/>
  <c r="I71" i="1"/>
  <c r="J71" i="1"/>
  <c r="K71" i="1"/>
  <c r="L71" i="1"/>
  <c r="M71" i="1"/>
  <c r="N71" i="1"/>
  <c r="O71" i="1"/>
  <c r="P71" i="1"/>
  <c r="C72" i="1"/>
  <c r="D72" i="1"/>
  <c r="F72" i="1"/>
  <c r="G72" i="1"/>
  <c r="H72" i="1"/>
  <c r="I72" i="1"/>
  <c r="J72" i="1"/>
  <c r="K72" i="1"/>
  <c r="L72" i="1"/>
  <c r="M72" i="1"/>
  <c r="N72" i="1"/>
  <c r="O72" i="1"/>
  <c r="P72" i="1"/>
  <c r="C73" i="1"/>
  <c r="D73" i="1"/>
  <c r="F73" i="1"/>
  <c r="G73" i="1"/>
  <c r="H73" i="1"/>
  <c r="I73" i="1"/>
  <c r="J73" i="1"/>
  <c r="K73" i="1"/>
  <c r="L73" i="1"/>
  <c r="M73" i="1"/>
  <c r="N73" i="1"/>
  <c r="O73" i="1"/>
  <c r="P73" i="1"/>
  <c r="C74" i="1"/>
  <c r="D74" i="1"/>
  <c r="F74" i="1"/>
  <c r="G74" i="1"/>
  <c r="H74" i="1"/>
  <c r="I74" i="1"/>
  <c r="J74" i="1"/>
  <c r="K74" i="1"/>
  <c r="L74" i="1"/>
  <c r="M74" i="1"/>
  <c r="N74" i="1"/>
  <c r="O74" i="1"/>
  <c r="P74" i="1"/>
  <c r="C75" i="1"/>
  <c r="D75" i="1"/>
  <c r="F75" i="1"/>
  <c r="G75" i="1"/>
  <c r="H75" i="1"/>
  <c r="I75" i="1"/>
  <c r="J75" i="1"/>
  <c r="K75" i="1"/>
  <c r="L75" i="1"/>
  <c r="M75" i="1"/>
  <c r="N75" i="1"/>
  <c r="O75" i="1"/>
  <c r="P75" i="1"/>
  <c r="C76" i="1"/>
  <c r="D76" i="1"/>
  <c r="F76" i="1"/>
  <c r="G76" i="1"/>
  <c r="H76" i="1"/>
  <c r="I76" i="1"/>
  <c r="J76" i="1"/>
  <c r="M76" i="1"/>
  <c r="N76" i="1"/>
  <c r="O76" i="1"/>
  <c r="P76" i="1"/>
  <c r="C77" i="1"/>
  <c r="D77" i="1"/>
  <c r="F77" i="1"/>
  <c r="G77" i="1"/>
  <c r="H77" i="1"/>
  <c r="I77" i="1"/>
  <c r="J77" i="1"/>
  <c r="M77" i="1"/>
  <c r="N77" i="1"/>
  <c r="O77" i="1"/>
  <c r="P77" i="1"/>
  <c r="C78" i="1"/>
  <c r="D78" i="1"/>
  <c r="F78" i="1"/>
  <c r="G78" i="1"/>
  <c r="H78" i="1"/>
  <c r="I78" i="1"/>
  <c r="J78" i="1"/>
  <c r="M78" i="1"/>
  <c r="N78" i="1"/>
  <c r="O78" i="1"/>
  <c r="P78" i="1"/>
  <c r="C79" i="1"/>
  <c r="D79" i="1"/>
  <c r="F79" i="1"/>
  <c r="G79" i="1"/>
  <c r="H79" i="1"/>
  <c r="I79" i="1"/>
  <c r="J79" i="1"/>
  <c r="M79" i="1"/>
  <c r="N79" i="1"/>
  <c r="O79" i="1"/>
  <c r="P79" i="1"/>
  <c r="AC39" i="4" l="1"/>
  <c r="AB40" i="4" l="1"/>
  <c r="AB39" i="4"/>
  <c r="AA40" i="4" l="1"/>
  <c r="AA39" i="4"/>
  <c r="Y40" i="4" l="1"/>
  <c r="X40" i="4"/>
  <c r="W40" i="4"/>
  <c r="X39" i="4"/>
  <c r="W39" i="4"/>
  <c r="V40" i="4" l="1"/>
  <c r="V39" i="4"/>
  <c r="U40" i="4"/>
  <c r="T40" i="4"/>
  <c r="U39" i="4"/>
  <c r="T39" i="4"/>
  <c r="U48" i="4" l="1"/>
  <c r="S39" i="4"/>
  <c r="S40" i="4"/>
  <c r="R40" i="4"/>
  <c r="R39" i="4"/>
  <c r="Q40" i="4" l="1"/>
  <c r="Q39" i="4"/>
  <c r="P40" i="4" l="1"/>
  <c r="P39" i="4"/>
  <c r="O40" i="4" l="1"/>
  <c r="O39" i="4"/>
  <c r="N40" i="4" l="1"/>
  <c r="N39" i="4"/>
  <c r="M39" i="4" l="1"/>
  <c r="L39" i="4"/>
  <c r="M40" i="4"/>
  <c r="L40" i="4"/>
  <c r="K40" i="4"/>
  <c r="K39" i="4"/>
  <c r="J40" i="4"/>
  <c r="I40" i="4" l="1"/>
  <c r="I39" i="4"/>
  <c r="H40" i="4" l="1"/>
  <c r="H39" i="4"/>
  <c r="G39" i="4"/>
  <c r="F40" i="4"/>
  <c r="F39" i="4"/>
  <c r="E40" i="4"/>
  <c r="C40" i="4"/>
  <c r="C39" i="4"/>
  <c r="E223" i="2" l="1"/>
  <c r="N11" i="2"/>
  <c r="C81" i="1" l="1"/>
  <c r="N18" i="2" s="1"/>
  <c r="Q81" i="1"/>
  <c r="N125" i="2" s="1"/>
  <c r="B18" i="13" s="1"/>
  <c r="AC81" i="1"/>
  <c r="N209" i="2" s="1"/>
  <c r="B30" i="13" s="1"/>
  <c r="O81" i="1"/>
  <c r="K81" i="1"/>
  <c r="N83" i="2" s="1"/>
  <c r="B12" i="13" s="1"/>
  <c r="G81" i="1"/>
  <c r="F81" i="1"/>
  <c r="N39" i="2" s="1"/>
  <c r="N81" i="1"/>
  <c r="N104" i="2" s="1"/>
  <c r="B15" i="13" s="1"/>
  <c r="J81" i="1"/>
  <c r="N76" i="2" s="1"/>
  <c r="M81" i="1"/>
  <c r="I81" i="1"/>
  <c r="N69" i="2" s="1"/>
  <c r="B10" i="13" s="1"/>
  <c r="E81" i="1"/>
  <c r="N32" i="2" s="1"/>
  <c r="P81" i="1"/>
  <c r="N118" i="2" s="1"/>
  <c r="L81" i="1"/>
  <c r="N90" i="2" s="1"/>
  <c r="H81" i="1"/>
  <c r="D81" i="1"/>
  <c r="N25" i="2" s="1"/>
  <c r="AB81" i="1"/>
  <c r="AA81" i="1"/>
  <c r="N195" i="2" s="1"/>
  <c r="O195" i="2" s="1"/>
  <c r="Z81" i="1"/>
  <c r="N188" i="2" s="1"/>
  <c r="Y81" i="1"/>
  <c r="N181" i="2" s="1"/>
  <c r="X81" i="1"/>
  <c r="N174" i="2" s="1"/>
  <c r="W81" i="1"/>
  <c r="N167" i="2" s="1"/>
  <c r="R81" i="1"/>
  <c r="N132" i="2" s="1"/>
  <c r="B19" i="13" s="1"/>
  <c r="V81" i="1"/>
  <c r="N160" i="2" s="1"/>
  <c r="U81" i="1"/>
  <c r="T81" i="1"/>
  <c r="N146" i="2" s="1"/>
  <c r="S81" i="1"/>
  <c r="N139" i="2" s="1"/>
  <c r="N53" i="2" l="1"/>
  <c r="B9" i="13" s="1"/>
  <c r="B11" i="13"/>
  <c r="B20" i="13"/>
  <c r="B27" i="13"/>
  <c r="B26" i="13"/>
  <c r="B24" i="13"/>
  <c r="B23" i="13"/>
  <c r="N46" i="2"/>
  <c r="B8" i="13" s="1"/>
  <c r="B25" i="13"/>
  <c r="B17" i="13"/>
  <c r="B6" i="13"/>
  <c r="B7" i="13"/>
  <c r="B5" i="13"/>
  <c r="B4" i="13"/>
  <c r="G29" i="13"/>
  <c r="G8" i="13" l="1"/>
  <c r="G7" i="13"/>
  <c r="V8" i="4" l="1"/>
  <c r="C255" i="2" l="1"/>
  <c r="B3" i="13" l="1"/>
  <c r="D58" i="2" l="1"/>
  <c r="T41" i="3" l="1"/>
  <c r="D70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55" i="2"/>
  <c r="D79" i="2"/>
  <c r="BF80" i="3"/>
  <c r="AH80" i="3"/>
  <c r="T80" i="3"/>
  <c r="L80" i="3"/>
  <c r="J80" i="3"/>
  <c r="H80" i="3"/>
  <c r="F80" i="3"/>
  <c r="D80" i="3"/>
  <c r="BF63" i="3"/>
  <c r="AD9" i="4" s="1"/>
  <c r="AC9" i="4"/>
  <c r="Z9" i="4"/>
  <c r="Y9" i="4"/>
  <c r="X9" i="4"/>
  <c r="W9" i="4"/>
  <c r="V9" i="4"/>
  <c r="S9" i="4"/>
  <c r="AH63" i="3"/>
  <c r="R9" i="4" s="1"/>
  <c r="Q9" i="4"/>
  <c r="P9" i="4"/>
  <c r="O9" i="4"/>
  <c r="N9" i="4"/>
  <c r="M9" i="4"/>
  <c r="L9" i="4"/>
  <c r="T63" i="3"/>
  <c r="K9" i="4" s="1"/>
  <c r="J9" i="4"/>
  <c r="I9" i="4"/>
  <c r="H9" i="4"/>
  <c r="L63" i="3"/>
  <c r="G9" i="4" s="1"/>
  <c r="J63" i="3"/>
  <c r="F9" i="4" s="1"/>
  <c r="H63" i="3"/>
  <c r="E9" i="4" s="1"/>
  <c r="F63" i="3"/>
  <c r="D9" i="4" s="1"/>
  <c r="D63" i="3"/>
  <c r="C9" i="4" s="1"/>
  <c r="BG45" i="3"/>
  <c r="E207" i="2" s="1"/>
  <c r="BF45" i="3"/>
  <c r="D207" i="2" s="1"/>
  <c r="E151" i="2"/>
  <c r="D151" i="2"/>
  <c r="E144" i="2"/>
  <c r="D144" i="2"/>
  <c r="E137" i="2"/>
  <c r="D137" i="2"/>
  <c r="E130" i="2"/>
  <c r="D130" i="2"/>
  <c r="AI45" i="3"/>
  <c r="E123" i="2" s="1"/>
  <c r="AH45" i="3"/>
  <c r="D123" i="2" s="1"/>
  <c r="E116" i="2"/>
  <c r="D116" i="2"/>
  <c r="E102" i="2"/>
  <c r="D102" i="2"/>
  <c r="E95" i="2"/>
  <c r="D95" i="2"/>
  <c r="E81" i="2"/>
  <c r="D81" i="2"/>
  <c r="U45" i="3"/>
  <c r="E74" i="2" s="1"/>
  <c r="T45" i="3"/>
  <c r="D74" i="2" s="1"/>
  <c r="E58" i="2"/>
  <c r="E44" i="2"/>
  <c r="D44" i="2"/>
  <c r="M45" i="3"/>
  <c r="E37" i="2" s="1"/>
  <c r="L45" i="3"/>
  <c r="D37" i="2" s="1"/>
  <c r="K45" i="3"/>
  <c r="E30" i="2" s="1"/>
  <c r="J45" i="3"/>
  <c r="D30" i="2" s="1"/>
  <c r="I45" i="3"/>
  <c r="E23" i="2" s="1"/>
  <c r="H45" i="3"/>
  <c r="D23" i="2" s="1"/>
  <c r="G45" i="3"/>
  <c r="E16" i="2" s="1"/>
  <c r="F45" i="3"/>
  <c r="D16" i="2" s="1"/>
  <c r="E45" i="3"/>
  <c r="E9" i="2" s="1"/>
  <c r="D45" i="3"/>
  <c r="D9" i="2" s="1"/>
  <c r="D141" i="2"/>
  <c r="E141" i="2"/>
  <c r="D142" i="2"/>
  <c r="E142" i="2"/>
  <c r="D143" i="2"/>
  <c r="E143" i="2"/>
  <c r="D145" i="2"/>
  <c r="E145" i="2"/>
  <c r="L41" i="3"/>
  <c r="L42" i="3"/>
  <c r="D34" i="2" s="1"/>
  <c r="L43" i="3"/>
  <c r="D35" i="2" s="1"/>
  <c r="L44" i="3"/>
  <c r="D36" i="2" s="1"/>
  <c r="L46" i="3"/>
  <c r="D38" i="2" s="1"/>
  <c r="L59" i="3"/>
  <c r="BG42" i="3"/>
  <c r="E204" i="2" s="1"/>
  <c r="BF42" i="3"/>
  <c r="D204" i="2" s="1"/>
  <c r="A19" i="2"/>
  <c r="A26" i="2" s="1"/>
  <c r="A33" i="2" s="1"/>
  <c r="A40" i="2" s="1"/>
  <c r="O10" i="4"/>
  <c r="O8" i="4"/>
  <c r="O7" i="4"/>
  <c r="O6" i="4"/>
  <c r="N26" i="4"/>
  <c r="N25" i="4"/>
  <c r="N24" i="4"/>
  <c r="N23" i="4"/>
  <c r="N22" i="4"/>
  <c r="N10" i="4"/>
  <c r="N8" i="4"/>
  <c r="N7" i="4"/>
  <c r="N6" i="4"/>
  <c r="N5" i="4"/>
  <c r="T76" i="3"/>
  <c r="K22" i="4" s="1"/>
  <c r="O26" i="4"/>
  <c r="O25" i="4"/>
  <c r="O24" i="4"/>
  <c r="O23" i="4"/>
  <c r="O22" i="4"/>
  <c r="E103" i="2"/>
  <c r="D103" i="2"/>
  <c r="E101" i="2"/>
  <c r="D101" i="2"/>
  <c r="E100" i="2"/>
  <c r="D100" i="2"/>
  <c r="E99" i="2"/>
  <c r="D99" i="2"/>
  <c r="E96" i="2"/>
  <c r="D96" i="2"/>
  <c r="E94" i="2"/>
  <c r="D94" i="2"/>
  <c r="E93" i="2"/>
  <c r="D93" i="2"/>
  <c r="E92" i="2"/>
  <c r="D92" i="2"/>
  <c r="O5" i="4"/>
  <c r="AC26" i="4"/>
  <c r="AC25" i="4"/>
  <c r="AC24" i="4"/>
  <c r="AC23" i="4"/>
  <c r="AC22" i="4"/>
  <c r="AC10" i="4"/>
  <c r="AC8" i="4"/>
  <c r="AC7" i="4"/>
  <c r="AC6" i="4"/>
  <c r="AC5" i="4"/>
  <c r="AB26" i="4"/>
  <c r="AB25" i="4"/>
  <c r="AB24" i="4"/>
  <c r="AB23" i="4"/>
  <c r="AB22" i="4"/>
  <c r="AB8" i="4"/>
  <c r="AB7" i="4"/>
  <c r="AB6" i="4"/>
  <c r="AB5" i="4"/>
  <c r="D147" i="2"/>
  <c r="BF81" i="3"/>
  <c r="AA26" i="4"/>
  <c r="Z26" i="4"/>
  <c r="Y26" i="4"/>
  <c r="X26" i="4"/>
  <c r="W26" i="4"/>
  <c r="V26" i="4"/>
  <c r="T26" i="4"/>
  <c r="S26" i="4"/>
  <c r="AH81" i="3"/>
  <c r="R26" i="4" s="1"/>
  <c r="Q26" i="4"/>
  <c r="P26" i="4"/>
  <c r="M26" i="4"/>
  <c r="L26" i="4"/>
  <c r="T81" i="3"/>
  <c r="K26" i="4" s="1"/>
  <c r="J26" i="4"/>
  <c r="I26" i="4"/>
  <c r="H26" i="4"/>
  <c r="L81" i="3"/>
  <c r="G26" i="4" s="1"/>
  <c r="J81" i="3"/>
  <c r="F26" i="4" s="1"/>
  <c r="H81" i="3"/>
  <c r="E26" i="4" s="1"/>
  <c r="F81" i="3"/>
  <c r="D26" i="4" s="1"/>
  <c r="D81" i="3"/>
  <c r="C26" i="4" s="1"/>
  <c r="BF79" i="3"/>
  <c r="AA25" i="4"/>
  <c r="Z25" i="4"/>
  <c r="Y25" i="4"/>
  <c r="X25" i="4"/>
  <c r="W25" i="4"/>
  <c r="V25" i="4"/>
  <c r="T25" i="4"/>
  <c r="S25" i="4"/>
  <c r="AH79" i="3"/>
  <c r="R25" i="4" s="1"/>
  <c r="Q25" i="4"/>
  <c r="P25" i="4"/>
  <c r="M25" i="4"/>
  <c r="L25" i="4"/>
  <c r="T79" i="3"/>
  <c r="K25" i="4" s="1"/>
  <c r="J25" i="4"/>
  <c r="I25" i="4"/>
  <c r="H25" i="4"/>
  <c r="L79" i="3"/>
  <c r="G25" i="4" s="1"/>
  <c r="J79" i="3"/>
  <c r="F25" i="4" s="1"/>
  <c r="H79" i="3"/>
  <c r="E25" i="4" s="1"/>
  <c r="F79" i="3"/>
  <c r="D79" i="3"/>
  <c r="C25" i="4" s="1"/>
  <c r="BF78" i="3"/>
  <c r="AA24" i="4"/>
  <c r="Z24" i="4"/>
  <c r="Y24" i="4"/>
  <c r="X24" i="4"/>
  <c r="W24" i="4"/>
  <c r="V24" i="4"/>
  <c r="T24" i="4"/>
  <c r="S24" i="4"/>
  <c r="AH78" i="3"/>
  <c r="R24" i="4" s="1"/>
  <c r="Q24" i="4"/>
  <c r="P24" i="4"/>
  <c r="M24" i="4"/>
  <c r="L24" i="4"/>
  <c r="T78" i="3"/>
  <c r="K24" i="4" s="1"/>
  <c r="J24" i="4"/>
  <c r="I24" i="4"/>
  <c r="H24" i="4"/>
  <c r="L78" i="3"/>
  <c r="G24" i="4" s="1"/>
  <c r="J78" i="3"/>
  <c r="F24" i="4" s="1"/>
  <c r="H78" i="3"/>
  <c r="E24" i="4" s="1"/>
  <c r="F78" i="3"/>
  <c r="D78" i="3"/>
  <c r="C24" i="4" s="1"/>
  <c r="BF77" i="3"/>
  <c r="AD23" i="4" s="1"/>
  <c r="AA23" i="4"/>
  <c r="Z23" i="4"/>
  <c r="Y23" i="4"/>
  <c r="X23" i="4"/>
  <c r="W23" i="4"/>
  <c r="V23" i="4"/>
  <c r="T23" i="4"/>
  <c r="S23" i="4"/>
  <c r="AH77" i="3"/>
  <c r="R23" i="4" s="1"/>
  <c r="Q23" i="4"/>
  <c r="P23" i="4"/>
  <c r="M23" i="4"/>
  <c r="L23" i="4"/>
  <c r="T77" i="3"/>
  <c r="K23" i="4" s="1"/>
  <c r="J23" i="4"/>
  <c r="I23" i="4"/>
  <c r="H23" i="4"/>
  <c r="L77" i="3"/>
  <c r="G23" i="4" s="1"/>
  <c r="J77" i="3"/>
  <c r="F23" i="4" s="1"/>
  <c r="H77" i="3"/>
  <c r="E23" i="4" s="1"/>
  <c r="F77" i="3"/>
  <c r="D23" i="4" s="1"/>
  <c r="D77" i="3"/>
  <c r="C23" i="4" s="1"/>
  <c r="BF76" i="3"/>
  <c r="AA22" i="4"/>
  <c r="Z22" i="4"/>
  <c r="Y22" i="4"/>
  <c r="X22" i="4"/>
  <c r="W22" i="4"/>
  <c r="V22" i="4"/>
  <c r="T22" i="4"/>
  <c r="S22" i="4"/>
  <c r="AH76" i="3"/>
  <c r="R22" i="4" s="1"/>
  <c r="Q22" i="4"/>
  <c r="P22" i="4"/>
  <c r="M22" i="4"/>
  <c r="L22" i="4"/>
  <c r="J22" i="4"/>
  <c r="L76" i="3"/>
  <c r="J76" i="3"/>
  <c r="F22" i="4" s="1"/>
  <c r="H76" i="3"/>
  <c r="E22" i="4" s="1"/>
  <c r="F76" i="3"/>
  <c r="D22" i="4" s="1"/>
  <c r="D76" i="3"/>
  <c r="C22" i="4" s="1"/>
  <c r="BF64" i="3"/>
  <c r="AD10" i="4" s="1"/>
  <c r="Z10" i="4"/>
  <c r="Y10" i="4"/>
  <c r="X10" i="4"/>
  <c r="W10" i="4"/>
  <c r="V10" i="4"/>
  <c r="S10" i="4"/>
  <c r="AH64" i="3"/>
  <c r="R10" i="4" s="1"/>
  <c r="Q10" i="4"/>
  <c r="P10" i="4"/>
  <c r="M10" i="4"/>
  <c r="L10" i="4"/>
  <c r="T64" i="3"/>
  <c r="K10" i="4" s="1"/>
  <c r="J10" i="4"/>
  <c r="L64" i="3"/>
  <c r="J64" i="3"/>
  <c r="F10" i="4" s="1"/>
  <c r="E10" i="4"/>
  <c r="F64" i="3"/>
  <c r="D10" i="4" s="1"/>
  <c r="D64" i="3"/>
  <c r="C10" i="4" s="1"/>
  <c r="BF62" i="3"/>
  <c r="AA8" i="4"/>
  <c r="Z8" i="4"/>
  <c r="Y8" i="4"/>
  <c r="X8" i="4"/>
  <c r="W8" i="4"/>
  <c r="U8" i="4"/>
  <c r="T8" i="4"/>
  <c r="S8" i="4"/>
  <c r="AH62" i="3"/>
  <c r="R8" i="4" s="1"/>
  <c r="Q8" i="4"/>
  <c r="P8" i="4"/>
  <c r="M8" i="4"/>
  <c r="L8" i="4"/>
  <c r="T62" i="3"/>
  <c r="K8" i="4" s="1"/>
  <c r="J8" i="4"/>
  <c r="L62" i="3"/>
  <c r="J62" i="3"/>
  <c r="F8" i="4" s="1"/>
  <c r="H62" i="3"/>
  <c r="E8" i="4" s="1"/>
  <c r="F62" i="3"/>
  <c r="D8" i="4" s="1"/>
  <c r="D62" i="3"/>
  <c r="C8" i="4" s="1"/>
  <c r="BF61" i="3"/>
  <c r="AA7" i="4"/>
  <c r="Z7" i="4"/>
  <c r="Y7" i="4"/>
  <c r="X7" i="4"/>
  <c r="W7" i="4"/>
  <c r="V7" i="4"/>
  <c r="U7" i="4"/>
  <c r="T7" i="4"/>
  <c r="S7" i="4"/>
  <c r="AH61" i="3"/>
  <c r="R7" i="4" s="1"/>
  <c r="Q7" i="4"/>
  <c r="P7" i="4"/>
  <c r="M7" i="4"/>
  <c r="L7" i="4"/>
  <c r="T61" i="3"/>
  <c r="K7" i="4" s="1"/>
  <c r="J7" i="4"/>
  <c r="L61" i="3"/>
  <c r="J61" i="3"/>
  <c r="F7" i="4" s="1"/>
  <c r="H61" i="3"/>
  <c r="E7" i="4" s="1"/>
  <c r="F61" i="3"/>
  <c r="D7" i="4" s="1"/>
  <c r="D61" i="3"/>
  <c r="C7" i="4" s="1"/>
  <c r="BF60" i="3"/>
  <c r="AA6" i="4"/>
  <c r="Z6" i="4"/>
  <c r="Y6" i="4"/>
  <c r="X6" i="4"/>
  <c r="W6" i="4"/>
  <c r="V6" i="4"/>
  <c r="U6" i="4"/>
  <c r="T6" i="4"/>
  <c r="S6" i="4"/>
  <c r="AH60" i="3"/>
  <c r="R6" i="4" s="1"/>
  <c r="Q6" i="4"/>
  <c r="P6" i="4"/>
  <c r="M6" i="4"/>
  <c r="L6" i="4"/>
  <c r="T60" i="3"/>
  <c r="K6" i="4" s="1"/>
  <c r="J6" i="4"/>
  <c r="L60" i="3"/>
  <c r="J60" i="3"/>
  <c r="F6" i="4" s="1"/>
  <c r="H60" i="3"/>
  <c r="E6" i="4" s="1"/>
  <c r="F60" i="3"/>
  <c r="D6" i="4" s="1"/>
  <c r="D60" i="3"/>
  <c r="C6" i="4" s="1"/>
  <c r="BF59" i="3"/>
  <c r="AA5" i="4"/>
  <c r="Z5" i="4"/>
  <c r="Y5" i="4"/>
  <c r="X5" i="4"/>
  <c r="W5" i="4"/>
  <c r="V5" i="4"/>
  <c r="U5" i="4"/>
  <c r="T5" i="4"/>
  <c r="S5" i="4"/>
  <c r="AH59" i="3"/>
  <c r="R5" i="4" s="1"/>
  <c r="Q5" i="4"/>
  <c r="P5" i="4"/>
  <c r="M5" i="4"/>
  <c r="L5" i="4"/>
  <c r="T59" i="3"/>
  <c r="K5" i="4" s="1"/>
  <c r="J5" i="4"/>
  <c r="J59" i="3"/>
  <c r="F5" i="4" s="1"/>
  <c r="H59" i="3"/>
  <c r="E5" i="4" s="1"/>
  <c r="F59" i="3"/>
  <c r="D5" i="4" s="1"/>
  <c r="D59" i="3"/>
  <c r="C5" i="4" s="1"/>
  <c r="BG46" i="3"/>
  <c r="E208" i="2" s="1"/>
  <c r="BF46" i="3"/>
  <c r="D208" i="2" s="1"/>
  <c r="E152" i="2"/>
  <c r="D152" i="2"/>
  <c r="E138" i="2"/>
  <c r="D138" i="2"/>
  <c r="E131" i="2"/>
  <c r="D131" i="2"/>
  <c r="AI46" i="3"/>
  <c r="E124" i="2" s="1"/>
  <c r="AH46" i="3"/>
  <c r="D124" i="2" s="1"/>
  <c r="E117" i="2"/>
  <c r="D117" i="2"/>
  <c r="E82" i="2"/>
  <c r="D82" i="2"/>
  <c r="U46" i="3"/>
  <c r="E75" i="2" s="1"/>
  <c r="T46" i="3"/>
  <c r="D75" i="2" s="1"/>
  <c r="E59" i="2"/>
  <c r="D59" i="2"/>
  <c r="E45" i="2"/>
  <c r="D45" i="2"/>
  <c r="M46" i="3"/>
  <c r="E38" i="2" s="1"/>
  <c r="K46" i="3"/>
  <c r="E31" i="2" s="1"/>
  <c r="J46" i="3"/>
  <c r="D31" i="2" s="1"/>
  <c r="I46" i="3"/>
  <c r="E24" i="2" s="1"/>
  <c r="H46" i="3"/>
  <c r="D24" i="2" s="1"/>
  <c r="G46" i="3"/>
  <c r="E17" i="2" s="1"/>
  <c r="F46" i="3"/>
  <c r="D17" i="2" s="1"/>
  <c r="E46" i="3"/>
  <c r="E10" i="2" s="1"/>
  <c r="D46" i="3"/>
  <c r="D10" i="2" s="1"/>
  <c r="BG44" i="3"/>
  <c r="E206" i="2" s="1"/>
  <c r="BF44" i="3"/>
  <c r="D206" i="2" s="1"/>
  <c r="E150" i="2"/>
  <c r="D150" i="2"/>
  <c r="E136" i="2"/>
  <c r="D136" i="2"/>
  <c r="E129" i="2"/>
  <c r="D129" i="2"/>
  <c r="AI44" i="3"/>
  <c r="E122" i="2" s="1"/>
  <c r="AH44" i="3"/>
  <c r="D122" i="2" s="1"/>
  <c r="E115" i="2"/>
  <c r="D115" i="2"/>
  <c r="E80" i="2"/>
  <c r="D80" i="2"/>
  <c r="U44" i="3"/>
  <c r="E73" i="2" s="1"/>
  <c r="T44" i="3"/>
  <c r="D73" i="2" s="1"/>
  <c r="E57" i="2"/>
  <c r="D57" i="2"/>
  <c r="E43" i="2"/>
  <c r="D43" i="2"/>
  <c r="M44" i="3"/>
  <c r="E36" i="2" s="1"/>
  <c r="K44" i="3"/>
  <c r="E29" i="2" s="1"/>
  <c r="J44" i="3"/>
  <c r="D29" i="2" s="1"/>
  <c r="I44" i="3"/>
  <c r="E22" i="2" s="1"/>
  <c r="H44" i="3"/>
  <c r="D22" i="2" s="1"/>
  <c r="G44" i="3"/>
  <c r="E15" i="2" s="1"/>
  <c r="F44" i="3"/>
  <c r="D15" i="2" s="1"/>
  <c r="E44" i="3"/>
  <c r="E8" i="2" s="1"/>
  <c r="D44" i="3"/>
  <c r="D8" i="2" s="1"/>
  <c r="BG43" i="3"/>
  <c r="E205" i="2" s="1"/>
  <c r="E149" i="2"/>
  <c r="D149" i="2"/>
  <c r="E135" i="2"/>
  <c r="D135" i="2"/>
  <c r="E128" i="2"/>
  <c r="D128" i="2"/>
  <c r="AI43" i="3"/>
  <c r="E121" i="2" s="1"/>
  <c r="AH43" i="3"/>
  <c r="D121" i="2" s="1"/>
  <c r="E114" i="2"/>
  <c r="D114" i="2"/>
  <c r="U43" i="3"/>
  <c r="E72" i="2" s="1"/>
  <c r="T43" i="3"/>
  <c r="D72" i="2" s="1"/>
  <c r="E56" i="2"/>
  <c r="E42" i="2"/>
  <c r="D42" i="2"/>
  <c r="M43" i="3"/>
  <c r="E35" i="2" s="1"/>
  <c r="K43" i="3"/>
  <c r="E28" i="2" s="1"/>
  <c r="J43" i="3"/>
  <c r="D28" i="2" s="1"/>
  <c r="I43" i="3"/>
  <c r="E21" i="2" s="1"/>
  <c r="H43" i="3"/>
  <c r="D21" i="2" s="1"/>
  <c r="G43" i="3"/>
  <c r="E14" i="2" s="1"/>
  <c r="F43" i="3"/>
  <c r="D14" i="2" s="1"/>
  <c r="E43" i="3"/>
  <c r="E7" i="2" s="1"/>
  <c r="D43" i="3"/>
  <c r="D7" i="2" s="1"/>
  <c r="E148" i="2"/>
  <c r="D148" i="2"/>
  <c r="E134" i="2"/>
  <c r="D134" i="2"/>
  <c r="E127" i="2"/>
  <c r="D127" i="2"/>
  <c r="AI42" i="3"/>
  <c r="E120" i="2" s="1"/>
  <c r="AH42" i="3"/>
  <c r="D120" i="2" s="1"/>
  <c r="E113" i="2"/>
  <c r="D113" i="2"/>
  <c r="E78" i="2"/>
  <c r="D78" i="2"/>
  <c r="U42" i="3"/>
  <c r="E71" i="2" s="1"/>
  <c r="T42" i="3"/>
  <c r="D71" i="2" s="1"/>
  <c r="E55" i="2"/>
  <c r="E41" i="2"/>
  <c r="D41" i="2"/>
  <c r="M42" i="3"/>
  <c r="E34" i="2" s="1"/>
  <c r="K42" i="3"/>
  <c r="E27" i="2" s="1"/>
  <c r="J42" i="3"/>
  <c r="D27" i="2" s="1"/>
  <c r="I42" i="3"/>
  <c r="E20" i="2" s="1"/>
  <c r="H42" i="3"/>
  <c r="D20" i="2" s="1"/>
  <c r="G42" i="3"/>
  <c r="E13" i="2" s="1"/>
  <c r="F42" i="3"/>
  <c r="D13" i="2" s="1"/>
  <c r="E42" i="3"/>
  <c r="E6" i="2" s="1"/>
  <c r="D42" i="3"/>
  <c r="D6" i="2" s="1"/>
  <c r="BG41" i="3"/>
  <c r="BF41" i="3"/>
  <c r="E147" i="2"/>
  <c r="E133" i="2"/>
  <c r="D133" i="2"/>
  <c r="E126" i="2"/>
  <c r="D126" i="2"/>
  <c r="AI41" i="3"/>
  <c r="E119" i="2" s="1"/>
  <c r="AH41" i="3"/>
  <c r="D119" i="2" s="1"/>
  <c r="E77" i="2"/>
  <c r="D77" i="2"/>
  <c r="U41" i="3"/>
  <c r="M41" i="3"/>
  <c r="K41" i="3"/>
  <c r="J41" i="3"/>
  <c r="D26" i="2" s="1"/>
  <c r="I41" i="3"/>
  <c r="H41" i="3"/>
  <c r="G41" i="3"/>
  <c r="F41" i="3"/>
  <c r="E41" i="3"/>
  <c r="D41" i="3"/>
  <c r="D5" i="2" s="1"/>
  <c r="J46" i="4" l="1"/>
  <c r="AA48" i="4"/>
  <c r="J49" i="4"/>
  <c r="J48" i="4"/>
  <c r="J47" i="4"/>
  <c r="J52" i="4" s="1"/>
  <c r="Z48" i="4"/>
  <c r="AB48" i="4"/>
  <c r="I237" i="2"/>
  <c r="I238" i="2"/>
  <c r="I239" i="2"/>
  <c r="I235" i="2"/>
  <c r="I236" i="2"/>
  <c r="J239" i="2"/>
  <c r="J238" i="2"/>
  <c r="J237" i="2"/>
  <c r="J235" i="2"/>
  <c r="C48" i="4"/>
  <c r="Y48" i="4"/>
  <c r="X48" i="4"/>
  <c r="X50" i="4" s="1"/>
  <c r="AA50" i="4"/>
  <c r="R48" i="4"/>
  <c r="R50" i="4" s="1"/>
  <c r="W48" i="4"/>
  <c r="E48" i="4"/>
  <c r="E50" i="4" s="1"/>
  <c r="L48" i="4"/>
  <c r="L50" i="4" s="1"/>
  <c r="F48" i="4"/>
  <c r="F50" i="4" s="1"/>
  <c r="K48" i="4"/>
  <c r="K50" i="4" s="1"/>
  <c r="V48" i="4"/>
  <c r="AA47" i="4"/>
  <c r="AA52" i="4" s="1"/>
  <c r="AC48" i="4"/>
  <c r="AA46" i="4"/>
  <c r="AA49" i="4"/>
  <c r="AB49" i="4"/>
  <c r="AB46" i="4"/>
  <c r="AB47" i="4"/>
  <c r="AB52" i="4" s="1"/>
  <c r="AB50" i="4"/>
  <c r="N48" i="4"/>
  <c r="N50" i="4" s="1"/>
  <c r="P48" i="4"/>
  <c r="O48" i="4"/>
  <c r="M47" i="4"/>
  <c r="M52" i="4" s="1"/>
  <c r="M48" i="4"/>
  <c r="M50" i="4" s="1"/>
  <c r="M49" i="4"/>
  <c r="M46" i="4"/>
  <c r="D56" i="3"/>
  <c r="I24" i="2"/>
  <c r="K24" i="2" s="1"/>
  <c r="G24" i="2"/>
  <c r="J24" i="2" s="1"/>
  <c r="D12" i="2"/>
  <c r="D18" i="2" s="1"/>
  <c r="F56" i="3"/>
  <c r="E12" i="2"/>
  <c r="E18" i="2" s="1"/>
  <c r="G56" i="3"/>
  <c r="D49" i="4"/>
  <c r="D46" i="4"/>
  <c r="E5" i="2"/>
  <c r="E56" i="3"/>
  <c r="C47" i="4"/>
  <c r="C49" i="4"/>
  <c r="C46" i="4"/>
  <c r="D153" i="2"/>
  <c r="D203" i="2"/>
  <c r="D209" i="2" s="1"/>
  <c r="BF56" i="3"/>
  <c r="E203" i="2"/>
  <c r="E209" i="2" s="1"/>
  <c r="BG56" i="3"/>
  <c r="Z49" i="4"/>
  <c r="Z46" i="4"/>
  <c r="AC49" i="4"/>
  <c r="AC46" i="4"/>
  <c r="Z47" i="4"/>
  <c r="Z52" i="4" s="1"/>
  <c r="AC47" i="4"/>
  <c r="AC52" i="4" s="1"/>
  <c r="E174" i="2"/>
  <c r="D174" i="2"/>
  <c r="S48" i="4"/>
  <c r="S50" i="4" s="1"/>
  <c r="I56" i="3"/>
  <c r="E49" i="4"/>
  <c r="E46" i="4"/>
  <c r="D19" i="2"/>
  <c r="H56" i="3"/>
  <c r="E47" i="4"/>
  <c r="E52" i="4" s="1"/>
  <c r="Q48" i="4"/>
  <c r="Q50" i="4" s="1"/>
  <c r="T48" i="4"/>
  <c r="T50" i="4" s="1"/>
  <c r="L49" i="4"/>
  <c r="E70" i="2"/>
  <c r="E76" i="2" s="1"/>
  <c r="U56" i="3"/>
  <c r="E79" i="2"/>
  <c r="E83" i="2" s="1"/>
  <c r="L46" i="4"/>
  <c r="L47" i="4"/>
  <c r="L52" i="4" s="1"/>
  <c r="V56" i="3"/>
  <c r="W56" i="3"/>
  <c r="D83" i="2"/>
  <c r="U49" i="4"/>
  <c r="T49" i="4"/>
  <c r="D11" i="2"/>
  <c r="I206" i="2"/>
  <c r="G206" i="2"/>
  <c r="J206" i="2" s="1"/>
  <c r="L206" i="2" s="1"/>
  <c r="I205" i="2"/>
  <c r="G205" i="2"/>
  <c r="J205" i="2" s="1"/>
  <c r="L205" i="2" s="1"/>
  <c r="I204" i="2"/>
  <c r="G204" i="2"/>
  <c r="J204" i="2" s="1"/>
  <c r="L204" i="2" s="1"/>
  <c r="G208" i="2"/>
  <c r="J208" i="2" s="1"/>
  <c r="L208" i="2" s="1"/>
  <c r="I208" i="2"/>
  <c r="G207" i="2"/>
  <c r="J207" i="2" s="1"/>
  <c r="L207" i="2" s="1"/>
  <c r="I207" i="2"/>
  <c r="I173" i="2"/>
  <c r="G173" i="2"/>
  <c r="J173" i="2" s="1"/>
  <c r="L173" i="2" s="1"/>
  <c r="G151" i="2"/>
  <c r="J151" i="2" s="1"/>
  <c r="L151" i="2" s="1"/>
  <c r="I151" i="2"/>
  <c r="I149" i="2"/>
  <c r="G149" i="2"/>
  <c r="J149" i="2" s="1"/>
  <c r="L149" i="2" s="1"/>
  <c r="I148" i="2"/>
  <c r="G148" i="2"/>
  <c r="J148" i="2" s="1"/>
  <c r="L148" i="2" s="1"/>
  <c r="I158" i="2"/>
  <c r="G158" i="2"/>
  <c r="J158" i="2" s="1"/>
  <c r="L158" i="2" s="1"/>
  <c r="G156" i="2"/>
  <c r="J156" i="2" s="1"/>
  <c r="L156" i="2" s="1"/>
  <c r="I156" i="2"/>
  <c r="I150" i="2"/>
  <c r="G150" i="2"/>
  <c r="J150" i="2" s="1"/>
  <c r="L150" i="2" s="1"/>
  <c r="I154" i="2"/>
  <c r="G154" i="2"/>
  <c r="J154" i="2" s="1"/>
  <c r="W154" i="2" s="1"/>
  <c r="I155" i="2"/>
  <c r="G155" i="2"/>
  <c r="J155" i="2" s="1"/>
  <c r="L155" i="2" s="1"/>
  <c r="I157" i="2"/>
  <c r="G157" i="2"/>
  <c r="J157" i="2" s="1"/>
  <c r="L157" i="2" s="1"/>
  <c r="G152" i="2"/>
  <c r="J152" i="2" s="1"/>
  <c r="L152" i="2" s="1"/>
  <c r="I152" i="2"/>
  <c r="G172" i="2"/>
  <c r="J172" i="2" s="1"/>
  <c r="L172" i="2" s="1"/>
  <c r="I172" i="2"/>
  <c r="G169" i="2"/>
  <c r="J169" i="2" s="1"/>
  <c r="L169" i="2" s="1"/>
  <c r="I169" i="2"/>
  <c r="G170" i="2"/>
  <c r="J170" i="2" s="1"/>
  <c r="L170" i="2" s="1"/>
  <c r="I170" i="2"/>
  <c r="G168" i="2"/>
  <c r="I168" i="2"/>
  <c r="G159" i="2"/>
  <c r="J159" i="2" s="1"/>
  <c r="L159" i="2" s="1"/>
  <c r="I159" i="2"/>
  <c r="I171" i="2"/>
  <c r="G171" i="2"/>
  <c r="J171" i="2" s="1"/>
  <c r="L171" i="2" s="1"/>
  <c r="I147" i="2"/>
  <c r="G147" i="2"/>
  <c r="J147" i="2" s="1"/>
  <c r="W147" i="2" s="1"/>
  <c r="I131" i="2"/>
  <c r="G131" i="2"/>
  <c r="J131" i="2" s="1"/>
  <c r="L131" i="2" s="1"/>
  <c r="I129" i="2"/>
  <c r="G129" i="2"/>
  <c r="J129" i="2" s="1"/>
  <c r="L129" i="2" s="1"/>
  <c r="G130" i="2"/>
  <c r="J130" i="2" s="1"/>
  <c r="L130" i="2" s="1"/>
  <c r="I130" i="2"/>
  <c r="G128" i="2"/>
  <c r="J128" i="2" s="1"/>
  <c r="L128" i="2" s="1"/>
  <c r="I128" i="2"/>
  <c r="G126" i="2"/>
  <c r="J126" i="2" s="1"/>
  <c r="I126" i="2"/>
  <c r="G127" i="2"/>
  <c r="J127" i="2" s="1"/>
  <c r="L127" i="2" s="1"/>
  <c r="I127" i="2"/>
  <c r="I124" i="2"/>
  <c r="G124" i="2"/>
  <c r="J124" i="2" s="1"/>
  <c r="L124" i="2" s="1"/>
  <c r="I123" i="2"/>
  <c r="G123" i="2"/>
  <c r="J123" i="2" s="1"/>
  <c r="L123" i="2" s="1"/>
  <c r="G119" i="2"/>
  <c r="J119" i="2" s="1"/>
  <c r="W119" i="2" s="1"/>
  <c r="I119" i="2"/>
  <c r="G120" i="2"/>
  <c r="J120" i="2" s="1"/>
  <c r="L120" i="2" s="1"/>
  <c r="I120" i="2"/>
  <c r="I121" i="2"/>
  <c r="G121" i="2"/>
  <c r="J121" i="2" s="1"/>
  <c r="L121" i="2" s="1"/>
  <c r="I122" i="2"/>
  <c r="G122" i="2"/>
  <c r="J122" i="2" s="1"/>
  <c r="L122" i="2" s="1"/>
  <c r="G102" i="2"/>
  <c r="J102" i="2" s="1"/>
  <c r="L102" i="2" s="1"/>
  <c r="I102" i="2"/>
  <c r="I98" i="2"/>
  <c r="G98" i="2"/>
  <c r="J98" i="2" s="1"/>
  <c r="W98" i="2" s="1"/>
  <c r="I99" i="2"/>
  <c r="G99" i="2"/>
  <c r="J99" i="2" s="1"/>
  <c r="L99" i="2" s="1"/>
  <c r="G100" i="2"/>
  <c r="J100" i="2" s="1"/>
  <c r="L100" i="2" s="1"/>
  <c r="I100" i="2"/>
  <c r="I101" i="2"/>
  <c r="G101" i="2"/>
  <c r="J101" i="2" s="1"/>
  <c r="L101" i="2" s="1"/>
  <c r="I103" i="2"/>
  <c r="G103" i="2"/>
  <c r="J103" i="2" s="1"/>
  <c r="L103" i="2" s="1"/>
  <c r="P49" i="4"/>
  <c r="X49" i="4"/>
  <c r="O49" i="4"/>
  <c r="Q49" i="4"/>
  <c r="Y49" i="4"/>
  <c r="R49" i="4"/>
  <c r="V49" i="4"/>
  <c r="S49" i="4"/>
  <c r="W49" i="4"/>
  <c r="N49" i="4"/>
  <c r="K49" i="4"/>
  <c r="F49" i="4"/>
  <c r="N47" i="4"/>
  <c r="N52" i="4" s="1"/>
  <c r="G134" i="2"/>
  <c r="J134" i="2" s="1"/>
  <c r="L134" i="2" s="1"/>
  <c r="I134" i="2"/>
  <c r="I137" i="2"/>
  <c r="G137" i="2"/>
  <c r="J137" i="2" s="1"/>
  <c r="L137" i="2" s="1"/>
  <c r="I135" i="2"/>
  <c r="G135" i="2"/>
  <c r="J135" i="2" s="1"/>
  <c r="L135" i="2" s="1"/>
  <c r="I133" i="2"/>
  <c r="G133" i="2"/>
  <c r="D139" i="2"/>
  <c r="I136" i="2"/>
  <c r="G136" i="2"/>
  <c r="J136" i="2" s="1"/>
  <c r="L136" i="2" s="1"/>
  <c r="E139" i="2"/>
  <c r="I138" i="2"/>
  <c r="G138" i="2"/>
  <c r="J138" i="2" s="1"/>
  <c r="L138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76" i="2"/>
  <c r="E33" i="2"/>
  <c r="E39" i="2" s="1"/>
  <c r="M56" i="3"/>
  <c r="Q56" i="3"/>
  <c r="D125" i="2"/>
  <c r="AH56" i="3"/>
  <c r="T56" i="3"/>
  <c r="E91" i="2"/>
  <c r="E97" i="2" s="1"/>
  <c r="AA56" i="3"/>
  <c r="AV56" i="3"/>
  <c r="D40" i="2"/>
  <c r="N56" i="3"/>
  <c r="E125" i="2"/>
  <c r="AI56" i="3"/>
  <c r="E167" i="2"/>
  <c r="AU56" i="3"/>
  <c r="AP56" i="3"/>
  <c r="AB56" i="3"/>
  <c r="D32" i="2"/>
  <c r="J56" i="3"/>
  <c r="E40" i="2"/>
  <c r="E46" i="2" s="1"/>
  <c r="O56" i="3"/>
  <c r="E69" i="2"/>
  <c r="D112" i="2"/>
  <c r="D118" i="2" s="1"/>
  <c r="AF56" i="3"/>
  <c r="AJ56" i="3"/>
  <c r="E153" i="2"/>
  <c r="AQ56" i="3"/>
  <c r="AW56" i="3"/>
  <c r="AC56" i="3"/>
  <c r="E140" i="2"/>
  <c r="E146" i="2" s="1"/>
  <c r="AO56" i="3"/>
  <c r="D111" i="2"/>
  <c r="AD56" i="3"/>
  <c r="AL56" i="3"/>
  <c r="E160" i="2"/>
  <c r="AS56" i="3"/>
  <c r="AT56" i="3"/>
  <c r="E19" i="2"/>
  <c r="E25" i="2" s="1"/>
  <c r="AE56" i="3"/>
  <c r="AM56" i="3"/>
  <c r="D33" i="2"/>
  <c r="L56" i="3"/>
  <c r="E26" i="2"/>
  <c r="E32" i="2" s="1"/>
  <c r="K56" i="3"/>
  <c r="P56" i="3"/>
  <c r="E118" i="2"/>
  <c r="AG56" i="3"/>
  <c r="AK56" i="3"/>
  <c r="AR56" i="3"/>
  <c r="D91" i="2"/>
  <c r="D97" i="2" s="1"/>
  <c r="Z56" i="3"/>
  <c r="D140" i="2"/>
  <c r="D146" i="2" s="1"/>
  <c r="AN56" i="3"/>
  <c r="K47" i="4"/>
  <c r="K52" i="4" s="1"/>
  <c r="K46" i="4"/>
  <c r="X47" i="4"/>
  <c r="U50" i="4"/>
  <c r="AD5" i="4"/>
  <c r="AD6" i="4"/>
  <c r="AD7" i="4"/>
  <c r="AD8" i="4"/>
  <c r="AD22" i="4"/>
  <c r="AD24" i="4"/>
  <c r="AD25" i="4"/>
  <c r="AD26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24" i="4"/>
  <c r="D25" i="4"/>
  <c r="G73" i="2"/>
  <c r="J73" i="2" s="1"/>
  <c r="L73" i="2" s="1"/>
  <c r="I73" i="2"/>
  <c r="M73" i="2" s="1"/>
  <c r="G72" i="2"/>
  <c r="J72" i="2" s="1"/>
  <c r="L72" i="2" s="1"/>
  <c r="I72" i="2"/>
  <c r="M72" i="2" s="1"/>
  <c r="G71" i="2"/>
  <c r="I71" i="2"/>
  <c r="M71" i="2" s="1"/>
  <c r="G74" i="2"/>
  <c r="J74" i="2" s="1"/>
  <c r="L74" i="2" s="1"/>
  <c r="I74" i="2"/>
  <c r="M74" i="2" s="1"/>
  <c r="I5" i="4"/>
  <c r="I6" i="4"/>
  <c r="I7" i="4"/>
  <c r="I8" i="4"/>
  <c r="I10" i="4"/>
  <c r="I22" i="4"/>
  <c r="I48" i="4" s="1"/>
  <c r="I75" i="2"/>
  <c r="M75" i="2" s="1"/>
  <c r="O47" i="4"/>
  <c r="U47" i="4"/>
  <c r="U52" i="4" s="1"/>
  <c r="W47" i="4"/>
  <c r="W52" i="4" s="1"/>
  <c r="Y47" i="4"/>
  <c r="Y52" i="4" s="1"/>
  <c r="Q47" i="4"/>
  <c r="Q52" i="4" s="1"/>
  <c r="S47" i="4"/>
  <c r="S52" i="4" s="1"/>
  <c r="F47" i="4"/>
  <c r="F52" i="4" s="1"/>
  <c r="T47" i="4"/>
  <c r="T52" i="4" s="1"/>
  <c r="V47" i="4"/>
  <c r="V52" i="4" s="1"/>
  <c r="P47" i="4"/>
  <c r="P52" i="4" s="1"/>
  <c r="R47" i="4"/>
  <c r="I114" i="2"/>
  <c r="M114" i="2" s="1"/>
  <c r="G114" i="2"/>
  <c r="J114" i="2" s="1"/>
  <c r="L114" i="2" s="1"/>
  <c r="I115" i="2"/>
  <c r="M115" i="2" s="1"/>
  <c r="G115" i="2"/>
  <c r="J115" i="2" s="1"/>
  <c r="L115" i="2" s="1"/>
  <c r="I117" i="2"/>
  <c r="M117" i="2" s="1"/>
  <c r="G117" i="2"/>
  <c r="J117" i="2" s="1"/>
  <c r="L117" i="2" s="1"/>
  <c r="I113" i="2"/>
  <c r="M113" i="2" s="1"/>
  <c r="G113" i="2"/>
  <c r="J113" i="2" s="1"/>
  <c r="L113" i="2" s="1"/>
  <c r="I116" i="2"/>
  <c r="M116" i="2" s="1"/>
  <c r="G116" i="2"/>
  <c r="J116" i="2" s="1"/>
  <c r="L116" i="2" s="1"/>
  <c r="A47" i="2"/>
  <c r="A54" i="2" s="1"/>
  <c r="A70" i="2" s="1"/>
  <c r="A77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22" i="4"/>
  <c r="H48" i="4" s="1"/>
  <c r="G6" i="4"/>
  <c r="G7" i="4"/>
  <c r="G8" i="4"/>
  <c r="G10" i="4"/>
  <c r="G22" i="4"/>
  <c r="G48" i="4" s="1"/>
  <c r="G5" i="4"/>
  <c r="D255" i="2"/>
  <c r="G80" i="2"/>
  <c r="J80" i="2" s="1"/>
  <c r="L80" i="2" s="1"/>
  <c r="D239" i="2"/>
  <c r="E239" i="2" s="1"/>
  <c r="I8" i="2"/>
  <c r="G94" i="2"/>
  <c r="J94" i="2" s="1"/>
  <c r="L94" i="2" s="1"/>
  <c r="I80" i="2"/>
  <c r="I10" i="2"/>
  <c r="G82" i="2"/>
  <c r="J82" i="2" s="1"/>
  <c r="L82" i="2" s="1"/>
  <c r="I82" i="2"/>
  <c r="F239" i="2"/>
  <c r="D235" i="2"/>
  <c r="E235" i="2" s="1"/>
  <c r="P46" i="4"/>
  <c r="G8" i="2"/>
  <c r="J8" i="2" s="1"/>
  <c r="G7" i="2"/>
  <c r="J7" i="2" s="1"/>
  <c r="D236" i="2"/>
  <c r="E236" i="2" s="1"/>
  <c r="N46" i="4"/>
  <c r="I92" i="2"/>
  <c r="M92" i="2" s="1"/>
  <c r="G92" i="2"/>
  <c r="J92" i="2" s="1"/>
  <c r="F46" i="4"/>
  <c r="G10" i="2"/>
  <c r="J10" i="2" s="1"/>
  <c r="I78" i="2"/>
  <c r="M78" i="2" s="1"/>
  <c r="G81" i="2"/>
  <c r="J81" i="2" s="1"/>
  <c r="L81" i="2" s="1"/>
  <c r="I164" i="2"/>
  <c r="M164" i="2" s="1"/>
  <c r="G164" i="2"/>
  <c r="J164" i="2" s="1"/>
  <c r="I162" i="2"/>
  <c r="M162" i="2" s="1"/>
  <c r="G162" i="2"/>
  <c r="J162" i="2" s="1"/>
  <c r="W162" i="2" s="1"/>
  <c r="I166" i="2"/>
  <c r="M166" i="2" s="1"/>
  <c r="G166" i="2"/>
  <c r="J166" i="2" s="1"/>
  <c r="I165" i="2"/>
  <c r="M165" i="2" s="1"/>
  <c r="G165" i="2"/>
  <c r="J165" i="2" s="1"/>
  <c r="D234" i="2"/>
  <c r="E234" i="2" s="1"/>
  <c r="F235" i="2"/>
  <c r="G235" i="2" s="1"/>
  <c r="G236" i="2"/>
  <c r="G9" i="2"/>
  <c r="J9" i="2" s="1"/>
  <c r="I9" i="2"/>
  <c r="I95" i="2"/>
  <c r="M95" i="2" s="1"/>
  <c r="G95" i="2"/>
  <c r="J95" i="2" s="1"/>
  <c r="L95" i="2" s="1"/>
  <c r="G78" i="2"/>
  <c r="J78" i="2" s="1"/>
  <c r="W78" i="2" s="1"/>
  <c r="I7" i="2"/>
  <c r="I81" i="2"/>
  <c r="M81" i="2" s="1"/>
  <c r="I93" i="2"/>
  <c r="M93" i="2" s="1"/>
  <c r="G93" i="2"/>
  <c r="J93" i="2" s="1"/>
  <c r="L93" i="2" s="1"/>
  <c r="O46" i="4"/>
  <c r="I96" i="2"/>
  <c r="M96" i="2" s="1"/>
  <c r="G96" i="2"/>
  <c r="J96" i="2" s="1"/>
  <c r="L96" i="2" s="1"/>
  <c r="I94" i="2"/>
  <c r="M94" i="2" s="1"/>
  <c r="B21" i="13"/>
  <c r="N202" i="2"/>
  <c r="B28" i="13"/>
  <c r="N97" i="2"/>
  <c r="B14" i="13" s="1"/>
  <c r="B13" i="13"/>
  <c r="Y46" i="4"/>
  <c r="W46" i="4"/>
  <c r="V46" i="4"/>
  <c r="X46" i="4"/>
  <c r="N153" i="2"/>
  <c r="B22" i="13" s="1"/>
  <c r="F234" i="2"/>
  <c r="F238" i="2"/>
  <c r="G237" i="2"/>
  <c r="D237" i="2"/>
  <c r="E237" i="2" s="1"/>
  <c r="D238" i="2"/>
  <c r="I143" i="2"/>
  <c r="M143" i="2" s="1"/>
  <c r="G143" i="2"/>
  <c r="U46" i="4"/>
  <c r="G141" i="2"/>
  <c r="I141" i="2"/>
  <c r="M141" i="2" s="1"/>
  <c r="G142" i="2"/>
  <c r="I142" i="2"/>
  <c r="M142" i="2" s="1"/>
  <c r="G144" i="2"/>
  <c r="J144" i="2" s="1"/>
  <c r="L144" i="2" s="1"/>
  <c r="I144" i="2"/>
  <c r="M144" i="2" s="1"/>
  <c r="T46" i="4"/>
  <c r="S46" i="4"/>
  <c r="R46" i="4"/>
  <c r="Q46" i="4"/>
  <c r="D48" i="4" l="1"/>
  <c r="D50" i="4" s="1"/>
  <c r="L56" i="2"/>
  <c r="W56" i="2"/>
  <c r="I234" i="2"/>
  <c r="I250" i="2" s="1"/>
  <c r="J234" i="2"/>
  <c r="G239" i="2"/>
  <c r="M239" i="2"/>
  <c r="N239" i="2" s="1"/>
  <c r="K239" i="2"/>
  <c r="L239" i="2" s="1"/>
  <c r="K237" i="2"/>
  <c r="L237" i="2" s="1"/>
  <c r="M237" i="2"/>
  <c r="N237" i="2" s="1"/>
  <c r="E11" i="2"/>
  <c r="M238" i="2"/>
  <c r="N238" i="2" s="1"/>
  <c r="K238" i="2"/>
  <c r="L238" i="2" s="1"/>
  <c r="M235" i="2"/>
  <c r="N235" i="2" s="1"/>
  <c r="K235" i="2"/>
  <c r="L235" i="2" s="1"/>
  <c r="J236" i="2"/>
  <c r="K236" i="2" s="1"/>
  <c r="L236" i="2" s="1"/>
  <c r="L126" i="2"/>
  <c r="W126" i="2"/>
  <c r="G54" i="2"/>
  <c r="G69" i="2" s="1"/>
  <c r="L154" i="2"/>
  <c r="L119" i="2"/>
  <c r="L10" i="2"/>
  <c r="M7" i="2"/>
  <c r="L7" i="2"/>
  <c r="L8" i="2"/>
  <c r="M9" i="2"/>
  <c r="L9" i="2"/>
  <c r="AD48" i="4"/>
  <c r="A84" i="2"/>
  <c r="A91" i="2" s="1"/>
  <c r="A98" i="2" s="1"/>
  <c r="A105" i="2" s="1"/>
  <c r="A112" i="2" s="1"/>
  <c r="A119" i="2" s="1"/>
  <c r="A126" i="2" s="1"/>
  <c r="A133" i="2" s="1"/>
  <c r="A140" i="2" s="1"/>
  <c r="A147" i="2" s="1"/>
  <c r="A154" i="2" s="1"/>
  <c r="A161" i="2" s="1"/>
  <c r="A168" i="2" s="1"/>
  <c r="A175" i="2" s="1"/>
  <c r="I12" i="2"/>
  <c r="I18" i="2" s="1"/>
  <c r="G12" i="2"/>
  <c r="J12" i="2" s="1"/>
  <c r="W12" i="2" s="1"/>
  <c r="L147" i="2"/>
  <c r="G203" i="2"/>
  <c r="G209" i="2" s="1"/>
  <c r="L24" i="2"/>
  <c r="W24" i="2"/>
  <c r="M24" i="2"/>
  <c r="I203" i="2"/>
  <c r="I209" i="2" s="1"/>
  <c r="D47" i="4"/>
  <c r="D52" i="4" s="1"/>
  <c r="AD46" i="4"/>
  <c r="AD49" i="4"/>
  <c r="AD47" i="4"/>
  <c r="AD52" i="4" s="1"/>
  <c r="G234" i="2"/>
  <c r="G79" i="2"/>
  <c r="J79" i="2" s="1"/>
  <c r="W79" i="2" s="1"/>
  <c r="I79" i="2"/>
  <c r="K79" i="2" s="1"/>
  <c r="I174" i="2"/>
  <c r="J168" i="2"/>
  <c r="W168" i="2" s="1"/>
  <c r="G174" i="2"/>
  <c r="I47" i="4"/>
  <c r="I52" i="4" s="1"/>
  <c r="W204" i="2"/>
  <c r="L98" i="2"/>
  <c r="L20" i="2"/>
  <c r="W20" i="2"/>
  <c r="K207" i="2"/>
  <c r="M207" i="2"/>
  <c r="M208" i="2"/>
  <c r="K208" i="2"/>
  <c r="K204" i="2"/>
  <c r="M204" i="2"/>
  <c r="M205" i="2"/>
  <c r="K205" i="2"/>
  <c r="M206" i="2"/>
  <c r="K206" i="2"/>
  <c r="K156" i="2"/>
  <c r="M156" i="2"/>
  <c r="K147" i="2"/>
  <c r="M147" i="2"/>
  <c r="M152" i="2"/>
  <c r="K152" i="2"/>
  <c r="M171" i="2"/>
  <c r="K171" i="2"/>
  <c r="M158" i="2"/>
  <c r="K158" i="2"/>
  <c r="M159" i="2"/>
  <c r="K159" i="2"/>
  <c r="M157" i="2"/>
  <c r="K157" i="2"/>
  <c r="M148" i="2"/>
  <c r="K148" i="2"/>
  <c r="M168" i="2"/>
  <c r="K168" i="2"/>
  <c r="M155" i="2"/>
  <c r="K155" i="2"/>
  <c r="M149" i="2"/>
  <c r="K149" i="2"/>
  <c r="M170" i="2"/>
  <c r="K170" i="2"/>
  <c r="M151" i="2"/>
  <c r="K151" i="2"/>
  <c r="K154" i="2"/>
  <c r="M154" i="2"/>
  <c r="K169" i="2"/>
  <c r="M169" i="2"/>
  <c r="M172" i="2"/>
  <c r="K172" i="2"/>
  <c r="M150" i="2"/>
  <c r="K150" i="2"/>
  <c r="K173" i="2"/>
  <c r="M173" i="2"/>
  <c r="K126" i="2"/>
  <c r="M126" i="2"/>
  <c r="K128" i="2"/>
  <c r="M128" i="2"/>
  <c r="M127" i="2"/>
  <c r="K127" i="2"/>
  <c r="M130" i="2"/>
  <c r="K130" i="2"/>
  <c r="M129" i="2"/>
  <c r="K129" i="2"/>
  <c r="K131" i="2"/>
  <c r="M131" i="2"/>
  <c r="K122" i="2"/>
  <c r="M122" i="2"/>
  <c r="M121" i="2"/>
  <c r="K121" i="2"/>
  <c r="K120" i="2"/>
  <c r="M120" i="2"/>
  <c r="K119" i="2"/>
  <c r="M119" i="2"/>
  <c r="M123" i="2"/>
  <c r="K123" i="2"/>
  <c r="M124" i="2"/>
  <c r="K124" i="2"/>
  <c r="M103" i="2"/>
  <c r="K103" i="2"/>
  <c r="K101" i="2"/>
  <c r="M101" i="2"/>
  <c r="K100" i="2"/>
  <c r="M100" i="2"/>
  <c r="K99" i="2"/>
  <c r="M99" i="2"/>
  <c r="M98" i="2"/>
  <c r="K98" i="2"/>
  <c r="K102" i="2"/>
  <c r="M102" i="2"/>
  <c r="L55" i="2"/>
  <c r="W148" i="2"/>
  <c r="H49" i="4"/>
  <c r="G49" i="4"/>
  <c r="I49" i="4"/>
  <c r="W151" i="2"/>
  <c r="O50" i="4"/>
  <c r="K136" i="2"/>
  <c r="M136" i="2"/>
  <c r="G139" i="2"/>
  <c r="J133" i="2"/>
  <c r="W133" i="2" s="1"/>
  <c r="M133" i="2"/>
  <c r="K133" i="2"/>
  <c r="I139" i="2"/>
  <c r="M135" i="2"/>
  <c r="K135" i="2"/>
  <c r="M137" i="2"/>
  <c r="K137" i="2"/>
  <c r="M138" i="2"/>
  <c r="K138" i="2"/>
  <c r="M134" i="2"/>
  <c r="K134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40" i="2"/>
  <c r="M140" i="2" s="1"/>
  <c r="I91" i="2"/>
  <c r="J71" i="2"/>
  <c r="W71" i="2" s="1"/>
  <c r="G140" i="2"/>
  <c r="J140" i="2" s="1"/>
  <c r="W140" i="2" s="1"/>
  <c r="I40" i="2"/>
  <c r="M40" i="2" s="1"/>
  <c r="D46" i="2"/>
  <c r="H8" i="13" s="1"/>
  <c r="I19" i="2"/>
  <c r="M19" i="2" s="1"/>
  <c r="G161" i="2"/>
  <c r="J161" i="2" s="1"/>
  <c r="W161" i="2" s="1"/>
  <c r="I112" i="2"/>
  <c r="M112" i="2" s="1"/>
  <c r="G26" i="2"/>
  <c r="J26" i="2" s="1"/>
  <c r="W26" i="2" s="1"/>
  <c r="H26" i="13"/>
  <c r="H14" i="13"/>
  <c r="I161" i="2"/>
  <c r="M161" i="2" s="1"/>
  <c r="I26" i="2"/>
  <c r="M26" i="2" s="1"/>
  <c r="G91" i="2"/>
  <c r="G97" i="2" s="1"/>
  <c r="I163" i="2"/>
  <c r="M163" i="2" s="1"/>
  <c r="G112" i="2"/>
  <c r="J112" i="2" s="1"/>
  <c r="W112" i="2" s="1"/>
  <c r="D167" i="2"/>
  <c r="H24" i="13" s="1"/>
  <c r="D25" i="2"/>
  <c r="H5" i="13" s="1"/>
  <c r="I54" i="2"/>
  <c r="I69" i="2" s="1"/>
  <c r="G19" i="2"/>
  <c r="J19" i="2" s="1"/>
  <c r="W19" i="2" s="1"/>
  <c r="G163" i="2"/>
  <c r="J163" i="2" s="1"/>
  <c r="W163" i="2" s="1"/>
  <c r="H30" i="13"/>
  <c r="C50" i="4"/>
  <c r="W159" i="2"/>
  <c r="W197" i="2"/>
  <c r="W185" i="2"/>
  <c r="P53" i="4"/>
  <c r="K16" i="13" s="1"/>
  <c r="P50" i="4"/>
  <c r="W136" i="2"/>
  <c r="W177" i="2"/>
  <c r="W158" i="2"/>
  <c r="W100" i="2"/>
  <c r="W166" i="2"/>
  <c r="L166" i="2"/>
  <c r="W164" i="2"/>
  <c r="L164" i="2"/>
  <c r="W207" i="2"/>
  <c r="W103" i="2"/>
  <c r="W186" i="2"/>
  <c r="W187" i="2"/>
  <c r="K82" i="2"/>
  <c r="M82" i="2"/>
  <c r="K8" i="2"/>
  <c r="M8" i="2"/>
  <c r="W149" i="2"/>
  <c r="W152" i="2"/>
  <c r="Z53" i="4"/>
  <c r="K26" i="13" s="1"/>
  <c r="Z50" i="4"/>
  <c r="Y51" i="4"/>
  <c r="Y50" i="4"/>
  <c r="W137" i="2"/>
  <c r="W135" i="2"/>
  <c r="W199" i="2"/>
  <c r="W138" i="2"/>
  <c r="W102" i="2"/>
  <c r="W201" i="2"/>
  <c r="K80" i="2"/>
  <c r="M80" i="2"/>
  <c r="J51" i="4"/>
  <c r="J50" i="4"/>
  <c r="W51" i="4"/>
  <c r="W50" i="4"/>
  <c r="W99" i="2"/>
  <c r="W92" i="2"/>
  <c r="L92" i="2"/>
  <c r="W173" i="2"/>
  <c r="L27" i="2"/>
  <c r="W200" i="2"/>
  <c r="W157" i="2"/>
  <c r="W155" i="2"/>
  <c r="W101" i="2"/>
  <c r="L78" i="2"/>
  <c r="W165" i="2"/>
  <c r="L165" i="2"/>
  <c r="L162" i="2"/>
  <c r="W208" i="2"/>
  <c r="K10" i="2"/>
  <c r="M10" i="2"/>
  <c r="W150" i="2"/>
  <c r="W48" i="2"/>
  <c r="V51" i="4"/>
  <c r="V50" i="4"/>
  <c r="L41" i="2"/>
  <c r="AC53" i="4"/>
  <c r="K29" i="13" s="1"/>
  <c r="AC50" i="4"/>
  <c r="E238" i="2"/>
  <c r="D250" i="2"/>
  <c r="D6" i="11" s="1"/>
  <c r="G238" i="2"/>
  <c r="X52" i="4"/>
  <c r="X53" i="4"/>
  <c r="O52" i="4"/>
  <c r="D223" i="2"/>
  <c r="H32" i="13" s="1"/>
  <c r="B29" i="13"/>
  <c r="K22" i="2"/>
  <c r="K20" i="2"/>
  <c r="W21" i="2"/>
  <c r="W23" i="2"/>
  <c r="W22" i="2"/>
  <c r="K21" i="2"/>
  <c r="K23" i="2"/>
  <c r="J142" i="2"/>
  <c r="J141" i="2"/>
  <c r="L141" i="2" s="1"/>
  <c r="J143" i="2"/>
  <c r="L143" i="2" s="1"/>
  <c r="K58" i="2"/>
  <c r="K59" i="2"/>
  <c r="K57" i="2"/>
  <c r="K55" i="2"/>
  <c r="K56" i="2"/>
  <c r="G47" i="4"/>
  <c r="G52" i="4" s="1"/>
  <c r="W113" i="2"/>
  <c r="W127" i="2"/>
  <c r="W120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L34" i="2" s="1"/>
  <c r="I36" i="2"/>
  <c r="M36" i="2" s="1"/>
  <c r="G36" i="2"/>
  <c r="J36" i="2" s="1"/>
  <c r="L36" i="2" s="1"/>
  <c r="I33" i="2"/>
  <c r="M33" i="2" s="1"/>
  <c r="D39" i="2"/>
  <c r="H7" i="13" s="1"/>
  <c r="G33" i="2"/>
  <c r="I46" i="4"/>
  <c r="K71" i="2"/>
  <c r="K72" i="2"/>
  <c r="K74" i="2"/>
  <c r="K73" i="2"/>
  <c r="H11" i="13"/>
  <c r="I70" i="2"/>
  <c r="I76" i="2" s="1"/>
  <c r="G70" i="2"/>
  <c r="J70" i="2" s="1"/>
  <c r="W70" i="2" s="1"/>
  <c r="K75" i="2"/>
  <c r="G75" i="2"/>
  <c r="J75" i="2" s="1"/>
  <c r="L75" i="2" s="1"/>
  <c r="H47" i="4"/>
  <c r="H52" i="4" s="1"/>
  <c r="K115" i="2"/>
  <c r="K114" i="2"/>
  <c r="K117" i="2"/>
  <c r="K116" i="2"/>
  <c r="K113" i="2"/>
  <c r="N111" i="2"/>
  <c r="B16" i="13" s="1"/>
  <c r="W144" i="2"/>
  <c r="C252" i="2"/>
  <c r="D5" i="11" s="1"/>
  <c r="W72" i="2"/>
  <c r="W38" i="2"/>
  <c r="W28" i="2"/>
  <c r="W123" i="2"/>
  <c r="W124" i="2"/>
  <c r="W96" i="2"/>
  <c r="W73" i="2"/>
  <c r="W117" i="2"/>
  <c r="W82" i="2"/>
  <c r="W30" i="2"/>
  <c r="W31" i="2"/>
  <c r="W37" i="2"/>
  <c r="W121" i="2"/>
  <c r="W74" i="2"/>
  <c r="W81" i="2"/>
  <c r="W114" i="2"/>
  <c r="W29" i="2"/>
  <c r="W122" i="2"/>
  <c r="W116" i="2"/>
  <c r="W93" i="2"/>
  <c r="W95" i="2"/>
  <c r="W94" i="2"/>
  <c r="W80" i="2"/>
  <c r="W16" i="2"/>
  <c r="W14" i="2"/>
  <c r="W17" i="2"/>
  <c r="W15" i="2"/>
  <c r="W9" i="2"/>
  <c r="W8" i="2"/>
  <c r="W10" i="2"/>
  <c r="W7" i="2"/>
  <c r="H46" i="4"/>
  <c r="K27" i="2"/>
  <c r="K28" i="2"/>
  <c r="K29" i="2"/>
  <c r="K30" i="2"/>
  <c r="K31" i="2"/>
  <c r="H9" i="13"/>
  <c r="H13" i="13"/>
  <c r="G46" i="4"/>
  <c r="H21" i="13"/>
  <c r="H22" i="13"/>
  <c r="H12" i="13"/>
  <c r="H4" i="13"/>
  <c r="C52" i="4"/>
  <c r="C51" i="4"/>
  <c r="D132" i="2"/>
  <c r="C53" i="4"/>
  <c r="H18" i="13"/>
  <c r="D104" i="2"/>
  <c r="P51" i="4"/>
  <c r="G6" i="2"/>
  <c r="J6" i="2" s="1"/>
  <c r="R53" i="4"/>
  <c r="K18" i="13" s="1"/>
  <c r="R51" i="4"/>
  <c r="Q51" i="4"/>
  <c r="Q53" i="4"/>
  <c r="K17" i="13" s="1"/>
  <c r="N51" i="4"/>
  <c r="N53" i="4"/>
  <c r="K14" i="13" s="1"/>
  <c r="M53" i="4"/>
  <c r="K13" i="13" s="1"/>
  <c r="M51" i="4"/>
  <c r="E132" i="2"/>
  <c r="K78" i="2"/>
  <c r="K51" i="4"/>
  <c r="K53" i="4"/>
  <c r="K11" i="13" s="1"/>
  <c r="J53" i="4"/>
  <c r="Z51" i="4"/>
  <c r="K92" i="2"/>
  <c r="I145" i="2"/>
  <c r="I77" i="2"/>
  <c r="M77" i="2" s="1"/>
  <c r="E53" i="4"/>
  <c r="K5" i="13" s="1"/>
  <c r="E51" i="4"/>
  <c r="K166" i="2"/>
  <c r="K162" i="2"/>
  <c r="X51" i="4"/>
  <c r="K165" i="2"/>
  <c r="K164" i="2"/>
  <c r="L53" i="4"/>
  <c r="K12" i="13" s="1"/>
  <c r="L51" i="4"/>
  <c r="K81" i="2"/>
  <c r="K96" i="2"/>
  <c r="I6" i="2"/>
  <c r="Y53" i="4"/>
  <c r="K25" i="13" s="1"/>
  <c r="E104" i="2"/>
  <c r="F53" i="4"/>
  <c r="K6" i="13" s="1"/>
  <c r="F51" i="4"/>
  <c r="K9" i="2"/>
  <c r="E111" i="2"/>
  <c r="H16" i="13" s="1"/>
  <c r="H6" i="13"/>
  <c r="O53" i="4"/>
  <c r="O51" i="4"/>
  <c r="G5" i="2"/>
  <c r="I5" i="2"/>
  <c r="K7" i="2"/>
  <c r="G145" i="2"/>
  <c r="K94" i="2"/>
  <c r="K93" i="2"/>
  <c r="G77" i="2"/>
  <c r="K95" i="2"/>
  <c r="W53" i="4"/>
  <c r="K23" i="13" s="1"/>
  <c r="V53" i="4"/>
  <c r="K22" i="13" s="1"/>
  <c r="AC51" i="4"/>
  <c r="AB53" i="4"/>
  <c r="K28" i="13" s="1"/>
  <c r="AB51" i="4"/>
  <c r="D160" i="2"/>
  <c r="H23" i="13" s="1"/>
  <c r="AA53" i="4"/>
  <c r="K27" i="13" s="1"/>
  <c r="AA51" i="4"/>
  <c r="C3" i="13"/>
  <c r="U53" i="4"/>
  <c r="K21" i="13" s="1"/>
  <c r="U51" i="4"/>
  <c r="K142" i="2"/>
  <c r="K141" i="2"/>
  <c r="K144" i="2"/>
  <c r="K143" i="2"/>
  <c r="H20" i="13"/>
  <c r="T53" i="4"/>
  <c r="K20" i="13" s="1"/>
  <c r="T51" i="4"/>
  <c r="S53" i="4"/>
  <c r="K19" i="13" s="1"/>
  <c r="S51" i="4"/>
  <c r="R52" i="4"/>
  <c r="K10" i="13" l="1"/>
  <c r="B53" i="4"/>
  <c r="D55" i="4" s="1"/>
  <c r="J54" i="2"/>
  <c r="B48" i="4"/>
  <c r="J250" i="2"/>
  <c r="B46" i="4"/>
  <c r="B49" i="4"/>
  <c r="B52" i="4"/>
  <c r="B34" i="13"/>
  <c r="K234" i="2"/>
  <c r="K250" i="2" s="1"/>
  <c r="M234" i="2"/>
  <c r="M250" i="2" s="1"/>
  <c r="B47" i="4"/>
  <c r="M236" i="2"/>
  <c r="N236" i="2" s="1"/>
  <c r="M54" i="2"/>
  <c r="M69" i="2" s="1"/>
  <c r="M12" i="2"/>
  <c r="M18" i="2" s="1"/>
  <c r="L12" i="2"/>
  <c r="L18" i="2" s="1"/>
  <c r="K12" i="2"/>
  <c r="K18" i="2" s="1"/>
  <c r="M6" i="2"/>
  <c r="J203" i="2"/>
  <c r="W203" i="2" s="1"/>
  <c r="G18" i="2"/>
  <c r="M203" i="2"/>
  <c r="M209" i="2" s="1"/>
  <c r="K203" i="2"/>
  <c r="K209" i="2" s="1"/>
  <c r="G11" i="2"/>
  <c r="I11" i="2"/>
  <c r="G83" i="2"/>
  <c r="M79" i="2"/>
  <c r="M83" i="2" s="1"/>
  <c r="F255" i="2"/>
  <c r="I255" i="2"/>
  <c r="K174" i="2"/>
  <c r="M174" i="2"/>
  <c r="L168" i="2"/>
  <c r="L174" i="2" s="1"/>
  <c r="J174" i="2"/>
  <c r="L19" i="2"/>
  <c r="L25" i="2" s="1"/>
  <c r="W25" i="2"/>
  <c r="I83" i="2"/>
  <c r="L79" i="2"/>
  <c r="M5" i="2"/>
  <c r="L140" i="2"/>
  <c r="M91" i="2"/>
  <c r="M97" i="2" s="1"/>
  <c r="I97" i="2"/>
  <c r="J111" i="2"/>
  <c r="W111" i="2"/>
  <c r="D16" i="13" s="1"/>
  <c r="L132" i="2"/>
  <c r="L133" i="2"/>
  <c r="L139" i="2" s="1"/>
  <c r="J139" i="2"/>
  <c r="K139" i="2"/>
  <c r="I46" i="2"/>
  <c r="M139" i="2"/>
  <c r="K125" i="2"/>
  <c r="G46" i="2"/>
  <c r="J91" i="2"/>
  <c r="W91" i="2" s="1"/>
  <c r="G118" i="2"/>
  <c r="K54" i="2"/>
  <c r="K69" i="2" s="1"/>
  <c r="J132" i="2"/>
  <c r="K91" i="2"/>
  <c r="K97" i="2" s="1"/>
  <c r="K140" i="2"/>
  <c r="G125" i="2"/>
  <c r="G132" i="2"/>
  <c r="G153" i="2"/>
  <c r="K40" i="2"/>
  <c r="K46" i="2" s="1"/>
  <c r="G32" i="2"/>
  <c r="K19" i="2"/>
  <c r="K25" i="2" s="1"/>
  <c r="L71" i="2"/>
  <c r="I32" i="2"/>
  <c r="G76" i="2"/>
  <c r="I125" i="2"/>
  <c r="K161" i="2"/>
  <c r="L111" i="2"/>
  <c r="I118" i="2"/>
  <c r="K112" i="2"/>
  <c r="K118" i="2" s="1"/>
  <c r="H10" i="13"/>
  <c r="M167" i="2"/>
  <c r="L163" i="2"/>
  <c r="K153" i="2"/>
  <c r="I167" i="2"/>
  <c r="G167" i="2"/>
  <c r="I153" i="2"/>
  <c r="K26" i="2"/>
  <c r="K32" i="2" s="1"/>
  <c r="K163" i="2"/>
  <c r="H28" i="13"/>
  <c r="W198" i="2"/>
  <c r="W202" i="2" s="1"/>
  <c r="L161" i="2"/>
  <c r="W167" i="2"/>
  <c r="W171" i="2"/>
  <c r="W170" i="2"/>
  <c r="W183" i="2"/>
  <c r="L112" i="2"/>
  <c r="L118" i="2" s="1"/>
  <c r="M70" i="2"/>
  <c r="M76" i="2" s="1"/>
  <c r="G53" i="4"/>
  <c r="K7" i="13" s="1"/>
  <c r="G50" i="4"/>
  <c r="W205" i="2"/>
  <c r="W6" i="2"/>
  <c r="L6" i="2"/>
  <c r="W153" i="2"/>
  <c r="D22" i="13" s="1"/>
  <c r="L153" i="2"/>
  <c r="W178" i="2"/>
  <c r="W179" i="2"/>
  <c r="I51" i="4"/>
  <c r="I50" i="4"/>
  <c r="L40" i="2"/>
  <c r="L46" i="2" s="1"/>
  <c r="W142" i="2"/>
  <c r="L142" i="2"/>
  <c r="W134" i="2"/>
  <c r="W169" i="2"/>
  <c r="W180" i="2"/>
  <c r="AD51" i="4"/>
  <c r="AD50" i="4"/>
  <c r="W184" i="2"/>
  <c r="W13" i="2"/>
  <c r="W104" i="2"/>
  <c r="D15" i="13" s="1"/>
  <c r="I146" i="2"/>
  <c r="M145" i="2"/>
  <c r="M146" i="2" s="1"/>
  <c r="W206" i="2"/>
  <c r="W172" i="2"/>
  <c r="W32" i="2"/>
  <c r="L26" i="2"/>
  <c r="L32" i="2" s="1"/>
  <c r="W176" i="2"/>
  <c r="H53" i="4"/>
  <c r="K8" i="13" s="1"/>
  <c r="H50" i="4"/>
  <c r="W125" i="2"/>
  <c r="D18" i="13" s="1"/>
  <c r="L125" i="2"/>
  <c r="J167" i="2"/>
  <c r="K24" i="13"/>
  <c r="K15" i="13"/>
  <c r="G216" i="2"/>
  <c r="AD53" i="4"/>
  <c r="K30" i="13" s="1"/>
  <c r="I216" i="2"/>
  <c r="G223" i="2"/>
  <c r="W215" i="2"/>
  <c r="W214" i="2"/>
  <c r="W213" i="2"/>
  <c r="I223" i="2"/>
  <c r="C4" i="13"/>
  <c r="A182" i="2"/>
  <c r="A189" i="2" s="1"/>
  <c r="W131" i="2"/>
  <c r="W128" i="2"/>
  <c r="W129" i="2"/>
  <c r="J145" i="2"/>
  <c r="W143" i="2"/>
  <c r="W141" i="2"/>
  <c r="W130" i="2"/>
  <c r="D53" i="4"/>
  <c r="K4" i="13" s="1"/>
  <c r="W34" i="2"/>
  <c r="J104" i="2"/>
  <c r="D51" i="4"/>
  <c r="J125" i="2"/>
  <c r="M125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53" i="4"/>
  <c r="K9" i="13" s="1"/>
  <c r="W75" i="2"/>
  <c r="K70" i="2"/>
  <c r="K76" i="2" s="1"/>
  <c r="H51" i="4"/>
  <c r="M118" i="2"/>
  <c r="J118" i="2"/>
  <c r="G51" i="4"/>
  <c r="H29" i="13"/>
  <c r="J153" i="2"/>
  <c r="W115" i="2"/>
  <c r="W45" i="2"/>
  <c r="W51" i="2"/>
  <c r="W50" i="2"/>
  <c r="W59" i="2"/>
  <c r="W43" i="2"/>
  <c r="W52" i="2"/>
  <c r="J32" i="2"/>
  <c r="M32" i="2"/>
  <c r="B256" i="2"/>
  <c r="C256" i="2"/>
  <c r="H25" i="13"/>
  <c r="H15" i="13"/>
  <c r="H19" i="13"/>
  <c r="H17" i="13"/>
  <c r="H3" i="13"/>
  <c r="K3" i="13"/>
  <c r="I132" i="2"/>
  <c r="M132" i="2"/>
  <c r="G111" i="2"/>
  <c r="J25" i="2"/>
  <c r="I25" i="2"/>
  <c r="M25" i="2"/>
  <c r="K145" i="2"/>
  <c r="G25" i="2"/>
  <c r="K77" i="2"/>
  <c r="K83" i="2" s="1"/>
  <c r="G146" i="2"/>
  <c r="K6" i="2"/>
  <c r="J77" i="2"/>
  <c r="W77" i="2" s="1"/>
  <c r="J5" i="2"/>
  <c r="W5" i="2" s="1"/>
  <c r="I111" i="2"/>
  <c r="M153" i="2" s="1"/>
  <c r="I104" i="2"/>
  <c r="K5" i="2"/>
  <c r="J18" i="2"/>
  <c r="G104" i="2"/>
  <c r="G160" i="2"/>
  <c r="I160" i="2"/>
  <c r="M160" i="2"/>
  <c r="D7" i="11"/>
  <c r="G255" i="2"/>
  <c r="L54" i="2" l="1"/>
  <c r="L69" i="2" s="1"/>
  <c r="J69" i="2"/>
  <c r="W54" i="2"/>
  <c r="W69" i="2" s="1"/>
  <c r="B51" i="4"/>
  <c r="N234" i="2"/>
  <c r="N250" i="2" s="1"/>
  <c r="L234" i="2"/>
  <c r="L250" i="2" s="1"/>
  <c r="B50" i="4"/>
  <c r="K34" i="13"/>
  <c r="J83" i="2"/>
  <c r="M11" i="2"/>
  <c r="J11" i="2"/>
  <c r="W18" i="2"/>
  <c r="O18" i="2" s="1"/>
  <c r="F4" i="13" s="1"/>
  <c r="J209" i="2"/>
  <c r="L203" i="2"/>
  <c r="L209" i="2" s="1"/>
  <c r="A196" i="2"/>
  <c r="A203" i="2" s="1"/>
  <c r="A210" i="2" s="1"/>
  <c r="A217" i="2" s="1"/>
  <c r="A224" i="2" s="1"/>
  <c r="W209" i="2"/>
  <c r="D30" i="13" s="1"/>
  <c r="W188" i="2"/>
  <c r="D27" i="13" s="1"/>
  <c r="J97" i="2"/>
  <c r="K11" i="2"/>
  <c r="D29" i="13"/>
  <c r="D9" i="11"/>
  <c r="D8" i="11"/>
  <c r="W181" i="2"/>
  <c r="O181" i="2" s="1"/>
  <c r="F26" i="13" s="1"/>
  <c r="W174" i="2"/>
  <c r="O174" i="2" s="1"/>
  <c r="F25" i="13" s="1"/>
  <c r="W11" i="2"/>
  <c r="W90" i="2"/>
  <c r="L91" i="2"/>
  <c r="L97" i="2" s="1"/>
  <c r="K146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K160" i="2"/>
  <c r="K167" i="2"/>
  <c r="L70" i="2"/>
  <c r="L76" i="2" s="1"/>
  <c r="J76" i="2"/>
  <c r="L167" i="2"/>
  <c r="O202" i="2"/>
  <c r="F29" i="13" s="1"/>
  <c r="K104" i="2"/>
  <c r="W139" i="2"/>
  <c r="L77" i="2"/>
  <c r="L83" i="2" s="1"/>
  <c r="J146" i="2"/>
  <c r="L145" i="2"/>
  <c r="L146" i="2" s="1"/>
  <c r="L5" i="2"/>
  <c r="L11" i="2" s="1"/>
  <c r="W39" i="2"/>
  <c r="D7" i="13" s="1"/>
  <c r="L33" i="2"/>
  <c r="L39" i="2" s="1"/>
  <c r="J216" i="2"/>
  <c r="L216" i="2"/>
  <c r="J160" i="2"/>
  <c r="L160" i="2"/>
  <c r="M223" i="2"/>
  <c r="K223" i="2"/>
  <c r="M216" i="2"/>
  <c r="W212" i="2"/>
  <c r="L223" i="2"/>
  <c r="J223" i="2"/>
  <c r="K216" i="2"/>
  <c r="D24" i="13"/>
  <c r="O167" i="2"/>
  <c r="F24" i="13" s="1"/>
  <c r="D6" i="13"/>
  <c r="D5" i="13"/>
  <c r="W145" i="2"/>
  <c r="W146" i="2" s="1"/>
  <c r="D21" i="13" s="1"/>
  <c r="W132" i="2"/>
  <c r="O111" i="2"/>
  <c r="F16" i="13" s="1"/>
  <c r="M39" i="2"/>
  <c r="J39" i="2"/>
  <c r="K39" i="2"/>
  <c r="O125" i="2"/>
  <c r="F18" i="13" s="1"/>
  <c r="O32" i="2"/>
  <c r="F6" i="13" s="1"/>
  <c r="O153" i="2"/>
  <c r="F22" i="13" s="1"/>
  <c r="W49" i="2"/>
  <c r="W53" i="2" s="1"/>
  <c r="O53" i="2" s="1"/>
  <c r="W42" i="2"/>
  <c r="W46" i="2" s="1"/>
  <c r="D8" i="13" s="1"/>
  <c r="W118" i="2"/>
  <c r="D17" i="13" s="1"/>
  <c r="O25" i="2"/>
  <c r="F5" i="13" s="1"/>
  <c r="W156" i="2"/>
  <c r="M104" i="2"/>
  <c r="K132" i="2"/>
  <c r="K111" i="2"/>
  <c r="M111" i="2"/>
  <c r="D256" i="2"/>
  <c r="D9" i="13" l="1"/>
  <c r="D13" i="13"/>
  <c r="O90" i="2"/>
  <c r="F13" i="13" s="1"/>
  <c r="D28" i="13"/>
  <c r="W83" i="2"/>
  <c r="D12" i="13" s="1"/>
  <c r="W97" i="2"/>
  <c r="D14" i="13" s="1"/>
  <c r="D20" i="13"/>
  <c r="O139" i="2"/>
  <c r="F20" i="13" s="1"/>
  <c r="W76" i="2"/>
  <c r="O76" i="2" s="1"/>
  <c r="F11" i="13" s="1"/>
  <c r="D4" i="13"/>
  <c r="O209" i="2"/>
  <c r="F30" i="13" s="1"/>
  <c r="D25" i="13"/>
  <c r="D26" i="13"/>
  <c r="O188" i="2"/>
  <c r="F27" i="13" s="1"/>
  <c r="O223" i="2"/>
  <c r="F32" i="13" s="1"/>
  <c r="D32" i="13"/>
  <c r="D3" i="13"/>
  <c r="W216" i="2"/>
  <c r="D19" i="13"/>
  <c r="O132" i="2"/>
  <c r="F19" i="13" s="1"/>
  <c r="O39" i="2"/>
  <c r="F7" i="13" s="1"/>
  <c r="O146" i="2"/>
  <c r="F21" i="13" s="1"/>
  <c r="O46" i="2"/>
  <c r="F8" i="13" s="1"/>
  <c r="D10" i="13"/>
  <c r="O118" i="2"/>
  <c r="F17" i="13" s="1"/>
  <c r="W160" i="2"/>
  <c r="O11" i="2"/>
  <c r="F3" i="13" s="1"/>
  <c r="F9" i="13"/>
  <c r="G256" i="2"/>
  <c r="F256" i="2"/>
  <c r="I256" i="2"/>
  <c r="W234" i="2" l="1"/>
  <c r="F28" i="13"/>
  <c r="O83" i="2"/>
  <c r="F12" i="13" s="1"/>
  <c r="O97" i="2"/>
  <c r="F14" i="13" s="1"/>
  <c r="D11" i="13"/>
  <c r="O216" i="2"/>
  <c r="F31" i="13" s="1"/>
  <c r="D31" i="13"/>
  <c r="D23" i="13"/>
  <c r="O160" i="2"/>
  <c r="F23" i="13" s="1"/>
  <c r="O69" i="2"/>
  <c r="F10" i="13" s="1"/>
  <c r="E3" i="13"/>
  <c r="L104" i="2"/>
  <c r="O104" i="2"/>
  <c r="D34" i="13" l="1"/>
  <c r="E4" i="13"/>
  <c r="E5" i="13" s="1"/>
  <c r="E6" i="13" s="1"/>
  <c r="E7" i="13" s="1"/>
  <c r="E8" i="13" s="1"/>
  <c r="E9" i="13" s="1"/>
  <c r="E10" i="13" s="1"/>
  <c r="E11" i="13" s="1"/>
  <c r="F15" i="13"/>
  <c r="F34" i="13" s="1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l="1"/>
  <c r="J257" i="2"/>
  <c r="C5" i="11" s="1"/>
  <c r="B5" i="11" s="1"/>
  <c r="G252" i="2"/>
  <c r="C6" i="11" l="1"/>
  <c r="B6" i="11" s="1"/>
  <c r="C7" i="11"/>
  <c r="B7" i="11" s="1"/>
  <c r="C9" i="11" l="1"/>
  <c r="B9" i="11" s="1"/>
  <c r="C8" i="11"/>
  <c r="B8" i="11" s="1"/>
  <c r="H27" i="13" l="1"/>
  <c r="H34" i="13" s="1"/>
</calcChain>
</file>

<file path=xl/comments1.xml><?xml version="1.0" encoding="utf-8"?>
<comments xmlns="http://schemas.openxmlformats.org/spreadsheetml/2006/main">
  <authors>
    <author>Autor</author>
  </authors>
  <commentList>
    <comment ref="Q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14448
</t>
        </r>
      </text>
    </comment>
    <comment ref="T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14449</t>
        </r>
      </text>
    </comment>
    <comment ref="Q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14540</t>
        </r>
      </text>
    </comment>
    <comment ref="T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14529</t>
        </r>
      </text>
    </comment>
    <comment ref="T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14567</t>
        </r>
      </text>
    </comment>
    <comment ref="T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14590</t>
        </r>
      </text>
    </comment>
    <comment ref="Q7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15490</t>
        </r>
      </text>
    </comment>
    <comment ref="T7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14643</t>
        </r>
      </text>
    </comment>
    <comment ref="Q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14739 Estación El Belloto, anden 1. Servicio 655 XT-15-16 (viaje 28), 656 XT-01-07 (viaje 32) y 660 XT-32-35 (viaje 48) son desacoplados.</t>
        </r>
      </text>
    </comment>
    <comment ref="T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14753 Estación El Belloto, anden 1. Servicio 601 XT-35-31 (viaje 110) y 602 XT-30-34 (viaje 112) son acoplados para cumplir con oferta de equipos en unidad múltiple.</t>
        </r>
      </text>
    </comment>
    <comment ref="Q9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14779</t>
        </r>
      </text>
    </comment>
    <comment ref="T9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14781</t>
        </r>
      </text>
    </comment>
    <comment ref="Q105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14810</t>
        </r>
      </text>
    </comment>
    <comment ref="T105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14837</t>
        </r>
      </text>
    </comment>
    <comment ref="Q11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14868</t>
        </r>
      </text>
    </comment>
    <comment ref="Q11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14913 Estación El Belloto, anden 1. Servicio 656 XT-15-01 (viaje 32), 657 XT-04-13 (viaje 36),658 XT-03-05 (viaje 40), 659 XT-30-35 (viaje 44) y 653 XT-22-26 (viaje 66) son desacoplados.</t>
        </r>
      </text>
    </comment>
    <comment ref="T11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14933
Estación El Belloto, anden 1. Servicio 601 XT- 28 -35 (viaje 110), 602 XT-27-12 (viaje 112) y 603 XT (viaje 114) son acoplados para cumplir con oferta de equipos en unidad múltiple.</t>
        </r>
      </text>
    </comment>
    <comment ref="Q14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15047</t>
        </r>
      </text>
    </comment>
    <comment ref="T14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15029</t>
        </r>
      </text>
    </comment>
    <comment ref="T14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15074</t>
        </r>
      </text>
    </comment>
    <comment ref="T15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15149</t>
        </r>
      </text>
    </comment>
    <comment ref="T16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15164 
Estación El Belloto, anden 1. Servicio 601 XT-22-18 (viaje 110), 603 XT-01-12 (viaje 114) y 605 XT-10-14 (viaje 118) son acoplados para cumplir con oferta de equipos en unidad múltiple.</t>
        </r>
      </text>
    </comment>
    <comment ref="T16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15214 
Estación El Belloto, anden 1. Servicio 601 XT-08-13 (viaje 110) y 603 XT-20-23 (viaje 114) son acoplados para cumplir con oferta de equipos en unidad múltiple.</t>
        </r>
      </text>
    </comment>
    <comment ref="Q18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15300</t>
        </r>
      </text>
    </comment>
    <comment ref="T18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15308
</t>
        </r>
      </text>
    </comment>
    <comment ref="Q19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15345</t>
        </r>
      </text>
    </comment>
    <comment ref="T19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15373
</t>
        </r>
      </text>
    </comment>
    <comment ref="Q20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15379
Estación El Belloto, anden 1. Servicio 654 XT-07-10 (viaje 24),656 XT-05-04 (viaje 32), 659 XT-22-25 (viaje 44) y 653 XT-01-06 (viaje 66) son desacoplados.</t>
        </r>
      </text>
    </comment>
    <comment ref="T20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15410</t>
        </r>
      </text>
    </comment>
    <comment ref="Q21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15418</t>
        </r>
      </text>
    </comment>
    <comment ref="T21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15459</t>
        </r>
      </text>
    </comment>
    <comment ref="Q2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15468 Estación El Belloto, anden 1. Servicio 655 XT-18-08 (viaje 28), 656 XT-33-28 (viaje 32) y 659 XT-03-05 (viaje 44) son desacoplados.</t>
        </r>
      </text>
    </comment>
    <comment ref="T21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15659
Estación El Belloto, anden 1. Servicio 601 XT-35-32 (viaje 110), 602 XT-10 (viaje 112) y 603 XT-04-(viaje 114) son acoplados para cumplir con oferta de equipos en unidad múltiple.</t>
        </r>
      </text>
    </comment>
  </commentList>
</comments>
</file>

<file path=xl/sharedStrings.xml><?xml version="1.0" encoding="utf-8"?>
<sst xmlns="http://schemas.openxmlformats.org/spreadsheetml/2006/main" count="856" uniqueCount="272">
  <si>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</si>
  <si>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</si>
  <si>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</si>
  <si>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</si>
  <si>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</si>
  <si>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</si>
  <si>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</si>
  <si>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</si>
  <si>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</si>
  <si>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</si>
  <si>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</si>
  <si>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</si>
  <si>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</si>
  <si>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</si>
  <si>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</si>
  <si>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</si>
  <si>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</si>
  <si>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</si>
  <si>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</si>
  <si>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</si>
  <si>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</si>
  <si>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</si>
  <si>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</si>
  <si>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</si>
  <si>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</si>
  <si>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</si>
  <si>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</si>
  <si>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</si>
  <si>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</si>
  <si>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</si>
  <si>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</si>
  <si>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</si>
  <si>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</si>
  <si>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</si>
  <si>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</si>
  <si>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</si>
  <si>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</si>
  <si>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</si>
  <si>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</si>
  <si>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</si>
  <si>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</si>
  <si>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</si>
  <si>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</si>
  <si>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</si>
  <si>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</si>
  <si>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</si>
  <si>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</si>
  <si>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</si>
  <si>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</si>
  <si>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</si>
  <si>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</si>
  <si>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</si>
  <si>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</si>
  <si>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</si>
  <si>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</si>
  <si>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</si>
  <si>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</si>
  <si>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</si>
  <si>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</si>
  <si>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</si>
  <si>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</si>
  <si>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</si>
  <si>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</si>
  <si>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</si>
  <si>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</si>
  <si>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</si>
  <si>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</si>
  <si>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</si>
  <si>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</si>
  <si>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</si>
  <si>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</si>
  <si>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</si>
  <si>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</si>
  <si>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</si>
  <si>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</si>
  <si>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</si>
  <si>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</si>
  <si>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</si>
  <si>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</si>
  <si>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</si>
  <si>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</si>
  <si>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</si>
  <si>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</si>
  <si>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</si>
  <si>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</si>
  <si>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</si>
  <si>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</si>
  <si>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</si>
  <si>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</si>
  <si>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</si>
  <si>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</si>
  <si>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</si>
  <si>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</si>
  <si>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</si>
  <si>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</si>
  <si>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</si>
  <si>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</si>
  <si>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</si>
  <si>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</si>
  <si>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</si>
  <si>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</si>
  <si>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</si>
  <si>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</si>
  <si>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</si>
  <si>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</si>
  <si>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</si>
  <si>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</si>
  <si>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</si>
  <si>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</si>
  <si>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</si>
  <si>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</si>
  <si>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</si>
  <si>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</si>
  <si>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</si>
  <si>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</si>
  <si>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</si>
  <si>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</si>
  <si>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</si>
  <si>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</si>
  <si>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</si>
  <si>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</si>
  <si>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</si>
  <si>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</si>
  <si>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</si>
  <si>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</si>
  <si>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</si>
  <si>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</si>
  <si>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</si>
  <si>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</si>
  <si>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</si>
  <si>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</si>
  <si>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</si>
  <si>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</si>
  <si>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</si>
  <si>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</si>
  <si>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</si>
  <si>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</si>
  <si>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</si>
  <si>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</si>
  <si>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</si>
  <si>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</si>
  <si>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</si>
  <si>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</si>
  <si>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</si>
  <si>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</si>
  <si>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</si>
  <si>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</si>
  <si>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</si>
  <si>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</si>
  <si>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</si>
  <si>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</si>
  <si>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</si>
  <si>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</si>
  <si>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</si>
  <si>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</si>
  <si>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</si>
  <si>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</si>
  <si>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</si>
  <si>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</si>
  <si>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</si>
  <si>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</si>
  <si>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</si>
  <si>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Servicios PU-ES</t>
  </si>
  <si>
    <t>Trenes PU-ES</t>
  </si>
  <si>
    <t>MI-SA</t>
  </si>
  <si>
    <t>Servicios LI-MI</t>
  </si>
  <si>
    <t>Servicios MI-LI</t>
  </si>
  <si>
    <t>Trenes MI-LI</t>
  </si>
  <si>
    <t>Trenes LI-MI</t>
  </si>
  <si>
    <t>LI-PO</t>
  </si>
  <si>
    <t>LI-PE</t>
  </si>
  <si>
    <t>Acople PE (600) via 2</t>
  </si>
  <si>
    <t>Oferta Mayo 2025</t>
  </si>
  <si>
    <t>Mayo 2025</t>
  </si>
  <si>
    <t>Corte catenaria v1 en RE, afecta v1 en tramo PO-ES</t>
  </si>
  <si>
    <t>LI-QU</t>
  </si>
  <si>
    <t>QU-LI</t>
  </si>
  <si>
    <t>LI-MI</t>
  </si>
  <si>
    <t>MI-LI</t>
  </si>
  <si>
    <t>Servicios LI-QU</t>
  </si>
  <si>
    <t>Servicios QU-LI</t>
  </si>
  <si>
    <t>Trenes LI-QU</t>
  </si>
  <si>
    <t>Trenes QU-LI</t>
  </si>
  <si>
    <t>Servicios SA-QU</t>
  </si>
  <si>
    <t>SA-QU</t>
  </si>
  <si>
    <t>Trenes SA-QU</t>
  </si>
  <si>
    <t>SA-QU/QU-SA</t>
  </si>
  <si>
    <t>Total Trenes P</t>
  </si>
  <si>
    <t>KmTren P</t>
  </si>
  <si>
    <t>EB-LI</t>
  </si>
  <si>
    <t>XT-1</t>
  </si>
  <si>
    <t>10.48</t>
  </si>
  <si>
    <t>XT-2</t>
  </si>
  <si>
    <t>XT-3</t>
  </si>
  <si>
    <t>45.57</t>
  </si>
  <si>
    <t>XT-4</t>
  </si>
  <si>
    <t>-38.69</t>
  </si>
  <si>
    <t>XT-5</t>
  </si>
  <si>
    <t>-33.04</t>
  </si>
  <si>
    <t>XT-6</t>
  </si>
  <si>
    <t>-0.69</t>
  </si>
  <si>
    <t>XT-7</t>
  </si>
  <si>
    <t>7.2</t>
  </si>
  <si>
    <t>XT-8</t>
  </si>
  <si>
    <t>-32.04</t>
  </si>
  <si>
    <t>XT-9</t>
  </si>
  <si>
    <t>11.18</t>
  </si>
  <si>
    <t>XT-10</t>
  </si>
  <si>
    <t>5.12</t>
  </si>
  <si>
    <t>XT-11</t>
  </si>
  <si>
    <t>1.87</t>
  </si>
  <si>
    <t>XT-12</t>
  </si>
  <si>
    <t>0.31</t>
  </si>
  <si>
    <t>XT-13</t>
  </si>
  <si>
    <t>7.72</t>
  </si>
  <si>
    <t>XT-14</t>
  </si>
  <si>
    <t>0.83</t>
  </si>
  <si>
    <t>XT-15</t>
  </si>
  <si>
    <t>0.7</t>
  </si>
  <si>
    <t>XT-16</t>
  </si>
  <si>
    <t>10.66</t>
  </si>
  <si>
    <t>XT-17</t>
  </si>
  <si>
    <t>-0.82</t>
  </si>
  <si>
    <t>XT-18</t>
  </si>
  <si>
    <t>2.31</t>
  </si>
  <si>
    <t>XT-19</t>
  </si>
  <si>
    <t>13.84</t>
  </si>
  <si>
    <t>XT-20</t>
  </si>
  <si>
    <t>2.96</t>
  </si>
  <si>
    <t>XT-21</t>
  </si>
  <si>
    <t>5.72</t>
  </si>
  <si>
    <t>XT-22</t>
  </si>
  <si>
    <t>-2.31</t>
  </si>
  <si>
    <t>XT-23</t>
  </si>
  <si>
    <t>XT-24</t>
  </si>
  <si>
    <t>7.28</t>
  </si>
  <si>
    <t>XT-25</t>
  </si>
  <si>
    <t>XT-26</t>
  </si>
  <si>
    <t>5.43</t>
  </si>
  <si>
    <t>XT-27</t>
  </si>
  <si>
    <t>0.18</t>
  </si>
  <si>
    <t>XT-28</t>
  </si>
  <si>
    <t>-8.34</t>
  </si>
  <si>
    <t>XT-29</t>
  </si>
  <si>
    <t>3.95</t>
  </si>
  <si>
    <t>XT-30</t>
  </si>
  <si>
    <t>6.88</t>
  </si>
  <si>
    <t>XT-31</t>
  </si>
  <si>
    <t>11.48</t>
  </si>
  <si>
    <t>XT-32</t>
  </si>
  <si>
    <t>0.74</t>
  </si>
  <si>
    <t>XT-33</t>
  </si>
  <si>
    <t>2.65</t>
  </si>
  <si>
    <t>XT-34</t>
  </si>
  <si>
    <t>4.46</t>
  </si>
  <si>
    <t>XT-35</t>
  </si>
  <si>
    <t>-14.04</t>
  </si>
  <si>
    <t>PU-CH</t>
  </si>
  <si>
    <t>PU-FR</t>
  </si>
  <si>
    <t>PU-RE</t>
  </si>
  <si>
    <t>LI-CH</t>
  </si>
  <si>
    <t>v1</t>
  </si>
  <si>
    <t>v2</t>
  </si>
  <si>
    <t>Servicios PU-CH</t>
  </si>
  <si>
    <t>Servicios PU-FR</t>
  </si>
  <si>
    <t>Servicios PU-RE</t>
  </si>
  <si>
    <t>Servicios LI-CH</t>
  </si>
  <si>
    <t>Trenes PU-CH</t>
  </si>
  <si>
    <t>Trenes PU-FR</t>
  </si>
  <si>
    <t>Trenes PU-RE</t>
  </si>
  <si>
    <t>Trenes LI-CH</t>
  </si>
  <si>
    <t>PU-ES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</si>
</sst>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</numFmts>
  <fonts count="6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b/>
      <sz val="8"/>
      <color rgb="FF6E6B7B"/>
      <name val="Helvetica"/>
      <family val="2"/>
    </font>
    <font>
      <b/>
      <sz val="8"/>
      <color rgb="FFFF0000"/>
      <name val="Helvetica"/>
      <family val="2"/>
    </font>
  </fonts>
  <fills count="6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theme="2" tint="-0.249977111117893"/>
        <bgColor indexed="3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F5C3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EBE9F1"/>
      </left>
      <right style="medium">
        <color rgb="FFEBE9F1"/>
      </right>
      <top style="medium">
        <color rgb="FFEBE9F1"/>
      </top>
      <bottom style="medium">
        <color rgb="FFEBE9F1"/>
      </bottom>
      <diagonal/>
    </border>
    <border>
      <left/>
      <right style="medium">
        <color rgb="FFEBE9F1"/>
      </right>
      <top/>
      <bottom style="medium">
        <color rgb="FFEBE9F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97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4" fillId="0" borderId="0" xfId="0" applyFont="1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12" borderId="11" xfId="2" applyFont="1" applyFill="1" applyBorder="1" applyAlignment="1" applyProtection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8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7" fillId="0" borderId="0" xfId="0" applyFont="1" applyFill="1" applyBorder="1" applyAlignment="1"/>
    <xf numFmtId="0" fontId="7" fillId="59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1" fontId="3" fillId="59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1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60" borderId="0" xfId="0" applyFill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 vertic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3" fontId="52" fillId="0" borderId="1" xfId="0" applyNumberFormat="1" applyFont="1" applyBorder="1" applyAlignment="1">
      <alignment horizontal="center" vertical="center" wrapText="1"/>
    </xf>
    <xf numFmtId="0" fontId="3" fillId="43" borderId="2" xfId="6" applyFont="1" applyFill="1" applyBorder="1" applyAlignment="1" applyProtection="1">
      <alignment horizontal="center"/>
      <protection locked="0"/>
    </xf>
    <xf numFmtId="0" fontId="3" fillId="43" borderId="1" xfId="6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0" fontId="53" fillId="38" borderId="2" xfId="0" applyFont="1" applyFill="1" applyBorder="1" applyAlignment="1">
      <alignment horizontal="center"/>
    </xf>
    <xf numFmtId="3" fontId="52" fillId="0" borderId="2" xfId="0" applyNumberFormat="1" applyFont="1" applyBorder="1" applyAlignment="1">
      <alignment horizontal="center" vertical="center" wrapText="1"/>
    </xf>
    <xf numFmtId="0" fontId="0" fillId="40" borderId="2" xfId="0" applyFill="1" applyBorder="1" applyAlignment="1">
      <alignment horizontal="center"/>
    </xf>
    <xf numFmtId="0" fontId="7" fillId="61" borderId="2" xfId="0" applyFont="1" applyFill="1" applyBorder="1" applyAlignment="1" applyProtection="1">
      <alignment horizontal="center"/>
      <protection locked="0"/>
    </xf>
    <xf numFmtId="0" fontId="3" fillId="38" borderId="1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5" fillId="40" borderId="2" xfId="0" applyFont="1" applyFill="1" applyBorder="1" applyAlignment="1">
      <alignment horizontal="center"/>
    </xf>
    <xf numFmtId="0" fontId="5" fillId="9" borderId="66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0" xfId="0" applyFont="1" applyFill="1" applyBorder="1" applyAlignment="1" applyProtection="1">
      <alignment horizontal="left"/>
    </xf>
    <xf numFmtId="0" fontId="3" fillId="53" borderId="0" xfId="6" applyFill="1" applyBorder="1" applyAlignment="1" applyProtection="1">
      <alignment horizontal="center"/>
      <protection locked="0"/>
    </xf>
    <xf numFmtId="1" fontId="3" fillId="62" borderId="43" xfId="0" applyNumberFormat="1" applyFont="1" applyFill="1" applyBorder="1" applyAlignment="1">
      <alignment horizontal="left"/>
    </xf>
    <xf numFmtId="0" fontId="54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59" fillId="64" borderId="85" xfId="0" applyFont="1" applyFill="1" applyBorder="1" applyAlignment="1">
      <alignment horizontal="center" vertical="top" wrapText="1"/>
    </xf>
    <xf numFmtId="0" fontId="60" fillId="64" borderId="85" xfId="0" applyFont="1" applyFill="1" applyBorder="1" applyAlignment="1">
      <alignment horizontal="center" vertical="top" wrapText="1"/>
    </xf>
    <xf numFmtId="0" fontId="59" fillId="65" borderId="85" xfId="0" applyFont="1" applyFill="1" applyBorder="1" applyAlignment="1">
      <alignment horizontal="center" vertical="top" wrapText="1"/>
    </xf>
    <xf numFmtId="0" fontId="0" fillId="64" borderId="86" xfId="0" applyFill="1" applyBorder="1"/>
    <xf numFmtId="0" fontId="0" fillId="0" borderId="0" xfId="0" applyAlignment="1">
      <alignment horizontal="center"/>
    </xf>
    <xf numFmtId="0" fontId="50" fillId="63" borderId="0" xfId="2" applyFont="1" applyFill="1" applyAlignment="1">
      <alignment horizontal="center" vertical="center" wrapText="1"/>
    </xf>
    <xf numFmtId="0" fontId="0" fillId="0" borderId="88" xfId="0" applyBorder="1"/>
    <xf numFmtId="0" fontId="0" fillId="0" borderId="89" xfId="0" applyBorder="1"/>
    <xf numFmtId="0" fontId="0" fillId="0" borderId="90" xfId="0" applyBorder="1"/>
    <xf numFmtId="0" fontId="0" fillId="0" borderId="77" xfId="0" applyBorder="1"/>
    <xf numFmtId="0" fontId="0" fillId="0" borderId="0" xfId="0" applyAlignment="1">
      <alignment horizontal="center"/>
    </xf>
    <xf numFmtId="0" fontId="5" fillId="43" borderId="0" xfId="0" applyFont="1" applyFill="1" applyBorder="1" applyAlignment="1">
      <alignment horizontal="center"/>
    </xf>
    <xf numFmtId="0" fontId="5" fillId="39" borderId="16" xfId="0" applyFont="1" applyFill="1" applyBorder="1" applyAlignment="1">
      <alignment horizontal="center"/>
    </xf>
    <xf numFmtId="0" fontId="5" fillId="12" borderId="91" xfId="2" applyFont="1" applyFill="1" applyBorder="1" applyAlignment="1" applyProtection="1">
      <alignment horizontal="center"/>
    </xf>
    <xf numFmtId="0" fontId="5" fillId="12" borderId="91" xfId="2" applyFont="1" applyFill="1" applyBorder="1" applyAlignment="1">
      <alignment horizontal="center"/>
    </xf>
    <xf numFmtId="2" fontId="5" fillId="12" borderId="47" xfId="2" applyNumberFormat="1" applyFont="1" applyFill="1" applyBorder="1" applyAlignment="1">
      <alignment horizontal="center"/>
    </xf>
    <xf numFmtId="1" fontId="39" fillId="0" borderId="0" xfId="0" applyNumberFormat="1" applyFont="1" applyAlignment="1">
      <alignment vertical="center"/>
    </xf>
    <xf numFmtId="0" fontId="4" fillId="0" borderId="0" xfId="2" applyFont="1" applyFill="1" applyAlignment="1">
      <alignment horizontal="center"/>
    </xf>
    <xf numFmtId="0" fontId="0" fillId="0" borderId="87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 applyAlignment="1">
      <alignment horizontal="center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50" fillId="63" borderId="0" xfId="2" applyFont="1" applyFill="1" applyAlignment="1">
      <alignment horizontal="center" vertical="center" wrapText="1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7" fillId="16" borderId="88" xfId="0" applyFont="1" applyFill="1" applyBorder="1" applyAlignment="1" applyProtection="1">
      <alignment horizontal="left"/>
    </xf>
    <xf numFmtId="0" fontId="7" fillId="16" borderId="0" xfId="0" applyFont="1" applyFill="1" applyBorder="1" applyAlignment="1" applyProtection="1">
      <alignment horizontal="left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4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120"/>
  <sheetViews>
    <sheetView zoomScaleNormal="100" workbookViewId="0">
      <selection activeCell="AH33" sqref="AH33"/>
    </sheetView>
  </sheetViews>
  <sheetFormatPr baseColWidth="10" defaultColWidth="11.5546875" defaultRowHeight="14.4" x14ac:dyDescent="0.3"/>
  <cols>
    <col min="1" max="1" width="15.5546875" customWidth="1"/>
    <col min="2" max="4" width="10.33203125" customWidth="1"/>
    <col min="5" max="5" width="10.88671875" customWidth="1"/>
    <col min="6" max="14" width="10.33203125" customWidth="1"/>
    <col min="15" max="15" width="10.6640625" customWidth="1"/>
    <col min="16" max="22" width="10.33203125" customWidth="1"/>
    <col min="23" max="23" width="10.44140625" customWidth="1"/>
    <col min="24" max="28" width="10.33203125" customWidth="1"/>
    <col min="29" max="29" width="10.33203125" bestFit="1" customWidth="1"/>
    <col min="30" max="30" width="11.33203125" customWidth="1"/>
    <col min="31" max="31" width="11" customWidth="1"/>
  </cols>
  <sheetData>
    <row r="1" spans="1:32" ht="17.399999999999999" x14ac:dyDescent="0.3">
      <c r="A1" s="352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</row>
    <row r="2" spans="1:32" x14ac:dyDescent="0.3">
      <c r="A2" s="1"/>
      <c r="B2" s="62">
        <v>45778</v>
      </c>
      <c r="C2" s="62">
        <v>45779</v>
      </c>
      <c r="D2" s="62">
        <v>45780</v>
      </c>
      <c r="E2" s="62">
        <v>45781</v>
      </c>
      <c r="F2" s="62">
        <v>45782</v>
      </c>
      <c r="G2" s="62">
        <v>45783</v>
      </c>
      <c r="H2" s="62">
        <v>45784</v>
      </c>
      <c r="I2" s="62">
        <v>45785</v>
      </c>
      <c r="J2" s="62">
        <v>45786</v>
      </c>
      <c r="K2" s="62">
        <v>45787</v>
      </c>
      <c r="L2" s="62">
        <v>45788</v>
      </c>
      <c r="M2" s="62">
        <v>45789</v>
      </c>
      <c r="N2" s="62">
        <v>45790</v>
      </c>
      <c r="O2" s="62">
        <v>45791</v>
      </c>
      <c r="P2" s="62">
        <v>45792</v>
      </c>
      <c r="Q2" s="62">
        <v>45793</v>
      </c>
      <c r="R2" s="62">
        <v>45794</v>
      </c>
      <c r="S2" s="62">
        <v>45795</v>
      </c>
      <c r="T2" s="62">
        <v>45796</v>
      </c>
      <c r="U2" s="62">
        <v>45797</v>
      </c>
      <c r="V2" s="62">
        <v>45798</v>
      </c>
      <c r="W2" s="62">
        <v>45799</v>
      </c>
      <c r="X2" s="62">
        <v>45800</v>
      </c>
      <c r="Y2" s="62">
        <v>45801</v>
      </c>
      <c r="Z2" s="62">
        <v>45802</v>
      </c>
      <c r="AA2" s="62">
        <v>45803</v>
      </c>
      <c r="AB2" s="62">
        <v>45804</v>
      </c>
      <c r="AC2" s="62">
        <v>45805</v>
      </c>
      <c r="AD2" s="62">
        <v>45806</v>
      </c>
      <c r="AE2" s="62">
        <v>45807</v>
      </c>
      <c r="AF2" s="62">
        <v>45808</v>
      </c>
    </row>
    <row r="3" spans="1:32" x14ac:dyDescent="0.3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3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3">
      <c r="A5" s="5" t="s">
        <v>4</v>
      </c>
      <c r="B5" s="304">
        <v>2003943</v>
      </c>
      <c r="C5" s="304">
        <v>2004180</v>
      </c>
      <c r="D5" s="304">
        <v>2004180</v>
      </c>
      <c r="E5" s="304">
        <v>2004180</v>
      </c>
      <c r="F5" s="304">
        <v>2004374</v>
      </c>
      <c r="G5" s="304">
        <v>2004626</v>
      </c>
      <c r="H5" s="304">
        <v>2004803</v>
      </c>
      <c r="I5" s="304">
        <v>2005264</v>
      </c>
      <c r="J5" s="304">
        <v>2005742</v>
      </c>
      <c r="K5" s="304">
        <v>2005785</v>
      </c>
      <c r="L5" s="304">
        <v>2006259</v>
      </c>
      <c r="M5" s="304">
        <v>2006391</v>
      </c>
      <c r="N5" s="304">
        <v>2006392</v>
      </c>
      <c r="O5" s="304">
        <v>2006824</v>
      </c>
      <c r="P5" s="304">
        <v>2007384</v>
      </c>
      <c r="Q5" s="304">
        <v>2007622</v>
      </c>
      <c r="R5" s="304">
        <v>2007622</v>
      </c>
      <c r="S5" s="304">
        <v>2007622</v>
      </c>
      <c r="T5" s="304">
        <v>2007929</v>
      </c>
      <c r="U5" s="304">
        <v>2008403</v>
      </c>
      <c r="V5" s="304">
        <v>2008403</v>
      </c>
      <c r="W5" s="309">
        <v>2008963</v>
      </c>
      <c r="X5" s="304">
        <v>2009307</v>
      </c>
      <c r="Y5" s="304">
        <v>2009350</v>
      </c>
      <c r="Z5" s="309">
        <v>2009868</v>
      </c>
      <c r="AA5" s="309">
        <v>2010071</v>
      </c>
      <c r="AB5" s="309">
        <v>2010323</v>
      </c>
      <c r="AC5" s="304">
        <v>2010832</v>
      </c>
      <c r="AD5" s="304">
        <v>2011095</v>
      </c>
      <c r="AE5" s="304">
        <v>2011346</v>
      </c>
      <c r="AF5" s="304">
        <v>2011346</v>
      </c>
    </row>
    <row r="6" spans="1:32" x14ac:dyDescent="0.3">
      <c r="A6" s="5" t="s">
        <v>5</v>
      </c>
      <c r="B6" s="304">
        <v>1984952</v>
      </c>
      <c r="C6" s="304">
        <v>1984952</v>
      </c>
      <c r="D6" s="304">
        <v>1984952</v>
      </c>
      <c r="E6" s="304">
        <v>1984952</v>
      </c>
      <c r="F6" s="304">
        <v>1984952</v>
      </c>
      <c r="G6" s="304">
        <v>1984952</v>
      </c>
      <c r="H6" s="304">
        <v>1984952</v>
      </c>
      <c r="I6" s="304">
        <v>1984952</v>
      </c>
      <c r="J6" s="304">
        <v>1984952</v>
      </c>
      <c r="K6" s="304">
        <v>1984952</v>
      </c>
      <c r="L6" s="304">
        <v>1984952</v>
      </c>
      <c r="M6" s="304">
        <v>1984952</v>
      </c>
      <c r="N6" s="304">
        <v>1984952</v>
      </c>
      <c r="O6" s="304">
        <v>1984952</v>
      </c>
      <c r="P6" s="304">
        <v>1984952</v>
      </c>
      <c r="Q6" s="304">
        <v>1984952</v>
      </c>
      <c r="R6" s="304">
        <v>1984952</v>
      </c>
      <c r="S6" s="304">
        <v>1984952</v>
      </c>
      <c r="T6" s="304">
        <v>1984952</v>
      </c>
      <c r="U6" s="304">
        <v>1984952</v>
      </c>
      <c r="V6" s="304">
        <v>1984952</v>
      </c>
      <c r="W6" s="309">
        <v>1984952</v>
      </c>
      <c r="X6" s="304">
        <v>1984952</v>
      </c>
      <c r="Y6" s="304">
        <v>1984952</v>
      </c>
      <c r="Z6" s="309">
        <v>1984952</v>
      </c>
      <c r="AA6" s="309">
        <v>1984952</v>
      </c>
      <c r="AB6" s="309">
        <v>1984952</v>
      </c>
      <c r="AC6" s="304">
        <v>1984952</v>
      </c>
      <c r="AD6" s="304">
        <v>1984952</v>
      </c>
      <c r="AE6" s="304">
        <v>1984952</v>
      </c>
      <c r="AF6" s="304">
        <v>1984952</v>
      </c>
    </row>
    <row r="7" spans="1:32" x14ac:dyDescent="0.3">
      <c r="A7" s="5" t="s">
        <v>6</v>
      </c>
      <c r="B7" s="304">
        <v>2062023</v>
      </c>
      <c r="C7" s="304">
        <v>2062330</v>
      </c>
      <c r="D7" s="304">
        <v>2062849</v>
      </c>
      <c r="E7" s="304">
        <v>2062893</v>
      </c>
      <c r="F7" s="304">
        <v>2063329</v>
      </c>
      <c r="G7" s="304">
        <v>2063762</v>
      </c>
      <c r="H7" s="304">
        <v>2064286</v>
      </c>
      <c r="I7" s="304">
        <v>2064724</v>
      </c>
      <c r="J7" s="304">
        <v>2065177</v>
      </c>
      <c r="K7" s="304">
        <v>2065177</v>
      </c>
      <c r="L7" s="304">
        <v>2065177</v>
      </c>
      <c r="M7" s="304">
        <v>2065371</v>
      </c>
      <c r="N7" s="304">
        <v>2065771</v>
      </c>
      <c r="O7" s="304">
        <v>2066204</v>
      </c>
      <c r="P7" s="304">
        <v>2066510</v>
      </c>
      <c r="Q7" s="304">
        <v>2067071</v>
      </c>
      <c r="R7" s="304">
        <v>2067632</v>
      </c>
      <c r="S7" s="304">
        <v>2068107</v>
      </c>
      <c r="T7" s="304">
        <v>2068455</v>
      </c>
      <c r="U7" s="304">
        <v>2068722</v>
      </c>
      <c r="V7" s="304">
        <v>2068749</v>
      </c>
      <c r="W7" s="309">
        <v>2069270</v>
      </c>
      <c r="X7" s="304">
        <v>2069357</v>
      </c>
      <c r="Y7" s="304">
        <v>2069357</v>
      </c>
      <c r="Z7" s="309">
        <v>2069357</v>
      </c>
      <c r="AA7" s="309">
        <v>2069810</v>
      </c>
      <c r="AB7" s="309">
        <v>2070072</v>
      </c>
      <c r="AC7" s="304">
        <v>2070506</v>
      </c>
      <c r="AD7" s="304">
        <v>2070598</v>
      </c>
      <c r="AE7" s="304">
        <v>2071118</v>
      </c>
      <c r="AF7" s="304">
        <v>2071636</v>
      </c>
    </row>
    <row r="8" spans="1:32" x14ac:dyDescent="0.3">
      <c r="A8" s="6" t="s">
        <v>7</v>
      </c>
      <c r="B8" s="304">
        <v>2062213</v>
      </c>
      <c r="C8" s="304">
        <v>2062706</v>
      </c>
      <c r="D8" s="304">
        <v>2062706</v>
      </c>
      <c r="E8" s="304">
        <v>2062706</v>
      </c>
      <c r="F8" s="304">
        <v>2063226</v>
      </c>
      <c r="G8" s="304">
        <v>2063638</v>
      </c>
      <c r="H8" s="304">
        <v>2063899</v>
      </c>
      <c r="I8" s="304">
        <v>2064069</v>
      </c>
      <c r="J8" s="304">
        <v>2064372</v>
      </c>
      <c r="K8" s="304">
        <v>2064763</v>
      </c>
      <c r="L8" s="304">
        <v>2065283</v>
      </c>
      <c r="M8" s="304">
        <v>2065735</v>
      </c>
      <c r="N8" s="304">
        <v>2066076</v>
      </c>
      <c r="O8" s="304">
        <v>2066597</v>
      </c>
      <c r="P8" s="304">
        <v>2066770</v>
      </c>
      <c r="Q8" s="304">
        <v>2067292</v>
      </c>
      <c r="R8" s="304">
        <v>2067853</v>
      </c>
      <c r="S8" s="304">
        <v>2068247</v>
      </c>
      <c r="T8" s="304">
        <v>2068810</v>
      </c>
      <c r="U8" s="304">
        <v>2069372</v>
      </c>
      <c r="V8" s="304">
        <v>2069850</v>
      </c>
      <c r="W8" s="309">
        <v>2070156</v>
      </c>
      <c r="X8" s="304">
        <v>2070357</v>
      </c>
      <c r="Y8" s="304">
        <v>2070357</v>
      </c>
      <c r="Z8" s="309">
        <v>2070357</v>
      </c>
      <c r="AA8" s="309">
        <v>2070549</v>
      </c>
      <c r="AB8" s="309">
        <v>2071137</v>
      </c>
      <c r="AC8" s="304">
        <v>2071398</v>
      </c>
      <c r="AD8" s="304">
        <v>2072003</v>
      </c>
      <c r="AE8" s="304">
        <v>2072525</v>
      </c>
      <c r="AF8" s="304">
        <v>2073043</v>
      </c>
    </row>
    <row r="9" spans="1:32" x14ac:dyDescent="0.3">
      <c r="A9" s="6" t="s">
        <v>8</v>
      </c>
      <c r="B9" s="304">
        <v>1970913</v>
      </c>
      <c r="C9" s="304">
        <v>1971172</v>
      </c>
      <c r="D9" s="304">
        <v>1971172</v>
      </c>
      <c r="E9" s="304">
        <v>1971172</v>
      </c>
      <c r="F9" s="304">
        <v>1971341</v>
      </c>
      <c r="G9" s="304">
        <v>1971861</v>
      </c>
      <c r="H9" s="304">
        <v>1972295</v>
      </c>
      <c r="I9" s="304">
        <v>1972729</v>
      </c>
      <c r="J9" s="304">
        <v>1973117</v>
      </c>
      <c r="K9" s="304">
        <v>1973636</v>
      </c>
      <c r="L9" s="304">
        <v>1973679</v>
      </c>
      <c r="M9" s="304">
        <v>1974043</v>
      </c>
      <c r="N9" s="304">
        <v>1974536</v>
      </c>
      <c r="O9" s="304">
        <v>1974789</v>
      </c>
      <c r="P9" s="304">
        <v>1975349</v>
      </c>
      <c r="Q9" s="304">
        <v>1975593</v>
      </c>
      <c r="R9" s="304">
        <v>1975593</v>
      </c>
      <c r="S9" s="304">
        <v>1975593</v>
      </c>
      <c r="T9" s="304">
        <v>1975890</v>
      </c>
      <c r="U9" s="304">
        <v>1976193</v>
      </c>
      <c r="V9" s="304">
        <v>1976369</v>
      </c>
      <c r="W9" s="309">
        <v>1976972</v>
      </c>
      <c r="X9" s="304">
        <v>1977493</v>
      </c>
      <c r="Y9" s="304">
        <v>1978012</v>
      </c>
      <c r="Z9" s="309">
        <v>1978487</v>
      </c>
      <c r="AA9" s="309">
        <v>1978687</v>
      </c>
      <c r="AB9" s="309">
        <v>1978880</v>
      </c>
      <c r="AC9" s="304">
        <v>1979440</v>
      </c>
      <c r="AD9" s="304">
        <v>1979915</v>
      </c>
      <c r="AE9" s="304">
        <v>1980227</v>
      </c>
      <c r="AF9" s="304">
        <v>1980788</v>
      </c>
    </row>
    <row r="10" spans="1:32" x14ac:dyDescent="0.3">
      <c r="A10" s="6" t="s">
        <v>9</v>
      </c>
      <c r="B10" s="304">
        <v>2084297</v>
      </c>
      <c r="C10" s="304">
        <v>2084650</v>
      </c>
      <c r="D10" s="304">
        <v>2084650</v>
      </c>
      <c r="E10" s="304">
        <v>2084650</v>
      </c>
      <c r="F10" s="304">
        <v>2084732</v>
      </c>
      <c r="G10" s="304">
        <v>2085020</v>
      </c>
      <c r="H10" s="304">
        <v>2085606</v>
      </c>
      <c r="I10" s="304">
        <v>2085965</v>
      </c>
      <c r="J10" s="304">
        <v>2086230</v>
      </c>
      <c r="K10" s="304">
        <v>2086230</v>
      </c>
      <c r="L10" s="304">
        <v>2086230</v>
      </c>
      <c r="M10" s="304">
        <v>2086415</v>
      </c>
      <c r="N10" s="304">
        <v>2086599</v>
      </c>
      <c r="O10" s="304">
        <v>2086784</v>
      </c>
      <c r="P10" s="304">
        <v>2086971</v>
      </c>
      <c r="Q10" s="304">
        <v>2087268</v>
      </c>
      <c r="R10" s="304">
        <v>2087742</v>
      </c>
      <c r="S10" s="304">
        <v>2088219</v>
      </c>
      <c r="T10" s="304">
        <v>2088547</v>
      </c>
      <c r="U10" s="304">
        <v>2088886</v>
      </c>
      <c r="V10" s="304">
        <v>2089403</v>
      </c>
      <c r="W10" s="309">
        <v>2089920</v>
      </c>
      <c r="X10" s="304">
        <v>2090525</v>
      </c>
      <c r="Y10" s="304">
        <v>2091043</v>
      </c>
      <c r="Z10" s="309">
        <v>2091475</v>
      </c>
      <c r="AA10" s="309">
        <v>2092034</v>
      </c>
      <c r="AB10" s="309">
        <v>2092426</v>
      </c>
      <c r="AC10" s="304">
        <v>2092775</v>
      </c>
      <c r="AD10" s="304">
        <v>2093291</v>
      </c>
      <c r="AE10" s="304">
        <v>2093851</v>
      </c>
      <c r="AF10" s="304">
        <v>2093894</v>
      </c>
    </row>
    <row r="11" spans="1:32" x14ac:dyDescent="0.3">
      <c r="A11" s="6" t="s">
        <v>10</v>
      </c>
      <c r="B11" s="304">
        <v>2112446</v>
      </c>
      <c r="C11" s="304">
        <v>2112697</v>
      </c>
      <c r="D11" s="304">
        <v>2112697</v>
      </c>
      <c r="E11" s="304">
        <v>2112697</v>
      </c>
      <c r="F11" s="304">
        <v>2113111</v>
      </c>
      <c r="G11" s="304">
        <v>2113479</v>
      </c>
      <c r="H11" s="304">
        <v>2113778</v>
      </c>
      <c r="I11" s="304">
        <v>2114241</v>
      </c>
      <c r="J11" s="304">
        <v>2114505</v>
      </c>
      <c r="K11" s="304">
        <v>2115070</v>
      </c>
      <c r="L11" s="304">
        <v>2115115</v>
      </c>
      <c r="M11" s="304">
        <v>2115318</v>
      </c>
      <c r="N11" s="304">
        <v>2115570</v>
      </c>
      <c r="O11" s="304">
        <v>2115821</v>
      </c>
      <c r="P11" s="304">
        <v>2116016</v>
      </c>
      <c r="Q11" s="304">
        <v>2116520</v>
      </c>
      <c r="R11" s="304">
        <v>2117043</v>
      </c>
      <c r="S11" s="304">
        <v>2117564</v>
      </c>
      <c r="T11" s="304">
        <v>2118172</v>
      </c>
      <c r="U11" s="304">
        <v>2118376</v>
      </c>
      <c r="V11" s="304">
        <v>2118376</v>
      </c>
      <c r="W11" s="309">
        <v>2118571</v>
      </c>
      <c r="X11" s="304">
        <v>2119075</v>
      </c>
      <c r="Y11" s="304">
        <v>2119600</v>
      </c>
      <c r="Z11" s="309">
        <v>2119743</v>
      </c>
      <c r="AA11" s="309">
        <v>2120129</v>
      </c>
      <c r="AB11" s="309">
        <v>2120563</v>
      </c>
      <c r="AC11" s="304">
        <v>2120768</v>
      </c>
      <c r="AD11" s="304">
        <v>2120868</v>
      </c>
      <c r="AE11" s="304">
        <v>2121182</v>
      </c>
      <c r="AF11" s="304">
        <v>2121706</v>
      </c>
    </row>
    <row r="12" spans="1:32" x14ac:dyDescent="0.3">
      <c r="A12" s="5" t="s">
        <v>11</v>
      </c>
      <c r="B12" s="304">
        <v>2015839</v>
      </c>
      <c r="C12" s="304">
        <v>2015929</v>
      </c>
      <c r="D12" s="304">
        <v>2016449</v>
      </c>
      <c r="E12" s="304">
        <v>2016452</v>
      </c>
      <c r="F12" s="304">
        <v>2016889</v>
      </c>
      <c r="G12" s="304">
        <v>2017322</v>
      </c>
      <c r="H12" s="304">
        <v>2017671</v>
      </c>
      <c r="I12" s="304">
        <v>2017976</v>
      </c>
      <c r="J12" s="304">
        <v>2018473</v>
      </c>
      <c r="K12" s="304">
        <v>2018473</v>
      </c>
      <c r="L12" s="304">
        <v>2018493</v>
      </c>
      <c r="M12" s="304">
        <v>2018943</v>
      </c>
      <c r="N12" s="304">
        <v>2019136</v>
      </c>
      <c r="O12" s="304">
        <v>2019388</v>
      </c>
      <c r="P12" s="304">
        <v>2019699</v>
      </c>
      <c r="Q12" s="304">
        <v>2019958</v>
      </c>
      <c r="R12" s="304">
        <v>2019958</v>
      </c>
      <c r="S12" s="304">
        <v>2019958</v>
      </c>
      <c r="T12" s="304">
        <v>2020211</v>
      </c>
      <c r="U12" s="304">
        <v>2020472</v>
      </c>
      <c r="V12" s="304">
        <v>2020472</v>
      </c>
      <c r="W12" s="309">
        <v>2020724</v>
      </c>
      <c r="X12" s="304">
        <v>2021295</v>
      </c>
      <c r="Y12" s="304">
        <v>2021857</v>
      </c>
      <c r="Z12" s="309">
        <v>2022333</v>
      </c>
      <c r="AA12" s="309">
        <v>2022896</v>
      </c>
      <c r="AB12" s="309">
        <v>2023373</v>
      </c>
      <c r="AC12" s="304">
        <v>2023977</v>
      </c>
      <c r="AD12" s="304">
        <v>2024495</v>
      </c>
      <c r="AE12" s="304">
        <v>2024808</v>
      </c>
      <c r="AF12" s="304">
        <v>2025330</v>
      </c>
    </row>
    <row r="13" spans="1:32" x14ac:dyDescent="0.3">
      <c r="A13" s="5" t="s">
        <v>12</v>
      </c>
      <c r="B13" s="304">
        <v>1998486</v>
      </c>
      <c r="C13" s="304">
        <v>1999055</v>
      </c>
      <c r="D13" s="304">
        <v>1999583</v>
      </c>
      <c r="E13" s="304">
        <v>2000066</v>
      </c>
      <c r="F13" s="304">
        <v>2000308</v>
      </c>
      <c r="G13" s="304">
        <v>2000564</v>
      </c>
      <c r="H13" s="304">
        <v>2000793</v>
      </c>
      <c r="I13" s="304">
        <v>2000793</v>
      </c>
      <c r="J13" s="304">
        <v>2001255</v>
      </c>
      <c r="K13" s="304">
        <v>2001255</v>
      </c>
      <c r="L13" s="304">
        <v>2001255</v>
      </c>
      <c r="M13" s="304">
        <v>2001452</v>
      </c>
      <c r="N13" s="304">
        <v>2001712</v>
      </c>
      <c r="O13" s="304">
        <v>2002201</v>
      </c>
      <c r="P13" s="304">
        <v>2002637</v>
      </c>
      <c r="Q13" s="304">
        <v>2002944</v>
      </c>
      <c r="R13" s="304">
        <v>2002944</v>
      </c>
      <c r="S13" s="304">
        <v>2002944</v>
      </c>
      <c r="T13" s="304">
        <v>2003299</v>
      </c>
      <c r="U13" s="304">
        <v>2003868</v>
      </c>
      <c r="V13" s="304">
        <v>2004175</v>
      </c>
      <c r="W13" s="309">
        <v>2004499</v>
      </c>
      <c r="X13" s="304">
        <v>2004768</v>
      </c>
      <c r="Y13" s="304">
        <v>2005299</v>
      </c>
      <c r="Z13" s="309">
        <v>2005782</v>
      </c>
      <c r="AA13" s="309">
        <v>2006006</v>
      </c>
      <c r="AB13" s="309">
        <v>2006272</v>
      </c>
      <c r="AC13" s="304">
        <v>2006799</v>
      </c>
      <c r="AD13" s="304">
        <v>2007241</v>
      </c>
      <c r="AE13" s="304">
        <v>2007856</v>
      </c>
      <c r="AF13" s="304">
        <v>2008384</v>
      </c>
    </row>
    <row r="14" spans="1:32" x14ac:dyDescent="0.3">
      <c r="A14" s="5" t="s">
        <v>13</v>
      </c>
      <c r="B14" s="304">
        <v>2074160</v>
      </c>
      <c r="C14" s="304">
        <v>2074675</v>
      </c>
      <c r="D14" s="304">
        <v>2075192</v>
      </c>
      <c r="E14" s="304">
        <v>2075709</v>
      </c>
      <c r="F14" s="304">
        <v>2076313</v>
      </c>
      <c r="G14" s="304">
        <v>2076704</v>
      </c>
      <c r="H14" s="304">
        <v>2077222</v>
      </c>
      <c r="I14" s="304">
        <v>2077577</v>
      </c>
      <c r="J14" s="304">
        <v>2077731</v>
      </c>
      <c r="K14" s="304">
        <v>2077731</v>
      </c>
      <c r="L14" s="304">
        <v>2077734</v>
      </c>
      <c r="M14" s="304">
        <v>2078252</v>
      </c>
      <c r="N14" s="304">
        <v>2078812</v>
      </c>
      <c r="O14" s="304">
        <v>2079329</v>
      </c>
      <c r="P14" s="304">
        <v>2079888</v>
      </c>
      <c r="Q14" s="304">
        <v>2080407</v>
      </c>
      <c r="R14" s="304">
        <v>2080407</v>
      </c>
      <c r="S14" s="304">
        <v>2080407</v>
      </c>
      <c r="T14" s="304">
        <v>2080669</v>
      </c>
      <c r="U14" s="304">
        <v>2081100</v>
      </c>
      <c r="V14" s="304">
        <v>2081100</v>
      </c>
      <c r="W14" s="309">
        <v>2081660</v>
      </c>
      <c r="X14" s="304">
        <v>2082220</v>
      </c>
      <c r="Y14" s="304">
        <v>2082737</v>
      </c>
      <c r="Z14" s="309">
        <v>2083254</v>
      </c>
      <c r="AA14" s="309">
        <v>2083686</v>
      </c>
      <c r="AB14" s="309">
        <v>2084291</v>
      </c>
      <c r="AC14" s="304">
        <v>2084638</v>
      </c>
      <c r="AD14" s="304">
        <v>2085088</v>
      </c>
      <c r="AE14" s="304">
        <v>2085187</v>
      </c>
      <c r="AF14" s="304">
        <v>2085187</v>
      </c>
    </row>
    <row r="15" spans="1:32" x14ac:dyDescent="0.3">
      <c r="A15" s="6" t="s">
        <v>14</v>
      </c>
      <c r="B15" s="304">
        <v>2093579</v>
      </c>
      <c r="C15" s="304">
        <v>2094110</v>
      </c>
      <c r="D15" s="304">
        <v>2094153</v>
      </c>
      <c r="E15" s="304">
        <v>2094153</v>
      </c>
      <c r="F15" s="304">
        <v>2094674</v>
      </c>
      <c r="G15" s="304">
        <v>2095197</v>
      </c>
      <c r="H15" s="304">
        <v>2095634</v>
      </c>
      <c r="I15" s="304">
        <v>2095791</v>
      </c>
      <c r="J15" s="304">
        <v>2096244</v>
      </c>
      <c r="K15" s="304">
        <v>2096765</v>
      </c>
      <c r="L15" s="304">
        <v>2096767</v>
      </c>
      <c r="M15" s="304">
        <v>2097074</v>
      </c>
      <c r="N15" s="304">
        <v>2097405</v>
      </c>
      <c r="O15" s="304">
        <v>2097658</v>
      </c>
      <c r="P15" s="304">
        <v>2097908</v>
      </c>
      <c r="Q15" s="304">
        <v>2098161</v>
      </c>
      <c r="R15" s="304">
        <v>2098161</v>
      </c>
      <c r="S15" s="304">
        <v>2098161</v>
      </c>
      <c r="T15" s="304">
        <v>2098684</v>
      </c>
      <c r="U15" s="304">
        <v>2098992</v>
      </c>
      <c r="V15" s="304">
        <v>2099470</v>
      </c>
      <c r="W15" s="309">
        <v>2099906</v>
      </c>
      <c r="X15" s="304">
        <v>2100362</v>
      </c>
      <c r="Y15" s="304">
        <v>2100362</v>
      </c>
      <c r="Z15" s="309">
        <v>2100362</v>
      </c>
      <c r="AA15" s="309">
        <v>2100636</v>
      </c>
      <c r="AB15" s="309">
        <v>2100841</v>
      </c>
      <c r="AC15" s="304">
        <v>2101096</v>
      </c>
      <c r="AD15" s="304">
        <v>2101619</v>
      </c>
      <c r="AE15" s="304">
        <v>2102070</v>
      </c>
      <c r="AF15" s="304">
        <v>2102070</v>
      </c>
    </row>
    <row r="16" spans="1:32" x14ac:dyDescent="0.3">
      <c r="A16" s="6" t="s">
        <v>15</v>
      </c>
      <c r="B16" s="304">
        <v>1935976</v>
      </c>
      <c r="C16" s="304">
        <v>1936583</v>
      </c>
      <c r="D16" s="304">
        <v>1937103</v>
      </c>
      <c r="E16" s="304">
        <v>1937535</v>
      </c>
      <c r="F16" s="304">
        <v>1937730</v>
      </c>
      <c r="G16" s="304">
        <v>1937899</v>
      </c>
      <c r="H16" s="304">
        <v>1938462</v>
      </c>
      <c r="I16" s="304">
        <v>1938967</v>
      </c>
      <c r="J16" s="304">
        <v>1939573</v>
      </c>
      <c r="K16" s="304">
        <v>1940135</v>
      </c>
      <c r="L16" s="304">
        <v>1940178</v>
      </c>
      <c r="M16" s="304">
        <v>1940569</v>
      </c>
      <c r="N16" s="304">
        <v>1941081</v>
      </c>
      <c r="O16" s="304">
        <v>1941532</v>
      </c>
      <c r="P16" s="304">
        <v>1941720</v>
      </c>
      <c r="Q16" s="304">
        <v>1941888</v>
      </c>
      <c r="R16" s="304">
        <v>1941890</v>
      </c>
      <c r="S16" s="304">
        <v>1942368</v>
      </c>
      <c r="T16" s="304">
        <v>1942930</v>
      </c>
      <c r="U16" s="304">
        <v>1943491</v>
      </c>
      <c r="V16" s="304">
        <v>1943535</v>
      </c>
      <c r="W16" s="309">
        <v>1943750</v>
      </c>
      <c r="X16" s="304">
        <v>1944183</v>
      </c>
      <c r="Y16" s="304">
        <v>1944183</v>
      </c>
      <c r="Z16" s="309">
        <v>1944185</v>
      </c>
      <c r="AA16" s="309">
        <v>1944706</v>
      </c>
      <c r="AB16" s="309">
        <v>1945158</v>
      </c>
      <c r="AC16" s="304">
        <v>1945351</v>
      </c>
      <c r="AD16" s="304">
        <v>1945658</v>
      </c>
      <c r="AE16" s="304">
        <v>1946219</v>
      </c>
      <c r="AF16" s="304">
        <v>1946781</v>
      </c>
    </row>
    <row r="17" spans="1:32" x14ac:dyDescent="0.3">
      <c r="A17" s="6" t="s">
        <v>16</v>
      </c>
      <c r="B17" s="304">
        <v>2049558</v>
      </c>
      <c r="C17" s="304">
        <v>2050078</v>
      </c>
      <c r="D17" s="304">
        <v>2050597</v>
      </c>
      <c r="E17" s="304">
        <v>2051116</v>
      </c>
      <c r="F17" s="304">
        <v>2051721</v>
      </c>
      <c r="G17" s="304">
        <v>2052172</v>
      </c>
      <c r="H17" s="304">
        <v>2052367</v>
      </c>
      <c r="I17" s="304">
        <v>2052637</v>
      </c>
      <c r="J17" s="304">
        <v>2052837</v>
      </c>
      <c r="K17" s="304">
        <v>2052838</v>
      </c>
      <c r="L17" s="304">
        <v>2052840</v>
      </c>
      <c r="M17" s="304">
        <v>2053360</v>
      </c>
      <c r="N17" s="304">
        <v>2053714</v>
      </c>
      <c r="O17" s="304">
        <v>2054147</v>
      </c>
      <c r="P17" s="304">
        <v>2054582</v>
      </c>
      <c r="Q17" s="304">
        <v>2054783</v>
      </c>
      <c r="R17" s="304">
        <v>2054783</v>
      </c>
      <c r="S17" s="304">
        <v>2054785</v>
      </c>
      <c r="T17" s="304">
        <v>2055036</v>
      </c>
      <c r="U17" s="304">
        <v>2055289</v>
      </c>
      <c r="V17" s="304">
        <v>2055289</v>
      </c>
      <c r="W17" s="309">
        <v>2055476</v>
      </c>
      <c r="X17" s="304">
        <v>2055888</v>
      </c>
      <c r="Y17" s="304">
        <v>2056407</v>
      </c>
      <c r="Z17" s="309">
        <v>2056840</v>
      </c>
      <c r="AA17" s="309">
        <v>2057402</v>
      </c>
      <c r="AB17" s="309">
        <v>2057964</v>
      </c>
      <c r="AC17" s="304">
        <v>2058055</v>
      </c>
      <c r="AD17" s="304">
        <v>2058236</v>
      </c>
      <c r="AE17" s="304">
        <v>2058695</v>
      </c>
      <c r="AF17" s="304">
        <v>2058695</v>
      </c>
    </row>
    <row r="18" spans="1:32" x14ac:dyDescent="0.3">
      <c r="A18" s="6" t="s">
        <v>17</v>
      </c>
      <c r="B18" s="304">
        <v>2025921</v>
      </c>
      <c r="C18" s="304">
        <v>2026526</v>
      </c>
      <c r="D18" s="304">
        <v>2027045</v>
      </c>
      <c r="E18" s="304">
        <v>2027519</v>
      </c>
      <c r="F18" s="304">
        <v>2028079</v>
      </c>
      <c r="G18" s="304">
        <v>2028383</v>
      </c>
      <c r="H18" s="304">
        <v>2028775</v>
      </c>
      <c r="I18" s="304">
        <v>2029207</v>
      </c>
      <c r="J18" s="304">
        <v>2029409</v>
      </c>
      <c r="K18" s="304">
        <v>2029409</v>
      </c>
      <c r="L18" s="304">
        <v>2029409</v>
      </c>
      <c r="M18" s="304">
        <v>2029577</v>
      </c>
      <c r="N18" s="304">
        <v>2029840</v>
      </c>
      <c r="O18" s="304">
        <v>2030189</v>
      </c>
      <c r="P18" s="304">
        <v>2030460</v>
      </c>
      <c r="Q18" s="304">
        <v>2030760</v>
      </c>
      <c r="R18" s="304">
        <v>2030805</v>
      </c>
      <c r="S18" s="304">
        <v>2030807</v>
      </c>
      <c r="T18" s="304">
        <v>2031157</v>
      </c>
      <c r="U18" s="304">
        <v>2031677</v>
      </c>
      <c r="V18" s="304">
        <v>2032194</v>
      </c>
      <c r="W18" s="309">
        <v>2032497</v>
      </c>
      <c r="X18" s="304">
        <v>2032842</v>
      </c>
      <c r="Y18" s="304">
        <v>2033317</v>
      </c>
      <c r="Z18" s="309">
        <v>2033337</v>
      </c>
      <c r="AA18" s="309">
        <v>2033493</v>
      </c>
      <c r="AB18" s="309">
        <v>2034061</v>
      </c>
      <c r="AC18" s="304">
        <v>2034621</v>
      </c>
      <c r="AD18" s="304">
        <v>2035181</v>
      </c>
      <c r="AE18" s="304">
        <v>2035570</v>
      </c>
      <c r="AF18" s="304">
        <v>2035570</v>
      </c>
    </row>
    <row r="19" spans="1:32" x14ac:dyDescent="0.3">
      <c r="A19" s="6" t="s">
        <v>18</v>
      </c>
      <c r="B19" s="304">
        <v>2106405</v>
      </c>
      <c r="C19" s="304">
        <v>2106965</v>
      </c>
      <c r="D19" s="304">
        <v>2107009</v>
      </c>
      <c r="E19" s="304">
        <v>2107526</v>
      </c>
      <c r="F19" s="304">
        <v>2107784</v>
      </c>
      <c r="G19" s="304">
        <v>2108285</v>
      </c>
      <c r="H19" s="304">
        <v>2108461</v>
      </c>
      <c r="I19" s="304">
        <v>2108952</v>
      </c>
      <c r="J19" s="304">
        <v>2109125</v>
      </c>
      <c r="K19" s="304">
        <v>2109125</v>
      </c>
      <c r="L19" s="304">
        <v>2109125</v>
      </c>
      <c r="M19" s="304">
        <v>2109577</v>
      </c>
      <c r="N19" s="304">
        <v>2109745</v>
      </c>
      <c r="O19" s="304">
        <v>2110093</v>
      </c>
      <c r="P19" s="304">
        <v>2110611</v>
      </c>
      <c r="Q19" s="304">
        <v>2111131</v>
      </c>
      <c r="R19" s="304">
        <v>2111649</v>
      </c>
      <c r="S19" s="304">
        <v>2112166</v>
      </c>
      <c r="T19" s="304">
        <v>2112424</v>
      </c>
      <c r="U19" s="304">
        <v>2112619</v>
      </c>
      <c r="V19" s="304">
        <v>2112619</v>
      </c>
      <c r="W19" s="309">
        <v>2112948</v>
      </c>
      <c r="X19" s="304">
        <v>2113468</v>
      </c>
      <c r="Y19" s="304">
        <v>2113496</v>
      </c>
      <c r="Z19" s="309">
        <v>2113498</v>
      </c>
      <c r="AA19" s="309">
        <v>2113703</v>
      </c>
      <c r="AB19" s="309">
        <v>2113952</v>
      </c>
      <c r="AC19" s="304">
        <v>2114202</v>
      </c>
      <c r="AD19" s="304">
        <v>2114667</v>
      </c>
      <c r="AE19" s="304">
        <v>2114816</v>
      </c>
      <c r="AF19" s="304">
        <v>2114816</v>
      </c>
    </row>
    <row r="20" spans="1:32" x14ac:dyDescent="0.3">
      <c r="A20" s="6" t="s">
        <v>19</v>
      </c>
      <c r="B20" s="304">
        <v>2071596</v>
      </c>
      <c r="C20" s="304">
        <v>2072079</v>
      </c>
      <c r="D20" s="304">
        <v>2072597</v>
      </c>
      <c r="E20" s="304">
        <v>2073071</v>
      </c>
      <c r="F20" s="304">
        <v>2073506</v>
      </c>
      <c r="G20" s="304">
        <v>2074109</v>
      </c>
      <c r="H20" s="304">
        <v>2074669</v>
      </c>
      <c r="I20" s="304">
        <v>2075056</v>
      </c>
      <c r="J20" s="304">
        <v>2075615</v>
      </c>
      <c r="K20" s="304">
        <v>2075615</v>
      </c>
      <c r="L20" s="304">
        <v>2075615</v>
      </c>
      <c r="M20" s="304">
        <v>2075825</v>
      </c>
      <c r="N20" s="304">
        <v>2076174</v>
      </c>
      <c r="O20" s="304">
        <v>2076692</v>
      </c>
      <c r="P20" s="304">
        <v>2077140</v>
      </c>
      <c r="Q20" s="304">
        <v>2077394</v>
      </c>
      <c r="R20" s="304">
        <v>2077741</v>
      </c>
      <c r="S20" s="304">
        <v>2077741</v>
      </c>
      <c r="T20" s="304">
        <v>2078176</v>
      </c>
      <c r="U20" s="304">
        <v>2078692</v>
      </c>
      <c r="V20" s="304">
        <v>2079122</v>
      </c>
      <c r="W20" s="309">
        <v>2079639</v>
      </c>
      <c r="X20" s="304">
        <v>2079897</v>
      </c>
      <c r="Y20" s="304">
        <v>2079897</v>
      </c>
      <c r="Z20" s="309">
        <v>2079897</v>
      </c>
      <c r="AA20" s="309">
        <v>2080160</v>
      </c>
      <c r="AB20" s="309">
        <v>2080411</v>
      </c>
      <c r="AC20" s="304">
        <v>2080661</v>
      </c>
      <c r="AD20" s="304">
        <v>2080910</v>
      </c>
      <c r="AE20" s="304">
        <v>2081165</v>
      </c>
      <c r="AF20" s="304">
        <v>2081165</v>
      </c>
    </row>
    <row r="21" spans="1:32" x14ac:dyDescent="0.3">
      <c r="A21" s="6" t="s">
        <v>20</v>
      </c>
      <c r="B21" s="304">
        <v>2075518</v>
      </c>
      <c r="C21" s="304">
        <v>2075886</v>
      </c>
      <c r="D21" s="304">
        <v>2075886</v>
      </c>
      <c r="E21" s="304">
        <v>2075887</v>
      </c>
      <c r="F21" s="304">
        <v>2076405</v>
      </c>
      <c r="G21" s="304">
        <v>2076856</v>
      </c>
      <c r="H21" s="304">
        <v>2077153</v>
      </c>
      <c r="I21" s="304">
        <v>2077656</v>
      </c>
      <c r="J21" s="304">
        <v>2078216</v>
      </c>
      <c r="K21" s="304">
        <v>2078776</v>
      </c>
      <c r="L21" s="304">
        <v>2079256</v>
      </c>
      <c r="M21" s="304">
        <v>2079775</v>
      </c>
      <c r="N21" s="304">
        <v>2080296</v>
      </c>
      <c r="O21" s="304">
        <v>2080495</v>
      </c>
      <c r="P21" s="304">
        <v>2080744</v>
      </c>
      <c r="Q21" s="304">
        <v>2081142</v>
      </c>
      <c r="R21" s="304">
        <v>2081142</v>
      </c>
      <c r="S21" s="304">
        <v>2081142</v>
      </c>
      <c r="T21" s="304">
        <v>2081660</v>
      </c>
      <c r="U21" s="304">
        <v>2081837</v>
      </c>
      <c r="V21" s="304">
        <v>2081927</v>
      </c>
      <c r="W21" s="309">
        <v>2082105</v>
      </c>
      <c r="X21" s="304">
        <v>2082625</v>
      </c>
      <c r="Y21" s="304">
        <v>2082653</v>
      </c>
      <c r="Z21" s="309">
        <v>2082959</v>
      </c>
      <c r="AA21" s="309">
        <v>2083452</v>
      </c>
      <c r="AB21" s="309">
        <v>2083621</v>
      </c>
      <c r="AC21" s="304">
        <v>2084182</v>
      </c>
      <c r="AD21" s="304">
        <v>2084786</v>
      </c>
      <c r="AE21" s="304">
        <v>2085389</v>
      </c>
      <c r="AF21" s="304">
        <v>2085432</v>
      </c>
    </row>
    <row r="22" spans="1:32" x14ac:dyDescent="0.3">
      <c r="A22" s="6" t="s">
        <v>21</v>
      </c>
      <c r="B22" s="304">
        <v>2002538</v>
      </c>
      <c r="C22" s="304">
        <v>2002928</v>
      </c>
      <c r="D22" s="304">
        <v>2003449</v>
      </c>
      <c r="E22" s="304">
        <v>2003881</v>
      </c>
      <c r="F22" s="304">
        <v>2004313</v>
      </c>
      <c r="G22" s="304">
        <v>2004832</v>
      </c>
      <c r="H22" s="304">
        <v>2005267</v>
      </c>
      <c r="I22" s="304">
        <v>2005605</v>
      </c>
      <c r="J22" s="304">
        <v>2005868</v>
      </c>
      <c r="K22" s="304">
        <v>2005868</v>
      </c>
      <c r="L22" s="304">
        <v>2005868</v>
      </c>
      <c r="M22" s="304">
        <v>2006119</v>
      </c>
      <c r="N22" s="304">
        <v>2006604</v>
      </c>
      <c r="O22" s="304">
        <v>2006870</v>
      </c>
      <c r="P22" s="304">
        <v>2007071</v>
      </c>
      <c r="Q22" s="304">
        <v>2007472</v>
      </c>
      <c r="R22" s="304">
        <v>2008035</v>
      </c>
      <c r="S22" s="304">
        <v>2008078</v>
      </c>
      <c r="T22" s="304">
        <v>2008681</v>
      </c>
      <c r="U22" s="304">
        <v>2009044</v>
      </c>
      <c r="V22" s="304">
        <v>2009132</v>
      </c>
      <c r="W22" s="309">
        <v>2009541</v>
      </c>
      <c r="X22" s="304">
        <v>2010145</v>
      </c>
      <c r="Y22" s="304">
        <v>2010664</v>
      </c>
      <c r="Z22" s="309">
        <v>2011139</v>
      </c>
      <c r="AA22" s="309">
        <v>2011631</v>
      </c>
      <c r="AB22" s="309">
        <v>2011816</v>
      </c>
      <c r="AC22" s="304">
        <v>2012007</v>
      </c>
      <c r="AD22" s="304">
        <v>2012348</v>
      </c>
      <c r="AE22" s="304">
        <v>2012911</v>
      </c>
      <c r="AF22" s="304">
        <v>2013428</v>
      </c>
    </row>
    <row r="23" spans="1:32" x14ac:dyDescent="0.3">
      <c r="A23" s="6" t="s">
        <v>22</v>
      </c>
      <c r="B23" s="304">
        <v>2047440</v>
      </c>
      <c r="C23" s="304">
        <v>2047810</v>
      </c>
      <c r="D23" s="304">
        <v>2047810</v>
      </c>
      <c r="E23" s="304">
        <v>2047810</v>
      </c>
      <c r="F23" s="304">
        <v>2048060</v>
      </c>
      <c r="G23" s="304">
        <v>2048311</v>
      </c>
      <c r="H23" s="304">
        <v>2048495</v>
      </c>
      <c r="I23" s="304">
        <v>2048799</v>
      </c>
      <c r="J23" s="304">
        <v>2048993</v>
      </c>
      <c r="K23" s="304">
        <v>2048993</v>
      </c>
      <c r="L23" s="304">
        <v>2048993</v>
      </c>
      <c r="M23" s="304">
        <v>2049579</v>
      </c>
      <c r="N23" s="304">
        <v>2050139</v>
      </c>
      <c r="O23" s="304">
        <v>2050656</v>
      </c>
      <c r="P23" s="304">
        <v>2050907</v>
      </c>
      <c r="Q23" s="304">
        <v>2051341</v>
      </c>
      <c r="R23" s="304">
        <v>2051341</v>
      </c>
      <c r="S23" s="304">
        <v>2051341</v>
      </c>
      <c r="T23" s="304">
        <v>2051517</v>
      </c>
      <c r="U23" s="304">
        <v>2052036</v>
      </c>
      <c r="V23" s="304">
        <v>2052512</v>
      </c>
      <c r="W23" s="309">
        <v>2052988</v>
      </c>
      <c r="X23" s="304">
        <v>2053548</v>
      </c>
      <c r="Y23" s="304">
        <v>2053634</v>
      </c>
      <c r="Z23" s="309">
        <v>2053677</v>
      </c>
      <c r="AA23" s="309">
        <v>2054281</v>
      </c>
      <c r="AB23" s="309">
        <v>2054841</v>
      </c>
      <c r="AC23" s="304">
        <v>2055315</v>
      </c>
      <c r="AD23" s="304">
        <v>2055850</v>
      </c>
      <c r="AE23" s="304">
        <v>2056112</v>
      </c>
      <c r="AF23" s="304">
        <v>2056112</v>
      </c>
    </row>
    <row r="24" spans="1:32" x14ac:dyDescent="0.3">
      <c r="A24" s="5" t="s">
        <v>23</v>
      </c>
      <c r="B24" s="304">
        <v>2080295</v>
      </c>
      <c r="C24" s="304">
        <v>2080822</v>
      </c>
      <c r="D24" s="304">
        <v>2080865</v>
      </c>
      <c r="E24" s="304">
        <v>2081339</v>
      </c>
      <c r="F24" s="304">
        <v>2081899</v>
      </c>
      <c r="G24" s="304">
        <v>2082161</v>
      </c>
      <c r="H24" s="304">
        <v>2082529</v>
      </c>
      <c r="I24" s="304">
        <v>2082833</v>
      </c>
      <c r="J24" s="304">
        <v>2083096</v>
      </c>
      <c r="K24" s="304">
        <v>2083096</v>
      </c>
      <c r="L24" s="304">
        <v>2083096</v>
      </c>
      <c r="M24" s="304">
        <v>2083347</v>
      </c>
      <c r="N24" s="304">
        <v>2083599</v>
      </c>
      <c r="O24" s="304">
        <v>2083793</v>
      </c>
      <c r="P24" s="304">
        <v>2084379</v>
      </c>
      <c r="Q24" s="304">
        <v>2084743</v>
      </c>
      <c r="R24" s="304">
        <v>2084743</v>
      </c>
      <c r="S24" s="304">
        <v>2084763</v>
      </c>
      <c r="T24" s="304">
        <v>2085214</v>
      </c>
      <c r="U24" s="304">
        <v>2085546</v>
      </c>
      <c r="V24" s="304">
        <v>2085546</v>
      </c>
      <c r="W24" s="309">
        <v>2086149</v>
      </c>
      <c r="X24" s="304">
        <v>2086601</v>
      </c>
      <c r="Y24" s="304">
        <v>2086601</v>
      </c>
      <c r="Z24" s="309">
        <v>2086601</v>
      </c>
      <c r="AA24" s="309">
        <v>2086796</v>
      </c>
      <c r="AB24" s="309">
        <v>2087047</v>
      </c>
      <c r="AC24" s="304">
        <v>2087248</v>
      </c>
      <c r="AD24" s="304">
        <v>2087766</v>
      </c>
      <c r="AE24" s="304">
        <v>2088114</v>
      </c>
      <c r="AF24" s="304">
        <v>2088635</v>
      </c>
    </row>
    <row r="25" spans="1:32" x14ac:dyDescent="0.3">
      <c r="A25" s="6" t="s">
        <v>24</v>
      </c>
      <c r="B25" s="304">
        <v>2086799</v>
      </c>
      <c r="C25" s="304">
        <v>2087143</v>
      </c>
      <c r="D25" s="304">
        <v>2087702</v>
      </c>
      <c r="E25" s="304">
        <v>2087745</v>
      </c>
      <c r="F25" s="304">
        <v>2088144</v>
      </c>
      <c r="G25" s="304">
        <v>2088661</v>
      </c>
      <c r="H25" s="304">
        <v>2088965</v>
      </c>
      <c r="I25" s="304">
        <v>2089250</v>
      </c>
      <c r="J25" s="304">
        <v>2089851</v>
      </c>
      <c r="K25" s="304">
        <v>2089894</v>
      </c>
      <c r="L25" s="304">
        <v>2090324</v>
      </c>
      <c r="M25" s="304">
        <v>2090839</v>
      </c>
      <c r="N25" s="304">
        <v>2091398</v>
      </c>
      <c r="O25" s="304">
        <v>2091787</v>
      </c>
      <c r="P25" s="304">
        <v>2092306</v>
      </c>
      <c r="Q25" s="304">
        <v>2092821</v>
      </c>
      <c r="R25" s="304">
        <v>2093337</v>
      </c>
      <c r="S25" s="304">
        <v>2093855</v>
      </c>
      <c r="T25" s="304">
        <v>2094119</v>
      </c>
      <c r="U25" s="304">
        <v>2094466</v>
      </c>
      <c r="V25" s="304">
        <v>2094939</v>
      </c>
      <c r="W25" s="309">
        <v>2095540</v>
      </c>
      <c r="X25" s="304">
        <v>2096056</v>
      </c>
      <c r="Y25" s="304">
        <v>2096614</v>
      </c>
      <c r="Z25" s="309">
        <v>2097130</v>
      </c>
      <c r="AA25" s="309">
        <v>2097732</v>
      </c>
      <c r="AB25" s="309">
        <v>2098149</v>
      </c>
      <c r="AC25" s="304">
        <v>2098370</v>
      </c>
      <c r="AD25" s="304">
        <v>2098845</v>
      </c>
      <c r="AE25" s="304">
        <v>2099302</v>
      </c>
      <c r="AF25" s="304">
        <v>2099302</v>
      </c>
    </row>
    <row r="26" spans="1:32" x14ac:dyDescent="0.3">
      <c r="A26" s="6" t="s">
        <v>25</v>
      </c>
      <c r="B26" s="304">
        <v>2098637</v>
      </c>
      <c r="C26" s="304">
        <v>2098832</v>
      </c>
      <c r="D26" s="304">
        <v>2098832</v>
      </c>
      <c r="E26" s="304">
        <v>2098832</v>
      </c>
      <c r="F26" s="304">
        <v>2099082</v>
      </c>
      <c r="G26" s="304">
        <v>2099333</v>
      </c>
      <c r="H26" s="304">
        <v>2099597</v>
      </c>
      <c r="I26" s="304">
        <v>2099668</v>
      </c>
      <c r="J26" s="304">
        <v>2099860</v>
      </c>
      <c r="K26" s="304">
        <v>2099860</v>
      </c>
      <c r="L26" s="304">
        <v>2099860</v>
      </c>
      <c r="M26" s="304">
        <v>2100111</v>
      </c>
      <c r="N26" s="304">
        <v>2100362</v>
      </c>
      <c r="O26" s="304">
        <v>2100555</v>
      </c>
      <c r="P26" s="304">
        <v>2100951</v>
      </c>
      <c r="Q26" s="304">
        <v>2101556</v>
      </c>
      <c r="R26" s="304">
        <v>2102119</v>
      </c>
      <c r="S26" s="304">
        <v>2102162</v>
      </c>
      <c r="T26" s="304">
        <v>2102679</v>
      </c>
      <c r="U26" s="304">
        <v>2103195</v>
      </c>
      <c r="V26" s="304">
        <v>2103199</v>
      </c>
      <c r="W26" s="309">
        <v>2103717</v>
      </c>
      <c r="X26" s="304">
        <v>2103980</v>
      </c>
      <c r="Y26" s="304">
        <v>2104539</v>
      </c>
      <c r="Z26" s="309">
        <v>2104589</v>
      </c>
      <c r="AA26" s="309">
        <v>2105151</v>
      </c>
      <c r="AB26" s="309">
        <v>2105496</v>
      </c>
      <c r="AC26" s="304">
        <v>2105998</v>
      </c>
      <c r="AD26" s="304">
        <v>2106187</v>
      </c>
      <c r="AE26" s="304">
        <v>2106347</v>
      </c>
      <c r="AF26" s="304">
        <v>2106907</v>
      </c>
    </row>
    <row r="27" spans="1:32" x14ac:dyDescent="0.3">
      <c r="A27" s="6" t="s">
        <v>26</v>
      </c>
      <c r="B27" s="304">
        <v>2058547</v>
      </c>
      <c r="C27" s="304">
        <v>2058809</v>
      </c>
      <c r="D27" s="304">
        <v>2058809</v>
      </c>
      <c r="E27" s="304">
        <v>2058812</v>
      </c>
      <c r="F27" s="304">
        <v>2059293</v>
      </c>
      <c r="G27" s="304">
        <v>2059598</v>
      </c>
      <c r="H27" s="304">
        <v>2060047</v>
      </c>
      <c r="I27" s="304">
        <v>2060190</v>
      </c>
      <c r="J27" s="304">
        <v>2060441</v>
      </c>
      <c r="K27" s="304">
        <v>2060441</v>
      </c>
      <c r="L27" s="304">
        <v>2060441</v>
      </c>
      <c r="M27" s="304">
        <v>2060692</v>
      </c>
      <c r="N27" s="304">
        <v>2060943</v>
      </c>
      <c r="O27" s="304">
        <v>2061272</v>
      </c>
      <c r="P27" s="304">
        <v>2061703</v>
      </c>
      <c r="Q27" s="304">
        <v>2062265</v>
      </c>
      <c r="R27" s="304">
        <v>2062482</v>
      </c>
      <c r="S27" s="304">
        <v>2062959</v>
      </c>
      <c r="T27" s="304">
        <v>2063519</v>
      </c>
      <c r="U27" s="304">
        <v>2064079</v>
      </c>
      <c r="V27" s="304">
        <v>2064383</v>
      </c>
      <c r="W27" s="309">
        <v>2064834</v>
      </c>
      <c r="X27" s="304">
        <v>2065080</v>
      </c>
      <c r="Y27" s="304">
        <v>2065080</v>
      </c>
      <c r="Z27" s="309">
        <v>2065080</v>
      </c>
      <c r="AA27" s="309">
        <v>2065332</v>
      </c>
      <c r="AB27" s="309">
        <v>2065783</v>
      </c>
      <c r="AC27" s="304">
        <v>2065968</v>
      </c>
      <c r="AD27" s="304">
        <v>2066288</v>
      </c>
      <c r="AE27" s="304">
        <v>2066848</v>
      </c>
      <c r="AF27" s="304">
        <v>2066979</v>
      </c>
    </row>
    <row r="28" spans="1:32" x14ac:dyDescent="0.3">
      <c r="A28" s="6" t="s">
        <v>27</v>
      </c>
      <c r="B28" s="304">
        <v>2031553</v>
      </c>
      <c r="C28" s="304">
        <v>2032037</v>
      </c>
      <c r="D28" s="304">
        <v>2032597</v>
      </c>
      <c r="E28" s="304">
        <v>2033071</v>
      </c>
      <c r="F28" s="304">
        <v>2033504</v>
      </c>
      <c r="G28" s="304">
        <v>2034022</v>
      </c>
      <c r="H28" s="304">
        <v>2034541</v>
      </c>
      <c r="I28" s="304">
        <v>2034611</v>
      </c>
      <c r="J28" s="304">
        <v>2034978</v>
      </c>
      <c r="K28" s="304">
        <v>2034978</v>
      </c>
      <c r="L28" s="304">
        <v>2034998</v>
      </c>
      <c r="M28" s="304">
        <v>2035474</v>
      </c>
      <c r="N28" s="304">
        <v>2035994</v>
      </c>
      <c r="O28" s="304">
        <v>2036425</v>
      </c>
      <c r="P28" s="304">
        <v>2036986</v>
      </c>
      <c r="Q28" s="304">
        <v>2037545</v>
      </c>
      <c r="R28" s="304">
        <v>2037590</v>
      </c>
      <c r="S28" s="304">
        <v>2037590</v>
      </c>
      <c r="T28" s="304">
        <v>2038154</v>
      </c>
      <c r="U28" s="304">
        <v>2038646</v>
      </c>
      <c r="V28" s="304">
        <v>2038646</v>
      </c>
      <c r="W28" s="309">
        <v>2038849</v>
      </c>
      <c r="X28" s="304">
        <v>2039162</v>
      </c>
      <c r="Y28" s="304">
        <v>2039722</v>
      </c>
      <c r="Z28" s="309">
        <v>2039765</v>
      </c>
      <c r="AA28" s="309">
        <v>2039913</v>
      </c>
      <c r="AB28" s="309">
        <v>2040108</v>
      </c>
      <c r="AC28" s="304">
        <v>2040517</v>
      </c>
      <c r="AD28" s="304">
        <v>2040866</v>
      </c>
      <c r="AE28" s="304">
        <v>2041124</v>
      </c>
      <c r="AF28" s="304">
        <v>2041124</v>
      </c>
    </row>
    <row r="29" spans="1:32" x14ac:dyDescent="0.3">
      <c r="A29" s="5" t="s">
        <v>28</v>
      </c>
      <c r="B29" s="304">
        <v>1977551</v>
      </c>
      <c r="C29" s="304">
        <v>1977839</v>
      </c>
      <c r="D29" s="304">
        <v>1977839</v>
      </c>
      <c r="E29" s="304">
        <v>1977839</v>
      </c>
      <c r="F29" s="304">
        <v>1978222</v>
      </c>
      <c r="G29" s="304">
        <v>1978697</v>
      </c>
      <c r="H29" s="304">
        <v>1979146</v>
      </c>
      <c r="I29" s="304">
        <v>1979317</v>
      </c>
      <c r="J29" s="304">
        <v>1979564</v>
      </c>
      <c r="K29" s="304">
        <v>1979564</v>
      </c>
      <c r="L29" s="304">
        <v>1979564</v>
      </c>
      <c r="M29" s="304">
        <v>1979815</v>
      </c>
      <c r="N29" s="304">
        <v>1980402</v>
      </c>
      <c r="O29" s="304">
        <v>1980662</v>
      </c>
      <c r="P29" s="304">
        <v>1981179</v>
      </c>
      <c r="Q29" s="304">
        <v>1981611</v>
      </c>
      <c r="R29" s="304">
        <v>1982131</v>
      </c>
      <c r="S29" s="304">
        <v>1982606</v>
      </c>
      <c r="T29" s="304">
        <v>1983082</v>
      </c>
      <c r="U29" s="304">
        <v>1983602</v>
      </c>
      <c r="V29" s="304">
        <v>1983862</v>
      </c>
      <c r="W29" s="309">
        <v>1984316</v>
      </c>
      <c r="X29" s="304">
        <v>1984675</v>
      </c>
      <c r="Y29" s="304">
        <v>1984675</v>
      </c>
      <c r="Z29" s="309">
        <v>1984675</v>
      </c>
      <c r="AA29" s="309">
        <v>1985075</v>
      </c>
      <c r="AB29" s="309">
        <v>1985638</v>
      </c>
      <c r="AC29" s="304">
        <v>1986029</v>
      </c>
      <c r="AD29" s="304">
        <v>1986589</v>
      </c>
      <c r="AE29" s="304">
        <v>1986999</v>
      </c>
      <c r="AF29" s="304">
        <v>1986999</v>
      </c>
    </row>
    <row r="30" spans="1:32" x14ac:dyDescent="0.3">
      <c r="A30" s="6" t="s">
        <v>29</v>
      </c>
      <c r="B30" s="304">
        <v>1715041</v>
      </c>
      <c r="C30" s="304">
        <v>1715294</v>
      </c>
      <c r="D30" s="304">
        <v>1715853</v>
      </c>
      <c r="E30" s="304">
        <v>1715897</v>
      </c>
      <c r="F30" s="304">
        <v>1716331</v>
      </c>
      <c r="G30" s="304">
        <v>1716849</v>
      </c>
      <c r="H30" s="304">
        <v>1717299</v>
      </c>
      <c r="I30" s="304">
        <v>1717429</v>
      </c>
      <c r="J30" s="304">
        <v>1717692</v>
      </c>
      <c r="K30" s="304">
        <v>1717692</v>
      </c>
      <c r="L30" s="304">
        <v>1717692</v>
      </c>
      <c r="M30" s="304">
        <v>1718031</v>
      </c>
      <c r="N30" s="304">
        <v>1718636</v>
      </c>
      <c r="O30" s="304">
        <v>1718830</v>
      </c>
      <c r="P30" s="304">
        <v>1719080</v>
      </c>
      <c r="Q30" s="304">
        <v>1719367</v>
      </c>
      <c r="R30" s="304">
        <v>1719367</v>
      </c>
      <c r="S30" s="304">
        <v>1719367</v>
      </c>
      <c r="T30" s="304">
        <v>1719425</v>
      </c>
      <c r="U30" s="304">
        <v>1719425</v>
      </c>
      <c r="V30" s="304">
        <v>1719467</v>
      </c>
      <c r="W30" s="309">
        <v>1719660</v>
      </c>
      <c r="X30" s="304">
        <v>1719852</v>
      </c>
      <c r="Y30" s="304">
        <v>1719852</v>
      </c>
      <c r="Z30" s="309">
        <v>1719852</v>
      </c>
      <c r="AA30" s="309">
        <v>1720105</v>
      </c>
      <c r="AB30" s="309">
        <v>1720356</v>
      </c>
      <c r="AC30" s="304">
        <v>1720772</v>
      </c>
      <c r="AD30" s="304">
        <v>1721010</v>
      </c>
      <c r="AE30" s="304">
        <v>1721264</v>
      </c>
      <c r="AF30" s="304">
        <v>1721782</v>
      </c>
    </row>
    <row r="31" spans="1:32" x14ac:dyDescent="0.3">
      <c r="A31" s="7" t="s">
        <v>30</v>
      </c>
      <c r="B31" s="304">
        <v>2027526</v>
      </c>
      <c r="C31" s="304">
        <v>2027805</v>
      </c>
      <c r="D31" s="304">
        <v>2027805</v>
      </c>
      <c r="E31" s="304">
        <v>2027805</v>
      </c>
      <c r="F31" s="304">
        <v>2028055</v>
      </c>
      <c r="G31" s="304">
        <v>2028394</v>
      </c>
      <c r="H31" s="304">
        <v>2028998</v>
      </c>
      <c r="I31" s="304">
        <v>2029435</v>
      </c>
      <c r="J31" s="304">
        <v>2029775</v>
      </c>
      <c r="K31" s="304">
        <v>2030293</v>
      </c>
      <c r="L31" s="304">
        <v>2030768</v>
      </c>
      <c r="M31" s="304">
        <v>2031328</v>
      </c>
      <c r="N31" s="304">
        <v>2031530</v>
      </c>
      <c r="O31" s="304">
        <v>2031780</v>
      </c>
      <c r="P31" s="304">
        <v>2032352</v>
      </c>
      <c r="Q31" s="304">
        <v>2032784</v>
      </c>
      <c r="R31" s="304">
        <v>2032784</v>
      </c>
      <c r="S31" s="304">
        <v>2032784</v>
      </c>
      <c r="T31" s="304">
        <v>2033236</v>
      </c>
      <c r="U31" s="304">
        <v>2033646</v>
      </c>
      <c r="V31" s="304">
        <v>2034123</v>
      </c>
      <c r="W31" s="309">
        <v>2034598</v>
      </c>
      <c r="X31" s="304">
        <v>2035055</v>
      </c>
      <c r="Y31" s="304">
        <v>2035055</v>
      </c>
      <c r="Z31" s="309">
        <v>2035055</v>
      </c>
      <c r="AA31" s="309">
        <v>2035457</v>
      </c>
      <c r="AB31" s="309">
        <v>2035889</v>
      </c>
      <c r="AC31" s="304">
        <v>2036452</v>
      </c>
      <c r="AD31" s="304">
        <v>2036758</v>
      </c>
      <c r="AE31" s="304">
        <v>2037362</v>
      </c>
      <c r="AF31" s="304">
        <v>2037880</v>
      </c>
    </row>
    <row r="32" spans="1:32" s="125" customFormat="1" x14ac:dyDescent="0.3">
      <c r="A32" s="6" t="s">
        <v>111</v>
      </c>
      <c r="B32" s="304">
        <v>661746</v>
      </c>
      <c r="C32" s="304">
        <v>662201</v>
      </c>
      <c r="D32" s="304">
        <v>662201</v>
      </c>
      <c r="E32" s="304">
        <v>662201</v>
      </c>
      <c r="F32" s="304">
        <v>662453</v>
      </c>
      <c r="G32" s="304">
        <v>662630</v>
      </c>
      <c r="H32" s="304">
        <v>663086</v>
      </c>
      <c r="I32" s="304">
        <v>663424</v>
      </c>
      <c r="J32" s="304">
        <v>664080</v>
      </c>
      <c r="K32" s="304">
        <v>664590</v>
      </c>
      <c r="L32" s="304">
        <v>665023</v>
      </c>
      <c r="M32" s="304">
        <v>665433</v>
      </c>
      <c r="N32" s="304">
        <v>665615</v>
      </c>
      <c r="O32" s="304">
        <v>666185</v>
      </c>
      <c r="P32" s="304">
        <v>666621</v>
      </c>
      <c r="Q32" s="304">
        <v>666978</v>
      </c>
      <c r="R32" s="304">
        <v>666978</v>
      </c>
      <c r="S32" s="304">
        <v>666978</v>
      </c>
      <c r="T32" s="304">
        <v>667172</v>
      </c>
      <c r="U32" s="304">
        <v>667434</v>
      </c>
      <c r="V32" s="304">
        <v>667436</v>
      </c>
      <c r="W32" s="309">
        <v>667782</v>
      </c>
      <c r="X32" s="304">
        <v>668047</v>
      </c>
      <c r="Y32" s="304">
        <v>668047</v>
      </c>
      <c r="Z32" s="309">
        <v>668047</v>
      </c>
      <c r="AA32" s="309">
        <v>668395</v>
      </c>
      <c r="AB32" s="309">
        <v>668684</v>
      </c>
      <c r="AC32" s="304">
        <v>669082</v>
      </c>
      <c r="AD32" s="304">
        <v>669259</v>
      </c>
      <c r="AE32" s="304">
        <v>669461</v>
      </c>
      <c r="AF32" s="304">
        <v>669461</v>
      </c>
    </row>
    <row r="33" spans="1:32" s="125" customFormat="1" x14ac:dyDescent="0.3">
      <c r="A33" s="5" t="s">
        <v>112</v>
      </c>
      <c r="B33" s="304">
        <v>609119</v>
      </c>
      <c r="C33" s="304">
        <v>609119</v>
      </c>
      <c r="D33" s="304">
        <v>609119</v>
      </c>
      <c r="E33" s="304">
        <v>609119</v>
      </c>
      <c r="F33" s="304">
        <v>609119</v>
      </c>
      <c r="G33" s="304">
        <v>609119</v>
      </c>
      <c r="H33" s="304">
        <v>609119</v>
      </c>
      <c r="I33" s="304">
        <v>609119</v>
      </c>
      <c r="J33" s="304">
        <v>609119</v>
      </c>
      <c r="K33" s="304">
        <v>609119</v>
      </c>
      <c r="L33" s="304">
        <v>609119</v>
      </c>
      <c r="M33" s="304">
        <v>609119</v>
      </c>
      <c r="N33" s="304">
        <v>609119</v>
      </c>
      <c r="O33" s="304">
        <v>609119</v>
      </c>
      <c r="P33" s="304">
        <v>609119</v>
      </c>
      <c r="Q33" s="304">
        <v>609119</v>
      </c>
      <c r="R33" s="304">
        <v>609119</v>
      </c>
      <c r="S33" s="304">
        <v>609141</v>
      </c>
      <c r="T33" s="304">
        <v>609141</v>
      </c>
      <c r="U33" s="304">
        <v>609141</v>
      </c>
      <c r="V33" s="304">
        <v>609141</v>
      </c>
      <c r="W33" s="304">
        <v>609141</v>
      </c>
      <c r="X33" s="304">
        <v>609141</v>
      </c>
      <c r="Y33" s="304">
        <v>609141</v>
      </c>
      <c r="Z33" s="304">
        <v>609141</v>
      </c>
      <c r="AA33" s="309">
        <v>609572</v>
      </c>
      <c r="AB33" s="309">
        <v>610090</v>
      </c>
      <c r="AC33" s="304">
        <v>610359</v>
      </c>
      <c r="AD33" s="304">
        <v>610610</v>
      </c>
      <c r="AE33" s="304">
        <v>610855</v>
      </c>
      <c r="AF33" s="304">
        <v>610855</v>
      </c>
    </row>
    <row r="34" spans="1:32" s="125" customFormat="1" x14ac:dyDescent="0.3">
      <c r="A34" s="6" t="s">
        <v>113</v>
      </c>
      <c r="B34" s="304">
        <v>640985</v>
      </c>
      <c r="C34" s="304">
        <v>641246</v>
      </c>
      <c r="D34" s="304">
        <v>641246</v>
      </c>
      <c r="E34" s="304">
        <v>641246</v>
      </c>
      <c r="F34" s="304">
        <v>641511</v>
      </c>
      <c r="G34" s="304">
        <v>641781</v>
      </c>
      <c r="H34" s="304">
        <v>641981</v>
      </c>
      <c r="I34" s="304">
        <v>642348</v>
      </c>
      <c r="J34" s="304">
        <v>642780</v>
      </c>
      <c r="K34" s="304">
        <v>643300</v>
      </c>
      <c r="L34" s="304">
        <v>643817</v>
      </c>
      <c r="M34" s="304">
        <v>644248</v>
      </c>
      <c r="N34" s="304">
        <v>644487</v>
      </c>
      <c r="O34" s="304">
        <v>645058</v>
      </c>
      <c r="P34" s="304">
        <v>645492</v>
      </c>
      <c r="Q34" s="304">
        <v>645839</v>
      </c>
      <c r="R34" s="304">
        <v>646357</v>
      </c>
      <c r="S34" s="304">
        <v>646788</v>
      </c>
      <c r="T34" s="304">
        <v>647156</v>
      </c>
      <c r="U34" s="304">
        <v>647350</v>
      </c>
      <c r="V34" s="304">
        <v>647350</v>
      </c>
      <c r="W34" s="309">
        <v>647601</v>
      </c>
      <c r="X34" s="304">
        <v>647853</v>
      </c>
      <c r="Y34" s="304">
        <v>647853</v>
      </c>
      <c r="Z34" s="309">
        <v>647872</v>
      </c>
      <c r="AA34" s="309">
        <v>648303</v>
      </c>
      <c r="AB34" s="309">
        <v>648820</v>
      </c>
      <c r="AC34" s="304">
        <v>649339</v>
      </c>
      <c r="AD34" s="304">
        <v>649599</v>
      </c>
      <c r="AE34" s="304">
        <v>649792</v>
      </c>
      <c r="AF34" s="304">
        <v>649792</v>
      </c>
    </row>
    <row r="35" spans="1:32" s="125" customFormat="1" x14ac:dyDescent="0.3">
      <c r="A35" s="7" t="s">
        <v>114</v>
      </c>
      <c r="B35" s="304">
        <v>660981</v>
      </c>
      <c r="C35" s="304">
        <v>661190</v>
      </c>
      <c r="D35" s="304">
        <v>661190</v>
      </c>
      <c r="E35" s="304">
        <v>661192</v>
      </c>
      <c r="F35" s="304">
        <v>661626</v>
      </c>
      <c r="G35" s="304">
        <v>662059</v>
      </c>
      <c r="H35" s="304">
        <v>662517</v>
      </c>
      <c r="I35" s="304">
        <v>662716</v>
      </c>
      <c r="J35" s="304">
        <v>663067</v>
      </c>
      <c r="K35" s="304">
        <v>663503</v>
      </c>
      <c r="L35" s="304">
        <v>664020</v>
      </c>
      <c r="M35" s="304">
        <v>664624</v>
      </c>
      <c r="N35" s="304">
        <v>665058</v>
      </c>
      <c r="O35" s="304">
        <v>665513</v>
      </c>
      <c r="P35" s="304">
        <v>665705</v>
      </c>
      <c r="Q35" s="304">
        <v>665954</v>
      </c>
      <c r="R35" s="304">
        <v>665954</v>
      </c>
      <c r="S35" s="304">
        <v>665954</v>
      </c>
      <c r="T35" s="304">
        <v>666148</v>
      </c>
      <c r="U35" s="304">
        <v>666226</v>
      </c>
      <c r="V35" s="304">
        <v>666249</v>
      </c>
      <c r="W35" s="309">
        <v>666512</v>
      </c>
      <c r="X35" s="304">
        <v>666704</v>
      </c>
      <c r="Y35" s="304">
        <v>666704</v>
      </c>
      <c r="Z35" s="309">
        <v>666704</v>
      </c>
      <c r="AA35" s="309">
        <v>666953</v>
      </c>
      <c r="AB35" s="309">
        <v>667202</v>
      </c>
      <c r="AC35" s="304">
        <v>667455</v>
      </c>
      <c r="AD35" s="304">
        <v>667706</v>
      </c>
      <c r="AE35" s="304">
        <v>667958</v>
      </c>
      <c r="AF35" s="304">
        <v>667958</v>
      </c>
    </row>
    <row r="36" spans="1:32" s="125" customFormat="1" x14ac:dyDescent="0.3">
      <c r="A36" s="5" t="s">
        <v>115</v>
      </c>
      <c r="B36" s="304">
        <v>634514</v>
      </c>
      <c r="C36" s="304">
        <v>634765</v>
      </c>
      <c r="D36" s="304">
        <v>634765</v>
      </c>
      <c r="E36" s="304">
        <v>634784</v>
      </c>
      <c r="F36" s="304">
        <v>635219</v>
      </c>
      <c r="G36" s="304">
        <v>635421</v>
      </c>
      <c r="H36" s="304">
        <v>635647</v>
      </c>
      <c r="I36" s="304">
        <v>635966</v>
      </c>
      <c r="J36" s="304">
        <v>636484</v>
      </c>
      <c r="K36" s="304">
        <v>637004</v>
      </c>
      <c r="L36" s="304">
        <v>637480</v>
      </c>
      <c r="M36" s="304">
        <v>638041</v>
      </c>
      <c r="N36" s="304">
        <v>638480</v>
      </c>
      <c r="O36" s="304">
        <v>638913</v>
      </c>
      <c r="P36" s="304">
        <v>639202</v>
      </c>
      <c r="Q36" s="304">
        <v>639394</v>
      </c>
      <c r="R36" s="304">
        <v>639394</v>
      </c>
      <c r="S36" s="304">
        <v>639394</v>
      </c>
      <c r="T36" s="304">
        <v>639646</v>
      </c>
      <c r="U36" s="304">
        <v>639897</v>
      </c>
      <c r="V36" s="304">
        <v>639897</v>
      </c>
      <c r="W36" s="309">
        <v>639978</v>
      </c>
      <c r="X36" s="304">
        <v>640181</v>
      </c>
      <c r="Y36" s="304">
        <v>640181</v>
      </c>
      <c r="Z36" s="309">
        <v>640200</v>
      </c>
      <c r="AA36" s="309">
        <v>640375</v>
      </c>
      <c r="AB36" s="309">
        <v>640722</v>
      </c>
      <c r="AC36" s="304">
        <v>640829</v>
      </c>
      <c r="AD36" s="304">
        <v>641069</v>
      </c>
      <c r="AE36" s="304">
        <v>641156</v>
      </c>
      <c r="AF36" s="304">
        <v>641156</v>
      </c>
    </row>
    <row r="37" spans="1:32" s="125" customFormat="1" x14ac:dyDescent="0.3">
      <c r="A37" s="6" t="s">
        <v>116</v>
      </c>
      <c r="B37" s="304">
        <v>686471</v>
      </c>
      <c r="C37" s="304">
        <v>686663</v>
      </c>
      <c r="D37" s="304">
        <v>686663</v>
      </c>
      <c r="E37" s="304">
        <v>686663</v>
      </c>
      <c r="F37" s="304">
        <v>686914</v>
      </c>
      <c r="G37" s="304">
        <v>687106</v>
      </c>
      <c r="H37" s="304">
        <v>687365</v>
      </c>
      <c r="I37" s="304">
        <v>687732</v>
      </c>
      <c r="J37" s="304">
        <v>688165</v>
      </c>
      <c r="K37" s="304">
        <v>688427</v>
      </c>
      <c r="L37" s="304">
        <v>688429</v>
      </c>
      <c r="M37" s="304">
        <v>688862</v>
      </c>
      <c r="N37" s="304">
        <v>689212</v>
      </c>
      <c r="O37" s="304">
        <v>689412</v>
      </c>
      <c r="P37" s="304">
        <v>689661</v>
      </c>
      <c r="Q37" s="304">
        <v>689922</v>
      </c>
      <c r="R37" s="304">
        <v>689922</v>
      </c>
      <c r="S37" s="304">
        <v>689922</v>
      </c>
      <c r="T37" s="304">
        <v>690183</v>
      </c>
      <c r="U37" s="304">
        <v>690617</v>
      </c>
      <c r="V37" s="304">
        <v>690639</v>
      </c>
      <c r="W37" s="309">
        <v>690903</v>
      </c>
      <c r="X37" s="304">
        <v>691131</v>
      </c>
      <c r="Y37" s="304">
        <v>691131</v>
      </c>
      <c r="Z37" s="309">
        <v>691131</v>
      </c>
      <c r="AA37" s="309">
        <v>691393</v>
      </c>
      <c r="AB37" s="309">
        <v>691396</v>
      </c>
      <c r="AC37" s="304">
        <v>691829</v>
      </c>
      <c r="AD37" s="304">
        <v>692006</v>
      </c>
      <c r="AE37" s="304">
        <v>692199</v>
      </c>
      <c r="AF37" s="304">
        <v>692199</v>
      </c>
    </row>
    <row r="38" spans="1:32" x14ac:dyDescent="0.3">
      <c r="A38" s="7" t="s">
        <v>117</v>
      </c>
      <c r="B38" s="304">
        <v>335237</v>
      </c>
      <c r="C38" s="304">
        <v>335691</v>
      </c>
      <c r="D38" s="304">
        <v>335691</v>
      </c>
      <c r="E38" s="304">
        <v>335691</v>
      </c>
      <c r="F38" s="304">
        <v>335895</v>
      </c>
      <c r="G38" s="304">
        <v>336146</v>
      </c>
      <c r="H38" s="304">
        <v>336396</v>
      </c>
      <c r="I38" s="304">
        <v>336733</v>
      </c>
      <c r="J38" s="304">
        <v>336992</v>
      </c>
      <c r="K38" s="304">
        <v>336992</v>
      </c>
      <c r="L38" s="304">
        <v>336992</v>
      </c>
      <c r="M38" s="304">
        <v>337230</v>
      </c>
      <c r="N38" s="304">
        <v>337578</v>
      </c>
      <c r="O38" s="304">
        <v>338013</v>
      </c>
      <c r="P38" s="304">
        <v>338215</v>
      </c>
      <c r="Q38" s="304">
        <v>338295</v>
      </c>
      <c r="R38" s="304">
        <v>338295</v>
      </c>
      <c r="S38" s="304">
        <v>338316</v>
      </c>
      <c r="T38" s="304">
        <v>338575</v>
      </c>
      <c r="U38" s="304">
        <v>339009</v>
      </c>
      <c r="V38" s="304">
        <v>339009</v>
      </c>
      <c r="W38" s="309">
        <v>339299</v>
      </c>
      <c r="X38" s="304">
        <v>339490</v>
      </c>
      <c r="Y38" s="304">
        <v>339490</v>
      </c>
      <c r="Z38" s="309">
        <v>339490</v>
      </c>
      <c r="AA38" s="309">
        <v>339693</v>
      </c>
      <c r="AB38" s="309">
        <v>340041</v>
      </c>
      <c r="AC38" s="304">
        <v>340406</v>
      </c>
      <c r="AD38" s="304">
        <v>340601</v>
      </c>
      <c r="AE38" s="304">
        <v>340826</v>
      </c>
      <c r="AF38" s="304">
        <v>340826</v>
      </c>
    </row>
    <row r="39" spans="1:32" x14ac:dyDescent="0.3">
      <c r="A39" s="5" t="s">
        <v>118</v>
      </c>
      <c r="B39" s="304">
        <v>658235</v>
      </c>
      <c r="C39" s="304">
        <v>658401</v>
      </c>
      <c r="D39" s="304">
        <v>658401</v>
      </c>
      <c r="E39" s="304">
        <v>658401</v>
      </c>
      <c r="F39" s="304">
        <v>658603</v>
      </c>
      <c r="G39" s="304">
        <v>658855</v>
      </c>
      <c r="H39" s="304">
        <v>659106</v>
      </c>
      <c r="I39" s="304">
        <v>659460</v>
      </c>
      <c r="J39" s="304">
        <v>659976</v>
      </c>
      <c r="K39" s="304">
        <v>660496</v>
      </c>
      <c r="L39" s="304">
        <v>660971</v>
      </c>
      <c r="M39" s="304">
        <v>661362</v>
      </c>
      <c r="N39" s="304">
        <v>661941</v>
      </c>
      <c r="O39" s="304">
        <v>662376</v>
      </c>
      <c r="P39" s="304">
        <v>662809</v>
      </c>
      <c r="Q39" s="304">
        <v>663157</v>
      </c>
      <c r="R39" s="304">
        <v>663675</v>
      </c>
      <c r="S39" s="304">
        <v>663782</v>
      </c>
      <c r="T39" s="304">
        <v>664033</v>
      </c>
      <c r="U39" s="304">
        <v>664285</v>
      </c>
      <c r="V39" s="304">
        <v>664285</v>
      </c>
      <c r="W39" s="309">
        <v>664548</v>
      </c>
      <c r="X39" s="304">
        <v>664741</v>
      </c>
      <c r="Y39" s="304">
        <v>664741</v>
      </c>
      <c r="Z39" s="309">
        <v>664741</v>
      </c>
      <c r="AA39" s="309">
        <v>664993</v>
      </c>
      <c r="AB39" s="309">
        <v>665196</v>
      </c>
      <c r="AC39" s="304">
        <v>665364</v>
      </c>
      <c r="AD39" s="304">
        <v>665713</v>
      </c>
      <c r="AE39" s="304">
        <v>666061</v>
      </c>
      <c r="AF39" s="304">
        <v>666061</v>
      </c>
    </row>
    <row r="40" spans="1:32" s="125" customFormat="1" ht="17.399999999999999" x14ac:dyDescent="0.3">
      <c r="A40" s="217"/>
      <c r="B40" s="217"/>
      <c r="C40" s="217"/>
      <c r="D40" s="217"/>
      <c r="E40" s="217"/>
      <c r="F40" s="217"/>
      <c r="G40" s="217"/>
      <c r="H40" s="217"/>
      <c r="I40" s="217"/>
      <c r="J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</row>
    <row r="41" spans="1:32" ht="17.399999999999999" x14ac:dyDescent="0.3">
      <c r="A41" s="352" t="s">
        <v>31</v>
      </c>
      <c r="B41" s="352"/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</row>
    <row r="42" spans="1:32" x14ac:dyDescent="0.3">
      <c r="A42" s="9"/>
      <c r="B42" s="63">
        <v>45778</v>
      </c>
      <c r="C42" s="63">
        <v>45779</v>
      </c>
      <c r="D42" s="63">
        <v>45780</v>
      </c>
      <c r="E42" s="63">
        <v>45781</v>
      </c>
      <c r="F42" s="63">
        <v>45782</v>
      </c>
      <c r="G42" s="63">
        <v>45783</v>
      </c>
      <c r="H42" s="63">
        <v>45784</v>
      </c>
      <c r="I42" s="63">
        <v>45785</v>
      </c>
      <c r="J42" s="63">
        <v>45786</v>
      </c>
      <c r="K42" s="63">
        <v>45787</v>
      </c>
      <c r="L42" s="63">
        <v>45788</v>
      </c>
      <c r="M42" s="63">
        <v>45789</v>
      </c>
      <c r="N42" s="63">
        <v>45790</v>
      </c>
      <c r="O42" s="63">
        <v>45791</v>
      </c>
      <c r="P42" s="63">
        <v>45792</v>
      </c>
      <c r="Q42" s="63">
        <v>45793</v>
      </c>
      <c r="R42" s="63">
        <v>45794</v>
      </c>
      <c r="S42" s="63">
        <v>45795</v>
      </c>
      <c r="T42" s="63">
        <v>45796</v>
      </c>
      <c r="U42" s="63">
        <v>45797</v>
      </c>
      <c r="V42" s="63">
        <v>45798</v>
      </c>
      <c r="W42" s="63">
        <v>45799</v>
      </c>
      <c r="X42" s="63">
        <v>45800</v>
      </c>
      <c r="Y42" s="63">
        <v>45801</v>
      </c>
      <c r="Z42" s="63">
        <v>45802</v>
      </c>
      <c r="AA42" s="63">
        <v>45803</v>
      </c>
      <c r="AB42" s="63">
        <v>45804</v>
      </c>
      <c r="AC42" s="63">
        <v>45805</v>
      </c>
      <c r="AD42" s="63">
        <v>45806</v>
      </c>
      <c r="AE42" s="63">
        <v>45807</v>
      </c>
      <c r="AF42" s="63">
        <v>45808</v>
      </c>
    </row>
    <row r="43" spans="1:32" x14ac:dyDescent="0.3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3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3">
      <c r="A45" s="11" t="s">
        <v>4</v>
      </c>
      <c r="B45" s="232">
        <v>473</v>
      </c>
      <c r="C45" s="12">
        <f t="shared" ref="C45:D64" si="0">C5-B5</f>
        <v>237</v>
      </c>
      <c r="D45" s="12">
        <f t="shared" si="0"/>
        <v>0</v>
      </c>
      <c r="E45" s="12">
        <f t="shared" ref="E45:F64" si="1">E5-D5</f>
        <v>0</v>
      </c>
      <c r="F45" s="12">
        <f t="shared" si="1"/>
        <v>194</v>
      </c>
      <c r="G45" s="12">
        <f t="shared" ref="G45:P45" si="2">G5-F5</f>
        <v>252</v>
      </c>
      <c r="H45" s="12">
        <f t="shared" si="2"/>
        <v>177</v>
      </c>
      <c r="I45" s="12">
        <f t="shared" si="2"/>
        <v>461</v>
      </c>
      <c r="J45" s="12">
        <f t="shared" si="2"/>
        <v>478</v>
      </c>
      <c r="K45" s="12">
        <f t="shared" si="2"/>
        <v>43</v>
      </c>
      <c r="L45" s="12">
        <f t="shared" si="2"/>
        <v>474</v>
      </c>
      <c r="M45" s="12">
        <f t="shared" si="2"/>
        <v>132</v>
      </c>
      <c r="N45" s="12">
        <f t="shared" si="2"/>
        <v>1</v>
      </c>
      <c r="O45" s="12">
        <f t="shared" si="2"/>
        <v>432</v>
      </c>
      <c r="P45" s="12">
        <f t="shared" si="2"/>
        <v>560</v>
      </c>
      <c r="Q45" s="12">
        <f>Q5-P5</f>
        <v>238</v>
      </c>
      <c r="R45" s="12">
        <f>R5-Q5</f>
        <v>0</v>
      </c>
      <c r="S45" s="12">
        <f>S5-R5</f>
        <v>0</v>
      </c>
      <c r="T45" s="12">
        <f t="shared" ref="T45:AD45" si="3">T5-S5</f>
        <v>307</v>
      </c>
      <c r="U45" s="12">
        <f t="shared" si="3"/>
        <v>474</v>
      </c>
      <c r="V45" s="12">
        <f>V5-U5</f>
        <v>0</v>
      </c>
      <c r="W45" s="12">
        <f t="shared" si="3"/>
        <v>560</v>
      </c>
      <c r="X45" s="12">
        <f t="shared" si="3"/>
        <v>344</v>
      </c>
      <c r="Y45" s="12">
        <f t="shared" si="3"/>
        <v>43</v>
      </c>
      <c r="Z45" s="12">
        <f t="shared" si="3"/>
        <v>518</v>
      </c>
      <c r="AA45" s="12">
        <f t="shared" si="3"/>
        <v>203</v>
      </c>
      <c r="AB45" s="12">
        <f t="shared" si="3"/>
        <v>252</v>
      </c>
      <c r="AC45" s="12">
        <f t="shared" si="3"/>
        <v>509</v>
      </c>
      <c r="AD45" s="12">
        <f t="shared" si="3"/>
        <v>263</v>
      </c>
      <c r="AE45" s="12">
        <f>AE5-AD5</f>
        <v>251</v>
      </c>
      <c r="AF45" s="12">
        <f>AF5-AE5</f>
        <v>0</v>
      </c>
    </row>
    <row r="46" spans="1:32" x14ac:dyDescent="0.3">
      <c r="A46" s="11" t="s">
        <v>5</v>
      </c>
      <c r="B46" s="232">
        <v>0</v>
      </c>
      <c r="C46" s="12">
        <f t="shared" si="0"/>
        <v>0</v>
      </c>
      <c r="D46" s="12">
        <f t="shared" si="0"/>
        <v>0</v>
      </c>
      <c r="E46" s="12">
        <f t="shared" si="1"/>
        <v>0</v>
      </c>
      <c r="F46" s="12">
        <f t="shared" si="1"/>
        <v>0</v>
      </c>
      <c r="G46" s="12">
        <f t="shared" ref="G46:P62" si="4">G6-F6</f>
        <v>0</v>
      </c>
      <c r="H46" s="12">
        <f t="shared" si="4"/>
        <v>0</v>
      </c>
      <c r="I46" s="12">
        <f t="shared" si="4"/>
        <v>0</v>
      </c>
      <c r="J46" s="12">
        <f t="shared" si="4"/>
        <v>0</v>
      </c>
      <c r="K46" s="12">
        <f t="shared" si="4"/>
        <v>0</v>
      </c>
      <c r="L46" s="12">
        <f t="shared" si="4"/>
        <v>0</v>
      </c>
      <c r="M46" s="12">
        <f t="shared" si="4"/>
        <v>0</v>
      </c>
      <c r="N46" s="12">
        <f t="shared" si="4"/>
        <v>0</v>
      </c>
      <c r="O46" s="12">
        <f t="shared" si="4"/>
        <v>0</v>
      </c>
      <c r="P46" s="12">
        <f t="shared" si="4"/>
        <v>0</v>
      </c>
      <c r="Q46" s="12">
        <f t="shared" ref="Q46:R79" si="5">Q6-P6</f>
        <v>0</v>
      </c>
      <c r="R46" s="12">
        <f t="shared" si="5"/>
        <v>0</v>
      </c>
      <c r="S46" s="12">
        <f t="shared" ref="S46:S79" si="6">S6-R6</f>
        <v>0</v>
      </c>
      <c r="T46" s="12">
        <f t="shared" ref="T46:AF46" si="7">T6-S6</f>
        <v>0</v>
      </c>
      <c r="U46" s="12">
        <f t="shared" si="7"/>
        <v>0</v>
      </c>
      <c r="V46" s="12">
        <f t="shared" si="7"/>
        <v>0</v>
      </c>
      <c r="W46" s="12">
        <f t="shared" si="7"/>
        <v>0</v>
      </c>
      <c r="X46" s="12">
        <f t="shared" si="7"/>
        <v>0</v>
      </c>
      <c r="Y46" s="12">
        <f t="shared" si="7"/>
        <v>0</v>
      </c>
      <c r="Z46" s="12">
        <f t="shared" si="7"/>
        <v>0</v>
      </c>
      <c r="AA46" s="12">
        <f t="shared" si="7"/>
        <v>0</v>
      </c>
      <c r="AB46" s="12">
        <f t="shared" si="7"/>
        <v>0</v>
      </c>
      <c r="AC46" s="12">
        <f t="shared" si="7"/>
        <v>0</v>
      </c>
      <c r="AD46" s="12">
        <f t="shared" si="7"/>
        <v>0</v>
      </c>
      <c r="AE46" s="12">
        <f t="shared" si="7"/>
        <v>0</v>
      </c>
      <c r="AF46" s="12">
        <f t="shared" si="7"/>
        <v>0</v>
      </c>
    </row>
    <row r="47" spans="1:32" x14ac:dyDescent="0.3">
      <c r="A47" s="11" t="s">
        <v>6</v>
      </c>
      <c r="B47" s="232">
        <v>0</v>
      </c>
      <c r="C47" s="12">
        <f t="shared" si="0"/>
        <v>307</v>
      </c>
      <c r="D47" s="12">
        <f t="shared" si="0"/>
        <v>519</v>
      </c>
      <c r="E47" s="12">
        <f t="shared" si="1"/>
        <v>44</v>
      </c>
      <c r="F47" s="12">
        <f t="shared" si="1"/>
        <v>436</v>
      </c>
      <c r="G47" s="12">
        <f t="shared" si="4"/>
        <v>433</v>
      </c>
      <c r="H47" s="12">
        <f t="shared" si="4"/>
        <v>524</v>
      </c>
      <c r="I47" s="12">
        <f t="shared" si="4"/>
        <v>438</v>
      </c>
      <c r="J47" s="12">
        <f t="shared" si="4"/>
        <v>453</v>
      </c>
      <c r="K47" s="12">
        <f t="shared" si="4"/>
        <v>0</v>
      </c>
      <c r="L47" s="12">
        <f t="shared" si="4"/>
        <v>0</v>
      </c>
      <c r="M47" s="12">
        <f t="shared" si="4"/>
        <v>194</v>
      </c>
      <c r="N47" s="12">
        <f t="shared" si="4"/>
        <v>400</v>
      </c>
      <c r="O47" s="12">
        <f t="shared" si="4"/>
        <v>433</v>
      </c>
      <c r="P47" s="12">
        <f t="shared" si="4"/>
        <v>306</v>
      </c>
      <c r="Q47" s="12">
        <f t="shared" si="5"/>
        <v>561</v>
      </c>
      <c r="R47" s="12">
        <f t="shared" si="5"/>
        <v>561</v>
      </c>
      <c r="S47" s="12">
        <f t="shared" si="6"/>
        <v>475</v>
      </c>
      <c r="T47" s="12">
        <f t="shared" ref="T47:AF47" si="8">T7-S7</f>
        <v>348</v>
      </c>
      <c r="U47" s="12">
        <f t="shared" si="8"/>
        <v>267</v>
      </c>
      <c r="V47" s="12">
        <f t="shared" si="8"/>
        <v>27</v>
      </c>
      <c r="W47" s="12">
        <f t="shared" si="8"/>
        <v>521</v>
      </c>
      <c r="X47" s="12">
        <f t="shared" si="8"/>
        <v>87</v>
      </c>
      <c r="Y47" s="12">
        <f t="shared" si="8"/>
        <v>0</v>
      </c>
      <c r="Z47" s="12">
        <f t="shared" si="8"/>
        <v>0</v>
      </c>
      <c r="AA47" s="12">
        <f t="shared" si="8"/>
        <v>453</v>
      </c>
      <c r="AB47" s="12">
        <f t="shared" si="8"/>
        <v>262</v>
      </c>
      <c r="AC47" s="12">
        <f t="shared" si="8"/>
        <v>434</v>
      </c>
      <c r="AD47" s="12">
        <f t="shared" si="8"/>
        <v>92</v>
      </c>
      <c r="AE47" s="12">
        <f t="shared" si="8"/>
        <v>520</v>
      </c>
      <c r="AF47" s="12">
        <f t="shared" si="8"/>
        <v>518</v>
      </c>
    </row>
    <row r="48" spans="1:32" x14ac:dyDescent="0.3">
      <c r="A48" s="13" t="s">
        <v>7</v>
      </c>
      <c r="B48" s="232">
        <v>476</v>
      </c>
      <c r="C48" s="12">
        <f t="shared" si="0"/>
        <v>493</v>
      </c>
      <c r="D48" s="12">
        <f t="shared" si="0"/>
        <v>0</v>
      </c>
      <c r="E48" s="12">
        <f t="shared" si="1"/>
        <v>0</v>
      </c>
      <c r="F48" s="12">
        <f t="shared" si="1"/>
        <v>520</v>
      </c>
      <c r="G48" s="12">
        <f t="shared" si="4"/>
        <v>412</v>
      </c>
      <c r="H48" s="12">
        <f t="shared" si="4"/>
        <v>261</v>
      </c>
      <c r="I48" s="12">
        <f t="shared" si="4"/>
        <v>170</v>
      </c>
      <c r="J48" s="12">
        <f t="shared" si="4"/>
        <v>303</v>
      </c>
      <c r="K48" s="12">
        <f t="shared" si="4"/>
        <v>391</v>
      </c>
      <c r="L48" s="12">
        <f t="shared" si="4"/>
        <v>520</v>
      </c>
      <c r="M48" s="12">
        <f t="shared" si="4"/>
        <v>452</v>
      </c>
      <c r="N48" s="12">
        <f t="shared" si="4"/>
        <v>341</v>
      </c>
      <c r="O48" s="12">
        <f t="shared" si="4"/>
        <v>521</v>
      </c>
      <c r="P48" s="12">
        <f t="shared" si="4"/>
        <v>173</v>
      </c>
      <c r="Q48" s="12">
        <f t="shared" si="5"/>
        <v>522</v>
      </c>
      <c r="R48" s="12">
        <f t="shared" si="5"/>
        <v>561</v>
      </c>
      <c r="S48" s="12">
        <f t="shared" si="6"/>
        <v>394</v>
      </c>
      <c r="T48" s="12">
        <f t="shared" ref="T48:AF48" si="9">T8-S8</f>
        <v>563</v>
      </c>
      <c r="U48" s="12">
        <f t="shared" si="9"/>
        <v>562</v>
      </c>
      <c r="V48" s="12">
        <f t="shared" si="9"/>
        <v>478</v>
      </c>
      <c r="W48" s="12">
        <f t="shared" si="9"/>
        <v>306</v>
      </c>
      <c r="X48" s="12">
        <f t="shared" si="9"/>
        <v>201</v>
      </c>
      <c r="Y48" s="12">
        <f t="shared" si="9"/>
        <v>0</v>
      </c>
      <c r="Z48" s="12">
        <f t="shared" si="9"/>
        <v>0</v>
      </c>
      <c r="AA48" s="12">
        <f t="shared" si="9"/>
        <v>192</v>
      </c>
      <c r="AB48" s="12">
        <f t="shared" si="9"/>
        <v>588</v>
      </c>
      <c r="AC48" s="12">
        <f t="shared" si="9"/>
        <v>261</v>
      </c>
      <c r="AD48" s="12">
        <f t="shared" si="9"/>
        <v>605</v>
      </c>
      <c r="AE48" s="12">
        <f t="shared" si="9"/>
        <v>522</v>
      </c>
      <c r="AF48" s="12">
        <f t="shared" si="9"/>
        <v>518</v>
      </c>
    </row>
    <row r="49" spans="1:32" x14ac:dyDescent="0.3">
      <c r="A49" s="13" t="s">
        <v>8</v>
      </c>
      <c r="B49" s="232">
        <v>520</v>
      </c>
      <c r="C49" s="12">
        <f t="shared" si="0"/>
        <v>259</v>
      </c>
      <c r="D49" s="12">
        <f t="shared" si="0"/>
        <v>0</v>
      </c>
      <c r="E49" s="12">
        <f t="shared" si="1"/>
        <v>0</v>
      </c>
      <c r="F49" s="12">
        <f t="shared" si="1"/>
        <v>169</v>
      </c>
      <c r="G49" s="12">
        <f t="shared" si="4"/>
        <v>520</v>
      </c>
      <c r="H49" s="12">
        <f t="shared" si="4"/>
        <v>434</v>
      </c>
      <c r="I49" s="12">
        <f t="shared" si="4"/>
        <v>434</v>
      </c>
      <c r="J49" s="12">
        <f t="shared" si="4"/>
        <v>388</v>
      </c>
      <c r="K49" s="12">
        <f t="shared" si="4"/>
        <v>519</v>
      </c>
      <c r="L49" s="12">
        <f t="shared" si="4"/>
        <v>43</v>
      </c>
      <c r="M49" s="12">
        <f t="shared" si="4"/>
        <v>364</v>
      </c>
      <c r="N49" s="12">
        <f t="shared" si="4"/>
        <v>493</v>
      </c>
      <c r="O49" s="12">
        <f t="shared" si="4"/>
        <v>253</v>
      </c>
      <c r="P49" s="12">
        <f t="shared" si="4"/>
        <v>560</v>
      </c>
      <c r="Q49" s="12">
        <f t="shared" si="5"/>
        <v>244</v>
      </c>
      <c r="R49" s="12">
        <f t="shared" si="5"/>
        <v>0</v>
      </c>
      <c r="S49" s="12">
        <f t="shared" si="6"/>
        <v>0</v>
      </c>
      <c r="T49" s="12">
        <f t="shared" ref="T49:AF49" si="10">T9-S9</f>
        <v>297</v>
      </c>
      <c r="U49" s="12">
        <f t="shared" si="10"/>
        <v>303</v>
      </c>
      <c r="V49" s="12">
        <f t="shared" si="10"/>
        <v>176</v>
      </c>
      <c r="W49" s="12">
        <f t="shared" si="10"/>
        <v>603</v>
      </c>
      <c r="X49" s="12">
        <f t="shared" si="10"/>
        <v>521</v>
      </c>
      <c r="Y49" s="12">
        <f t="shared" si="10"/>
        <v>519</v>
      </c>
      <c r="Z49" s="12">
        <f t="shared" si="10"/>
        <v>475</v>
      </c>
      <c r="AA49" s="12">
        <f t="shared" si="10"/>
        <v>200</v>
      </c>
      <c r="AB49" s="12">
        <f t="shared" si="10"/>
        <v>193</v>
      </c>
      <c r="AC49" s="12">
        <f t="shared" si="10"/>
        <v>560</v>
      </c>
      <c r="AD49" s="12">
        <f t="shared" si="10"/>
        <v>475</v>
      </c>
      <c r="AE49" s="12">
        <f t="shared" si="10"/>
        <v>312</v>
      </c>
      <c r="AF49" s="12">
        <f t="shared" si="10"/>
        <v>561</v>
      </c>
    </row>
    <row r="50" spans="1:32" x14ac:dyDescent="0.3">
      <c r="A50" s="13" t="s">
        <v>9</v>
      </c>
      <c r="B50" s="232">
        <v>0</v>
      </c>
      <c r="C50" s="12">
        <f t="shared" si="0"/>
        <v>353</v>
      </c>
      <c r="D50" s="12">
        <f t="shared" si="0"/>
        <v>0</v>
      </c>
      <c r="E50" s="12">
        <f t="shared" si="1"/>
        <v>0</v>
      </c>
      <c r="F50" s="12">
        <f t="shared" si="1"/>
        <v>82</v>
      </c>
      <c r="G50" s="12">
        <f t="shared" si="4"/>
        <v>288</v>
      </c>
      <c r="H50" s="12">
        <f t="shared" si="4"/>
        <v>586</v>
      </c>
      <c r="I50" s="12">
        <f t="shared" si="4"/>
        <v>359</v>
      </c>
      <c r="J50" s="12">
        <f t="shared" si="4"/>
        <v>265</v>
      </c>
      <c r="K50" s="12">
        <f t="shared" si="4"/>
        <v>0</v>
      </c>
      <c r="L50" s="12">
        <f t="shared" si="4"/>
        <v>0</v>
      </c>
      <c r="M50" s="12">
        <f t="shared" si="4"/>
        <v>185</v>
      </c>
      <c r="N50" s="12">
        <f t="shared" si="4"/>
        <v>184</v>
      </c>
      <c r="O50" s="12">
        <f t="shared" si="4"/>
        <v>185</v>
      </c>
      <c r="P50" s="12">
        <f t="shared" si="4"/>
        <v>187</v>
      </c>
      <c r="Q50" s="12">
        <f t="shared" si="5"/>
        <v>297</v>
      </c>
      <c r="R50" s="12">
        <f t="shared" si="5"/>
        <v>474</v>
      </c>
      <c r="S50" s="12">
        <f t="shared" si="6"/>
        <v>477</v>
      </c>
      <c r="T50" s="12">
        <f t="shared" ref="T50:AF50" si="11">T10-S10</f>
        <v>328</v>
      </c>
      <c r="U50" s="12">
        <f t="shared" si="11"/>
        <v>339</v>
      </c>
      <c r="V50" s="12">
        <f t="shared" si="11"/>
        <v>517</v>
      </c>
      <c r="W50" s="12">
        <f t="shared" si="11"/>
        <v>517</v>
      </c>
      <c r="X50" s="12">
        <f t="shared" si="11"/>
        <v>605</v>
      </c>
      <c r="Y50" s="12">
        <f t="shared" si="11"/>
        <v>518</v>
      </c>
      <c r="Z50" s="12">
        <f t="shared" si="11"/>
        <v>432</v>
      </c>
      <c r="AA50" s="12">
        <f t="shared" si="11"/>
        <v>559</v>
      </c>
      <c r="AB50" s="12">
        <f t="shared" si="11"/>
        <v>392</v>
      </c>
      <c r="AC50" s="12">
        <f t="shared" si="11"/>
        <v>349</v>
      </c>
      <c r="AD50" s="12">
        <f t="shared" si="11"/>
        <v>516</v>
      </c>
      <c r="AE50" s="12">
        <f t="shared" si="11"/>
        <v>560</v>
      </c>
      <c r="AF50" s="12">
        <f t="shared" si="11"/>
        <v>43</v>
      </c>
    </row>
    <row r="51" spans="1:32" x14ac:dyDescent="0.3">
      <c r="A51" s="13" t="s">
        <v>10</v>
      </c>
      <c r="B51" s="232">
        <v>0</v>
      </c>
      <c r="C51" s="12">
        <f t="shared" si="0"/>
        <v>251</v>
      </c>
      <c r="D51" s="12">
        <f t="shared" si="0"/>
        <v>0</v>
      </c>
      <c r="E51" s="12">
        <f t="shared" si="1"/>
        <v>0</v>
      </c>
      <c r="F51" s="12">
        <f t="shared" si="1"/>
        <v>414</v>
      </c>
      <c r="G51" s="12">
        <f t="shared" si="4"/>
        <v>368</v>
      </c>
      <c r="H51" s="12">
        <f t="shared" si="4"/>
        <v>299</v>
      </c>
      <c r="I51" s="12">
        <f t="shared" si="4"/>
        <v>463</v>
      </c>
      <c r="J51" s="12">
        <f t="shared" si="4"/>
        <v>264</v>
      </c>
      <c r="K51" s="12">
        <f t="shared" si="4"/>
        <v>565</v>
      </c>
      <c r="L51" s="12">
        <f t="shared" si="4"/>
        <v>45</v>
      </c>
      <c r="M51" s="12">
        <f t="shared" si="4"/>
        <v>203</v>
      </c>
      <c r="N51" s="12">
        <f t="shared" si="4"/>
        <v>252</v>
      </c>
      <c r="O51" s="12">
        <f t="shared" si="4"/>
        <v>251</v>
      </c>
      <c r="P51" s="12">
        <f t="shared" si="4"/>
        <v>195</v>
      </c>
      <c r="Q51" s="12">
        <f t="shared" si="5"/>
        <v>504</v>
      </c>
      <c r="R51" s="12">
        <f t="shared" si="5"/>
        <v>523</v>
      </c>
      <c r="S51" s="12">
        <f t="shared" si="6"/>
        <v>521</v>
      </c>
      <c r="T51" s="12">
        <f t="shared" ref="T51:AF51" si="12">T11-S11</f>
        <v>608</v>
      </c>
      <c r="U51" s="12">
        <f t="shared" si="12"/>
        <v>204</v>
      </c>
      <c r="V51" s="12">
        <f t="shared" si="12"/>
        <v>0</v>
      </c>
      <c r="W51" s="12">
        <f t="shared" si="12"/>
        <v>195</v>
      </c>
      <c r="X51" s="12">
        <f t="shared" si="12"/>
        <v>504</v>
      </c>
      <c r="Y51" s="12">
        <f t="shared" si="12"/>
        <v>525</v>
      </c>
      <c r="Z51" s="12">
        <f t="shared" si="12"/>
        <v>143</v>
      </c>
      <c r="AA51" s="12">
        <f t="shared" si="12"/>
        <v>386</v>
      </c>
      <c r="AB51" s="12">
        <f t="shared" si="12"/>
        <v>434</v>
      </c>
      <c r="AC51" s="12">
        <f t="shared" si="12"/>
        <v>205</v>
      </c>
      <c r="AD51" s="12">
        <f t="shared" si="12"/>
        <v>100</v>
      </c>
      <c r="AE51" s="12">
        <f t="shared" si="12"/>
        <v>314</v>
      </c>
      <c r="AF51" s="12">
        <f t="shared" si="12"/>
        <v>524</v>
      </c>
    </row>
    <row r="52" spans="1:32" x14ac:dyDescent="0.3">
      <c r="A52" s="11" t="s">
        <v>11</v>
      </c>
      <c r="B52" s="232">
        <v>432</v>
      </c>
      <c r="C52" s="12">
        <f t="shared" si="0"/>
        <v>90</v>
      </c>
      <c r="D52" s="12">
        <f t="shared" si="0"/>
        <v>520</v>
      </c>
      <c r="E52" s="12">
        <f t="shared" si="1"/>
        <v>3</v>
      </c>
      <c r="F52" s="12">
        <f t="shared" si="1"/>
        <v>437</v>
      </c>
      <c r="G52" s="12">
        <f t="shared" si="4"/>
        <v>433</v>
      </c>
      <c r="H52" s="12">
        <f t="shared" si="4"/>
        <v>349</v>
      </c>
      <c r="I52" s="12">
        <f t="shared" si="4"/>
        <v>305</v>
      </c>
      <c r="J52" s="12">
        <f t="shared" si="4"/>
        <v>497</v>
      </c>
      <c r="K52" s="12">
        <f t="shared" si="4"/>
        <v>0</v>
      </c>
      <c r="L52" s="12">
        <f t="shared" si="4"/>
        <v>20</v>
      </c>
      <c r="M52" s="12">
        <f t="shared" si="4"/>
        <v>450</v>
      </c>
      <c r="N52" s="12">
        <f t="shared" si="4"/>
        <v>193</v>
      </c>
      <c r="O52" s="12">
        <f t="shared" si="4"/>
        <v>252</v>
      </c>
      <c r="P52" s="12">
        <f t="shared" si="4"/>
        <v>311</v>
      </c>
      <c r="Q52" s="12">
        <f t="shared" si="5"/>
        <v>259</v>
      </c>
      <c r="R52" s="12">
        <f t="shared" si="5"/>
        <v>0</v>
      </c>
      <c r="S52" s="12">
        <f t="shared" si="6"/>
        <v>0</v>
      </c>
      <c r="T52" s="12">
        <f t="shared" ref="T52:AF52" si="13">T12-S12</f>
        <v>253</v>
      </c>
      <c r="U52" s="12">
        <f t="shared" si="13"/>
        <v>261</v>
      </c>
      <c r="V52" s="12">
        <f t="shared" si="13"/>
        <v>0</v>
      </c>
      <c r="W52" s="12">
        <f t="shared" si="13"/>
        <v>252</v>
      </c>
      <c r="X52" s="12">
        <f t="shared" si="13"/>
        <v>571</v>
      </c>
      <c r="Y52" s="12">
        <f t="shared" si="13"/>
        <v>562</v>
      </c>
      <c r="Z52" s="12">
        <f t="shared" si="13"/>
        <v>476</v>
      </c>
      <c r="AA52" s="12">
        <f t="shared" si="13"/>
        <v>563</v>
      </c>
      <c r="AB52" s="12">
        <f t="shared" si="13"/>
        <v>477</v>
      </c>
      <c r="AC52" s="12">
        <f t="shared" si="13"/>
        <v>604</v>
      </c>
      <c r="AD52" s="12">
        <f t="shared" si="13"/>
        <v>518</v>
      </c>
      <c r="AE52" s="12">
        <f t="shared" si="13"/>
        <v>313</v>
      </c>
      <c r="AF52" s="12">
        <f t="shared" si="13"/>
        <v>522</v>
      </c>
    </row>
    <row r="53" spans="1:32" x14ac:dyDescent="0.3">
      <c r="A53" s="11" t="s">
        <v>12</v>
      </c>
      <c r="B53" s="232">
        <v>482</v>
      </c>
      <c r="C53" s="12">
        <f t="shared" si="0"/>
        <v>569</v>
      </c>
      <c r="D53" s="12">
        <f t="shared" si="0"/>
        <v>528</v>
      </c>
      <c r="E53" s="12">
        <f t="shared" si="1"/>
        <v>483</v>
      </c>
      <c r="F53" s="12">
        <f t="shared" si="1"/>
        <v>242</v>
      </c>
      <c r="G53" s="12">
        <f t="shared" si="4"/>
        <v>256</v>
      </c>
      <c r="H53" s="12">
        <f t="shared" si="4"/>
        <v>229</v>
      </c>
      <c r="I53" s="12">
        <f t="shared" si="4"/>
        <v>0</v>
      </c>
      <c r="J53" s="12">
        <f t="shared" si="4"/>
        <v>462</v>
      </c>
      <c r="K53" s="12">
        <f t="shared" si="4"/>
        <v>0</v>
      </c>
      <c r="L53" s="12">
        <f t="shared" si="4"/>
        <v>0</v>
      </c>
      <c r="M53" s="12">
        <f t="shared" si="4"/>
        <v>197</v>
      </c>
      <c r="N53" s="12">
        <f t="shared" si="4"/>
        <v>260</v>
      </c>
      <c r="O53" s="12">
        <f t="shared" si="4"/>
        <v>489</v>
      </c>
      <c r="P53" s="12">
        <f t="shared" si="4"/>
        <v>436</v>
      </c>
      <c r="Q53" s="12">
        <f t="shared" si="5"/>
        <v>307</v>
      </c>
      <c r="R53" s="12">
        <f t="shared" si="5"/>
        <v>0</v>
      </c>
      <c r="S53" s="12">
        <f t="shared" si="6"/>
        <v>0</v>
      </c>
      <c r="T53" s="12">
        <f t="shared" ref="T53:AF53" si="14">T13-S13</f>
        <v>355</v>
      </c>
      <c r="U53" s="12">
        <f t="shared" si="14"/>
        <v>569</v>
      </c>
      <c r="V53" s="12">
        <f t="shared" si="14"/>
        <v>307</v>
      </c>
      <c r="W53" s="12">
        <f t="shared" si="14"/>
        <v>324</v>
      </c>
      <c r="X53" s="12">
        <f t="shared" si="14"/>
        <v>269</v>
      </c>
      <c r="Y53" s="12">
        <f t="shared" si="14"/>
        <v>531</v>
      </c>
      <c r="Z53" s="12">
        <f t="shared" si="14"/>
        <v>483</v>
      </c>
      <c r="AA53" s="12">
        <f t="shared" si="14"/>
        <v>224</v>
      </c>
      <c r="AB53" s="12">
        <f t="shared" si="14"/>
        <v>266</v>
      </c>
      <c r="AC53" s="12">
        <f t="shared" si="14"/>
        <v>527</v>
      </c>
      <c r="AD53" s="12">
        <f t="shared" si="14"/>
        <v>442</v>
      </c>
      <c r="AE53" s="12">
        <f t="shared" si="14"/>
        <v>615</v>
      </c>
      <c r="AF53" s="12">
        <f t="shared" si="14"/>
        <v>528</v>
      </c>
    </row>
    <row r="54" spans="1:32" x14ac:dyDescent="0.3">
      <c r="A54" s="11" t="s">
        <v>13</v>
      </c>
      <c r="B54" s="232">
        <v>1</v>
      </c>
      <c r="C54" s="12">
        <f t="shared" si="0"/>
        <v>515</v>
      </c>
      <c r="D54" s="12">
        <f t="shared" si="0"/>
        <v>517</v>
      </c>
      <c r="E54" s="12">
        <f t="shared" si="1"/>
        <v>517</v>
      </c>
      <c r="F54" s="12">
        <f t="shared" si="1"/>
        <v>604</v>
      </c>
      <c r="G54" s="12">
        <f t="shared" si="4"/>
        <v>391</v>
      </c>
      <c r="H54" s="12">
        <f t="shared" si="4"/>
        <v>518</v>
      </c>
      <c r="I54" s="12">
        <f t="shared" si="4"/>
        <v>355</v>
      </c>
      <c r="J54" s="12">
        <f t="shared" si="4"/>
        <v>154</v>
      </c>
      <c r="K54" s="12">
        <f t="shared" si="4"/>
        <v>0</v>
      </c>
      <c r="L54" s="12">
        <f t="shared" si="4"/>
        <v>3</v>
      </c>
      <c r="M54" s="12">
        <f t="shared" si="4"/>
        <v>518</v>
      </c>
      <c r="N54" s="12">
        <f t="shared" si="4"/>
        <v>560</v>
      </c>
      <c r="O54" s="12">
        <f t="shared" si="4"/>
        <v>517</v>
      </c>
      <c r="P54" s="12">
        <f t="shared" si="4"/>
        <v>559</v>
      </c>
      <c r="Q54" s="12">
        <f t="shared" si="5"/>
        <v>519</v>
      </c>
      <c r="R54" s="12">
        <f t="shared" si="5"/>
        <v>0</v>
      </c>
      <c r="S54" s="12">
        <f t="shared" si="6"/>
        <v>0</v>
      </c>
      <c r="T54" s="12">
        <f t="shared" ref="T54:AF54" si="15">T14-S14</f>
        <v>262</v>
      </c>
      <c r="U54" s="12">
        <f t="shared" si="15"/>
        <v>431</v>
      </c>
      <c r="V54" s="12">
        <f t="shared" si="15"/>
        <v>0</v>
      </c>
      <c r="W54" s="12">
        <f t="shared" si="15"/>
        <v>560</v>
      </c>
      <c r="X54" s="12">
        <f t="shared" si="15"/>
        <v>560</v>
      </c>
      <c r="Y54" s="12">
        <f t="shared" si="15"/>
        <v>517</v>
      </c>
      <c r="Z54" s="12">
        <f t="shared" si="15"/>
        <v>517</v>
      </c>
      <c r="AA54" s="12">
        <f t="shared" si="15"/>
        <v>432</v>
      </c>
      <c r="AB54" s="12">
        <f t="shared" si="15"/>
        <v>605</v>
      </c>
      <c r="AC54" s="12">
        <f t="shared" si="15"/>
        <v>347</v>
      </c>
      <c r="AD54" s="12">
        <f t="shared" si="15"/>
        <v>450</v>
      </c>
      <c r="AE54" s="12">
        <f t="shared" si="15"/>
        <v>99</v>
      </c>
      <c r="AF54" s="12">
        <f t="shared" si="15"/>
        <v>0</v>
      </c>
    </row>
    <row r="55" spans="1:32" x14ac:dyDescent="0.3">
      <c r="A55" s="13" t="s">
        <v>14</v>
      </c>
      <c r="B55" s="232">
        <v>0</v>
      </c>
      <c r="C55" s="12">
        <f t="shared" si="0"/>
        <v>531</v>
      </c>
      <c r="D55" s="12">
        <f t="shared" si="0"/>
        <v>43</v>
      </c>
      <c r="E55" s="12">
        <f t="shared" si="1"/>
        <v>0</v>
      </c>
      <c r="F55" s="12">
        <f t="shared" si="1"/>
        <v>521</v>
      </c>
      <c r="G55" s="12">
        <f t="shared" si="4"/>
        <v>523</v>
      </c>
      <c r="H55" s="12">
        <f t="shared" si="4"/>
        <v>437</v>
      </c>
      <c r="I55" s="12">
        <f t="shared" si="4"/>
        <v>157</v>
      </c>
      <c r="J55" s="12">
        <f t="shared" si="4"/>
        <v>453</v>
      </c>
      <c r="K55" s="12">
        <f t="shared" si="4"/>
        <v>521</v>
      </c>
      <c r="L55" s="12">
        <f t="shared" si="4"/>
        <v>2</v>
      </c>
      <c r="M55" s="12">
        <f t="shared" si="4"/>
        <v>307</v>
      </c>
      <c r="N55" s="12">
        <f t="shared" si="4"/>
        <v>331</v>
      </c>
      <c r="O55" s="12">
        <f t="shared" si="4"/>
        <v>253</v>
      </c>
      <c r="P55" s="12">
        <f t="shared" si="4"/>
        <v>250</v>
      </c>
      <c r="Q55" s="12">
        <f t="shared" si="5"/>
        <v>253</v>
      </c>
      <c r="R55" s="12">
        <f t="shared" si="5"/>
        <v>0</v>
      </c>
      <c r="S55" s="12">
        <f t="shared" si="6"/>
        <v>0</v>
      </c>
      <c r="T55" s="12">
        <f t="shared" ref="T55:AF55" si="16">T15-S15</f>
        <v>523</v>
      </c>
      <c r="U55" s="12">
        <f t="shared" si="16"/>
        <v>308</v>
      </c>
      <c r="V55" s="12">
        <f t="shared" si="16"/>
        <v>478</v>
      </c>
      <c r="W55" s="12">
        <f t="shared" si="16"/>
        <v>436</v>
      </c>
      <c r="X55" s="12">
        <f t="shared" si="16"/>
        <v>456</v>
      </c>
      <c r="Y55" s="12">
        <f t="shared" si="16"/>
        <v>0</v>
      </c>
      <c r="Z55" s="12">
        <f t="shared" si="16"/>
        <v>0</v>
      </c>
      <c r="AA55" s="12">
        <f t="shared" si="16"/>
        <v>274</v>
      </c>
      <c r="AB55" s="12">
        <f t="shared" si="16"/>
        <v>205</v>
      </c>
      <c r="AC55" s="12">
        <f t="shared" si="16"/>
        <v>255</v>
      </c>
      <c r="AD55" s="12">
        <f t="shared" si="16"/>
        <v>523</v>
      </c>
      <c r="AE55" s="12">
        <f t="shared" si="16"/>
        <v>451</v>
      </c>
      <c r="AF55" s="12">
        <f t="shared" si="16"/>
        <v>0</v>
      </c>
    </row>
    <row r="56" spans="1:32" x14ac:dyDescent="0.3">
      <c r="A56" s="13" t="s">
        <v>15</v>
      </c>
      <c r="B56" s="232">
        <v>45</v>
      </c>
      <c r="C56" s="12">
        <f t="shared" si="0"/>
        <v>607</v>
      </c>
      <c r="D56" s="12">
        <f t="shared" si="0"/>
        <v>520</v>
      </c>
      <c r="E56" s="12">
        <f t="shared" si="1"/>
        <v>432</v>
      </c>
      <c r="F56" s="12">
        <f t="shared" si="1"/>
        <v>195</v>
      </c>
      <c r="G56" s="12">
        <f t="shared" si="4"/>
        <v>169</v>
      </c>
      <c r="H56" s="12">
        <f t="shared" si="4"/>
        <v>563</v>
      </c>
      <c r="I56" s="12">
        <f t="shared" si="4"/>
        <v>505</v>
      </c>
      <c r="J56" s="12">
        <f t="shared" si="4"/>
        <v>606</v>
      </c>
      <c r="K56" s="12">
        <f t="shared" si="4"/>
        <v>562</v>
      </c>
      <c r="L56" s="12">
        <f t="shared" si="4"/>
        <v>43</v>
      </c>
      <c r="M56" s="12">
        <f t="shared" si="4"/>
        <v>391</v>
      </c>
      <c r="N56" s="12">
        <f t="shared" si="4"/>
        <v>512</v>
      </c>
      <c r="O56" s="12">
        <f t="shared" si="4"/>
        <v>451</v>
      </c>
      <c r="P56" s="12">
        <f t="shared" si="4"/>
        <v>188</v>
      </c>
      <c r="Q56" s="12">
        <f t="shared" si="5"/>
        <v>168</v>
      </c>
      <c r="R56" s="12">
        <f t="shared" si="5"/>
        <v>2</v>
      </c>
      <c r="S56" s="12">
        <f t="shared" si="6"/>
        <v>478</v>
      </c>
      <c r="T56" s="12">
        <f t="shared" ref="T56:AF56" si="17">T16-S16</f>
        <v>562</v>
      </c>
      <c r="U56" s="12">
        <f t="shared" si="17"/>
        <v>561</v>
      </c>
      <c r="V56" s="12">
        <f t="shared" si="17"/>
        <v>44</v>
      </c>
      <c r="W56" s="12">
        <f t="shared" si="17"/>
        <v>215</v>
      </c>
      <c r="X56" s="12">
        <f t="shared" si="17"/>
        <v>433</v>
      </c>
      <c r="Y56" s="12">
        <f t="shared" si="17"/>
        <v>0</v>
      </c>
      <c r="Z56" s="12">
        <f t="shared" si="17"/>
        <v>2</v>
      </c>
      <c r="AA56" s="12">
        <f t="shared" si="17"/>
        <v>521</v>
      </c>
      <c r="AB56" s="12">
        <f t="shared" si="17"/>
        <v>452</v>
      </c>
      <c r="AC56" s="12">
        <f t="shared" si="17"/>
        <v>193</v>
      </c>
      <c r="AD56" s="12">
        <f t="shared" si="17"/>
        <v>307</v>
      </c>
      <c r="AE56" s="12">
        <f t="shared" si="17"/>
        <v>561</v>
      </c>
      <c r="AF56" s="12">
        <f t="shared" si="17"/>
        <v>562</v>
      </c>
    </row>
    <row r="57" spans="1:32" x14ac:dyDescent="0.3">
      <c r="A57" s="13" t="s">
        <v>16</v>
      </c>
      <c r="B57" s="232">
        <v>0</v>
      </c>
      <c r="C57" s="12">
        <f t="shared" si="0"/>
        <v>520</v>
      </c>
      <c r="D57" s="12">
        <f t="shared" si="0"/>
        <v>519</v>
      </c>
      <c r="E57" s="12">
        <f t="shared" si="1"/>
        <v>519</v>
      </c>
      <c r="F57" s="12">
        <f t="shared" si="1"/>
        <v>605</v>
      </c>
      <c r="G57" s="12">
        <f t="shared" si="4"/>
        <v>451</v>
      </c>
      <c r="H57" s="12">
        <f t="shared" si="4"/>
        <v>195</v>
      </c>
      <c r="I57" s="12">
        <f t="shared" si="4"/>
        <v>270</v>
      </c>
      <c r="J57" s="12">
        <f t="shared" si="4"/>
        <v>200</v>
      </c>
      <c r="K57" s="12">
        <f t="shared" si="4"/>
        <v>1</v>
      </c>
      <c r="L57" s="12">
        <f t="shared" si="4"/>
        <v>2</v>
      </c>
      <c r="M57" s="12">
        <f t="shared" si="4"/>
        <v>520</v>
      </c>
      <c r="N57" s="12">
        <f t="shared" si="4"/>
        <v>354</v>
      </c>
      <c r="O57" s="12">
        <f t="shared" si="4"/>
        <v>433</v>
      </c>
      <c r="P57" s="12">
        <f t="shared" si="4"/>
        <v>435</v>
      </c>
      <c r="Q57" s="12">
        <f t="shared" si="5"/>
        <v>201</v>
      </c>
      <c r="R57" s="12">
        <f t="shared" si="5"/>
        <v>0</v>
      </c>
      <c r="S57" s="12">
        <f t="shared" si="6"/>
        <v>2</v>
      </c>
      <c r="T57" s="12">
        <f t="shared" ref="T57:AF57" si="18">T17-S17</f>
        <v>251</v>
      </c>
      <c r="U57" s="12">
        <f t="shared" si="18"/>
        <v>253</v>
      </c>
      <c r="V57" s="12">
        <f t="shared" si="18"/>
        <v>0</v>
      </c>
      <c r="W57" s="12">
        <f t="shared" si="18"/>
        <v>187</v>
      </c>
      <c r="X57" s="12">
        <f t="shared" si="18"/>
        <v>412</v>
      </c>
      <c r="Y57" s="12">
        <f t="shared" si="18"/>
        <v>519</v>
      </c>
      <c r="Z57" s="12">
        <f t="shared" si="18"/>
        <v>433</v>
      </c>
      <c r="AA57" s="12">
        <f t="shared" si="18"/>
        <v>562</v>
      </c>
      <c r="AB57" s="12">
        <f t="shared" si="18"/>
        <v>562</v>
      </c>
      <c r="AC57" s="12">
        <f t="shared" si="18"/>
        <v>91</v>
      </c>
      <c r="AD57" s="12">
        <f t="shared" si="18"/>
        <v>181</v>
      </c>
      <c r="AE57" s="12">
        <f t="shared" si="18"/>
        <v>459</v>
      </c>
      <c r="AF57" s="12">
        <f t="shared" si="18"/>
        <v>0</v>
      </c>
    </row>
    <row r="58" spans="1:32" x14ac:dyDescent="0.3">
      <c r="A58" s="13" t="s">
        <v>17</v>
      </c>
      <c r="B58" s="232">
        <v>478</v>
      </c>
      <c r="C58" s="12">
        <f t="shared" si="0"/>
        <v>605</v>
      </c>
      <c r="D58" s="12">
        <f t="shared" si="0"/>
        <v>519</v>
      </c>
      <c r="E58" s="12">
        <f t="shared" si="1"/>
        <v>474</v>
      </c>
      <c r="F58" s="12">
        <f t="shared" si="1"/>
        <v>560</v>
      </c>
      <c r="G58" s="12">
        <f t="shared" si="4"/>
        <v>304</v>
      </c>
      <c r="H58" s="12">
        <f t="shared" si="4"/>
        <v>392</v>
      </c>
      <c r="I58" s="12">
        <f t="shared" si="4"/>
        <v>432</v>
      </c>
      <c r="J58" s="12">
        <f t="shared" si="4"/>
        <v>202</v>
      </c>
      <c r="K58" s="12">
        <f t="shared" si="4"/>
        <v>0</v>
      </c>
      <c r="L58" s="12">
        <f t="shared" si="4"/>
        <v>0</v>
      </c>
      <c r="M58" s="12">
        <f t="shared" si="4"/>
        <v>168</v>
      </c>
      <c r="N58" s="12">
        <f t="shared" si="4"/>
        <v>263</v>
      </c>
      <c r="O58" s="12">
        <f t="shared" si="4"/>
        <v>349</v>
      </c>
      <c r="P58" s="12">
        <f t="shared" si="4"/>
        <v>271</v>
      </c>
      <c r="Q58" s="12">
        <f t="shared" si="5"/>
        <v>300</v>
      </c>
      <c r="R58" s="12">
        <f t="shared" si="5"/>
        <v>45</v>
      </c>
      <c r="S58" s="12">
        <f t="shared" si="6"/>
        <v>2</v>
      </c>
      <c r="T58" s="12">
        <f t="shared" ref="T58:AF58" si="19">T18-S18</f>
        <v>350</v>
      </c>
      <c r="U58" s="12">
        <f t="shared" si="19"/>
        <v>520</v>
      </c>
      <c r="V58" s="12">
        <f t="shared" si="19"/>
        <v>517</v>
      </c>
      <c r="W58" s="12">
        <f t="shared" si="19"/>
        <v>303</v>
      </c>
      <c r="X58" s="12">
        <f t="shared" si="19"/>
        <v>345</v>
      </c>
      <c r="Y58" s="12">
        <f t="shared" si="19"/>
        <v>475</v>
      </c>
      <c r="Z58" s="12">
        <f t="shared" si="19"/>
        <v>20</v>
      </c>
      <c r="AA58" s="12">
        <f t="shared" si="19"/>
        <v>156</v>
      </c>
      <c r="AB58" s="12">
        <f t="shared" si="19"/>
        <v>568</v>
      </c>
      <c r="AC58" s="12">
        <f t="shared" si="19"/>
        <v>560</v>
      </c>
      <c r="AD58" s="12">
        <f t="shared" si="19"/>
        <v>560</v>
      </c>
      <c r="AE58" s="12">
        <f t="shared" si="19"/>
        <v>389</v>
      </c>
      <c r="AF58" s="12">
        <f t="shared" si="19"/>
        <v>0</v>
      </c>
    </row>
    <row r="59" spans="1:32" x14ac:dyDescent="0.3">
      <c r="A59" s="13" t="s">
        <v>18</v>
      </c>
      <c r="B59" s="232">
        <v>6</v>
      </c>
      <c r="C59" s="12">
        <f t="shared" si="0"/>
        <v>560</v>
      </c>
      <c r="D59" s="12">
        <f t="shared" si="0"/>
        <v>44</v>
      </c>
      <c r="E59" s="12">
        <f t="shared" si="1"/>
        <v>517</v>
      </c>
      <c r="F59" s="12">
        <f t="shared" si="1"/>
        <v>258</v>
      </c>
      <c r="G59" s="12">
        <f t="shared" si="4"/>
        <v>501</v>
      </c>
      <c r="H59" s="12">
        <f t="shared" si="4"/>
        <v>176</v>
      </c>
      <c r="I59" s="12">
        <f t="shared" si="4"/>
        <v>491</v>
      </c>
      <c r="J59" s="12">
        <f t="shared" si="4"/>
        <v>173</v>
      </c>
      <c r="K59" s="12">
        <f t="shared" si="4"/>
        <v>0</v>
      </c>
      <c r="L59" s="12">
        <f t="shared" si="4"/>
        <v>0</v>
      </c>
      <c r="M59" s="12">
        <f t="shared" si="4"/>
        <v>452</v>
      </c>
      <c r="N59" s="12">
        <f t="shared" si="4"/>
        <v>168</v>
      </c>
      <c r="O59" s="12">
        <f t="shared" si="4"/>
        <v>348</v>
      </c>
      <c r="P59" s="12">
        <f t="shared" si="4"/>
        <v>518</v>
      </c>
      <c r="Q59" s="12">
        <f t="shared" si="5"/>
        <v>520</v>
      </c>
      <c r="R59" s="12">
        <f t="shared" si="5"/>
        <v>518</v>
      </c>
      <c r="S59" s="12">
        <f t="shared" si="6"/>
        <v>517</v>
      </c>
      <c r="T59" s="12">
        <f t="shared" ref="T59:AF59" si="20">T19-S19</f>
        <v>258</v>
      </c>
      <c r="U59" s="12">
        <f t="shared" si="20"/>
        <v>195</v>
      </c>
      <c r="V59" s="12">
        <f t="shared" si="20"/>
        <v>0</v>
      </c>
      <c r="W59" s="12">
        <f t="shared" si="20"/>
        <v>329</v>
      </c>
      <c r="X59" s="12">
        <f t="shared" si="20"/>
        <v>520</v>
      </c>
      <c r="Y59" s="12">
        <f t="shared" si="20"/>
        <v>28</v>
      </c>
      <c r="Z59" s="12">
        <f t="shared" si="20"/>
        <v>2</v>
      </c>
      <c r="AA59" s="12">
        <f t="shared" si="20"/>
        <v>205</v>
      </c>
      <c r="AB59" s="12">
        <f t="shared" si="20"/>
        <v>249</v>
      </c>
      <c r="AC59" s="12">
        <f t="shared" si="20"/>
        <v>250</v>
      </c>
      <c r="AD59" s="12">
        <f t="shared" si="20"/>
        <v>465</v>
      </c>
      <c r="AE59" s="12">
        <f t="shared" si="20"/>
        <v>149</v>
      </c>
      <c r="AF59" s="12">
        <f t="shared" si="20"/>
        <v>0</v>
      </c>
    </row>
    <row r="60" spans="1:32" x14ac:dyDescent="0.3">
      <c r="A60" s="13" t="s">
        <v>19</v>
      </c>
      <c r="B60" s="232">
        <v>0</v>
      </c>
      <c r="C60" s="12">
        <f t="shared" si="0"/>
        <v>483</v>
      </c>
      <c r="D60" s="12">
        <f t="shared" si="0"/>
        <v>518</v>
      </c>
      <c r="E60" s="12">
        <f t="shared" si="1"/>
        <v>474</v>
      </c>
      <c r="F60" s="12">
        <f t="shared" si="1"/>
        <v>435</v>
      </c>
      <c r="G60" s="12">
        <f t="shared" si="4"/>
        <v>603</v>
      </c>
      <c r="H60" s="12">
        <f t="shared" si="4"/>
        <v>560</v>
      </c>
      <c r="I60" s="12">
        <f t="shared" si="4"/>
        <v>387</v>
      </c>
      <c r="J60" s="12">
        <f t="shared" si="4"/>
        <v>559</v>
      </c>
      <c r="K60" s="12">
        <f t="shared" si="4"/>
        <v>0</v>
      </c>
      <c r="L60" s="12">
        <f t="shared" si="4"/>
        <v>0</v>
      </c>
      <c r="M60" s="12">
        <f t="shared" si="4"/>
        <v>210</v>
      </c>
      <c r="N60" s="12">
        <f t="shared" si="4"/>
        <v>349</v>
      </c>
      <c r="O60" s="12">
        <f t="shared" si="4"/>
        <v>518</v>
      </c>
      <c r="P60" s="12">
        <f t="shared" si="4"/>
        <v>448</v>
      </c>
      <c r="Q60" s="12">
        <f t="shared" si="5"/>
        <v>254</v>
      </c>
      <c r="R60" s="12">
        <f t="shared" si="5"/>
        <v>347</v>
      </c>
      <c r="S60" s="12">
        <f t="shared" si="6"/>
        <v>0</v>
      </c>
      <c r="T60" s="12">
        <f t="shared" ref="T60:AF60" si="21">T20-S20</f>
        <v>435</v>
      </c>
      <c r="U60" s="12">
        <f t="shared" si="21"/>
        <v>516</v>
      </c>
      <c r="V60" s="12">
        <f t="shared" si="21"/>
        <v>430</v>
      </c>
      <c r="W60" s="12">
        <f t="shared" si="21"/>
        <v>517</v>
      </c>
      <c r="X60" s="12">
        <f t="shared" si="21"/>
        <v>258</v>
      </c>
      <c r="Y60" s="12">
        <f t="shared" si="21"/>
        <v>0</v>
      </c>
      <c r="Z60" s="12">
        <f t="shared" si="21"/>
        <v>0</v>
      </c>
      <c r="AA60" s="12">
        <f t="shared" si="21"/>
        <v>263</v>
      </c>
      <c r="AB60" s="12">
        <f t="shared" si="21"/>
        <v>251</v>
      </c>
      <c r="AC60" s="12">
        <f t="shared" si="21"/>
        <v>250</v>
      </c>
      <c r="AD60" s="12">
        <f t="shared" si="21"/>
        <v>249</v>
      </c>
      <c r="AE60" s="12">
        <f t="shared" si="21"/>
        <v>255</v>
      </c>
      <c r="AF60" s="12">
        <f t="shared" si="21"/>
        <v>0</v>
      </c>
    </row>
    <row r="61" spans="1:32" x14ac:dyDescent="0.3">
      <c r="A61" s="13" t="s">
        <v>20</v>
      </c>
      <c r="B61" s="232">
        <v>0</v>
      </c>
      <c r="C61" s="12">
        <f t="shared" si="0"/>
        <v>368</v>
      </c>
      <c r="D61" s="12">
        <f t="shared" si="0"/>
        <v>0</v>
      </c>
      <c r="E61" s="12">
        <f t="shared" si="1"/>
        <v>1</v>
      </c>
      <c r="F61" s="12">
        <f t="shared" si="1"/>
        <v>518</v>
      </c>
      <c r="G61" s="12">
        <f t="shared" si="4"/>
        <v>451</v>
      </c>
      <c r="H61" s="12">
        <f t="shared" si="4"/>
        <v>297</v>
      </c>
      <c r="I61" s="12">
        <f t="shared" si="4"/>
        <v>503</v>
      </c>
      <c r="J61" s="12">
        <f t="shared" si="4"/>
        <v>560</v>
      </c>
      <c r="K61" s="12">
        <f t="shared" si="4"/>
        <v>560</v>
      </c>
      <c r="L61" s="12">
        <f t="shared" si="4"/>
        <v>480</v>
      </c>
      <c r="M61" s="12">
        <f t="shared" si="4"/>
        <v>519</v>
      </c>
      <c r="N61" s="12">
        <f t="shared" si="4"/>
        <v>521</v>
      </c>
      <c r="O61" s="12">
        <f t="shared" si="4"/>
        <v>199</v>
      </c>
      <c r="P61" s="12">
        <f t="shared" si="4"/>
        <v>249</v>
      </c>
      <c r="Q61" s="12">
        <f t="shared" si="5"/>
        <v>398</v>
      </c>
      <c r="R61" s="12">
        <f t="shared" si="5"/>
        <v>0</v>
      </c>
      <c r="S61" s="12">
        <f t="shared" si="6"/>
        <v>0</v>
      </c>
      <c r="T61" s="12">
        <f t="shared" ref="T61:AF61" si="22">T21-S21</f>
        <v>518</v>
      </c>
      <c r="U61" s="12">
        <f t="shared" si="22"/>
        <v>177</v>
      </c>
      <c r="V61" s="12">
        <f t="shared" si="22"/>
        <v>90</v>
      </c>
      <c r="W61" s="12">
        <f t="shared" si="22"/>
        <v>178</v>
      </c>
      <c r="X61" s="12">
        <f t="shared" si="22"/>
        <v>520</v>
      </c>
      <c r="Y61" s="12">
        <f t="shared" si="22"/>
        <v>28</v>
      </c>
      <c r="Z61" s="12">
        <f t="shared" si="22"/>
        <v>306</v>
      </c>
      <c r="AA61" s="12">
        <f t="shared" si="22"/>
        <v>493</v>
      </c>
      <c r="AB61" s="12">
        <f t="shared" si="22"/>
        <v>169</v>
      </c>
      <c r="AC61" s="12">
        <f t="shared" si="22"/>
        <v>561</v>
      </c>
      <c r="AD61" s="12">
        <f t="shared" si="22"/>
        <v>604</v>
      </c>
      <c r="AE61" s="12">
        <f t="shared" si="22"/>
        <v>603</v>
      </c>
      <c r="AF61" s="12">
        <f t="shared" si="22"/>
        <v>43</v>
      </c>
    </row>
    <row r="62" spans="1:32" x14ac:dyDescent="0.3">
      <c r="A62" s="13" t="s">
        <v>21</v>
      </c>
      <c r="B62" s="232">
        <v>474</v>
      </c>
      <c r="C62" s="12">
        <f t="shared" si="0"/>
        <v>390</v>
      </c>
      <c r="D62" s="12">
        <f t="shared" si="0"/>
        <v>521</v>
      </c>
      <c r="E62" s="12">
        <f t="shared" si="1"/>
        <v>432</v>
      </c>
      <c r="F62" s="12">
        <f t="shared" si="1"/>
        <v>432</v>
      </c>
      <c r="G62" s="12">
        <f t="shared" si="4"/>
        <v>519</v>
      </c>
      <c r="H62" s="12">
        <f t="shared" si="4"/>
        <v>435</v>
      </c>
      <c r="I62" s="12">
        <f t="shared" si="4"/>
        <v>338</v>
      </c>
      <c r="J62" s="12">
        <f t="shared" si="4"/>
        <v>263</v>
      </c>
      <c r="K62" s="12">
        <f t="shared" si="4"/>
        <v>0</v>
      </c>
      <c r="L62" s="12">
        <f t="shared" si="4"/>
        <v>0</v>
      </c>
      <c r="M62" s="12">
        <f t="shared" si="4"/>
        <v>251</v>
      </c>
      <c r="N62" s="12">
        <f t="shared" si="4"/>
        <v>485</v>
      </c>
      <c r="O62" s="12">
        <f t="shared" si="4"/>
        <v>266</v>
      </c>
      <c r="P62" s="12">
        <f t="shared" si="4"/>
        <v>201</v>
      </c>
      <c r="Q62" s="12">
        <f t="shared" si="5"/>
        <v>401</v>
      </c>
      <c r="R62" s="12">
        <f t="shared" si="5"/>
        <v>563</v>
      </c>
      <c r="S62" s="12">
        <f t="shared" si="6"/>
        <v>43</v>
      </c>
      <c r="T62" s="12">
        <f t="shared" ref="T62:AF62" si="23">T22-S22</f>
        <v>603</v>
      </c>
      <c r="U62" s="12">
        <f t="shared" si="23"/>
        <v>363</v>
      </c>
      <c r="V62" s="12">
        <f t="shared" si="23"/>
        <v>88</v>
      </c>
      <c r="W62" s="12">
        <f t="shared" si="23"/>
        <v>409</v>
      </c>
      <c r="X62" s="12">
        <f t="shared" si="23"/>
        <v>604</v>
      </c>
      <c r="Y62" s="12">
        <f t="shared" si="23"/>
        <v>519</v>
      </c>
      <c r="Z62" s="12">
        <f t="shared" si="23"/>
        <v>475</v>
      </c>
      <c r="AA62" s="12">
        <f t="shared" si="23"/>
        <v>492</v>
      </c>
      <c r="AB62" s="12">
        <f t="shared" si="23"/>
        <v>185</v>
      </c>
      <c r="AC62" s="12">
        <f t="shared" si="23"/>
        <v>191</v>
      </c>
      <c r="AD62" s="12">
        <f t="shared" si="23"/>
        <v>341</v>
      </c>
      <c r="AE62" s="12">
        <f t="shared" si="23"/>
        <v>563</v>
      </c>
      <c r="AF62" s="12">
        <f t="shared" si="23"/>
        <v>517</v>
      </c>
    </row>
    <row r="63" spans="1:32" x14ac:dyDescent="0.3">
      <c r="A63" s="13" t="s">
        <v>22</v>
      </c>
      <c r="B63" s="232">
        <v>517</v>
      </c>
      <c r="C63" s="12">
        <f t="shared" si="0"/>
        <v>370</v>
      </c>
      <c r="D63" s="12">
        <f t="shared" si="0"/>
        <v>0</v>
      </c>
      <c r="E63" s="12">
        <f t="shared" si="1"/>
        <v>0</v>
      </c>
      <c r="F63" s="12">
        <f t="shared" si="1"/>
        <v>250</v>
      </c>
      <c r="G63" s="12">
        <f t="shared" ref="G63:P78" si="24">G23-F23</f>
        <v>251</v>
      </c>
      <c r="H63" s="12">
        <f t="shared" si="24"/>
        <v>184</v>
      </c>
      <c r="I63" s="12">
        <f t="shared" si="24"/>
        <v>304</v>
      </c>
      <c r="J63" s="12">
        <f t="shared" si="24"/>
        <v>194</v>
      </c>
      <c r="K63" s="12">
        <f t="shared" si="24"/>
        <v>0</v>
      </c>
      <c r="L63" s="12">
        <f t="shared" si="24"/>
        <v>0</v>
      </c>
      <c r="M63" s="12">
        <f t="shared" si="24"/>
        <v>586</v>
      </c>
      <c r="N63" s="12">
        <f t="shared" si="24"/>
        <v>560</v>
      </c>
      <c r="O63" s="12">
        <f t="shared" si="24"/>
        <v>517</v>
      </c>
      <c r="P63" s="12">
        <f t="shared" si="24"/>
        <v>251</v>
      </c>
      <c r="Q63" s="12">
        <f t="shared" si="5"/>
        <v>434</v>
      </c>
      <c r="R63" s="12">
        <f t="shared" si="5"/>
        <v>0</v>
      </c>
      <c r="S63" s="12">
        <f t="shared" si="6"/>
        <v>0</v>
      </c>
      <c r="T63" s="12">
        <f t="shared" ref="T63:AF63" si="25">T23-S23</f>
        <v>176</v>
      </c>
      <c r="U63" s="12">
        <f t="shared" si="25"/>
        <v>519</v>
      </c>
      <c r="V63" s="12">
        <f t="shared" si="25"/>
        <v>476</v>
      </c>
      <c r="W63" s="12">
        <f t="shared" si="25"/>
        <v>476</v>
      </c>
      <c r="X63" s="12">
        <f t="shared" si="25"/>
        <v>560</v>
      </c>
      <c r="Y63" s="12">
        <f t="shared" si="25"/>
        <v>86</v>
      </c>
      <c r="Z63" s="12">
        <f t="shared" si="25"/>
        <v>43</v>
      </c>
      <c r="AA63" s="12">
        <f t="shared" si="25"/>
        <v>604</v>
      </c>
      <c r="AB63" s="12">
        <f t="shared" si="25"/>
        <v>560</v>
      </c>
      <c r="AC63" s="12">
        <f t="shared" si="25"/>
        <v>474</v>
      </c>
      <c r="AD63" s="12">
        <f t="shared" si="25"/>
        <v>535</v>
      </c>
      <c r="AE63" s="12">
        <f t="shared" si="25"/>
        <v>262</v>
      </c>
      <c r="AF63" s="12">
        <f t="shared" si="25"/>
        <v>0</v>
      </c>
    </row>
    <row r="64" spans="1:32" x14ac:dyDescent="0.3">
      <c r="A64" s="11" t="s">
        <v>23</v>
      </c>
      <c r="B64" s="232">
        <v>0</v>
      </c>
      <c r="C64" s="12">
        <f t="shared" si="0"/>
        <v>527</v>
      </c>
      <c r="D64" s="12">
        <f t="shared" si="0"/>
        <v>43</v>
      </c>
      <c r="E64" s="12">
        <f t="shared" si="1"/>
        <v>474</v>
      </c>
      <c r="F64" s="12">
        <f t="shared" si="1"/>
        <v>560</v>
      </c>
      <c r="G64" s="12">
        <f t="shared" si="24"/>
        <v>262</v>
      </c>
      <c r="H64" s="12">
        <f t="shared" si="24"/>
        <v>368</v>
      </c>
      <c r="I64" s="12">
        <f t="shared" si="24"/>
        <v>304</v>
      </c>
      <c r="J64" s="12">
        <f t="shared" si="24"/>
        <v>263</v>
      </c>
      <c r="K64" s="12">
        <f t="shared" si="24"/>
        <v>0</v>
      </c>
      <c r="L64" s="12">
        <f t="shared" si="24"/>
        <v>0</v>
      </c>
      <c r="M64" s="12">
        <f t="shared" si="24"/>
        <v>251</v>
      </c>
      <c r="N64" s="12">
        <f t="shared" si="24"/>
        <v>252</v>
      </c>
      <c r="O64" s="12">
        <f t="shared" si="24"/>
        <v>194</v>
      </c>
      <c r="P64" s="12">
        <f t="shared" si="24"/>
        <v>586</v>
      </c>
      <c r="Q64" s="12">
        <f t="shared" si="5"/>
        <v>364</v>
      </c>
      <c r="R64" s="12">
        <f t="shared" si="5"/>
        <v>0</v>
      </c>
      <c r="S64" s="12">
        <f t="shared" si="6"/>
        <v>20</v>
      </c>
      <c r="T64" s="12">
        <f t="shared" ref="T64:AF64" si="26">T24-S24</f>
        <v>451</v>
      </c>
      <c r="U64" s="12">
        <f t="shared" si="26"/>
        <v>332</v>
      </c>
      <c r="V64" s="12">
        <f t="shared" si="26"/>
        <v>0</v>
      </c>
      <c r="W64" s="12">
        <f t="shared" si="26"/>
        <v>603</v>
      </c>
      <c r="X64" s="12">
        <f t="shared" si="26"/>
        <v>452</v>
      </c>
      <c r="Y64" s="12">
        <f t="shared" si="26"/>
        <v>0</v>
      </c>
      <c r="Z64" s="12">
        <f t="shared" si="26"/>
        <v>0</v>
      </c>
      <c r="AA64" s="12">
        <f t="shared" si="26"/>
        <v>195</v>
      </c>
      <c r="AB64" s="12">
        <f t="shared" si="26"/>
        <v>251</v>
      </c>
      <c r="AC64" s="12">
        <f t="shared" si="26"/>
        <v>201</v>
      </c>
      <c r="AD64" s="12">
        <f t="shared" si="26"/>
        <v>518</v>
      </c>
      <c r="AE64" s="12">
        <f t="shared" si="26"/>
        <v>348</v>
      </c>
      <c r="AF64" s="12">
        <f t="shared" si="26"/>
        <v>521</v>
      </c>
    </row>
    <row r="65" spans="1:32" x14ac:dyDescent="0.3">
      <c r="A65" s="13" t="s">
        <v>24</v>
      </c>
      <c r="B65" s="232">
        <v>45</v>
      </c>
      <c r="C65" s="12">
        <f t="shared" ref="C65:D79" si="27">C25-B25</f>
        <v>344</v>
      </c>
      <c r="D65" s="12">
        <f t="shared" si="27"/>
        <v>559</v>
      </c>
      <c r="E65" s="12">
        <f t="shared" ref="E65:F79" si="28">E25-D25</f>
        <v>43</v>
      </c>
      <c r="F65" s="12">
        <f t="shared" si="28"/>
        <v>399</v>
      </c>
      <c r="G65" s="12">
        <f t="shared" si="24"/>
        <v>517</v>
      </c>
      <c r="H65" s="12">
        <f t="shared" si="24"/>
        <v>304</v>
      </c>
      <c r="I65" s="12">
        <f t="shared" si="24"/>
        <v>285</v>
      </c>
      <c r="J65" s="12">
        <f t="shared" si="24"/>
        <v>601</v>
      </c>
      <c r="K65" s="12">
        <f t="shared" si="24"/>
        <v>43</v>
      </c>
      <c r="L65" s="12">
        <f t="shared" si="24"/>
        <v>430</v>
      </c>
      <c r="M65" s="12">
        <f t="shared" si="24"/>
        <v>515</v>
      </c>
      <c r="N65" s="12">
        <f t="shared" si="24"/>
        <v>559</v>
      </c>
      <c r="O65" s="12">
        <f t="shared" si="24"/>
        <v>389</v>
      </c>
      <c r="P65" s="12">
        <f t="shared" si="24"/>
        <v>519</v>
      </c>
      <c r="Q65" s="12">
        <f t="shared" si="5"/>
        <v>515</v>
      </c>
      <c r="R65" s="12">
        <f t="shared" si="5"/>
        <v>516</v>
      </c>
      <c r="S65" s="12">
        <f t="shared" si="6"/>
        <v>518</v>
      </c>
      <c r="T65" s="12">
        <f t="shared" ref="T65:AF65" si="29">T25-S25</f>
        <v>264</v>
      </c>
      <c r="U65" s="12">
        <f t="shared" si="29"/>
        <v>347</v>
      </c>
      <c r="V65" s="12">
        <f t="shared" si="29"/>
        <v>473</v>
      </c>
      <c r="W65" s="12">
        <f t="shared" si="29"/>
        <v>601</v>
      </c>
      <c r="X65" s="12">
        <f t="shared" si="29"/>
        <v>516</v>
      </c>
      <c r="Y65" s="12">
        <f t="shared" si="29"/>
        <v>558</v>
      </c>
      <c r="Z65" s="12">
        <f t="shared" si="29"/>
        <v>516</v>
      </c>
      <c r="AA65" s="12">
        <f t="shared" si="29"/>
        <v>602</v>
      </c>
      <c r="AB65" s="12">
        <f t="shared" si="29"/>
        <v>417</v>
      </c>
      <c r="AC65" s="12">
        <f t="shared" si="29"/>
        <v>221</v>
      </c>
      <c r="AD65" s="12">
        <f t="shared" si="29"/>
        <v>475</v>
      </c>
      <c r="AE65" s="12">
        <f t="shared" si="29"/>
        <v>457</v>
      </c>
      <c r="AF65" s="12">
        <f t="shared" si="29"/>
        <v>0</v>
      </c>
    </row>
    <row r="66" spans="1:32" x14ac:dyDescent="0.3">
      <c r="A66" s="13" t="s">
        <v>25</v>
      </c>
      <c r="B66" s="232">
        <v>0</v>
      </c>
      <c r="C66" s="12">
        <f t="shared" si="27"/>
        <v>195</v>
      </c>
      <c r="D66" s="12">
        <f t="shared" si="27"/>
        <v>0</v>
      </c>
      <c r="E66" s="12">
        <f t="shared" si="28"/>
        <v>0</v>
      </c>
      <c r="F66" s="12">
        <f t="shared" si="28"/>
        <v>250</v>
      </c>
      <c r="G66" s="12">
        <f t="shared" si="24"/>
        <v>251</v>
      </c>
      <c r="H66" s="12">
        <f t="shared" si="24"/>
        <v>264</v>
      </c>
      <c r="I66" s="12">
        <f t="shared" si="24"/>
        <v>71</v>
      </c>
      <c r="J66" s="12">
        <f t="shared" si="24"/>
        <v>192</v>
      </c>
      <c r="K66" s="12">
        <f t="shared" si="24"/>
        <v>0</v>
      </c>
      <c r="L66" s="12">
        <f t="shared" si="24"/>
        <v>0</v>
      </c>
      <c r="M66" s="12">
        <f t="shared" si="24"/>
        <v>251</v>
      </c>
      <c r="N66" s="12">
        <f t="shared" si="24"/>
        <v>251</v>
      </c>
      <c r="O66" s="12">
        <f t="shared" si="24"/>
        <v>193</v>
      </c>
      <c r="P66" s="12">
        <f t="shared" si="24"/>
        <v>396</v>
      </c>
      <c r="Q66" s="12">
        <f t="shared" si="5"/>
        <v>605</v>
      </c>
      <c r="R66" s="12">
        <f t="shared" si="5"/>
        <v>563</v>
      </c>
      <c r="S66" s="12">
        <f t="shared" si="6"/>
        <v>43</v>
      </c>
      <c r="T66" s="12">
        <f t="shared" ref="T66:AF66" si="30">T26-S26</f>
        <v>517</v>
      </c>
      <c r="U66" s="12">
        <f t="shared" si="30"/>
        <v>516</v>
      </c>
      <c r="V66" s="12">
        <f t="shared" si="30"/>
        <v>4</v>
      </c>
      <c r="W66" s="12">
        <f t="shared" si="30"/>
        <v>518</v>
      </c>
      <c r="X66" s="12">
        <f t="shared" si="30"/>
        <v>263</v>
      </c>
      <c r="Y66" s="12">
        <f t="shared" si="30"/>
        <v>559</v>
      </c>
      <c r="Z66" s="12">
        <f t="shared" si="30"/>
        <v>50</v>
      </c>
      <c r="AA66" s="12">
        <f t="shared" si="30"/>
        <v>562</v>
      </c>
      <c r="AB66" s="12">
        <f t="shared" si="30"/>
        <v>345</v>
      </c>
      <c r="AC66" s="12">
        <f t="shared" si="30"/>
        <v>502</v>
      </c>
      <c r="AD66" s="12">
        <f t="shared" si="30"/>
        <v>189</v>
      </c>
      <c r="AE66" s="12">
        <f t="shared" si="30"/>
        <v>160</v>
      </c>
      <c r="AF66" s="12">
        <f t="shared" si="30"/>
        <v>560</v>
      </c>
    </row>
    <row r="67" spans="1:32" x14ac:dyDescent="0.3">
      <c r="A67" s="13" t="s">
        <v>26</v>
      </c>
      <c r="B67" s="232">
        <v>517</v>
      </c>
      <c r="C67" s="12">
        <f t="shared" si="27"/>
        <v>262</v>
      </c>
      <c r="D67" s="12">
        <f t="shared" si="27"/>
        <v>0</v>
      </c>
      <c r="E67" s="12">
        <f t="shared" si="28"/>
        <v>3</v>
      </c>
      <c r="F67" s="12">
        <f t="shared" si="28"/>
        <v>481</v>
      </c>
      <c r="G67" s="12">
        <f t="shared" si="24"/>
        <v>305</v>
      </c>
      <c r="H67" s="12">
        <f t="shared" si="24"/>
        <v>449</v>
      </c>
      <c r="I67" s="12">
        <f t="shared" si="24"/>
        <v>143</v>
      </c>
      <c r="J67" s="12">
        <f t="shared" si="24"/>
        <v>251</v>
      </c>
      <c r="K67" s="12">
        <f t="shared" si="24"/>
        <v>0</v>
      </c>
      <c r="L67" s="12">
        <f t="shared" si="24"/>
        <v>0</v>
      </c>
      <c r="M67" s="12">
        <f t="shared" si="24"/>
        <v>251</v>
      </c>
      <c r="N67" s="12">
        <f t="shared" si="24"/>
        <v>251</v>
      </c>
      <c r="O67" s="12">
        <f t="shared" si="24"/>
        <v>329</v>
      </c>
      <c r="P67" s="12">
        <f t="shared" si="24"/>
        <v>431</v>
      </c>
      <c r="Q67" s="12">
        <f t="shared" si="5"/>
        <v>562</v>
      </c>
      <c r="R67" s="12">
        <f t="shared" si="5"/>
        <v>217</v>
      </c>
      <c r="S67" s="12">
        <f t="shared" si="6"/>
        <v>477</v>
      </c>
      <c r="T67" s="12">
        <f t="shared" ref="T67:AF67" si="31">T27-S27</f>
        <v>560</v>
      </c>
      <c r="U67" s="12">
        <f t="shared" si="31"/>
        <v>560</v>
      </c>
      <c r="V67" s="12">
        <f t="shared" si="31"/>
        <v>304</v>
      </c>
      <c r="W67" s="12">
        <f t="shared" si="31"/>
        <v>451</v>
      </c>
      <c r="X67" s="12">
        <f t="shared" si="31"/>
        <v>246</v>
      </c>
      <c r="Y67" s="12">
        <f t="shared" si="31"/>
        <v>0</v>
      </c>
      <c r="Z67" s="12">
        <f t="shared" si="31"/>
        <v>0</v>
      </c>
      <c r="AA67" s="12">
        <f t="shared" si="31"/>
        <v>252</v>
      </c>
      <c r="AB67" s="12">
        <f t="shared" si="31"/>
        <v>451</v>
      </c>
      <c r="AC67" s="12">
        <f t="shared" si="31"/>
        <v>185</v>
      </c>
      <c r="AD67" s="12">
        <f t="shared" si="31"/>
        <v>320</v>
      </c>
      <c r="AE67" s="12">
        <f t="shared" si="31"/>
        <v>560</v>
      </c>
      <c r="AF67" s="12">
        <f t="shared" si="31"/>
        <v>131</v>
      </c>
    </row>
    <row r="68" spans="1:32" x14ac:dyDescent="0.3">
      <c r="A68" s="13" t="s">
        <v>27</v>
      </c>
      <c r="B68" s="232">
        <v>0</v>
      </c>
      <c r="C68" s="12">
        <f t="shared" si="27"/>
        <v>484</v>
      </c>
      <c r="D68" s="12">
        <f t="shared" si="27"/>
        <v>560</v>
      </c>
      <c r="E68" s="12">
        <f t="shared" si="28"/>
        <v>474</v>
      </c>
      <c r="F68" s="12">
        <f t="shared" si="28"/>
        <v>433</v>
      </c>
      <c r="G68" s="12">
        <f t="shared" si="24"/>
        <v>518</v>
      </c>
      <c r="H68" s="12">
        <f t="shared" si="24"/>
        <v>519</v>
      </c>
      <c r="I68" s="12">
        <f t="shared" si="24"/>
        <v>70</v>
      </c>
      <c r="J68" s="12">
        <f t="shared" si="24"/>
        <v>367</v>
      </c>
      <c r="K68" s="12">
        <f t="shared" si="24"/>
        <v>0</v>
      </c>
      <c r="L68" s="12">
        <f t="shared" si="24"/>
        <v>20</v>
      </c>
      <c r="M68" s="12">
        <f t="shared" si="24"/>
        <v>476</v>
      </c>
      <c r="N68" s="12">
        <f t="shared" si="24"/>
        <v>520</v>
      </c>
      <c r="O68" s="12">
        <f t="shared" si="24"/>
        <v>431</v>
      </c>
      <c r="P68" s="12">
        <f t="shared" si="24"/>
        <v>561</v>
      </c>
      <c r="Q68" s="12">
        <f t="shared" si="5"/>
        <v>559</v>
      </c>
      <c r="R68" s="12">
        <f t="shared" si="5"/>
        <v>45</v>
      </c>
      <c r="S68" s="12">
        <f t="shared" si="6"/>
        <v>0</v>
      </c>
      <c r="T68" s="12">
        <f t="shared" ref="T68:AF68" si="32">T28-S28</f>
        <v>564</v>
      </c>
      <c r="U68" s="12">
        <f t="shared" si="32"/>
        <v>492</v>
      </c>
      <c r="V68" s="12">
        <f t="shared" si="32"/>
        <v>0</v>
      </c>
      <c r="W68" s="12">
        <f t="shared" si="32"/>
        <v>203</v>
      </c>
      <c r="X68" s="12">
        <f t="shared" si="32"/>
        <v>313</v>
      </c>
      <c r="Y68" s="12">
        <f t="shared" si="32"/>
        <v>560</v>
      </c>
      <c r="Z68" s="12">
        <f t="shared" si="32"/>
        <v>43</v>
      </c>
      <c r="AA68" s="12">
        <f t="shared" si="32"/>
        <v>148</v>
      </c>
      <c r="AB68" s="12">
        <f t="shared" si="32"/>
        <v>195</v>
      </c>
      <c r="AC68" s="12">
        <f t="shared" si="32"/>
        <v>409</v>
      </c>
      <c r="AD68" s="12">
        <f t="shared" si="32"/>
        <v>349</v>
      </c>
      <c r="AE68" s="12">
        <f t="shared" si="32"/>
        <v>258</v>
      </c>
      <c r="AF68" s="12">
        <f t="shared" si="32"/>
        <v>0</v>
      </c>
    </row>
    <row r="69" spans="1:32" x14ac:dyDescent="0.3">
      <c r="A69" s="11" t="s">
        <v>28</v>
      </c>
      <c r="B69" s="232">
        <v>44</v>
      </c>
      <c r="C69" s="12">
        <f t="shared" si="27"/>
        <v>288</v>
      </c>
      <c r="D69" s="12">
        <f t="shared" si="27"/>
        <v>0</v>
      </c>
      <c r="E69" s="12">
        <f t="shared" si="28"/>
        <v>0</v>
      </c>
      <c r="F69" s="12">
        <f t="shared" si="28"/>
        <v>383</v>
      </c>
      <c r="G69" s="12">
        <f t="shared" si="24"/>
        <v>475</v>
      </c>
      <c r="H69" s="12">
        <f t="shared" si="24"/>
        <v>449</v>
      </c>
      <c r="I69" s="12">
        <f t="shared" si="24"/>
        <v>171</v>
      </c>
      <c r="J69" s="12">
        <f t="shared" si="24"/>
        <v>247</v>
      </c>
      <c r="K69" s="12">
        <f t="shared" si="24"/>
        <v>0</v>
      </c>
      <c r="L69" s="12">
        <f t="shared" si="24"/>
        <v>0</v>
      </c>
      <c r="M69" s="12">
        <f t="shared" si="24"/>
        <v>251</v>
      </c>
      <c r="N69" s="12">
        <f t="shared" si="24"/>
        <v>587</v>
      </c>
      <c r="O69" s="12">
        <f t="shared" si="24"/>
        <v>260</v>
      </c>
      <c r="P69" s="12">
        <f t="shared" si="24"/>
        <v>517</v>
      </c>
      <c r="Q69" s="12">
        <f t="shared" si="5"/>
        <v>432</v>
      </c>
      <c r="R69" s="12">
        <f t="shared" si="5"/>
        <v>520</v>
      </c>
      <c r="S69" s="12">
        <f t="shared" si="6"/>
        <v>475</v>
      </c>
      <c r="T69" s="12">
        <f t="shared" ref="T69:AF69" si="33">T29-S29</f>
        <v>476</v>
      </c>
      <c r="U69" s="12">
        <f t="shared" si="33"/>
        <v>520</v>
      </c>
      <c r="V69" s="12">
        <f t="shared" si="33"/>
        <v>260</v>
      </c>
      <c r="W69" s="12">
        <f t="shared" si="33"/>
        <v>454</v>
      </c>
      <c r="X69" s="12">
        <f t="shared" si="33"/>
        <v>359</v>
      </c>
      <c r="Y69" s="12">
        <f t="shared" si="33"/>
        <v>0</v>
      </c>
      <c r="Z69" s="12">
        <f t="shared" si="33"/>
        <v>0</v>
      </c>
      <c r="AA69" s="12">
        <f t="shared" si="33"/>
        <v>400</v>
      </c>
      <c r="AB69" s="12">
        <f t="shared" si="33"/>
        <v>563</v>
      </c>
      <c r="AC69" s="12">
        <f t="shared" si="33"/>
        <v>391</v>
      </c>
      <c r="AD69" s="12">
        <f t="shared" si="33"/>
        <v>560</v>
      </c>
      <c r="AE69" s="12">
        <f t="shared" si="33"/>
        <v>410</v>
      </c>
      <c r="AF69" s="12">
        <f t="shared" si="33"/>
        <v>0</v>
      </c>
    </row>
    <row r="70" spans="1:32" x14ac:dyDescent="0.3">
      <c r="A70" s="13" t="s">
        <v>29</v>
      </c>
      <c r="B70" s="232">
        <v>0</v>
      </c>
      <c r="C70" s="12">
        <f t="shared" si="27"/>
        <v>253</v>
      </c>
      <c r="D70" s="12">
        <f t="shared" si="27"/>
        <v>559</v>
      </c>
      <c r="E70" s="12">
        <f t="shared" si="28"/>
        <v>44</v>
      </c>
      <c r="F70" s="12">
        <f t="shared" si="28"/>
        <v>434</v>
      </c>
      <c r="G70" s="12">
        <f t="shared" si="24"/>
        <v>518</v>
      </c>
      <c r="H70" s="12">
        <f t="shared" si="24"/>
        <v>450</v>
      </c>
      <c r="I70" s="12">
        <f t="shared" si="24"/>
        <v>130</v>
      </c>
      <c r="J70" s="12">
        <f t="shared" si="24"/>
        <v>263</v>
      </c>
      <c r="K70" s="12">
        <f t="shared" si="24"/>
        <v>0</v>
      </c>
      <c r="L70" s="12">
        <f t="shared" si="24"/>
        <v>0</v>
      </c>
      <c r="M70" s="12">
        <f t="shared" si="24"/>
        <v>339</v>
      </c>
      <c r="N70" s="12">
        <f t="shared" si="24"/>
        <v>605</v>
      </c>
      <c r="O70" s="12">
        <f t="shared" si="24"/>
        <v>194</v>
      </c>
      <c r="P70" s="12">
        <f t="shared" si="24"/>
        <v>250</v>
      </c>
      <c r="Q70" s="12">
        <f t="shared" si="5"/>
        <v>287</v>
      </c>
      <c r="R70" s="12">
        <f t="shared" si="5"/>
        <v>0</v>
      </c>
      <c r="S70" s="12">
        <f t="shared" si="6"/>
        <v>0</v>
      </c>
      <c r="T70" s="12">
        <f t="shared" ref="T70:AF70" si="34">T30-S30</f>
        <v>58</v>
      </c>
      <c r="U70" s="12">
        <f t="shared" si="34"/>
        <v>0</v>
      </c>
      <c r="V70" s="12">
        <f t="shared" si="34"/>
        <v>42</v>
      </c>
      <c r="W70" s="12">
        <f t="shared" si="34"/>
        <v>193</v>
      </c>
      <c r="X70" s="12">
        <f t="shared" si="34"/>
        <v>192</v>
      </c>
      <c r="Y70" s="12">
        <f t="shared" si="34"/>
        <v>0</v>
      </c>
      <c r="Z70" s="12">
        <f t="shared" si="34"/>
        <v>0</v>
      </c>
      <c r="AA70" s="12">
        <f t="shared" si="34"/>
        <v>253</v>
      </c>
      <c r="AB70" s="12">
        <f t="shared" si="34"/>
        <v>251</v>
      </c>
      <c r="AC70" s="12">
        <f t="shared" si="34"/>
        <v>416</v>
      </c>
      <c r="AD70" s="12">
        <f t="shared" si="34"/>
        <v>238</v>
      </c>
      <c r="AE70" s="12">
        <f t="shared" si="34"/>
        <v>254</v>
      </c>
      <c r="AF70" s="12">
        <f t="shared" si="34"/>
        <v>518</v>
      </c>
    </row>
    <row r="71" spans="1:32" x14ac:dyDescent="0.3">
      <c r="A71" s="11" t="s">
        <v>30</v>
      </c>
      <c r="B71" s="232">
        <v>431</v>
      </c>
      <c r="C71" s="12">
        <f t="shared" si="27"/>
        <v>279</v>
      </c>
      <c r="D71" s="12">
        <f t="shared" si="27"/>
        <v>0</v>
      </c>
      <c r="E71" s="12">
        <f t="shared" si="28"/>
        <v>0</v>
      </c>
      <c r="F71" s="12">
        <f t="shared" si="28"/>
        <v>250</v>
      </c>
      <c r="G71" s="12">
        <f t="shared" si="24"/>
        <v>339</v>
      </c>
      <c r="H71" s="12">
        <f t="shared" si="24"/>
        <v>604</v>
      </c>
      <c r="I71" s="12">
        <f t="shared" si="24"/>
        <v>437</v>
      </c>
      <c r="J71" s="12">
        <f t="shared" si="24"/>
        <v>340</v>
      </c>
      <c r="K71" s="12">
        <f t="shared" si="24"/>
        <v>518</v>
      </c>
      <c r="L71" s="12">
        <f t="shared" si="24"/>
        <v>475</v>
      </c>
      <c r="M71" s="12">
        <f t="shared" si="24"/>
        <v>560</v>
      </c>
      <c r="N71" s="12">
        <f t="shared" si="24"/>
        <v>202</v>
      </c>
      <c r="O71" s="12">
        <f t="shared" si="24"/>
        <v>250</v>
      </c>
      <c r="P71" s="12">
        <f t="shared" si="24"/>
        <v>572</v>
      </c>
      <c r="Q71" s="12">
        <f t="shared" si="5"/>
        <v>432</v>
      </c>
      <c r="R71" s="12">
        <f t="shared" si="5"/>
        <v>0</v>
      </c>
      <c r="S71" s="12">
        <f t="shared" si="6"/>
        <v>0</v>
      </c>
      <c r="T71" s="12">
        <f t="shared" ref="T71:AF71" si="35">T31-S31</f>
        <v>452</v>
      </c>
      <c r="U71" s="12">
        <f t="shared" si="35"/>
        <v>410</v>
      </c>
      <c r="V71" s="12">
        <f t="shared" si="35"/>
        <v>477</v>
      </c>
      <c r="W71" s="12">
        <f t="shared" si="35"/>
        <v>475</v>
      </c>
      <c r="X71" s="12">
        <f t="shared" si="35"/>
        <v>457</v>
      </c>
      <c r="Y71" s="12">
        <f t="shared" si="35"/>
        <v>0</v>
      </c>
      <c r="Z71" s="12">
        <f t="shared" si="35"/>
        <v>0</v>
      </c>
      <c r="AA71" s="12">
        <f t="shared" si="35"/>
        <v>402</v>
      </c>
      <c r="AB71" s="12">
        <f t="shared" si="35"/>
        <v>432</v>
      </c>
      <c r="AC71" s="12">
        <f t="shared" si="35"/>
        <v>563</v>
      </c>
      <c r="AD71" s="12">
        <f t="shared" si="35"/>
        <v>306</v>
      </c>
      <c r="AE71" s="12">
        <f t="shared" si="35"/>
        <v>604</v>
      </c>
      <c r="AF71" s="12">
        <f t="shared" si="35"/>
        <v>518</v>
      </c>
    </row>
    <row r="72" spans="1:32" s="125" customFormat="1" x14ac:dyDescent="0.3">
      <c r="A72" s="13" t="s">
        <v>111</v>
      </c>
      <c r="B72" s="232">
        <v>0</v>
      </c>
      <c r="C72" s="12">
        <f t="shared" si="27"/>
        <v>455</v>
      </c>
      <c r="D72" s="12">
        <f t="shared" si="27"/>
        <v>0</v>
      </c>
      <c r="E72" s="12">
        <f t="shared" si="28"/>
        <v>0</v>
      </c>
      <c r="F72" s="12">
        <f t="shared" si="28"/>
        <v>252</v>
      </c>
      <c r="G72" s="12">
        <f t="shared" si="24"/>
        <v>177</v>
      </c>
      <c r="H72" s="12">
        <f t="shared" si="24"/>
        <v>456</v>
      </c>
      <c r="I72" s="12">
        <f t="shared" si="24"/>
        <v>338</v>
      </c>
      <c r="J72" s="12">
        <f t="shared" si="24"/>
        <v>656</v>
      </c>
      <c r="K72" s="12">
        <f t="shared" si="24"/>
        <v>510</v>
      </c>
      <c r="L72" s="12">
        <f t="shared" si="24"/>
        <v>433</v>
      </c>
      <c r="M72" s="12">
        <f t="shared" si="24"/>
        <v>410</v>
      </c>
      <c r="N72" s="12">
        <f t="shared" si="24"/>
        <v>182</v>
      </c>
      <c r="O72" s="12">
        <f t="shared" si="24"/>
        <v>570</v>
      </c>
      <c r="P72" s="12">
        <f t="shared" si="24"/>
        <v>436</v>
      </c>
      <c r="Q72" s="12">
        <f t="shared" si="5"/>
        <v>357</v>
      </c>
      <c r="R72" s="12">
        <f t="shared" si="5"/>
        <v>0</v>
      </c>
      <c r="S72" s="12">
        <f t="shared" si="6"/>
        <v>0</v>
      </c>
      <c r="T72" s="12">
        <f t="shared" ref="T72:AF72" si="36">T32-S32</f>
        <v>194</v>
      </c>
      <c r="U72" s="12">
        <f t="shared" si="36"/>
        <v>262</v>
      </c>
      <c r="V72" s="12">
        <f t="shared" si="36"/>
        <v>2</v>
      </c>
      <c r="W72" s="12">
        <f t="shared" si="36"/>
        <v>346</v>
      </c>
      <c r="X72" s="12">
        <f t="shared" si="36"/>
        <v>265</v>
      </c>
      <c r="Y72" s="12">
        <f t="shared" si="36"/>
        <v>0</v>
      </c>
      <c r="Z72" s="12">
        <f t="shared" si="36"/>
        <v>0</v>
      </c>
      <c r="AA72" s="12">
        <f t="shared" si="36"/>
        <v>348</v>
      </c>
      <c r="AB72" s="12">
        <f t="shared" si="36"/>
        <v>289</v>
      </c>
      <c r="AC72" s="12">
        <f t="shared" si="36"/>
        <v>398</v>
      </c>
      <c r="AD72" s="12">
        <f t="shared" si="36"/>
        <v>177</v>
      </c>
      <c r="AE72" s="12">
        <f t="shared" si="36"/>
        <v>202</v>
      </c>
      <c r="AF72" s="12">
        <f t="shared" si="36"/>
        <v>0</v>
      </c>
    </row>
    <row r="73" spans="1:32" s="125" customFormat="1" x14ac:dyDescent="0.3">
      <c r="A73" s="11" t="s">
        <v>112</v>
      </c>
      <c r="B73" s="232">
        <v>0</v>
      </c>
      <c r="C73" s="12">
        <f t="shared" si="27"/>
        <v>0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0</v>
      </c>
      <c r="H73" s="12">
        <f t="shared" si="24"/>
        <v>0</v>
      </c>
      <c r="I73" s="12">
        <f t="shared" si="24"/>
        <v>0</v>
      </c>
      <c r="J73" s="12">
        <f t="shared" si="24"/>
        <v>0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5"/>
        <v>0</v>
      </c>
      <c r="R73" s="12">
        <f t="shared" si="5"/>
        <v>0</v>
      </c>
      <c r="S73" s="12">
        <f t="shared" si="6"/>
        <v>22</v>
      </c>
      <c r="T73" s="12">
        <f t="shared" ref="T73:AF73" si="37">T33-S33</f>
        <v>0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>Z33-Y33</f>
        <v>0</v>
      </c>
      <c r="AA73" s="12">
        <f t="shared" si="37"/>
        <v>431</v>
      </c>
      <c r="AB73" s="12">
        <f t="shared" si="37"/>
        <v>518</v>
      </c>
      <c r="AC73" s="12">
        <f t="shared" si="37"/>
        <v>269</v>
      </c>
      <c r="AD73" s="12">
        <f t="shared" si="37"/>
        <v>251</v>
      </c>
      <c r="AE73" s="12">
        <f t="shared" si="37"/>
        <v>245</v>
      </c>
      <c r="AF73" s="12">
        <f t="shared" si="37"/>
        <v>0</v>
      </c>
    </row>
    <row r="74" spans="1:32" s="125" customFormat="1" x14ac:dyDescent="0.3">
      <c r="A74" s="13" t="s">
        <v>113</v>
      </c>
      <c r="B74" s="232">
        <v>0</v>
      </c>
      <c r="C74" s="12">
        <f t="shared" si="27"/>
        <v>261</v>
      </c>
      <c r="D74" s="12">
        <f t="shared" si="27"/>
        <v>0</v>
      </c>
      <c r="E74" s="12">
        <f t="shared" si="28"/>
        <v>0</v>
      </c>
      <c r="F74" s="12">
        <f t="shared" si="28"/>
        <v>265</v>
      </c>
      <c r="G74" s="12">
        <f t="shared" si="24"/>
        <v>270</v>
      </c>
      <c r="H74" s="12">
        <f t="shared" si="24"/>
        <v>200</v>
      </c>
      <c r="I74" s="12">
        <f t="shared" si="24"/>
        <v>367</v>
      </c>
      <c r="J74" s="12">
        <f t="shared" si="24"/>
        <v>432</v>
      </c>
      <c r="K74" s="12">
        <f t="shared" si="24"/>
        <v>520</v>
      </c>
      <c r="L74" s="12">
        <f t="shared" si="24"/>
        <v>517</v>
      </c>
      <c r="M74" s="12">
        <f t="shared" si="24"/>
        <v>431</v>
      </c>
      <c r="N74" s="12">
        <f t="shared" si="24"/>
        <v>239</v>
      </c>
      <c r="O74" s="12">
        <f t="shared" si="24"/>
        <v>571</v>
      </c>
      <c r="P74" s="12">
        <f t="shared" si="24"/>
        <v>434</v>
      </c>
      <c r="Q74" s="12">
        <f t="shared" si="5"/>
        <v>347</v>
      </c>
      <c r="R74" s="12">
        <f t="shared" si="5"/>
        <v>518</v>
      </c>
      <c r="S74" s="12">
        <f t="shared" si="6"/>
        <v>431</v>
      </c>
      <c r="T74" s="12">
        <f t="shared" ref="T74:AF74" si="38">T34-S34</f>
        <v>368</v>
      </c>
      <c r="U74" s="12">
        <f t="shared" si="38"/>
        <v>194</v>
      </c>
      <c r="V74" s="12">
        <f t="shared" si="38"/>
        <v>0</v>
      </c>
      <c r="W74" s="12">
        <f t="shared" si="38"/>
        <v>251</v>
      </c>
      <c r="X74" s="12">
        <f t="shared" si="38"/>
        <v>252</v>
      </c>
      <c r="Y74" s="12">
        <f t="shared" si="38"/>
        <v>0</v>
      </c>
      <c r="Z74" s="12">
        <f t="shared" si="38"/>
        <v>19</v>
      </c>
      <c r="AA74" s="12">
        <f t="shared" si="38"/>
        <v>431</v>
      </c>
      <c r="AB74" s="12">
        <f t="shared" si="38"/>
        <v>517</v>
      </c>
      <c r="AC74" s="12">
        <f t="shared" si="38"/>
        <v>519</v>
      </c>
      <c r="AD74" s="12">
        <f t="shared" si="38"/>
        <v>260</v>
      </c>
      <c r="AE74" s="12">
        <f t="shared" si="38"/>
        <v>193</v>
      </c>
      <c r="AF74" s="12">
        <f t="shared" si="38"/>
        <v>0</v>
      </c>
    </row>
    <row r="75" spans="1:32" s="125" customFormat="1" x14ac:dyDescent="0.3">
      <c r="A75" s="11" t="s">
        <v>114</v>
      </c>
      <c r="B75" s="232">
        <v>0</v>
      </c>
      <c r="C75" s="12">
        <f t="shared" si="27"/>
        <v>209</v>
      </c>
      <c r="D75" s="12">
        <f t="shared" si="27"/>
        <v>0</v>
      </c>
      <c r="E75" s="12">
        <f t="shared" si="28"/>
        <v>2</v>
      </c>
      <c r="F75" s="12">
        <f t="shared" si="28"/>
        <v>434</v>
      </c>
      <c r="G75" s="12">
        <f t="shared" si="24"/>
        <v>433</v>
      </c>
      <c r="H75" s="12">
        <f t="shared" si="24"/>
        <v>458</v>
      </c>
      <c r="I75" s="12">
        <f t="shared" si="24"/>
        <v>199</v>
      </c>
      <c r="J75" s="12">
        <f t="shared" si="24"/>
        <v>351</v>
      </c>
      <c r="K75" s="12">
        <f t="shared" si="24"/>
        <v>436</v>
      </c>
      <c r="L75" s="12">
        <f t="shared" si="24"/>
        <v>517</v>
      </c>
      <c r="M75" s="12">
        <f t="shared" si="24"/>
        <v>604</v>
      </c>
      <c r="N75" s="12">
        <f t="shared" si="24"/>
        <v>434</v>
      </c>
      <c r="O75" s="12">
        <f t="shared" si="24"/>
        <v>455</v>
      </c>
      <c r="P75" s="12">
        <f t="shared" si="24"/>
        <v>192</v>
      </c>
      <c r="Q75" s="12">
        <f t="shared" si="5"/>
        <v>249</v>
      </c>
      <c r="R75" s="12">
        <f t="shared" si="5"/>
        <v>0</v>
      </c>
      <c r="S75" s="12">
        <f t="shared" si="6"/>
        <v>0</v>
      </c>
      <c r="T75" s="12">
        <f t="shared" ref="T75:AF75" si="39">T35-S35</f>
        <v>194</v>
      </c>
      <c r="U75" s="12">
        <f t="shared" si="39"/>
        <v>78</v>
      </c>
      <c r="V75" s="12">
        <f t="shared" si="39"/>
        <v>23</v>
      </c>
      <c r="W75" s="12">
        <f t="shared" si="39"/>
        <v>263</v>
      </c>
      <c r="X75" s="12">
        <f t="shared" si="39"/>
        <v>192</v>
      </c>
      <c r="Y75" s="12">
        <f t="shared" si="39"/>
        <v>0</v>
      </c>
      <c r="Z75" s="12">
        <f t="shared" si="39"/>
        <v>0</v>
      </c>
      <c r="AA75" s="12">
        <f t="shared" si="39"/>
        <v>249</v>
      </c>
      <c r="AB75" s="12">
        <f t="shared" si="39"/>
        <v>249</v>
      </c>
      <c r="AC75" s="12">
        <f t="shared" si="39"/>
        <v>253</v>
      </c>
      <c r="AD75" s="12">
        <f t="shared" si="39"/>
        <v>251</v>
      </c>
      <c r="AE75" s="12">
        <f t="shared" si="39"/>
        <v>252</v>
      </c>
      <c r="AF75" s="12">
        <f t="shared" si="39"/>
        <v>0</v>
      </c>
    </row>
    <row r="76" spans="1:32" s="125" customFormat="1" x14ac:dyDescent="0.3">
      <c r="A76" s="13" t="s">
        <v>115</v>
      </c>
      <c r="B76" s="232">
        <v>0</v>
      </c>
      <c r="C76" s="12">
        <f t="shared" si="27"/>
        <v>251</v>
      </c>
      <c r="D76" s="12">
        <f t="shared" si="27"/>
        <v>0</v>
      </c>
      <c r="E76" s="12">
        <f t="shared" si="28"/>
        <v>19</v>
      </c>
      <c r="F76" s="12">
        <f t="shared" si="28"/>
        <v>435</v>
      </c>
      <c r="G76" s="12">
        <f t="shared" si="24"/>
        <v>202</v>
      </c>
      <c r="H76" s="12">
        <f t="shared" si="24"/>
        <v>226</v>
      </c>
      <c r="I76" s="12">
        <f t="shared" si="24"/>
        <v>319</v>
      </c>
      <c r="J76" s="12">
        <f t="shared" si="24"/>
        <v>518</v>
      </c>
      <c r="K76" s="12">
        <f t="shared" si="24"/>
        <v>520</v>
      </c>
      <c r="L76" s="12">
        <f t="shared" si="24"/>
        <v>476</v>
      </c>
      <c r="M76" s="12">
        <f t="shared" si="24"/>
        <v>561</v>
      </c>
      <c r="N76" s="12">
        <f t="shared" si="24"/>
        <v>439</v>
      </c>
      <c r="O76" s="12">
        <f t="shared" si="24"/>
        <v>433</v>
      </c>
      <c r="P76" s="12">
        <f t="shared" si="24"/>
        <v>289</v>
      </c>
      <c r="Q76" s="12">
        <f t="shared" si="5"/>
        <v>192</v>
      </c>
      <c r="R76" s="12">
        <f t="shared" si="5"/>
        <v>0</v>
      </c>
      <c r="S76" s="12">
        <f t="shared" si="6"/>
        <v>0</v>
      </c>
      <c r="T76" s="12">
        <f t="shared" ref="T76:AF76" si="40">T36-S36</f>
        <v>252</v>
      </c>
      <c r="U76" s="12">
        <f t="shared" si="40"/>
        <v>251</v>
      </c>
      <c r="V76" s="12">
        <f t="shared" si="40"/>
        <v>0</v>
      </c>
      <c r="W76" s="12">
        <f t="shared" si="40"/>
        <v>81</v>
      </c>
      <c r="X76" s="12">
        <f t="shared" si="40"/>
        <v>203</v>
      </c>
      <c r="Y76" s="12">
        <f t="shared" si="40"/>
        <v>0</v>
      </c>
      <c r="Z76" s="12">
        <f t="shared" si="40"/>
        <v>19</v>
      </c>
      <c r="AA76" s="12">
        <f t="shared" si="40"/>
        <v>175</v>
      </c>
      <c r="AB76" s="12">
        <f t="shared" si="40"/>
        <v>347</v>
      </c>
      <c r="AC76" s="12">
        <f t="shared" si="40"/>
        <v>107</v>
      </c>
      <c r="AD76" s="12">
        <f t="shared" si="40"/>
        <v>240</v>
      </c>
      <c r="AE76" s="12">
        <f t="shared" si="40"/>
        <v>87</v>
      </c>
      <c r="AF76" s="12">
        <f t="shared" si="40"/>
        <v>0</v>
      </c>
    </row>
    <row r="77" spans="1:32" s="125" customFormat="1" x14ac:dyDescent="0.3">
      <c r="A77" s="11" t="s">
        <v>116</v>
      </c>
      <c r="B77" s="232">
        <v>0</v>
      </c>
      <c r="C77" s="12">
        <f t="shared" si="27"/>
        <v>192</v>
      </c>
      <c r="D77" s="12">
        <f t="shared" si="27"/>
        <v>0</v>
      </c>
      <c r="E77" s="12">
        <f t="shared" si="28"/>
        <v>0</v>
      </c>
      <c r="F77" s="12">
        <f t="shared" si="28"/>
        <v>251</v>
      </c>
      <c r="G77" s="12">
        <f t="shared" si="24"/>
        <v>192</v>
      </c>
      <c r="H77" s="12">
        <f t="shared" si="24"/>
        <v>259</v>
      </c>
      <c r="I77" s="12">
        <f t="shared" si="24"/>
        <v>367</v>
      </c>
      <c r="J77" s="12">
        <f t="shared" si="24"/>
        <v>433</v>
      </c>
      <c r="K77" s="12">
        <f t="shared" si="24"/>
        <v>262</v>
      </c>
      <c r="L77" s="12">
        <f t="shared" si="24"/>
        <v>2</v>
      </c>
      <c r="M77" s="12">
        <f t="shared" si="24"/>
        <v>433</v>
      </c>
      <c r="N77" s="12">
        <f t="shared" si="24"/>
        <v>350</v>
      </c>
      <c r="O77" s="12">
        <f t="shared" si="24"/>
        <v>200</v>
      </c>
      <c r="P77" s="12">
        <f t="shared" si="24"/>
        <v>249</v>
      </c>
      <c r="Q77" s="12">
        <f t="shared" si="5"/>
        <v>261</v>
      </c>
      <c r="R77" s="12">
        <f t="shared" si="5"/>
        <v>0</v>
      </c>
      <c r="S77" s="12">
        <f t="shared" si="6"/>
        <v>0</v>
      </c>
      <c r="T77" s="12">
        <f t="shared" ref="T77:AF77" si="41">T37-S37</f>
        <v>261</v>
      </c>
      <c r="U77" s="12">
        <f t="shared" si="41"/>
        <v>434</v>
      </c>
      <c r="V77" s="12">
        <f t="shared" si="41"/>
        <v>22</v>
      </c>
      <c r="W77" s="12">
        <f t="shared" si="41"/>
        <v>264</v>
      </c>
      <c r="X77" s="12">
        <f t="shared" si="41"/>
        <v>228</v>
      </c>
      <c r="Y77" s="12">
        <f t="shared" si="41"/>
        <v>0</v>
      </c>
      <c r="Z77" s="12">
        <f t="shared" si="41"/>
        <v>0</v>
      </c>
      <c r="AA77" s="12">
        <f t="shared" si="41"/>
        <v>262</v>
      </c>
      <c r="AB77" s="12">
        <f t="shared" si="41"/>
        <v>3</v>
      </c>
      <c r="AC77" s="12">
        <f t="shared" si="41"/>
        <v>433</v>
      </c>
      <c r="AD77" s="12">
        <f t="shared" si="41"/>
        <v>177</v>
      </c>
      <c r="AE77" s="12">
        <f t="shared" si="41"/>
        <v>193</v>
      </c>
      <c r="AF77" s="12">
        <f t="shared" si="41"/>
        <v>0</v>
      </c>
    </row>
    <row r="78" spans="1:32" s="125" customFormat="1" x14ac:dyDescent="0.3">
      <c r="A78" s="13" t="s">
        <v>117</v>
      </c>
      <c r="B78" s="232">
        <v>2</v>
      </c>
      <c r="C78" s="12">
        <f t="shared" si="27"/>
        <v>454</v>
      </c>
      <c r="D78" s="12">
        <f t="shared" si="27"/>
        <v>0</v>
      </c>
      <c r="E78" s="12">
        <f t="shared" si="28"/>
        <v>0</v>
      </c>
      <c r="F78" s="12">
        <f t="shared" si="28"/>
        <v>204</v>
      </c>
      <c r="G78" s="12">
        <f t="shared" si="24"/>
        <v>251</v>
      </c>
      <c r="H78" s="12">
        <f t="shared" si="24"/>
        <v>250</v>
      </c>
      <c r="I78" s="12">
        <f t="shared" si="24"/>
        <v>337</v>
      </c>
      <c r="J78" s="12">
        <f t="shared" si="24"/>
        <v>259</v>
      </c>
      <c r="K78" s="12">
        <f t="shared" si="24"/>
        <v>0</v>
      </c>
      <c r="L78" s="12">
        <f t="shared" si="24"/>
        <v>0</v>
      </c>
      <c r="M78" s="12">
        <f t="shared" si="24"/>
        <v>238</v>
      </c>
      <c r="N78" s="12">
        <f t="shared" si="24"/>
        <v>348</v>
      </c>
      <c r="O78" s="12">
        <f t="shared" si="24"/>
        <v>435</v>
      </c>
      <c r="P78" s="12">
        <f t="shared" si="24"/>
        <v>202</v>
      </c>
      <c r="Q78" s="12">
        <f t="shared" si="5"/>
        <v>80</v>
      </c>
      <c r="R78" s="12">
        <f t="shared" si="5"/>
        <v>0</v>
      </c>
      <c r="S78" s="12">
        <f t="shared" si="6"/>
        <v>21</v>
      </c>
      <c r="T78" s="12">
        <f t="shared" ref="T78:AF78" si="42">T38-S38</f>
        <v>259</v>
      </c>
      <c r="U78" s="12">
        <f t="shared" si="42"/>
        <v>434</v>
      </c>
      <c r="V78" s="12">
        <f t="shared" si="42"/>
        <v>0</v>
      </c>
      <c r="W78" s="12">
        <f t="shared" si="42"/>
        <v>290</v>
      </c>
      <c r="X78" s="12">
        <f t="shared" si="42"/>
        <v>191</v>
      </c>
      <c r="Y78" s="12">
        <f t="shared" si="42"/>
        <v>0</v>
      </c>
      <c r="Z78" s="12">
        <f t="shared" si="42"/>
        <v>0</v>
      </c>
      <c r="AA78" s="12">
        <f t="shared" si="42"/>
        <v>203</v>
      </c>
      <c r="AB78" s="12">
        <f t="shared" si="42"/>
        <v>348</v>
      </c>
      <c r="AC78" s="12">
        <f t="shared" si="42"/>
        <v>365</v>
      </c>
      <c r="AD78" s="12">
        <f t="shared" si="42"/>
        <v>195</v>
      </c>
      <c r="AE78" s="12">
        <f t="shared" si="42"/>
        <v>225</v>
      </c>
      <c r="AF78" s="12">
        <f t="shared" si="42"/>
        <v>0</v>
      </c>
    </row>
    <row r="79" spans="1:32" s="125" customFormat="1" x14ac:dyDescent="0.3">
      <c r="A79" s="11" t="s">
        <v>118</v>
      </c>
      <c r="B79" s="232">
        <v>0</v>
      </c>
      <c r="C79" s="12">
        <f t="shared" si="27"/>
        <v>166</v>
      </c>
      <c r="D79" s="12">
        <f t="shared" si="27"/>
        <v>0</v>
      </c>
      <c r="E79" s="12">
        <f t="shared" si="28"/>
        <v>0</v>
      </c>
      <c r="F79" s="12">
        <f t="shared" si="28"/>
        <v>202</v>
      </c>
      <c r="G79" s="12">
        <f t="shared" ref="G79:P79" si="43">G39-F39</f>
        <v>252</v>
      </c>
      <c r="H79" s="12">
        <f t="shared" si="43"/>
        <v>251</v>
      </c>
      <c r="I79" s="12">
        <f t="shared" si="43"/>
        <v>354</v>
      </c>
      <c r="J79" s="12">
        <f t="shared" si="43"/>
        <v>516</v>
      </c>
      <c r="K79" s="12">
        <f t="shared" si="43"/>
        <v>520</v>
      </c>
      <c r="L79" s="12">
        <f t="shared" si="43"/>
        <v>475</v>
      </c>
      <c r="M79" s="12">
        <f t="shared" si="43"/>
        <v>391</v>
      </c>
      <c r="N79" s="12">
        <f t="shared" si="43"/>
        <v>579</v>
      </c>
      <c r="O79" s="12">
        <f t="shared" si="43"/>
        <v>435</v>
      </c>
      <c r="P79" s="12">
        <f t="shared" si="43"/>
        <v>433</v>
      </c>
      <c r="Q79" s="12">
        <f t="shared" si="5"/>
        <v>348</v>
      </c>
      <c r="R79" s="12">
        <f t="shared" si="5"/>
        <v>518</v>
      </c>
      <c r="S79" s="12">
        <f t="shared" si="6"/>
        <v>107</v>
      </c>
      <c r="T79" s="12">
        <f t="shared" ref="T79:AF79" si="44">T39-S39</f>
        <v>251</v>
      </c>
      <c r="U79" s="12">
        <f t="shared" si="44"/>
        <v>252</v>
      </c>
      <c r="V79" s="12">
        <f t="shared" si="44"/>
        <v>0</v>
      </c>
      <c r="W79" s="12">
        <f t="shared" si="44"/>
        <v>263</v>
      </c>
      <c r="X79" s="12">
        <f t="shared" si="44"/>
        <v>193</v>
      </c>
      <c r="Y79" s="12">
        <f t="shared" si="44"/>
        <v>0</v>
      </c>
      <c r="Z79" s="12">
        <f t="shared" si="44"/>
        <v>0</v>
      </c>
      <c r="AA79" s="12">
        <f t="shared" si="44"/>
        <v>252</v>
      </c>
      <c r="AB79" s="12">
        <f t="shared" si="44"/>
        <v>203</v>
      </c>
      <c r="AC79" s="12">
        <f t="shared" si="44"/>
        <v>168</v>
      </c>
      <c r="AD79" s="12">
        <f t="shared" si="44"/>
        <v>349</v>
      </c>
      <c r="AE79" s="12">
        <f t="shared" si="44"/>
        <v>348</v>
      </c>
      <c r="AF79" s="12">
        <f t="shared" si="44"/>
        <v>0</v>
      </c>
    </row>
    <row r="80" spans="1:32" ht="15" thickBot="1" x14ac:dyDescent="0.35">
      <c r="A80" s="14"/>
      <c r="B80" s="173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F80" s="125"/>
    </row>
    <row r="81" spans="1:32" ht="15" thickBot="1" x14ac:dyDescent="0.35">
      <c r="A81" s="15" t="s">
        <v>34</v>
      </c>
      <c r="B81" s="16">
        <f>SUM(B45:B79)</f>
        <v>4943</v>
      </c>
      <c r="C81" s="16">
        <f t="shared" ref="C81:P81" si="45">SUM(C45:C79)</f>
        <v>12128</v>
      </c>
      <c r="D81" s="16">
        <f t="shared" si="45"/>
        <v>6489</v>
      </c>
      <c r="E81" s="16">
        <f t="shared" si="45"/>
        <v>4955</v>
      </c>
      <c r="F81" s="16">
        <f t="shared" si="45"/>
        <v>12105</v>
      </c>
      <c r="G81" s="16">
        <f t="shared" si="45"/>
        <v>12087</v>
      </c>
      <c r="H81" s="16">
        <f t="shared" si="45"/>
        <v>12123</v>
      </c>
      <c r="I81" s="16">
        <f t="shared" si="45"/>
        <v>10264</v>
      </c>
      <c r="J81" s="16">
        <f t="shared" si="45"/>
        <v>12163</v>
      </c>
      <c r="K81" s="16">
        <f t="shared" si="45"/>
        <v>6491</v>
      </c>
      <c r="L81" s="16">
        <f t="shared" si="45"/>
        <v>4977</v>
      </c>
      <c r="M81" s="16">
        <f t="shared" si="45"/>
        <v>12061</v>
      </c>
      <c r="N81" s="16">
        <f t="shared" si="45"/>
        <v>12025</v>
      </c>
      <c r="O81" s="16">
        <f t="shared" si="45"/>
        <v>12006</v>
      </c>
      <c r="P81" s="16">
        <f t="shared" si="45"/>
        <v>12165</v>
      </c>
      <c r="Q81" s="16">
        <f>SUM(Q45:Q79)</f>
        <v>11970</v>
      </c>
      <c r="R81" s="16">
        <f t="shared" ref="R81:AE81" si="46">SUM(R45:R79)</f>
        <v>6491</v>
      </c>
      <c r="S81" s="16">
        <f t="shared" si="46"/>
        <v>5023</v>
      </c>
      <c r="T81" s="16">
        <f t="shared" si="46"/>
        <v>12118</v>
      </c>
      <c r="U81" s="16">
        <f t="shared" si="46"/>
        <v>11904</v>
      </c>
      <c r="V81" s="16">
        <f t="shared" si="46"/>
        <v>5235</v>
      </c>
      <c r="W81" s="16">
        <f t="shared" si="46"/>
        <v>12144</v>
      </c>
      <c r="X81" s="16">
        <f t="shared" si="46"/>
        <v>12092</v>
      </c>
      <c r="Y81" s="16">
        <f t="shared" si="46"/>
        <v>6547</v>
      </c>
      <c r="Z81" s="16">
        <f t="shared" si="46"/>
        <v>4972</v>
      </c>
      <c r="AA81" s="16">
        <f t="shared" si="46"/>
        <v>11947</v>
      </c>
      <c r="AB81" s="16">
        <f t="shared" si="46"/>
        <v>12049</v>
      </c>
      <c r="AC81" s="16">
        <f t="shared" si="46"/>
        <v>12021</v>
      </c>
      <c r="AD81" s="16">
        <f t="shared" si="46"/>
        <v>12081</v>
      </c>
      <c r="AE81" s="16">
        <f t="shared" si="46"/>
        <v>11994</v>
      </c>
      <c r="AF81" s="16">
        <f t="shared" ref="AF81" si="47">SUM(AF45:AF79)</f>
        <v>6584</v>
      </c>
    </row>
    <row r="82" spans="1:32" s="125" customFormat="1" x14ac:dyDescent="0.3">
      <c r="A82" s="247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  <c r="AE82" s="248"/>
    </row>
    <row r="85" spans="1:32" ht="15" thickBot="1" x14ac:dyDescent="0.35"/>
    <row r="86" spans="1:32" ht="15" thickBot="1" x14ac:dyDescent="0.35">
      <c r="O86" s="335" t="s">
        <v>190</v>
      </c>
      <c r="P86" s="335">
        <v>2011095</v>
      </c>
      <c r="Q86" s="335">
        <v>2011346</v>
      </c>
      <c r="R86" s="335">
        <v>251</v>
      </c>
      <c r="S86" s="335">
        <v>7.64</v>
      </c>
      <c r="T86" s="335">
        <v>232.88</v>
      </c>
      <c r="U86" s="335" t="s">
        <v>191</v>
      </c>
      <c r="V86" s="335"/>
    </row>
    <row r="87" spans="1:32" ht="15" thickBot="1" x14ac:dyDescent="0.35">
      <c r="O87" s="335" t="s">
        <v>192</v>
      </c>
      <c r="P87" s="335">
        <v>1984952</v>
      </c>
      <c r="Q87" s="335">
        <v>1984952</v>
      </c>
      <c r="R87" s="335">
        <v>0</v>
      </c>
      <c r="S87" s="335">
        <v>0</v>
      </c>
      <c r="T87" s="335">
        <v>0</v>
      </c>
      <c r="U87" s="335">
        <v>0</v>
      </c>
      <c r="V87" s="335"/>
    </row>
    <row r="88" spans="1:32" ht="15" thickBot="1" x14ac:dyDescent="0.35">
      <c r="O88" s="335" t="s">
        <v>193</v>
      </c>
      <c r="P88" s="335">
        <v>2070598</v>
      </c>
      <c r="Q88" s="335">
        <v>2071118</v>
      </c>
      <c r="R88" s="335">
        <v>520</v>
      </c>
      <c r="S88" s="335">
        <v>0</v>
      </c>
      <c r="T88" s="335">
        <v>474.43</v>
      </c>
      <c r="U88" s="336" t="s">
        <v>194</v>
      </c>
      <c r="V88" s="335"/>
    </row>
    <row r="89" spans="1:32" ht="15" thickBot="1" x14ac:dyDescent="0.35">
      <c r="O89" s="335" t="s">
        <v>195</v>
      </c>
      <c r="P89" s="335">
        <v>2072003</v>
      </c>
      <c r="Q89" s="335">
        <v>2072525</v>
      </c>
      <c r="R89" s="335">
        <v>522</v>
      </c>
      <c r="S89" s="335">
        <v>0</v>
      </c>
      <c r="T89" s="335">
        <v>560.69000000000005</v>
      </c>
      <c r="U89" s="336" t="s">
        <v>196</v>
      </c>
      <c r="V89" s="335"/>
    </row>
    <row r="90" spans="1:32" ht="15" thickBot="1" x14ac:dyDescent="0.35">
      <c r="O90" s="335" t="s">
        <v>197</v>
      </c>
      <c r="P90" s="335">
        <v>1979915</v>
      </c>
      <c r="Q90" s="335">
        <v>1980227</v>
      </c>
      <c r="R90" s="335">
        <v>312</v>
      </c>
      <c r="S90" s="335">
        <v>0</v>
      </c>
      <c r="T90" s="335">
        <v>345.04</v>
      </c>
      <c r="U90" s="336" t="s">
        <v>198</v>
      </c>
      <c r="V90" s="335"/>
    </row>
    <row r="91" spans="1:32" ht="15" thickBot="1" x14ac:dyDescent="0.35">
      <c r="O91" s="335" t="s">
        <v>199</v>
      </c>
      <c r="P91" s="335">
        <v>2093291</v>
      </c>
      <c r="Q91" s="335">
        <v>2093851</v>
      </c>
      <c r="R91" s="335">
        <v>560</v>
      </c>
      <c r="S91" s="335">
        <v>0</v>
      </c>
      <c r="T91" s="335">
        <v>560.69000000000005</v>
      </c>
      <c r="U91" s="335" t="s">
        <v>200</v>
      </c>
      <c r="V91" s="335"/>
    </row>
    <row r="92" spans="1:32" ht="15" thickBot="1" x14ac:dyDescent="0.35">
      <c r="O92" s="335" t="s">
        <v>201</v>
      </c>
      <c r="P92" s="335">
        <v>2120868</v>
      </c>
      <c r="Q92" s="335">
        <v>2121182</v>
      </c>
      <c r="R92" s="335">
        <v>314</v>
      </c>
      <c r="S92" s="335">
        <v>3.82</v>
      </c>
      <c r="T92" s="335">
        <v>302.98</v>
      </c>
      <c r="U92" s="335" t="s">
        <v>202</v>
      </c>
      <c r="V92" s="335"/>
    </row>
    <row r="93" spans="1:32" ht="15" thickBot="1" x14ac:dyDescent="0.35">
      <c r="O93" s="335" t="s">
        <v>203</v>
      </c>
      <c r="P93" s="335">
        <v>2024495</v>
      </c>
      <c r="Q93" s="335">
        <v>2024808</v>
      </c>
      <c r="R93" s="335">
        <v>313</v>
      </c>
      <c r="S93" s="335">
        <v>0</v>
      </c>
      <c r="T93" s="335">
        <v>345.04</v>
      </c>
      <c r="U93" s="336" t="s">
        <v>204</v>
      </c>
      <c r="V93" s="335"/>
    </row>
    <row r="94" spans="1:32" ht="15" thickBot="1" x14ac:dyDescent="0.35">
      <c r="O94" s="335" t="s">
        <v>205</v>
      </c>
      <c r="P94" s="335">
        <v>2007241</v>
      </c>
      <c r="Q94" s="335">
        <v>2007856</v>
      </c>
      <c r="R94" s="335">
        <v>615</v>
      </c>
      <c r="S94" s="335">
        <v>0</v>
      </c>
      <c r="T94" s="335">
        <v>603.82000000000005</v>
      </c>
      <c r="U94" s="335" t="s">
        <v>206</v>
      </c>
      <c r="V94" s="335"/>
    </row>
    <row r="95" spans="1:32" ht="15" thickBot="1" x14ac:dyDescent="0.35">
      <c r="O95" s="335" t="s">
        <v>207</v>
      </c>
      <c r="P95" s="335">
        <v>2085088</v>
      </c>
      <c r="Q95" s="335">
        <v>2085187</v>
      </c>
      <c r="R95" s="335">
        <v>99</v>
      </c>
      <c r="S95" s="335">
        <v>35.659999999999997</v>
      </c>
      <c r="T95" s="335">
        <v>58.22</v>
      </c>
      <c r="U95" s="335" t="s">
        <v>208</v>
      </c>
      <c r="V95" s="335"/>
    </row>
    <row r="96" spans="1:32" ht="15" thickBot="1" x14ac:dyDescent="0.35">
      <c r="O96" s="335" t="s">
        <v>209</v>
      </c>
      <c r="P96" s="335">
        <v>2101619</v>
      </c>
      <c r="Q96" s="335">
        <v>2102070</v>
      </c>
      <c r="R96" s="335">
        <v>451</v>
      </c>
      <c r="S96" s="335">
        <v>17.829999999999998</v>
      </c>
      <c r="T96" s="335">
        <v>431.3</v>
      </c>
      <c r="U96" s="335" t="s">
        <v>210</v>
      </c>
      <c r="V96" s="335"/>
    </row>
    <row r="97" spans="15:22" ht="15" thickBot="1" x14ac:dyDescent="0.35">
      <c r="O97" s="335" t="s">
        <v>211</v>
      </c>
      <c r="P97" s="335">
        <v>1945658</v>
      </c>
      <c r="Q97" s="335">
        <v>1946219</v>
      </c>
      <c r="R97" s="335">
        <v>561</v>
      </c>
      <c r="S97" s="335">
        <v>0</v>
      </c>
      <c r="T97" s="335">
        <v>560.69000000000005</v>
      </c>
      <c r="U97" s="335" t="s">
        <v>212</v>
      </c>
      <c r="V97" s="335"/>
    </row>
    <row r="98" spans="15:22" ht="15" thickBot="1" x14ac:dyDescent="0.35">
      <c r="O98" s="335" t="s">
        <v>213</v>
      </c>
      <c r="P98" s="335">
        <v>2058236</v>
      </c>
      <c r="Q98" s="335">
        <v>2058695</v>
      </c>
      <c r="R98" s="335">
        <v>459</v>
      </c>
      <c r="S98" s="335">
        <v>3.82</v>
      </c>
      <c r="T98" s="335">
        <v>447.46</v>
      </c>
      <c r="U98" s="335" t="s">
        <v>214</v>
      </c>
      <c r="V98" s="335"/>
    </row>
    <row r="99" spans="15:22" ht="15" thickBot="1" x14ac:dyDescent="0.35">
      <c r="O99" s="335" t="s">
        <v>215</v>
      </c>
      <c r="P99" s="335">
        <v>2035181</v>
      </c>
      <c r="Q99" s="335">
        <v>2035570</v>
      </c>
      <c r="R99" s="335">
        <v>389</v>
      </c>
      <c r="S99" s="335">
        <v>0</v>
      </c>
      <c r="T99" s="335">
        <v>388.17</v>
      </c>
      <c r="U99" s="335" t="s">
        <v>216</v>
      </c>
      <c r="V99" s="335"/>
    </row>
    <row r="100" spans="15:22" ht="15" thickBot="1" x14ac:dyDescent="0.35">
      <c r="O100" s="335" t="s">
        <v>217</v>
      </c>
      <c r="P100" s="335">
        <v>2114667</v>
      </c>
      <c r="Q100" s="335">
        <v>2114816</v>
      </c>
      <c r="R100" s="335">
        <v>149</v>
      </c>
      <c r="S100" s="335">
        <v>3.82</v>
      </c>
      <c r="T100" s="335">
        <v>144.47999999999999</v>
      </c>
      <c r="U100" s="335" t="s">
        <v>218</v>
      </c>
      <c r="V100" s="335"/>
    </row>
    <row r="101" spans="15:22" ht="15" thickBot="1" x14ac:dyDescent="0.35">
      <c r="O101" s="335" t="s">
        <v>219</v>
      </c>
      <c r="P101" s="335">
        <v>2080910</v>
      </c>
      <c r="Q101" s="335">
        <v>2081165</v>
      </c>
      <c r="R101" s="335">
        <v>255</v>
      </c>
      <c r="S101" s="335">
        <v>11.46</v>
      </c>
      <c r="T101" s="335">
        <v>232.88</v>
      </c>
      <c r="U101" s="335" t="s">
        <v>220</v>
      </c>
      <c r="V101" s="335"/>
    </row>
    <row r="102" spans="15:22" ht="15" thickBot="1" x14ac:dyDescent="0.35">
      <c r="O102" s="335" t="s">
        <v>221</v>
      </c>
      <c r="P102" s="335">
        <v>2084786</v>
      </c>
      <c r="Q102" s="335">
        <v>2085389</v>
      </c>
      <c r="R102" s="335">
        <v>603</v>
      </c>
      <c r="S102" s="335">
        <v>0</v>
      </c>
      <c r="T102" s="335">
        <v>603.82000000000005</v>
      </c>
      <c r="U102" s="335" t="s">
        <v>222</v>
      </c>
      <c r="V102" s="335"/>
    </row>
    <row r="103" spans="15:22" ht="15" thickBot="1" x14ac:dyDescent="0.35">
      <c r="O103" s="335" t="s">
        <v>223</v>
      </c>
      <c r="P103" s="335">
        <v>2012348</v>
      </c>
      <c r="Q103" s="335">
        <v>2012911</v>
      </c>
      <c r="R103" s="335">
        <v>563</v>
      </c>
      <c r="S103" s="335">
        <v>0</v>
      </c>
      <c r="T103" s="335">
        <v>560.69000000000005</v>
      </c>
      <c r="U103" s="335" t="s">
        <v>224</v>
      </c>
      <c r="V103" s="335"/>
    </row>
    <row r="104" spans="15:22" ht="15" thickBot="1" x14ac:dyDescent="0.35">
      <c r="O104" s="335" t="s">
        <v>225</v>
      </c>
      <c r="P104" s="335">
        <v>2055850</v>
      </c>
      <c r="Q104" s="335">
        <v>2056112</v>
      </c>
      <c r="R104" s="335">
        <v>262</v>
      </c>
      <c r="S104" s="335">
        <v>15.28</v>
      </c>
      <c r="T104" s="335">
        <v>232.88</v>
      </c>
      <c r="U104" s="335" t="s">
        <v>226</v>
      </c>
      <c r="V104" s="335"/>
    </row>
    <row r="105" spans="15:22" ht="15" thickBot="1" x14ac:dyDescent="0.35">
      <c r="O105" s="335" t="s">
        <v>227</v>
      </c>
      <c r="P105" s="335">
        <v>2087766</v>
      </c>
      <c r="Q105" s="335">
        <v>2088114</v>
      </c>
      <c r="R105" s="335">
        <v>348</v>
      </c>
      <c r="S105" s="335">
        <v>0</v>
      </c>
      <c r="T105" s="335">
        <v>345.04</v>
      </c>
      <c r="U105" s="335" t="s">
        <v>228</v>
      </c>
      <c r="V105" s="335"/>
    </row>
    <row r="106" spans="15:22" ht="15" thickBot="1" x14ac:dyDescent="0.35">
      <c r="O106" s="335" t="s">
        <v>229</v>
      </c>
      <c r="P106" s="335">
        <v>2098845</v>
      </c>
      <c r="Q106" s="335">
        <v>2099302</v>
      </c>
      <c r="R106" s="335">
        <v>457</v>
      </c>
      <c r="S106" s="335">
        <v>3.82</v>
      </c>
      <c r="T106" s="335">
        <v>447.46</v>
      </c>
      <c r="U106" s="335" t="s">
        <v>230</v>
      </c>
      <c r="V106" s="335"/>
    </row>
    <row r="107" spans="15:22" ht="15" thickBot="1" x14ac:dyDescent="0.35">
      <c r="O107" s="335" t="s">
        <v>231</v>
      </c>
      <c r="P107" s="335">
        <v>2106187</v>
      </c>
      <c r="Q107" s="335">
        <v>2106347</v>
      </c>
      <c r="R107" s="335">
        <v>160</v>
      </c>
      <c r="S107" s="335">
        <v>17.829999999999998</v>
      </c>
      <c r="T107" s="335">
        <v>144.47999999999999</v>
      </c>
      <c r="U107" s="335" t="s">
        <v>232</v>
      </c>
      <c r="V107" s="335"/>
    </row>
    <row r="108" spans="15:22" ht="15" thickBot="1" x14ac:dyDescent="0.35">
      <c r="O108" s="335" t="s">
        <v>233</v>
      </c>
      <c r="P108" s="335">
        <v>2066288</v>
      </c>
      <c r="Q108" s="335">
        <v>2066848</v>
      </c>
      <c r="R108" s="335">
        <v>560</v>
      </c>
      <c r="S108" s="335">
        <v>0</v>
      </c>
      <c r="T108" s="335">
        <v>560.69000000000005</v>
      </c>
      <c r="U108" s="335" t="s">
        <v>200</v>
      </c>
      <c r="V108" s="335"/>
    </row>
    <row r="109" spans="15:22" ht="15" thickBot="1" x14ac:dyDescent="0.35">
      <c r="O109" s="335" t="s">
        <v>234</v>
      </c>
      <c r="P109" s="335">
        <v>2040866</v>
      </c>
      <c r="Q109" s="335">
        <v>2041124</v>
      </c>
      <c r="R109" s="335">
        <v>258</v>
      </c>
      <c r="S109" s="335">
        <v>3.82</v>
      </c>
      <c r="T109" s="335">
        <v>246.9</v>
      </c>
      <c r="U109" s="335" t="s">
        <v>235</v>
      </c>
      <c r="V109" s="335"/>
    </row>
    <row r="110" spans="15:22" ht="15" thickBot="1" x14ac:dyDescent="0.35">
      <c r="O110" s="335" t="s">
        <v>236</v>
      </c>
      <c r="P110" s="335">
        <v>1986589</v>
      </c>
      <c r="Q110" s="335">
        <v>1986999</v>
      </c>
      <c r="R110" s="335">
        <v>410</v>
      </c>
      <c r="S110" s="335">
        <v>17.829999999999998</v>
      </c>
      <c r="T110" s="335">
        <v>388.17</v>
      </c>
      <c r="U110" s="335">
        <v>4</v>
      </c>
      <c r="V110" s="335"/>
    </row>
    <row r="111" spans="15:22" ht="15" thickBot="1" x14ac:dyDescent="0.35">
      <c r="O111" s="335" t="s">
        <v>237</v>
      </c>
      <c r="P111" s="335">
        <v>1721010</v>
      </c>
      <c r="Q111" s="335">
        <v>1721264</v>
      </c>
      <c r="R111" s="335">
        <v>254</v>
      </c>
      <c r="S111" s="335">
        <v>17.829999999999998</v>
      </c>
      <c r="T111" s="335">
        <v>230.74</v>
      </c>
      <c r="U111" s="335" t="s">
        <v>238</v>
      </c>
      <c r="V111" s="335"/>
    </row>
    <row r="112" spans="15:22" ht="15" thickBot="1" x14ac:dyDescent="0.35">
      <c r="O112" s="335" t="s">
        <v>239</v>
      </c>
      <c r="P112" s="335">
        <v>2036758</v>
      </c>
      <c r="Q112" s="335">
        <v>2037362</v>
      </c>
      <c r="R112" s="335">
        <v>604</v>
      </c>
      <c r="S112" s="335">
        <v>0</v>
      </c>
      <c r="T112" s="335">
        <v>603.82000000000005</v>
      </c>
      <c r="U112" s="335" t="s">
        <v>240</v>
      </c>
      <c r="V112" s="335"/>
    </row>
    <row r="113" spans="15:22" ht="15" thickBot="1" x14ac:dyDescent="0.35">
      <c r="O113" s="335" t="s">
        <v>241</v>
      </c>
      <c r="P113" s="335">
        <v>669259</v>
      </c>
      <c r="Q113" s="335">
        <v>669461</v>
      </c>
      <c r="R113" s="335">
        <v>202</v>
      </c>
      <c r="S113" s="335">
        <v>7.64</v>
      </c>
      <c r="T113" s="335">
        <v>202.7</v>
      </c>
      <c r="U113" s="335" t="s">
        <v>242</v>
      </c>
      <c r="V113" s="335"/>
    </row>
    <row r="114" spans="15:22" ht="15" thickBot="1" x14ac:dyDescent="0.35">
      <c r="O114" s="335" t="s">
        <v>243</v>
      </c>
      <c r="P114" s="335">
        <v>610610</v>
      </c>
      <c r="Q114" s="335">
        <v>610855</v>
      </c>
      <c r="R114" s="335">
        <v>245</v>
      </c>
      <c r="S114" s="335">
        <v>0</v>
      </c>
      <c r="T114" s="335">
        <v>241.05</v>
      </c>
      <c r="U114" s="335" t="s">
        <v>244</v>
      </c>
      <c r="V114" s="335"/>
    </row>
    <row r="115" spans="15:22" ht="15" thickBot="1" x14ac:dyDescent="0.35">
      <c r="O115" s="335" t="s">
        <v>245</v>
      </c>
      <c r="P115" s="335">
        <v>649599</v>
      </c>
      <c r="Q115" s="335">
        <v>649792</v>
      </c>
      <c r="R115" s="335">
        <v>193</v>
      </c>
      <c r="S115" s="335">
        <v>11.46</v>
      </c>
      <c r="T115" s="335">
        <v>174.66</v>
      </c>
      <c r="U115" s="335" t="s">
        <v>246</v>
      </c>
      <c r="V115" s="335"/>
    </row>
    <row r="116" spans="15:22" ht="15" thickBot="1" x14ac:dyDescent="0.35">
      <c r="O116" s="335" t="s">
        <v>247</v>
      </c>
      <c r="P116" s="335">
        <v>667706</v>
      </c>
      <c r="Q116" s="335">
        <v>667958</v>
      </c>
      <c r="R116" s="335">
        <v>252</v>
      </c>
      <c r="S116" s="335">
        <v>7.64</v>
      </c>
      <c r="T116" s="335">
        <v>232.88</v>
      </c>
      <c r="U116" s="335" t="s">
        <v>248</v>
      </c>
      <c r="V116" s="335"/>
    </row>
    <row r="117" spans="15:22" ht="15" thickBot="1" x14ac:dyDescent="0.35">
      <c r="O117" s="335" t="s">
        <v>249</v>
      </c>
      <c r="P117" s="335">
        <v>641069</v>
      </c>
      <c r="Q117" s="335">
        <v>641156</v>
      </c>
      <c r="R117" s="335">
        <v>87</v>
      </c>
      <c r="S117" s="335">
        <v>0</v>
      </c>
      <c r="T117" s="335">
        <v>86.26</v>
      </c>
      <c r="U117" s="335" t="s">
        <v>250</v>
      </c>
      <c r="V117" s="335"/>
    </row>
    <row r="118" spans="15:22" ht="15" thickBot="1" x14ac:dyDescent="0.35">
      <c r="O118" s="335" t="s">
        <v>251</v>
      </c>
      <c r="P118" s="335">
        <v>692006</v>
      </c>
      <c r="Q118" s="335">
        <v>692199</v>
      </c>
      <c r="R118" s="335">
        <v>193</v>
      </c>
      <c r="S118" s="335">
        <v>17.829999999999998</v>
      </c>
      <c r="T118" s="335">
        <v>172.52</v>
      </c>
      <c r="U118" s="335" t="s">
        <v>252</v>
      </c>
      <c r="V118" s="335"/>
    </row>
    <row r="119" spans="15:22" ht="15" thickBot="1" x14ac:dyDescent="0.35">
      <c r="O119" s="335" t="s">
        <v>253</v>
      </c>
      <c r="P119" s="335">
        <v>340601</v>
      </c>
      <c r="Q119" s="335">
        <v>340826</v>
      </c>
      <c r="R119" s="335">
        <v>225</v>
      </c>
      <c r="S119" s="335">
        <v>3.82</v>
      </c>
      <c r="T119" s="335">
        <v>216.72</v>
      </c>
      <c r="U119" s="335" t="s">
        <v>254</v>
      </c>
      <c r="V119" s="335"/>
    </row>
    <row r="120" spans="15:22" ht="15" thickBot="1" x14ac:dyDescent="0.35">
      <c r="O120" s="337" t="s">
        <v>255</v>
      </c>
      <c r="P120" s="337">
        <v>665713</v>
      </c>
      <c r="Q120" s="337">
        <v>666061</v>
      </c>
      <c r="R120" s="337">
        <v>348</v>
      </c>
      <c r="S120" s="337">
        <v>17</v>
      </c>
      <c r="T120" s="337">
        <v>345.04</v>
      </c>
      <c r="U120" s="337" t="s">
        <v>256</v>
      </c>
      <c r="V120" s="338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259"/>
  <sheetViews>
    <sheetView tabSelected="1" zoomScaleNormal="100" workbookViewId="0">
      <pane ySplit="4" topLeftCell="A44" activePane="bottomLeft" state="frozen"/>
      <selection pane="bottomLeft" activeCell="I66" sqref="I66"/>
    </sheetView>
  </sheetViews>
  <sheetFormatPr baseColWidth="10" defaultColWidth="11.5546875" defaultRowHeight="14.4" x14ac:dyDescent="0.3"/>
  <cols>
    <col min="1" max="1" width="23.88671875" customWidth="1"/>
    <col min="2" max="2" width="11.6640625" customWidth="1"/>
    <col min="3" max="3" width="10.88671875" customWidth="1"/>
    <col min="4" max="4" width="10.33203125" customWidth="1"/>
    <col min="5" max="5" width="14.33203125" customWidth="1"/>
    <col min="6" max="6" width="13" customWidth="1"/>
    <col min="7" max="7" width="16" customWidth="1"/>
    <col min="8" max="8" width="16" style="125" customWidth="1"/>
    <col min="9" max="9" width="13.33203125" customWidth="1"/>
    <col min="12" max="12" width="14.109375" customWidth="1"/>
    <col min="14" max="14" width="15.109375" customWidth="1"/>
    <col min="16" max="16" width="12" customWidth="1"/>
    <col min="17" max="17" width="6.6640625" customWidth="1"/>
    <col min="18" max="18" width="6.33203125" customWidth="1"/>
    <col min="19" max="19" width="6" style="125" customWidth="1"/>
    <col min="20" max="20" width="8.109375" customWidth="1"/>
    <col min="21" max="21" width="5.33203125" customWidth="1"/>
    <col min="22" max="22" width="7.88671875" style="125" customWidth="1"/>
  </cols>
  <sheetData>
    <row r="1" spans="1:26" x14ac:dyDescent="0.3">
      <c r="A1" s="17"/>
      <c r="B1" s="18"/>
      <c r="C1" s="18"/>
      <c r="D1" s="18"/>
      <c r="E1" s="329" t="s">
        <v>186</v>
      </c>
      <c r="F1" s="329">
        <v>7.68</v>
      </c>
      <c r="H1" s="158" t="s">
        <v>125</v>
      </c>
      <c r="I1" s="158">
        <v>21.7</v>
      </c>
      <c r="J1" s="158" t="s">
        <v>35</v>
      </c>
      <c r="K1" s="158">
        <v>25.4</v>
      </c>
      <c r="L1" s="158" t="s">
        <v>36</v>
      </c>
      <c r="M1" s="158">
        <v>29.11</v>
      </c>
      <c r="N1" s="158" t="s">
        <v>119</v>
      </c>
      <c r="O1" s="158">
        <v>21.7</v>
      </c>
      <c r="P1" s="239" t="s">
        <v>157</v>
      </c>
      <c r="Q1" s="253">
        <v>8.3000000000000007</v>
      </c>
      <c r="R1" s="239" t="s">
        <v>158</v>
      </c>
      <c r="S1" s="253">
        <v>34.83</v>
      </c>
      <c r="T1" s="239" t="s">
        <v>169</v>
      </c>
      <c r="U1" s="297">
        <v>39.19</v>
      </c>
      <c r="W1" s="239" t="s">
        <v>161</v>
      </c>
      <c r="X1" s="269">
        <v>11.71</v>
      </c>
      <c r="Y1" s="125"/>
      <c r="Z1" s="125"/>
    </row>
    <row r="2" spans="1:26" ht="15" thickBot="1" x14ac:dyDescent="0.35">
      <c r="A2" s="17"/>
      <c r="B2" s="357" t="s">
        <v>37</v>
      </c>
      <c r="C2" s="357"/>
      <c r="D2" s="358" t="s">
        <v>37</v>
      </c>
      <c r="E2" s="358"/>
      <c r="F2" s="239" t="s">
        <v>189</v>
      </c>
      <c r="G2" s="333">
        <f>M2-K1</f>
        <v>17.730000000000004</v>
      </c>
      <c r="H2" s="210" t="s">
        <v>150</v>
      </c>
      <c r="I2" s="210">
        <v>30.4</v>
      </c>
      <c r="J2" s="158" t="s">
        <v>121</v>
      </c>
      <c r="K2" s="158">
        <v>25.4</v>
      </c>
      <c r="L2" s="158" t="s">
        <v>38</v>
      </c>
      <c r="M2" s="158">
        <v>43.13</v>
      </c>
      <c r="N2" s="158" t="s">
        <v>110</v>
      </c>
      <c r="O2" s="158">
        <v>35.729999999999997</v>
      </c>
      <c r="P2" s="239" t="s">
        <v>156</v>
      </c>
      <c r="Q2" s="237">
        <v>33.97</v>
      </c>
      <c r="R2" s="239" t="s">
        <v>159</v>
      </c>
      <c r="S2" s="265">
        <v>7.4</v>
      </c>
      <c r="T2" s="239" t="s">
        <v>170</v>
      </c>
      <c r="U2" s="299">
        <v>12.72</v>
      </c>
      <c r="W2" s="239" t="s">
        <v>164</v>
      </c>
      <c r="X2" s="300">
        <v>21.7</v>
      </c>
    </row>
    <row r="3" spans="1:26" ht="14.1" customHeight="1" x14ac:dyDescent="0.3">
      <c r="A3" s="17"/>
      <c r="B3" s="357" t="s">
        <v>39</v>
      </c>
      <c r="C3" s="357"/>
      <c r="D3" s="358" t="s">
        <v>40</v>
      </c>
      <c r="E3" s="358"/>
      <c r="F3" s="366" t="s">
        <v>41</v>
      </c>
      <c r="G3" s="366" t="s">
        <v>42</v>
      </c>
      <c r="H3" s="366" t="s">
        <v>187</v>
      </c>
      <c r="I3" s="366" t="s">
        <v>43</v>
      </c>
      <c r="J3" s="366" t="s">
        <v>44</v>
      </c>
      <c r="K3" s="366" t="s">
        <v>45</v>
      </c>
      <c r="L3" s="366" t="s">
        <v>46</v>
      </c>
      <c r="M3" s="366" t="s">
        <v>47</v>
      </c>
      <c r="N3" s="371" t="s">
        <v>48</v>
      </c>
      <c r="O3" s="371" t="s">
        <v>49</v>
      </c>
      <c r="P3" s="370"/>
      <c r="Q3" s="372" t="s">
        <v>142</v>
      </c>
      <c r="R3" s="373"/>
      <c r="S3" s="374"/>
      <c r="T3" s="375" t="s">
        <v>145</v>
      </c>
      <c r="U3" s="376"/>
      <c r="V3" s="377"/>
      <c r="W3" s="359" t="s">
        <v>146</v>
      </c>
      <c r="X3" s="359" t="s">
        <v>188</v>
      </c>
    </row>
    <row r="4" spans="1:26" ht="17.25" customHeight="1" thickBot="1" x14ac:dyDescent="0.35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66"/>
      <c r="G4" s="367"/>
      <c r="H4" s="367"/>
      <c r="I4" s="366"/>
      <c r="J4" s="366"/>
      <c r="K4" s="366"/>
      <c r="L4" s="366"/>
      <c r="M4" s="366"/>
      <c r="N4" s="371"/>
      <c r="O4" s="371"/>
      <c r="P4" s="370"/>
      <c r="Q4" s="198" t="s">
        <v>143</v>
      </c>
      <c r="R4" s="199" t="s">
        <v>144</v>
      </c>
      <c r="S4" s="199" t="s">
        <v>149</v>
      </c>
      <c r="T4" s="200" t="s">
        <v>143</v>
      </c>
      <c r="U4" s="242" t="s">
        <v>144</v>
      </c>
      <c r="V4" s="243" t="s">
        <v>149</v>
      </c>
      <c r="W4" s="360"/>
      <c r="X4" s="360"/>
    </row>
    <row r="5" spans="1:26" x14ac:dyDescent="0.3">
      <c r="A5" s="61">
        <v>45778</v>
      </c>
      <c r="B5" s="225">
        <v>51</v>
      </c>
      <c r="C5" s="225">
        <v>3</v>
      </c>
      <c r="D5" s="139">
        <f>'Data Ocupacion'!D41</f>
        <v>51</v>
      </c>
      <c r="E5" s="139">
        <f>'Data Ocupacion'!E41</f>
        <v>3</v>
      </c>
      <c r="F5" s="225" t="s">
        <v>38</v>
      </c>
      <c r="G5" s="225">
        <f t="shared" ref="G5:G10" si="0">D5+E5*2</f>
        <v>57</v>
      </c>
      <c r="H5" s="225">
        <f>B5+C5*2</f>
        <v>57</v>
      </c>
      <c r="I5" s="225">
        <f t="shared" ref="I5:I10" si="1">D5+E5</f>
        <v>54</v>
      </c>
      <c r="J5" s="225">
        <f>G5*M$2</f>
        <v>2458.4100000000003</v>
      </c>
      <c r="K5" s="154">
        <f>I5*M$2</f>
        <v>2329.02</v>
      </c>
      <c r="L5" s="225">
        <f t="shared" ref="L5:L10" si="2">J5*104</f>
        <v>255674.64000000004</v>
      </c>
      <c r="M5" s="225">
        <f t="shared" ref="M5:M10" si="3">I5*104</f>
        <v>5616</v>
      </c>
      <c r="N5" s="19"/>
      <c r="O5" s="19"/>
      <c r="P5" s="147"/>
      <c r="Q5" s="186"/>
      <c r="R5" s="186"/>
      <c r="S5" s="211"/>
      <c r="T5" s="303"/>
      <c r="U5" s="195"/>
      <c r="V5" s="235"/>
      <c r="W5" s="185">
        <f>J5-(Q5*($M$2-$K$1))-(R5*($M$2-$M$1))- (S5*($M$2-$I$2))+ (T5*($G$2))</f>
        <v>2458.4100000000003</v>
      </c>
      <c r="X5" s="185">
        <f>H5*$M$2</f>
        <v>2458.4100000000003</v>
      </c>
    </row>
    <row r="6" spans="1:26" ht="15" customHeight="1" x14ac:dyDescent="0.3">
      <c r="A6" s="222"/>
      <c r="B6" s="225">
        <v>57</v>
      </c>
      <c r="C6" s="225">
        <v>0</v>
      </c>
      <c r="D6" s="139">
        <f>'Data Ocupacion'!D42</f>
        <v>57</v>
      </c>
      <c r="E6" s="139">
        <f>'Data Ocupacion'!E42</f>
        <v>0</v>
      </c>
      <c r="F6" s="225" t="s">
        <v>52</v>
      </c>
      <c r="G6" s="225">
        <f t="shared" si="0"/>
        <v>57</v>
      </c>
      <c r="H6" s="225">
        <f t="shared" ref="H6:H10" si="4">B6+C6*2</f>
        <v>57</v>
      </c>
      <c r="I6" s="225">
        <f t="shared" si="1"/>
        <v>57</v>
      </c>
      <c r="J6" s="225">
        <f>G6*M$2</f>
        <v>2458.4100000000003</v>
      </c>
      <c r="K6" s="154">
        <f>I6*M$2</f>
        <v>2458.4100000000003</v>
      </c>
      <c r="L6" s="225">
        <f t="shared" si="2"/>
        <v>255674.64000000004</v>
      </c>
      <c r="M6" s="225">
        <f t="shared" si="3"/>
        <v>5928</v>
      </c>
      <c r="N6" s="19"/>
      <c r="O6" s="19"/>
      <c r="P6" s="147"/>
      <c r="Q6" s="190"/>
      <c r="R6" s="190"/>
      <c r="S6" s="223"/>
      <c r="T6" s="186"/>
      <c r="U6" s="223"/>
      <c r="V6" s="236"/>
      <c r="W6" s="188">
        <f>J6-(T6*($M$2-$K$1)+(U6*($M$2-$M$1)))</f>
        <v>2458.4100000000003</v>
      </c>
      <c r="X6" s="185">
        <f>H6*$M$2</f>
        <v>2458.4100000000003</v>
      </c>
    </row>
    <row r="7" spans="1:26" ht="15" customHeight="1" x14ac:dyDescent="0.3">
      <c r="A7" s="222"/>
      <c r="B7" s="225">
        <v>0</v>
      </c>
      <c r="C7" s="225">
        <v>0</v>
      </c>
      <c r="D7" s="139">
        <f>'Data Ocupacion'!D43</f>
        <v>0</v>
      </c>
      <c r="E7" s="139">
        <f>'Data Ocupacion'!E43</f>
        <v>0</v>
      </c>
      <c r="F7" s="225" t="s">
        <v>36</v>
      </c>
      <c r="G7" s="225">
        <f t="shared" si="0"/>
        <v>0</v>
      </c>
      <c r="H7" s="225">
        <f t="shared" si="4"/>
        <v>0</v>
      </c>
      <c r="I7" s="225">
        <f t="shared" si="1"/>
        <v>0</v>
      </c>
      <c r="J7" s="225">
        <f>G7*M$1</f>
        <v>0</v>
      </c>
      <c r="K7" s="154">
        <f>I7*M$1</f>
        <v>0</v>
      </c>
      <c r="L7" s="225">
        <f t="shared" si="2"/>
        <v>0</v>
      </c>
      <c r="M7" s="225">
        <f t="shared" si="3"/>
        <v>0</v>
      </c>
      <c r="N7" s="19"/>
      <c r="O7" s="19"/>
      <c r="P7" s="147"/>
      <c r="Q7" s="189"/>
      <c r="R7" s="191"/>
      <c r="S7" s="212"/>
      <c r="T7" s="192"/>
      <c r="U7" s="193"/>
      <c r="V7" s="193"/>
      <c r="W7" s="185">
        <f>J7-(Q7*($M$1-$K$1))</f>
        <v>0</v>
      </c>
      <c r="X7" s="185">
        <f>H7*$M$1</f>
        <v>0</v>
      </c>
    </row>
    <row r="8" spans="1:26" ht="15" customHeight="1" x14ac:dyDescent="0.3">
      <c r="A8" s="222"/>
      <c r="B8" s="225">
        <v>0</v>
      </c>
      <c r="C8" s="225">
        <v>0</v>
      </c>
      <c r="D8" s="139">
        <f>'Data Ocupacion'!D44</f>
        <v>0</v>
      </c>
      <c r="E8" s="139">
        <f>'Data Ocupacion'!E44</f>
        <v>0</v>
      </c>
      <c r="F8" s="225" t="s">
        <v>53</v>
      </c>
      <c r="G8" s="225">
        <f t="shared" si="0"/>
        <v>0</v>
      </c>
      <c r="H8" s="225">
        <f t="shared" si="4"/>
        <v>0</v>
      </c>
      <c r="I8" s="225">
        <f t="shared" si="1"/>
        <v>0</v>
      </c>
      <c r="J8" s="225">
        <f>G8*M$1</f>
        <v>0</v>
      </c>
      <c r="K8" s="154">
        <f>I8*M$1</f>
        <v>0</v>
      </c>
      <c r="L8" s="225">
        <f t="shared" si="2"/>
        <v>0</v>
      </c>
      <c r="M8" s="225">
        <f t="shared" si="3"/>
        <v>0</v>
      </c>
      <c r="N8" s="19"/>
      <c r="O8" s="19"/>
      <c r="P8" s="147"/>
      <c r="Q8" s="193"/>
      <c r="R8" s="193"/>
      <c r="S8" s="193"/>
      <c r="T8" s="193"/>
      <c r="U8" s="193"/>
      <c r="V8" s="193"/>
      <c r="W8" s="185">
        <f>J8</f>
        <v>0</v>
      </c>
      <c r="X8" s="185">
        <f>H8*$M$1</f>
        <v>0</v>
      </c>
    </row>
    <row r="9" spans="1:26" s="125" customFormat="1" ht="15" customHeight="1" x14ac:dyDescent="0.3">
      <c r="A9" s="222"/>
      <c r="B9" s="225">
        <v>0</v>
      </c>
      <c r="C9" s="225">
        <v>0</v>
      </c>
      <c r="D9" s="139">
        <f>'Data Ocupacion'!D45</f>
        <v>0</v>
      </c>
      <c r="E9" s="139">
        <f>'Data Ocupacion'!E45</f>
        <v>0</v>
      </c>
      <c r="F9" s="225" t="s">
        <v>122</v>
      </c>
      <c r="G9" s="225">
        <f t="shared" si="0"/>
        <v>0</v>
      </c>
      <c r="H9" s="225">
        <f t="shared" si="4"/>
        <v>0</v>
      </c>
      <c r="I9" s="225">
        <f t="shared" si="1"/>
        <v>0</v>
      </c>
      <c r="J9" s="225">
        <f>G9*K$1</f>
        <v>0</v>
      </c>
      <c r="K9" s="154">
        <f>I9*K$1</f>
        <v>0</v>
      </c>
      <c r="L9" s="225">
        <f t="shared" si="2"/>
        <v>0</v>
      </c>
      <c r="M9" s="225">
        <f t="shared" si="3"/>
        <v>0</v>
      </c>
      <c r="N9" s="19"/>
      <c r="O9" s="19"/>
      <c r="P9" s="147"/>
      <c r="Q9" s="193"/>
      <c r="R9" s="193"/>
      <c r="S9" s="193"/>
      <c r="T9" s="193"/>
      <c r="U9" s="193"/>
      <c r="V9" s="193"/>
      <c r="W9" s="185">
        <f>J9</f>
        <v>0</v>
      </c>
      <c r="X9" s="185">
        <f>H9*$K$1</f>
        <v>0</v>
      </c>
    </row>
    <row r="10" spans="1:26" ht="15.9" customHeight="1" thickBot="1" x14ac:dyDescent="0.35">
      <c r="A10" s="222"/>
      <c r="B10" s="225">
        <v>0</v>
      </c>
      <c r="C10" s="225">
        <v>0</v>
      </c>
      <c r="D10" s="139">
        <f>'Data Ocupacion'!D46</f>
        <v>0</v>
      </c>
      <c r="E10" s="139">
        <f>'Data Ocupacion'!E46</f>
        <v>0</v>
      </c>
      <c r="F10" s="225" t="s">
        <v>35</v>
      </c>
      <c r="G10" s="225">
        <f t="shared" si="0"/>
        <v>0</v>
      </c>
      <c r="H10" s="225">
        <f t="shared" si="4"/>
        <v>0</v>
      </c>
      <c r="I10" s="225">
        <f t="shared" si="1"/>
        <v>0</v>
      </c>
      <c r="J10" s="225">
        <f>G10*K$1</f>
        <v>0</v>
      </c>
      <c r="K10" s="154">
        <f>I10*K$1</f>
        <v>0</v>
      </c>
      <c r="L10" s="225">
        <f t="shared" si="2"/>
        <v>0</v>
      </c>
      <c r="M10" s="225">
        <f t="shared" si="3"/>
        <v>0</v>
      </c>
      <c r="N10" s="19"/>
      <c r="O10" s="19"/>
      <c r="P10" s="147"/>
      <c r="Q10" s="193"/>
      <c r="R10" s="193"/>
      <c r="S10" s="193"/>
      <c r="T10" s="193"/>
      <c r="U10" s="193"/>
      <c r="V10" s="193"/>
      <c r="W10" s="185">
        <f>J10</f>
        <v>0</v>
      </c>
      <c r="X10" s="185">
        <f>H10*$K$1</f>
        <v>0</v>
      </c>
    </row>
    <row r="11" spans="1:26" ht="15" thickBot="1" x14ac:dyDescent="0.35">
      <c r="A11" s="20"/>
      <c r="B11" s="224">
        <f>SUM(B5:B10)</f>
        <v>108</v>
      </c>
      <c r="C11" s="224">
        <f>SUM(C5:C10)</f>
        <v>3</v>
      </c>
      <c r="D11" s="149">
        <f>SUM(D5:D10)</f>
        <v>108</v>
      </c>
      <c r="E11" s="149">
        <f>SUM(E5:E10)</f>
        <v>3</v>
      </c>
      <c r="F11" s="120"/>
      <c r="G11" s="120">
        <f t="shared" ref="G11:M11" si="5">SUM(G5:G10)</f>
        <v>114</v>
      </c>
      <c r="H11" s="120">
        <f t="shared" si="5"/>
        <v>114</v>
      </c>
      <c r="I11" s="120">
        <f t="shared" si="5"/>
        <v>111</v>
      </c>
      <c r="J11" s="120">
        <f t="shared" si="5"/>
        <v>4916.8200000000006</v>
      </c>
      <c r="K11" s="120">
        <f t="shared" si="5"/>
        <v>4787.43</v>
      </c>
      <c r="L11" s="120">
        <f t="shared" si="5"/>
        <v>511349.28000000009</v>
      </c>
      <c r="M11" s="120">
        <f t="shared" si="5"/>
        <v>11544</v>
      </c>
      <c r="N11" s="124">
        <f>'Odometro-Kilometraje'!B81</f>
        <v>4943</v>
      </c>
      <c r="O11" s="21">
        <f>(W11/N11)*100</f>
        <v>99.470362128262195</v>
      </c>
      <c r="P11" s="196"/>
      <c r="Q11" s="184"/>
      <c r="R11" s="184"/>
      <c r="S11" s="184"/>
      <c r="T11" s="184"/>
      <c r="U11" s="184"/>
      <c r="V11" s="184"/>
      <c r="W11" s="197">
        <f>SUM(W5:W10)</f>
        <v>4916.8200000000006</v>
      </c>
      <c r="X11" s="197">
        <f>SUM(X5:X10)</f>
        <v>4916.8200000000006</v>
      </c>
    </row>
    <row r="12" spans="1:26" x14ac:dyDescent="0.3">
      <c r="A12" s="61">
        <f>A5+1</f>
        <v>45779</v>
      </c>
      <c r="B12" s="126">
        <v>47</v>
      </c>
      <c r="C12" s="126">
        <v>32</v>
      </c>
      <c r="D12" s="127">
        <f>'Data Ocupacion'!F41</f>
        <v>47</v>
      </c>
      <c r="E12" s="127">
        <f>'Data Ocupacion'!G41</f>
        <v>32</v>
      </c>
      <c r="F12" s="126" t="s">
        <v>38</v>
      </c>
      <c r="G12" s="126">
        <f t="shared" ref="G12:G17" si="6">D12+E12*2</f>
        <v>111</v>
      </c>
      <c r="H12" s="126">
        <f>B12+C12*2</f>
        <v>111</v>
      </c>
      <c r="I12" s="126">
        <f t="shared" ref="I12:I17" si="7">D12+E12</f>
        <v>79</v>
      </c>
      <c r="J12" s="126">
        <f>G12*M$2</f>
        <v>4787.43</v>
      </c>
      <c r="K12" s="154">
        <f>I12*M$2</f>
        <v>3407.27</v>
      </c>
      <c r="L12" s="126">
        <f t="shared" ref="L12:L17" si="8">J12*104</f>
        <v>497892.72000000003</v>
      </c>
      <c r="M12" s="126">
        <f t="shared" ref="M12:M17" si="9">I12*104</f>
        <v>8216</v>
      </c>
      <c r="N12" s="19"/>
      <c r="O12" s="19"/>
      <c r="P12" s="147"/>
      <c r="Q12" s="186">
        <v>4</v>
      </c>
      <c r="R12" s="186"/>
      <c r="S12" s="211"/>
      <c r="T12" s="186">
        <v>4</v>
      </c>
      <c r="U12" s="195"/>
      <c r="V12" s="235"/>
      <c r="W12" s="185">
        <f>J12-(Q12*($M$2-$K$1))-(R12*($M$2-$M$1))- (S12*($M$2-$I$2))+ (T12*($G$2))</f>
        <v>4787.43</v>
      </c>
      <c r="X12" s="185">
        <f>H12*$M$2</f>
        <v>4787.43</v>
      </c>
      <c r="Z12" s="125"/>
    </row>
    <row r="13" spans="1:26" ht="15" customHeight="1" x14ac:dyDescent="0.3">
      <c r="A13" s="222"/>
      <c r="B13" s="126">
        <v>45</v>
      </c>
      <c r="C13" s="126">
        <v>33</v>
      </c>
      <c r="D13" s="127">
        <f>'Data Ocupacion'!F42</f>
        <v>45</v>
      </c>
      <c r="E13" s="127">
        <f>'Data Ocupacion'!G42</f>
        <v>33</v>
      </c>
      <c r="F13" s="126" t="s">
        <v>52</v>
      </c>
      <c r="G13" s="126">
        <f t="shared" si="6"/>
        <v>111</v>
      </c>
      <c r="H13" s="126">
        <f t="shared" ref="H13:H17" si="10">B13+C13*2</f>
        <v>111</v>
      </c>
      <c r="I13" s="126">
        <f t="shared" si="7"/>
        <v>78</v>
      </c>
      <c r="J13" s="126">
        <f>G13*M$2</f>
        <v>4787.43</v>
      </c>
      <c r="K13" s="154">
        <f>I13*M$2</f>
        <v>3364.1400000000003</v>
      </c>
      <c r="L13" s="126">
        <f t="shared" si="8"/>
        <v>497892.72000000003</v>
      </c>
      <c r="M13" s="126">
        <f t="shared" si="9"/>
        <v>8112</v>
      </c>
      <c r="N13" s="19"/>
      <c r="O13" s="19"/>
      <c r="P13" s="147"/>
      <c r="Q13" s="190"/>
      <c r="R13" s="190"/>
      <c r="S13" s="190"/>
      <c r="T13" s="186"/>
      <c r="U13" s="186"/>
      <c r="V13" s="211"/>
      <c r="W13" s="188">
        <f>J13-(T13*($M$2-$K$1)+(U13*($M$2-$M$1)))</f>
        <v>4787.43</v>
      </c>
      <c r="X13" s="185">
        <f>H13*$M$2</f>
        <v>4787.43</v>
      </c>
      <c r="Z13" s="125"/>
    </row>
    <row r="14" spans="1:26" ht="15.9" customHeight="1" x14ac:dyDescent="0.3">
      <c r="A14" s="222"/>
      <c r="B14" s="126">
        <v>29</v>
      </c>
      <c r="C14" s="126">
        <v>4</v>
      </c>
      <c r="D14" s="127">
        <f>'Data Ocupacion'!F43</f>
        <v>29</v>
      </c>
      <c r="E14" s="127">
        <f>'Data Ocupacion'!G43</f>
        <v>4</v>
      </c>
      <c r="F14" s="126" t="s">
        <v>36</v>
      </c>
      <c r="G14" s="126">
        <f t="shared" si="6"/>
        <v>37</v>
      </c>
      <c r="H14" s="126">
        <f t="shared" si="10"/>
        <v>37</v>
      </c>
      <c r="I14" s="126">
        <f t="shared" si="7"/>
        <v>33</v>
      </c>
      <c r="J14" s="126">
        <f>G14*M$1</f>
        <v>1077.07</v>
      </c>
      <c r="K14" s="154">
        <f>I14*M$1</f>
        <v>960.63</v>
      </c>
      <c r="L14" s="126">
        <f t="shared" si="8"/>
        <v>112015.28</v>
      </c>
      <c r="M14" s="126">
        <f t="shared" si="9"/>
        <v>3432</v>
      </c>
      <c r="N14" s="19"/>
      <c r="O14" s="19"/>
      <c r="P14" s="147"/>
      <c r="Q14" s="189"/>
      <c r="R14" s="191"/>
      <c r="S14" s="212"/>
      <c r="T14" s="192"/>
      <c r="U14" s="193"/>
      <c r="V14" s="193"/>
      <c r="W14" s="185">
        <f>J14-(Q14*($M$1-$K$1))</f>
        <v>1077.07</v>
      </c>
      <c r="X14" s="185">
        <f>H14*$M$1</f>
        <v>1077.07</v>
      </c>
      <c r="Z14" s="125"/>
    </row>
    <row r="15" spans="1:26" ht="15" customHeight="1" x14ac:dyDescent="0.3">
      <c r="A15" s="222"/>
      <c r="B15" s="126">
        <v>28</v>
      </c>
      <c r="C15" s="126">
        <v>4</v>
      </c>
      <c r="D15" s="127">
        <f>'Data Ocupacion'!F44</f>
        <v>28</v>
      </c>
      <c r="E15" s="127">
        <f>'Data Ocupacion'!G44</f>
        <v>4</v>
      </c>
      <c r="F15" s="126" t="s">
        <v>53</v>
      </c>
      <c r="G15" s="126">
        <f t="shared" si="6"/>
        <v>36</v>
      </c>
      <c r="H15" s="126">
        <f t="shared" si="10"/>
        <v>36</v>
      </c>
      <c r="I15" s="126">
        <f t="shared" si="7"/>
        <v>32</v>
      </c>
      <c r="J15" s="126">
        <f>G15*M$1</f>
        <v>1047.96</v>
      </c>
      <c r="K15" s="154">
        <f>I15*M$1</f>
        <v>931.52</v>
      </c>
      <c r="L15" s="126">
        <f t="shared" si="8"/>
        <v>108987.84</v>
      </c>
      <c r="M15" s="126">
        <f t="shared" si="9"/>
        <v>3328</v>
      </c>
      <c r="N15" s="166"/>
      <c r="O15" s="19"/>
      <c r="P15" s="147"/>
      <c r="Q15" s="193"/>
      <c r="R15" s="193"/>
      <c r="S15" s="193"/>
      <c r="T15" s="193"/>
      <c r="U15" s="193"/>
      <c r="V15" s="193"/>
      <c r="W15" s="185">
        <f>J15</f>
        <v>1047.96</v>
      </c>
      <c r="X15" s="185">
        <f>H15*$M$1</f>
        <v>1047.96</v>
      </c>
    </row>
    <row r="16" spans="1:26" s="125" customFormat="1" ht="15" customHeight="1" x14ac:dyDescent="0.3">
      <c r="A16" s="222"/>
      <c r="B16" s="126">
        <v>0</v>
      </c>
      <c r="C16" s="126">
        <v>0</v>
      </c>
      <c r="D16" s="127">
        <f>'Data Ocupacion'!F45</f>
        <v>0</v>
      </c>
      <c r="E16" s="127">
        <f>'Data Ocupacion'!G45</f>
        <v>0</v>
      </c>
      <c r="F16" s="126" t="s">
        <v>122</v>
      </c>
      <c r="G16" s="126">
        <f t="shared" si="6"/>
        <v>0</v>
      </c>
      <c r="H16" s="126">
        <f t="shared" si="10"/>
        <v>0</v>
      </c>
      <c r="I16" s="126">
        <f t="shared" si="7"/>
        <v>0</v>
      </c>
      <c r="J16" s="126">
        <f>G16*K$1</f>
        <v>0</v>
      </c>
      <c r="K16" s="154">
        <f>I16*K$1</f>
        <v>0</v>
      </c>
      <c r="L16" s="126">
        <f t="shared" si="8"/>
        <v>0</v>
      </c>
      <c r="M16" s="126">
        <f t="shared" si="9"/>
        <v>0</v>
      </c>
      <c r="N16" s="166"/>
      <c r="O16" s="19"/>
      <c r="P16" s="147"/>
      <c r="Q16" s="193"/>
      <c r="R16" s="193"/>
      <c r="S16" s="193"/>
      <c r="T16" s="193"/>
      <c r="U16" s="193"/>
      <c r="V16" s="193"/>
      <c r="W16" s="185">
        <f>J16</f>
        <v>0</v>
      </c>
      <c r="X16" s="185">
        <f>H16*$K$1</f>
        <v>0</v>
      </c>
    </row>
    <row r="17" spans="1:24" s="125" customFormat="1" ht="15" customHeight="1" thickBot="1" x14ac:dyDescent="0.35">
      <c r="A17" s="222"/>
      <c r="B17" s="126">
        <v>1</v>
      </c>
      <c r="C17" s="126">
        <v>0</v>
      </c>
      <c r="D17" s="127">
        <f>'Data Ocupacion'!F46</f>
        <v>1</v>
      </c>
      <c r="E17" s="127">
        <f>'Data Ocupacion'!G46</f>
        <v>0</v>
      </c>
      <c r="F17" s="126" t="s">
        <v>35</v>
      </c>
      <c r="G17" s="126">
        <f t="shared" si="6"/>
        <v>1</v>
      </c>
      <c r="H17" s="126">
        <f t="shared" si="10"/>
        <v>1</v>
      </c>
      <c r="I17" s="126">
        <f t="shared" si="7"/>
        <v>1</v>
      </c>
      <c r="J17" s="126">
        <f>G17*K$1</f>
        <v>25.4</v>
      </c>
      <c r="K17" s="154">
        <f>I17*K$1</f>
        <v>25.4</v>
      </c>
      <c r="L17" s="126">
        <f t="shared" si="8"/>
        <v>2641.6</v>
      </c>
      <c r="M17" s="126">
        <f t="shared" si="9"/>
        <v>104</v>
      </c>
      <c r="N17" s="19"/>
      <c r="O17" s="19"/>
      <c r="P17" s="147"/>
      <c r="Q17" s="193"/>
      <c r="R17" s="193"/>
      <c r="S17" s="193"/>
      <c r="T17" s="193"/>
      <c r="U17" s="193"/>
      <c r="V17" s="193"/>
      <c r="W17" s="185">
        <f>J17</f>
        <v>25.4</v>
      </c>
      <c r="X17" s="185">
        <f>H17*$K$1</f>
        <v>25.4</v>
      </c>
    </row>
    <row r="18" spans="1:24" ht="15" thickBot="1" x14ac:dyDescent="0.35">
      <c r="A18" s="20"/>
      <c r="B18" s="224">
        <f>SUM(B12:B17)</f>
        <v>150</v>
      </c>
      <c r="C18" s="224">
        <f>SUM(C12:C17)</f>
        <v>73</v>
      </c>
      <c r="D18" s="149">
        <f>SUM(D12:D17)</f>
        <v>150</v>
      </c>
      <c r="E18" s="149">
        <f>SUM(E12:E17)</f>
        <v>73</v>
      </c>
      <c r="F18" s="120"/>
      <c r="G18" s="120">
        <f t="shared" ref="G18:M18" si="11">SUM(G12:G17)</f>
        <v>296</v>
      </c>
      <c r="H18" s="120">
        <f t="shared" si="11"/>
        <v>296</v>
      </c>
      <c r="I18" s="120">
        <f t="shared" si="11"/>
        <v>223</v>
      </c>
      <c r="J18" s="120">
        <f t="shared" si="11"/>
        <v>11725.289999999999</v>
      </c>
      <c r="K18" s="120">
        <f t="shared" si="11"/>
        <v>8688.9599999999991</v>
      </c>
      <c r="L18" s="120">
        <f t="shared" si="11"/>
        <v>1219430.1600000001</v>
      </c>
      <c r="M18" s="120">
        <f t="shared" si="11"/>
        <v>23192</v>
      </c>
      <c r="N18" s="124">
        <f>'Odometro-Kilometraje'!C81</f>
        <v>12128</v>
      </c>
      <c r="O18" s="21">
        <f>(W18/N18)*100</f>
        <v>96.679501978891807</v>
      </c>
      <c r="P18" s="196"/>
      <c r="Q18" s="184"/>
      <c r="R18" s="184"/>
      <c r="S18" s="184"/>
      <c r="T18" s="184"/>
      <c r="U18" s="184"/>
      <c r="V18" s="184"/>
      <c r="W18" s="197">
        <f>SUM(W12:W17)</f>
        <v>11725.289999999999</v>
      </c>
      <c r="X18" s="197">
        <f>SUM(X12:X17)</f>
        <v>11725.289999999999</v>
      </c>
    </row>
    <row r="19" spans="1:24" x14ac:dyDescent="0.3">
      <c r="A19" s="61">
        <f>A12+1</f>
        <v>45780</v>
      </c>
      <c r="B19" s="117">
        <v>69</v>
      </c>
      <c r="C19" s="117">
        <v>3</v>
      </c>
      <c r="D19" s="148">
        <f>'Data Ocupacion'!H41</f>
        <v>69</v>
      </c>
      <c r="E19" s="148">
        <f>'Data Ocupacion'!I41</f>
        <v>3</v>
      </c>
      <c r="F19" s="117" t="s">
        <v>38</v>
      </c>
      <c r="G19" s="117">
        <f t="shared" ref="G19:G24" si="12">D19+E19*2</f>
        <v>75</v>
      </c>
      <c r="H19" s="117">
        <f>B19+C19*2</f>
        <v>75</v>
      </c>
      <c r="I19" s="117">
        <f t="shared" ref="I19:I24" si="13">D19+E19</f>
        <v>72</v>
      </c>
      <c r="J19" s="117">
        <f>G19*M$2</f>
        <v>3234.75</v>
      </c>
      <c r="K19" s="154">
        <f>I19*M$2</f>
        <v>3105.36</v>
      </c>
      <c r="L19" s="117">
        <f t="shared" ref="L19:L24" si="14">J19*104</f>
        <v>336414</v>
      </c>
      <c r="M19" s="117">
        <f t="shared" ref="M19:M24" si="15">I19*104</f>
        <v>7488</v>
      </c>
      <c r="N19" s="19"/>
      <c r="O19" s="19"/>
      <c r="P19" s="147"/>
      <c r="Q19" s="186"/>
      <c r="R19" s="186"/>
      <c r="S19" s="211"/>
      <c r="T19" s="186"/>
      <c r="U19" s="195"/>
      <c r="V19" s="235"/>
      <c r="W19" s="185">
        <f>J19-(Q19*($M$2-$K$1))-(R19*($M$2-$M$1))- (S19*($M$2-$I$2))+ (T19*($G$2))</f>
        <v>3234.75</v>
      </c>
      <c r="X19" s="185">
        <f>H19*$M$2</f>
        <v>3234.75</v>
      </c>
    </row>
    <row r="20" spans="1:24" ht="15.9" customHeight="1" x14ac:dyDescent="0.3">
      <c r="A20" s="222"/>
      <c r="B20" s="117">
        <v>75</v>
      </c>
      <c r="C20" s="117">
        <v>0</v>
      </c>
      <c r="D20" s="148">
        <f>'Data Ocupacion'!H42</f>
        <v>75</v>
      </c>
      <c r="E20" s="148">
        <f>'Data Ocupacion'!I42</f>
        <v>0</v>
      </c>
      <c r="F20" s="117" t="s">
        <v>52</v>
      </c>
      <c r="G20" s="117">
        <f t="shared" si="12"/>
        <v>75</v>
      </c>
      <c r="H20" s="117">
        <f t="shared" ref="H20:H24" si="16">B20+C20*2</f>
        <v>75</v>
      </c>
      <c r="I20" s="117">
        <f t="shared" si="13"/>
        <v>75</v>
      </c>
      <c r="J20" s="117">
        <f>G20*M$2</f>
        <v>3234.75</v>
      </c>
      <c r="K20" s="154">
        <f>I20*M$2</f>
        <v>3234.75</v>
      </c>
      <c r="L20" s="117">
        <f t="shared" si="14"/>
        <v>336414</v>
      </c>
      <c r="M20" s="117">
        <f t="shared" si="15"/>
        <v>7800</v>
      </c>
      <c r="N20" s="19"/>
      <c r="O20" s="19"/>
      <c r="P20" s="147"/>
      <c r="Q20" s="190"/>
      <c r="R20" s="190"/>
      <c r="S20" s="223"/>
      <c r="T20" s="186"/>
      <c r="U20" s="223"/>
      <c r="V20" s="236"/>
      <c r="W20" s="188">
        <f>J20-(T20*($M$2-$K$1)+(U20*($M$2-$M$1)))</f>
        <v>3234.75</v>
      </c>
      <c r="X20" s="185">
        <f>H20*$M$2</f>
        <v>3234.75</v>
      </c>
    </row>
    <row r="21" spans="1:24" ht="15" customHeight="1" x14ac:dyDescent="0.3">
      <c r="A21" s="222"/>
      <c r="B21" s="117">
        <v>0</v>
      </c>
      <c r="C21" s="117">
        <v>0</v>
      </c>
      <c r="D21" s="148">
        <f>'Data Ocupacion'!H43</f>
        <v>0</v>
      </c>
      <c r="E21" s="148">
        <f>'Data Ocupacion'!I43</f>
        <v>0</v>
      </c>
      <c r="F21" s="117" t="s">
        <v>36</v>
      </c>
      <c r="G21" s="117">
        <f t="shared" si="12"/>
        <v>0</v>
      </c>
      <c r="H21" s="117">
        <f t="shared" si="16"/>
        <v>0</v>
      </c>
      <c r="I21" s="117">
        <f t="shared" si="13"/>
        <v>0</v>
      </c>
      <c r="J21" s="117">
        <f>G21*M$1</f>
        <v>0</v>
      </c>
      <c r="K21" s="154">
        <f>I21*M$1</f>
        <v>0</v>
      </c>
      <c r="L21" s="117">
        <f t="shared" si="14"/>
        <v>0</v>
      </c>
      <c r="M21" s="117">
        <f t="shared" si="15"/>
        <v>0</v>
      </c>
      <c r="N21" s="19"/>
      <c r="O21" s="19"/>
      <c r="P21" s="147"/>
      <c r="Q21" s="189"/>
      <c r="R21" s="191"/>
      <c r="S21" s="212"/>
      <c r="T21" s="192"/>
      <c r="U21" s="193"/>
      <c r="V21" s="193"/>
      <c r="W21" s="185">
        <f>J21-(Q21*($M$1-$K$1))</f>
        <v>0</v>
      </c>
      <c r="X21" s="185">
        <f>H21*$M$1</f>
        <v>0</v>
      </c>
    </row>
    <row r="22" spans="1:24" ht="15" customHeight="1" x14ac:dyDescent="0.3">
      <c r="A22" s="222"/>
      <c r="B22" s="117">
        <v>0</v>
      </c>
      <c r="C22" s="117">
        <v>0</v>
      </c>
      <c r="D22" s="148">
        <f>'Data Ocupacion'!H44</f>
        <v>0</v>
      </c>
      <c r="E22" s="148">
        <f>'Data Ocupacion'!I44</f>
        <v>0</v>
      </c>
      <c r="F22" s="117" t="s">
        <v>53</v>
      </c>
      <c r="G22" s="117">
        <f t="shared" si="12"/>
        <v>0</v>
      </c>
      <c r="H22" s="117">
        <f t="shared" si="16"/>
        <v>0</v>
      </c>
      <c r="I22" s="117">
        <f t="shared" si="13"/>
        <v>0</v>
      </c>
      <c r="J22" s="117">
        <f>G22*M$1</f>
        <v>0</v>
      </c>
      <c r="K22" s="154">
        <f>I22*M$1</f>
        <v>0</v>
      </c>
      <c r="L22" s="117">
        <f t="shared" si="14"/>
        <v>0</v>
      </c>
      <c r="M22" s="117">
        <f t="shared" si="15"/>
        <v>0</v>
      </c>
      <c r="N22" s="19"/>
      <c r="O22" s="19"/>
      <c r="P22" s="147"/>
      <c r="Q22" s="193"/>
      <c r="R22" s="193"/>
      <c r="S22" s="193"/>
      <c r="T22" s="193"/>
      <c r="U22" s="193"/>
      <c r="V22" s="193"/>
      <c r="W22" s="185">
        <f>J22</f>
        <v>0</v>
      </c>
      <c r="X22" s="185">
        <f>H22*$M$1</f>
        <v>0</v>
      </c>
    </row>
    <row r="23" spans="1:24" s="125" customFormat="1" ht="15" customHeight="1" x14ac:dyDescent="0.3">
      <c r="A23" s="222"/>
      <c r="B23" s="117">
        <v>0</v>
      </c>
      <c r="C23" s="117">
        <v>0</v>
      </c>
      <c r="D23" s="148">
        <f>'Data Ocupacion'!H45</f>
        <v>0</v>
      </c>
      <c r="E23" s="148">
        <f>'Data Ocupacion'!I45</f>
        <v>0</v>
      </c>
      <c r="F23" s="117" t="s">
        <v>122</v>
      </c>
      <c r="G23" s="117">
        <f t="shared" si="12"/>
        <v>0</v>
      </c>
      <c r="H23" s="117">
        <f t="shared" si="16"/>
        <v>0</v>
      </c>
      <c r="I23" s="117">
        <f t="shared" si="13"/>
        <v>0</v>
      </c>
      <c r="J23" s="117">
        <f>G23*K$1</f>
        <v>0</v>
      </c>
      <c r="K23" s="154">
        <f>I23*K$1</f>
        <v>0</v>
      </c>
      <c r="L23" s="117">
        <f t="shared" si="14"/>
        <v>0</v>
      </c>
      <c r="M23" s="117">
        <f t="shared" si="15"/>
        <v>0</v>
      </c>
      <c r="N23" s="19"/>
      <c r="O23" s="19"/>
      <c r="P23" s="147"/>
      <c r="Q23" s="193"/>
      <c r="R23" s="193"/>
      <c r="S23" s="193"/>
      <c r="T23" s="193"/>
      <c r="U23" s="193"/>
      <c r="V23" s="193"/>
      <c r="W23" s="185">
        <f>J23</f>
        <v>0</v>
      </c>
      <c r="X23" s="185">
        <f>H23*$K$1</f>
        <v>0</v>
      </c>
    </row>
    <row r="24" spans="1:24" s="125" customFormat="1" ht="15" customHeight="1" thickBot="1" x14ac:dyDescent="0.35">
      <c r="A24" s="222"/>
      <c r="B24" s="117">
        <v>0</v>
      </c>
      <c r="C24" s="117">
        <v>0</v>
      </c>
      <c r="D24" s="148">
        <f>'Data Ocupacion'!H46</f>
        <v>0</v>
      </c>
      <c r="E24" s="148">
        <f>'Data Ocupacion'!I46</f>
        <v>0</v>
      </c>
      <c r="F24" s="117" t="s">
        <v>35</v>
      </c>
      <c r="G24" s="117">
        <f t="shared" si="12"/>
        <v>0</v>
      </c>
      <c r="H24" s="117">
        <f t="shared" si="16"/>
        <v>0</v>
      </c>
      <c r="I24" s="117">
        <f t="shared" si="13"/>
        <v>0</v>
      </c>
      <c r="J24" s="117">
        <f>G24*K$1</f>
        <v>0</v>
      </c>
      <c r="K24" s="154">
        <f>I24*K$1</f>
        <v>0</v>
      </c>
      <c r="L24" s="117">
        <f t="shared" si="14"/>
        <v>0</v>
      </c>
      <c r="M24" s="117">
        <f t="shared" si="15"/>
        <v>0</v>
      </c>
      <c r="N24" s="19"/>
      <c r="O24" s="19"/>
      <c r="P24" s="147"/>
      <c r="Q24" s="193"/>
      <c r="R24" s="193"/>
      <c r="S24" s="193"/>
      <c r="T24" s="193"/>
      <c r="U24" s="193"/>
      <c r="V24" s="193"/>
      <c r="W24" s="185">
        <f>J24</f>
        <v>0</v>
      </c>
      <c r="X24" s="185">
        <f>H24*$K$1</f>
        <v>0</v>
      </c>
    </row>
    <row r="25" spans="1:24" ht="15.9" customHeight="1" thickBot="1" x14ac:dyDescent="0.35">
      <c r="A25" s="20"/>
      <c r="B25" s="224">
        <f>SUM(B19:B24)</f>
        <v>144</v>
      </c>
      <c r="C25" s="224">
        <f>SUM(C19:C24)</f>
        <v>3</v>
      </c>
      <c r="D25" s="153">
        <f>SUM(D19:D24)</f>
        <v>144</v>
      </c>
      <c r="E25" s="153">
        <f>SUM(E19:E24)</f>
        <v>3</v>
      </c>
      <c r="F25" s="120"/>
      <c r="G25" s="120">
        <f t="shared" ref="G25:M25" si="17">SUM(G19:G24)</f>
        <v>150</v>
      </c>
      <c r="H25" s="120">
        <f t="shared" si="17"/>
        <v>150</v>
      </c>
      <c r="I25" s="120">
        <f t="shared" si="17"/>
        <v>147</v>
      </c>
      <c r="J25" s="121">
        <f t="shared" si="17"/>
        <v>6469.5</v>
      </c>
      <c r="K25" s="120">
        <f t="shared" si="17"/>
        <v>6340.1100000000006</v>
      </c>
      <c r="L25" s="119">
        <f t="shared" si="17"/>
        <v>672828</v>
      </c>
      <c r="M25" s="152">
        <f t="shared" si="17"/>
        <v>15288</v>
      </c>
      <c r="N25" s="183">
        <f>'Odometro-Kilometraje'!D81</f>
        <v>6489</v>
      </c>
      <c r="O25" s="21">
        <f>(W25/N25)*100</f>
        <v>99.699491447064261</v>
      </c>
      <c r="P25" s="196"/>
      <c r="Q25" s="184"/>
      <c r="R25" s="184"/>
      <c r="S25" s="184"/>
      <c r="T25" s="184"/>
      <c r="U25" s="184"/>
      <c r="V25" s="184"/>
      <c r="W25" s="197">
        <f>SUM(W19:W24)</f>
        <v>6469.5</v>
      </c>
      <c r="X25" s="197">
        <f>SUM(X19:X24)</f>
        <v>6469.5</v>
      </c>
    </row>
    <row r="26" spans="1:24" x14ac:dyDescent="0.3">
      <c r="A26" s="61">
        <f>A19+1</f>
        <v>45781</v>
      </c>
      <c r="B26" s="225">
        <v>51</v>
      </c>
      <c r="C26" s="225">
        <v>3</v>
      </c>
      <c r="D26" s="139">
        <f>'Data Ocupacion'!J41</f>
        <v>51</v>
      </c>
      <c r="E26" s="139">
        <f>'Data Ocupacion'!K41</f>
        <v>3</v>
      </c>
      <c r="F26" s="225" t="s">
        <v>38</v>
      </c>
      <c r="G26" s="225">
        <f t="shared" ref="G26:G31" si="18">D26+E26*2</f>
        <v>57</v>
      </c>
      <c r="H26" s="225">
        <f>B26+C26*2</f>
        <v>57</v>
      </c>
      <c r="I26" s="225">
        <f t="shared" ref="I26:I31" si="19">D26+E26</f>
        <v>54</v>
      </c>
      <c r="J26" s="225">
        <f>G26*M$2</f>
        <v>2458.4100000000003</v>
      </c>
      <c r="K26" s="154">
        <f>I26*M$2</f>
        <v>2329.02</v>
      </c>
      <c r="L26" s="225">
        <f t="shared" ref="L26:L31" si="20">J26*104</f>
        <v>255674.64000000004</v>
      </c>
      <c r="M26" s="225">
        <f t="shared" ref="M26:M31" si="21">I26*104</f>
        <v>5616</v>
      </c>
      <c r="N26" s="19"/>
      <c r="O26" s="19"/>
      <c r="P26" s="147"/>
      <c r="Q26" s="186"/>
      <c r="R26" s="186"/>
      <c r="S26" s="211"/>
      <c r="T26" s="186"/>
      <c r="U26" s="195"/>
      <c r="V26" s="235"/>
      <c r="W26" s="185">
        <f>J26-(Q26*($M$2-$K$1))-(R26*($M$2-$M$1))- (S26*($M$2-$I$2))+ (T26*($G$2))</f>
        <v>2458.4100000000003</v>
      </c>
      <c r="X26" s="185">
        <f>H26*$M$2</f>
        <v>2458.4100000000003</v>
      </c>
    </row>
    <row r="27" spans="1:24" ht="17.25" customHeight="1" x14ac:dyDescent="0.3">
      <c r="A27" s="262"/>
      <c r="B27" s="225">
        <v>57</v>
      </c>
      <c r="C27" s="225">
        <v>0</v>
      </c>
      <c r="D27" s="139">
        <f>'Data Ocupacion'!J42</f>
        <v>57</v>
      </c>
      <c r="E27" s="139">
        <f>'Data Ocupacion'!K42</f>
        <v>0</v>
      </c>
      <c r="F27" s="225" t="s">
        <v>52</v>
      </c>
      <c r="G27" s="225">
        <f t="shared" si="18"/>
        <v>57</v>
      </c>
      <c r="H27" s="225">
        <f t="shared" ref="H27:H31" si="22">B27+C27*2</f>
        <v>57</v>
      </c>
      <c r="I27" s="225">
        <f t="shared" si="19"/>
        <v>57</v>
      </c>
      <c r="J27" s="225">
        <f>G27*M$2</f>
        <v>2458.4100000000003</v>
      </c>
      <c r="K27" s="154">
        <f>I27*M$2</f>
        <v>2458.4100000000003</v>
      </c>
      <c r="L27" s="225">
        <f t="shared" si="20"/>
        <v>255674.64000000004</v>
      </c>
      <c r="M27" s="225">
        <f t="shared" si="21"/>
        <v>5928</v>
      </c>
      <c r="N27" s="19"/>
      <c r="O27" s="19"/>
      <c r="P27" s="147"/>
      <c r="Q27" s="190"/>
      <c r="R27" s="190"/>
      <c r="S27" s="223"/>
      <c r="T27" s="186"/>
      <c r="U27" s="223"/>
      <c r="V27" s="236"/>
      <c r="W27" s="188">
        <f>J27-(T27*($M$2-$K$1)+(U27*($M$2-$M$1))+(V27*($M$2-$I$2)))</f>
        <v>2458.4100000000003</v>
      </c>
      <c r="X27" s="185">
        <f>H27*$M$2</f>
        <v>2458.4100000000003</v>
      </c>
    </row>
    <row r="28" spans="1:24" ht="15" customHeight="1" x14ac:dyDescent="0.3">
      <c r="A28" s="262"/>
      <c r="B28" s="225">
        <v>0</v>
      </c>
      <c r="C28" s="225">
        <v>0</v>
      </c>
      <c r="D28" s="139">
        <f>'Data Ocupacion'!J43</f>
        <v>0</v>
      </c>
      <c r="E28" s="139">
        <f>'Data Ocupacion'!K43</f>
        <v>0</v>
      </c>
      <c r="F28" s="225" t="s">
        <v>36</v>
      </c>
      <c r="G28" s="225">
        <f t="shared" si="18"/>
        <v>0</v>
      </c>
      <c r="H28" s="225">
        <f t="shared" si="22"/>
        <v>0</v>
      </c>
      <c r="I28" s="225">
        <f t="shared" si="19"/>
        <v>0</v>
      </c>
      <c r="J28" s="225">
        <f>G28*M$1</f>
        <v>0</v>
      </c>
      <c r="K28" s="154">
        <f>I28*M$1</f>
        <v>0</v>
      </c>
      <c r="L28" s="225">
        <f t="shared" si="20"/>
        <v>0</v>
      </c>
      <c r="M28" s="225">
        <f t="shared" si="21"/>
        <v>0</v>
      </c>
      <c r="N28" s="19"/>
      <c r="O28" s="19"/>
      <c r="P28" s="147"/>
      <c r="Q28" s="189"/>
      <c r="R28" s="191"/>
      <c r="S28" s="212"/>
      <c r="T28" s="192"/>
      <c r="U28" s="193"/>
      <c r="V28" s="193"/>
      <c r="W28" s="185">
        <f>J28-(Q28*($M$1-$K$1))</f>
        <v>0</v>
      </c>
      <c r="X28" s="185">
        <f>H28*$M$1</f>
        <v>0</v>
      </c>
    </row>
    <row r="29" spans="1:24" ht="15" customHeight="1" x14ac:dyDescent="0.3">
      <c r="A29" s="262"/>
      <c r="B29" s="225">
        <v>0</v>
      </c>
      <c r="C29" s="225">
        <v>0</v>
      </c>
      <c r="D29" s="139">
        <f>'Data Ocupacion'!J44</f>
        <v>0</v>
      </c>
      <c r="E29" s="139">
        <f>'Data Ocupacion'!K44</f>
        <v>0</v>
      </c>
      <c r="F29" s="225" t="s">
        <v>53</v>
      </c>
      <c r="G29" s="225">
        <f t="shared" si="18"/>
        <v>0</v>
      </c>
      <c r="H29" s="225">
        <f t="shared" si="22"/>
        <v>0</v>
      </c>
      <c r="I29" s="225">
        <f t="shared" si="19"/>
        <v>0</v>
      </c>
      <c r="J29" s="225">
        <f>G29*M$1</f>
        <v>0</v>
      </c>
      <c r="K29" s="154">
        <f>I29*M$1</f>
        <v>0</v>
      </c>
      <c r="L29" s="225">
        <f t="shared" si="20"/>
        <v>0</v>
      </c>
      <c r="M29" s="225">
        <f t="shared" si="21"/>
        <v>0</v>
      </c>
      <c r="N29" s="19"/>
      <c r="O29" s="19"/>
      <c r="P29" s="147"/>
      <c r="Q29" s="193"/>
      <c r="R29" s="193"/>
      <c r="S29" s="193"/>
      <c r="T29" s="193"/>
      <c r="U29" s="193"/>
      <c r="V29" s="193"/>
      <c r="W29" s="185">
        <f>J29</f>
        <v>0</v>
      </c>
      <c r="X29" s="185">
        <f>H29*$M$1</f>
        <v>0</v>
      </c>
    </row>
    <row r="30" spans="1:24" s="125" customFormat="1" ht="15" customHeight="1" x14ac:dyDescent="0.3">
      <c r="A30" s="262"/>
      <c r="B30" s="225">
        <v>0</v>
      </c>
      <c r="C30" s="225">
        <v>0</v>
      </c>
      <c r="D30" s="139">
        <f>'Data Ocupacion'!J45</f>
        <v>0</v>
      </c>
      <c r="E30" s="139">
        <f>'Data Ocupacion'!K45</f>
        <v>0</v>
      </c>
      <c r="F30" s="225" t="s">
        <v>122</v>
      </c>
      <c r="G30" s="225">
        <f t="shared" si="18"/>
        <v>0</v>
      </c>
      <c r="H30" s="225">
        <f t="shared" si="22"/>
        <v>0</v>
      </c>
      <c r="I30" s="225">
        <f t="shared" si="19"/>
        <v>0</v>
      </c>
      <c r="J30" s="225">
        <f>G30*K$1</f>
        <v>0</v>
      </c>
      <c r="K30" s="154">
        <f>I30*K$1</f>
        <v>0</v>
      </c>
      <c r="L30" s="225">
        <f t="shared" si="20"/>
        <v>0</v>
      </c>
      <c r="M30" s="225">
        <f t="shared" si="21"/>
        <v>0</v>
      </c>
      <c r="N30" s="19"/>
      <c r="P30" s="147"/>
      <c r="Q30" s="193"/>
      <c r="R30" s="193"/>
      <c r="S30" s="193"/>
      <c r="T30" s="193"/>
      <c r="U30" s="193"/>
      <c r="V30" s="193"/>
      <c r="W30" s="185">
        <f>J30</f>
        <v>0</v>
      </c>
      <c r="X30" s="185">
        <f>H30*$K$1</f>
        <v>0</v>
      </c>
    </row>
    <row r="31" spans="1:24" ht="15.9" customHeight="1" thickBot="1" x14ac:dyDescent="0.35">
      <c r="A31" s="262"/>
      <c r="B31" s="225">
        <v>0</v>
      </c>
      <c r="C31" s="225">
        <v>0</v>
      </c>
      <c r="D31" s="314">
        <f>'Data Ocupacion'!J46</f>
        <v>0</v>
      </c>
      <c r="E31" s="139">
        <f>'Data Ocupacion'!K46</f>
        <v>0</v>
      </c>
      <c r="F31" s="225" t="s">
        <v>35</v>
      </c>
      <c r="G31" s="225">
        <f t="shared" si="18"/>
        <v>0</v>
      </c>
      <c r="H31" s="225">
        <f t="shared" si="22"/>
        <v>0</v>
      </c>
      <c r="I31" s="225">
        <f t="shared" si="19"/>
        <v>0</v>
      </c>
      <c r="J31" s="225">
        <f>G31*K$1</f>
        <v>0</v>
      </c>
      <c r="K31" s="154">
        <f>I31*K$1</f>
        <v>0</v>
      </c>
      <c r="L31" s="225">
        <f t="shared" si="20"/>
        <v>0</v>
      </c>
      <c r="M31" s="225">
        <f t="shared" si="21"/>
        <v>0</v>
      </c>
      <c r="N31" s="19"/>
      <c r="P31" s="147"/>
      <c r="Q31" s="193"/>
      <c r="R31" s="193"/>
      <c r="S31" s="193"/>
      <c r="T31" s="193"/>
      <c r="U31" s="193"/>
      <c r="V31" s="193"/>
      <c r="W31" s="185">
        <f>J31</f>
        <v>0</v>
      </c>
      <c r="X31" s="185">
        <f>H31*$K$1</f>
        <v>0</v>
      </c>
    </row>
    <row r="32" spans="1:24" ht="15" thickBot="1" x14ac:dyDescent="0.35">
      <c r="A32" s="20"/>
      <c r="B32" s="224">
        <f>SUM(B26:B31)</f>
        <v>108</v>
      </c>
      <c r="C32" s="224">
        <f>SUM(C26:C31)</f>
        <v>3</v>
      </c>
      <c r="D32" s="153">
        <f>SUM(D26:D31)</f>
        <v>108</v>
      </c>
      <c r="E32" s="153">
        <f>SUM(E26:E31)</f>
        <v>3</v>
      </c>
      <c r="F32" s="120"/>
      <c r="G32" s="120">
        <f t="shared" ref="G32:M32" si="23">SUM(G26:G31)</f>
        <v>114</v>
      </c>
      <c r="H32" s="120">
        <f t="shared" si="23"/>
        <v>114</v>
      </c>
      <c r="I32" s="120">
        <f t="shared" si="23"/>
        <v>111</v>
      </c>
      <c r="J32" s="121">
        <f t="shared" si="23"/>
        <v>4916.8200000000006</v>
      </c>
      <c r="K32" s="120">
        <f t="shared" si="23"/>
        <v>4787.43</v>
      </c>
      <c r="L32" s="119">
        <f t="shared" si="23"/>
        <v>511349.28000000009</v>
      </c>
      <c r="M32" s="152">
        <f t="shared" si="23"/>
        <v>11544</v>
      </c>
      <c r="N32" s="124">
        <f>'Odometro-Kilometraje'!E81</f>
        <v>4955</v>
      </c>
      <c r="O32" s="21">
        <f>(W32/N32)*100</f>
        <v>99.22946518668013</v>
      </c>
      <c r="P32" s="196"/>
      <c r="Q32" s="184"/>
      <c r="R32" s="184"/>
      <c r="S32" s="184"/>
      <c r="T32" s="184"/>
      <c r="U32" s="184"/>
      <c r="V32" s="184"/>
      <c r="W32" s="197">
        <f>SUM(W26:W31)</f>
        <v>4916.8200000000006</v>
      </c>
      <c r="X32" s="197">
        <f>SUM(X26:X31)</f>
        <v>4916.8200000000006</v>
      </c>
    </row>
    <row r="33" spans="1:32" x14ac:dyDescent="0.3">
      <c r="A33" s="61">
        <f>A26+1</f>
        <v>45782</v>
      </c>
      <c r="B33" s="126">
        <v>47</v>
      </c>
      <c r="C33" s="126">
        <v>32</v>
      </c>
      <c r="D33" s="127">
        <f>'Data Ocupacion'!L41</f>
        <v>47</v>
      </c>
      <c r="E33" s="127">
        <f>'Data Ocupacion'!M41</f>
        <v>32</v>
      </c>
      <c r="F33" s="126" t="s">
        <v>38</v>
      </c>
      <c r="G33" s="126">
        <f t="shared" ref="G33:G38" si="24">D33+E33*2</f>
        <v>111</v>
      </c>
      <c r="H33" s="126">
        <f>B33+C33*2</f>
        <v>111</v>
      </c>
      <c r="I33" s="126">
        <f t="shared" ref="I33:I38" si="25">D33+E33</f>
        <v>79</v>
      </c>
      <c r="J33" s="126">
        <f>G33*M$2</f>
        <v>4787.43</v>
      </c>
      <c r="K33" s="154">
        <f>I33*M$2</f>
        <v>3407.27</v>
      </c>
      <c r="L33" s="126">
        <f t="shared" ref="L33:L38" si="26">J33*104</f>
        <v>497892.72000000003</v>
      </c>
      <c r="M33" s="126">
        <f t="shared" ref="M33:M38" si="27">I33*104</f>
        <v>8216</v>
      </c>
      <c r="N33" s="19"/>
      <c r="O33" s="19"/>
      <c r="P33" s="147"/>
      <c r="Q33" s="186">
        <v>2</v>
      </c>
      <c r="R33" s="186"/>
      <c r="S33" s="211"/>
      <c r="T33" s="303">
        <v>3</v>
      </c>
      <c r="U33" s="195"/>
      <c r="V33" s="235"/>
      <c r="W33" s="185">
        <f>J33-(Q33*($M$2-$K$1))-(R33*($M$2-$M$1))- (S33*($M$2-$I$2))+ (T33*($G$2))</f>
        <v>4805.16</v>
      </c>
      <c r="X33" s="185">
        <f>H33*$M$2</f>
        <v>4787.43</v>
      </c>
    </row>
    <row r="34" spans="1:32" ht="15" customHeight="1" x14ac:dyDescent="0.3">
      <c r="A34" s="262"/>
      <c r="B34" s="126">
        <v>45</v>
      </c>
      <c r="C34" s="126">
        <v>33</v>
      </c>
      <c r="D34" s="127">
        <f>'Data Ocupacion'!L42</f>
        <v>45</v>
      </c>
      <c r="E34" s="127">
        <f>'Data Ocupacion'!M42</f>
        <v>33</v>
      </c>
      <c r="F34" s="126" t="s">
        <v>52</v>
      </c>
      <c r="G34" s="126">
        <f t="shared" si="24"/>
        <v>111</v>
      </c>
      <c r="H34" s="126">
        <f t="shared" ref="H34:H38" si="28">B34+C34*2</f>
        <v>111</v>
      </c>
      <c r="I34" s="126">
        <f t="shared" si="25"/>
        <v>78</v>
      </c>
      <c r="J34" s="126">
        <f>G34*M$2</f>
        <v>4787.43</v>
      </c>
      <c r="K34" s="154">
        <f>I34*M$2</f>
        <v>3364.1400000000003</v>
      </c>
      <c r="L34" s="126">
        <f t="shared" si="26"/>
        <v>497892.72000000003</v>
      </c>
      <c r="M34" s="126">
        <f t="shared" si="27"/>
        <v>8112</v>
      </c>
      <c r="N34" s="19"/>
      <c r="O34" s="19"/>
      <c r="P34" s="147"/>
      <c r="Q34" s="190"/>
      <c r="R34" s="190"/>
      <c r="S34" s="223"/>
      <c r="T34" s="186"/>
      <c r="U34" s="223"/>
      <c r="V34" s="236"/>
      <c r="W34" s="188">
        <f>J34-(T34*($M$2-$K$1)+(U34*($M$2-$M$1)))</f>
        <v>4787.43</v>
      </c>
      <c r="X34" s="185">
        <f>H34*$M$2</f>
        <v>4787.43</v>
      </c>
    </row>
    <row r="35" spans="1:32" ht="15" customHeight="1" x14ac:dyDescent="0.3">
      <c r="A35" s="262"/>
      <c r="B35" s="126">
        <v>29</v>
      </c>
      <c r="C35" s="126">
        <v>4</v>
      </c>
      <c r="D35" s="127">
        <f>'Data Ocupacion'!L43</f>
        <v>29</v>
      </c>
      <c r="E35" s="127">
        <f>'Data Ocupacion'!M43</f>
        <v>4</v>
      </c>
      <c r="F35" s="126" t="s">
        <v>36</v>
      </c>
      <c r="G35" s="126">
        <f t="shared" si="24"/>
        <v>37</v>
      </c>
      <c r="H35" s="126">
        <f t="shared" si="28"/>
        <v>37</v>
      </c>
      <c r="I35" s="126">
        <f t="shared" si="25"/>
        <v>33</v>
      </c>
      <c r="J35" s="126">
        <f>G35*M$1</f>
        <v>1077.07</v>
      </c>
      <c r="K35" s="154">
        <f>I35*M$1</f>
        <v>960.63</v>
      </c>
      <c r="L35" s="126">
        <f t="shared" si="26"/>
        <v>112015.28</v>
      </c>
      <c r="M35" s="126">
        <f t="shared" si="27"/>
        <v>3432</v>
      </c>
      <c r="N35" s="19"/>
      <c r="O35" s="19"/>
      <c r="P35" s="147"/>
      <c r="Q35" s="189"/>
      <c r="R35" s="191"/>
      <c r="S35" s="212"/>
      <c r="T35" s="192"/>
      <c r="U35" s="193"/>
      <c r="V35" s="193"/>
      <c r="W35" s="185">
        <f>J35-(Q35*($M$1-$K$1))</f>
        <v>1077.07</v>
      </c>
      <c r="X35" s="185">
        <f>H35*$M$1</f>
        <v>1077.07</v>
      </c>
    </row>
    <row r="36" spans="1:32" ht="15" customHeight="1" x14ac:dyDescent="0.3">
      <c r="A36" s="262"/>
      <c r="B36" s="126">
        <v>28</v>
      </c>
      <c r="C36" s="126">
        <v>4</v>
      </c>
      <c r="D36" s="127">
        <f>'Data Ocupacion'!L44</f>
        <v>28</v>
      </c>
      <c r="E36" s="127">
        <f>'Data Ocupacion'!M44</f>
        <v>4</v>
      </c>
      <c r="F36" s="126" t="s">
        <v>53</v>
      </c>
      <c r="G36" s="126">
        <f t="shared" si="24"/>
        <v>36</v>
      </c>
      <c r="H36" s="126">
        <f t="shared" si="28"/>
        <v>36</v>
      </c>
      <c r="I36" s="126">
        <f t="shared" si="25"/>
        <v>32</v>
      </c>
      <c r="J36" s="126">
        <f>G36*M$1</f>
        <v>1047.96</v>
      </c>
      <c r="K36" s="154">
        <f>I36*M$1</f>
        <v>931.52</v>
      </c>
      <c r="L36" s="126">
        <f t="shared" si="26"/>
        <v>108987.84</v>
      </c>
      <c r="M36" s="126">
        <f t="shared" si="27"/>
        <v>3328</v>
      </c>
      <c r="N36" s="19"/>
      <c r="O36" s="19"/>
      <c r="P36" s="147"/>
      <c r="Q36" s="193"/>
      <c r="R36" s="193"/>
      <c r="S36" s="193"/>
      <c r="T36" s="193"/>
      <c r="U36" s="193"/>
      <c r="V36" s="193"/>
      <c r="W36" s="185">
        <f>J36</f>
        <v>1047.96</v>
      </c>
      <c r="X36" s="185">
        <f>H36*$M$1</f>
        <v>1047.96</v>
      </c>
    </row>
    <row r="37" spans="1:32" s="125" customFormat="1" ht="15" customHeight="1" x14ac:dyDescent="0.3">
      <c r="A37" s="262"/>
      <c r="B37" s="126">
        <v>0</v>
      </c>
      <c r="C37" s="126">
        <v>0</v>
      </c>
      <c r="D37" s="127">
        <f>'Data Ocupacion'!L45</f>
        <v>0</v>
      </c>
      <c r="E37" s="127">
        <f>'Data Ocupacion'!M45</f>
        <v>0</v>
      </c>
      <c r="F37" s="126" t="s">
        <v>122</v>
      </c>
      <c r="G37" s="126">
        <f t="shared" si="24"/>
        <v>0</v>
      </c>
      <c r="H37" s="126">
        <f t="shared" si="28"/>
        <v>0</v>
      </c>
      <c r="I37" s="126">
        <f t="shared" si="25"/>
        <v>0</v>
      </c>
      <c r="J37" s="126">
        <f>G37*K$1</f>
        <v>0</v>
      </c>
      <c r="K37" s="154">
        <f>I37*K$1</f>
        <v>0</v>
      </c>
      <c r="L37" s="126">
        <f t="shared" si="26"/>
        <v>0</v>
      </c>
      <c r="M37" s="126">
        <f t="shared" si="27"/>
        <v>0</v>
      </c>
      <c r="N37" s="19"/>
      <c r="O37" s="19"/>
      <c r="P37" s="147"/>
      <c r="Q37" s="193"/>
      <c r="R37" s="193"/>
      <c r="S37" s="193"/>
      <c r="T37" s="193"/>
      <c r="U37" s="193"/>
      <c r="V37" s="193"/>
      <c r="W37" s="185">
        <f>J37</f>
        <v>0</v>
      </c>
      <c r="X37" s="185">
        <f>H37*$K$1</f>
        <v>0</v>
      </c>
    </row>
    <row r="38" spans="1:32" ht="15.9" customHeight="1" thickBot="1" x14ac:dyDescent="0.35">
      <c r="A38" s="262"/>
      <c r="B38" s="126">
        <v>1</v>
      </c>
      <c r="C38" s="126">
        <v>0</v>
      </c>
      <c r="D38" s="127">
        <f>'Data Ocupacion'!L46</f>
        <v>1</v>
      </c>
      <c r="E38" s="127">
        <f>'Data Ocupacion'!M46</f>
        <v>0</v>
      </c>
      <c r="F38" s="126" t="s">
        <v>35</v>
      </c>
      <c r="G38" s="126">
        <f t="shared" si="24"/>
        <v>1</v>
      </c>
      <c r="H38" s="126">
        <f t="shared" si="28"/>
        <v>1</v>
      </c>
      <c r="I38" s="126">
        <f t="shared" si="25"/>
        <v>1</v>
      </c>
      <c r="J38" s="126">
        <f>G38*K$1</f>
        <v>25.4</v>
      </c>
      <c r="K38" s="154">
        <f>I38*K$1</f>
        <v>25.4</v>
      </c>
      <c r="L38" s="126">
        <f t="shared" si="26"/>
        <v>2641.6</v>
      </c>
      <c r="M38" s="126">
        <f t="shared" si="27"/>
        <v>104</v>
      </c>
      <c r="N38" s="19"/>
      <c r="O38" s="19"/>
      <c r="P38" s="147"/>
      <c r="Q38" s="193"/>
      <c r="R38" s="193"/>
      <c r="S38" s="193"/>
      <c r="T38" s="193"/>
      <c r="U38" s="193"/>
      <c r="V38" s="193"/>
      <c r="W38" s="185">
        <f>J38</f>
        <v>25.4</v>
      </c>
      <c r="X38" s="185">
        <f>H38*$K$1</f>
        <v>25.4</v>
      </c>
    </row>
    <row r="39" spans="1:32" ht="15" thickBot="1" x14ac:dyDescent="0.35">
      <c r="A39" s="20"/>
      <c r="B39" s="224">
        <f>SUM(B33:B38)</f>
        <v>150</v>
      </c>
      <c r="C39" s="224">
        <f>SUM(C33:C38)</f>
        <v>73</v>
      </c>
      <c r="D39" s="153">
        <f>SUM(D33:D38)</f>
        <v>150</v>
      </c>
      <c r="E39" s="153">
        <f>SUM(E33:E38)</f>
        <v>73</v>
      </c>
      <c r="F39" s="120"/>
      <c r="G39" s="120">
        <f t="shared" ref="G39:M39" si="29">SUM(G33:G38)</f>
        <v>296</v>
      </c>
      <c r="H39" s="120">
        <f t="shared" si="29"/>
        <v>296</v>
      </c>
      <c r="I39" s="120">
        <f t="shared" si="29"/>
        <v>223</v>
      </c>
      <c r="J39" s="121">
        <f t="shared" si="29"/>
        <v>11725.289999999999</v>
      </c>
      <c r="K39" s="120">
        <f t="shared" si="29"/>
        <v>8688.9599999999991</v>
      </c>
      <c r="L39" s="119">
        <f t="shared" si="29"/>
        <v>1219430.1600000001</v>
      </c>
      <c r="M39" s="152">
        <f t="shared" si="29"/>
        <v>23192</v>
      </c>
      <c r="N39" s="124">
        <f>'Odometro-Kilometraje'!F81</f>
        <v>12105</v>
      </c>
      <c r="O39" s="21">
        <f>(W39/N39)*100</f>
        <v>97.00966542750929</v>
      </c>
      <c r="P39" s="196"/>
      <c r="Q39" s="184"/>
      <c r="R39" s="184"/>
      <c r="S39" s="184"/>
      <c r="T39" s="184"/>
      <c r="U39" s="184"/>
      <c r="V39" s="184"/>
      <c r="W39" s="197">
        <f>SUM(W33:W38)</f>
        <v>11743.019999999999</v>
      </c>
      <c r="X39" s="197">
        <f>SUM(X33:X38)</f>
        <v>11725.289999999999</v>
      </c>
    </row>
    <row r="40" spans="1:32" x14ac:dyDescent="0.3">
      <c r="A40" s="61">
        <f>A33+1</f>
        <v>45783</v>
      </c>
      <c r="B40" s="126">
        <v>47</v>
      </c>
      <c r="C40" s="126">
        <v>32</v>
      </c>
      <c r="D40" s="127">
        <f>'Data Ocupacion'!N41</f>
        <v>47</v>
      </c>
      <c r="E40" s="127">
        <f>'Data Ocupacion'!O41</f>
        <v>32</v>
      </c>
      <c r="F40" s="126" t="s">
        <v>38</v>
      </c>
      <c r="G40" s="126">
        <f t="shared" ref="G40:G45" si="30">D40+E40*2</f>
        <v>111</v>
      </c>
      <c r="H40" s="126">
        <f>B40+C40*2</f>
        <v>111</v>
      </c>
      <c r="I40" s="126">
        <f t="shared" ref="I40:I45" si="31">D40+E40</f>
        <v>79</v>
      </c>
      <c r="J40" s="126">
        <f>G40*M$2</f>
        <v>4787.43</v>
      </c>
      <c r="K40" s="154">
        <f>I40*M$2</f>
        <v>3407.27</v>
      </c>
      <c r="L40" s="126">
        <f t="shared" ref="L40:L45" si="32">J40*104</f>
        <v>497892.72000000003</v>
      </c>
      <c r="M40" s="126">
        <f t="shared" ref="M40:M45" si="33">I40*104</f>
        <v>8216</v>
      </c>
      <c r="N40" s="19"/>
      <c r="O40" s="19"/>
      <c r="P40" s="147"/>
      <c r="Q40" s="186"/>
      <c r="R40" s="186"/>
      <c r="S40" s="211"/>
      <c r="T40" s="303">
        <v>2</v>
      </c>
      <c r="U40" s="195"/>
      <c r="V40" s="235"/>
      <c r="W40" s="185">
        <f>J40-(Q40*($M$2-$K$1))-(R40*($M$2-$M$1))- (S40*($M$2-$I$2))+ (T40*($G$2))</f>
        <v>4822.8900000000003</v>
      </c>
      <c r="X40" s="185">
        <f>H40*$M$2</f>
        <v>4787.43</v>
      </c>
    </row>
    <row r="41" spans="1:32" ht="15" customHeight="1" x14ac:dyDescent="0.3">
      <c r="A41" s="262"/>
      <c r="B41" s="126">
        <v>45</v>
      </c>
      <c r="C41" s="126">
        <v>33</v>
      </c>
      <c r="D41" s="127">
        <f>'Data Ocupacion'!N42</f>
        <v>45</v>
      </c>
      <c r="E41" s="127">
        <f>'Data Ocupacion'!O42</f>
        <v>33</v>
      </c>
      <c r="F41" s="126" t="s">
        <v>52</v>
      </c>
      <c r="G41" s="126">
        <f t="shared" si="30"/>
        <v>111</v>
      </c>
      <c r="H41" s="126">
        <f t="shared" ref="H41:H45" si="34">B41+C41*2</f>
        <v>111</v>
      </c>
      <c r="I41" s="126">
        <f t="shared" si="31"/>
        <v>78</v>
      </c>
      <c r="J41" s="126">
        <f>G41*M$2</f>
        <v>4787.43</v>
      </c>
      <c r="K41" s="154">
        <f>I41*M$2</f>
        <v>3364.1400000000003</v>
      </c>
      <c r="L41" s="126">
        <f t="shared" si="32"/>
        <v>497892.72000000003</v>
      </c>
      <c r="M41" s="126">
        <f t="shared" si="33"/>
        <v>8112</v>
      </c>
      <c r="N41" s="19"/>
      <c r="O41" s="19"/>
      <c r="P41" s="147"/>
      <c r="Q41" s="190"/>
      <c r="R41" s="190"/>
      <c r="S41" s="223"/>
      <c r="T41" s="186"/>
      <c r="U41" s="223"/>
      <c r="V41" s="236"/>
      <c r="W41" s="188">
        <f>J41-(T41*($M$2-$K$1)+(U41*($M$2-$M$1)))</f>
        <v>4787.43</v>
      </c>
      <c r="X41" s="185">
        <f>H41*$M$2</f>
        <v>4787.43</v>
      </c>
    </row>
    <row r="42" spans="1:32" ht="15" customHeight="1" x14ac:dyDescent="0.3">
      <c r="A42" s="262"/>
      <c r="B42" s="126">
        <v>29</v>
      </c>
      <c r="C42" s="126">
        <v>4</v>
      </c>
      <c r="D42" s="127">
        <f>'Data Ocupacion'!N43</f>
        <v>29</v>
      </c>
      <c r="E42" s="127">
        <f>'Data Ocupacion'!O43</f>
        <v>4</v>
      </c>
      <c r="F42" s="126" t="s">
        <v>36</v>
      </c>
      <c r="G42" s="126">
        <f t="shared" si="30"/>
        <v>37</v>
      </c>
      <c r="H42" s="126">
        <f t="shared" si="34"/>
        <v>37</v>
      </c>
      <c r="I42" s="126">
        <f t="shared" si="31"/>
        <v>33</v>
      </c>
      <c r="J42" s="126">
        <f>G42*M$1</f>
        <v>1077.07</v>
      </c>
      <c r="K42" s="154">
        <f>I42*M$1</f>
        <v>960.63</v>
      </c>
      <c r="L42" s="126">
        <f t="shared" si="32"/>
        <v>112015.28</v>
      </c>
      <c r="M42" s="126">
        <f t="shared" si="33"/>
        <v>3432</v>
      </c>
      <c r="N42" s="19"/>
      <c r="O42" s="19"/>
      <c r="P42" s="147"/>
      <c r="Q42" s="189"/>
      <c r="R42" s="191"/>
      <c r="S42" s="212"/>
      <c r="T42" s="192"/>
      <c r="U42" s="193"/>
      <c r="V42" s="193"/>
      <c r="W42" s="185">
        <f>J42-(Q42*($M$1-$K$1))</f>
        <v>1077.07</v>
      </c>
      <c r="X42" s="185">
        <f>H42*$M$1</f>
        <v>1077.07</v>
      </c>
      <c r="Z42" s="264"/>
      <c r="AA42" s="264"/>
      <c r="AB42" s="264"/>
      <c r="AC42" s="264"/>
      <c r="AD42" s="264"/>
      <c r="AE42" s="264"/>
      <c r="AF42" s="264"/>
    </row>
    <row r="43" spans="1:32" x14ac:dyDescent="0.3">
      <c r="A43" s="262"/>
      <c r="B43" s="126">
        <v>28</v>
      </c>
      <c r="C43" s="126">
        <v>4</v>
      </c>
      <c r="D43" s="127">
        <f>'Data Ocupacion'!N44</f>
        <v>28</v>
      </c>
      <c r="E43" s="127">
        <f>'Data Ocupacion'!O44</f>
        <v>4</v>
      </c>
      <c r="F43" s="126" t="s">
        <v>53</v>
      </c>
      <c r="G43" s="126">
        <f t="shared" si="30"/>
        <v>36</v>
      </c>
      <c r="H43" s="126">
        <f t="shared" si="34"/>
        <v>36</v>
      </c>
      <c r="I43" s="126">
        <f t="shared" si="31"/>
        <v>32</v>
      </c>
      <c r="J43" s="126">
        <f>G43*M$1</f>
        <v>1047.96</v>
      </c>
      <c r="K43" s="154">
        <f>I43*M$1</f>
        <v>931.52</v>
      </c>
      <c r="L43" s="126">
        <f t="shared" si="32"/>
        <v>108987.84</v>
      </c>
      <c r="M43" s="126">
        <f t="shared" si="33"/>
        <v>3328</v>
      </c>
      <c r="N43" s="19"/>
      <c r="O43" s="19"/>
      <c r="P43" s="147"/>
      <c r="Q43" s="193"/>
      <c r="R43" s="193"/>
      <c r="S43" s="193"/>
      <c r="T43" s="193"/>
      <c r="U43" s="193"/>
      <c r="V43" s="193"/>
      <c r="W43" s="185">
        <f>J43</f>
        <v>1047.96</v>
      </c>
      <c r="X43" s="185">
        <f>H43*$M$1</f>
        <v>1047.96</v>
      </c>
      <c r="Z43" s="264"/>
      <c r="AA43" s="264"/>
      <c r="AB43" s="264"/>
      <c r="AC43" s="264"/>
      <c r="AD43" s="264"/>
      <c r="AE43" s="264"/>
      <c r="AF43" s="264"/>
    </row>
    <row r="44" spans="1:32" s="125" customFormat="1" x14ac:dyDescent="0.3">
      <c r="A44" s="262"/>
      <c r="B44" s="126">
        <v>0</v>
      </c>
      <c r="C44" s="126">
        <v>0</v>
      </c>
      <c r="D44" s="127">
        <f>'Data Ocupacion'!N45</f>
        <v>0</v>
      </c>
      <c r="E44" s="127">
        <f>'Data Ocupacion'!O45</f>
        <v>0</v>
      </c>
      <c r="F44" s="126" t="s">
        <v>122</v>
      </c>
      <c r="G44" s="126">
        <f t="shared" si="30"/>
        <v>0</v>
      </c>
      <c r="H44" s="126">
        <f t="shared" si="34"/>
        <v>0</v>
      </c>
      <c r="I44" s="126">
        <f t="shared" si="31"/>
        <v>0</v>
      </c>
      <c r="J44" s="126">
        <f>G44*K$1</f>
        <v>0</v>
      </c>
      <c r="K44" s="154">
        <f>I44*K$1</f>
        <v>0</v>
      </c>
      <c r="L44" s="126">
        <f t="shared" si="32"/>
        <v>0</v>
      </c>
      <c r="M44" s="126">
        <f t="shared" si="33"/>
        <v>0</v>
      </c>
      <c r="N44" s="19"/>
      <c r="O44" s="19"/>
      <c r="P44" s="147"/>
      <c r="Q44" s="193"/>
      <c r="R44" s="193"/>
      <c r="S44" s="193"/>
      <c r="T44" s="193"/>
      <c r="U44" s="193"/>
      <c r="V44" s="193"/>
      <c r="W44" s="185">
        <f>J44</f>
        <v>0</v>
      </c>
      <c r="X44" s="185">
        <f>H44*$K$1</f>
        <v>0</v>
      </c>
      <c r="Z44" s="264"/>
      <c r="AA44" s="264"/>
      <c r="AB44" s="264"/>
      <c r="AC44" s="264"/>
      <c r="AD44" s="264"/>
      <c r="AE44" s="264"/>
      <c r="AF44" s="264"/>
    </row>
    <row r="45" spans="1:32" ht="15" thickBot="1" x14ac:dyDescent="0.35">
      <c r="A45" s="262"/>
      <c r="B45" s="126">
        <v>1</v>
      </c>
      <c r="C45" s="126">
        <v>0</v>
      </c>
      <c r="D45" s="127">
        <f>'Data Ocupacion'!N46</f>
        <v>1</v>
      </c>
      <c r="E45" s="127">
        <f>'Data Ocupacion'!O46</f>
        <v>0</v>
      </c>
      <c r="F45" s="126" t="s">
        <v>35</v>
      </c>
      <c r="G45" s="126">
        <f t="shared" si="30"/>
        <v>1</v>
      </c>
      <c r="H45" s="126">
        <f t="shared" si="34"/>
        <v>1</v>
      </c>
      <c r="I45" s="126">
        <f t="shared" si="31"/>
        <v>1</v>
      </c>
      <c r="J45" s="126">
        <f>G45*K$1</f>
        <v>25.4</v>
      </c>
      <c r="K45" s="154">
        <f>I45*K$1</f>
        <v>25.4</v>
      </c>
      <c r="L45" s="126">
        <f t="shared" si="32"/>
        <v>2641.6</v>
      </c>
      <c r="M45" s="126">
        <f t="shared" si="33"/>
        <v>104</v>
      </c>
      <c r="N45" s="19"/>
      <c r="O45" s="19"/>
      <c r="P45" s="147"/>
      <c r="Q45" s="193"/>
      <c r="R45" s="193"/>
      <c r="S45" s="193"/>
      <c r="T45" s="193"/>
      <c r="U45" s="193"/>
      <c r="V45" s="193"/>
      <c r="W45" s="185">
        <f>J45</f>
        <v>25.4</v>
      </c>
      <c r="X45" s="185">
        <f>H45*$K$1</f>
        <v>25.4</v>
      </c>
      <c r="Z45" s="264"/>
      <c r="AA45" s="264"/>
      <c r="AB45" s="264"/>
      <c r="AC45" s="264"/>
      <c r="AD45" s="264"/>
      <c r="AE45" s="264"/>
      <c r="AF45" s="264"/>
    </row>
    <row r="46" spans="1:32" ht="15" thickBot="1" x14ac:dyDescent="0.35">
      <c r="A46" s="204"/>
      <c r="B46" s="224">
        <f>SUM(B40:B45)</f>
        <v>150</v>
      </c>
      <c r="C46" s="224">
        <f>SUM(C40:C45)</f>
        <v>73</v>
      </c>
      <c r="D46" s="153">
        <f>SUM(D40:D45)</f>
        <v>150</v>
      </c>
      <c r="E46" s="153">
        <f>SUM(E40:E45)</f>
        <v>73</v>
      </c>
      <c r="F46" s="120"/>
      <c r="G46" s="120">
        <f t="shared" ref="G46:M46" si="35">SUM(G40:G45)</f>
        <v>296</v>
      </c>
      <c r="H46" s="120">
        <f t="shared" si="35"/>
        <v>296</v>
      </c>
      <c r="I46" s="120">
        <f t="shared" si="35"/>
        <v>223</v>
      </c>
      <c r="J46" s="121">
        <f t="shared" si="35"/>
        <v>11725.289999999999</v>
      </c>
      <c r="K46" s="120">
        <f t="shared" si="35"/>
        <v>8688.9599999999991</v>
      </c>
      <c r="L46" s="119">
        <f t="shared" si="35"/>
        <v>1219430.1600000001</v>
      </c>
      <c r="M46" s="152">
        <f t="shared" si="35"/>
        <v>23192</v>
      </c>
      <c r="N46" s="124">
        <f>'Odometro-Kilometraje'!G81</f>
        <v>12087</v>
      </c>
      <c r="O46" s="21">
        <f>(W46/N46)*100</f>
        <v>97.300819061801917</v>
      </c>
      <c r="P46" s="196"/>
      <c r="Q46" s="184"/>
      <c r="R46" s="184"/>
      <c r="S46" s="184"/>
      <c r="T46" s="184"/>
      <c r="U46" s="184"/>
      <c r="V46" s="184"/>
      <c r="W46" s="197">
        <f>SUM(W40:W45)</f>
        <v>11760.749999999998</v>
      </c>
      <c r="X46" s="197">
        <f>SUM(X40:X45)</f>
        <v>11725.289999999999</v>
      </c>
      <c r="Z46" s="264"/>
      <c r="AA46" s="264"/>
      <c r="AB46" s="264"/>
      <c r="AC46" s="264"/>
      <c r="AD46" s="264"/>
      <c r="AE46" s="264"/>
      <c r="AF46" s="264"/>
    </row>
    <row r="47" spans="1:32" x14ac:dyDescent="0.3">
      <c r="A47" s="61">
        <f>A40+1</f>
        <v>45784</v>
      </c>
      <c r="B47" s="126">
        <v>47</v>
      </c>
      <c r="C47" s="126">
        <v>32</v>
      </c>
      <c r="D47" s="127">
        <f>'Data Ocupacion'!P41</f>
        <v>47</v>
      </c>
      <c r="E47" s="127">
        <f>'Data Ocupacion'!Q41</f>
        <v>32</v>
      </c>
      <c r="F47" s="126" t="s">
        <v>38</v>
      </c>
      <c r="G47" s="126">
        <f t="shared" ref="G47:G52" si="36">D47+E47*2</f>
        <v>111</v>
      </c>
      <c r="H47" s="126">
        <f>B47+C47*2</f>
        <v>111</v>
      </c>
      <c r="I47" s="126">
        <f t="shared" ref="I47:I52" si="37">D47+E47</f>
        <v>79</v>
      </c>
      <c r="J47" s="126">
        <f>G47*M$2</f>
        <v>4787.43</v>
      </c>
      <c r="K47" s="154">
        <f>I47*M$2</f>
        <v>3407.27</v>
      </c>
      <c r="L47" s="126">
        <f t="shared" ref="L47:L52" si="38">J47*104</f>
        <v>497892.72000000003</v>
      </c>
      <c r="M47" s="126">
        <f t="shared" ref="M47:M52" si="39">I47*104</f>
        <v>8216</v>
      </c>
      <c r="N47" s="19"/>
      <c r="O47" s="19"/>
      <c r="P47" s="147"/>
      <c r="Q47" s="186"/>
      <c r="R47" s="186"/>
      <c r="S47" s="211"/>
      <c r="T47" s="186">
        <v>4</v>
      </c>
      <c r="U47" s="195"/>
      <c r="V47" s="235"/>
      <c r="W47" s="185">
        <f>J47-(Q47*($M$2-$K$1))-(R47*($M$2-$M$1))- (S47*($M$2-$I$2))+ (T47*($G$2))</f>
        <v>4858.3500000000004</v>
      </c>
      <c r="X47" s="185">
        <f>H47*$M$2</f>
        <v>4787.43</v>
      </c>
      <c r="Z47" s="264"/>
      <c r="AA47" s="264"/>
      <c r="AB47" s="264"/>
      <c r="AC47" s="264"/>
      <c r="AD47" s="264"/>
      <c r="AE47" s="264"/>
      <c r="AF47" s="264"/>
    </row>
    <row r="48" spans="1:32" ht="15" customHeight="1" x14ac:dyDescent="0.3">
      <c r="A48" s="182"/>
      <c r="B48" s="126">
        <v>45</v>
      </c>
      <c r="C48" s="126">
        <v>33</v>
      </c>
      <c r="D48" s="127">
        <f>'Data Ocupacion'!P42</f>
        <v>45</v>
      </c>
      <c r="E48" s="127">
        <f>'Data Ocupacion'!Q42</f>
        <v>33</v>
      </c>
      <c r="F48" s="126" t="s">
        <v>52</v>
      </c>
      <c r="G48" s="126">
        <f t="shared" si="36"/>
        <v>111</v>
      </c>
      <c r="H48" s="126">
        <f t="shared" ref="H48:H52" si="40">B48+C48*2</f>
        <v>111</v>
      </c>
      <c r="I48" s="126">
        <f t="shared" si="37"/>
        <v>78</v>
      </c>
      <c r="J48" s="126">
        <f>G48*M$2</f>
        <v>4787.43</v>
      </c>
      <c r="K48" s="154">
        <f>I48*M$2</f>
        <v>3364.1400000000003</v>
      </c>
      <c r="L48" s="126">
        <f t="shared" si="38"/>
        <v>497892.72000000003</v>
      </c>
      <c r="M48" s="126">
        <f t="shared" si="39"/>
        <v>8112</v>
      </c>
      <c r="N48" s="19"/>
      <c r="O48" s="19"/>
      <c r="P48" s="147"/>
      <c r="Q48" s="190"/>
      <c r="R48" s="190"/>
      <c r="S48" s="223"/>
      <c r="T48" s="186"/>
      <c r="U48" s="223"/>
      <c r="V48" s="236"/>
      <c r="W48" s="188">
        <f>J48-(T48*($M$2-$K$1)+(U48*($M$2-$M$1)))</f>
        <v>4787.43</v>
      </c>
      <c r="X48" s="185">
        <f>H48*$M$2</f>
        <v>4787.43</v>
      </c>
    </row>
    <row r="49" spans="1:65" ht="16.5" customHeight="1" x14ac:dyDescent="0.3">
      <c r="A49" s="182"/>
      <c r="B49" s="126">
        <v>29</v>
      </c>
      <c r="C49" s="126">
        <v>4</v>
      </c>
      <c r="D49" s="127">
        <f>'Data Ocupacion'!P43</f>
        <v>29</v>
      </c>
      <c r="E49" s="127">
        <f>'Data Ocupacion'!Q43</f>
        <v>4</v>
      </c>
      <c r="F49" s="126" t="s">
        <v>36</v>
      </c>
      <c r="G49" s="126">
        <f t="shared" si="36"/>
        <v>37</v>
      </c>
      <c r="H49" s="126">
        <f t="shared" si="40"/>
        <v>37</v>
      </c>
      <c r="I49" s="126">
        <f t="shared" si="37"/>
        <v>33</v>
      </c>
      <c r="J49" s="126">
        <f>G49*M$1</f>
        <v>1077.07</v>
      </c>
      <c r="K49" s="154">
        <f>I49*M$1</f>
        <v>960.63</v>
      </c>
      <c r="L49" s="126">
        <f t="shared" si="38"/>
        <v>112015.28</v>
      </c>
      <c r="M49" s="126">
        <f t="shared" si="39"/>
        <v>3432</v>
      </c>
      <c r="N49" s="19"/>
      <c r="O49" s="19"/>
      <c r="P49" s="147"/>
      <c r="Q49" s="189"/>
      <c r="R49" s="191"/>
      <c r="S49" s="212"/>
      <c r="T49" s="192"/>
      <c r="U49" s="193"/>
      <c r="V49" s="193"/>
      <c r="W49" s="185">
        <f>J49-(Q49*($M$1-$K$1))</f>
        <v>1077.07</v>
      </c>
      <c r="X49" s="185">
        <f>H49*$M$1</f>
        <v>1077.07</v>
      </c>
    </row>
    <row r="50" spans="1:65" x14ac:dyDescent="0.3">
      <c r="A50" s="182"/>
      <c r="B50" s="126">
        <v>28</v>
      </c>
      <c r="C50" s="126">
        <v>4</v>
      </c>
      <c r="D50" s="127">
        <f>'Data Ocupacion'!P44</f>
        <v>28</v>
      </c>
      <c r="E50" s="127">
        <f>'Data Ocupacion'!Q44</f>
        <v>4</v>
      </c>
      <c r="F50" s="126" t="s">
        <v>53</v>
      </c>
      <c r="G50" s="126">
        <f t="shared" si="36"/>
        <v>36</v>
      </c>
      <c r="H50" s="126">
        <f t="shared" si="40"/>
        <v>36</v>
      </c>
      <c r="I50" s="126">
        <f t="shared" si="37"/>
        <v>32</v>
      </c>
      <c r="J50" s="126">
        <f>G50*M$1</f>
        <v>1047.96</v>
      </c>
      <c r="K50" s="154">
        <f>I50*M$1</f>
        <v>931.52</v>
      </c>
      <c r="L50" s="126">
        <f t="shared" si="38"/>
        <v>108987.84</v>
      </c>
      <c r="M50" s="126">
        <f t="shared" si="39"/>
        <v>3328</v>
      </c>
      <c r="N50" s="19"/>
      <c r="O50" s="19"/>
      <c r="P50" s="147"/>
      <c r="Q50" s="193"/>
      <c r="R50" s="193"/>
      <c r="S50" s="193"/>
      <c r="T50" s="193"/>
      <c r="U50" s="193"/>
      <c r="V50" s="193"/>
      <c r="W50" s="185">
        <f>J50</f>
        <v>1047.96</v>
      </c>
      <c r="X50" s="185">
        <f>H50*$M$1</f>
        <v>1047.96</v>
      </c>
    </row>
    <row r="51" spans="1:65" s="125" customFormat="1" x14ac:dyDescent="0.3">
      <c r="A51" s="182"/>
      <c r="B51" s="126">
        <v>0</v>
      </c>
      <c r="C51" s="126">
        <v>0</v>
      </c>
      <c r="D51" s="127">
        <f>'Data Ocupacion'!P45</f>
        <v>0</v>
      </c>
      <c r="E51" s="127">
        <f>'Data Ocupacion'!Q45</f>
        <v>0</v>
      </c>
      <c r="F51" s="126" t="s">
        <v>122</v>
      </c>
      <c r="G51" s="126">
        <f t="shared" si="36"/>
        <v>0</v>
      </c>
      <c r="H51" s="126">
        <f t="shared" si="40"/>
        <v>0</v>
      </c>
      <c r="I51" s="126">
        <f t="shared" si="37"/>
        <v>0</v>
      </c>
      <c r="J51" s="126">
        <f>G51*K$1</f>
        <v>0</v>
      </c>
      <c r="K51" s="154">
        <f>I51*K$1</f>
        <v>0</v>
      </c>
      <c r="L51" s="126">
        <f t="shared" si="38"/>
        <v>0</v>
      </c>
      <c r="M51" s="126">
        <f t="shared" si="39"/>
        <v>0</v>
      </c>
      <c r="N51" s="19"/>
      <c r="O51" s="19"/>
      <c r="P51" s="147"/>
      <c r="Q51" s="193"/>
      <c r="R51" s="193"/>
      <c r="S51" s="193"/>
      <c r="T51" s="193"/>
      <c r="U51" s="193"/>
      <c r="V51" s="193"/>
      <c r="W51" s="185">
        <f>J51</f>
        <v>0</v>
      </c>
      <c r="X51" s="185">
        <f>H51*$K$1</f>
        <v>0</v>
      </c>
    </row>
    <row r="52" spans="1:65" ht="15" thickBot="1" x14ac:dyDescent="0.35">
      <c r="A52" s="182"/>
      <c r="B52" s="126">
        <v>1</v>
      </c>
      <c r="C52" s="126">
        <v>0</v>
      </c>
      <c r="D52" s="263">
        <f>'Data Ocupacion'!P46</f>
        <v>1</v>
      </c>
      <c r="E52" s="127">
        <f>'Data Ocupacion'!Q46</f>
        <v>0</v>
      </c>
      <c r="F52" s="126" t="s">
        <v>35</v>
      </c>
      <c r="G52" s="126">
        <f t="shared" si="36"/>
        <v>1</v>
      </c>
      <c r="H52" s="126">
        <f t="shared" si="40"/>
        <v>1</v>
      </c>
      <c r="I52" s="126">
        <f t="shared" si="37"/>
        <v>1</v>
      </c>
      <c r="J52" s="126">
        <f>G52*K$1</f>
        <v>25.4</v>
      </c>
      <c r="K52" s="154">
        <f>I52*K$1</f>
        <v>25.4</v>
      </c>
      <c r="L52" s="126">
        <f t="shared" si="38"/>
        <v>2641.6</v>
      </c>
      <c r="M52" s="126">
        <f t="shared" si="39"/>
        <v>104</v>
      </c>
      <c r="N52" s="19"/>
      <c r="O52" s="19"/>
      <c r="P52" s="147"/>
      <c r="Q52" s="193"/>
      <c r="R52" s="193"/>
      <c r="S52" s="193"/>
      <c r="T52" s="193"/>
      <c r="U52" s="193"/>
      <c r="V52" s="193"/>
      <c r="W52" s="185">
        <f>J52</f>
        <v>25.4</v>
      </c>
      <c r="X52" s="185">
        <f>H52*$K$1</f>
        <v>25.4</v>
      </c>
    </row>
    <row r="53" spans="1:65" ht="18" customHeight="1" thickBot="1" x14ac:dyDescent="0.35">
      <c r="A53" s="20"/>
      <c r="B53" s="224">
        <f>SUM(B47:B52)</f>
        <v>150</v>
      </c>
      <c r="C53" s="224">
        <f>SUM(C47:C52)</f>
        <v>73</v>
      </c>
      <c r="D53" s="153">
        <f>SUM(D47:D52)</f>
        <v>150</v>
      </c>
      <c r="E53" s="153">
        <f>SUM(E47:E52)</f>
        <v>73</v>
      </c>
      <c r="F53" s="120"/>
      <c r="G53" s="120">
        <f t="shared" ref="G53:M53" si="41">SUM(G47:G52)</f>
        <v>296</v>
      </c>
      <c r="H53" s="120">
        <f t="shared" si="41"/>
        <v>296</v>
      </c>
      <c r="I53" s="120">
        <f t="shared" si="41"/>
        <v>223</v>
      </c>
      <c r="J53" s="121">
        <f t="shared" si="41"/>
        <v>11725.289999999999</v>
      </c>
      <c r="K53" s="120">
        <f t="shared" si="41"/>
        <v>8688.9599999999991</v>
      </c>
      <c r="L53" s="119">
        <f t="shared" si="41"/>
        <v>1219430.1600000001</v>
      </c>
      <c r="M53" s="152">
        <f t="shared" si="41"/>
        <v>23192</v>
      </c>
      <c r="N53" s="124">
        <f>'Odometro-Kilometraje'!H81</f>
        <v>12123</v>
      </c>
      <c r="O53" s="21">
        <f>(W53/N53)*100</f>
        <v>97.304380103934676</v>
      </c>
      <c r="P53" s="196"/>
      <c r="Q53" s="184"/>
      <c r="R53" s="184"/>
      <c r="S53" s="184"/>
      <c r="T53" s="184"/>
      <c r="U53" s="184"/>
      <c r="V53" s="184"/>
      <c r="W53" s="197">
        <f>SUM(W47:W52)</f>
        <v>11796.210000000001</v>
      </c>
      <c r="X53" s="197">
        <f>SUM(X47:X52)</f>
        <v>11725.289999999999</v>
      </c>
    </row>
    <row r="54" spans="1:65" ht="15" thickBot="1" x14ac:dyDescent="0.35">
      <c r="A54" s="61">
        <f>A47+1</f>
        <v>45785</v>
      </c>
      <c r="B54" s="126">
        <v>47</v>
      </c>
      <c r="C54" s="126">
        <v>32</v>
      </c>
      <c r="D54" s="127">
        <f>'Data Ocupacion'!R41</f>
        <v>31</v>
      </c>
      <c r="E54" s="127">
        <f>'Data Ocupacion'!S41</f>
        <v>24</v>
      </c>
      <c r="F54" s="126" t="s">
        <v>38</v>
      </c>
      <c r="G54" s="126">
        <f t="shared" ref="G54:G59" si="42">D54+E54*2</f>
        <v>79</v>
      </c>
      <c r="H54" s="126">
        <f>B54+C54*2</f>
        <v>111</v>
      </c>
      <c r="I54" s="126">
        <f t="shared" ref="I54:I59" si="43">D54+E54</f>
        <v>55</v>
      </c>
      <c r="J54" s="126">
        <f>G54*M$2</f>
        <v>3407.27</v>
      </c>
      <c r="K54" s="154">
        <f>I54*M$2</f>
        <v>2372.15</v>
      </c>
      <c r="L54" s="126">
        <f t="shared" ref="L54:L59" si="44">J54*104</f>
        <v>354356.08</v>
      </c>
      <c r="M54" s="126">
        <f t="shared" ref="M54:M59" si="45">I54*104</f>
        <v>5720</v>
      </c>
      <c r="N54" s="19"/>
      <c r="O54" s="19"/>
      <c r="P54" s="147"/>
      <c r="Q54" s="251"/>
      <c r="R54" s="186"/>
      <c r="S54" s="211"/>
      <c r="T54" s="207"/>
      <c r="U54" s="195"/>
      <c r="V54" s="235"/>
      <c r="W54" s="185">
        <f>J54-(Q54*($M$2-$K$1))-(R54*($M$2-$M$1))- (S54*($M$2-$I$2))+ (T54*($G$2))</f>
        <v>3407.27</v>
      </c>
      <c r="X54" s="185">
        <f>H54*$M$2</f>
        <v>4787.43</v>
      </c>
    </row>
    <row r="55" spans="1:65" ht="15" customHeight="1" x14ac:dyDescent="0.3">
      <c r="A55" s="380" t="s">
        <v>174</v>
      </c>
      <c r="B55" s="126">
        <v>45</v>
      </c>
      <c r="C55" s="126">
        <v>33</v>
      </c>
      <c r="D55" s="127">
        <f>'Data Ocupacion'!R42</f>
        <v>28</v>
      </c>
      <c r="E55" s="127">
        <f>'Data Ocupacion'!S42</f>
        <v>28</v>
      </c>
      <c r="F55" s="126" t="s">
        <v>52</v>
      </c>
      <c r="G55" s="126">
        <f t="shared" si="42"/>
        <v>84</v>
      </c>
      <c r="H55" s="126">
        <f t="shared" ref="H55:H68" si="46">B55+C55*2</f>
        <v>111</v>
      </c>
      <c r="I55" s="126">
        <f t="shared" si="43"/>
        <v>56</v>
      </c>
      <c r="J55" s="126">
        <f>G55*M$2</f>
        <v>3622.92</v>
      </c>
      <c r="K55" s="154">
        <f>I55*M$2</f>
        <v>2415.2800000000002</v>
      </c>
      <c r="L55" s="126">
        <f t="shared" si="44"/>
        <v>376783.68</v>
      </c>
      <c r="M55" s="126">
        <f t="shared" si="45"/>
        <v>5824</v>
      </c>
      <c r="N55" s="19"/>
      <c r="O55" s="19"/>
      <c r="P55" s="147"/>
      <c r="Q55" s="190" t="s">
        <v>147</v>
      </c>
      <c r="R55" s="190"/>
      <c r="S55" s="190"/>
      <c r="T55" s="186"/>
      <c r="U55" s="187"/>
      <c r="V55" s="236"/>
      <c r="W55" s="188">
        <f>J55-(T55*($M$2-$K$1)+(U55*($M$2-$M$1)))</f>
        <v>3622.92</v>
      </c>
      <c r="X55" s="185">
        <f>H55*$M$2</f>
        <v>4787.43</v>
      </c>
      <c r="Z55" s="353" t="s">
        <v>261</v>
      </c>
      <c r="AA55" s="354"/>
    </row>
    <row r="56" spans="1:65" ht="15" customHeight="1" x14ac:dyDescent="0.3">
      <c r="A56" s="380"/>
      <c r="B56" s="126">
        <v>29</v>
      </c>
      <c r="C56" s="126">
        <v>4</v>
      </c>
      <c r="D56" s="127">
        <f>'Data Ocupacion'!R43</f>
        <v>21</v>
      </c>
      <c r="E56" s="127">
        <f>'Data Ocupacion'!S43</f>
        <v>0</v>
      </c>
      <c r="F56" s="126" t="s">
        <v>36</v>
      </c>
      <c r="G56" s="126">
        <f t="shared" si="42"/>
        <v>21</v>
      </c>
      <c r="H56" s="126">
        <f t="shared" si="46"/>
        <v>37</v>
      </c>
      <c r="I56" s="126">
        <f t="shared" si="43"/>
        <v>21</v>
      </c>
      <c r="J56" s="126">
        <f>G56*M$1</f>
        <v>611.30999999999995</v>
      </c>
      <c r="K56" s="154">
        <f>I56*M$1</f>
        <v>611.30999999999995</v>
      </c>
      <c r="L56" s="126">
        <f t="shared" si="44"/>
        <v>63576.239999999991</v>
      </c>
      <c r="M56" s="126">
        <f t="shared" si="45"/>
        <v>2184</v>
      </c>
      <c r="N56" s="19"/>
      <c r="O56" s="19"/>
      <c r="P56" s="147"/>
      <c r="Q56" s="189"/>
      <c r="R56" s="191"/>
      <c r="S56" s="212"/>
      <c r="T56" s="192"/>
      <c r="U56" s="193"/>
      <c r="V56" s="193"/>
      <c r="W56" s="185">
        <f>J56-(Q56*($M$1-$K$1))</f>
        <v>611.30999999999995</v>
      </c>
      <c r="X56" s="185">
        <f>H56*$M$1</f>
        <v>1077.07</v>
      </c>
      <c r="Z56" s="341" t="s">
        <v>257</v>
      </c>
      <c r="AA56" s="342">
        <v>10.17</v>
      </c>
    </row>
    <row r="57" spans="1:65" x14ac:dyDescent="0.3">
      <c r="A57" s="380"/>
      <c r="B57" s="126">
        <v>28</v>
      </c>
      <c r="C57" s="126">
        <v>4</v>
      </c>
      <c r="D57" s="127">
        <f>'Data Ocupacion'!R44</f>
        <v>19</v>
      </c>
      <c r="E57" s="127">
        <f>'Data Ocupacion'!S44</f>
        <v>2</v>
      </c>
      <c r="F57" s="126" t="s">
        <v>53</v>
      </c>
      <c r="G57" s="126">
        <f t="shared" si="42"/>
        <v>23</v>
      </c>
      <c r="H57" s="126">
        <f t="shared" si="46"/>
        <v>36</v>
      </c>
      <c r="I57" s="126">
        <f t="shared" si="43"/>
        <v>21</v>
      </c>
      <c r="J57" s="126">
        <f>G57*M$1</f>
        <v>669.53</v>
      </c>
      <c r="K57" s="154">
        <f>I57*M$1</f>
        <v>611.30999999999995</v>
      </c>
      <c r="L57" s="126">
        <f t="shared" si="44"/>
        <v>69631.12</v>
      </c>
      <c r="M57" s="126">
        <f t="shared" si="45"/>
        <v>2184</v>
      </c>
      <c r="N57" s="19"/>
      <c r="O57" s="19"/>
      <c r="P57" s="147"/>
      <c r="Q57" s="193"/>
      <c r="R57" s="193"/>
      <c r="S57" s="193"/>
      <c r="T57" s="193"/>
      <c r="U57" s="193"/>
      <c r="V57" s="193"/>
      <c r="W57" s="185">
        <f>J57</f>
        <v>669.53</v>
      </c>
      <c r="X57" s="185">
        <f>H57*$M$1</f>
        <v>1047.96</v>
      </c>
      <c r="Z57" s="341" t="s">
        <v>258</v>
      </c>
      <c r="AA57" s="342">
        <v>1.42</v>
      </c>
      <c r="BM57" t="s">
        <v>120</v>
      </c>
    </row>
    <row r="58" spans="1:65" s="125" customFormat="1" ht="15" customHeight="1" x14ac:dyDescent="0.3">
      <c r="A58" s="380"/>
      <c r="B58" s="126">
        <v>0</v>
      </c>
      <c r="C58" s="126">
        <v>0</v>
      </c>
      <c r="D58" s="127">
        <f>'Data Ocupacion'!R45</f>
        <v>0</v>
      </c>
      <c r="E58" s="127">
        <f>'Data Ocupacion'!S45</f>
        <v>0</v>
      </c>
      <c r="F58" s="126" t="s">
        <v>122</v>
      </c>
      <c r="G58" s="126">
        <f t="shared" si="42"/>
        <v>0</v>
      </c>
      <c r="H58" s="126">
        <f t="shared" si="46"/>
        <v>0</v>
      </c>
      <c r="I58" s="126">
        <f t="shared" si="43"/>
        <v>0</v>
      </c>
      <c r="J58" s="126">
        <f>G58*K$1</f>
        <v>0</v>
      </c>
      <c r="K58" s="154">
        <f>I58*K$1</f>
        <v>0</v>
      </c>
      <c r="L58" s="126">
        <f t="shared" si="44"/>
        <v>0</v>
      </c>
      <c r="M58" s="126">
        <f t="shared" si="45"/>
        <v>0</v>
      </c>
      <c r="N58" s="19"/>
      <c r="O58" s="19"/>
      <c r="P58" s="147"/>
      <c r="Q58" s="193"/>
      <c r="R58" s="193"/>
      <c r="S58" s="193"/>
      <c r="T58" s="193"/>
      <c r="U58" s="193"/>
      <c r="V58" s="193"/>
      <c r="W58" s="185">
        <f>J58</f>
        <v>0</v>
      </c>
      <c r="X58" s="185">
        <f>H58*$K$1</f>
        <v>0</v>
      </c>
      <c r="Z58" s="341" t="s">
        <v>259</v>
      </c>
      <c r="AA58" s="342">
        <v>5.99</v>
      </c>
    </row>
    <row r="59" spans="1:65" x14ac:dyDescent="0.3">
      <c r="A59" s="380"/>
      <c r="B59" s="126">
        <v>1</v>
      </c>
      <c r="C59" s="126">
        <v>0</v>
      </c>
      <c r="D59" s="263">
        <f>'Data Ocupacion'!R46</f>
        <v>1</v>
      </c>
      <c r="E59" s="127">
        <f>'Data Ocupacion'!S46</f>
        <v>0</v>
      </c>
      <c r="F59" s="126" t="s">
        <v>35</v>
      </c>
      <c r="G59" s="126">
        <f t="shared" si="42"/>
        <v>1</v>
      </c>
      <c r="H59" s="126">
        <f t="shared" si="46"/>
        <v>1</v>
      </c>
      <c r="I59" s="126">
        <f t="shared" si="43"/>
        <v>1</v>
      </c>
      <c r="J59" s="126">
        <f>G59*K$1</f>
        <v>25.4</v>
      </c>
      <c r="K59" s="154">
        <f>I59*K$1</f>
        <v>25.4</v>
      </c>
      <c r="L59" s="126">
        <f t="shared" si="44"/>
        <v>2641.6</v>
      </c>
      <c r="M59" s="126">
        <f t="shared" si="45"/>
        <v>104</v>
      </c>
      <c r="N59" s="19"/>
      <c r="O59" s="19"/>
      <c r="P59" s="147"/>
      <c r="Q59" s="193"/>
      <c r="R59" s="193"/>
      <c r="S59" s="193"/>
      <c r="T59" s="193"/>
      <c r="U59" s="193"/>
      <c r="V59" s="193"/>
      <c r="W59" s="185">
        <f>J59</f>
        <v>25.4</v>
      </c>
      <c r="X59" s="185">
        <f>H59*$K$1</f>
        <v>25.4</v>
      </c>
      <c r="Z59" s="355" t="s">
        <v>262</v>
      </c>
      <c r="AA59" s="356"/>
    </row>
    <row r="60" spans="1:65" s="125" customFormat="1" ht="15" thickBot="1" x14ac:dyDescent="0.35">
      <c r="A60" s="380"/>
      <c r="B60" s="126">
        <v>0</v>
      </c>
      <c r="C60" s="126">
        <v>0</v>
      </c>
      <c r="D60" s="263">
        <f>'Data Ocupacion'!R47</f>
        <v>1</v>
      </c>
      <c r="E60" s="127">
        <f>'Data Ocupacion'!S47</f>
        <v>3</v>
      </c>
      <c r="F60" s="126" t="s">
        <v>175</v>
      </c>
      <c r="G60" s="126">
        <f t="shared" ref="G60:G63" si="47">D60+E60*2</f>
        <v>7</v>
      </c>
      <c r="H60" s="126">
        <f t="shared" si="46"/>
        <v>0</v>
      </c>
      <c r="I60" s="126">
        <f t="shared" ref="I60:I63" si="48">D60+E60</f>
        <v>4</v>
      </c>
      <c r="J60" s="126">
        <f>G60*O$1</f>
        <v>151.9</v>
      </c>
      <c r="K60" s="154">
        <f>I60*O$1</f>
        <v>86.8</v>
      </c>
      <c r="L60" s="126">
        <f t="shared" ref="L60:L63" si="49">J60*104</f>
        <v>15797.6</v>
      </c>
      <c r="M60" s="126">
        <f t="shared" ref="M60:M63" si="50">I60*104</f>
        <v>416</v>
      </c>
      <c r="N60" s="19"/>
      <c r="O60" s="19"/>
      <c r="P60" s="147"/>
      <c r="Q60" s="193"/>
      <c r="R60" s="193"/>
      <c r="S60" s="193"/>
      <c r="T60" s="193"/>
      <c r="U60" s="193"/>
      <c r="V60" s="193"/>
      <c r="W60" s="185">
        <f t="shared" ref="W60:W68" si="51">J60</f>
        <v>151.9</v>
      </c>
      <c r="X60" s="185">
        <f>H60*$O$1</f>
        <v>0</v>
      </c>
      <c r="Z60" s="343" t="s">
        <v>260</v>
      </c>
      <c r="AA60" s="344">
        <v>32.96</v>
      </c>
    </row>
    <row r="61" spans="1:65" s="125" customFormat="1" x14ac:dyDescent="0.3">
      <c r="A61" s="380"/>
      <c r="B61" s="126">
        <v>0</v>
      </c>
      <c r="C61" s="126">
        <v>0</v>
      </c>
      <c r="D61" s="263">
        <f>'Data Ocupacion'!R48</f>
        <v>2</v>
      </c>
      <c r="E61" s="127">
        <f>'Data Ocupacion'!S48</f>
        <v>1</v>
      </c>
      <c r="F61" s="126" t="s">
        <v>176</v>
      </c>
      <c r="G61" s="126">
        <f t="shared" si="47"/>
        <v>4</v>
      </c>
      <c r="H61" s="126">
        <f t="shared" si="46"/>
        <v>0</v>
      </c>
      <c r="I61" s="126">
        <f t="shared" si="48"/>
        <v>3</v>
      </c>
      <c r="J61" s="126">
        <f>G61*O$1</f>
        <v>86.8</v>
      </c>
      <c r="K61" s="154">
        <f>I61*O$1</f>
        <v>65.099999999999994</v>
      </c>
      <c r="L61" s="126">
        <f t="shared" si="49"/>
        <v>9027.1999999999989</v>
      </c>
      <c r="M61" s="126">
        <f t="shared" si="50"/>
        <v>312</v>
      </c>
      <c r="N61" s="19"/>
      <c r="O61" s="19"/>
      <c r="P61" s="147"/>
      <c r="Q61" s="193"/>
      <c r="R61" s="193"/>
      <c r="S61" s="193"/>
      <c r="T61" s="193"/>
      <c r="U61" s="193"/>
      <c r="V61" s="193"/>
      <c r="W61" s="185">
        <f t="shared" si="51"/>
        <v>86.8</v>
      </c>
      <c r="X61" s="185">
        <f>H61*$O$1</f>
        <v>0</v>
      </c>
    </row>
    <row r="62" spans="1:65" s="125" customFormat="1" x14ac:dyDescent="0.3">
      <c r="A62" s="380"/>
      <c r="B62" s="126">
        <v>0</v>
      </c>
      <c r="C62" s="126">
        <v>0</v>
      </c>
      <c r="D62" s="263">
        <f>'Data Ocupacion'!R49</f>
        <v>0</v>
      </c>
      <c r="E62" s="127">
        <f>'Data Ocupacion'!S49</f>
        <v>5</v>
      </c>
      <c r="F62" s="126" t="s">
        <v>177</v>
      </c>
      <c r="G62" s="126">
        <f t="shared" si="47"/>
        <v>10</v>
      </c>
      <c r="H62" s="126">
        <f t="shared" si="46"/>
        <v>0</v>
      </c>
      <c r="I62" s="126">
        <f t="shared" si="48"/>
        <v>5</v>
      </c>
      <c r="J62" s="126">
        <f>G62*O$2</f>
        <v>357.29999999999995</v>
      </c>
      <c r="K62" s="154">
        <f>I62*O$2</f>
        <v>178.64999999999998</v>
      </c>
      <c r="L62" s="126">
        <f t="shared" si="49"/>
        <v>37159.199999999997</v>
      </c>
      <c r="M62" s="126">
        <f t="shared" si="50"/>
        <v>520</v>
      </c>
      <c r="N62" s="19"/>
      <c r="O62" s="19"/>
      <c r="P62" s="147"/>
      <c r="Q62" s="193"/>
      <c r="R62" s="193"/>
      <c r="S62" s="193"/>
      <c r="T62" s="193"/>
      <c r="U62" s="193"/>
      <c r="V62" s="193"/>
      <c r="W62" s="185">
        <f t="shared" si="51"/>
        <v>357.29999999999995</v>
      </c>
      <c r="X62" s="185">
        <f>H62*$O$2</f>
        <v>0</v>
      </c>
    </row>
    <row r="63" spans="1:65" s="125" customFormat="1" x14ac:dyDescent="0.3">
      <c r="A63" s="380"/>
      <c r="B63" s="126">
        <v>0</v>
      </c>
      <c r="C63" s="126">
        <v>0</v>
      </c>
      <c r="D63" s="263">
        <f>'Data Ocupacion'!R50</f>
        <v>3</v>
      </c>
      <c r="E63" s="127">
        <f>'Data Ocupacion'!S50</f>
        <v>2</v>
      </c>
      <c r="F63" s="126" t="s">
        <v>178</v>
      </c>
      <c r="G63" s="126">
        <f t="shared" si="47"/>
        <v>7</v>
      </c>
      <c r="H63" s="126">
        <f t="shared" si="46"/>
        <v>0</v>
      </c>
      <c r="I63" s="126">
        <f t="shared" si="48"/>
        <v>5</v>
      </c>
      <c r="J63" s="126">
        <f>G63*O$2</f>
        <v>250.10999999999999</v>
      </c>
      <c r="K63" s="154">
        <f>I63*O$2</f>
        <v>178.64999999999998</v>
      </c>
      <c r="L63" s="126">
        <f t="shared" si="49"/>
        <v>26011.439999999999</v>
      </c>
      <c r="M63" s="126">
        <f t="shared" si="50"/>
        <v>520</v>
      </c>
      <c r="N63" s="19"/>
      <c r="O63" s="19"/>
      <c r="P63" s="147"/>
      <c r="Q63" s="193"/>
      <c r="R63" s="193"/>
      <c r="S63" s="193"/>
      <c r="T63" s="193"/>
      <c r="U63" s="193"/>
      <c r="V63" s="193"/>
      <c r="W63" s="185">
        <f t="shared" si="51"/>
        <v>250.10999999999999</v>
      </c>
      <c r="X63" s="185">
        <f>H63*$O$2</f>
        <v>0</v>
      </c>
    </row>
    <row r="64" spans="1:65" s="125" customFormat="1" x14ac:dyDescent="0.3">
      <c r="A64" s="380"/>
      <c r="B64" s="126">
        <v>0</v>
      </c>
      <c r="C64" s="126">
        <v>0</v>
      </c>
      <c r="D64" s="263">
        <f>'Data Ocupacion'!R51</f>
        <v>1</v>
      </c>
      <c r="E64" s="127">
        <f>'Data Ocupacion'!S51</f>
        <v>1</v>
      </c>
      <c r="F64" s="126" t="s">
        <v>184</v>
      </c>
      <c r="G64" s="126">
        <f t="shared" ref="G64" si="52">D64+E64*2</f>
        <v>3</v>
      </c>
      <c r="H64" s="126">
        <f t="shared" si="46"/>
        <v>0</v>
      </c>
      <c r="I64" s="126">
        <f t="shared" ref="I64:I68" si="53">D64+E64</f>
        <v>2</v>
      </c>
      <c r="J64" s="126">
        <f>G64*F$1</f>
        <v>23.04</v>
      </c>
      <c r="K64" s="154">
        <f>I64*F$1</f>
        <v>15.36</v>
      </c>
      <c r="L64" s="126">
        <f t="shared" ref="L64:L68" si="54">J64*104</f>
        <v>2396.16</v>
      </c>
      <c r="M64" s="126">
        <f t="shared" ref="M64:M68" si="55">I64*104</f>
        <v>208</v>
      </c>
      <c r="N64" s="19"/>
      <c r="O64" s="19"/>
      <c r="P64" s="147"/>
      <c r="Q64" s="193"/>
      <c r="R64" s="193"/>
      <c r="S64" s="193"/>
      <c r="T64" s="193"/>
      <c r="U64" s="193"/>
      <c r="V64" s="193"/>
      <c r="W64" s="185">
        <f t="shared" si="51"/>
        <v>23.04</v>
      </c>
      <c r="X64" s="185">
        <f>H64*$F$1</f>
        <v>0</v>
      </c>
    </row>
    <row r="65" spans="1:28" s="125" customFormat="1" ht="15.6" x14ac:dyDescent="0.3">
      <c r="A65" s="340"/>
      <c r="B65" s="126">
        <v>0</v>
      </c>
      <c r="C65" s="126">
        <v>0</v>
      </c>
      <c r="D65" s="346">
        <f>'Data Ocupacion'!R21</f>
        <v>1</v>
      </c>
      <c r="E65" s="126">
        <f>'Data Ocupacion'!S21</f>
        <v>0</v>
      </c>
      <c r="F65" s="126" t="s">
        <v>257</v>
      </c>
      <c r="G65" s="126">
        <f>D65+E65*2</f>
        <v>1</v>
      </c>
      <c r="H65" s="126">
        <f t="shared" si="46"/>
        <v>0</v>
      </c>
      <c r="I65" s="126">
        <f t="shared" si="53"/>
        <v>1</v>
      </c>
      <c r="J65" s="126">
        <f>G65*AA56</f>
        <v>10.17</v>
      </c>
      <c r="K65" s="154">
        <f>I65*AA56</f>
        <v>10.17</v>
      </c>
      <c r="L65" s="126">
        <f t="shared" si="54"/>
        <v>1057.68</v>
      </c>
      <c r="M65" s="126">
        <f t="shared" si="55"/>
        <v>104</v>
      </c>
      <c r="N65" s="19"/>
      <c r="O65" s="19"/>
      <c r="P65" s="147"/>
      <c r="Q65" s="193"/>
      <c r="R65" s="193"/>
      <c r="S65" s="193"/>
      <c r="T65" s="193"/>
      <c r="U65" s="193"/>
      <c r="V65" s="193"/>
      <c r="W65" s="185">
        <f t="shared" si="51"/>
        <v>10.17</v>
      </c>
      <c r="X65" s="185">
        <f t="shared" ref="X65:X68" si="56">H65*$F$1</f>
        <v>0</v>
      </c>
    </row>
    <row r="66" spans="1:28" s="125" customFormat="1" ht="15.6" x14ac:dyDescent="0.3">
      <c r="A66" s="340"/>
      <c r="B66" s="126">
        <v>0</v>
      </c>
      <c r="C66" s="126">
        <v>0</v>
      </c>
      <c r="D66" s="346">
        <f>'Data Ocupacion'!R22</f>
        <v>1</v>
      </c>
      <c r="E66" s="126">
        <f>'Data Ocupacion'!S22</f>
        <v>0</v>
      </c>
      <c r="F66" s="126" t="s">
        <v>258</v>
      </c>
      <c r="G66" s="126">
        <f>D66+E66*2</f>
        <v>1</v>
      </c>
      <c r="H66" s="126">
        <f t="shared" si="46"/>
        <v>0</v>
      </c>
      <c r="I66" s="126">
        <f t="shared" si="53"/>
        <v>1</v>
      </c>
      <c r="J66" s="126">
        <f>G66*AA57</f>
        <v>1.42</v>
      </c>
      <c r="K66" s="154">
        <f>I66*AA57</f>
        <v>1.42</v>
      </c>
      <c r="L66" s="126">
        <f t="shared" si="54"/>
        <v>147.68</v>
      </c>
      <c r="M66" s="126">
        <f t="shared" si="55"/>
        <v>104</v>
      </c>
      <c r="N66" s="19"/>
      <c r="O66" s="19"/>
      <c r="P66" s="147"/>
      <c r="Q66" s="193"/>
      <c r="R66" s="193"/>
      <c r="S66" s="193"/>
      <c r="T66" s="193"/>
      <c r="U66" s="193"/>
      <c r="V66" s="193"/>
      <c r="W66" s="185">
        <f t="shared" si="51"/>
        <v>1.42</v>
      </c>
      <c r="X66" s="185">
        <f t="shared" si="56"/>
        <v>0</v>
      </c>
    </row>
    <row r="67" spans="1:28" s="125" customFormat="1" ht="15.6" x14ac:dyDescent="0.3">
      <c r="A67" s="340"/>
      <c r="B67" s="126">
        <v>0</v>
      </c>
      <c r="C67" s="126">
        <v>0</v>
      </c>
      <c r="D67" s="346">
        <f>'Data Ocupacion'!R23</f>
        <v>0</v>
      </c>
      <c r="E67" s="126">
        <f>'Data Ocupacion'!S23</f>
        <v>1</v>
      </c>
      <c r="F67" s="126" t="s">
        <v>259</v>
      </c>
      <c r="G67" s="126">
        <f>D67+E67*2</f>
        <v>2</v>
      </c>
      <c r="H67" s="126">
        <f t="shared" si="46"/>
        <v>0</v>
      </c>
      <c r="I67" s="126">
        <f t="shared" si="53"/>
        <v>1</v>
      </c>
      <c r="J67" s="126">
        <f>G67*AA58</f>
        <v>11.98</v>
      </c>
      <c r="K67" s="154">
        <f>I67*AA58</f>
        <v>5.99</v>
      </c>
      <c r="L67" s="126">
        <f t="shared" si="54"/>
        <v>1245.92</v>
      </c>
      <c r="M67" s="126">
        <f t="shared" si="55"/>
        <v>104</v>
      </c>
      <c r="N67" s="19"/>
      <c r="O67" s="19"/>
      <c r="P67" s="147"/>
      <c r="Q67" s="193"/>
      <c r="R67" s="193"/>
      <c r="S67" s="193"/>
      <c r="T67" s="193"/>
      <c r="U67" s="193"/>
      <c r="V67" s="193"/>
      <c r="W67" s="185">
        <f t="shared" si="51"/>
        <v>11.98</v>
      </c>
      <c r="X67" s="185">
        <f t="shared" si="56"/>
        <v>0</v>
      </c>
    </row>
    <row r="68" spans="1:28" s="125" customFormat="1" ht="16.2" thickBot="1" x14ac:dyDescent="0.35">
      <c r="A68" s="340"/>
      <c r="B68" s="126">
        <v>0</v>
      </c>
      <c r="C68" s="126">
        <v>0</v>
      </c>
      <c r="D68" s="346">
        <f>'Data Ocupacion'!R24</f>
        <v>0</v>
      </c>
      <c r="E68" s="126">
        <f>'Data Ocupacion'!S24</f>
        <v>1</v>
      </c>
      <c r="F68" s="126" t="s">
        <v>260</v>
      </c>
      <c r="G68" s="126">
        <f>D68+E68*2</f>
        <v>2</v>
      </c>
      <c r="H68" s="126">
        <f t="shared" si="46"/>
        <v>0</v>
      </c>
      <c r="I68" s="126">
        <f t="shared" si="53"/>
        <v>1</v>
      </c>
      <c r="J68" s="126">
        <f>G68*AA60</f>
        <v>65.92</v>
      </c>
      <c r="K68" s="154">
        <f>I68*AA60</f>
        <v>32.96</v>
      </c>
      <c r="L68" s="126">
        <f t="shared" si="54"/>
        <v>6855.68</v>
      </c>
      <c r="M68" s="126">
        <f t="shared" si="55"/>
        <v>104</v>
      </c>
      <c r="N68" s="19"/>
      <c r="O68" s="19"/>
      <c r="P68" s="147"/>
      <c r="Q68" s="193"/>
      <c r="R68" s="193"/>
      <c r="S68" s="193"/>
      <c r="T68" s="193"/>
      <c r="U68" s="193"/>
      <c r="V68" s="193"/>
      <c r="W68" s="185">
        <f t="shared" si="51"/>
        <v>65.92</v>
      </c>
      <c r="X68" s="185">
        <f t="shared" si="56"/>
        <v>0</v>
      </c>
    </row>
    <row r="69" spans="1:28" ht="15" thickBot="1" x14ac:dyDescent="0.35">
      <c r="A69" s="20"/>
      <c r="B69" s="348">
        <f>SUM(B54:B68)</f>
        <v>150</v>
      </c>
      <c r="C69" s="348">
        <f>SUM(C54:C64)</f>
        <v>73</v>
      </c>
      <c r="D69" s="348">
        <f>SUM(D54:D68)</f>
        <v>109</v>
      </c>
      <c r="E69" s="348">
        <f>SUM(E54:E68)</f>
        <v>68</v>
      </c>
      <c r="F69" s="349"/>
      <c r="G69" s="349">
        <f t="shared" ref="G69:M69" si="57">SUM(G54:G68)</f>
        <v>245</v>
      </c>
      <c r="H69" s="349">
        <f t="shared" si="57"/>
        <v>296</v>
      </c>
      <c r="I69" s="349">
        <f t="shared" si="57"/>
        <v>177</v>
      </c>
      <c r="J69" s="350">
        <f t="shared" si="57"/>
        <v>9295.07</v>
      </c>
      <c r="K69" s="120">
        <f t="shared" si="57"/>
        <v>6610.5499999999984</v>
      </c>
      <c r="L69" s="119">
        <f>SUM(L54:L68)</f>
        <v>966687.28</v>
      </c>
      <c r="M69" s="152">
        <f t="shared" si="57"/>
        <v>18408</v>
      </c>
      <c r="N69" s="124">
        <f>'Odometro-Kilometraje'!I81</f>
        <v>10264</v>
      </c>
      <c r="O69" s="21">
        <f>(W69/N69)*100</f>
        <v>90.559918160561182</v>
      </c>
      <c r="P69" s="196"/>
      <c r="Q69" s="184"/>
      <c r="R69" s="184"/>
      <c r="S69" s="184"/>
      <c r="T69" s="184"/>
      <c r="U69" s="184"/>
      <c r="V69" s="184"/>
      <c r="W69" s="197">
        <f>SUM(W54:W68)</f>
        <v>9295.07</v>
      </c>
      <c r="X69" s="197">
        <f>SUM(X54:X68)</f>
        <v>11725.289999999999</v>
      </c>
    </row>
    <row r="70" spans="1:28" x14ac:dyDescent="0.3">
      <c r="A70" s="61">
        <f>A54+1</f>
        <v>45786</v>
      </c>
      <c r="B70" s="126">
        <v>47</v>
      </c>
      <c r="C70" s="126">
        <v>32</v>
      </c>
      <c r="D70" s="347">
        <f>'Data Ocupacion'!T41</f>
        <v>47</v>
      </c>
      <c r="E70" s="347">
        <f>'Data Ocupacion'!U41</f>
        <v>32</v>
      </c>
      <c r="F70" s="126" t="s">
        <v>38</v>
      </c>
      <c r="G70" s="126">
        <f t="shared" ref="G70:G75" si="58">D70+E70*2</f>
        <v>111</v>
      </c>
      <c r="H70" s="126">
        <f>B70+C70*2</f>
        <v>111</v>
      </c>
      <c r="I70" s="126">
        <f t="shared" ref="I70:I75" si="59">D70+E70</f>
        <v>79</v>
      </c>
      <c r="J70" s="126">
        <f>G70*M$2</f>
        <v>4787.43</v>
      </c>
      <c r="K70" s="154">
        <f>I70*M$2</f>
        <v>3407.27</v>
      </c>
      <c r="L70" s="126">
        <f t="shared" ref="L70:L75" si="60">J70*104</f>
        <v>497892.72000000003</v>
      </c>
      <c r="M70" s="126">
        <f t="shared" ref="M70:M75" si="61">I70*104</f>
        <v>8216</v>
      </c>
      <c r="N70" s="19"/>
      <c r="O70" s="19"/>
      <c r="P70" s="147"/>
      <c r="Q70" s="186">
        <v>1</v>
      </c>
      <c r="R70" s="186"/>
      <c r="S70" s="211"/>
      <c r="T70" s="207">
        <v>3</v>
      </c>
      <c r="U70" s="195"/>
      <c r="V70" s="235"/>
      <c r="W70" s="185">
        <f>J70-(Q70*($M$2-$K$1))-(R70*($M$2-$M$1))- (S70*($M$2-$I$2))+ (T70*($G$2))</f>
        <v>4822.8900000000003</v>
      </c>
      <c r="X70" s="185">
        <f>H70*$M$2</f>
        <v>4787.43</v>
      </c>
    </row>
    <row r="71" spans="1:28" ht="15" customHeight="1" x14ac:dyDescent="0.3">
      <c r="A71" s="291"/>
      <c r="B71" s="126">
        <v>45</v>
      </c>
      <c r="C71" s="126">
        <v>33</v>
      </c>
      <c r="D71" s="127">
        <f>'Data Ocupacion'!T42</f>
        <v>45</v>
      </c>
      <c r="E71" s="127">
        <f>'Data Ocupacion'!U42</f>
        <v>33</v>
      </c>
      <c r="F71" s="126" t="s">
        <v>52</v>
      </c>
      <c r="G71" s="126">
        <f t="shared" si="58"/>
        <v>111</v>
      </c>
      <c r="H71" s="126">
        <f t="shared" ref="H71:H75" si="62">B71+C71*2</f>
        <v>111</v>
      </c>
      <c r="I71" s="126">
        <f t="shared" si="59"/>
        <v>78</v>
      </c>
      <c r="J71" s="126">
        <f>G71*M$2</f>
        <v>4787.43</v>
      </c>
      <c r="K71" s="154">
        <f>I71*M$2</f>
        <v>3364.1400000000003</v>
      </c>
      <c r="L71" s="126">
        <f t="shared" si="60"/>
        <v>497892.72000000003</v>
      </c>
      <c r="M71" s="126">
        <f t="shared" si="61"/>
        <v>8112</v>
      </c>
      <c r="N71" s="19"/>
      <c r="O71" s="19"/>
      <c r="P71" s="147"/>
      <c r="Q71" s="190"/>
      <c r="R71" s="190"/>
      <c r="S71" s="190"/>
      <c r="T71" s="186"/>
      <c r="U71" s="186"/>
      <c r="V71" s="236"/>
      <c r="W71" s="188">
        <f>J71-(T71*($M$2-$K$1)+(U71*($M$2-$M$1)))</f>
        <v>4787.43</v>
      </c>
      <c r="X71" s="185">
        <f>H71*$M$2</f>
        <v>4787.43</v>
      </c>
      <c r="Y71" s="244"/>
      <c r="AA71" s="125"/>
      <c r="AB71" s="125"/>
    </row>
    <row r="72" spans="1:28" x14ac:dyDescent="0.3">
      <c r="A72" s="262"/>
      <c r="B72" s="126">
        <v>29</v>
      </c>
      <c r="C72" s="126">
        <v>4</v>
      </c>
      <c r="D72" s="127">
        <f>'Data Ocupacion'!T43</f>
        <v>29</v>
      </c>
      <c r="E72" s="127">
        <f>'Data Ocupacion'!U43</f>
        <v>4</v>
      </c>
      <c r="F72" s="126" t="s">
        <v>36</v>
      </c>
      <c r="G72" s="126">
        <f t="shared" si="58"/>
        <v>37</v>
      </c>
      <c r="H72" s="126">
        <f t="shared" si="62"/>
        <v>37</v>
      </c>
      <c r="I72" s="126">
        <f t="shared" si="59"/>
        <v>33</v>
      </c>
      <c r="J72" s="126">
        <f>G72*M$1</f>
        <v>1077.07</v>
      </c>
      <c r="K72" s="154">
        <f>I72*M$1</f>
        <v>960.63</v>
      </c>
      <c r="L72" s="126">
        <f t="shared" si="60"/>
        <v>112015.28</v>
      </c>
      <c r="M72" s="126">
        <f t="shared" si="61"/>
        <v>3432</v>
      </c>
      <c r="N72" s="19"/>
      <c r="O72" s="19"/>
      <c r="P72" s="147"/>
      <c r="Q72" s="189"/>
      <c r="R72" s="191"/>
      <c r="S72" s="212"/>
      <c r="T72" s="192"/>
      <c r="U72" s="193"/>
      <c r="V72" s="193"/>
      <c r="W72" s="185">
        <f>J72-(Q72*($M$1-$K$1))</f>
        <v>1077.07</v>
      </c>
      <c r="X72" s="185">
        <f>H72*$M$1</f>
        <v>1077.07</v>
      </c>
      <c r="Y72" s="244"/>
    </row>
    <row r="73" spans="1:28" x14ac:dyDescent="0.3">
      <c r="A73" s="262"/>
      <c r="B73" s="126">
        <v>28</v>
      </c>
      <c r="C73" s="126">
        <v>4</v>
      </c>
      <c r="D73" s="127">
        <f>'Data Ocupacion'!T44</f>
        <v>28</v>
      </c>
      <c r="E73" s="127">
        <f>'Data Ocupacion'!U44</f>
        <v>4</v>
      </c>
      <c r="F73" s="126" t="s">
        <v>53</v>
      </c>
      <c r="G73" s="126">
        <f t="shared" si="58"/>
        <v>36</v>
      </c>
      <c r="H73" s="126">
        <f t="shared" si="62"/>
        <v>36</v>
      </c>
      <c r="I73" s="126">
        <f t="shared" si="59"/>
        <v>32</v>
      </c>
      <c r="J73" s="126">
        <f>G73*M$1</f>
        <v>1047.96</v>
      </c>
      <c r="K73" s="154">
        <f>I73*M$1</f>
        <v>931.52</v>
      </c>
      <c r="L73" s="126">
        <f t="shared" si="60"/>
        <v>108987.84</v>
      </c>
      <c r="M73" s="126">
        <f t="shared" si="61"/>
        <v>3328</v>
      </c>
      <c r="N73" s="19"/>
      <c r="O73" s="19"/>
      <c r="P73" s="147"/>
      <c r="Q73" s="193"/>
      <c r="R73" s="193"/>
      <c r="S73" s="193"/>
      <c r="T73" s="193"/>
      <c r="U73" s="193"/>
      <c r="V73" s="193"/>
      <c r="W73" s="185">
        <f>J73</f>
        <v>1047.96</v>
      </c>
      <c r="X73" s="185">
        <f>H73*$M$1</f>
        <v>1047.96</v>
      </c>
    </row>
    <row r="74" spans="1:28" s="125" customFormat="1" x14ac:dyDescent="0.3">
      <c r="A74" s="262"/>
      <c r="B74" s="126">
        <v>0</v>
      </c>
      <c r="C74" s="126">
        <v>0</v>
      </c>
      <c r="D74" s="127">
        <f>'Data Ocupacion'!T45</f>
        <v>0</v>
      </c>
      <c r="E74" s="127">
        <f>'Data Ocupacion'!U45</f>
        <v>0</v>
      </c>
      <c r="F74" s="126" t="s">
        <v>122</v>
      </c>
      <c r="G74" s="126">
        <f t="shared" si="58"/>
        <v>0</v>
      </c>
      <c r="H74" s="126">
        <f t="shared" si="62"/>
        <v>0</v>
      </c>
      <c r="I74" s="126">
        <f t="shared" si="59"/>
        <v>0</v>
      </c>
      <c r="J74" s="126">
        <f>G74*K$1</f>
        <v>0</v>
      </c>
      <c r="K74" s="154">
        <f>I74*K$1</f>
        <v>0</v>
      </c>
      <c r="L74" s="126">
        <f t="shared" si="60"/>
        <v>0</v>
      </c>
      <c r="M74" s="126">
        <f t="shared" si="61"/>
        <v>0</v>
      </c>
      <c r="N74" s="19"/>
      <c r="O74" s="19"/>
      <c r="P74" s="147"/>
      <c r="Q74" s="193"/>
      <c r="R74" s="193"/>
      <c r="S74" s="193"/>
      <c r="T74" s="193"/>
      <c r="U74" s="193"/>
      <c r="V74" s="193"/>
      <c r="W74" s="185">
        <f>J74</f>
        <v>0</v>
      </c>
      <c r="X74" s="185">
        <f>H74*$K$1</f>
        <v>0</v>
      </c>
    </row>
    <row r="75" spans="1:28" ht="15" thickBot="1" x14ac:dyDescent="0.35">
      <c r="A75" s="262"/>
      <c r="B75" s="126">
        <v>1</v>
      </c>
      <c r="C75" s="126">
        <v>0</v>
      </c>
      <c r="D75" s="263">
        <f>'Data Ocupacion'!T46</f>
        <v>1</v>
      </c>
      <c r="E75" s="127">
        <f>'Data Ocupacion'!U46</f>
        <v>0</v>
      </c>
      <c r="F75" s="126" t="s">
        <v>35</v>
      </c>
      <c r="G75" s="126">
        <f t="shared" si="58"/>
        <v>1</v>
      </c>
      <c r="H75" s="126">
        <f t="shared" si="62"/>
        <v>1</v>
      </c>
      <c r="I75" s="126">
        <f t="shared" si="59"/>
        <v>1</v>
      </c>
      <c r="J75" s="126">
        <f>G75*K$1</f>
        <v>25.4</v>
      </c>
      <c r="K75" s="154">
        <f>I75*K$1</f>
        <v>25.4</v>
      </c>
      <c r="L75" s="126">
        <f t="shared" si="60"/>
        <v>2641.6</v>
      </c>
      <c r="M75" s="126">
        <f t="shared" si="61"/>
        <v>104</v>
      </c>
      <c r="N75" s="19"/>
      <c r="O75" s="19"/>
      <c r="P75" s="147"/>
      <c r="Q75" s="193"/>
      <c r="R75" s="193"/>
      <c r="S75" s="193"/>
      <c r="T75" s="193"/>
      <c r="U75" s="193"/>
      <c r="V75" s="193"/>
      <c r="W75" s="185">
        <f>J75</f>
        <v>25.4</v>
      </c>
      <c r="X75" s="185">
        <f>H75*$K$1</f>
        <v>25.4</v>
      </c>
    </row>
    <row r="76" spans="1:28" s="125" customFormat="1" ht="18.75" customHeight="1" thickBot="1" x14ac:dyDescent="0.35">
      <c r="A76" s="20"/>
      <c r="B76" s="224">
        <f>SUM(B70:B75)</f>
        <v>150</v>
      </c>
      <c r="C76" s="224">
        <f>SUM(C70:C75)</f>
        <v>73</v>
      </c>
      <c r="D76" s="153">
        <f>SUM(D70:D75)</f>
        <v>150</v>
      </c>
      <c r="E76" s="153">
        <f>SUM(E70:E75)</f>
        <v>73</v>
      </c>
      <c r="F76" s="120"/>
      <c r="G76" s="120">
        <f t="shared" ref="G76:M76" si="63">SUM(G70:G75)</f>
        <v>296</v>
      </c>
      <c r="H76" s="120">
        <f t="shared" si="63"/>
        <v>296</v>
      </c>
      <c r="I76" s="120">
        <f t="shared" si="63"/>
        <v>223</v>
      </c>
      <c r="J76" s="121">
        <f t="shared" si="63"/>
        <v>11725.289999999999</v>
      </c>
      <c r="K76" s="120">
        <f t="shared" si="63"/>
        <v>8688.9599999999991</v>
      </c>
      <c r="L76" s="119">
        <f t="shared" si="63"/>
        <v>1219430.1600000001</v>
      </c>
      <c r="M76" s="152">
        <f t="shared" si="63"/>
        <v>23192</v>
      </c>
      <c r="N76" s="124">
        <f>'Odometro-Kilometraje'!J81</f>
        <v>12163</v>
      </c>
      <c r="O76" s="21">
        <f>(W76/N76)*100</f>
        <v>96.692838937762048</v>
      </c>
      <c r="P76" s="196"/>
      <c r="Q76" s="184"/>
      <c r="R76" s="184"/>
      <c r="S76" s="184"/>
      <c r="T76" s="184"/>
      <c r="U76" s="184"/>
      <c r="V76" s="184"/>
      <c r="W76" s="197">
        <f>SUM(W70:W75)</f>
        <v>11760.749999999998</v>
      </c>
      <c r="X76" s="197">
        <f>SUM(X70:X75)</f>
        <v>11725.289999999999</v>
      </c>
      <c r="Y76" s="245"/>
    </row>
    <row r="77" spans="1:28" s="125" customFormat="1" x14ac:dyDescent="0.3">
      <c r="A77" s="61">
        <f>A70+1</f>
        <v>45787</v>
      </c>
      <c r="B77" s="117">
        <v>69</v>
      </c>
      <c r="C77" s="117">
        <v>3</v>
      </c>
      <c r="D77" s="148">
        <f>'Data Ocupacion'!V41</f>
        <v>69</v>
      </c>
      <c r="E77" s="148">
        <f>'Data Ocupacion'!W41</f>
        <v>3</v>
      </c>
      <c r="F77" s="320" t="s">
        <v>38</v>
      </c>
      <c r="G77" s="321">
        <f t="shared" ref="G77:G84" si="64">D77+E77*2</f>
        <v>75</v>
      </c>
      <c r="H77" s="117">
        <f>B77+C77*2</f>
        <v>75</v>
      </c>
      <c r="I77" s="322">
        <f t="shared" ref="I77:I82" si="65">D77+E77</f>
        <v>72</v>
      </c>
      <c r="J77" s="322">
        <f>G77*M$2</f>
        <v>3234.75</v>
      </c>
      <c r="K77" s="154">
        <f>I77*M$2</f>
        <v>3105.36</v>
      </c>
      <c r="L77" s="117">
        <f t="shared" ref="L77:L82" si="66">J77*104</f>
        <v>336414</v>
      </c>
      <c r="M77" s="117">
        <f t="shared" ref="M77:M82" si="67">I77*104</f>
        <v>7488</v>
      </c>
      <c r="N77" s="19"/>
      <c r="O77" s="19"/>
      <c r="P77" s="147"/>
      <c r="Q77" s="186"/>
      <c r="R77" s="186"/>
      <c r="S77" s="211"/>
      <c r="T77" s="186"/>
      <c r="U77" s="195"/>
      <c r="V77" s="235"/>
      <c r="W77" s="185">
        <f>J77-(Q77*($M$2-$K$1))-(R77*($M$2-$M$1))- (S77*($M$2-$I$2))+ (T77*($G$2))</f>
        <v>3234.75</v>
      </c>
      <c r="X77" s="185">
        <f>H77*$M$2</f>
        <v>3234.75</v>
      </c>
    </row>
    <row r="78" spans="1:28" ht="14.4" customHeight="1" x14ac:dyDescent="0.3">
      <c r="A78" s="291"/>
      <c r="B78" s="117">
        <v>75</v>
      </c>
      <c r="C78" s="117">
        <v>0</v>
      </c>
      <c r="D78" s="148">
        <f>'Data Ocupacion'!V42</f>
        <v>75</v>
      </c>
      <c r="E78" s="148">
        <f>'Data Ocupacion'!W42</f>
        <v>0</v>
      </c>
      <c r="F78" s="320" t="s">
        <v>52</v>
      </c>
      <c r="G78" s="321">
        <f t="shared" si="64"/>
        <v>75</v>
      </c>
      <c r="H78" s="117">
        <f t="shared" ref="H78:H82" si="68">B78+C78*2</f>
        <v>75</v>
      </c>
      <c r="I78" s="117">
        <f t="shared" si="65"/>
        <v>75</v>
      </c>
      <c r="J78" s="117">
        <f>G78*M$2</f>
        <v>3234.75</v>
      </c>
      <c r="K78" s="154">
        <f>I78*M$2</f>
        <v>3234.75</v>
      </c>
      <c r="L78" s="117">
        <f t="shared" si="66"/>
        <v>336414</v>
      </c>
      <c r="M78" s="117">
        <f t="shared" si="67"/>
        <v>7800</v>
      </c>
      <c r="N78" s="19"/>
      <c r="O78" s="19"/>
      <c r="P78" s="147"/>
      <c r="Q78" s="190"/>
      <c r="R78" s="190"/>
      <c r="S78" s="223"/>
      <c r="T78" s="186"/>
      <c r="U78" s="223"/>
      <c r="V78" s="236"/>
      <c r="W78" s="188">
        <f>J78-(T78*($M$2-$K$1)+(U78*($M$2-$M$1))+(V78*($U$2)))</f>
        <v>3234.75</v>
      </c>
      <c r="X78" s="185">
        <f>H78*$M$2</f>
        <v>3234.75</v>
      </c>
    </row>
    <row r="79" spans="1:28" ht="15" customHeight="1" x14ac:dyDescent="0.3">
      <c r="A79" s="262"/>
      <c r="B79" s="117">
        <v>0</v>
      </c>
      <c r="C79" s="117">
        <v>0</v>
      </c>
      <c r="D79" s="148">
        <f>'Data Ocupacion'!V43</f>
        <v>0</v>
      </c>
      <c r="E79" s="148">
        <f>'Data Ocupacion'!W43</f>
        <v>0</v>
      </c>
      <c r="F79" s="320" t="s">
        <v>36</v>
      </c>
      <c r="G79" s="321">
        <f t="shared" si="64"/>
        <v>0</v>
      </c>
      <c r="H79" s="117">
        <f t="shared" si="68"/>
        <v>0</v>
      </c>
      <c r="I79" s="117">
        <f t="shared" si="65"/>
        <v>0</v>
      </c>
      <c r="J79" s="117">
        <f>G79*M$1</f>
        <v>0</v>
      </c>
      <c r="K79" s="154">
        <f>I79*M$1</f>
        <v>0</v>
      </c>
      <c r="L79" s="117">
        <f t="shared" si="66"/>
        <v>0</v>
      </c>
      <c r="M79" s="117">
        <f t="shared" si="67"/>
        <v>0</v>
      </c>
      <c r="N79" s="19"/>
      <c r="O79" s="19"/>
      <c r="P79" s="147"/>
      <c r="Q79" s="189"/>
      <c r="R79" s="191"/>
      <c r="S79" s="212"/>
      <c r="T79" s="192"/>
      <c r="U79" s="193"/>
      <c r="V79" s="193"/>
      <c r="W79" s="185">
        <f>J79-(Q79*($M$1-$K$1))</f>
        <v>0</v>
      </c>
      <c r="X79" s="185">
        <f>H79*$M$1</f>
        <v>0</v>
      </c>
    </row>
    <row r="80" spans="1:28" ht="15" customHeight="1" x14ac:dyDescent="0.3">
      <c r="A80" s="262"/>
      <c r="B80" s="117">
        <v>0</v>
      </c>
      <c r="C80" s="117">
        <v>0</v>
      </c>
      <c r="D80" s="148">
        <f>'Data Ocupacion'!V44</f>
        <v>0</v>
      </c>
      <c r="E80" s="148">
        <f>'Data Ocupacion'!W44</f>
        <v>0</v>
      </c>
      <c r="F80" s="320" t="s">
        <v>53</v>
      </c>
      <c r="G80" s="321">
        <f t="shared" si="64"/>
        <v>0</v>
      </c>
      <c r="H80" s="117">
        <f t="shared" si="68"/>
        <v>0</v>
      </c>
      <c r="I80" s="117">
        <f t="shared" si="65"/>
        <v>0</v>
      </c>
      <c r="J80" s="117">
        <f>G80*M$1</f>
        <v>0</v>
      </c>
      <c r="K80" s="154">
        <f>I80*M$1</f>
        <v>0</v>
      </c>
      <c r="L80" s="117">
        <f t="shared" si="66"/>
        <v>0</v>
      </c>
      <c r="M80" s="117">
        <f t="shared" si="67"/>
        <v>0</v>
      </c>
      <c r="N80" s="19"/>
      <c r="O80" s="19"/>
      <c r="P80" s="147"/>
      <c r="Q80" s="193"/>
      <c r="R80" s="193"/>
      <c r="S80" s="193"/>
      <c r="T80" s="193"/>
      <c r="U80" s="193"/>
      <c r="V80" s="193"/>
      <c r="W80" s="185">
        <f>J80</f>
        <v>0</v>
      </c>
      <c r="X80" s="185">
        <f>H80*$M$1</f>
        <v>0</v>
      </c>
    </row>
    <row r="81" spans="1:27" ht="15" customHeight="1" x14ac:dyDescent="0.3">
      <c r="A81" s="262"/>
      <c r="B81" s="117">
        <v>0</v>
      </c>
      <c r="C81" s="117">
        <v>0</v>
      </c>
      <c r="D81" s="148">
        <f>'Data Ocupacion'!V45</f>
        <v>0</v>
      </c>
      <c r="E81" s="148">
        <f>'Data Ocupacion'!W45</f>
        <v>0</v>
      </c>
      <c r="F81" s="320" t="s">
        <v>122</v>
      </c>
      <c r="G81" s="321">
        <f t="shared" si="64"/>
        <v>0</v>
      </c>
      <c r="H81" s="117">
        <f t="shared" si="68"/>
        <v>0</v>
      </c>
      <c r="I81" s="117">
        <f t="shared" si="65"/>
        <v>0</v>
      </c>
      <c r="J81" s="323">
        <f>G81*K$1</f>
        <v>0</v>
      </c>
      <c r="K81" s="154">
        <f>I81*K$1</f>
        <v>0</v>
      </c>
      <c r="L81" s="117">
        <f t="shared" si="66"/>
        <v>0</v>
      </c>
      <c r="M81" s="117">
        <f t="shared" si="67"/>
        <v>0</v>
      </c>
      <c r="N81" s="19"/>
      <c r="O81" s="19"/>
      <c r="P81" s="147"/>
      <c r="Q81" s="193"/>
      <c r="R81" s="193"/>
      <c r="S81" s="193"/>
      <c r="T81" s="193"/>
      <c r="U81" s="193"/>
      <c r="V81" s="193"/>
      <c r="W81" s="185">
        <f>J81</f>
        <v>0</v>
      </c>
      <c r="X81" s="185">
        <f>H81*$K$1</f>
        <v>0</v>
      </c>
    </row>
    <row r="82" spans="1:27" ht="14.25" customHeight="1" thickBot="1" x14ac:dyDescent="0.35">
      <c r="A82" s="262"/>
      <c r="B82" s="117">
        <v>0</v>
      </c>
      <c r="C82" s="117">
        <v>0</v>
      </c>
      <c r="D82" s="148">
        <f>'Data Ocupacion'!V46</f>
        <v>0</v>
      </c>
      <c r="E82" s="148">
        <f>'Data Ocupacion'!W46</f>
        <v>0</v>
      </c>
      <c r="F82" s="320" t="s">
        <v>35</v>
      </c>
      <c r="G82" s="321">
        <f t="shared" si="64"/>
        <v>0</v>
      </c>
      <c r="H82" s="117">
        <f t="shared" si="68"/>
        <v>0</v>
      </c>
      <c r="I82" s="324">
        <f t="shared" si="65"/>
        <v>0</v>
      </c>
      <c r="J82" s="324">
        <f>G82*K$1</f>
        <v>0</v>
      </c>
      <c r="K82" s="154">
        <f>I82*K$1</f>
        <v>0</v>
      </c>
      <c r="L82" s="117">
        <f t="shared" si="66"/>
        <v>0</v>
      </c>
      <c r="M82" s="117">
        <f t="shared" si="67"/>
        <v>0</v>
      </c>
      <c r="N82" s="19"/>
      <c r="O82" s="19"/>
      <c r="P82" s="147"/>
      <c r="Q82" s="193"/>
      <c r="R82" s="193"/>
      <c r="S82" s="193"/>
      <c r="T82" s="193"/>
      <c r="U82" s="193"/>
      <c r="V82" s="193"/>
      <c r="W82" s="185">
        <f>J82</f>
        <v>0</v>
      </c>
      <c r="X82" s="185">
        <f>H82*$K$1</f>
        <v>0</v>
      </c>
      <c r="Y82" s="264"/>
      <c r="Z82" s="264"/>
      <c r="AA82" s="264"/>
    </row>
    <row r="83" spans="1:27" s="125" customFormat="1" ht="15" thickBot="1" x14ac:dyDescent="0.35">
      <c r="A83" s="20"/>
      <c r="B83" s="224">
        <f>SUM(B77:B82)</f>
        <v>144</v>
      </c>
      <c r="C83" s="224">
        <f>SUM(C77:C82)</f>
        <v>3</v>
      </c>
      <c r="D83" s="149">
        <f>SUM(D77:D82)</f>
        <v>144</v>
      </c>
      <c r="E83" s="149">
        <f>SUM(E77:E82)</f>
        <v>3</v>
      </c>
      <c r="F83" s="120"/>
      <c r="G83" s="120">
        <f t="shared" ref="G83:M83" si="69">SUM(G77:G82)</f>
        <v>150</v>
      </c>
      <c r="H83" s="120">
        <f t="shared" si="69"/>
        <v>150</v>
      </c>
      <c r="I83" s="120">
        <f t="shared" si="69"/>
        <v>147</v>
      </c>
      <c r="J83" s="121">
        <f t="shared" si="69"/>
        <v>6469.5</v>
      </c>
      <c r="K83" s="120">
        <f t="shared" si="69"/>
        <v>6340.1100000000006</v>
      </c>
      <c r="L83" s="120">
        <f t="shared" si="69"/>
        <v>672828</v>
      </c>
      <c r="M83" s="120">
        <f t="shared" si="69"/>
        <v>15288</v>
      </c>
      <c r="N83" s="124">
        <f>'Odometro-Kilometraje'!K81</f>
        <v>6491</v>
      </c>
      <c r="O83" s="21">
        <f>(W83/N83)*100</f>
        <v>99.668772146048383</v>
      </c>
      <c r="P83" s="196"/>
      <c r="Q83" s="184"/>
      <c r="R83" s="184"/>
      <c r="S83" s="184"/>
      <c r="T83" s="184"/>
      <c r="U83" s="184"/>
      <c r="V83" s="184"/>
      <c r="W83" s="197">
        <f>SUM(W77:W82)</f>
        <v>6469.5</v>
      </c>
      <c r="X83" s="197">
        <f>SUM(X77:X82)</f>
        <v>6469.5</v>
      </c>
      <c r="Y83" s="264"/>
      <c r="Z83" s="264"/>
      <c r="AA83" s="264"/>
    </row>
    <row r="84" spans="1:27" x14ac:dyDescent="0.3">
      <c r="A84" s="61">
        <f>A77+1</f>
        <v>45788</v>
      </c>
      <c r="B84" s="225">
        <v>51</v>
      </c>
      <c r="C84" s="225">
        <v>3</v>
      </c>
      <c r="D84" s="139">
        <f>'Data Ocupacion'!X41</f>
        <v>51</v>
      </c>
      <c r="E84" s="139">
        <f>'Data Ocupacion'!Y41</f>
        <v>3</v>
      </c>
      <c r="F84" s="225" t="s">
        <v>38</v>
      </c>
      <c r="G84" s="316">
        <f t="shared" si="64"/>
        <v>57</v>
      </c>
      <c r="H84" s="225">
        <f>B84+C84*2</f>
        <v>57</v>
      </c>
      <c r="I84" s="225">
        <f t="shared" ref="I84:I89" si="70">D84+E84</f>
        <v>54</v>
      </c>
      <c r="J84" s="225">
        <f>G84*M$2</f>
        <v>2458.4100000000003</v>
      </c>
      <c r="K84" s="154">
        <f>I84*M$2</f>
        <v>2329.02</v>
      </c>
      <c r="L84" s="225">
        <f t="shared" ref="L84:L89" si="71">J84*104</f>
        <v>255674.64000000004</v>
      </c>
      <c r="M84" s="225">
        <f t="shared" ref="M84:M89" si="72">I84*104</f>
        <v>5616</v>
      </c>
      <c r="N84" s="19"/>
      <c r="O84" s="19"/>
      <c r="P84" s="147"/>
      <c r="Q84" s="186"/>
      <c r="R84" s="186"/>
      <c r="S84" s="211"/>
      <c r="T84" s="186"/>
      <c r="U84" s="195"/>
      <c r="V84" s="235"/>
      <c r="W84" s="185">
        <f>J84-(Q84*($M$2-$K$1))-(R84*($M$2-$M$1))- (S84*($M$2-$I$2))+ (T84*($G$2))</f>
        <v>2458.4100000000003</v>
      </c>
      <c r="X84" s="185">
        <f>H84*$M$2</f>
        <v>2458.4100000000003</v>
      </c>
      <c r="Y84" s="264"/>
      <c r="Z84" s="264"/>
      <c r="AA84" s="264"/>
    </row>
    <row r="85" spans="1:27" ht="15" customHeight="1" x14ac:dyDescent="0.3">
      <c r="A85" s="291"/>
      <c r="B85" s="225">
        <v>57</v>
      </c>
      <c r="C85" s="225">
        <v>0</v>
      </c>
      <c r="D85" s="139">
        <f>'Data Ocupacion'!X42</f>
        <v>57</v>
      </c>
      <c r="E85" s="139">
        <f>'Data Ocupacion'!Y42</f>
        <v>0</v>
      </c>
      <c r="F85" s="225" t="s">
        <v>52</v>
      </c>
      <c r="G85" s="225">
        <f t="shared" ref="G85:G89" si="73">D85+E85*2</f>
        <v>57</v>
      </c>
      <c r="H85" s="225">
        <f t="shared" ref="H85:H89" si="74">B85+C85*2</f>
        <v>57</v>
      </c>
      <c r="I85" s="225">
        <f t="shared" si="70"/>
        <v>57</v>
      </c>
      <c r="J85" s="225">
        <f>G85*M$2</f>
        <v>2458.4100000000003</v>
      </c>
      <c r="K85" s="154">
        <f>I85*M$2</f>
        <v>2458.4100000000003</v>
      </c>
      <c r="L85" s="225">
        <f t="shared" si="71"/>
        <v>255674.64000000004</v>
      </c>
      <c r="M85" s="225">
        <f t="shared" si="72"/>
        <v>5928</v>
      </c>
      <c r="N85" s="19"/>
      <c r="O85" s="19"/>
      <c r="P85" s="147"/>
      <c r="Q85" s="190"/>
      <c r="R85" s="190"/>
      <c r="S85" s="190"/>
      <c r="T85" s="186"/>
      <c r="U85" s="186"/>
      <c r="V85" s="236"/>
      <c r="W85" s="188">
        <f>J85-(T85*($M$2-$K$1)+(U85*($M$2-$M$1)))</f>
        <v>2458.4100000000003</v>
      </c>
      <c r="X85" s="185">
        <f>H85*$M$2</f>
        <v>2458.4100000000003</v>
      </c>
      <c r="Y85" s="264"/>
      <c r="Z85" s="264"/>
      <c r="AA85" s="264"/>
    </row>
    <row r="86" spans="1:27" ht="15" customHeight="1" x14ac:dyDescent="0.3">
      <c r="A86" s="262"/>
      <c r="B86" s="225">
        <v>0</v>
      </c>
      <c r="C86" s="225">
        <v>0</v>
      </c>
      <c r="D86" s="139">
        <f>'Data Ocupacion'!X43</f>
        <v>0</v>
      </c>
      <c r="E86" s="139">
        <f>'Data Ocupacion'!Y43</f>
        <v>0</v>
      </c>
      <c r="F86" s="225" t="s">
        <v>36</v>
      </c>
      <c r="G86" s="225">
        <f t="shared" si="73"/>
        <v>0</v>
      </c>
      <c r="H86" s="225">
        <f t="shared" si="74"/>
        <v>0</v>
      </c>
      <c r="I86" s="225">
        <f t="shared" si="70"/>
        <v>0</v>
      </c>
      <c r="J86" s="225">
        <f>G86*M$1</f>
        <v>0</v>
      </c>
      <c r="K86" s="154">
        <f>I86*M$1</f>
        <v>0</v>
      </c>
      <c r="L86" s="225">
        <f t="shared" si="71"/>
        <v>0</v>
      </c>
      <c r="M86" s="225">
        <f t="shared" si="72"/>
        <v>0</v>
      </c>
      <c r="N86" s="19"/>
      <c r="O86" s="19" t="s">
        <v>147</v>
      </c>
      <c r="P86" s="147"/>
      <c r="Q86" s="189"/>
      <c r="R86" s="191"/>
      <c r="S86" s="212"/>
      <c r="T86" s="192"/>
      <c r="U86" s="193"/>
      <c r="V86" s="193"/>
      <c r="W86" s="185">
        <f>J86-(Q86*($M$1-$K$1))</f>
        <v>0</v>
      </c>
      <c r="X86" s="185">
        <f>H86*$M$1</f>
        <v>0</v>
      </c>
      <c r="Y86" s="264"/>
      <c r="Z86" s="264"/>
      <c r="AA86" s="264"/>
    </row>
    <row r="87" spans="1:27" ht="13.5" customHeight="1" x14ac:dyDescent="0.3">
      <c r="A87" s="262"/>
      <c r="B87" s="225">
        <v>0</v>
      </c>
      <c r="C87" s="225">
        <v>0</v>
      </c>
      <c r="D87" s="139">
        <f>'Data Ocupacion'!X44</f>
        <v>0</v>
      </c>
      <c r="E87" s="139">
        <f>'Data Ocupacion'!Y44</f>
        <v>0</v>
      </c>
      <c r="F87" s="225" t="s">
        <v>53</v>
      </c>
      <c r="G87" s="225">
        <f t="shared" si="73"/>
        <v>0</v>
      </c>
      <c r="H87" s="225">
        <f t="shared" si="74"/>
        <v>0</v>
      </c>
      <c r="I87" s="225">
        <f t="shared" si="70"/>
        <v>0</v>
      </c>
      <c r="J87" s="225">
        <f>G87*M$1</f>
        <v>0</v>
      </c>
      <c r="K87" s="154">
        <f>I87*M$1</f>
        <v>0</v>
      </c>
      <c r="L87" s="225">
        <f t="shared" si="71"/>
        <v>0</v>
      </c>
      <c r="M87" s="225">
        <f t="shared" si="72"/>
        <v>0</v>
      </c>
      <c r="N87" s="19"/>
      <c r="O87" s="19" t="s">
        <v>147</v>
      </c>
      <c r="P87" s="147"/>
      <c r="Q87" s="193"/>
      <c r="R87" s="193"/>
      <c r="S87" s="193"/>
      <c r="T87" s="193"/>
      <c r="U87" s="193"/>
      <c r="V87" s="193"/>
      <c r="W87" s="185">
        <f>J87</f>
        <v>0</v>
      </c>
      <c r="X87" s="185">
        <f>H87*$M$1</f>
        <v>0</v>
      </c>
      <c r="Y87" s="264"/>
      <c r="Z87" s="264"/>
      <c r="AA87" s="264"/>
    </row>
    <row r="88" spans="1:27" s="125" customFormat="1" ht="13.5" customHeight="1" x14ac:dyDescent="0.3">
      <c r="A88" s="262"/>
      <c r="B88" s="225">
        <v>0</v>
      </c>
      <c r="C88" s="225">
        <v>0</v>
      </c>
      <c r="D88" s="139">
        <f>'Data Ocupacion'!X45</f>
        <v>0</v>
      </c>
      <c r="E88" s="139">
        <f>'Data Ocupacion'!Y45</f>
        <v>0</v>
      </c>
      <c r="F88" s="225" t="s">
        <v>122</v>
      </c>
      <c r="G88" s="225">
        <f t="shared" si="73"/>
        <v>0</v>
      </c>
      <c r="H88" s="225">
        <f t="shared" si="74"/>
        <v>0</v>
      </c>
      <c r="I88" s="225">
        <f t="shared" si="70"/>
        <v>0</v>
      </c>
      <c r="J88" s="225">
        <f>G88*K$1</f>
        <v>0</v>
      </c>
      <c r="K88" s="154">
        <f>I88*K$1</f>
        <v>0</v>
      </c>
      <c r="L88" s="225">
        <f t="shared" si="71"/>
        <v>0</v>
      </c>
      <c r="M88" s="225">
        <f t="shared" si="72"/>
        <v>0</v>
      </c>
      <c r="N88" s="19"/>
      <c r="O88" s="19"/>
      <c r="P88" s="147"/>
      <c r="Q88" s="193"/>
      <c r="R88" s="193"/>
      <c r="S88" s="193"/>
      <c r="T88" s="193"/>
      <c r="U88" s="193"/>
      <c r="V88" s="193"/>
      <c r="W88" s="185">
        <f>J88</f>
        <v>0</v>
      </c>
      <c r="X88" s="185">
        <f>H88*$K$1</f>
        <v>0</v>
      </c>
      <c r="Y88" s="264"/>
      <c r="Z88" s="264"/>
      <c r="AA88" s="264"/>
    </row>
    <row r="89" spans="1:27" s="125" customFormat="1" ht="15" customHeight="1" thickBot="1" x14ac:dyDescent="0.35">
      <c r="A89" s="262"/>
      <c r="B89" s="225">
        <v>0</v>
      </c>
      <c r="C89" s="225">
        <v>0</v>
      </c>
      <c r="D89" s="139">
        <f>'Data Ocupacion'!X46</f>
        <v>0</v>
      </c>
      <c r="E89" s="139">
        <f>'Data Ocupacion'!Y46</f>
        <v>0</v>
      </c>
      <c r="F89" s="225" t="s">
        <v>35</v>
      </c>
      <c r="G89" s="225">
        <f t="shared" si="73"/>
        <v>0</v>
      </c>
      <c r="H89" s="225">
        <f t="shared" si="74"/>
        <v>0</v>
      </c>
      <c r="I89" s="225">
        <f t="shared" si="70"/>
        <v>0</v>
      </c>
      <c r="J89" s="225">
        <f>G89*K$1</f>
        <v>0</v>
      </c>
      <c r="K89" s="154">
        <f>I89*K$1</f>
        <v>0</v>
      </c>
      <c r="L89" s="225">
        <f t="shared" si="71"/>
        <v>0</v>
      </c>
      <c r="M89" s="225">
        <f t="shared" si="72"/>
        <v>0</v>
      </c>
      <c r="N89" s="19"/>
      <c r="O89" s="19"/>
      <c r="P89" s="147"/>
      <c r="Q89" s="193"/>
      <c r="R89" s="193"/>
      <c r="S89" s="193"/>
      <c r="T89" s="193"/>
      <c r="U89" s="193"/>
      <c r="V89" s="193"/>
      <c r="W89" s="185">
        <f>J89</f>
        <v>0</v>
      </c>
      <c r="X89" s="185">
        <f>H89*$K$1</f>
        <v>0</v>
      </c>
      <c r="Y89" s="264"/>
      <c r="Z89" s="264"/>
      <c r="AA89" s="264"/>
    </row>
    <row r="90" spans="1:27" ht="15" customHeight="1" thickBot="1" x14ac:dyDescent="0.35">
      <c r="A90" s="20"/>
      <c r="B90" s="224">
        <f>SUM(B84:B89)</f>
        <v>108</v>
      </c>
      <c r="C90" s="224">
        <f>SUM(C84:C89)</f>
        <v>3</v>
      </c>
      <c r="D90" s="149">
        <f>SUM(D84:D89)</f>
        <v>108</v>
      </c>
      <c r="E90" s="149">
        <f>SUM(E84:E89)</f>
        <v>3</v>
      </c>
      <c r="F90" s="120"/>
      <c r="G90" s="120">
        <f t="shared" ref="G90:M90" si="75">SUM(G84:G89)</f>
        <v>114</v>
      </c>
      <c r="H90" s="120">
        <f t="shared" si="75"/>
        <v>114</v>
      </c>
      <c r="I90" s="120">
        <f t="shared" si="75"/>
        <v>111</v>
      </c>
      <c r="J90" s="120">
        <f t="shared" si="75"/>
        <v>4916.8200000000006</v>
      </c>
      <c r="K90" s="120">
        <f t="shared" si="75"/>
        <v>4787.43</v>
      </c>
      <c r="L90" s="120">
        <f t="shared" si="75"/>
        <v>511349.28000000009</v>
      </c>
      <c r="M90" s="120">
        <f t="shared" si="75"/>
        <v>11544</v>
      </c>
      <c r="N90" s="124">
        <f>'Odometro-Kilometraje'!L81</f>
        <v>4977</v>
      </c>
      <c r="O90" s="21">
        <f>(W90/N90)*100</f>
        <v>98.790837854129009</v>
      </c>
      <c r="P90" s="196"/>
      <c r="Q90" s="184"/>
      <c r="R90" s="184"/>
      <c r="S90" s="184"/>
      <c r="T90" s="184"/>
      <c r="U90" s="184"/>
      <c r="V90" s="184"/>
      <c r="W90" s="197">
        <f>SUM(W84:W89)</f>
        <v>4916.8200000000006</v>
      </c>
      <c r="X90" s="197">
        <f>SUM(X84:X89)</f>
        <v>4916.8200000000006</v>
      </c>
      <c r="Y90" s="264"/>
      <c r="Z90" s="264"/>
      <c r="AA90" s="264"/>
    </row>
    <row r="91" spans="1:27" ht="15.9" customHeight="1" x14ac:dyDescent="0.3">
      <c r="A91" s="61">
        <f>A84+1</f>
        <v>45789</v>
      </c>
      <c r="B91" s="126">
        <v>47</v>
      </c>
      <c r="C91" s="126">
        <v>32</v>
      </c>
      <c r="D91" s="127">
        <f>'Data Ocupacion'!Z41</f>
        <v>47</v>
      </c>
      <c r="E91" s="127">
        <f>'Data Ocupacion'!AA41</f>
        <v>32</v>
      </c>
      <c r="F91" s="126" t="s">
        <v>38</v>
      </c>
      <c r="G91" s="126">
        <f t="shared" ref="G91:G96" si="76">D91+E91*2</f>
        <v>111</v>
      </c>
      <c r="H91" s="126">
        <f>B91+C91*2</f>
        <v>111</v>
      </c>
      <c r="I91" s="126">
        <f t="shared" ref="I91:I96" si="77">D91+E91</f>
        <v>79</v>
      </c>
      <c r="J91" s="126">
        <f>G91*M$2</f>
        <v>4787.43</v>
      </c>
      <c r="K91" s="154">
        <f>I91*M$2</f>
        <v>3407.27</v>
      </c>
      <c r="L91" s="126">
        <f t="shared" ref="L91:L96" si="78">J91*104</f>
        <v>497892.72000000003</v>
      </c>
      <c r="M91" s="126">
        <f t="shared" ref="M91:M96" si="79">I91*104</f>
        <v>8216</v>
      </c>
      <c r="N91" s="19"/>
      <c r="O91" s="19"/>
      <c r="P91" s="147"/>
      <c r="Q91" s="251">
        <v>3</v>
      </c>
      <c r="R91" s="186"/>
      <c r="S91" s="211"/>
      <c r="T91" s="251">
        <v>2</v>
      </c>
      <c r="U91" s="195"/>
      <c r="V91" s="235"/>
      <c r="W91" s="185">
        <f>J91-(Q91*($M$2-$K$1))-(R91*($M$2-$M$1))- (S91*($M$2-$I$2))+ (T91*($G$2))</f>
        <v>4769.7000000000007</v>
      </c>
      <c r="X91" s="185">
        <f>H91*$M$2</f>
        <v>4787.43</v>
      </c>
      <c r="Y91" s="264"/>
      <c r="Z91" s="264"/>
      <c r="AA91" s="264"/>
    </row>
    <row r="92" spans="1:27" ht="15" customHeight="1" x14ac:dyDescent="0.3">
      <c r="A92" s="291"/>
      <c r="B92" s="126">
        <v>45</v>
      </c>
      <c r="C92" s="126">
        <v>33</v>
      </c>
      <c r="D92" s="127">
        <f>'Data Ocupacion'!Z42</f>
        <v>45</v>
      </c>
      <c r="E92" s="127">
        <f>'Data Ocupacion'!AA42</f>
        <v>33</v>
      </c>
      <c r="F92" s="126" t="s">
        <v>52</v>
      </c>
      <c r="G92" s="126">
        <f t="shared" si="76"/>
        <v>111</v>
      </c>
      <c r="H92" s="126">
        <f t="shared" ref="H92:H96" si="80">B92+C92*2</f>
        <v>111</v>
      </c>
      <c r="I92" s="126">
        <f t="shared" si="77"/>
        <v>78</v>
      </c>
      <c r="J92" s="126">
        <f>G92*M$2</f>
        <v>4787.43</v>
      </c>
      <c r="K92" s="154">
        <f>I92*M$2</f>
        <v>3364.1400000000003</v>
      </c>
      <c r="L92" s="126">
        <f t="shared" si="78"/>
        <v>497892.72000000003</v>
      </c>
      <c r="M92" s="126">
        <f t="shared" si="79"/>
        <v>8112</v>
      </c>
      <c r="N92" s="19"/>
      <c r="O92" s="19"/>
      <c r="P92" s="147"/>
      <c r="Q92" s="190"/>
      <c r="R92" s="190"/>
      <c r="S92" s="190"/>
      <c r="T92" s="251"/>
      <c r="U92" s="186"/>
      <c r="V92" s="211"/>
      <c r="W92" s="188">
        <f>J92-(T92*($M$2-$K$1)+(U92*($M$2-$M$1)))</f>
        <v>4787.43</v>
      </c>
      <c r="X92" s="185">
        <f>H92*$M$2</f>
        <v>4787.43</v>
      </c>
      <c r="Y92" s="264"/>
      <c r="Z92" s="264"/>
      <c r="AA92" s="264"/>
    </row>
    <row r="93" spans="1:27" ht="15" customHeight="1" x14ac:dyDescent="0.3">
      <c r="A93" s="262"/>
      <c r="B93" s="126">
        <v>29</v>
      </c>
      <c r="C93" s="126">
        <v>4</v>
      </c>
      <c r="D93" s="127">
        <f>'Data Ocupacion'!Z43</f>
        <v>29</v>
      </c>
      <c r="E93" s="127">
        <f>'Data Ocupacion'!AA43</f>
        <v>4</v>
      </c>
      <c r="F93" s="126" t="s">
        <v>36</v>
      </c>
      <c r="G93" s="126">
        <f t="shared" si="76"/>
        <v>37</v>
      </c>
      <c r="H93" s="126">
        <f t="shared" si="80"/>
        <v>37</v>
      </c>
      <c r="I93" s="126">
        <f t="shared" si="77"/>
        <v>33</v>
      </c>
      <c r="J93" s="126">
        <f>G93*M$1</f>
        <v>1077.07</v>
      </c>
      <c r="K93" s="154">
        <f>I93*M$1</f>
        <v>960.63</v>
      </c>
      <c r="L93" s="126">
        <f t="shared" si="78"/>
        <v>112015.28</v>
      </c>
      <c r="M93" s="126">
        <f t="shared" si="79"/>
        <v>3432</v>
      </c>
      <c r="N93" s="19"/>
      <c r="O93" s="19"/>
      <c r="P93" s="147"/>
      <c r="Q93" s="189"/>
      <c r="R93" s="191"/>
      <c r="S93" s="212"/>
      <c r="T93" s="192"/>
      <c r="U93" s="193"/>
      <c r="V93" s="193"/>
      <c r="W93" s="185">
        <f>J93-(Q93*($M$1-$K$1))</f>
        <v>1077.07</v>
      </c>
      <c r="X93" s="185">
        <f>H93*$M$1</f>
        <v>1077.07</v>
      </c>
      <c r="Y93" s="264"/>
      <c r="Z93" s="264"/>
      <c r="AA93" s="264"/>
    </row>
    <row r="94" spans="1:27" ht="15" customHeight="1" x14ac:dyDescent="0.3">
      <c r="A94" s="262"/>
      <c r="B94" s="126">
        <v>28</v>
      </c>
      <c r="C94" s="126">
        <v>4</v>
      </c>
      <c r="D94" s="127">
        <f>'Data Ocupacion'!Z44</f>
        <v>28</v>
      </c>
      <c r="E94" s="127">
        <f>'Data Ocupacion'!AA44</f>
        <v>4</v>
      </c>
      <c r="F94" s="126" t="s">
        <v>53</v>
      </c>
      <c r="G94" s="126">
        <f t="shared" si="76"/>
        <v>36</v>
      </c>
      <c r="H94" s="126">
        <f t="shared" si="80"/>
        <v>36</v>
      </c>
      <c r="I94" s="126">
        <f t="shared" si="77"/>
        <v>32</v>
      </c>
      <c r="J94" s="126">
        <f>G94*M$1</f>
        <v>1047.96</v>
      </c>
      <c r="K94" s="154">
        <f>I94*M$1</f>
        <v>931.52</v>
      </c>
      <c r="L94" s="126">
        <f t="shared" si="78"/>
        <v>108987.84</v>
      </c>
      <c r="M94" s="126">
        <f t="shared" si="79"/>
        <v>3328</v>
      </c>
      <c r="N94" s="19"/>
      <c r="O94" s="19"/>
      <c r="P94" s="147"/>
      <c r="Q94" s="193"/>
      <c r="R94" s="193"/>
      <c r="S94" s="193"/>
      <c r="T94" s="193"/>
      <c r="U94" s="193"/>
      <c r="V94" s="193"/>
      <c r="W94" s="185">
        <f>J94</f>
        <v>1047.96</v>
      </c>
      <c r="X94" s="185">
        <f>H94*$M$1</f>
        <v>1047.96</v>
      </c>
      <c r="Y94" s="264"/>
      <c r="Z94" s="264"/>
      <c r="AA94" s="264"/>
    </row>
    <row r="95" spans="1:27" ht="15" customHeight="1" x14ac:dyDescent="0.3">
      <c r="A95" s="262"/>
      <c r="B95" s="126">
        <v>0</v>
      </c>
      <c r="C95" s="126">
        <v>0</v>
      </c>
      <c r="D95" s="127">
        <f>'Data Ocupacion'!Z45</f>
        <v>0</v>
      </c>
      <c r="E95" s="127">
        <f>'Data Ocupacion'!AA45</f>
        <v>0</v>
      </c>
      <c r="F95" s="126" t="s">
        <v>122</v>
      </c>
      <c r="G95" s="126">
        <f t="shared" si="76"/>
        <v>0</v>
      </c>
      <c r="H95" s="126">
        <f t="shared" si="80"/>
        <v>0</v>
      </c>
      <c r="I95" s="126">
        <f t="shared" si="77"/>
        <v>0</v>
      </c>
      <c r="J95" s="126">
        <f>G95*K$1</f>
        <v>0</v>
      </c>
      <c r="K95" s="154">
        <f>I95*K$1</f>
        <v>0</v>
      </c>
      <c r="L95" s="126">
        <f t="shared" si="78"/>
        <v>0</v>
      </c>
      <c r="M95" s="126">
        <f t="shared" si="79"/>
        <v>0</v>
      </c>
      <c r="N95" s="19"/>
      <c r="O95" s="19"/>
      <c r="P95" s="147"/>
      <c r="Q95" s="193"/>
      <c r="R95" s="193"/>
      <c r="S95" s="193"/>
      <c r="T95" s="193"/>
      <c r="U95" s="193"/>
      <c r="V95" s="193"/>
      <c r="W95" s="185">
        <f>J95</f>
        <v>0</v>
      </c>
      <c r="X95" s="185">
        <f>H95*$K$1</f>
        <v>0</v>
      </c>
      <c r="Y95" s="264"/>
      <c r="Z95" s="264"/>
      <c r="AA95" s="264"/>
    </row>
    <row r="96" spans="1:27" ht="15" thickBot="1" x14ac:dyDescent="0.35">
      <c r="A96" s="262"/>
      <c r="B96" s="126">
        <v>1</v>
      </c>
      <c r="C96" s="126">
        <v>0</v>
      </c>
      <c r="D96" s="127">
        <f>'Data Ocupacion'!Z46</f>
        <v>1</v>
      </c>
      <c r="E96" s="127">
        <f>'Data Ocupacion'!AA46</f>
        <v>0</v>
      </c>
      <c r="F96" s="126" t="s">
        <v>35</v>
      </c>
      <c r="G96" s="126">
        <f t="shared" si="76"/>
        <v>1</v>
      </c>
      <c r="H96" s="126">
        <f t="shared" si="80"/>
        <v>1</v>
      </c>
      <c r="I96" s="126">
        <f t="shared" si="77"/>
        <v>1</v>
      </c>
      <c r="J96" s="126">
        <f>G96*K$1</f>
        <v>25.4</v>
      </c>
      <c r="K96" s="154">
        <f>I96*K$1</f>
        <v>25.4</v>
      </c>
      <c r="L96" s="126">
        <f t="shared" si="78"/>
        <v>2641.6</v>
      </c>
      <c r="M96" s="126">
        <f t="shared" si="79"/>
        <v>104</v>
      </c>
      <c r="N96" s="19"/>
      <c r="O96" s="19"/>
      <c r="P96" s="147"/>
      <c r="Q96" s="193"/>
      <c r="R96" s="193"/>
      <c r="S96" s="193"/>
      <c r="T96" s="193"/>
      <c r="U96" s="193"/>
      <c r="V96" s="193"/>
      <c r="W96" s="185">
        <f>J96</f>
        <v>25.4</v>
      </c>
      <c r="X96" s="185">
        <f>H96*$K$1</f>
        <v>25.4</v>
      </c>
    </row>
    <row r="97" spans="1:24" s="125" customFormat="1" ht="15" thickBot="1" x14ac:dyDescent="0.35">
      <c r="A97" s="123"/>
      <c r="B97" s="224">
        <f>SUM(B91:B96)</f>
        <v>150</v>
      </c>
      <c r="C97" s="224">
        <f>SUM(C91:C96)</f>
        <v>73</v>
      </c>
      <c r="D97" s="153">
        <f>SUM(D91:D96)</f>
        <v>150</v>
      </c>
      <c r="E97" s="153">
        <f>SUM(E91:E96)</f>
        <v>73</v>
      </c>
      <c r="F97" s="120"/>
      <c r="G97" s="120">
        <f t="shared" ref="G97:M97" si="81">SUM(G91:G96)</f>
        <v>296</v>
      </c>
      <c r="H97" s="120">
        <f t="shared" si="81"/>
        <v>296</v>
      </c>
      <c r="I97" s="120">
        <f t="shared" si="81"/>
        <v>223</v>
      </c>
      <c r="J97" s="121">
        <f t="shared" si="81"/>
        <v>11725.289999999999</v>
      </c>
      <c r="K97" s="120">
        <f t="shared" si="81"/>
        <v>8688.9599999999991</v>
      </c>
      <c r="L97" s="119">
        <f t="shared" si="81"/>
        <v>1219430.1600000001</v>
      </c>
      <c r="M97" s="152">
        <f t="shared" si="81"/>
        <v>23192</v>
      </c>
      <c r="N97" s="124">
        <f>'Odometro-Kilometraje'!M81</f>
        <v>12061</v>
      </c>
      <c r="O97" s="21">
        <f>(W97/N97)*100</f>
        <v>97.069563054473093</v>
      </c>
      <c r="P97" s="196"/>
      <c r="Q97" s="184"/>
      <c r="R97" s="184"/>
      <c r="S97" s="184"/>
      <c r="T97" s="184"/>
      <c r="U97" s="184"/>
      <c r="V97" s="184"/>
      <c r="W97" s="197">
        <f>SUM(W91:W96)</f>
        <v>11707.56</v>
      </c>
      <c r="X97" s="197">
        <f>SUM(X91:X96)</f>
        <v>11725.289999999999</v>
      </c>
    </row>
    <row r="98" spans="1:24" x14ac:dyDescent="0.3">
      <c r="A98" s="122">
        <f>A91+1</f>
        <v>45790</v>
      </c>
      <c r="B98" s="126">
        <v>47</v>
      </c>
      <c r="C98" s="126">
        <v>32</v>
      </c>
      <c r="D98" s="139">
        <f>'Data Ocupacion'!AB41</f>
        <v>48</v>
      </c>
      <c r="E98" s="139">
        <f>'Data Ocupacion'!AC41</f>
        <v>31</v>
      </c>
      <c r="F98" s="126" t="s">
        <v>38</v>
      </c>
      <c r="G98" s="126">
        <f t="shared" ref="G98:G103" si="82">D98+E98*2</f>
        <v>110</v>
      </c>
      <c r="H98" s="126">
        <f>B98+C98*2</f>
        <v>111</v>
      </c>
      <c r="I98" s="126">
        <f t="shared" ref="I98:I103" si="83">D98+E98</f>
        <v>79</v>
      </c>
      <c r="J98" s="126">
        <f>G98*M$2</f>
        <v>4744.3</v>
      </c>
      <c r="K98" s="154">
        <f>I98*M$2</f>
        <v>3407.27</v>
      </c>
      <c r="L98" s="126">
        <f t="shared" ref="L98:L103" si="84">J98*104</f>
        <v>493407.2</v>
      </c>
      <c r="M98" s="126">
        <f t="shared" ref="M98:M103" si="85">I98*104</f>
        <v>8216</v>
      </c>
      <c r="N98" s="19"/>
      <c r="O98" s="19"/>
      <c r="P98" s="147"/>
      <c r="Q98" s="251">
        <v>3</v>
      </c>
      <c r="R98" s="186"/>
      <c r="S98" s="211"/>
      <c r="T98" s="251">
        <v>1</v>
      </c>
      <c r="U98" s="195"/>
      <c r="V98" s="235"/>
      <c r="W98" s="185">
        <f>J98-(Q98*($M$2-$K$1))-(R98*($M$2-$M$1))- (S98*($M$2-$I$2))+ (T98*($G$2))</f>
        <v>4708.84</v>
      </c>
      <c r="X98" s="185">
        <f>H98*$M$2</f>
        <v>4787.43</v>
      </c>
    </row>
    <row r="99" spans="1:24" ht="17.25" customHeight="1" x14ac:dyDescent="0.3">
      <c r="A99" s="291"/>
      <c r="B99" s="126">
        <v>45</v>
      </c>
      <c r="C99" s="126">
        <v>33</v>
      </c>
      <c r="D99" s="139">
        <f>'Data Ocupacion'!AB42</f>
        <v>46</v>
      </c>
      <c r="E99" s="139">
        <f>'Data Ocupacion'!AC42</f>
        <v>32</v>
      </c>
      <c r="F99" s="126" t="s">
        <v>52</v>
      </c>
      <c r="G99" s="126">
        <f t="shared" si="82"/>
        <v>110</v>
      </c>
      <c r="H99" s="126">
        <f t="shared" ref="H99:H103" si="86">B99+C99*2</f>
        <v>111</v>
      </c>
      <c r="I99" s="126">
        <f t="shared" si="83"/>
        <v>78</v>
      </c>
      <c r="J99" s="126">
        <f>G99*M$2</f>
        <v>4744.3</v>
      </c>
      <c r="K99" s="154">
        <f>I99*M$2</f>
        <v>3364.1400000000003</v>
      </c>
      <c r="L99" s="126">
        <f t="shared" si="84"/>
        <v>493407.2</v>
      </c>
      <c r="M99" s="126">
        <f t="shared" si="85"/>
        <v>8112</v>
      </c>
      <c r="N99" s="19"/>
      <c r="O99" s="19"/>
      <c r="P99" s="147"/>
      <c r="Q99" s="190"/>
      <c r="R99" s="190"/>
      <c r="S99" s="190"/>
      <c r="T99" s="251"/>
      <c r="U99" s="187"/>
      <c r="V99" s="236"/>
      <c r="W99" s="188">
        <f>J99-(T99*($M$2-$K$1)+(U99*($M$2-$M$1)))</f>
        <v>4744.3</v>
      </c>
      <c r="X99" s="185">
        <f>H99*$M$2</f>
        <v>4787.43</v>
      </c>
    </row>
    <row r="100" spans="1:24" x14ac:dyDescent="0.3">
      <c r="A100" s="262"/>
      <c r="B100" s="126">
        <v>29</v>
      </c>
      <c r="C100" s="126">
        <v>4</v>
      </c>
      <c r="D100" s="127">
        <f>'Data Ocupacion'!AB43</f>
        <v>29</v>
      </c>
      <c r="E100" s="127">
        <f>'Data Ocupacion'!AC43</f>
        <v>4</v>
      </c>
      <c r="F100" s="126" t="s">
        <v>36</v>
      </c>
      <c r="G100" s="126">
        <f t="shared" si="82"/>
        <v>37</v>
      </c>
      <c r="H100" s="126">
        <f t="shared" si="86"/>
        <v>37</v>
      </c>
      <c r="I100" s="126">
        <f t="shared" si="83"/>
        <v>33</v>
      </c>
      <c r="J100" s="126">
        <f>G100*M$1</f>
        <v>1077.07</v>
      </c>
      <c r="K100" s="154">
        <f>I100*M$1</f>
        <v>960.63</v>
      </c>
      <c r="L100" s="126">
        <f t="shared" si="84"/>
        <v>112015.28</v>
      </c>
      <c r="M100" s="126">
        <f t="shared" si="85"/>
        <v>3432</v>
      </c>
      <c r="N100" s="19"/>
      <c r="O100" s="19"/>
      <c r="P100" s="147"/>
      <c r="Q100" s="251"/>
      <c r="R100" s="194"/>
      <c r="S100" s="235"/>
      <c r="T100" s="190"/>
      <c r="U100" s="193"/>
      <c r="V100" s="193"/>
      <c r="W100" s="185">
        <f>J100-(Q100*($M$1-$K$1))</f>
        <v>1077.07</v>
      </c>
      <c r="X100" s="185">
        <f>H100*$M$1</f>
        <v>1077.07</v>
      </c>
    </row>
    <row r="101" spans="1:24" ht="15" customHeight="1" x14ac:dyDescent="0.3">
      <c r="A101" s="262"/>
      <c r="B101" s="126">
        <v>28</v>
      </c>
      <c r="C101" s="126">
        <v>4</v>
      </c>
      <c r="D101" s="127">
        <f>'Data Ocupacion'!AB44</f>
        <v>28</v>
      </c>
      <c r="E101" s="127">
        <f>'Data Ocupacion'!AC44</f>
        <v>4</v>
      </c>
      <c r="F101" s="126" t="s">
        <v>53</v>
      </c>
      <c r="G101" s="126">
        <f t="shared" si="82"/>
        <v>36</v>
      </c>
      <c r="H101" s="126">
        <f t="shared" si="86"/>
        <v>36</v>
      </c>
      <c r="I101" s="126">
        <f t="shared" si="83"/>
        <v>32</v>
      </c>
      <c r="J101" s="126">
        <f>G101*M$1</f>
        <v>1047.96</v>
      </c>
      <c r="K101" s="154">
        <f>I101*M$1</f>
        <v>931.52</v>
      </c>
      <c r="L101" s="126">
        <f t="shared" si="84"/>
        <v>108987.84</v>
      </c>
      <c r="M101" s="126">
        <f t="shared" si="85"/>
        <v>3328</v>
      </c>
      <c r="N101" s="19"/>
      <c r="O101" s="19"/>
      <c r="P101" s="147"/>
      <c r="Q101" s="257"/>
      <c r="R101" s="257"/>
      <c r="S101" s="257"/>
      <c r="T101" s="257"/>
      <c r="U101" s="193"/>
      <c r="V101" s="193"/>
      <c r="W101" s="185">
        <f>J101</f>
        <v>1047.96</v>
      </c>
      <c r="X101" s="185">
        <f>H101*$M$1</f>
        <v>1047.96</v>
      </c>
    </row>
    <row r="102" spans="1:24" ht="15" customHeight="1" x14ac:dyDescent="0.3">
      <c r="A102" s="262"/>
      <c r="B102" s="126">
        <v>0</v>
      </c>
      <c r="C102" s="126">
        <v>0</v>
      </c>
      <c r="D102" s="127">
        <f>'Data Ocupacion'!AB45</f>
        <v>0</v>
      </c>
      <c r="E102" s="127">
        <f>'Data Ocupacion'!AC45</f>
        <v>0</v>
      </c>
      <c r="F102" s="126" t="s">
        <v>122</v>
      </c>
      <c r="G102" s="126">
        <f t="shared" si="82"/>
        <v>0</v>
      </c>
      <c r="H102" s="126">
        <f t="shared" si="86"/>
        <v>0</v>
      </c>
      <c r="I102" s="126">
        <f t="shared" si="83"/>
        <v>0</v>
      </c>
      <c r="J102" s="126">
        <f>G102*K$1</f>
        <v>0</v>
      </c>
      <c r="K102" s="154">
        <f>I102*K$1</f>
        <v>0</v>
      </c>
      <c r="L102" s="126">
        <f t="shared" si="84"/>
        <v>0</v>
      </c>
      <c r="M102" s="126">
        <f t="shared" si="85"/>
        <v>0</v>
      </c>
      <c r="N102" s="19"/>
      <c r="O102" s="19"/>
      <c r="P102" s="147"/>
      <c r="Q102" s="257"/>
      <c r="R102" s="257"/>
      <c r="S102" s="257"/>
      <c r="T102" s="257"/>
      <c r="U102" s="193"/>
      <c r="V102" s="193"/>
      <c r="W102" s="185">
        <f>J102</f>
        <v>0</v>
      </c>
      <c r="X102" s="185">
        <f>H102*$K$1</f>
        <v>0</v>
      </c>
    </row>
    <row r="103" spans="1:24" ht="15" thickBot="1" x14ac:dyDescent="0.35">
      <c r="A103" s="262"/>
      <c r="B103" s="126">
        <v>1</v>
      </c>
      <c r="C103" s="126">
        <v>0</v>
      </c>
      <c r="D103" s="127">
        <f>'Data Ocupacion'!AB46</f>
        <v>1</v>
      </c>
      <c r="E103" s="127">
        <f>'Data Ocupacion'!AC46</f>
        <v>0</v>
      </c>
      <c r="F103" s="126" t="s">
        <v>35</v>
      </c>
      <c r="G103" s="126">
        <f t="shared" si="82"/>
        <v>1</v>
      </c>
      <c r="H103" s="126">
        <f t="shared" si="86"/>
        <v>1</v>
      </c>
      <c r="I103" s="126">
        <f t="shared" si="83"/>
        <v>1</v>
      </c>
      <c r="J103" s="126">
        <f>G103*K$1</f>
        <v>25.4</v>
      </c>
      <c r="K103" s="154">
        <f>I103*K$1</f>
        <v>25.4</v>
      </c>
      <c r="L103" s="126">
        <f t="shared" si="84"/>
        <v>2641.6</v>
      </c>
      <c r="M103" s="126">
        <f t="shared" si="85"/>
        <v>104</v>
      </c>
      <c r="N103" s="19"/>
      <c r="O103" s="19"/>
      <c r="P103" s="147"/>
      <c r="Q103" s="257"/>
      <c r="R103" s="257"/>
      <c r="S103" s="257"/>
      <c r="T103" s="257"/>
      <c r="U103" s="193"/>
      <c r="V103" s="193"/>
      <c r="W103" s="185">
        <f>J103</f>
        <v>25.4</v>
      </c>
      <c r="X103" s="185">
        <f>H103*$K$1</f>
        <v>25.4</v>
      </c>
    </row>
    <row r="104" spans="1:24" s="125" customFormat="1" ht="15" thickBot="1" x14ac:dyDescent="0.35">
      <c r="A104" s="20"/>
      <c r="B104" s="224">
        <f>SUM(B98:B103)</f>
        <v>150</v>
      </c>
      <c r="C104" s="224">
        <f>SUM(C98:C103)</f>
        <v>73</v>
      </c>
      <c r="D104" s="153">
        <f>SUM(D98:D103)</f>
        <v>152</v>
      </c>
      <c r="E104" s="153">
        <f>SUM(E98:E103)</f>
        <v>71</v>
      </c>
      <c r="F104" s="120"/>
      <c r="G104" s="120">
        <f t="shared" ref="G104:M104" si="87">SUM(G98:G103)</f>
        <v>294</v>
      </c>
      <c r="H104" s="120">
        <f t="shared" si="87"/>
        <v>296</v>
      </c>
      <c r="I104" s="120">
        <f t="shared" si="87"/>
        <v>223</v>
      </c>
      <c r="J104" s="121">
        <f t="shared" si="87"/>
        <v>11639.03</v>
      </c>
      <c r="K104" s="120">
        <f t="shared" si="87"/>
        <v>8688.9599999999991</v>
      </c>
      <c r="L104" s="119">
        <f t="shared" si="87"/>
        <v>1210459.1200000001</v>
      </c>
      <c r="M104" s="152">
        <f t="shared" si="87"/>
        <v>23192</v>
      </c>
      <c r="N104" s="124">
        <f>'Odometro-Kilometraje'!N81</f>
        <v>12025</v>
      </c>
      <c r="O104" s="21">
        <f>(W104/N104)*100</f>
        <v>96.495384615384594</v>
      </c>
      <c r="P104" s="196"/>
      <c r="Q104" s="258"/>
      <c r="R104" s="258"/>
      <c r="S104" s="258"/>
      <c r="T104" s="258"/>
      <c r="U104" s="184"/>
      <c r="V104" s="184"/>
      <c r="W104" s="197">
        <f>SUM(W98:W103)</f>
        <v>11603.569999999998</v>
      </c>
      <c r="X104" s="197">
        <f>SUM(X98:X103)</f>
        <v>11725.289999999999</v>
      </c>
    </row>
    <row r="105" spans="1:24" ht="17.25" customHeight="1" x14ac:dyDescent="0.3">
      <c r="A105" s="61">
        <f>A98+1</f>
        <v>45791</v>
      </c>
      <c r="B105" s="126">
        <v>47</v>
      </c>
      <c r="C105" s="126">
        <v>32</v>
      </c>
      <c r="D105" s="127">
        <f>'Data Ocupacion'!AD41</f>
        <v>47</v>
      </c>
      <c r="E105" s="127">
        <f>'Data Ocupacion'!AE41</f>
        <v>32</v>
      </c>
      <c r="F105" s="126" t="s">
        <v>38</v>
      </c>
      <c r="G105" s="228">
        <f t="shared" ref="G105:G110" si="88">D105+E105*2</f>
        <v>111</v>
      </c>
      <c r="H105" s="126">
        <f>B105+C105*2</f>
        <v>111</v>
      </c>
      <c r="I105" s="126">
        <f t="shared" ref="I105:I110" si="89">D105+E105</f>
        <v>79</v>
      </c>
      <c r="J105" s="126">
        <f>G105*M$2</f>
        <v>4787.43</v>
      </c>
      <c r="K105" s="154">
        <f>I105*M$2</f>
        <v>3407.27</v>
      </c>
      <c r="L105" s="126">
        <f t="shared" ref="L105:L110" si="90">J105*104</f>
        <v>497892.72000000003</v>
      </c>
      <c r="M105" s="126">
        <f t="shared" ref="M105:M110" si="91">I105*104</f>
        <v>8216</v>
      </c>
      <c r="N105" s="19"/>
      <c r="O105" s="19"/>
      <c r="P105" s="147"/>
      <c r="Q105" s="251">
        <v>4</v>
      </c>
      <c r="R105" s="186"/>
      <c r="S105" s="211"/>
      <c r="T105" s="251">
        <v>1</v>
      </c>
      <c r="U105" s="195"/>
      <c r="V105" s="235"/>
      <c r="W105" s="185">
        <f>J105-(Q105*($M$2-$K$1))-(R105*($M$2-$M$1))- (S105*($M$2-$I$2))+ (T105*($G$2))</f>
        <v>4734.24</v>
      </c>
      <c r="X105" s="185">
        <f>H105*$M$2</f>
        <v>4787.43</v>
      </c>
    </row>
    <row r="106" spans="1:24" ht="15" customHeight="1" x14ac:dyDescent="0.3">
      <c r="A106" s="291"/>
      <c r="B106" s="126">
        <v>45</v>
      </c>
      <c r="C106" s="126">
        <v>33</v>
      </c>
      <c r="D106" s="127">
        <f>'Data Ocupacion'!AD42</f>
        <v>45</v>
      </c>
      <c r="E106" s="127">
        <f>'Data Ocupacion'!AE42</f>
        <v>33</v>
      </c>
      <c r="F106" s="126" t="s">
        <v>52</v>
      </c>
      <c r="G106" s="126">
        <f t="shared" si="88"/>
        <v>111</v>
      </c>
      <c r="H106" s="126">
        <f t="shared" ref="H106:H110" si="92">B106+C106*2</f>
        <v>111</v>
      </c>
      <c r="I106" s="126">
        <f t="shared" si="89"/>
        <v>78</v>
      </c>
      <c r="J106" s="126">
        <f>G106*M$2</f>
        <v>4787.43</v>
      </c>
      <c r="K106" s="154">
        <f>I106*M$2</f>
        <v>3364.1400000000003</v>
      </c>
      <c r="L106" s="126">
        <f t="shared" si="90"/>
        <v>497892.72000000003</v>
      </c>
      <c r="M106" s="126">
        <f t="shared" si="91"/>
        <v>8112</v>
      </c>
      <c r="N106" s="19"/>
      <c r="O106" s="19"/>
      <c r="P106" s="147"/>
      <c r="Q106" s="190"/>
      <c r="R106" s="190"/>
      <c r="S106" s="190"/>
      <c r="T106" s="251"/>
      <c r="U106" s="209"/>
      <c r="V106" s="211"/>
      <c r="W106" s="188">
        <f>J106-(T106*($M$2-$K$1)+(U106*($M$2-$M$1)))</f>
        <v>4787.43</v>
      </c>
      <c r="X106" s="185">
        <f>H106*$M$2</f>
        <v>4787.43</v>
      </c>
    </row>
    <row r="107" spans="1:24" ht="15" customHeight="1" x14ac:dyDescent="0.3">
      <c r="A107" s="262"/>
      <c r="B107" s="126">
        <v>29</v>
      </c>
      <c r="C107" s="126">
        <v>4</v>
      </c>
      <c r="D107" s="127">
        <f>'Data Ocupacion'!AD43</f>
        <v>29</v>
      </c>
      <c r="E107" s="127">
        <f>'Data Ocupacion'!AE43</f>
        <v>4</v>
      </c>
      <c r="F107" s="126" t="s">
        <v>36</v>
      </c>
      <c r="G107" s="126">
        <f t="shared" si="88"/>
        <v>37</v>
      </c>
      <c r="H107" s="126">
        <f t="shared" si="92"/>
        <v>37</v>
      </c>
      <c r="I107" s="126">
        <f t="shared" si="89"/>
        <v>33</v>
      </c>
      <c r="J107" s="126">
        <f>G107*M$1</f>
        <v>1077.07</v>
      </c>
      <c r="K107" s="154">
        <f>I107*M$1</f>
        <v>960.63</v>
      </c>
      <c r="L107" s="126">
        <f t="shared" si="90"/>
        <v>112015.28</v>
      </c>
      <c r="M107" s="126">
        <f t="shared" si="91"/>
        <v>3432</v>
      </c>
      <c r="N107" s="19"/>
      <c r="O107" s="19"/>
      <c r="P107" s="147"/>
      <c r="Q107" s="189"/>
      <c r="R107" s="191"/>
      <c r="S107" s="212"/>
      <c r="T107" s="192"/>
      <c r="U107" s="193"/>
      <c r="V107" s="193"/>
      <c r="W107" s="185">
        <f>J107-(Q107*($M$1-$K$1))</f>
        <v>1077.07</v>
      </c>
      <c r="X107" s="185">
        <f>H107*$M$1</f>
        <v>1077.07</v>
      </c>
    </row>
    <row r="108" spans="1:24" ht="15" customHeight="1" x14ac:dyDescent="0.3">
      <c r="A108" s="262"/>
      <c r="B108" s="126">
        <v>28</v>
      </c>
      <c r="C108" s="126">
        <v>4</v>
      </c>
      <c r="D108" s="127">
        <f>'Data Ocupacion'!AD44</f>
        <v>28</v>
      </c>
      <c r="E108" s="127">
        <f>'Data Ocupacion'!AE44</f>
        <v>4</v>
      </c>
      <c r="F108" s="126" t="s">
        <v>53</v>
      </c>
      <c r="G108" s="126">
        <f t="shared" si="88"/>
        <v>36</v>
      </c>
      <c r="H108" s="126">
        <f t="shared" si="92"/>
        <v>36</v>
      </c>
      <c r="I108" s="126">
        <f t="shared" si="89"/>
        <v>32</v>
      </c>
      <c r="J108" s="126">
        <f>G108*M$1</f>
        <v>1047.96</v>
      </c>
      <c r="K108" s="154">
        <f>I108*M$1</f>
        <v>931.52</v>
      </c>
      <c r="L108" s="126">
        <f t="shared" si="90"/>
        <v>108987.84</v>
      </c>
      <c r="M108" s="126">
        <f t="shared" si="91"/>
        <v>3328</v>
      </c>
      <c r="N108" s="19"/>
      <c r="O108" s="19"/>
      <c r="P108" s="147"/>
      <c r="Q108" s="193"/>
      <c r="R108" s="193"/>
      <c r="S108" s="193"/>
      <c r="T108" s="193"/>
      <c r="U108" s="193"/>
      <c r="V108" s="193"/>
      <c r="W108" s="185">
        <f>J108</f>
        <v>1047.96</v>
      </c>
      <c r="X108" s="185">
        <f>H108*$M$1</f>
        <v>1047.96</v>
      </c>
    </row>
    <row r="109" spans="1:24" ht="15" customHeight="1" x14ac:dyDescent="0.3">
      <c r="A109" s="262"/>
      <c r="B109" s="126">
        <v>0</v>
      </c>
      <c r="C109" s="126">
        <v>0</v>
      </c>
      <c r="D109" s="127">
        <f>'Data Ocupacion'!AD45</f>
        <v>0</v>
      </c>
      <c r="E109" s="127">
        <f>'Data Ocupacion'!AE45</f>
        <v>0</v>
      </c>
      <c r="F109" s="126" t="s">
        <v>122</v>
      </c>
      <c r="G109" s="126">
        <f t="shared" si="88"/>
        <v>0</v>
      </c>
      <c r="H109" s="126">
        <f t="shared" si="92"/>
        <v>0</v>
      </c>
      <c r="I109" s="126">
        <f t="shared" si="89"/>
        <v>0</v>
      </c>
      <c r="J109" s="126">
        <f>G109*K$1</f>
        <v>0</v>
      </c>
      <c r="K109" s="154">
        <f>I109*K$1</f>
        <v>0</v>
      </c>
      <c r="L109" s="126">
        <f t="shared" si="90"/>
        <v>0</v>
      </c>
      <c r="M109" s="126">
        <f t="shared" si="91"/>
        <v>0</v>
      </c>
      <c r="N109" s="19"/>
      <c r="O109" s="19"/>
      <c r="P109" s="147"/>
      <c r="Q109" s="193"/>
      <c r="R109" s="193"/>
      <c r="S109" s="193"/>
      <c r="T109" s="193"/>
      <c r="U109" s="193"/>
      <c r="V109" s="193"/>
      <c r="W109" s="185">
        <f>J109</f>
        <v>0</v>
      </c>
      <c r="X109" s="185">
        <f>H109*$K$1</f>
        <v>0</v>
      </c>
    </row>
    <row r="110" spans="1:24" ht="15" customHeight="1" thickBot="1" x14ac:dyDescent="0.35">
      <c r="A110" s="262"/>
      <c r="B110" s="126">
        <v>1</v>
      </c>
      <c r="C110" s="126">
        <v>0</v>
      </c>
      <c r="D110" s="127">
        <f>'Data Ocupacion'!AD46</f>
        <v>1</v>
      </c>
      <c r="E110" s="127">
        <f>'Data Ocupacion'!AE46</f>
        <v>0</v>
      </c>
      <c r="F110" s="126" t="s">
        <v>35</v>
      </c>
      <c r="G110" s="126">
        <f t="shared" si="88"/>
        <v>1</v>
      </c>
      <c r="H110" s="126">
        <f t="shared" si="92"/>
        <v>1</v>
      </c>
      <c r="I110" s="126">
        <f t="shared" si="89"/>
        <v>1</v>
      </c>
      <c r="J110" s="126">
        <f>G110*K$1</f>
        <v>25.4</v>
      </c>
      <c r="K110" s="154">
        <f>I110*K$1</f>
        <v>25.4</v>
      </c>
      <c r="L110" s="126">
        <f t="shared" si="90"/>
        <v>2641.6</v>
      </c>
      <c r="M110" s="126">
        <f t="shared" si="91"/>
        <v>104</v>
      </c>
      <c r="N110" s="19"/>
      <c r="O110" s="19"/>
      <c r="P110" s="147"/>
      <c r="Q110" s="193"/>
      <c r="R110" s="193"/>
      <c r="S110" s="193"/>
      <c r="T110" s="193"/>
      <c r="U110" s="193"/>
      <c r="V110" s="193"/>
      <c r="W110" s="185">
        <f>J110</f>
        <v>25.4</v>
      </c>
      <c r="X110" s="185">
        <f>H110*$K$1</f>
        <v>25.4</v>
      </c>
    </row>
    <row r="111" spans="1:24" s="125" customFormat="1" ht="15" customHeight="1" thickBot="1" x14ac:dyDescent="0.35">
      <c r="A111" s="20"/>
      <c r="B111" s="224">
        <f>SUM(B105:B110)</f>
        <v>150</v>
      </c>
      <c r="C111" s="224">
        <f>SUM(C105:C110)</f>
        <v>73</v>
      </c>
      <c r="D111" s="149">
        <f>SUM(D105:D110)</f>
        <v>150</v>
      </c>
      <c r="E111" s="149">
        <f>SUM(E105:E110)</f>
        <v>73</v>
      </c>
      <c r="F111" s="120"/>
      <c r="G111" s="120">
        <f t="shared" ref="G111:M111" si="93">SUM(G105:G110)</f>
        <v>296</v>
      </c>
      <c r="H111" s="120">
        <f t="shared" si="93"/>
        <v>296</v>
      </c>
      <c r="I111" s="120">
        <f t="shared" si="93"/>
        <v>223</v>
      </c>
      <c r="J111" s="120">
        <f t="shared" si="93"/>
        <v>11725.289999999999</v>
      </c>
      <c r="K111" s="120">
        <f t="shared" si="93"/>
        <v>8688.9599999999991</v>
      </c>
      <c r="L111" s="120">
        <f t="shared" si="93"/>
        <v>1219430.1600000001</v>
      </c>
      <c r="M111" s="120">
        <f t="shared" si="93"/>
        <v>23192</v>
      </c>
      <c r="N111" s="124">
        <f>'Odometro-Kilometraje'!O81</f>
        <v>12006</v>
      </c>
      <c r="O111" s="21">
        <f>(W111/N111)*100</f>
        <v>97.218890554722634</v>
      </c>
      <c r="P111" s="196"/>
      <c r="Q111" s="184"/>
      <c r="R111" s="184"/>
      <c r="S111" s="184"/>
      <c r="T111" s="184"/>
      <c r="U111" s="184"/>
      <c r="V111" s="184"/>
      <c r="W111" s="197">
        <f>SUM(W105:W110)</f>
        <v>11672.1</v>
      </c>
      <c r="X111" s="197">
        <f>SUM(X105:X110)</f>
        <v>11725.289999999999</v>
      </c>
    </row>
    <row r="112" spans="1:24" ht="15.9" customHeight="1" x14ac:dyDescent="0.3">
      <c r="A112" s="61">
        <f>A105+1</f>
        <v>45792</v>
      </c>
      <c r="B112" s="126">
        <v>47</v>
      </c>
      <c r="C112" s="126">
        <v>32</v>
      </c>
      <c r="D112" s="127">
        <f>'Data Ocupacion'!AF41</f>
        <v>47</v>
      </c>
      <c r="E112" s="127">
        <f>'Data Ocupacion'!AG41</f>
        <v>32</v>
      </c>
      <c r="F112" s="126" t="s">
        <v>38</v>
      </c>
      <c r="G112" s="228">
        <f t="shared" ref="G112:G117" si="94">D112+E112*2</f>
        <v>111</v>
      </c>
      <c r="H112" s="126">
        <f>B112+C112*2</f>
        <v>111</v>
      </c>
      <c r="I112" s="126">
        <f t="shared" ref="I112:I117" si="95">D112+E112</f>
        <v>79</v>
      </c>
      <c r="J112" s="126">
        <f>G112*M$2</f>
        <v>4787.43</v>
      </c>
      <c r="K112" s="154">
        <f>I112*M$2</f>
        <v>3407.27</v>
      </c>
      <c r="L112" s="126">
        <f t="shared" ref="L112:L117" si="96">J112*104</f>
        <v>497892.72000000003</v>
      </c>
      <c r="M112" s="126">
        <f t="shared" ref="M112:M117" si="97">I112*104</f>
        <v>8216</v>
      </c>
      <c r="N112" s="19"/>
      <c r="O112" s="19"/>
      <c r="P112" s="147"/>
      <c r="Q112" s="251">
        <v>3</v>
      </c>
      <c r="R112" s="186"/>
      <c r="S112" s="211"/>
      <c r="T112" s="194"/>
      <c r="U112" s="195"/>
      <c r="V112" s="235"/>
      <c r="W112" s="185">
        <f>J112-(Q112*($M$2-$K$1))-(R112*($M$2-$M$1))- (S112*($M$2-$I$2))+ (T112*($G$2))</f>
        <v>4734.2400000000007</v>
      </c>
      <c r="X112" s="185">
        <f>H112*$M$2</f>
        <v>4787.43</v>
      </c>
    </row>
    <row r="113" spans="1:25" ht="15" customHeight="1" x14ac:dyDescent="0.3">
      <c r="A113" s="262"/>
      <c r="B113" s="126">
        <v>45</v>
      </c>
      <c r="C113" s="126">
        <v>33</v>
      </c>
      <c r="D113" s="127">
        <f>'Data Ocupacion'!AF42</f>
        <v>45</v>
      </c>
      <c r="E113" s="127">
        <f>'Data Ocupacion'!AG42</f>
        <v>33</v>
      </c>
      <c r="F113" s="126" t="s">
        <v>52</v>
      </c>
      <c r="G113" s="126">
        <f t="shared" si="94"/>
        <v>111</v>
      </c>
      <c r="H113" s="126">
        <f t="shared" ref="H113:H117" si="98">B113+C113*2</f>
        <v>111</v>
      </c>
      <c r="I113" s="126">
        <f t="shared" si="95"/>
        <v>78</v>
      </c>
      <c r="J113" s="126">
        <f>G113*M$2</f>
        <v>4787.43</v>
      </c>
      <c r="K113" s="154">
        <f>I113*M$2</f>
        <v>3364.1400000000003</v>
      </c>
      <c r="L113" s="126">
        <f t="shared" si="96"/>
        <v>497892.72000000003</v>
      </c>
      <c r="M113" s="126">
        <f t="shared" si="97"/>
        <v>8112</v>
      </c>
      <c r="N113" s="19"/>
      <c r="O113" s="19"/>
      <c r="P113" s="147"/>
      <c r="Q113" s="190"/>
      <c r="R113" s="190"/>
      <c r="S113" s="190"/>
      <c r="T113" s="246"/>
      <c r="U113" s="187"/>
      <c r="V113" s="236"/>
      <c r="W113" s="188">
        <f>J113-(T113*($M$2-$K$1)+(U113*($M$2-$M$1)))</f>
        <v>4787.43</v>
      </c>
      <c r="X113" s="185">
        <f>H113*$M$2</f>
        <v>4787.43</v>
      </c>
    </row>
    <row r="114" spans="1:25" ht="14.25" customHeight="1" x14ac:dyDescent="0.3">
      <c r="A114" s="262"/>
      <c r="B114" s="126">
        <v>29</v>
      </c>
      <c r="C114" s="126">
        <v>4</v>
      </c>
      <c r="D114" s="127">
        <f>'Data Ocupacion'!AF43</f>
        <v>29</v>
      </c>
      <c r="E114" s="127">
        <f>'Data Ocupacion'!AG43</f>
        <v>4</v>
      </c>
      <c r="F114" s="126" t="s">
        <v>36</v>
      </c>
      <c r="G114" s="126">
        <f t="shared" si="94"/>
        <v>37</v>
      </c>
      <c r="H114" s="126">
        <f t="shared" si="98"/>
        <v>37</v>
      </c>
      <c r="I114" s="126">
        <f t="shared" si="95"/>
        <v>33</v>
      </c>
      <c r="J114" s="126">
        <f>G114*M$1</f>
        <v>1077.07</v>
      </c>
      <c r="K114" s="154">
        <f>I114*M$1</f>
        <v>960.63</v>
      </c>
      <c r="L114" s="126">
        <f t="shared" si="96"/>
        <v>112015.28</v>
      </c>
      <c r="M114" s="126">
        <f t="shared" si="97"/>
        <v>3432</v>
      </c>
      <c r="N114" s="19"/>
      <c r="O114" s="19"/>
      <c r="P114" s="147"/>
      <c r="Q114" s="189"/>
      <c r="R114" s="191"/>
      <c r="S114" s="212"/>
      <c r="T114" s="192"/>
      <c r="U114" s="193"/>
      <c r="V114" s="193"/>
      <c r="W114" s="185">
        <f>J114-(Q114*($M$1-$K$1))</f>
        <v>1077.07</v>
      </c>
      <c r="X114" s="185">
        <f>H114*$M$1</f>
        <v>1077.07</v>
      </c>
    </row>
    <row r="115" spans="1:25" ht="15" customHeight="1" x14ac:dyDescent="0.3">
      <c r="A115" s="262"/>
      <c r="B115" s="126">
        <v>28</v>
      </c>
      <c r="C115" s="126">
        <v>4</v>
      </c>
      <c r="D115" s="127">
        <f>'Data Ocupacion'!AF44</f>
        <v>28</v>
      </c>
      <c r="E115" s="127">
        <f>'Data Ocupacion'!AG44</f>
        <v>4</v>
      </c>
      <c r="F115" s="126" t="s">
        <v>53</v>
      </c>
      <c r="G115" s="126">
        <f t="shared" si="94"/>
        <v>36</v>
      </c>
      <c r="H115" s="126">
        <f t="shared" si="98"/>
        <v>36</v>
      </c>
      <c r="I115" s="126">
        <f t="shared" si="95"/>
        <v>32</v>
      </c>
      <c r="J115" s="126">
        <f>G115*M$1</f>
        <v>1047.96</v>
      </c>
      <c r="K115" s="154">
        <f>I115*M$1</f>
        <v>931.52</v>
      </c>
      <c r="L115" s="126">
        <f t="shared" si="96"/>
        <v>108987.84</v>
      </c>
      <c r="M115" s="126">
        <f t="shared" si="97"/>
        <v>3328</v>
      </c>
      <c r="N115" s="19"/>
      <c r="O115" s="19"/>
      <c r="P115" s="147"/>
      <c r="Q115" s="193"/>
      <c r="R115" s="193"/>
      <c r="S115" s="193"/>
      <c r="T115" s="193"/>
      <c r="U115" s="193"/>
      <c r="V115" s="193"/>
      <c r="W115" s="185">
        <f>J115</f>
        <v>1047.96</v>
      </c>
      <c r="X115" s="185">
        <f>H115*$M$1</f>
        <v>1047.96</v>
      </c>
    </row>
    <row r="116" spans="1:25" ht="15" customHeight="1" x14ac:dyDescent="0.3">
      <c r="A116" s="262"/>
      <c r="B116" s="126">
        <v>0</v>
      </c>
      <c r="C116" s="126">
        <v>0</v>
      </c>
      <c r="D116" s="127">
        <f>'Data Ocupacion'!AF45</f>
        <v>0</v>
      </c>
      <c r="E116" s="127">
        <f>'Data Ocupacion'!AG45</f>
        <v>0</v>
      </c>
      <c r="F116" s="126" t="s">
        <v>122</v>
      </c>
      <c r="G116" s="126">
        <f t="shared" si="94"/>
        <v>0</v>
      </c>
      <c r="H116" s="126">
        <f t="shared" si="98"/>
        <v>0</v>
      </c>
      <c r="I116" s="126">
        <f t="shared" si="95"/>
        <v>0</v>
      </c>
      <c r="J116" s="126">
        <f>G116*K$1</f>
        <v>0</v>
      </c>
      <c r="K116" s="154">
        <f>I116*K$1</f>
        <v>0</v>
      </c>
      <c r="L116" s="126">
        <f t="shared" si="96"/>
        <v>0</v>
      </c>
      <c r="M116" s="126">
        <f t="shared" si="97"/>
        <v>0</v>
      </c>
      <c r="N116" s="19"/>
      <c r="O116" s="19"/>
      <c r="P116" s="147"/>
      <c r="Q116" s="193"/>
      <c r="R116" s="193"/>
      <c r="S116" s="193"/>
      <c r="T116" s="193"/>
      <c r="U116" s="193"/>
      <c r="V116" s="193"/>
      <c r="W116" s="185">
        <f>J116</f>
        <v>0</v>
      </c>
      <c r="X116" s="185">
        <f>H116*$K$1</f>
        <v>0</v>
      </c>
    </row>
    <row r="117" spans="1:25" ht="15" customHeight="1" thickBot="1" x14ac:dyDescent="0.35">
      <c r="A117" s="262"/>
      <c r="B117" s="126">
        <v>1</v>
      </c>
      <c r="C117" s="126">
        <v>0</v>
      </c>
      <c r="D117" s="127">
        <f>'Data Ocupacion'!AF46</f>
        <v>1</v>
      </c>
      <c r="E117" s="127">
        <f>'Data Ocupacion'!AG46</f>
        <v>0</v>
      </c>
      <c r="F117" s="126" t="s">
        <v>35</v>
      </c>
      <c r="G117" s="126">
        <f t="shared" si="94"/>
        <v>1</v>
      </c>
      <c r="H117" s="126">
        <f t="shared" si="98"/>
        <v>1</v>
      </c>
      <c r="I117" s="126">
        <f t="shared" si="95"/>
        <v>1</v>
      </c>
      <c r="J117" s="126">
        <f>G117*K$1</f>
        <v>25.4</v>
      </c>
      <c r="K117" s="154">
        <f>I117*K$1</f>
        <v>25.4</v>
      </c>
      <c r="L117" s="126">
        <f t="shared" si="96"/>
        <v>2641.6</v>
      </c>
      <c r="M117" s="126">
        <f t="shared" si="97"/>
        <v>104</v>
      </c>
      <c r="N117" s="19"/>
      <c r="O117" s="19"/>
      <c r="P117" s="147"/>
      <c r="Q117" s="193"/>
      <c r="R117" s="193"/>
      <c r="S117" s="193"/>
      <c r="T117" s="193"/>
      <c r="U117" s="193"/>
      <c r="V117" s="193"/>
      <c r="W117" s="185">
        <f>J117</f>
        <v>25.4</v>
      </c>
      <c r="X117" s="185">
        <f>H117*$K$1</f>
        <v>25.4</v>
      </c>
    </row>
    <row r="118" spans="1:25" s="125" customFormat="1" ht="15" customHeight="1" thickBot="1" x14ac:dyDescent="0.35">
      <c r="A118" s="20"/>
      <c r="B118" s="224">
        <f>SUM(B112:B117)</f>
        <v>150</v>
      </c>
      <c r="C118" s="224">
        <f>SUM(C112:C117)</f>
        <v>73</v>
      </c>
      <c r="D118" s="149">
        <f>SUM(D112:D117)</f>
        <v>150</v>
      </c>
      <c r="E118" s="149">
        <f>SUM(E112:E117)</f>
        <v>73</v>
      </c>
      <c r="F118" s="120"/>
      <c r="G118" s="120">
        <f t="shared" ref="G118:M118" si="99">SUM(G112:G117)</f>
        <v>296</v>
      </c>
      <c r="H118" s="120">
        <f t="shared" si="99"/>
        <v>296</v>
      </c>
      <c r="I118" s="120">
        <f t="shared" si="99"/>
        <v>223</v>
      </c>
      <c r="J118" s="120">
        <f t="shared" si="99"/>
        <v>11725.289999999999</v>
      </c>
      <c r="K118" s="120">
        <f t="shared" si="99"/>
        <v>8688.9599999999991</v>
      </c>
      <c r="L118" s="120">
        <f t="shared" si="99"/>
        <v>1219430.1600000001</v>
      </c>
      <c r="M118" s="120">
        <f t="shared" si="99"/>
        <v>23192</v>
      </c>
      <c r="N118" s="124">
        <f>'Odometro-Kilometraje'!P81</f>
        <v>12165</v>
      </c>
      <c r="O118" s="21">
        <f>(W118/N118)*100</f>
        <v>95.94821208384711</v>
      </c>
      <c r="P118" s="196"/>
      <c r="Q118" s="184"/>
      <c r="R118" s="184"/>
      <c r="S118" s="184"/>
      <c r="T118" s="184"/>
      <c r="U118" s="184"/>
      <c r="V118" s="184"/>
      <c r="W118" s="197">
        <f>SUM(W112:W117)</f>
        <v>11672.1</v>
      </c>
      <c r="X118" s="197">
        <f>SUM(X112:X117)</f>
        <v>11725.289999999999</v>
      </c>
    </row>
    <row r="119" spans="1:25" ht="15.9" customHeight="1" x14ac:dyDescent="0.3">
      <c r="A119" s="61">
        <f>A112+1</f>
        <v>45793</v>
      </c>
      <c r="B119" s="126">
        <v>47</v>
      </c>
      <c r="C119" s="126">
        <v>32</v>
      </c>
      <c r="D119" s="127">
        <f>'Data Ocupacion'!AH41</f>
        <v>48</v>
      </c>
      <c r="E119" s="127">
        <f>'Data Ocupacion'!AI41</f>
        <v>31</v>
      </c>
      <c r="F119" s="126" t="s">
        <v>38</v>
      </c>
      <c r="G119" s="228">
        <f t="shared" ref="G119:G124" si="100">D119+E119*2</f>
        <v>110</v>
      </c>
      <c r="H119" s="126">
        <f>B119+C119*2</f>
        <v>111</v>
      </c>
      <c r="I119" s="126">
        <f t="shared" ref="I119:I124" si="101">D119+E119</f>
        <v>79</v>
      </c>
      <c r="J119" s="126">
        <f>G119*M$2</f>
        <v>4744.3</v>
      </c>
      <c r="K119" s="154">
        <f>I119*M$2</f>
        <v>3407.27</v>
      </c>
      <c r="L119" s="126">
        <f t="shared" ref="L119:L124" si="102">J119*104</f>
        <v>493407.2</v>
      </c>
      <c r="M119" s="126">
        <f t="shared" ref="M119:M124" si="103">I119*104</f>
        <v>8216</v>
      </c>
      <c r="N119" s="19"/>
      <c r="O119" s="19"/>
      <c r="P119" s="147"/>
      <c r="Q119" s="186">
        <v>5</v>
      </c>
      <c r="R119" s="186"/>
      <c r="S119" s="211"/>
      <c r="T119" s="251">
        <v>3</v>
      </c>
      <c r="U119" s="195"/>
      <c r="V119" s="235"/>
      <c r="W119" s="185">
        <f>J119-(Q119*($M$2-$K$1))-(R119*($M$2-$M$1))- (S119*($M$2-$I$2))+ (T119*($G$2))</f>
        <v>4708.84</v>
      </c>
      <c r="X119" s="185">
        <f>H119*$M$2</f>
        <v>4787.43</v>
      </c>
    </row>
    <row r="120" spans="1:25" ht="15" customHeight="1" x14ac:dyDescent="0.3">
      <c r="A120" s="262"/>
      <c r="B120" s="126">
        <v>45</v>
      </c>
      <c r="C120" s="126">
        <v>33</v>
      </c>
      <c r="D120" s="127">
        <f>'Data Ocupacion'!AH42</f>
        <v>46</v>
      </c>
      <c r="E120" s="127">
        <f>'Data Ocupacion'!AI42</f>
        <v>32</v>
      </c>
      <c r="F120" s="126" t="s">
        <v>52</v>
      </c>
      <c r="G120" s="126">
        <f t="shared" si="100"/>
        <v>110</v>
      </c>
      <c r="H120" s="126">
        <f t="shared" ref="H120:H124" si="104">B120+C120*2</f>
        <v>111</v>
      </c>
      <c r="I120" s="126">
        <f t="shared" si="101"/>
        <v>78</v>
      </c>
      <c r="J120" s="126">
        <f>G120*M$2</f>
        <v>4744.3</v>
      </c>
      <c r="K120" s="154">
        <f>I120*M$2</f>
        <v>3364.1400000000003</v>
      </c>
      <c r="L120" s="126">
        <f t="shared" si="102"/>
        <v>493407.2</v>
      </c>
      <c r="M120" s="126">
        <f t="shared" si="103"/>
        <v>8112</v>
      </c>
      <c r="N120" s="19"/>
      <c r="O120" s="19"/>
      <c r="P120" s="147"/>
      <c r="Q120" s="190"/>
      <c r="R120" s="190"/>
      <c r="S120" s="190"/>
      <c r="T120" s="186"/>
      <c r="U120" s="209"/>
      <c r="V120" s="236"/>
      <c r="W120" s="188">
        <f>J120-(T120*($M$2-$K$1)+(U120*($M$2-$M$1)))</f>
        <v>4744.3</v>
      </c>
      <c r="X120" s="185">
        <f>H120*$M$2</f>
        <v>4787.43</v>
      </c>
      <c r="Y120" s="173"/>
    </row>
    <row r="121" spans="1:25" x14ac:dyDescent="0.3">
      <c r="A121" s="262"/>
      <c r="B121" s="126">
        <v>29</v>
      </c>
      <c r="C121" s="126">
        <v>4</v>
      </c>
      <c r="D121" s="127">
        <f>'Data Ocupacion'!AH43</f>
        <v>29</v>
      </c>
      <c r="E121" s="127">
        <f>'Data Ocupacion'!AI43</f>
        <v>4</v>
      </c>
      <c r="F121" s="126" t="s">
        <v>36</v>
      </c>
      <c r="G121" s="126">
        <f t="shared" si="100"/>
        <v>37</v>
      </c>
      <c r="H121" s="126">
        <f t="shared" si="104"/>
        <v>37</v>
      </c>
      <c r="I121" s="126">
        <f t="shared" si="101"/>
        <v>33</v>
      </c>
      <c r="J121" s="126">
        <f>G121*M$1</f>
        <v>1077.07</v>
      </c>
      <c r="K121" s="154">
        <f>I121*M$1</f>
        <v>960.63</v>
      </c>
      <c r="L121" s="126">
        <f t="shared" si="102"/>
        <v>112015.28</v>
      </c>
      <c r="M121" s="126">
        <f t="shared" si="103"/>
        <v>3432</v>
      </c>
      <c r="N121" s="19"/>
      <c r="O121" s="19"/>
      <c r="P121" s="147"/>
      <c r="Q121" s="189"/>
      <c r="R121" s="191"/>
      <c r="S121" s="212"/>
      <c r="T121" s="192"/>
      <c r="U121" s="193"/>
      <c r="V121" s="193"/>
      <c r="W121" s="185">
        <f>J121-(Q121*($M$1-$K$1))</f>
        <v>1077.07</v>
      </c>
      <c r="X121" s="185">
        <f>H121*$M$1</f>
        <v>1077.07</v>
      </c>
    </row>
    <row r="122" spans="1:25" ht="15.9" customHeight="1" x14ac:dyDescent="0.3">
      <c r="A122" s="262"/>
      <c r="B122" s="126">
        <v>28</v>
      </c>
      <c r="C122" s="126">
        <v>4</v>
      </c>
      <c r="D122" s="127">
        <f>'Data Ocupacion'!AH44</f>
        <v>28</v>
      </c>
      <c r="E122" s="127">
        <f>'Data Ocupacion'!AI44</f>
        <v>4</v>
      </c>
      <c r="F122" s="126" t="s">
        <v>53</v>
      </c>
      <c r="G122" s="126">
        <f t="shared" si="100"/>
        <v>36</v>
      </c>
      <c r="H122" s="126">
        <f t="shared" si="104"/>
        <v>36</v>
      </c>
      <c r="I122" s="126">
        <f t="shared" si="101"/>
        <v>32</v>
      </c>
      <c r="J122" s="126">
        <f>G122*M$1</f>
        <v>1047.96</v>
      </c>
      <c r="K122" s="154">
        <f>I122*M$1</f>
        <v>931.52</v>
      </c>
      <c r="L122" s="126">
        <f t="shared" si="102"/>
        <v>108987.84</v>
      </c>
      <c r="M122" s="126">
        <f t="shared" si="103"/>
        <v>3328</v>
      </c>
      <c r="N122" s="19"/>
      <c r="O122" s="19"/>
      <c r="P122" s="147"/>
      <c r="Q122" s="193"/>
      <c r="R122" s="193"/>
      <c r="S122" s="193"/>
      <c r="T122" s="193"/>
      <c r="U122" s="193"/>
      <c r="V122" s="193"/>
      <c r="W122" s="185">
        <f>J122</f>
        <v>1047.96</v>
      </c>
      <c r="X122" s="185">
        <f>H122*$M$1</f>
        <v>1047.96</v>
      </c>
    </row>
    <row r="123" spans="1:25" ht="15" customHeight="1" x14ac:dyDescent="0.3">
      <c r="A123" s="262"/>
      <c r="B123" s="126">
        <v>0</v>
      </c>
      <c r="C123" s="126">
        <v>0</v>
      </c>
      <c r="D123" s="127">
        <f>'Data Ocupacion'!AH45</f>
        <v>0</v>
      </c>
      <c r="E123" s="127">
        <f>'Data Ocupacion'!AI45</f>
        <v>0</v>
      </c>
      <c r="F123" s="126" t="s">
        <v>122</v>
      </c>
      <c r="G123" s="126">
        <f t="shared" si="100"/>
        <v>0</v>
      </c>
      <c r="H123" s="126">
        <f t="shared" si="104"/>
        <v>0</v>
      </c>
      <c r="I123" s="126">
        <f t="shared" si="101"/>
        <v>0</v>
      </c>
      <c r="J123" s="126">
        <f>G123*K$1</f>
        <v>0</v>
      </c>
      <c r="K123" s="154">
        <f>I123*K$1</f>
        <v>0</v>
      </c>
      <c r="L123" s="126">
        <f t="shared" si="102"/>
        <v>0</v>
      </c>
      <c r="M123" s="126">
        <f t="shared" si="103"/>
        <v>0</v>
      </c>
      <c r="N123" s="19"/>
      <c r="O123" s="19"/>
      <c r="P123" s="147"/>
      <c r="Q123" s="193"/>
      <c r="R123" s="193"/>
      <c r="S123" s="193"/>
      <c r="T123" s="193"/>
      <c r="U123" s="193"/>
      <c r="V123" s="193"/>
      <c r="W123" s="185">
        <f>J123</f>
        <v>0</v>
      </c>
      <c r="X123" s="185">
        <f>H123*$K$1</f>
        <v>0</v>
      </c>
    </row>
    <row r="124" spans="1:25" ht="15" customHeight="1" thickBot="1" x14ac:dyDescent="0.35">
      <c r="A124" s="262"/>
      <c r="B124" s="126">
        <v>1</v>
      </c>
      <c r="C124" s="126">
        <v>0</v>
      </c>
      <c r="D124" s="127">
        <f>'Data Ocupacion'!AH46</f>
        <v>1</v>
      </c>
      <c r="E124" s="127">
        <f>'Data Ocupacion'!AI46</f>
        <v>0</v>
      </c>
      <c r="F124" s="126" t="s">
        <v>35</v>
      </c>
      <c r="G124" s="126">
        <f t="shared" si="100"/>
        <v>1</v>
      </c>
      <c r="H124" s="126">
        <f t="shared" si="104"/>
        <v>1</v>
      </c>
      <c r="I124" s="126">
        <f t="shared" si="101"/>
        <v>1</v>
      </c>
      <c r="J124" s="126">
        <f>G124*K$1</f>
        <v>25.4</v>
      </c>
      <c r="K124" s="154">
        <f>I124*K$1</f>
        <v>25.4</v>
      </c>
      <c r="L124" s="126">
        <f t="shared" si="102"/>
        <v>2641.6</v>
      </c>
      <c r="M124" s="126">
        <f t="shared" si="103"/>
        <v>104</v>
      </c>
      <c r="N124" s="19"/>
      <c r="O124" s="19"/>
      <c r="P124" s="147"/>
      <c r="Q124" s="193"/>
      <c r="R124" s="193"/>
      <c r="S124" s="193"/>
      <c r="T124" s="193"/>
      <c r="U124" s="193"/>
      <c r="V124" s="193"/>
      <c r="W124" s="185">
        <f>J124</f>
        <v>25.4</v>
      </c>
      <c r="X124" s="185">
        <f>H124*$K$1</f>
        <v>25.4</v>
      </c>
    </row>
    <row r="125" spans="1:25" s="125" customFormat="1" ht="15" customHeight="1" thickBot="1" x14ac:dyDescent="0.35">
      <c r="A125" s="20"/>
      <c r="B125" s="224">
        <f>SUM(B119:B124)</f>
        <v>150</v>
      </c>
      <c r="C125" s="224">
        <f>SUM(C119:C124)</f>
        <v>73</v>
      </c>
      <c r="D125" s="149">
        <f>SUM(D119:D124)</f>
        <v>152</v>
      </c>
      <c r="E125" s="149">
        <f>SUM(E119:E124)</f>
        <v>71</v>
      </c>
      <c r="F125" s="120"/>
      <c r="G125" s="120">
        <f t="shared" ref="G125:M125" si="105">SUM(G119:G124)</f>
        <v>294</v>
      </c>
      <c r="H125" s="120">
        <f t="shared" si="105"/>
        <v>296</v>
      </c>
      <c r="I125" s="120">
        <f t="shared" si="105"/>
        <v>223</v>
      </c>
      <c r="J125" s="120">
        <f t="shared" si="105"/>
        <v>11639.03</v>
      </c>
      <c r="K125" s="120">
        <f t="shared" si="105"/>
        <v>8688.9599999999991</v>
      </c>
      <c r="L125" s="120">
        <f t="shared" si="105"/>
        <v>1210459.1200000001</v>
      </c>
      <c r="M125" s="120">
        <f t="shared" si="105"/>
        <v>23192</v>
      </c>
      <c r="N125" s="124">
        <f>'Odometro-Kilometraje'!Q81</f>
        <v>11970</v>
      </c>
      <c r="O125" s="21">
        <f>(W125/N125)*100</f>
        <v>96.938763575605662</v>
      </c>
      <c r="P125" s="196"/>
      <c r="Q125" s="184"/>
      <c r="R125" s="184"/>
      <c r="S125" s="184"/>
      <c r="T125" s="184"/>
      <c r="U125" s="184"/>
      <c r="V125" s="184"/>
      <c r="W125" s="197">
        <f>SUM(W119:W124)</f>
        <v>11603.569999999998</v>
      </c>
      <c r="X125" s="197">
        <f>SUM(X119:X124)</f>
        <v>11725.289999999999</v>
      </c>
    </row>
    <row r="126" spans="1:25" ht="15.9" customHeight="1" x14ac:dyDescent="0.3">
      <c r="A126" s="61">
        <f>A119+1</f>
        <v>45794</v>
      </c>
      <c r="B126" s="117">
        <v>69</v>
      </c>
      <c r="C126" s="117">
        <v>3</v>
      </c>
      <c r="D126" s="148">
        <f>'Data Ocupacion'!AJ41</f>
        <v>69</v>
      </c>
      <c r="E126" s="148">
        <f>'Data Ocupacion'!AK41</f>
        <v>3</v>
      </c>
      <c r="F126" s="320" t="s">
        <v>38</v>
      </c>
      <c r="G126" s="321">
        <f t="shared" ref="G126:G131" si="106">D126+E126*2</f>
        <v>75</v>
      </c>
      <c r="H126" s="117">
        <f>B126+C126*2</f>
        <v>75</v>
      </c>
      <c r="I126" s="322">
        <f t="shared" ref="I126:I131" si="107">D126+E126</f>
        <v>72</v>
      </c>
      <c r="J126" s="322">
        <f>G126*M$2</f>
        <v>3234.75</v>
      </c>
      <c r="K126" s="154">
        <f>I126*M$2</f>
        <v>3105.36</v>
      </c>
      <c r="L126" s="117">
        <f t="shared" ref="L126:L131" si="108">J126*104</f>
        <v>336414</v>
      </c>
      <c r="M126" s="117">
        <f t="shared" ref="M126:M131" si="109">I126*104</f>
        <v>7488</v>
      </c>
      <c r="N126" s="19"/>
      <c r="O126" s="19"/>
      <c r="P126" s="147"/>
      <c r="Q126" s="186"/>
      <c r="R126" s="186"/>
      <c r="S126" s="211"/>
      <c r="T126" s="194"/>
      <c r="U126" s="195"/>
      <c r="V126" s="235"/>
      <c r="W126" s="185">
        <f>J126-(Q126*($M$2-$K$1))-(R126*($M$2-$M$1))- (S126*($M$2-$I$2))+ (T126*($G$2))</f>
        <v>3234.75</v>
      </c>
      <c r="X126" s="185">
        <f>H126*$M$2</f>
        <v>3234.75</v>
      </c>
    </row>
    <row r="127" spans="1:25" ht="15" customHeight="1" x14ac:dyDescent="0.3">
      <c r="A127" s="262"/>
      <c r="B127" s="117">
        <v>75</v>
      </c>
      <c r="C127" s="117">
        <v>0</v>
      </c>
      <c r="D127" s="148">
        <f>'Data Ocupacion'!AJ42</f>
        <v>75</v>
      </c>
      <c r="E127" s="148">
        <f>'Data Ocupacion'!AK42</f>
        <v>0</v>
      </c>
      <c r="F127" s="320" t="s">
        <v>52</v>
      </c>
      <c r="G127" s="321">
        <f t="shared" si="106"/>
        <v>75</v>
      </c>
      <c r="H127" s="117">
        <f t="shared" ref="H127:H131" si="110">B127+C127*2</f>
        <v>75</v>
      </c>
      <c r="I127" s="117">
        <f t="shared" si="107"/>
        <v>75</v>
      </c>
      <c r="J127" s="117">
        <f>G127*M$2</f>
        <v>3234.75</v>
      </c>
      <c r="K127" s="154">
        <f>I127*M$2</f>
        <v>3234.75</v>
      </c>
      <c r="L127" s="117">
        <f t="shared" si="108"/>
        <v>336414</v>
      </c>
      <c r="M127" s="117">
        <f t="shared" si="109"/>
        <v>7800</v>
      </c>
      <c r="N127" s="19"/>
      <c r="O127" s="19"/>
      <c r="P127" s="147"/>
      <c r="Q127" s="190"/>
      <c r="R127" s="190"/>
      <c r="S127" s="223"/>
      <c r="T127" s="186"/>
      <c r="U127" s="223"/>
      <c r="V127" s="236"/>
      <c r="W127" s="188">
        <f>J127-(T127*($M$2-$K$1)+(U127*($M$2-$M$1)))</f>
        <v>3234.75</v>
      </c>
      <c r="X127" s="185">
        <f>H127*$M$2</f>
        <v>3234.75</v>
      </c>
      <c r="Y127" s="173"/>
    </row>
    <row r="128" spans="1:25" ht="15" customHeight="1" x14ac:dyDescent="0.3">
      <c r="A128" s="262"/>
      <c r="B128" s="117">
        <v>0</v>
      </c>
      <c r="C128" s="117">
        <v>0</v>
      </c>
      <c r="D128" s="148">
        <f>'Data Ocupacion'!AJ43</f>
        <v>0</v>
      </c>
      <c r="E128" s="148">
        <f>'Data Ocupacion'!AK43</f>
        <v>0</v>
      </c>
      <c r="F128" s="320" t="s">
        <v>36</v>
      </c>
      <c r="G128" s="321">
        <f t="shared" si="106"/>
        <v>0</v>
      </c>
      <c r="H128" s="117">
        <f t="shared" si="110"/>
        <v>0</v>
      </c>
      <c r="I128" s="117">
        <f t="shared" si="107"/>
        <v>0</v>
      </c>
      <c r="J128" s="117">
        <f>G128*M$1</f>
        <v>0</v>
      </c>
      <c r="K128" s="154">
        <f>I128*M$1</f>
        <v>0</v>
      </c>
      <c r="L128" s="117">
        <f t="shared" si="108"/>
        <v>0</v>
      </c>
      <c r="M128" s="117">
        <f t="shared" si="109"/>
        <v>0</v>
      </c>
      <c r="N128" s="19"/>
      <c r="O128" s="19"/>
      <c r="P128" s="147"/>
      <c r="Q128" s="189"/>
      <c r="R128" s="191"/>
      <c r="S128" s="212"/>
      <c r="T128" s="192"/>
      <c r="U128" s="193"/>
      <c r="V128" s="193"/>
      <c r="W128" s="185">
        <f>J128-(Q128*($M$1-$K$1))</f>
        <v>0</v>
      </c>
      <c r="X128" s="185">
        <f>H128*$M$1</f>
        <v>0</v>
      </c>
    </row>
    <row r="129" spans="1:26" ht="15" customHeight="1" x14ac:dyDescent="0.3">
      <c r="A129" s="262"/>
      <c r="B129" s="117">
        <v>0</v>
      </c>
      <c r="C129" s="117">
        <v>0</v>
      </c>
      <c r="D129" s="148">
        <f>'Data Ocupacion'!AJ44</f>
        <v>0</v>
      </c>
      <c r="E129" s="148">
        <f>'Data Ocupacion'!AK44</f>
        <v>0</v>
      </c>
      <c r="F129" s="320" t="s">
        <v>53</v>
      </c>
      <c r="G129" s="321">
        <f t="shared" si="106"/>
        <v>0</v>
      </c>
      <c r="H129" s="117">
        <f t="shared" si="110"/>
        <v>0</v>
      </c>
      <c r="I129" s="117">
        <f t="shared" si="107"/>
        <v>0</v>
      </c>
      <c r="J129" s="117">
        <f>G129*M$1</f>
        <v>0</v>
      </c>
      <c r="K129" s="154">
        <f>I129*M$1</f>
        <v>0</v>
      </c>
      <c r="L129" s="117">
        <f t="shared" si="108"/>
        <v>0</v>
      </c>
      <c r="M129" s="117">
        <f t="shared" si="109"/>
        <v>0</v>
      </c>
      <c r="N129" s="19"/>
      <c r="O129" s="19"/>
      <c r="P129" s="147"/>
      <c r="Q129" s="193"/>
      <c r="R129" s="193"/>
      <c r="S129" s="193"/>
      <c r="T129" s="193"/>
      <c r="U129" s="193"/>
      <c r="V129" s="193"/>
      <c r="W129" s="185">
        <f>J129</f>
        <v>0</v>
      </c>
      <c r="X129" s="185">
        <f>H129*$M$1</f>
        <v>0</v>
      </c>
      <c r="Z129" s="202"/>
    </row>
    <row r="130" spans="1:26" ht="15" customHeight="1" x14ac:dyDescent="0.3">
      <c r="A130" s="262"/>
      <c r="B130" s="117">
        <v>0</v>
      </c>
      <c r="C130" s="117">
        <v>0</v>
      </c>
      <c r="D130" s="148">
        <f>'Data Ocupacion'!AJ45</f>
        <v>0</v>
      </c>
      <c r="E130" s="148">
        <f>'Data Ocupacion'!AK45</f>
        <v>0</v>
      </c>
      <c r="F130" s="320" t="s">
        <v>122</v>
      </c>
      <c r="G130" s="321">
        <f t="shared" si="106"/>
        <v>0</v>
      </c>
      <c r="H130" s="117">
        <f t="shared" si="110"/>
        <v>0</v>
      </c>
      <c r="I130" s="117">
        <f t="shared" si="107"/>
        <v>0</v>
      </c>
      <c r="J130" s="323">
        <f>G130*K$1</f>
        <v>0</v>
      </c>
      <c r="K130" s="154">
        <f>I130*K$1</f>
        <v>0</v>
      </c>
      <c r="L130" s="117">
        <f t="shared" si="108"/>
        <v>0</v>
      </c>
      <c r="M130" s="117">
        <f t="shared" si="109"/>
        <v>0</v>
      </c>
      <c r="N130" s="19"/>
      <c r="O130" s="19"/>
      <c r="P130" s="147"/>
      <c r="Q130" s="193"/>
      <c r="R130" s="193"/>
      <c r="S130" s="193"/>
      <c r="T130" s="193"/>
      <c r="U130" s="193"/>
      <c r="V130" s="193"/>
      <c r="W130" s="185">
        <f>J130</f>
        <v>0</v>
      </c>
      <c r="X130" s="185">
        <f>H130*$K$1</f>
        <v>0</v>
      </c>
    </row>
    <row r="131" spans="1:26" ht="14.25" customHeight="1" thickBot="1" x14ac:dyDescent="0.35">
      <c r="A131" s="262"/>
      <c r="B131" s="117">
        <v>0</v>
      </c>
      <c r="C131" s="117">
        <v>0</v>
      </c>
      <c r="D131" s="148">
        <f>'Data Ocupacion'!AJ46</f>
        <v>0</v>
      </c>
      <c r="E131" s="148">
        <f>'Data Ocupacion'!AK46</f>
        <v>0</v>
      </c>
      <c r="F131" s="320" t="s">
        <v>35</v>
      </c>
      <c r="G131" s="321">
        <f t="shared" si="106"/>
        <v>0</v>
      </c>
      <c r="H131" s="117">
        <f t="shared" si="110"/>
        <v>0</v>
      </c>
      <c r="I131" s="324">
        <f t="shared" si="107"/>
        <v>0</v>
      </c>
      <c r="J131" s="324">
        <f>G131*K$1</f>
        <v>0</v>
      </c>
      <c r="K131" s="154">
        <f>I131*K$1</f>
        <v>0</v>
      </c>
      <c r="L131" s="117">
        <f t="shared" si="108"/>
        <v>0</v>
      </c>
      <c r="M131" s="117">
        <f t="shared" si="109"/>
        <v>0</v>
      </c>
      <c r="N131" s="19"/>
      <c r="O131" s="19"/>
      <c r="P131" s="147"/>
      <c r="Q131" s="193"/>
      <c r="R131" s="193"/>
      <c r="S131" s="193"/>
      <c r="T131" s="193"/>
      <c r="U131" s="193"/>
      <c r="V131" s="193"/>
      <c r="W131" s="185">
        <f>J131</f>
        <v>0</v>
      </c>
      <c r="X131" s="185">
        <f>H131*$K$1</f>
        <v>0</v>
      </c>
    </row>
    <row r="132" spans="1:26" s="125" customFormat="1" ht="15" customHeight="1" thickBot="1" x14ac:dyDescent="0.35">
      <c r="A132" s="20"/>
      <c r="B132" s="224">
        <f>SUM(B126:B131)</f>
        <v>144</v>
      </c>
      <c r="C132" s="224">
        <f>SUM(C126:C131)</f>
        <v>3</v>
      </c>
      <c r="D132" s="149">
        <f>SUM(D126:D131)</f>
        <v>144</v>
      </c>
      <c r="E132" s="149">
        <f>SUM(E126:E131)</f>
        <v>3</v>
      </c>
      <c r="F132" s="120"/>
      <c r="G132" s="120">
        <f t="shared" ref="G132:M132" si="111">SUM(G126:G131)</f>
        <v>150</v>
      </c>
      <c r="H132" s="120">
        <f t="shared" si="111"/>
        <v>150</v>
      </c>
      <c r="I132" s="120">
        <f t="shared" si="111"/>
        <v>147</v>
      </c>
      <c r="J132" s="121">
        <f>SUM(J126:J131)</f>
        <v>6469.5</v>
      </c>
      <c r="K132" s="120">
        <f t="shared" si="111"/>
        <v>6340.1100000000006</v>
      </c>
      <c r="L132" s="120">
        <f t="shared" si="111"/>
        <v>672828</v>
      </c>
      <c r="M132" s="120">
        <f t="shared" si="111"/>
        <v>15288</v>
      </c>
      <c r="N132" s="124">
        <f>'Odometro-Kilometraje'!R81</f>
        <v>6491</v>
      </c>
      <c r="O132" s="21">
        <f>(W132/N132)*100</f>
        <v>99.668772146048383</v>
      </c>
      <c r="P132" s="196"/>
      <c r="Q132" s="184"/>
      <c r="R132" s="184"/>
      <c r="S132" s="184"/>
      <c r="T132" s="184"/>
      <c r="U132" s="184"/>
      <c r="V132" s="184"/>
      <c r="W132" s="197">
        <f>SUM(W126:W131)</f>
        <v>6469.5</v>
      </c>
      <c r="X132" s="197">
        <f>SUM(X126:X131)</f>
        <v>6469.5</v>
      </c>
    </row>
    <row r="133" spans="1:26" ht="15.9" customHeight="1" x14ac:dyDescent="0.3">
      <c r="A133" s="61">
        <f>A126+1</f>
        <v>45795</v>
      </c>
      <c r="B133" s="225">
        <v>51</v>
      </c>
      <c r="C133" s="225">
        <v>3</v>
      </c>
      <c r="D133" s="139">
        <f>'Data Ocupacion'!AL41</f>
        <v>51</v>
      </c>
      <c r="E133" s="139">
        <f>'Data Ocupacion'!AM41</f>
        <v>3</v>
      </c>
      <c r="F133" s="225" t="s">
        <v>38</v>
      </c>
      <c r="G133" s="225">
        <f t="shared" ref="G133:G138" si="112">D133+E133*2</f>
        <v>57</v>
      </c>
      <c r="H133" s="225">
        <f>B133+C133*2</f>
        <v>57</v>
      </c>
      <c r="I133" s="225">
        <f t="shared" ref="I133:I138" si="113">D133+E133</f>
        <v>54</v>
      </c>
      <c r="J133" s="225">
        <f>G133*M$2</f>
        <v>2458.4100000000003</v>
      </c>
      <c r="K133" s="154">
        <f>I133*M$2</f>
        <v>2329.02</v>
      </c>
      <c r="L133" s="225">
        <f t="shared" ref="L133:L138" si="114">J133*104</f>
        <v>255674.64000000004</v>
      </c>
      <c r="M133" s="225">
        <f t="shared" ref="M133:M138" si="115">I133*104</f>
        <v>5616</v>
      </c>
      <c r="N133" s="19"/>
      <c r="O133" s="19"/>
      <c r="P133" s="147"/>
      <c r="Q133" s="186"/>
      <c r="R133" s="186"/>
      <c r="S133" s="211"/>
      <c r="T133" s="303"/>
      <c r="U133" s="195"/>
      <c r="V133" s="235"/>
      <c r="W133" s="185">
        <f>J133-(Q133*($M$2-$K$1))-(R133*($M$2-$M$1))- (S133*($M$2-$I$2))+ (T133*($G$2))</f>
        <v>2458.4100000000003</v>
      </c>
      <c r="X133" s="185">
        <f>H133*$M$2</f>
        <v>2458.4100000000003</v>
      </c>
    </row>
    <row r="134" spans="1:26" ht="15" customHeight="1" x14ac:dyDescent="0.3">
      <c r="A134" s="262"/>
      <c r="B134" s="225">
        <v>57</v>
      </c>
      <c r="C134" s="225">
        <v>0</v>
      </c>
      <c r="D134" s="139">
        <f>'Data Ocupacion'!AL42</f>
        <v>57</v>
      </c>
      <c r="E134" s="139">
        <f>'Data Ocupacion'!AM42</f>
        <v>0</v>
      </c>
      <c r="F134" s="225" t="s">
        <v>52</v>
      </c>
      <c r="G134" s="225">
        <f t="shared" si="112"/>
        <v>57</v>
      </c>
      <c r="H134" s="225">
        <f t="shared" ref="H134:H138" si="116">B134+C134*2</f>
        <v>57</v>
      </c>
      <c r="I134" s="225">
        <f t="shared" si="113"/>
        <v>57</v>
      </c>
      <c r="J134" s="225">
        <f>G134*M$2</f>
        <v>2458.4100000000003</v>
      </c>
      <c r="K134" s="154">
        <f>I134*M$2</f>
        <v>2458.4100000000003</v>
      </c>
      <c r="L134" s="225">
        <f t="shared" si="114"/>
        <v>255674.64000000004</v>
      </c>
      <c r="M134" s="225">
        <f t="shared" si="115"/>
        <v>5928</v>
      </c>
      <c r="N134" s="19"/>
      <c r="O134" s="19"/>
      <c r="P134" s="147"/>
      <c r="Q134" s="190"/>
      <c r="R134" s="190"/>
      <c r="S134" s="223"/>
      <c r="T134" s="186"/>
      <c r="U134" s="223"/>
      <c r="V134" s="236"/>
      <c r="W134" s="188">
        <f>J134-(T134*($M$2-$K$1)+(U134*($M$2-$M$1)))</f>
        <v>2458.4100000000003</v>
      </c>
      <c r="X134" s="185">
        <f>H134*$M$2</f>
        <v>2458.4100000000003</v>
      </c>
    </row>
    <row r="135" spans="1:26" ht="15" customHeight="1" x14ac:dyDescent="0.3">
      <c r="A135" s="262"/>
      <c r="B135" s="225">
        <v>0</v>
      </c>
      <c r="C135" s="225">
        <v>0</v>
      </c>
      <c r="D135" s="139">
        <f>'Data Ocupacion'!AL43</f>
        <v>0</v>
      </c>
      <c r="E135" s="139">
        <f>'Data Ocupacion'!AM43</f>
        <v>0</v>
      </c>
      <c r="F135" s="225" t="s">
        <v>36</v>
      </c>
      <c r="G135" s="225">
        <f t="shared" si="112"/>
        <v>0</v>
      </c>
      <c r="H135" s="225">
        <f t="shared" si="116"/>
        <v>0</v>
      </c>
      <c r="I135" s="225">
        <f t="shared" si="113"/>
        <v>0</v>
      </c>
      <c r="J135" s="225">
        <f>G135*M$1</f>
        <v>0</v>
      </c>
      <c r="K135" s="154">
        <f>I135*M$1</f>
        <v>0</v>
      </c>
      <c r="L135" s="225">
        <f t="shared" si="114"/>
        <v>0</v>
      </c>
      <c r="M135" s="225">
        <f t="shared" si="115"/>
        <v>0</v>
      </c>
      <c r="N135" s="19"/>
      <c r="O135" s="19"/>
      <c r="P135" s="147"/>
      <c r="Q135" s="189"/>
      <c r="R135" s="191"/>
      <c r="S135" s="212"/>
      <c r="T135" s="192"/>
      <c r="U135" s="193"/>
      <c r="V135" s="193"/>
      <c r="W135" s="185">
        <f>J135-(Q135*($M$1-$K$1))</f>
        <v>0</v>
      </c>
      <c r="X135" s="185">
        <f>H135*$M$1</f>
        <v>0</v>
      </c>
    </row>
    <row r="136" spans="1:26" ht="15" customHeight="1" x14ac:dyDescent="0.3">
      <c r="A136" s="262"/>
      <c r="B136" s="225">
        <v>0</v>
      </c>
      <c r="C136" s="225">
        <v>0</v>
      </c>
      <c r="D136" s="139">
        <f>'Data Ocupacion'!AL44</f>
        <v>0</v>
      </c>
      <c r="E136" s="139">
        <f>'Data Ocupacion'!AM44</f>
        <v>0</v>
      </c>
      <c r="F136" s="225" t="s">
        <v>53</v>
      </c>
      <c r="G136" s="225">
        <f t="shared" si="112"/>
        <v>0</v>
      </c>
      <c r="H136" s="225">
        <f t="shared" si="116"/>
        <v>0</v>
      </c>
      <c r="I136" s="225">
        <f t="shared" si="113"/>
        <v>0</v>
      </c>
      <c r="J136" s="225">
        <f>G136*M$1</f>
        <v>0</v>
      </c>
      <c r="K136" s="154">
        <f>I136*M$1</f>
        <v>0</v>
      </c>
      <c r="L136" s="225">
        <f t="shared" si="114"/>
        <v>0</v>
      </c>
      <c r="M136" s="225">
        <f t="shared" si="115"/>
        <v>0</v>
      </c>
      <c r="N136" s="19"/>
      <c r="O136" s="19"/>
      <c r="P136" s="147"/>
      <c r="Q136" s="193"/>
      <c r="R136" s="193"/>
      <c r="S136" s="193"/>
      <c r="T136" s="193"/>
      <c r="U136" s="193"/>
      <c r="V136" s="193"/>
      <c r="W136" s="185">
        <f>J136</f>
        <v>0</v>
      </c>
      <c r="X136" s="185">
        <f>H136*$M$1</f>
        <v>0</v>
      </c>
    </row>
    <row r="137" spans="1:26" s="125" customFormat="1" ht="15" customHeight="1" x14ac:dyDescent="0.3">
      <c r="A137" s="262"/>
      <c r="B137" s="225">
        <v>0</v>
      </c>
      <c r="C137" s="225">
        <v>0</v>
      </c>
      <c r="D137" s="139">
        <f>'Data Ocupacion'!AL45</f>
        <v>0</v>
      </c>
      <c r="E137" s="139">
        <f>'Data Ocupacion'!AM45</f>
        <v>0</v>
      </c>
      <c r="F137" s="225" t="s">
        <v>122</v>
      </c>
      <c r="G137" s="225">
        <f t="shared" si="112"/>
        <v>0</v>
      </c>
      <c r="H137" s="225">
        <f t="shared" si="116"/>
        <v>0</v>
      </c>
      <c r="I137" s="225">
        <f t="shared" si="113"/>
        <v>0</v>
      </c>
      <c r="J137" s="225">
        <f>G137*K$1</f>
        <v>0</v>
      </c>
      <c r="K137" s="154">
        <f>I137*K$1</f>
        <v>0</v>
      </c>
      <c r="L137" s="225">
        <f t="shared" si="114"/>
        <v>0</v>
      </c>
      <c r="M137" s="225">
        <f t="shared" si="115"/>
        <v>0</v>
      </c>
      <c r="N137" s="19"/>
      <c r="O137" s="19"/>
      <c r="P137" s="147"/>
      <c r="Q137" s="193"/>
      <c r="R137" s="193"/>
      <c r="S137" s="193"/>
      <c r="T137" s="193"/>
      <c r="U137" s="193"/>
      <c r="V137" s="193"/>
      <c r="W137" s="185">
        <f>J137</f>
        <v>0</v>
      </c>
      <c r="X137" s="185">
        <f>H137*$K$1</f>
        <v>0</v>
      </c>
    </row>
    <row r="138" spans="1:26" s="125" customFormat="1" ht="15" customHeight="1" thickBot="1" x14ac:dyDescent="0.35">
      <c r="A138" s="262"/>
      <c r="B138" s="225">
        <v>0</v>
      </c>
      <c r="C138" s="225">
        <v>0</v>
      </c>
      <c r="D138" s="139">
        <f>'Data Ocupacion'!AL46</f>
        <v>0</v>
      </c>
      <c r="E138" s="139">
        <f>'Data Ocupacion'!AM46</f>
        <v>0</v>
      </c>
      <c r="F138" s="225" t="s">
        <v>35</v>
      </c>
      <c r="G138" s="225">
        <f t="shared" si="112"/>
        <v>0</v>
      </c>
      <c r="H138" s="225">
        <f t="shared" si="116"/>
        <v>0</v>
      </c>
      <c r="I138" s="225">
        <f t="shared" si="113"/>
        <v>0</v>
      </c>
      <c r="J138" s="225">
        <f>G138*K$1</f>
        <v>0</v>
      </c>
      <c r="K138" s="154">
        <f>I138*K$1</f>
        <v>0</v>
      </c>
      <c r="L138" s="225">
        <f t="shared" si="114"/>
        <v>0</v>
      </c>
      <c r="M138" s="225">
        <f t="shared" si="115"/>
        <v>0</v>
      </c>
      <c r="N138" s="19"/>
      <c r="O138" s="19"/>
      <c r="P138" s="147"/>
      <c r="Q138" s="193"/>
      <c r="R138" s="193"/>
      <c r="S138" s="193"/>
      <c r="T138" s="193"/>
      <c r="U138" s="193"/>
      <c r="V138" s="193"/>
      <c r="W138" s="185">
        <f>J138</f>
        <v>0</v>
      </c>
      <c r="X138" s="185">
        <f>H138*$K$1</f>
        <v>0</v>
      </c>
    </row>
    <row r="139" spans="1:26" s="125" customFormat="1" ht="15" customHeight="1" thickBot="1" x14ac:dyDescent="0.35">
      <c r="A139" s="20"/>
      <c r="B139" s="224">
        <f>SUM(B133:B138)</f>
        <v>108</v>
      </c>
      <c r="C139" s="224">
        <f>SUM(C133:C138)</f>
        <v>3</v>
      </c>
      <c r="D139" s="153">
        <f>SUM(D133:D138)</f>
        <v>108</v>
      </c>
      <c r="E139" s="153">
        <f>SUM(E133:E138)</f>
        <v>3</v>
      </c>
      <c r="F139" s="120"/>
      <c r="G139" s="120">
        <f t="shared" ref="G139:M139" si="117">SUM(G133:G138)</f>
        <v>114</v>
      </c>
      <c r="H139" s="120">
        <f t="shared" si="117"/>
        <v>114</v>
      </c>
      <c r="I139" s="120">
        <f t="shared" si="117"/>
        <v>111</v>
      </c>
      <c r="J139" s="121">
        <f t="shared" si="117"/>
        <v>4916.8200000000006</v>
      </c>
      <c r="K139" s="120">
        <f t="shared" si="117"/>
        <v>4787.43</v>
      </c>
      <c r="L139" s="119">
        <f t="shared" si="117"/>
        <v>511349.28000000009</v>
      </c>
      <c r="M139" s="152">
        <f t="shared" si="117"/>
        <v>11544</v>
      </c>
      <c r="N139" s="124">
        <f>'Odometro-Kilometraje'!S81</f>
        <v>5023</v>
      </c>
      <c r="O139" s="21">
        <f>(W139/N139)*100</f>
        <v>97.886123830380271</v>
      </c>
      <c r="P139" s="196"/>
      <c r="Q139" s="184"/>
      <c r="R139" s="184"/>
      <c r="S139" s="184"/>
      <c r="T139" s="184"/>
      <c r="U139" s="184"/>
      <c r="V139" s="184"/>
      <c r="W139" s="197">
        <f>SUM(W133:W138)</f>
        <v>4916.8200000000006</v>
      </c>
      <c r="X139" s="197">
        <f>SUM(X133:X138)</f>
        <v>4916.8200000000006</v>
      </c>
    </row>
    <row r="140" spans="1:26" ht="15" customHeight="1" x14ac:dyDescent="0.3">
      <c r="A140" s="61">
        <f>A133+1</f>
        <v>45796</v>
      </c>
      <c r="B140" s="126">
        <v>47</v>
      </c>
      <c r="C140" s="126">
        <v>32</v>
      </c>
      <c r="D140" s="139">
        <f>'Data Ocupacion'!AN41</f>
        <v>42</v>
      </c>
      <c r="E140" s="139">
        <f>'Data Ocupacion'!AO41</f>
        <v>37</v>
      </c>
      <c r="F140" s="126" t="s">
        <v>38</v>
      </c>
      <c r="G140" s="126">
        <f t="shared" ref="G140:G145" si="118">D140+E140*2</f>
        <v>116</v>
      </c>
      <c r="H140" s="126">
        <f>B140+C140*2</f>
        <v>111</v>
      </c>
      <c r="I140" s="126">
        <f t="shared" ref="I140:I145" si="119">D140+E140</f>
        <v>79</v>
      </c>
      <c r="J140" s="126">
        <f>G140*M$2</f>
        <v>5003.08</v>
      </c>
      <c r="K140" s="154">
        <f>I140*M$2</f>
        <v>3407.27</v>
      </c>
      <c r="L140" s="126">
        <f t="shared" ref="L140:L145" si="120">J140*104</f>
        <v>520320.32</v>
      </c>
      <c r="M140" s="126">
        <f t="shared" ref="M140:M145" si="121">I140*104</f>
        <v>8216</v>
      </c>
      <c r="N140" s="19"/>
      <c r="O140" s="19"/>
      <c r="P140" s="147"/>
      <c r="Q140" s="186">
        <v>4</v>
      </c>
      <c r="R140" s="186"/>
      <c r="S140" s="211"/>
      <c r="T140" s="303">
        <v>5</v>
      </c>
      <c r="U140" s="195"/>
      <c r="V140" s="235"/>
      <c r="W140" s="185">
        <f>J140-(Q140*($M$2-$K$1))-(R140*($M$2-$M$1))- (S140*($M$2-$I$2))+ (T140*($G$2))</f>
        <v>5020.8099999999995</v>
      </c>
      <c r="X140" s="185">
        <f>H140*$M$2</f>
        <v>4787.43</v>
      </c>
    </row>
    <row r="141" spans="1:26" ht="15" customHeight="1" x14ac:dyDescent="0.3">
      <c r="A141" s="262"/>
      <c r="B141" s="126">
        <v>45</v>
      </c>
      <c r="C141" s="126">
        <v>33</v>
      </c>
      <c r="D141" s="127">
        <f>'Data Ocupacion'!AN42</f>
        <v>45</v>
      </c>
      <c r="E141" s="127">
        <f>'Data Ocupacion'!AO42</f>
        <v>33</v>
      </c>
      <c r="F141" s="126" t="s">
        <v>52</v>
      </c>
      <c r="G141" s="126">
        <f t="shared" si="118"/>
        <v>111</v>
      </c>
      <c r="H141" s="126">
        <f t="shared" ref="H141:H145" si="122">B141+C141*2</f>
        <v>111</v>
      </c>
      <c r="I141" s="126">
        <f t="shared" si="119"/>
        <v>78</v>
      </c>
      <c r="J141" s="126">
        <f>G141*M$2</f>
        <v>4787.43</v>
      </c>
      <c r="K141" s="154">
        <f>I141*M$2</f>
        <v>3364.1400000000003</v>
      </c>
      <c r="L141" s="126">
        <f t="shared" si="120"/>
        <v>497892.72000000003</v>
      </c>
      <c r="M141" s="126">
        <f t="shared" si="121"/>
        <v>8112</v>
      </c>
      <c r="N141" s="19"/>
      <c r="O141" s="19"/>
      <c r="P141" s="147"/>
      <c r="Q141" s="190"/>
      <c r="R141" s="190"/>
      <c r="S141" s="223"/>
      <c r="T141" s="186"/>
      <c r="U141" s="223"/>
      <c r="V141" s="236"/>
      <c r="W141" s="188">
        <f>J141-(T141*($M$2-$K$1)+(U141*($M$2-$M$1)))</f>
        <v>4787.43</v>
      </c>
      <c r="X141" s="185">
        <f>H141*$M$2</f>
        <v>4787.43</v>
      </c>
    </row>
    <row r="142" spans="1:26" ht="15" customHeight="1" x14ac:dyDescent="0.3">
      <c r="A142" s="262"/>
      <c r="B142" s="126">
        <v>29</v>
      </c>
      <c r="C142" s="126">
        <v>4</v>
      </c>
      <c r="D142" s="127">
        <f>'Data Ocupacion'!AN43</f>
        <v>29</v>
      </c>
      <c r="E142" s="127">
        <f>'Data Ocupacion'!AO43</f>
        <v>4</v>
      </c>
      <c r="F142" s="126" t="s">
        <v>36</v>
      </c>
      <c r="G142" s="126">
        <f t="shared" si="118"/>
        <v>37</v>
      </c>
      <c r="H142" s="126">
        <f t="shared" si="122"/>
        <v>37</v>
      </c>
      <c r="I142" s="126">
        <f t="shared" si="119"/>
        <v>33</v>
      </c>
      <c r="J142" s="126">
        <f>G142*M$1</f>
        <v>1077.07</v>
      </c>
      <c r="K142" s="154">
        <f>I142*M$1</f>
        <v>960.63</v>
      </c>
      <c r="L142" s="126">
        <f t="shared" si="120"/>
        <v>112015.28</v>
      </c>
      <c r="M142" s="126">
        <f t="shared" si="121"/>
        <v>3432</v>
      </c>
      <c r="N142" s="19"/>
      <c r="O142" s="19"/>
      <c r="P142" s="147"/>
      <c r="Q142" s="189"/>
      <c r="R142" s="191"/>
      <c r="S142" s="212"/>
      <c r="T142" s="192"/>
      <c r="U142" s="193"/>
      <c r="V142" s="193"/>
      <c r="W142" s="185">
        <f>J142-(Q142*($M$1-$K$1))</f>
        <v>1077.07</v>
      </c>
      <c r="X142" s="185">
        <f>H142*$M$1</f>
        <v>1077.07</v>
      </c>
    </row>
    <row r="143" spans="1:26" ht="15" customHeight="1" x14ac:dyDescent="0.3">
      <c r="A143" s="262"/>
      <c r="B143" s="126">
        <v>28</v>
      </c>
      <c r="C143" s="126">
        <v>4</v>
      </c>
      <c r="D143" s="127">
        <f>'Data Ocupacion'!AN44</f>
        <v>28</v>
      </c>
      <c r="E143" s="127">
        <f>'Data Ocupacion'!AO44</f>
        <v>4</v>
      </c>
      <c r="F143" s="126" t="s">
        <v>53</v>
      </c>
      <c r="G143" s="126">
        <f t="shared" si="118"/>
        <v>36</v>
      </c>
      <c r="H143" s="126">
        <f t="shared" si="122"/>
        <v>36</v>
      </c>
      <c r="I143" s="126">
        <f t="shared" si="119"/>
        <v>32</v>
      </c>
      <c r="J143" s="126">
        <f>G143*M$1</f>
        <v>1047.96</v>
      </c>
      <c r="K143" s="154">
        <f>I143*M$1</f>
        <v>931.52</v>
      </c>
      <c r="L143" s="126">
        <f t="shared" si="120"/>
        <v>108987.84</v>
      </c>
      <c r="M143" s="126">
        <f t="shared" si="121"/>
        <v>3328</v>
      </c>
      <c r="N143" s="19"/>
      <c r="O143" s="19"/>
      <c r="P143" s="147"/>
      <c r="Q143" s="193"/>
      <c r="R143" s="193"/>
      <c r="S143" s="193"/>
      <c r="T143" s="193"/>
      <c r="U143" s="193"/>
      <c r="V143" s="193"/>
      <c r="W143" s="185">
        <f>J143</f>
        <v>1047.96</v>
      </c>
      <c r="X143" s="185">
        <f>H143*$M$1</f>
        <v>1047.96</v>
      </c>
    </row>
    <row r="144" spans="1:26" ht="15" customHeight="1" x14ac:dyDescent="0.3">
      <c r="A144" s="262"/>
      <c r="B144" s="126">
        <v>0</v>
      </c>
      <c r="C144" s="126">
        <v>0</v>
      </c>
      <c r="D144" s="127">
        <f>'Data Ocupacion'!AN45</f>
        <v>0</v>
      </c>
      <c r="E144" s="127">
        <f>'Data Ocupacion'!AO45</f>
        <v>0</v>
      </c>
      <c r="F144" s="126" t="s">
        <v>122</v>
      </c>
      <c r="G144" s="126">
        <f t="shared" si="118"/>
        <v>0</v>
      </c>
      <c r="H144" s="126">
        <f t="shared" si="122"/>
        <v>0</v>
      </c>
      <c r="I144" s="126">
        <f t="shared" si="119"/>
        <v>0</v>
      </c>
      <c r="J144" s="126">
        <f>G144*K$1</f>
        <v>0</v>
      </c>
      <c r="K144" s="154">
        <f>I144*K$1</f>
        <v>0</v>
      </c>
      <c r="L144" s="126">
        <f t="shared" si="120"/>
        <v>0</v>
      </c>
      <c r="M144" s="126">
        <f t="shared" si="121"/>
        <v>0</v>
      </c>
      <c r="N144" s="19"/>
      <c r="O144" s="19"/>
      <c r="P144" s="147"/>
      <c r="Q144" s="193"/>
      <c r="R144" s="193"/>
      <c r="S144" s="193"/>
      <c r="T144" s="193"/>
      <c r="U144" s="193"/>
      <c r="V144" s="193"/>
      <c r="W144" s="185">
        <f>J144</f>
        <v>0</v>
      </c>
      <c r="X144" s="185">
        <f>H144*$K$1</f>
        <v>0</v>
      </c>
    </row>
    <row r="145" spans="1:24" ht="15" customHeight="1" thickBot="1" x14ac:dyDescent="0.35">
      <c r="A145" s="262"/>
      <c r="B145" s="126">
        <v>1</v>
      </c>
      <c r="C145" s="126">
        <v>0</v>
      </c>
      <c r="D145" s="127">
        <f>'Data Ocupacion'!AN46</f>
        <v>1</v>
      </c>
      <c r="E145" s="127">
        <f>'Data Ocupacion'!AO46</f>
        <v>0</v>
      </c>
      <c r="F145" s="126" t="s">
        <v>35</v>
      </c>
      <c r="G145" s="126">
        <f t="shared" si="118"/>
        <v>1</v>
      </c>
      <c r="H145" s="126">
        <f t="shared" si="122"/>
        <v>1</v>
      </c>
      <c r="I145" s="126">
        <f t="shared" si="119"/>
        <v>1</v>
      </c>
      <c r="J145" s="126">
        <f>G145*K$1</f>
        <v>25.4</v>
      </c>
      <c r="K145" s="154">
        <f>I145*K$1</f>
        <v>25.4</v>
      </c>
      <c r="L145" s="126">
        <f t="shared" si="120"/>
        <v>2641.6</v>
      </c>
      <c r="M145" s="126">
        <f t="shared" si="121"/>
        <v>104</v>
      </c>
      <c r="N145" s="19"/>
      <c r="O145" s="19"/>
      <c r="P145" s="147"/>
      <c r="Q145" s="193"/>
      <c r="R145" s="193"/>
      <c r="S145" s="193"/>
      <c r="T145" s="193"/>
      <c r="U145" s="193"/>
      <c r="V145" s="193"/>
      <c r="W145" s="185">
        <f>J145</f>
        <v>25.4</v>
      </c>
      <c r="X145" s="185">
        <f>H145*$K$1</f>
        <v>25.4</v>
      </c>
    </row>
    <row r="146" spans="1:24" s="125" customFormat="1" ht="15" customHeight="1" thickBot="1" x14ac:dyDescent="0.35">
      <c r="A146" s="20"/>
      <c r="B146" s="224">
        <f>SUM(B140:B145)</f>
        <v>150</v>
      </c>
      <c r="C146" s="224">
        <f>SUM(C140:C145)</f>
        <v>73</v>
      </c>
      <c r="D146" s="153">
        <f>SUM(D140:D145)</f>
        <v>145</v>
      </c>
      <c r="E146" s="153">
        <f>SUM(E140:E145)</f>
        <v>78</v>
      </c>
      <c r="F146" s="120"/>
      <c r="G146" s="120">
        <f t="shared" ref="G146:M146" si="123">SUM(G140:G145)</f>
        <v>301</v>
      </c>
      <c r="H146" s="120">
        <f t="shared" si="123"/>
        <v>296</v>
      </c>
      <c r="I146" s="120">
        <f t="shared" si="123"/>
        <v>223</v>
      </c>
      <c r="J146" s="121">
        <f t="shared" si="123"/>
        <v>11940.94</v>
      </c>
      <c r="K146" s="120">
        <f t="shared" si="123"/>
        <v>8688.9599999999991</v>
      </c>
      <c r="L146" s="119">
        <f t="shared" si="123"/>
        <v>1241857.7600000002</v>
      </c>
      <c r="M146" s="152">
        <f t="shared" si="123"/>
        <v>23192</v>
      </c>
      <c r="N146" s="124">
        <f>'Odometro-Kilometraje'!T81</f>
        <v>12118</v>
      </c>
      <c r="O146" s="21">
        <f>(W146/N146)*100</f>
        <v>98.685179072454204</v>
      </c>
      <c r="P146" s="196"/>
      <c r="Q146" s="184"/>
      <c r="R146" s="184"/>
      <c r="S146" s="184"/>
      <c r="T146" s="184"/>
      <c r="U146" s="184"/>
      <c r="V146" s="184"/>
      <c r="W146" s="197">
        <f>SUM(W140:W145)</f>
        <v>11958.67</v>
      </c>
      <c r="X146" s="197">
        <f>SUM(X140:X145)</f>
        <v>11725.289999999999</v>
      </c>
    </row>
    <row r="147" spans="1:24" ht="15.9" customHeight="1" x14ac:dyDescent="0.3">
      <c r="A147" s="61">
        <f>A140+1</f>
        <v>45797</v>
      </c>
      <c r="B147" s="126">
        <v>47</v>
      </c>
      <c r="C147" s="126">
        <v>32</v>
      </c>
      <c r="D147" s="127">
        <f>'Data Ocupacion'!AP41</f>
        <v>47</v>
      </c>
      <c r="E147" s="127">
        <f>'Data Ocupacion'!AQ41</f>
        <v>32</v>
      </c>
      <c r="F147" s="126" t="s">
        <v>38</v>
      </c>
      <c r="G147" s="126">
        <f t="shared" ref="G147:G152" si="124">D147+E147*2</f>
        <v>111</v>
      </c>
      <c r="H147" s="126">
        <f>B147+C147*2</f>
        <v>111</v>
      </c>
      <c r="I147" s="126">
        <f t="shared" ref="I147:I152" si="125">D147+E147</f>
        <v>79</v>
      </c>
      <c r="J147" s="126">
        <f>G147*M$2</f>
        <v>4787.43</v>
      </c>
      <c r="K147" s="154">
        <f>I147*M$2</f>
        <v>3407.27</v>
      </c>
      <c r="L147" s="126">
        <f t="shared" ref="L147:L152" si="126">J147*104</f>
        <v>497892.72000000003</v>
      </c>
      <c r="M147" s="126">
        <f t="shared" ref="M147:M152" si="127">I147*104</f>
        <v>8216</v>
      </c>
      <c r="N147" s="19"/>
      <c r="O147" s="19"/>
      <c r="P147" s="147"/>
      <c r="Q147" s="186"/>
      <c r="R147" s="186"/>
      <c r="S147" s="211"/>
      <c r="T147" s="303">
        <v>2</v>
      </c>
      <c r="U147" s="195"/>
      <c r="V147" s="235"/>
      <c r="W147" s="185">
        <f>J147-(Q147*($M$2-$K$1))-(R147*($M$2-$M$1))- (S147*($M$2-$I$2))+ (T147*($G$2))</f>
        <v>4822.8900000000003</v>
      </c>
      <c r="X147" s="185">
        <f>H147*$M$2</f>
        <v>4787.43</v>
      </c>
    </row>
    <row r="148" spans="1:24" ht="15" customHeight="1" x14ac:dyDescent="0.3">
      <c r="A148" s="266"/>
      <c r="B148" s="126">
        <v>45</v>
      </c>
      <c r="C148" s="126">
        <v>33</v>
      </c>
      <c r="D148" s="139">
        <f>'Data Ocupacion'!AP42</f>
        <v>47</v>
      </c>
      <c r="E148" s="139">
        <f>'Data Ocupacion'!AQ42</f>
        <v>31</v>
      </c>
      <c r="F148" s="126" t="s">
        <v>52</v>
      </c>
      <c r="G148" s="126">
        <f t="shared" si="124"/>
        <v>109</v>
      </c>
      <c r="H148" s="126">
        <f t="shared" ref="H148:H152" si="128">B148+C148*2</f>
        <v>111</v>
      </c>
      <c r="I148" s="126">
        <f t="shared" si="125"/>
        <v>78</v>
      </c>
      <c r="J148" s="126">
        <f>G148*M$2</f>
        <v>4701.17</v>
      </c>
      <c r="K148" s="154">
        <f>I148*M$2</f>
        <v>3364.1400000000003</v>
      </c>
      <c r="L148" s="126">
        <f t="shared" si="126"/>
        <v>488921.68</v>
      </c>
      <c r="M148" s="126">
        <f t="shared" si="127"/>
        <v>8112</v>
      </c>
      <c r="N148" s="19"/>
      <c r="O148" s="19"/>
      <c r="P148" s="147"/>
      <c r="Q148" s="190"/>
      <c r="R148" s="190"/>
      <c r="S148" s="223"/>
      <c r="T148" s="186"/>
      <c r="U148" s="223"/>
      <c r="V148" s="236"/>
      <c r="W148" s="188">
        <f>J148-(T148*($M$2-$K$1)+(U148*($M$2-$M$1)))</f>
        <v>4701.17</v>
      </c>
      <c r="X148" s="185">
        <f>H148*$M$2</f>
        <v>4787.43</v>
      </c>
    </row>
    <row r="149" spans="1:24" ht="15" customHeight="1" x14ac:dyDescent="0.3">
      <c r="A149" s="266"/>
      <c r="B149" s="126">
        <v>29</v>
      </c>
      <c r="C149" s="126">
        <v>4</v>
      </c>
      <c r="D149" s="127">
        <f>'Data Ocupacion'!AP43</f>
        <v>29</v>
      </c>
      <c r="E149" s="127">
        <f>'Data Ocupacion'!AQ43</f>
        <v>4</v>
      </c>
      <c r="F149" s="126" t="s">
        <v>36</v>
      </c>
      <c r="G149" s="126">
        <f t="shared" si="124"/>
        <v>37</v>
      </c>
      <c r="H149" s="126">
        <f t="shared" si="128"/>
        <v>37</v>
      </c>
      <c r="I149" s="126">
        <f t="shared" si="125"/>
        <v>33</v>
      </c>
      <c r="J149" s="126">
        <f>G149*M$1</f>
        <v>1077.07</v>
      </c>
      <c r="K149" s="154">
        <f>I149*M$1</f>
        <v>960.63</v>
      </c>
      <c r="L149" s="126">
        <f t="shared" si="126"/>
        <v>112015.28</v>
      </c>
      <c r="M149" s="126">
        <f t="shared" si="127"/>
        <v>3432</v>
      </c>
      <c r="N149" s="19"/>
      <c r="O149" s="19"/>
      <c r="P149" s="147"/>
      <c r="Q149" s="189"/>
      <c r="R149" s="191"/>
      <c r="S149" s="212"/>
      <c r="T149" s="192"/>
      <c r="U149" s="193"/>
      <c r="V149" s="193"/>
      <c r="W149" s="185">
        <f>J149-(Q149*($M$1-$K$1))</f>
        <v>1077.07</v>
      </c>
      <c r="X149" s="185">
        <f>H149*$M$1</f>
        <v>1077.07</v>
      </c>
    </row>
    <row r="150" spans="1:24" ht="15" customHeight="1" x14ac:dyDescent="0.3">
      <c r="A150" s="266"/>
      <c r="B150" s="126">
        <v>28</v>
      </c>
      <c r="C150" s="126">
        <v>4</v>
      </c>
      <c r="D150" s="127">
        <f>'Data Ocupacion'!AP44</f>
        <v>28</v>
      </c>
      <c r="E150" s="127">
        <f>'Data Ocupacion'!AQ44</f>
        <v>4</v>
      </c>
      <c r="F150" s="126" t="s">
        <v>53</v>
      </c>
      <c r="G150" s="126">
        <f t="shared" si="124"/>
        <v>36</v>
      </c>
      <c r="H150" s="126">
        <f t="shared" si="128"/>
        <v>36</v>
      </c>
      <c r="I150" s="126">
        <f t="shared" si="125"/>
        <v>32</v>
      </c>
      <c r="J150" s="126">
        <f>G150*M$1</f>
        <v>1047.96</v>
      </c>
      <c r="K150" s="154">
        <f>I150*M$1</f>
        <v>931.52</v>
      </c>
      <c r="L150" s="126">
        <f t="shared" si="126"/>
        <v>108987.84</v>
      </c>
      <c r="M150" s="126">
        <f t="shared" si="127"/>
        <v>3328</v>
      </c>
      <c r="N150" s="19"/>
      <c r="O150" s="19"/>
      <c r="P150" s="147"/>
      <c r="Q150" s="193"/>
      <c r="R150" s="193"/>
      <c r="S150" s="193"/>
      <c r="T150" s="193"/>
      <c r="U150" s="193"/>
      <c r="V150" s="193"/>
      <c r="W150" s="185">
        <f>J150</f>
        <v>1047.96</v>
      </c>
      <c r="X150" s="185">
        <f>H150*$M$1</f>
        <v>1047.96</v>
      </c>
    </row>
    <row r="151" spans="1:24" ht="15" customHeight="1" x14ac:dyDescent="0.3">
      <c r="A151" s="266"/>
      <c r="B151" s="126">
        <v>0</v>
      </c>
      <c r="C151" s="126">
        <v>0</v>
      </c>
      <c r="D151" s="127">
        <f>'Data Ocupacion'!AP45</f>
        <v>0</v>
      </c>
      <c r="E151" s="127">
        <f>'Data Ocupacion'!AQ45</f>
        <v>0</v>
      </c>
      <c r="F151" s="126" t="s">
        <v>122</v>
      </c>
      <c r="G151" s="126">
        <f t="shared" si="124"/>
        <v>0</v>
      </c>
      <c r="H151" s="126">
        <f t="shared" si="128"/>
        <v>0</v>
      </c>
      <c r="I151" s="126">
        <f t="shared" si="125"/>
        <v>0</v>
      </c>
      <c r="J151" s="126">
        <f>G151*K$1</f>
        <v>0</v>
      </c>
      <c r="K151" s="154">
        <f>I151*K$1</f>
        <v>0</v>
      </c>
      <c r="L151" s="126">
        <f t="shared" si="126"/>
        <v>0</v>
      </c>
      <c r="M151" s="126">
        <f t="shared" si="127"/>
        <v>0</v>
      </c>
      <c r="N151" s="19"/>
      <c r="O151" s="19"/>
      <c r="P151" s="147"/>
      <c r="Q151" s="193"/>
      <c r="R151" s="193"/>
      <c r="S151" s="193"/>
      <c r="T151" s="193"/>
      <c r="U151" s="193"/>
      <c r="V151" s="193"/>
      <c r="W151" s="185">
        <f>J151</f>
        <v>0</v>
      </c>
      <c r="X151" s="185">
        <f>H151*$K$1</f>
        <v>0</v>
      </c>
    </row>
    <row r="152" spans="1:24" ht="15" customHeight="1" thickBot="1" x14ac:dyDescent="0.35">
      <c r="A152" s="266"/>
      <c r="B152" s="126">
        <v>1</v>
      </c>
      <c r="C152" s="126">
        <v>0</v>
      </c>
      <c r="D152" s="127">
        <f>'Data Ocupacion'!AP46</f>
        <v>1</v>
      </c>
      <c r="E152" s="127">
        <f>'Data Ocupacion'!AQ46</f>
        <v>0</v>
      </c>
      <c r="F152" s="126" t="s">
        <v>35</v>
      </c>
      <c r="G152" s="126">
        <f t="shared" si="124"/>
        <v>1</v>
      </c>
      <c r="H152" s="126">
        <f t="shared" si="128"/>
        <v>1</v>
      </c>
      <c r="I152" s="126">
        <f t="shared" si="125"/>
        <v>1</v>
      </c>
      <c r="J152" s="126">
        <f>G152*K$1</f>
        <v>25.4</v>
      </c>
      <c r="K152" s="154">
        <f>I152*K$1</f>
        <v>25.4</v>
      </c>
      <c r="L152" s="126">
        <f t="shared" si="126"/>
        <v>2641.6</v>
      </c>
      <c r="M152" s="126">
        <f t="shared" si="127"/>
        <v>104</v>
      </c>
      <c r="N152" s="19"/>
      <c r="O152" s="19"/>
      <c r="P152" s="147"/>
      <c r="Q152" s="193"/>
      <c r="R152" s="193"/>
      <c r="S152" s="193"/>
      <c r="T152" s="193"/>
      <c r="U152" s="193"/>
      <c r="V152" s="193"/>
      <c r="W152" s="185">
        <f>J152</f>
        <v>25.4</v>
      </c>
      <c r="X152" s="185">
        <f>H152*$K$1</f>
        <v>25.4</v>
      </c>
    </row>
    <row r="153" spans="1:24" s="125" customFormat="1" ht="15" customHeight="1" thickBot="1" x14ac:dyDescent="0.35">
      <c r="A153" s="20"/>
      <c r="B153" s="224">
        <f>SUM(B147:B152)</f>
        <v>150</v>
      </c>
      <c r="C153" s="224">
        <f>SUM(C147:C152)</f>
        <v>73</v>
      </c>
      <c r="D153" s="153">
        <f>SUM(D147:D152)</f>
        <v>152</v>
      </c>
      <c r="E153" s="153">
        <f>SUM(E147:E152)</f>
        <v>71</v>
      </c>
      <c r="F153" s="120"/>
      <c r="G153" s="120">
        <f t="shared" ref="G153:M153" si="129">SUM(G147:G152)</f>
        <v>294</v>
      </c>
      <c r="H153" s="120">
        <f t="shared" si="129"/>
        <v>296</v>
      </c>
      <c r="I153" s="120">
        <f t="shared" si="129"/>
        <v>223</v>
      </c>
      <c r="J153" s="121">
        <f t="shared" si="129"/>
        <v>11639.03</v>
      </c>
      <c r="K153" s="120">
        <f t="shared" si="129"/>
        <v>8688.9599999999991</v>
      </c>
      <c r="L153" s="119">
        <f t="shared" si="129"/>
        <v>1210459.1200000001</v>
      </c>
      <c r="M153" s="152">
        <f t="shared" si="129"/>
        <v>23192</v>
      </c>
      <c r="N153" s="124">
        <f>'Odometro-Kilometraje'!U81</f>
        <v>11904</v>
      </c>
      <c r="O153" s="21">
        <f>(W153/N153)*100</f>
        <v>98.07199260752688</v>
      </c>
      <c r="P153" s="196"/>
      <c r="Q153" s="184"/>
      <c r="R153" s="184"/>
      <c r="S153" s="184"/>
      <c r="T153" s="184"/>
      <c r="U153" s="184"/>
      <c r="V153" s="184"/>
      <c r="W153" s="197">
        <f>SUM(W147:W152)</f>
        <v>11674.49</v>
      </c>
      <c r="X153" s="197">
        <f>SUM(X147:X152)</f>
        <v>11725.289999999999</v>
      </c>
    </row>
    <row r="154" spans="1:24" x14ac:dyDescent="0.3">
      <c r="A154" s="61">
        <f>A147+1</f>
        <v>45798</v>
      </c>
      <c r="B154" s="225">
        <v>49</v>
      </c>
      <c r="C154" s="225">
        <v>5</v>
      </c>
      <c r="D154" s="139">
        <f>'Data Ocupacion'!AR41</f>
        <v>49</v>
      </c>
      <c r="E154" s="139">
        <f>'Data Ocupacion'!AS41</f>
        <v>5</v>
      </c>
      <c r="F154" s="315" t="s">
        <v>38</v>
      </c>
      <c r="G154" s="316">
        <f t="shared" ref="G154:G159" si="130">D154+E154*2</f>
        <v>59</v>
      </c>
      <c r="H154" s="225">
        <f>B154+C154*2</f>
        <v>59</v>
      </c>
      <c r="I154" s="317">
        <f t="shared" ref="I154:I159" si="131">D154+E154</f>
        <v>54</v>
      </c>
      <c r="J154" s="317">
        <f>G154*M$2</f>
        <v>2544.67</v>
      </c>
      <c r="K154" s="154">
        <f>I154*M$2</f>
        <v>2329.02</v>
      </c>
      <c r="L154" s="225">
        <f t="shared" ref="L154:L159" si="132">J154*104</f>
        <v>264645.68</v>
      </c>
      <c r="M154" s="225">
        <f t="shared" ref="M154:M159" si="133">I154*104</f>
        <v>5616</v>
      </c>
      <c r="N154" s="19"/>
      <c r="O154" s="19"/>
      <c r="P154" s="147"/>
      <c r="Q154" s="186"/>
      <c r="R154" s="186"/>
      <c r="S154" s="211"/>
      <c r="T154" s="211">
        <v>2</v>
      </c>
      <c r="U154" s="195"/>
      <c r="V154" s="235"/>
      <c r="W154" s="185">
        <f>J154-(Q154*($M$2-$K$1))-(R154*($M$2-$M$1))- (S154*($M$2-$I$2))+ (T154*($G$2))</f>
        <v>2580.13</v>
      </c>
      <c r="X154" s="185">
        <f>H154*$M$2</f>
        <v>2544.67</v>
      </c>
    </row>
    <row r="155" spans="1:24" ht="15" customHeight="1" x14ac:dyDescent="0.3">
      <c r="A155" s="262"/>
      <c r="B155" s="225">
        <v>55</v>
      </c>
      <c r="C155" s="225">
        <v>2</v>
      </c>
      <c r="D155" s="139">
        <f>'Data Ocupacion'!AR42</f>
        <v>55</v>
      </c>
      <c r="E155" s="139">
        <f>'Data Ocupacion'!AS42</f>
        <v>2</v>
      </c>
      <c r="F155" s="315" t="s">
        <v>52</v>
      </c>
      <c r="G155" s="316">
        <f t="shared" si="130"/>
        <v>59</v>
      </c>
      <c r="H155" s="225">
        <f t="shared" ref="H155:H159" si="134">B155+C155*2</f>
        <v>59</v>
      </c>
      <c r="I155" s="225">
        <f t="shared" si="131"/>
        <v>57</v>
      </c>
      <c r="J155" s="225">
        <f>G155*M$2</f>
        <v>2544.67</v>
      </c>
      <c r="K155" s="154">
        <f>I155*M$2</f>
        <v>2458.4100000000003</v>
      </c>
      <c r="L155" s="225">
        <f t="shared" si="132"/>
        <v>264645.68</v>
      </c>
      <c r="M155" s="225">
        <f t="shared" si="133"/>
        <v>5928</v>
      </c>
      <c r="N155" s="19"/>
      <c r="O155" s="19"/>
      <c r="P155" s="147"/>
      <c r="Q155" s="190"/>
      <c r="R155" s="190"/>
      <c r="S155" s="223"/>
      <c r="T155" s="186"/>
      <c r="U155" s="223"/>
      <c r="V155" s="236"/>
      <c r="W155" s="188">
        <f>J155-(T155*($M$2-$K$1)+(U155*($M$2-$M$1)))</f>
        <v>2544.67</v>
      </c>
      <c r="X155" s="185">
        <f>H155*$M$2</f>
        <v>2544.67</v>
      </c>
    </row>
    <row r="156" spans="1:24" x14ac:dyDescent="0.3">
      <c r="A156" s="262"/>
      <c r="B156" s="225">
        <v>0</v>
      </c>
      <c r="C156" s="225">
        <v>0</v>
      </c>
      <c r="D156" s="139">
        <f>'Data Ocupacion'!AR43</f>
        <v>0</v>
      </c>
      <c r="E156" s="139">
        <f>'Data Ocupacion'!AS43</f>
        <v>0</v>
      </c>
      <c r="F156" s="315" t="s">
        <v>36</v>
      </c>
      <c r="G156" s="316">
        <f t="shared" si="130"/>
        <v>0</v>
      </c>
      <c r="H156" s="225">
        <f t="shared" si="134"/>
        <v>0</v>
      </c>
      <c r="I156" s="225">
        <f t="shared" si="131"/>
        <v>0</v>
      </c>
      <c r="J156" s="225">
        <f>G156*M$1</f>
        <v>0</v>
      </c>
      <c r="K156" s="154">
        <f>I156*M$1</f>
        <v>0</v>
      </c>
      <c r="L156" s="225">
        <f t="shared" si="132"/>
        <v>0</v>
      </c>
      <c r="M156" s="225">
        <f t="shared" si="133"/>
        <v>0</v>
      </c>
      <c r="N156" s="19"/>
      <c r="O156" s="19"/>
      <c r="P156" s="147"/>
      <c r="Q156" s="189"/>
      <c r="R156" s="191"/>
      <c r="S156" s="212"/>
      <c r="T156" s="192"/>
      <c r="U156" s="193"/>
      <c r="V156" s="193"/>
      <c r="W156" s="185">
        <f>J156-(Q156*($M$1-$K$1))</f>
        <v>0</v>
      </c>
      <c r="X156" s="185">
        <f>H156*$M$1</f>
        <v>0</v>
      </c>
    </row>
    <row r="157" spans="1:24" x14ac:dyDescent="0.3">
      <c r="A157" s="262"/>
      <c r="B157" s="225">
        <v>0</v>
      </c>
      <c r="C157" s="225">
        <v>0</v>
      </c>
      <c r="D157" s="139">
        <f>'Data Ocupacion'!AR44</f>
        <v>0</v>
      </c>
      <c r="E157" s="139">
        <f>'Data Ocupacion'!AS44</f>
        <v>0</v>
      </c>
      <c r="F157" s="315" t="s">
        <v>53</v>
      </c>
      <c r="G157" s="316">
        <f t="shared" si="130"/>
        <v>0</v>
      </c>
      <c r="H157" s="225">
        <f t="shared" si="134"/>
        <v>0</v>
      </c>
      <c r="I157" s="225">
        <f t="shared" si="131"/>
        <v>0</v>
      </c>
      <c r="J157" s="225">
        <f>G157*M$1</f>
        <v>0</v>
      </c>
      <c r="K157" s="154">
        <f>I157*M$1</f>
        <v>0</v>
      </c>
      <c r="L157" s="225">
        <f t="shared" si="132"/>
        <v>0</v>
      </c>
      <c r="M157" s="225">
        <f t="shared" si="133"/>
        <v>0</v>
      </c>
      <c r="N157" s="19"/>
      <c r="O157" s="19"/>
      <c r="P157" s="249"/>
      <c r="Q157" s="193"/>
      <c r="R157" s="193"/>
      <c r="S157" s="193"/>
      <c r="T157" s="193"/>
      <c r="U157" s="193"/>
      <c r="V157" s="193"/>
      <c r="W157" s="185">
        <f>J157</f>
        <v>0</v>
      </c>
      <c r="X157" s="185">
        <f>H157*$M$1</f>
        <v>0</v>
      </c>
    </row>
    <row r="158" spans="1:24" ht="15" customHeight="1" x14ac:dyDescent="0.3">
      <c r="A158" s="262"/>
      <c r="B158" s="225">
        <v>0</v>
      </c>
      <c r="C158" s="225">
        <v>0</v>
      </c>
      <c r="D158" s="139">
        <f>'Data Ocupacion'!AR45</f>
        <v>0</v>
      </c>
      <c r="E158" s="139">
        <f>'Data Ocupacion'!AS45</f>
        <v>0</v>
      </c>
      <c r="F158" s="315" t="s">
        <v>122</v>
      </c>
      <c r="G158" s="316">
        <f t="shared" si="130"/>
        <v>0</v>
      </c>
      <c r="H158" s="225">
        <f t="shared" si="134"/>
        <v>0</v>
      </c>
      <c r="I158" s="225">
        <f t="shared" si="131"/>
        <v>0</v>
      </c>
      <c r="J158" s="318">
        <f>G158*K$1</f>
        <v>0</v>
      </c>
      <c r="K158" s="154">
        <f>I158*K$1</f>
        <v>0</v>
      </c>
      <c r="L158" s="225">
        <f t="shared" si="132"/>
        <v>0</v>
      </c>
      <c r="M158" s="225">
        <f t="shared" si="133"/>
        <v>0</v>
      </c>
      <c r="N158" s="19"/>
      <c r="O158" s="19"/>
      <c r="P158" s="147"/>
      <c r="Q158" s="193"/>
      <c r="R158" s="193"/>
      <c r="S158" s="193"/>
      <c r="T158" s="193"/>
      <c r="U158" s="193"/>
      <c r="V158" s="193"/>
      <c r="W158" s="185">
        <f>J158</f>
        <v>0</v>
      </c>
      <c r="X158" s="185">
        <f>H158*$K$1</f>
        <v>0</v>
      </c>
    </row>
    <row r="159" spans="1:24" ht="15" thickBot="1" x14ac:dyDescent="0.35">
      <c r="A159" s="262"/>
      <c r="B159" s="225">
        <v>0</v>
      </c>
      <c r="C159" s="225">
        <v>0</v>
      </c>
      <c r="D159" s="139">
        <f>'Data Ocupacion'!AR46</f>
        <v>0</v>
      </c>
      <c r="E159" s="139">
        <f>'Data Ocupacion'!AS46</f>
        <v>0</v>
      </c>
      <c r="F159" s="315" t="s">
        <v>35</v>
      </c>
      <c r="G159" s="316">
        <f t="shared" si="130"/>
        <v>0</v>
      </c>
      <c r="H159" s="225">
        <f t="shared" si="134"/>
        <v>0</v>
      </c>
      <c r="I159" s="319">
        <f t="shared" si="131"/>
        <v>0</v>
      </c>
      <c r="J159" s="319">
        <f>G159*K$1</f>
        <v>0</v>
      </c>
      <c r="K159" s="154">
        <f>I159*K$1</f>
        <v>0</v>
      </c>
      <c r="L159" s="225">
        <f t="shared" si="132"/>
        <v>0</v>
      </c>
      <c r="M159" s="225">
        <f t="shared" si="133"/>
        <v>0</v>
      </c>
      <c r="N159" s="19"/>
      <c r="O159" s="19"/>
      <c r="P159" s="147"/>
      <c r="Q159" s="193"/>
      <c r="R159" s="193"/>
      <c r="S159" s="193"/>
      <c r="T159" s="193"/>
      <c r="U159" s="193"/>
      <c r="V159" s="193"/>
      <c r="W159" s="185">
        <f>J159</f>
        <v>0</v>
      </c>
      <c r="X159" s="185">
        <f>H159*$K$1</f>
        <v>0</v>
      </c>
    </row>
    <row r="160" spans="1:24" s="125" customFormat="1" ht="15" thickBot="1" x14ac:dyDescent="0.35">
      <c r="A160" s="20"/>
      <c r="B160" s="224">
        <f>SUM(B154:B159)</f>
        <v>104</v>
      </c>
      <c r="C160" s="224">
        <f>SUM(C154:C159)</f>
        <v>7</v>
      </c>
      <c r="D160" s="149">
        <f>SUM(D154:D159)</f>
        <v>104</v>
      </c>
      <c r="E160" s="149">
        <f>SUM(E154:E159)</f>
        <v>7</v>
      </c>
      <c r="F160" s="120"/>
      <c r="G160" s="120">
        <f t="shared" ref="G160:M160" si="135">SUM(G154:G159)</f>
        <v>118</v>
      </c>
      <c r="H160" s="120">
        <f t="shared" si="135"/>
        <v>118</v>
      </c>
      <c r="I160" s="120">
        <f t="shared" si="135"/>
        <v>111</v>
      </c>
      <c r="J160" s="121">
        <f>SUM(J154:J159)</f>
        <v>5089.34</v>
      </c>
      <c r="K160" s="120">
        <f t="shared" si="135"/>
        <v>4787.43</v>
      </c>
      <c r="L160" s="120">
        <f t="shared" si="135"/>
        <v>529291.36</v>
      </c>
      <c r="M160" s="120">
        <f t="shared" si="135"/>
        <v>11544</v>
      </c>
      <c r="N160" s="124">
        <f>'Odometro-Kilometraje'!V81</f>
        <v>5235</v>
      </c>
      <c r="O160" s="21">
        <f>(W160/N160)*100</f>
        <v>97.89493791786056</v>
      </c>
      <c r="P160" s="196"/>
      <c r="Q160" s="184"/>
      <c r="R160" s="184"/>
      <c r="S160" s="184"/>
      <c r="T160" s="184"/>
      <c r="U160" s="184"/>
      <c r="V160" s="184"/>
      <c r="W160" s="197">
        <f>SUM(W154:W159)</f>
        <v>5124.8</v>
      </c>
      <c r="X160" s="197">
        <f>SUM(X154:X159)</f>
        <v>5089.34</v>
      </c>
    </row>
    <row r="161" spans="1:26" x14ac:dyDescent="0.3">
      <c r="A161" s="61">
        <f>A154+1</f>
        <v>45799</v>
      </c>
      <c r="B161" s="126">
        <v>47</v>
      </c>
      <c r="C161" s="126">
        <v>32</v>
      </c>
      <c r="D161" s="127">
        <f>'Data Ocupacion'!AT41</f>
        <v>47</v>
      </c>
      <c r="E161" s="127">
        <f>'Data Ocupacion'!AU41</f>
        <v>32</v>
      </c>
      <c r="F161" s="227" t="s">
        <v>38</v>
      </c>
      <c r="G161" s="228">
        <f t="shared" ref="G161:G166" si="136">D161+E161*2</f>
        <v>111</v>
      </c>
      <c r="H161" s="126">
        <f>B161+C161*2</f>
        <v>111</v>
      </c>
      <c r="I161" s="229">
        <f t="shared" ref="I161:I166" si="137">D161+E161</f>
        <v>79</v>
      </c>
      <c r="J161" s="229">
        <f>G161*M$2</f>
        <v>4787.43</v>
      </c>
      <c r="K161" s="154">
        <f>I161*M$2</f>
        <v>3407.27</v>
      </c>
      <c r="L161" s="126">
        <f t="shared" ref="L161:L166" si="138">J161*104</f>
        <v>497892.72000000003</v>
      </c>
      <c r="M161" s="126">
        <f t="shared" ref="M161:M166" si="139">I161*104</f>
        <v>8216</v>
      </c>
      <c r="N161" s="19"/>
      <c r="O161" s="19"/>
      <c r="P161" s="147"/>
      <c r="Q161" s="251"/>
      <c r="R161" s="186"/>
      <c r="S161" s="211"/>
      <c r="T161" s="251">
        <v>3</v>
      </c>
      <c r="U161" s="195"/>
      <c r="V161" s="235"/>
      <c r="W161" s="185">
        <f>J161-(Q161*($M$2-$K$1))-(R161*($M$2-$M$1))- (S161*($M$2-$I$2))+ (T161*($G$2))</f>
        <v>4840.62</v>
      </c>
      <c r="X161" s="185">
        <f>H161*$M$2</f>
        <v>4787.43</v>
      </c>
    </row>
    <row r="162" spans="1:26" ht="15" customHeight="1" x14ac:dyDescent="0.3">
      <c r="A162" s="262"/>
      <c r="B162" s="126">
        <v>45</v>
      </c>
      <c r="C162" s="126">
        <v>33</v>
      </c>
      <c r="D162" s="127">
        <f>'Data Ocupacion'!AT42</f>
        <v>45</v>
      </c>
      <c r="E162" s="127">
        <f>'Data Ocupacion'!AU42</f>
        <v>33</v>
      </c>
      <c r="F162" s="227" t="s">
        <v>52</v>
      </c>
      <c r="G162" s="228">
        <f t="shared" si="136"/>
        <v>111</v>
      </c>
      <c r="H162" s="126">
        <f t="shared" ref="H162:H166" si="140">B162+C162*2</f>
        <v>111</v>
      </c>
      <c r="I162" s="126">
        <f t="shared" si="137"/>
        <v>78</v>
      </c>
      <c r="J162" s="126">
        <f>G162*M$2</f>
        <v>4787.43</v>
      </c>
      <c r="K162" s="154">
        <f>I162*M$2</f>
        <v>3364.1400000000003</v>
      </c>
      <c r="L162" s="126">
        <f t="shared" si="138"/>
        <v>497892.72000000003</v>
      </c>
      <c r="M162" s="126">
        <f t="shared" si="139"/>
        <v>8112</v>
      </c>
      <c r="N162" s="19"/>
      <c r="O162" s="19"/>
      <c r="P162" s="147"/>
      <c r="Q162" s="190"/>
      <c r="R162" s="190"/>
      <c r="S162" s="190"/>
      <c r="T162" s="251"/>
      <c r="U162" s="209"/>
      <c r="V162" s="236"/>
      <c r="W162" s="188">
        <f>J162-(T162*($M$2-$K$1)+(U162*($M$2-$M$1)))</f>
        <v>4787.43</v>
      </c>
      <c r="X162" s="185">
        <f>H162*$M$2</f>
        <v>4787.43</v>
      </c>
      <c r="Y162" s="125"/>
      <c r="Z162" s="125"/>
    </row>
    <row r="163" spans="1:26" ht="14.4" customHeight="1" x14ac:dyDescent="0.3">
      <c r="A163" s="262"/>
      <c r="B163" s="126">
        <v>29</v>
      </c>
      <c r="C163" s="126">
        <v>4</v>
      </c>
      <c r="D163" s="127">
        <f>'Data Ocupacion'!AT43</f>
        <v>29</v>
      </c>
      <c r="E163" s="127">
        <f>'Data Ocupacion'!AU43</f>
        <v>4</v>
      </c>
      <c r="F163" s="227" t="s">
        <v>36</v>
      </c>
      <c r="G163" s="228">
        <f t="shared" si="136"/>
        <v>37</v>
      </c>
      <c r="H163" s="126">
        <f t="shared" si="140"/>
        <v>37</v>
      </c>
      <c r="I163" s="126">
        <f t="shared" si="137"/>
        <v>33</v>
      </c>
      <c r="J163" s="126">
        <f>G163*M$1</f>
        <v>1077.07</v>
      </c>
      <c r="K163" s="154">
        <f>I163*M$1</f>
        <v>960.63</v>
      </c>
      <c r="L163" s="126">
        <f t="shared" si="138"/>
        <v>112015.28</v>
      </c>
      <c r="M163" s="126">
        <f t="shared" si="139"/>
        <v>3432</v>
      </c>
      <c r="N163" s="19"/>
      <c r="O163" s="19"/>
      <c r="P163" s="147"/>
      <c r="Q163" s="189"/>
      <c r="R163" s="191"/>
      <c r="S163" s="212"/>
      <c r="T163" s="192"/>
      <c r="U163" s="193"/>
      <c r="V163" s="193"/>
      <c r="W163" s="185">
        <f>J163-(Q163*($M$1-$K$1))</f>
        <v>1077.07</v>
      </c>
      <c r="X163" s="185">
        <f>H163*$M$1</f>
        <v>1077.07</v>
      </c>
      <c r="Y163" s="125"/>
      <c r="Z163" s="125"/>
    </row>
    <row r="164" spans="1:26" ht="15" customHeight="1" x14ac:dyDescent="0.3">
      <c r="A164" s="262"/>
      <c r="B164" s="126">
        <v>28</v>
      </c>
      <c r="C164" s="126">
        <v>4</v>
      </c>
      <c r="D164" s="127">
        <f>'Data Ocupacion'!AT44</f>
        <v>28</v>
      </c>
      <c r="E164" s="127">
        <f>'Data Ocupacion'!AU44</f>
        <v>4</v>
      </c>
      <c r="F164" s="227" t="s">
        <v>53</v>
      </c>
      <c r="G164" s="228">
        <f t="shared" si="136"/>
        <v>36</v>
      </c>
      <c r="H164" s="126">
        <f t="shared" si="140"/>
        <v>36</v>
      </c>
      <c r="I164" s="126">
        <f t="shared" si="137"/>
        <v>32</v>
      </c>
      <c r="J164" s="126">
        <f>G164*M$1</f>
        <v>1047.96</v>
      </c>
      <c r="K164" s="154">
        <f>I164*M$1</f>
        <v>931.52</v>
      </c>
      <c r="L164" s="126">
        <f t="shared" si="138"/>
        <v>108987.84</v>
      </c>
      <c r="M164" s="126">
        <f t="shared" si="139"/>
        <v>3328</v>
      </c>
      <c r="N164" s="19"/>
      <c r="O164" s="19"/>
      <c r="P164" s="147"/>
      <c r="Q164" s="193"/>
      <c r="R164" s="193"/>
      <c r="S164" s="193"/>
      <c r="T164" s="193"/>
      <c r="U164" s="193"/>
      <c r="V164" s="193"/>
      <c r="W164" s="185">
        <f>J164</f>
        <v>1047.96</v>
      </c>
      <c r="X164" s="185">
        <f>H164*$M$1</f>
        <v>1047.96</v>
      </c>
      <c r="Y164" s="125"/>
      <c r="Z164" s="125"/>
    </row>
    <row r="165" spans="1:26" ht="13.5" customHeight="1" x14ac:dyDescent="0.3">
      <c r="A165" s="262"/>
      <c r="B165" s="126">
        <v>0</v>
      </c>
      <c r="C165" s="126">
        <v>0</v>
      </c>
      <c r="D165" s="127">
        <f>'Data Ocupacion'!AT45</f>
        <v>0</v>
      </c>
      <c r="E165" s="127">
        <f>'Data Ocupacion'!AU45</f>
        <v>0</v>
      </c>
      <c r="F165" s="227" t="s">
        <v>122</v>
      </c>
      <c r="G165" s="228">
        <f t="shared" si="136"/>
        <v>0</v>
      </c>
      <c r="H165" s="126">
        <f t="shared" si="140"/>
        <v>0</v>
      </c>
      <c r="I165" s="126">
        <f t="shared" si="137"/>
        <v>0</v>
      </c>
      <c r="J165" s="230">
        <f>G165*K$1</f>
        <v>0</v>
      </c>
      <c r="K165" s="154">
        <f>I165*M$1</f>
        <v>0</v>
      </c>
      <c r="L165" s="126">
        <f t="shared" si="138"/>
        <v>0</v>
      </c>
      <c r="M165" s="126">
        <f t="shared" si="139"/>
        <v>0</v>
      </c>
      <c r="N165" s="19"/>
      <c r="O165" s="19"/>
      <c r="P165" s="147"/>
      <c r="Q165" s="193"/>
      <c r="R165" s="193"/>
      <c r="S165" s="193"/>
      <c r="T165" s="193"/>
      <c r="U165" s="193"/>
      <c r="V165" s="193"/>
      <c r="W165" s="185">
        <f>J165</f>
        <v>0</v>
      </c>
      <c r="X165" s="185">
        <f>H165*$K$1</f>
        <v>0</v>
      </c>
      <c r="Y165" s="125"/>
      <c r="Z165" s="125"/>
    </row>
    <row r="166" spans="1:26" ht="15" thickBot="1" x14ac:dyDescent="0.35">
      <c r="A166" s="262"/>
      <c r="B166" s="126">
        <v>1</v>
      </c>
      <c r="C166" s="126">
        <v>0</v>
      </c>
      <c r="D166" s="127">
        <f>'Data Ocupacion'!AT46</f>
        <v>1</v>
      </c>
      <c r="E166" s="127">
        <f>'Data Ocupacion'!AU46</f>
        <v>0</v>
      </c>
      <c r="F166" s="227" t="s">
        <v>35</v>
      </c>
      <c r="G166" s="228">
        <f t="shared" si="136"/>
        <v>1</v>
      </c>
      <c r="H166" s="126">
        <f t="shared" si="140"/>
        <v>1</v>
      </c>
      <c r="I166" s="231">
        <f t="shared" si="137"/>
        <v>1</v>
      </c>
      <c r="J166" s="231">
        <f>G166*K$1</f>
        <v>25.4</v>
      </c>
      <c r="K166" s="154">
        <f>I166*K$1</f>
        <v>25.4</v>
      </c>
      <c r="L166" s="126">
        <f t="shared" si="138"/>
        <v>2641.6</v>
      </c>
      <c r="M166" s="126">
        <f t="shared" si="139"/>
        <v>104</v>
      </c>
      <c r="N166" s="19"/>
      <c r="O166" s="19"/>
      <c r="P166" s="147"/>
      <c r="Q166" s="193"/>
      <c r="R166" s="193"/>
      <c r="S166" s="193"/>
      <c r="T166" s="193"/>
      <c r="U166" s="193"/>
      <c r="V166" s="193"/>
      <c r="W166" s="185">
        <f>J166</f>
        <v>25.4</v>
      </c>
      <c r="X166" s="185">
        <f>H166*$K$1</f>
        <v>25.4</v>
      </c>
    </row>
    <row r="167" spans="1:26" s="125" customFormat="1" ht="15" thickBot="1" x14ac:dyDescent="0.35">
      <c r="A167" s="20"/>
      <c r="B167" s="224">
        <f>SUM(B161:B166)</f>
        <v>150</v>
      </c>
      <c r="C167" s="224">
        <f>SUM(C161:C166)</f>
        <v>73</v>
      </c>
      <c r="D167" s="149">
        <f>SUM(D161:D166)</f>
        <v>150</v>
      </c>
      <c r="E167" s="149">
        <f>SUM(E161:E166)</f>
        <v>73</v>
      </c>
      <c r="F167" s="120"/>
      <c r="G167" s="120">
        <f t="shared" ref="G167:M167" si="141">SUM(G161:G166)</f>
        <v>296</v>
      </c>
      <c r="H167" s="120">
        <f t="shared" si="141"/>
        <v>296</v>
      </c>
      <c r="I167" s="120">
        <f t="shared" si="141"/>
        <v>223</v>
      </c>
      <c r="J167" s="121">
        <f t="shared" si="141"/>
        <v>11725.289999999999</v>
      </c>
      <c r="K167" s="120">
        <f t="shared" si="141"/>
        <v>8688.9599999999991</v>
      </c>
      <c r="L167" s="120">
        <f t="shared" si="141"/>
        <v>1219430.1600000001</v>
      </c>
      <c r="M167" s="120">
        <f t="shared" si="141"/>
        <v>23192</v>
      </c>
      <c r="N167" s="124">
        <f>'Odometro-Kilometraje'!W81</f>
        <v>12144</v>
      </c>
      <c r="O167" s="21">
        <f>(W167/N167)*100</f>
        <v>96.99011857707508</v>
      </c>
      <c r="P167" s="196"/>
      <c r="Q167" s="184"/>
      <c r="R167" s="184"/>
      <c r="S167" s="184"/>
      <c r="T167" s="184"/>
      <c r="U167" s="184"/>
      <c r="V167" s="184"/>
      <c r="W167" s="197">
        <f>SUM(W161:W166)</f>
        <v>11778.479999999998</v>
      </c>
      <c r="X167" s="197">
        <f>SUM(X161:X166)</f>
        <v>11725.289999999999</v>
      </c>
    </row>
    <row r="168" spans="1:26" s="125" customFormat="1" x14ac:dyDescent="0.3">
      <c r="A168" s="61">
        <f>A161+1</f>
        <v>45800</v>
      </c>
      <c r="B168" s="126">
        <v>47</v>
      </c>
      <c r="C168" s="126">
        <v>32</v>
      </c>
      <c r="D168" s="127">
        <f>'Data Ocupacion'!AV41</f>
        <v>47</v>
      </c>
      <c r="E168" s="127">
        <f>'Data Ocupacion'!AW41</f>
        <v>32</v>
      </c>
      <c r="F168" s="227" t="s">
        <v>38</v>
      </c>
      <c r="G168" s="228">
        <f t="shared" ref="G168:G173" si="142">D168+E168*2</f>
        <v>111</v>
      </c>
      <c r="H168" s="126">
        <f>B168+C168*2</f>
        <v>111</v>
      </c>
      <c r="I168" s="229">
        <f t="shared" ref="I168:I173" si="143">D168+E168</f>
        <v>79</v>
      </c>
      <c r="J168" s="229">
        <f>G168*M$2</f>
        <v>4787.43</v>
      </c>
      <c r="K168" s="154">
        <f>I168*M$2</f>
        <v>3407.27</v>
      </c>
      <c r="L168" s="126">
        <f t="shared" ref="L168:L173" si="144">J168*104</f>
        <v>497892.72000000003</v>
      </c>
      <c r="M168" s="126">
        <f t="shared" ref="M168:M173" si="145">I168*104</f>
        <v>8216</v>
      </c>
      <c r="N168" s="19"/>
      <c r="O168" s="19"/>
      <c r="P168" s="147"/>
      <c r="Q168" s="186"/>
      <c r="R168" s="186"/>
      <c r="S168" s="211"/>
      <c r="T168" s="251">
        <v>2</v>
      </c>
      <c r="U168" s="195"/>
      <c r="V168" s="235"/>
      <c r="W168" s="185">
        <f>J168-(Q168*($M$2-$K$1))-(R168*($M$2-$M$1))- (S168*($M$2-$I$2))+ (T168*($G$2))</f>
        <v>4822.8900000000003</v>
      </c>
      <c r="X168" s="185">
        <f>H168*$M$2</f>
        <v>4787.43</v>
      </c>
    </row>
    <row r="169" spans="1:26" ht="15" customHeight="1" x14ac:dyDescent="0.3">
      <c r="A169" s="262"/>
      <c r="B169" s="126">
        <v>45</v>
      </c>
      <c r="C169" s="126">
        <v>33</v>
      </c>
      <c r="D169" s="127">
        <f>'Data Ocupacion'!AV42</f>
        <v>45</v>
      </c>
      <c r="E169" s="127">
        <f>'Data Ocupacion'!AW42</f>
        <v>33</v>
      </c>
      <c r="F169" s="227" t="s">
        <v>52</v>
      </c>
      <c r="G169" s="228">
        <f t="shared" si="142"/>
        <v>111</v>
      </c>
      <c r="H169" s="126">
        <f t="shared" ref="H169:H173" si="146">B169+C169*2</f>
        <v>111</v>
      </c>
      <c r="I169" s="126">
        <f t="shared" si="143"/>
        <v>78</v>
      </c>
      <c r="J169" s="126">
        <f>G169*M$2</f>
        <v>4787.43</v>
      </c>
      <c r="K169" s="154">
        <f>I169*M$2</f>
        <v>3364.1400000000003</v>
      </c>
      <c r="L169" s="126">
        <f t="shared" si="144"/>
        <v>497892.72000000003</v>
      </c>
      <c r="M169" s="126">
        <f t="shared" si="145"/>
        <v>8112</v>
      </c>
      <c r="N169" s="19"/>
      <c r="O169" s="19"/>
      <c r="P169" s="147"/>
      <c r="Q169" s="190"/>
      <c r="R169" s="190"/>
      <c r="S169" s="223"/>
      <c r="T169" s="186"/>
      <c r="U169" s="223"/>
      <c r="V169" s="236"/>
      <c r="W169" s="188">
        <f>J169-(T169*($M$2-$K$1)+(U169*($M$2-$M$1)))</f>
        <v>4787.43</v>
      </c>
      <c r="X169" s="185">
        <f>H169*$M$2</f>
        <v>4787.43</v>
      </c>
      <c r="Y169" s="173"/>
    </row>
    <row r="170" spans="1:26" ht="15" customHeight="1" x14ac:dyDescent="0.3">
      <c r="A170" s="262"/>
      <c r="B170" s="126">
        <v>29</v>
      </c>
      <c r="C170" s="126">
        <v>4</v>
      </c>
      <c r="D170" s="127">
        <f>'Data Ocupacion'!AV43</f>
        <v>29</v>
      </c>
      <c r="E170" s="127">
        <f>'Data Ocupacion'!AW43</f>
        <v>4</v>
      </c>
      <c r="F170" s="227" t="s">
        <v>36</v>
      </c>
      <c r="G170" s="228">
        <f t="shared" si="142"/>
        <v>37</v>
      </c>
      <c r="H170" s="126">
        <f t="shared" si="146"/>
        <v>37</v>
      </c>
      <c r="I170" s="126">
        <f t="shared" si="143"/>
        <v>33</v>
      </c>
      <c r="J170" s="126">
        <f>G170*M$1</f>
        <v>1077.07</v>
      </c>
      <c r="K170" s="154">
        <f>I170*M$1</f>
        <v>960.63</v>
      </c>
      <c r="L170" s="126">
        <f t="shared" si="144"/>
        <v>112015.28</v>
      </c>
      <c r="M170" s="126">
        <f t="shared" si="145"/>
        <v>3432</v>
      </c>
      <c r="N170" s="19"/>
      <c r="O170" s="19"/>
      <c r="P170" s="147"/>
      <c r="Q170" s="189"/>
      <c r="R170" s="191"/>
      <c r="S170" s="212"/>
      <c r="T170" s="192"/>
      <c r="U170" s="193"/>
      <c r="V170" s="193"/>
      <c r="W170" s="185">
        <f>J170-(Q170*($M$1-$K$1))</f>
        <v>1077.07</v>
      </c>
      <c r="X170" s="185">
        <f>H170*$M$1</f>
        <v>1077.07</v>
      </c>
    </row>
    <row r="171" spans="1:26" ht="15" customHeight="1" x14ac:dyDescent="0.3">
      <c r="A171" s="262"/>
      <c r="B171" s="126">
        <v>28</v>
      </c>
      <c r="C171" s="126">
        <v>4</v>
      </c>
      <c r="D171" s="127">
        <f>'Data Ocupacion'!AV44</f>
        <v>28</v>
      </c>
      <c r="E171" s="127">
        <f>'Data Ocupacion'!AW44</f>
        <v>4</v>
      </c>
      <c r="F171" s="227" t="s">
        <v>53</v>
      </c>
      <c r="G171" s="228">
        <f t="shared" si="142"/>
        <v>36</v>
      </c>
      <c r="H171" s="126">
        <f t="shared" si="146"/>
        <v>36</v>
      </c>
      <c r="I171" s="126">
        <f t="shared" si="143"/>
        <v>32</v>
      </c>
      <c r="J171" s="126">
        <f>G171*M$1</f>
        <v>1047.96</v>
      </c>
      <c r="K171" s="154">
        <f>I171*M$1</f>
        <v>931.52</v>
      </c>
      <c r="L171" s="126">
        <f t="shared" si="144"/>
        <v>108987.84</v>
      </c>
      <c r="M171" s="126">
        <f t="shared" si="145"/>
        <v>3328</v>
      </c>
      <c r="N171" s="19"/>
      <c r="O171" s="19"/>
      <c r="P171" s="147"/>
      <c r="Q171" s="193"/>
      <c r="R171" s="193"/>
      <c r="S171" s="193"/>
      <c r="T171" s="193"/>
      <c r="U171" s="193"/>
      <c r="V171" s="193"/>
      <c r="W171" s="185">
        <f>J171</f>
        <v>1047.96</v>
      </c>
      <c r="X171" s="185">
        <f>H171*$M$1</f>
        <v>1047.96</v>
      </c>
    </row>
    <row r="172" spans="1:26" ht="13.5" customHeight="1" x14ac:dyDescent="0.3">
      <c r="A172" s="262"/>
      <c r="B172" s="126">
        <v>0</v>
      </c>
      <c r="C172" s="126">
        <v>0</v>
      </c>
      <c r="D172" s="127">
        <f>'Data Ocupacion'!AV45</f>
        <v>0</v>
      </c>
      <c r="E172" s="127">
        <f>'Data Ocupacion'!AW45</f>
        <v>0</v>
      </c>
      <c r="F172" s="227" t="s">
        <v>122</v>
      </c>
      <c r="G172" s="228">
        <f t="shared" si="142"/>
        <v>0</v>
      </c>
      <c r="H172" s="126">
        <f t="shared" si="146"/>
        <v>0</v>
      </c>
      <c r="I172" s="126">
        <f t="shared" si="143"/>
        <v>0</v>
      </c>
      <c r="J172" s="230">
        <f>G172*K$1</f>
        <v>0</v>
      </c>
      <c r="K172" s="154">
        <f>I172*K$1</f>
        <v>0</v>
      </c>
      <c r="L172" s="126">
        <f t="shared" si="144"/>
        <v>0</v>
      </c>
      <c r="M172" s="126">
        <f t="shared" si="145"/>
        <v>0</v>
      </c>
      <c r="N172" s="19"/>
      <c r="O172" s="19"/>
      <c r="P172" s="147"/>
      <c r="Q172" s="193"/>
      <c r="R172" s="193"/>
      <c r="S172" s="193"/>
      <c r="T172" s="193"/>
      <c r="U172" s="193"/>
      <c r="V172" s="193"/>
      <c r="W172" s="185">
        <f>J172</f>
        <v>0</v>
      </c>
      <c r="X172" s="185">
        <f>H172*$K$1</f>
        <v>0</v>
      </c>
    </row>
    <row r="173" spans="1:26" ht="12.6" customHeight="1" thickBot="1" x14ac:dyDescent="0.35">
      <c r="A173" s="262"/>
      <c r="B173" s="126">
        <v>1</v>
      </c>
      <c r="C173" s="126">
        <v>0</v>
      </c>
      <c r="D173" s="127">
        <f>'Data Ocupacion'!AV46</f>
        <v>1</v>
      </c>
      <c r="E173" s="127">
        <f>'Data Ocupacion'!AW46</f>
        <v>0</v>
      </c>
      <c r="F173" s="227" t="s">
        <v>35</v>
      </c>
      <c r="G173" s="228">
        <f t="shared" si="142"/>
        <v>1</v>
      </c>
      <c r="H173" s="126">
        <f t="shared" si="146"/>
        <v>1</v>
      </c>
      <c r="I173" s="231">
        <f t="shared" si="143"/>
        <v>1</v>
      </c>
      <c r="J173" s="231">
        <f>G173*K$1</f>
        <v>25.4</v>
      </c>
      <c r="K173" s="154">
        <f>I173*K$1</f>
        <v>25.4</v>
      </c>
      <c r="L173" s="126">
        <f t="shared" si="144"/>
        <v>2641.6</v>
      </c>
      <c r="M173" s="126">
        <f t="shared" si="145"/>
        <v>104</v>
      </c>
      <c r="N173" s="19"/>
      <c r="O173" s="19"/>
      <c r="P173" s="147"/>
      <c r="Q173" s="193"/>
      <c r="R173" s="193"/>
      <c r="S173" s="193"/>
      <c r="T173" s="193"/>
      <c r="U173" s="193"/>
      <c r="V173" s="193"/>
      <c r="W173" s="185">
        <f>J173</f>
        <v>25.4</v>
      </c>
      <c r="X173" s="185">
        <f>H173*$K$1</f>
        <v>25.4</v>
      </c>
    </row>
    <row r="174" spans="1:26" s="125" customFormat="1" ht="15" customHeight="1" thickBot="1" x14ac:dyDescent="0.35">
      <c r="A174" s="20"/>
      <c r="B174" s="224">
        <f>SUM(B168:B173)</f>
        <v>150</v>
      </c>
      <c r="C174" s="224">
        <f>SUM(C168:C173)</f>
        <v>73</v>
      </c>
      <c r="D174" s="149">
        <f>SUM(D168:D173)</f>
        <v>150</v>
      </c>
      <c r="E174" s="149">
        <f>SUM(E168:E173)</f>
        <v>73</v>
      </c>
      <c r="F174" s="120"/>
      <c r="G174" s="120">
        <f t="shared" ref="G174:M174" si="147">SUM(G168:G173)</f>
        <v>296</v>
      </c>
      <c r="H174" s="120">
        <f t="shared" si="147"/>
        <v>296</v>
      </c>
      <c r="I174" s="120">
        <f t="shared" si="147"/>
        <v>223</v>
      </c>
      <c r="J174" s="121">
        <f t="shared" si="147"/>
        <v>11725.289999999999</v>
      </c>
      <c r="K174" s="120">
        <f t="shared" si="147"/>
        <v>8688.9599999999991</v>
      </c>
      <c r="L174" s="120">
        <f t="shared" si="147"/>
        <v>1219430.1600000001</v>
      </c>
      <c r="M174" s="120">
        <f t="shared" si="147"/>
        <v>23192</v>
      </c>
      <c r="N174" s="124">
        <f>'Odometro-Kilometraje'!X81</f>
        <v>12092</v>
      </c>
      <c r="O174" s="21">
        <f>(W174/N174)*100</f>
        <v>97.260585511081686</v>
      </c>
      <c r="P174" s="196"/>
      <c r="Q174" s="184"/>
      <c r="R174" s="184"/>
      <c r="S174" s="184"/>
      <c r="T174" s="184"/>
      <c r="U174" s="184"/>
      <c r="V174" s="184"/>
      <c r="W174" s="197">
        <f>SUM(W168:W173)</f>
        <v>11760.749999999998</v>
      </c>
      <c r="X174" s="197">
        <f>SUM(X168:X173)</f>
        <v>11725.289999999999</v>
      </c>
    </row>
    <row r="175" spans="1:26" x14ac:dyDescent="0.3">
      <c r="A175" s="61">
        <f>A168+1</f>
        <v>45801</v>
      </c>
      <c r="B175" s="117">
        <v>69</v>
      </c>
      <c r="C175" s="117">
        <v>3</v>
      </c>
      <c r="D175" s="148">
        <f>'Data Ocupacion'!AX41</f>
        <v>69</v>
      </c>
      <c r="E175" s="148">
        <f>'Data Ocupacion'!AY41</f>
        <v>3</v>
      </c>
      <c r="F175" s="117" t="s">
        <v>38</v>
      </c>
      <c r="G175" s="117">
        <f t="shared" ref="G175:G180" si="148">D175+E175*2</f>
        <v>75</v>
      </c>
      <c r="H175" s="117">
        <f>B175+C175*2</f>
        <v>75</v>
      </c>
      <c r="I175" s="117">
        <f t="shared" ref="I175:I180" si="149">D175+E175</f>
        <v>72</v>
      </c>
      <c r="J175" s="117">
        <f>G175*M$2</f>
        <v>3234.75</v>
      </c>
      <c r="K175" s="154">
        <f>I175*M$2</f>
        <v>3105.36</v>
      </c>
      <c r="L175" s="117">
        <f t="shared" ref="L175:L180" si="150">J175*104</f>
        <v>336414</v>
      </c>
      <c r="M175" s="117">
        <f t="shared" ref="M175:M180" si="151">I175*104</f>
        <v>7488</v>
      </c>
      <c r="N175" s="19"/>
      <c r="O175" s="19"/>
      <c r="P175" s="147"/>
      <c r="Q175" s="186"/>
      <c r="R175" s="186"/>
      <c r="S175" s="211"/>
      <c r="T175" s="251"/>
      <c r="U175" s="195"/>
      <c r="V175" s="235"/>
      <c r="W175" s="185">
        <f>J175-(Q175*($M$2-$K$1))-(R175*($M$2-$M$1))- (S175*($M$2-$I$2))+ (T175*($G$2))</f>
        <v>3234.75</v>
      </c>
      <c r="X175" s="185">
        <f>H175*$M$2</f>
        <v>3234.75</v>
      </c>
    </row>
    <row r="176" spans="1:26" ht="15" customHeight="1" x14ac:dyDescent="0.3">
      <c r="A176" s="262"/>
      <c r="B176" s="117">
        <v>75</v>
      </c>
      <c r="C176" s="117">
        <v>0</v>
      </c>
      <c r="D176" s="148">
        <f>'Data Ocupacion'!AX42</f>
        <v>75</v>
      </c>
      <c r="E176" s="148">
        <f>'Data Ocupacion'!AY42</f>
        <v>0</v>
      </c>
      <c r="F176" s="117" t="s">
        <v>52</v>
      </c>
      <c r="G176" s="117">
        <f t="shared" si="148"/>
        <v>75</v>
      </c>
      <c r="H176" s="117">
        <f t="shared" ref="H176:H180" si="152">B176+C176*2</f>
        <v>75</v>
      </c>
      <c r="I176" s="117">
        <f t="shared" si="149"/>
        <v>75</v>
      </c>
      <c r="J176" s="117">
        <f>G176*M$2</f>
        <v>3234.75</v>
      </c>
      <c r="K176" s="154">
        <f>I176*M$2</f>
        <v>3234.75</v>
      </c>
      <c r="L176" s="117">
        <f t="shared" si="150"/>
        <v>336414</v>
      </c>
      <c r="M176" s="117">
        <f t="shared" si="151"/>
        <v>7800</v>
      </c>
      <c r="N176" s="19"/>
      <c r="O176" s="19"/>
      <c r="P176" s="147"/>
      <c r="Q176" s="190"/>
      <c r="R176" s="190"/>
      <c r="S176" s="223"/>
      <c r="T176" s="186"/>
      <c r="U176" s="223"/>
      <c r="V176" s="236"/>
      <c r="W176" s="188">
        <f>J176-(T176*($M$2-$K$1)+(U176*($M$2-$M$1)))</f>
        <v>3234.75</v>
      </c>
      <c r="X176" s="185">
        <f>H176*$M$2</f>
        <v>3234.75</v>
      </c>
      <c r="Y176" s="173"/>
    </row>
    <row r="177" spans="1:25" ht="15" customHeight="1" x14ac:dyDescent="0.3">
      <c r="A177" s="262"/>
      <c r="B177" s="117">
        <v>0</v>
      </c>
      <c r="C177" s="117">
        <v>0</v>
      </c>
      <c r="D177" s="148">
        <f>'Data Ocupacion'!AX43</f>
        <v>0</v>
      </c>
      <c r="E177" s="148">
        <f>'Data Ocupacion'!AY43</f>
        <v>0</v>
      </c>
      <c r="F177" s="117" t="s">
        <v>36</v>
      </c>
      <c r="G177" s="117">
        <f t="shared" si="148"/>
        <v>0</v>
      </c>
      <c r="H177" s="117">
        <f t="shared" si="152"/>
        <v>0</v>
      </c>
      <c r="I177" s="117">
        <f t="shared" si="149"/>
        <v>0</v>
      </c>
      <c r="J177" s="117">
        <f>G177*M$1</f>
        <v>0</v>
      </c>
      <c r="K177" s="154">
        <f>I177*M$1</f>
        <v>0</v>
      </c>
      <c r="L177" s="117">
        <f t="shared" si="150"/>
        <v>0</v>
      </c>
      <c r="M177" s="117">
        <f t="shared" si="151"/>
        <v>0</v>
      </c>
      <c r="N177" s="19"/>
      <c r="O177" s="19"/>
      <c r="P177" s="147"/>
      <c r="Q177" s="189"/>
      <c r="R177" s="191"/>
      <c r="S177" s="212"/>
      <c r="T177" s="192"/>
      <c r="U177" s="193"/>
      <c r="V177" s="193"/>
      <c r="W177" s="185">
        <f>J177-(Q177*($M$1-$K$1))</f>
        <v>0</v>
      </c>
      <c r="X177" s="185">
        <f>H177*$M$1</f>
        <v>0</v>
      </c>
    </row>
    <row r="178" spans="1:25" ht="15" customHeight="1" x14ac:dyDescent="0.3">
      <c r="A178" s="262"/>
      <c r="B178" s="117">
        <v>0</v>
      </c>
      <c r="C178" s="117">
        <v>0</v>
      </c>
      <c r="D178" s="148">
        <f>'Data Ocupacion'!AX44</f>
        <v>0</v>
      </c>
      <c r="E178" s="148">
        <f>'Data Ocupacion'!AY44</f>
        <v>0</v>
      </c>
      <c r="F178" s="117" t="s">
        <v>53</v>
      </c>
      <c r="G178" s="117">
        <f t="shared" si="148"/>
        <v>0</v>
      </c>
      <c r="H178" s="117">
        <f t="shared" si="152"/>
        <v>0</v>
      </c>
      <c r="I178" s="117">
        <f t="shared" si="149"/>
        <v>0</v>
      </c>
      <c r="J178" s="117">
        <f>G178*M$1</f>
        <v>0</v>
      </c>
      <c r="K178" s="154">
        <f>I178*M$1</f>
        <v>0</v>
      </c>
      <c r="L178" s="117">
        <f t="shared" si="150"/>
        <v>0</v>
      </c>
      <c r="M178" s="117">
        <f t="shared" si="151"/>
        <v>0</v>
      </c>
      <c r="N178" s="19"/>
      <c r="O178" s="19"/>
      <c r="P178" s="147"/>
      <c r="Q178" s="193"/>
      <c r="R178" s="193"/>
      <c r="S178" s="193"/>
      <c r="T178" s="193"/>
      <c r="U178" s="193"/>
      <c r="V178" s="193"/>
      <c r="W178" s="185">
        <f>J178</f>
        <v>0</v>
      </c>
      <c r="X178" s="185">
        <f>H178*$M$1</f>
        <v>0</v>
      </c>
    </row>
    <row r="179" spans="1:25" ht="15" customHeight="1" x14ac:dyDescent="0.3">
      <c r="A179" s="262"/>
      <c r="B179" s="117">
        <v>0</v>
      </c>
      <c r="C179" s="117">
        <v>0</v>
      </c>
      <c r="D179" s="148">
        <f>'Data Ocupacion'!AX45</f>
        <v>0</v>
      </c>
      <c r="E179" s="148">
        <f>'Data Ocupacion'!AY45</f>
        <v>0</v>
      </c>
      <c r="F179" s="117" t="s">
        <v>122</v>
      </c>
      <c r="G179" s="117">
        <f t="shared" si="148"/>
        <v>0</v>
      </c>
      <c r="H179" s="117">
        <f t="shared" si="152"/>
        <v>0</v>
      </c>
      <c r="I179" s="117">
        <f t="shared" si="149"/>
        <v>0</v>
      </c>
      <c r="J179" s="117">
        <f>G179*K$1</f>
        <v>0</v>
      </c>
      <c r="K179" s="154">
        <f>I179*K$1</f>
        <v>0</v>
      </c>
      <c r="L179" s="117">
        <f t="shared" si="150"/>
        <v>0</v>
      </c>
      <c r="M179" s="117">
        <f t="shared" si="151"/>
        <v>0</v>
      </c>
      <c r="N179" s="19"/>
      <c r="O179" s="19"/>
      <c r="P179" s="147"/>
      <c r="Q179" s="193"/>
      <c r="R179" s="193"/>
      <c r="S179" s="193"/>
      <c r="T179" s="193"/>
      <c r="U179" s="193"/>
      <c r="V179" s="193"/>
      <c r="W179" s="185">
        <f>J179</f>
        <v>0</v>
      </c>
      <c r="X179" s="185">
        <f>H179*$K$1</f>
        <v>0</v>
      </c>
    </row>
    <row r="180" spans="1:25" ht="15" thickBot="1" x14ac:dyDescent="0.35">
      <c r="A180" s="262"/>
      <c r="B180" s="117">
        <v>0</v>
      </c>
      <c r="C180" s="117">
        <v>0</v>
      </c>
      <c r="D180" s="148">
        <f>'Data Ocupacion'!AX46</f>
        <v>0</v>
      </c>
      <c r="E180" s="148">
        <f>'Data Ocupacion'!AY46</f>
        <v>0</v>
      </c>
      <c r="F180" s="117" t="s">
        <v>35</v>
      </c>
      <c r="G180" s="117">
        <f t="shared" si="148"/>
        <v>0</v>
      </c>
      <c r="H180" s="117">
        <f t="shared" si="152"/>
        <v>0</v>
      </c>
      <c r="I180" s="117">
        <f t="shared" si="149"/>
        <v>0</v>
      </c>
      <c r="J180" s="117">
        <f>G180*K$1</f>
        <v>0</v>
      </c>
      <c r="K180" s="154">
        <f>I180*K$1</f>
        <v>0</v>
      </c>
      <c r="L180" s="117">
        <f t="shared" si="150"/>
        <v>0</v>
      </c>
      <c r="M180" s="117">
        <f t="shared" si="151"/>
        <v>0</v>
      </c>
      <c r="N180" s="19"/>
      <c r="O180" s="19"/>
      <c r="P180" s="147"/>
      <c r="Q180" s="193"/>
      <c r="R180" s="193"/>
      <c r="S180" s="193"/>
      <c r="T180" s="193"/>
      <c r="U180" s="193"/>
      <c r="V180" s="193"/>
      <c r="W180" s="185">
        <f>J180</f>
        <v>0</v>
      </c>
      <c r="X180" s="185">
        <f>H180*$K$1</f>
        <v>0</v>
      </c>
    </row>
    <row r="181" spans="1:25" s="125" customFormat="1" ht="15" thickBot="1" x14ac:dyDescent="0.35">
      <c r="A181" s="20"/>
      <c r="B181" s="224">
        <f>SUM(B175:B180)</f>
        <v>144</v>
      </c>
      <c r="C181" s="224">
        <f>SUM(C175:C180)</f>
        <v>3</v>
      </c>
      <c r="D181" s="149">
        <f>SUM(D175:D180)</f>
        <v>144</v>
      </c>
      <c r="E181" s="149">
        <f>SUM(E175:E180)</f>
        <v>3</v>
      </c>
      <c r="F181" s="120"/>
      <c r="G181" s="120">
        <f t="shared" ref="G181:M181" si="153">SUM(G175:G180)</f>
        <v>150</v>
      </c>
      <c r="H181" s="120">
        <f t="shared" si="153"/>
        <v>150</v>
      </c>
      <c r="I181" s="120">
        <f t="shared" si="153"/>
        <v>147</v>
      </c>
      <c r="J181" s="120">
        <f t="shared" si="153"/>
        <v>6469.5</v>
      </c>
      <c r="K181" s="120">
        <f t="shared" si="153"/>
        <v>6340.1100000000006</v>
      </c>
      <c r="L181" s="120">
        <f t="shared" si="153"/>
        <v>672828</v>
      </c>
      <c r="M181" s="120">
        <f t="shared" si="153"/>
        <v>15288</v>
      </c>
      <c r="N181" s="124">
        <f>'Odometro-Kilometraje'!Y81</f>
        <v>6547</v>
      </c>
      <c r="O181" s="21">
        <f>(W181/N181)*100</f>
        <v>98.81625171834429</v>
      </c>
      <c r="P181" s="196"/>
      <c r="Q181" s="184"/>
      <c r="R181" s="184"/>
      <c r="S181" s="184"/>
      <c r="T181" s="184"/>
      <c r="U181" s="184"/>
      <c r="V181" s="184"/>
      <c r="W181" s="197">
        <f>SUM(W175:W180)</f>
        <v>6469.5</v>
      </c>
      <c r="X181" s="197">
        <f>SUM(X175:X180)</f>
        <v>6469.5</v>
      </c>
    </row>
    <row r="182" spans="1:25" x14ac:dyDescent="0.3">
      <c r="A182" s="61">
        <f>A175+1</f>
        <v>45802</v>
      </c>
      <c r="B182" s="225">
        <v>51</v>
      </c>
      <c r="C182" s="225">
        <v>3</v>
      </c>
      <c r="D182" s="139">
        <f>'Data Ocupacion'!AZ41</f>
        <v>51</v>
      </c>
      <c r="E182" s="139">
        <f>'Data Ocupacion'!BA41</f>
        <v>3</v>
      </c>
      <c r="F182" s="225" t="s">
        <v>38</v>
      </c>
      <c r="G182" s="225">
        <f t="shared" ref="G182:G187" si="154">D182+E182*2</f>
        <v>57</v>
      </c>
      <c r="H182" s="225">
        <f>B182+C182*2</f>
        <v>57</v>
      </c>
      <c r="I182" s="225">
        <f t="shared" ref="I182:I187" si="155">D182+E182</f>
        <v>54</v>
      </c>
      <c r="J182" s="225">
        <f>G182*M$2</f>
        <v>2458.4100000000003</v>
      </c>
      <c r="K182" s="154">
        <f>I182*M$2</f>
        <v>2329.02</v>
      </c>
      <c r="L182" s="225">
        <f t="shared" ref="L182:L187" si="156">J182*104</f>
        <v>255674.64000000004</v>
      </c>
      <c r="M182" s="225">
        <f t="shared" ref="M182:M187" si="157">I182*104</f>
        <v>5616</v>
      </c>
      <c r="N182" s="19"/>
      <c r="O182" s="19"/>
      <c r="P182" s="147"/>
      <c r="Q182" s="186"/>
      <c r="R182" s="186"/>
      <c r="S182" s="211"/>
      <c r="T182" s="251"/>
      <c r="U182" s="195"/>
      <c r="V182" s="235"/>
      <c r="W182" s="185">
        <f>J182-(Q182*($M$2-$K$1))-(R182*($M$2-$M$1))- (S182*($M$2-$I$2))+ (T182*($G$2))</f>
        <v>2458.4100000000003</v>
      </c>
      <c r="X182" s="185">
        <f>H182*$M$2</f>
        <v>2458.4100000000003</v>
      </c>
    </row>
    <row r="183" spans="1:25" ht="18" customHeight="1" x14ac:dyDescent="0.3">
      <c r="A183" s="206"/>
      <c r="B183" s="225">
        <v>57</v>
      </c>
      <c r="C183" s="225">
        <v>0</v>
      </c>
      <c r="D183" s="139">
        <f>'Data Ocupacion'!AZ42</f>
        <v>57</v>
      </c>
      <c r="E183" s="139">
        <f>'Data Ocupacion'!BA42</f>
        <v>0</v>
      </c>
      <c r="F183" s="225" t="s">
        <v>52</v>
      </c>
      <c r="G183" s="225">
        <f t="shared" si="154"/>
        <v>57</v>
      </c>
      <c r="H183" s="225">
        <f t="shared" ref="H183:H187" si="158">B183+C183*2</f>
        <v>57</v>
      </c>
      <c r="I183" s="225">
        <f t="shared" si="155"/>
        <v>57</v>
      </c>
      <c r="J183" s="225">
        <f>G183*M$2</f>
        <v>2458.4100000000003</v>
      </c>
      <c r="K183" s="154">
        <f>I183*M$2</f>
        <v>2458.4100000000003</v>
      </c>
      <c r="L183" s="225">
        <f t="shared" si="156"/>
        <v>255674.64000000004</v>
      </c>
      <c r="M183" s="225">
        <f t="shared" si="157"/>
        <v>5928</v>
      </c>
      <c r="N183" s="19"/>
      <c r="O183" s="19"/>
      <c r="P183" s="147"/>
      <c r="Q183" s="190"/>
      <c r="R183" s="190"/>
      <c r="S183" s="223"/>
      <c r="T183" s="186"/>
      <c r="U183" s="223"/>
      <c r="V183" s="236"/>
      <c r="W183" s="188">
        <f>J183-(T183*($M$2-$K$1)+(U183*($M$2-$M$1)))</f>
        <v>2458.4100000000003</v>
      </c>
      <c r="X183" s="185">
        <f>H183*$M$2</f>
        <v>2458.4100000000003</v>
      </c>
      <c r="Y183" s="173"/>
    </row>
    <row r="184" spans="1:25" x14ac:dyDescent="0.3">
      <c r="A184" s="206"/>
      <c r="B184" s="225">
        <v>0</v>
      </c>
      <c r="C184" s="225">
        <v>0</v>
      </c>
      <c r="D184" s="139">
        <f>'Data Ocupacion'!AZ43</f>
        <v>0</v>
      </c>
      <c r="E184" s="139">
        <f>'Data Ocupacion'!BA43</f>
        <v>0</v>
      </c>
      <c r="F184" s="225" t="s">
        <v>36</v>
      </c>
      <c r="G184" s="225">
        <f t="shared" si="154"/>
        <v>0</v>
      </c>
      <c r="H184" s="225">
        <f t="shared" si="158"/>
        <v>0</v>
      </c>
      <c r="I184" s="225">
        <f t="shared" si="155"/>
        <v>0</v>
      </c>
      <c r="J184" s="225">
        <f>G184*M$1</f>
        <v>0</v>
      </c>
      <c r="K184" s="154">
        <f>I184*M$1</f>
        <v>0</v>
      </c>
      <c r="L184" s="225">
        <f t="shared" si="156"/>
        <v>0</v>
      </c>
      <c r="M184" s="225">
        <f t="shared" si="157"/>
        <v>0</v>
      </c>
      <c r="N184" s="19"/>
      <c r="O184" s="19"/>
      <c r="P184" s="147"/>
      <c r="Q184" s="189"/>
      <c r="R184" s="191"/>
      <c r="S184" s="212"/>
      <c r="T184" s="192"/>
      <c r="U184" s="193"/>
      <c r="V184" s="193"/>
      <c r="W184" s="185">
        <f>J184-(Q184*($M$1-$K$1))</f>
        <v>0</v>
      </c>
      <c r="X184" s="185">
        <f>H184*$M$1</f>
        <v>0</v>
      </c>
    </row>
    <row r="185" spans="1:25" ht="15" customHeight="1" x14ac:dyDescent="0.3">
      <c r="A185" s="206"/>
      <c r="B185" s="225">
        <v>0</v>
      </c>
      <c r="C185" s="225">
        <v>0</v>
      </c>
      <c r="D185" s="139">
        <f>'Data Ocupacion'!AZ44</f>
        <v>0</v>
      </c>
      <c r="E185" s="139">
        <f>'Data Ocupacion'!BA44</f>
        <v>0</v>
      </c>
      <c r="F185" s="225" t="s">
        <v>53</v>
      </c>
      <c r="G185" s="225">
        <f t="shared" si="154"/>
        <v>0</v>
      </c>
      <c r="H185" s="225">
        <f t="shared" si="158"/>
        <v>0</v>
      </c>
      <c r="I185" s="225">
        <f t="shared" si="155"/>
        <v>0</v>
      </c>
      <c r="J185" s="225">
        <f>G185*M$1</f>
        <v>0</v>
      </c>
      <c r="K185" s="154">
        <f>I185*M$1</f>
        <v>0</v>
      </c>
      <c r="L185" s="225">
        <f t="shared" si="156"/>
        <v>0</v>
      </c>
      <c r="M185" s="225">
        <f t="shared" si="157"/>
        <v>0</v>
      </c>
      <c r="N185" s="19"/>
      <c r="O185" s="19"/>
      <c r="P185" s="147"/>
      <c r="Q185" s="193"/>
      <c r="R185" s="193"/>
      <c r="S185" s="193"/>
      <c r="T185" s="193"/>
      <c r="U185" s="193"/>
      <c r="V185" s="193"/>
      <c r="W185" s="185">
        <f>J185</f>
        <v>0</v>
      </c>
      <c r="X185" s="185">
        <f>H185*$M$1</f>
        <v>0</v>
      </c>
    </row>
    <row r="186" spans="1:25" ht="15.9" customHeight="1" x14ac:dyDescent="0.3">
      <c r="A186" s="206"/>
      <c r="B186" s="225">
        <v>0</v>
      </c>
      <c r="C186" s="225">
        <v>0</v>
      </c>
      <c r="D186" s="139">
        <f>'Data Ocupacion'!AZ45</f>
        <v>0</v>
      </c>
      <c r="E186" s="139">
        <f>'Data Ocupacion'!BA45</f>
        <v>0</v>
      </c>
      <c r="F186" s="225" t="s">
        <v>122</v>
      </c>
      <c r="G186" s="225">
        <f t="shared" si="154"/>
        <v>0</v>
      </c>
      <c r="H186" s="225">
        <f t="shared" si="158"/>
        <v>0</v>
      </c>
      <c r="I186" s="225">
        <f t="shared" si="155"/>
        <v>0</v>
      </c>
      <c r="J186" s="225">
        <f>G186*K$1</f>
        <v>0</v>
      </c>
      <c r="K186" s="154">
        <f>I186*K$1</f>
        <v>0</v>
      </c>
      <c r="L186" s="225">
        <f t="shared" si="156"/>
        <v>0</v>
      </c>
      <c r="M186" s="225">
        <f t="shared" si="157"/>
        <v>0</v>
      </c>
      <c r="N186" s="19"/>
      <c r="O186" s="19"/>
      <c r="P186" s="147"/>
      <c r="Q186" s="193"/>
      <c r="R186" s="193"/>
      <c r="S186" s="193"/>
      <c r="T186" s="193"/>
      <c r="U186" s="193"/>
      <c r="V186" s="193"/>
      <c r="W186" s="185">
        <f>J186</f>
        <v>0</v>
      </c>
      <c r="X186" s="185">
        <f>H186*$K$1</f>
        <v>0</v>
      </c>
    </row>
    <row r="187" spans="1:25" ht="15" thickBot="1" x14ac:dyDescent="0.35">
      <c r="A187" s="206"/>
      <c r="B187" s="225">
        <v>0</v>
      </c>
      <c r="C187" s="225">
        <v>0</v>
      </c>
      <c r="D187" s="139">
        <f>'Data Ocupacion'!AZ46</f>
        <v>0</v>
      </c>
      <c r="E187" s="139">
        <f>'Data Ocupacion'!BA46</f>
        <v>0</v>
      </c>
      <c r="F187" s="225" t="s">
        <v>35</v>
      </c>
      <c r="G187" s="225">
        <f t="shared" si="154"/>
        <v>0</v>
      </c>
      <c r="H187" s="225">
        <f t="shared" si="158"/>
        <v>0</v>
      </c>
      <c r="I187" s="225">
        <f t="shared" si="155"/>
        <v>0</v>
      </c>
      <c r="J187" s="225">
        <f>G187*K$1</f>
        <v>0</v>
      </c>
      <c r="K187" s="154">
        <f>I187*K$1</f>
        <v>0</v>
      </c>
      <c r="L187" s="225">
        <f t="shared" si="156"/>
        <v>0</v>
      </c>
      <c r="M187" s="225">
        <f t="shared" si="157"/>
        <v>0</v>
      </c>
      <c r="N187" s="19"/>
      <c r="O187" s="19"/>
      <c r="P187" s="147"/>
      <c r="Q187" s="193"/>
      <c r="R187" s="193"/>
      <c r="S187" s="193"/>
      <c r="T187" s="193"/>
      <c r="U187" s="193"/>
      <c r="V187" s="193"/>
      <c r="W187" s="185">
        <f>J187</f>
        <v>0</v>
      </c>
      <c r="X187" s="185">
        <f>H187*$K$1</f>
        <v>0</v>
      </c>
    </row>
    <row r="188" spans="1:25" s="125" customFormat="1" ht="15" thickBot="1" x14ac:dyDescent="0.35">
      <c r="A188" s="205"/>
      <c r="B188" s="224">
        <f>SUM(B182:B187)</f>
        <v>108</v>
      </c>
      <c r="C188" s="224">
        <f>SUM(C182:C187)</f>
        <v>3</v>
      </c>
      <c r="D188" s="153">
        <f>SUM(D182:D187)</f>
        <v>108</v>
      </c>
      <c r="E188" s="153">
        <f>SUM(E182:E187)</f>
        <v>3</v>
      </c>
      <c r="F188" s="120"/>
      <c r="G188" s="120">
        <f t="shared" ref="G188:M188" si="159">SUM(G182:G187)</f>
        <v>114</v>
      </c>
      <c r="H188" s="120">
        <f t="shared" si="159"/>
        <v>114</v>
      </c>
      <c r="I188" s="120">
        <f t="shared" si="159"/>
        <v>111</v>
      </c>
      <c r="J188" s="121">
        <f t="shared" si="159"/>
        <v>4916.8200000000006</v>
      </c>
      <c r="K188" s="120">
        <f t="shared" si="159"/>
        <v>4787.43</v>
      </c>
      <c r="L188" s="119">
        <f t="shared" si="159"/>
        <v>511349.28000000009</v>
      </c>
      <c r="M188" s="152">
        <f t="shared" si="159"/>
        <v>11544</v>
      </c>
      <c r="N188" s="124">
        <f>'Odometro-Kilometraje'!Z81</f>
        <v>4972</v>
      </c>
      <c r="O188" s="21">
        <f>(W188/N188)*100</f>
        <v>98.890185036202752</v>
      </c>
      <c r="P188" s="196"/>
      <c r="Q188" s="184"/>
      <c r="R188" s="184"/>
      <c r="S188" s="184"/>
      <c r="T188" s="184"/>
      <c r="U188" s="184"/>
      <c r="V188" s="184"/>
      <c r="W188" s="197">
        <f>SUM(W182:W187)</f>
        <v>4916.8200000000006</v>
      </c>
      <c r="X188" s="197">
        <f>SUM(X182:X187)</f>
        <v>4916.8200000000006</v>
      </c>
    </row>
    <row r="189" spans="1:25" x14ac:dyDescent="0.3">
      <c r="A189" s="61">
        <f>A182+1</f>
        <v>45803</v>
      </c>
      <c r="B189" s="126">
        <v>47</v>
      </c>
      <c r="C189" s="126">
        <v>32</v>
      </c>
      <c r="D189" s="148">
        <f>'Data Ocupacion'!BB41</f>
        <v>49</v>
      </c>
      <c r="E189" s="148">
        <f>'Data Ocupacion'!BC41</f>
        <v>30</v>
      </c>
      <c r="F189" s="126" t="s">
        <v>38</v>
      </c>
      <c r="G189" s="126">
        <f t="shared" ref="G189:G194" si="160">D189+E189*2</f>
        <v>109</v>
      </c>
      <c r="H189" s="126">
        <f>B189+C189*2</f>
        <v>111</v>
      </c>
      <c r="I189" s="126">
        <f t="shared" ref="I189:I194" si="161">D189+E189</f>
        <v>79</v>
      </c>
      <c r="J189" s="126">
        <f>G189*M$2</f>
        <v>4701.17</v>
      </c>
      <c r="K189" s="154">
        <f>I189*M$2</f>
        <v>3407.27</v>
      </c>
      <c r="L189" s="126">
        <f t="shared" ref="L189:L194" si="162">J189*104</f>
        <v>488921.68</v>
      </c>
      <c r="M189" s="126">
        <f t="shared" ref="M189:M194" si="163">I189*104</f>
        <v>8216</v>
      </c>
      <c r="N189" s="19"/>
      <c r="O189" s="19"/>
      <c r="P189" s="147"/>
      <c r="Q189" s="251">
        <v>4</v>
      </c>
      <c r="R189" s="186"/>
      <c r="S189" s="211"/>
      <c r="T189" s="251">
        <v>2</v>
      </c>
      <c r="U189" s="195"/>
      <c r="V189" s="235"/>
      <c r="W189" s="185">
        <f>J189-(Q189*($M$2-$K$1))-(R189*($M$2-$M$1))- (S189*($M$2-$I$2))+ (T189*($G$2))</f>
        <v>4665.71</v>
      </c>
      <c r="X189" s="185">
        <f>H189*$M$2</f>
        <v>4787.43</v>
      </c>
    </row>
    <row r="190" spans="1:25" ht="15" customHeight="1" x14ac:dyDescent="0.3">
      <c r="A190" s="262"/>
      <c r="B190" s="126">
        <v>45</v>
      </c>
      <c r="C190" s="126">
        <v>33</v>
      </c>
      <c r="D190" s="148">
        <f>'Data Ocupacion'!BB42</f>
        <v>47</v>
      </c>
      <c r="E190" s="148">
        <f>'Data Ocupacion'!BC42</f>
        <v>31</v>
      </c>
      <c r="F190" s="126" t="s">
        <v>52</v>
      </c>
      <c r="G190" s="126">
        <f t="shared" si="160"/>
        <v>109</v>
      </c>
      <c r="H190" s="126">
        <f t="shared" ref="H190:H194" si="164">B190+C190*2</f>
        <v>111</v>
      </c>
      <c r="I190" s="126">
        <f t="shared" si="161"/>
        <v>78</v>
      </c>
      <c r="J190" s="126">
        <f>G190*M$2</f>
        <v>4701.17</v>
      </c>
      <c r="K190" s="154">
        <f>I190*M$2</f>
        <v>3364.1400000000003</v>
      </c>
      <c r="L190" s="126">
        <f t="shared" si="162"/>
        <v>488921.68</v>
      </c>
      <c r="M190" s="126">
        <f t="shared" si="163"/>
        <v>8112</v>
      </c>
      <c r="N190" s="19"/>
      <c r="O190" s="19"/>
      <c r="P190" s="147"/>
      <c r="Q190" s="190"/>
      <c r="R190" s="190"/>
      <c r="S190" s="223"/>
      <c r="T190" s="251"/>
      <c r="U190" s="186"/>
      <c r="V190" s="211"/>
      <c r="W190" s="185">
        <f>J190-(Q190*($M$2-$K$1)+(R190*($M$2-$M$1))+  (S190*($M$2-$I$2)))</f>
        <v>4701.17</v>
      </c>
      <c r="X190" s="185">
        <f>H190*$M$2</f>
        <v>4787.43</v>
      </c>
    </row>
    <row r="191" spans="1:25" x14ac:dyDescent="0.3">
      <c r="A191" s="262"/>
      <c r="B191" s="126">
        <v>29</v>
      </c>
      <c r="C191" s="126">
        <v>4</v>
      </c>
      <c r="D191" s="127">
        <f>'Data Ocupacion'!BB43</f>
        <v>29</v>
      </c>
      <c r="E191" s="127">
        <f>'Data Ocupacion'!BC43</f>
        <v>4</v>
      </c>
      <c r="F191" s="126" t="s">
        <v>36</v>
      </c>
      <c r="G191" s="126">
        <f t="shared" si="160"/>
        <v>37</v>
      </c>
      <c r="H191" s="126">
        <f t="shared" si="164"/>
        <v>37</v>
      </c>
      <c r="I191" s="126">
        <f t="shared" si="161"/>
        <v>33</v>
      </c>
      <c r="J191" s="126">
        <f>G191*M$1</f>
        <v>1077.07</v>
      </c>
      <c r="K191" s="154">
        <f>I191*M$1</f>
        <v>960.63</v>
      </c>
      <c r="L191" s="126">
        <f t="shared" si="162"/>
        <v>112015.28</v>
      </c>
      <c r="M191" s="126">
        <f t="shared" si="163"/>
        <v>3432</v>
      </c>
      <c r="N191" s="19"/>
      <c r="O191" s="19" t="s">
        <v>147</v>
      </c>
      <c r="P191" s="147"/>
      <c r="Q191" s="189"/>
      <c r="R191" s="191"/>
      <c r="S191" s="212"/>
      <c r="T191" s="192"/>
      <c r="U191" s="193"/>
      <c r="V191" s="193"/>
      <c r="W191" s="185">
        <f>J191-(Q191*($M$1-$K$1))</f>
        <v>1077.07</v>
      </c>
      <c r="X191" s="185">
        <f>H191*$M$1</f>
        <v>1077.07</v>
      </c>
    </row>
    <row r="192" spans="1:25" ht="15" customHeight="1" x14ac:dyDescent="0.3">
      <c r="A192" s="262"/>
      <c r="B192" s="126">
        <v>28</v>
      </c>
      <c r="C192" s="126">
        <v>4</v>
      </c>
      <c r="D192" s="127">
        <f>'Data Ocupacion'!BB44</f>
        <v>28</v>
      </c>
      <c r="E192" s="127">
        <f>'Data Ocupacion'!BC44</f>
        <v>4</v>
      </c>
      <c r="F192" s="126" t="s">
        <v>53</v>
      </c>
      <c r="G192" s="126">
        <f t="shared" si="160"/>
        <v>36</v>
      </c>
      <c r="H192" s="126">
        <f t="shared" si="164"/>
        <v>36</v>
      </c>
      <c r="I192" s="126">
        <f t="shared" si="161"/>
        <v>32</v>
      </c>
      <c r="J192" s="126">
        <f>G192*M$1</f>
        <v>1047.96</v>
      </c>
      <c r="K192" s="154">
        <f>I192*M$1</f>
        <v>931.52</v>
      </c>
      <c r="L192" s="126">
        <f t="shared" si="162"/>
        <v>108987.84</v>
      </c>
      <c r="M192" s="126">
        <f t="shared" si="163"/>
        <v>3328</v>
      </c>
      <c r="N192" s="19"/>
      <c r="O192" s="19"/>
      <c r="P192" s="147"/>
      <c r="Q192" s="193"/>
      <c r="R192" s="193"/>
      <c r="S192" s="193"/>
      <c r="T192" s="193"/>
      <c r="U192" s="193"/>
      <c r="V192" s="193"/>
      <c r="W192" s="185">
        <f>J192</f>
        <v>1047.96</v>
      </c>
      <c r="X192" s="185">
        <f>H192*$M$1</f>
        <v>1047.96</v>
      </c>
    </row>
    <row r="193" spans="1:24" ht="15" customHeight="1" x14ac:dyDescent="0.3">
      <c r="A193" s="262"/>
      <c r="B193" s="126">
        <v>0</v>
      </c>
      <c r="C193" s="126">
        <v>0</v>
      </c>
      <c r="D193" s="127">
        <f>'Data Ocupacion'!BB45</f>
        <v>0</v>
      </c>
      <c r="E193" s="127">
        <f>'Data Ocupacion'!BC45</f>
        <v>0</v>
      </c>
      <c r="F193" s="126" t="s">
        <v>122</v>
      </c>
      <c r="G193" s="126">
        <f t="shared" si="160"/>
        <v>0</v>
      </c>
      <c r="H193" s="126">
        <f t="shared" si="164"/>
        <v>0</v>
      </c>
      <c r="I193" s="126">
        <f t="shared" si="161"/>
        <v>0</v>
      </c>
      <c r="J193" s="126">
        <f>G193*K$1</f>
        <v>0</v>
      </c>
      <c r="K193" s="154">
        <f>I193*K$1</f>
        <v>0</v>
      </c>
      <c r="L193" s="126">
        <f t="shared" si="162"/>
        <v>0</v>
      </c>
      <c r="M193" s="126">
        <f t="shared" si="163"/>
        <v>0</v>
      </c>
      <c r="N193" s="19"/>
      <c r="O193" s="19"/>
      <c r="P193" s="147"/>
      <c r="Q193" s="193"/>
      <c r="R193" s="193"/>
      <c r="S193" s="193"/>
      <c r="T193" s="193"/>
      <c r="U193" s="193"/>
      <c r="V193" s="193"/>
      <c r="W193" s="185">
        <f>J193</f>
        <v>0</v>
      </c>
      <c r="X193" s="185">
        <f>H193*$K$1</f>
        <v>0</v>
      </c>
    </row>
    <row r="194" spans="1:24" ht="15" customHeight="1" thickBot="1" x14ac:dyDescent="0.35">
      <c r="A194" s="262"/>
      <c r="B194" s="126">
        <v>1</v>
      </c>
      <c r="C194" s="126">
        <v>0</v>
      </c>
      <c r="D194" s="127">
        <f>'Data Ocupacion'!BB46</f>
        <v>1</v>
      </c>
      <c r="E194" s="127">
        <f>'Data Ocupacion'!BC46</f>
        <v>0</v>
      </c>
      <c r="F194" s="126" t="s">
        <v>35</v>
      </c>
      <c r="G194" s="126">
        <f t="shared" si="160"/>
        <v>1</v>
      </c>
      <c r="H194" s="126">
        <f t="shared" si="164"/>
        <v>1</v>
      </c>
      <c r="I194" s="126">
        <f t="shared" si="161"/>
        <v>1</v>
      </c>
      <c r="J194" s="126">
        <f>G194*K$1</f>
        <v>25.4</v>
      </c>
      <c r="K194" s="154">
        <f>I194*K$1</f>
        <v>25.4</v>
      </c>
      <c r="L194" s="126">
        <f t="shared" si="162"/>
        <v>2641.6</v>
      </c>
      <c r="M194" s="126">
        <f t="shared" si="163"/>
        <v>104</v>
      </c>
      <c r="N194" s="19"/>
      <c r="O194" s="19"/>
      <c r="P194" s="147"/>
      <c r="Q194" s="193"/>
      <c r="R194" s="193"/>
      <c r="S194" s="193"/>
      <c r="T194" s="193"/>
      <c r="U194" s="193"/>
      <c r="V194" s="193"/>
      <c r="W194" s="185">
        <f>J194</f>
        <v>25.4</v>
      </c>
      <c r="X194" s="185">
        <f>H194*$K$1</f>
        <v>25.4</v>
      </c>
    </row>
    <row r="195" spans="1:24" s="125" customFormat="1" ht="15" thickBot="1" x14ac:dyDescent="0.35">
      <c r="A195" s="20"/>
      <c r="B195" s="224">
        <f>SUM(B189:B194)</f>
        <v>150</v>
      </c>
      <c r="C195" s="224">
        <f>SUM(C189:C194)</f>
        <v>73</v>
      </c>
      <c r="D195" s="153">
        <f>SUM(D189:D194)</f>
        <v>154</v>
      </c>
      <c r="E195" s="153">
        <f>SUM(E189:E194)</f>
        <v>69</v>
      </c>
      <c r="F195" s="120"/>
      <c r="G195" s="120">
        <f t="shared" ref="G195:M195" si="165">SUM(G189:G194)</f>
        <v>292</v>
      </c>
      <c r="H195" s="120">
        <f t="shared" si="165"/>
        <v>296</v>
      </c>
      <c r="I195" s="120">
        <f t="shared" si="165"/>
        <v>223</v>
      </c>
      <c r="J195" s="121">
        <f t="shared" si="165"/>
        <v>11552.769999999999</v>
      </c>
      <c r="K195" s="120">
        <f t="shared" si="165"/>
        <v>8688.9599999999991</v>
      </c>
      <c r="L195" s="119">
        <f t="shared" si="165"/>
        <v>1201488.08</v>
      </c>
      <c r="M195" s="152">
        <f t="shared" si="165"/>
        <v>23192</v>
      </c>
      <c r="N195" s="124">
        <f>'Odometro-Kilometraje'!AA81</f>
        <v>11947</v>
      </c>
      <c r="O195" s="21">
        <f>(W195/N195)*100</f>
        <v>96.403364861471502</v>
      </c>
      <c r="P195" s="196"/>
      <c r="Q195" s="184"/>
      <c r="R195" s="184"/>
      <c r="S195" s="184"/>
      <c r="T195" s="184"/>
      <c r="U195" s="184"/>
      <c r="V195" s="184"/>
      <c r="W195" s="197">
        <f>SUM(W189:W194)</f>
        <v>11517.31</v>
      </c>
      <c r="X195" s="197">
        <f>SUM(X189:X194)</f>
        <v>11725.289999999999</v>
      </c>
    </row>
    <row r="196" spans="1:24" x14ac:dyDescent="0.3">
      <c r="A196" s="61">
        <f>A189+1</f>
        <v>45804</v>
      </c>
      <c r="B196" s="126">
        <v>47</v>
      </c>
      <c r="C196" s="126">
        <v>32</v>
      </c>
      <c r="D196" s="139">
        <f>'Data Ocupacion'!BD41</f>
        <v>48</v>
      </c>
      <c r="E196" s="139">
        <f>'Data Ocupacion'!BE41</f>
        <v>31</v>
      </c>
      <c r="F196" s="126" t="s">
        <v>38</v>
      </c>
      <c r="G196" s="126">
        <f t="shared" ref="G196:G201" si="166">D196+E196*2</f>
        <v>110</v>
      </c>
      <c r="H196" s="126">
        <f>B196+C196*2</f>
        <v>111</v>
      </c>
      <c r="I196" s="126">
        <f t="shared" ref="I196:I201" si="167">D196+E196</f>
        <v>79</v>
      </c>
      <c r="J196" s="126">
        <f>G196*M$2</f>
        <v>4744.3</v>
      </c>
      <c r="K196" s="154">
        <f>I196*M$2</f>
        <v>3407.27</v>
      </c>
      <c r="L196" s="126">
        <f t="shared" ref="L196:L201" si="168">J196*104</f>
        <v>493407.2</v>
      </c>
      <c r="M196" s="126">
        <f t="shared" ref="M196:M201" si="169">I196*104</f>
        <v>8216</v>
      </c>
      <c r="N196" s="19"/>
      <c r="O196" s="19"/>
      <c r="P196" s="147"/>
      <c r="Q196" s="186">
        <v>3</v>
      </c>
      <c r="R196" s="186"/>
      <c r="S196" s="211"/>
      <c r="T196" s="251">
        <v>4</v>
      </c>
      <c r="U196" s="195"/>
      <c r="V196" s="235"/>
      <c r="W196" s="185">
        <f>J196-(Q196*($M$2-$K$1))-(R196*($M$2-$M$1))- (S196*($M$2-$I$2))+ (T196*($G$2))</f>
        <v>4762.0300000000007</v>
      </c>
      <c r="X196" s="185">
        <f>H196*$M$2</f>
        <v>4787.43</v>
      </c>
    </row>
    <row r="197" spans="1:24" ht="18" customHeight="1" x14ac:dyDescent="0.3">
      <c r="A197" s="262"/>
      <c r="B197" s="126">
        <v>45</v>
      </c>
      <c r="C197" s="126">
        <v>33</v>
      </c>
      <c r="D197" s="139">
        <f>'Data Ocupacion'!BD42</f>
        <v>46</v>
      </c>
      <c r="E197" s="139">
        <f>'Data Ocupacion'!BE42</f>
        <v>32</v>
      </c>
      <c r="F197" s="126" t="s">
        <v>52</v>
      </c>
      <c r="G197" s="126">
        <f t="shared" si="166"/>
        <v>110</v>
      </c>
      <c r="H197" s="126">
        <f t="shared" ref="H197:H201" si="170">B197+C197*2</f>
        <v>111</v>
      </c>
      <c r="I197" s="126">
        <f t="shared" si="167"/>
        <v>78</v>
      </c>
      <c r="J197" s="126">
        <f>G197*M$2</f>
        <v>4744.3</v>
      </c>
      <c r="K197" s="154">
        <f>I197*M$2</f>
        <v>3364.1400000000003</v>
      </c>
      <c r="L197" s="126">
        <f t="shared" si="168"/>
        <v>493407.2</v>
      </c>
      <c r="M197" s="126">
        <f t="shared" si="169"/>
        <v>8112</v>
      </c>
      <c r="N197" s="19"/>
      <c r="O197" s="19"/>
      <c r="P197" s="147"/>
      <c r="Q197" s="190"/>
      <c r="R197" s="190"/>
      <c r="S197" s="223"/>
      <c r="T197" s="186"/>
      <c r="U197" s="223"/>
      <c r="V197" s="236"/>
      <c r="W197" s="188">
        <f>J197-(T197*($M$2-$K$1)+(U197*($M$2-$M$1)))</f>
        <v>4744.3</v>
      </c>
      <c r="X197" s="185">
        <f>H197*$M$2</f>
        <v>4787.43</v>
      </c>
    </row>
    <row r="198" spans="1:24" ht="15" customHeight="1" x14ac:dyDescent="0.3">
      <c r="A198" s="262"/>
      <c r="B198" s="126">
        <v>29</v>
      </c>
      <c r="C198" s="126">
        <v>4</v>
      </c>
      <c r="D198" s="127">
        <f>'Data Ocupacion'!BD43</f>
        <v>29</v>
      </c>
      <c r="E198" s="127">
        <f>'Data Ocupacion'!BE43</f>
        <v>4</v>
      </c>
      <c r="F198" s="126" t="s">
        <v>36</v>
      </c>
      <c r="G198" s="126">
        <f t="shared" si="166"/>
        <v>37</v>
      </c>
      <c r="H198" s="126">
        <f t="shared" si="170"/>
        <v>37</v>
      </c>
      <c r="I198" s="126">
        <f t="shared" si="167"/>
        <v>33</v>
      </c>
      <c r="J198" s="126">
        <f>G198*M$1</f>
        <v>1077.07</v>
      </c>
      <c r="K198" s="154">
        <f>I198*M$1</f>
        <v>960.63</v>
      </c>
      <c r="L198" s="126">
        <f t="shared" si="168"/>
        <v>112015.28</v>
      </c>
      <c r="M198" s="126">
        <f t="shared" si="169"/>
        <v>3432</v>
      </c>
      <c r="N198" s="19"/>
      <c r="O198" s="19"/>
      <c r="P198" s="147"/>
      <c r="Q198" s="189"/>
      <c r="R198" s="191"/>
      <c r="S198" s="212"/>
      <c r="T198" s="192"/>
      <c r="U198" s="193"/>
      <c r="V198" s="193"/>
      <c r="W198" s="185">
        <f>J198-(Q198*($M$1-$K$1))</f>
        <v>1077.07</v>
      </c>
      <c r="X198" s="185">
        <f>H198*$M$1</f>
        <v>1077.07</v>
      </c>
    </row>
    <row r="199" spans="1:24" ht="15" customHeight="1" x14ac:dyDescent="0.3">
      <c r="A199" s="262"/>
      <c r="B199" s="126">
        <v>28</v>
      </c>
      <c r="C199" s="126">
        <v>4</v>
      </c>
      <c r="D199" s="127">
        <f>'Data Ocupacion'!BD44</f>
        <v>28</v>
      </c>
      <c r="E199" s="127">
        <f>'Data Ocupacion'!BE44</f>
        <v>4</v>
      </c>
      <c r="F199" s="126" t="s">
        <v>53</v>
      </c>
      <c r="G199" s="126">
        <f t="shared" si="166"/>
        <v>36</v>
      </c>
      <c r="H199" s="126">
        <f t="shared" si="170"/>
        <v>36</v>
      </c>
      <c r="I199" s="126">
        <f t="shared" si="167"/>
        <v>32</v>
      </c>
      <c r="J199" s="126">
        <f>G199*M$1</f>
        <v>1047.96</v>
      </c>
      <c r="K199" s="154">
        <f>I199*M$1</f>
        <v>931.52</v>
      </c>
      <c r="L199" s="126">
        <f t="shared" si="168"/>
        <v>108987.84</v>
      </c>
      <c r="M199" s="126">
        <f t="shared" si="169"/>
        <v>3328</v>
      </c>
      <c r="N199" s="19"/>
      <c r="O199" s="19"/>
      <c r="P199" s="147"/>
      <c r="Q199" s="193"/>
      <c r="R199" s="193"/>
      <c r="S199" s="193"/>
      <c r="T199" s="193"/>
      <c r="U199" s="193"/>
      <c r="V199" s="193"/>
      <c r="W199" s="185">
        <f>J199</f>
        <v>1047.96</v>
      </c>
      <c r="X199" s="185">
        <f>H199*$M$1</f>
        <v>1047.96</v>
      </c>
    </row>
    <row r="200" spans="1:24" ht="15" customHeight="1" x14ac:dyDescent="0.3">
      <c r="A200" s="262"/>
      <c r="B200" s="126">
        <v>0</v>
      </c>
      <c r="C200" s="126">
        <v>0</v>
      </c>
      <c r="D200" s="127">
        <f>'Data Ocupacion'!BD45</f>
        <v>0</v>
      </c>
      <c r="E200" s="127">
        <f>'Data Ocupacion'!BE45</f>
        <v>0</v>
      </c>
      <c r="F200" s="126" t="s">
        <v>122</v>
      </c>
      <c r="G200" s="126">
        <f t="shared" si="166"/>
        <v>0</v>
      </c>
      <c r="H200" s="126">
        <f t="shared" si="170"/>
        <v>0</v>
      </c>
      <c r="I200" s="126">
        <f t="shared" si="167"/>
        <v>0</v>
      </c>
      <c r="J200" s="126">
        <f>G200*K$1</f>
        <v>0</v>
      </c>
      <c r="K200" s="154">
        <f>I200*K$1</f>
        <v>0</v>
      </c>
      <c r="L200" s="126">
        <f t="shared" si="168"/>
        <v>0</v>
      </c>
      <c r="M200" s="126">
        <f t="shared" si="169"/>
        <v>0</v>
      </c>
      <c r="N200" s="19"/>
      <c r="O200" s="19"/>
      <c r="P200" s="147"/>
      <c r="Q200" s="193"/>
      <c r="R200" s="193"/>
      <c r="S200" s="193"/>
      <c r="T200" s="193"/>
      <c r="U200" s="193"/>
      <c r="V200" s="193"/>
      <c r="W200" s="185">
        <f>J200</f>
        <v>0</v>
      </c>
      <c r="X200" s="185">
        <f>H200*$K$1</f>
        <v>0</v>
      </c>
    </row>
    <row r="201" spans="1:24" ht="15.75" customHeight="1" thickBot="1" x14ac:dyDescent="0.35">
      <c r="A201" s="262"/>
      <c r="B201" s="126">
        <v>1</v>
      </c>
      <c r="C201" s="126">
        <v>0</v>
      </c>
      <c r="D201" s="127">
        <f>'Data Ocupacion'!BD46</f>
        <v>1</v>
      </c>
      <c r="E201" s="127">
        <f>'Data Ocupacion'!BE46</f>
        <v>0</v>
      </c>
      <c r="F201" s="126" t="s">
        <v>35</v>
      </c>
      <c r="G201" s="126">
        <f t="shared" si="166"/>
        <v>1</v>
      </c>
      <c r="H201" s="126">
        <f t="shared" si="170"/>
        <v>1</v>
      </c>
      <c r="I201" s="126">
        <f t="shared" si="167"/>
        <v>1</v>
      </c>
      <c r="J201" s="126">
        <f>G201*K$1</f>
        <v>25.4</v>
      </c>
      <c r="K201" s="154">
        <f>I201*K$1</f>
        <v>25.4</v>
      </c>
      <c r="L201" s="126">
        <f t="shared" si="168"/>
        <v>2641.6</v>
      </c>
      <c r="M201" s="126">
        <f t="shared" si="169"/>
        <v>104</v>
      </c>
      <c r="N201" s="19"/>
      <c r="O201" s="19"/>
      <c r="P201" s="147"/>
      <c r="Q201" s="193"/>
      <c r="R201" s="193"/>
      <c r="S201" s="193"/>
      <c r="T201" s="193"/>
      <c r="U201" s="193"/>
      <c r="V201" s="193"/>
      <c r="W201" s="185">
        <f>J201</f>
        <v>25.4</v>
      </c>
      <c r="X201" s="185">
        <f>H201*$K$1</f>
        <v>25.4</v>
      </c>
    </row>
    <row r="202" spans="1:24" s="125" customFormat="1" ht="15" thickBot="1" x14ac:dyDescent="0.35">
      <c r="A202" s="20"/>
      <c r="B202" s="224">
        <f>SUM(B196:B201)</f>
        <v>150</v>
      </c>
      <c r="C202" s="224">
        <f>SUM(C196:C201)</f>
        <v>73</v>
      </c>
      <c r="D202" s="153">
        <f>SUM(D196:D201)</f>
        <v>152</v>
      </c>
      <c r="E202" s="153">
        <f>SUM(E196:E201)</f>
        <v>71</v>
      </c>
      <c r="F202" s="120"/>
      <c r="G202" s="120">
        <f t="shared" ref="G202:M202" si="171">SUM(G196:G201)</f>
        <v>294</v>
      </c>
      <c r="H202" s="120">
        <f t="shared" si="171"/>
        <v>296</v>
      </c>
      <c r="I202" s="120">
        <f t="shared" si="171"/>
        <v>223</v>
      </c>
      <c r="J202" s="121">
        <f t="shared" si="171"/>
        <v>11639.03</v>
      </c>
      <c r="K202" s="120">
        <f t="shared" si="171"/>
        <v>8688.9599999999991</v>
      </c>
      <c r="L202" s="119">
        <f t="shared" si="171"/>
        <v>1210459.1200000001</v>
      </c>
      <c r="M202" s="152">
        <f t="shared" si="171"/>
        <v>23192</v>
      </c>
      <c r="N202" s="124">
        <f>'Odometro-Kilometraje'!AB81</f>
        <v>12049</v>
      </c>
      <c r="O202" s="21">
        <f>(W202/N202)*100</f>
        <v>96.744626110050618</v>
      </c>
      <c r="P202" s="196"/>
      <c r="Q202" s="184"/>
      <c r="R202" s="184"/>
      <c r="S202" s="184"/>
      <c r="T202" s="184"/>
      <c r="U202" s="184"/>
      <c r="V202" s="184"/>
      <c r="W202" s="197">
        <f>SUM(W196:W201)</f>
        <v>11656.76</v>
      </c>
      <c r="X202" s="197">
        <f>SUM(X196:X201)</f>
        <v>11725.289999999999</v>
      </c>
    </row>
    <row r="203" spans="1:24" x14ac:dyDescent="0.3">
      <c r="A203" s="61">
        <f>A196+1</f>
        <v>45805</v>
      </c>
      <c r="B203" s="126">
        <v>47</v>
      </c>
      <c r="C203" s="126">
        <v>32</v>
      </c>
      <c r="D203" s="127">
        <f>'Data Ocupacion'!BF41</f>
        <v>48</v>
      </c>
      <c r="E203" s="127">
        <f>'Data Ocupacion'!BG41</f>
        <v>31</v>
      </c>
      <c r="F203" s="227" t="s">
        <v>38</v>
      </c>
      <c r="G203" s="228">
        <f t="shared" ref="G203:G208" si="172">D203+E203*2</f>
        <v>110</v>
      </c>
      <c r="H203" s="126">
        <f>B203+C203*2</f>
        <v>111</v>
      </c>
      <c r="I203" s="229">
        <f t="shared" ref="I203:I208" si="173">D203+E203</f>
        <v>79</v>
      </c>
      <c r="J203" s="229">
        <f>G203*M$2</f>
        <v>4744.3</v>
      </c>
      <c r="K203" s="154">
        <f>I203*M$2</f>
        <v>3407.27</v>
      </c>
      <c r="L203" s="126">
        <f t="shared" ref="L203:L208" si="174">J203*104</f>
        <v>493407.2</v>
      </c>
      <c r="M203" s="126">
        <f t="shared" ref="M203:M208" si="175">I203*104</f>
        <v>8216</v>
      </c>
      <c r="N203" s="19"/>
      <c r="O203" s="19"/>
      <c r="P203" s="147"/>
      <c r="Q203" s="186">
        <v>4</v>
      </c>
      <c r="R203" s="186"/>
      <c r="S203" s="211"/>
      <c r="T203" s="186">
        <v>4</v>
      </c>
      <c r="U203" s="195"/>
      <c r="V203" s="235"/>
      <c r="W203" s="185">
        <f>J203-(Q203*($M$2-$K$1))-(R203*($M$2-$M$1))- (S203*($M$2-$I$2))+ (T203*($G$2))</f>
        <v>4744.3</v>
      </c>
      <c r="X203" s="185">
        <f>H203*$M$2</f>
        <v>4787.43</v>
      </c>
    </row>
    <row r="204" spans="1:24" ht="15" customHeight="1" x14ac:dyDescent="0.3">
      <c r="A204" s="206"/>
      <c r="B204" s="126">
        <v>45</v>
      </c>
      <c r="C204" s="126">
        <v>33</v>
      </c>
      <c r="D204" s="127">
        <f>'Data Ocupacion'!BF42</f>
        <v>46</v>
      </c>
      <c r="E204" s="127">
        <f>'Data Ocupacion'!BG42</f>
        <v>32</v>
      </c>
      <c r="F204" s="227" t="s">
        <v>52</v>
      </c>
      <c r="G204" s="228">
        <f t="shared" si="172"/>
        <v>110</v>
      </c>
      <c r="H204" s="126">
        <f t="shared" ref="H204:H208" si="176">B204+C204*2</f>
        <v>111</v>
      </c>
      <c r="I204" s="126">
        <f t="shared" si="173"/>
        <v>78</v>
      </c>
      <c r="J204" s="126">
        <f>G204*M$2</f>
        <v>4744.3</v>
      </c>
      <c r="K204" s="154">
        <f>I204*M$2</f>
        <v>3364.1400000000003</v>
      </c>
      <c r="L204" s="126">
        <f t="shared" si="174"/>
        <v>493407.2</v>
      </c>
      <c r="M204" s="126">
        <f t="shared" si="175"/>
        <v>8112</v>
      </c>
      <c r="N204" s="19"/>
      <c r="O204" s="19"/>
      <c r="P204" s="147"/>
      <c r="Q204" s="190"/>
      <c r="R204" s="190"/>
      <c r="S204" s="223"/>
      <c r="T204" s="186"/>
      <c r="U204" s="223"/>
      <c r="V204" s="236"/>
      <c r="W204" s="188">
        <f>J204-(T204*($M$2-$K$1)+(U204*($M$2-$M$1)))</f>
        <v>4744.3</v>
      </c>
      <c r="X204" s="185">
        <f>H204*$M$2</f>
        <v>4787.43</v>
      </c>
    </row>
    <row r="205" spans="1:24" ht="15" customHeight="1" x14ac:dyDescent="0.3">
      <c r="A205" s="206"/>
      <c r="B205" s="126">
        <v>29</v>
      </c>
      <c r="C205" s="126">
        <v>4</v>
      </c>
      <c r="D205" s="127">
        <f>'Data Ocupacion'!BF43</f>
        <v>29</v>
      </c>
      <c r="E205" s="127">
        <f>'Data Ocupacion'!BG43</f>
        <v>4</v>
      </c>
      <c r="F205" s="227" t="s">
        <v>36</v>
      </c>
      <c r="G205" s="228">
        <f t="shared" si="172"/>
        <v>37</v>
      </c>
      <c r="H205" s="126">
        <f t="shared" si="176"/>
        <v>37</v>
      </c>
      <c r="I205" s="126">
        <f t="shared" si="173"/>
        <v>33</v>
      </c>
      <c r="J205" s="126">
        <f>G205*M$1</f>
        <v>1077.07</v>
      </c>
      <c r="K205" s="154">
        <f>I205*M$1</f>
        <v>960.63</v>
      </c>
      <c r="L205" s="126">
        <f t="shared" si="174"/>
        <v>112015.28</v>
      </c>
      <c r="M205" s="126">
        <f t="shared" si="175"/>
        <v>3432</v>
      </c>
      <c r="N205" s="19"/>
      <c r="O205" s="19" t="s">
        <v>147</v>
      </c>
      <c r="P205" s="147"/>
      <c r="Q205" s="189"/>
      <c r="R205" s="191"/>
      <c r="S205" s="212"/>
      <c r="T205" s="192"/>
      <c r="U205" s="193"/>
      <c r="V205" s="193"/>
      <c r="W205" s="185">
        <f>J205-(Q205*($M$1-$K$1))</f>
        <v>1077.07</v>
      </c>
      <c r="X205" s="185">
        <f>H205*$M$1</f>
        <v>1077.07</v>
      </c>
    </row>
    <row r="206" spans="1:24" ht="15" customHeight="1" x14ac:dyDescent="0.3">
      <c r="A206" s="206"/>
      <c r="B206" s="126">
        <v>28</v>
      </c>
      <c r="C206" s="126">
        <v>4</v>
      </c>
      <c r="D206" s="127">
        <f>'Data Ocupacion'!BF44</f>
        <v>28</v>
      </c>
      <c r="E206" s="127">
        <f>'Data Ocupacion'!BG44</f>
        <v>4</v>
      </c>
      <c r="F206" s="227" t="s">
        <v>53</v>
      </c>
      <c r="G206" s="228">
        <f t="shared" si="172"/>
        <v>36</v>
      </c>
      <c r="H206" s="126">
        <f t="shared" si="176"/>
        <v>36</v>
      </c>
      <c r="I206" s="126">
        <f t="shared" si="173"/>
        <v>32</v>
      </c>
      <c r="J206" s="126">
        <f>G206*M$1</f>
        <v>1047.96</v>
      </c>
      <c r="K206" s="154">
        <f>I206*M$1</f>
        <v>931.52</v>
      </c>
      <c r="L206" s="126">
        <f t="shared" si="174"/>
        <v>108987.84</v>
      </c>
      <c r="M206" s="126">
        <f t="shared" si="175"/>
        <v>3328</v>
      </c>
      <c r="N206" s="19"/>
      <c r="O206" s="19" t="s">
        <v>147</v>
      </c>
      <c r="P206" s="147"/>
      <c r="Q206" s="193"/>
      <c r="R206" s="193"/>
      <c r="S206" s="193"/>
      <c r="T206" s="193"/>
      <c r="U206" s="193"/>
      <c r="V206" s="193"/>
      <c r="W206" s="185">
        <f>J206</f>
        <v>1047.96</v>
      </c>
      <c r="X206" s="185">
        <f>H206*$M$1</f>
        <v>1047.96</v>
      </c>
    </row>
    <row r="207" spans="1:24" ht="15" customHeight="1" x14ac:dyDescent="0.3">
      <c r="A207" s="206"/>
      <c r="B207" s="126">
        <v>0</v>
      </c>
      <c r="C207" s="126">
        <v>0</v>
      </c>
      <c r="D207" s="127">
        <f>'Data Ocupacion'!BF45</f>
        <v>0</v>
      </c>
      <c r="E207" s="127">
        <f>'Data Ocupacion'!BG45</f>
        <v>0</v>
      </c>
      <c r="F207" s="227" t="s">
        <v>122</v>
      </c>
      <c r="G207" s="228">
        <f t="shared" si="172"/>
        <v>0</v>
      </c>
      <c r="H207" s="126">
        <f t="shared" si="176"/>
        <v>0</v>
      </c>
      <c r="I207" s="126">
        <f t="shared" si="173"/>
        <v>0</v>
      </c>
      <c r="J207" s="230">
        <f>G207*K$1</f>
        <v>0</v>
      </c>
      <c r="K207" s="154">
        <f>I207*K$1</f>
        <v>0</v>
      </c>
      <c r="L207" s="126">
        <f t="shared" si="174"/>
        <v>0</v>
      </c>
      <c r="M207" s="126">
        <f t="shared" si="175"/>
        <v>0</v>
      </c>
      <c r="N207" s="19"/>
      <c r="O207" s="19"/>
      <c r="P207" s="147"/>
      <c r="Q207" s="193"/>
      <c r="R207" s="193"/>
      <c r="S207" s="193"/>
      <c r="T207" s="193"/>
      <c r="U207" s="193"/>
      <c r="V207" s="193"/>
      <c r="W207" s="185">
        <f>J207</f>
        <v>0</v>
      </c>
      <c r="X207" s="185">
        <f>H207*$K$1</f>
        <v>0</v>
      </c>
    </row>
    <row r="208" spans="1:24" ht="15.75" customHeight="1" thickBot="1" x14ac:dyDescent="0.35">
      <c r="A208" s="206"/>
      <c r="B208" s="126">
        <v>1</v>
      </c>
      <c r="C208" s="126">
        <v>0</v>
      </c>
      <c r="D208" s="127">
        <f>'Data Ocupacion'!BF46</f>
        <v>1</v>
      </c>
      <c r="E208" s="127">
        <f>'Data Ocupacion'!BG46</f>
        <v>0</v>
      </c>
      <c r="F208" s="227" t="s">
        <v>35</v>
      </c>
      <c r="G208" s="228">
        <f t="shared" si="172"/>
        <v>1</v>
      </c>
      <c r="H208" s="126">
        <f t="shared" si="176"/>
        <v>1</v>
      </c>
      <c r="I208" s="231">
        <f t="shared" si="173"/>
        <v>1</v>
      </c>
      <c r="J208" s="231">
        <f>G208*K$1</f>
        <v>25.4</v>
      </c>
      <c r="K208" s="154">
        <f>I208*K$1</f>
        <v>25.4</v>
      </c>
      <c r="L208" s="126">
        <f t="shared" si="174"/>
        <v>2641.6</v>
      </c>
      <c r="M208" s="126">
        <f t="shared" si="175"/>
        <v>104</v>
      </c>
      <c r="N208" s="19"/>
      <c r="O208" s="19"/>
      <c r="P208" s="147"/>
      <c r="Q208" s="193"/>
      <c r="R208" s="193"/>
      <c r="S208" s="193"/>
      <c r="T208" s="193"/>
      <c r="U208" s="193"/>
      <c r="V208" s="193"/>
      <c r="W208" s="185">
        <f>J208</f>
        <v>25.4</v>
      </c>
      <c r="X208" s="185">
        <f>H208*$K$1</f>
        <v>25.4</v>
      </c>
    </row>
    <row r="209" spans="1:32" s="125" customFormat="1" ht="15" thickBot="1" x14ac:dyDescent="0.35">
      <c r="A209" s="20"/>
      <c r="B209" s="224">
        <f>SUM(B203:B208)</f>
        <v>150</v>
      </c>
      <c r="C209" s="224">
        <f>SUM(C203:C208)</f>
        <v>73</v>
      </c>
      <c r="D209" s="149">
        <f>SUM(D203:D208)</f>
        <v>152</v>
      </c>
      <c r="E209" s="149">
        <f>SUM(E203:E208)</f>
        <v>71</v>
      </c>
      <c r="F209" s="120"/>
      <c r="G209" s="120">
        <f t="shared" ref="G209:M209" si="177">SUM(G203:G208)</f>
        <v>294</v>
      </c>
      <c r="H209" s="120">
        <f t="shared" si="177"/>
        <v>296</v>
      </c>
      <c r="I209" s="120">
        <f t="shared" si="177"/>
        <v>223</v>
      </c>
      <c r="J209" s="120">
        <f t="shared" si="177"/>
        <v>11639.03</v>
      </c>
      <c r="K209" s="120">
        <f t="shared" si="177"/>
        <v>8688.9599999999991</v>
      </c>
      <c r="L209" s="120">
        <f t="shared" si="177"/>
        <v>1210459.1200000001</v>
      </c>
      <c r="M209" s="120">
        <f t="shared" si="177"/>
        <v>23192</v>
      </c>
      <c r="N209" s="124">
        <f>'Odometro-Kilometraje'!AC81</f>
        <v>12021</v>
      </c>
      <c r="O209" s="21">
        <f>(W209/N209)*100</f>
        <v>96.822477331336827</v>
      </c>
      <c r="P209" s="196"/>
      <c r="Q209" s="184"/>
      <c r="R209" s="184"/>
      <c r="S209" s="184"/>
      <c r="T209" s="184"/>
      <c r="U209" s="184"/>
      <c r="V209" s="184"/>
      <c r="W209" s="197">
        <f>SUM(W203:W208)</f>
        <v>11639.03</v>
      </c>
      <c r="X209" s="197">
        <f>SUM(X203:X208)</f>
        <v>11725.289999999999</v>
      </c>
    </row>
    <row r="210" spans="1:32" x14ac:dyDescent="0.3">
      <c r="A210" s="61">
        <f>A203+1</f>
        <v>45806</v>
      </c>
      <c r="B210" s="126">
        <v>47</v>
      </c>
      <c r="C210" s="126">
        <v>32</v>
      </c>
      <c r="D210" s="127">
        <f>'Data Ocupacion'!BH41</f>
        <v>47</v>
      </c>
      <c r="E210" s="127">
        <f>'Data Ocupacion'!BI41</f>
        <v>32</v>
      </c>
      <c r="F210" s="227" t="s">
        <v>38</v>
      </c>
      <c r="G210" s="228">
        <f t="shared" ref="G210:G215" si="178">D210+E210*2</f>
        <v>111</v>
      </c>
      <c r="H210" s="126">
        <f>B210+C210*2</f>
        <v>111</v>
      </c>
      <c r="I210" s="229">
        <f t="shared" ref="I210:I215" si="179">D210+E210</f>
        <v>79</v>
      </c>
      <c r="J210" s="229">
        <f>G210*M$2</f>
        <v>4787.43</v>
      </c>
      <c r="K210" s="154">
        <f>I210*M$2</f>
        <v>3407.27</v>
      </c>
      <c r="L210" s="126">
        <f t="shared" ref="L210:L215" si="180">J210*104</f>
        <v>497892.72000000003</v>
      </c>
      <c r="M210" s="126">
        <f t="shared" ref="M210:M215" si="181">I210*104</f>
        <v>8216</v>
      </c>
      <c r="N210" s="19"/>
      <c r="O210" s="19"/>
      <c r="P210" s="147"/>
      <c r="Q210" s="186">
        <v>1</v>
      </c>
      <c r="R210" s="186"/>
      <c r="S210" s="211"/>
      <c r="T210" s="251">
        <v>3</v>
      </c>
      <c r="U210" s="195"/>
      <c r="V210" s="235"/>
      <c r="W210" s="185">
        <f>J210-(Q210*($M$2-$K$1))-(R210*($M$2-$M$1))- (S210*($M$2-$I$2))+ (T210*($G$2))</f>
        <v>4822.8900000000003</v>
      </c>
      <c r="X210" s="185">
        <f>H210*$M$2</f>
        <v>4787.43</v>
      </c>
    </row>
    <row r="211" spans="1:32" ht="15" customHeight="1" x14ac:dyDescent="0.3">
      <c r="A211" s="262"/>
      <c r="B211" s="126">
        <v>45</v>
      </c>
      <c r="C211" s="126">
        <v>33</v>
      </c>
      <c r="D211" s="127">
        <f>'Data Ocupacion'!BH42</f>
        <v>45</v>
      </c>
      <c r="E211" s="127">
        <f>'Data Ocupacion'!BI42</f>
        <v>33</v>
      </c>
      <c r="F211" s="227" t="s">
        <v>52</v>
      </c>
      <c r="G211" s="228">
        <f t="shared" si="178"/>
        <v>111</v>
      </c>
      <c r="H211" s="126">
        <f t="shared" ref="H211:H215" si="182">B211+C211*2</f>
        <v>111</v>
      </c>
      <c r="I211" s="126">
        <f t="shared" si="179"/>
        <v>78</v>
      </c>
      <c r="J211" s="126">
        <f>G211*M$2</f>
        <v>4787.43</v>
      </c>
      <c r="K211" s="154">
        <f>I211*M$2</f>
        <v>3364.1400000000003</v>
      </c>
      <c r="L211" s="126">
        <f t="shared" si="180"/>
        <v>497892.72000000003</v>
      </c>
      <c r="M211" s="126">
        <f t="shared" si="181"/>
        <v>8112</v>
      </c>
      <c r="N211" s="19"/>
      <c r="O211" s="19"/>
      <c r="P211" s="147"/>
      <c r="Q211" s="190"/>
      <c r="R211" s="190"/>
      <c r="S211" s="223"/>
      <c r="T211" s="186"/>
      <c r="U211" s="223"/>
      <c r="V211" s="236"/>
      <c r="W211" s="188">
        <f>J211-(T211*($M$2-$K$1)+(U211*($M$2-$M$1)))</f>
        <v>4787.43</v>
      </c>
      <c r="X211" s="185">
        <f>H211*$M$2</f>
        <v>4787.43</v>
      </c>
    </row>
    <row r="212" spans="1:32" s="125" customFormat="1" x14ac:dyDescent="0.3">
      <c r="A212" s="262"/>
      <c r="B212" s="126">
        <v>29</v>
      </c>
      <c r="C212" s="126">
        <v>4</v>
      </c>
      <c r="D212" s="127">
        <f>'Data Ocupacion'!BH43</f>
        <v>30</v>
      </c>
      <c r="E212" s="127">
        <f>'Data Ocupacion'!BI43</f>
        <v>3</v>
      </c>
      <c r="F212" s="227" t="s">
        <v>36</v>
      </c>
      <c r="G212" s="228">
        <f t="shared" si="178"/>
        <v>36</v>
      </c>
      <c r="H212" s="126">
        <f t="shared" si="182"/>
        <v>37</v>
      </c>
      <c r="I212" s="126">
        <f t="shared" si="179"/>
        <v>33</v>
      </c>
      <c r="J212" s="126">
        <f>G212*M$1</f>
        <v>1047.96</v>
      </c>
      <c r="K212" s="154">
        <f>I212*M$1</f>
        <v>960.63</v>
      </c>
      <c r="L212" s="126">
        <f t="shared" si="180"/>
        <v>108987.84</v>
      </c>
      <c r="M212" s="126">
        <f t="shared" si="181"/>
        <v>3432</v>
      </c>
      <c r="N212" s="19"/>
      <c r="O212" s="19" t="s">
        <v>147</v>
      </c>
      <c r="P212" s="147"/>
      <c r="Q212" s="189"/>
      <c r="R212" s="191"/>
      <c r="S212" s="212"/>
      <c r="T212" s="192"/>
      <c r="U212" s="193"/>
      <c r="V212" s="193"/>
      <c r="W212" s="185">
        <f>J212-(Q212*($M$1-$K$1))</f>
        <v>1047.96</v>
      </c>
      <c r="X212" s="185">
        <f>H212*$M$1</f>
        <v>1077.07</v>
      </c>
    </row>
    <row r="213" spans="1:32" s="125" customFormat="1" ht="15" customHeight="1" x14ac:dyDescent="0.3">
      <c r="A213" s="262"/>
      <c r="B213" s="126">
        <v>28</v>
      </c>
      <c r="C213" s="126">
        <v>4</v>
      </c>
      <c r="D213" s="127">
        <f>'Data Ocupacion'!BH44</f>
        <v>29</v>
      </c>
      <c r="E213" s="127">
        <f>'Data Ocupacion'!BI44</f>
        <v>3</v>
      </c>
      <c r="F213" s="227" t="s">
        <v>53</v>
      </c>
      <c r="G213" s="228">
        <f t="shared" si="178"/>
        <v>35</v>
      </c>
      <c r="H213" s="126">
        <f t="shared" si="182"/>
        <v>36</v>
      </c>
      <c r="I213" s="126">
        <f t="shared" si="179"/>
        <v>32</v>
      </c>
      <c r="J213" s="126">
        <f>G213*M$1</f>
        <v>1018.85</v>
      </c>
      <c r="K213" s="154">
        <f>I213*M$1</f>
        <v>931.52</v>
      </c>
      <c r="L213" s="126">
        <f t="shared" si="180"/>
        <v>105960.40000000001</v>
      </c>
      <c r="M213" s="126">
        <f t="shared" si="181"/>
        <v>3328</v>
      </c>
      <c r="N213" s="19"/>
      <c r="O213" s="19" t="s">
        <v>147</v>
      </c>
      <c r="P213" s="147"/>
      <c r="Q213" s="193"/>
      <c r="R213" s="193"/>
      <c r="S213" s="193"/>
      <c r="T213" s="193"/>
      <c r="U213" s="193"/>
      <c r="V213" s="193"/>
      <c r="W213" s="185">
        <f>J213</f>
        <v>1018.85</v>
      </c>
      <c r="X213" s="185">
        <f>H213*$M$1</f>
        <v>1047.96</v>
      </c>
    </row>
    <row r="214" spans="1:32" s="125" customFormat="1" x14ac:dyDescent="0.3">
      <c r="A214" s="262"/>
      <c r="B214" s="126">
        <v>0</v>
      </c>
      <c r="C214" s="126">
        <v>0</v>
      </c>
      <c r="D214" s="127">
        <f>'Data Ocupacion'!BH45</f>
        <v>0</v>
      </c>
      <c r="E214" s="127">
        <f>'Data Ocupacion'!BI45</f>
        <v>0</v>
      </c>
      <c r="F214" s="227" t="s">
        <v>122</v>
      </c>
      <c r="G214" s="228">
        <f t="shared" si="178"/>
        <v>0</v>
      </c>
      <c r="H214" s="126">
        <f t="shared" si="182"/>
        <v>0</v>
      </c>
      <c r="I214" s="126">
        <f t="shared" si="179"/>
        <v>0</v>
      </c>
      <c r="J214" s="230">
        <f>G214*K$1</f>
        <v>0</v>
      </c>
      <c r="K214" s="154">
        <f>I214*K$1</f>
        <v>0</v>
      </c>
      <c r="L214" s="126">
        <f t="shared" si="180"/>
        <v>0</v>
      </c>
      <c r="M214" s="126">
        <f t="shared" si="181"/>
        <v>0</v>
      </c>
      <c r="N214" s="19"/>
      <c r="O214" s="19"/>
      <c r="P214" s="147"/>
      <c r="Q214" s="193"/>
      <c r="R214" s="193"/>
      <c r="S214" s="193"/>
      <c r="T214" s="193"/>
      <c r="U214" s="193"/>
      <c r="V214" s="193"/>
      <c r="W214" s="185">
        <f>J214</f>
        <v>0</v>
      </c>
      <c r="X214" s="185">
        <f>H214*$K$1</f>
        <v>0</v>
      </c>
    </row>
    <row r="215" spans="1:32" s="125" customFormat="1" ht="15" thickBot="1" x14ac:dyDescent="0.35">
      <c r="A215" s="262"/>
      <c r="B215" s="126">
        <v>1</v>
      </c>
      <c r="C215" s="126">
        <v>0</v>
      </c>
      <c r="D215" s="127">
        <f>'Data Ocupacion'!BH46</f>
        <v>1</v>
      </c>
      <c r="E215" s="127">
        <f>'Data Ocupacion'!BI46</f>
        <v>0</v>
      </c>
      <c r="F215" s="227" t="s">
        <v>35</v>
      </c>
      <c r="G215" s="228">
        <f t="shared" si="178"/>
        <v>1</v>
      </c>
      <c r="H215" s="126">
        <f t="shared" si="182"/>
        <v>1</v>
      </c>
      <c r="I215" s="231">
        <f t="shared" si="179"/>
        <v>1</v>
      </c>
      <c r="J215" s="231">
        <f>G215*K$1</f>
        <v>25.4</v>
      </c>
      <c r="K215" s="154">
        <f>I215*K$1</f>
        <v>25.4</v>
      </c>
      <c r="L215" s="126">
        <f t="shared" si="180"/>
        <v>2641.6</v>
      </c>
      <c r="M215" s="126">
        <f t="shared" si="181"/>
        <v>104</v>
      </c>
      <c r="N215" s="19"/>
      <c r="O215" s="19"/>
      <c r="P215" s="147"/>
      <c r="Q215" s="193"/>
      <c r="R215" s="193"/>
      <c r="S215" s="193"/>
      <c r="T215" s="193"/>
      <c r="U215" s="193"/>
      <c r="V215" s="193"/>
      <c r="W215" s="185">
        <f>J215</f>
        <v>25.4</v>
      </c>
      <c r="X215" s="185">
        <f>H215*$K$1</f>
        <v>25.4</v>
      </c>
    </row>
    <row r="216" spans="1:32" s="125" customFormat="1" ht="14.25" customHeight="1" thickBot="1" x14ac:dyDescent="0.35">
      <c r="A216" s="20"/>
      <c r="B216" s="224">
        <f>SUM(B210:B215)</f>
        <v>150</v>
      </c>
      <c r="C216" s="224">
        <f>SUM(C210:C215)</f>
        <v>73</v>
      </c>
      <c r="D216" s="149">
        <f>SUM(D210:D215)</f>
        <v>152</v>
      </c>
      <c r="E216" s="149">
        <f>SUM(E210:E215)</f>
        <v>71</v>
      </c>
      <c r="F216" s="120"/>
      <c r="G216" s="120">
        <f t="shared" ref="G216:M216" si="183">SUM(G210:G215)</f>
        <v>294</v>
      </c>
      <c r="H216" s="120">
        <f t="shared" si="183"/>
        <v>296</v>
      </c>
      <c r="I216" s="120">
        <f t="shared" si="183"/>
        <v>223</v>
      </c>
      <c r="J216" s="120">
        <f t="shared" si="183"/>
        <v>11667.07</v>
      </c>
      <c r="K216" s="120">
        <f t="shared" si="183"/>
        <v>8688.9599999999991</v>
      </c>
      <c r="L216" s="120">
        <f t="shared" si="183"/>
        <v>1213375.28</v>
      </c>
      <c r="M216" s="120">
        <f t="shared" si="183"/>
        <v>23192</v>
      </c>
      <c r="N216" s="124">
        <f>'Odometro-Kilometraje'!AD81</f>
        <v>12081</v>
      </c>
      <c r="O216" s="21">
        <f>(W216/N216)*100</f>
        <v>96.867229533978957</v>
      </c>
      <c r="P216" s="196"/>
      <c r="Q216" s="184"/>
      <c r="R216" s="184"/>
      <c r="S216" s="184"/>
      <c r="T216" s="184"/>
      <c r="U216" s="184"/>
      <c r="V216" s="184"/>
      <c r="W216" s="197">
        <f>SUM(W210:W215)</f>
        <v>11702.529999999999</v>
      </c>
      <c r="X216" s="197">
        <f>SUM(X210:X215)</f>
        <v>11725.289999999999</v>
      </c>
      <c r="Y216" s="250"/>
    </row>
    <row r="217" spans="1:32" s="125" customFormat="1" x14ac:dyDescent="0.3">
      <c r="A217" s="61">
        <f>A210+1</f>
        <v>45807</v>
      </c>
      <c r="B217" s="126">
        <v>47</v>
      </c>
      <c r="C217" s="126">
        <v>32</v>
      </c>
      <c r="D217" s="127">
        <f>'Data Ocupacion'!BJ41</f>
        <v>47</v>
      </c>
      <c r="E217" s="127">
        <f>'Data Ocupacion'!BK41</f>
        <v>32</v>
      </c>
      <c r="F217" s="227" t="s">
        <v>38</v>
      </c>
      <c r="G217" s="228">
        <f t="shared" ref="G217:G222" si="184">D217+E217*2</f>
        <v>111</v>
      </c>
      <c r="H217" s="126">
        <f>B217+C217*2</f>
        <v>111</v>
      </c>
      <c r="I217" s="229">
        <f t="shared" ref="I217:I222" si="185">D217+E217</f>
        <v>79</v>
      </c>
      <c r="J217" s="229">
        <f>G217*M$2</f>
        <v>4787.43</v>
      </c>
      <c r="K217" s="154">
        <f>I217*M$2</f>
        <v>3407.27</v>
      </c>
      <c r="L217" s="126">
        <f t="shared" ref="L217:L222" si="186">J217*104</f>
        <v>497892.72000000003</v>
      </c>
      <c r="M217" s="126">
        <f t="shared" ref="M217:M222" si="187">I217*104</f>
        <v>8216</v>
      </c>
      <c r="N217" s="19"/>
      <c r="O217" s="19"/>
      <c r="P217" s="147"/>
      <c r="Q217" s="186">
        <v>3</v>
      </c>
      <c r="R217" s="186"/>
      <c r="S217" s="211"/>
      <c r="T217" s="251">
        <v>3</v>
      </c>
      <c r="U217" s="195"/>
      <c r="V217" s="235"/>
      <c r="W217" s="185">
        <f>J217-(Q217*($M$2-$K$1))-(R217*($M$2-$M$1))- (S217*($M$2-$I$2))+ (T217*($G$2))</f>
        <v>4787.43</v>
      </c>
      <c r="X217" s="185">
        <f>H217*$M$2</f>
        <v>4787.43</v>
      </c>
    </row>
    <row r="218" spans="1:32" s="125" customFormat="1" x14ac:dyDescent="0.3">
      <c r="A218" s="206"/>
      <c r="B218" s="126">
        <v>45</v>
      </c>
      <c r="C218" s="126">
        <v>33</v>
      </c>
      <c r="D218" s="127">
        <f>'Data Ocupacion'!BJ42</f>
        <v>45</v>
      </c>
      <c r="E218" s="127">
        <f>'Data Ocupacion'!BK42</f>
        <v>33</v>
      </c>
      <c r="F218" s="227" t="s">
        <v>52</v>
      </c>
      <c r="G218" s="228">
        <f t="shared" si="184"/>
        <v>111</v>
      </c>
      <c r="H218" s="126">
        <f t="shared" ref="H218:H222" si="188">B218+C218*2</f>
        <v>111</v>
      </c>
      <c r="I218" s="126">
        <f t="shared" si="185"/>
        <v>78</v>
      </c>
      <c r="J218" s="126">
        <f>G218*M$2</f>
        <v>4787.43</v>
      </c>
      <c r="K218" s="154">
        <f>I218*M$2</f>
        <v>3364.1400000000003</v>
      </c>
      <c r="L218" s="126">
        <f t="shared" si="186"/>
        <v>497892.72000000003</v>
      </c>
      <c r="M218" s="126">
        <f t="shared" si="187"/>
        <v>8112</v>
      </c>
      <c r="N218" s="19"/>
      <c r="O218" s="19"/>
      <c r="P218" s="147"/>
      <c r="Q218" s="190"/>
      <c r="R218" s="190"/>
      <c r="S218" s="190"/>
      <c r="T218" s="186"/>
      <c r="U218" s="186"/>
      <c r="V218" s="211"/>
      <c r="W218" s="188">
        <f>J218-(T218*($M$2-$K$1)+(U218*($M$2-$M$1)))</f>
        <v>4787.43</v>
      </c>
      <c r="X218" s="185">
        <f>H218*$M$2</f>
        <v>4787.43</v>
      </c>
    </row>
    <row r="219" spans="1:32" s="125" customFormat="1" x14ac:dyDescent="0.3">
      <c r="A219" s="206"/>
      <c r="B219" s="126">
        <v>29</v>
      </c>
      <c r="C219" s="126">
        <v>4</v>
      </c>
      <c r="D219" s="127">
        <f>'Data Ocupacion'!BJ43</f>
        <v>29</v>
      </c>
      <c r="E219" s="127">
        <f>'Data Ocupacion'!BK43</f>
        <v>4</v>
      </c>
      <c r="F219" s="227" t="s">
        <v>36</v>
      </c>
      <c r="G219" s="228">
        <f t="shared" si="184"/>
        <v>37</v>
      </c>
      <c r="H219" s="126">
        <f t="shared" si="188"/>
        <v>37</v>
      </c>
      <c r="I219" s="126">
        <f t="shared" si="185"/>
        <v>33</v>
      </c>
      <c r="J219" s="126">
        <f>G219*M$1</f>
        <v>1077.07</v>
      </c>
      <c r="K219" s="154">
        <f>I219*M$1</f>
        <v>960.63</v>
      </c>
      <c r="L219" s="126">
        <f t="shared" si="186"/>
        <v>112015.28</v>
      </c>
      <c r="M219" s="126">
        <f t="shared" si="187"/>
        <v>3432</v>
      </c>
      <c r="N219" s="19"/>
      <c r="O219" s="19" t="s">
        <v>147</v>
      </c>
      <c r="P219" s="147"/>
      <c r="Q219" s="189"/>
      <c r="R219" s="191"/>
      <c r="S219" s="212"/>
      <c r="T219" s="192"/>
      <c r="U219" s="193"/>
      <c r="V219" s="193"/>
      <c r="W219" s="185">
        <f>J219-(Q219*($M$1-$K$1))</f>
        <v>1077.07</v>
      </c>
      <c r="X219" s="185">
        <f>H219*$M$1</f>
        <v>1077.07</v>
      </c>
      <c r="AF219" s="125">
        <v>46.84</v>
      </c>
    </row>
    <row r="220" spans="1:32" s="125" customFormat="1" x14ac:dyDescent="0.3">
      <c r="A220" s="206"/>
      <c r="B220" s="126">
        <v>28</v>
      </c>
      <c r="C220" s="126">
        <v>4</v>
      </c>
      <c r="D220" s="127">
        <f>'Data Ocupacion'!BJ44</f>
        <v>28</v>
      </c>
      <c r="E220" s="127">
        <f>'Data Ocupacion'!BK44</f>
        <v>4</v>
      </c>
      <c r="F220" s="227" t="s">
        <v>53</v>
      </c>
      <c r="G220" s="228">
        <f t="shared" si="184"/>
        <v>36</v>
      </c>
      <c r="H220" s="126">
        <f t="shared" si="188"/>
        <v>36</v>
      </c>
      <c r="I220" s="126">
        <f t="shared" si="185"/>
        <v>32</v>
      </c>
      <c r="J220" s="126">
        <f>G220*M$1</f>
        <v>1047.96</v>
      </c>
      <c r="K220" s="154">
        <f>I220*M$1</f>
        <v>931.52</v>
      </c>
      <c r="L220" s="126">
        <f t="shared" si="186"/>
        <v>108987.84</v>
      </c>
      <c r="M220" s="126">
        <f t="shared" si="187"/>
        <v>3328</v>
      </c>
      <c r="N220" s="19"/>
      <c r="O220" s="19" t="s">
        <v>147</v>
      </c>
      <c r="P220" s="147"/>
      <c r="Q220" s="193"/>
      <c r="R220" s="193"/>
      <c r="S220" s="193"/>
      <c r="T220" s="193"/>
      <c r="U220" s="193"/>
      <c r="V220" s="193"/>
      <c r="W220" s="185">
        <f>J220</f>
        <v>1047.96</v>
      </c>
      <c r="X220" s="185">
        <f>H220*$M$1</f>
        <v>1047.96</v>
      </c>
    </row>
    <row r="221" spans="1:32" s="125" customFormat="1" x14ac:dyDescent="0.3">
      <c r="A221" s="206"/>
      <c r="B221" s="126">
        <v>0</v>
      </c>
      <c r="C221" s="126">
        <v>0</v>
      </c>
      <c r="D221" s="127">
        <f>'Data Ocupacion'!BJ45</f>
        <v>0</v>
      </c>
      <c r="E221" s="127">
        <f>'Data Ocupacion'!BK45</f>
        <v>0</v>
      </c>
      <c r="F221" s="227" t="s">
        <v>122</v>
      </c>
      <c r="G221" s="228">
        <f t="shared" si="184"/>
        <v>0</v>
      </c>
      <c r="H221" s="126">
        <f t="shared" si="188"/>
        <v>0</v>
      </c>
      <c r="I221" s="126">
        <f t="shared" si="185"/>
        <v>0</v>
      </c>
      <c r="J221" s="230">
        <f>G221*K$1</f>
        <v>0</v>
      </c>
      <c r="K221" s="154">
        <f>I221*K$1</f>
        <v>0</v>
      </c>
      <c r="L221" s="126">
        <f t="shared" si="186"/>
        <v>0</v>
      </c>
      <c r="M221" s="126">
        <f t="shared" si="187"/>
        <v>0</v>
      </c>
      <c r="N221" s="19"/>
      <c r="O221" s="19"/>
      <c r="P221" s="147"/>
      <c r="Q221" s="193"/>
      <c r="R221" s="193"/>
      <c r="S221" s="193"/>
      <c r="T221" s="193"/>
      <c r="U221" s="193"/>
      <c r="V221" s="193"/>
      <c r="W221" s="185">
        <f>J221</f>
        <v>0</v>
      </c>
      <c r="X221" s="185">
        <f>H221*$K$1</f>
        <v>0</v>
      </c>
    </row>
    <row r="222" spans="1:32" s="125" customFormat="1" ht="15" thickBot="1" x14ac:dyDescent="0.35">
      <c r="A222" s="206"/>
      <c r="B222" s="126">
        <v>1</v>
      </c>
      <c r="C222" s="126">
        <v>0</v>
      </c>
      <c r="D222" s="127">
        <f>'Data Ocupacion'!BJ46</f>
        <v>1</v>
      </c>
      <c r="E222" s="127">
        <f>'Data Ocupacion'!BK46</f>
        <v>0</v>
      </c>
      <c r="F222" s="227" t="s">
        <v>35</v>
      </c>
      <c r="G222" s="228">
        <f t="shared" si="184"/>
        <v>1</v>
      </c>
      <c r="H222" s="126">
        <f t="shared" si="188"/>
        <v>1</v>
      </c>
      <c r="I222" s="231">
        <f t="shared" si="185"/>
        <v>1</v>
      </c>
      <c r="J222" s="231">
        <f>G222*K$1</f>
        <v>25.4</v>
      </c>
      <c r="K222" s="154">
        <f>I222*K$1</f>
        <v>25.4</v>
      </c>
      <c r="L222" s="126">
        <f t="shared" si="186"/>
        <v>2641.6</v>
      </c>
      <c r="M222" s="126">
        <f t="shared" si="187"/>
        <v>104</v>
      </c>
      <c r="N222" s="19"/>
      <c r="O222" s="19"/>
      <c r="P222" s="147"/>
      <c r="Q222" s="193"/>
      <c r="R222" s="193"/>
      <c r="S222" s="193"/>
      <c r="T222" s="193"/>
      <c r="U222" s="193"/>
      <c r="V222" s="193"/>
      <c r="W222" s="185">
        <f>J222</f>
        <v>25.4</v>
      </c>
      <c r="X222" s="185">
        <f>H222*$K$1</f>
        <v>25.4</v>
      </c>
    </row>
    <row r="223" spans="1:32" s="125" customFormat="1" ht="15" thickBot="1" x14ac:dyDescent="0.35">
      <c r="A223" s="20"/>
      <c r="B223" s="224">
        <f>SUM(B217:B222)</f>
        <v>150</v>
      </c>
      <c r="C223" s="224">
        <f>SUM(C217:C222)</f>
        <v>73</v>
      </c>
      <c r="D223" s="149">
        <f>SUM(D217:D222)</f>
        <v>150</v>
      </c>
      <c r="E223" s="149">
        <f>SUM(E217:E222)</f>
        <v>73</v>
      </c>
      <c r="F223" s="120"/>
      <c r="G223" s="120">
        <f t="shared" ref="G223:M223" si="189">SUM(G217:G222)</f>
        <v>296</v>
      </c>
      <c r="H223" s="120">
        <f t="shared" si="189"/>
        <v>296</v>
      </c>
      <c r="I223" s="120">
        <f t="shared" si="189"/>
        <v>223</v>
      </c>
      <c r="J223" s="120">
        <f t="shared" si="189"/>
        <v>11725.289999999999</v>
      </c>
      <c r="K223" s="120">
        <f t="shared" si="189"/>
        <v>8688.9599999999991</v>
      </c>
      <c r="L223" s="120">
        <f t="shared" si="189"/>
        <v>1219430.1600000001</v>
      </c>
      <c r="M223" s="120">
        <f t="shared" si="189"/>
        <v>23192</v>
      </c>
      <c r="N223" s="124">
        <f>'Odometro-Kilometraje'!AE81</f>
        <v>11994</v>
      </c>
      <c r="O223" s="21">
        <f>(W223/N223)*100</f>
        <v>97.759629814907441</v>
      </c>
      <c r="P223" s="196"/>
      <c r="Q223" s="184"/>
      <c r="R223" s="184"/>
      <c r="S223" s="184"/>
      <c r="T223" s="184"/>
      <c r="U223" s="184"/>
      <c r="V223" s="184"/>
      <c r="W223" s="197">
        <f>SUM(W217:W222)</f>
        <v>11725.289999999999</v>
      </c>
      <c r="X223" s="197">
        <f>SUM(X217:X222)</f>
        <v>11725.289999999999</v>
      </c>
      <c r="Y223" s="267"/>
    </row>
    <row r="224" spans="1:32" s="125" customFormat="1" x14ac:dyDescent="0.3">
      <c r="A224" s="61">
        <f>A217+1</f>
        <v>45808</v>
      </c>
      <c r="B224" s="117">
        <v>69</v>
      </c>
      <c r="C224" s="117">
        <v>3</v>
      </c>
      <c r="D224" s="148">
        <f>'Data Ocupacion'!BL41</f>
        <v>69</v>
      </c>
      <c r="E224" s="148">
        <f>'Data Ocupacion'!BM41</f>
        <v>3</v>
      </c>
      <c r="F224" s="320" t="s">
        <v>38</v>
      </c>
      <c r="G224" s="321">
        <f t="shared" ref="G224:G229" si="190">D224+E224*2</f>
        <v>75</v>
      </c>
      <c r="H224" s="117">
        <f>B224+C224*2</f>
        <v>75</v>
      </c>
      <c r="I224" s="322">
        <f t="shared" ref="I224:I229" si="191">D224+E224</f>
        <v>72</v>
      </c>
      <c r="J224" s="322">
        <f>G224*M$2</f>
        <v>3234.75</v>
      </c>
      <c r="K224" s="154">
        <f>I224*M$2</f>
        <v>3105.36</v>
      </c>
      <c r="L224" s="117">
        <f t="shared" ref="L224:L229" si="192">J224*104</f>
        <v>336414</v>
      </c>
      <c r="M224" s="117">
        <f t="shared" ref="M224:M229" si="193">I224*104</f>
        <v>7488</v>
      </c>
      <c r="N224" s="19"/>
      <c r="O224" s="19"/>
      <c r="P224" s="147"/>
      <c r="Q224" s="186"/>
      <c r="R224" s="186"/>
      <c r="S224" s="211"/>
      <c r="T224" s="251"/>
      <c r="U224" s="195"/>
      <c r="V224" s="235"/>
      <c r="W224" s="185">
        <f>J224-(Q224*($M$2-$K$1))-(R224*($M$2-$M$1))- (S224*($M$2-$I$2))+ (T224*($G$2))</f>
        <v>3234.75</v>
      </c>
      <c r="X224" s="185">
        <f>H224*$M$2</f>
        <v>3234.75</v>
      </c>
      <c r="Y224" s="313"/>
    </row>
    <row r="225" spans="1:29" s="125" customFormat="1" x14ac:dyDescent="0.3">
      <c r="A225" s="206"/>
      <c r="B225" s="117">
        <v>75</v>
      </c>
      <c r="C225" s="117">
        <v>0</v>
      </c>
      <c r="D225" s="148">
        <f>'Data Ocupacion'!BL42</f>
        <v>75</v>
      </c>
      <c r="E225" s="148">
        <f>'Data Ocupacion'!BM42</f>
        <v>0</v>
      </c>
      <c r="F225" s="320" t="s">
        <v>52</v>
      </c>
      <c r="G225" s="321">
        <f t="shared" si="190"/>
        <v>75</v>
      </c>
      <c r="H225" s="117">
        <f t="shared" ref="H225:H229" si="194">B225+C225*2</f>
        <v>75</v>
      </c>
      <c r="I225" s="117">
        <f t="shared" si="191"/>
        <v>75</v>
      </c>
      <c r="J225" s="117">
        <f>G225*M$2</f>
        <v>3234.75</v>
      </c>
      <c r="K225" s="154">
        <f>I225*M$2</f>
        <v>3234.75</v>
      </c>
      <c r="L225" s="117">
        <f t="shared" si="192"/>
        <v>336414</v>
      </c>
      <c r="M225" s="117">
        <f t="shared" si="193"/>
        <v>7800</v>
      </c>
      <c r="N225" s="19"/>
      <c r="O225" s="19"/>
      <c r="P225" s="147"/>
      <c r="Q225" s="190"/>
      <c r="R225" s="190"/>
      <c r="S225" s="190"/>
      <c r="T225" s="186"/>
      <c r="U225" s="186"/>
      <c r="V225" s="211"/>
      <c r="W225" s="188">
        <f>J225-(T225*($M$2-$K$1)+(U225*($M$2-$M$1)))</f>
        <v>3234.75</v>
      </c>
      <c r="X225" s="185">
        <f>H225*$M$2</f>
        <v>3234.75</v>
      </c>
      <c r="Y225" s="313"/>
    </row>
    <row r="226" spans="1:29" s="125" customFormat="1" x14ac:dyDescent="0.3">
      <c r="A226" s="206"/>
      <c r="B226" s="117">
        <v>0</v>
      </c>
      <c r="C226" s="117">
        <v>0</v>
      </c>
      <c r="D226" s="148">
        <f>'Data Ocupacion'!BL43</f>
        <v>0</v>
      </c>
      <c r="E226" s="148">
        <f>'Data Ocupacion'!BM43</f>
        <v>0</v>
      </c>
      <c r="F226" s="320" t="s">
        <v>36</v>
      </c>
      <c r="G226" s="321">
        <f t="shared" si="190"/>
        <v>0</v>
      </c>
      <c r="H226" s="117">
        <f t="shared" si="194"/>
        <v>0</v>
      </c>
      <c r="I226" s="117">
        <f t="shared" si="191"/>
        <v>0</v>
      </c>
      <c r="J226" s="117">
        <f>G226*M$1</f>
        <v>0</v>
      </c>
      <c r="K226" s="154">
        <f>I226*M$1</f>
        <v>0</v>
      </c>
      <c r="L226" s="117">
        <f t="shared" si="192"/>
        <v>0</v>
      </c>
      <c r="M226" s="117">
        <f t="shared" si="193"/>
        <v>0</v>
      </c>
      <c r="N226" s="19"/>
      <c r="O226" s="19" t="s">
        <v>147</v>
      </c>
      <c r="P226" s="147"/>
      <c r="Q226" s="189"/>
      <c r="R226" s="191"/>
      <c r="S226" s="212"/>
      <c r="T226" s="192"/>
      <c r="U226" s="193"/>
      <c r="V226" s="193"/>
      <c r="W226" s="185">
        <f>J226-(Q226*($M$1-$K$1))</f>
        <v>0</v>
      </c>
      <c r="X226" s="185">
        <f>H226*$M$1</f>
        <v>0</v>
      </c>
      <c r="Y226" s="313"/>
    </row>
    <row r="227" spans="1:29" s="125" customFormat="1" x14ac:dyDescent="0.3">
      <c r="A227" s="206"/>
      <c r="B227" s="117">
        <v>0</v>
      </c>
      <c r="C227" s="117">
        <v>0</v>
      </c>
      <c r="D227" s="148">
        <f>'Data Ocupacion'!BL44</f>
        <v>0</v>
      </c>
      <c r="E227" s="148">
        <f>'Data Ocupacion'!BM44</f>
        <v>0</v>
      </c>
      <c r="F227" s="320" t="s">
        <v>53</v>
      </c>
      <c r="G227" s="321">
        <f t="shared" si="190"/>
        <v>0</v>
      </c>
      <c r="H227" s="117">
        <f t="shared" si="194"/>
        <v>0</v>
      </c>
      <c r="I227" s="117">
        <f t="shared" si="191"/>
        <v>0</v>
      </c>
      <c r="J227" s="117">
        <f>G227*M$1</f>
        <v>0</v>
      </c>
      <c r="K227" s="154">
        <f>I227*M$1</f>
        <v>0</v>
      </c>
      <c r="L227" s="117">
        <f t="shared" si="192"/>
        <v>0</v>
      </c>
      <c r="M227" s="117">
        <f t="shared" si="193"/>
        <v>0</v>
      </c>
      <c r="N227" s="19"/>
      <c r="O227" s="19" t="s">
        <v>147</v>
      </c>
      <c r="P227" s="147"/>
      <c r="Q227" s="193"/>
      <c r="R227" s="193"/>
      <c r="S227" s="193"/>
      <c r="T227" s="193"/>
      <c r="U227" s="193"/>
      <c r="V227" s="193"/>
      <c r="W227" s="185">
        <f>J227</f>
        <v>0</v>
      </c>
      <c r="X227" s="185">
        <f>H227*$M$1</f>
        <v>0</v>
      </c>
      <c r="Y227" s="313"/>
    </row>
    <row r="228" spans="1:29" s="125" customFormat="1" x14ac:dyDescent="0.3">
      <c r="A228" s="206"/>
      <c r="B228" s="117">
        <v>0</v>
      </c>
      <c r="C228" s="117">
        <v>0</v>
      </c>
      <c r="D228" s="148">
        <f>'Data Ocupacion'!BL45</f>
        <v>0</v>
      </c>
      <c r="E228" s="148">
        <f>'Data Ocupacion'!BM45</f>
        <v>0</v>
      </c>
      <c r="F228" s="320" t="s">
        <v>122</v>
      </c>
      <c r="G228" s="321">
        <f t="shared" si="190"/>
        <v>0</v>
      </c>
      <c r="H228" s="117">
        <f t="shared" si="194"/>
        <v>0</v>
      </c>
      <c r="I228" s="117">
        <f t="shared" si="191"/>
        <v>0</v>
      </c>
      <c r="J228" s="323">
        <f>G228*K$1</f>
        <v>0</v>
      </c>
      <c r="K228" s="154">
        <f>I228*K$1</f>
        <v>0</v>
      </c>
      <c r="L228" s="117">
        <f t="shared" si="192"/>
        <v>0</v>
      </c>
      <c r="M228" s="117">
        <f t="shared" si="193"/>
        <v>0</v>
      </c>
      <c r="N228" s="19"/>
      <c r="O228" s="19"/>
      <c r="P228" s="147"/>
      <c r="Q228" s="193"/>
      <c r="R228" s="193"/>
      <c r="S228" s="193"/>
      <c r="T228" s="193"/>
      <c r="U228" s="193"/>
      <c r="V228" s="193"/>
      <c r="W228" s="185">
        <f>J228</f>
        <v>0</v>
      </c>
      <c r="X228" s="185">
        <f>H228*$K$1</f>
        <v>0</v>
      </c>
      <c r="Y228" s="313"/>
    </row>
    <row r="229" spans="1:29" s="125" customFormat="1" ht="15" thickBot="1" x14ac:dyDescent="0.35">
      <c r="A229" s="206"/>
      <c r="B229" s="117">
        <v>0</v>
      </c>
      <c r="C229" s="117">
        <v>0</v>
      </c>
      <c r="D229" s="148">
        <f>'Data Ocupacion'!BL46</f>
        <v>0</v>
      </c>
      <c r="E229" s="148">
        <f>'Data Ocupacion'!BM46</f>
        <v>0</v>
      </c>
      <c r="F229" s="320" t="s">
        <v>35</v>
      </c>
      <c r="G229" s="321">
        <f t="shared" si="190"/>
        <v>0</v>
      </c>
      <c r="H229" s="117">
        <f t="shared" si="194"/>
        <v>0</v>
      </c>
      <c r="I229" s="324">
        <f t="shared" si="191"/>
        <v>0</v>
      </c>
      <c r="J229" s="324">
        <f>G229*K$1</f>
        <v>0</v>
      </c>
      <c r="K229" s="154">
        <f>I229*K$1</f>
        <v>0</v>
      </c>
      <c r="L229" s="117">
        <f t="shared" si="192"/>
        <v>0</v>
      </c>
      <c r="M229" s="117">
        <f t="shared" si="193"/>
        <v>0</v>
      </c>
      <c r="N229" s="19"/>
      <c r="O229" s="19"/>
      <c r="P229" s="147"/>
      <c r="Q229" s="193"/>
      <c r="R229" s="193"/>
      <c r="S229" s="193"/>
      <c r="T229" s="193"/>
      <c r="U229" s="193"/>
      <c r="V229" s="193"/>
      <c r="W229" s="185">
        <f>J229</f>
        <v>0</v>
      </c>
      <c r="X229" s="185">
        <f>H229*$K$1</f>
        <v>0</v>
      </c>
      <c r="Y229" s="313"/>
    </row>
    <row r="230" spans="1:29" s="125" customFormat="1" ht="15" thickBot="1" x14ac:dyDescent="0.35">
      <c r="A230" s="20"/>
      <c r="B230" s="224">
        <f>SUM(B224:B229)</f>
        <v>144</v>
      </c>
      <c r="C230" s="224">
        <f>SUM(C224:C229)</f>
        <v>3</v>
      </c>
      <c r="D230" s="149">
        <f>SUM(D224:D229)</f>
        <v>144</v>
      </c>
      <c r="E230" s="149">
        <f>SUM(E224:E229)</f>
        <v>3</v>
      </c>
      <c r="F230" s="120"/>
      <c r="G230" s="120">
        <f t="shared" ref="G230:M230" si="195">SUM(G224:G229)</f>
        <v>150</v>
      </c>
      <c r="H230" s="120">
        <f t="shared" si="195"/>
        <v>150</v>
      </c>
      <c r="I230" s="120">
        <f t="shared" si="195"/>
        <v>147</v>
      </c>
      <c r="J230" s="120">
        <f t="shared" si="195"/>
        <v>6469.5</v>
      </c>
      <c r="K230" s="120">
        <f t="shared" si="195"/>
        <v>6340.1100000000006</v>
      </c>
      <c r="L230" s="120">
        <f t="shared" si="195"/>
        <v>672828</v>
      </c>
      <c r="M230" s="120">
        <f t="shared" si="195"/>
        <v>15288</v>
      </c>
      <c r="N230" s="124">
        <f>'Odometro-Kilometraje'!AF81</f>
        <v>6584</v>
      </c>
      <c r="O230" s="21">
        <f>(W230/N230)*100</f>
        <v>98.260935601458073</v>
      </c>
      <c r="P230" s="196"/>
      <c r="Q230" s="184"/>
      <c r="R230" s="184"/>
      <c r="S230" s="184"/>
      <c r="T230" s="184"/>
      <c r="U230" s="184"/>
      <c r="V230" s="184"/>
      <c r="W230" s="197">
        <f>SUM(W224:W229)</f>
        <v>6469.5</v>
      </c>
      <c r="X230" s="197">
        <f>SUM(X224:X229)</f>
        <v>6469.5</v>
      </c>
      <c r="Y230" s="313"/>
    </row>
    <row r="231" spans="1:29" s="125" customFormat="1" ht="15" thickBot="1" x14ac:dyDescent="0.35"/>
    <row r="232" spans="1:29" s="125" customFormat="1" ht="15" thickBot="1" x14ac:dyDescent="0.35">
      <c r="A232"/>
      <c r="B232" s="363" t="s">
        <v>56</v>
      </c>
      <c r="C232" s="364"/>
      <c r="D232" s="364"/>
      <c r="E232" s="364"/>
      <c r="F232" s="364"/>
      <c r="G232" s="365"/>
      <c r="H232" s="330"/>
      <c r="I232" s="363" t="s">
        <v>57</v>
      </c>
      <c r="J232" s="364"/>
      <c r="K232" s="364"/>
      <c r="L232" s="364"/>
      <c r="M232" s="364"/>
      <c r="N232" s="365"/>
      <c r="P232" s="378" t="s">
        <v>142</v>
      </c>
      <c r="Q232" s="378"/>
      <c r="R232" s="378"/>
      <c r="S232" s="379"/>
      <c r="T232" s="375" t="s">
        <v>145</v>
      </c>
      <c r="U232" s="376"/>
      <c r="V232" s="377"/>
      <c r="W232" s="368" t="s">
        <v>146</v>
      </c>
      <c r="X232" s="368" t="s">
        <v>188</v>
      </c>
    </row>
    <row r="233" spans="1:29" s="125" customFormat="1" ht="23.4" thickBot="1" x14ac:dyDescent="0.35">
      <c r="A233" s="22" t="s">
        <v>56</v>
      </c>
      <c r="B233" s="181" t="s">
        <v>58</v>
      </c>
      <c r="C233" s="181" t="s">
        <v>59</v>
      </c>
      <c r="D233" s="181" t="s">
        <v>60</v>
      </c>
      <c r="E233" s="181" t="s">
        <v>61</v>
      </c>
      <c r="F233" s="181" t="s">
        <v>62</v>
      </c>
      <c r="G233" s="181" t="s">
        <v>63</v>
      </c>
      <c r="H233" s="181"/>
      <c r="I233" s="181" t="s">
        <v>58</v>
      </c>
      <c r="J233" s="181" t="s">
        <v>59</v>
      </c>
      <c r="K233" s="181" t="s">
        <v>60</v>
      </c>
      <c r="L233" s="181" t="s">
        <v>61</v>
      </c>
      <c r="M233" s="181" t="s">
        <v>62</v>
      </c>
      <c r="N233" s="181" t="s">
        <v>63</v>
      </c>
      <c r="P233" s="219" t="s">
        <v>143</v>
      </c>
      <c r="Q233" s="199" t="s">
        <v>144</v>
      </c>
      <c r="R233" s="218" t="s">
        <v>151</v>
      </c>
      <c r="S233" s="220" t="s">
        <v>149</v>
      </c>
      <c r="T233" s="200" t="s">
        <v>143</v>
      </c>
      <c r="U233" s="201" t="s">
        <v>144</v>
      </c>
      <c r="V233" s="234" t="s">
        <v>149</v>
      </c>
      <c r="W233" s="369"/>
      <c r="X233" s="369"/>
    </row>
    <row r="234" spans="1:29" ht="15.9" customHeight="1" x14ac:dyDescent="0.3">
      <c r="A234" s="23" t="s">
        <v>38</v>
      </c>
      <c r="B234" s="115">
        <f t="shared" ref="B234:C236" si="196">B5+B12+B19+B26+B33+B40+B47+B54+B70+B77+B84+B91+B98+B105+B112+B119+B126+B133+B140+B147+B154+B161+B168+B175+B182+B189+B196+B203+B210+B217+B224</f>
        <v>1589</v>
      </c>
      <c r="C234" s="115">
        <f t="shared" si="196"/>
        <v>675</v>
      </c>
      <c r="D234" s="115">
        <f t="shared" ref="D234:D244" si="197">B234+C234</f>
        <v>2264</v>
      </c>
      <c r="E234" s="140">
        <f>D234*43.13</f>
        <v>97646.32</v>
      </c>
      <c r="F234" s="140">
        <f>B234*43.13+C234*86.26</f>
        <v>126759.07</v>
      </c>
      <c r="G234" s="140">
        <f t="shared" ref="G234:G239" si="198">F234*104</f>
        <v>13182943.280000001</v>
      </c>
      <c r="H234" s="140"/>
      <c r="I234" s="115">
        <f>D5+D12+D19+D26+D33+D40+D47+D54+D70+D77+D84+D91+D98+D105+D112+D119+D126+D133+D140+D147+D154+D161+D168+D175+D182+D189+D196+D203+D210+D217+D224</f>
        <v>1574</v>
      </c>
      <c r="J234" s="115">
        <f>E5+E12+E19+E26+E33+E40+E47+E54+E70+E77+E84+E91+E98+E105+E112+E119+E126+E133+E140+E147+E154+E161+E168+E175+E182+E189+E196+E203+E210+E217+E224</f>
        <v>666</v>
      </c>
      <c r="K234" s="115">
        <f t="shared" ref="K234:K244" si="199">I234+J234</f>
        <v>2240</v>
      </c>
      <c r="L234" s="140">
        <f>K234*43.13</f>
        <v>96611.200000000012</v>
      </c>
      <c r="M234" s="140">
        <f>I234*43.13+J234*86.26</f>
        <v>125335.78000000001</v>
      </c>
      <c r="N234" s="140">
        <f t="shared" ref="N234:N248" si="200">M234*104</f>
        <v>13034921.120000001</v>
      </c>
      <c r="O234" s="125"/>
      <c r="P234" s="213">
        <f>SUM(Q203,Q196,Q189,Q182,Q175,Q168,Q161,Q154,Q147,Q140,Q133,Q126,Q119,Q112,Q105,Q98,Q91,Q84,Q77,Q70,Q54,Q47,Q40,Q33,Q26,Q19,Q12,Q5,Q210,Q217,Q224)</f>
        <v>44</v>
      </c>
      <c r="Q234" s="214">
        <f>SUM(R203,R196,R189,R182,R175,R168,R161,R154,R147,R140,R133,R126,R119,R112,R105,R98,R91,R84,R77,R70,R54,R47,R40,R33,R26,R19,R12,R5,R210,R217,R224)</f>
        <v>0</v>
      </c>
      <c r="R234" s="214">
        <f>SUM(S203,S196,S189,S182,S175,S168,S161,S154,S147,S140,S133,S126,S119,S112,S105,S98,S91,S84,S77,S70,S54,S47,S40,S33,S26,S19,S12,S5,S210,S217,S224)</f>
        <v>0</v>
      </c>
      <c r="S234" s="214">
        <f>SUM(S203,S196,S189,S182,S175,S168,S161,S154,S147,S140,S133,S126,S119,S112,S105,S98,S91,S84,S77,S70,S54,S47,S40,S33,S26,S19,S12,S5,S210,S217,S224)</f>
        <v>0</v>
      </c>
      <c r="T234" s="214">
        <f>SUM(T203,T196,T189,T182,T175,T168,T161,T154,T147,T140,T133,T126,T119,T112,T105,T98,T91,T84,T77,T70,T54,T47,T40,T33,T26,T19,T12,T5,T210,T217,T224)</f>
        <v>53</v>
      </c>
      <c r="U234" s="214">
        <f>SUM(U203,U196,U189,U182,U175,U168,U161,U154,U147,U140,U133,U126,U119,U112,U105,U98,U91,U84,U77,U70,U54,U47,U40,U33,U26,U19,U12,U5,U210,U217,U225)</f>
        <v>0</v>
      </c>
      <c r="V234" s="214">
        <f>SUM(V203,V196,V189,V182,V175,V168,V161,V154,V147,V140,V133,V126,V119,V112,V105,V98,V91,V84,V77,V70,V54,V47,V40,V33,V26,V19,V12,V5,V210,V217,V225)</f>
        <v>0</v>
      </c>
      <c r="W234" s="238">
        <f>W11+W18+W25+W32+W39+W46+W53+W69+W76+W83+W90+W97+W104+W111+W118+W125+W132+W139+W146+W153+W160+W167+W174+W181+W188+W195+W202+W209+W216+W223+W230</f>
        <v>293809.7</v>
      </c>
      <c r="X234" s="238">
        <f>X11+X18+X25+X32+X39+X46+X53+X69+X76+X83+X90+X97+X104+X111+X118+X125+X132+X139+X146+X153+X160+X167+X174+X181+X188+X195+X202+X209+X216+X223+X230</f>
        <v>296526.74</v>
      </c>
    </row>
    <row r="235" spans="1:29" ht="17.25" customHeight="1" x14ac:dyDescent="0.3">
      <c r="A235" s="23" t="s">
        <v>52</v>
      </c>
      <c r="B235" s="115">
        <f t="shared" si="196"/>
        <v>1615</v>
      </c>
      <c r="C235" s="115">
        <f t="shared" si="196"/>
        <v>662</v>
      </c>
      <c r="D235" s="115">
        <f t="shared" si="197"/>
        <v>2277</v>
      </c>
      <c r="E235" s="140">
        <f>D235*43.13</f>
        <v>98207.010000000009</v>
      </c>
      <c r="F235" s="140">
        <f>B235*43.13+C235*86.26</f>
        <v>126759.07</v>
      </c>
      <c r="G235" s="140">
        <f t="shared" si="198"/>
        <v>13182943.280000001</v>
      </c>
      <c r="H235" s="140"/>
      <c r="I235" s="115">
        <f>D6+D13+D20+D27+D34+D41+D48+D55+D71+D78+D85+D92+D99+D106+D113+D120+D127+D134+D141+D148+D155+D162+D169+D176+D183+D190+D197+D204+D211+D218+D225</f>
        <v>1606</v>
      </c>
      <c r="J235" s="115">
        <f>E6+E13+E27+E34+E41+E48+E55+E71+E78+E85+E92+E99+E106+E113+E120+E127+E134+E141+E148+E155+E162+E169+E176+E183+E190+E197+E204+E211+E218+E225</f>
        <v>649</v>
      </c>
      <c r="K235" s="115">
        <f t="shared" si="199"/>
        <v>2255</v>
      </c>
      <c r="L235" s="140">
        <f t="shared" ref="L235" si="201">K235*43.13</f>
        <v>97258.150000000009</v>
      </c>
      <c r="M235" s="140">
        <f>I235*43.13+J235*86.26</f>
        <v>125249.52</v>
      </c>
      <c r="N235" s="140">
        <f t="shared" si="200"/>
        <v>13025950.08</v>
      </c>
      <c r="O235" s="125"/>
      <c r="W235" s="125"/>
      <c r="AA235" s="8"/>
    </row>
    <row r="236" spans="1:29" x14ac:dyDescent="0.3">
      <c r="A236" s="23" t="s">
        <v>36</v>
      </c>
      <c r="B236" s="115">
        <f t="shared" si="196"/>
        <v>580</v>
      </c>
      <c r="C236" s="115">
        <f t="shared" si="196"/>
        <v>80</v>
      </c>
      <c r="D236" s="115">
        <f t="shared" si="197"/>
        <v>660</v>
      </c>
      <c r="E236" s="140">
        <f>D236*29.11</f>
        <v>19212.599999999999</v>
      </c>
      <c r="F236" s="140">
        <f>B236*29.11+C236*58.22</f>
        <v>21541.4</v>
      </c>
      <c r="G236" s="140">
        <f t="shared" si="198"/>
        <v>2240305.6</v>
      </c>
      <c r="H236" s="140"/>
      <c r="I236" s="115">
        <f>D7+D14+D28+D35+D42+D49+D56+D72+D79+D86+D93+D100+D107+D114+D121+D128+D135+D142+D149+D156+D163+D170+D177+D184+D191+D198+D205+D212+D219+D226</f>
        <v>573</v>
      </c>
      <c r="J236" s="115">
        <f>E7+E14+E28+E35+E42+E49+E56+E72+E79+E86+E93+E100+E107+E114+E121+E128+E135+E142+E149+E156+E163+E170+E177+E184+E191+E198+E205+E212+E219+E226</f>
        <v>75</v>
      </c>
      <c r="K236" s="115">
        <f t="shared" si="199"/>
        <v>648</v>
      </c>
      <c r="L236" s="140">
        <f>K236*29.11</f>
        <v>18863.28</v>
      </c>
      <c r="M236" s="140">
        <f>I236*29.11+J236*58.22</f>
        <v>21046.53</v>
      </c>
      <c r="N236" s="140">
        <f t="shared" si="200"/>
        <v>2188839.12</v>
      </c>
      <c r="O236" s="125"/>
      <c r="W236" s="125"/>
    </row>
    <row r="237" spans="1:29" x14ac:dyDescent="0.3">
      <c r="A237" s="23" t="s">
        <v>53</v>
      </c>
      <c r="B237" s="115">
        <f>B8+B15+B22+B29+B36+B43+B50+B57+B73+B80+B87+B94+B101+B108+B115+B122+B129+B136+B143+B150+B157+B164+B171+B178+B185+B192+B199+B206+B213+B220+B227</f>
        <v>560</v>
      </c>
      <c r="C237" s="115">
        <f>C8+C15+C22+C29+C36+C43+C50+C57+C73+C80+C87+C94+C101+C108+C115+C122+C129+C136+C143+C150+C157+C164+C171+C178+C185+C192+C199+C206+C213+C220+C228</f>
        <v>80</v>
      </c>
      <c r="D237" s="115">
        <f t="shared" si="197"/>
        <v>640</v>
      </c>
      <c r="E237" s="140">
        <f>D237*29.11</f>
        <v>18630.400000000001</v>
      </c>
      <c r="F237" s="140">
        <f>B237*29.11+C237*58.22</f>
        <v>20959.2</v>
      </c>
      <c r="G237" s="140">
        <f t="shared" si="198"/>
        <v>2179756.8000000003</v>
      </c>
      <c r="H237" s="140"/>
      <c r="I237" s="115">
        <f>D8+D15+D29+D36+D43+D50+D57+D73+D80+D87+D94+D101+D108+D115+D122+D129+D136+D143+D150+D157+D164+D171+D178+D185+D192+D199+D206+D213+D220+D227</f>
        <v>552</v>
      </c>
      <c r="J237" s="115">
        <f>E8+E15+E29+E36+E43+E50+E57+E73+E80+E87+E94+E101+E108+E115+E122+E129+E136+E143+E150+E157+E164+E171+E178+E185+E192+E199+E206+E213+E220+E227</f>
        <v>77</v>
      </c>
      <c r="K237" s="115">
        <f t="shared" si="199"/>
        <v>629</v>
      </c>
      <c r="L237" s="140">
        <f>K237*29.11</f>
        <v>18310.189999999999</v>
      </c>
      <c r="M237" s="140">
        <f>I237*29.11+J237*58.22</f>
        <v>20551.66</v>
      </c>
      <c r="N237" s="140">
        <f t="shared" si="200"/>
        <v>2137372.64</v>
      </c>
      <c r="O237" s="125"/>
      <c r="W237" s="125"/>
      <c r="AA237" s="102"/>
      <c r="AB237" s="102"/>
      <c r="AC237" s="102"/>
    </row>
    <row r="238" spans="1:29" x14ac:dyDescent="0.3">
      <c r="A238" s="23" t="s">
        <v>122</v>
      </c>
      <c r="B238" s="115">
        <f>B9+B16+B23+B30+B37+B44+B51+B58+B74+B81+B88+B95+B102+B109+B116+B123+B130+B137+B144+B151+B158+B165+B172+B179+B186+B193+B200+B207+B214+B221+B228</f>
        <v>0</v>
      </c>
      <c r="C238" s="115">
        <f>C9+C16+C23+C30+C37+C44+C51+C58+C74+C81+C88+C95+C102+C109+C116+C123+C130+C137+C144+C151+C158+C165+C172+C179+C186+C193+C200+C207+C214+C221+C229</f>
        <v>0</v>
      </c>
      <c r="D238" s="115">
        <f t="shared" si="197"/>
        <v>0</v>
      </c>
      <c r="E238" s="140">
        <f>D238*25.4</f>
        <v>0</v>
      </c>
      <c r="F238" s="140">
        <f>B238*25.4+C238*50.8</f>
        <v>0</v>
      </c>
      <c r="G238" s="140">
        <f t="shared" si="198"/>
        <v>0</v>
      </c>
      <c r="H238" s="140"/>
      <c r="I238" s="115">
        <f>D9+D16+D30+D37+D44+D51+D58+D74+D81+D88+D95+D102+D109+D116+D123+D130+D137+D144+D151+D158+D165+D172+D179+D186+D193+D200+D207+D214+D221+D228</f>
        <v>0</v>
      </c>
      <c r="J238" s="115">
        <f>E9+E16+E30+E37+E44+E51+E58+E74+E81+E88+E95+E102+E109+E116+E123+E130+E137+E144+E151+E158+E165+E172+E179+E186+E193+E200+E207+E214+E221+E228</f>
        <v>0</v>
      </c>
      <c r="K238" s="115">
        <f t="shared" si="199"/>
        <v>0</v>
      </c>
      <c r="L238" s="140">
        <f>K238*25.4</f>
        <v>0</v>
      </c>
      <c r="M238" s="140">
        <f>I238*25.4+J238*50.8</f>
        <v>0</v>
      </c>
      <c r="N238" s="140">
        <f t="shared" si="200"/>
        <v>0</v>
      </c>
      <c r="O238" s="125"/>
      <c r="W238" s="125"/>
    </row>
    <row r="239" spans="1:29" x14ac:dyDescent="0.3">
      <c r="A239" s="23" t="s">
        <v>35</v>
      </c>
      <c r="B239" s="115">
        <f>B10+B17+B24+B31+B38+B45+B52+B59+B75+B82+B89+B96+B103+B110+B117+B124+B131+B138+B145+B152+B159+B166+B173+B180+B187+B194+B201+B208+B215+B222+B229</f>
        <v>20</v>
      </c>
      <c r="C239" s="115">
        <f>C10+C17+C24+C31+C38+C45+C52+C59+C75+C82+C89+C96+C103+C110+C117+C124+C131+C138+C145+C152+C159+C166+C173+C180+C187+C194+C201+C208+C215+C222+C229</f>
        <v>0</v>
      </c>
      <c r="D239" s="115">
        <f t="shared" si="197"/>
        <v>20</v>
      </c>
      <c r="E239" s="140">
        <f>D239*25.4</f>
        <v>508</v>
      </c>
      <c r="F239" s="140">
        <f>B239*25.4+C239*50.8</f>
        <v>508</v>
      </c>
      <c r="G239" s="140">
        <f t="shared" si="198"/>
        <v>52832</v>
      </c>
      <c r="H239" s="140"/>
      <c r="I239" s="115">
        <f>D10+D17+D31+D38+D45+D52+D59+D75+D82+D89+D96+D103+D110+D117+D124+D131+D138+D145+D152+D159+D166+D173+D180+D187+D194+D201+D208+D215+D222+D229</f>
        <v>20</v>
      </c>
      <c r="J239" s="115">
        <f>E10+E17+E31+E38+E45+E52+E59+E75+E82+E89+E96+E103+E110+E117+E124+E131+E138+E145+E152+E159+E166+E173+E180+E187+E194+E201+E208+E215+E222+E229</f>
        <v>0</v>
      </c>
      <c r="K239" s="115">
        <f t="shared" si="199"/>
        <v>20</v>
      </c>
      <c r="L239" s="140">
        <f>K239*25.4</f>
        <v>508</v>
      </c>
      <c r="M239" s="140">
        <f>I239*25.4+J239*50.8</f>
        <v>508</v>
      </c>
      <c r="N239" s="140">
        <f t="shared" si="200"/>
        <v>52832</v>
      </c>
      <c r="O239" s="125"/>
      <c r="P239" s="125"/>
      <c r="Q239" s="125"/>
      <c r="R239" s="125"/>
      <c r="T239" s="125"/>
      <c r="U239" s="125"/>
      <c r="W239" s="125"/>
      <c r="AA239" s="102"/>
      <c r="AB239" s="102"/>
      <c r="AC239" s="102"/>
    </row>
    <row r="240" spans="1:29" s="125" customFormat="1" x14ac:dyDescent="0.3">
      <c r="A240" s="23" t="s">
        <v>175</v>
      </c>
      <c r="B240" s="115">
        <v>0</v>
      </c>
      <c r="C240" s="115">
        <v>0</v>
      </c>
      <c r="D240" s="115">
        <f t="shared" si="197"/>
        <v>0</v>
      </c>
      <c r="E240" s="140">
        <f t="shared" ref="E240:E244" si="202">D240*25.4</f>
        <v>0</v>
      </c>
      <c r="F240" s="140">
        <f t="shared" ref="F240:F244" si="203">B240*25.4+C240*50.8</f>
        <v>0</v>
      </c>
      <c r="G240" s="140">
        <f t="shared" ref="G240:G244" si="204">F240*104</f>
        <v>0</v>
      </c>
      <c r="H240" s="140"/>
      <c r="I240" s="115">
        <f t="shared" ref="I240:J243" si="205">D60</f>
        <v>1</v>
      </c>
      <c r="J240" s="115">
        <f t="shared" si="205"/>
        <v>3</v>
      </c>
      <c r="K240" s="115">
        <f t="shared" si="199"/>
        <v>4</v>
      </c>
      <c r="L240" s="140">
        <f>K240*O1</f>
        <v>86.8</v>
      </c>
      <c r="M240" s="140">
        <f>I240*O1+J240*(O1*2)</f>
        <v>151.89999999999998</v>
      </c>
      <c r="N240" s="140">
        <f t="shared" si="200"/>
        <v>15797.599999999999</v>
      </c>
      <c r="AA240" s="102"/>
      <c r="AB240" s="102"/>
      <c r="AC240" s="102"/>
    </row>
    <row r="241" spans="1:29" s="125" customFormat="1" x14ac:dyDescent="0.3">
      <c r="A241" s="23" t="s">
        <v>176</v>
      </c>
      <c r="B241" s="115">
        <v>0</v>
      </c>
      <c r="C241" s="115">
        <v>0</v>
      </c>
      <c r="D241" s="115">
        <f t="shared" si="197"/>
        <v>0</v>
      </c>
      <c r="E241" s="140">
        <f t="shared" si="202"/>
        <v>0</v>
      </c>
      <c r="F241" s="140">
        <f t="shared" si="203"/>
        <v>0</v>
      </c>
      <c r="G241" s="140">
        <f t="shared" si="204"/>
        <v>0</v>
      </c>
      <c r="H241" s="140"/>
      <c r="I241" s="115">
        <f t="shared" si="205"/>
        <v>2</v>
      </c>
      <c r="J241" s="115">
        <f t="shared" si="205"/>
        <v>1</v>
      </c>
      <c r="K241" s="115">
        <f t="shared" si="199"/>
        <v>3</v>
      </c>
      <c r="L241" s="140">
        <f>K241*O1</f>
        <v>65.099999999999994</v>
      </c>
      <c r="M241" s="140">
        <f>I241*O1+J241*(O1*2)</f>
        <v>86.8</v>
      </c>
      <c r="N241" s="140">
        <f t="shared" si="200"/>
        <v>9027.1999999999989</v>
      </c>
      <c r="AA241" s="102"/>
      <c r="AB241" s="102"/>
      <c r="AC241" s="102"/>
    </row>
    <row r="242" spans="1:29" s="125" customFormat="1" x14ac:dyDescent="0.3">
      <c r="A242" s="23" t="s">
        <v>177</v>
      </c>
      <c r="B242" s="115">
        <v>0</v>
      </c>
      <c r="C242" s="115">
        <v>0</v>
      </c>
      <c r="D242" s="115">
        <f t="shared" si="197"/>
        <v>0</v>
      </c>
      <c r="E242" s="140">
        <f t="shared" si="202"/>
        <v>0</v>
      </c>
      <c r="F242" s="140">
        <f t="shared" si="203"/>
        <v>0</v>
      </c>
      <c r="G242" s="140">
        <f t="shared" si="204"/>
        <v>0</v>
      </c>
      <c r="H242" s="140"/>
      <c r="I242" s="115">
        <f t="shared" si="205"/>
        <v>0</v>
      </c>
      <c r="J242" s="115">
        <f t="shared" si="205"/>
        <v>5</v>
      </c>
      <c r="K242" s="115">
        <f t="shared" si="199"/>
        <v>5</v>
      </c>
      <c r="L242" s="140">
        <f>K242*O2</f>
        <v>178.64999999999998</v>
      </c>
      <c r="M242" s="140">
        <f>I242*O2+J242*(O2*2)</f>
        <v>357.29999999999995</v>
      </c>
      <c r="N242" s="140">
        <f t="shared" si="200"/>
        <v>37159.199999999997</v>
      </c>
      <c r="AA242" s="102"/>
      <c r="AB242" s="102"/>
      <c r="AC242" s="102"/>
    </row>
    <row r="243" spans="1:29" s="125" customFormat="1" x14ac:dyDescent="0.3">
      <c r="A243" s="23" t="s">
        <v>178</v>
      </c>
      <c r="B243" s="115">
        <v>0</v>
      </c>
      <c r="C243" s="115">
        <v>0</v>
      </c>
      <c r="D243" s="115">
        <f t="shared" si="197"/>
        <v>0</v>
      </c>
      <c r="E243" s="140">
        <f t="shared" si="202"/>
        <v>0</v>
      </c>
      <c r="F243" s="140">
        <f t="shared" si="203"/>
        <v>0</v>
      </c>
      <c r="G243" s="140">
        <f t="shared" si="204"/>
        <v>0</v>
      </c>
      <c r="H243" s="140"/>
      <c r="I243" s="115">
        <f t="shared" si="205"/>
        <v>3</v>
      </c>
      <c r="J243" s="115">
        <f t="shared" si="205"/>
        <v>2</v>
      </c>
      <c r="K243" s="115">
        <f t="shared" si="199"/>
        <v>5</v>
      </c>
      <c r="L243" s="140">
        <f>K243*O2</f>
        <v>178.64999999999998</v>
      </c>
      <c r="M243" s="140">
        <f>I243*O2+J243*(O2*2)</f>
        <v>250.10999999999999</v>
      </c>
      <c r="N243" s="140">
        <f t="shared" si="200"/>
        <v>26011.439999999999</v>
      </c>
      <c r="AA243" s="102"/>
      <c r="AB243" s="102"/>
      <c r="AC243" s="102"/>
    </row>
    <row r="244" spans="1:29" s="125" customFormat="1" x14ac:dyDescent="0.3">
      <c r="A244" s="23" t="s">
        <v>184</v>
      </c>
      <c r="B244" s="115">
        <v>0</v>
      </c>
      <c r="C244" s="115">
        <v>0</v>
      </c>
      <c r="D244" s="115">
        <f t="shared" si="197"/>
        <v>0</v>
      </c>
      <c r="E244" s="140">
        <f t="shared" si="202"/>
        <v>0</v>
      </c>
      <c r="F244" s="140">
        <f t="shared" si="203"/>
        <v>0</v>
      </c>
      <c r="G244" s="140">
        <f t="shared" si="204"/>
        <v>0</v>
      </c>
      <c r="H244" s="140"/>
      <c r="I244" s="115">
        <f t="shared" ref="I244:J244" si="206">D64</f>
        <v>1</v>
      </c>
      <c r="J244" s="115">
        <f t="shared" si="206"/>
        <v>1</v>
      </c>
      <c r="K244" s="115">
        <f t="shared" si="199"/>
        <v>2</v>
      </c>
      <c r="L244" s="140">
        <f>K244*F1</f>
        <v>15.36</v>
      </c>
      <c r="M244" s="140">
        <f>I244*F1+J244*(F1*2)</f>
        <v>23.04</v>
      </c>
      <c r="N244" s="140">
        <f t="shared" si="200"/>
        <v>2396.16</v>
      </c>
      <c r="AA244" s="102"/>
      <c r="AB244" s="102"/>
      <c r="AC244" s="102"/>
    </row>
    <row r="245" spans="1:29" s="125" customFormat="1" x14ac:dyDescent="0.3">
      <c r="A245" s="23" t="s">
        <v>257</v>
      </c>
      <c r="B245" s="115">
        <v>0</v>
      </c>
      <c r="C245" s="115">
        <v>0</v>
      </c>
      <c r="D245" s="115">
        <f t="shared" ref="D245:D248" si="207">B245+C245</f>
        <v>0</v>
      </c>
      <c r="E245" s="140">
        <f t="shared" ref="E245:E248" si="208">D245*25.4</f>
        <v>0</v>
      </c>
      <c r="F245" s="140">
        <f t="shared" ref="F245:F248" si="209">B245*25.4+C245*50.8</f>
        <v>0</v>
      </c>
      <c r="G245" s="140">
        <f t="shared" ref="G245:G248" si="210">F245*104</f>
        <v>0</v>
      </c>
      <c r="H245" s="140"/>
      <c r="I245" s="115">
        <v>1</v>
      </c>
      <c r="J245" s="115">
        <v>0</v>
      </c>
      <c r="K245" s="115">
        <f t="shared" ref="K245:K248" si="211">I245+J245</f>
        <v>1</v>
      </c>
      <c r="L245" s="140">
        <f>K245*AA56</f>
        <v>10.17</v>
      </c>
      <c r="M245" s="140">
        <f>I245*AA56+J245*(AA56*2)</f>
        <v>10.17</v>
      </c>
      <c r="N245" s="140">
        <f t="shared" si="200"/>
        <v>1057.68</v>
      </c>
      <c r="AA245" s="102"/>
      <c r="AB245" s="102"/>
      <c r="AC245" s="102"/>
    </row>
    <row r="246" spans="1:29" s="125" customFormat="1" x14ac:dyDescent="0.3">
      <c r="A246" s="23" t="s">
        <v>258</v>
      </c>
      <c r="B246" s="115">
        <v>0</v>
      </c>
      <c r="C246" s="115">
        <v>0</v>
      </c>
      <c r="D246" s="115">
        <f t="shared" si="207"/>
        <v>0</v>
      </c>
      <c r="E246" s="140">
        <f t="shared" si="208"/>
        <v>0</v>
      </c>
      <c r="F246" s="140">
        <f t="shared" si="209"/>
        <v>0</v>
      </c>
      <c r="G246" s="140">
        <f t="shared" si="210"/>
        <v>0</v>
      </c>
      <c r="H246" s="140"/>
      <c r="I246" s="115">
        <v>1</v>
      </c>
      <c r="J246" s="115">
        <v>0</v>
      </c>
      <c r="K246" s="115">
        <f t="shared" si="211"/>
        <v>1</v>
      </c>
      <c r="L246" s="140">
        <f>K246*AA57</f>
        <v>1.42</v>
      </c>
      <c r="M246" s="140">
        <f>I246*AA57+J246*(AA57*2)</f>
        <v>1.42</v>
      </c>
      <c r="N246" s="140">
        <f t="shared" si="200"/>
        <v>147.68</v>
      </c>
      <c r="AA246" s="102"/>
      <c r="AB246" s="102"/>
      <c r="AC246" s="102"/>
    </row>
    <row r="247" spans="1:29" s="125" customFormat="1" x14ac:dyDescent="0.3">
      <c r="A247" s="23" t="s">
        <v>259</v>
      </c>
      <c r="B247" s="115">
        <v>0</v>
      </c>
      <c r="C247" s="115">
        <v>0</v>
      </c>
      <c r="D247" s="115">
        <f t="shared" si="207"/>
        <v>0</v>
      </c>
      <c r="E247" s="140">
        <f t="shared" si="208"/>
        <v>0</v>
      </c>
      <c r="F247" s="140">
        <f t="shared" si="209"/>
        <v>0</v>
      </c>
      <c r="G247" s="140">
        <f t="shared" si="210"/>
        <v>0</v>
      </c>
      <c r="H247" s="140"/>
      <c r="I247" s="115">
        <v>0</v>
      </c>
      <c r="J247" s="115">
        <v>1</v>
      </c>
      <c r="K247" s="115">
        <f t="shared" si="211"/>
        <v>1</v>
      </c>
      <c r="L247" s="140">
        <f>K247*AA58</f>
        <v>5.99</v>
      </c>
      <c r="M247" s="140">
        <f>I247*AA58+J247*(AA58*2)</f>
        <v>11.98</v>
      </c>
      <c r="N247" s="140">
        <f t="shared" si="200"/>
        <v>1245.92</v>
      </c>
      <c r="AA247" s="102"/>
      <c r="AB247" s="102"/>
      <c r="AC247" s="102"/>
    </row>
    <row r="248" spans="1:29" s="125" customFormat="1" x14ac:dyDescent="0.3">
      <c r="A248" s="23" t="s">
        <v>260</v>
      </c>
      <c r="B248" s="115">
        <v>0</v>
      </c>
      <c r="C248" s="115">
        <v>0</v>
      </c>
      <c r="D248" s="115">
        <f t="shared" si="207"/>
        <v>0</v>
      </c>
      <c r="E248" s="140">
        <f t="shared" si="208"/>
        <v>0</v>
      </c>
      <c r="F248" s="140">
        <f t="shared" si="209"/>
        <v>0</v>
      </c>
      <c r="G248" s="140">
        <f t="shared" si="210"/>
        <v>0</v>
      </c>
      <c r="H248" s="140"/>
      <c r="I248" s="115">
        <v>0</v>
      </c>
      <c r="J248" s="115">
        <v>1</v>
      </c>
      <c r="K248" s="115">
        <f t="shared" si="211"/>
        <v>1</v>
      </c>
      <c r="L248" s="140">
        <f>K248*AA60</f>
        <v>32.96</v>
      </c>
      <c r="M248" s="140">
        <f>I248*AA60+J248*(AA60*2)</f>
        <v>65.92</v>
      </c>
      <c r="N248" s="140">
        <f t="shared" si="200"/>
        <v>6855.68</v>
      </c>
      <c r="AA248" s="102"/>
      <c r="AB248" s="102"/>
      <c r="AC248" s="102"/>
    </row>
    <row r="249" spans="1:29" s="125" customFormat="1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140"/>
      <c r="N249" s="140"/>
      <c r="P249"/>
      <c r="Q249"/>
      <c r="R249"/>
      <c r="T249"/>
      <c r="U249"/>
    </row>
    <row r="250" spans="1:29" s="125" customFormat="1" x14ac:dyDescent="0.3">
      <c r="A250" s="180" t="s">
        <v>64</v>
      </c>
      <c r="B250" s="301">
        <f>SUM(B234:B249)</f>
        <v>4364</v>
      </c>
      <c r="C250" s="301">
        <f>SUM(C234:C249)</f>
        <v>1497</v>
      </c>
      <c r="D250" s="301">
        <f>SUM(D234:D249)</f>
        <v>5861</v>
      </c>
      <c r="E250" s="302">
        <f>SUM(E234:E248)</f>
        <v>234204.33000000002</v>
      </c>
      <c r="F250" s="302">
        <f>SUM(F234:F248)</f>
        <v>296526.74000000005</v>
      </c>
      <c r="G250" s="302">
        <f>SUM(G234:G248)</f>
        <v>30838780.960000005</v>
      </c>
      <c r="H250" s="302"/>
      <c r="I250" s="301">
        <f t="shared" ref="I250:N250" si="212">SUM(I234:I248)</f>
        <v>4334</v>
      </c>
      <c r="J250" s="301">
        <f t="shared" si="212"/>
        <v>1481</v>
      </c>
      <c r="K250" s="301">
        <f t="shared" si="212"/>
        <v>5815</v>
      </c>
      <c r="L250" s="301">
        <f t="shared" si="212"/>
        <v>232125.92</v>
      </c>
      <c r="M250" s="302">
        <f>SUM(M234:M248)</f>
        <v>293650.12999999989</v>
      </c>
      <c r="N250" s="301">
        <f t="shared" si="212"/>
        <v>30539613.520000007</v>
      </c>
      <c r="P250"/>
      <c r="Q250"/>
      <c r="R250"/>
      <c r="T250"/>
      <c r="U250"/>
    </row>
    <row r="251" spans="1:29" x14ac:dyDescent="0.3">
      <c r="A251" s="125"/>
      <c r="B251" s="125"/>
      <c r="C251" s="125"/>
      <c r="D251" s="125"/>
      <c r="E251" s="125"/>
      <c r="F251" s="125"/>
      <c r="G251" s="125"/>
      <c r="I251" s="125"/>
      <c r="J251" s="125"/>
      <c r="K251" s="125"/>
      <c r="L251" s="125"/>
      <c r="M251" s="213"/>
      <c r="N251" s="125"/>
      <c r="O251" s="125"/>
      <c r="W251" s="125"/>
    </row>
    <row r="252" spans="1:29" ht="42" customHeight="1" thickBot="1" x14ac:dyDescent="0.35">
      <c r="B252" s="125" t="s">
        <v>65</v>
      </c>
      <c r="C252" s="125">
        <f>(B250)+(C250*2)</f>
        <v>7358</v>
      </c>
      <c r="D252" s="125"/>
      <c r="E252" s="125"/>
      <c r="F252" s="125" t="s">
        <v>65</v>
      </c>
      <c r="G252" s="125">
        <f>(I250)+(J250*2)</f>
        <v>7296</v>
      </c>
      <c r="I252" s="125"/>
      <c r="J252" s="202"/>
      <c r="K252" s="125"/>
      <c r="L252" s="125"/>
      <c r="M252" s="213"/>
      <c r="N252" s="125"/>
      <c r="O252" s="125"/>
      <c r="W252" s="125"/>
    </row>
    <row r="253" spans="1:29" x14ac:dyDescent="0.3">
      <c r="A253" s="24"/>
      <c r="B253" s="361" t="s">
        <v>55</v>
      </c>
      <c r="C253" s="362"/>
      <c r="D253" s="25" t="s">
        <v>65</v>
      </c>
      <c r="E253" s="26"/>
      <c r="F253" s="27" t="s">
        <v>61</v>
      </c>
      <c r="G253" s="27" t="s">
        <v>66</v>
      </c>
      <c r="H253" s="25"/>
      <c r="I253" s="28" t="s">
        <v>67</v>
      </c>
      <c r="J253" s="125"/>
      <c r="K253" s="125"/>
      <c r="L253" s="125"/>
      <c r="M253" s="125"/>
      <c r="N253" s="125"/>
      <c r="O253" s="125"/>
      <c r="W253" s="125"/>
    </row>
    <row r="254" spans="1:29" x14ac:dyDescent="0.3">
      <c r="A254" s="29"/>
      <c r="B254" s="30" t="s">
        <v>58</v>
      </c>
      <c r="C254" s="30" t="s">
        <v>68</v>
      </c>
      <c r="D254" s="31"/>
      <c r="E254" s="32"/>
      <c r="F254" s="30"/>
      <c r="G254" s="30"/>
      <c r="H254" s="31"/>
      <c r="I254" s="33"/>
      <c r="J254" s="125"/>
      <c r="K254" s="125"/>
      <c r="L254" s="125"/>
      <c r="M254" s="125"/>
      <c r="N254" s="125"/>
      <c r="O254" s="125"/>
      <c r="W254" s="125"/>
    </row>
    <row r="255" spans="1:29" ht="15" hidden="1" customHeight="1" x14ac:dyDescent="0.3">
      <c r="A255" s="34" t="s">
        <v>69</v>
      </c>
      <c r="B255" s="145" t="e">
        <f>+#REF!</f>
        <v>#REF!</v>
      </c>
      <c r="C255" s="145" t="e">
        <f>+#REF!</f>
        <v>#REF!</v>
      </c>
      <c r="D255" s="145" t="e">
        <f>+B255+2*C255</f>
        <v>#REF!</v>
      </c>
      <c r="E255" s="35" t="s">
        <v>69</v>
      </c>
      <c r="F255" s="36">
        <f>+E250</f>
        <v>234204.33000000002</v>
      </c>
      <c r="G255" s="36">
        <f>+F250</f>
        <v>296526.74000000005</v>
      </c>
      <c r="H255" s="331"/>
      <c r="I255" s="37">
        <f>+G250</f>
        <v>30838780.960000005</v>
      </c>
      <c r="J255" s="125"/>
      <c r="K255" s="125"/>
      <c r="L255" s="125"/>
      <c r="M255" s="125"/>
      <c r="N255" s="125"/>
      <c r="O255" s="125"/>
      <c r="W255" s="213"/>
    </row>
    <row r="256" spans="1:29" ht="15.75" hidden="1" customHeight="1" thickBot="1" x14ac:dyDescent="0.35">
      <c r="A256" s="38" t="s">
        <v>70</v>
      </c>
      <c r="B256" s="179" t="e">
        <f>+#REF!</f>
        <v>#REF!</v>
      </c>
      <c r="C256" s="179" t="e">
        <f>+#REF!</f>
        <v>#REF!</v>
      </c>
      <c r="D256" s="145" t="e">
        <f>+B256+2*C256</f>
        <v>#REF!</v>
      </c>
      <c r="E256" s="38" t="s">
        <v>70</v>
      </c>
      <c r="F256" s="39" t="e">
        <f>+#REF!</f>
        <v>#REF!</v>
      </c>
      <c r="G256" s="39" t="e">
        <f>+#REF!</f>
        <v>#REF!</v>
      </c>
      <c r="H256" s="332"/>
      <c r="I256" s="40" t="e">
        <f>+#REF!</f>
        <v>#REF!</v>
      </c>
      <c r="J256" s="125"/>
      <c r="K256" s="125"/>
      <c r="L256" s="125"/>
      <c r="M256" s="125"/>
      <c r="N256" s="125"/>
      <c r="O256" s="125"/>
      <c r="W256" s="213"/>
    </row>
    <row r="257" spans="3:23" ht="15" hidden="1" customHeight="1" x14ac:dyDescent="0.3">
      <c r="C257" s="125"/>
      <c r="D257" s="125"/>
      <c r="E257" s="125"/>
      <c r="F257" s="125"/>
      <c r="G257" s="125"/>
      <c r="I257" s="125" t="s">
        <v>65</v>
      </c>
      <c r="J257" s="226">
        <f>(I250)+(J250*2)</f>
        <v>7296</v>
      </c>
      <c r="K257" s="125"/>
      <c r="L257" s="125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</row>
    <row r="258" spans="3:23" ht="15" hidden="1" customHeight="1" x14ac:dyDescent="0.3">
      <c r="C258" s="125"/>
      <c r="D258" s="125"/>
      <c r="E258" s="125"/>
      <c r="F258" s="125"/>
      <c r="G258" s="125"/>
      <c r="I258" s="125"/>
      <c r="J258" s="125"/>
      <c r="K258" s="125"/>
      <c r="L258" s="125"/>
      <c r="M258" s="125"/>
      <c r="N258" s="125"/>
      <c r="O258" s="125"/>
    </row>
    <row r="259" spans="3:23" x14ac:dyDescent="0.3">
      <c r="C259" s="125"/>
    </row>
  </sheetData>
  <dataConsolidate>
    <dataRefs count="1">
      <dataRef name="=suma($G$5:$G$9)" r:id="rId1"/>
    </dataRefs>
  </dataConsolidate>
  <mergeCells count="29">
    <mergeCell ref="A55:A64"/>
    <mergeCell ref="I232:N232"/>
    <mergeCell ref="I3:I4"/>
    <mergeCell ref="K3:K4"/>
    <mergeCell ref="L3:L4"/>
    <mergeCell ref="M3:M4"/>
    <mergeCell ref="N3:N4"/>
    <mergeCell ref="J3:J4"/>
    <mergeCell ref="X232:X233"/>
    <mergeCell ref="W232:W233"/>
    <mergeCell ref="W3:W4"/>
    <mergeCell ref="P3:P4"/>
    <mergeCell ref="O3:O4"/>
    <mergeCell ref="Q3:S3"/>
    <mergeCell ref="T232:V232"/>
    <mergeCell ref="T3:V3"/>
    <mergeCell ref="P232:S232"/>
    <mergeCell ref="B253:C253"/>
    <mergeCell ref="B232:G232"/>
    <mergeCell ref="F3:F4"/>
    <mergeCell ref="G3:G4"/>
    <mergeCell ref="H3:H4"/>
    <mergeCell ref="Z55:AA55"/>
    <mergeCell ref="Z59:AA59"/>
    <mergeCell ref="B2:C2"/>
    <mergeCell ref="D2:E2"/>
    <mergeCell ref="B3:C3"/>
    <mergeCell ref="D3:E3"/>
    <mergeCell ref="X3:X4"/>
  </mergeCells>
  <conditionalFormatting sqref="D203:E208 D19:D24 D84:D89 D182:E187">
    <cfRule type="expression" dxfId="46" priority="308">
      <formula>AND($B19&lt;&gt;$D19)</formula>
    </cfRule>
  </conditionalFormatting>
  <conditionalFormatting sqref="E19:E24">
    <cfRule type="expression" dxfId="45" priority="182">
      <formula>AND($C19&lt;&gt;$E19)</formula>
    </cfRule>
  </conditionalFormatting>
  <conditionalFormatting sqref="D154:E159">
    <cfRule type="expression" dxfId="44" priority="98">
      <formula>AND($B154&lt;&gt;$D154)</formula>
    </cfRule>
  </conditionalFormatting>
  <conditionalFormatting sqref="E26:E31">
    <cfRule type="expression" dxfId="43" priority="73">
      <formula>AND($C26&lt;&gt;$E26)</formula>
    </cfRule>
  </conditionalFormatting>
  <conditionalFormatting sqref="D26:D31">
    <cfRule type="expression" dxfId="42" priority="74">
      <formula>AND($B26&lt;&gt;$D26)</formula>
    </cfRule>
  </conditionalFormatting>
  <conditionalFormatting sqref="D126:E131">
    <cfRule type="expression" dxfId="41" priority="69">
      <formula>AND($B126&lt;&gt;$D126)</formula>
    </cfRule>
  </conditionalFormatting>
  <conditionalFormatting sqref="D5:E10">
    <cfRule type="expression" dxfId="40" priority="40">
      <formula>AND($B5&lt;&gt;$D5)</formula>
    </cfRule>
  </conditionalFormatting>
  <conditionalFormatting sqref="D77:E82">
    <cfRule type="expression" dxfId="39" priority="54">
      <formula>AND($B77&lt;&gt;$D77)</formula>
    </cfRule>
  </conditionalFormatting>
  <conditionalFormatting sqref="D33:E38">
    <cfRule type="expression" dxfId="38" priority="38">
      <formula>AND($B33&lt;&gt;$D33)</formula>
    </cfRule>
  </conditionalFormatting>
  <conditionalFormatting sqref="E84:E89">
    <cfRule type="expression" dxfId="37" priority="45">
      <formula>AND($B84&lt;&gt;$D84)</formula>
    </cfRule>
  </conditionalFormatting>
  <conditionalFormatting sqref="D70:D75">
    <cfRule type="expression" dxfId="36" priority="30">
      <formula>AND($B70&lt;&gt;$D70)</formula>
    </cfRule>
  </conditionalFormatting>
  <conditionalFormatting sqref="D12:E17">
    <cfRule type="expression" dxfId="35" priority="39">
      <formula>AND($B12&lt;&gt;$D12)</formula>
    </cfRule>
  </conditionalFormatting>
  <conditionalFormatting sqref="D40:E45">
    <cfRule type="expression" dxfId="34" priority="37">
      <formula>AND($B40&lt;&gt;$D40)</formula>
    </cfRule>
  </conditionalFormatting>
  <conditionalFormatting sqref="D40:E45">
    <cfRule type="expression" dxfId="33" priority="36">
      <formula>AND($B40&lt;&gt;$D40)</formula>
    </cfRule>
  </conditionalFormatting>
  <conditionalFormatting sqref="D33:E38">
    <cfRule type="expression" dxfId="32" priority="35">
      <formula>AND($B33&lt;&gt;$D33)</formula>
    </cfRule>
  </conditionalFormatting>
  <conditionalFormatting sqref="E70:E75">
    <cfRule type="expression" dxfId="31" priority="29">
      <formula>AND($C70&lt;&gt;$E70)</formula>
    </cfRule>
  </conditionalFormatting>
  <conditionalFormatting sqref="E47:E52">
    <cfRule type="expression" dxfId="30" priority="33">
      <formula>AND($C47&lt;&gt;$E47)</formula>
    </cfRule>
  </conditionalFormatting>
  <conditionalFormatting sqref="D47:D52">
    <cfRule type="expression" dxfId="29" priority="34">
      <formula>AND($B47&lt;&gt;$D47)</formula>
    </cfRule>
  </conditionalFormatting>
  <conditionalFormatting sqref="E55:E68">
    <cfRule type="expression" dxfId="28" priority="31">
      <formula>AND($C55&lt;&gt;$E55)</formula>
    </cfRule>
  </conditionalFormatting>
  <conditionalFormatting sqref="D54:D68 E54">
    <cfRule type="expression" dxfId="27" priority="32">
      <formula>AND($B54&lt;&gt;$D54)</formula>
    </cfRule>
  </conditionalFormatting>
  <conditionalFormatting sqref="D91:E96">
    <cfRule type="expression" dxfId="26" priority="28">
      <formula>AND($B91&lt;&gt;$D91)</formula>
    </cfRule>
  </conditionalFormatting>
  <conditionalFormatting sqref="D98:E103">
    <cfRule type="expression" dxfId="25" priority="27">
      <formula>AND($B98&lt;&gt;$D98)</formula>
    </cfRule>
  </conditionalFormatting>
  <conditionalFormatting sqref="D98:E103">
    <cfRule type="expression" dxfId="24" priority="26">
      <formula>AND($B98&lt;&gt;$D98)</formula>
    </cfRule>
  </conditionalFormatting>
  <conditionalFormatting sqref="D91:E96">
    <cfRule type="expression" dxfId="23" priority="25">
      <formula>AND($B91&lt;&gt;$D91)</formula>
    </cfRule>
  </conditionalFormatting>
  <conditionalFormatting sqref="D105:D110">
    <cfRule type="expression" dxfId="22" priority="24">
      <formula>AND($B105&lt;&gt;$D105)</formula>
    </cfRule>
  </conditionalFormatting>
  <conditionalFormatting sqref="E105:E110">
    <cfRule type="expression" dxfId="21" priority="23">
      <formula>AND($B105&lt;&gt;$D105)</formula>
    </cfRule>
  </conditionalFormatting>
  <conditionalFormatting sqref="D112:D117">
    <cfRule type="expression" dxfId="20" priority="22">
      <formula>AND($B112&lt;&gt;$D112)</formula>
    </cfRule>
  </conditionalFormatting>
  <conditionalFormatting sqref="E112:E117">
    <cfRule type="expression" dxfId="19" priority="21">
      <formula>AND($B112&lt;&gt;$D112)</formula>
    </cfRule>
  </conditionalFormatting>
  <conditionalFormatting sqref="D119:D124">
    <cfRule type="expression" dxfId="18" priority="20">
      <formula>AND($B119&lt;&gt;$D119)</formula>
    </cfRule>
  </conditionalFormatting>
  <conditionalFormatting sqref="E119:E124">
    <cfRule type="expression" dxfId="17" priority="19">
      <formula>AND($B119&lt;&gt;$D119)</formula>
    </cfRule>
  </conditionalFormatting>
  <conditionalFormatting sqref="D133:E138">
    <cfRule type="expression" dxfId="16" priority="18">
      <formula>AND($B133&lt;&gt;$D133)</formula>
    </cfRule>
  </conditionalFormatting>
  <conditionalFormatting sqref="D133:E138">
    <cfRule type="expression" dxfId="15" priority="17">
      <formula>AND($B133&lt;&gt;$D133)</formula>
    </cfRule>
  </conditionalFormatting>
  <conditionalFormatting sqref="D140:E145">
    <cfRule type="expression" dxfId="14" priority="16">
      <formula>AND($B140&lt;&gt;$D140)</formula>
    </cfRule>
  </conditionalFormatting>
  <conditionalFormatting sqref="D140:E145">
    <cfRule type="expression" dxfId="13" priority="15">
      <formula>AND($B140&lt;&gt;$D140)</formula>
    </cfRule>
  </conditionalFormatting>
  <conditionalFormatting sqref="D147:E152">
    <cfRule type="expression" dxfId="12" priority="14">
      <formula>AND($B147&lt;&gt;$D147)</formula>
    </cfRule>
  </conditionalFormatting>
  <conditionalFormatting sqref="D147:E152">
    <cfRule type="expression" dxfId="11" priority="13">
      <formula>AND($B147&lt;&gt;$D147)</formula>
    </cfRule>
  </conditionalFormatting>
  <conditionalFormatting sqref="D189:E194">
    <cfRule type="expression" dxfId="10" priority="10">
      <formula>AND($B189&lt;&gt;$D189)</formula>
    </cfRule>
  </conditionalFormatting>
  <conditionalFormatting sqref="D196:E201">
    <cfRule type="expression" dxfId="9" priority="9">
      <formula>AND($B196&lt;&gt;$D196)</formula>
    </cfRule>
  </conditionalFormatting>
  <conditionalFormatting sqref="D196:E201">
    <cfRule type="expression" dxfId="8" priority="8">
      <formula>AND($B196&lt;&gt;$D196)</formula>
    </cfRule>
  </conditionalFormatting>
  <conditionalFormatting sqref="D189:E194">
    <cfRule type="expression" dxfId="7" priority="7">
      <formula>AND($B189&lt;&gt;$D189)</formula>
    </cfRule>
  </conditionalFormatting>
  <conditionalFormatting sqref="D210:E215">
    <cfRule type="expression" dxfId="6" priority="6">
      <formula>AND($B210&lt;&gt;$D210)</formula>
    </cfRule>
  </conditionalFormatting>
  <conditionalFormatting sqref="D217:E222">
    <cfRule type="expression" dxfId="5" priority="5">
      <formula>AND($B217&lt;&gt;$D217)</formula>
    </cfRule>
  </conditionalFormatting>
  <conditionalFormatting sqref="D161:E166">
    <cfRule type="expression" dxfId="4" priority="4">
      <formula>AND($B161&lt;&gt;$D161)</formula>
    </cfRule>
  </conditionalFormatting>
  <conditionalFormatting sqref="D168:E173">
    <cfRule type="expression" dxfId="3" priority="3">
      <formula>AND($B168&lt;&gt;$D168)</formula>
    </cfRule>
  </conditionalFormatting>
  <conditionalFormatting sqref="D175:E180">
    <cfRule type="expression" dxfId="2" priority="2">
      <formula>AND($B175&lt;&gt;$D175)</formula>
    </cfRule>
  </conditionalFormatting>
  <conditionalFormatting sqref="D224:E229">
    <cfRule type="expression" dxfId="1" priority="1">
      <formula>AND($B224&lt;&gt;$D224)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K106"/>
  <sheetViews>
    <sheetView topLeftCell="A43" zoomScaleNormal="100" workbookViewId="0">
      <selection activeCell="R70" sqref="R70"/>
    </sheetView>
  </sheetViews>
  <sheetFormatPr baseColWidth="10" defaultColWidth="5.109375" defaultRowHeight="14.4" x14ac:dyDescent="0.3"/>
  <cols>
    <col min="2" max="2" width="10.109375" customWidth="1"/>
    <col min="3" max="3" width="2.5546875" customWidth="1"/>
    <col min="20" max="20" width="5.33203125" customWidth="1"/>
    <col min="34" max="34" width="5.44140625" customWidth="1"/>
    <col min="54" max="54" width="5.44140625" customWidth="1"/>
    <col min="55" max="55" width="4.88671875" customWidth="1"/>
    <col min="58" max="59" width="5.5546875" customWidth="1"/>
  </cols>
  <sheetData>
    <row r="1" spans="1:69" x14ac:dyDescent="0.3">
      <c r="C1" s="8"/>
      <c r="D1" s="381">
        <v>45778</v>
      </c>
      <c r="E1" s="381"/>
      <c r="F1" s="381">
        <v>45779</v>
      </c>
      <c r="G1" s="381"/>
      <c r="H1" s="381">
        <v>45780</v>
      </c>
      <c r="I1" s="381"/>
      <c r="J1" s="381">
        <v>45781</v>
      </c>
      <c r="K1" s="381"/>
      <c r="L1" s="381">
        <v>45782</v>
      </c>
      <c r="M1" s="381"/>
      <c r="N1" s="381">
        <v>45783</v>
      </c>
      <c r="O1" s="381"/>
      <c r="P1" s="381">
        <v>45784</v>
      </c>
      <c r="Q1" s="381"/>
      <c r="R1" s="381">
        <v>45785</v>
      </c>
      <c r="S1" s="381"/>
      <c r="T1" s="381">
        <v>45786</v>
      </c>
      <c r="U1" s="381"/>
      <c r="V1" s="381">
        <v>45787</v>
      </c>
      <c r="W1" s="381"/>
      <c r="X1" s="381">
        <v>45788</v>
      </c>
      <c r="Y1" s="381"/>
      <c r="Z1" s="381">
        <v>45789</v>
      </c>
      <c r="AA1" s="381"/>
      <c r="AB1" s="381">
        <v>45790</v>
      </c>
      <c r="AC1" s="381"/>
      <c r="AD1" s="381">
        <v>45791</v>
      </c>
      <c r="AE1" s="381"/>
      <c r="AF1" s="381">
        <v>45792</v>
      </c>
      <c r="AG1" s="381"/>
      <c r="AH1" s="381">
        <v>45793</v>
      </c>
      <c r="AI1" s="381"/>
      <c r="AJ1" s="381">
        <v>45794</v>
      </c>
      <c r="AK1" s="381"/>
      <c r="AL1" s="381">
        <v>45795</v>
      </c>
      <c r="AM1" s="381"/>
      <c r="AN1" s="381">
        <v>45796</v>
      </c>
      <c r="AO1" s="381"/>
      <c r="AP1" s="381">
        <v>45797</v>
      </c>
      <c r="AQ1" s="381"/>
      <c r="AR1" s="381">
        <v>45798</v>
      </c>
      <c r="AS1" s="381"/>
      <c r="AT1" s="381">
        <v>45799</v>
      </c>
      <c r="AU1" s="381"/>
      <c r="AV1" s="381">
        <v>45800</v>
      </c>
      <c r="AW1" s="381"/>
      <c r="AX1" s="381">
        <v>45801</v>
      </c>
      <c r="AY1" s="381"/>
      <c r="AZ1" s="381">
        <v>45802</v>
      </c>
      <c r="BA1" s="381"/>
      <c r="BB1" s="381">
        <v>45803</v>
      </c>
      <c r="BC1" s="381"/>
      <c r="BD1" s="381">
        <v>45804</v>
      </c>
      <c r="BE1" s="381"/>
      <c r="BF1" s="381">
        <v>45805</v>
      </c>
      <c r="BG1" s="381"/>
      <c r="BH1" s="381">
        <v>45806</v>
      </c>
      <c r="BI1" s="381"/>
      <c r="BJ1" s="381">
        <v>45807</v>
      </c>
      <c r="BK1" s="381"/>
      <c r="BL1" s="381">
        <v>45808</v>
      </c>
      <c r="BM1" s="381"/>
    </row>
    <row r="2" spans="1:69" ht="15" thickBot="1" x14ac:dyDescent="0.35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  <c r="BL2" s="46" t="s">
        <v>71</v>
      </c>
      <c r="BM2" s="47" t="s">
        <v>72</v>
      </c>
    </row>
    <row r="3" spans="1:69" ht="15" thickBot="1" x14ac:dyDescent="0.35">
      <c r="A3" s="66" t="s">
        <v>73</v>
      </c>
      <c r="B3" s="67"/>
      <c r="C3" s="8"/>
      <c r="D3" s="137">
        <v>0</v>
      </c>
      <c r="E3" s="137">
        <v>0</v>
      </c>
      <c r="F3" s="157">
        <v>7</v>
      </c>
      <c r="G3" s="157">
        <v>3</v>
      </c>
      <c r="H3" s="136">
        <v>0</v>
      </c>
      <c r="I3" s="312">
        <v>0</v>
      </c>
      <c r="J3" s="137">
        <v>0</v>
      </c>
      <c r="K3" s="137">
        <v>0</v>
      </c>
      <c r="L3" s="157">
        <v>7</v>
      </c>
      <c r="M3" s="157">
        <v>3</v>
      </c>
      <c r="N3" s="157">
        <v>7</v>
      </c>
      <c r="O3" s="157">
        <v>3</v>
      </c>
      <c r="P3" s="157">
        <v>7</v>
      </c>
      <c r="Q3" s="157">
        <v>3</v>
      </c>
      <c r="R3" s="157">
        <v>2</v>
      </c>
      <c r="S3" s="157">
        <v>0</v>
      </c>
      <c r="T3" s="157">
        <v>7</v>
      </c>
      <c r="U3" s="278">
        <v>3</v>
      </c>
      <c r="V3" s="136">
        <v>0</v>
      </c>
      <c r="W3" s="136">
        <v>0</v>
      </c>
      <c r="X3" s="137">
        <v>0</v>
      </c>
      <c r="Y3" s="137">
        <v>0</v>
      </c>
      <c r="Z3" s="157">
        <v>7</v>
      </c>
      <c r="AA3" s="157">
        <v>3</v>
      </c>
      <c r="AB3" s="157">
        <v>7</v>
      </c>
      <c r="AC3" s="157">
        <v>3</v>
      </c>
      <c r="AD3" s="157">
        <v>7</v>
      </c>
      <c r="AE3" s="157">
        <v>3</v>
      </c>
      <c r="AF3" s="157">
        <v>7</v>
      </c>
      <c r="AG3" s="157">
        <v>3</v>
      </c>
      <c r="AH3" s="157">
        <v>7</v>
      </c>
      <c r="AI3" s="278">
        <v>3</v>
      </c>
      <c r="AJ3" s="136">
        <v>0</v>
      </c>
      <c r="AK3" s="136">
        <v>0</v>
      </c>
      <c r="AL3" s="137">
        <v>0</v>
      </c>
      <c r="AM3" s="137">
        <v>0</v>
      </c>
      <c r="AN3" s="157">
        <v>7</v>
      </c>
      <c r="AO3" s="157">
        <v>3</v>
      </c>
      <c r="AP3" s="157">
        <v>7</v>
      </c>
      <c r="AQ3" s="157">
        <v>3</v>
      </c>
      <c r="AR3" s="137">
        <v>0</v>
      </c>
      <c r="AS3" s="137">
        <v>0</v>
      </c>
      <c r="AT3" s="157">
        <v>7</v>
      </c>
      <c r="AU3" s="157">
        <v>3</v>
      </c>
      <c r="AV3" s="157">
        <v>7</v>
      </c>
      <c r="AW3" s="278">
        <v>3</v>
      </c>
      <c r="AX3" s="136">
        <v>0</v>
      </c>
      <c r="AY3" s="136">
        <v>0</v>
      </c>
      <c r="AZ3" s="137">
        <v>0</v>
      </c>
      <c r="BA3" s="137">
        <v>0</v>
      </c>
      <c r="BB3" s="157">
        <v>7</v>
      </c>
      <c r="BC3" s="157">
        <v>3</v>
      </c>
      <c r="BD3" s="157">
        <v>7</v>
      </c>
      <c r="BE3" s="157">
        <v>3</v>
      </c>
      <c r="BF3" s="157">
        <v>7</v>
      </c>
      <c r="BG3" s="157">
        <v>3</v>
      </c>
      <c r="BH3" s="157">
        <v>7</v>
      </c>
      <c r="BI3" s="157">
        <v>3</v>
      </c>
      <c r="BJ3" s="157">
        <v>7</v>
      </c>
      <c r="BK3" s="157">
        <v>3</v>
      </c>
      <c r="BL3" s="157">
        <v>0</v>
      </c>
      <c r="BM3" s="157">
        <v>0</v>
      </c>
      <c r="BN3" s="125"/>
      <c r="BO3" s="125"/>
      <c r="BP3" s="125"/>
      <c r="BQ3" s="125"/>
    </row>
    <row r="4" spans="1:69" s="125" customFormat="1" x14ac:dyDescent="0.3">
      <c r="A4" s="66" t="s">
        <v>123</v>
      </c>
      <c r="B4" s="156"/>
      <c r="C4" s="8"/>
      <c r="D4" s="137">
        <v>0</v>
      </c>
      <c r="E4" s="137">
        <v>0</v>
      </c>
      <c r="F4" s="157">
        <v>0</v>
      </c>
      <c r="G4" s="157">
        <v>0</v>
      </c>
      <c r="H4" s="136">
        <v>0</v>
      </c>
      <c r="I4" s="312">
        <v>0</v>
      </c>
      <c r="J4" s="137">
        <v>0</v>
      </c>
      <c r="K4" s="137">
        <v>0</v>
      </c>
      <c r="L4" s="157">
        <v>0</v>
      </c>
      <c r="M4" s="157">
        <v>0</v>
      </c>
      <c r="N4" s="157">
        <v>0</v>
      </c>
      <c r="O4" s="157">
        <v>0</v>
      </c>
      <c r="P4" s="157">
        <v>0</v>
      </c>
      <c r="Q4" s="157">
        <v>0</v>
      </c>
      <c r="R4" s="157">
        <v>0</v>
      </c>
      <c r="S4" s="157">
        <v>0</v>
      </c>
      <c r="T4" s="157">
        <v>0</v>
      </c>
      <c r="U4" s="278">
        <v>0</v>
      </c>
      <c r="V4" s="136">
        <v>0</v>
      </c>
      <c r="W4" s="136">
        <v>0</v>
      </c>
      <c r="X4" s="137">
        <v>0</v>
      </c>
      <c r="Y4" s="137">
        <v>0</v>
      </c>
      <c r="Z4" s="157">
        <v>0</v>
      </c>
      <c r="AA4" s="157">
        <v>0</v>
      </c>
      <c r="AB4" s="157">
        <v>0</v>
      </c>
      <c r="AC4" s="157">
        <v>0</v>
      </c>
      <c r="AD4" s="157">
        <v>0</v>
      </c>
      <c r="AE4" s="157">
        <v>0</v>
      </c>
      <c r="AF4" s="157">
        <v>0</v>
      </c>
      <c r="AG4" s="157">
        <v>0</v>
      </c>
      <c r="AH4" s="157">
        <v>0</v>
      </c>
      <c r="AI4" s="278">
        <v>0</v>
      </c>
      <c r="AJ4" s="136">
        <v>0</v>
      </c>
      <c r="AK4" s="136">
        <v>0</v>
      </c>
      <c r="AL4" s="137">
        <v>0</v>
      </c>
      <c r="AM4" s="137">
        <v>0</v>
      </c>
      <c r="AN4" s="157">
        <v>0</v>
      </c>
      <c r="AO4" s="157">
        <v>0</v>
      </c>
      <c r="AP4" s="157">
        <v>0</v>
      </c>
      <c r="AQ4" s="157">
        <v>0</v>
      </c>
      <c r="AR4" s="137">
        <v>0</v>
      </c>
      <c r="AS4" s="137">
        <v>0</v>
      </c>
      <c r="AT4" s="157">
        <v>0</v>
      </c>
      <c r="AU4" s="157">
        <v>0</v>
      </c>
      <c r="AV4" s="157">
        <v>0</v>
      </c>
      <c r="AW4" s="278">
        <v>0</v>
      </c>
      <c r="AX4" s="136">
        <v>0</v>
      </c>
      <c r="AY4" s="136">
        <v>0</v>
      </c>
      <c r="AZ4" s="137">
        <v>0</v>
      </c>
      <c r="BA4" s="137">
        <v>0</v>
      </c>
      <c r="BB4" s="157">
        <v>0</v>
      </c>
      <c r="BC4" s="157">
        <v>0</v>
      </c>
      <c r="BD4" s="157">
        <v>0</v>
      </c>
      <c r="BE4" s="157">
        <v>0</v>
      </c>
      <c r="BF4" s="157">
        <v>0</v>
      </c>
      <c r="BG4" s="157">
        <v>0</v>
      </c>
      <c r="BH4" s="157">
        <v>0</v>
      </c>
      <c r="BI4" s="157">
        <v>0</v>
      </c>
      <c r="BJ4" s="157">
        <v>0</v>
      </c>
      <c r="BK4" s="157">
        <v>0</v>
      </c>
      <c r="BL4" s="157">
        <v>0</v>
      </c>
      <c r="BM4" s="157">
        <v>0</v>
      </c>
    </row>
    <row r="5" spans="1:69" x14ac:dyDescent="0.3">
      <c r="A5" s="68" t="s">
        <v>74</v>
      </c>
      <c r="B5" s="69"/>
      <c r="C5" s="8"/>
      <c r="D5" s="137">
        <v>0</v>
      </c>
      <c r="E5" s="137">
        <v>0</v>
      </c>
      <c r="F5" s="157">
        <v>1</v>
      </c>
      <c r="G5" s="157">
        <v>9</v>
      </c>
      <c r="H5" s="136">
        <v>0</v>
      </c>
      <c r="I5" s="312">
        <v>0</v>
      </c>
      <c r="J5" s="137">
        <v>0</v>
      </c>
      <c r="K5" s="137">
        <v>0</v>
      </c>
      <c r="L5" s="157">
        <v>1</v>
      </c>
      <c r="M5" s="157">
        <v>9</v>
      </c>
      <c r="N5" s="157">
        <v>1</v>
      </c>
      <c r="O5" s="157">
        <v>9</v>
      </c>
      <c r="P5" s="157">
        <v>1</v>
      </c>
      <c r="Q5" s="157">
        <v>9</v>
      </c>
      <c r="R5" s="157">
        <v>5</v>
      </c>
      <c r="S5" s="157">
        <v>1</v>
      </c>
      <c r="T5" s="157">
        <v>1</v>
      </c>
      <c r="U5" s="278">
        <v>9</v>
      </c>
      <c r="V5" s="136">
        <v>0</v>
      </c>
      <c r="W5" s="136">
        <v>0</v>
      </c>
      <c r="X5" s="137">
        <v>0</v>
      </c>
      <c r="Y5" s="137">
        <v>0</v>
      </c>
      <c r="Z5" s="157">
        <v>1</v>
      </c>
      <c r="AA5" s="157">
        <v>9</v>
      </c>
      <c r="AB5" s="157">
        <v>2</v>
      </c>
      <c r="AC5" s="157">
        <v>8</v>
      </c>
      <c r="AD5" s="157">
        <v>1</v>
      </c>
      <c r="AE5" s="157">
        <v>9</v>
      </c>
      <c r="AF5" s="157">
        <v>1</v>
      </c>
      <c r="AG5" s="157">
        <v>9</v>
      </c>
      <c r="AH5" s="157">
        <v>1</v>
      </c>
      <c r="AI5" s="278">
        <v>9</v>
      </c>
      <c r="AJ5" s="136">
        <v>0</v>
      </c>
      <c r="AK5" s="136">
        <v>0</v>
      </c>
      <c r="AL5" s="137">
        <v>0</v>
      </c>
      <c r="AM5" s="137">
        <v>0</v>
      </c>
      <c r="AN5" s="157">
        <v>1</v>
      </c>
      <c r="AO5" s="157">
        <v>9</v>
      </c>
      <c r="AP5" s="157">
        <v>2</v>
      </c>
      <c r="AQ5" s="157">
        <v>8</v>
      </c>
      <c r="AR5" s="137">
        <v>0</v>
      </c>
      <c r="AS5" s="137">
        <v>0</v>
      </c>
      <c r="AT5" s="157">
        <v>1</v>
      </c>
      <c r="AU5" s="157">
        <v>9</v>
      </c>
      <c r="AV5" s="157">
        <v>1</v>
      </c>
      <c r="AW5" s="278">
        <v>9</v>
      </c>
      <c r="AX5" s="136">
        <v>0</v>
      </c>
      <c r="AY5" s="136">
        <v>0</v>
      </c>
      <c r="AZ5" s="137">
        <v>0</v>
      </c>
      <c r="BA5" s="137">
        <v>0</v>
      </c>
      <c r="BB5" s="157">
        <v>1</v>
      </c>
      <c r="BC5" s="157">
        <v>9</v>
      </c>
      <c r="BD5" s="157">
        <v>2</v>
      </c>
      <c r="BE5" s="157">
        <v>8</v>
      </c>
      <c r="BF5" s="157">
        <v>2</v>
      </c>
      <c r="BG5" s="157">
        <v>8</v>
      </c>
      <c r="BH5" s="157">
        <v>1</v>
      </c>
      <c r="BI5" s="157">
        <v>9</v>
      </c>
      <c r="BJ5" s="157">
        <v>1</v>
      </c>
      <c r="BK5" s="157">
        <v>9</v>
      </c>
      <c r="BL5" s="157">
        <v>0</v>
      </c>
      <c r="BM5" s="157">
        <v>0</v>
      </c>
      <c r="BN5" s="125"/>
      <c r="BO5" s="125"/>
      <c r="BP5" s="125"/>
      <c r="BQ5" s="125"/>
    </row>
    <row r="6" spans="1:69" x14ac:dyDescent="0.3">
      <c r="A6" s="68" t="s">
        <v>75</v>
      </c>
      <c r="B6" s="69"/>
      <c r="C6" s="8"/>
      <c r="D6" s="137">
        <v>0</v>
      </c>
      <c r="E6" s="137">
        <v>0</v>
      </c>
      <c r="F6" s="157">
        <v>9</v>
      </c>
      <c r="G6" s="157">
        <v>1</v>
      </c>
      <c r="H6" s="136">
        <v>0</v>
      </c>
      <c r="I6" s="312">
        <v>0</v>
      </c>
      <c r="J6" s="137">
        <v>0</v>
      </c>
      <c r="K6" s="137">
        <v>0</v>
      </c>
      <c r="L6" s="157">
        <v>9</v>
      </c>
      <c r="M6" s="157">
        <v>1</v>
      </c>
      <c r="N6" s="157">
        <v>9</v>
      </c>
      <c r="O6" s="157">
        <v>1</v>
      </c>
      <c r="P6" s="157">
        <v>9</v>
      </c>
      <c r="Q6" s="157">
        <v>1</v>
      </c>
      <c r="R6" s="157">
        <v>1</v>
      </c>
      <c r="S6" s="157">
        <v>0</v>
      </c>
      <c r="T6" s="157">
        <v>9</v>
      </c>
      <c r="U6" s="278">
        <v>1</v>
      </c>
      <c r="V6" s="136">
        <v>0</v>
      </c>
      <c r="W6" s="136">
        <v>0</v>
      </c>
      <c r="X6" s="137">
        <v>0</v>
      </c>
      <c r="Y6" s="137">
        <v>0</v>
      </c>
      <c r="Z6" s="157">
        <v>9</v>
      </c>
      <c r="AA6" s="157">
        <v>1</v>
      </c>
      <c r="AB6" s="157">
        <v>9</v>
      </c>
      <c r="AC6" s="157">
        <v>1</v>
      </c>
      <c r="AD6" s="157">
        <v>9</v>
      </c>
      <c r="AE6" s="157">
        <v>1</v>
      </c>
      <c r="AF6" s="157">
        <v>9</v>
      </c>
      <c r="AG6" s="157">
        <v>1</v>
      </c>
      <c r="AH6" s="157">
        <v>9</v>
      </c>
      <c r="AI6" s="278">
        <v>1</v>
      </c>
      <c r="AJ6" s="136">
        <v>0</v>
      </c>
      <c r="AK6" s="136">
        <v>0</v>
      </c>
      <c r="AL6" s="137">
        <v>0</v>
      </c>
      <c r="AM6" s="137">
        <v>0</v>
      </c>
      <c r="AN6" s="157">
        <v>9</v>
      </c>
      <c r="AO6" s="157">
        <v>1</v>
      </c>
      <c r="AP6" s="157">
        <v>9</v>
      </c>
      <c r="AQ6" s="157">
        <v>1</v>
      </c>
      <c r="AR6" s="137">
        <v>0</v>
      </c>
      <c r="AS6" s="137">
        <v>0</v>
      </c>
      <c r="AT6" s="157">
        <v>9</v>
      </c>
      <c r="AU6" s="157">
        <v>1</v>
      </c>
      <c r="AV6" s="157">
        <v>9</v>
      </c>
      <c r="AW6" s="278">
        <v>1</v>
      </c>
      <c r="AX6" s="136">
        <v>0</v>
      </c>
      <c r="AY6" s="136">
        <v>0</v>
      </c>
      <c r="AZ6" s="137">
        <v>0</v>
      </c>
      <c r="BA6" s="137">
        <v>0</v>
      </c>
      <c r="BB6" s="157">
        <v>9</v>
      </c>
      <c r="BC6" s="157">
        <v>1</v>
      </c>
      <c r="BD6" s="157">
        <v>9</v>
      </c>
      <c r="BE6" s="157">
        <v>1</v>
      </c>
      <c r="BF6" s="157">
        <v>9</v>
      </c>
      <c r="BG6" s="157">
        <v>1</v>
      </c>
      <c r="BH6" s="157">
        <v>10</v>
      </c>
      <c r="BI6" s="157">
        <v>0</v>
      </c>
      <c r="BJ6" s="157">
        <v>9</v>
      </c>
      <c r="BK6" s="157">
        <v>1</v>
      </c>
      <c r="BL6" s="157">
        <v>0</v>
      </c>
      <c r="BM6" s="157">
        <v>0</v>
      </c>
      <c r="BN6" s="125"/>
      <c r="BO6" s="125"/>
      <c r="BP6" s="125"/>
      <c r="BQ6" s="125"/>
    </row>
    <row r="7" spans="1:69" x14ac:dyDescent="0.3">
      <c r="A7" s="68" t="s">
        <v>76</v>
      </c>
      <c r="B7" s="69"/>
      <c r="C7" s="8"/>
      <c r="D7" s="137">
        <v>0</v>
      </c>
      <c r="E7" s="137">
        <v>0</v>
      </c>
      <c r="F7" s="157">
        <v>0</v>
      </c>
      <c r="G7" s="157">
        <v>0</v>
      </c>
      <c r="H7" s="136">
        <v>0</v>
      </c>
      <c r="I7" s="312">
        <v>0</v>
      </c>
      <c r="J7" s="137">
        <v>0</v>
      </c>
      <c r="K7" s="137">
        <v>0</v>
      </c>
      <c r="L7" s="157">
        <v>0</v>
      </c>
      <c r="M7" s="157">
        <v>0</v>
      </c>
      <c r="N7" s="157">
        <v>0</v>
      </c>
      <c r="O7" s="157">
        <v>0</v>
      </c>
      <c r="P7" s="157">
        <v>0</v>
      </c>
      <c r="Q7" s="157">
        <v>0</v>
      </c>
      <c r="R7" s="157">
        <v>0</v>
      </c>
      <c r="S7" s="157">
        <v>0</v>
      </c>
      <c r="T7" s="157">
        <v>0</v>
      </c>
      <c r="U7" s="278">
        <v>0</v>
      </c>
      <c r="V7" s="136">
        <v>0</v>
      </c>
      <c r="W7" s="136">
        <v>0</v>
      </c>
      <c r="X7" s="137">
        <v>0</v>
      </c>
      <c r="Y7" s="137">
        <v>0</v>
      </c>
      <c r="Z7" s="157">
        <v>0</v>
      </c>
      <c r="AA7" s="157">
        <v>0</v>
      </c>
      <c r="AB7" s="157">
        <v>0</v>
      </c>
      <c r="AC7" s="157">
        <v>0</v>
      </c>
      <c r="AD7" s="157">
        <v>0</v>
      </c>
      <c r="AE7" s="157">
        <v>0</v>
      </c>
      <c r="AF7" s="157">
        <v>0</v>
      </c>
      <c r="AG7" s="157">
        <v>0</v>
      </c>
      <c r="AH7" s="157">
        <v>0</v>
      </c>
      <c r="AI7" s="278">
        <v>0</v>
      </c>
      <c r="AJ7" s="136">
        <v>0</v>
      </c>
      <c r="AK7" s="136">
        <v>0</v>
      </c>
      <c r="AL7" s="137">
        <v>0</v>
      </c>
      <c r="AM7" s="137">
        <v>0</v>
      </c>
      <c r="AN7" s="157">
        <v>0</v>
      </c>
      <c r="AO7" s="157">
        <v>0</v>
      </c>
      <c r="AP7" s="157">
        <v>0</v>
      </c>
      <c r="AQ7" s="157">
        <v>0</v>
      </c>
      <c r="AR7" s="137">
        <v>0</v>
      </c>
      <c r="AS7" s="137">
        <v>0</v>
      </c>
      <c r="AT7" s="157">
        <v>0</v>
      </c>
      <c r="AU7" s="157">
        <v>0</v>
      </c>
      <c r="AV7" s="157">
        <v>0</v>
      </c>
      <c r="AW7" s="278">
        <v>0</v>
      </c>
      <c r="AX7" s="136">
        <v>0</v>
      </c>
      <c r="AY7" s="136">
        <v>0</v>
      </c>
      <c r="AZ7" s="137">
        <v>0</v>
      </c>
      <c r="BA7" s="137">
        <v>0</v>
      </c>
      <c r="BB7" s="157">
        <v>0</v>
      </c>
      <c r="BC7" s="157">
        <v>0</v>
      </c>
      <c r="BD7" s="157">
        <v>0</v>
      </c>
      <c r="BE7" s="157">
        <v>0</v>
      </c>
      <c r="BF7" s="157">
        <v>0</v>
      </c>
      <c r="BG7" s="157">
        <v>0</v>
      </c>
      <c r="BH7" s="157">
        <v>0</v>
      </c>
      <c r="BI7" s="157">
        <v>0</v>
      </c>
      <c r="BJ7" s="157">
        <v>0</v>
      </c>
      <c r="BK7" s="157">
        <v>0</v>
      </c>
      <c r="BL7" s="157">
        <v>0</v>
      </c>
      <c r="BM7" s="157">
        <v>0</v>
      </c>
      <c r="BN7" s="125"/>
      <c r="BO7" s="125"/>
      <c r="BP7" s="125"/>
      <c r="BQ7" s="125"/>
    </row>
    <row r="8" spans="1:69" ht="15" thickBot="1" x14ac:dyDescent="0.35">
      <c r="A8" s="68" t="s">
        <v>77</v>
      </c>
      <c r="B8" s="70"/>
      <c r="C8" s="8"/>
      <c r="D8" s="137">
        <v>0</v>
      </c>
      <c r="E8" s="137">
        <v>0</v>
      </c>
      <c r="F8" s="157">
        <v>4</v>
      </c>
      <c r="G8" s="157">
        <v>6</v>
      </c>
      <c r="H8" s="136">
        <v>0</v>
      </c>
      <c r="I8" s="312">
        <v>0</v>
      </c>
      <c r="J8" s="137">
        <v>0</v>
      </c>
      <c r="K8" s="137">
        <v>0</v>
      </c>
      <c r="L8" s="157">
        <v>4</v>
      </c>
      <c r="M8" s="157">
        <v>6</v>
      </c>
      <c r="N8" s="157">
        <v>4</v>
      </c>
      <c r="O8" s="157">
        <v>6</v>
      </c>
      <c r="P8" s="157">
        <v>4</v>
      </c>
      <c r="Q8" s="157">
        <v>6</v>
      </c>
      <c r="R8" s="157">
        <v>4</v>
      </c>
      <c r="S8" s="157">
        <v>4</v>
      </c>
      <c r="T8" s="157">
        <v>4</v>
      </c>
      <c r="U8" s="278">
        <v>6</v>
      </c>
      <c r="V8" s="136">
        <v>0</v>
      </c>
      <c r="W8" s="136">
        <v>0</v>
      </c>
      <c r="X8" s="137">
        <v>0</v>
      </c>
      <c r="Y8" s="137">
        <v>0</v>
      </c>
      <c r="Z8" s="157">
        <v>4</v>
      </c>
      <c r="AA8" s="157">
        <v>6</v>
      </c>
      <c r="AB8" s="157">
        <v>5</v>
      </c>
      <c r="AC8" s="157">
        <v>5</v>
      </c>
      <c r="AD8" s="157">
        <v>4</v>
      </c>
      <c r="AE8" s="157">
        <v>6</v>
      </c>
      <c r="AF8" s="157">
        <v>4</v>
      </c>
      <c r="AG8" s="157">
        <v>6</v>
      </c>
      <c r="AH8" s="157">
        <v>4</v>
      </c>
      <c r="AI8" s="278">
        <v>6</v>
      </c>
      <c r="AJ8" s="136">
        <v>0</v>
      </c>
      <c r="AK8" s="136">
        <v>0</v>
      </c>
      <c r="AL8" s="137">
        <v>0</v>
      </c>
      <c r="AM8" s="137">
        <v>0</v>
      </c>
      <c r="AN8" s="157">
        <v>4</v>
      </c>
      <c r="AO8" s="157">
        <v>6</v>
      </c>
      <c r="AP8" s="157">
        <v>5</v>
      </c>
      <c r="AQ8" s="157">
        <v>5</v>
      </c>
      <c r="AR8" s="137">
        <v>0</v>
      </c>
      <c r="AS8" s="137">
        <v>0</v>
      </c>
      <c r="AT8" s="157">
        <v>4</v>
      </c>
      <c r="AU8" s="157">
        <v>6</v>
      </c>
      <c r="AV8" s="157">
        <v>4</v>
      </c>
      <c r="AW8" s="278">
        <v>6</v>
      </c>
      <c r="AX8" s="136">
        <v>0</v>
      </c>
      <c r="AY8" s="136">
        <v>0</v>
      </c>
      <c r="AZ8" s="137">
        <v>0</v>
      </c>
      <c r="BA8" s="137">
        <v>0</v>
      </c>
      <c r="BB8" s="157">
        <v>4</v>
      </c>
      <c r="BC8" s="157">
        <v>6</v>
      </c>
      <c r="BD8" s="157">
        <v>5</v>
      </c>
      <c r="BE8" s="157">
        <v>5</v>
      </c>
      <c r="BF8" s="157">
        <v>5</v>
      </c>
      <c r="BG8" s="157">
        <v>5</v>
      </c>
      <c r="BH8" s="157">
        <v>4</v>
      </c>
      <c r="BI8" s="157">
        <v>6</v>
      </c>
      <c r="BJ8" s="157">
        <v>4</v>
      </c>
      <c r="BK8" s="157">
        <v>6</v>
      </c>
      <c r="BL8" s="157">
        <v>0</v>
      </c>
      <c r="BM8" s="157">
        <v>0</v>
      </c>
      <c r="BN8" s="125"/>
      <c r="BO8" s="125"/>
      <c r="BP8" s="125"/>
      <c r="BQ8" s="125"/>
    </row>
    <row r="9" spans="1:69" x14ac:dyDescent="0.3">
      <c r="A9" s="54"/>
      <c r="B9" s="54"/>
      <c r="C9" s="8"/>
      <c r="D9" s="273" t="s">
        <v>147</v>
      </c>
      <c r="E9" s="273" t="s">
        <v>147</v>
      </c>
      <c r="F9" s="273" t="s">
        <v>147</v>
      </c>
      <c r="G9" s="273" t="s">
        <v>147</v>
      </c>
      <c r="H9" s="273" t="s">
        <v>147</v>
      </c>
      <c r="I9" s="273" t="s">
        <v>147</v>
      </c>
      <c r="J9" s="273" t="s">
        <v>147</v>
      </c>
      <c r="K9" s="273" t="s">
        <v>147</v>
      </c>
      <c r="L9" s="273"/>
      <c r="M9" s="273"/>
      <c r="N9" s="273"/>
      <c r="O9" s="273"/>
      <c r="P9" s="273"/>
      <c r="Q9" s="273"/>
      <c r="R9" s="273"/>
      <c r="S9" s="273"/>
      <c r="T9" s="273" t="s">
        <v>147</v>
      </c>
      <c r="U9" s="273" t="s">
        <v>147</v>
      </c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 t="s">
        <v>147</v>
      </c>
      <c r="BA9" s="273" t="s">
        <v>147</v>
      </c>
      <c r="BB9" s="273" t="s">
        <v>147</v>
      </c>
      <c r="BC9" s="273" t="s">
        <v>147</v>
      </c>
      <c r="BD9" s="273" t="s">
        <v>147</v>
      </c>
      <c r="BE9" s="273" t="s">
        <v>147</v>
      </c>
      <c r="BF9" s="273" t="s">
        <v>147</v>
      </c>
      <c r="BG9" s="273" t="s">
        <v>147</v>
      </c>
      <c r="BH9" s="273"/>
      <c r="BI9" s="273"/>
      <c r="BJ9" s="273"/>
      <c r="BK9" s="273"/>
      <c r="BL9" s="273"/>
      <c r="BM9" s="273"/>
      <c r="BN9" s="125"/>
      <c r="BO9" s="125"/>
      <c r="BP9" s="125"/>
      <c r="BQ9" s="125"/>
    </row>
    <row r="10" spans="1:69" x14ac:dyDescent="0.3">
      <c r="A10" s="71" t="s">
        <v>73</v>
      </c>
      <c r="B10" s="72"/>
      <c r="C10" s="8"/>
      <c r="D10" s="137">
        <v>0</v>
      </c>
      <c r="E10" s="137">
        <v>0</v>
      </c>
      <c r="F10" s="157">
        <v>15</v>
      </c>
      <c r="G10" s="157">
        <v>1</v>
      </c>
      <c r="H10" s="136">
        <v>0</v>
      </c>
      <c r="I10" s="312">
        <v>0</v>
      </c>
      <c r="J10" s="137">
        <v>0</v>
      </c>
      <c r="K10" s="137">
        <v>0</v>
      </c>
      <c r="L10" s="157">
        <v>15</v>
      </c>
      <c r="M10" s="157">
        <v>1</v>
      </c>
      <c r="N10" s="157">
        <v>15</v>
      </c>
      <c r="O10" s="157">
        <v>1</v>
      </c>
      <c r="P10" s="157">
        <v>15</v>
      </c>
      <c r="Q10" s="157">
        <v>1</v>
      </c>
      <c r="R10" s="157">
        <v>12</v>
      </c>
      <c r="S10" s="157">
        <v>0</v>
      </c>
      <c r="T10" s="157">
        <v>15</v>
      </c>
      <c r="U10" s="278">
        <v>1</v>
      </c>
      <c r="V10" s="136">
        <v>0</v>
      </c>
      <c r="W10" s="136">
        <v>0</v>
      </c>
      <c r="X10" s="137">
        <v>0</v>
      </c>
      <c r="Y10" s="137">
        <v>0</v>
      </c>
      <c r="Z10" s="157">
        <v>15</v>
      </c>
      <c r="AA10" s="157">
        <v>1</v>
      </c>
      <c r="AB10" s="157">
        <v>15</v>
      </c>
      <c r="AC10" s="157">
        <v>1</v>
      </c>
      <c r="AD10" s="157">
        <v>15</v>
      </c>
      <c r="AE10" s="157">
        <v>1</v>
      </c>
      <c r="AF10" s="157">
        <v>15</v>
      </c>
      <c r="AG10" s="157">
        <v>1</v>
      </c>
      <c r="AH10" s="157">
        <v>15</v>
      </c>
      <c r="AI10" s="278">
        <v>1</v>
      </c>
      <c r="AJ10" s="136">
        <v>0</v>
      </c>
      <c r="AK10" s="136">
        <v>0</v>
      </c>
      <c r="AL10" s="137">
        <v>0</v>
      </c>
      <c r="AM10" s="137">
        <v>0</v>
      </c>
      <c r="AN10" s="157">
        <v>15</v>
      </c>
      <c r="AO10" s="157">
        <v>1</v>
      </c>
      <c r="AP10" s="157">
        <v>15</v>
      </c>
      <c r="AQ10" s="157">
        <v>1</v>
      </c>
      <c r="AR10" s="137">
        <v>0</v>
      </c>
      <c r="AS10" s="137">
        <v>0</v>
      </c>
      <c r="AT10" s="157">
        <v>15</v>
      </c>
      <c r="AU10" s="157">
        <v>1</v>
      </c>
      <c r="AV10" s="157">
        <v>15</v>
      </c>
      <c r="AW10" s="278">
        <v>1</v>
      </c>
      <c r="AX10" s="136">
        <v>0</v>
      </c>
      <c r="AY10" s="136">
        <v>0</v>
      </c>
      <c r="AZ10" s="137">
        <v>0</v>
      </c>
      <c r="BA10" s="137">
        <v>0</v>
      </c>
      <c r="BB10" s="157">
        <v>15</v>
      </c>
      <c r="BC10" s="157">
        <v>1</v>
      </c>
      <c r="BD10" s="157">
        <v>15</v>
      </c>
      <c r="BE10" s="157">
        <v>1</v>
      </c>
      <c r="BF10" s="157">
        <v>15</v>
      </c>
      <c r="BG10" s="157">
        <v>1</v>
      </c>
      <c r="BH10" s="157">
        <v>16</v>
      </c>
      <c r="BI10" s="157">
        <v>0</v>
      </c>
      <c r="BJ10" s="157">
        <v>15</v>
      </c>
      <c r="BK10" s="157">
        <v>1</v>
      </c>
      <c r="BL10" s="157">
        <v>0</v>
      </c>
      <c r="BM10" s="157">
        <v>0</v>
      </c>
      <c r="BN10" s="125"/>
      <c r="BO10" s="125"/>
      <c r="BP10" s="125"/>
      <c r="BQ10" s="125"/>
    </row>
    <row r="11" spans="1:69" s="125" customFormat="1" x14ac:dyDescent="0.3">
      <c r="A11" s="71" t="s">
        <v>123</v>
      </c>
      <c r="B11" s="72"/>
      <c r="C11" s="8"/>
      <c r="D11" s="137">
        <v>0</v>
      </c>
      <c r="E11" s="137">
        <v>0</v>
      </c>
      <c r="F11" s="157">
        <v>0</v>
      </c>
      <c r="G11" s="157">
        <v>0</v>
      </c>
      <c r="H11" s="136">
        <v>0</v>
      </c>
      <c r="I11" s="312">
        <v>0</v>
      </c>
      <c r="J11" s="137">
        <v>0</v>
      </c>
      <c r="K11" s="137">
        <v>0</v>
      </c>
      <c r="L11" s="157">
        <v>0</v>
      </c>
      <c r="M11" s="157">
        <v>0</v>
      </c>
      <c r="N11" s="157">
        <v>0</v>
      </c>
      <c r="O11" s="157">
        <v>0</v>
      </c>
      <c r="P11" s="157">
        <v>0</v>
      </c>
      <c r="Q11" s="157">
        <v>0</v>
      </c>
      <c r="R11" s="157">
        <v>0</v>
      </c>
      <c r="S11" s="157">
        <v>0</v>
      </c>
      <c r="T11" s="157">
        <v>0</v>
      </c>
      <c r="U11" s="278">
        <v>0</v>
      </c>
      <c r="V11" s="136">
        <v>0</v>
      </c>
      <c r="W11" s="136">
        <v>0</v>
      </c>
      <c r="X11" s="137">
        <v>0</v>
      </c>
      <c r="Y11" s="137">
        <v>0</v>
      </c>
      <c r="Z11" s="157">
        <v>0</v>
      </c>
      <c r="AA11" s="157">
        <v>0</v>
      </c>
      <c r="AB11" s="157">
        <v>0</v>
      </c>
      <c r="AC11" s="157">
        <v>0</v>
      </c>
      <c r="AD11" s="157">
        <v>0</v>
      </c>
      <c r="AE11" s="157">
        <v>0</v>
      </c>
      <c r="AF11" s="157">
        <v>0</v>
      </c>
      <c r="AG11" s="157">
        <v>0</v>
      </c>
      <c r="AH11" s="157">
        <v>0</v>
      </c>
      <c r="AI11" s="278">
        <v>0</v>
      </c>
      <c r="AJ11" s="136">
        <v>0</v>
      </c>
      <c r="AK11" s="136">
        <v>0</v>
      </c>
      <c r="AL11" s="137">
        <v>0</v>
      </c>
      <c r="AM11" s="137">
        <v>0</v>
      </c>
      <c r="AN11" s="157">
        <v>0</v>
      </c>
      <c r="AO11" s="157">
        <v>0</v>
      </c>
      <c r="AP11" s="157">
        <v>0</v>
      </c>
      <c r="AQ11" s="157">
        <v>0</v>
      </c>
      <c r="AR11" s="137">
        <v>0</v>
      </c>
      <c r="AS11" s="137">
        <v>0</v>
      </c>
      <c r="AT11" s="157">
        <v>0</v>
      </c>
      <c r="AU11" s="157">
        <v>0</v>
      </c>
      <c r="AV11" s="157">
        <v>0</v>
      </c>
      <c r="AW11" s="278">
        <v>0</v>
      </c>
      <c r="AX11" s="136">
        <v>0</v>
      </c>
      <c r="AY11" s="136">
        <v>0</v>
      </c>
      <c r="AZ11" s="137">
        <v>0</v>
      </c>
      <c r="BA11" s="137">
        <v>0</v>
      </c>
      <c r="BB11" s="157">
        <v>0</v>
      </c>
      <c r="BC11" s="157">
        <v>0</v>
      </c>
      <c r="BD11" s="157">
        <v>0</v>
      </c>
      <c r="BE11" s="157">
        <v>0</v>
      </c>
      <c r="BF11" s="157">
        <v>0</v>
      </c>
      <c r="BG11" s="157">
        <v>0</v>
      </c>
      <c r="BH11" s="157">
        <v>0</v>
      </c>
      <c r="BI11" s="157">
        <v>0</v>
      </c>
      <c r="BJ11" s="157">
        <v>0</v>
      </c>
      <c r="BK11" s="157">
        <v>0</v>
      </c>
      <c r="BL11" s="157">
        <v>0</v>
      </c>
      <c r="BM11" s="157">
        <v>0</v>
      </c>
    </row>
    <row r="12" spans="1:69" x14ac:dyDescent="0.3">
      <c r="A12" s="73" t="s">
        <v>74</v>
      </c>
      <c r="B12" s="74"/>
      <c r="C12" s="8"/>
      <c r="D12" s="137">
        <v>51</v>
      </c>
      <c r="E12" s="137">
        <v>3</v>
      </c>
      <c r="F12" s="157">
        <v>44</v>
      </c>
      <c r="G12" s="157">
        <v>17</v>
      </c>
      <c r="H12" s="136">
        <v>69</v>
      </c>
      <c r="I12" s="312">
        <v>3</v>
      </c>
      <c r="J12" s="137">
        <v>51</v>
      </c>
      <c r="K12" s="137">
        <v>3</v>
      </c>
      <c r="L12" s="157">
        <v>44</v>
      </c>
      <c r="M12" s="157">
        <v>17</v>
      </c>
      <c r="N12" s="157">
        <v>44</v>
      </c>
      <c r="O12" s="157">
        <v>17</v>
      </c>
      <c r="P12" s="157">
        <v>44</v>
      </c>
      <c r="Q12" s="157">
        <v>17</v>
      </c>
      <c r="R12" s="157">
        <v>23</v>
      </c>
      <c r="S12" s="157">
        <v>18</v>
      </c>
      <c r="T12" s="157">
        <v>44</v>
      </c>
      <c r="U12" s="278">
        <v>17</v>
      </c>
      <c r="V12" s="136">
        <v>69</v>
      </c>
      <c r="W12" s="136">
        <v>3</v>
      </c>
      <c r="X12" s="137">
        <v>51</v>
      </c>
      <c r="Y12" s="137">
        <v>3</v>
      </c>
      <c r="Z12" s="157">
        <v>44</v>
      </c>
      <c r="AA12" s="157">
        <v>17</v>
      </c>
      <c r="AB12" s="157">
        <v>44</v>
      </c>
      <c r="AC12" s="157">
        <v>17</v>
      </c>
      <c r="AD12" s="157">
        <v>44</v>
      </c>
      <c r="AE12" s="157">
        <v>17</v>
      </c>
      <c r="AF12" s="157">
        <v>44</v>
      </c>
      <c r="AG12" s="157">
        <v>17</v>
      </c>
      <c r="AH12" s="157">
        <v>44</v>
      </c>
      <c r="AI12" s="278">
        <v>17</v>
      </c>
      <c r="AJ12" s="136">
        <v>69</v>
      </c>
      <c r="AK12" s="136">
        <v>3</v>
      </c>
      <c r="AL12" s="137">
        <v>51</v>
      </c>
      <c r="AM12" s="137">
        <v>3</v>
      </c>
      <c r="AN12" s="157">
        <v>39</v>
      </c>
      <c r="AO12" s="157">
        <v>22</v>
      </c>
      <c r="AP12" s="157">
        <v>42</v>
      </c>
      <c r="AQ12" s="157">
        <v>19</v>
      </c>
      <c r="AR12" s="137">
        <v>49</v>
      </c>
      <c r="AS12" s="137">
        <v>5</v>
      </c>
      <c r="AT12" s="157">
        <v>44</v>
      </c>
      <c r="AU12" s="157">
        <v>17</v>
      </c>
      <c r="AV12" s="157">
        <v>44</v>
      </c>
      <c r="AW12" s="278">
        <v>17</v>
      </c>
      <c r="AX12" s="136">
        <v>69</v>
      </c>
      <c r="AY12" s="136">
        <v>3</v>
      </c>
      <c r="AZ12" s="137">
        <v>51</v>
      </c>
      <c r="BA12" s="137">
        <v>3</v>
      </c>
      <c r="BB12" s="157">
        <v>44</v>
      </c>
      <c r="BC12" s="157">
        <v>17</v>
      </c>
      <c r="BD12" s="157">
        <v>44</v>
      </c>
      <c r="BE12" s="157">
        <v>17</v>
      </c>
      <c r="BF12" s="157">
        <v>44</v>
      </c>
      <c r="BG12" s="157">
        <v>17</v>
      </c>
      <c r="BH12" s="157">
        <v>44</v>
      </c>
      <c r="BI12" s="157">
        <v>17</v>
      </c>
      <c r="BJ12" s="157">
        <v>44</v>
      </c>
      <c r="BK12" s="157">
        <v>17</v>
      </c>
      <c r="BL12" s="157">
        <v>69</v>
      </c>
      <c r="BM12" s="157">
        <v>3</v>
      </c>
      <c r="BN12" s="125"/>
      <c r="BO12" s="125"/>
      <c r="BP12" s="125"/>
      <c r="BQ12" s="125"/>
    </row>
    <row r="13" spans="1:69" x14ac:dyDescent="0.3">
      <c r="A13" s="73" t="s">
        <v>75</v>
      </c>
      <c r="B13" s="74"/>
      <c r="C13" s="8"/>
      <c r="D13" s="137">
        <v>0</v>
      </c>
      <c r="E13" s="137">
        <v>0</v>
      </c>
      <c r="F13" s="157">
        <v>13</v>
      </c>
      <c r="G13" s="157">
        <v>3</v>
      </c>
      <c r="H13" s="136">
        <v>0</v>
      </c>
      <c r="I13" s="312">
        <v>0</v>
      </c>
      <c r="J13" s="137">
        <v>0</v>
      </c>
      <c r="K13" s="137">
        <v>0</v>
      </c>
      <c r="L13" s="157">
        <v>13</v>
      </c>
      <c r="M13" s="157">
        <v>3</v>
      </c>
      <c r="N13" s="157">
        <v>13</v>
      </c>
      <c r="O13" s="157">
        <v>3</v>
      </c>
      <c r="P13" s="157">
        <v>13</v>
      </c>
      <c r="Q13" s="157">
        <v>3</v>
      </c>
      <c r="R13" s="157">
        <v>12</v>
      </c>
      <c r="S13" s="157">
        <v>2</v>
      </c>
      <c r="T13" s="157">
        <v>13</v>
      </c>
      <c r="U13" s="278">
        <v>3</v>
      </c>
      <c r="V13" s="136">
        <v>0</v>
      </c>
      <c r="W13" s="136">
        <v>0</v>
      </c>
      <c r="X13" s="137">
        <v>0</v>
      </c>
      <c r="Y13" s="137">
        <v>0</v>
      </c>
      <c r="Z13" s="157">
        <v>13</v>
      </c>
      <c r="AA13" s="157">
        <v>3</v>
      </c>
      <c r="AB13" s="157">
        <v>13</v>
      </c>
      <c r="AC13" s="157">
        <v>3</v>
      </c>
      <c r="AD13" s="157">
        <v>13</v>
      </c>
      <c r="AE13" s="157">
        <v>3</v>
      </c>
      <c r="AF13" s="157">
        <v>13</v>
      </c>
      <c r="AG13" s="157">
        <v>3</v>
      </c>
      <c r="AH13" s="157">
        <v>13</v>
      </c>
      <c r="AI13" s="278">
        <v>3</v>
      </c>
      <c r="AJ13" s="136">
        <v>0</v>
      </c>
      <c r="AK13" s="136">
        <v>0</v>
      </c>
      <c r="AL13" s="137">
        <v>0</v>
      </c>
      <c r="AM13" s="137">
        <v>0</v>
      </c>
      <c r="AN13" s="157">
        <v>13</v>
      </c>
      <c r="AO13" s="157">
        <v>3</v>
      </c>
      <c r="AP13" s="157">
        <v>13</v>
      </c>
      <c r="AQ13" s="157">
        <v>3</v>
      </c>
      <c r="AR13" s="137">
        <v>0</v>
      </c>
      <c r="AS13" s="137">
        <v>0</v>
      </c>
      <c r="AT13" s="157">
        <v>13</v>
      </c>
      <c r="AU13" s="157">
        <v>3</v>
      </c>
      <c r="AV13" s="157">
        <v>13</v>
      </c>
      <c r="AW13" s="278">
        <v>3</v>
      </c>
      <c r="AX13" s="136">
        <v>0</v>
      </c>
      <c r="AY13" s="136">
        <v>0</v>
      </c>
      <c r="AZ13" s="137">
        <v>0</v>
      </c>
      <c r="BA13" s="137">
        <v>0</v>
      </c>
      <c r="BB13" s="157">
        <v>13</v>
      </c>
      <c r="BC13" s="157">
        <v>3</v>
      </c>
      <c r="BD13" s="157">
        <v>13</v>
      </c>
      <c r="BE13" s="157">
        <v>3</v>
      </c>
      <c r="BF13" s="157">
        <v>13</v>
      </c>
      <c r="BG13" s="157">
        <v>3</v>
      </c>
      <c r="BH13" s="157">
        <v>13</v>
      </c>
      <c r="BI13" s="157">
        <v>3</v>
      </c>
      <c r="BJ13" s="157">
        <v>13</v>
      </c>
      <c r="BK13" s="157">
        <v>3</v>
      </c>
      <c r="BL13" s="157">
        <v>0</v>
      </c>
      <c r="BM13" s="157">
        <v>0</v>
      </c>
      <c r="BN13" s="125"/>
      <c r="BO13" s="125"/>
      <c r="BP13" s="125"/>
      <c r="BQ13" s="125"/>
    </row>
    <row r="14" spans="1:69" ht="15" thickBot="1" x14ac:dyDescent="0.35">
      <c r="A14" s="75" t="s">
        <v>76</v>
      </c>
      <c r="B14" s="76"/>
      <c r="C14" s="8"/>
      <c r="D14" s="137">
        <v>0</v>
      </c>
      <c r="E14" s="137">
        <v>0</v>
      </c>
      <c r="F14" s="157">
        <v>1</v>
      </c>
      <c r="G14" s="157">
        <v>0</v>
      </c>
      <c r="H14" s="136">
        <v>0</v>
      </c>
      <c r="I14" s="312">
        <v>0</v>
      </c>
      <c r="J14" s="137">
        <v>0</v>
      </c>
      <c r="K14" s="137">
        <v>0</v>
      </c>
      <c r="L14" s="157">
        <v>1</v>
      </c>
      <c r="M14" s="157">
        <v>0</v>
      </c>
      <c r="N14" s="157">
        <v>1</v>
      </c>
      <c r="O14" s="157">
        <v>0</v>
      </c>
      <c r="P14" s="157">
        <v>1</v>
      </c>
      <c r="Q14" s="157">
        <v>0</v>
      </c>
      <c r="R14" s="157">
        <v>1</v>
      </c>
      <c r="S14" s="157">
        <v>0</v>
      </c>
      <c r="T14" s="157">
        <v>1</v>
      </c>
      <c r="U14" s="278">
        <v>0</v>
      </c>
      <c r="V14" s="136">
        <v>0</v>
      </c>
      <c r="W14" s="136">
        <v>0</v>
      </c>
      <c r="X14" s="137">
        <v>0</v>
      </c>
      <c r="Y14" s="137">
        <v>0</v>
      </c>
      <c r="Z14" s="157">
        <v>1</v>
      </c>
      <c r="AA14" s="157">
        <v>0</v>
      </c>
      <c r="AB14" s="157">
        <v>1</v>
      </c>
      <c r="AC14" s="157">
        <v>0</v>
      </c>
      <c r="AD14" s="157">
        <v>1</v>
      </c>
      <c r="AE14" s="157">
        <v>0</v>
      </c>
      <c r="AF14" s="157">
        <v>1</v>
      </c>
      <c r="AG14" s="157">
        <v>0</v>
      </c>
      <c r="AH14" s="157">
        <v>1</v>
      </c>
      <c r="AI14" s="278">
        <v>0</v>
      </c>
      <c r="AJ14" s="136">
        <v>0</v>
      </c>
      <c r="AK14" s="136">
        <v>0</v>
      </c>
      <c r="AL14" s="137">
        <v>0</v>
      </c>
      <c r="AM14" s="137">
        <v>0</v>
      </c>
      <c r="AN14" s="157">
        <v>1</v>
      </c>
      <c r="AO14" s="157">
        <v>0</v>
      </c>
      <c r="AP14" s="157">
        <v>1</v>
      </c>
      <c r="AQ14" s="157">
        <v>0</v>
      </c>
      <c r="AR14" s="137">
        <v>0</v>
      </c>
      <c r="AS14" s="137">
        <v>0</v>
      </c>
      <c r="AT14" s="157">
        <v>1</v>
      </c>
      <c r="AU14" s="157">
        <v>0</v>
      </c>
      <c r="AV14" s="157">
        <v>1</v>
      </c>
      <c r="AW14" s="278">
        <v>0</v>
      </c>
      <c r="AX14" s="136">
        <v>0</v>
      </c>
      <c r="AY14" s="136">
        <v>0</v>
      </c>
      <c r="AZ14" s="137">
        <v>0</v>
      </c>
      <c r="BA14" s="137">
        <v>0</v>
      </c>
      <c r="BB14" s="157">
        <v>1</v>
      </c>
      <c r="BC14" s="157">
        <v>0</v>
      </c>
      <c r="BD14" s="157">
        <v>1</v>
      </c>
      <c r="BE14" s="157">
        <v>0</v>
      </c>
      <c r="BF14" s="157">
        <v>1</v>
      </c>
      <c r="BG14" s="157">
        <v>0</v>
      </c>
      <c r="BH14" s="157">
        <v>1</v>
      </c>
      <c r="BI14" s="157">
        <v>0</v>
      </c>
      <c r="BJ14" s="157">
        <v>1</v>
      </c>
      <c r="BK14" s="157">
        <v>0</v>
      </c>
      <c r="BL14" s="157">
        <v>0</v>
      </c>
      <c r="BM14" s="157">
        <v>0</v>
      </c>
      <c r="BN14" s="125"/>
      <c r="BO14" s="125"/>
      <c r="BP14" s="125"/>
      <c r="BQ14" s="125"/>
    </row>
    <row r="15" spans="1:69" ht="15" thickBot="1" x14ac:dyDescent="0.35">
      <c r="A15" s="271" t="s">
        <v>77</v>
      </c>
      <c r="B15" s="271"/>
      <c r="C15" s="8"/>
      <c r="D15" s="137">
        <v>57</v>
      </c>
      <c r="E15" s="137">
        <v>0</v>
      </c>
      <c r="F15" s="157">
        <v>36</v>
      </c>
      <c r="G15" s="157">
        <v>25</v>
      </c>
      <c r="H15" s="136">
        <v>75</v>
      </c>
      <c r="I15" s="312">
        <v>0</v>
      </c>
      <c r="J15" s="137">
        <v>57</v>
      </c>
      <c r="K15" s="137">
        <v>0</v>
      </c>
      <c r="L15" s="157">
        <v>36</v>
      </c>
      <c r="M15" s="157">
        <v>25</v>
      </c>
      <c r="N15" s="157">
        <v>36</v>
      </c>
      <c r="O15" s="157">
        <v>25</v>
      </c>
      <c r="P15" s="157">
        <v>36</v>
      </c>
      <c r="Q15" s="157">
        <v>25</v>
      </c>
      <c r="R15" s="157">
        <v>19</v>
      </c>
      <c r="S15" s="157">
        <v>22</v>
      </c>
      <c r="T15" s="157">
        <v>36</v>
      </c>
      <c r="U15" s="278">
        <v>25</v>
      </c>
      <c r="V15" s="136">
        <v>75</v>
      </c>
      <c r="W15" s="136">
        <v>0</v>
      </c>
      <c r="X15" s="137">
        <v>57</v>
      </c>
      <c r="Y15" s="137">
        <v>0</v>
      </c>
      <c r="Z15" s="157">
        <v>36</v>
      </c>
      <c r="AA15" s="157">
        <v>25</v>
      </c>
      <c r="AB15" s="157">
        <v>36</v>
      </c>
      <c r="AC15" s="157">
        <v>25</v>
      </c>
      <c r="AD15" s="157">
        <v>36</v>
      </c>
      <c r="AE15" s="157">
        <v>25</v>
      </c>
      <c r="AF15" s="157">
        <v>36</v>
      </c>
      <c r="AG15" s="157">
        <v>25</v>
      </c>
      <c r="AH15" s="157">
        <v>37</v>
      </c>
      <c r="AI15" s="278">
        <v>24</v>
      </c>
      <c r="AJ15" s="136">
        <v>75</v>
      </c>
      <c r="AK15" s="136">
        <v>0</v>
      </c>
      <c r="AL15" s="137">
        <v>57</v>
      </c>
      <c r="AM15" s="137">
        <v>0</v>
      </c>
      <c r="AN15" s="157">
        <v>36</v>
      </c>
      <c r="AO15" s="157">
        <v>25</v>
      </c>
      <c r="AP15" s="157">
        <v>37</v>
      </c>
      <c r="AQ15" s="157">
        <v>24</v>
      </c>
      <c r="AR15" s="137">
        <v>55</v>
      </c>
      <c r="AS15" s="137">
        <v>2</v>
      </c>
      <c r="AT15" s="157">
        <v>36</v>
      </c>
      <c r="AU15" s="157">
        <v>25</v>
      </c>
      <c r="AV15" s="157">
        <v>36</v>
      </c>
      <c r="AW15" s="278">
        <v>25</v>
      </c>
      <c r="AX15" s="136">
        <v>75</v>
      </c>
      <c r="AY15" s="136">
        <v>0</v>
      </c>
      <c r="AZ15" s="137">
        <v>57</v>
      </c>
      <c r="BA15" s="137">
        <v>0</v>
      </c>
      <c r="BB15" s="157">
        <v>38</v>
      </c>
      <c r="BC15" s="157">
        <v>23</v>
      </c>
      <c r="BD15" s="157">
        <v>36</v>
      </c>
      <c r="BE15" s="157">
        <v>25</v>
      </c>
      <c r="BF15" s="157">
        <v>36</v>
      </c>
      <c r="BG15" s="157">
        <v>25</v>
      </c>
      <c r="BH15" s="157">
        <v>36</v>
      </c>
      <c r="BI15" s="157">
        <v>25</v>
      </c>
      <c r="BJ15" s="157">
        <v>36</v>
      </c>
      <c r="BK15" s="157">
        <v>25</v>
      </c>
      <c r="BL15" s="157">
        <v>75</v>
      </c>
      <c r="BM15" s="157">
        <v>0</v>
      </c>
      <c r="BN15" s="125"/>
      <c r="BO15" s="125"/>
      <c r="BP15" s="125"/>
      <c r="BQ15" s="125"/>
    </row>
    <row r="16" spans="1:69" s="125" customFormat="1" ht="15" thickBot="1" x14ac:dyDescent="0.35">
      <c r="A16" s="271" t="s">
        <v>179</v>
      </c>
      <c r="B16" s="326"/>
      <c r="C16" s="8"/>
      <c r="D16" s="327"/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157">
        <v>1</v>
      </c>
      <c r="S16" s="157">
        <v>3</v>
      </c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  <c r="BH16" s="327"/>
      <c r="BI16" s="327"/>
      <c r="BJ16" s="327"/>
      <c r="BK16" s="327"/>
      <c r="BL16" s="327"/>
      <c r="BM16" s="327"/>
    </row>
    <row r="17" spans="1:69" s="125" customFormat="1" ht="15" thickBot="1" x14ac:dyDescent="0.35">
      <c r="A17" s="271" t="s">
        <v>180</v>
      </c>
      <c r="B17" s="326"/>
      <c r="C17" s="8"/>
      <c r="D17" s="327"/>
      <c r="E17" s="327"/>
      <c r="F17" s="327"/>
      <c r="G17" s="327"/>
      <c r="H17" s="327"/>
      <c r="I17" s="327"/>
      <c r="J17" s="327"/>
      <c r="K17" s="327"/>
      <c r="L17" s="327"/>
      <c r="M17" s="327"/>
      <c r="N17" s="327"/>
      <c r="O17" s="327"/>
      <c r="P17" s="327"/>
      <c r="Q17" s="327"/>
      <c r="R17" s="157">
        <v>2</v>
      </c>
      <c r="S17" s="157">
        <v>1</v>
      </c>
      <c r="T17" s="327"/>
      <c r="U17" s="327"/>
      <c r="V17" s="327"/>
      <c r="W17" s="327"/>
      <c r="X17" s="327"/>
      <c r="Y17" s="327"/>
      <c r="Z17" s="327"/>
      <c r="AA17" s="327"/>
      <c r="AB17" s="327"/>
      <c r="AC17" s="327"/>
      <c r="AD17" s="327"/>
      <c r="AE17" s="327"/>
      <c r="AF17" s="327"/>
      <c r="AG17" s="327"/>
      <c r="AH17" s="327"/>
      <c r="AI17" s="327"/>
      <c r="AJ17" s="327"/>
      <c r="AK17" s="327"/>
      <c r="AL17" s="327"/>
      <c r="AM17" s="327"/>
      <c r="AN17" s="327"/>
      <c r="AO17" s="327"/>
      <c r="AP17" s="327"/>
      <c r="AQ17" s="327"/>
      <c r="AR17" s="327"/>
      <c r="AS17" s="327"/>
      <c r="AT17" s="327"/>
      <c r="AU17" s="327"/>
      <c r="AV17" s="327"/>
      <c r="AW17" s="327"/>
      <c r="AX17" s="327"/>
      <c r="AY17" s="327"/>
      <c r="AZ17" s="327"/>
      <c r="BA17" s="327"/>
      <c r="BB17" s="327"/>
      <c r="BC17" s="327"/>
      <c r="BD17" s="327"/>
      <c r="BE17" s="327"/>
      <c r="BF17" s="327"/>
      <c r="BG17" s="327"/>
      <c r="BH17" s="327"/>
      <c r="BI17" s="327"/>
      <c r="BJ17" s="327"/>
      <c r="BK17" s="327"/>
      <c r="BL17" s="327"/>
      <c r="BM17" s="327"/>
    </row>
    <row r="18" spans="1:69" s="125" customFormat="1" ht="15" thickBot="1" x14ac:dyDescent="0.35">
      <c r="A18" s="271" t="s">
        <v>165</v>
      </c>
      <c r="B18" s="326"/>
      <c r="C18" s="8"/>
      <c r="D18" s="327"/>
      <c r="E18" s="327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27"/>
      <c r="Q18" s="327"/>
      <c r="R18" s="157">
        <v>0</v>
      </c>
      <c r="S18" s="157">
        <v>5</v>
      </c>
      <c r="T18" s="327"/>
      <c r="U18" s="327"/>
      <c r="V18" s="327"/>
      <c r="W18" s="327"/>
      <c r="X18" s="327"/>
      <c r="Y18" s="327"/>
      <c r="Z18" s="327"/>
      <c r="AA18" s="327"/>
      <c r="AB18" s="327"/>
      <c r="AC18" s="327"/>
      <c r="AD18" s="327"/>
      <c r="AE18" s="327"/>
      <c r="AF18" s="327"/>
      <c r="AG18" s="327"/>
      <c r="AH18" s="327"/>
      <c r="AI18" s="327"/>
      <c r="AJ18" s="327"/>
      <c r="AK18" s="327"/>
      <c r="AL18" s="327"/>
      <c r="AM18" s="327"/>
      <c r="AN18" s="327"/>
      <c r="AO18" s="327"/>
      <c r="AP18" s="327"/>
      <c r="AQ18" s="327"/>
      <c r="AR18" s="327"/>
      <c r="AS18" s="327"/>
      <c r="AT18" s="327"/>
      <c r="AU18" s="327"/>
      <c r="AV18" s="327"/>
      <c r="AW18" s="327"/>
      <c r="AX18" s="327"/>
      <c r="AY18" s="327"/>
      <c r="AZ18" s="327"/>
      <c r="BA18" s="327"/>
      <c r="BB18" s="327"/>
      <c r="BC18" s="327"/>
      <c r="BD18" s="327"/>
      <c r="BE18" s="327"/>
      <c r="BF18" s="327"/>
      <c r="BG18" s="327"/>
      <c r="BH18" s="327"/>
      <c r="BI18" s="327"/>
      <c r="BJ18" s="327"/>
      <c r="BK18" s="327"/>
      <c r="BL18" s="327"/>
      <c r="BM18" s="327"/>
    </row>
    <row r="19" spans="1:69" s="125" customFormat="1" ht="15" thickBot="1" x14ac:dyDescent="0.35">
      <c r="A19" s="271" t="s">
        <v>166</v>
      </c>
      <c r="B19" s="326"/>
      <c r="C19" s="8"/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327"/>
      <c r="O19" s="327"/>
      <c r="P19" s="327"/>
      <c r="Q19" s="327"/>
      <c r="R19" s="157">
        <v>3</v>
      </c>
      <c r="S19" s="157">
        <v>2</v>
      </c>
      <c r="T19" s="327"/>
      <c r="U19" s="327"/>
      <c r="V19" s="327"/>
      <c r="W19" s="327"/>
      <c r="X19" s="327"/>
      <c r="Y19" s="327"/>
      <c r="Z19" s="327"/>
      <c r="AA19" s="327"/>
      <c r="AB19" s="327"/>
      <c r="AC19" s="327"/>
      <c r="AD19" s="327"/>
      <c r="AE19" s="327"/>
      <c r="AF19" s="327"/>
      <c r="AG19" s="327"/>
      <c r="AH19" s="327"/>
      <c r="AI19" s="327"/>
      <c r="AJ19" s="327"/>
      <c r="AK19" s="327"/>
      <c r="AL19" s="327"/>
      <c r="AM19" s="327"/>
      <c r="AN19" s="327"/>
      <c r="AO19" s="327"/>
      <c r="AP19" s="327"/>
      <c r="AQ19" s="327"/>
      <c r="AR19" s="327"/>
      <c r="AS19" s="327"/>
      <c r="AT19" s="327"/>
      <c r="AU19" s="327"/>
      <c r="AV19" s="327"/>
      <c r="AW19" s="327"/>
      <c r="AX19" s="327"/>
      <c r="AY19" s="327"/>
      <c r="AZ19" s="327"/>
      <c r="BA19" s="327"/>
      <c r="BB19" s="327"/>
      <c r="BC19" s="327"/>
      <c r="BD19" s="327"/>
      <c r="BE19" s="327"/>
      <c r="BF19" s="327"/>
      <c r="BG19" s="327"/>
      <c r="BH19" s="327"/>
      <c r="BI19" s="327"/>
      <c r="BJ19" s="327"/>
      <c r="BK19" s="327"/>
      <c r="BL19" s="327"/>
      <c r="BM19" s="327"/>
    </row>
    <row r="20" spans="1:69" s="125" customFormat="1" x14ac:dyDescent="0.3">
      <c r="A20" s="271" t="s">
        <v>183</v>
      </c>
      <c r="B20" s="326"/>
      <c r="C20" s="8"/>
      <c r="D20" s="327"/>
      <c r="E20" s="327"/>
      <c r="F20" s="327"/>
      <c r="G20" s="327"/>
      <c r="H20" s="327"/>
      <c r="I20" s="327"/>
      <c r="J20" s="327"/>
      <c r="K20" s="327"/>
      <c r="L20" s="327"/>
      <c r="M20" s="327"/>
      <c r="N20" s="327"/>
      <c r="O20" s="327"/>
      <c r="P20" s="327"/>
      <c r="Q20" s="327"/>
      <c r="R20" s="157">
        <v>1</v>
      </c>
      <c r="S20" s="157">
        <v>1</v>
      </c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327"/>
      <c r="AR20" s="327"/>
      <c r="AS20" s="327"/>
      <c r="AT20" s="327"/>
      <c r="AU20" s="327"/>
      <c r="AV20" s="327"/>
      <c r="AW20" s="327"/>
      <c r="AX20" s="327"/>
      <c r="AY20" s="327"/>
      <c r="AZ20" s="327"/>
      <c r="BA20" s="327"/>
      <c r="BB20" s="327"/>
      <c r="BC20" s="327"/>
      <c r="BD20" s="327"/>
      <c r="BE20" s="327"/>
      <c r="BF20" s="327"/>
      <c r="BG20" s="327"/>
      <c r="BH20" s="327"/>
      <c r="BI20" s="327"/>
      <c r="BJ20" s="327"/>
      <c r="BK20" s="327"/>
      <c r="BL20" s="327"/>
      <c r="BM20" s="327"/>
    </row>
    <row r="21" spans="1:69" s="125" customFormat="1" x14ac:dyDescent="0.3">
      <c r="A21" s="383" t="s">
        <v>263</v>
      </c>
      <c r="B21" s="384"/>
      <c r="C21" s="8"/>
      <c r="D21" s="327"/>
      <c r="E21" s="327"/>
      <c r="F21" s="327"/>
      <c r="G21" s="327"/>
      <c r="H21" s="327"/>
      <c r="I21" s="327"/>
      <c r="J21" s="327"/>
      <c r="K21" s="327"/>
      <c r="L21" s="327"/>
      <c r="M21" s="327"/>
      <c r="N21" s="327"/>
      <c r="O21" s="327"/>
      <c r="P21" s="327"/>
      <c r="Q21" s="327"/>
      <c r="R21" s="157">
        <v>1</v>
      </c>
      <c r="S21" s="157">
        <v>0</v>
      </c>
      <c r="T21" s="327"/>
      <c r="U21" s="327"/>
      <c r="V21" s="327"/>
      <c r="W21" s="327"/>
      <c r="X21" s="327"/>
      <c r="Y21" s="327"/>
      <c r="Z21" s="327"/>
      <c r="AA21" s="327"/>
      <c r="AB21" s="327"/>
      <c r="AC21" s="327"/>
      <c r="AD21" s="327"/>
      <c r="AE21" s="327"/>
      <c r="AF21" s="327"/>
      <c r="AG21" s="327"/>
      <c r="AH21" s="327"/>
      <c r="AI21" s="327"/>
      <c r="AJ21" s="327"/>
      <c r="AK21" s="327"/>
      <c r="AL21" s="327"/>
      <c r="AM21" s="327"/>
      <c r="AN21" s="327"/>
      <c r="AO21" s="327"/>
      <c r="AP21" s="327"/>
      <c r="AQ21" s="327"/>
      <c r="AR21" s="327"/>
      <c r="AS21" s="327"/>
      <c r="AT21" s="327"/>
      <c r="AU21" s="327"/>
      <c r="AV21" s="327"/>
      <c r="AW21" s="327"/>
      <c r="AX21" s="327"/>
      <c r="AY21" s="327"/>
      <c r="AZ21" s="327"/>
      <c r="BA21" s="327"/>
      <c r="BB21" s="327"/>
      <c r="BC21" s="327"/>
      <c r="BD21" s="327"/>
      <c r="BE21" s="327"/>
      <c r="BF21" s="327"/>
      <c r="BG21" s="327"/>
      <c r="BH21" s="327"/>
      <c r="BI21" s="327"/>
      <c r="BJ21" s="327"/>
      <c r="BK21" s="327"/>
      <c r="BL21" s="327"/>
      <c r="BM21" s="327"/>
    </row>
    <row r="22" spans="1:69" s="125" customFormat="1" x14ac:dyDescent="0.3">
      <c r="A22" s="383" t="s">
        <v>264</v>
      </c>
      <c r="B22" s="384"/>
      <c r="C22" s="8"/>
      <c r="D22" s="327"/>
      <c r="E22" s="327"/>
      <c r="F22" s="327"/>
      <c r="G22" s="327"/>
      <c r="H22" s="327"/>
      <c r="I22" s="327"/>
      <c r="J22" s="327"/>
      <c r="K22" s="327"/>
      <c r="L22" s="327"/>
      <c r="M22" s="327"/>
      <c r="N22" s="327"/>
      <c r="O22" s="327"/>
      <c r="P22" s="327"/>
      <c r="Q22" s="327"/>
      <c r="R22" s="157">
        <v>1</v>
      </c>
      <c r="S22" s="157">
        <v>0</v>
      </c>
      <c r="T22" s="327"/>
      <c r="U22" s="327"/>
      <c r="V22" s="327"/>
      <c r="W22" s="327"/>
      <c r="X22" s="327"/>
      <c r="Y22" s="327"/>
      <c r="Z22" s="327"/>
      <c r="AA22" s="327"/>
      <c r="AB22" s="327"/>
      <c r="AC22" s="327"/>
      <c r="AD22" s="327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  <c r="AO22" s="327"/>
      <c r="AP22" s="327"/>
      <c r="AQ22" s="327"/>
      <c r="AR22" s="327"/>
      <c r="AS22" s="327"/>
      <c r="AT22" s="327"/>
      <c r="AU22" s="327"/>
      <c r="AV22" s="327"/>
      <c r="AW22" s="327"/>
      <c r="AX22" s="327"/>
      <c r="AY22" s="327"/>
      <c r="AZ22" s="327"/>
      <c r="BA22" s="327"/>
      <c r="BB22" s="327"/>
      <c r="BC22" s="327"/>
      <c r="BD22" s="327"/>
      <c r="BE22" s="327"/>
      <c r="BF22" s="327"/>
      <c r="BG22" s="327"/>
      <c r="BH22" s="327"/>
      <c r="BI22" s="327"/>
      <c r="BJ22" s="327"/>
      <c r="BK22" s="327"/>
      <c r="BL22" s="327"/>
      <c r="BM22" s="327"/>
    </row>
    <row r="23" spans="1:69" s="125" customFormat="1" x14ac:dyDescent="0.3">
      <c r="A23" s="383" t="s">
        <v>265</v>
      </c>
      <c r="B23" s="384"/>
      <c r="C23" s="8"/>
      <c r="D23" s="327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157">
        <v>0</v>
      </c>
      <c r="S23" s="157">
        <v>1</v>
      </c>
      <c r="T23" s="327"/>
      <c r="U23" s="327"/>
      <c r="V23" s="327"/>
      <c r="W23" s="327"/>
      <c r="X23" s="327"/>
      <c r="Y23" s="327"/>
      <c r="Z23" s="327"/>
      <c r="AA23" s="327"/>
      <c r="AB23" s="327"/>
      <c r="AC23" s="327"/>
      <c r="AD23" s="327"/>
      <c r="AE23" s="327"/>
      <c r="AF23" s="327"/>
      <c r="AG23" s="327"/>
      <c r="AH23" s="327"/>
      <c r="AI23" s="327"/>
      <c r="AJ23" s="327"/>
      <c r="AK23" s="327"/>
      <c r="AL23" s="327"/>
      <c r="AM23" s="327"/>
      <c r="AN23" s="327"/>
      <c r="AO23" s="327"/>
      <c r="AP23" s="327"/>
      <c r="AQ23" s="327"/>
      <c r="AR23" s="327"/>
      <c r="AS23" s="327"/>
      <c r="AT23" s="327"/>
      <c r="AU23" s="327"/>
      <c r="AV23" s="327"/>
      <c r="AW23" s="327"/>
      <c r="AX23" s="327"/>
      <c r="AY23" s="327"/>
      <c r="AZ23" s="327"/>
      <c r="BA23" s="327"/>
      <c r="BB23" s="327"/>
      <c r="BC23" s="327"/>
      <c r="BD23" s="327"/>
      <c r="BE23" s="327"/>
      <c r="BF23" s="327"/>
      <c r="BG23" s="327"/>
      <c r="BH23" s="327"/>
      <c r="BI23" s="327"/>
      <c r="BJ23" s="327"/>
      <c r="BK23" s="327"/>
      <c r="BL23" s="327"/>
      <c r="BM23" s="327"/>
    </row>
    <row r="24" spans="1:69" s="125" customFormat="1" x14ac:dyDescent="0.3">
      <c r="A24" s="383" t="s">
        <v>266</v>
      </c>
      <c r="B24" s="384"/>
      <c r="C24" s="8"/>
      <c r="D24" s="327"/>
      <c r="E24" s="327"/>
      <c r="F24" s="327"/>
      <c r="G24" s="327"/>
      <c r="H24" s="327"/>
      <c r="I24" s="327"/>
      <c r="J24" s="327"/>
      <c r="K24" s="327"/>
      <c r="L24" s="327"/>
      <c r="M24" s="327"/>
      <c r="N24" s="327"/>
      <c r="O24" s="327"/>
      <c r="P24" s="327"/>
      <c r="Q24" s="327"/>
      <c r="R24" s="157">
        <v>0</v>
      </c>
      <c r="S24" s="157">
        <v>1</v>
      </c>
      <c r="T24" s="327"/>
      <c r="U24" s="327"/>
      <c r="V24" s="327"/>
      <c r="W24" s="327"/>
      <c r="X24" s="327"/>
      <c r="Y24" s="327"/>
      <c r="Z24" s="327"/>
      <c r="AA24" s="327"/>
      <c r="AB24" s="327"/>
      <c r="AC24" s="327"/>
      <c r="AD24" s="327"/>
      <c r="AE24" s="327"/>
      <c r="AF24" s="327"/>
      <c r="AG24" s="327"/>
      <c r="AH24" s="327"/>
      <c r="AI24" s="327"/>
      <c r="AJ24" s="327"/>
      <c r="AK24" s="327"/>
      <c r="AL24" s="327"/>
      <c r="AM24" s="327"/>
      <c r="AN24" s="327"/>
      <c r="AO24" s="327"/>
      <c r="AP24" s="327"/>
      <c r="AQ24" s="327"/>
      <c r="AR24" s="327"/>
      <c r="AS24" s="327"/>
      <c r="AT24" s="327"/>
      <c r="AU24" s="327"/>
      <c r="AV24" s="327"/>
      <c r="AW24" s="327"/>
      <c r="AX24" s="327"/>
      <c r="AY24" s="327"/>
      <c r="AZ24" s="327"/>
      <c r="BA24" s="327"/>
      <c r="BB24" s="327"/>
      <c r="BC24" s="327"/>
      <c r="BD24" s="327"/>
      <c r="BE24" s="327"/>
      <c r="BF24" s="327"/>
      <c r="BG24" s="327"/>
      <c r="BH24" s="327"/>
      <c r="BI24" s="327"/>
      <c r="BJ24" s="327"/>
      <c r="BK24" s="327"/>
      <c r="BL24" s="327"/>
      <c r="BM24" s="327"/>
    </row>
    <row r="25" spans="1:69" s="125" customFormat="1" x14ac:dyDescent="0.3">
      <c r="A25" s="272"/>
      <c r="B25" s="272"/>
      <c r="C25" s="8"/>
      <c r="F25" s="125" t="s">
        <v>147</v>
      </c>
      <c r="G25" s="125" t="s">
        <v>147</v>
      </c>
      <c r="H25" s="125" t="s">
        <v>147</v>
      </c>
      <c r="I25" s="125" t="s">
        <v>147</v>
      </c>
      <c r="J25" s="125" t="s">
        <v>147</v>
      </c>
      <c r="K25" s="125" t="s">
        <v>147</v>
      </c>
    </row>
    <row r="26" spans="1:69" x14ac:dyDescent="0.3">
      <c r="A26" s="68" t="s">
        <v>73</v>
      </c>
      <c r="B26" s="69"/>
      <c r="C26" s="8"/>
      <c r="D26" s="310">
        <v>0</v>
      </c>
      <c r="E26" s="310">
        <v>0</v>
      </c>
      <c r="F26" s="282">
        <v>7</v>
      </c>
      <c r="G26" s="282">
        <v>0</v>
      </c>
      <c r="H26" s="136">
        <v>0</v>
      </c>
      <c r="I26" s="312">
        <v>0</v>
      </c>
      <c r="J26" s="310">
        <v>0</v>
      </c>
      <c r="K26" s="310">
        <v>0</v>
      </c>
      <c r="L26" s="157">
        <v>7</v>
      </c>
      <c r="M26" s="157">
        <v>0</v>
      </c>
      <c r="N26" s="157">
        <v>7</v>
      </c>
      <c r="O26" s="157">
        <v>0</v>
      </c>
      <c r="P26" s="305">
        <v>7</v>
      </c>
      <c r="Q26" s="305">
        <v>0</v>
      </c>
      <c r="R26" s="305">
        <v>7</v>
      </c>
      <c r="S26" s="306">
        <v>0</v>
      </c>
      <c r="T26" s="305">
        <v>7</v>
      </c>
      <c r="U26" s="306">
        <v>0</v>
      </c>
      <c r="V26" s="308">
        <v>0</v>
      </c>
      <c r="W26" s="308">
        <v>0</v>
      </c>
      <c r="X26" s="310">
        <v>0</v>
      </c>
      <c r="Y26" s="310">
        <v>0</v>
      </c>
      <c r="Z26" s="305">
        <v>7</v>
      </c>
      <c r="AA26" s="306">
        <v>0</v>
      </c>
      <c r="AB26" s="157">
        <v>7</v>
      </c>
      <c r="AC26" s="157">
        <v>0</v>
      </c>
      <c r="AD26" s="157">
        <v>7</v>
      </c>
      <c r="AE26" s="157">
        <v>0</v>
      </c>
      <c r="AF26" s="157">
        <v>7</v>
      </c>
      <c r="AG26" s="157">
        <v>0</v>
      </c>
      <c r="AH26" s="157">
        <v>7</v>
      </c>
      <c r="AI26" s="278">
        <v>0</v>
      </c>
      <c r="AJ26" s="308">
        <v>0</v>
      </c>
      <c r="AK26" s="308">
        <v>0</v>
      </c>
      <c r="AL26" s="307">
        <v>0</v>
      </c>
      <c r="AM26" s="307">
        <v>0</v>
      </c>
      <c r="AN26" s="157">
        <v>7</v>
      </c>
      <c r="AO26" s="157">
        <v>0</v>
      </c>
      <c r="AP26" s="157">
        <v>7</v>
      </c>
      <c r="AQ26" s="157">
        <v>0</v>
      </c>
      <c r="AR26" s="307">
        <v>0</v>
      </c>
      <c r="AS26" s="307">
        <v>0</v>
      </c>
      <c r="AT26" s="282">
        <v>7</v>
      </c>
      <c r="AU26" s="282">
        <v>0</v>
      </c>
      <c r="AV26" s="282">
        <v>7</v>
      </c>
      <c r="AW26" s="282">
        <v>0</v>
      </c>
      <c r="AX26" s="308">
        <v>0</v>
      </c>
      <c r="AY26" s="308">
        <v>0</v>
      </c>
      <c r="AZ26" s="137">
        <v>0</v>
      </c>
      <c r="BA26" s="137">
        <v>0</v>
      </c>
      <c r="BB26" s="157">
        <v>7</v>
      </c>
      <c r="BC26" s="157">
        <v>0</v>
      </c>
      <c r="BD26" s="157">
        <v>7</v>
      </c>
      <c r="BE26" s="157">
        <v>0</v>
      </c>
      <c r="BF26" s="157">
        <v>7</v>
      </c>
      <c r="BG26" s="157">
        <v>0</v>
      </c>
      <c r="BH26" s="157">
        <v>7</v>
      </c>
      <c r="BI26" s="157">
        <v>0</v>
      </c>
      <c r="BJ26" s="157">
        <v>7</v>
      </c>
      <c r="BK26" s="157">
        <v>0</v>
      </c>
      <c r="BL26" s="157">
        <v>0</v>
      </c>
      <c r="BM26" s="157">
        <v>0</v>
      </c>
      <c r="BN26" s="125"/>
      <c r="BO26" s="125"/>
      <c r="BP26" s="125"/>
      <c r="BQ26" s="125"/>
    </row>
    <row r="27" spans="1:69" s="125" customFormat="1" x14ac:dyDescent="0.3">
      <c r="A27" s="68" t="s">
        <v>123</v>
      </c>
      <c r="B27" s="69"/>
      <c r="C27" s="8"/>
      <c r="D27" s="310">
        <v>0</v>
      </c>
      <c r="E27" s="310">
        <v>0</v>
      </c>
      <c r="F27" s="282">
        <v>0</v>
      </c>
      <c r="G27" s="282">
        <v>0</v>
      </c>
      <c r="H27" s="136">
        <v>0</v>
      </c>
      <c r="I27" s="312">
        <v>0</v>
      </c>
      <c r="J27" s="310">
        <v>0</v>
      </c>
      <c r="K27" s="310">
        <v>0</v>
      </c>
      <c r="L27" s="157">
        <v>0</v>
      </c>
      <c r="M27" s="157">
        <v>0</v>
      </c>
      <c r="N27" s="157">
        <v>0</v>
      </c>
      <c r="O27" s="157">
        <v>0</v>
      </c>
      <c r="P27" s="305">
        <v>0</v>
      </c>
      <c r="Q27" s="305">
        <v>0</v>
      </c>
      <c r="R27" s="305">
        <v>0</v>
      </c>
      <c r="S27" s="306">
        <v>0</v>
      </c>
      <c r="T27" s="305">
        <v>0</v>
      </c>
      <c r="U27" s="306">
        <v>0</v>
      </c>
      <c r="V27" s="308">
        <v>0</v>
      </c>
      <c r="W27" s="308">
        <v>0</v>
      </c>
      <c r="X27" s="310">
        <v>0</v>
      </c>
      <c r="Y27" s="310">
        <v>0</v>
      </c>
      <c r="Z27" s="305">
        <v>0</v>
      </c>
      <c r="AA27" s="306">
        <v>0</v>
      </c>
      <c r="AB27" s="157">
        <v>0</v>
      </c>
      <c r="AC27" s="157">
        <v>0</v>
      </c>
      <c r="AD27" s="157">
        <v>0</v>
      </c>
      <c r="AE27" s="157">
        <v>0</v>
      </c>
      <c r="AF27" s="157">
        <v>0</v>
      </c>
      <c r="AG27" s="157">
        <v>0</v>
      </c>
      <c r="AH27" s="157">
        <v>0</v>
      </c>
      <c r="AI27" s="278">
        <v>0</v>
      </c>
      <c r="AJ27" s="308">
        <v>0</v>
      </c>
      <c r="AK27" s="308">
        <v>0</v>
      </c>
      <c r="AL27" s="307">
        <v>0</v>
      </c>
      <c r="AM27" s="307">
        <v>0</v>
      </c>
      <c r="AN27" s="157">
        <v>0</v>
      </c>
      <c r="AO27" s="157">
        <v>0</v>
      </c>
      <c r="AP27" s="157">
        <v>0</v>
      </c>
      <c r="AQ27" s="157">
        <v>0</v>
      </c>
      <c r="AR27" s="307">
        <v>0</v>
      </c>
      <c r="AS27" s="307">
        <v>0</v>
      </c>
      <c r="AT27" s="282">
        <v>0</v>
      </c>
      <c r="AU27" s="282">
        <v>0</v>
      </c>
      <c r="AV27" s="282">
        <v>0</v>
      </c>
      <c r="AW27" s="282">
        <v>0</v>
      </c>
      <c r="AX27" s="308">
        <v>0</v>
      </c>
      <c r="AY27" s="308">
        <v>0</v>
      </c>
      <c r="AZ27" s="137">
        <v>0</v>
      </c>
      <c r="BA27" s="137">
        <v>0</v>
      </c>
      <c r="BB27" s="157">
        <v>0</v>
      </c>
      <c r="BC27" s="157">
        <v>0</v>
      </c>
      <c r="BD27" s="157">
        <v>0</v>
      </c>
      <c r="BE27" s="157">
        <v>0</v>
      </c>
      <c r="BF27" s="157">
        <v>0</v>
      </c>
      <c r="BG27" s="157">
        <v>0</v>
      </c>
      <c r="BH27" s="157">
        <v>0</v>
      </c>
      <c r="BI27" s="157">
        <v>0</v>
      </c>
      <c r="BJ27" s="157">
        <v>0</v>
      </c>
      <c r="BK27" s="157">
        <v>0</v>
      </c>
      <c r="BL27" s="157">
        <v>0</v>
      </c>
      <c r="BM27" s="157">
        <v>0</v>
      </c>
    </row>
    <row r="28" spans="1:69" x14ac:dyDescent="0.3">
      <c r="A28" s="68" t="s">
        <v>74</v>
      </c>
      <c r="B28" s="69"/>
      <c r="C28" s="8"/>
      <c r="D28" s="310">
        <v>0</v>
      </c>
      <c r="E28" s="310">
        <v>0</v>
      </c>
      <c r="F28" s="282">
        <v>2</v>
      </c>
      <c r="G28" s="282">
        <v>6</v>
      </c>
      <c r="H28" s="136">
        <v>0</v>
      </c>
      <c r="I28" s="312">
        <v>0</v>
      </c>
      <c r="J28" s="310">
        <v>0</v>
      </c>
      <c r="K28" s="310">
        <v>0</v>
      </c>
      <c r="L28" s="157">
        <v>2</v>
      </c>
      <c r="M28" s="157">
        <v>6</v>
      </c>
      <c r="N28" s="157">
        <v>2</v>
      </c>
      <c r="O28" s="157">
        <v>6</v>
      </c>
      <c r="P28" s="305">
        <v>2</v>
      </c>
      <c r="Q28" s="305">
        <v>6</v>
      </c>
      <c r="R28" s="305">
        <v>3</v>
      </c>
      <c r="S28" s="306">
        <v>5</v>
      </c>
      <c r="T28" s="305">
        <v>2</v>
      </c>
      <c r="U28" s="306">
        <v>6</v>
      </c>
      <c r="V28" s="308">
        <v>0</v>
      </c>
      <c r="W28" s="308">
        <v>0</v>
      </c>
      <c r="X28" s="310">
        <v>0</v>
      </c>
      <c r="Y28" s="310">
        <v>0</v>
      </c>
      <c r="Z28" s="305">
        <v>2</v>
      </c>
      <c r="AA28" s="306">
        <v>6</v>
      </c>
      <c r="AB28" s="157">
        <v>2</v>
      </c>
      <c r="AC28" s="157">
        <v>6</v>
      </c>
      <c r="AD28" s="157">
        <v>2</v>
      </c>
      <c r="AE28" s="157">
        <v>6</v>
      </c>
      <c r="AF28" s="157">
        <v>2</v>
      </c>
      <c r="AG28" s="157">
        <v>6</v>
      </c>
      <c r="AH28" s="157">
        <v>3</v>
      </c>
      <c r="AI28" s="278">
        <v>5</v>
      </c>
      <c r="AJ28" s="308">
        <v>0</v>
      </c>
      <c r="AK28" s="308">
        <v>0</v>
      </c>
      <c r="AL28" s="307">
        <v>0</v>
      </c>
      <c r="AM28" s="307">
        <v>0</v>
      </c>
      <c r="AN28" s="157">
        <v>2</v>
      </c>
      <c r="AO28" s="157">
        <v>6</v>
      </c>
      <c r="AP28" s="157">
        <v>3</v>
      </c>
      <c r="AQ28" s="157">
        <v>5</v>
      </c>
      <c r="AR28" s="307">
        <v>0</v>
      </c>
      <c r="AS28" s="307">
        <v>0</v>
      </c>
      <c r="AT28" s="282">
        <v>2</v>
      </c>
      <c r="AU28" s="282">
        <v>6</v>
      </c>
      <c r="AV28" s="282">
        <v>2</v>
      </c>
      <c r="AW28" s="282">
        <v>6</v>
      </c>
      <c r="AX28" s="308">
        <v>0</v>
      </c>
      <c r="AY28" s="308">
        <v>0</v>
      </c>
      <c r="AZ28" s="137">
        <v>0</v>
      </c>
      <c r="BA28" s="137">
        <v>0</v>
      </c>
      <c r="BB28" s="157">
        <v>4</v>
      </c>
      <c r="BC28" s="157">
        <v>4</v>
      </c>
      <c r="BD28" s="157">
        <v>2</v>
      </c>
      <c r="BE28" s="157">
        <v>6</v>
      </c>
      <c r="BF28" s="157">
        <v>2</v>
      </c>
      <c r="BG28" s="157">
        <v>6</v>
      </c>
      <c r="BH28" s="157">
        <v>2</v>
      </c>
      <c r="BI28" s="157">
        <v>6</v>
      </c>
      <c r="BJ28" s="157">
        <v>2</v>
      </c>
      <c r="BK28" s="157">
        <v>6</v>
      </c>
      <c r="BL28" s="157">
        <v>0</v>
      </c>
      <c r="BM28" s="157">
        <v>0</v>
      </c>
      <c r="BN28" s="125"/>
      <c r="BO28" s="125"/>
      <c r="BP28" s="125"/>
      <c r="BQ28" s="125"/>
    </row>
    <row r="29" spans="1:69" x14ac:dyDescent="0.3">
      <c r="A29" s="68" t="s">
        <v>75</v>
      </c>
      <c r="B29" s="69"/>
      <c r="C29" s="8"/>
      <c r="D29" s="310">
        <v>0</v>
      </c>
      <c r="E29" s="310">
        <v>0</v>
      </c>
      <c r="F29" s="282">
        <v>6</v>
      </c>
      <c r="G29" s="282">
        <v>0</v>
      </c>
      <c r="H29" s="136">
        <v>0</v>
      </c>
      <c r="I29" s="312">
        <v>0</v>
      </c>
      <c r="J29" s="310">
        <v>0</v>
      </c>
      <c r="K29" s="310">
        <v>0</v>
      </c>
      <c r="L29" s="157">
        <v>6</v>
      </c>
      <c r="M29" s="157">
        <v>0</v>
      </c>
      <c r="N29" s="157">
        <v>6</v>
      </c>
      <c r="O29" s="157">
        <v>0</v>
      </c>
      <c r="P29" s="305">
        <v>6</v>
      </c>
      <c r="Q29" s="305">
        <v>0</v>
      </c>
      <c r="R29" s="305">
        <v>6</v>
      </c>
      <c r="S29" s="306">
        <v>0</v>
      </c>
      <c r="T29" s="305">
        <v>6</v>
      </c>
      <c r="U29" s="306">
        <v>0</v>
      </c>
      <c r="V29" s="308">
        <v>0</v>
      </c>
      <c r="W29" s="308">
        <v>0</v>
      </c>
      <c r="X29" s="310">
        <v>0</v>
      </c>
      <c r="Y29" s="310">
        <v>0</v>
      </c>
      <c r="Z29" s="305">
        <v>6</v>
      </c>
      <c r="AA29" s="306">
        <v>0</v>
      </c>
      <c r="AB29" s="157">
        <v>6</v>
      </c>
      <c r="AC29" s="157">
        <v>0</v>
      </c>
      <c r="AD29" s="157">
        <v>6</v>
      </c>
      <c r="AE29" s="157">
        <v>0</v>
      </c>
      <c r="AF29" s="157">
        <v>6</v>
      </c>
      <c r="AG29" s="157">
        <v>0</v>
      </c>
      <c r="AH29" s="157">
        <v>6</v>
      </c>
      <c r="AI29" s="278">
        <v>0</v>
      </c>
      <c r="AJ29" s="308">
        <v>0</v>
      </c>
      <c r="AK29" s="308">
        <v>0</v>
      </c>
      <c r="AL29" s="307">
        <v>0</v>
      </c>
      <c r="AM29" s="307">
        <v>0</v>
      </c>
      <c r="AN29" s="157">
        <v>6</v>
      </c>
      <c r="AO29" s="157">
        <v>0</v>
      </c>
      <c r="AP29" s="157">
        <v>6</v>
      </c>
      <c r="AQ29" s="157">
        <v>0</v>
      </c>
      <c r="AR29" s="307">
        <v>0</v>
      </c>
      <c r="AS29" s="307">
        <v>0</v>
      </c>
      <c r="AT29" s="282">
        <v>6</v>
      </c>
      <c r="AU29" s="282">
        <v>0</v>
      </c>
      <c r="AV29" s="282">
        <v>6</v>
      </c>
      <c r="AW29" s="282">
        <v>0</v>
      </c>
      <c r="AX29" s="308">
        <v>0</v>
      </c>
      <c r="AY29" s="308">
        <v>0</v>
      </c>
      <c r="AZ29" s="137">
        <v>0</v>
      </c>
      <c r="BA29" s="137">
        <v>0</v>
      </c>
      <c r="BB29" s="157">
        <v>6</v>
      </c>
      <c r="BC29" s="157">
        <v>0</v>
      </c>
      <c r="BD29" s="157">
        <v>6</v>
      </c>
      <c r="BE29" s="157">
        <v>0</v>
      </c>
      <c r="BF29" s="157">
        <v>6</v>
      </c>
      <c r="BG29" s="157">
        <v>0</v>
      </c>
      <c r="BH29" s="157">
        <v>6</v>
      </c>
      <c r="BI29" s="157">
        <v>0</v>
      </c>
      <c r="BJ29" s="157">
        <v>6</v>
      </c>
      <c r="BK29" s="157">
        <v>0</v>
      </c>
      <c r="BL29" s="157">
        <v>0</v>
      </c>
      <c r="BM29" s="157">
        <v>0</v>
      </c>
      <c r="BN29" s="125"/>
      <c r="BO29" s="125"/>
      <c r="BP29" s="125"/>
      <c r="BQ29" s="125"/>
    </row>
    <row r="30" spans="1:69" x14ac:dyDescent="0.3">
      <c r="A30" s="68" t="s">
        <v>76</v>
      </c>
      <c r="B30" s="69"/>
      <c r="C30" s="8"/>
      <c r="D30" s="310">
        <v>0</v>
      </c>
      <c r="E30" s="310">
        <v>0</v>
      </c>
      <c r="F30" s="282">
        <v>0</v>
      </c>
      <c r="G30" s="282">
        <v>0</v>
      </c>
      <c r="H30" s="136">
        <v>0</v>
      </c>
      <c r="I30" s="312">
        <v>0</v>
      </c>
      <c r="J30" s="311">
        <v>0</v>
      </c>
      <c r="K30" s="311">
        <v>0</v>
      </c>
      <c r="L30" s="157">
        <v>0</v>
      </c>
      <c r="M30" s="157">
        <v>0</v>
      </c>
      <c r="N30" s="157">
        <v>0</v>
      </c>
      <c r="O30" s="157">
        <v>0</v>
      </c>
      <c r="P30" s="305">
        <v>0</v>
      </c>
      <c r="Q30" s="305">
        <v>0</v>
      </c>
      <c r="R30" s="305">
        <v>0</v>
      </c>
      <c r="S30" s="306">
        <v>0</v>
      </c>
      <c r="T30" s="305">
        <v>0</v>
      </c>
      <c r="U30" s="306">
        <v>0</v>
      </c>
      <c r="V30" s="308">
        <v>0</v>
      </c>
      <c r="W30" s="308">
        <v>0</v>
      </c>
      <c r="X30" s="311">
        <v>0</v>
      </c>
      <c r="Y30" s="311">
        <v>0</v>
      </c>
      <c r="Z30" s="305">
        <v>0</v>
      </c>
      <c r="AA30" s="306">
        <v>0</v>
      </c>
      <c r="AB30" s="157">
        <v>0</v>
      </c>
      <c r="AC30" s="157">
        <v>0</v>
      </c>
      <c r="AD30" s="157">
        <v>0</v>
      </c>
      <c r="AE30" s="157">
        <v>0</v>
      </c>
      <c r="AF30" s="157">
        <v>0</v>
      </c>
      <c r="AG30" s="157">
        <v>0</v>
      </c>
      <c r="AH30" s="157">
        <v>0</v>
      </c>
      <c r="AI30" s="278">
        <v>0</v>
      </c>
      <c r="AJ30" s="308">
        <v>0</v>
      </c>
      <c r="AK30" s="308">
        <v>0</v>
      </c>
      <c r="AL30" s="307">
        <v>0</v>
      </c>
      <c r="AM30" s="307">
        <v>0</v>
      </c>
      <c r="AN30" s="282">
        <v>0</v>
      </c>
      <c r="AO30" s="282">
        <v>0</v>
      </c>
      <c r="AP30" s="282">
        <v>0</v>
      </c>
      <c r="AQ30" s="282">
        <v>0</v>
      </c>
      <c r="AR30" s="307">
        <v>0</v>
      </c>
      <c r="AS30" s="307">
        <v>0</v>
      </c>
      <c r="AT30" s="255">
        <v>0</v>
      </c>
      <c r="AU30" s="255">
        <v>0</v>
      </c>
      <c r="AV30" s="255">
        <v>0</v>
      </c>
      <c r="AW30" s="255">
        <v>0</v>
      </c>
      <c r="AX30" s="308">
        <v>0</v>
      </c>
      <c r="AY30" s="308">
        <v>0</v>
      </c>
      <c r="AZ30" s="137">
        <v>0</v>
      </c>
      <c r="BA30" s="137">
        <v>0</v>
      </c>
      <c r="BB30" s="157">
        <v>0</v>
      </c>
      <c r="BC30" s="157">
        <v>0</v>
      </c>
      <c r="BD30" s="157">
        <v>0</v>
      </c>
      <c r="BE30" s="157">
        <v>0</v>
      </c>
      <c r="BF30" s="157">
        <v>0</v>
      </c>
      <c r="BG30" s="157">
        <v>0</v>
      </c>
      <c r="BH30" s="282">
        <v>0</v>
      </c>
      <c r="BI30" s="282">
        <v>0</v>
      </c>
      <c r="BJ30" s="282">
        <v>0</v>
      </c>
      <c r="BK30" s="282">
        <v>0</v>
      </c>
      <c r="BL30" s="157">
        <v>0</v>
      </c>
      <c r="BM30" s="157">
        <v>0</v>
      </c>
      <c r="BN30" s="125"/>
      <c r="BO30" s="125"/>
      <c r="BP30" s="125"/>
      <c r="BQ30" s="125"/>
    </row>
    <row r="31" spans="1:69" ht="15" thickBot="1" x14ac:dyDescent="0.35">
      <c r="A31" s="68" t="s">
        <v>77</v>
      </c>
      <c r="B31" s="77"/>
      <c r="C31" s="8"/>
      <c r="D31" s="310">
        <v>0</v>
      </c>
      <c r="E31" s="310">
        <v>0</v>
      </c>
      <c r="F31" s="282">
        <v>5</v>
      </c>
      <c r="G31" s="282">
        <v>2</v>
      </c>
      <c r="H31" s="136">
        <v>0</v>
      </c>
      <c r="I31" s="312">
        <v>0</v>
      </c>
      <c r="J31" s="311">
        <v>0</v>
      </c>
      <c r="K31" s="311">
        <v>0</v>
      </c>
      <c r="L31" s="157">
        <v>5</v>
      </c>
      <c r="M31" s="157">
        <v>2</v>
      </c>
      <c r="N31" s="157">
        <v>5</v>
      </c>
      <c r="O31" s="157">
        <v>2</v>
      </c>
      <c r="P31" s="305">
        <v>5</v>
      </c>
      <c r="Q31" s="305">
        <v>2</v>
      </c>
      <c r="R31" s="305">
        <v>5</v>
      </c>
      <c r="S31" s="306">
        <v>2</v>
      </c>
      <c r="T31" s="305">
        <v>5</v>
      </c>
      <c r="U31" s="306">
        <v>2</v>
      </c>
      <c r="V31" s="308">
        <v>0</v>
      </c>
      <c r="W31" s="308">
        <v>0</v>
      </c>
      <c r="X31" s="311">
        <v>0</v>
      </c>
      <c r="Y31" s="311">
        <v>0</v>
      </c>
      <c r="Z31" s="305">
        <v>5</v>
      </c>
      <c r="AA31" s="306">
        <v>2</v>
      </c>
      <c r="AB31" s="157">
        <v>5</v>
      </c>
      <c r="AC31" s="157">
        <v>2</v>
      </c>
      <c r="AD31" s="157">
        <v>5</v>
      </c>
      <c r="AE31" s="157">
        <v>2</v>
      </c>
      <c r="AF31" s="157">
        <v>5</v>
      </c>
      <c r="AG31" s="157">
        <v>2</v>
      </c>
      <c r="AH31" s="157">
        <v>5</v>
      </c>
      <c r="AI31" s="278">
        <v>2</v>
      </c>
      <c r="AJ31" s="308">
        <v>0</v>
      </c>
      <c r="AK31" s="308">
        <v>0</v>
      </c>
      <c r="AL31" s="307">
        <v>0</v>
      </c>
      <c r="AM31" s="307">
        <v>0</v>
      </c>
      <c r="AN31" s="157">
        <v>5</v>
      </c>
      <c r="AO31" s="157">
        <v>2</v>
      </c>
      <c r="AP31" s="157">
        <v>5</v>
      </c>
      <c r="AQ31" s="157">
        <v>2</v>
      </c>
      <c r="AR31" s="307">
        <v>0</v>
      </c>
      <c r="AS31" s="307">
        <v>0</v>
      </c>
      <c r="AT31" s="255">
        <v>5</v>
      </c>
      <c r="AU31" s="255">
        <v>2</v>
      </c>
      <c r="AV31" s="255">
        <v>5</v>
      </c>
      <c r="AW31" s="255">
        <v>2</v>
      </c>
      <c r="AX31" s="308">
        <v>0</v>
      </c>
      <c r="AY31" s="308">
        <v>0</v>
      </c>
      <c r="AZ31" s="137">
        <v>0</v>
      </c>
      <c r="BA31" s="137">
        <v>0</v>
      </c>
      <c r="BB31" s="157">
        <v>5</v>
      </c>
      <c r="BC31" s="157">
        <v>2</v>
      </c>
      <c r="BD31" s="157">
        <v>5</v>
      </c>
      <c r="BE31" s="157">
        <v>2</v>
      </c>
      <c r="BF31" s="157">
        <v>5</v>
      </c>
      <c r="BG31" s="157">
        <v>2</v>
      </c>
      <c r="BH31" s="157">
        <v>5</v>
      </c>
      <c r="BI31" s="157">
        <v>2</v>
      </c>
      <c r="BJ31" s="157">
        <v>5</v>
      </c>
      <c r="BK31" s="157">
        <v>2</v>
      </c>
      <c r="BL31" s="282">
        <v>0</v>
      </c>
      <c r="BM31" s="282">
        <v>0</v>
      </c>
      <c r="BN31" s="125"/>
      <c r="BO31" s="125"/>
      <c r="BP31" s="125"/>
      <c r="BQ31" s="125"/>
    </row>
    <row r="32" spans="1:69" x14ac:dyDescent="0.3">
      <c r="A32" s="54"/>
      <c r="B32" s="54"/>
      <c r="C32" s="8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125"/>
      <c r="BO32" s="125"/>
      <c r="BP32" s="125"/>
      <c r="BQ32" s="125"/>
    </row>
    <row r="33" spans="1:69 16313:16313" ht="15" thickBot="1" x14ac:dyDescent="0.35">
      <c r="C33" s="8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</row>
    <row r="34" spans="1:69 16313:16313" ht="15" thickBot="1" x14ac:dyDescent="0.35">
      <c r="C34" s="8"/>
      <c r="D34" s="64">
        <f t="shared" ref="D34:AI34" si="0">SUM(D3:D31)</f>
        <v>108</v>
      </c>
      <c r="E34" s="64">
        <f t="shared" si="0"/>
        <v>3</v>
      </c>
      <c r="F34" s="138">
        <f t="shared" si="0"/>
        <v>150</v>
      </c>
      <c r="G34" s="138">
        <f t="shared" si="0"/>
        <v>73</v>
      </c>
      <c r="H34" s="174">
        <f t="shared" si="0"/>
        <v>144</v>
      </c>
      <c r="I34" s="174">
        <f t="shared" si="0"/>
        <v>3</v>
      </c>
      <c r="J34" s="64">
        <f t="shared" si="0"/>
        <v>108</v>
      </c>
      <c r="K34" s="64">
        <f t="shared" si="0"/>
        <v>3</v>
      </c>
      <c r="L34" s="138">
        <f t="shared" si="0"/>
        <v>150</v>
      </c>
      <c r="M34" s="138">
        <f t="shared" si="0"/>
        <v>73</v>
      </c>
      <c r="N34" s="138">
        <f t="shared" si="0"/>
        <v>150</v>
      </c>
      <c r="O34" s="138">
        <f t="shared" si="0"/>
        <v>73</v>
      </c>
      <c r="P34" s="138">
        <f t="shared" si="0"/>
        <v>150</v>
      </c>
      <c r="Q34" s="138">
        <f t="shared" si="0"/>
        <v>73</v>
      </c>
      <c r="R34" s="138">
        <f t="shared" si="0"/>
        <v>109</v>
      </c>
      <c r="S34" s="138">
        <f t="shared" si="0"/>
        <v>68</v>
      </c>
      <c r="T34" s="138">
        <f t="shared" si="0"/>
        <v>150</v>
      </c>
      <c r="U34" s="138">
        <f t="shared" si="0"/>
        <v>73</v>
      </c>
      <c r="V34" s="174">
        <f t="shared" si="0"/>
        <v>144</v>
      </c>
      <c r="W34" s="174">
        <f t="shared" si="0"/>
        <v>3</v>
      </c>
      <c r="X34" s="64">
        <f t="shared" si="0"/>
        <v>108</v>
      </c>
      <c r="Y34" s="64">
        <f t="shared" si="0"/>
        <v>3</v>
      </c>
      <c r="Z34" s="138">
        <f t="shared" si="0"/>
        <v>150</v>
      </c>
      <c r="AA34" s="138">
        <f t="shared" si="0"/>
        <v>73</v>
      </c>
      <c r="AB34" s="138">
        <f t="shared" si="0"/>
        <v>152</v>
      </c>
      <c r="AC34" s="138">
        <f t="shared" si="0"/>
        <v>71</v>
      </c>
      <c r="AD34" s="138">
        <f t="shared" si="0"/>
        <v>150</v>
      </c>
      <c r="AE34" s="138">
        <f t="shared" si="0"/>
        <v>73</v>
      </c>
      <c r="AF34" s="138">
        <f t="shared" si="0"/>
        <v>150</v>
      </c>
      <c r="AG34" s="138">
        <f t="shared" si="0"/>
        <v>73</v>
      </c>
      <c r="AH34" s="138">
        <f t="shared" si="0"/>
        <v>152</v>
      </c>
      <c r="AI34" s="138">
        <f t="shared" si="0"/>
        <v>71</v>
      </c>
      <c r="AJ34" s="174">
        <f t="shared" ref="AJ34:BM34" si="1">SUM(AJ3:AJ31)</f>
        <v>144</v>
      </c>
      <c r="AK34" s="174">
        <f t="shared" si="1"/>
        <v>3</v>
      </c>
      <c r="AL34" s="64">
        <f t="shared" si="1"/>
        <v>108</v>
      </c>
      <c r="AM34" s="64">
        <f t="shared" si="1"/>
        <v>3</v>
      </c>
      <c r="AN34" s="138">
        <f t="shared" ref="AN34:AQ34" si="2">SUM(AN3:AN31)</f>
        <v>145</v>
      </c>
      <c r="AO34" s="138">
        <f t="shared" si="2"/>
        <v>78</v>
      </c>
      <c r="AP34" s="138">
        <f t="shared" si="2"/>
        <v>152</v>
      </c>
      <c r="AQ34" s="138">
        <f t="shared" si="2"/>
        <v>71</v>
      </c>
      <c r="AR34" s="64">
        <f t="shared" si="1"/>
        <v>104</v>
      </c>
      <c r="AS34" s="64">
        <f t="shared" si="1"/>
        <v>7</v>
      </c>
      <c r="AT34" s="138">
        <f t="shared" si="1"/>
        <v>150</v>
      </c>
      <c r="AU34" s="138">
        <f t="shared" si="1"/>
        <v>73</v>
      </c>
      <c r="AV34" s="138">
        <f t="shared" si="1"/>
        <v>150</v>
      </c>
      <c r="AW34" s="138">
        <f t="shared" si="1"/>
        <v>73</v>
      </c>
      <c r="AX34" s="174">
        <f t="shared" ref="AX34:BG34" si="3">SUM(AX3:AX31)</f>
        <v>144</v>
      </c>
      <c r="AY34" s="174">
        <f t="shared" si="3"/>
        <v>3</v>
      </c>
      <c r="AZ34" s="64">
        <f t="shared" si="3"/>
        <v>108</v>
      </c>
      <c r="BA34" s="64">
        <f t="shared" si="3"/>
        <v>3</v>
      </c>
      <c r="BB34" s="138">
        <f t="shared" si="3"/>
        <v>154</v>
      </c>
      <c r="BC34" s="138">
        <f t="shared" si="3"/>
        <v>69</v>
      </c>
      <c r="BD34" s="138">
        <f t="shared" si="3"/>
        <v>152</v>
      </c>
      <c r="BE34" s="138">
        <f t="shared" si="3"/>
        <v>71</v>
      </c>
      <c r="BF34" s="138">
        <f t="shared" si="3"/>
        <v>152</v>
      </c>
      <c r="BG34" s="138">
        <f t="shared" si="3"/>
        <v>71</v>
      </c>
      <c r="BH34" s="138">
        <f t="shared" si="1"/>
        <v>152</v>
      </c>
      <c r="BI34" s="138">
        <f t="shared" si="1"/>
        <v>71</v>
      </c>
      <c r="BJ34" s="138">
        <f t="shared" si="1"/>
        <v>150</v>
      </c>
      <c r="BK34" s="138">
        <f t="shared" si="1"/>
        <v>73</v>
      </c>
      <c r="BL34" s="138">
        <f t="shared" si="1"/>
        <v>144</v>
      </c>
      <c r="BM34" s="138">
        <f t="shared" si="1"/>
        <v>3</v>
      </c>
      <c r="BN34" s="125"/>
      <c r="BO34" s="125"/>
      <c r="BP34" s="125"/>
      <c r="BQ34" s="125"/>
      <c r="XCK34" s="65"/>
    </row>
    <row r="35" spans="1:69 16313:16313" x14ac:dyDescent="0.3">
      <c r="C35" s="8"/>
      <c r="L35" s="125"/>
      <c r="Z35" s="125"/>
      <c r="AA35" s="125"/>
      <c r="AB35" s="125"/>
      <c r="AC35" s="125"/>
      <c r="AG35" s="125"/>
      <c r="AH35" s="125"/>
      <c r="AI35" s="125"/>
      <c r="AR35" s="55"/>
      <c r="AS35" s="55"/>
      <c r="AT35" s="55"/>
      <c r="AU35" s="55"/>
      <c r="AV35" s="55"/>
      <c r="AW35" s="55"/>
      <c r="AX35" s="55"/>
      <c r="AY35" s="55"/>
      <c r="AZ35" s="55"/>
      <c r="BH35" s="55"/>
      <c r="BI35" s="55"/>
      <c r="BJ35" s="55"/>
      <c r="BK35" s="55"/>
      <c r="BL35" s="55"/>
      <c r="BM35" s="55"/>
      <c r="BN35" s="125"/>
      <c r="BO35" s="125"/>
      <c r="BP35" s="125"/>
      <c r="BQ35" s="125"/>
    </row>
    <row r="36" spans="1:69 16313:16313" ht="17.399999999999999" x14ac:dyDescent="0.3">
      <c r="C36" s="8"/>
      <c r="L36" s="125"/>
      <c r="Z36" s="56"/>
      <c r="AR36" s="55"/>
      <c r="AS36" s="55"/>
      <c r="AT36" s="55"/>
      <c r="AU36" s="55"/>
      <c r="AV36" s="55"/>
      <c r="AW36" s="55"/>
      <c r="AX36" s="55"/>
      <c r="AY36" s="55"/>
      <c r="AZ36" s="55"/>
      <c r="BH36" s="55"/>
      <c r="BI36" s="55"/>
      <c r="BJ36" s="55"/>
      <c r="BK36" s="55"/>
      <c r="BL36" s="55"/>
      <c r="BM36" s="55"/>
    </row>
    <row r="37" spans="1:69 16313:16313" x14ac:dyDescent="0.3">
      <c r="C37" s="8"/>
      <c r="F37" s="125"/>
      <c r="G37" s="125"/>
      <c r="H37" s="125"/>
      <c r="I37" s="125"/>
      <c r="J37" s="8"/>
      <c r="K37" s="8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</row>
    <row r="38" spans="1:69 16313:16313" x14ac:dyDescent="0.3">
      <c r="C38" s="8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</row>
    <row r="39" spans="1:69 16313:16313" x14ac:dyDescent="0.3">
      <c r="C39" s="8"/>
      <c r="L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</row>
    <row r="40" spans="1:69 16313:16313" x14ac:dyDescent="0.3">
      <c r="A40" s="57" t="s">
        <v>78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</row>
    <row r="41" spans="1:69 16313:16313" x14ac:dyDescent="0.3">
      <c r="A41" t="s">
        <v>79</v>
      </c>
      <c r="C41" s="8"/>
      <c r="D41" s="58">
        <f t="shared" ref="D41:AI41" si="4">D5+D12+D28</f>
        <v>51</v>
      </c>
      <c r="E41" s="58">
        <f t="shared" si="4"/>
        <v>3</v>
      </c>
      <c r="F41" s="58">
        <f t="shared" si="4"/>
        <v>47</v>
      </c>
      <c r="G41" s="58">
        <f t="shared" si="4"/>
        <v>32</v>
      </c>
      <c r="H41" s="58">
        <f t="shared" si="4"/>
        <v>69</v>
      </c>
      <c r="I41" s="58">
        <f t="shared" si="4"/>
        <v>3</v>
      </c>
      <c r="J41" s="58">
        <f t="shared" si="4"/>
        <v>51</v>
      </c>
      <c r="K41" s="58">
        <f t="shared" si="4"/>
        <v>3</v>
      </c>
      <c r="L41" s="151">
        <f t="shared" si="4"/>
        <v>47</v>
      </c>
      <c r="M41" s="58">
        <f t="shared" si="4"/>
        <v>32</v>
      </c>
      <c r="N41" s="292">
        <f t="shared" si="4"/>
        <v>47</v>
      </c>
      <c r="O41" s="292">
        <f t="shared" si="4"/>
        <v>32</v>
      </c>
      <c r="P41" s="293">
        <f t="shared" si="4"/>
        <v>47</v>
      </c>
      <c r="Q41" s="293">
        <f t="shared" si="4"/>
        <v>32</v>
      </c>
      <c r="R41" s="268">
        <f>R5+R12+R28</f>
        <v>31</v>
      </c>
      <c r="S41" s="268">
        <f t="shared" si="4"/>
        <v>24</v>
      </c>
      <c r="T41" s="58">
        <f t="shared" si="4"/>
        <v>47</v>
      </c>
      <c r="U41" s="58">
        <f t="shared" si="4"/>
        <v>32</v>
      </c>
      <c r="V41" s="280">
        <f t="shared" si="4"/>
        <v>69</v>
      </c>
      <c r="W41" s="280">
        <f t="shared" si="4"/>
        <v>3</v>
      </c>
      <c r="X41" s="281">
        <f t="shared" si="4"/>
        <v>51</v>
      </c>
      <c r="Y41" s="281">
        <f t="shared" si="4"/>
        <v>3</v>
      </c>
      <c r="Z41" s="283">
        <f t="shared" si="4"/>
        <v>47</v>
      </c>
      <c r="AA41" s="283">
        <f t="shared" si="4"/>
        <v>32</v>
      </c>
      <c r="AB41" s="284">
        <f t="shared" si="4"/>
        <v>48</v>
      </c>
      <c r="AC41" s="284">
        <f t="shared" si="4"/>
        <v>31</v>
      </c>
      <c r="AD41" s="58">
        <f t="shared" si="4"/>
        <v>47</v>
      </c>
      <c r="AE41" s="58">
        <f t="shared" si="4"/>
        <v>32</v>
      </c>
      <c r="AF41" s="58">
        <f t="shared" si="4"/>
        <v>47</v>
      </c>
      <c r="AG41" s="256">
        <f t="shared" si="4"/>
        <v>32</v>
      </c>
      <c r="AH41" s="58">
        <f t="shared" si="4"/>
        <v>48</v>
      </c>
      <c r="AI41" s="58">
        <f t="shared" si="4"/>
        <v>31</v>
      </c>
      <c r="AJ41" s="274">
        <f t="shared" ref="AJ41:BK41" si="5">AJ5+AJ12+AJ28</f>
        <v>69</v>
      </c>
      <c r="AK41" s="274">
        <f t="shared" si="5"/>
        <v>3</v>
      </c>
      <c r="AL41" s="296">
        <f t="shared" si="5"/>
        <v>51</v>
      </c>
      <c r="AM41" s="296">
        <f t="shared" si="5"/>
        <v>3</v>
      </c>
      <c r="AN41" s="286">
        <f>AN5+AN12+AN28</f>
        <v>42</v>
      </c>
      <c r="AO41" s="286">
        <f>AO5+AO12+AO28</f>
        <v>37</v>
      </c>
      <c r="AP41" s="296">
        <f t="shared" si="5"/>
        <v>47</v>
      </c>
      <c r="AQ41" s="296">
        <f t="shared" si="5"/>
        <v>32</v>
      </c>
      <c r="AR41" s="287">
        <f t="shared" si="5"/>
        <v>49</v>
      </c>
      <c r="AS41" s="287">
        <f t="shared" si="5"/>
        <v>5</v>
      </c>
      <c r="AT41" s="288">
        <f t="shared" si="5"/>
        <v>47</v>
      </c>
      <c r="AU41" s="288">
        <f t="shared" si="5"/>
        <v>32</v>
      </c>
      <c r="AV41" s="289">
        <f t="shared" si="5"/>
        <v>47</v>
      </c>
      <c r="AW41" s="289">
        <f t="shared" si="5"/>
        <v>32</v>
      </c>
      <c r="AX41" s="290">
        <f t="shared" si="5"/>
        <v>69</v>
      </c>
      <c r="AY41" s="290">
        <f t="shared" si="5"/>
        <v>3</v>
      </c>
      <c r="AZ41" s="58">
        <f t="shared" si="5"/>
        <v>51</v>
      </c>
      <c r="BA41" s="259">
        <f t="shared" si="5"/>
        <v>3</v>
      </c>
      <c r="BB41" s="116">
        <f t="shared" si="5"/>
        <v>49</v>
      </c>
      <c r="BC41" s="260">
        <f t="shared" si="5"/>
        <v>30</v>
      </c>
      <c r="BD41" s="275">
        <f t="shared" si="5"/>
        <v>48</v>
      </c>
      <c r="BE41" s="275">
        <f t="shared" si="5"/>
        <v>31</v>
      </c>
      <c r="BF41" s="175">
        <f t="shared" si="5"/>
        <v>48</v>
      </c>
      <c r="BG41" s="175">
        <f t="shared" si="5"/>
        <v>31</v>
      </c>
      <c r="BH41" s="276">
        <f t="shared" si="5"/>
        <v>47</v>
      </c>
      <c r="BI41" s="276">
        <f t="shared" si="5"/>
        <v>32</v>
      </c>
      <c r="BJ41" s="277">
        <f t="shared" si="5"/>
        <v>47</v>
      </c>
      <c r="BK41" s="277">
        <f t="shared" si="5"/>
        <v>32</v>
      </c>
      <c r="BL41" s="339">
        <f t="shared" ref="BL41:BM41" si="6">BL5+BL12+BL28</f>
        <v>69</v>
      </c>
      <c r="BM41" s="339">
        <f t="shared" si="6"/>
        <v>3</v>
      </c>
    </row>
    <row r="42" spans="1:69 16313:16313" x14ac:dyDescent="0.3">
      <c r="A42" t="s">
        <v>80</v>
      </c>
      <c r="C42" s="8"/>
      <c r="D42" s="58">
        <f t="shared" ref="D42:AI42" si="7">D8+D15+D31</f>
        <v>57</v>
      </c>
      <c r="E42" s="58">
        <f t="shared" si="7"/>
        <v>0</v>
      </c>
      <c r="F42" s="58">
        <f t="shared" si="7"/>
        <v>45</v>
      </c>
      <c r="G42" s="58">
        <f t="shared" si="7"/>
        <v>33</v>
      </c>
      <c r="H42" s="58">
        <f t="shared" si="7"/>
        <v>75</v>
      </c>
      <c r="I42" s="58">
        <f t="shared" si="7"/>
        <v>0</v>
      </c>
      <c r="J42" s="58">
        <f t="shared" si="7"/>
        <v>57</v>
      </c>
      <c r="K42" s="58">
        <f t="shared" si="7"/>
        <v>0</v>
      </c>
      <c r="L42" s="151">
        <f t="shared" si="7"/>
        <v>45</v>
      </c>
      <c r="M42" s="58">
        <f t="shared" si="7"/>
        <v>33</v>
      </c>
      <c r="N42" s="292">
        <f t="shared" si="7"/>
        <v>45</v>
      </c>
      <c r="O42" s="292">
        <f t="shared" si="7"/>
        <v>33</v>
      </c>
      <c r="P42" s="293">
        <f t="shared" si="7"/>
        <v>45</v>
      </c>
      <c r="Q42" s="293">
        <f t="shared" si="7"/>
        <v>33</v>
      </c>
      <c r="R42" s="268">
        <f t="shared" si="7"/>
        <v>28</v>
      </c>
      <c r="S42" s="268">
        <f t="shared" si="7"/>
        <v>28</v>
      </c>
      <c r="T42" s="58">
        <f t="shared" si="7"/>
        <v>45</v>
      </c>
      <c r="U42" s="58">
        <f t="shared" si="7"/>
        <v>33</v>
      </c>
      <c r="V42" s="280">
        <f t="shared" si="7"/>
        <v>75</v>
      </c>
      <c r="W42" s="280">
        <f t="shared" si="7"/>
        <v>0</v>
      </c>
      <c r="X42" s="281">
        <f t="shared" si="7"/>
        <v>57</v>
      </c>
      <c r="Y42" s="281">
        <f t="shared" si="7"/>
        <v>0</v>
      </c>
      <c r="Z42" s="283">
        <f t="shared" si="7"/>
        <v>45</v>
      </c>
      <c r="AA42" s="283">
        <f t="shared" si="7"/>
        <v>33</v>
      </c>
      <c r="AB42" s="284">
        <f t="shared" si="7"/>
        <v>46</v>
      </c>
      <c r="AC42" s="284">
        <f t="shared" si="7"/>
        <v>32</v>
      </c>
      <c r="AD42" s="58">
        <f t="shared" si="7"/>
        <v>45</v>
      </c>
      <c r="AE42" s="254">
        <f t="shared" si="7"/>
        <v>33</v>
      </c>
      <c r="AF42" s="256">
        <f t="shared" si="7"/>
        <v>45</v>
      </c>
      <c r="AG42" s="256">
        <f t="shared" si="7"/>
        <v>33</v>
      </c>
      <c r="AH42" s="58">
        <f t="shared" si="7"/>
        <v>46</v>
      </c>
      <c r="AI42" s="58">
        <f t="shared" si="7"/>
        <v>32</v>
      </c>
      <c r="AJ42" s="274">
        <f t="shared" ref="AJ42:BK42" si="8">AJ8+AJ15+AJ31</f>
        <v>75</v>
      </c>
      <c r="AK42" s="274">
        <f t="shared" si="8"/>
        <v>0</v>
      </c>
      <c r="AL42" s="296">
        <f t="shared" si="8"/>
        <v>57</v>
      </c>
      <c r="AM42" s="296">
        <f t="shared" si="8"/>
        <v>0</v>
      </c>
      <c r="AN42" s="286">
        <f t="shared" si="8"/>
        <v>45</v>
      </c>
      <c r="AO42" s="286">
        <f t="shared" si="8"/>
        <v>33</v>
      </c>
      <c r="AP42" s="296">
        <f t="shared" si="8"/>
        <v>47</v>
      </c>
      <c r="AQ42" s="296">
        <f t="shared" si="8"/>
        <v>31</v>
      </c>
      <c r="AR42" s="287">
        <f t="shared" si="8"/>
        <v>55</v>
      </c>
      <c r="AS42" s="287">
        <f t="shared" si="8"/>
        <v>2</v>
      </c>
      <c r="AT42" s="288">
        <f t="shared" si="8"/>
        <v>45</v>
      </c>
      <c r="AU42" s="288">
        <f t="shared" si="8"/>
        <v>33</v>
      </c>
      <c r="AV42" s="289">
        <f t="shared" si="8"/>
        <v>45</v>
      </c>
      <c r="AW42" s="289">
        <f t="shared" si="8"/>
        <v>33</v>
      </c>
      <c r="AX42" s="290">
        <f t="shared" si="8"/>
        <v>75</v>
      </c>
      <c r="AY42" s="290">
        <f t="shared" si="8"/>
        <v>0</v>
      </c>
      <c r="AZ42" s="259">
        <f t="shared" si="8"/>
        <v>57</v>
      </c>
      <c r="BA42" s="259">
        <f t="shared" si="8"/>
        <v>0</v>
      </c>
      <c r="BB42" s="260">
        <f t="shared" si="8"/>
        <v>47</v>
      </c>
      <c r="BC42" s="260">
        <f t="shared" si="8"/>
        <v>31</v>
      </c>
      <c r="BD42" s="275">
        <f t="shared" si="8"/>
        <v>46</v>
      </c>
      <c r="BE42" s="275">
        <f t="shared" si="8"/>
        <v>32</v>
      </c>
      <c r="BF42" s="175">
        <f t="shared" si="8"/>
        <v>46</v>
      </c>
      <c r="BG42" s="175">
        <f t="shared" si="8"/>
        <v>32</v>
      </c>
      <c r="BH42" s="276">
        <f t="shared" si="8"/>
        <v>45</v>
      </c>
      <c r="BI42" s="276">
        <f t="shared" si="8"/>
        <v>33</v>
      </c>
      <c r="BJ42" s="277">
        <f t="shared" si="8"/>
        <v>45</v>
      </c>
      <c r="BK42" s="277">
        <f t="shared" si="8"/>
        <v>33</v>
      </c>
      <c r="BL42" s="339">
        <f t="shared" ref="BL42:BM42" si="9">BL8+BL15+BL31</f>
        <v>75</v>
      </c>
      <c r="BM42" s="339">
        <f t="shared" si="9"/>
        <v>0</v>
      </c>
    </row>
    <row r="43" spans="1:69 16313:16313" x14ac:dyDescent="0.3">
      <c r="A43" t="s">
        <v>81</v>
      </c>
      <c r="C43" s="8"/>
      <c r="D43" s="58">
        <f t="shared" ref="D43:AI43" si="10">D3+D10+D26</f>
        <v>0</v>
      </c>
      <c r="E43" s="58">
        <f t="shared" si="10"/>
        <v>0</v>
      </c>
      <c r="F43" s="58">
        <f t="shared" si="10"/>
        <v>29</v>
      </c>
      <c r="G43" s="58">
        <f t="shared" si="10"/>
        <v>4</v>
      </c>
      <c r="H43" s="58">
        <f t="shared" si="10"/>
        <v>0</v>
      </c>
      <c r="I43" s="58">
        <f t="shared" si="10"/>
        <v>0</v>
      </c>
      <c r="J43" s="58">
        <f t="shared" si="10"/>
        <v>0</v>
      </c>
      <c r="K43" s="58">
        <f t="shared" si="10"/>
        <v>0</v>
      </c>
      <c r="L43" s="151">
        <f t="shared" si="10"/>
        <v>29</v>
      </c>
      <c r="M43" s="58">
        <f t="shared" si="10"/>
        <v>4</v>
      </c>
      <c r="N43" s="292">
        <f t="shared" si="10"/>
        <v>29</v>
      </c>
      <c r="O43" s="292">
        <f t="shared" si="10"/>
        <v>4</v>
      </c>
      <c r="P43" s="293">
        <f t="shared" si="10"/>
        <v>29</v>
      </c>
      <c r="Q43" s="293">
        <f t="shared" si="10"/>
        <v>4</v>
      </c>
      <c r="R43" s="268">
        <f t="shared" si="10"/>
        <v>21</v>
      </c>
      <c r="S43" s="268">
        <f t="shared" si="10"/>
        <v>0</v>
      </c>
      <c r="T43" s="58">
        <f t="shared" si="10"/>
        <v>29</v>
      </c>
      <c r="U43" s="58">
        <f t="shared" si="10"/>
        <v>4</v>
      </c>
      <c r="V43" s="280">
        <f t="shared" si="10"/>
        <v>0</v>
      </c>
      <c r="W43" s="280">
        <f t="shared" si="10"/>
        <v>0</v>
      </c>
      <c r="X43" s="281">
        <f t="shared" si="10"/>
        <v>0</v>
      </c>
      <c r="Y43" s="281">
        <f t="shared" si="10"/>
        <v>0</v>
      </c>
      <c r="Z43" s="283">
        <f t="shared" si="10"/>
        <v>29</v>
      </c>
      <c r="AA43" s="283">
        <f t="shared" si="10"/>
        <v>4</v>
      </c>
      <c r="AB43" s="284">
        <f t="shared" si="10"/>
        <v>29</v>
      </c>
      <c r="AC43" s="284">
        <f t="shared" si="10"/>
        <v>4</v>
      </c>
      <c r="AD43" s="58">
        <f t="shared" si="10"/>
        <v>29</v>
      </c>
      <c r="AE43" s="254">
        <f t="shared" si="10"/>
        <v>4</v>
      </c>
      <c r="AF43" s="58">
        <f t="shared" si="10"/>
        <v>29</v>
      </c>
      <c r="AG43" s="256">
        <f t="shared" si="10"/>
        <v>4</v>
      </c>
      <c r="AH43" s="58">
        <f t="shared" si="10"/>
        <v>29</v>
      </c>
      <c r="AI43" s="58">
        <f t="shared" si="10"/>
        <v>4</v>
      </c>
      <c r="AJ43" s="274">
        <f t="shared" ref="AJ43:BK43" si="11">AJ3+AJ10+AJ26</f>
        <v>0</v>
      </c>
      <c r="AK43" s="274">
        <f t="shared" si="11"/>
        <v>0</v>
      </c>
      <c r="AL43" s="296">
        <f t="shared" si="11"/>
        <v>0</v>
      </c>
      <c r="AM43" s="296">
        <f t="shared" si="11"/>
        <v>0</v>
      </c>
      <c r="AN43" s="286">
        <f>AN3+AN10+AN26</f>
        <v>29</v>
      </c>
      <c r="AO43" s="286">
        <f>AO3+AO10+AO26</f>
        <v>4</v>
      </c>
      <c r="AP43" s="296">
        <f t="shared" si="11"/>
        <v>29</v>
      </c>
      <c r="AQ43" s="296">
        <f t="shared" si="11"/>
        <v>4</v>
      </c>
      <c r="AR43" s="287">
        <f t="shared" si="11"/>
        <v>0</v>
      </c>
      <c r="AS43" s="287">
        <f t="shared" si="11"/>
        <v>0</v>
      </c>
      <c r="AT43" s="288">
        <f t="shared" si="11"/>
        <v>29</v>
      </c>
      <c r="AU43" s="288">
        <f t="shared" si="11"/>
        <v>4</v>
      </c>
      <c r="AV43" s="289">
        <f t="shared" si="11"/>
        <v>29</v>
      </c>
      <c r="AW43" s="289">
        <f t="shared" si="11"/>
        <v>4</v>
      </c>
      <c r="AX43" s="290">
        <f t="shared" si="11"/>
        <v>0</v>
      </c>
      <c r="AY43" s="290">
        <f t="shared" si="11"/>
        <v>0</v>
      </c>
      <c r="AZ43" s="58">
        <f t="shared" si="11"/>
        <v>0</v>
      </c>
      <c r="BA43" s="259">
        <f t="shared" si="11"/>
        <v>0</v>
      </c>
      <c r="BB43" s="260">
        <f t="shared" si="11"/>
        <v>29</v>
      </c>
      <c r="BC43" s="260">
        <f t="shared" si="11"/>
        <v>4</v>
      </c>
      <c r="BD43" s="275">
        <f t="shared" si="11"/>
        <v>29</v>
      </c>
      <c r="BE43" s="275">
        <f t="shared" si="11"/>
        <v>4</v>
      </c>
      <c r="BF43" s="261">
        <f t="shared" si="11"/>
        <v>29</v>
      </c>
      <c r="BG43" s="175">
        <f t="shared" si="11"/>
        <v>4</v>
      </c>
      <c r="BH43" s="276">
        <f t="shared" si="11"/>
        <v>30</v>
      </c>
      <c r="BI43" s="276">
        <f t="shared" si="11"/>
        <v>3</v>
      </c>
      <c r="BJ43" s="277">
        <f t="shared" si="11"/>
        <v>29</v>
      </c>
      <c r="BK43" s="277">
        <f t="shared" si="11"/>
        <v>4</v>
      </c>
      <c r="BL43" s="339">
        <f t="shared" ref="BL43:BM43" si="12">BL3+BL10+BL26</f>
        <v>0</v>
      </c>
      <c r="BM43" s="339">
        <f t="shared" si="12"/>
        <v>0</v>
      </c>
    </row>
    <row r="44" spans="1:69 16313:16313" x14ac:dyDescent="0.3">
      <c r="A44" t="s">
        <v>82</v>
      </c>
      <c r="C44" s="8"/>
      <c r="D44" s="58">
        <f t="shared" ref="D44:AI44" si="13">D6+D13+D29</f>
        <v>0</v>
      </c>
      <c r="E44" s="58">
        <f t="shared" si="13"/>
        <v>0</v>
      </c>
      <c r="F44" s="58">
        <f t="shared" si="13"/>
        <v>28</v>
      </c>
      <c r="G44" s="58">
        <f t="shared" si="13"/>
        <v>4</v>
      </c>
      <c r="H44" s="58">
        <f t="shared" si="13"/>
        <v>0</v>
      </c>
      <c r="I44" s="58">
        <f t="shared" si="13"/>
        <v>0</v>
      </c>
      <c r="J44" s="58">
        <f t="shared" si="13"/>
        <v>0</v>
      </c>
      <c r="K44" s="58">
        <f t="shared" si="13"/>
        <v>0</v>
      </c>
      <c r="L44" s="151">
        <f t="shared" si="13"/>
        <v>28</v>
      </c>
      <c r="M44" s="58">
        <f t="shared" si="13"/>
        <v>4</v>
      </c>
      <c r="N44" s="292">
        <f t="shared" si="13"/>
        <v>28</v>
      </c>
      <c r="O44" s="292">
        <f t="shared" si="13"/>
        <v>4</v>
      </c>
      <c r="P44" s="293">
        <f t="shared" si="13"/>
        <v>28</v>
      </c>
      <c r="Q44" s="293">
        <f t="shared" si="13"/>
        <v>4</v>
      </c>
      <c r="R44" s="268">
        <f t="shared" si="13"/>
        <v>19</v>
      </c>
      <c r="S44" s="268">
        <f t="shared" si="13"/>
        <v>2</v>
      </c>
      <c r="T44" s="58">
        <f t="shared" si="13"/>
        <v>28</v>
      </c>
      <c r="U44" s="58">
        <f t="shared" si="13"/>
        <v>4</v>
      </c>
      <c r="V44" s="280">
        <f t="shared" si="13"/>
        <v>0</v>
      </c>
      <c r="W44" s="280">
        <f t="shared" si="13"/>
        <v>0</v>
      </c>
      <c r="X44" s="281">
        <f t="shared" si="13"/>
        <v>0</v>
      </c>
      <c r="Y44" s="281">
        <f t="shared" si="13"/>
        <v>0</v>
      </c>
      <c r="Z44" s="283">
        <f t="shared" si="13"/>
        <v>28</v>
      </c>
      <c r="AA44" s="283">
        <f t="shared" si="13"/>
        <v>4</v>
      </c>
      <c r="AB44" s="284">
        <f t="shared" si="13"/>
        <v>28</v>
      </c>
      <c r="AC44" s="284">
        <f t="shared" si="13"/>
        <v>4</v>
      </c>
      <c r="AD44" s="58">
        <f t="shared" si="13"/>
        <v>28</v>
      </c>
      <c r="AE44" s="254">
        <f t="shared" si="13"/>
        <v>4</v>
      </c>
      <c r="AF44" s="58">
        <f t="shared" si="13"/>
        <v>28</v>
      </c>
      <c r="AG44" s="256">
        <f t="shared" si="13"/>
        <v>4</v>
      </c>
      <c r="AH44" s="58">
        <f t="shared" si="13"/>
        <v>28</v>
      </c>
      <c r="AI44" s="58">
        <f t="shared" si="13"/>
        <v>4</v>
      </c>
      <c r="AJ44" s="274">
        <f t="shared" ref="AJ44:BK44" si="14">AJ6+AJ13+AJ29</f>
        <v>0</v>
      </c>
      <c r="AK44" s="274">
        <f t="shared" si="14"/>
        <v>0</v>
      </c>
      <c r="AL44" s="296">
        <f t="shared" si="14"/>
        <v>0</v>
      </c>
      <c r="AM44" s="296">
        <f t="shared" si="14"/>
        <v>0</v>
      </c>
      <c r="AN44" s="286">
        <f>AN6+AN13+AN29</f>
        <v>28</v>
      </c>
      <c r="AO44" s="286">
        <f>AO6+AO13+AO29</f>
        <v>4</v>
      </c>
      <c r="AP44" s="296">
        <f t="shared" si="14"/>
        <v>28</v>
      </c>
      <c r="AQ44" s="296">
        <f t="shared" si="14"/>
        <v>4</v>
      </c>
      <c r="AR44" s="287">
        <f t="shared" si="14"/>
        <v>0</v>
      </c>
      <c r="AS44" s="287">
        <f t="shared" si="14"/>
        <v>0</v>
      </c>
      <c r="AT44" s="288">
        <f t="shared" si="14"/>
        <v>28</v>
      </c>
      <c r="AU44" s="288">
        <f t="shared" si="14"/>
        <v>4</v>
      </c>
      <c r="AV44" s="289">
        <f t="shared" si="14"/>
        <v>28</v>
      </c>
      <c r="AW44" s="289">
        <f t="shared" si="14"/>
        <v>4</v>
      </c>
      <c r="AX44" s="290">
        <f t="shared" si="14"/>
        <v>0</v>
      </c>
      <c r="AY44" s="290">
        <f t="shared" si="14"/>
        <v>0</v>
      </c>
      <c r="AZ44" s="58">
        <f t="shared" si="14"/>
        <v>0</v>
      </c>
      <c r="BA44" s="259">
        <f t="shared" si="14"/>
        <v>0</v>
      </c>
      <c r="BB44" s="116">
        <f t="shared" si="14"/>
        <v>28</v>
      </c>
      <c r="BC44" s="260">
        <f t="shared" si="14"/>
        <v>4</v>
      </c>
      <c r="BD44" s="275">
        <f t="shared" si="14"/>
        <v>28</v>
      </c>
      <c r="BE44" s="275">
        <f t="shared" si="14"/>
        <v>4</v>
      </c>
      <c r="BF44" s="175">
        <f t="shared" si="14"/>
        <v>28</v>
      </c>
      <c r="BG44" s="175">
        <f t="shared" si="14"/>
        <v>4</v>
      </c>
      <c r="BH44" s="276">
        <f t="shared" si="14"/>
        <v>29</v>
      </c>
      <c r="BI44" s="276">
        <f t="shared" si="14"/>
        <v>3</v>
      </c>
      <c r="BJ44" s="277">
        <f t="shared" si="14"/>
        <v>28</v>
      </c>
      <c r="BK44" s="277">
        <f t="shared" si="14"/>
        <v>4</v>
      </c>
      <c r="BL44" s="339">
        <f t="shared" ref="BL44:BM44" si="15">BL6+BL13+BL29</f>
        <v>0</v>
      </c>
      <c r="BM44" s="339">
        <f t="shared" si="15"/>
        <v>0</v>
      </c>
    </row>
    <row r="45" spans="1:69 16313:16313" s="125" customFormat="1" x14ac:dyDescent="0.3">
      <c r="A45" s="125" t="s">
        <v>122</v>
      </c>
      <c r="C45" s="8"/>
      <c r="D45" s="155">
        <f t="shared" ref="D45:AI45" si="16">D4+D11+D27</f>
        <v>0</v>
      </c>
      <c r="E45" s="155">
        <f t="shared" si="16"/>
        <v>0</v>
      </c>
      <c r="F45" s="155">
        <f t="shared" si="16"/>
        <v>0</v>
      </c>
      <c r="G45" s="155">
        <f t="shared" si="16"/>
        <v>0</v>
      </c>
      <c r="H45" s="155">
        <f t="shared" si="16"/>
        <v>0</v>
      </c>
      <c r="I45" s="155">
        <f t="shared" si="16"/>
        <v>0</v>
      </c>
      <c r="J45" s="155">
        <f t="shared" si="16"/>
        <v>0</v>
      </c>
      <c r="K45" s="155">
        <f t="shared" si="16"/>
        <v>0</v>
      </c>
      <c r="L45" s="155">
        <f t="shared" si="16"/>
        <v>0</v>
      </c>
      <c r="M45" s="155">
        <f t="shared" si="16"/>
        <v>0</v>
      </c>
      <c r="N45" s="292">
        <f t="shared" si="16"/>
        <v>0</v>
      </c>
      <c r="O45" s="292">
        <f t="shared" si="16"/>
        <v>0</v>
      </c>
      <c r="P45" s="293">
        <f t="shared" si="16"/>
        <v>0</v>
      </c>
      <c r="Q45" s="293">
        <f t="shared" si="16"/>
        <v>0</v>
      </c>
      <c r="R45" s="268">
        <f t="shared" si="16"/>
        <v>0</v>
      </c>
      <c r="S45" s="268">
        <f t="shared" si="16"/>
        <v>0</v>
      </c>
      <c r="T45" s="155">
        <f t="shared" si="16"/>
        <v>0</v>
      </c>
      <c r="U45" s="155">
        <f t="shared" si="16"/>
        <v>0</v>
      </c>
      <c r="V45" s="280">
        <f t="shared" si="16"/>
        <v>0</v>
      </c>
      <c r="W45" s="280">
        <f t="shared" si="16"/>
        <v>0</v>
      </c>
      <c r="X45" s="281">
        <f t="shared" si="16"/>
        <v>0</v>
      </c>
      <c r="Y45" s="281">
        <f t="shared" si="16"/>
        <v>0</v>
      </c>
      <c r="Z45" s="283">
        <f t="shared" si="16"/>
        <v>0</v>
      </c>
      <c r="AA45" s="283">
        <f t="shared" si="16"/>
        <v>0</v>
      </c>
      <c r="AB45" s="284">
        <f t="shared" si="16"/>
        <v>0</v>
      </c>
      <c r="AC45" s="284">
        <f t="shared" si="16"/>
        <v>0</v>
      </c>
      <c r="AD45" s="155">
        <f t="shared" si="16"/>
        <v>0</v>
      </c>
      <c r="AE45" s="254">
        <f t="shared" si="16"/>
        <v>0</v>
      </c>
      <c r="AF45" s="155">
        <f t="shared" si="16"/>
        <v>0</v>
      </c>
      <c r="AG45" s="256">
        <f t="shared" si="16"/>
        <v>0</v>
      </c>
      <c r="AH45" s="155">
        <f t="shared" si="16"/>
        <v>0</v>
      </c>
      <c r="AI45" s="155">
        <f t="shared" si="16"/>
        <v>0</v>
      </c>
      <c r="AJ45" s="274">
        <f t="shared" ref="AJ45:BK45" si="17">AJ4+AJ11+AJ27</f>
        <v>0</v>
      </c>
      <c r="AK45" s="274">
        <f t="shared" si="17"/>
        <v>0</v>
      </c>
      <c r="AL45" s="296">
        <f t="shared" si="17"/>
        <v>0</v>
      </c>
      <c r="AM45" s="296">
        <f t="shared" si="17"/>
        <v>0</v>
      </c>
      <c r="AN45" s="286">
        <f>AN4+AN11+AN27</f>
        <v>0</v>
      </c>
      <c r="AO45" s="286">
        <f>AO4+AO11+AO27</f>
        <v>0</v>
      </c>
      <c r="AP45" s="296">
        <f t="shared" si="17"/>
        <v>0</v>
      </c>
      <c r="AQ45" s="296">
        <f t="shared" si="17"/>
        <v>0</v>
      </c>
      <c r="AR45" s="287">
        <f t="shared" si="17"/>
        <v>0</v>
      </c>
      <c r="AS45" s="287">
        <f t="shared" si="17"/>
        <v>0</v>
      </c>
      <c r="AT45" s="288">
        <f t="shared" si="17"/>
        <v>0</v>
      </c>
      <c r="AU45" s="288">
        <f t="shared" si="17"/>
        <v>0</v>
      </c>
      <c r="AV45" s="289">
        <f t="shared" si="17"/>
        <v>0</v>
      </c>
      <c r="AW45" s="289">
        <f t="shared" si="17"/>
        <v>0</v>
      </c>
      <c r="AX45" s="290">
        <f t="shared" si="17"/>
        <v>0</v>
      </c>
      <c r="AY45" s="290">
        <f t="shared" si="17"/>
        <v>0</v>
      </c>
      <c r="AZ45" s="155">
        <f t="shared" si="17"/>
        <v>0</v>
      </c>
      <c r="BA45" s="259">
        <f t="shared" si="17"/>
        <v>0</v>
      </c>
      <c r="BB45" s="155">
        <f t="shared" si="17"/>
        <v>0</v>
      </c>
      <c r="BC45" s="260">
        <f t="shared" si="17"/>
        <v>0</v>
      </c>
      <c r="BD45" s="275">
        <f t="shared" si="17"/>
        <v>0</v>
      </c>
      <c r="BE45" s="275">
        <f t="shared" si="17"/>
        <v>0</v>
      </c>
      <c r="BF45" s="175">
        <f t="shared" si="17"/>
        <v>0</v>
      </c>
      <c r="BG45" s="175">
        <f t="shared" si="17"/>
        <v>0</v>
      </c>
      <c r="BH45" s="276">
        <f t="shared" si="17"/>
        <v>0</v>
      </c>
      <c r="BI45" s="276">
        <f t="shared" si="17"/>
        <v>0</v>
      </c>
      <c r="BJ45" s="277">
        <f t="shared" si="17"/>
        <v>0</v>
      </c>
      <c r="BK45" s="277">
        <f t="shared" si="17"/>
        <v>0</v>
      </c>
      <c r="BL45" s="339">
        <f t="shared" ref="BL45:BM45" si="18">BL4+BL11+BL27</f>
        <v>0</v>
      </c>
      <c r="BM45" s="339">
        <f t="shared" si="18"/>
        <v>0</v>
      </c>
    </row>
    <row r="46" spans="1:69 16313:16313" x14ac:dyDescent="0.3">
      <c r="A46" t="s">
        <v>35</v>
      </c>
      <c r="C46" s="8"/>
      <c r="D46" s="58">
        <f t="shared" ref="D46:AI46" si="19">D7+D14+D30</f>
        <v>0</v>
      </c>
      <c r="E46" s="58">
        <f t="shared" si="19"/>
        <v>0</v>
      </c>
      <c r="F46" s="58">
        <f t="shared" si="19"/>
        <v>1</v>
      </c>
      <c r="G46" s="58">
        <f t="shared" si="19"/>
        <v>0</v>
      </c>
      <c r="H46" s="58">
        <f t="shared" si="19"/>
        <v>0</v>
      </c>
      <c r="I46" s="58">
        <f t="shared" si="19"/>
        <v>0</v>
      </c>
      <c r="J46" s="58">
        <f t="shared" si="19"/>
        <v>0</v>
      </c>
      <c r="K46" s="58">
        <f t="shared" si="19"/>
        <v>0</v>
      </c>
      <c r="L46" s="151">
        <f t="shared" si="19"/>
        <v>1</v>
      </c>
      <c r="M46" s="58">
        <f t="shared" si="19"/>
        <v>0</v>
      </c>
      <c r="N46" s="292">
        <f t="shared" si="19"/>
        <v>1</v>
      </c>
      <c r="O46" s="292">
        <f t="shared" si="19"/>
        <v>0</v>
      </c>
      <c r="P46" s="293">
        <f t="shared" si="19"/>
        <v>1</v>
      </c>
      <c r="Q46" s="293">
        <f t="shared" si="19"/>
        <v>0</v>
      </c>
      <c r="R46" s="268">
        <f t="shared" si="19"/>
        <v>1</v>
      </c>
      <c r="S46" s="268">
        <f t="shared" si="19"/>
        <v>0</v>
      </c>
      <c r="T46" s="58">
        <f t="shared" si="19"/>
        <v>1</v>
      </c>
      <c r="U46" s="58">
        <f t="shared" si="19"/>
        <v>0</v>
      </c>
      <c r="V46" s="280">
        <f t="shared" si="19"/>
        <v>0</v>
      </c>
      <c r="W46" s="280">
        <f t="shared" si="19"/>
        <v>0</v>
      </c>
      <c r="X46" s="281">
        <f t="shared" si="19"/>
        <v>0</v>
      </c>
      <c r="Y46" s="281">
        <f t="shared" si="19"/>
        <v>0</v>
      </c>
      <c r="Z46" s="283">
        <f t="shared" si="19"/>
        <v>1</v>
      </c>
      <c r="AA46" s="283">
        <f t="shared" si="19"/>
        <v>0</v>
      </c>
      <c r="AB46" s="284">
        <f t="shared" si="19"/>
        <v>1</v>
      </c>
      <c r="AC46" s="284">
        <f t="shared" si="19"/>
        <v>0</v>
      </c>
      <c r="AD46" s="58">
        <f t="shared" si="19"/>
        <v>1</v>
      </c>
      <c r="AE46" s="254">
        <f t="shared" si="19"/>
        <v>0</v>
      </c>
      <c r="AF46" s="256">
        <f t="shared" si="19"/>
        <v>1</v>
      </c>
      <c r="AG46" s="256">
        <f t="shared" si="19"/>
        <v>0</v>
      </c>
      <c r="AH46" s="58">
        <f t="shared" si="19"/>
        <v>1</v>
      </c>
      <c r="AI46" s="58">
        <f t="shared" si="19"/>
        <v>0</v>
      </c>
      <c r="AJ46" s="274">
        <f t="shared" ref="AJ46:BK46" si="20">AJ7+AJ14+AJ30</f>
        <v>0</v>
      </c>
      <c r="AK46" s="274">
        <f t="shared" si="20"/>
        <v>0</v>
      </c>
      <c r="AL46" s="296">
        <f t="shared" si="20"/>
        <v>0</v>
      </c>
      <c r="AM46" s="296">
        <f t="shared" si="20"/>
        <v>0</v>
      </c>
      <c r="AN46" s="286">
        <f>AN7+AN14+AN30</f>
        <v>1</v>
      </c>
      <c r="AO46" s="286">
        <f>AO7+AO14+AO30</f>
        <v>0</v>
      </c>
      <c r="AP46" s="296">
        <f t="shared" si="20"/>
        <v>1</v>
      </c>
      <c r="AQ46" s="296">
        <f t="shared" si="20"/>
        <v>0</v>
      </c>
      <c r="AR46" s="287">
        <f t="shared" si="20"/>
        <v>0</v>
      </c>
      <c r="AS46" s="287">
        <f t="shared" si="20"/>
        <v>0</v>
      </c>
      <c r="AT46" s="288">
        <f t="shared" si="20"/>
        <v>1</v>
      </c>
      <c r="AU46" s="288">
        <f t="shared" si="20"/>
        <v>0</v>
      </c>
      <c r="AV46" s="289">
        <f t="shared" si="20"/>
        <v>1</v>
      </c>
      <c r="AW46" s="289">
        <f t="shared" si="20"/>
        <v>0</v>
      </c>
      <c r="AX46" s="290">
        <f t="shared" si="20"/>
        <v>0</v>
      </c>
      <c r="AY46" s="290">
        <f t="shared" si="20"/>
        <v>0</v>
      </c>
      <c r="AZ46" s="259">
        <f t="shared" si="20"/>
        <v>0</v>
      </c>
      <c r="BA46" s="259">
        <f t="shared" si="20"/>
        <v>0</v>
      </c>
      <c r="BB46" s="260">
        <f t="shared" si="20"/>
        <v>1</v>
      </c>
      <c r="BC46" s="260">
        <f t="shared" si="20"/>
        <v>0</v>
      </c>
      <c r="BD46" s="275">
        <f t="shared" si="20"/>
        <v>1</v>
      </c>
      <c r="BE46" s="275">
        <f t="shared" si="20"/>
        <v>0</v>
      </c>
      <c r="BF46" s="175">
        <f t="shared" si="20"/>
        <v>1</v>
      </c>
      <c r="BG46" s="175">
        <f t="shared" si="20"/>
        <v>0</v>
      </c>
      <c r="BH46" s="276">
        <f t="shared" si="20"/>
        <v>1</v>
      </c>
      <c r="BI46" s="276">
        <f t="shared" si="20"/>
        <v>0</v>
      </c>
      <c r="BJ46" s="277">
        <f t="shared" si="20"/>
        <v>1</v>
      </c>
      <c r="BK46" s="277">
        <f t="shared" si="20"/>
        <v>0</v>
      </c>
      <c r="BL46" s="339">
        <f t="shared" ref="BL46:BM46" si="21">BL7+BL14+BL30</f>
        <v>0</v>
      </c>
      <c r="BM46" s="339">
        <f t="shared" si="21"/>
        <v>0</v>
      </c>
    </row>
    <row r="47" spans="1:69 16313:16313" s="125" customFormat="1" x14ac:dyDescent="0.3">
      <c r="A47" s="125" t="s">
        <v>175</v>
      </c>
      <c r="C47" s="8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>
        <f>R16</f>
        <v>1</v>
      </c>
      <c r="S47" s="325">
        <f>S16</f>
        <v>3</v>
      </c>
      <c r="T47" s="325"/>
      <c r="U47" s="325"/>
      <c r="V47" s="325"/>
      <c r="W47" s="325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25"/>
      <c r="AI47" s="325"/>
      <c r="AJ47" s="325"/>
      <c r="AK47" s="325"/>
      <c r="AL47" s="325"/>
      <c r="AM47" s="325"/>
      <c r="AN47" s="325"/>
      <c r="AO47" s="325"/>
      <c r="AP47" s="325"/>
      <c r="AQ47" s="325"/>
      <c r="AR47" s="325"/>
      <c r="AS47" s="325"/>
      <c r="AT47" s="325"/>
      <c r="AU47" s="325"/>
      <c r="AV47" s="325"/>
      <c r="AW47" s="325"/>
      <c r="AX47" s="325"/>
      <c r="AY47" s="325"/>
      <c r="AZ47" s="325"/>
      <c r="BA47" s="325"/>
      <c r="BB47" s="325"/>
      <c r="BC47" s="325"/>
      <c r="BD47" s="325"/>
      <c r="BE47" s="325"/>
      <c r="BF47" s="325"/>
      <c r="BG47" s="325"/>
      <c r="BH47" s="325"/>
      <c r="BI47" s="325"/>
      <c r="BJ47" s="325"/>
      <c r="BK47" s="325"/>
      <c r="BL47" s="334"/>
      <c r="BM47" s="334"/>
    </row>
    <row r="48" spans="1:69 16313:16313" s="125" customFormat="1" x14ac:dyDescent="0.3">
      <c r="A48" s="125" t="s">
        <v>176</v>
      </c>
      <c r="C48" s="8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>
        <f t="shared" ref="R48:S48" si="22">R17</f>
        <v>2</v>
      </c>
      <c r="S48" s="325">
        <f t="shared" si="22"/>
        <v>1</v>
      </c>
      <c r="T48" s="325"/>
      <c r="U48" s="325"/>
      <c r="V48" s="325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  <c r="AM48" s="325"/>
      <c r="AN48" s="325"/>
      <c r="AO48" s="325"/>
      <c r="AP48" s="325"/>
      <c r="AQ48" s="325"/>
      <c r="AR48" s="325"/>
      <c r="AS48" s="325"/>
      <c r="AT48" s="325"/>
      <c r="AU48" s="325"/>
      <c r="AV48" s="325"/>
      <c r="AW48" s="325"/>
      <c r="AX48" s="325"/>
      <c r="AY48" s="325"/>
      <c r="AZ48" s="325"/>
      <c r="BA48" s="325"/>
      <c r="BB48" s="325"/>
      <c r="BC48" s="325"/>
      <c r="BD48" s="325"/>
      <c r="BE48" s="325"/>
      <c r="BF48" s="325"/>
      <c r="BG48" s="325"/>
      <c r="BH48" s="325"/>
      <c r="BI48" s="325"/>
      <c r="BJ48" s="325"/>
      <c r="BK48" s="325"/>
      <c r="BL48" s="334"/>
      <c r="BM48" s="334"/>
    </row>
    <row r="49" spans="1:65" s="125" customFormat="1" x14ac:dyDescent="0.3">
      <c r="A49" s="125" t="s">
        <v>177</v>
      </c>
      <c r="C49" s="8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>
        <f t="shared" ref="R49:S49" si="23">R18</f>
        <v>0</v>
      </c>
      <c r="S49" s="325">
        <f t="shared" si="23"/>
        <v>5</v>
      </c>
      <c r="T49" s="325"/>
      <c r="U49" s="325"/>
      <c r="V49" s="325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5"/>
      <c r="AR49" s="325"/>
      <c r="AS49" s="325"/>
      <c r="AT49" s="325"/>
      <c r="AU49" s="325"/>
      <c r="AV49" s="325"/>
      <c r="AW49" s="325"/>
      <c r="AX49" s="325"/>
      <c r="AY49" s="325"/>
      <c r="AZ49" s="325"/>
      <c r="BA49" s="325"/>
      <c r="BB49" s="325"/>
      <c r="BC49" s="325"/>
      <c r="BD49" s="325"/>
      <c r="BE49" s="325"/>
      <c r="BF49" s="325"/>
      <c r="BG49" s="325"/>
      <c r="BH49" s="325"/>
      <c r="BI49" s="325"/>
      <c r="BJ49" s="325"/>
      <c r="BK49" s="325"/>
      <c r="BL49" s="334"/>
      <c r="BM49" s="334"/>
    </row>
    <row r="50" spans="1:65" s="125" customFormat="1" x14ac:dyDescent="0.3">
      <c r="A50" s="125" t="s">
        <v>178</v>
      </c>
      <c r="C50" s="8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325">
        <f>R19</f>
        <v>3</v>
      </c>
      <c r="S50" s="325">
        <f>S19</f>
        <v>2</v>
      </c>
      <c r="T50" s="294"/>
      <c r="U50" s="294"/>
      <c r="V50" s="294"/>
      <c r="W50" s="294"/>
      <c r="X50" s="294"/>
      <c r="Y50" s="294"/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  <c r="AN50" s="294"/>
      <c r="AO50" s="294"/>
      <c r="AP50" s="294"/>
      <c r="AQ50" s="294"/>
      <c r="AR50" s="294"/>
      <c r="AS50" s="294"/>
      <c r="AT50" s="294"/>
      <c r="AU50" s="294"/>
      <c r="AV50" s="294"/>
      <c r="AW50" s="294"/>
      <c r="AX50" s="294"/>
      <c r="AY50" s="294"/>
      <c r="AZ50" s="294"/>
      <c r="BA50" s="294"/>
      <c r="BB50" s="294"/>
      <c r="BC50" s="294"/>
      <c r="BD50" s="294"/>
      <c r="BE50" s="294"/>
      <c r="BF50" s="294"/>
      <c r="BG50" s="294"/>
      <c r="BH50" s="294"/>
      <c r="BI50" s="294"/>
      <c r="BJ50" s="294"/>
      <c r="BK50" s="294"/>
      <c r="BL50" s="334"/>
      <c r="BM50" s="334"/>
    </row>
    <row r="51" spans="1:65" s="125" customFormat="1" x14ac:dyDescent="0.3">
      <c r="A51" s="125" t="s">
        <v>184</v>
      </c>
      <c r="C51" s="8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>
        <f>R20</f>
        <v>1</v>
      </c>
      <c r="S51" s="325">
        <f>S20</f>
        <v>1</v>
      </c>
      <c r="T51" s="325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  <c r="AV51" s="325"/>
      <c r="AW51" s="325"/>
      <c r="AX51" s="325"/>
      <c r="AY51" s="325"/>
      <c r="AZ51" s="325"/>
      <c r="BA51" s="325"/>
      <c r="BB51" s="325"/>
      <c r="BC51" s="325"/>
      <c r="BD51" s="325"/>
      <c r="BE51" s="325"/>
      <c r="BF51" s="325"/>
      <c r="BG51" s="325"/>
      <c r="BH51" s="325"/>
      <c r="BI51" s="325"/>
      <c r="BJ51" s="325"/>
      <c r="BK51" s="325"/>
      <c r="BL51" s="334"/>
      <c r="BM51" s="334"/>
    </row>
    <row r="52" spans="1:65" s="125" customFormat="1" x14ac:dyDescent="0.3">
      <c r="A52" s="125" t="s">
        <v>257</v>
      </c>
      <c r="C52" s="8"/>
      <c r="D52" s="345"/>
      <c r="E52" s="345"/>
      <c r="F52" s="345"/>
      <c r="G52" s="345"/>
      <c r="H52" s="345"/>
      <c r="I52" s="345"/>
      <c r="J52" s="345"/>
      <c r="K52" s="345"/>
      <c r="L52" s="345"/>
      <c r="M52" s="345"/>
      <c r="N52" s="345"/>
      <c r="O52" s="345"/>
      <c r="P52" s="345"/>
      <c r="Q52" s="345"/>
      <c r="R52" s="345">
        <f t="shared" ref="R52:S52" si="24">R21</f>
        <v>1</v>
      </c>
      <c r="S52" s="345">
        <f t="shared" si="24"/>
        <v>0</v>
      </c>
      <c r="T52" s="345"/>
      <c r="U52" s="345"/>
      <c r="V52" s="345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5"/>
      <c r="AH52" s="345"/>
      <c r="AI52" s="345"/>
      <c r="AJ52" s="345"/>
      <c r="AK52" s="345"/>
      <c r="AL52" s="345"/>
      <c r="AM52" s="345"/>
      <c r="AN52" s="345"/>
      <c r="AO52" s="345"/>
      <c r="AP52" s="345"/>
      <c r="AQ52" s="345"/>
      <c r="AR52" s="345"/>
      <c r="AS52" s="345"/>
      <c r="AT52" s="345"/>
      <c r="AU52" s="345"/>
      <c r="AV52" s="345"/>
      <c r="AW52" s="345"/>
      <c r="AX52" s="345"/>
      <c r="AY52" s="345"/>
      <c r="AZ52" s="345"/>
      <c r="BA52" s="345"/>
      <c r="BB52" s="345"/>
      <c r="BC52" s="345"/>
      <c r="BD52" s="345"/>
      <c r="BE52" s="345"/>
      <c r="BF52" s="345"/>
      <c r="BG52" s="345"/>
      <c r="BH52" s="345"/>
      <c r="BI52" s="345"/>
      <c r="BJ52" s="345"/>
      <c r="BK52" s="345"/>
      <c r="BL52" s="345"/>
      <c r="BM52" s="345"/>
    </row>
    <row r="53" spans="1:65" s="125" customFormat="1" x14ac:dyDescent="0.3">
      <c r="A53" s="125" t="s">
        <v>258</v>
      </c>
      <c r="C53" s="8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>
        <f>R22</f>
        <v>1</v>
      </c>
      <c r="S53" s="345">
        <f t="shared" ref="R53:S53" si="25">S22</f>
        <v>0</v>
      </c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5"/>
      <c r="AU53" s="345"/>
      <c r="AV53" s="345"/>
      <c r="AW53" s="345"/>
      <c r="AX53" s="345"/>
      <c r="AY53" s="345"/>
      <c r="AZ53" s="345"/>
      <c r="BA53" s="345"/>
      <c r="BB53" s="345"/>
      <c r="BC53" s="345"/>
      <c r="BD53" s="345"/>
      <c r="BE53" s="345"/>
      <c r="BF53" s="345"/>
      <c r="BG53" s="345"/>
      <c r="BH53" s="345"/>
      <c r="BI53" s="345"/>
      <c r="BJ53" s="345"/>
      <c r="BK53" s="345"/>
      <c r="BL53" s="345"/>
      <c r="BM53" s="345"/>
    </row>
    <row r="54" spans="1:65" s="125" customFormat="1" x14ac:dyDescent="0.3">
      <c r="A54" s="125" t="s">
        <v>271</v>
      </c>
      <c r="C54" s="8"/>
      <c r="D54" s="345"/>
      <c r="E54" s="345"/>
      <c r="F54" s="345"/>
      <c r="G54" s="345"/>
      <c r="H54" s="345"/>
      <c r="I54" s="345"/>
      <c r="J54" s="345"/>
      <c r="K54" s="345"/>
      <c r="L54" s="345"/>
      <c r="M54" s="345"/>
      <c r="N54" s="345"/>
      <c r="O54" s="345"/>
      <c r="P54" s="345"/>
      <c r="Q54" s="345"/>
      <c r="R54" s="345">
        <f t="shared" ref="R54:S54" si="26">R23</f>
        <v>0</v>
      </c>
      <c r="S54" s="345">
        <f t="shared" si="26"/>
        <v>1</v>
      </c>
      <c r="T54" s="345"/>
      <c r="U54" s="345"/>
      <c r="V54" s="345"/>
      <c r="W54" s="345"/>
      <c r="X54" s="345"/>
      <c r="Y54" s="345"/>
      <c r="Z54" s="345"/>
      <c r="AA54" s="345"/>
      <c r="AB54" s="345"/>
      <c r="AC54" s="345"/>
      <c r="AD54" s="345"/>
      <c r="AE54" s="345"/>
      <c r="AF54" s="345"/>
      <c r="AG54" s="345"/>
      <c r="AH54" s="345"/>
      <c r="AI54" s="345"/>
      <c r="AJ54" s="345"/>
      <c r="AK54" s="345"/>
      <c r="AL54" s="345"/>
      <c r="AM54" s="345"/>
      <c r="AN54" s="345"/>
      <c r="AO54" s="345"/>
      <c r="AP54" s="345"/>
      <c r="AQ54" s="345"/>
      <c r="AR54" s="345"/>
      <c r="AS54" s="345"/>
      <c r="AT54" s="345"/>
      <c r="AU54" s="345"/>
      <c r="AV54" s="345"/>
      <c r="AW54" s="345"/>
      <c r="AX54" s="345"/>
      <c r="AY54" s="345"/>
      <c r="AZ54" s="345"/>
      <c r="BA54" s="345"/>
      <c r="BB54" s="345"/>
      <c r="BC54" s="345"/>
      <c r="BD54" s="345"/>
      <c r="BE54" s="345"/>
      <c r="BF54" s="345"/>
      <c r="BG54" s="345"/>
      <c r="BH54" s="345"/>
      <c r="BI54" s="345"/>
      <c r="BJ54" s="345"/>
      <c r="BK54" s="345"/>
      <c r="BL54" s="345"/>
      <c r="BM54" s="345"/>
    </row>
    <row r="55" spans="1:65" s="125" customFormat="1" x14ac:dyDescent="0.3">
      <c r="A55" s="125" t="s">
        <v>260</v>
      </c>
      <c r="C55" s="8"/>
      <c r="D55" s="345"/>
      <c r="E55" s="345"/>
      <c r="F55" s="345"/>
      <c r="G55" s="345"/>
      <c r="H55" s="345"/>
      <c r="I55" s="345"/>
      <c r="J55" s="345"/>
      <c r="K55" s="345"/>
      <c r="L55" s="345"/>
      <c r="M55" s="345"/>
      <c r="N55" s="345"/>
      <c r="O55" s="345"/>
      <c r="P55" s="345"/>
      <c r="Q55" s="345"/>
      <c r="R55" s="345">
        <f t="shared" ref="R55:S55" si="27">R24</f>
        <v>0</v>
      </c>
      <c r="S55" s="345">
        <f t="shared" si="27"/>
        <v>1</v>
      </c>
      <c r="T55" s="345"/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5"/>
      <c r="AY55" s="345"/>
      <c r="AZ55" s="345"/>
      <c r="BA55" s="345"/>
      <c r="BB55" s="345"/>
      <c r="BC55" s="345"/>
      <c r="BD55" s="345"/>
      <c r="BE55" s="345"/>
      <c r="BF55" s="345"/>
      <c r="BG55" s="345"/>
      <c r="BH55" s="345"/>
      <c r="BI55" s="345"/>
      <c r="BJ55" s="345"/>
      <c r="BK55" s="345"/>
      <c r="BL55" s="345"/>
      <c r="BM55" s="345"/>
    </row>
    <row r="56" spans="1:65" x14ac:dyDescent="0.3">
      <c r="A56" s="382" t="s">
        <v>83</v>
      </c>
      <c r="B56" s="382"/>
      <c r="C56" s="8"/>
      <c r="D56" s="150">
        <f t="shared" ref="D56:Q56" si="28">SUM(D41:D46)</f>
        <v>108</v>
      </c>
      <c r="E56" s="240">
        <f t="shared" si="28"/>
        <v>3</v>
      </c>
      <c r="F56" s="240">
        <f t="shared" si="28"/>
        <v>150</v>
      </c>
      <c r="G56" s="240">
        <f t="shared" si="28"/>
        <v>73</v>
      </c>
      <c r="H56" s="240">
        <f t="shared" si="28"/>
        <v>144</v>
      </c>
      <c r="I56" s="240">
        <f t="shared" si="28"/>
        <v>3</v>
      </c>
      <c r="J56" s="240">
        <f t="shared" si="28"/>
        <v>108</v>
      </c>
      <c r="K56" s="240">
        <f t="shared" si="28"/>
        <v>3</v>
      </c>
      <c r="L56" s="240">
        <f t="shared" si="28"/>
        <v>150</v>
      </c>
      <c r="M56" s="240">
        <f t="shared" si="28"/>
        <v>73</v>
      </c>
      <c r="N56" s="240">
        <f t="shared" si="28"/>
        <v>150</v>
      </c>
      <c r="O56" s="240">
        <f t="shared" si="28"/>
        <v>73</v>
      </c>
      <c r="P56" s="240">
        <f t="shared" si="28"/>
        <v>150</v>
      </c>
      <c r="Q56" s="240">
        <f t="shared" si="28"/>
        <v>73</v>
      </c>
      <c r="R56" s="240">
        <f>SUM(R41:R51)</f>
        <v>107</v>
      </c>
      <c r="S56" s="325">
        <f>SUM(S41:S51)</f>
        <v>66</v>
      </c>
      <c r="T56" s="240">
        <f t="shared" ref="T56:AI56" si="29">SUM(T41:T46)</f>
        <v>150</v>
      </c>
      <c r="U56" s="240">
        <f t="shared" si="29"/>
        <v>73</v>
      </c>
      <c r="V56" s="270">
        <f t="shared" si="29"/>
        <v>144</v>
      </c>
      <c r="W56" s="270">
        <f t="shared" si="29"/>
        <v>3</v>
      </c>
      <c r="X56" s="240">
        <f t="shared" si="29"/>
        <v>108</v>
      </c>
      <c r="Y56" s="240">
        <f t="shared" si="29"/>
        <v>3</v>
      </c>
      <c r="Z56" s="240">
        <f t="shared" si="29"/>
        <v>150</v>
      </c>
      <c r="AA56" s="240">
        <f t="shared" si="29"/>
        <v>73</v>
      </c>
      <c r="AB56" s="240">
        <f t="shared" si="29"/>
        <v>152</v>
      </c>
      <c r="AC56" s="240">
        <f t="shared" si="29"/>
        <v>71</v>
      </c>
      <c r="AD56" s="240">
        <f t="shared" si="29"/>
        <v>150</v>
      </c>
      <c r="AE56" s="240">
        <f t="shared" si="29"/>
        <v>73</v>
      </c>
      <c r="AF56" s="240">
        <f t="shared" si="29"/>
        <v>150</v>
      </c>
      <c r="AG56" s="240">
        <f t="shared" si="29"/>
        <v>73</v>
      </c>
      <c r="AH56" s="240">
        <f t="shared" si="29"/>
        <v>152</v>
      </c>
      <c r="AI56" s="240">
        <f t="shared" si="29"/>
        <v>71</v>
      </c>
      <c r="AJ56" s="240">
        <f t="shared" ref="AJ56:BM56" si="30">SUM(AJ41:AJ46)</f>
        <v>144</v>
      </c>
      <c r="AK56" s="240">
        <f t="shared" si="30"/>
        <v>3</v>
      </c>
      <c r="AL56" s="240">
        <f t="shared" si="30"/>
        <v>108</v>
      </c>
      <c r="AM56" s="240">
        <f t="shared" si="30"/>
        <v>3</v>
      </c>
      <c r="AN56" s="240">
        <f t="shared" si="30"/>
        <v>145</v>
      </c>
      <c r="AO56" s="240">
        <f t="shared" si="30"/>
        <v>78</v>
      </c>
      <c r="AP56" s="240">
        <f t="shared" si="30"/>
        <v>152</v>
      </c>
      <c r="AQ56" s="240">
        <f t="shared" si="30"/>
        <v>71</v>
      </c>
      <c r="AR56" s="240">
        <f t="shared" si="30"/>
        <v>104</v>
      </c>
      <c r="AS56" s="240">
        <f t="shared" si="30"/>
        <v>7</v>
      </c>
      <c r="AT56" s="240">
        <f t="shared" si="30"/>
        <v>150</v>
      </c>
      <c r="AU56" s="240">
        <f t="shared" si="30"/>
        <v>73</v>
      </c>
      <c r="AV56" s="240">
        <f t="shared" si="30"/>
        <v>150</v>
      </c>
      <c r="AW56" s="240">
        <f t="shared" si="30"/>
        <v>73</v>
      </c>
      <c r="AX56" s="240">
        <f t="shared" si="30"/>
        <v>144</v>
      </c>
      <c r="AY56" s="288">
        <f t="shared" si="30"/>
        <v>3</v>
      </c>
      <c r="AZ56" s="288">
        <f t="shared" si="30"/>
        <v>108</v>
      </c>
      <c r="BA56" s="288">
        <f t="shared" si="30"/>
        <v>3</v>
      </c>
      <c r="BB56" s="288">
        <f t="shared" si="30"/>
        <v>154</v>
      </c>
      <c r="BC56" s="288">
        <f t="shared" si="30"/>
        <v>69</v>
      </c>
      <c r="BD56" s="288">
        <f t="shared" si="30"/>
        <v>152</v>
      </c>
      <c r="BE56" s="288">
        <f t="shared" si="30"/>
        <v>71</v>
      </c>
      <c r="BF56" s="288">
        <f t="shared" si="30"/>
        <v>152</v>
      </c>
      <c r="BG56" s="288">
        <f t="shared" si="30"/>
        <v>71</v>
      </c>
      <c r="BH56" s="240">
        <f t="shared" si="30"/>
        <v>152</v>
      </c>
      <c r="BI56" s="240">
        <f t="shared" si="30"/>
        <v>71</v>
      </c>
      <c r="BJ56" s="240">
        <f t="shared" si="30"/>
        <v>150</v>
      </c>
      <c r="BK56" s="240">
        <f t="shared" si="30"/>
        <v>73</v>
      </c>
      <c r="BL56" s="339">
        <f t="shared" si="30"/>
        <v>144</v>
      </c>
      <c r="BM56" s="339">
        <f t="shared" si="30"/>
        <v>3</v>
      </c>
    </row>
    <row r="57" spans="1:65" x14ac:dyDescent="0.3">
      <c r="C57" s="8"/>
      <c r="L57" s="125"/>
      <c r="AR57" s="55"/>
      <c r="AS57" s="55"/>
      <c r="AT57" s="55"/>
      <c r="AU57" s="55"/>
      <c r="AV57" s="55"/>
      <c r="AW57" s="55"/>
      <c r="AX57" s="55"/>
      <c r="AY57" s="55"/>
      <c r="AZ57" s="55"/>
      <c r="BB57" s="55"/>
      <c r="BD57" s="55"/>
      <c r="BH57" s="55"/>
      <c r="BI57" s="55"/>
      <c r="BJ57" s="55"/>
      <c r="BK57" s="55"/>
      <c r="BL57" s="55"/>
      <c r="BM57" s="55"/>
    </row>
    <row r="58" spans="1:65" x14ac:dyDescent="0.3">
      <c r="A58" s="57" t="s">
        <v>84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9"/>
      <c r="AS58" s="59"/>
      <c r="AT58" s="59"/>
      <c r="AU58" s="59"/>
      <c r="AV58" s="59"/>
      <c r="AW58" s="59"/>
      <c r="AX58" s="59"/>
      <c r="AY58" s="59"/>
      <c r="AZ58" s="59"/>
      <c r="BA58" s="57"/>
      <c r="BB58" s="59"/>
      <c r="BC58" s="57"/>
      <c r="BD58" s="59"/>
      <c r="BE58" s="57"/>
      <c r="BF58" s="57"/>
      <c r="BG58" s="57"/>
      <c r="BH58" s="59"/>
      <c r="BI58" s="59"/>
      <c r="BJ58" s="59"/>
      <c r="BK58" s="59"/>
      <c r="BL58" s="59"/>
      <c r="BM58" s="59"/>
    </row>
    <row r="59" spans="1:65" x14ac:dyDescent="0.3">
      <c r="A59" t="s">
        <v>79</v>
      </c>
      <c r="C59" s="8"/>
      <c r="D59" s="58">
        <f>D5+E5+D12+E12+D28+E28</f>
        <v>54</v>
      </c>
      <c r="E59" s="58"/>
      <c r="F59" s="58">
        <f>F5+G5+F12+G12+F28+G28</f>
        <v>79</v>
      </c>
      <c r="G59" s="58"/>
      <c r="H59" s="58">
        <f>H5+I5+H12+I12+H28+I28</f>
        <v>72</v>
      </c>
      <c r="I59" s="58"/>
      <c r="J59" s="58">
        <f>J5+K5+J12+K12+J28+K28</f>
        <v>54</v>
      </c>
      <c r="K59" s="58"/>
      <c r="L59" s="151">
        <f>L5+M5+L12+M12+L28+M28</f>
        <v>79</v>
      </c>
      <c r="M59" s="292"/>
      <c r="N59" s="292">
        <f>N5+O5+N12+O12+N28+O28</f>
        <v>79</v>
      </c>
      <c r="O59" s="293"/>
      <c r="P59" s="293">
        <f>P5+Q5+P12+Q12+P28+Q28</f>
        <v>79</v>
      </c>
      <c r="Q59" s="268"/>
      <c r="R59" s="268">
        <f>R5+S5+R12+S12+R28+S28</f>
        <v>55</v>
      </c>
      <c r="S59" s="58"/>
      <c r="T59" s="58">
        <f>T5+U5+T12+U12+T28+U28</f>
        <v>79</v>
      </c>
      <c r="U59" s="280"/>
      <c r="V59" s="280">
        <f>V5+W5+V12+W12+V28+W28</f>
        <v>72</v>
      </c>
      <c r="W59" s="281"/>
      <c r="X59" s="281">
        <f>X5+Y5+X12+Y12+X28+Y28</f>
        <v>54</v>
      </c>
      <c r="Y59" s="283"/>
      <c r="Z59" s="283">
        <f>Z5+AA5+Z12+AA12+Z28+AA28</f>
        <v>79</v>
      </c>
      <c r="AA59" s="284"/>
      <c r="AB59" s="284">
        <f>AB5+AC5+AB12+AC12+AB28+AC28</f>
        <v>79</v>
      </c>
      <c r="AC59" s="58"/>
      <c r="AD59" s="58">
        <f>AD5+AE5+AD12+AE12+AD28+AE28</f>
        <v>79</v>
      </c>
      <c r="AE59" s="58"/>
      <c r="AF59" s="58">
        <f>AF5+AG5+AF12+AG12+AF28+AG28</f>
        <v>79</v>
      </c>
      <c r="AG59" s="58"/>
      <c r="AH59" s="58">
        <f>AH5+AI5+AH12+AI12+AH28+AI28</f>
        <v>79</v>
      </c>
      <c r="AI59" s="274"/>
      <c r="AJ59" s="274">
        <f>AJ5+AK5+AJ12+AK12+AJ28+AK28</f>
        <v>72</v>
      </c>
      <c r="AK59" s="285"/>
      <c r="AL59" s="295">
        <f>AL5+AM5+AL12+AM12+AL28+AM28</f>
        <v>54</v>
      </c>
      <c r="AM59" s="286"/>
      <c r="AN59" s="286">
        <f>AN5+AO5+AN12+AO12+AN28+AO28</f>
        <v>79</v>
      </c>
      <c r="AO59" s="296"/>
      <c r="AP59" s="296">
        <f>AP5+AQ5+AP12+AQ12+AP28+AQ28</f>
        <v>79</v>
      </c>
      <c r="AQ59" s="287"/>
      <c r="AR59" s="287">
        <f>AR5+AS5+AR12+AS12+AR28+AS28</f>
        <v>54</v>
      </c>
      <c r="AS59" s="288"/>
      <c r="AT59" s="288">
        <f>AT5+AU5+AT12+AU12+AT28+AU28</f>
        <v>79</v>
      </c>
      <c r="AU59" s="289"/>
      <c r="AV59" s="289">
        <f>AV5+AW5+AV12+AW12+AV28+AW28</f>
        <v>79</v>
      </c>
      <c r="AW59" s="290"/>
      <c r="AX59" s="290">
        <f>AX5+AY5+AX12+AY12+AX28+AY28</f>
        <v>72</v>
      </c>
      <c r="AY59" s="58"/>
      <c r="AZ59" s="58">
        <f>AZ5+BA5+AZ12+BA12+AZ28+BA28</f>
        <v>54</v>
      </c>
      <c r="BA59" s="58"/>
      <c r="BB59" s="116">
        <f>BB5+BC5+BB12+BC12+BB28+BC28</f>
        <v>79</v>
      </c>
      <c r="BC59" s="275"/>
      <c r="BD59" s="275">
        <f>BD5+BE5+BD12+BE12+BD28+BE28</f>
        <v>79</v>
      </c>
      <c r="BE59" s="116"/>
      <c r="BF59" s="58">
        <f>BF5+BG5+BF12+BG12+BF28+BG28</f>
        <v>79</v>
      </c>
      <c r="BG59" s="276"/>
      <c r="BH59" s="276">
        <f>BH5+BI5+BH12+BI12+BH28+BI28</f>
        <v>79</v>
      </c>
      <c r="BI59" s="277"/>
      <c r="BJ59" s="277">
        <f>BJ5+BK5+BJ12+BK12+BJ28+BK28</f>
        <v>79</v>
      </c>
      <c r="BK59" s="339"/>
      <c r="BL59" s="339">
        <f t="shared" ref="BL59" si="31">BL5+BM5+BL12+BM12+BL28+BM28</f>
        <v>72</v>
      </c>
      <c r="BM59" s="339"/>
    </row>
    <row r="60" spans="1:65" x14ac:dyDescent="0.3">
      <c r="A60" t="s">
        <v>80</v>
      </c>
      <c r="C60" s="8"/>
      <c r="D60" s="58">
        <f>D8+E8+D15+E15+D31+E31</f>
        <v>57</v>
      </c>
      <c r="E60" s="58"/>
      <c r="F60" s="58">
        <f>F8+G8+F15+G15+F31+G31</f>
        <v>78</v>
      </c>
      <c r="G60" s="58"/>
      <c r="H60" s="58">
        <f>H8+I8+H15+I15+H31+I31</f>
        <v>75</v>
      </c>
      <c r="I60" s="58"/>
      <c r="J60" s="58">
        <f>J8+K8+J15+K15+J31+K31</f>
        <v>57</v>
      </c>
      <c r="K60" s="58"/>
      <c r="L60" s="58">
        <f>L8+M8+L15+M15+L31+M31</f>
        <v>78</v>
      </c>
      <c r="M60" s="292"/>
      <c r="N60" s="292">
        <f>N8+O8+N15+O15+N31+O31</f>
        <v>78</v>
      </c>
      <c r="O60" s="293"/>
      <c r="P60" s="293">
        <f>P8+Q8+P15+Q15+P31+Q31</f>
        <v>78</v>
      </c>
      <c r="Q60" s="268"/>
      <c r="R60" s="268">
        <f>R8+S8+R15+S15+R31+S31</f>
        <v>56</v>
      </c>
      <c r="S60" s="58"/>
      <c r="T60" s="58">
        <f>T8+U8+T15+U15+T31+U31</f>
        <v>78</v>
      </c>
      <c r="U60" s="280"/>
      <c r="V60" s="280">
        <f>V8+W8+V15+W15+V31+W31</f>
        <v>75</v>
      </c>
      <c r="W60" s="281"/>
      <c r="X60" s="281">
        <f>X8+Y8+X15+Y15+X31+Y31</f>
        <v>57</v>
      </c>
      <c r="Y60" s="283"/>
      <c r="Z60" s="283">
        <f>Z8+AA8+Z15+AA15+Z31+AA31</f>
        <v>78</v>
      </c>
      <c r="AA60" s="284"/>
      <c r="AB60" s="284">
        <f>AB8+AC8+AB15+AC15+AB31+AC31</f>
        <v>78</v>
      </c>
      <c r="AC60" s="58"/>
      <c r="AD60" s="58">
        <f>AD8+AE8+AD15+AE15+AD31+AE31</f>
        <v>78</v>
      </c>
      <c r="AE60" s="58"/>
      <c r="AF60" s="256">
        <f>AF8+AG8+AF15+AG15+AF31+AG31</f>
        <v>78</v>
      </c>
      <c r="AG60" s="58"/>
      <c r="AH60" s="58">
        <f>AH8+AI8+AH15+AI15+AH31+AI31</f>
        <v>78</v>
      </c>
      <c r="AI60" s="274"/>
      <c r="AJ60" s="274">
        <f>AJ8+AK8+AJ15+AK15+AJ31+AK31</f>
        <v>75</v>
      </c>
      <c r="AK60" s="285"/>
      <c r="AL60" s="295">
        <f>AL8+AM8+AL15+AM15+AL31+AM31</f>
        <v>57</v>
      </c>
      <c r="AM60" s="286"/>
      <c r="AN60" s="286">
        <f>AN8+AO8+AN15+AO15+AN31+AO31</f>
        <v>78</v>
      </c>
      <c r="AO60" s="296"/>
      <c r="AP60" s="296">
        <f>AP8+AQ8+AP15+AQ15+AP31+AQ31</f>
        <v>78</v>
      </c>
      <c r="AQ60" s="287"/>
      <c r="AR60" s="287">
        <f>AR8+AS8+AR15+AS15+AR31+AS31</f>
        <v>57</v>
      </c>
      <c r="AS60" s="288"/>
      <c r="AT60" s="288">
        <f>AT8+AU8+AT15+AU15+AT31+AU31</f>
        <v>78</v>
      </c>
      <c r="AU60" s="289"/>
      <c r="AV60" s="289">
        <f>AV8+AW8+AV15+AW15+AV31+AW31</f>
        <v>78</v>
      </c>
      <c r="AW60" s="290"/>
      <c r="AX60" s="290">
        <f>AX8+AY8+AX15+AY15+AX31+AY31</f>
        <v>75</v>
      </c>
      <c r="AY60" s="58"/>
      <c r="AZ60" s="259">
        <f>AZ8+BA8+AZ15+BA15+AZ31+BA31</f>
        <v>57</v>
      </c>
      <c r="BA60" s="58"/>
      <c r="BB60" s="260">
        <f>BB8+BC8+BB15+BC15+BB31+BC31</f>
        <v>78</v>
      </c>
      <c r="BC60" s="275"/>
      <c r="BD60" s="275">
        <f>BD8+BE8+BD15+BE15+BD31+BE31</f>
        <v>78</v>
      </c>
      <c r="BE60" s="116"/>
      <c r="BF60" s="58">
        <f>BF8+BG8+BF15+BG15+BF31+BG31</f>
        <v>78</v>
      </c>
      <c r="BG60" s="276"/>
      <c r="BH60" s="276">
        <f>BH8+BI8+BH15+BI15+BH31+BI31</f>
        <v>78</v>
      </c>
      <c r="BI60" s="277"/>
      <c r="BJ60" s="277">
        <f>BJ8+BK8+BJ15+BK15+BJ31+BK31</f>
        <v>78</v>
      </c>
      <c r="BK60" s="339"/>
      <c r="BL60" s="339">
        <f t="shared" ref="BL60" si="32">BL8+BM8+BL15+BM15+BL31+BM31</f>
        <v>75</v>
      </c>
      <c r="BM60" s="339"/>
    </row>
    <row r="61" spans="1:65" x14ac:dyDescent="0.3">
      <c r="A61" t="s">
        <v>81</v>
      </c>
      <c r="C61" s="8"/>
      <c r="D61" s="58">
        <f>D3+E3+D10+E10+D26+E26</f>
        <v>0</v>
      </c>
      <c r="E61" s="58"/>
      <c r="F61" s="58">
        <f>F3+G3+F10+G10+F26+G26</f>
        <v>33</v>
      </c>
      <c r="G61" s="58"/>
      <c r="H61" s="58">
        <f>H3+I3+H10+I10+H26+I26</f>
        <v>0</v>
      </c>
      <c r="I61" s="58"/>
      <c r="J61" s="58">
        <f>J3+K3+J10+K10+J26+K26</f>
        <v>0</v>
      </c>
      <c r="K61" s="58"/>
      <c r="L61" s="58">
        <f>L3+M3+L10+M10+L26+M26</f>
        <v>33</v>
      </c>
      <c r="M61" s="292"/>
      <c r="N61" s="292">
        <f>N3+O3+N10+O10+N26+O26</f>
        <v>33</v>
      </c>
      <c r="O61" s="293"/>
      <c r="P61" s="293">
        <f>P3+Q3+P10+Q10+P26+Q26</f>
        <v>33</v>
      </c>
      <c r="Q61" s="268"/>
      <c r="R61" s="268">
        <f>R3+S3+R10+S10+R26+S26</f>
        <v>21</v>
      </c>
      <c r="S61" s="58"/>
      <c r="T61" s="58">
        <f>T3+U3+T10+U10+T26+U26</f>
        <v>33</v>
      </c>
      <c r="U61" s="280"/>
      <c r="V61" s="280">
        <f>V3+W3+V10+W10+V26+W26</f>
        <v>0</v>
      </c>
      <c r="W61" s="281"/>
      <c r="X61" s="281">
        <f>X3+Y3+X10+Y10+X26+Y26</f>
        <v>0</v>
      </c>
      <c r="Y61" s="283"/>
      <c r="Z61" s="283">
        <f>Z3+AA3+Z10+AA10+Z26+AA26</f>
        <v>33</v>
      </c>
      <c r="AA61" s="284"/>
      <c r="AB61" s="284">
        <f>AB3+AC3+AB10+AC10+AB26+AC26</f>
        <v>33</v>
      </c>
      <c r="AC61" s="58"/>
      <c r="AD61" s="58">
        <f>AD3+AE3+AD10+AE10+AD26+AE26</f>
        <v>33</v>
      </c>
      <c r="AE61" s="58"/>
      <c r="AF61" s="58">
        <f>AF3+AG3+AF10+AG10+AF26+AG26</f>
        <v>33</v>
      </c>
      <c r="AG61" s="58"/>
      <c r="AH61" s="58">
        <f>AH3+AI3+AH10+AI10+AH26+AI26</f>
        <v>33</v>
      </c>
      <c r="AI61" s="274"/>
      <c r="AJ61" s="274">
        <f>AJ3+AK3+AJ10+AK10+AJ26+AK26</f>
        <v>0</v>
      </c>
      <c r="AK61" s="285"/>
      <c r="AL61" s="295">
        <f>AL3+AM3+AL10+AM10+AL26+AM26</f>
        <v>0</v>
      </c>
      <c r="AM61" s="286"/>
      <c r="AN61" s="286">
        <f>AN3+AO3+AN10+AO10+AN26+AO26</f>
        <v>33</v>
      </c>
      <c r="AO61" s="296"/>
      <c r="AP61" s="296">
        <f>AP3+AQ3+AP10+AQ10+AP26+AQ26</f>
        <v>33</v>
      </c>
      <c r="AQ61" s="287"/>
      <c r="AR61" s="287">
        <f>AR3+AS3+AR10+AS10+AR26+AS26</f>
        <v>0</v>
      </c>
      <c r="AS61" s="288"/>
      <c r="AT61" s="288">
        <f>AT3+AU3+AT10+AU10+AT26+AU26</f>
        <v>33</v>
      </c>
      <c r="AU61" s="289"/>
      <c r="AV61" s="289">
        <f>AV3+AW3+AV10+AW10+AV26+AW26</f>
        <v>33</v>
      </c>
      <c r="AW61" s="290"/>
      <c r="AX61" s="290">
        <f>AX3+AY3+AX10+AY10+AX26+AY26</f>
        <v>0</v>
      </c>
      <c r="AY61" s="58"/>
      <c r="AZ61" s="58">
        <f>AZ3+BA3+AZ10+BA10+AZ26+BA26</f>
        <v>0</v>
      </c>
      <c r="BA61" s="58"/>
      <c r="BB61" s="116">
        <f>BB3+BC3+BB10+BC10+BB26+BC26</f>
        <v>33</v>
      </c>
      <c r="BC61" s="275"/>
      <c r="BD61" s="275">
        <f>BD3+BE3+BD10+BE10+BD26+BE26</f>
        <v>33</v>
      </c>
      <c r="BE61" s="116"/>
      <c r="BF61" s="58">
        <f>BF3+BG3+BF10+BG10+BF26+BG26</f>
        <v>33</v>
      </c>
      <c r="BG61" s="276"/>
      <c r="BH61" s="276">
        <f>BH3+BI3+BH10+BI10+BH26+BI26</f>
        <v>33</v>
      </c>
      <c r="BI61" s="277"/>
      <c r="BJ61" s="277">
        <f>BJ3+BK3+BJ10+BK10+BJ26+BK26</f>
        <v>33</v>
      </c>
      <c r="BK61" s="339"/>
      <c r="BL61" s="339">
        <f t="shared" ref="BL61" si="33">BL3+BM3+BL10+BM10+BL26+BM26</f>
        <v>0</v>
      </c>
      <c r="BM61" s="339"/>
    </row>
    <row r="62" spans="1:65" x14ac:dyDescent="0.3">
      <c r="A62" t="s">
        <v>82</v>
      </c>
      <c r="C62" s="8"/>
      <c r="D62" s="58">
        <f>D6+E6+D13+E13+D29+E29</f>
        <v>0</v>
      </c>
      <c r="E62" s="58"/>
      <c r="F62" s="58">
        <f>F6+G6+F13+G13+F29+G29</f>
        <v>32</v>
      </c>
      <c r="G62" s="58"/>
      <c r="H62" s="58">
        <f>H6+I6+H13+I13+H29+I29</f>
        <v>0</v>
      </c>
      <c r="I62" s="58"/>
      <c r="J62" s="58">
        <f>J6+K6+J13+K13+J29+K29</f>
        <v>0</v>
      </c>
      <c r="K62" s="58"/>
      <c r="L62" s="58">
        <f>L6+M6+L13+M13+L29+M29</f>
        <v>32</v>
      </c>
      <c r="M62" s="292"/>
      <c r="N62" s="292">
        <f>N6+O6+N13+O13+N29+O29</f>
        <v>32</v>
      </c>
      <c r="O62" s="293"/>
      <c r="P62" s="293">
        <f>P6+Q6+P13+Q13+P29+Q29</f>
        <v>32</v>
      </c>
      <c r="Q62" s="268"/>
      <c r="R62" s="268">
        <f>R6+S6+R13+S13+R29+S29</f>
        <v>21</v>
      </c>
      <c r="S62" s="58"/>
      <c r="T62" s="58">
        <f>T6+U6+T13+U13+T29+U29</f>
        <v>32</v>
      </c>
      <c r="U62" s="280"/>
      <c r="V62" s="280">
        <f>V6+W6+V13+W13+V29+W29</f>
        <v>0</v>
      </c>
      <c r="W62" s="281"/>
      <c r="X62" s="281">
        <f>X6+Y6+X13+Y13+X29+Y29</f>
        <v>0</v>
      </c>
      <c r="Y62" s="283"/>
      <c r="Z62" s="283">
        <f>Z6+AA6+Z13+AA13+Z29+AA29</f>
        <v>32</v>
      </c>
      <c r="AA62" s="284"/>
      <c r="AB62" s="284">
        <f>AB6+AC6+AB13+AC13+AB29+AC29</f>
        <v>32</v>
      </c>
      <c r="AC62" s="58"/>
      <c r="AD62" s="58">
        <f>AD6+AE6+AD13+AE13+AD29+AE29</f>
        <v>32</v>
      </c>
      <c r="AE62" s="58"/>
      <c r="AF62" s="58">
        <f>AF6+AG6+AF13+AG13+AF29+AG29</f>
        <v>32</v>
      </c>
      <c r="AG62" s="58"/>
      <c r="AH62" s="58">
        <f>AH6+AI6+AH13+AI13+AH29+AI29</f>
        <v>32</v>
      </c>
      <c r="AI62" s="274"/>
      <c r="AJ62" s="274">
        <f>AJ6+AK6+AJ13+AK13+AJ29+AK29</f>
        <v>0</v>
      </c>
      <c r="AK62" s="285"/>
      <c r="AL62" s="295">
        <f>AL6+AM6+AL13+AM13+AL29+AM29</f>
        <v>0</v>
      </c>
      <c r="AM62" s="286"/>
      <c r="AN62" s="286">
        <f>AN6+AO6+AN13+AO13+AN29+AO29</f>
        <v>32</v>
      </c>
      <c r="AO62" s="296"/>
      <c r="AP62" s="296">
        <f>AP6+AQ6+AP13+AQ13+AP29+AQ29</f>
        <v>32</v>
      </c>
      <c r="AQ62" s="287"/>
      <c r="AR62" s="287">
        <f>AR6+AS6+AR13+AS13+AR29+AS29</f>
        <v>0</v>
      </c>
      <c r="AS62" s="288"/>
      <c r="AT62" s="288">
        <f>AT6+AU6+AT13+AU13+AT29+AU29</f>
        <v>32</v>
      </c>
      <c r="AU62" s="289"/>
      <c r="AV62" s="289">
        <f>AV6+AW6+AV13+AW13+AV29+AW29</f>
        <v>32</v>
      </c>
      <c r="AW62" s="290"/>
      <c r="AX62" s="290">
        <f>AX6+AY6+AX13+AY13+AX29+AY29</f>
        <v>0</v>
      </c>
      <c r="AY62" s="58"/>
      <c r="AZ62" s="58">
        <f>AZ6+BA6+AZ13+BA13+AZ29+BA29</f>
        <v>0</v>
      </c>
      <c r="BA62" s="58"/>
      <c r="BB62" s="116">
        <f>BB6+BC6+BB13+BC13+BB29+BC29</f>
        <v>32</v>
      </c>
      <c r="BC62" s="275"/>
      <c r="BD62" s="275">
        <f>BD6+BE6+BD13+BE13+BD29+BE29</f>
        <v>32</v>
      </c>
      <c r="BE62" s="116"/>
      <c r="BF62" s="58">
        <f>BF6+BG6+BF13+BG13+BF29+BG29</f>
        <v>32</v>
      </c>
      <c r="BG62" s="276"/>
      <c r="BH62" s="276">
        <f>BH6+BI6+BH13+BI13+BH29+BI29</f>
        <v>32</v>
      </c>
      <c r="BI62" s="277"/>
      <c r="BJ62" s="277">
        <f>BJ6+BK6+BJ13+BK13+BJ29+BK29</f>
        <v>32</v>
      </c>
      <c r="BK62" s="339"/>
      <c r="BL62" s="339">
        <f t="shared" ref="BL62" si="34">BL6+BM6+BL13+BM13+BL29+BM29</f>
        <v>0</v>
      </c>
      <c r="BM62" s="339"/>
    </row>
    <row r="63" spans="1:65" s="125" customFormat="1" x14ac:dyDescent="0.3">
      <c r="A63" s="125" t="s">
        <v>122</v>
      </c>
      <c r="C63" s="8"/>
      <c r="D63" s="155">
        <f>D4+E4+D11+E11+D27+E27</f>
        <v>0</v>
      </c>
      <c r="E63" s="155"/>
      <c r="F63" s="155">
        <f>F4+G4+F11+G11+F27+G27</f>
        <v>0</v>
      </c>
      <c r="G63" s="155"/>
      <c r="H63" s="155">
        <f>H4+I4+H11+I11+H27+I27</f>
        <v>0</v>
      </c>
      <c r="I63" s="155"/>
      <c r="J63" s="155">
        <f>J4+K4+J11+K11+J27+K27</f>
        <v>0</v>
      </c>
      <c r="K63" s="155"/>
      <c r="L63" s="155">
        <f>L4+M4+L11+M11+L27+M27</f>
        <v>0</v>
      </c>
      <c r="M63" s="292"/>
      <c r="N63" s="292">
        <f>N4+O4+N11+O11+N27+O27</f>
        <v>0</v>
      </c>
      <c r="O63" s="293"/>
      <c r="P63" s="293">
        <f>P4+Q4+P11+Q11+P27+Q27</f>
        <v>0</v>
      </c>
      <c r="Q63" s="268"/>
      <c r="R63" s="268">
        <f>R4+S4+R11+S11+R27+S27</f>
        <v>0</v>
      </c>
      <c r="S63" s="155"/>
      <c r="T63" s="155">
        <f>T4+U4+T11+U11+T27+U27</f>
        <v>0</v>
      </c>
      <c r="U63" s="280"/>
      <c r="V63" s="280">
        <f>V4+W4+V11+W11+V27+W27</f>
        <v>0</v>
      </c>
      <c r="W63" s="281"/>
      <c r="X63" s="281">
        <f>X4+Y4+X11+Y11+X27+Y27</f>
        <v>0</v>
      </c>
      <c r="Y63" s="283"/>
      <c r="Z63" s="283">
        <f>Z4+AA4+Z11+AA11+Z27+AA27</f>
        <v>0</v>
      </c>
      <c r="AA63" s="284"/>
      <c r="AB63" s="284">
        <f>AB4+AC4+AB11+AC11+AB27+AC27</f>
        <v>0</v>
      </c>
      <c r="AC63" s="155"/>
      <c r="AD63" s="155">
        <f>AD4+AE4+AD11+AE11+AD27+AE27</f>
        <v>0</v>
      </c>
      <c r="AE63" s="155"/>
      <c r="AF63" s="155">
        <f>AF4+AG4+AF11+AG11+AF27+AG27</f>
        <v>0</v>
      </c>
      <c r="AG63" s="155"/>
      <c r="AH63" s="155">
        <f>AH4+AI4+AH11+AI11+AH27+AI27</f>
        <v>0</v>
      </c>
      <c r="AI63" s="274"/>
      <c r="AJ63" s="274">
        <f>AJ4+AK4+AJ11+AK11+AJ27+AK27</f>
        <v>0</v>
      </c>
      <c r="AK63" s="285"/>
      <c r="AL63" s="295">
        <f>AL4+AM4+AL11+AM11+AL27+AM27</f>
        <v>0</v>
      </c>
      <c r="AM63" s="286"/>
      <c r="AN63" s="286">
        <f>AN4+AO4+AN11+AO11+AN27+AO27</f>
        <v>0</v>
      </c>
      <c r="AO63" s="296"/>
      <c r="AP63" s="296">
        <f>AP4+AQ4+AP11+AQ11+AP27+AQ27</f>
        <v>0</v>
      </c>
      <c r="AQ63" s="287"/>
      <c r="AR63" s="287">
        <f>AR4+AS4+AR11+AS11+AR27+AS27</f>
        <v>0</v>
      </c>
      <c r="AS63" s="288"/>
      <c r="AT63" s="288">
        <f>AT4+AU4+AT11+AU11+AT27+AU27</f>
        <v>0</v>
      </c>
      <c r="AU63" s="289"/>
      <c r="AV63" s="289">
        <f>AV4+AW4+AV11+AW11+AV27+AW27</f>
        <v>0</v>
      </c>
      <c r="AW63" s="290"/>
      <c r="AX63" s="290">
        <f>AX4+AY4+AX11+AY11+AX27+AY27</f>
        <v>0</v>
      </c>
      <c r="AY63" s="155"/>
      <c r="AZ63" s="155">
        <f>AZ4+BA4+AZ11+BA11+AZ27+BA27</f>
        <v>0</v>
      </c>
      <c r="BA63" s="155"/>
      <c r="BB63" s="155">
        <f>BB4+BC4+BB11+BC11+BB27+BC27</f>
        <v>0</v>
      </c>
      <c r="BC63" s="275"/>
      <c r="BD63" s="275">
        <f>BD4+BE4+BD11+BE11+BD27+BE27</f>
        <v>0</v>
      </c>
      <c r="BE63" s="155"/>
      <c r="BF63" s="155">
        <f>BF4+BG4+BF11+BG11+BF27+BG27</f>
        <v>0</v>
      </c>
      <c r="BG63" s="276"/>
      <c r="BH63" s="276">
        <f>BH4+BI4+BH11+BI11+BH27+BI27</f>
        <v>0</v>
      </c>
      <c r="BI63" s="277"/>
      <c r="BJ63" s="277">
        <f>BJ4+BK4+BJ11+BK11+BJ27+BK27</f>
        <v>0</v>
      </c>
      <c r="BK63" s="339"/>
      <c r="BL63" s="339">
        <f t="shared" ref="BL63" si="35">BL4+BM4+BL11+BM11+BL27+BM27</f>
        <v>0</v>
      </c>
      <c r="BM63" s="339"/>
    </row>
    <row r="64" spans="1:65" x14ac:dyDescent="0.3">
      <c r="A64" t="s">
        <v>35</v>
      </c>
      <c r="C64" s="8"/>
      <c r="D64" s="58">
        <f>D7+E7+D14+E14+D30+E30</f>
        <v>0</v>
      </c>
      <c r="E64" s="58"/>
      <c r="F64" s="58">
        <f>F7+G7+F14+G14+F30+G30</f>
        <v>1</v>
      </c>
      <c r="G64" s="58"/>
      <c r="H64" s="58">
        <f>H7+I7+H14+I14+H30+I30</f>
        <v>0</v>
      </c>
      <c r="I64" s="58"/>
      <c r="J64" s="58">
        <f>J7+K7+J14+K14+J30+K30</f>
        <v>0</v>
      </c>
      <c r="K64" s="58"/>
      <c r="L64" s="58">
        <f>L7+M7+L14+M14+L30+M30</f>
        <v>1</v>
      </c>
      <c r="M64" s="292"/>
      <c r="N64" s="292">
        <f>N7+O7+N14+O14+N30+O30</f>
        <v>1</v>
      </c>
      <c r="O64" s="293"/>
      <c r="P64" s="293">
        <f>P7+Q7+P14+Q14+P30+Q30</f>
        <v>1</v>
      </c>
      <c r="Q64" s="268"/>
      <c r="R64" s="268">
        <f>R7+S7+R14+S14+R30+S30</f>
        <v>1</v>
      </c>
      <c r="S64" s="58"/>
      <c r="T64" s="58">
        <f>T7+U7+T14+U14+T30+U30</f>
        <v>1</v>
      </c>
      <c r="U64" s="280"/>
      <c r="V64" s="280">
        <f>V7+W7+V14+W14+V30+W30</f>
        <v>0</v>
      </c>
      <c r="W64" s="281"/>
      <c r="X64" s="281">
        <f>X7+Y7+X14+Y14+X30+Y30</f>
        <v>0</v>
      </c>
      <c r="Y64" s="283"/>
      <c r="Z64" s="283">
        <f>Z7+AA7+Z14+AA14+Z30+AA30</f>
        <v>1</v>
      </c>
      <c r="AA64" s="284"/>
      <c r="AB64" s="284">
        <f>AB7+AC7+AB14+AC14+AB30+AC30</f>
        <v>1</v>
      </c>
      <c r="AC64" s="58"/>
      <c r="AD64" s="58">
        <f>AD7+AE7+AD14+AE14+AD30+AE30</f>
        <v>1</v>
      </c>
      <c r="AE64" s="58"/>
      <c r="AF64" s="256">
        <f>AF7+AG7+AF14+AG14+AF30+AG30</f>
        <v>1</v>
      </c>
      <c r="AG64" s="58"/>
      <c r="AH64" s="58">
        <f>AH7+AI7+AH14+AI14+AH30+AI30</f>
        <v>1</v>
      </c>
      <c r="AI64" s="274"/>
      <c r="AJ64" s="274">
        <f>AJ7+AK7+AJ14+AK14+AJ30+AK30</f>
        <v>0</v>
      </c>
      <c r="AK64" s="285"/>
      <c r="AL64" s="295">
        <f>AL7+AM7+AL14+AM14+AL30+AM30</f>
        <v>0</v>
      </c>
      <c r="AM64" s="286"/>
      <c r="AN64" s="286">
        <f>AN7+AO7+AN14+AO14+AN30+AO30</f>
        <v>1</v>
      </c>
      <c r="AO64" s="296"/>
      <c r="AP64" s="296">
        <f>AP7+AQ7+AP14+AQ14+AP30+AQ30</f>
        <v>1</v>
      </c>
      <c r="AQ64" s="287"/>
      <c r="AR64" s="287">
        <f>AR7+AS7+AR14+AS14+AR30+AS30</f>
        <v>0</v>
      </c>
      <c r="AS64" s="288"/>
      <c r="AT64" s="288">
        <f>AT7+AU7+AT14+AU14+AT30+AU30</f>
        <v>1</v>
      </c>
      <c r="AU64" s="289"/>
      <c r="AV64" s="289">
        <f>AV7+AW7+AV14+AW14+AV30+AW30</f>
        <v>1</v>
      </c>
      <c r="AW64" s="290"/>
      <c r="AX64" s="290">
        <f>AX7+AY7+AX14+AY14+AX30+AY30</f>
        <v>0</v>
      </c>
      <c r="AY64" s="58"/>
      <c r="AZ64" s="259">
        <f>AZ7+BA7+AZ14+BA14+AZ30+BA30</f>
        <v>0</v>
      </c>
      <c r="BA64" s="58"/>
      <c r="BB64" s="260">
        <f>BB7+BC7+BB14+BC14+BB30+BC30</f>
        <v>1</v>
      </c>
      <c r="BC64" s="275"/>
      <c r="BD64" s="275">
        <f>BD7+BE7+BD14+BE14+BD30+BE30</f>
        <v>1</v>
      </c>
      <c r="BE64" s="116"/>
      <c r="BF64" s="58">
        <f>BF7+BG7+BF14+BG14+BF30+BG30</f>
        <v>1</v>
      </c>
      <c r="BG64" s="276"/>
      <c r="BH64" s="276">
        <f>BH7+BI7+BH14+BI14+BH30+BI30</f>
        <v>1</v>
      </c>
      <c r="BI64" s="277"/>
      <c r="BJ64" s="277">
        <f>BJ7+BK7+BJ14+BK14+BJ30+BK30</f>
        <v>1</v>
      </c>
      <c r="BK64" s="339"/>
      <c r="BL64" s="339">
        <f t="shared" ref="BL64" si="36">BL7+BM7+BL14+BM14+BL30+BM30</f>
        <v>0</v>
      </c>
      <c r="BM64" s="339"/>
    </row>
    <row r="65" spans="1:64" s="125" customFormat="1" x14ac:dyDescent="0.3">
      <c r="A65" s="125" t="s">
        <v>175</v>
      </c>
      <c r="C65" s="8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>
        <f>R16+S16</f>
        <v>4</v>
      </c>
      <c r="S65" s="325"/>
      <c r="T65" s="325"/>
      <c r="U65" s="325"/>
      <c r="V65" s="325"/>
      <c r="W65" s="325"/>
      <c r="X65" s="325"/>
      <c r="Y65" s="325"/>
      <c r="Z65" s="325"/>
      <c r="AA65" s="325"/>
      <c r="AB65" s="325"/>
      <c r="AC65" s="325"/>
      <c r="AD65" s="325"/>
      <c r="AE65" s="325"/>
      <c r="AF65" s="325"/>
      <c r="AG65" s="325"/>
      <c r="AH65" s="325"/>
      <c r="AI65" s="325"/>
      <c r="AJ65" s="325"/>
      <c r="AK65" s="325"/>
      <c r="AL65" s="325"/>
      <c r="AM65" s="325"/>
      <c r="AN65" s="325"/>
      <c r="AO65" s="325"/>
      <c r="AP65" s="325"/>
      <c r="AQ65" s="325"/>
      <c r="AR65" s="325"/>
      <c r="AS65" s="325"/>
      <c r="AT65" s="325"/>
      <c r="AU65" s="325"/>
      <c r="AV65" s="325"/>
      <c r="AW65" s="325"/>
      <c r="AX65" s="325"/>
      <c r="AY65" s="325"/>
      <c r="AZ65" s="325"/>
      <c r="BA65" s="325"/>
      <c r="BB65" s="325"/>
      <c r="BC65" s="325"/>
      <c r="BD65" s="325"/>
      <c r="BE65" s="325"/>
      <c r="BF65" s="325"/>
      <c r="BG65" s="325"/>
      <c r="BH65" s="325"/>
      <c r="BI65" s="325"/>
      <c r="BJ65" s="325"/>
      <c r="BK65" s="325"/>
    </row>
    <row r="66" spans="1:64" s="125" customFormat="1" x14ac:dyDescent="0.3">
      <c r="A66" s="125" t="s">
        <v>176</v>
      </c>
      <c r="C66" s="8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>
        <f>R17+S17</f>
        <v>3</v>
      </c>
      <c r="S66" s="325"/>
      <c r="T66" s="325"/>
      <c r="U66" s="325"/>
      <c r="V66" s="325"/>
      <c r="W66" s="325"/>
      <c r="X66" s="325"/>
      <c r="Y66" s="325"/>
      <c r="Z66" s="325"/>
      <c r="AA66" s="325"/>
      <c r="AB66" s="325"/>
      <c r="AC66" s="325"/>
      <c r="AD66" s="325"/>
      <c r="AE66" s="325"/>
      <c r="AF66" s="325"/>
      <c r="AG66" s="325"/>
      <c r="AH66" s="325"/>
      <c r="AI66" s="325"/>
      <c r="AJ66" s="325"/>
      <c r="AK66" s="325"/>
      <c r="AL66" s="325"/>
      <c r="AM66" s="325"/>
      <c r="AN66" s="325"/>
      <c r="AO66" s="325"/>
      <c r="AP66" s="325"/>
      <c r="AQ66" s="325"/>
      <c r="AR66" s="325"/>
      <c r="AS66" s="325"/>
      <c r="AT66" s="325"/>
      <c r="AU66" s="325"/>
      <c r="AV66" s="325"/>
      <c r="AW66" s="325"/>
      <c r="AX66" s="325"/>
      <c r="AY66" s="325"/>
      <c r="AZ66" s="325"/>
      <c r="BA66" s="325"/>
      <c r="BB66" s="325"/>
      <c r="BC66" s="325"/>
      <c r="BD66" s="325"/>
      <c r="BE66" s="325"/>
      <c r="BF66" s="325"/>
      <c r="BG66" s="325"/>
      <c r="BH66" s="325"/>
      <c r="BI66" s="325"/>
      <c r="BJ66" s="325"/>
      <c r="BK66" s="325"/>
    </row>
    <row r="67" spans="1:64" s="125" customFormat="1" x14ac:dyDescent="0.3">
      <c r="A67" s="125" t="s">
        <v>177</v>
      </c>
      <c r="C67" s="8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>
        <f>R18+S18</f>
        <v>5</v>
      </c>
      <c r="S67" s="325"/>
      <c r="T67" s="325"/>
      <c r="U67" s="325"/>
      <c r="V67" s="325"/>
      <c r="W67" s="325"/>
      <c r="X67" s="325"/>
      <c r="Y67" s="325"/>
      <c r="Z67" s="325"/>
      <c r="AA67" s="325"/>
      <c r="AB67" s="325"/>
      <c r="AC67" s="325"/>
      <c r="AD67" s="325"/>
      <c r="AE67" s="325"/>
      <c r="AF67" s="325"/>
      <c r="AG67" s="325"/>
      <c r="AH67" s="325"/>
      <c r="AI67" s="325"/>
      <c r="AJ67" s="325"/>
      <c r="AK67" s="325"/>
      <c r="AL67" s="325"/>
      <c r="AM67" s="325"/>
      <c r="AN67" s="325"/>
      <c r="AO67" s="325"/>
      <c r="AP67" s="325"/>
      <c r="AQ67" s="325"/>
      <c r="AR67" s="325"/>
      <c r="AS67" s="325"/>
      <c r="AT67" s="325"/>
      <c r="AU67" s="325"/>
      <c r="AV67" s="325"/>
      <c r="AW67" s="325"/>
      <c r="AX67" s="325"/>
      <c r="AY67" s="325"/>
      <c r="AZ67" s="325"/>
      <c r="BA67" s="325"/>
      <c r="BB67" s="325"/>
      <c r="BC67" s="325"/>
      <c r="BD67" s="325"/>
      <c r="BE67" s="325"/>
      <c r="BF67" s="325"/>
      <c r="BG67" s="325"/>
      <c r="BH67" s="325"/>
      <c r="BI67" s="325"/>
      <c r="BJ67" s="325"/>
      <c r="BK67" s="325"/>
    </row>
    <row r="68" spans="1:64" s="125" customFormat="1" x14ac:dyDescent="0.3">
      <c r="A68" s="125" t="s">
        <v>178</v>
      </c>
      <c r="C68" s="8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>
        <f>R19+S19</f>
        <v>5</v>
      </c>
      <c r="S68" s="325"/>
      <c r="T68" s="325"/>
      <c r="U68" s="325"/>
      <c r="V68" s="325"/>
      <c r="W68" s="325"/>
      <c r="X68" s="325"/>
      <c r="Y68" s="325"/>
      <c r="Z68" s="325"/>
      <c r="AA68" s="325"/>
      <c r="AB68" s="325"/>
      <c r="AC68" s="325"/>
      <c r="AD68" s="325"/>
      <c r="AE68" s="325"/>
      <c r="AF68" s="325"/>
      <c r="AG68" s="325"/>
      <c r="AH68" s="325"/>
      <c r="AI68" s="325"/>
      <c r="AJ68" s="325"/>
      <c r="AK68" s="325"/>
      <c r="AL68" s="325"/>
      <c r="AM68" s="325"/>
      <c r="AN68" s="325"/>
      <c r="AO68" s="325"/>
      <c r="AP68" s="325"/>
      <c r="AQ68" s="325"/>
      <c r="AR68" s="325"/>
      <c r="AS68" s="325"/>
      <c r="AT68" s="325"/>
      <c r="AU68" s="325"/>
      <c r="AV68" s="325"/>
      <c r="AW68" s="325"/>
      <c r="AX68" s="325"/>
      <c r="AY68" s="325"/>
      <c r="AZ68" s="325"/>
      <c r="BA68" s="325"/>
      <c r="BB68" s="325"/>
      <c r="BC68" s="325"/>
      <c r="BD68" s="325"/>
      <c r="BE68" s="325"/>
      <c r="BF68" s="325"/>
      <c r="BG68" s="325"/>
      <c r="BH68" s="325"/>
      <c r="BI68" s="325"/>
      <c r="BJ68" s="325"/>
      <c r="BK68" s="325"/>
    </row>
    <row r="69" spans="1:64" s="125" customFormat="1" x14ac:dyDescent="0.3">
      <c r="A69" s="125" t="s">
        <v>184</v>
      </c>
      <c r="C69" s="8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>
        <f>R20+S20</f>
        <v>2</v>
      </c>
      <c r="S69" s="325"/>
      <c r="T69" s="325"/>
      <c r="U69" s="325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  <c r="AG69" s="325"/>
      <c r="AH69" s="325"/>
      <c r="AI69" s="325"/>
      <c r="AJ69" s="325"/>
      <c r="AK69" s="325"/>
      <c r="AL69" s="325"/>
      <c r="AM69" s="325"/>
      <c r="AN69" s="325"/>
      <c r="AO69" s="325"/>
      <c r="AP69" s="325"/>
      <c r="AQ69" s="325"/>
      <c r="AR69" s="325"/>
      <c r="AS69" s="325"/>
      <c r="AT69" s="325"/>
      <c r="AU69" s="325"/>
      <c r="AV69" s="325"/>
      <c r="AW69" s="325"/>
      <c r="AX69" s="325"/>
      <c r="AY69" s="325"/>
      <c r="AZ69" s="325"/>
      <c r="BA69" s="325"/>
      <c r="BB69" s="325"/>
      <c r="BC69" s="325"/>
      <c r="BD69" s="325"/>
      <c r="BE69" s="325"/>
      <c r="BF69" s="325"/>
      <c r="BG69" s="325"/>
      <c r="BH69" s="325"/>
      <c r="BI69" s="325"/>
      <c r="BJ69" s="325"/>
      <c r="BK69" s="325"/>
    </row>
    <row r="70" spans="1:64" s="125" customFormat="1" x14ac:dyDescent="0.3">
      <c r="A70" s="125" t="s">
        <v>257</v>
      </c>
      <c r="C70" s="8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5"/>
      <c r="R70" s="345">
        <f t="shared" ref="R70:R73" si="37">R21+S21</f>
        <v>1</v>
      </c>
      <c r="S70" s="345"/>
      <c r="T70" s="345"/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45"/>
      <c r="AT70" s="345"/>
      <c r="AU70" s="345"/>
      <c r="AV70" s="345"/>
      <c r="AW70" s="345"/>
      <c r="AX70" s="345"/>
      <c r="AY70" s="345"/>
      <c r="AZ70" s="345"/>
      <c r="BA70" s="345"/>
      <c r="BB70" s="345"/>
      <c r="BC70" s="345"/>
      <c r="BD70" s="345"/>
      <c r="BE70" s="345"/>
      <c r="BF70" s="345"/>
      <c r="BG70" s="345"/>
      <c r="BH70" s="345"/>
      <c r="BI70" s="345"/>
      <c r="BJ70" s="345"/>
      <c r="BK70" s="345"/>
    </row>
    <row r="71" spans="1:64" s="125" customFormat="1" x14ac:dyDescent="0.3">
      <c r="A71" s="125" t="s">
        <v>258</v>
      </c>
      <c r="C71" s="8"/>
      <c r="D71" s="345"/>
      <c r="E71" s="345"/>
      <c r="F71" s="345"/>
      <c r="G71" s="345"/>
      <c r="H71" s="345"/>
      <c r="I71" s="345"/>
      <c r="J71" s="345"/>
      <c r="K71" s="345"/>
      <c r="L71" s="345"/>
      <c r="M71" s="345"/>
      <c r="N71" s="345"/>
      <c r="O71" s="345"/>
      <c r="P71" s="345"/>
      <c r="Q71" s="345"/>
      <c r="R71" s="345">
        <f t="shared" si="37"/>
        <v>1</v>
      </c>
      <c r="S71" s="345"/>
      <c r="T71" s="345"/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45"/>
      <c r="AT71" s="345"/>
      <c r="AU71" s="345"/>
      <c r="AV71" s="345"/>
      <c r="AW71" s="345"/>
      <c r="AX71" s="345"/>
      <c r="AY71" s="345"/>
      <c r="AZ71" s="345"/>
      <c r="BA71" s="345"/>
      <c r="BB71" s="345"/>
      <c r="BC71" s="345"/>
      <c r="BD71" s="345"/>
      <c r="BE71" s="345"/>
      <c r="BF71" s="345"/>
      <c r="BG71" s="345"/>
      <c r="BH71" s="345"/>
      <c r="BI71" s="345"/>
      <c r="BJ71" s="345"/>
      <c r="BK71" s="345"/>
    </row>
    <row r="72" spans="1:64" s="125" customFormat="1" x14ac:dyDescent="0.3">
      <c r="A72" s="125" t="s">
        <v>271</v>
      </c>
      <c r="C72" s="8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>
        <f t="shared" si="37"/>
        <v>1</v>
      </c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45"/>
      <c r="AT72" s="345"/>
      <c r="AU72" s="345"/>
      <c r="AV72" s="345"/>
      <c r="AW72" s="345"/>
      <c r="AX72" s="345"/>
      <c r="AY72" s="345"/>
      <c r="AZ72" s="345"/>
      <c r="BA72" s="345"/>
      <c r="BB72" s="345"/>
      <c r="BC72" s="345"/>
      <c r="BD72" s="345"/>
      <c r="BE72" s="345"/>
      <c r="BF72" s="345"/>
      <c r="BG72" s="345"/>
      <c r="BH72" s="345"/>
      <c r="BI72" s="345"/>
      <c r="BJ72" s="345"/>
      <c r="BK72" s="345"/>
    </row>
    <row r="73" spans="1:64" s="125" customFormat="1" x14ac:dyDescent="0.3">
      <c r="A73" s="125" t="s">
        <v>260</v>
      </c>
      <c r="C73" s="8"/>
      <c r="D73" s="345"/>
      <c r="E73" s="345"/>
      <c r="F73" s="345"/>
      <c r="G73" s="345"/>
      <c r="H73" s="345"/>
      <c r="I73" s="345"/>
      <c r="J73" s="345"/>
      <c r="K73" s="345"/>
      <c r="L73" s="345"/>
      <c r="M73" s="345"/>
      <c r="N73" s="345"/>
      <c r="O73" s="345"/>
      <c r="P73" s="345"/>
      <c r="Q73" s="345"/>
      <c r="R73" s="345">
        <f t="shared" si="37"/>
        <v>1</v>
      </c>
      <c r="S73" s="345"/>
      <c r="T73" s="345"/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5"/>
      <c r="AH73" s="345"/>
      <c r="AI73" s="345"/>
      <c r="AJ73" s="345"/>
      <c r="AK73" s="345"/>
      <c r="AL73" s="345"/>
      <c r="AM73" s="345"/>
      <c r="AN73" s="345"/>
      <c r="AO73" s="345"/>
      <c r="AP73" s="345"/>
      <c r="AQ73" s="345"/>
      <c r="AR73" s="345"/>
      <c r="AS73" s="345"/>
      <c r="AT73" s="345"/>
      <c r="AU73" s="345"/>
      <c r="AV73" s="345"/>
      <c r="AW73" s="345"/>
      <c r="AX73" s="345"/>
      <c r="AY73" s="345"/>
      <c r="AZ73" s="345"/>
      <c r="BA73" s="345"/>
      <c r="BB73" s="345"/>
      <c r="BC73" s="345"/>
      <c r="BD73" s="345"/>
      <c r="BE73" s="345"/>
      <c r="BF73" s="345"/>
      <c r="BG73" s="345"/>
      <c r="BH73" s="345"/>
      <c r="BI73" s="345"/>
      <c r="BJ73" s="345"/>
      <c r="BK73" s="345"/>
    </row>
    <row r="74" spans="1:64" x14ac:dyDescent="0.3">
      <c r="C74" s="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293"/>
      <c r="P74" s="293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5"/>
      <c r="AS74" s="55"/>
      <c r="AT74" s="55"/>
      <c r="AU74" s="55"/>
      <c r="AV74" s="55"/>
      <c r="AW74" s="55"/>
      <c r="AX74" s="55"/>
      <c r="AY74" s="55"/>
      <c r="AZ74" s="55"/>
      <c r="BA74" s="58"/>
      <c r="BB74" s="55"/>
      <c r="BC74" s="116"/>
      <c r="BD74" s="55"/>
      <c r="BE74" s="116"/>
      <c r="BF74" s="58"/>
      <c r="BG74" s="58"/>
      <c r="BH74" s="55"/>
      <c r="BI74" s="55"/>
      <c r="BJ74" s="55"/>
      <c r="BK74" s="55"/>
    </row>
    <row r="75" spans="1:64" x14ac:dyDescent="0.3">
      <c r="A75" s="57" t="s">
        <v>65</v>
      </c>
      <c r="B75" s="57"/>
      <c r="C75" s="57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59"/>
      <c r="AS75" s="59"/>
      <c r="AT75" s="59"/>
      <c r="AU75" s="59"/>
      <c r="AV75" s="59"/>
      <c r="AW75" s="59"/>
      <c r="AX75" s="59"/>
      <c r="AY75" s="59"/>
      <c r="AZ75" s="59"/>
      <c r="BA75" s="60"/>
      <c r="BB75" s="59"/>
      <c r="BC75" s="60"/>
      <c r="BD75" s="59"/>
      <c r="BE75" s="60"/>
      <c r="BF75" s="60"/>
      <c r="BG75" s="60"/>
      <c r="BH75" s="59"/>
      <c r="BI75" s="59"/>
      <c r="BJ75" s="59"/>
      <c r="BK75" s="59"/>
    </row>
    <row r="76" spans="1:64" x14ac:dyDescent="0.3">
      <c r="A76" t="s">
        <v>79</v>
      </c>
      <c r="C76" s="8"/>
      <c r="D76" s="58">
        <f>(D5+D12+D28)+2*(E5+E12+E28)</f>
        <v>57</v>
      </c>
      <c r="E76" s="58"/>
      <c r="F76" s="58">
        <f>(F5+F12+F28)+2*(G5+G12+G28)</f>
        <v>111</v>
      </c>
      <c r="G76" s="58"/>
      <c r="H76" s="58">
        <f>(H5+H12+H28)+2*(I5+I12+I28)</f>
        <v>75</v>
      </c>
      <c r="I76" s="58"/>
      <c r="J76" s="58">
        <f>(J5+J12+J28)+2*(K5+K12+K28)</f>
        <v>57</v>
      </c>
      <c r="K76" s="58"/>
      <c r="L76" s="58">
        <f>(L5+L12+L28)+2*(M5+M12+M28)</f>
        <v>111</v>
      </c>
      <c r="M76" s="292"/>
      <c r="N76" s="292">
        <f>(N5+N12+N28)+2*(O5+O12+O28)</f>
        <v>111</v>
      </c>
      <c r="O76" s="293"/>
      <c r="P76" s="293">
        <f>(P5+P12+P28)+2*(Q5+Q12+Q28)</f>
        <v>111</v>
      </c>
      <c r="Q76" s="268"/>
      <c r="R76" s="268">
        <f>(R5+R12+R28)+2*(S5+S12+S28)</f>
        <v>79</v>
      </c>
      <c r="S76" s="58"/>
      <c r="T76" s="58">
        <f>(T5+T12+T28)+2*(U5+U12+U28)</f>
        <v>111</v>
      </c>
      <c r="U76" s="280"/>
      <c r="V76" s="280">
        <f>(V5+V12+V28)+2*(W5+W12+W28)</f>
        <v>75</v>
      </c>
      <c r="W76" s="281"/>
      <c r="X76" s="281">
        <f>(X5+X12+X28)+2*(Y5+Y12+Y28)</f>
        <v>57</v>
      </c>
      <c r="Y76" s="283"/>
      <c r="Z76" s="283">
        <f>(Z5+Z12+Z28)+2*(AA5+AA12+AA28)</f>
        <v>111</v>
      </c>
      <c r="AA76" s="284"/>
      <c r="AB76" s="284">
        <f>(AB5+AB12+AB28)+2*(AC5+AC12+AC28)</f>
        <v>110</v>
      </c>
      <c r="AC76" s="58"/>
      <c r="AD76" s="58">
        <f>(AD5+AD12+AD28)+2*(AE5+AE12+AE28)</f>
        <v>111</v>
      </c>
      <c r="AE76" s="58"/>
      <c r="AF76" s="58">
        <f>(AF5+AF12+AF28)+2*(AG5+AG12+AG28)</f>
        <v>111</v>
      </c>
      <c r="AG76" s="58"/>
      <c r="AH76" s="58">
        <f>(AH5+AH12+AH28)+2*(AI5+AI12+AI28)</f>
        <v>110</v>
      </c>
      <c r="AI76" s="274"/>
      <c r="AJ76" s="274">
        <f>(AJ5+AJ12+AJ28)+2*(AK5+AK12+AK28)</f>
        <v>75</v>
      </c>
      <c r="AK76" s="285"/>
      <c r="AL76" s="295">
        <f>(AL5+AL12+AL28)+2*(AM5+AM12+AM28)</f>
        <v>57</v>
      </c>
      <c r="AM76" s="286"/>
      <c r="AN76" s="286">
        <f>(AN5+AN12+AN28)+2*(AO5+AO12+AO28)</f>
        <v>116</v>
      </c>
      <c r="AO76" s="296"/>
      <c r="AP76" s="296">
        <f>(AP5+AP12+AP28)+2*(AQ5+AQ12+AQ28)</f>
        <v>111</v>
      </c>
      <c r="AQ76" s="287"/>
      <c r="AR76" s="287">
        <f>(AR5+AR12+AR28)+2*(AS5+AS12+AS28)</f>
        <v>59</v>
      </c>
      <c r="AS76" s="288"/>
      <c r="AT76" s="288">
        <f>(AT5+AT12+AT28)+2*(AU5+AU12+AU28)</f>
        <v>111</v>
      </c>
      <c r="AU76" s="289"/>
      <c r="AV76" s="289">
        <f>(AV5+AV12+AV28)+2*(AW5+AW12+AW28)</f>
        <v>111</v>
      </c>
      <c r="AW76" s="290"/>
      <c r="AX76" s="290">
        <f>(AX5+AX12+AX28)+2*(AY5+AY12+AY28)</f>
        <v>75</v>
      </c>
      <c r="AY76" s="58"/>
      <c r="AZ76" s="58">
        <f>(AZ5+AZ12+AZ28)+2*(BA5+BA12+BA28)</f>
        <v>57</v>
      </c>
      <c r="BA76" s="118"/>
      <c r="BB76" s="116">
        <f>(BB5+BB12+BB28)+2*(BC5+BC12+BC28)</f>
        <v>109</v>
      </c>
      <c r="BC76" s="275"/>
      <c r="BD76" s="275">
        <f>(BD5+BD12+BD28)+2*(BE5+BE12+BE28)</f>
        <v>110</v>
      </c>
      <c r="BE76" s="118"/>
      <c r="BF76" s="58">
        <f>(BF5+BF12+BF28)+2*(BG5+BG12+BG28)</f>
        <v>110</v>
      </c>
      <c r="BG76" s="276"/>
      <c r="BH76" s="276">
        <f>(BH5+BH12+BH28)+2*(BI5+BI12+BI28)</f>
        <v>111</v>
      </c>
      <c r="BI76" s="277"/>
      <c r="BJ76" s="277">
        <f>(BJ5+BJ12+BJ28)+2*(BK5+BK12+BK28)</f>
        <v>111</v>
      </c>
      <c r="BK76" s="339"/>
      <c r="BL76" s="339">
        <f t="shared" ref="BL76" si="38">(BL5+BL12+BL28)+2*(BM5+BM12+BM28)</f>
        <v>75</v>
      </c>
    </row>
    <row r="77" spans="1:64" x14ac:dyDescent="0.3">
      <c r="A77" t="s">
        <v>80</v>
      </c>
      <c r="C77" s="8"/>
      <c r="D77" s="58">
        <f>(D8+D15+D31)+2*(E8+E15+E31)</f>
        <v>57</v>
      </c>
      <c r="E77" s="58"/>
      <c r="F77" s="58">
        <f>(F8+F15+F31)+2*(G8+G15+G31)</f>
        <v>111</v>
      </c>
      <c r="G77" s="58"/>
      <c r="H77" s="58">
        <f>(H8+H15+H31)+2*(I8+I15+I31)</f>
        <v>75</v>
      </c>
      <c r="I77" s="58"/>
      <c r="J77" s="58">
        <f>(J8+J15+J31)+2*(K8+K15+K31)</f>
        <v>57</v>
      </c>
      <c r="K77" s="58"/>
      <c r="L77" s="58">
        <f>(L8+L15+L31)+2*(M8+M15+M31)</f>
        <v>111</v>
      </c>
      <c r="M77" s="292"/>
      <c r="N77" s="292">
        <f>(N8+N15+N31)+2*(O8+O15+O31)</f>
        <v>111</v>
      </c>
      <c r="O77" s="293"/>
      <c r="P77" s="293">
        <f>(P8+P15+P31)+2*(Q8+Q15+Q31)</f>
        <v>111</v>
      </c>
      <c r="Q77" s="268"/>
      <c r="R77" s="268">
        <f>(R8+R15+R31)+2*(S8+S15+S31)</f>
        <v>84</v>
      </c>
      <c r="S77" s="58"/>
      <c r="T77" s="58">
        <f>(T8+T15+T31)+2*(U8+U15+U31)</f>
        <v>111</v>
      </c>
      <c r="U77" s="280"/>
      <c r="V77" s="280">
        <f>(V8+V15+V31)+2*(W8+W15+W31)</f>
        <v>75</v>
      </c>
      <c r="W77" s="281"/>
      <c r="X77" s="281">
        <f>(X8+X15+X31)+2*(Y8+Y15+Y31)</f>
        <v>57</v>
      </c>
      <c r="Y77" s="283"/>
      <c r="Z77" s="283">
        <f>(Z8+Z15+Z31)+2*(AA8+AA15+AA31)</f>
        <v>111</v>
      </c>
      <c r="AA77" s="284"/>
      <c r="AB77" s="284">
        <f>(AB8+AB15+AB31)+2*(AC8+AC15+AC31)</f>
        <v>110</v>
      </c>
      <c r="AC77" s="58"/>
      <c r="AD77" s="58">
        <f>(AD8+AD15+AD31)+2*(AE8+AE15+AE31)</f>
        <v>111</v>
      </c>
      <c r="AE77" s="58"/>
      <c r="AF77" s="256">
        <f>(AF8+AF15+AF31)+2*(AG8+AG15+AG31)</f>
        <v>111</v>
      </c>
      <c r="AG77" s="58"/>
      <c r="AH77" s="58">
        <f>(AH8+AH15+AH31)+2*(AI8+AI15+AI31)</f>
        <v>110</v>
      </c>
      <c r="AI77" s="274"/>
      <c r="AJ77" s="274">
        <f>(AJ8+AJ15+AJ31)+2*(AK8+AK15+AK31)</f>
        <v>75</v>
      </c>
      <c r="AK77" s="285"/>
      <c r="AL77" s="295">
        <f>(AL8+AL15+AL31)+2*(AM8+AM15+AM31)</f>
        <v>57</v>
      </c>
      <c r="AM77" s="286"/>
      <c r="AN77" s="286">
        <f>(AN8+AN15+AN31)+2*(AO8+AO15+AO31)</f>
        <v>111</v>
      </c>
      <c r="AO77" s="296"/>
      <c r="AP77" s="296">
        <f>(AP8+AP15+AP31)+2*(AQ8+AQ15+AQ31)</f>
        <v>109</v>
      </c>
      <c r="AQ77" s="287"/>
      <c r="AR77" s="287">
        <f>(AR8+AR15+AR31)+2*(AS8+AS15+AS31)</f>
        <v>59</v>
      </c>
      <c r="AS77" s="288"/>
      <c r="AT77" s="288">
        <f>(AT8+AT15+AT31)+2*(AU8+AU15+AU31)</f>
        <v>111</v>
      </c>
      <c r="AU77" s="289"/>
      <c r="AV77" s="289">
        <f>(AV8+AV15+AV31)+2*(AW8+AW15+AW31)</f>
        <v>111</v>
      </c>
      <c r="AW77" s="290"/>
      <c r="AX77" s="290">
        <f>(AX8+AX15+AX31)+2*(AY8+AY15+AY31)</f>
        <v>75</v>
      </c>
      <c r="AY77" s="58"/>
      <c r="AZ77" s="259">
        <f>(AZ8+AZ15+AZ31)+2*(BA8+BA15+BA31)</f>
        <v>57</v>
      </c>
      <c r="BA77" s="118"/>
      <c r="BB77" s="260">
        <f>(BB8+BB15+BB31)+2*(BC8+BC15+BC31)</f>
        <v>109</v>
      </c>
      <c r="BC77" s="275"/>
      <c r="BD77" s="275">
        <f>(BD8+BD15+BD31)+2*(BE8+BE15+BE31)</f>
        <v>110</v>
      </c>
      <c r="BE77" s="118"/>
      <c r="BF77" s="58">
        <f>(BF8+BF15+BF31)+2*(BG8+BG15+BG31)</f>
        <v>110</v>
      </c>
      <c r="BG77" s="276"/>
      <c r="BH77" s="276">
        <f>(BH8+BH15+BH31)+2*(BI8+BI15+BI31)</f>
        <v>111</v>
      </c>
      <c r="BI77" s="277"/>
      <c r="BJ77" s="277">
        <f>(BJ8+BJ15+BJ31)+2*(BK8+BK15+BK31)</f>
        <v>111</v>
      </c>
      <c r="BK77" s="339"/>
      <c r="BL77" s="339">
        <f t="shared" ref="BL77" si="39">(BL8+BL15+BL31)+2*(BM8+BM15+BM31)</f>
        <v>75</v>
      </c>
    </row>
    <row r="78" spans="1:64" x14ac:dyDescent="0.3">
      <c r="A78" t="s">
        <v>81</v>
      </c>
      <c r="C78" s="8"/>
      <c r="D78" s="58">
        <f>(D3+D10+D26)+2*(E3+E10+E26)</f>
        <v>0</v>
      </c>
      <c r="E78" s="58"/>
      <c r="F78" s="58">
        <f>(F3+F10+F26)+2*(G3+G10+G26)</f>
        <v>37</v>
      </c>
      <c r="G78" s="58"/>
      <c r="H78" s="58">
        <f>(H3+H10+H26)+2*(I3+I10+I26)</f>
        <v>0</v>
      </c>
      <c r="I78" s="58"/>
      <c r="J78" s="58">
        <f>(J3+J10+J26)+2*(K3+K10+K26)</f>
        <v>0</v>
      </c>
      <c r="K78" s="58"/>
      <c r="L78" s="58">
        <f>(L3+L10+L26)+2*(M3+M10+M26)</f>
        <v>37</v>
      </c>
      <c r="M78" s="292"/>
      <c r="N78" s="292">
        <f>(N3+N10+N26)+2*(O3+O10+O26)</f>
        <v>37</v>
      </c>
      <c r="O78" s="293"/>
      <c r="P78" s="293">
        <f>(P3+P10+P26)+2*(Q3+Q10+Q26)</f>
        <v>37</v>
      </c>
      <c r="Q78" s="268"/>
      <c r="R78" s="268">
        <f>(R3+R10+R26)+2*(S3+S10+S26)</f>
        <v>21</v>
      </c>
      <c r="S78" s="58"/>
      <c r="T78" s="58">
        <f>(T3+T10+T26)+2*(U3+U10+U26)</f>
        <v>37</v>
      </c>
      <c r="U78" s="280"/>
      <c r="V78" s="280">
        <f>(V3+V10+V26)+2*(W3+W10+W26)</f>
        <v>0</v>
      </c>
      <c r="W78" s="281"/>
      <c r="X78" s="281">
        <f>(X3+X10+X26)+2*(Y3+Y10+Y26)</f>
        <v>0</v>
      </c>
      <c r="Y78" s="283"/>
      <c r="Z78" s="283">
        <f>(Z3+Z10+Z26)+2*(AA3+AA10+AA26)</f>
        <v>37</v>
      </c>
      <c r="AA78" s="284"/>
      <c r="AB78" s="284">
        <f>(AB3+AB10+AB26)+2*(AC3+AC10+AC26)</f>
        <v>37</v>
      </c>
      <c r="AC78" s="58"/>
      <c r="AD78" s="58">
        <f>(AD3+AD10+AD26)+2*(AE3+AE10+AE26)</f>
        <v>37</v>
      </c>
      <c r="AE78" s="58"/>
      <c r="AF78" s="58">
        <f>(AF3+AF10+AF26)+2*(AG3+AG10+AG26)</f>
        <v>37</v>
      </c>
      <c r="AG78" s="58"/>
      <c r="AH78" s="58">
        <f>(AH3+AH10+AH26)+2*(AI3+AI10+AI26)</f>
        <v>37</v>
      </c>
      <c r="AI78" s="274"/>
      <c r="AJ78" s="274">
        <f>(AJ3+AJ10+AJ26)+2*(AK3+AK10+AK26)</f>
        <v>0</v>
      </c>
      <c r="AK78" s="285"/>
      <c r="AL78" s="295">
        <f>(AL3+AL10+AL26)+2*(AM3+AM10+AM26)</f>
        <v>0</v>
      </c>
      <c r="AM78" s="286"/>
      <c r="AN78" s="286">
        <f>(AN3+AN10+AN26)+2*(AO3+AO10+AO26)</f>
        <v>37</v>
      </c>
      <c r="AO78" s="296"/>
      <c r="AP78" s="296">
        <f>(AP3+AP10+AP26)+2*(AQ3+AQ10+AQ26)</f>
        <v>37</v>
      </c>
      <c r="AQ78" s="287"/>
      <c r="AR78" s="287">
        <f>(AR3+AR10+AR26)+2*(AS3+AS10+AS26)</f>
        <v>0</v>
      </c>
      <c r="AS78" s="288"/>
      <c r="AT78" s="288">
        <f>(AT3+AT10+AT26)+2*(AU3+AU10+AU26)</f>
        <v>37</v>
      </c>
      <c r="AU78" s="289"/>
      <c r="AV78" s="289">
        <f>(AV3+AV10+AV26)+2*(AW3+AW10+AW26)</f>
        <v>37</v>
      </c>
      <c r="AW78" s="290"/>
      <c r="AX78" s="290">
        <f>(AX3+AX10+AX26)+2*(AY3+AY10+AY26)</f>
        <v>0</v>
      </c>
      <c r="AY78" s="58"/>
      <c r="AZ78" s="58">
        <f>(AZ3+AZ10+AZ26)+2*(BA3+BA10+BA26)</f>
        <v>0</v>
      </c>
      <c r="BA78" s="118"/>
      <c r="BB78" s="116">
        <f>(BB3+BB10+BB26)+2*(BC3+BC10+BC26)</f>
        <v>37</v>
      </c>
      <c r="BC78" s="275"/>
      <c r="BD78" s="275">
        <f>(BD3+BD10+BD26)+2*(BE3+BE10+BE26)</f>
        <v>37</v>
      </c>
      <c r="BE78" s="118"/>
      <c r="BF78" s="58">
        <f>(BF3+BF10+BF26)+2*(BG3+BG10+BG26)</f>
        <v>37</v>
      </c>
      <c r="BG78" s="276"/>
      <c r="BH78" s="276">
        <f>(BH3+BH10+BH26)+2*(BI3+BI10+BI26)</f>
        <v>36</v>
      </c>
      <c r="BI78" s="277"/>
      <c r="BJ78" s="277">
        <f>(BJ3+BJ10+BJ26)+2*(BK3+BK10+BK26)</f>
        <v>37</v>
      </c>
      <c r="BK78" s="339"/>
      <c r="BL78" s="339">
        <f t="shared" ref="BL78" si="40">(BL3+BL10+BL26)+2*(BM3+BM10+BM26)</f>
        <v>0</v>
      </c>
    </row>
    <row r="79" spans="1:64" x14ac:dyDescent="0.3">
      <c r="A79" t="s">
        <v>82</v>
      </c>
      <c r="C79" s="8"/>
      <c r="D79" s="58">
        <f>(D6+D13+D29)+2*(E6+E13+E29)</f>
        <v>0</v>
      </c>
      <c r="E79" s="58"/>
      <c r="F79" s="58">
        <f>(F6+F13+F29)+2*(G6+G13+G29)</f>
        <v>36</v>
      </c>
      <c r="G79" s="58"/>
      <c r="H79" s="58">
        <f>(H6+H13+H29)+2*(I6+I13+I29)</f>
        <v>0</v>
      </c>
      <c r="I79" s="58"/>
      <c r="J79" s="58">
        <f>(J6+J13+J29)+2*(K6+K13+K29)</f>
        <v>0</v>
      </c>
      <c r="K79" s="58"/>
      <c r="L79" s="58">
        <f>(L6+L13+L29)+2*(M6+M13+M29)</f>
        <v>36</v>
      </c>
      <c r="M79" s="292"/>
      <c r="N79" s="292">
        <f>(N6+N13+N29)+2*(O6+O13+O29)</f>
        <v>36</v>
      </c>
      <c r="O79" s="293"/>
      <c r="P79" s="293">
        <f>(P6+P13+P29)+2*(Q6+Q13+Q29)</f>
        <v>36</v>
      </c>
      <c r="Q79" s="268"/>
      <c r="R79" s="268">
        <f>(R6+R13+R29)+2*(S6+S13+S29)</f>
        <v>23</v>
      </c>
      <c r="S79" s="58"/>
      <c r="T79" s="58">
        <f>(T6+T13+T29)+2*(U6+U13+U29)</f>
        <v>36</v>
      </c>
      <c r="U79" s="280"/>
      <c r="V79" s="280">
        <f>(V6+V13+V29)+2*(W6+W13+W29)</f>
        <v>0</v>
      </c>
      <c r="W79" s="281"/>
      <c r="X79" s="281">
        <f>(X6+X13+X29)+2*(Y6+Y13+Y29)</f>
        <v>0</v>
      </c>
      <c r="Y79" s="283"/>
      <c r="Z79" s="283">
        <f>(Z6+Z13+Z29)+2*(AA6+AA13+AA29)</f>
        <v>36</v>
      </c>
      <c r="AA79" s="284"/>
      <c r="AB79" s="284">
        <f>(AB6+AB13+AB29)+2*(AC6+AC13+AC29)</f>
        <v>36</v>
      </c>
      <c r="AC79" s="58"/>
      <c r="AD79" s="58">
        <f>(AD6+AD13+AD29)+2*(AE6+AE13+AE29)</f>
        <v>36</v>
      </c>
      <c r="AE79" s="58"/>
      <c r="AF79" s="58">
        <f>(AF6+AF13+AF29)+2*(AG6+AG13+AG29)</f>
        <v>36</v>
      </c>
      <c r="AG79" s="58"/>
      <c r="AH79" s="58">
        <f>(AH6+AH13+AH29)+2*(AI6+AI13+AI29)</f>
        <v>36</v>
      </c>
      <c r="AI79" s="274"/>
      <c r="AJ79" s="274">
        <f>(AJ6+AJ13+AJ29)+2*(AK6+AK13+AK29)</f>
        <v>0</v>
      </c>
      <c r="AK79" s="285"/>
      <c r="AL79" s="295">
        <f>(AL6+AL13+AL29)+2*(AM6+AM13+AM29)</f>
        <v>0</v>
      </c>
      <c r="AM79" s="286"/>
      <c r="AN79" s="286">
        <f>(AN6+AN13+AN29)+2*(AO6+AO13+AO29)</f>
        <v>36</v>
      </c>
      <c r="AO79" s="296"/>
      <c r="AP79" s="296">
        <f>(AP6+AP13+AP29)+2*(AQ6+AQ13+AQ29)</f>
        <v>36</v>
      </c>
      <c r="AQ79" s="287"/>
      <c r="AR79" s="287">
        <f>(AR6+AR13+AR29)+2*(AS6+AS13+AS29)</f>
        <v>0</v>
      </c>
      <c r="AS79" s="288"/>
      <c r="AT79" s="288">
        <f>(AT6+AT13+AT29)+2*(AU6+AU13+AU29)</f>
        <v>36</v>
      </c>
      <c r="AU79" s="289"/>
      <c r="AV79" s="289">
        <f>(AV6+AV13+AV29)+2*(AW6+AW13+AW29)</f>
        <v>36</v>
      </c>
      <c r="AW79" s="290"/>
      <c r="AX79" s="290">
        <f>(AX6+AX13+AX29)+2*(AY6+AY13+AY29)</f>
        <v>0</v>
      </c>
      <c r="AY79" s="58"/>
      <c r="AZ79" s="58">
        <f>(AZ6+AZ13+AZ29)+2*(BA6+BA13+BA29)</f>
        <v>0</v>
      </c>
      <c r="BA79" s="118"/>
      <c r="BB79" s="116">
        <f>(BB6+BB13+BB29)+2*(BC6+BC13+BC29)</f>
        <v>36</v>
      </c>
      <c r="BC79" s="275"/>
      <c r="BD79" s="275">
        <f>(BD6+BD13+BD29)+2*(BE6+BE13+BE29)</f>
        <v>36</v>
      </c>
      <c r="BE79" s="118"/>
      <c r="BF79" s="58">
        <f>(BF6+BF13+BF29)+2*(BG6+BG13+BG29)</f>
        <v>36</v>
      </c>
      <c r="BG79" s="276"/>
      <c r="BH79" s="276">
        <f>(BH6+BH13+BH29)+2*(BI6+BI13+BI29)</f>
        <v>35</v>
      </c>
      <c r="BI79" s="277"/>
      <c r="BJ79" s="277">
        <f>(BJ6+BJ13+BJ29)+2*(BK6+BK13+BK29)</f>
        <v>36</v>
      </c>
      <c r="BK79" s="339"/>
      <c r="BL79" s="339">
        <f t="shared" ref="BL79" si="41">(BL6+BL13+BL29)+2*(BM6+BM13+BM29)</f>
        <v>0</v>
      </c>
    </row>
    <row r="80" spans="1:64" s="125" customFormat="1" x14ac:dyDescent="0.3">
      <c r="A80" s="125" t="s">
        <v>122</v>
      </c>
      <c r="C80" s="8"/>
      <c r="D80" s="155">
        <f>(D4+D11+D27)+2*(E4+E11+E27)</f>
        <v>0</v>
      </c>
      <c r="E80" s="155"/>
      <c r="F80" s="155">
        <f>(F4+F11+F27)+2*(G4+G11+G27)</f>
        <v>0</v>
      </c>
      <c r="G80" s="155"/>
      <c r="H80" s="155">
        <f>(H4+H11+H27)+2*(I4+I11+I27)</f>
        <v>0</v>
      </c>
      <c r="I80" s="155"/>
      <c r="J80" s="155">
        <f>(J4+J11+J27)+2*(K4+K11+K27)</f>
        <v>0</v>
      </c>
      <c r="K80" s="155"/>
      <c r="L80" s="155">
        <f>(L4+L11+L27)+2*(M4+M11+M27)</f>
        <v>0</v>
      </c>
      <c r="M80" s="292"/>
      <c r="N80" s="292">
        <f>(N4+N11+N27)+2*(O4+O11+O27)</f>
        <v>0</v>
      </c>
      <c r="O80" s="293"/>
      <c r="P80" s="293">
        <f>(P4+P11+P27)+2*(Q4+Q11+Q27)</f>
        <v>0</v>
      </c>
      <c r="Q80" s="268"/>
      <c r="R80" s="268">
        <f>(R4+R11+R27)+2*(S4+S11+S27)</f>
        <v>0</v>
      </c>
      <c r="S80" s="155"/>
      <c r="T80" s="155">
        <f>(T4+T11+T27)+2*(U4+U11+U27)</f>
        <v>0</v>
      </c>
      <c r="U80" s="280"/>
      <c r="V80" s="280">
        <f>(V4+V11+V27)+2*(W4+W11+W27)</f>
        <v>0</v>
      </c>
      <c r="W80" s="281"/>
      <c r="X80" s="281">
        <f>(X4+X11+X27)+2*(Y4+Y11+Y27)</f>
        <v>0</v>
      </c>
      <c r="Y80" s="283"/>
      <c r="Z80" s="283">
        <f>(Z4+Z11+Z27)+2*(AA4+AA11+AA27)</f>
        <v>0</v>
      </c>
      <c r="AA80" s="284"/>
      <c r="AB80" s="284">
        <f>(AB4+AB11+AB27)+2*(AC4+AC11+AC27)</f>
        <v>0</v>
      </c>
      <c r="AC80" s="155"/>
      <c r="AD80" s="155">
        <f>(AD4+AD11+AD27)+2*(AE4+AE11+AE27)</f>
        <v>0</v>
      </c>
      <c r="AE80" s="155"/>
      <c r="AF80" s="155">
        <f>(AF4+AF11+AF27)+2*(AG4+AG11+AG27)</f>
        <v>0</v>
      </c>
      <c r="AG80" s="155"/>
      <c r="AH80" s="155">
        <f>(AH4+AH11+AH27)+2*(AI4+AI11+AI27)</f>
        <v>0</v>
      </c>
      <c r="AI80" s="274"/>
      <c r="AJ80" s="274">
        <f>(AJ4+AJ11+AJ27)+2*(AK4+AK11+AK27)</f>
        <v>0</v>
      </c>
      <c r="AK80" s="285"/>
      <c r="AL80" s="295">
        <f>(AL4+AL11+AL27)+2*(AM4+AM11+AM27)</f>
        <v>0</v>
      </c>
      <c r="AM80" s="286"/>
      <c r="AN80" s="286">
        <f>(AN4+AN11+AN27)+2*(AO4+AO11+AO27)</f>
        <v>0</v>
      </c>
      <c r="AO80" s="296"/>
      <c r="AP80" s="296">
        <f>(AP4+AP11+AP27)+2*(AQ4+AQ11+AQ27)</f>
        <v>0</v>
      </c>
      <c r="AQ80" s="287"/>
      <c r="AR80" s="287">
        <f>(AR4+AR11+AR27)+2*(AS4+AS11+AS27)</f>
        <v>0</v>
      </c>
      <c r="AS80" s="288"/>
      <c r="AT80" s="288">
        <f>(AT4+AT11+AT27)+2*(AU4+AU11+AU27)</f>
        <v>0</v>
      </c>
      <c r="AU80" s="289"/>
      <c r="AV80" s="289">
        <f>(AV4+AV11+AV27)+2*(AW4+AW11+AW27)</f>
        <v>0</v>
      </c>
      <c r="AW80" s="290"/>
      <c r="AX80" s="290">
        <f>(AX4+AX11+AX27)+2*(AY4+AY11+AY27)</f>
        <v>0</v>
      </c>
      <c r="AY80" s="155"/>
      <c r="AZ80" s="155">
        <f>(AZ4+AZ11+AZ27)+2*(BA4+BA11+BA27)</f>
        <v>0</v>
      </c>
      <c r="BA80" s="155"/>
      <c r="BB80" s="155">
        <f>(BB4+BB11+BB27)+2*(BC4+BC11+BC27)</f>
        <v>0</v>
      </c>
      <c r="BC80" s="275"/>
      <c r="BD80" s="275">
        <f>(BD4+BD11+BD27)+2*(BE4+BE11+BE27)</f>
        <v>0</v>
      </c>
      <c r="BE80" s="155"/>
      <c r="BF80" s="155">
        <f>(BF4+BF11+BF27)+2*(BG4+BG11+BG27)</f>
        <v>0</v>
      </c>
      <c r="BG80" s="276"/>
      <c r="BH80" s="276">
        <f>(BH4+BH11+BH27)+2*(BI4+BI11+BI27)</f>
        <v>0</v>
      </c>
      <c r="BI80" s="277"/>
      <c r="BJ80" s="277">
        <f>(BJ4+BJ11+BJ27)+2*(BK4+BK11+BK27)</f>
        <v>0</v>
      </c>
      <c r="BK80" s="339"/>
      <c r="BL80" s="339">
        <f t="shared" ref="BL80" si="42">(BL4+BL11+BL27)+2*(BM4+BM11+BM27)</f>
        <v>0</v>
      </c>
    </row>
    <row r="81" spans="1:73" x14ac:dyDescent="0.3">
      <c r="A81" t="s">
        <v>35</v>
      </c>
      <c r="C81" s="8"/>
      <c r="D81" s="58">
        <f>(D7+D14+D30)+2*(E7+E14+E30)</f>
        <v>0</v>
      </c>
      <c r="E81" s="58"/>
      <c r="F81" s="58">
        <f>(F7+F14+F30)+2*(G7+G14+G30)</f>
        <v>1</v>
      </c>
      <c r="G81" s="58"/>
      <c r="H81" s="58">
        <f>(H7+H14+H30)+2*(I7+I14+I30)</f>
        <v>0</v>
      </c>
      <c r="I81" s="58"/>
      <c r="J81" s="58">
        <f>(J7+J14+J30)+2*(K7+K14+K30)</f>
        <v>0</v>
      </c>
      <c r="K81" s="58"/>
      <c r="L81" s="58">
        <f>(L7+L14+L30)+2*(M7+M14+M30)</f>
        <v>1</v>
      </c>
      <c r="M81" s="292"/>
      <c r="N81" s="292">
        <f>(N7+N14+N30)+2*(O7+O14+O30)</f>
        <v>1</v>
      </c>
      <c r="O81" s="293"/>
      <c r="P81" s="293">
        <f>(P7+P14+P30)+2*(Q7+Q14+Q30)</f>
        <v>1</v>
      </c>
      <c r="Q81" s="268"/>
      <c r="R81" s="268">
        <f>(R7+R14+R30)+2*(S7+S14+S30)</f>
        <v>1</v>
      </c>
      <c r="S81" s="58"/>
      <c r="T81" s="58">
        <f>(T7+T14+T30)+2*(U7+U14+U30)</f>
        <v>1</v>
      </c>
      <c r="U81" s="280"/>
      <c r="V81" s="280">
        <f>(V7+V14+V30)+2*(W7+W14+W30)</f>
        <v>0</v>
      </c>
      <c r="W81" s="281"/>
      <c r="X81" s="281">
        <f>(X7+X14+X30)+2*(Y7+Y14+Y30)</f>
        <v>0</v>
      </c>
      <c r="Y81" s="283"/>
      <c r="Z81" s="283">
        <f>(Z7+Z14+Z30)+2*(AA7+AA14+AA30)</f>
        <v>1</v>
      </c>
      <c r="AA81" s="284"/>
      <c r="AB81" s="284">
        <f>(AB7+AB14+AB30)+2*(AC7+AC14+AC30)</f>
        <v>1</v>
      </c>
      <c r="AC81" s="58"/>
      <c r="AD81" s="58">
        <f>(AD7+AD14+AD30)+2*(AE7+AE14+AE30)</f>
        <v>1</v>
      </c>
      <c r="AE81" s="58"/>
      <c r="AF81" s="256">
        <f>(AF7+AF14+AF30)+2*(AG7+AG14+AG30)</f>
        <v>1</v>
      </c>
      <c r="AG81" s="58"/>
      <c r="AH81" s="58">
        <f>(AH7+AH14+AH30)+2*(AI7+AI14+AI30)</f>
        <v>1</v>
      </c>
      <c r="AI81" s="274"/>
      <c r="AJ81" s="274">
        <f>(AJ7+AJ14+AJ30)+2*(AK7+AK14+AK30)</f>
        <v>0</v>
      </c>
      <c r="AK81" s="285"/>
      <c r="AL81" s="295">
        <f>(AL7+AL14+AL30)+2*(AM7+AM14+AM30)</f>
        <v>0</v>
      </c>
      <c r="AM81" s="286"/>
      <c r="AN81" s="286">
        <f>(AN7+AN14+AN30)+2*(AO7+AO14+AO30)</f>
        <v>1</v>
      </c>
      <c r="AO81" s="296"/>
      <c r="AP81" s="296">
        <f>(AP7+AP14+AP30)+2*(AQ7+AQ14+AQ30)</f>
        <v>1</v>
      </c>
      <c r="AQ81" s="287"/>
      <c r="AR81" s="287">
        <f>(AR7+AR14+AR30)+2*(AS7+AS14+AS30)</f>
        <v>0</v>
      </c>
      <c r="AS81" s="288"/>
      <c r="AT81" s="288">
        <f>(AT7+AT14+AT30)+2*(AU7+AU14+AU30)</f>
        <v>1</v>
      </c>
      <c r="AU81" s="289"/>
      <c r="AV81" s="289">
        <f>(AV7+AV14+AV30)+2*(AW7+AW14+AW30)</f>
        <v>1</v>
      </c>
      <c r="AW81" s="290"/>
      <c r="AX81" s="290">
        <f>(AX7+AX14+AX30)+2*(AY7+AY14+AY30)</f>
        <v>0</v>
      </c>
      <c r="AY81" s="58"/>
      <c r="AZ81" s="259">
        <f>(AZ7+AZ14+AZ30)+2*(BA7+BA14+BA30)</f>
        <v>0</v>
      </c>
      <c r="BA81" s="118"/>
      <c r="BB81" s="260">
        <f>(BB7+BB14+BB30)+2*(BC7+BC14+BC30)</f>
        <v>1</v>
      </c>
      <c r="BC81" s="275"/>
      <c r="BD81" s="275">
        <f>(BD7+BD14+BD30)+2*(BE7+BE14+BE30)</f>
        <v>1</v>
      </c>
      <c r="BE81" s="118"/>
      <c r="BF81" s="58">
        <f>(BF7+BF14+BF30)+2*(BG7+BG14+BG30)</f>
        <v>1</v>
      </c>
      <c r="BG81" s="276"/>
      <c r="BH81" s="276">
        <f>(BH7+BH14+BH30)+2*(BI7+BI14+BI30)</f>
        <v>1</v>
      </c>
      <c r="BI81" s="277"/>
      <c r="BJ81" s="277">
        <f>(BJ7+BJ14+BJ30)+2*(BK7+BK14+BK30)</f>
        <v>1</v>
      </c>
      <c r="BK81" s="339"/>
      <c r="BL81" s="339">
        <f t="shared" ref="BL81" si="43">(BL7+BL14+BL30)+2*(BM7+BM14+BM30)</f>
        <v>0</v>
      </c>
    </row>
    <row r="82" spans="1:73" s="125" customFormat="1" x14ac:dyDescent="0.3">
      <c r="A82" s="125" t="s">
        <v>175</v>
      </c>
      <c r="C82" s="8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>
        <f>(R16)+2*(S16)</f>
        <v>7</v>
      </c>
      <c r="S82" s="325"/>
      <c r="T82" s="325"/>
      <c r="U82" s="325"/>
      <c r="V82" s="325"/>
      <c r="W82" s="325"/>
      <c r="X82" s="325"/>
      <c r="Y82" s="325"/>
      <c r="Z82" s="325"/>
      <c r="AA82" s="325"/>
      <c r="AB82" s="325"/>
      <c r="AC82" s="325"/>
      <c r="AD82" s="325"/>
      <c r="AE82" s="325"/>
      <c r="AF82" s="325"/>
      <c r="AG82" s="325"/>
      <c r="AH82" s="325"/>
      <c r="AI82" s="325"/>
      <c r="AJ82" s="325"/>
      <c r="AK82" s="325"/>
      <c r="AL82" s="325"/>
      <c r="AM82" s="325"/>
      <c r="AN82" s="325"/>
      <c r="AO82" s="325"/>
      <c r="AP82" s="325"/>
      <c r="AQ82" s="325"/>
      <c r="AR82" s="325"/>
      <c r="AS82" s="325"/>
      <c r="AT82" s="325"/>
      <c r="AU82" s="325"/>
      <c r="AV82" s="325"/>
      <c r="AW82" s="325"/>
      <c r="AX82" s="325"/>
      <c r="AY82" s="325"/>
      <c r="AZ82" s="325"/>
      <c r="BA82" s="325"/>
      <c r="BB82" s="325"/>
      <c r="BC82" s="325"/>
      <c r="BD82" s="325"/>
      <c r="BE82" s="325"/>
      <c r="BF82" s="325"/>
      <c r="BG82" s="325"/>
      <c r="BH82" s="325"/>
      <c r="BI82" s="325"/>
      <c r="BJ82" s="325"/>
      <c r="BK82" s="325"/>
    </row>
    <row r="83" spans="1:73" s="125" customFormat="1" x14ac:dyDescent="0.3">
      <c r="A83" s="125" t="s">
        <v>176</v>
      </c>
      <c r="C83" s="8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>
        <f>(R17)+2*(S17)</f>
        <v>4</v>
      </c>
      <c r="S83" s="325"/>
      <c r="T83" s="325"/>
      <c r="U83" s="325"/>
      <c r="V83" s="325"/>
      <c r="W83" s="325"/>
      <c r="X83" s="325"/>
      <c r="Y83" s="325"/>
      <c r="Z83" s="325"/>
      <c r="AA83" s="325"/>
      <c r="AB83" s="325"/>
      <c r="AC83" s="325"/>
      <c r="AD83" s="325"/>
      <c r="AE83" s="325"/>
      <c r="AF83" s="325"/>
      <c r="AG83" s="325"/>
      <c r="AH83" s="325"/>
      <c r="AI83" s="325"/>
      <c r="AJ83" s="325"/>
      <c r="AK83" s="325"/>
      <c r="AL83" s="325"/>
      <c r="AM83" s="325"/>
      <c r="AN83" s="325"/>
      <c r="AO83" s="325"/>
      <c r="AP83" s="325"/>
      <c r="AQ83" s="325"/>
      <c r="AR83" s="325"/>
      <c r="AS83" s="325"/>
      <c r="AT83" s="325"/>
      <c r="AU83" s="325"/>
      <c r="AV83" s="325"/>
      <c r="AW83" s="325"/>
      <c r="AX83" s="325"/>
      <c r="AY83" s="325"/>
      <c r="AZ83" s="325"/>
      <c r="BA83" s="325"/>
      <c r="BB83" s="325"/>
      <c r="BC83" s="325"/>
      <c r="BD83" s="325"/>
      <c r="BE83" s="325"/>
      <c r="BF83" s="325"/>
      <c r="BG83" s="325"/>
      <c r="BH83" s="325"/>
      <c r="BI83" s="325"/>
      <c r="BJ83" s="325"/>
      <c r="BK83" s="325"/>
    </row>
    <row r="84" spans="1:73" s="125" customFormat="1" x14ac:dyDescent="0.3">
      <c r="A84" s="125" t="s">
        <v>177</v>
      </c>
      <c r="C84" s="8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>
        <f>(R18)+2*(S18)</f>
        <v>10</v>
      </c>
      <c r="S84" s="325"/>
      <c r="T84" s="325"/>
      <c r="U84" s="325"/>
      <c r="V84" s="325"/>
      <c r="W84" s="325"/>
      <c r="X84" s="325"/>
      <c r="Y84" s="325"/>
      <c r="Z84" s="325"/>
      <c r="AA84" s="325"/>
      <c r="AB84" s="325"/>
      <c r="AC84" s="325"/>
      <c r="AD84" s="325"/>
      <c r="AE84" s="325"/>
      <c r="AF84" s="325"/>
      <c r="AG84" s="325"/>
      <c r="AH84" s="325"/>
      <c r="AI84" s="325"/>
      <c r="AJ84" s="325"/>
      <c r="AK84" s="325"/>
      <c r="AL84" s="325"/>
      <c r="AM84" s="325"/>
      <c r="AN84" s="325"/>
      <c r="AO84" s="325"/>
      <c r="AP84" s="325"/>
      <c r="AQ84" s="325"/>
      <c r="AR84" s="325"/>
      <c r="AS84" s="325"/>
      <c r="AT84" s="325"/>
      <c r="AU84" s="325"/>
      <c r="AV84" s="325"/>
      <c r="AW84" s="325"/>
      <c r="AX84" s="325"/>
      <c r="AY84" s="325"/>
      <c r="AZ84" s="325"/>
      <c r="BA84" s="325"/>
      <c r="BB84" s="325"/>
      <c r="BC84" s="325"/>
      <c r="BD84" s="325"/>
      <c r="BE84" s="325"/>
      <c r="BF84" s="325"/>
      <c r="BG84" s="325"/>
      <c r="BH84" s="325"/>
      <c r="BI84" s="325"/>
      <c r="BJ84" s="325"/>
      <c r="BK84" s="325"/>
    </row>
    <row r="85" spans="1:73" s="125" customFormat="1" x14ac:dyDescent="0.3">
      <c r="A85" s="125" t="s">
        <v>178</v>
      </c>
      <c r="C85" s="8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>
        <f>(R19)+2*(S19)</f>
        <v>7</v>
      </c>
      <c r="S85" s="325"/>
      <c r="T85" s="325"/>
      <c r="U85" s="325"/>
      <c r="V85" s="325"/>
      <c r="W85" s="325"/>
      <c r="X85" s="325"/>
      <c r="Y85" s="325"/>
      <c r="Z85" s="325"/>
      <c r="AA85" s="325"/>
      <c r="AB85" s="325"/>
      <c r="AC85" s="325"/>
      <c r="AD85" s="325"/>
      <c r="AE85" s="325"/>
      <c r="AF85" s="325"/>
      <c r="AG85" s="325"/>
      <c r="AH85" s="325"/>
      <c r="AI85" s="325"/>
      <c r="AJ85" s="325"/>
      <c r="AK85" s="325"/>
      <c r="AL85" s="325"/>
      <c r="AM85" s="325"/>
      <c r="AN85" s="325"/>
      <c r="AO85" s="325"/>
      <c r="AP85" s="325"/>
      <c r="AQ85" s="325"/>
      <c r="AR85" s="325"/>
      <c r="AS85" s="325"/>
      <c r="AT85" s="325"/>
      <c r="AU85" s="325"/>
      <c r="AV85" s="325"/>
      <c r="AW85" s="325"/>
      <c r="AX85" s="325"/>
      <c r="AY85" s="325"/>
      <c r="AZ85" s="325"/>
      <c r="BA85" s="325"/>
      <c r="BB85" s="325"/>
      <c r="BC85" s="325"/>
      <c r="BD85" s="325"/>
      <c r="BE85" s="325"/>
      <c r="BF85" s="325"/>
      <c r="BG85" s="325"/>
      <c r="BH85" s="325"/>
      <c r="BI85" s="325"/>
      <c r="BJ85" s="325"/>
      <c r="BK85" s="325"/>
    </row>
    <row r="86" spans="1:73" s="125" customFormat="1" x14ac:dyDescent="0.3">
      <c r="A86" s="125" t="s">
        <v>184</v>
      </c>
      <c r="C86" s="8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>
        <f>(R20)+2*(S20)</f>
        <v>3</v>
      </c>
      <c r="S86" s="325"/>
      <c r="T86" s="325"/>
      <c r="U86" s="325"/>
      <c r="V86" s="325"/>
      <c r="W86" s="325"/>
      <c r="X86" s="325"/>
      <c r="Y86" s="325"/>
      <c r="Z86" s="325"/>
      <c r="AA86" s="325"/>
      <c r="AB86" s="325"/>
      <c r="AC86" s="325"/>
      <c r="AD86" s="325"/>
      <c r="AE86" s="325"/>
      <c r="AF86" s="325"/>
      <c r="AG86" s="325"/>
      <c r="AH86" s="325"/>
      <c r="AI86" s="325"/>
      <c r="AJ86" s="325"/>
      <c r="AK86" s="325"/>
      <c r="AL86" s="325"/>
      <c r="AM86" s="325"/>
      <c r="AN86" s="325"/>
      <c r="AO86" s="325"/>
      <c r="AP86" s="325"/>
      <c r="AQ86" s="325"/>
      <c r="AR86" s="325"/>
      <c r="AS86" s="325"/>
      <c r="AT86" s="325"/>
      <c r="AU86" s="325"/>
      <c r="AV86" s="325"/>
      <c r="AW86" s="325"/>
      <c r="AX86" s="325"/>
      <c r="AY86" s="325"/>
      <c r="AZ86" s="325"/>
      <c r="BA86" s="325"/>
      <c r="BB86" s="325"/>
      <c r="BC86" s="325"/>
      <c r="BD86" s="325"/>
      <c r="BE86" s="325"/>
      <c r="BF86" s="325"/>
      <c r="BG86" s="325"/>
      <c r="BH86" s="325"/>
      <c r="BI86" s="325"/>
      <c r="BJ86" s="325"/>
      <c r="BK86" s="325"/>
    </row>
    <row r="87" spans="1:73" s="125" customFormat="1" x14ac:dyDescent="0.3">
      <c r="A87" s="125" t="s">
        <v>257</v>
      </c>
      <c r="C87" s="8"/>
      <c r="D87" s="345"/>
      <c r="E87" s="345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>
        <f t="shared" ref="R87:R90" si="44">(R21)+2*(S21)</f>
        <v>1</v>
      </c>
      <c r="S87" s="345"/>
      <c r="T87" s="345"/>
      <c r="U87" s="345"/>
      <c r="V87" s="345"/>
      <c r="W87" s="345"/>
      <c r="X87" s="345"/>
      <c r="Y87" s="345"/>
      <c r="Z87" s="345"/>
      <c r="AA87" s="345"/>
      <c r="AB87" s="345"/>
      <c r="AC87" s="345"/>
      <c r="AD87" s="345"/>
      <c r="AE87" s="345"/>
      <c r="AF87" s="345"/>
      <c r="AG87" s="345"/>
      <c r="AH87" s="345"/>
      <c r="AI87" s="345"/>
      <c r="AJ87" s="345"/>
      <c r="AK87" s="345"/>
      <c r="AL87" s="345"/>
      <c r="AM87" s="345"/>
      <c r="AN87" s="345"/>
      <c r="AO87" s="345"/>
      <c r="AP87" s="345"/>
      <c r="AQ87" s="345"/>
      <c r="AR87" s="345"/>
      <c r="AS87" s="345"/>
      <c r="AT87" s="345"/>
      <c r="AU87" s="345"/>
      <c r="AV87" s="345"/>
      <c r="AW87" s="345"/>
      <c r="AX87" s="345"/>
      <c r="AY87" s="345"/>
      <c r="AZ87" s="345"/>
      <c r="BA87" s="345"/>
      <c r="BB87" s="345"/>
      <c r="BC87" s="345"/>
      <c r="BD87" s="345"/>
      <c r="BE87" s="345"/>
      <c r="BF87" s="345"/>
      <c r="BG87" s="345"/>
      <c r="BH87" s="345"/>
      <c r="BI87" s="345"/>
      <c r="BJ87" s="345"/>
      <c r="BK87" s="345"/>
    </row>
    <row r="88" spans="1:73" s="125" customFormat="1" x14ac:dyDescent="0.3">
      <c r="A88" s="125" t="s">
        <v>258</v>
      </c>
      <c r="C88" s="8"/>
      <c r="D88" s="345"/>
      <c r="E88" s="345"/>
      <c r="F88" s="345"/>
      <c r="G88" s="345"/>
      <c r="H88" s="345"/>
      <c r="I88" s="345"/>
      <c r="J88" s="345"/>
      <c r="K88" s="345"/>
      <c r="L88" s="345"/>
      <c r="M88" s="345"/>
      <c r="N88" s="345"/>
      <c r="O88" s="345"/>
      <c r="P88" s="345"/>
      <c r="Q88" s="345"/>
      <c r="R88" s="345">
        <f t="shared" si="44"/>
        <v>1</v>
      </c>
      <c r="S88" s="345"/>
      <c r="T88" s="345"/>
      <c r="U88" s="345"/>
      <c r="V88" s="345"/>
      <c r="W88" s="345"/>
      <c r="X88" s="345"/>
      <c r="Y88" s="345"/>
      <c r="Z88" s="345"/>
      <c r="AA88" s="345"/>
      <c r="AB88" s="345"/>
      <c r="AC88" s="345"/>
      <c r="AD88" s="345"/>
      <c r="AE88" s="345"/>
      <c r="AF88" s="345"/>
      <c r="AG88" s="345"/>
      <c r="AH88" s="345"/>
      <c r="AI88" s="345"/>
      <c r="AJ88" s="345"/>
      <c r="AK88" s="345"/>
      <c r="AL88" s="345"/>
      <c r="AM88" s="345"/>
      <c r="AN88" s="345"/>
      <c r="AO88" s="345"/>
      <c r="AP88" s="345"/>
      <c r="AQ88" s="345"/>
      <c r="AR88" s="345"/>
      <c r="AS88" s="345"/>
      <c r="AT88" s="345"/>
      <c r="AU88" s="345"/>
      <c r="AV88" s="345"/>
      <c r="AW88" s="345"/>
      <c r="AX88" s="345"/>
      <c r="AY88" s="345"/>
      <c r="AZ88" s="345"/>
      <c r="BA88" s="345"/>
      <c r="BB88" s="345"/>
      <c r="BC88" s="345"/>
      <c r="BD88" s="345"/>
      <c r="BE88" s="345"/>
      <c r="BF88" s="345"/>
      <c r="BG88" s="345"/>
      <c r="BH88" s="345"/>
      <c r="BI88" s="345"/>
      <c r="BJ88" s="345"/>
      <c r="BK88" s="345"/>
    </row>
    <row r="89" spans="1:73" s="125" customFormat="1" x14ac:dyDescent="0.3">
      <c r="A89" s="125" t="s">
        <v>271</v>
      </c>
      <c r="C89" s="8"/>
      <c r="D89" s="345"/>
      <c r="E89" s="345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45"/>
      <c r="R89" s="345">
        <f t="shared" si="44"/>
        <v>2</v>
      </c>
      <c r="S89" s="345"/>
      <c r="T89" s="345"/>
      <c r="U89" s="345"/>
      <c r="V89" s="345"/>
      <c r="W89" s="345"/>
      <c r="X89" s="345"/>
      <c r="Y89" s="345"/>
      <c r="Z89" s="345"/>
      <c r="AA89" s="345"/>
      <c r="AB89" s="345"/>
      <c r="AC89" s="345"/>
      <c r="AD89" s="345"/>
      <c r="AE89" s="345"/>
      <c r="AF89" s="345"/>
      <c r="AG89" s="345"/>
      <c r="AH89" s="345"/>
      <c r="AI89" s="345"/>
      <c r="AJ89" s="345"/>
      <c r="AK89" s="345"/>
      <c r="AL89" s="345"/>
      <c r="AM89" s="345"/>
      <c r="AN89" s="345"/>
      <c r="AO89" s="345"/>
      <c r="AP89" s="345"/>
      <c r="AQ89" s="345"/>
      <c r="AR89" s="345"/>
      <c r="AS89" s="345"/>
      <c r="AT89" s="345"/>
      <c r="AU89" s="345"/>
      <c r="AV89" s="345"/>
      <c r="AW89" s="345"/>
      <c r="AX89" s="345"/>
      <c r="AY89" s="345"/>
      <c r="AZ89" s="345"/>
      <c r="BA89" s="345"/>
      <c r="BB89" s="345"/>
      <c r="BC89" s="345"/>
      <c r="BD89" s="345"/>
      <c r="BE89" s="345"/>
      <c r="BF89" s="345"/>
      <c r="BG89" s="345"/>
      <c r="BH89" s="345"/>
      <c r="BI89" s="345"/>
      <c r="BJ89" s="345"/>
      <c r="BK89" s="345"/>
    </row>
    <row r="90" spans="1:73" s="125" customFormat="1" x14ac:dyDescent="0.3">
      <c r="A90" s="125" t="s">
        <v>260</v>
      </c>
      <c r="C90" s="8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>
        <f t="shared" si="44"/>
        <v>2</v>
      </c>
      <c r="S90" s="345"/>
      <c r="T90" s="345"/>
      <c r="U90" s="345"/>
      <c r="V90" s="345"/>
      <c r="W90" s="345"/>
      <c r="X90" s="345"/>
      <c r="Y90" s="345"/>
      <c r="Z90" s="345"/>
      <c r="AA90" s="345"/>
      <c r="AB90" s="345"/>
      <c r="AC90" s="345"/>
      <c r="AD90" s="345"/>
      <c r="AE90" s="345"/>
      <c r="AF90" s="345"/>
      <c r="AG90" s="345"/>
      <c r="AH90" s="345"/>
      <c r="AI90" s="345"/>
      <c r="AJ90" s="345"/>
      <c r="AK90" s="345"/>
      <c r="AL90" s="345"/>
      <c r="AM90" s="345"/>
      <c r="AN90" s="345"/>
      <c r="AO90" s="345"/>
      <c r="AP90" s="345"/>
      <c r="AQ90" s="345"/>
      <c r="AR90" s="345"/>
      <c r="AS90" s="345"/>
      <c r="AT90" s="345"/>
      <c r="AU90" s="345"/>
      <c r="AV90" s="345"/>
      <c r="AW90" s="345"/>
      <c r="AX90" s="345"/>
      <c r="AY90" s="345"/>
      <c r="AZ90" s="345"/>
      <c r="BA90" s="345"/>
      <c r="BB90" s="345"/>
      <c r="BC90" s="345"/>
      <c r="BD90" s="345"/>
      <c r="BE90" s="345"/>
      <c r="BF90" s="345"/>
      <c r="BG90" s="345"/>
      <c r="BH90" s="345"/>
      <c r="BI90" s="345"/>
      <c r="BJ90" s="345"/>
      <c r="BK90" s="345"/>
    </row>
    <row r="91" spans="1:73" ht="12" customHeight="1" x14ac:dyDescent="0.3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298"/>
      <c r="AG91" s="298"/>
      <c r="AH91" s="298"/>
      <c r="AI91" s="298"/>
      <c r="AJ91" s="298"/>
      <c r="AK91" s="298"/>
      <c r="AL91" s="298"/>
      <c r="AM91" s="298"/>
      <c r="AN91" s="298"/>
      <c r="AO91" s="298"/>
      <c r="AP91" s="298"/>
      <c r="AQ91" s="298"/>
      <c r="AR91" s="298"/>
      <c r="AS91" s="298"/>
      <c r="AT91" s="298"/>
      <c r="AU91" s="298"/>
      <c r="AV91" s="298"/>
      <c r="AW91" s="298"/>
      <c r="AX91" s="298"/>
      <c r="AY91" s="298"/>
      <c r="AZ91" s="298"/>
      <c r="BA91" s="298"/>
      <c r="BB91" s="298"/>
      <c r="BC91" s="298"/>
      <c r="BD91" s="298"/>
      <c r="BE91" s="298"/>
      <c r="BF91" s="298"/>
      <c r="BG91" s="298"/>
      <c r="BH91" s="298"/>
      <c r="BI91" s="298"/>
      <c r="BJ91" s="298"/>
      <c r="BK91" s="298"/>
      <c r="BL91" s="298"/>
      <c r="BM91" s="298"/>
      <c r="BN91" s="298"/>
      <c r="BO91" s="298"/>
      <c r="BP91" s="298"/>
      <c r="BQ91" s="298"/>
      <c r="BR91" s="298"/>
      <c r="BS91" s="298"/>
      <c r="BT91" s="298"/>
      <c r="BU91" s="298"/>
    </row>
    <row r="95" spans="1:73" x14ac:dyDescent="0.3"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</row>
    <row r="96" spans="1:73" x14ac:dyDescent="0.3"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</row>
    <row r="97" spans="22:54" x14ac:dyDescent="0.3"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</row>
    <row r="98" spans="22:54" x14ac:dyDescent="0.3">
      <c r="AD98" s="264"/>
      <c r="AE98" s="264"/>
      <c r="AF98" s="264"/>
      <c r="AG98" s="264"/>
      <c r="AH98" s="264"/>
      <c r="AI98" s="264"/>
      <c r="AJ98" s="264"/>
      <c r="AK98" s="264"/>
      <c r="AL98" s="264"/>
      <c r="AM98" s="264"/>
      <c r="AN98" s="264"/>
      <c r="AO98" s="264"/>
      <c r="AP98" s="264"/>
      <c r="AQ98" s="264"/>
      <c r="AR98" s="264"/>
      <c r="AS98" s="264"/>
      <c r="AT98" s="264"/>
      <c r="AU98" s="264"/>
      <c r="AV98" s="264"/>
      <c r="AW98" s="264"/>
      <c r="AX98" s="264"/>
      <c r="AY98" s="264"/>
      <c r="AZ98" s="264"/>
      <c r="BA98" s="264"/>
      <c r="BB98" s="264"/>
    </row>
    <row r="99" spans="22:54" x14ac:dyDescent="0.3">
      <c r="AD99" s="264"/>
      <c r="AE99" s="264"/>
      <c r="AF99" s="264"/>
      <c r="AG99" s="264"/>
      <c r="AH99" s="264"/>
      <c r="AI99" s="264"/>
      <c r="AJ99" s="264"/>
      <c r="AK99" s="264"/>
      <c r="AL99" s="264"/>
      <c r="AM99" s="264"/>
      <c r="AN99" s="264"/>
      <c r="AO99" s="264"/>
      <c r="AP99" s="264"/>
      <c r="AQ99" s="264"/>
      <c r="AR99" s="264"/>
      <c r="AS99" s="264"/>
      <c r="AT99" s="264"/>
      <c r="AU99" s="264"/>
      <c r="AV99" s="264"/>
      <c r="AW99" s="264"/>
      <c r="AX99" s="264"/>
      <c r="AY99" s="264"/>
      <c r="AZ99" s="264"/>
      <c r="BA99" s="264"/>
      <c r="BB99" s="264"/>
    </row>
    <row r="100" spans="22:54" x14ac:dyDescent="0.3">
      <c r="AD100" s="264"/>
      <c r="AE100" s="264"/>
      <c r="AF100" s="264"/>
      <c r="AG100" s="264"/>
      <c r="AH100" s="264"/>
      <c r="AI100" s="264"/>
      <c r="AJ100" s="264"/>
      <c r="AK100" s="264"/>
      <c r="AL100" s="264"/>
      <c r="AM100" s="264"/>
      <c r="AN100" s="264"/>
      <c r="AO100" s="264"/>
      <c r="AP100" s="264"/>
      <c r="AQ100" s="264"/>
      <c r="AR100" s="264"/>
      <c r="AS100" s="264"/>
      <c r="AT100" s="264"/>
      <c r="AU100" s="264"/>
      <c r="AV100" s="264"/>
      <c r="AW100" s="264"/>
      <c r="AX100" s="264"/>
      <c r="AY100" s="264"/>
      <c r="AZ100" s="264"/>
      <c r="BA100" s="264"/>
      <c r="BB100" s="264"/>
    </row>
    <row r="101" spans="22:54" x14ac:dyDescent="0.3">
      <c r="AD101" s="264"/>
      <c r="AE101" s="264"/>
      <c r="AF101" s="264"/>
      <c r="AG101" s="264"/>
      <c r="AH101" s="264"/>
      <c r="AI101" s="264"/>
      <c r="AJ101" s="264"/>
      <c r="AK101" s="264"/>
      <c r="AL101" s="264"/>
      <c r="AM101" s="264"/>
      <c r="AN101" s="264"/>
      <c r="AO101" s="264"/>
      <c r="AP101" s="264"/>
      <c r="AQ101" s="264"/>
      <c r="AR101" s="264"/>
      <c r="AS101" s="264"/>
      <c r="AT101" s="264"/>
      <c r="AU101" s="264"/>
      <c r="AV101" s="264"/>
      <c r="AW101" s="264"/>
      <c r="AX101" s="264"/>
      <c r="AY101" s="264"/>
      <c r="AZ101" s="264"/>
      <c r="BA101" s="264"/>
      <c r="BB101" s="264"/>
    </row>
    <row r="102" spans="22:54" x14ac:dyDescent="0.3">
      <c r="AD102" s="264"/>
      <c r="AE102" s="264"/>
      <c r="AF102" s="264"/>
      <c r="AG102" s="264"/>
      <c r="AH102" s="264"/>
      <c r="AI102" s="264"/>
      <c r="AJ102" s="264"/>
      <c r="AK102" s="264"/>
      <c r="AL102" s="264"/>
      <c r="AM102" s="264"/>
      <c r="AN102" s="264"/>
      <c r="AO102" s="264"/>
      <c r="AP102" s="264"/>
      <c r="AQ102" s="264"/>
      <c r="AR102" s="264"/>
      <c r="AS102" s="264"/>
      <c r="AT102" s="264"/>
      <c r="AU102" s="264"/>
      <c r="AV102" s="264"/>
      <c r="AW102" s="264"/>
      <c r="AX102" s="264"/>
      <c r="AY102" s="264"/>
      <c r="AZ102" s="264"/>
      <c r="BA102" s="264"/>
      <c r="BB102" s="264"/>
    </row>
    <row r="103" spans="22:54" x14ac:dyDescent="0.3">
      <c r="AD103" s="264"/>
      <c r="AE103" s="264"/>
      <c r="AF103" s="264"/>
      <c r="AG103" s="264"/>
      <c r="AH103" s="264"/>
      <c r="AI103" s="264"/>
      <c r="AJ103" s="264"/>
      <c r="AK103" s="264"/>
      <c r="AL103" s="264"/>
      <c r="AM103" s="264"/>
      <c r="AN103" s="264"/>
      <c r="AO103" s="264"/>
      <c r="AP103" s="264"/>
      <c r="AQ103" s="264"/>
      <c r="AR103" s="264"/>
      <c r="AS103" s="264"/>
      <c r="AT103" s="264"/>
      <c r="AU103" s="264"/>
      <c r="AV103" s="264"/>
      <c r="AW103" s="264"/>
      <c r="AX103" s="264"/>
      <c r="AY103" s="264"/>
      <c r="AZ103" s="264"/>
      <c r="BA103" s="264"/>
      <c r="BB103" s="264"/>
    </row>
    <row r="104" spans="22:54" x14ac:dyDescent="0.3">
      <c r="AD104" s="264"/>
      <c r="AE104" s="264"/>
      <c r="AF104" s="264"/>
      <c r="AG104" s="264"/>
      <c r="AH104" s="264"/>
      <c r="AI104" s="264"/>
      <c r="AJ104" s="264"/>
      <c r="AK104" s="264"/>
      <c r="AL104" s="264"/>
      <c r="AM104" s="264"/>
      <c r="AN104" s="264"/>
      <c r="AO104" s="264"/>
      <c r="AP104" s="264"/>
      <c r="AQ104" s="264"/>
      <c r="AR104" s="264"/>
      <c r="AS104" s="264"/>
      <c r="AT104" s="264"/>
      <c r="AU104" s="264"/>
      <c r="AV104" s="264"/>
      <c r="AW104" s="264"/>
      <c r="AX104" s="264"/>
      <c r="AY104" s="264"/>
      <c r="AZ104" s="264"/>
      <c r="BA104" s="264"/>
      <c r="BB104" s="264"/>
    </row>
    <row r="105" spans="22:54" x14ac:dyDescent="0.3">
      <c r="AD105" s="264"/>
      <c r="AE105" s="264"/>
      <c r="AF105" s="264"/>
      <c r="AG105" s="264"/>
      <c r="AH105" s="264"/>
      <c r="AI105" s="264"/>
      <c r="AJ105" s="264"/>
      <c r="AK105" s="264"/>
      <c r="AL105" s="264"/>
      <c r="AM105" s="264"/>
      <c r="AN105" s="264"/>
      <c r="AO105" s="264"/>
      <c r="AP105" s="264"/>
      <c r="AQ105" s="264"/>
      <c r="AR105" s="264"/>
      <c r="AS105" s="264"/>
      <c r="AT105" s="264"/>
      <c r="AU105" s="264"/>
      <c r="AV105" s="264"/>
      <c r="AW105" s="264"/>
      <c r="AX105" s="264"/>
      <c r="AY105" s="264"/>
      <c r="AZ105" s="264"/>
      <c r="BA105" s="264"/>
      <c r="BB105" s="264"/>
    </row>
    <row r="106" spans="22:54" x14ac:dyDescent="0.3">
      <c r="AD106" s="264"/>
      <c r="AE106" s="264"/>
      <c r="AF106" s="264"/>
      <c r="AG106" s="264"/>
      <c r="AH106" s="264"/>
      <c r="AI106" s="264"/>
      <c r="AJ106" s="264"/>
      <c r="AK106" s="264"/>
      <c r="AL106" s="264"/>
      <c r="AM106" s="264"/>
      <c r="AN106" s="264"/>
      <c r="AO106" s="264"/>
      <c r="AP106" s="264"/>
      <c r="AQ106" s="264"/>
      <c r="AR106" s="264"/>
      <c r="AS106" s="264"/>
      <c r="AT106" s="264"/>
      <c r="AU106" s="264"/>
      <c r="AV106" s="264"/>
      <c r="AW106" s="264"/>
      <c r="AX106" s="264"/>
      <c r="AY106" s="264"/>
      <c r="AZ106" s="264"/>
      <c r="BA106" s="264"/>
      <c r="BB106" s="264"/>
    </row>
  </sheetData>
  <mergeCells count="36">
    <mergeCell ref="BL1:BM1"/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A56:B56"/>
    <mergeCell ref="D1:E1"/>
    <mergeCell ref="F1:G1"/>
    <mergeCell ref="L1:M1"/>
    <mergeCell ref="H1:I1"/>
    <mergeCell ref="J1:K1"/>
    <mergeCell ref="A21:B21"/>
    <mergeCell ref="A22:B22"/>
    <mergeCell ref="A23:B23"/>
    <mergeCell ref="A24:B24"/>
    <mergeCell ref="BB1:BC1"/>
    <mergeCell ref="AX1:AY1"/>
    <mergeCell ref="AV1:AW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0"/>
  <sheetViews>
    <sheetView topLeftCell="A13" zoomScaleNormal="100" workbookViewId="0">
      <selection activeCell="J41" sqref="J41"/>
    </sheetView>
  </sheetViews>
  <sheetFormatPr baseColWidth="10" defaultColWidth="15.109375" defaultRowHeight="14.4" x14ac:dyDescent="0.3"/>
  <cols>
    <col min="1" max="1" width="39.33203125" customWidth="1"/>
    <col min="2" max="2" width="15.33203125" customWidth="1"/>
    <col min="3" max="3" width="10.6640625" customWidth="1"/>
    <col min="4" max="4" width="11.5546875" bestFit="1" customWidth="1"/>
    <col min="5" max="21" width="10.6640625" customWidth="1"/>
    <col min="22" max="22" width="10.88671875" customWidth="1"/>
    <col min="23" max="30" width="10.6640625" customWidth="1"/>
    <col min="31" max="31" width="11.33203125" customWidth="1"/>
    <col min="32" max="32" width="10.6640625" customWidth="1"/>
    <col min="33" max="33" width="10.109375" bestFit="1" customWidth="1"/>
  </cols>
  <sheetData>
    <row r="1" spans="1:33" ht="24" x14ac:dyDescent="0.5">
      <c r="A1" s="128" t="s">
        <v>172</v>
      </c>
      <c r="B1" s="78"/>
    </row>
    <row r="3" spans="1:33" x14ac:dyDescent="0.3">
      <c r="A3" s="79"/>
      <c r="B3" s="79"/>
      <c r="C3" s="94">
        <v>45778</v>
      </c>
      <c r="D3" s="94">
        <v>45779</v>
      </c>
      <c r="E3" s="94">
        <v>45780</v>
      </c>
      <c r="F3" s="94">
        <v>45781</v>
      </c>
      <c r="G3" s="94">
        <v>45782</v>
      </c>
      <c r="H3" s="94">
        <v>45783</v>
      </c>
      <c r="I3" s="94">
        <v>45784</v>
      </c>
      <c r="J3" s="94">
        <v>45785</v>
      </c>
      <c r="K3" s="94">
        <v>45786</v>
      </c>
      <c r="L3" s="94">
        <v>45787</v>
      </c>
      <c r="M3" s="94">
        <v>45788</v>
      </c>
      <c r="N3" s="94">
        <v>45789</v>
      </c>
      <c r="O3" s="94">
        <v>45790</v>
      </c>
      <c r="P3" s="94">
        <v>45791</v>
      </c>
      <c r="Q3" s="94">
        <v>45792</v>
      </c>
      <c r="R3" s="94">
        <v>45793</v>
      </c>
      <c r="S3" s="94">
        <v>45794</v>
      </c>
      <c r="T3" s="94">
        <v>45795</v>
      </c>
      <c r="U3" s="94">
        <v>45796</v>
      </c>
      <c r="V3" s="94">
        <v>45797</v>
      </c>
      <c r="W3" s="94">
        <v>45798</v>
      </c>
      <c r="X3" s="94">
        <v>45799</v>
      </c>
      <c r="Y3" s="94">
        <v>45800</v>
      </c>
      <c r="Z3" s="94">
        <v>45801</v>
      </c>
      <c r="AA3" s="94">
        <v>45802</v>
      </c>
      <c r="AB3" s="94">
        <v>45803</v>
      </c>
      <c r="AC3" s="94">
        <v>45804</v>
      </c>
      <c r="AD3" s="94">
        <v>45805</v>
      </c>
      <c r="AE3" s="94">
        <v>45806</v>
      </c>
      <c r="AF3" s="94">
        <v>45807</v>
      </c>
      <c r="AG3" s="94">
        <v>45808</v>
      </c>
    </row>
    <row r="4" spans="1:33" x14ac:dyDescent="0.3">
      <c r="A4" s="80" t="s">
        <v>85</v>
      </c>
      <c r="B4" s="81" t="s">
        <v>86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</row>
    <row r="5" spans="1:33" s="86" customFormat="1" ht="13.8" x14ac:dyDescent="0.25">
      <c r="A5" s="82" t="s">
        <v>74</v>
      </c>
      <c r="B5" s="83">
        <v>43.13</v>
      </c>
      <c r="C5" s="96">
        <f>'Data Ocupacion'!D59</f>
        <v>54</v>
      </c>
      <c r="D5" s="96">
        <f>'Data Ocupacion'!F59</f>
        <v>79</v>
      </c>
      <c r="E5" s="96">
        <f>'Data Ocupacion'!H59</f>
        <v>72</v>
      </c>
      <c r="F5" s="96">
        <f>'Data Ocupacion'!J59</f>
        <v>54</v>
      </c>
      <c r="G5" s="96">
        <f>'Data Ocupacion'!L59</f>
        <v>79</v>
      </c>
      <c r="H5" s="96">
        <f>'Data Ocupacion'!N59</f>
        <v>79</v>
      </c>
      <c r="I5" s="96">
        <f>'Data Ocupacion'!P59</f>
        <v>79</v>
      </c>
      <c r="J5" s="96">
        <f>'Data Ocupacion'!R59</f>
        <v>55</v>
      </c>
      <c r="K5" s="96">
        <f>'Data Ocupacion'!T59</f>
        <v>79</v>
      </c>
      <c r="L5" s="96">
        <f>'Data Ocupacion'!V59</f>
        <v>72</v>
      </c>
      <c r="M5" s="96">
        <f>'Data Ocupacion'!X59</f>
        <v>54</v>
      </c>
      <c r="N5" s="96">
        <f>'Data Ocupacion'!Z59</f>
        <v>79</v>
      </c>
      <c r="O5" s="96">
        <f>'Data Ocupacion'!AB59</f>
        <v>79</v>
      </c>
      <c r="P5" s="96">
        <f>'Data Ocupacion'!AD59</f>
        <v>79</v>
      </c>
      <c r="Q5" s="96">
        <f>'Data Ocupacion'!AF59</f>
        <v>79</v>
      </c>
      <c r="R5" s="96">
        <f>'Data Ocupacion'!AH59</f>
        <v>79</v>
      </c>
      <c r="S5" s="96">
        <f>'Data Ocupacion'!AJ59</f>
        <v>72</v>
      </c>
      <c r="T5" s="96">
        <f>'Data Ocupacion'!AL59</f>
        <v>54</v>
      </c>
      <c r="U5" s="96">
        <f>'Data Ocupacion'!AN59</f>
        <v>79</v>
      </c>
      <c r="V5" s="96">
        <f>'Data Ocupacion'!AP59</f>
        <v>79</v>
      </c>
      <c r="W5" s="96">
        <f>'Data Ocupacion'!AR59</f>
        <v>54</v>
      </c>
      <c r="X5" s="96">
        <f>'Data Ocupacion'!AT59</f>
        <v>79</v>
      </c>
      <c r="Y5" s="96">
        <f>'Data Ocupacion'!AV59</f>
        <v>79</v>
      </c>
      <c r="Z5" s="96">
        <f>'Data Ocupacion'!AX59</f>
        <v>72</v>
      </c>
      <c r="AA5" s="96">
        <f>'Data Ocupacion'!AZ59</f>
        <v>54</v>
      </c>
      <c r="AB5" s="96">
        <f>'Data Ocupacion'!BB59</f>
        <v>79</v>
      </c>
      <c r="AC5" s="96">
        <f>'Data Ocupacion'!BD59</f>
        <v>79</v>
      </c>
      <c r="AD5" s="96">
        <f>'Data Ocupacion'!BF59</f>
        <v>79</v>
      </c>
      <c r="AE5" s="96">
        <f>'Data Ocupacion'!BH59</f>
        <v>79</v>
      </c>
      <c r="AF5" s="96">
        <f>'Data Ocupacion'!BJ59</f>
        <v>79</v>
      </c>
      <c r="AG5" s="96">
        <f>'Data Ocupacion'!BL59</f>
        <v>72</v>
      </c>
    </row>
    <row r="6" spans="1:33" s="86" customFormat="1" ht="13.8" x14ac:dyDescent="0.25">
      <c r="A6" s="82" t="s">
        <v>77</v>
      </c>
      <c r="B6" s="83">
        <v>43.13</v>
      </c>
      <c r="C6" s="96">
        <f>'Data Ocupacion'!D60</f>
        <v>57</v>
      </c>
      <c r="D6" s="96">
        <f>'Data Ocupacion'!F60</f>
        <v>78</v>
      </c>
      <c r="E6" s="96">
        <f>'Data Ocupacion'!H60</f>
        <v>75</v>
      </c>
      <c r="F6" s="96">
        <f>'Data Ocupacion'!J60</f>
        <v>57</v>
      </c>
      <c r="G6" s="96">
        <f>'Data Ocupacion'!L60</f>
        <v>78</v>
      </c>
      <c r="H6" s="96">
        <f>'Data Ocupacion'!N60</f>
        <v>78</v>
      </c>
      <c r="I6" s="96">
        <f>'Data Ocupacion'!P60</f>
        <v>78</v>
      </c>
      <c r="J6" s="96">
        <f>'Data Ocupacion'!R60</f>
        <v>56</v>
      </c>
      <c r="K6" s="96">
        <f>'Data Ocupacion'!T60</f>
        <v>78</v>
      </c>
      <c r="L6" s="96">
        <f>'Data Ocupacion'!V60</f>
        <v>75</v>
      </c>
      <c r="M6" s="96">
        <f>'Data Ocupacion'!X60</f>
        <v>57</v>
      </c>
      <c r="N6" s="96">
        <f>'Data Ocupacion'!Z60</f>
        <v>78</v>
      </c>
      <c r="O6" s="96">
        <f>'Data Ocupacion'!AB60</f>
        <v>78</v>
      </c>
      <c r="P6" s="96">
        <f>'Data Ocupacion'!AD60</f>
        <v>78</v>
      </c>
      <c r="Q6" s="96">
        <f>'Data Ocupacion'!AF60</f>
        <v>78</v>
      </c>
      <c r="R6" s="96">
        <f>'Data Ocupacion'!AH60</f>
        <v>78</v>
      </c>
      <c r="S6" s="96">
        <f>'Data Ocupacion'!AJ60</f>
        <v>75</v>
      </c>
      <c r="T6" s="96">
        <f>'Data Ocupacion'!AL60</f>
        <v>57</v>
      </c>
      <c r="U6" s="96">
        <f>'Data Ocupacion'!AN60</f>
        <v>78</v>
      </c>
      <c r="V6" s="96">
        <f>'Data Ocupacion'!AP60</f>
        <v>78</v>
      </c>
      <c r="W6" s="96">
        <f>'Data Ocupacion'!AR60</f>
        <v>57</v>
      </c>
      <c r="X6" s="96">
        <f>'Data Ocupacion'!AT60</f>
        <v>78</v>
      </c>
      <c r="Y6" s="96">
        <f>'Data Ocupacion'!AV60</f>
        <v>78</v>
      </c>
      <c r="Z6" s="96">
        <f>'Data Ocupacion'!AX60</f>
        <v>75</v>
      </c>
      <c r="AA6" s="96">
        <f>'Data Ocupacion'!AZ60</f>
        <v>57</v>
      </c>
      <c r="AB6" s="96">
        <f>'Data Ocupacion'!BB60</f>
        <v>78</v>
      </c>
      <c r="AC6" s="96">
        <f>'Data Ocupacion'!BD60</f>
        <v>78</v>
      </c>
      <c r="AD6" s="96">
        <f>'Data Ocupacion'!BF60</f>
        <v>78</v>
      </c>
      <c r="AE6" s="96">
        <f>'Data Ocupacion'!BH60</f>
        <v>78</v>
      </c>
      <c r="AF6" s="96">
        <f>'Data Ocupacion'!BJ60</f>
        <v>78</v>
      </c>
      <c r="AG6" s="96">
        <f>'Data Ocupacion'!BL60</f>
        <v>75</v>
      </c>
    </row>
    <row r="7" spans="1:33" s="86" customFormat="1" ht="13.8" x14ac:dyDescent="0.25">
      <c r="A7" s="82" t="s">
        <v>73</v>
      </c>
      <c r="B7" s="83">
        <v>29.11</v>
      </c>
      <c r="C7" s="96">
        <f>'Data Ocupacion'!D61</f>
        <v>0</v>
      </c>
      <c r="D7" s="96">
        <f>'Data Ocupacion'!F61</f>
        <v>33</v>
      </c>
      <c r="E7" s="96">
        <f>'Data Ocupacion'!H61</f>
        <v>0</v>
      </c>
      <c r="F7" s="96">
        <f>'Data Ocupacion'!J61</f>
        <v>0</v>
      </c>
      <c r="G7" s="96">
        <f>'Data Ocupacion'!L61</f>
        <v>33</v>
      </c>
      <c r="H7" s="96">
        <f>'Data Ocupacion'!N61</f>
        <v>33</v>
      </c>
      <c r="I7" s="96">
        <f>'Data Ocupacion'!P61</f>
        <v>33</v>
      </c>
      <c r="J7" s="96">
        <f>'Data Ocupacion'!R61</f>
        <v>21</v>
      </c>
      <c r="K7" s="96">
        <f>'Data Ocupacion'!T61</f>
        <v>33</v>
      </c>
      <c r="L7" s="96">
        <f>'Data Ocupacion'!V61</f>
        <v>0</v>
      </c>
      <c r="M7" s="96">
        <f>'Data Ocupacion'!X61</f>
        <v>0</v>
      </c>
      <c r="N7" s="96">
        <f>'Data Ocupacion'!Z61</f>
        <v>33</v>
      </c>
      <c r="O7" s="96">
        <f>'Data Ocupacion'!AB61</f>
        <v>33</v>
      </c>
      <c r="P7" s="96">
        <f>'Data Ocupacion'!AD61</f>
        <v>33</v>
      </c>
      <c r="Q7" s="96">
        <f>'Data Ocupacion'!AF61</f>
        <v>33</v>
      </c>
      <c r="R7" s="96">
        <f>'Data Ocupacion'!AH61</f>
        <v>33</v>
      </c>
      <c r="S7" s="96">
        <f>'Data Ocupacion'!AJ61</f>
        <v>0</v>
      </c>
      <c r="T7" s="96">
        <f>'Data Ocupacion'!AL61</f>
        <v>0</v>
      </c>
      <c r="U7" s="96">
        <f>'Data Ocupacion'!AN61</f>
        <v>33</v>
      </c>
      <c r="V7" s="96">
        <f>'Data Ocupacion'!AP61</f>
        <v>33</v>
      </c>
      <c r="W7" s="96">
        <f>'Data Ocupacion'!AR61</f>
        <v>0</v>
      </c>
      <c r="X7" s="96">
        <f>'Data Ocupacion'!AT61</f>
        <v>33</v>
      </c>
      <c r="Y7" s="96">
        <f>'Data Ocupacion'!AV61</f>
        <v>33</v>
      </c>
      <c r="Z7" s="96">
        <f>'Data Ocupacion'!AX61</f>
        <v>0</v>
      </c>
      <c r="AA7" s="96">
        <f>'Data Ocupacion'!AZ61</f>
        <v>0</v>
      </c>
      <c r="AB7" s="96">
        <f>'Data Ocupacion'!BB61</f>
        <v>33</v>
      </c>
      <c r="AC7" s="96">
        <f>'Data Ocupacion'!BD61</f>
        <v>33</v>
      </c>
      <c r="AD7" s="96">
        <f>'Data Ocupacion'!BF61</f>
        <v>33</v>
      </c>
      <c r="AE7" s="96">
        <f>'Data Ocupacion'!BH61</f>
        <v>33</v>
      </c>
      <c r="AF7" s="96">
        <f>'Data Ocupacion'!BJ61</f>
        <v>33</v>
      </c>
      <c r="AG7" s="96">
        <f>'Data Ocupacion'!BL61</f>
        <v>0</v>
      </c>
    </row>
    <row r="8" spans="1:33" s="86" customFormat="1" ht="13.8" x14ac:dyDescent="0.25">
      <c r="A8" s="82" t="s">
        <v>75</v>
      </c>
      <c r="B8" s="83">
        <v>29.11</v>
      </c>
      <c r="C8" s="96">
        <f>'Data Ocupacion'!D62</f>
        <v>0</v>
      </c>
      <c r="D8" s="96">
        <f>'Data Ocupacion'!F62</f>
        <v>32</v>
      </c>
      <c r="E8" s="96">
        <f>'Data Ocupacion'!H62</f>
        <v>0</v>
      </c>
      <c r="F8" s="96">
        <f>'Data Ocupacion'!J62</f>
        <v>0</v>
      </c>
      <c r="G8" s="96">
        <f>'Data Ocupacion'!L62</f>
        <v>32</v>
      </c>
      <c r="H8" s="96">
        <f>'Data Ocupacion'!N62</f>
        <v>32</v>
      </c>
      <c r="I8" s="96">
        <f>'Data Ocupacion'!P62</f>
        <v>32</v>
      </c>
      <c r="J8" s="96">
        <f>'Data Ocupacion'!R62</f>
        <v>21</v>
      </c>
      <c r="K8" s="96">
        <f>'Data Ocupacion'!T62</f>
        <v>32</v>
      </c>
      <c r="L8" s="96">
        <f>'Data Ocupacion'!V62</f>
        <v>0</v>
      </c>
      <c r="M8" s="96">
        <f>'Data Ocupacion'!X62</f>
        <v>0</v>
      </c>
      <c r="N8" s="96">
        <f>'Data Ocupacion'!Z62</f>
        <v>32</v>
      </c>
      <c r="O8" s="96">
        <f>'Data Ocupacion'!AB62</f>
        <v>32</v>
      </c>
      <c r="P8" s="96">
        <f>'Data Ocupacion'!AD62</f>
        <v>32</v>
      </c>
      <c r="Q8" s="96">
        <f>'Data Ocupacion'!AF62</f>
        <v>32</v>
      </c>
      <c r="R8" s="96">
        <f>'Data Ocupacion'!AH62</f>
        <v>32</v>
      </c>
      <c r="S8" s="96">
        <f>'Data Ocupacion'!AJ62</f>
        <v>0</v>
      </c>
      <c r="T8" s="96">
        <f>'Data Ocupacion'!AL62</f>
        <v>0</v>
      </c>
      <c r="U8" s="96">
        <f>'Data Ocupacion'!AN62</f>
        <v>32</v>
      </c>
      <c r="V8" s="96">
        <f>'Data Ocupacion'!AP62</f>
        <v>32</v>
      </c>
      <c r="W8" s="96">
        <f>'Data Ocupacion'!AR62</f>
        <v>0</v>
      </c>
      <c r="X8" s="96">
        <f>'Data Ocupacion'!AT62</f>
        <v>32</v>
      </c>
      <c r="Y8" s="96">
        <f>'Data Ocupacion'!AV62</f>
        <v>32</v>
      </c>
      <c r="Z8" s="96">
        <f>'Data Ocupacion'!AX62</f>
        <v>0</v>
      </c>
      <c r="AA8" s="96">
        <f>'Data Ocupacion'!AZ62</f>
        <v>0</v>
      </c>
      <c r="AB8" s="96">
        <f>'Data Ocupacion'!BB62</f>
        <v>32</v>
      </c>
      <c r="AC8" s="96">
        <f>'Data Ocupacion'!BD62</f>
        <v>32</v>
      </c>
      <c r="AD8" s="96">
        <f>'Data Ocupacion'!BF62</f>
        <v>32</v>
      </c>
      <c r="AE8" s="96">
        <f>'Data Ocupacion'!BH62</f>
        <v>32</v>
      </c>
      <c r="AF8" s="96">
        <f>'Data Ocupacion'!BJ62</f>
        <v>32</v>
      </c>
      <c r="AG8" s="96">
        <f>'Data Ocupacion'!BL62</f>
        <v>0</v>
      </c>
    </row>
    <row r="9" spans="1:33" s="86" customFormat="1" ht="13.8" x14ac:dyDescent="0.25">
      <c r="A9" s="82" t="s">
        <v>123</v>
      </c>
      <c r="B9" s="83">
        <v>25.4</v>
      </c>
      <c r="C9" s="96">
        <f>'Data Ocupacion'!D63</f>
        <v>0</v>
      </c>
      <c r="D9" s="96">
        <f>'Data Ocupacion'!F63</f>
        <v>0</v>
      </c>
      <c r="E9" s="96">
        <f>'Data Ocupacion'!H63</f>
        <v>0</v>
      </c>
      <c r="F9" s="96">
        <f>'Data Ocupacion'!J63</f>
        <v>0</v>
      </c>
      <c r="G9" s="96">
        <f>'Data Ocupacion'!L63</f>
        <v>0</v>
      </c>
      <c r="H9" s="96">
        <f>'Data Ocupacion'!N63</f>
        <v>0</v>
      </c>
      <c r="I9" s="96">
        <f>'Data Ocupacion'!P63</f>
        <v>0</v>
      </c>
      <c r="J9" s="96">
        <f>'Data Ocupacion'!R63</f>
        <v>0</v>
      </c>
      <c r="K9" s="96">
        <f>'Data Ocupacion'!T63</f>
        <v>0</v>
      </c>
      <c r="L9" s="96">
        <f>'Data Ocupacion'!V63</f>
        <v>0</v>
      </c>
      <c r="M9" s="96">
        <f>'Data Ocupacion'!X63</f>
        <v>0</v>
      </c>
      <c r="N9" s="96">
        <f>'Data Ocupacion'!Z63</f>
        <v>0</v>
      </c>
      <c r="O9" s="96">
        <f>'Data Ocupacion'!AB63</f>
        <v>0</v>
      </c>
      <c r="P9" s="96">
        <f>'Data Ocupacion'!AD63</f>
        <v>0</v>
      </c>
      <c r="Q9" s="96">
        <f>'Data Ocupacion'!AF63</f>
        <v>0</v>
      </c>
      <c r="R9" s="96">
        <f>'Data Ocupacion'!AH63</f>
        <v>0</v>
      </c>
      <c r="S9" s="96">
        <f>'Data Ocupacion'!AJ63</f>
        <v>0</v>
      </c>
      <c r="T9" s="96">
        <f>'Data Ocupacion'!AL63</f>
        <v>0</v>
      </c>
      <c r="U9" s="96">
        <f>'Data Ocupacion'!AN63</f>
        <v>0</v>
      </c>
      <c r="V9" s="96">
        <f>'Data Ocupacion'!AP63</f>
        <v>0</v>
      </c>
      <c r="W9" s="96">
        <f>'Data Ocupacion'!AR63</f>
        <v>0</v>
      </c>
      <c r="X9" s="96">
        <f>'Data Ocupacion'!AT63</f>
        <v>0</v>
      </c>
      <c r="Y9" s="96">
        <f>'Data Ocupacion'!AV63</f>
        <v>0</v>
      </c>
      <c r="Z9" s="96">
        <f>'Data Ocupacion'!AX63</f>
        <v>0</v>
      </c>
      <c r="AA9" s="96">
        <f>'Data Ocupacion'!AZ63</f>
        <v>0</v>
      </c>
      <c r="AB9" s="96">
        <f>'Data Ocupacion'!BB63</f>
        <v>0</v>
      </c>
      <c r="AC9" s="96">
        <f>'Data Ocupacion'!BD63</f>
        <v>0</v>
      </c>
      <c r="AD9" s="96">
        <f>'Data Ocupacion'!BF63</f>
        <v>0</v>
      </c>
      <c r="AE9" s="96">
        <f>'Data Ocupacion'!BH63</f>
        <v>0</v>
      </c>
      <c r="AF9" s="96">
        <f>'Data Ocupacion'!BJ63</f>
        <v>0</v>
      </c>
      <c r="AG9" s="96">
        <f>'Data Ocupacion'!BL63</f>
        <v>0</v>
      </c>
    </row>
    <row r="10" spans="1:33" s="86" customFormat="1" ht="13.8" x14ac:dyDescent="0.25">
      <c r="A10" s="216" t="s">
        <v>76</v>
      </c>
      <c r="B10" s="83">
        <v>25.4</v>
      </c>
      <c r="C10" s="96">
        <f>'Data Ocupacion'!D64</f>
        <v>0</v>
      </c>
      <c r="D10" s="96">
        <f>'Data Ocupacion'!F64</f>
        <v>1</v>
      </c>
      <c r="E10" s="96">
        <f>'Data Ocupacion'!H64</f>
        <v>0</v>
      </c>
      <c r="F10" s="96">
        <f>'Data Ocupacion'!J64</f>
        <v>0</v>
      </c>
      <c r="G10" s="96">
        <f>'Data Ocupacion'!L64</f>
        <v>1</v>
      </c>
      <c r="H10" s="96">
        <f>'Data Ocupacion'!N64</f>
        <v>1</v>
      </c>
      <c r="I10" s="96">
        <f>'Data Ocupacion'!P64</f>
        <v>1</v>
      </c>
      <c r="J10" s="96">
        <f>'Data Ocupacion'!R64</f>
        <v>1</v>
      </c>
      <c r="K10" s="96">
        <f>'Data Ocupacion'!T64</f>
        <v>1</v>
      </c>
      <c r="L10" s="96">
        <f>'Data Ocupacion'!V64</f>
        <v>0</v>
      </c>
      <c r="M10" s="96">
        <f>'Data Ocupacion'!X64</f>
        <v>0</v>
      </c>
      <c r="N10" s="96">
        <f>'Data Ocupacion'!Z64</f>
        <v>1</v>
      </c>
      <c r="O10" s="96">
        <f>'Data Ocupacion'!AB64</f>
        <v>1</v>
      </c>
      <c r="P10" s="96">
        <f>'Data Ocupacion'!AD64</f>
        <v>1</v>
      </c>
      <c r="Q10" s="96">
        <f>'Data Ocupacion'!AF64</f>
        <v>1</v>
      </c>
      <c r="R10" s="96">
        <f>'Data Ocupacion'!AH64</f>
        <v>1</v>
      </c>
      <c r="S10" s="96">
        <f>'Data Ocupacion'!AJ64</f>
        <v>0</v>
      </c>
      <c r="T10" s="96">
        <f>'Data Ocupacion'!AL64</f>
        <v>0</v>
      </c>
      <c r="U10" s="96">
        <f>'Data Ocupacion'!AN64</f>
        <v>1</v>
      </c>
      <c r="V10" s="96">
        <f>'Data Ocupacion'!AP64</f>
        <v>1</v>
      </c>
      <c r="W10" s="96">
        <f>'Data Ocupacion'!AR64</f>
        <v>0</v>
      </c>
      <c r="X10" s="96">
        <f>'Data Ocupacion'!AT64</f>
        <v>1</v>
      </c>
      <c r="Y10" s="96">
        <f>'Data Ocupacion'!AV64</f>
        <v>1</v>
      </c>
      <c r="Z10" s="96">
        <f>'Data Ocupacion'!AX64</f>
        <v>0</v>
      </c>
      <c r="AA10" s="96">
        <f>'Data Ocupacion'!AZ64</f>
        <v>0</v>
      </c>
      <c r="AB10" s="96">
        <f>'Data Ocupacion'!BB64</f>
        <v>1</v>
      </c>
      <c r="AC10" s="96">
        <f>'Data Ocupacion'!BD64</f>
        <v>1</v>
      </c>
      <c r="AD10" s="96">
        <f>'Data Ocupacion'!BF64</f>
        <v>1</v>
      </c>
      <c r="AE10" s="96">
        <f>'Data Ocupacion'!BH64</f>
        <v>1</v>
      </c>
      <c r="AF10" s="96">
        <f>'Data Ocupacion'!BJ64</f>
        <v>1</v>
      </c>
      <c r="AG10" s="96">
        <f>'Data Ocupacion'!BL64</f>
        <v>0</v>
      </c>
    </row>
    <row r="11" spans="1:33" s="86" customFormat="1" ht="13.8" x14ac:dyDescent="0.25">
      <c r="A11" s="216" t="s">
        <v>162</v>
      </c>
      <c r="B11" s="83">
        <v>11.71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</row>
    <row r="12" spans="1:33" s="86" customFormat="1" ht="13.8" x14ac:dyDescent="0.25">
      <c r="A12" s="328" t="s">
        <v>179</v>
      </c>
      <c r="B12" s="83">
        <v>21.7</v>
      </c>
      <c r="C12" s="96"/>
      <c r="D12" s="96"/>
      <c r="E12" s="96"/>
      <c r="F12" s="96"/>
      <c r="G12" s="96"/>
      <c r="H12" s="96"/>
      <c r="I12" s="96"/>
      <c r="J12" s="96">
        <f>'Data Ocupacion'!R65</f>
        <v>4</v>
      </c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</row>
    <row r="13" spans="1:33" s="86" customFormat="1" ht="13.8" x14ac:dyDescent="0.25">
      <c r="A13" s="328" t="s">
        <v>180</v>
      </c>
      <c r="B13" s="83">
        <v>21.7</v>
      </c>
      <c r="C13" s="96"/>
      <c r="D13" s="96"/>
      <c r="E13" s="96"/>
      <c r="F13" s="96"/>
      <c r="G13" s="96"/>
      <c r="H13" s="96"/>
      <c r="I13" s="96"/>
      <c r="J13" s="96">
        <f>'Data Ocupacion'!R66</f>
        <v>3</v>
      </c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</row>
    <row r="14" spans="1:33" s="86" customFormat="1" ht="13.8" x14ac:dyDescent="0.25">
      <c r="A14" s="328" t="s">
        <v>165</v>
      </c>
      <c r="B14" s="83">
        <v>35.729999999999997</v>
      </c>
      <c r="C14" s="96"/>
      <c r="D14" s="96"/>
      <c r="E14" s="96"/>
      <c r="F14" s="96"/>
      <c r="G14" s="96"/>
      <c r="H14" s="96"/>
      <c r="I14" s="96"/>
      <c r="J14" s="96">
        <f>'Data Ocupacion'!R67</f>
        <v>5</v>
      </c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s="86" customFormat="1" ht="13.8" x14ac:dyDescent="0.25">
      <c r="A15" s="328" t="s">
        <v>166</v>
      </c>
      <c r="B15" s="83">
        <v>35.729999999999997</v>
      </c>
      <c r="C15" s="96"/>
      <c r="D15" s="96"/>
      <c r="E15" s="96"/>
      <c r="F15" s="96"/>
      <c r="G15" s="96"/>
      <c r="H15" s="96"/>
      <c r="I15" s="96"/>
      <c r="J15" s="96">
        <f>'Data Ocupacion'!R68</f>
        <v>5</v>
      </c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s="86" customFormat="1" ht="13.8" x14ac:dyDescent="0.25">
      <c r="A16" s="328" t="s">
        <v>183</v>
      </c>
      <c r="B16" s="83">
        <v>7.68</v>
      </c>
      <c r="C16" s="96"/>
      <c r="D16" s="96"/>
      <c r="E16" s="96"/>
      <c r="F16" s="96"/>
      <c r="G16" s="96"/>
      <c r="H16" s="96"/>
      <c r="I16" s="96"/>
      <c r="J16" s="96">
        <f>'Data Ocupacion'!R69</f>
        <v>2</v>
      </c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s="86" customFormat="1" ht="13.8" x14ac:dyDescent="0.25">
      <c r="A17" s="216" t="s">
        <v>263</v>
      </c>
      <c r="B17" s="83">
        <v>10.17</v>
      </c>
      <c r="C17" s="96"/>
      <c r="D17" s="96"/>
      <c r="E17" s="96"/>
      <c r="F17" s="96"/>
      <c r="G17" s="96"/>
      <c r="H17" s="96"/>
      <c r="I17" s="96"/>
      <c r="J17" s="96">
        <f>'Data Ocupacion'!R70</f>
        <v>1</v>
      </c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</row>
    <row r="18" spans="1:33" s="86" customFormat="1" ht="13.8" x14ac:dyDescent="0.25">
      <c r="A18" s="216" t="s">
        <v>264</v>
      </c>
      <c r="B18" s="83">
        <v>1.42</v>
      </c>
      <c r="C18" s="96"/>
      <c r="D18" s="96"/>
      <c r="E18" s="96"/>
      <c r="F18" s="96"/>
      <c r="G18" s="96"/>
      <c r="H18" s="96"/>
      <c r="I18" s="96"/>
      <c r="J18" s="96">
        <f>'Data Ocupacion'!R71</f>
        <v>1</v>
      </c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</row>
    <row r="19" spans="1:33" s="86" customFormat="1" ht="13.8" x14ac:dyDescent="0.25">
      <c r="A19" s="216" t="s">
        <v>265</v>
      </c>
      <c r="B19" s="83">
        <v>5.99</v>
      </c>
      <c r="C19" s="96"/>
      <c r="D19" s="96"/>
      <c r="E19" s="96"/>
      <c r="F19" s="96"/>
      <c r="G19" s="96"/>
      <c r="H19" s="96"/>
      <c r="I19" s="96"/>
      <c r="J19" s="96">
        <f>'Data Ocupacion'!R72</f>
        <v>1</v>
      </c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</row>
    <row r="20" spans="1:33" s="86" customFormat="1" ht="13.8" x14ac:dyDescent="0.25">
      <c r="A20" s="216" t="s">
        <v>266</v>
      </c>
      <c r="B20" s="83">
        <v>32.96</v>
      </c>
      <c r="C20" s="96"/>
      <c r="D20" s="96"/>
      <c r="E20" s="96"/>
      <c r="F20" s="96"/>
      <c r="G20" s="96"/>
      <c r="H20" s="96"/>
      <c r="I20" s="96"/>
      <c r="J20" s="96">
        <f>'Data Ocupacion'!R73</f>
        <v>1</v>
      </c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s="86" customFormat="1" ht="13.8" x14ac:dyDescent="0.25">
      <c r="A21" s="279"/>
      <c r="B21" s="83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T21" s="96"/>
      <c r="V21" s="96"/>
      <c r="X21" s="96"/>
      <c r="Z21" s="96"/>
      <c r="AB21" s="96"/>
      <c r="AD21" s="96"/>
      <c r="AE21" s="96"/>
      <c r="AF21" s="96"/>
      <c r="AG21" s="96"/>
    </row>
    <row r="22" spans="1:33" s="86" customFormat="1" ht="13.8" x14ac:dyDescent="0.25">
      <c r="A22" s="82" t="s">
        <v>87</v>
      </c>
      <c r="B22" s="83">
        <v>43.13</v>
      </c>
      <c r="C22" s="96">
        <f>'Data Ocupacion'!D76</f>
        <v>57</v>
      </c>
      <c r="D22" s="96">
        <f>'Data Ocupacion'!F76</f>
        <v>111</v>
      </c>
      <c r="E22" s="96">
        <f>'Data Ocupacion'!H76</f>
        <v>75</v>
      </c>
      <c r="F22" s="96">
        <f>'Data Ocupacion'!J76</f>
        <v>57</v>
      </c>
      <c r="G22" s="96">
        <f>'Data Ocupacion'!L76</f>
        <v>111</v>
      </c>
      <c r="H22" s="96">
        <f>'Data Ocupacion'!N76</f>
        <v>111</v>
      </c>
      <c r="I22" s="96">
        <f>'Data Ocupacion'!P76</f>
        <v>111</v>
      </c>
      <c r="J22" s="96">
        <f>'Data Ocupacion'!R76</f>
        <v>79</v>
      </c>
      <c r="K22" s="96">
        <f>'Data Ocupacion'!T76</f>
        <v>111</v>
      </c>
      <c r="L22" s="96">
        <f>'Data Ocupacion'!V76</f>
        <v>75</v>
      </c>
      <c r="M22" s="96">
        <f>'Data Ocupacion'!X76</f>
        <v>57</v>
      </c>
      <c r="N22" s="96">
        <f>'Data Ocupacion'!Z76</f>
        <v>111</v>
      </c>
      <c r="O22" s="96">
        <f>'Data Ocupacion'!AB76</f>
        <v>110</v>
      </c>
      <c r="P22" s="96">
        <f>'Data Ocupacion'!AD76</f>
        <v>111</v>
      </c>
      <c r="Q22" s="96">
        <f>'Data Ocupacion'!AF76</f>
        <v>111</v>
      </c>
      <c r="R22" s="96">
        <f>'Data Ocupacion'!AH76</f>
        <v>110</v>
      </c>
      <c r="S22" s="96">
        <f>'Data Ocupacion'!AJ76</f>
        <v>75</v>
      </c>
      <c r="T22" s="96">
        <f>'Data Ocupacion'!AL76</f>
        <v>57</v>
      </c>
      <c r="U22" s="96">
        <f>'Data Ocupacion'!AN76</f>
        <v>116</v>
      </c>
      <c r="V22" s="96">
        <f>'Data Ocupacion'!AP76</f>
        <v>111</v>
      </c>
      <c r="W22" s="96">
        <f>'Data Ocupacion'!AR76</f>
        <v>59</v>
      </c>
      <c r="X22" s="96">
        <f>'Data Ocupacion'!AT76</f>
        <v>111</v>
      </c>
      <c r="Y22" s="96">
        <f>'Data Ocupacion'!AV76</f>
        <v>111</v>
      </c>
      <c r="Z22" s="96">
        <f>'Data Ocupacion'!AX76</f>
        <v>75</v>
      </c>
      <c r="AA22" s="96">
        <f>'Data Ocupacion'!AZ76</f>
        <v>57</v>
      </c>
      <c r="AB22" s="96">
        <f>'Data Ocupacion'!BB76</f>
        <v>109</v>
      </c>
      <c r="AC22" s="96">
        <f>'Data Ocupacion'!BD76</f>
        <v>110</v>
      </c>
      <c r="AD22" s="96">
        <f>'Data Ocupacion'!BF76</f>
        <v>110</v>
      </c>
      <c r="AE22" s="96">
        <f>'Data Ocupacion'!BH76</f>
        <v>111</v>
      </c>
      <c r="AF22" s="96">
        <f>'Data Ocupacion'!BJ76</f>
        <v>111</v>
      </c>
      <c r="AG22" s="96">
        <f>'Data Ocupacion'!BL76</f>
        <v>75</v>
      </c>
    </row>
    <row r="23" spans="1:33" s="86" customFormat="1" ht="13.8" x14ac:dyDescent="0.25">
      <c r="A23" s="82" t="s">
        <v>88</v>
      </c>
      <c r="B23" s="83">
        <v>43.13</v>
      </c>
      <c r="C23" s="96">
        <f>'Data Ocupacion'!D77</f>
        <v>57</v>
      </c>
      <c r="D23" s="96">
        <f>'Data Ocupacion'!F77</f>
        <v>111</v>
      </c>
      <c r="E23" s="96">
        <f>'Data Ocupacion'!H77</f>
        <v>75</v>
      </c>
      <c r="F23" s="96">
        <f>'Data Ocupacion'!J77</f>
        <v>57</v>
      </c>
      <c r="G23" s="96">
        <f>'Data Ocupacion'!L77</f>
        <v>111</v>
      </c>
      <c r="H23" s="96">
        <f>'Data Ocupacion'!N77</f>
        <v>111</v>
      </c>
      <c r="I23" s="96">
        <f>'Data Ocupacion'!P77</f>
        <v>111</v>
      </c>
      <c r="J23" s="96">
        <f>'Data Ocupacion'!R77</f>
        <v>84</v>
      </c>
      <c r="K23" s="96">
        <f>'Data Ocupacion'!T77</f>
        <v>111</v>
      </c>
      <c r="L23" s="96">
        <f>'Data Ocupacion'!V77</f>
        <v>75</v>
      </c>
      <c r="M23" s="96">
        <f>'Data Ocupacion'!X77</f>
        <v>57</v>
      </c>
      <c r="N23" s="96">
        <f>'Data Ocupacion'!Z77</f>
        <v>111</v>
      </c>
      <c r="O23" s="96">
        <f>'Data Ocupacion'!AB77</f>
        <v>110</v>
      </c>
      <c r="P23" s="96">
        <f>'Data Ocupacion'!AD77</f>
        <v>111</v>
      </c>
      <c r="Q23" s="96">
        <f>'Data Ocupacion'!AF77</f>
        <v>111</v>
      </c>
      <c r="R23" s="96">
        <f>'Data Ocupacion'!AH77</f>
        <v>110</v>
      </c>
      <c r="S23" s="96">
        <f>'Data Ocupacion'!AJ77</f>
        <v>75</v>
      </c>
      <c r="T23" s="96">
        <f>'Data Ocupacion'!AL77</f>
        <v>57</v>
      </c>
      <c r="U23" s="96">
        <f>'Data Ocupacion'!AN77</f>
        <v>111</v>
      </c>
      <c r="V23" s="96">
        <f>'Data Ocupacion'!AP77</f>
        <v>109</v>
      </c>
      <c r="W23" s="96">
        <f>'Data Ocupacion'!AR77</f>
        <v>59</v>
      </c>
      <c r="X23" s="96">
        <f>'Data Ocupacion'!AT77</f>
        <v>111</v>
      </c>
      <c r="Y23" s="96">
        <f>'Data Ocupacion'!AV77</f>
        <v>111</v>
      </c>
      <c r="Z23" s="96">
        <f>'Data Ocupacion'!AX77</f>
        <v>75</v>
      </c>
      <c r="AA23" s="96">
        <f>'Data Ocupacion'!AZ77</f>
        <v>57</v>
      </c>
      <c r="AB23" s="96">
        <f>'Data Ocupacion'!BB77</f>
        <v>109</v>
      </c>
      <c r="AC23" s="96">
        <f>'Data Ocupacion'!BD77</f>
        <v>110</v>
      </c>
      <c r="AD23" s="96">
        <f>'Data Ocupacion'!BF77</f>
        <v>110</v>
      </c>
      <c r="AE23" s="96">
        <f>'Data Ocupacion'!BH77</f>
        <v>111</v>
      </c>
      <c r="AF23" s="96">
        <f>'Data Ocupacion'!BJ77</f>
        <v>111</v>
      </c>
      <c r="AG23" s="96">
        <f>'Data Ocupacion'!BL77</f>
        <v>75</v>
      </c>
    </row>
    <row r="24" spans="1:33" s="86" customFormat="1" ht="13.8" x14ac:dyDescent="0.25">
      <c r="A24" s="82" t="s">
        <v>89</v>
      </c>
      <c r="B24" s="83">
        <v>29.11</v>
      </c>
      <c r="C24" s="96">
        <f>'Data Ocupacion'!D78</f>
        <v>0</v>
      </c>
      <c r="D24" s="96">
        <f>'Data Ocupacion'!F78</f>
        <v>37</v>
      </c>
      <c r="E24" s="96">
        <f>'Data Ocupacion'!H78</f>
        <v>0</v>
      </c>
      <c r="F24" s="96">
        <f>'Data Ocupacion'!J78</f>
        <v>0</v>
      </c>
      <c r="G24" s="96">
        <f>'Data Ocupacion'!L78</f>
        <v>37</v>
      </c>
      <c r="H24" s="96">
        <f>'Data Ocupacion'!N78</f>
        <v>37</v>
      </c>
      <c r="I24" s="96">
        <f>'Data Ocupacion'!P78</f>
        <v>37</v>
      </c>
      <c r="J24" s="96">
        <f>'Data Ocupacion'!R78</f>
        <v>21</v>
      </c>
      <c r="K24" s="96">
        <f>'Data Ocupacion'!T78</f>
        <v>37</v>
      </c>
      <c r="L24" s="96">
        <f>'Data Ocupacion'!V78</f>
        <v>0</v>
      </c>
      <c r="M24" s="96">
        <f>'Data Ocupacion'!X78</f>
        <v>0</v>
      </c>
      <c r="N24" s="96">
        <f>'Data Ocupacion'!Z78</f>
        <v>37</v>
      </c>
      <c r="O24" s="96">
        <f>'Data Ocupacion'!AB78</f>
        <v>37</v>
      </c>
      <c r="P24" s="96">
        <f>'Data Ocupacion'!AD78</f>
        <v>37</v>
      </c>
      <c r="Q24" s="96">
        <f>'Data Ocupacion'!AF78</f>
        <v>37</v>
      </c>
      <c r="R24" s="96">
        <f>'Data Ocupacion'!AH78</f>
        <v>37</v>
      </c>
      <c r="S24" s="96">
        <f>'Data Ocupacion'!AJ78</f>
        <v>0</v>
      </c>
      <c r="T24" s="96">
        <f>'Data Ocupacion'!AL78</f>
        <v>0</v>
      </c>
      <c r="U24" s="96">
        <f>'Data Ocupacion'!AN78</f>
        <v>37</v>
      </c>
      <c r="V24" s="96">
        <f>'Data Ocupacion'!AP78</f>
        <v>37</v>
      </c>
      <c r="W24" s="96">
        <f>'Data Ocupacion'!AR78</f>
        <v>0</v>
      </c>
      <c r="X24" s="96">
        <f>'Data Ocupacion'!AT78</f>
        <v>37</v>
      </c>
      <c r="Y24" s="96">
        <f>'Data Ocupacion'!AV78</f>
        <v>37</v>
      </c>
      <c r="Z24" s="96">
        <f>'Data Ocupacion'!AX78</f>
        <v>0</v>
      </c>
      <c r="AA24" s="96">
        <f>'Data Ocupacion'!AZ78</f>
        <v>0</v>
      </c>
      <c r="AB24" s="96">
        <f>'Data Ocupacion'!BB78</f>
        <v>37</v>
      </c>
      <c r="AC24" s="96">
        <f>'Data Ocupacion'!BD78</f>
        <v>37</v>
      </c>
      <c r="AD24" s="96">
        <f>'Data Ocupacion'!BF78</f>
        <v>37</v>
      </c>
      <c r="AE24" s="96">
        <f>'Data Ocupacion'!BH78</f>
        <v>36</v>
      </c>
      <c r="AF24" s="96">
        <f>'Data Ocupacion'!BJ78</f>
        <v>37</v>
      </c>
      <c r="AG24" s="96">
        <f>'Data Ocupacion'!BL78</f>
        <v>0</v>
      </c>
    </row>
    <row r="25" spans="1:33" s="86" customFormat="1" ht="13.8" x14ac:dyDescent="0.25">
      <c r="A25" s="82" t="s">
        <v>90</v>
      </c>
      <c r="B25" s="83">
        <v>29.11</v>
      </c>
      <c r="C25" s="96">
        <f>'Data Ocupacion'!D79</f>
        <v>0</v>
      </c>
      <c r="D25" s="96">
        <f>'Data Ocupacion'!F79</f>
        <v>36</v>
      </c>
      <c r="E25" s="96">
        <f>'Data Ocupacion'!H79</f>
        <v>0</v>
      </c>
      <c r="F25" s="96">
        <f>'Data Ocupacion'!J79</f>
        <v>0</v>
      </c>
      <c r="G25" s="96">
        <f>'Data Ocupacion'!L79</f>
        <v>36</v>
      </c>
      <c r="H25" s="96">
        <f>'Data Ocupacion'!N79</f>
        <v>36</v>
      </c>
      <c r="I25" s="96">
        <f>'Data Ocupacion'!P79</f>
        <v>36</v>
      </c>
      <c r="J25" s="96">
        <f>'Data Ocupacion'!R79</f>
        <v>23</v>
      </c>
      <c r="K25" s="96">
        <f>'Data Ocupacion'!T79</f>
        <v>36</v>
      </c>
      <c r="L25" s="96">
        <f>'Data Ocupacion'!V79</f>
        <v>0</v>
      </c>
      <c r="M25" s="96">
        <f>'Data Ocupacion'!X79</f>
        <v>0</v>
      </c>
      <c r="N25" s="96">
        <f>'Data Ocupacion'!Z79</f>
        <v>36</v>
      </c>
      <c r="O25" s="96">
        <f>'Data Ocupacion'!AB79</f>
        <v>36</v>
      </c>
      <c r="P25" s="96">
        <f>'Data Ocupacion'!AD79</f>
        <v>36</v>
      </c>
      <c r="Q25" s="96">
        <f>'Data Ocupacion'!AF79</f>
        <v>36</v>
      </c>
      <c r="R25" s="96">
        <f>'Data Ocupacion'!AH79</f>
        <v>36</v>
      </c>
      <c r="S25" s="96">
        <f>'Data Ocupacion'!AJ79</f>
        <v>0</v>
      </c>
      <c r="T25" s="96">
        <f>'Data Ocupacion'!AL79</f>
        <v>0</v>
      </c>
      <c r="U25" s="96">
        <f>'Data Ocupacion'!AN79</f>
        <v>36</v>
      </c>
      <c r="V25" s="96">
        <f>'Data Ocupacion'!AP79</f>
        <v>36</v>
      </c>
      <c r="W25" s="96">
        <f>'Data Ocupacion'!AR79</f>
        <v>0</v>
      </c>
      <c r="X25" s="96">
        <f>'Data Ocupacion'!AT79</f>
        <v>36</v>
      </c>
      <c r="Y25" s="96">
        <f>'Data Ocupacion'!AV79</f>
        <v>36</v>
      </c>
      <c r="Z25" s="96">
        <f>'Data Ocupacion'!AX79</f>
        <v>0</v>
      </c>
      <c r="AA25" s="96">
        <f>'Data Ocupacion'!AZ79</f>
        <v>0</v>
      </c>
      <c r="AB25" s="96">
        <f>'Data Ocupacion'!BB79</f>
        <v>36</v>
      </c>
      <c r="AC25" s="96">
        <f>'Data Ocupacion'!BD79</f>
        <v>36</v>
      </c>
      <c r="AD25" s="96">
        <f>'Data Ocupacion'!BF79</f>
        <v>36</v>
      </c>
      <c r="AE25" s="96">
        <f>'Data Ocupacion'!BH79</f>
        <v>35</v>
      </c>
      <c r="AF25" s="96">
        <f>'Data Ocupacion'!BJ79</f>
        <v>36</v>
      </c>
      <c r="AG25" s="96">
        <f>'Data Ocupacion'!BL79</f>
        <v>0</v>
      </c>
    </row>
    <row r="26" spans="1:33" s="86" customFormat="1" ht="13.8" x14ac:dyDescent="0.25">
      <c r="A26" s="82" t="s">
        <v>91</v>
      </c>
      <c r="B26" s="83">
        <v>25.4</v>
      </c>
      <c r="C26" s="96">
        <f>'Data Ocupacion'!D81</f>
        <v>0</v>
      </c>
      <c r="D26" s="96">
        <f>'Data Ocupacion'!F81</f>
        <v>1</v>
      </c>
      <c r="E26" s="96">
        <f>'Data Ocupacion'!H81</f>
        <v>0</v>
      </c>
      <c r="F26" s="96">
        <f>'Data Ocupacion'!J81</f>
        <v>0</v>
      </c>
      <c r="G26" s="96">
        <f>'Data Ocupacion'!L81</f>
        <v>1</v>
      </c>
      <c r="H26" s="96">
        <f>'Data Ocupacion'!N81</f>
        <v>1</v>
      </c>
      <c r="I26" s="96">
        <f>'Data Ocupacion'!P81</f>
        <v>1</v>
      </c>
      <c r="J26" s="96">
        <f>'Data Ocupacion'!R81</f>
        <v>1</v>
      </c>
      <c r="K26" s="96">
        <f>'Data Ocupacion'!T81</f>
        <v>1</v>
      </c>
      <c r="L26" s="96">
        <f>'Data Ocupacion'!V81</f>
        <v>0</v>
      </c>
      <c r="M26" s="96">
        <f>'Data Ocupacion'!X81</f>
        <v>0</v>
      </c>
      <c r="N26" s="96">
        <f>'Data Ocupacion'!Z81</f>
        <v>1</v>
      </c>
      <c r="O26" s="96">
        <f>'Data Ocupacion'!AB81</f>
        <v>1</v>
      </c>
      <c r="P26" s="96">
        <f>'Data Ocupacion'!AD81</f>
        <v>1</v>
      </c>
      <c r="Q26" s="96">
        <f>'Data Ocupacion'!AF81</f>
        <v>1</v>
      </c>
      <c r="R26" s="96">
        <f>'Data Ocupacion'!AH81</f>
        <v>1</v>
      </c>
      <c r="S26" s="96">
        <f>'Data Ocupacion'!AJ81</f>
        <v>0</v>
      </c>
      <c r="T26" s="96">
        <f>'Data Ocupacion'!AL81</f>
        <v>0</v>
      </c>
      <c r="U26" s="96">
        <f>'Data Ocupacion'!AN81</f>
        <v>1</v>
      </c>
      <c r="V26" s="96">
        <f>'Data Ocupacion'!AP81</f>
        <v>1</v>
      </c>
      <c r="W26" s="96">
        <f>'Data Ocupacion'!AR81</f>
        <v>0</v>
      </c>
      <c r="X26" s="96">
        <f>'Data Ocupacion'!AT81</f>
        <v>1</v>
      </c>
      <c r="Y26" s="96">
        <f>'Data Ocupacion'!AV81</f>
        <v>1</v>
      </c>
      <c r="Z26" s="96">
        <f>'Data Ocupacion'!AX81</f>
        <v>0</v>
      </c>
      <c r="AA26" s="96">
        <f>'Data Ocupacion'!AZ81</f>
        <v>0</v>
      </c>
      <c r="AB26" s="96">
        <f>'Data Ocupacion'!BB81</f>
        <v>1</v>
      </c>
      <c r="AC26" s="96">
        <f>'Data Ocupacion'!BD81</f>
        <v>1</v>
      </c>
      <c r="AD26" s="96">
        <f>'Data Ocupacion'!BF81</f>
        <v>1</v>
      </c>
      <c r="AE26" s="96">
        <f>'Data Ocupacion'!BH81</f>
        <v>1</v>
      </c>
      <c r="AF26" s="96">
        <f>'Data Ocupacion'!BJ81</f>
        <v>1</v>
      </c>
      <c r="AG26" s="96">
        <f>'Data Ocupacion'!BL81</f>
        <v>0</v>
      </c>
    </row>
    <row r="27" spans="1:33" s="86" customFormat="1" ht="13.8" x14ac:dyDescent="0.25">
      <c r="A27" s="216" t="s">
        <v>124</v>
      </c>
      <c r="B27" s="83">
        <v>25.4</v>
      </c>
      <c r="C27" s="96">
        <v>0</v>
      </c>
      <c r="D27" s="84">
        <v>0</v>
      </c>
      <c r="E27" s="84">
        <v>0</v>
      </c>
      <c r="F27" s="84">
        <v>0</v>
      </c>
      <c r="G27" s="84">
        <v>0</v>
      </c>
      <c r="H27" s="84">
        <v>0</v>
      </c>
      <c r="I27" s="84">
        <v>0</v>
      </c>
      <c r="J27" s="96"/>
      <c r="K27" s="84">
        <v>0</v>
      </c>
      <c r="L27" s="96">
        <v>0</v>
      </c>
      <c r="M27" s="84">
        <v>0</v>
      </c>
      <c r="N27" s="84">
        <v>0</v>
      </c>
      <c r="O27" s="84">
        <v>0</v>
      </c>
      <c r="P27" s="84">
        <v>0</v>
      </c>
      <c r="Q27" s="84">
        <v>0</v>
      </c>
      <c r="R27" s="84">
        <v>0</v>
      </c>
      <c r="S27" s="84">
        <v>0</v>
      </c>
      <c r="T27" s="84">
        <v>0</v>
      </c>
      <c r="U27" s="84">
        <v>0</v>
      </c>
      <c r="V27" s="84">
        <v>0</v>
      </c>
      <c r="W27" s="84">
        <v>0</v>
      </c>
      <c r="X27" s="84">
        <v>0</v>
      </c>
      <c r="Y27" s="84">
        <v>0</v>
      </c>
      <c r="Z27" s="96">
        <v>0</v>
      </c>
      <c r="AA27" s="84">
        <v>0</v>
      </c>
      <c r="AB27" s="84">
        <v>0</v>
      </c>
      <c r="AC27" s="84">
        <v>0</v>
      </c>
      <c r="AD27" s="84">
        <v>0</v>
      </c>
      <c r="AE27" s="96">
        <v>0</v>
      </c>
      <c r="AF27" s="96">
        <v>0</v>
      </c>
      <c r="AG27" s="96">
        <v>0</v>
      </c>
    </row>
    <row r="28" spans="1:33" s="86" customFormat="1" ht="13.8" x14ac:dyDescent="0.25">
      <c r="A28" s="216" t="s">
        <v>163</v>
      </c>
      <c r="B28" s="83">
        <v>11.71</v>
      </c>
      <c r="C28" s="96"/>
      <c r="D28" s="84"/>
      <c r="E28" s="84"/>
      <c r="F28" s="84"/>
      <c r="G28" s="84"/>
      <c r="H28" s="84"/>
      <c r="I28" s="84"/>
      <c r="J28" s="96"/>
      <c r="K28" s="84"/>
      <c r="L28" s="96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96"/>
      <c r="AA28" s="84"/>
      <c r="AB28" s="84"/>
      <c r="AC28" s="84"/>
      <c r="AD28" s="84"/>
      <c r="AE28" s="96"/>
      <c r="AF28" s="96"/>
      <c r="AG28" s="96"/>
    </row>
    <row r="29" spans="1:33" s="86" customFormat="1" ht="13.8" x14ac:dyDescent="0.25">
      <c r="A29" s="328" t="s">
        <v>181</v>
      </c>
      <c r="B29" s="83">
        <v>21.7</v>
      </c>
      <c r="C29" s="96"/>
      <c r="D29" s="84"/>
      <c r="E29" s="84"/>
      <c r="F29" s="84"/>
      <c r="G29" s="84"/>
      <c r="H29" s="84"/>
      <c r="I29" s="84"/>
      <c r="J29" s="96">
        <f>'Data Ocupacion'!R82</f>
        <v>7</v>
      </c>
      <c r="K29" s="84"/>
      <c r="L29" s="96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96"/>
      <c r="AA29" s="84"/>
      <c r="AB29" s="84"/>
      <c r="AC29" s="84"/>
      <c r="AD29" s="84"/>
      <c r="AE29" s="96"/>
      <c r="AF29" s="96"/>
      <c r="AG29" s="96"/>
    </row>
    <row r="30" spans="1:33" s="86" customFormat="1" ht="13.8" x14ac:dyDescent="0.25">
      <c r="A30" s="328" t="s">
        <v>182</v>
      </c>
      <c r="B30" s="83">
        <v>21.7</v>
      </c>
      <c r="C30" s="96"/>
      <c r="D30" s="84"/>
      <c r="E30" s="84"/>
      <c r="F30" s="84"/>
      <c r="G30" s="84"/>
      <c r="H30" s="84"/>
      <c r="I30" s="84"/>
      <c r="J30" s="96">
        <f>'Data Ocupacion'!R83</f>
        <v>4</v>
      </c>
      <c r="K30" s="84"/>
      <c r="L30" s="96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96"/>
      <c r="AA30" s="84"/>
      <c r="AB30" s="84"/>
      <c r="AC30" s="84"/>
      <c r="AD30" s="84"/>
      <c r="AE30" s="96"/>
      <c r="AF30" s="96"/>
      <c r="AG30" s="96"/>
    </row>
    <row r="31" spans="1:33" s="86" customFormat="1" ht="13.8" x14ac:dyDescent="0.25">
      <c r="A31" s="328" t="s">
        <v>168</v>
      </c>
      <c r="B31" s="83">
        <v>35.729999999999997</v>
      </c>
      <c r="C31" s="96"/>
      <c r="D31" s="84"/>
      <c r="E31" s="84"/>
      <c r="F31" s="84"/>
      <c r="G31" s="84"/>
      <c r="H31" s="84"/>
      <c r="I31" s="84"/>
      <c r="J31" s="96">
        <f>'Data Ocupacion'!R84</f>
        <v>10</v>
      </c>
      <c r="K31" s="84"/>
      <c r="L31" s="96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96"/>
      <c r="AA31" s="84"/>
      <c r="AB31" s="84"/>
      <c r="AC31" s="84"/>
      <c r="AD31" s="84"/>
      <c r="AE31" s="96"/>
      <c r="AF31" s="96"/>
      <c r="AG31" s="96"/>
    </row>
    <row r="32" spans="1:33" s="86" customFormat="1" ht="13.8" x14ac:dyDescent="0.25">
      <c r="A32" s="328" t="s">
        <v>167</v>
      </c>
      <c r="B32" s="83">
        <v>35.729999999999997</v>
      </c>
      <c r="C32" s="96"/>
      <c r="D32" s="84"/>
      <c r="E32" s="84"/>
      <c r="F32" s="84"/>
      <c r="G32" s="84"/>
      <c r="H32" s="84"/>
      <c r="I32" s="84"/>
      <c r="J32" s="96">
        <f>'Data Ocupacion'!R85</f>
        <v>7</v>
      </c>
      <c r="K32" s="84"/>
      <c r="L32" s="96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96"/>
      <c r="AA32" s="84"/>
      <c r="AB32" s="84"/>
      <c r="AC32" s="84"/>
      <c r="AD32" s="84"/>
      <c r="AE32" s="96"/>
      <c r="AF32" s="96"/>
      <c r="AG32" s="96"/>
    </row>
    <row r="33" spans="1:33" s="86" customFormat="1" ht="13.8" x14ac:dyDescent="0.25">
      <c r="A33" s="328" t="s">
        <v>185</v>
      </c>
      <c r="B33" s="83">
        <v>7.68</v>
      </c>
      <c r="C33" s="96"/>
      <c r="D33" s="84"/>
      <c r="E33" s="84"/>
      <c r="F33" s="84"/>
      <c r="G33" s="84"/>
      <c r="H33" s="84"/>
      <c r="I33" s="84"/>
      <c r="J33" s="96">
        <f>'Data Ocupacion'!R86</f>
        <v>3</v>
      </c>
      <c r="K33" s="84"/>
      <c r="L33" s="96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96"/>
      <c r="AA33" s="84"/>
      <c r="AB33" s="84"/>
      <c r="AC33" s="84"/>
      <c r="AD33" s="84"/>
      <c r="AE33" s="96"/>
      <c r="AF33" s="96"/>
      <c r="AG33" s="96"/>
    </row>
    <row r="34" spans="1:33" s="86" customFormat="1" ht="13.8" x14ac:dyDescent="0.25">
      <c r="A34" s="216" t="s">
        <v>267</v>
      </c>
      <c r="B34" s="83">
        <v>10.17</v>
      </c>
      <c r="C34" s="96"/>
      <c r="D34" s="84"/>
      <c r="E34" s="84"/>
      <c r="F34" s="84"/>
      <c r="G34" s="84"/>
      <c r="H34" s="84"/>
      <c r="I34" s="84"/>
      <c r="J34" s="96">
        <f>'Data Ocupacion'!R87</f>
        <v>1</v>
      </c>
      <c r="K34" s="84"/>
      <c r="L34" s="96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96"/>
      <c r="AA34" s="84"/>
      <c r="AB34" s="84"/>
      <c r="AC34" s="84"/>
      <c r="AD34" s="84"/>
      <c r="AE34" s="96"/>
      <c r="AF34" s="96"/>
      <c r="AG34" s="96"/>
    </row>
    <row r="35" spans="1:33" s="86" customFormat="1" ht="13.8" x14ac:dyDescent="0.25">
      <c r="A35" s="216" t="s">
        <v>268</v>
      </c>
      <c r="B35" s="83">
        <v>1.42</v>
      </c>
      <c r="C35" s="96"/>
      <c r="D35" s="84"/>
      <c r="E35" s="84"/>
      <c r="F35" s="84"/>
      <c r="G35" s="84"/>
      <c r="H35" s="84"/>
      <c r="I35" s="84"/>
      <c r="J35" s="96">
        <f>'Data Ocupacion'!R88</f>
        <v>1</v>
      </c>
      <c r="K35" s="84"/>
      <c r="L35" s="96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96"/>
      <c r="AA35" s="84"/>
      <c r="AB35" s="84"/>
      <c r="AC35" s="84"/>
      <c r="AD35" s="84"/>
      <c r="AE35" s="96"/>
      <c r="AF35" s="96"/>
      <c r="AG35" s="96"/>
    </row>
    <row r="36" spans="1:33" s="86" customFormat="1" ht="13.8" x14ac:dyDescent="0.25">
      <c r="A36" s="216" t="s">
        <v>269</v>
      </c>
      <c r="B36" s="83">
        <v>5.99</v>
      </c>
      <c r="C36" s="96"/>
      <c r="D36" s="84"/>
      <c r="E36" s="84"/>
      <c r="F36" s="84"/>
      <c r="G36" s="84"/>
      <c r="H36" s="84"/>
      <c r="I36" s="84"/>
      <c r="J36" s="96">
        <f>'Data Ocupacion'!R89</f>
        <v>2</v>
      </c>
      <c r="K36" s="84"/>
      <c r="L36" s="96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96"/>
      <c r="AA36" s="84"/>
      <c r="AB36" s="84"/>
      <c r="AC36" s="84"/>
      <c r="AD36" s="84"/>
      <c r="AE36" s="96"/>
      <c r="AF36" s="96"/>
      <c r="AG36" s="96"/>
    </row>
    <row r="37" spans="1:33" s="86" customFormat="1" ht="13.8" x14ac:dyDescent="0.25">
      <c r="A37" s="216" t="s">
        <v>270</v>
      </c>
      <c r="B37" s="83">
        <v>32.96</v>
      </c>
      <c r="C37" s="96"/>
      <c r="D37" s="84"/>
      <c r="E37" s="84"/>
      <c r="F37" s="84"/>
      <c r="G37" s="84"/>
      <c r="H37" s="84"/>
      <c r="I37" s="84"/>
      <c r="J37" s="96">
        <f>'Data Ocupacion'!R90</f>
        <v>2</v>
      </c>
      <c r="K37" s="84"/>
      <c r="L37" s="96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96"/>
      <c r="AA37" s="84"/>
      <c r="AB37" s="84"/>
      <c r="AC37" s="84"/>
      <c r="AD37" s="84"/>
      <c r="AE37" s="96"/>
      <c r="AF37" s="96"/>
      <c r="AG37" s="96"/>
    </row>
    <row r="38" spans="1:33" s="86" customFormat="1" ht="13.8" x14ac:dyDescent="0.25">
      <c r="A38" s="279"/>
      <c r="B38" s="241"/>
      <c r="C38" s="84"/>
      <c r="D38" s="84"/>
      <c r="E38" s="84"/>
      <c r="F38" s="84"/>
      <c r="G38" s="84"/>
      <c r="H38" s="84"/>
      <c r="I38" s="84"/>
      <c r="J38" s="84"/>
      <c r="K38" s="84"/>
      <c r="L38" s="96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96"/>
      <c r="AA38" s="84"/>
      <c r="AB38" s="84"/>
      <c r="AC38" s="84"/>
      <c r="AD38" s="84"/>
      <c r="AE38" s="96"/>
      <c r="AF38" s="96"/>
      <c r="AG38" s="96"/>
    </row>
    <row r="39" spans="1:33" x14ac:dyDescent="0.3">
      <c r="A39" s="87" t="s">
        <v>152</v>
      </c>
      <c r="B39" s="83">
        <v>-17.73</v>
      </c>
      <c r="C39" s="84">
        <f>'KM-Servicio'!Q5</f>
        <v>0</v>
      </c>
      <c r="D39" s="84">
        <f>'KM-Servicio'!Q12</f>
        <v>4</v>
      </c>
      <c r="E39" s="84">
        <f>'KM-Servicio'!Q19</f>
        <v>0</v>
      </c>
      <c r="F39" s="84">
        <f>'KM-Servicio'!Q26</f>
        <v>0</v>
      </c>
      <c r="G39" s="84">
        <f>'KM-Servicio'!Q33</f>
        <v>2</v>
      </c>
      <c r="H39" s="84">
        <f>'KM-Servicio'!Q40</f>
        <v>0</v>
      </c>
      <c r="I39" s="84">
        <f>'KM-Servicio'!Q47</f>
        <v>0</v>
      </c>
      <c r="J39" s="84">
        <f>'KM-Servicio'!Q54</f>
        <v>0</v>
      </c>
      <c r="K39" s="84">
        <f>'KM-Servicio'!Q70</f>
        <v>1</v>
      </c>
      <c r="L39" s="84">
        <f>'KM-Servicio'!Q77</f>
        <v>0</v>
      </c>
      <c r="M39" s="84">
        <f>'KM-Servicio'!Q84</f>
        <v>0</v>
      </c>
      <c r="N39" s="84">
        <f>'KM-Servicio'!Q91</f>
        <v>3</v>
      </c>
      <c r="O39" s="84">
        <f>'KM-Servicio'!Q98</f>
        <v>3</v>
      </c>
      <c r="P39" s="84">
        <f>'KM-Servicio'!Q105</f>
        <v>4</v>
      </c>
      <c r="Q39" s="84">
        <f>'KM-Servicio'!Q112</f>
        <v>3</v>
      </c>
      <c r="R39" s="84">
        <f>'KM-Servicio'!Q119</f>
        <v>5</v>
      </c>
      <c r="S39" s="84">
        <f>'KM-Servicio'!Q126</f>
        <v>0</v>
      </c>
      <c r="T39" s="84">
        <f>'KM-Servicio'!Q133</f>
        <v>0</v>
      </c>
      <c r="U39" s="84">
        <f>'KM-Servicio'!Q140</f>
        <v>4</v>
      </c>
      <c r="V39" s="84">
        <f>'KM-Servicio'!Q147</f>
        <v>0</v>
      </c>
      <c r="W39" s="84">
        <f>'KM-Servicio'!Q154</f>
        <v>0</v>
      </c>
      <c r="X39" s="84">
        <f>'KM-Servicio'!Q161</f>
        <v>0</v>
      </c>
      <c r="Y39" s="84">
        <f>'KM-Servicio'!Q168</f>
        <v>0</v>
      </c>
      <c r="Z39" s="84">
        <f>'KM-Servicio'!Q175</f>
        <v>0</v>
      </c>
      <c r="AA39" s="84">
        <f>'KM-Servicio'!Q182</f>
        <v>0</v>
      </c>
      <c r="AB39" s="84">
        <f>'KM-Servicio'!Q189</f>
        <v>4</v>
      </c>
      <c r="AC39" s="84">
        <f>'KM-Servicio'!Q196</f>
        <v>3</v>
      </c>
      <c r="AD39" s="84">
        <f>'KM-Servicio'!Q203</f>
        <v>4</v>
      </c>
      <c r="AE39" s="84">
        <f>'KM-Servicio'!Q210</f>
        <v>1</v>
      </c>
      <c r="AF39" s="84">
        <v>0</v>
      </c>
      <c r="AG39" s="84">
        <f>'KM-Servicio'!Q224</f>
        <v>0</v>
      </c>
    </row>
    <row r="40" spans="1:33" x14ac:dyDescent="0.3">
      <c r="A40" s="87" t="s">
        <v>153</v>
      </c>
      <c r="B40" s="83">
        <v>-17.73</v>
      </c>
      <c r="C40" s="84">
        <f>'KM-Servicio'!T6</f>
        <v>0</v>
      </c>
      <c r="D40" s="84">
        <f>'KM-Servicio'!T13</f>
        <v>0</v>
      </c>
      <c r="E40" s="84">
        <f>'KM-Servicio'!T20</f>
        <v>0</v>
      </c>
      <c r="F40" s="84">
        <f>'KM-Servicio'!T27</f>
        <v>0</v>
      </c>
      <c r="G40" s="84">
        <f>'KM-Servicio'!T34</f>
        <v>0</v>
      </c>
      <c r="H40" s="84">
        <f>'KM-Servicio'!T41</f>
        <v>0</v>
      </c>
      <c r="I40" s="84">
        <f>'KM-Servicio'!T48</f>
        <v>0</v>
      </c>
      <c r="J40" s="84">
        <f>'KM-Servicio'!T55</f>
        <v>0</v>
      </c>
      <c r="K40" s="84">
        <f>'KM-Servicio'!T71</f>
        <v>0</v>
      </c>
      <c r="L40" s="84">
        <f>'KM-Servicio'!T78</f>
        <v>0</v>
      </c>
      <c r="M40" s="84">
        <f>'KM-Servicio'!T85</f>
        <v>0</v>
      </c>
      <c r="N40" s="84">
        <f>'KM-Servicio'!T92</f>
        <v>0</v>
      </c>
      <c r="O40" s="84">
        <f>'KM-Servicio'!T99</f>
        <v>0</v>
      </c>
      <c r="P40" s="84">
        <f>'KM-Servicio'!T106</f>
        <v>0</v>
      </c>
      <c r="Q40" s="84">
        <f>'KM-Servicio'!T113</f>
        <v>0</v>
      </c>
      <c r="R40" s="84">
        <f>'KM-Servicio'!T120</f>
        <v>0</v>
      </c>
      <c r="S40" s="84">
        <f>'KM-Servicio'!T127</f>
        <v>0</v>
      </c>
      <c r="T40" s="84">
        <f>'KM-Servicio'!T134</f>
        <v>0</v>
      </c>
      <c r="U40" s="84">
        <f>'KM-Servicio'!T141</f>
        <v>0</v>
      </c>
      <c r="V40" s="84">
        <f>'KM-Servicio'!T148</f>
        <v>0</v>
      </c>
      <c r="W40" s="84">
        <f>'KM-Servicio'!T155</f>
        <v>0</v>
      </c>
      <c r="X40" s="84">
        <f>'KM-Servicio'!T162</f>
        <v>0</v>
      </c>
      <c r="Y40" s="84">
        <f>'KM-Servicio'!T169</f>
        <v>0</v>
      </c>
      <c r="Z40" s="84">
        <f>'KM-Servicio'!T176</f>
        <v>0</v>
      </c>
      <c r="AA40" s="84">
        <f>'KM-Servicio'!T183</f>
        <v>0</v>
      </c>
      <c r="AB40" s="84">
        <f>'KM-Servicio'!T190</f>
        <v>0</v>
      </c>
      <c r="AC40" s="84">
        <v>0</v>
      </c>
      <c r="AD40" s="84">
        <f>'KM-Servicio'!T204</f>
        <v>0</v>
      </c>
      <c r="AE40" s="84">
        <f>'KM-Servicio'!T211</f>
        <v>0</v>
      </c>
      <c r="AF40" s="84">
        <f>'KM-Servicio'!T217</f>
        <v>3</v>
      </c>
      <c r="AG40" s="84">
        <f>'KM-Servicio'!Q225</f>
        <v>0</v>
      </c>
    </row>
    <row r="41" spans="1:33" s="125" customFormat="1" x14ac:dyDescent="0.3">
      <c r="A41" s="87" t="s">
        <v>155</v>
      </c>
      <c r="B41" s="83">
        <v>-14.02</v>
      </c>
      <c r="C41" s="84">
        <f>'KM-Servicio'!U6</f>
        <v>0</v>
      </c>
      <c r="D41" s="84">
        <f>'KM-Servicio'!U13</f>
        <v>0</v>
      </c>
      <c r="E41" s="84">
        <f>'KM-Servicio'!U20</f>
        <v>0</v>
      </c>
      <c r="F41" s="84">
        <f>'KM-Servicio'!U27</f>
        <v>0</v>
      </c>
      <c r="G41" s="84">
        <f>'KM-Servicio'!U34</f>
        <v>0</v>
      </c>
      <c r="H41" s="84">
        <f>'KM-Servicio'!U41</f>
        <v>0</v>
      </c>
      <c r="I41" s="84">
        <f>'KM-Servicio'!U48</f>
        <v>0</v>
      </c>
      <c r="J41" s="84">
        <f>'KM-Servicio'!U55</f>
        <v>0</v>
      </c>
      <c r="K41" s="84">
        <f>'KM-Servicio'!U71</f>
        <v>0</v>
      </c>
      <c r="L41" s="84">
        <f>'KM-Servicio'!U78</f>
        <v>0</v>
      </c>
      <c r="M41" s="84">
        <f>'KM-Servicio'!U85</f>
        <v>0</v>
      </c>
      <c r="N41" s="84">
        <f>'KM-Servicio'!U92</f>
        <v>0</v>
      </c>
      <c r="O41" s="84">
        <f>'KM-Servicio'!U99</f>
        <v>0</v>
      </c>
      <c r="P41" s="84">
        <f>'KM-Servicio'!U106</f>
        <v>0</v>
      </c>
      <c r="Q41" s="84">
        <f>'KM-Servicio'!U113</f>
        <v>0</v>
      </c>
      <c r="R41" s="84">
        <f>'KM-Servicio'!U120</f>
        <v>0</v>
      </c>
      <c r="S41" s="84">
        <f>'KM-Servicio'!U127</f>
        <v>0</v>
      </c>
      <c r="T41" s="84">
        <f>'KM-Servicio'!U134</f>
        <v>0</v>
      </c>
      <c r="U41" s="84">
        <f>'KM-Servicio'!U141</f>
        <v>0</v>
      </c>
      <c r="V41" s="84">
        <f>'KM-Servicio'!U148</f>
        <v>0</v>
      </c>
      <c r="W41" s="84">
        <f>'KM-Servicio'!U155</f>
        <v>0</v>
      </c>
      <c r="X41" s="84">
        <f>'KM-Servicio'!U162</f>
        <v>0</v>
      </c>
      <c r="Y41" s="84">
        <f>'KM-Servicio'!U169</f>
        <v>0</v>
      </c>
      <c r="Z41" s="84">
        <f>'KM-Servicio'!U176</f>
        <v>0</v>
      </c>
      <c r="AA41" s="84">
        <f>'KM-Servicio'!U183</f>
        <v>0</v>
      </c>
      <c r="AB41" s="84">
        <f>'KM-Servicio'!U190</f>
        <v>0</v>
      </c>
      <c r="AC41" s="84">
        <f>'KM-Servicio'!U197</f>
        <v>0</v>
      </c>
      <c r="AD41" s="84">
        <f>'KM-Servicio'!U204</f>
        <v>0</v>
      </c>
      <c r="AE41" s="84">
        <f>'KM-Servicio'!U211</f>
        <v>0</v>
      </c>
      <c r="AF41" s="84">
        <f>'KM-Servicio'!U218</f>
        <v>0</v>
      </c>
      <c r="AG41" s="84">
        <f>'KM-Servicio'!Q226</f>
        <v>0</v>
      </c>
    </row>
    <row r="42" spans="1:33" s="125" customFormat="1" x14ac:dyDescent="0.3">
      <c r="A42" s="215" t="s">
        <v>154</v>
      </c>
      <c r="B42" s="83">
        <v>-3.71</v>
      </c>
      <c r="C42" s="84"/>
      <c r="D42" s="84"/>
      <c r="E42" s="84">
        <f>'KM-Servicio'!Q21</f>
        <v>0</v>
      </c>
      <c r="F42" s="84"/>
      <c r="G42" s="84">
        <f>'KM-Servicio'!Q35</f>
        <v>0</v>
      </c>
      <c r="H42" s="84"/>
      <c r="I42" s="84"/>
      <c r="J42" s="84"/>
      <c r="K42" s="84"/>
      <c r="L42" s="84"/>
      <c r="M42" s="84"/>
      <c r="N42" s="84">
        <f>'KM-Servicio'!Q93</f>
        <v>0</v>
      </c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</row>
    <row r="43" spans="1:33" s="125" customFormat="1" x14ac:dyDescent="0.3">
      <c r="A43" s="221" t="s">
        <v>160</v>
      </c>
      <c r="B43" s="83">
        <v>17.73</v>
      </c>
      <c r="C43" s="84"/>
      <c r="D43" s="84">
        <v>4</v>
      </c>
      <c r="E43" s="84"/>
      <c r="F43" s="84"/>
      <c r="G43" s="84">
        <v>3</v>
      </c>
      <c r="H43" s="84">
        <v>2</v>
      </c>
      <c r="I43" s="84">
        <v>4</v>
      </c>
      <c r="J43" s="84"/>
      <c r="K43" s="84">
        <v>3</v>
      </c>
      <c r="L43" s="84"/>
      <c r="M43" s="84"/>
      <c r="N43" s="84">
        <v>2</v>
      </c>
      <c r="O43" s="84">
        <v>1</v>
      </c>
      <c r="P43" s="84">
        <v>1</v>
      </c>
      <c r="Q43" s="84"/>
      <c r="R43" s="84">
        <v>3</v>
      </c>
      <c r="S43" s="84"/>
      <c r="T43" s="84"/>
      <c r="U43" s="84">
        <v>5</v>
      </c>
      <c r="V43" s="84">
        <v>2</v>
      </c>
      <c r="W43" s="84">
        <v>2</v>
      </c>
      <c r="X43" s="84">
        <v>3</v>
      </c>
      <c r="Y43" s="84">
        <v>2</v>
      </c>
      <c r="Z43" s="84"/>
      <c r="AA43" s="84"/>
      <c r="AB43" s="84">
        <v>2</v>
      </c>
      <c r="AC43" s="84">
        <v>4</v>
      </c>
      <c r="AD43" s="84">
        <v>4</v>
      </c>
      <c r="AE43" s="84">
        <v>3</v>
      </c>
      <c r="AF43" s="84">
        <v>3</v>
      </c>
      <c r="AG43" s="84"/>
    </row>
    <row r="44" spans="1:33" s="125" customFormat="1" x14ac:dyDescent="0.3">
      <c r="A44" s="221" t="s">
        <v>171</v>
      </c>
      <c r="B44" s="83">
        <v>-12.72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</row>
    <row r="45" spans="1:33" x14ac:dyDescent="0.3">
      <c r="A45" s="88"/>
      <c r="B45" s="83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</row>
    <row r="46" spans="1:33" x14ac:dyDescent="0.3">
      <c r="A46" s="89" t="s">
        <v>84</v>
      </c>
      <c r="B46" s="233">
        <f t="shared" ref="B46:B52" si="0">SUM(C46:AG46)</f>
        <v>5815</v>
      </c>
      <c r="C46" s="92">
        <f>SUM(C5:C14)</f>
        <v>111</v>
      </c>
      <c r="D46" s="92">
        <f>SUM(D5:D14)</f>
        <v>223</v>
      </c>
      <c r="E46" s="92">
        <f>SUM(E5:E12)</f>
        <v>147</v>
      </c>
      <c r="F46" s="92">
        <f>SUM(F5:F10)</f>
        <v>111</v>
      </c>
      <c r="G46" s="92">
        <f>SUM(G5:G10)</f>
        <v>223</v>
      </c>
      <c r="H46" s="92">
        <f>SUM(H5:H10)</f>
        <v>223</v>
      </c>
      <c r="I46" s="92">
        <f>SUM(I5:I10)</f>
        <v>223</v>
      </c>
      <c r="J46" s="92">
        <f>SUM(J5:J20)</f>
        <v>177</v>
      </c>
      <c r="K46" s="92">
        <f>SUM(K5:K10)</f>
        <v>223</v>
      </c>
      <c r="L46" s="92">
        <f>SUM(L5:L10)</f>
        <v>147</v>
      </c>
      <c r="M46" s="92">
        <f>SUM(M5:M20)</f>
        <v>111</v>
      </c>
      <c r="N46" s="92">
        <f t="shared" ref="N46:Y46" si="1">SUM(N5:N10)</f>
        <v>223</v>
      </c>
      <c r="O46" s="92">
        <f t="shared" si="1"/>
        <v>223</v>
      </c>
      <c r="P46" s="92">
        <f t="shared" si="1"/>
        <v>223</v>
      </c>
      <c r="Q46" s="92">
        <f t="shared" si="1"/>
        <v>223</v>
      </c>
      <c r="R46" s="92">
        <f t="shared" si="1"/>
        <v>223</v>
      </c>
      <c r="S46" s="92">
        <f t="shared" si="1"/>
        <v>147</v>
      </c>
      <c r="T46" s="92">
        <f t="shared" si="1"/>
        <v>111</v>
      </c>
      <c r="U46" s="92">
        <f t="shared" si="1"/>
        <v>223</v>
      </c>
      <c r="V46" s="92">
        <f t="shared" si="1"/>
        <v>223</v>
      </c>
      <c r="W46" s="92">
        <f t="shared" si="1"/>
        <v>111</v>
      </c>
      <c r="X46" s="92">
        <f t="shared" si="1"/>
        <v>223</v>
      </c>
      <c r="Y46" s="92">
        <f t="shared" si="1"/>
        <v>223</v>
      </c>
      <c r="Z46" s="92">
        <f>SUM(Z5:Z14)</f>
        <v>147</v>
      </c>
      <c r="AA46" s="92">
        <f>SUM(AA5:AA18)</f>
        <v>111</v>
      </c>
      <c r="AB46" s="92">
        <f>SUM(AB5:AB20)</f>
        <v>223</v>
      </c>
      <c r="AC46" s="92">
        <f>SUM(AC5:AC14)</f>
        <v>223</v>
      </c>
      <c r="AD46" s="92">
        <f>SUM(AD5:AD14)</f>
        <v>223</v>
      </c>
      <c r="AE46" s="92">
        <f>SUM(AE5:AE10)</f>
        <v>223</v>
      </c>
      <c r="AF46" s="92">
        <f>SUM(AF5:AF10)</f>
        <v>223</v>
      </c>
      <c r="AG46" s="92">
        <f>SUM(AG5:AG10)</f>
        <v>147</v>
      </c>
    </row>
    <row r="47" spans="1:33" x14ac:dyDescent="0.3">
      <c r="A47" s="91" t="s">
        <v>65</v>
      </c>
      <c r="B47" s="233">
        <f t="shared" si="0"/>
        <v>7296</v>
      </c>
      <c r="C47" s="92">
        <f>SUM(C22:C31)</f>
        <v>114</v>
      </c>
      <c r="D47" s="92">
        <f>SUM(D22:D31)</f>
        <v>296</v>
      </c>
      <c r="E47" s="92">
        <f>SUM(E22:E29)</f>
        <v>150</v>
      </c>
      <c r="F47" s="92">
        <f t="shared" ref="F47:AF47" si="2">SUM(F22:F27)</f>
        <v>114</v>
      </c>
      <c r="G47" s="92">
        <f t="shared" si="2"/>
        <v>296</v>
      </c>
      <c r="H47" s="92">
        <f t="shared" si="2"/>
        <v>296</v>
      </c>
      <c r="I47" s="92">
        <f t="shared" si="2"/>
        <v>296</v>
      </c>
      <c r="J47" s="92">
        <f>SUM(J22:J37)</f>
        <v>245</v>
      </c>
      <c r="K47" s="92">
        <f t="shared" si="2"/>
        <v>296</v>
      </c>
      <c r="L47" s="92">
        <f t="shared" si="2"/>
        <v>150</v>
      </c>
      <c r="M47" s="92">
        <f>SUM(M22:M37)</f>
        <v>114</v>
      </c>
      <c r="N47" s="92">
        <f t="shared" si="2"/>
        <v>296</v>
      </c>
      <c r="O47" s="92">
        <f t="shared" si="2"/>
        <v>294</v>
      </c>
      <c r="P47" s="92">
        <f t="shared" si="2"/>
        <v>296</v>
      </c>
      <c r="Q47" s="92">
        <f t="shared" si="2"/>
        <v>296</v>
      </c>
      <c r="R47" s="92">
        <f t="shared" si="2"/>
        <v>294</v>
      </c>
      <c r="S47" s="92">
        <f t="shared" si="2"/>
        <v>150</v>
      </c>
      <c r="T47" s="92">
        <f t="shared" si="2"/>
        <v>114</v>
      </c>
      <c r="U47" s="92">
        <f t="shared" si="2"/>
        <v>301</v>
      </c>
      <c r="V47" s="92">
        <f t="shared" si="2"/>
        <v>294</v>
      </c>
      <c r="W47" s="92">
        <f t="shared" si="2"/>
        <v>118</v>
      </c>
      <c r="X47" s="92">
        <f t="shared" si="2"/>
        <v>296</v>
      </c>
      <c r="Y47" s="92">
        <f t="shared" si="2"/>
        <v>296</v>
      </c>
      <c r="Z47" s="92">
        <f>SUM(Z22:Z31)</f>
        <v>150</v>
      </c>
      <c r="AA47" s="92">
        <f>SUM(AA22:AA35)</f>
        <v>114</v>
      </c>
      <c r="AB47" s="92">
        <f>SUM(AB22:AB37)</f>
        <v>292</v>
      </c>
      <c r="AC47" s="92">
        <f>SUM(AC22:AC31)</f>
        <v>294</v>
      </c>
      <c r="AD47" s="92">
        <f>SUM(AD22:AD31)</f>
        <v>294</v>
      </c>
      <c r="AE47" s="92">
        <f t="shared" si="2"/>
        <v>294</v>
      </c>
      <c r="AF47" s="92">
        <f t="shared" si="2"/>
        <v>296</v>
      </c>
      <c r="AG47" s="92">
        <f t="shared" ref="AG47" si="3">SUM(AG22:AG27)</f>
        <v>150</v>
      </c>
    </row>
    <row r="48" spans="1:33" x14ac:dyDescent="0.3">
      <c r="A48" s="91" t="s">
        <v>92</v>
      </c>
      <c r="B48" s="233">
        <f t="shared" si="0"/>
        <v>293809.70000000007</v>
      </c>
      <c r="C48" s="92">
        <f>(C22*$B$22+C23*$B$23+C24*$B$24+C25*$B$25+C27*$B$27+C40*$B$40+C26*$B$26+C39*$B$39+C41*$B$41+C42*$B$42+C30*$B$30+C31*$B$31+C43*B43)</f>
        <v>4916.8200000000006</v>
      </c>
      <c r="D48" s="92">
        <f>(D22*$B$22+D23*$B$23+D24*$B$24+D25*$B$25+D27*$B$27+D40*$B$40+D26*$B$26+D39*$B$39+D41*$B$41+D42*$B$42+D30*$B$30+D31*$B$31+D43*B43)</f>
        <v>11725.289999999999</v>
      </c>
      <c r="E48" s="92">
        <f>(E22*$B$22+E23*$B$23+E24*$B$24+E25*$B$25+E27*$B$27+E40*$B$40+E26*$B$26+E39*$B$39+E41*$B$41+E42*$B$42+E30*$B$30+E31*$B$31+E43*B43)</f>
        <v>6469.5</v>
      </c>
      <c r="F48" s="92">
        <f>(F22*$B$22+F23*$B$23+F24*$B$24+F25*$B$25+F27*$B$27+F40*$B$40+F26*$B$26+F39*$B$39+F41*$B$41+F42*$B$42+F43*B43)</f>
        <v>4916.8200000000006</v>
      </c>
      <c r="G48" s="92">
        <f>(G22*$B$22+G23*$B$23+G24*$B$24+G25*$B$25+G27*$B$27+G40*$B$40+G26*$B$26+G39*$B$39+G41*$B$41+G42*$B$42+G43*B43)</f>
        <v>11743.02</v>
      </c>
      <c r="H48" s="92">
        <f>(H22*$B$22+H23*$B$23+H24*$B$24+H25*$B$25+H27*$B$27+H40*$B$40+H26*$B$26+H39*$B$39+H41*$B$41+H42*$B$42+H43*B43)</f>
        <v>11760.749999999998</v>
      </c>
      <c r="I48" s="92">
        <f>(I22*$B$22+I23*$B$23+I24*$B$24+I25*$B$25+I27*$B$27+I40*$B$40+I26*$B$26+I39*$B$39+I41*$B$41+I42*$B$42+I43*B43)</f>
        <v>11796.21</v>
      </c>
      <c r="J48" s="92">
        <f>(J22*$B$22+J23*$B$23+J24*$B$24+J25*$B$25+J27*$B$27+J29*$B$29+J30*$B$30+J31*$B$31+J32*$B$32+J33*$B$33+J40*$B$40+J26*$B$26+J39*$B$39+J41*$B$41+J42*$B$42+J43*B43+J34*B34+J35*B35+J36*B36+J37*B37)</f>
        <v>9295.07</v>
      </c>
      <c r="K48" s="92">
        <f>(K22*$B$22+K23*$B$23+K24*$B$24+K25*$B$25+K27*$B$27+K40*$B$40+K26*$B$26+K39*$B$39+K41*$B$41+K42*$B$42+K43*B43)</f>
        <v>11760.75</v>
      </c>
      <c r="L48" s="92">
        <f>(L22*$B$22+L23*$B$23+L24*$B$24+L25*$B$25+L27*$B$27+L40*$B$40+L26*$B$26+L39*$B$39+L41*$B$41+L42*$B$42+L43*B43)</f>
        <v>6469.5</v>
      </c>
      <c r="M48" s="92">
        <f>(M22*$B$22+M23*$B$23+M24*$B$24+M25*$B$25+M27*$B$27+M40*$B$40+M26*$B$26+M39*$B$39+M41*$B$41+M42*$B$42+M32*B32+M33*B33+M36*B36+M37*B37+M43*B43)</f>
        <v>4916.8200000000006</v>
      </c>
      <c r="N48" s="92">
        <f>(N22*$B$22+N23*$B$23+N24*$B$24+N25*$B$25+N27*$B$27+N40*$B$40+N26*$B$26+N39*$B$39+N41*$B$41+N42*$B$42+N43*B43)</f>
        <v>11707.559999999998</v>
      </c>
      <c r="O48" s="92">
        <f>(O22*$B$22+O23*$B$23+O24*$B$24+O25*$B$25+O27*$B$27+O40*$B$40+O26*$B$26+O39*$B$39+O41*$B$41+O42*$B$42+O43*B43)</f>
        <v>11603.57</v>
      </c>
      <c r="P48" s="92">
        <f>(P22*$B$22+P23*$B$23+P24*$B$24+P25*$B$25+P27*$B$27+P40*$B$40+P26*$B$26+P39*$B$39+P41*$B$41+P42*$B$42+P43*B43)</f>
        <v>11672.099999999999</v>
      </c>
      <c r="Q48" s="92">
        <f t="shared" ref="Q48:T48" si="4">(Q22*$B$22+Q23*$B$23+Q24*$B$24+Q25*$B$25+Q27*$B$27+Q40*$B$40+Q26*$B$26+Q39*$B$39+Q41*$B$41+Q42*$B$42)</f>
        <v>11672.099999999999</v>
      </c>
      <c r="R48" s="92">
        <f>(R22*$B$22+R23*$B$23+R24*$B$24+R25*$B$25+R27*$B$27+R40*$B$40+R26*$B$26+R39*$B$39+R41*$B$41+R43*$B$43)</f>
        <v>11603.570000000002</v>
      </c>
      <c r="S48" s="92">
        <f t="shared" si="4"/>
        <v>6469.5</v>
      </c>
      <c r="T48" s="92">
        <f t="shared" si="4"/>
        <v>4916.8200000000006</v>
      </c>
      <c r="U48" s="92">
        <f>(U22*$B$22+U23*$B$23+U24*$B$24+U25*$B$25+U27*$B$27+U40*$B$40+U26*$B$26+U39*$B$39+U41*$B$41+U42*$B$42+U43*B43)</f>
        <v>11958.67</v>
      </c>
      <c r="V48" s="92">
        <f>(V22*$B$22+V23*$B$23+V24*$B$24+V25*$B$25+V27*$B$27+V40*$B$40+V26*$B$26+V39*$B$39+V41*$B$41+V42*$B$42+V43*B43)</f>
        <v>11674.49</v>
      </c>
      <c r="W48" s="92">
        <f>(W22*$B$22+W23*$B$23+W24*$B$24+W25*$B$25+W27*$B$27+W40*$B$40+W26*$B$26+W39*$B$39+W41*$B$41+W43*$B$43)</f>
        <v>5124.8</v>
      </c>
      <c r="X48" s="92">
        <f>(X22*$B$22+X23*$B$23+X24*$B$24+X25*$B$25+X27*$B$27+X40*$B$40+X26*$B$26+X39*$B$39+X41*$B$41+X43*$B$43)</f>
        <v>11778.48</v>
      </c>
      <c r="Y48" s="92">
        <f>(Y22*$B$22+Y23*$B$23+Y24*$B$24+Y25*$B$25+Y27*$B$27+Y40*$B$40+Y26*$B$26+Y39*$B$39+Y41*$B$41+Y43*$B$43)</f>
        <v>11760.749999999998</v>
      </c>
      <c r="Z48" s="92">
        <f t="shared" ref="Z48:AB48" si="5">(Z22*$B$22+Z23*$B$23+Z24*$B$24+Z25*$B$25+Z27*$B$27+Z40*$B$40+Z26*$B$26+Z39*$B$39+Z41*$B$41+Z43*$B$43)</f>
        <v>6469.5</v>
      </c>
      <c r="AA48" s="92">
        <f t="shared" si="5"/>
        <v>4916.8200000000006</v>
      </c>
      <c r="AB48" s="92">
        <f t="shared" si="5"/>
        <v>11517.309999999998</v>
      </c>
      <c r="AC48" s="92">
        <f>(AC22*$B$22+AC23*$B$23+AC24*$B$24+AC25*$B$25+AC27*$B$27+AC40*$B$40+AC26*$B$26+AC39*$B$39+AC41*$B$41+AC42*$B$42+AC30*$B$30+AC31*$B$31+AC43*B43)</f>
        <v>11656.76</v>
      </c>
      <c r="AD48" s="92">
        <f>(AD22*$B$22+AD23*$B$23+AD24*$B$24+AD25*$B$25+AD27*$B$27+AD40*$B$40+AD26*$B$26+AD39*$B$39+AD41*$B$41+AD42*$B$42+AD30*$B$30+AD31*$B$31+AD43*B43)</f>
        <v>11639.03</v>
      </c>
      <c r="AE48" s="92">
        <f>(AE22*$B$22+AE23*$B$23+AE24*$B$24+AE25*$B$25+AE27*$B$27+AE40*$B$40+AE26*$B$26+AE39*$B$39+AE41*$B$41+AE43*$B$43)</f>
        <v>11702.53</v>
      </c>
      <c r="AF48" s="92">
        <f>(AF22*$B$22+AF23*$B$23+AF24*$B$24+AF25*$B$25+AF27*$B$27+AF40*$B$40+AF26*$B$26+AF39*$B$39+AF41*$B$41+AF43*$B$43)</f>
        <v>11725.289999999999</v>
      </c>
      <c r="AG48" s="92">
        <f t="shared" ref="AG48" si="6">(AG22*$B$22+AG23*$B$23+AG24*$B$24+AG25*$B$25+AG27*$B$27+AG40*$B$40+AG26*$B$26+AG39*$B$39+AG41*$B$41+AG42*$B$42)</f>
        <v>6469.5</v>
      </c>
    </row>
    <row r="49" spans="1:33" x14ac:dyDescent="0.3">
      <c r="A49" s="91" t="s">
        <v>93</v>
      </c>
      <c r="B49" s="233">
        <f t="shared" si="0"/>
        <v>232125.91999999987</v>
      </c>
      <c r="C49" s="92">
        <f>$B$5*C5+$B$6*C6+$B$7*C7+$B$8*C8+$B$10*C10+$B$9*C9+C13*$B$13+C14*$B$14</f>
        <v>4787.43</v>
      </c>
      <c r="D49" s="92">
        <f>$B$5*D5+$B$6*D6+$B$7*D7+$B$8*D8+$B$10*D10+$B$9*D9+D13*$B$13+D14*$B$14</f>
        <v>8688.9599999999991</v>
      </c>
      <c r="E49" s="92">
        <f>$B$5*E5+$B$6*E6+$B$7*E7+$B$8*E8+$B$10*E10+$B$9*E9+E11*B11+E12*B12</f>
        <v>6340.1100000000006</v>
      </c>
      <c r="F49" s="92">
        <f>$B$5*F5+$B$6*F6+$B$7*F7+$B$8*F8+$B$10*F10+$B$9*F9</f>
        <v>4787.43</v>
      </c>
      <c r="G49" s="92">
        <f>$B$5*G5+$B$6*G6+$B$7*G7+$B$8*G8+$B$10*G10+$B$9*G9</f>
        <v>8688.9599999999991</v>
      </c>
      <c r="H49" s="92">
        <f>$B$5*H5+$B$6*H6+$B$7*H7+$B$8*H8+$B$10*H10+$B$9*H9</f>
        <v>8688.9599999999991</v>
      </c>
      <c r="I49" s="92">
        <f>$B$5*I5+$B$6*I6+$B$7*I7+$B$8*I8+$B$10*I10+$B$9*I9</f>
        <v>8688.9599999999991</v>
      </c>
      <c r="J49" s="92">
        <f>$B$5*J5+$B$6*J6+$B$7*J7+$B$8*J8+$B$10*J10+J12*$B$12+J13*$B$13+J14*$B$14+J15*$B$15+$B$9*J9+J16*$B$16+J17*B17+J18*B18+J19*B19+J20*B20</f>
        <v>6610.5499999999984</v>
      </c>
      <c r="K49" s="92">
        <f>$B$5*K5+$B$6*K6+$B$7*K7+$B$8*K8+$B$10*K10+$B$9*K9</f>
        <v>8688.9599999999991</v>
      </c>
      <c r="L49" s="92">
        <f>$B$5*L5+$B$6*L6+$B$7*L7+$B$8*L8+$B$10*L10+$B$9*L9</f>
        <v>6340.1100000000006</v>
      </c>
      <c r="M49" s="92">
        <f>$B$5*M5+$B$6*M6+$B$7*M7+$B$8*M8+$B$10*M10+$B$9*M9+M15*B15+M16*B16+M19*B19+M20*B20</f>
        <v>4787.43</v>
      </c>
      <c r="N49" s="92">
        <f t="shared" ref="N49:Y49" si="7">$B$5*N5+$B$6*N6+$B$7*N7+$B$8*N8+$B$10*N10+$B$9*N9</f>
        <v>8688.9599999999991</v>
      </c>
      <c r="O49" s="92">
        <f t="shared" si="7"/>
        <v>8688.9599999999991</v>
      </c>
      <c r="P49" s="92">
        <f t="shared" si="7"/>
        <v>8688.9599999999991</v>
      </c>
      <c r="Q49" s="92">
        <f t="shared" si="7"/>
        <v>8688.9599999999991</v>
      </c>
      <c r="R49" s="92">
        <f t="shared" si="7"/>
        <v>8688.9599999999991</v>
      </c>
      <c r="S49" s="92">
        <f t="shared" si="7"/>
        <v>6340.1100000000006</v>
      </c>
      <c r="T49" s="92">
        <f t="shared" si="7"/>
        <v>4787.43</v>
      </c>
      <c r="U49" s="92">
        <f t="shared" si="7"/>
        <v>8688.9599999999991</v>
      </c>
      <c r="V49" s="92">
        <f t="shared" si="7"/>
        <v>8688.9599999999991</v>
      </c>
      <c r="W49" s="92">
        <f t="shared" si="7"/>
        <v>4787.43</v>
      </c>
      <c r="X49" s="92">
        <f t="shared" si="7"/>
        <v>8688.9599999999991</v>
      </c>
      <c r="Y49" s="92">
        <f t="shared" si="7"/>
        <v>8688.9599999999991</v>
      </c>
      <c r="Z49" s="92">
        <f>$B$5*Z5+$B$6*Z6+$B$7*Z7+$B$8*Z8+$B$10*Z10+$B$9*Z9+Z13*$B$13+Z14*$B$14</f>
        <v>6340.1100000000006</v>
      </c>
      <c r="AA49" s="92">
        <f>$B$5*AA5+$B$6*AA6+$B$7*AA7+$B$8*AA8+$B$10*AA10+$B$9*AA9+AA13*$B$13+AA14*$B$14+AA17*B17+AA18*B18</f>
        <v>4787.43</v>
      </c>
      <c r="AB49" s="92">
        <f>$B$5*AB5+$B$6*AB6+$B$7*AB7+$B$8*AB8+$B$10*AB10+$B$9*AB9+AB13*$B$13+AB14*$B$14+AB19*B19+AB20*B20</f>
        <v>8688.9599999999991</v>
      </c>
      <c r="AC49" s="92">
        <f>$B$5*AC5+$B$6*AC6+$B$7*AC7+$B$8*AC8+$B$10*AC10+$B$9*AC9+AC13*$B$13+AC14*$B$14</f>
        <v>8688.9599999999991</v>
      </c>
      <c r="AD49" s="92">
        <f>$B$5*AD5+$B$6*AD6+$B$7*AD7+$B$8*AD8+$B$10*AD10+$B$9*AD9+AD13*$B$13+AD14*$B$14</f>
        <v>8688.9599999999991</v>
      </c>
      <c r="AE49" s="92">
        <f>$B$5*AE5+$B$6*AE6+$B$7*AE7+$B$8*AE8+$B$10*AE10+$B$9*AE9</f>
        <v>8688.9599999999991</v>
      </c>
      <c r="AF49" s="92">
        <f>$B$5*AF5+$B$6*AF6+$B$7*AF7+$B$8*AF8+$B$10*AF10+$B$9*AF9</f>
        <v>8688.9599999999991</v>
      </c>
      <c r="AG49" s="92">
        <f>$B$5*AG5+$B$6*AG6+$B$7*AG7+$B$8*AG8+$B$10*AG10+$B$9*AG9</f>
        <v>6340.1100000000006</v>
      </c>
    </row>
    <row r="50" spans="1:33" x14ac:dyDescent="0.3">
      <c r="A50" s="91" t="s">
        <v>94</v>
      </c>
      <c r="B50" s="233">
        <f t="shared" si="0"/>
        <v>30556208.800000004</v>
      </c>
      <c r="C50" s="92">
        <f t="shared" ref="C50:AF50" si="8">C48*104</f>
        <v>511349.28000000009</v>
      </c>
      <c r="D50" s="92">
        <f t="shared" si="8"/>
        <v>1219430.1599999999</v>
      </c>
      <c r="E50" s="92">
        <f t="shared" si="8"/>
        <v>672828</v>
      </c>
      <c r="F50" s="92">
        <f t="shared" si="8"/>
        <v>511349.28000000009</v>
      </c>
      <c r="G50" s="92">
        <f t="shared" si="8"/>
        <v>1221274.08</v>
      </c>
      <c r="H50" s="92">
        <f t="shared" si="8"/>
        <v>1223117.9999999998</v>
      </c>
      <c r="I50" s="92">
        <f t="shared" si="8"/>
        <v>1226805.8399999999</v>
      </c>
      <c r="J50" s="92">
        <f t="shared" si="8"/>
        <v>966687.28</v>
      </c>
      <c r="K50" s="92">
        <f t="shared" si="8"/>
        <v>1223118</v>
      </c>
      <c r="L50" s="92">
        <f t="shared" si="8"/>
        <v>672828</v>
      </c>
      <c r="M50" s="92">
        <f t="shared" si="8"/>
        <v>511349.28000000009</v>
      </c>
      <c r="N50" s="92">
        <f t="shared" si="8"/>
        <v>1217586.2399999998</v>
      </c>
      <c r="O50" s="92">
        <f t="shared" si="8"/>
        <v>1206771.28</v>
      </c>
      <c r="P50" s="92">
        <f t="shared" si="8"/>
        <v>1213898.3999999999</v>
      </c>
      <c r="Q50" s="92">
        <f t="shared" si="8"/>
        <v>1213898.3999999999</v>
      </c>
      <c r="R50" s="92">
        <f t="shared" si="8"/>
        <v>1206771.2800000003</v>
      </c>
      <c r="S50" s="92">
        <f t="shared" si="8"/>
        <v>672828</v>
      </c>
      <c r="T50" s="92">
        <f t="shared" si="8"/>
        <v>511349.28000000009</v>
      </c>
      <c r="U50" s="92">
        <f t="shared" si="8"/>
        <v>1243701.68</v>
      </c>
      <c r="V50" s="92">
        <f t="shared" si="8"/>
        <v>1214146.96</v>
      </c>
      <c r="W50" s="92">
        <f t="shared" si="8"/>
        <v>532979.20000000007</v>
      </c>
      <c r="X50" s="92">
        <f t="shared" si="8"/>
        <v>1224961.92</v>
      </c>
      <c r="Y50" s="92">
        <f t="shared" si="8"/>
        <v>1223117.9999999998</v>
      </c>
      <c r="Z50" s="92">
        <f t="shared" si="8"/>
        <v>672828</v>
      </c>
      <c r="AA50" s="92">
        <f t="shared" si="8"/>
        <v>511349.28000000009</v>
      </c>
      <c r="AB50" s="92">
        <f t="shared" si="8"/>
        <v>1197800.2399999998</v>
      </c>
      <c r="AC50" s="92">
        <f t="shared" si="8"/>
        <v>1212303.04</v>
      </c>
      <c r="AD50" s="92">
        <f t="shared" si="8"/>
        <v>1210459.1200000001</v>
      </c>
      <c r="AE50" s="92">
        <f t="shared" si="8"/>
        <v>1217063.1200000001</v>
      </c>
      <c r="AF50" s="92">
        <f t="shared" si="8"/>
        <v>1219430.1599999999</v>
      </c>
      <c r="AG50" s="92">
        <f t="shared" ref="AG50" si="9">AG48*104</f>
        <v>672828</v>
      </c>
    </row>
    <row r="51" spans="1:33" x14ac:dyDescent="0.3">
      <c r="A51" s="91" t="s">
        <v>95</v>
      </c>
      <c r="B51" s="90">
        <f t="shared" si="0"/>
        <v>587619.40000000014</v>
      </c>
      <c r="C51" s="92">
        <f>C48*2</f>
        <v>9833.6400000000012</v>
      </c>
      <c r="D51" s="92">
        <f t="shared" ref="D51:AD51" si="10">D48*2</f>
        <v>23450.579999999998</v>
      </c>
      <c r="E51" s="92">
        <f t="shared" si="10"/>
        <v>12939</v>
      </c>
      <c r="F51" s="92">
        <f t="shared" si="10"/>
        <v>9833.6400000000012</v>
      </c>
      <c r="G51" s="92">
        <f t="shared" si="10"/>
        <v>23486.04</v>
      </c>
      <c r="H51" s="92">
        <f t="shared" si="10"/>
        <v>23521.499999999996</v>
      </c>
      <c r="I51" s="92">
        <f t="shared" si="10"/>
        <v>23592.42</v>
      </c>
      <c r="J51" s="92">
        <f t="shared" si="10"/>
        <v>18590.14</v>
      </c>
      <c r="K51" s="92">
        <f t="shared" si="10"/>
        <v>23521.5</v>
      </c>
      <c r="L51" s="92">
        <f t="shared" si="10"/>
        <v>12939</v>
      </c>
      <c r="M51" s="92">
        <f t="shared" si="10"/>
        <v>9833.6400000000012</v>
      </c>
      <c r="N51" s="92">
        <f t="shared" si="10"/>
        <v>23415.119999999995</v>
      </c>
      <c r="O51" s="92">
        <f t="shared" si="10"/>
        <v>23207.14</v>
      </c>
      <c r="P51" s="92">
        <f t="shared" si="10"/>
        <v>23344.199999999997</v>
      </c>
      <c r="Q51" s="92">
        <f t="shared" si="10"/>
        <v>23344.199999999997</v>
      </c>
      <c r="R51" s="92">
        <f t="shared" si="10"/>
        <v>23207.140000000003</v>
      </c>
      <c r="S51" s="92">
        <f t="shared" si="10"/>
        <v>12939</v>
      </c>
      <c r="T51" s="92">
        <f t="shared" si="10"/>
        <v>9833.6400000000012</v>
      </c>
      <c r="U51" s="92">
        <f t="shared" si="10"/>
        <v>23917.34</v>
      </c>
      <c r="V51" s="92">
        <f t="shared" si="10"/>
        <v>23348.98</v>
      </c>
      <c r="W51" s="92">
        <f t="shared" si="10"/>
        <v>10249.6</v>
      </c>
      <c r="X51" s="92">
        <f t="shared" si="10"/>
        <v>23556.959999999999</v>
      </c>
      <c r="Y51" s="92">
        <f t="shared" si="10"/>
        <v>23521.499999999996</v>
      </c>
      <c r="Z51" s="92">
        <f t="shared" si="10"/>
        <v>12939</v>
      </c>
      <c r="AA51" s="92">
        <f t="shared" si="10"/>
        <v>9833.6400000000012</v>
      </c>
      <c r="AB51" s="92">
        <f t="shared" si="10"/>
        <v>23034.619999999995</v>
      </c>
      <c r="AC51" s="92">
        <f t="shared" si="10"/>
        <v>23313.52</v>
      </c>
      <c r="AD51" s="92">
        <f t="shared" si="10"/>
        <v>23278.06</v>
      </c>
      <c r="AE51" s="92">
        <f>AE48*2</f>
        <v>23405.06</v>
      </c>
      <c r="AF51" s="92">
        <f>AF48*2</f>
        <v>23450.579999999998</v>
      </c>
      <c r="AG51" s="92">
        <f>AG48*2</f>
        <v>12939</v>
      </c>
    </row>
    <row r="52" spans="1:33" x14ac:dyDescent="0.3">
      <c r="A52" s="91" t="s">
        <v>96</v>
      </c>
      <c r="B52" s="90">
        <f t="shared" si="0"/>
        <v>2641152</v>
      </c>
      <c r="C52" s="92">
        <f>+C47*362</f>
        <v>41268</v>
      </c>
      <c r="D52" s="92">
        <f t="shared" ref="D52:AD52" si="11">+D47*362</f>
        <v>107152</v>
      </c>
      <c r="E52" s="92">
        <f t="shared" si="11"/>
        <v>54300</v>
      </c>
      <c r="F52" s="92">
        <f t="shared" si="11"/>
        <v>41268</v>
      </c>
      <c r="G52" s="92">
        <f t="shared" si="11"/>
        <v>107152</v>
      </c>
      <c r="H52" s="92">
        <f t="shared" si="11"/>
        <v>107152</v>
      </c>
      <c r="I52" s="92">
        <f t="shared" si="11"/>
        <v>107152</v>
      </c>
      <c r="J52" s="92">
        <f t="shared" si="11"/>
        <v>88690</v>
      </c>
      <c r="K52" s="92">
        <f t="shared" si="11"/>
        <v>107152</v>
      </c>
      <c r="L52" s="92">
        <f t="shared" si="11"/>
        <v>54300</v>
      </c>
      <c r="M52" s="92">
        <f t="shared" si="11"/>
        <v>41268</v>
      </c>
      <c r="N52" s="92">
        <f t="shared" si="11"/>
        <v>107152</v>
      </c>
      <c r="O52" s="92">
        <f t="shared" si="11"/>
        <v>106428</v>
      </c>
      <c r="P52" s="92">
        <f t="shared" si="11"/>
        <v>107152</v>
      </c>
      <c r="Q52" s="92">
        <f t="shared" si="11"/>
        <v>107152</v>
      </c>
      <c r="R52" s="92">
        <f t="shared" si="11"/>
        <v>106428</v>
      </c>
      <c r="S52" s="92">
        <f t="shared" si="11"/>
        <v>54300</v>
      </c>
      <c r="T52" s="92">
        <f t="shared" si="11"/>
        <v>41268</v>
      </c>
      <c r="U52" s="92">
        <f t="shared" si="11"/>
        <v>108962</v>
      </c>
      <c r="V52" s="92">
        <f t="shared" si="11"/>
        <v>106428</v>
      </c>
      <c r="W52" s="92">
        <f t="shared" si="11"/>
        <v>42716</v>
      </c>
      <c r="X52" s="92">
        <f t="shared" si="11"/>
        <v>107152</v>
      </c>
      <c r="Y52" s="92">
        <f t="shared" si="11"/>
        <v>107152</v>
      </c>
      <c r="Z52" s="92">
        <f t="shared" si="11"/>
        <v>54300</v>
      </c>
      <c r="AA52" s="92">
        <f t="shared" si="11"/>
        <v>41268</v>
      </c>
      <c r="AB52" s="92">
        <f t="shared" si="11"/>
        <v>105704</v>
      </c>
      <c r="AC52" s="92">
        <f t="shared" si="11"/>
        <v>106428</v>
      </c>
      <c r="AD52" s="92">
        <f t="shared" si="11"/>
        <v>106428</v>
      </c>
      <c r="AE52" s="92">
        <f>+AE47*362</f>
        <v>106428</v>
      </c>
      <c r="AF52" s="92">
        <f>+AF47*362</f>
        <v>107152</v>
      </c>
      <c r="AG52" s="92">
        <f>+AG47*362</f>
        <v>54300</v>
      </c>
    </row>
    <row r="53" spans="1:33" ht="14.25" customHeight="1" x14ac:dyDescent="0.3">
      <c r="A53" s="93" t="s">
        <v>97</v>
      </c>
      <c r="B53" s="233">
        <f>SUM(C53:AG53)</f>
        <v>23299109.210000001</v>
      </c>
      <c r="C53" s="92">
        <f>C48*79.3</f>
        <v>389903.82600000006</v>
      </c>
      <c r="D53" s="92">
        <f t="shared" ref="D53:AD53" si="12">D48*79.3</f>
        <v>929815.49699999986</v>
      </c>
      <c r="E53" s="92">
        <f t="shared" si="12"/>
        <v>513031.35</v>
      </c>
      <c r="F53" s="92">
        <f t="shared" si="12"/>
        <v>389903.82600000006</v>
      </c>
      <c r="G53" s="92">
        <f t="shared" si="12"/>
        <v>931221.48600000003</v>
      </c>
      <c r="H53" s="92">
        <f t="shared" si="12"/>
        <v>932627.47499999986</v>
      </c>
      <c r="I53" s="92">
        <f t="shared" si="12"/>
        <v>935439.45299999986</v>
      </c>
      <c r="J53" s="92">
        <f t="shared" si="12"/>
        <v>737099.05099999998</v>
      </c>
      <c r="K53" s="92">
        <f t="shared" si="12"/>
        <v>932627.47499999998</v>
      </c>
      <c r="L53" s="92">
        <f t="shared" si="12"/>
        <v>513031.35</v>
      </c>
      <c r="M53" s="92">
        <f t="shared" si="12"/>
        <v>389903.82600000006</v>
      </c>
      <c r="N53" s="92">
        <f t="shared" si="12"/>
        <v>928409.5079999998</v>
      </c>
      <c r="O53" s="92">
        <f t="shared" si="12"/>
        <v>920163.10099999991</v>
      </c>
      <c r="P53" s="92">
        <f t="shared" si="12"/>
        <v>925597.5299999998</v>
      </c>
      <c r="Q53" s="92">
        <f t="shared" si="12"/>
        <v>925597.5299999998</v>
      </c>
      <c r="R53" s="92">
        <f t="shared" si="12"/>
        <v>920163.10100000014</v>
      </c>
      <c r="S53" s="92">
        <f t="shared" si="12"/>
        <v>513031.35</v>
      </c>
      <c r="T53" s="92">
        <f t="shared" si="12"/>
        <v>389903.82600000006</v>
      </c>
      <c r="U53" s="92">
        <f t="shared" si="12"/>
        <v>948322.53099999996</v>
      </c>
      <c r="V53" s="92">
        <f t="shared" si="12"/>
        <v>925787.05699999991</v>
      </c>
      <c r="W53" s="92">
        <f t="shared" si="12"/>
        <v>406396.64</v>
      </c>
      <c r="X53" s="92">
        <f t="shared" si="12"/>
        <v>934033.46399999992</v>
      </c>
      <c r="Y53" s="92">
        <f t="shared" si="12"/>
        <v>932627.47499999986</v>
      </c>
      <c r="Z53" s="92">
        <f t="shared" si="12"/>
        <v>513031.35</v>
      </c>
      <c r="AA53" s="92">
        <f t="shared" si="12"/>
        <v>389903.82600000006</v>
      </c>
      <c r="AB53" s="92">
        <f t="shared" si="12"/>
        <v>913322.68299999973</v>
      </c>
      <c r="AC53" s="92">
        <f>AC48*79.3</f>
        <v>924381.06799999997</v>
      </c>
      <c r="AD53" s="92">
        <f t="shared" si="12"/>
        <v>922975.07900000003</v>
      </c>
      <c r="AE53" s="92">
        <f>AE48*79.3</f>
        <v>928010.62900000007</v>
      </c>
      <c r="AF53" s="92">
        <f>AF48*79.3</f>
        <v>929815.49699999986</v>
      </c>
      <c r="AG53" s="92">
        <f>AG48*79.3</f>
        <v>513031.35</v>
      </c>
    </row>
    <row r="54" spans="1:33" x14ac:dyDescent="0.3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92"/>
      <c r="O54" s="8"/>
    </row>
    <row r="55" spans="1:33" x14ac:dyDescent="0.3">
      <c r="C55" s="125"/>
      <c r="D55" s="173">
        <f>B53-23299109</f>
        <v>0.21000000089406967</v>
      </c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</row>
    <row r="57" spans="1:33" x14ac:dyDescent="0.3">
      <c r="C57" s="173"/>
      <c r="D57" s="202"/>
      <c r="E57" s="351"/>
      <c r="F57" s="173"/>
      <c r="G57" s="173"/>
      <c r="H57" s="173"/>
      <c r="I57" s="173"/>
      <c r="J57" s="202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</row>
    <row r="58" spans="1:33" x14ac:dyDescent="0.3">
      <c r="E58" s="43"/>
      <c r="F58" s="134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4"/>
      <c r="Y58" s="43"/>
      <c r="AB58" s="8"/>
    </row>
    <row r="59" spans="1:33" x14ac:dyDescent="0.3">
      <c r="E59" s="43"/>
      <c r="F59" s="43"/>
      <c r="G59" s="43"/>
      <c r="H59" s="125"/>
      <c r="I59" s="43"/>
      <c r="J59" s="43"/>
      <c r="K59" s="125"/>
      <c r="L59" s="43"/>
      <c r="M59" s="43"/>
      <c r="N59" s="43"/>
      <c r="O59" s="125"/>
      <c r="P59" s="43"/>
      <c r="Q59" s="43"/>
      <c r="R59" s="43"/>
      <c r="S59" s="125"/>
      <c r="T59" s="43"/>
      <c r="U59" s="43"/>
      <c r="V59" s="43"/>
      <c r="W59" s="125"/>
      <c r="X59" s="43"/>
      <c r="Y59" s="43"/>
      <c r="Z59" s="43"/>
      <c r="AA59" s="125"/>
      <c r="AB59" s="43"/>
      <c r="AD59" s="43"/>
      <c r="AE59" s="43"/>
      <c r="AF59" s="125"/>
    </row>
    <row r="60" spans="1:33" x14ac:dyDescent="0.3">
      <c r="P60" s="85"/>
      <c r="R60" s="173"/>
      <c r="AB60" s="8"/>
    </row>
    <row r="61" spans="1:33" x14ac:dyDescent="0.3">
      <c r="P61" s="85"/>
      <c r="R61" s="173"/>
      <c r="AB61" s="8"/>
    </row>
    <row r="62" spans="1:33" x14ac:dyDescent="0.3"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73"/>
      <c r="S62" s="125"/>
      <c r="T62" s="125"/>
      <c r="U62" s="125"/>
      <c r="V62" s="125"/>
      <c r="W62" s="125"/>
      <c r="X62" s="125"/>
      <c r="Y62" s="125"/>
      <c r="Z62" s="125"/>
      <c r="AA62" s="125"/>
      <c r="AB62" s="8"/>
      <c r="AD62" s="125"/>
      <c r="AE62" s="125"/>
      <c r="AF62" s="125"/>
      <c r="AG62" s="125"/>
    </row>
    <row r="63" spans="1:33" x14ac:dyDescent="0.3">
      <c r="P63" s="85"/>
      <c r="R63" s="173"/>
      <c r="AB63" s="8"/>
    </row>
    <row r="64" spans="1:33" x14ac:dyDescent="0.3">
      <c r="P64" s="85"/>
      <c r="R64" s="173"/>
      <c r="AB64" s="8"/>
    </row>
    <row r="65" spans="5:33" x14ac:dyDescent="0.3"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73"/>
      <c r="S65" s="125"/>
      <c r="T65" s="125"/>
      <c r="U65" s="125"/>
      <c r="V65" s="125"/>
      <c r="W65" s="125"/>
      <c r="X65" s="125"/>
      <c r="Y65" s="125"/>
      <c r="Z65" s="125"/>
      <c r="AA65" s="125"/>
      <c r="AB65" s="8"/>
      <c r="AD65" s="125"/>
      <c r="AE65" s="125"/>
      <c r="AF65" s="125"/>
      <c r="AG65" s="125"/>
    </row>
    <row r="66" spans="5:33" x14ac:dyDescent="0.3">
      <c r="Q66" s="85"/>
      <c r="R66" s="173"/>
      <c r="AB66" s="8"/>
    </row>
    <row r="67" spans="5:33" x14ac:dyDescent="0.3">
      <c r="Q67" s="85"/>
      <c r="R67" s="173"/>
    </row>
    <row r="68" spans="5:33" x14ac:dyDescent="0.3">
      <c r="Q68" s="85"/>
      <c r="R68" s="173"/>
    </row>
    <row r="69" spans="5:33" x14ac:dyDescent="0.3">
      <c r="Q69" s="85"/>
      <c r="R69" s="173"/>
    </row>
    <row r="70" spans="5:33" x14ac:dyDescent="0.3">
      <c r="Q70" s="8"/>
      <c r="R70" s="173"/>
    </row>
    <row r="71" spans="5:33" x14ac:dyDescent="0.3">
      <c r="Q71" s="8"/>
      <c r="R71" s="173"/>
    </row>
    <row r="72" spans="5:33" x14ac:dyDescent="0.3">
      <c r="R72" s="173"/>
    </row>
    <row r="73" spans="5:33" x14ac:dyDescent="0.3">
      <c r="R73" s="173"/>
    </row>
    <row r="74" spans="5:33" x14ac:dyDescent="0.3">
      <c r="R74" s="173"/>
    </row>
    <row r="75" spans="5:33" x14ac:dyDescent="0.3">
      <c r="R75" s="173"/>
    </row>
    <row r="76" spans="5:33" x14ac:dyDescent="0.3">
      <c r="R76" s="173"/>
    </row>
    <row r="77" spans="5:33" x14ac:dyDescent="0.3">
      <c r="R77" s="173"/>
    </row>
    <row r="78" spans="5:33" x14ac:dyDescent="0.3">
      <c r="R78" s="173"/>
    </row>
    <row r="79" spans="5:33" x14ac:dyDescent="0.3">
      <c r="R79" s="173"/>
    </row>
    <row r="80" spans="5:33" x14ac:dyDescent="0.3">
      <c r="R80" s="173"/>
    </row>
    <row r="81" spans="18:18" x14ac:dyDescent="0.3">
      <c r="R81" s="125"/>
    </row>
    <row r="82" spans="18:18" x14ac:dyDescent="0.3">
      <c r="R82" s="125"/>
    </row>
    <row r="83" spans="18:18" x14ac:dyDescent="0.3">
      <c r="R83" s="125"/>
    </row>
    <row r="84" spans="18:18" x14ac:dyDescent="0.3">
      <c r="R84" s="125"/>
    </row>
    <row r="85" spans="18:18" x14ac:dyDescent="0.3">
      <c r="R85" s="125"/>
    </row>
    <row r="86" spans="18:18" x14ac:dyDescent="0.3">
      <c r="R86" s="125"/>
    </row>
    <row r="87" spans="18:18" x14ac:dyDescent="0.3">
      <c r="R87" s="125"/>
    </row>
    <row r="88" spans="18:18" x14ac:dyDescent="0.3">
      <c r="R88" s="125"/>
    </row>
    <row r="89" spans="18:18" x14ac:dyDescent="0.3">
      <c r="R89" s="125"/>
    </row>
    <row r="90" spans="18:18" x14ac:dyDescent="0.3">
      <c r="R90" s="12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G34" sqref="G34"/>
    </sheetView>
  </sheetViews>
  <sheetFormatPr baseColWidth="10" defaultColWidth="11.44140625" defaultRowHeight="14.4" x14ac:dyDescent="0.3"/>
  <cols>
    <col min="1" max="2" width="11.44140625" style="125"/>
    <col min="3" max="3" width="19.109375" style="125" customWidth="1"/>
    <col min="4" max="4" width="11.44140625" style="125"/>
    <col min="5" max="5" width="18.44140625" style="125" customWidth="1"/>
    <col min="6" max="6" width="14.109375" style="125" customWidth="1"/>
    <col min="7" max="7" width="23.88671875" style="125" customWidth="1"/>
    <col min="8" max="8" width="22.6640625" style="125" customWidth="1"/>
    <col min="9" max="9" width="11.44140625" style="125"/>
    <col min="10" max="10" width="50.88671875" style="125" customWidth="1"/>
    <col min="11" max="11" width="18.5546875" style="125" customWidth="1"/>
    <col min="12" max="12" width="14.33203125" style="125" customWidth="1"/>
    <col min="13" max="13" width="25.5546875" style="125" customWidth="1"/>
    <col min="14" max="16384" width="11.44140625" style="125"/>
  </cols>
  <sheetData>
    <row r="1" spans="1:14" ht="44.4" x14ac:dyDescent="0.3">
      <c r="A1" s="385" t="s">
        <v>173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</row>
    <row r="2" spans="1:14" ht="15.6" x14ac:dyDescent="0.3">
      <c r="A2" s="159" t="s">
        <v>126</v>
      </c>
      <c r="B2" s="159" t="s">
        <v>3</v>
      </c>
      <c r="C2" s="159" t="s">
        <v>127</v>
      </c>
      <c r="D2" s="159" t="s">
        <v>128</v>
      </c>
      <c r="E2" s="160" t="s">
        <v>129</v>
      </c>
      <c r="F2" s="160" t="s">
        <v>130</v>
      </c>
      <c r="G2" s="160" t="s">
        <v>131</v>
      </c>
      <c r="H2" s="160" t="s">
        <v>132</v>
      </c>
      <c r="I2" s="160" t="s">
        <v>133</v>
      </c>
      <c r="J2" s="160" t="s">
        <v>134</v>
      </c>
      <c r="K2" s="160" t="s">
        <v>135</v>
      </c>
      <c r="L2" s="160" t="s">
        <v>136</v>
      </c>
      <c r="M2" s="160" t="s">
        <v>137</v>
      </c>
    </row>
    <row r="3" spans="1:14" ht="15" x14ac:dyDescent="0.3">
      <c r="A3" s="161">
        <v>45778</v>
      </c>
      <c r="B3" s="12">
        <f>'KM-Servicio'!N11</f>
        <v>4943</v>
      </c>
      <c r="C3" s="12">
        <f>B3</f>
        <v>4943</v>
      </c>
      <c r="D3" s="12">
        <f>'KM-Servicio'!W11</f>
        <v>4916.8200000000006</v>
      </c>
      <c r="E3" s="12">
        <f>D3</f>
        <v>4916.8200000000006</v>
      </c>
      <c r="F3" s="167">
        <f>'KM-Servicio'!O11</f>
        <v>99.470362128262195</v>
      </c>
      <c r="G3" s="168">
        <f>SUM('KM-Servicio'!B11:C11)</f>
        <v>111</v>
      </c>
      <c r="H3" s="168">
        <f>SUM('KM-Servicio'!D11:E11)</f>
        <v>111</v>
      </c>
      <c r="I3" s="145"/>
      <c r="J3" s="145"/>
      <c r="K3" s="12">
        <f>'Oferta Diaria'!C53</f>
        <v>389903.82600000006</v>
      </c>
      <c r="L3" s="176" t="s">
        <v>139</v>
      </c>
      <c r="M3" s="165"/>
      <c r="N3" s="163"/>
    </row>
    <row r="4" spans="1:14" ht="15" x14ac:dyDescent="0.3">
      <c r="A4" s="161">
        <v>45779</v>
      </c>
      <c r="B4" s="12">
        <f>'KM-Servicio'!N18</f>
        <v>12128</v>
      </c>
      <c r="C4" s="12">
        <f>B4+C3</f>
        <v>17071</v>
      </c>
      <c r="D4" s="12">
        <f>'KM-Servicio'!W18</f>
        <v>11725.289999999999</v>
      </c>
      <c r="E4" s="12">
        <f>D4+E3</f>
        <v>16642.11</v>
      </c>
      <c r="F4" s="167">
        <f>'KM-Servicio'!O18</f>
        <v>96.679501978891807</v>
      </c>
      <c r="G4" s="168">
        <f>SUM('KM-Servicio'!B18:C18)</f>
        <v>223</v>
      </c>
      <c r="H4" s="168">
        <f>SUM('KM-Servicio'!D18:E18)</f>
        <v>223</v>
      </c>
      <c r="I4" s="145"/>
      <c r="J4" s="145"/>
      <c r="K4" s="12">
        <f>'Oferta Diaria'!D53</f>
        <v>929815.49699999986</v>
      </c>
      <c r="L4" s="162" t="s">
        <v>140</v>
      </c>
      <c r="M4" s="165"/>
      <c r="N4" s="163"/>
    </row>
    <row r="5" spans="1:14" ht="15" x14ac:dyDescent="0.3">
      <c r="A5" s="161">
        <v>45780</v>
      </c>
      <c r="B5" s="12">
        <f>'KM-Servicio'!N25</f>
        <v>6489</v>
      </c>
      <c r="C5" s="12">
        <f t="shared" ref="C5:C30" si="0">B5+C4</f>
        <v>23560</v>
      </c>
      <c r="D5" s="12">
        <f>'KM-Servicio'!W25</f>
        <v>6469.5</v>
      </c>
      <c r="E5" s="12">
        <f t="shared" ref="E5:E30" si="1">D5+E4</f>
        <v>23111.61</v>
      </c>
      <c r="F5" s="167">
        <f>'KM-Servicio'!O25</f>
        <v>99.699491447064261</v>
      </c>
      <c r="G5" s="168">
        <f>SUM('KM-Servicio'!B25:C25)</f>
        <v>147</v>
      </c>
      <c r="H5" s="168">
        <f>SUM('KM-Servicio'!D25:E25)</f>
        <v>147</v>
      </c>
      <c r="I5" s="145"/>
      <c r="J5" s="145"/>
      <c r="K5" s="12">
        <f>'Oferta Diaria'!E53</f>
        <v>513031.35</v>
      </c>
      <c r="L5" s="176" t="s">
        <v>141</v>
      </c>
      <c r="M5" s="165"/>
      <c r="N5" s="163"/>
    </row>
    <row r="6" spans="1:14" ht="15" x14ac:dyDescent="0.3">
      <c r="A6" s="161">
        <v>45781</v>
      </c>
      <c r="B6" s="12">
        <f>'KM-Servicio'!N32</f>
        <v>4955</v>
      </c>
      <c r="C6" s="12">
        <f t="shared" si="0"/>
        <v>28515</v>
      </c>
      <c r="D6" s="12">
        <f>'KM-Servicio'!W32</f>
        <v>4916.8200000000006</v>
      </c>
      <c r="E6" s="12">
        <f t="shared" si="1"/>
        <v>28028.43</v>
      </c>
      <c r="F6" s="167">
        <f>'KM-Servicio'!O32</f>
        <v>99.22946518668013</v>
      </c>
      <c r="G6" s="168">
        <f>SUM('KM-Servicio'!B32:C32)</f>
        <v>111</v>
      </c>
      <c r="H6" s="168">
        <f>SUM('KM-Servicio'!D32:E32)</f>
        <v>111</v>
      </c>
      <c r="I6" s="145"/>
      <c r="J6" s="145"/>
      <c r="K6" s="12">
        <f>'Oferta Diaria'!F53</f>
        <v>389903.82600000006</v>
      </c>
      <c r="L6" s="176" t="s">
        <v>139</v>
      </c>
      <c r="M6" s="165"/>
      <c r="N6" s="163"/>
    </row>
    <row r="7" spans="1:14" ht="16.5" customHeight="1" x14ac:dyDescent="0.3">
      <c r="A7" s="161">
        <v>45782</v>
      </c>
      <c r="B7" s="12">
        <f>'KM-Servicio'!N39</f>
        <v>12105</v>
      </c>
      <c r="C7" s="12">
        <f t="shared" si="0"/>
        <v>40620</v>
      </c>
      <c r="D7" s="12">
        <f>'KM-Servicio'!W39</f>
        <v>11743.019999999999</v>
      </c>
      <c r="E7" s="12">
        <f t="shared" si="1"/>
        <v>39771.449999999997</v>
      </c>
      <c r="F7" s="167">
        <f>'KM-Servicio'!O39</f>
        <v>97.00966542750929</v>
      </c>
      <c r="G7" s="168">
        <f>SUM('KM-Servicio'!B39:C39)</f>
        <v>223</v>
      </c>
      <c r="H7" s="168">
        <f>SUM('KM-Servicio'!D39:E39)</f>
        <v>223</v>
      </c>
      <c r="I7" s="145"/>
      <c r="J7" s="145"/>
      <c r="K7" s="12">
        <f>'Oferta Diaria'!G53</f>
        <v>931221.48600000003</v>
      </c>
      <c r="L7" s="162" t="s">
        <v>140</v>
      </c>
      <c r="M7" s="178"/>
      <c r="N7" s="163"/>
    </row>
    <row r="8" spans="1:14" ht="15" x14ac:dyDescent="0.3">
      <c r="A8" s="161">
        <v>45783</v>
      </c>
      <c r="B8" s="12">
        <f>'KM-Servicio'!N46</f>
        <v>12087</v>
      </c>
      <c r="C8" s="12">
        <f t="shared" si="0"/>
        <v>52707</v>
      </c>
      <c r="D8" s="12">
        <f>'KM-Servicio'!W46</f>
        <v>11760.749999999998</v>
      </c>
      <c r="E8" s="12">
        <f t="shared" si="1"/>
        <v>51532.2</v>
      </c>
      <c r="F8" s="167">
        <f>'KM-Servicio'!O46</f>
        <v>97.300819061801917</v>
      </c>
      <c r="G8" s="168">
        <f>SUM('KM-Servicio'!B46:C46)</f>
        <v>223</v>
      </c>
      <c r="H8" s="168">
        <f>SUM('KM-Servicio'!D46:E46)</f>
        <v>223</v>
      </c>
      <c r="I8" s="145"/>
      <c r="J8" s="145"/>
      <c r="K8" s="12">
        <f>'Oferta Diaria'!H53</f>
        <v>932627.47499999986</v>
      </c>
      <c r="L8" s="162" t="s">
        <v>140</v>
      </c>
      <c r="M8" s="165"/>
      <c r="N8" s="163"/>
    </row>
    <row r="9" spans="1:14" ht="15" x14ac:dyDescent="0.3">
      <c r="A9" s="161">
        <v>45784</v>
      </c>
      <c r="B9" s="12">
        <f>'KM-Servicio'!N53</f>
        <v>12123</v>
      </c>
      <c r="C9" s="12">
        <f t="shared" si="0"/>
        <v>64830</v>
      </c>
      <c r="D9" s="12">
        <f>'KM-Servicio'!W53</f>
        <v>11796.210000000001</v>
      </c>
      <c r="E9" s="12">
        <f t="shared" si="1"/>
        <v>63328.409999999996</v>
      </c>
      <c r="F9" s="167">
        <f>'KM-Servicio'!O53</f>
        <v>97.304380103934676</v>
      </c>
      <c r="G9" s="168">
        <f>SUM('KM-Servicio'!B53:C53)</f>
        <v>223</v>
      </c>
      <c r="H9" s="168">
        <f>SUM('KM-Servicio'!D53:E53)</f>
        <v>223</v>
      </c>
      <c r="I9" s="145"/>
      <c r="J9" s="145"/>
      <c r="K9" s="12">
        <f>'Oferta Diaria'!I53</f>
        <v>935439.45299999986</v>
      </c>
      <c r="L9" s="162" t="s">
        <v>140</v>
      </c>
      <c r="M9" s="177"/>
      <c r="N9" s="163"/>
    </row>
    <row r="10" spans="1:14" ht="15" x14ac:dyDescent="0.3">
      <c r="A10" s="161">
        <v>45785</v>
      </c>
      <c r="B10" s="12">
        <f>'KM-Servicio'!N69</f>
        <v>10264</v>
      </c>
      <c r="C10" s="12">
        <f t="shared" si="0"/>
        <v>75094</v>
      </c>
      <c r="D10" s="12">
        <f>'KM-Servicio'!W69</f>
        <v>9295.07</v>
      </c>
      <c r="E10" s="12">
        <f t="shared" si="1"/>
        <v>72623.48</v>
      </c>
      <c r="F10" s="167">
        <f>'KM-Servicio'!O69</f>
        <v>90.559918160561182</v>
      </c>
      <c r="G10" s="168">
        <f>SUM('KM-Servicio'!B69:C69)</f>
        <v>223</v>
      </c>
      <c r="H10" s="168">
        <f>SUM('KM-Servicio'!D69:E69)</f>
        <v>177</v>
      </c>
      <c r="I10" s="145"/>
      <c r="J10" s="145"/>
      <c r="K10" s="12">
        <f>'Oferta Diaria'!J53</f>
        <v>737099.05099999998</v>
      </c>
      <c r="L10" s="162" t="s">
        <v>140</v>
      </c>
      <c r="M10" s="165"/>
      <c r="N10" s="163"/>
    </row>
    <row r="11" spans="1:14" ht="15" x14ac:dyDescent="0.3">
      <c r="A11" s="161">
        <v>45786</v>
      </c>
      <c r="B11" s="12">
        <f>'KM-Servicio'!N76</f>
        <v>12163</v>
      </c>
      <c r="C11" s="12">
        <f t="shared" si="0"/>
        <v>87257</v>
      </c>
      <c r="D11" s="12">
        <f>'KM-Servicio'!W76</f>
        <v>11760.749999999998</v>
      </c>
      <c r="E11" s="12">
        <f t="shared" si="1"/>
        <v>84384.23</v>
      </c>
      <c r="F11" s="167">
        <f>'KM-Servicio'!O76</f>
        <v>96.692838937762048</v>
      </c>
      <c r="G11" s="168">
        <f>SUM('KM-Servicio'!B76:C76)</f>
        <v>223</v>
      </c>
      <c r="H11" s="168">
        <f>SUM('KM-Servicio'!D76:E76)</f>
        <v>223</v>
      </c>
      <c r="I11" s="145"/>
      <c r="J11" s="145"/>
      <c r="K11" s="12">
        <f>'Oferta Diaria'!K53</f>
        <v>932627.47499999998</v>
      </c>
      <c r="L11" s="162" t="s">
        <v>140</v>
      </c>
      <c r="M11" s="165"/>
      <c r="N11" s="163"/>
    </row>
    <row r="12" spans="1:14" ht="15" x14ac:dyDescent="0.3">
      <c r="A12" s="161">
        <v>45787</v>
      </c>
      <c r="B12" s="12">
        <f>'KM-Servicio'!N83</f>
        <v>6491</v>
      </c>
      <c r="C12" s="12">
        <f t="shared" si="0"/>
        <v>93748</v>
      </c>
      <c r="D12" s="12">
        <f>'KM-Servicio'!W83</f>
        <v>6469.5</v>
      </c>
      <c r="E12" s="12">
        <f t="shared" si="1"/>
        <v>90853.73</v>
      </c>
      <c r="F12" s="167">
        <f>'KM-Servicio'!O83</f>
        <v>99.668772146048383</v>
      </c>
      <c r="G12" s="168">
        <f>SUM('KM-Servicio'!B83:C83)</f>
        <v>147</v>
      </c>
      <c r="H12" s="168">
        <f>SUM('KM-Servicio'!D83:E83)</f>
        <v>147</v>
      </c>
      <c r="I12" s="145"/>
      <c r="J12" s="145"/>
      <c r="K12" s="12">
        <f>'Oferta Diaria'!L53</f>
        <v>513031.35</v>
      </c>
      <c r="L12" s="176" t="s">
        <v>141</v>
      </c>
      <c r="M12" s="165"/>
      <c r="N12" s="163"/>
    </row>
    <row r="13" spans="1:14" ht="15" x14ac:dyDescent="0.3">
      <c r="A13" s="161">
        <v>45788</v>
      </c>
      <c r="B13" s="12">
        <f>'KM-Servicio'!N90</f>
        <v>4977</v>
      </c>
      <c r="C13" s="12">
        <f t="shared" si="0"/>
        <v>98725</v>
      </c>
      <c r="D13" s="12">
        <f>'KM-Servicio'!W90</f>
        <v>4916.8200000000006</v>
      </c>
      <c r="E13" s="12">
        <f t="shared" si="1"/>
        <v>95770.55</v>
      </c>
      <c r="F13" s="167">
        <f>'KM-Servicio'!O90</f>
        <v>98.790837854129009</v>
      </c>
      <c r="G13" s="168">
        <f>SUM('KM-Servicio'!B90:C90)</f>
        <v>111</v>
      </c>
      <c r="H13" s="168">
        <f>SUM('KM-Servicio'!D90:E90)</f>
        <v>111</v>
      </c>
      <c r="I13" s="145"/>
      <c r="J13" s="145"/>
      <c r="K13" s="12">
        <f>'Oferta Diaria'!M53</f>
        <v>389903.82600000006</v>
      </c>
      <c r="L13" s="176" t="s">
        <v>139</v>
      </c>
      <c r="M13" s="165"/>
      <c r="N13" s="163"/>
    </row>
    <row r="14" spans="1:14" ht="15" x14ac:dyDescent="0.3">
      <c r="A14" s="161">
        <v>45789</v>
      </c>
      <c r="B14" s="12">
        <f>'KM-Servicio'!N97</f>
        <v>12061</v>
      </c>
      <c r="C14" s="12">
        <f t="shared" si="0"/>
        <v>110786</v>
      </c>
      <c r="D14" s="12">
        <f>'KM-Servicio'!W97</f>
        <v>11707.56</v>
      </c>
      <c r="E14" s="12">
        <f t="shared" si="1"/>
        <v>107478.11</v>
      </c>
      <c r="F14" s="167">
        <f>'KM-Servicio'!O97</f>
        <v>97.069563054473093</v>
      </c>
      <c r="G14" s="168">
        <f>SUM('KM-Servicio'!B97:C97)</f>
        <v>223</v>
      </c>
      <c r="H14" s="168">
        <f>SUM('KM-Servicio'!D97:E97)</f>
        <v>223</v>
      </c>
      <c r="I14" s="145"/>
      <c r="J14" s="145"/>
      <c r="K14" s="12">
        <f>'Oferta Diaria'!N53</f>
        <v>928409.5079999998</v>
      </c>
      <c r="L14" s="162" t="s">
        <v>140</v>
      </c>
      <c r="M14" s="165"/>
      <c r="N14" s="163"/>
    </row>
    <row r="15" spans="1:14" ht="16.5" customHeight="1" x14ac:dyDescent="0.3">
      <c r="A15" s="161">
        <v>45790</v>
      </c>
      <c r="B15" s="12">
        <f>'KM-Servicio'!N104</f>
        <v>12025</v>
      </c>
      <c r="C15" s="12">
        <f t="shared" si="0"/>
        <v>122811</v>
      </c>
      <c r="D15" s="12">
        <f>'KM-Servicio'!W104</f>
        <v>11603.569999999998</v>
      </c>
      <c r="E15" s="12">
        <f t="shared" si="1"/>
        <v>119081.68</v>
      </c>
      <c r="F15" s="167">
        <f>'KM-Servicio'!O104</f>
        <v>96.495384615384594</v>
      </c>
      <c r="G15" s="168">
        <f>SUM('KM-Servicio'!B104:C104)</f>
        <v>223</v>
      </c>
      <c r="H15" s="168">
        <f>SUM('KM-Servicio'!D104:E104)</f>
        <v>223</v>
      </c>
      <c r="I15" s="145"/>
      <c r="J15" s="145"/>
      <c r="K15" s="12">
        <f>'Oferta Diaria'!O53</f>
        <v>920163.10099999991</v>
      </c>
      <c r="L15" s="162" t="s">
        <v>140</v>
      </c>
      <c r="M15" s="165"/>
      <c r="N15" s="163"/>
    </row>
    <row r="16" spans="1:14" ht="15" x14ac:dyDescent="0.3">
      <c r="A16" s="161">
        <v>45791</v>
      </c>
      <c r="B16" s="12">
        <f>'KM-Servicio'!N111</f>
        <v>12006</v>
      </c>
      <c r="C16" s="12">
        <f t="shared" si="0"/>
        <v>134817</v>
      </c>
      <c r="D16" s="12">
        <f>'KM-Servicio'!W111</f>
        <v>11672.1</v>
      </c>
      <c r="E16" s="12">
        <f t="shared" si="1"/>
        <v>130753.78</v>
      </c>
      <c r="F16" s="167">
        <f>'KM-Servicio'!O111</f>
        <v>97.218890554722634</v>
      </c>
      <c r="G16" s="168">
        <f>SUM('KM-Servicio'!B111:C111)</f>
        <v>223</v>
      </c>
      <c r="H16" s="168">
        <f>SUM('KM-Servicio'!D111:E111)</f>
        <v>223</v>
      </c>
      <c r="I16" s="145"/>
      <c r="J16" s="145"/>
      <c r="K16" s="12">
        <f>'Oferta Diaria'!P53</f>
        <v>925597.5299999998</v>
      </c>
      <c r="L16" s="162" t="s">
        <v>140</v>
      </c>
      <c r="M16" s="165"/>
      <c r="N16" s="163"/>
    </row>
    <row r="17" spans="1:16" ht="15" x14ac:dyDescent="0.3">
      <c r="A17" s="161">
        <v>45792</v>
      </c>
      <c r="B17" s="12">
        <f>'KM-Servicio'!N118</f>
        <v>12165</v>
      </c>
      <c r="C17" s="12">
        <f t="shared" si="0"/>
        <v>146982</v>
      </c>
      <c r="D17" s="12">
        <f>'KM-Servicio'!W118</f>
        <v>11672.1</v>
      </c>
      <c r="E17" s="12">
        <f t="shared" si="1"/>
        <v>142425.88</v>
      </c>
      <c r="F17" s="167">
        <f>'KM-Servicio'!O118</f>
        <v>95.94821208384711</v>
      </c>
      <c r="G17" s="168">
        <f>SUM('KM-Servicio'!B118:C118)</f>
        <v>223</v>
      </c>
      <c r="H17" s="168">
        <f>SUM('KM-Servicio'!D118:E118)</f>
        <v>223</v>
      </c>
      <c r="I17" s="145"/>
      <c r="J17" s="145"/>
      <c r="K17" s="12">
        <f>'Oferta Diaria'!Q53</f>
        <v>925597.5299999998</v>
      </c>
      <c r="L17" s="162" t="s">
        <v>140</v>
      </c>
      <c r="M17" s="165"/>
      <c r="N17" s="163"/>
    </row>
    <row r="18" spans="1:16" ht="14.25" customHeight="1" x14ac:dyDescent="0.3">
      <c r="A18" s="161">
        <v>45793</v>
      </c>
      <c r="B18" s="12">
        <f>'KM-Servicio'!$N$125</f>
        <v>11970</v>
      </c>
      <c r="C18" s="12">
        <f t="shared" si="0"/>
        <v>158952</v>
      </c>
      <c r="D18" s="12">
        <f>'KM-Servicio'!$W$125</f>
        <v>11603.569999999998</v>
      </c>
      <c r="E18" s="12">
        <f t="shared" si="1"/>
        <v>154029.45000000001</v>
      </c>
      <c r="F18" s="167">
        <f>'KM-Servicio'!O125</f>
        <v>96.938763575605662</v>
      </c>
      <c r="G18" s="168">
        <f>SUM('KM-Servicio'!B125:C125)</f>
        <v>223</v>
      </c>
      <c r="H18" s="168">
        <f>SUM('KM-Servicio'!D125:E125)</f>
        <v>223</v>
      </c>
      <c r="I18" s="145"/>
      <c r="J18" s="145"/>
      <c r="K18" s="12">
        <f>'Oferta Diaria'!R53</f>
        <v>920163.10100000014</v>
      </c>
      <c r="L18" s="162" t="s">
        <v>140</v>
      </c>
      <c r="M18" s="145"/>
    </row>
    <row r="19" spans="1:16" ht="15" x14ac:dyDescent="0.3">
      <c r="A19" s="161">
        <v>45794</v>
      </c>
      <c r="B19" s="12">
        <f>'KM-Servicio'!$N$132</f>
        <v>6491</v>
      </c>
      <c r="C19" s="12">
        <f t="shared" si="0"/>
        <v>165443</v>
      </c>
      <c r="D19" s="12">
        <f>'KM-Servicio'!$W$132</f>
        <v>6469.5</v>
      </c>
      <c r="E19" s="12">
        <f t="shared" si="1"/>
        <v>160498.95000000001</v>
      </c>
      <c r="F19" s="167">
        <f>'KM-Servicio'!O132</f>
        <v>99.668772146048383</v>
      </c>
      <c r="G19" s="168">
        <f>SUM('KM-Servicio'!B132:C132)</f>
        <v>147</v>
      </c>
      <c r="H19" s="168">
        <f>SUM('KM-Servicio'!D132:E132)</f>
        <v>147</v>
      </c>
      <c r="I19" s="145"/>
      <c r="J19" s="145"/>
      <c r="K19" s="12">
        <f>'Oferta Diaria'!S53</f>
        <v>513031.35</v>
      </c>
      <c r="L19" s="176" t="s">
        <v>141</v>
      </c>
      <c r="M19" s="165"/>
      <c r="N19" s="163"/>
    </row>
    <row r="20" spans="1:16" ht="15" x14ac:dyDescent="0.3">
      <c r="A20" s="161">
        <v>45795</v>
      </c>
      <c r="B20" s="12">
        <f>'KM-Servicio'!N139</f>
        <v>5023</v>
      </c>
      <c r="C20" s="12">
        <f t="shared" si="0"/>
        <v>170466</v>
      </c>
      <c r="D20" s="12">
        <f>'KM-Servicio'!$W$139</f>
        <v>4916.8200000000006</v>
      </c>
      <c r="E20" s="12">
        <f t="shared" si="1"/>
        <v>165415.77000000002</v>
      </c>
      <c r="F20" s="167">
        <f>'KM-Servicio'!O139</f>
        <v>97.886123830380271</v>
      </c>
      <c r="G20" s="168">
        <f>SUM('KM-Servicio'!B139:C139)</f>
        <v>111</v>
      </c>
      <c r="H20" s="168">
        <f>SUM('KM-Servicio'!D139:E139)</f>
        <v>111</v>
      </c>
      <c r="I20" s="145"/>
      <c r="J20" s="145"/>
      <c r="K20" s="12">
        <f>'Oferta Diaria'!T53</f>
        <v>389903.82600000006</v>
      </c>
      <c r="L20" s="176" t="s">
        <v>139</v>
      </c>
      <c r="M20" s="165"/>
      <c r="N20" s="163"/>
    </row>
    <row r="21" spans="1:16" ht="15" x14ac:dyDescent="0.3">
      <c r="A21" s="161">
        <v>45796</v>
      </c>
      <c r="B21" s="12">
        <f>'KM-Servicio'!N146</f>
        <v>12118</v>
      </c>
      <c r="C21" s="12">
        <f t="shared" si="0"/>
        <v>182584</v>
      </c>
      <c r="D21" s="12">
        <f>'KM-Servicio'!$W$146</f>
        <v>11958.67</v>
      </c>
      <c r="E21" s="12">
        <f t="shared" si="1"/>
        <v>177374.44000000003</v>
      </c>
      <c r="F21" s="172">
        <f>'KM-Servicio'!O146</f>
        <v>98.685179072454204</v>
      </c>
      <c r="G21" s="168">
        <f>SUM('KM-Servicio'!B146:C146)</f>
        <v>223</v>
      </c>
      <c r="H21" s="168">
        <f>SUM('KM-Servicio'!D146:E146)</f>
        <v>223</v>
      </c>
      <c r="I21" s="145"/>
      <c r="J21" s="145"/>
      <c r="K21" s="12">
        <f>'Oferta Diaria'!U53</f>
        <v>948322.53099999996</v>
      </c>
      <c r="L21" s="162" t="s">
        <v>140</v>
      </c>
      <c r="M21" s="165"/>
      <c r="N21" s="163"/>
    </row>
    <row r="22" spans="1:16" ht="15" x14ac:dyDescent="0.3">
      <c r="A22" s="161">
        <v>45797</v>
      </c>
      <c r="B22" s="12">
        <f>'KM-Servicio'!N153</f>
        <v>11904</v>
      </c>
      <c r="C22" s="12">
        <f t="shared" si="0"/>
        <v>194488</v>
      </c>
      <c r="D22" s="12">
        <f>'KM-Servicio'!$W$153</f>
        <v>11674.49</v>
      </c>
      <c r="E22" s="12">
        <f t="shared" si="1"/>
        <v>189048.93000000002</v>
      </c>
      <c r="F22" s="172">
        <f>'KM-Servicio'!O153</f>
        <v>98.07199260752688</v>
      </c>
      <c r="G22" s="168">
        <f>SUM('KM-Servicio'!B153:C153)</f>
        <v>223</v>
      </c>
      <c r="H22" s="168">
        <f>SUM('KM-Servicio'!D153:E153)</f>
        <v>223</v>
      </c>
      <c r="I22" s="145"/>
      <c r="J22" s="145"/>
      <c r="K22" s="12">
        <f>'Oferta Diaria'!V53</f>
        <v>925787.05699999991</v>
      </c>
      <c r="L22" s="162" t="s">
        <v>140</v>
      </c>
      <c r="M22" s="165"/>
      <c r="N22" s="163"/>
    </row>
    <row r="23" spans="1:16" ht="15" x14ac:dyDescent="0.3">
      <c r="A23" s="161">
        <v>45798</v>
      </c>
      <c r="B23" s="12">
        <f>'KM-Servicio'!N160</f>
        <v>5235</v>
      </c>
      <c r="C23" s="12">
        <f t="shared" si="0"/>
        <v>199723</v>
      </c>
      <c r="D23" s="12">
        <f>'KM-Servicio'!$W$160</f>
        <v>5124.8</v>
      </c>
      <c r="E23" s="12">
        <f t="shared" si="1"/>
        <v>194173.73</v>
      </c>
      <c r="F23" s="167">
        <f>'KM-Servicio'!O160</f>
        <v>97.89493791786056</v>
      </c>
      <c r="G23" s="168">
        <f>SUM('KM-Servicio'!B160:C160)</f>
        <v>111</v>
      </c>
      <c r="H23" s="168">
        <f>SUM('KM-Servicio'!D160:E160)</f>
        <v>111</v>
      </c>
      <c r="I23" s="145"/>
      <c r="J23" s="145"/>
      <c r="K23" s="12">
        <f>'Oferta Diaria'!W53</f>
        <v>406396.64</v>
      </c>
      <c r="L23" s="176" t="s">
        <v>139</v>
      </c>
      <c r="M23" s="165"/>
      <c r="N23" s="163"/>
    </row>
    <row r="24" spans="1:16" ht="15" x14ac:dyDescent="0.3">
      <c r="A24" s="161">
        <v>45799</v>
      </c>
      <c r="B24" s="12">
        <f>'KM-Servicio'!N167</f>
        <v>12144</v>
      </c>
      <c r="C24" s="12">
        <f t="shared" si="0"/>
        <v>211867</v>
      </c>
      <c r="D24" s="12">
        <f>'KM-Servicio'!$W$167</f>
        <v>11778.479999999998</v>
      </c>
      <c r="E24" s="12">
        <f t="shared" si="1"/>
        <v>205952.21000000002</v>
      </c>
      <c r="F24" s="167">
        <f>'KM-Servicio'!O167</f>
        <v>96.99011857707508</v>
      </c>
      <c r="G24" s="168">
        <f>SUM('KM-Servicio'!B167:C167)</f>
        <v>223</v>
      </c>
      <c r="H24" s="168">
        <f>SUM('KM-Servicio'!D167:E167)</f>
        <v>223</v>
      </c>
      <c r="I24" s="145"/>
      <c r="J24" s="145"/>
      <c r="K24" s="12">
        <f>'Oferta Diaria'!X53</f>
        <v>934033.46399999992</v>
      </c>
      <c r="L24" s="162" t="s">
        <v>140</v>
      </c>
      <c r="M24" s="165"/>
      <c r="N24" s="163"/>
    </row>
    <row r="25" spans="1:16" ht="15" x14ac:dyDescent="0.3">
      <c r="A25" s="161">
        <v>45800</v>
      </c>
      <c r="B25" s="12">
        <f>'KM-Servicio'!N174</f>
        <v>12092</v>
      </c>
      <c r="C25" s="12">
        <f t="shared" si="0"/>
        <v>223959</v>
      </c>
      <c r="D25" s="12">
        <f>'KM-Servicio'!$W$174</f>
        <v>11760.749999999998</v>
      </c>
      <c r="E25" s="12">
        <f t="shared" si="1"/>
        <v>217712.96000000002</v>
      </c>
      <c r="F25" s="167">
        <f>'KM-Servicio'!O174</f>
        <v>97.260585511081686</v>
      </c>
      <c r="G25" s="168">
        <f>SUM('KM-Servicio'!B174:C174)</f>
        <v>223</v>
      </c>
      <c r="H25" s="168">
        <f>SUM('KM-Servicio'!D174:E174)</f>
        <v>223</v>
      </c>
      <c r="I25" s="145"/>
      <c r="J25" s="145"/>
      <c r="K25" s="12">
        <f>'Oferta Diaria'!Y53</f>
        <v>932627.47499999986</v>
      </c>
      <c r="L25" s="162" t="s">
        <v>140</v>
      </c>
      <c r="M25" s="165"/>
      <c r="N25" s="163"/>
    </row>
    <row r="26" spans="1:16" ht="15" x14ac:dyDescent="0.3">
      <c r="A26" s="161">
        <v>45801</v>
      </c>
      <c r="B26" s="12">
        <f>'KM-Servicio'!N181</f>
        <v>6547</v>
      </c>
      <c r="C26" s="12">
        <f t="shared" si="0"/>
        <v>230506</v>
      </c>
      <c r="D26" s="12">
        <f>'KM-Servicio'!$W$181</f>
        <v>6469.5</v>
      </c>
      <c r="E26" s="12">
        <f t="shared" si="1"/>
        <v>224182.46000000002</v>
      </c>
      <c r="F26" s="167">
        <f>'KM-Servicio'!O181</f>
        <v>98.81625171834429</v>
      </c>
      <c r="G26" s="168">
        <f>SUM('KM-Servicio'!B181:C181)</f>
        <v>147</v>
      </c>
      <c r="H26" s="168">
        <f>SUM('KM-Servicio'!D181:E181)</f>
        <v>147</v>
      </c>
      <c r="I26" s="145"/>
      <c r="J26" s="145"/>
      <c r="K26" s="12">
        <f>'Oferta Diaria'!Z53</f>
        <v>513031.35</v>
      </c>
      <c r="L26" s="176" t="s">
        <v>141</v>
      </c>
      <c r="M26" s="165"/>
      <c r="N26" s="163"/>
    </row>
    <row r="27" spans="1:16" ht="15" x14ac:dyDescent="0.3">
      <c r="A27" s="161">
        <v>45802</v>
      </c>
      <c r="B27" s="12">
        <f>'KM-Servicio'!N188</f>
        <v>4972</v>
      </c>
      <c r="C27" s="12">
        <f t="shared" si="0"/>
        <v>235478</v>
      </c>
      <c r="D27" s="12">
        <f>'KM-Servicio'!$W$188</f>
        <v>4916.8200000000006</v>
      </c>
      <c r="E27" s="12">
        <f t="shared" si="1"/>
        <v>229099.28000000003</v>
      </c>
      <c r="F27" s="167">
        <f>'KM-Servicio'!O188</f>
        <v>98.890185036202752</v>
      </c>
      <c r="G27" s="168">
        <f>SUM('KM-Servicio'!B188:C188)</f>
        <v>111</v>
      </c>
      <c r="H27" s="168">
        <f>SUM('KM-Servicio'!D188:E188)</f>
        <v>111</v>
      </c>
      <c r="I27" s="145"/>
      <c r="J27" s="145"/>
      <c r="K27" s="12">
        <f>'Oferta Diaria'!AA53</f>
        <v>389903.82600000006</v>
      </c>
      <c r="L27" s="176" t="s">
        <v>139</v>
      </c>
      <c r="M27" s="165"/>
      <c r="N27" s="163"/>
    </row>
    <row r="28" spans="1:16" ht="15" x14ac:dyDescent="0.3">
      <c r="A28" s="161">
        <v>45803</v>
      </c>
      <c r="B28" s="12">
        <f>'KM-Servicio'!N195</f>
        <v>11947</v>
      </c>
      <c r="C28" s="12">
        <f t="shared" si="0"/>
        <v>247425</v>
      </c>
      <c r="D28" s="12">
        <f>'KM-Servicio'!$W$195</f>
        <v>11517.31</v>
      </c>
      <c r="E28" s="12">
        <f t="shared" si="1"/>
        <v>240616.59000000003</v>
      </c>
      <c r="F28" s="167">
        <f>'KM-Servicio'!O195</f>
        <v>96.403364861471502</v>
      </c>
      <c r="G28" s="168">
        <f>SUM('KM-Servicio'!B195:C195)</f>
        <v>223</v>
      </c>
      <c r="H28" s="168">
        <f>SUM('KM-Servicio'!D195:E195)</f>
        <v>223</v>
      </c>
      <c r="I28" s="145"/>
      <c r="J28" s="145"/>
      <c r="K28" s="12">
        <f>'Oferta Diaria'!AB53</f>
        <v>913322.68299999973</v>
      </c>
      <c r="L28" s="162" t="s">
        <v>140</v>
      </c>
      <c r="M28" s="165"/>
      <c r="N28" s="163"/>
    </row>
    <row r="29" spans="1:16" ht="15" x14ac:dyDescent="0.3">
      <c r="A29" s="161">
        <v>45804</v>
      </c>
      <c r="B29" s="12">
        <f>'KM-Servicio'!N202</f>
        <v>12049</v>
      </c>
      <c r="C29" s="12">
        <f t="shared" si="0"/>
        <v>259474</v>
      </c>
      <c r="D29" s="12">
        <f>'KM-Servicio'!$W$202</f>
        <v>11656.76</v>
      </c>
      <c r="E29" s="12">
        <f t="shared" si="1"/>
        <v>252273.35000000003</v>
      </c>
      <c r="F29" s="167">
        <f>'KM-Servicio'!O202</f>
        <v>96.744626110050618</v>
      </c>
      <c r="G29" s="168">
        <f>SUM('KM-Servicio'!B202:C202)</f>
        <v>223</v>
      </c>
      <c r="H29" s="168">
        <f>SUM('KM-Servicio'!D202:E202)</f>
        <v>223</v>
      </c>
      <c r="I29" s="145"/>
      <c r="J29" s="145"/>
      <c r="K29" s="12">
        <f>'Oferta Diaria'!AC53</f>
        <v>924381.06799999997</v>
      </c>
      <c r="L29" s="162" t="s">
        <v>140</v>
      </c>
      <c r="M29" s="165"/>
      <c r="N29" s="163"/>
    </row>
    <row r="30" spans="1:16" ht="15" x14ac:dyDescent="0.3">
      <c r="A30" s="161">
        <v>45805</v>
      </c>
      <c r="B30" s="12">
        <f>'KM-Servicio'!N209</f>
        <v>12021</v>
      </c>
      <c r="C30" s="12">
        <f t="shared" si="0"/>
        <v>271495</v>
      </c>
      <c r="D30" s="12">
        <f>'KM-Servicio'!$W$209</f>
        <v>11639.03</v>
      </c>
      <c r="E30" s="12">
        <f t="shared" si="1"/>
        <v>263912.38000000006</v>
      </c>
      <c r="F30" s="167">
        <f>'KM-Servicio'!O209</f>
        <v>96.822477331336827</v>
      </c>
      <c r="G30" s="168">
        <f>SUM('KM-Servicio'!B209:C209)</f>
        <v>223</v>
      </c>
      <c r="H30" s="168">
        <f>SUM('KM-Servicio'!D209:E209)</f>
        <v>223</v>
      </c>
      <c r="I30" s="145"/>
      <c r="J30" s="145"/>
      <c r="K30" s="12">
        <f>'Oferta Diaria'!AD53</f>
        <v>922975.07900000003</v>
      </c>
      <c r="L30" s="162" t="s">
        <v>140</v>
      </c>
      <c r="M30" s="165"/>
      <c r="N30" s="164"/>
    </row>
    <row r="31" spans="1:16" ht="15" x14ac:dyDescent="0.3">
      <c r="A31" s="161">
        <v>45806</v>
      </c>
      <c r="B31" s="12">
        <f>'KM-Servicio'!N216</f>
        <v>12081</v>
      </c>
      <c r="C31" s="12">
        <f>B31+C30</f>
        <v>283576</v>
      </c>
      <c r="D31" s="12">
        <f>'KM-Servicio'!$W$216</f>
        <v>11702.529999999999</v>
      </c>
      <c r="E31" s="12">
        <f>D31+E30</f>
        <v>275614.91000000003</v>
      </c>
      <c r="F31" s="167">
        <f>'KM-Servicio'!O216</f>
        <v>96.867229533978957</v>
      </c>
      <c r="G31" s="168">
        <f>SUM('KM-Servicio'!B216:C216)</f>
        <v>223</v>
      </c>
      <c r="H31" s="168">
        <f>SUM('KM-Servicio'!D216:E216)</f>
        <v>223</v>
      </c>
      <c r="I31" s="145"/>
      <c r="J31" s="145"/>
      <c r="K31" s="12">
        <f>'Oferta Diaria'!AE53</f>
        <v>928010.62900000007</v>
      </c>
      <c r="L31" s="162" t="s">
        <v>140</v>
      </c>
      <c r="M31" s="165"/>
      <c r="N31" s="164"/>
    </row>
    <row r="32" spans="1:16" ht="15" x14ac:dyDescent="0.3">
      <c r="A32" s="161">
        <v>45807</v>
      </c>
      <c r="B32" s="12">
        <f>'KM-Servicio'!N223</f>
        <v>11994</v>
      </c>
      <c r="C32" s="12">
        <f>B32+C31</f>
        <v>295570</v>
      </c>
      <c r="D32" s="12">
        <f>'KM-Servicio'!$W$223</f>
        <v>11725.289999999999</v>
      </c>
      <c r="E32" s="12">
        <f>D32+E31</f>
        <v>287340.2</v>
      </c>
      <c r="F32" s="167">
        <f>'KM-Servicio'!O223</f>
        <v>97.759629814907441</v>
      </c>
      <c r="G32" s="168">
        <f>SUM('KM-Servicio'!B223:C223)</f>
        <v>223</v>
      </c>
      <c r="H32" s="168">
        <f>SUM('KM-Servicio'!D223:E223)</f>
        <v>223</v>
      </c>
      <c r="I32" s="145"/>
      <c r="J32" s="145"/>
      <c r="K32" s="12">
        <f>'Oferta Diaria'!AF53</f>
        <v>929815.49699999986</v>
      </c>
      <c r="L32" s="162" t="s">
        <v>140</v>
      </c>
      <c r="M32" s="165"/>
      <c r="N32" s="164"/>
      <c r="O32" s="252"/>
      <c r="P32" s="252"/>
    </row>
    <row r="33" spans="1:16" ht="15" x14ac:dyDescent="0.3">
      <c r="A33" s="161">
        <v>45808</v>
      </c>
      <c r="B33" s="12">
        <f>'KM-Servicio'!N230</f>
        <v>6584</v>
      </c>
      <c r="C33" s="12">
        <f>B33+C32</f>
        <v>302154</v>
      </c>
      <c r="D33" s="12">
        <f>'KM-Servicio'!$W$230</f>
        <v>6469.5</v>
      </c>
      <c r="E33" s="12">
        <f>D33+E32</f>
        <v>293809.7</v>
      </c>
      <c r="F33" s="167">
        <f>'KM-Servicio'!O230</f>
        <v>98.260935601458073</v>
      </c>
      <c r="G33" s="168">
        <f>'KM-Servicio'!B230+'KM-Servicio'!C230</f>
        <v>147</v>
      </c>
      <c r="H33" s="168">
        <f>'KM-Servicio'!D230+'KM-Servicio'!E230</f>
        <v>147</v>
      </c>
      <c r="I33" s="145"/>
      <c r="J33" s="145"/>
      <c r="K33" s="12">
        <f>'Oferta Diaria'!AG53</f>
        <v>513031.35</v>
      </c>
      <c r="L33" s="176" t="s">
        <v>141</v>
      </c>
      <c r="M33" s="165"/>
      <c r="N33" s="164"/>
      <c r="O33" s="252"/>
      <c r="P33" s="252"/>
    </row>
    <row r="34" spans="1:16" ht="15" x14ac:dyDescent="0.3">
      <c r="A34" s="169" t="s">
        <v>138</v>
      </c>
      <c r="B34" s="170">
        <f>SUM(B3:B33)</f>
        <v>302154</v>
      </c>
      <c r="C34" s="170">
        <f>SUM(C3:C33)</f>
        <v>4735626</v>
      </c>
      <c r="D34" s="170">
        <f>SUM(D3:D33)</f>
        <v>293809.7</v>
      </c>
      <c r="E34" s="170">
        <f>SUM(E3:E33)</f>
        <v>4601757.78</v>
      </c>
      <c r="F34" s="171">
        <f>AVERAGE(F3:F33)</f>
        <v>97.519331483446962</v>
      </c>
      <c r="G34" s="170">
        <f>SUM(G3:G33)</f>
        <v>5861</v>
      </c>
      <c r="H34" s="170">
        <f>SUM(H3:H33)</f>
        <v>5815</v>
      </c>
      <c r="I34" s="170">
        <f>SUM(I3:I32)</f>
        <v>0</v>
      </c>
      <c r="J34" s="170">
        <f>SUM(J3:J32)</f>
        <v>0</v>
      </c>
      <c r="K34" s="170">
        <f>SUM(K3:K33)</f>
        <v>23299109.210000001</v>
      </c>
      <c r="L34" s="162"/>
      <c r="M34" s="169"/>
      <c r="N34" s="252"/>
      <c r="O34" s="252"/>
      <c r="P34" s="252"/>
    </row>
    <row r="35" spans="1:16" ht="15" x14ac:dyDescent="0.3">
      <c r="L35" s="208"/>
    </row>
    <row r="38" spans="1:16" x14ac:dyDescent="0.3">
      <c r="F38" s="163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ColWidth="11.5546875" defaultRowHeight="14.4" x14ac:dyDescent="0.3"/>
  <cols>
    <col min="1" max="1" width="22.109375" customWidth="1"/>
    <col min="2" max="2" width="18" customWidth="1"/>
    <col min="3" max="4" width="14.6640625" customWidth="1"/>
  </cols>
  <sheetData>
    <row r="2" spans="1:15" ht="15" thickBot="1" x14ac:dyDescent="0.35"/>
    <row r="3" spans="1:15" ht="15" thickBot="1" x14ac:dyDescent="0.35">
      <c r="A3" s="388" t="s">
        <v>98</v>
      </c>
      <c r="B3" s="389"/>
      <c r="C3" s="389"/>
      <c r="D3" s="390"/>
    </row>
    <row r="4" spans="1:15" x14ac:dyDescent="0.3">
      <c r="A4" s="97" t="s">
        <v>99</v>
      </c>
      <c r="B4" s="98" t="s">
        <v>100</v>
      </c>
      <c r="C4" s="99" t="s">
        <v>54</v>
      </c>
      <c r="D4" s="99" t="s">
        <v>101</v>
      </c>
    </row>
    <row r="5" spans="1:15" x14ac:dyDescent="0.3">
      <c r="A5" s="34" t="s">
        <v>102</v>
      </c>
      <c r="B5" s="130">
        <f>C5/30</f>
        <v>243.2</v>
      </c>
      <c r="C5" s="131">
        <f>'KM-Servicio'!J257</f>
        <v>7296</v>
      </c>
      <c r="D5" s="131">
        <f>'KM-Servicio'!C252</f>
        <v>7358</v>
      </c>
    </row>
    <row r="6" spans="1:15" x14ac:dyDescent="0.3">
      <c r="A6" s="34" t="s">
        <v>103</v>
      </c>
      <c r="B6" s="130">
        <f>C6/30</f>
        <v>193.83333333333334</v>
      </c>
      <c r="C6" s="131">
        <f>'KM-Servicio'!K250</f>
        <v>5815</v>
      </c>
      <c r="D6" s="131">
        <f>'KM-Servicio'!D250</f>
        <v>5861</v>
      </c>
    </row>
    <row r="7" spans="1:15" x14ac:dyDescent="0.3">
      <c r="A7" s="34" t="s">
        <v>66</v>
      </c>
      <c r="B7" s="130">
        <f>C7/30</f>
        <v>9788.3376666666627</v>
      </c>
      <c r="C7" s="131">
        <f>'KM-Servicio'!M250</f>
        <v>293650.12999999989</v>
      </c>
      <c r="D7" s="131">
        <f>'KM-Servicio'!F250</f>
        <v>296526.74000000005</v>
      </c>
    </row>
    <row r="8" spans="1:15" x14ac:dyDescent="0.3">
      <c r="A8" s="34" t="s">
        <v>104</v>
      </c>
      <c r="B8" s="130">
        <f>C8/30</f>
        <v>7737.5306666666675</v>
      </c>
      <c r="C8" s="131">
        <f>'KM-Servicio'!L250</f>
        <v>232125.92</v>
      </c>
      <c r="D8" s="131">
        <f>'KM-Servicio'!E250</f>
        <v>234204.33000000002</v>
      </c>
    </row>
    <row r="9" spans="1:15" x14ac:dyDescent="0.3">
      <c r="A9" s="34" t="s">
        <v>105</v>
      </c>
      <c r="B9" s="130">
        <f>C9/30</f>
        <v>1017987.1173333336</v>
      </c>
      <c r="C9" s="131">
        <f>'KM-Servicio'!N250</f>
        <v>30539613.520000007</v>
      </c>
      <c r="D9" s="131">
        <f>'KM-Servicio'!G250</f>
        <v>30838780.960000005</v>
      </c>
    </row>
    <row r="10" spans="1:15" x14ac:dyDescent="0.3">
      <c r="A10" s="34" t="s">
        <v>106</v>
      </c>
      <c r="B10" s="130"/>
      <c r="C10" s="132"/>
      <c r="J10" s="102"/>
    </row>
    <row r="11" spans="1:15" x14ac:dyDescent="0.3">
      <c r="A11" s="34" t="s">
        <v>107</v>
      </c>
      <c r="B11" s="130">
        <f>C11/30</f>
        <v>40531.73333333333</v>
      </c>
      <c r="C11" s="203">
        <v>1215952</v>
      </c>
      <c r="D11" s="133" t="s">
        <v>148</v>
      </c>
      <c r="E11" s="100"/>
      <c r="H11" s="102"/>
      <c r="I11" s="102"/>
      <c r="J11" s="102"/>
      <c r="K11" s="102"/>
      <c r="L11" s="105"/>
      <c r="M11" s="101"/>
      <c r="N11" s="101"/>
    </row>
    <row r="12" spans="1:15" ht="15" thickBot="1" x14ac:dyDescent="0.35">
      <c r="A12" s="34" t="s">
        <v>108</v>
      </c>
      <c r="B12" s="133"/>
      <c r="C12" s="130"/>
      <c r="D12" s="133"/>
      <c r="F12" s="101"/>
      <c r="G12" s="102"/>
      <c r="H12" s="102"/>
      <c r="I12" s="102"/>
      <c r="J12" s="102"/>
    </row>
    <row r="13" spans="1:15" ht="15" thickBot="1" x14ac:dyDescent="0.35">
      <c r="A13" s="391" t="s">
        <v>109</v>
      </c>
      <c r="B13" s="392"/>
      <c r="C13" s="392"/>
      <c r="D13" s="393"/>
      <c r="F13" s="141"/>
      <c r="G13" s="142"/>
      <c r="H13" s="142"/>
      <c r="I13" s="142"/>
      <c r="J13" s="142"/>
      <c r="K13" s="141"/>
      <c r="L13" s="142"/>
      <c r="M13" s="142"/>
      <c r="N13" s="43"/>
    </row>
    <row r="14" spans="1:15" x14ac:dyDescent="0.3">
      <c r="A14" s="103"/>
      <c r="B14" s="98"/>
      <c r="C14" s="99"/>
      <c r="D14" s="99"/>
      <c r="F14" s="143"/>
      <c r="G14" s="143"/>
      <c r="H14" s="141"/>
      <c r="I14" s="141"/>
      <c r="J14" s="141"/>
      <c r="K14" s="141"/>
      <c r="L14" s="141"/>
      <c r="M14" s="43"/>
      <c r="N14" s="43"/>
    </row>
    <row r="15" spans="1:15" x14ac:dyDescent="0.3">
      <c r="A15" s="106"/>
      <c r="B15" s="145"/>
      <c r="C15" s="145"/>
      <c r="D15" s="108"/>
      <c r="F15" s="141"/>
      <c r="G15" s="141"/>
      <c r="H15" s="141"/>
      <c r="I15" s="141"/>
      <c r="J15" s="141"/>
      <c r="K15" s="142"/>
      <c r="L15" s="142"/>
      <c r="M15" s="142"/>
      <c r="N15" s="142"/>
    </row>
    <row r="16" spans="1:15" x14ac:dyDescent="0.3">
      <c r="A16" s="106"/>
      <c r="B16" s="107"/>
      <c r="C16" s="107"/>
      <c r="D16" s="108"/>
      <c r="F16" s="141"/>
      <c r="G16" s="387"/>
      <c r="H16" s="387"/>
      <c r="I16" s="141"/>
      <c r="J16" s="141"/>
      <c r="K16" s="141"/>
      <c r="L16" s="142"/>
      <c r="M16" s="142"/>
      <c r="N16" s="142"/>
      <c r="O16" s="101"/>
    </row>
    <row r="17" spans="1:15" x14ac:dyDescent="0.3">
      <c r="A17" s="106"/>
      <c r="B17" s="107"/>
      <c r="C17" s="107"/>
      <c r="D17" s="108"/>
      <c r="F17" s="141"/>
      <c r="G17" s="387"/>
      <c r="H17" s="387"/>
      <c r="I17" s="141"/>
      <c r="J17" s="142"/>
      <c r="K17" s="142"/>
      <c r="L17" s="142"/>
      <c r="M17" s="142"/>
      <c r="N17" s="142"/>
      <c r="O17" s="102"/>
    </row>
    <row r="18" spans="1:15" x14ac:dyDescent="0.3">
      <c r="A18" s="106"/>
      <c r="B18" s="107"/>
      <c r="C18" s="107"/>
      <c r="D18" s="108"/>
      <c r="F18" s="141"/>
      <c r="G18" s="387"/>
      <c r="H18" s="387"/>
      <c r="I18" s="142"/>
      <c r="J18" s="142"/>
      <c r="K18" s="43"/>
      <c r="L18" s="43"/>
      <c r="M18" s="43"/>
      <c r="N18" s="43"/>
    </row>
    <row r="19" spans="1:15" x14ac:dyDescent="0.3">
      <c r="A19" s="106"/>
      <c r="B19" s="112"/>
      <c r="C19" s="112"/>
      <c r="D19" s="108"/>
      <c r="F19" s="141"/>
      <c r="G19" s="387"/>
      <c r="H19" s="387"/>
      <c r="I19" s="142"/>
      <c r="J19" s="142"/>
      <c r="K19" s="43"/>
      <c r="L19" s="43"/>
      <c r="M19" s="43"/>
      <c r="N19" s="43"/>
    </row>
    <row r="20" spans="1:15" x14ac:dyDescent="0.3">
      <c r="A20" s="106"/>
      <c r="B20" s="107"/>
      <c r="C20" s="107"/>
      <c r="D20" s="108"/>
      <c r="F20" s="141"/>
      <c r="G20" s="387"/>
      <c r="H20" s="387"/>
      <c r="I20" s="142"/>
      <c r="J20" s="142"/>
      <c r="K20" s="43"/>
      <c r="L20" s="43"/>
      <c r="M20" s="43"/>
      <c r="N20" s="43"/>
    </row>
    <row r="21" spans="1:15" x14ac:dyDescent="0.3">
      <c r="A21" s="106"/>
      <c r="B21" s="107"/>
      <c r="C21" s="107"/>
      <c r="D21" s="108"/>
      <c r="F21" s="141"/>
      <c r="G21" s="387"/>
      <c r="H21" s="387"/>
      <c r="I21" s="141"/>
      <c r="J21" s="43"/>
      <c r="K21" s="43"/>
      <c r="L21" s="43"/>
      <c r="M21" s="43"/>
      <c r="N21" s="43"/>
    </row>
    <row r="22" spans="1:15" x14ac:dyDescent="0.3">
      <c r="A22" s="106"/>
      <c r="B22" s="107"/>
      <c r="C22" s="107"/>
      <c r="D22" s="108"/>
      <c r="F22" s="141"/>
      <c r="G22" s="142"/>
      <c r="H22" s="142"/>
      <c r="I22" s="142"/>
      <c r="J22" s="142"/>
      <c r="K22" s="141"/>
      <c r="L22" s="143"/>
      <c r="M22" s="141"/>
      <c r="N22" s="43"/>
    </row>
    <row r="23" spans="1:15" ht="15" thickBot="1" x14ac:dyDescent="0.35">
      <c r="A23" s="109"/>
      <c r="B23" s="394"/>
      <c r="C23" s="395"/>
      <c r="D23" s="396"/>
      <c r="F23" s="144"/>
      <c r="G23" s="142"/>
      <c r="H23" s="142"/>
      <c r="I23" s="142"/>
      <c r="J23" s="43"/>
      <c r="K23" s="43"/>
      <c r="L23" s="43"/>
      <c r="M23" s="43"/>
      <c r="N23" s="43"/>
    </row>
    <row r="24" spans="1:15" ht="15" thickBot="1" x14ac:dyDescent="0.35">
      <c r="A24" s="391"/>
      <c r="B24" s="392"/>
      <c r="C24" s="392"/>
      <c r="D24" s="393"/>
      <c r="F24" s="142"/>
      <c r="G24" s="142"/>
      <c r="H24" s="142"/>
      <c r="I24" s="141"/>
      <c r="J24" s="143"/>
      <c r="K24" s="141"/>
      <c r="L24" s="142"/>
      <c r="M24" s="142"/>
      <c r="N24" s="43"/>
    </row>
    <row r="25" spans="1:15" x14ac:dyDescent="0.3">
      <c r="A25" s="103"/>
      <c r="B25" s="98"/>
      <c r="C25" s="99"/>
      <c r="D25" s="99"/>
      <c r="F25" s="141"/>
      <c r="G25" s="101"/>
      <c r="H25" s="101"/>
      <c r="I25" s="104"/>
      <c r="J25" s="101"/>
      <c r="K25" s="102"/>
      <c r="L25" s="102"/>
      <c r="M25" s="102"/>
    </row>
    <row r="26" spans="1:15" x14ac:dyDescent="0.3">
      <c r="A26" s="106"/>
      <c r="B26" s="30"/>
      <c r="C26" s="30"/>
      <c r="D26" s="108"/>
      <c r="F26" s="146"/>
      <c r="G26" s="104"/>
      <c r="H26" s="104"/>
      <c r="I26" s="101"/>
      <c r="J26" s="102"/>
      <c r="K26" s="102"/>
      <c r="L26" s="102"/>
      <c r="M26" s="102"/>
    </row>
    <row r="27" spans="1:15" x14ac:dyDescent="0.3">
      <c r="A27" s="106"/>
      <c r="B27" s="129"/>
      <c r="C27" s="129"/>
      <c r="D27" s="108"/>
      <c r="F27" s="146"/>
      <c r="G27" s="101"/>
      <c r="H27" s="101"/>
      <c r="I27" s="101"/>
      <c r="J27" s="101"/>
      <c r="K27" s="101"/>
      <c r="L27" s="101"/>
    </row>
    <row r="28" spans="1:15" x14ac:dyDescent="0.3">
      <c r="A28" s="106"/>
      <c r="B28" s="110"/>
      <c r="C28" s="110"/>
      <c r="D28" s="108"/>
      <c r="F28" s="146"/>
      <c r="G28" s="102"/>
      <c r="H28" s="102"/>
      <c r="I28" s="102"/>
      <c r="J28" s="102"/>
      <c r="K28" s="102"/>
      <c r="L28" s="102"/>
      <c r="M28" s="102"/>
    </row>
    <row r="29" spans="1:15" x14ac:dyDescent="0.3">
      <c r="A29" s="106"/>
      <c r="B29" s="110"/>
      <c r="C29" s="110"/>
      <c r="D29" s="108"/>
      <c r="F29" s="146"/>
      <c r="G29" s="102"/>
      <c r="I29" s="111"/>
    </row>
    <row r="30" spans="1:15" x14ac:dyDescent="0.3">
      <c r="A30" s="106"/>
      <c r="B30" s="112"/>
      <c r="C30" s="112"/>
      <c r="D30" s="108"/>
      <c r="F30" s="146"/>
      <c r="G30" s="102"/>
      <c r="I30" s="101"/>
    </row>
    <row r="31" spans="1:15" x14ac:dyDescent="0.3">
      <c r="A31" s="106"/>
      <c r="B31" s="129"/>
      <c r="C31" s="129"/>
      <c r="D31" s="108"/>
      <c r="F31" s="146"/>
      <c r="G31" s="102"/>
      <c r="I31" s="101"/>
    </row>
    <row r="32" spans="1:15" x14ac:dyDescent="0.3">
      <c r="A32" s="106"/>
      <c r="B32" s="110"/>
      <c r="C32" s="110"/>
      <c r="D32" s="108"/>
      <c r="F32" s="141"/>
      <c r="G32" s="102"/>
      <c r="I32" s="101"/>
    </row>
    <row r="33" spans="1:9" x14ac:dyDescent="0.3">
      <c r="A33" s="113"/>
      <c r="B33" s="110"/>
      <c r="C33" s="110"/>
      <c r="D33" s="114"/>
      <c r="F33" s="111"/>
      <c r="G33" s="102"/>
      <c r="I33" s="101"/>
    </row>
    <row r="34" spans="1:9" ht="15" thickBot="1" x14ac:dyDescent="0.35">
      <c r="A34" s="107"/>
      <c r="B34" s="394"/>
      <c r="C34" s="395"/>
      <c r="D34" s="396"/>
      <c r="F34" s="101"/>
      <c r="I34" s="111"/>
    </row>
    <row r="35" spans="1:9" x14ac:dyDescent="0.3">
      <c r="F35" s="101"/>
      <c r="I35" s="101"/>
    </row>
    <row r="36" spans="1:9" x14ac:dyDescent="0.3">
      <c r="F36" s="101"/>
      <c r="I36" s="101"/>
    </row>
    <row r="37" spans="1:9" x14ac:dyDescent="0.3">
      <c r="F37" s="58"/>
      <c r="I37" s="58"/>
    </row>
    <row r="38" spans="1:9" x14ac:dyDescent="0.3">
      <c r="F38" s="101"/>
      <c r="I38" s="101"/>
    </row>
    <row r="39" spans="1:9" x14ac:dyDescent="0.3">
      <c r="F39" s="101"/>
      <c r="I39" s="101"/>
    </row>
    <row r="40" spans="1:9" x14ac:dyDescent="0.3">
      <c r="F40" s="101"/>
      <c r="I40" s="111"/>
    </row>
    <row r="41" spans="1:9" x14ac:dyDescent="0.3">
      <c r="F41" s="101"/>
      <c r="I41" s="101"/>
    </row>
    <row r="42" spans="1:9" x14ac:dyDescent="0.3">
      <c r="F42" s="58"/>
      <c r="I42" s="101"/>
    </row>
    <row r="43" spans="1:9" x14ac:dyDescent="0.3">
      <c r="F43" s="58"/>
      <c r="I43" s="101"/>
    </row>
    <row r="44" spans="1:9" x14ac:dyDescent="0.3">
      <c r="F44" s="58"/>
      <c r="I44" s="101"/>
    </row>
    <row r="45" spans="1:9" x14ac:dyDescent="0.3">
      <c r="F45" s="111"/>
    </row>
    <row r="46" spans="1:9" x14ac:dyDescent="0.3">
      <c r="F46" s="101"/>
    </row>
    <row r="47" spans="1:9" x14ac:dyDescent="0.3">
      <c r="F47" s="101"/>
    </row>
    <row r="48" spans="1:9" x14ac:dyDescent="0.3">
      <c r="F48" s="101"/>
    </row>
    <row r="49" spans="6:6" x14ac:dyDescent="0.3">
      <c r="F49" s="101"/>
    </row>
    <row r="50" spans="6:6" x14ac:dyDescent="0.3">
      <c r="F50" s="101"/>
    </row>
    <row r="51" spans="6:6" x14ac:dyDescent="0.3">
      <c r="F51" s="101"/>
    </row>
    <row r="52" spans="6:6" x14ac:dyDescent="0.3">
      <c r="F52" s="111"/>
    </row>
    <row r="53" spans="6:6" x14ac:dyDescent="0.3">
      <c r="F53" s="101"/>
    </row>
    <row r="54" spans="6:6" x14ac:dyDescent="0.3">
      <c r="F54" s="101"/>
    </row>
    <row r="55" spans="6:6" x14ac:dyDescent="0.3">
      <c r="F55" s="101"/>
    </row>
    <row r="56" spans="6:6" x14ac:dyDescent="0.3">
      <c r="F56" s="58"/>
    </row>
    <row r="57" spans="6:6" x14ac:dyDescent="0.3">
      <c r="F57" s="101"/>
    </row>
    <row r="58" spans="6:6" x14ac:dyDescent="0.3">
      <c r="F58" s="101"/>
    </row>
    <row r="59" spans="6:6" x14ac:dyDescent="0.3">
      <c r="F59" s="101"/>
    </row>
    <row r="60" spans="6:6" x14ac:dyDescent="0.3">
      <c r="F60" s="101"/>
    </row>
    <row r="61" spans="6:6" x14ac:dyDescent="0.3">
      <c r="F61" s="58"/>
    </row>
    <row r="62" spans="6:6" x14ac:dyDescent="0.3">
      <c r="F62" s="58"/>
    </row>
    <row r="63" spans="6:6" x14ac:dyDescent="0.3">
      <c r="F63" s="58"/>
    </row>
    <row r="64" spans="6:6" x14ac:dyDescent="0.3">
      <c r="F64" s="111"/>
    </row>
    <row r="65" spans="6:6" x14ac:dyDescent="0.3">
      <c r="F65" s="101"/>
    </row>
    <row r="66" spans="6:6" x14ac:dyDescent="0.3">
      <c r="F66" s="101"/>
    </row>
    <row r="67" spans="6:6" x14ac:dyDescent="0.3">
      <c r="F67" s="101"/>
    </row>
    <row r="68" spans="6:6" x14ac:dyDescent="0.3">
      <c r="F68" s="101"/>
    </row>
    <row r="69" spans="6:6" x14ac:dyDescent="0.3">
      <c r="F69" s="101"/>
    </row>
    <row r="70" spans="6:6" x14ac:dyDescent="0.3">
      <c r="F70" s="101"/>
    </row>
    <row r="71" spans="6:6" x14ac:dyDescent="0.3">
      <c r="F71" s="58"/>
    </row>
    <row r="73" spans="6:6" x14ac:dyDescent="0.3">
      <c r="F73" s="58"/>
    </row>
    <row r="74" spans="6:6" x14ac:dyDescent="0.3">
      <c r="F74" s="58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F01983-DEDE-4E3E-AA57-FA5CB4E5FA5F}"/>
</file>

<file path=customXml/itemProps2.xml><?xml version="1.0" encoding="utf-8"?>
<ds:datastoreItem xmlns:ds="http://schemas.openxmlformats.org/officeDocument/2006/customXml" ds:itemID="{39987622-E38F-4BC0-803D-4C6282D6C69E}"/>
</file>

<file path=customXml/itemProps3.xml><?xml version="1.0" encoding="utf-8"?>
<ds:datastoreItem xmlns:ds="http://schemas.openxmlformats.org/officeDocument/2006/customXml" ds:itemID="{67EF030C-56D1-44AC-936A-3CED8B3514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2025-06-09T19:27:49Z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