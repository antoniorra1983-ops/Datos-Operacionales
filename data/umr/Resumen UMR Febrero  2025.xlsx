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codeName="ThisWorkbook" defaultThemeVersion="124226"/>
  <bookViews>
    <workbookView xWindow="0" yWindow="0" windowWidth="51600" windowHeight="17235" tabRatio="686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85" i="2" l="1"/>
  <c r="H209" i="2"/>
  <c r="H208" i="2"/>
  <c r="H207" i="2"/>
  <c r="H206" i="2"/>
  <c r="H205" i="2"/>
  <c r="H204" i="2"/>
  <c r="H203" i="2"/>
  <c r="H202" i="2"/>
  <c r="H200" i="2"/>
  <c r="H199" i="2"/>
  <c r="H198" i="2"/>
  <c r="H197" i="2"/>
  <c r="H196" i="2"/>
  <c r="H195" i="2"/>
  <c r="H194" i="2"/>
  <c r="H193" i="2"/>
  <c r="H191" i="2"/>
  <c r="H190" i="2"/>
  <c r="H189" i="2"/>
  <c r="H188" i="2"/>
  <c r="H187" i="2"/>
  <c r="H186" i="2"/>
  <c r="H184" i="2"/>
  <c r="H183" i="2"/>
  <c r="H182" i="2"/>
  <c r="H181" i="2"/>
  <c r="H180" i="2"/>
  <c r="H179" i="2"/>
  <c r="H178" i="2"/>
  <c r="H177" i="2"/>
  <c r="H175" i="2"/>
  <c r="H174" i="2"/>
  <c r="H173" i="2"/>
  <c r="H172" i="2"/>
  <c r="H171" i="2"/>
  <c r="H170" i="2"/>
  <c r="H169" i="2"/>
  <c r="H168" i="2"/>
  <c r="H152" i="2"/>
  <c r="H151" i="2"/>
  <c r="H150" i="2"/>
  <c r="H149" i="2"/>
  <c r="H148" i="2"/>
  <c r="H147" i="2"/>
  <c r="H145" i="2"/>
  <c r="H144" i="2"/>
  <c r="H143" i="2"/>
  <c r="H142" i="2"/>
  <c r="H141" i="2"/>
  <c r="H140" i="2"/>
  <c r="H138" i="2"/>
  <c r="H137" i="2"/>
  <c r="H136" i="2"/>
  <c r="H135" i="2"/>
  <c r="H134" i="2"/>
  <c r="H133" i="2"/>
  <c r="H131" i="2"/>
  <c r="H130" i="2"/>
  <c r="H129" i="2"/>
  <c r="H128" i="2"/>
  <c r="H127" i="2"/>
  <c r="H126" i="2"/>
  <c r="H124" i="2"/>
  <c r="H123" i="2"/>
  <c r="H122" i="2"/>
  <c r="H121" i="2"/>
  <c r="H120" i="2"/>
  <c r="H119" i="2"/>
  <c r="H103" i="2"/>
  <c r="H102" i="2"/>
  <c r="H101" i="2"/>
  <c r="H100" i="2"/>
  <c r="H99" i="2"/>
  <c r="H98" i="2"/>
  <c r="H96" i="2"/>
  <c r="H95" i="2"/>
  <c r="H94" i="2"/>
  <c r="H93" i="2"/>
  <c r="H92" i="2"/>
  <c r="H91" i="2"/>
  <c r="H89" i="2"/>
  <c r="H88" i="2"/>
  <c r="H87" i="2"/>
  <c r="H86" i="2"/>
  <c r="H85" i="2"/>
  <c r="H84" i="2"/>
  <c r="H82" i="2"/>
  <c r="H81" i="2"/>
  <c r="H80" i="2"/>
  <c r="H79" i="2"/>
  <c r="H78" i="2"/>
  <c r="H77" i="2"/>
  <c r="H75" i="2"/>
  <c r="H74" i="2"/>
  <c r="H73" i="2"/>
  <c r="H72" i="2"/>
  <c r="H71" i="2"/>
  <c r="H70" i="2"/>
  <c r="H54" i="2"/>
  <c r="H53" i="2"/>
  <c r="H52" i="2"/>
  <c r="H51" i="2"/>
  <c r="H50" i="2"/>
  <c r="H49" i="2"/>
  <c r="H47" i="2"/>
  <c r="H46" i="2"/>
  <c r="H45" i="2"/>
  <c r="H44" i="2"/>
  <c r="H43" i="2"/>
  <c r="H42" i="2"/>
  <c r="H40" i="2"/>
  <c r="H39" i="2"/>
  <c r="H38" i="2"/>
  <c r="H37" i="2"/>
  <c r="H36" i="2"/>
  <c r="H35" i="2"/>
  <c r="H33" i="2"/>
  <c r="H32" i="2"/>
  <c r="H31" i="2"/>
  <c r="H30" i="2"/>
  <c r="H29" i="2"/>
  <c r="H28" i="2"/>
  <c r="H26" i="2"/>
  <c r="H25" i="2"/>
  <c r="H24" i="2"/>
  <c r="H23" i="2"/>
  <c r="H22" i="2"/>
  <c r="H21" i="2"/>
  <c r="H20" i="2"/>
  <c r="H19" i="2"/>
  <c r="H166" i="2"/>
  <c r="H165" i="2"/>
  <c r="H164" i="2"/>
  <c r="H163" i="2"/>
  <c r="H162" i="2"/>
  <c r="H161" i="2"/>
  <c r="H117" i="2"/>
  <c r="H116" i="2"/>
  <c r="H115" i="2"/>
  <c r="H114" i="2"/>
  <c r="H113" i="2"/>
  <c r="H112" i="2"/>
  <c r="H68" i="2"/>
  <c r="H67" i="2"/>
  <c r="H66" i="2"/>
  <c r="H65" i="2"/>
  <c r="H64" i="2"/>
  <c r="H63" i="2"/>
  <c r="H17" i="2"/>
  <c r="H16" i="2"/>
  <c r="H15" i="2"/>
  <c r="H14" i="2"/>
  <c r="H13" i="2"/>
  <c r="H12" i="2"/>
  <c r="H159" i="2"/>
  <c r="H158" i="2"/>
  <c r="H157" i="2"/>
  <c r="H156" i="2"/>
  <c r="H155" i="2"/>
  <c r="H154" i="2"/>
  <c r="H110" i="2"/>
  <c r="H109" i="2"/>
  <c r="H108" i="2"/>
  <c r="H107" i="2"/>
  <c r="H106" i="2"/>
  <c r="H105" i="2"/>
  <c r="H61" i="2"/>
  <c r="H60" i="2"/>
  <c r="H59" i="2"/>
  <c r="H58" i="2"/>
  <c r="H57" i="2"/>
  <c r="H56" i="2"/>
  <c r="H10" i="2"/>
  <c r="H9" i="2"/>
  <c r="H8" i="2"/>
  <c r="H7" i="2"/>
  <c r="H6" i="2"/>
  <c r="H5" i="2"/>
  <c r="X209" i="2" l="1"/>
  <c r="X208" i="2"/>
  <c r="X207" i="2"/>
  <c r="X205" i="2"/>
  <c r="X204" i="2"/>
  <c r="X203" i="2"/>
  <c r="X202" i="2"/>
  <c r="X210" i="2" s="1"/>
  <c r="X206" i="2"/>
  <c r="X200" i="2"/>
  <c r="X199" i="2"/>
  <c r="X198" i="2"/>
  <c r="X197" i="2"/>
  <c r="X196" i="2"/>
  <c r="X195" i="2"/>
  <c r="X194" i="2"/>
  <c r="X193" i="2"/>
  <c r="X201" i="2" s="1"/>
  <c r="X191" i="2"/>
  <c r="X190" i="2"/>
  <c r="X189" i="2"/>
  <c r="X188" i="2"/>
  <c r="X187" i="2"/>
  <c r="X186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6" i="2"/>
  <c r="X165" i="2"/>
  <c r="X164" i="2"/>
  <c r="X163" i="2"/>
  <c r="X162" i="2"/>
  <c r="X161" i="2"/>
  <c r="X159" i="2"/>
  <c r="X158" i="2"/>
  <c r="X157" i="2"/>
  <c r="X156" i="2"/>
  <c r="X155" i="2"/>
  <c r="X154" i="2"/>
  <c r="X152" i="2"/>
  <c r="X151" i="2"/>
  <c r="X150" i="2"/>
  <c r="X149" i="2"/>
  <c r="X148" i="2"/>
  <c r="X147" i="2"/>
  <c r="X145" i="2"/>
  <c r="X144" i="2"/>
  <c r="X143" i="2"/>
  <c r="X142" i="2"/>
  <c r="X141" i="2"/>
  <c r="X140" i="2"/>
  <c r="X138" i="2"/>
  <c r="X137" i="2"/>
  <c r="X136" i="2"/>
  <c r="X135" i="2"/>
  <c r="X134" i="2"/>
  <c r="X133" i="2"/>
  <c r="X131" i="2"/>
  <c r="X130" i="2"/>
  <c r="X129" i="2"/>
  <c r="X128" i="2"/>
  <c r="X127" i="2"/>
  <c r="X126" i="2"/>
  <c r="X124" i="2"/>
  <c r="X123" i="2"/>
  <c r="X122" i="2"/>
  <c r="X121" i="2"/>
  <c r="X120" i="2"/>
  <c r="X119" i="2"/>
  <c r="X117" i="2"/>
  <c r="X116" i="2"/>
  <c r="X115" i="2"/>
  <c r="X114" i="2"/>
  <c r="X113" i="2"/>
  <c r="X112" i="2"/>
  <c r="X110" i="2"/>
  <c r="X109" i="2"/>
  <c r="X108" i="2"/>
  <c r="X107" i="2"/>
  <c r="X106" i="2"/>
  <c r="X105" i="2"/>
  <c r="X103" i="2"/>
  <c r="X102" i="2"/>
  <c r="X101" i="2"/>
  <c r="X100" i="2"/>
  <c r="X99" i="2"/>
  <c r="X98" i="2"/>
  <c r="X96" i="2"/>
  <c r="X95" i="2"/>
  <c r="X94" i="2"/>
  <c r="X93" i="2"/>
  <c r="X92" i="2"/>
  <c r="X91" i="2"/>
  <c r="X89" i="2"/>
  <c r="X88" i="2"/>
  <c r="X87" i="2"/>
  <c r="X86" i="2"/>
  <c r="X85" i="2"/>
  <c r="X84" i="2"/>
  <c r="X82" i="2"/>
  <c r="X81" i="2"/>
  <c r="X80" i="2"/>
  <c r="X79" i="2"/>
  <c r="X78" i="2"/>
  <c r="X77" i="2"/>
  <c r="X75" i="2"/>
  <c r="X74" i="2"/>
  <c r="X73" i="2"/>
  <c r="X72" i="2"/>
  <c r="X71" i="2"/>
  <c r="X70" i="2"/>
  <c r="X65" i="2"/>
  <c r="X64" i="2"/>
  <c r="X63" i="2"/>
  <c r="X58" i="2"/>
  <c r="X56" i="2"/>
  <c r="X54" i="2"/>
  <c r="X53" i="2"/>
  <c r="X52" i="2"/>
  <c r="X51" i="2"/>
  <c r="X49" i="2"/>
  <c r="X47" i="2"/>
  <c r="X46" i="2"/>
  <c r="X45" i="2"/>
  <c r="X44" i="2"/>
  <c r="X42" i="2"/>
  <c r="X40" i="2"/>
  <c r="X39" i="2"/>
  <c r="X38" i="2"/>
  <c r="X37" i="2"/>
  <c r="X35" i="2"/>
  <c r="X33" i="2"/>
  <c r="X32" i="2"/>
  <c r="X31" i="2"/>
  <c r="X30" i="2"/>
  <c r="X28" i="2"/>
  <c r="X26" i="2"/>
  <c r="X25" i="2"/>
  <c r="X24" i="2"/>
  <c r="X23" i="2"/>
  <c r="X22" i="2"/>
  <c r="X21" i="2"/>
  <c r="X20" i="2"/>
  <c r="X19" i="2"/>
  <c r="X17" i="2"/>
  <c r="X13" i="2"/>
  <c r="X12" i="2"/>
  <c r="H210" i="2"/>
  <c r="X211" i="2" s="1"/>
  <c r="H201" i="2"/>
  <c r="H192" i="2"/>
  <c r="H185" i="2"/>
  <c r="H176" i="2"/>
  <c r="H167" i="2"/>
  <c r="H160" i="2"/>
  <c r="H153" i="2"/>
  <c r="H146" i="2"/>
  <c r="H139" i="2"/>
  <c r="H132" i="2"/>
  <c r="H125" i="2"/>
  <c r="H118" i="2"/>
  <c r="H111" i="2"/>
  <c r="H104" i="2"/>
  <c r="H97" i="2"/>
  <c r="H90" i="2"/>
  <c r="H83" i="2"/>
  <c r="H76" i="2"/>
  <c r="H69" i="2"/>
  <c r="X66" i="2"/>
  <c r="H62" i="2"/>
  <c r="X60" i="2"/>
  <c r="X59" i="2"/>
  <c r="H55" i="2"/>
  <c r="X50" i="2"/>
  <c r="H48" i="2"/>
  <c r="X43" i="2"/>
  <c r="H41" i="2"/>
  <c r="H34" i="2"/>
  <c r="H27" i="2"/>
  <c r="H18" i="2"/>
  <c r="X16" i="2"/>
  <c r="X14" i="2"/>
  <c r="H11" i="2"/>
  <c r="X10" i="2"/>
  <c r="X15" i="2"/>
  <c r="X68" i="2"/>
  <c r="X9" i="2"/>
  <c r="X225" i="2"/>
  <c r="X224" i="2"/>
  <c r="X223" i="2"/>
  <c r="X226" i="2" s="1"/>
  <c r="X222" i="2"/>
  <c r="X221" i="2"/>
  <c r="X220" i="2"/>
  <c r="X218" i="2"/>
  <c r="X217" i="2"/>
  <c r="X216" i="2"/>
  <c r="X215" i="2"/>
  <c r="X214" i="2"/>
  <c r="X213" i="2"/>
  <c r="X219" i="2" s="1"/>
  <c r="X212" i="2"/>
  <c r="X67" i="2"/>
  <c r="X61" i="2"/>
  <c r="X36" i="2"/>
  <c r="X8" i="2"/>
  <c r="X7" i="2"/>
  <c r="X6" i="2"/>
  <c r="X27" i="2" l="1"/>
  <c r="X160" i="2"/>
  <c r="X41" i="2"/>
  <c r="X55" i="2"/>
  <c r="X111" i="2"/>
  <c r="X83" i="2"/>
  <c r="X132" i="2"/>
  <c r="X125" i="2"/>
  <c r="X69" i="2"/>
  <c r="X167" i="2"/>
  <c r="X146" i="2"/>
  <c r="X90" i="2"/>
  <c r="X18" i="2"/>
  <c r="X5" i="2"/>
  <c r="X11" i="2" s="1"/>
  <c r="X48" i="2"/>
  <c r="X192" i="2"/>
  <c r="X104" i="2"/>
  <c r="X139" i="2"/>
  <c r="X153" i="2"/>
  <c r="X29" i="2"/>
  <c r="X34" i="2" s="1"/>
  <c r="X57" i="2"/>
  <c r="X62" i="2" s="1"/>
  <c r="X118" i="2"/>
  <c r="X97" i="2"/>
  <c r="X76" i="2"/>
  <c r="T235" i="2"/>
  <c r="X235" i="2" l="1"/>
  <c r="C244" i="2"/>
  <c r="C243" i="2"/>
  <c r="B244" i="2"/>
  <c r="B243" i="2"/>
  <c r="AD28" i="4"/>
  <c r="AB28" i="4"/>
  <c r="AA28" i="4"/>
  <c r="C192" i="2" l="1"/>
  <c r="B192" i="2"/>
  <c r="AX70" i="3" l="1"/>
  <c r="AX69" i="3"/>
  <c r="AX61" i="3"/>
  <c r="AX62" i="3"/>
  <c r="AX63" i="3"/>
  <c r="AX64" i="3"/>
  <c r="AX65" i="3"/>
  <c r="AX66" i="3"/>
  <c r="AX58" i="3"/>
  <c r="AX57" i="3"/>
  <c r="AX49" i="3"/>
  <c r="AX50" i="3"/>
  <c r="AX51" i="3"/>
  <c r="AX52" i="3"/>
  <c r="AX53" i="3"/>
  <c r="AX54" i="3"/>
  <c r="AY44" i="3"/>
  <c r="AY45" i="3"/>
  <c r="AX45" i="3"/>
  <c r="AX44" i="3"/>
  <c r="AX36" i="3"/>
  <c r="AY36" i="3"/>
  <c r="AX37" i="3"/>
  <c r="AY37" i="3"/>
  <c r="AX38" i="3"/>
  <c r="AY38" i="3"/>
  <c r="AX39" i="3"/>
  <c r="AY39" i="3"/>
  <c r="AX40" i="3"/>
  <c r="AY40" i="3"/>
  <c r="AX41" i="3"/>
  <c r="AY41" i="3"/>
  <c r="AV61" i="3" l="1"/>
  <c r="AV62" i="3"/>
  <c r="AV63" i="3"/>
  <c r="AV64" i="3"/>
  <c r="AV65" i="3"/>
  <c r="AV66" i="3"/>
  <c r="AV49" i="3"/>
  <c r="AV50" i="3"/>
  <c r="AV51" i="3"/>
  <c r="AV52" i="3"/>
  <c r="AV53" i="3"/>
  <c r="AV54" i="3"/>
  <c r="AV36" i="3"/>
  <c r="AW36" i="3"/>
  <c r="AV37" i="3"/>
  <c r="AW37" i="3"/>
  <c r="AV38" i="3"/>
  <c r="AW38" i="3"/>
  <c r="AV39" i="3"/>
  <c r="AW39" i="3"/>
  <c r="AV40" i="3"/>
  <c r="AW40" i="3"/>
  <c r="AV41" i="3"/>
  <c r="AW41" i="3"/>
  <c r="E200" i="2" l="1"/>
  <c r="E183" i="2"/>
  <c r="D183" i="2"/>
  <c r="AZ69" i="3"/>
  <c r="BB69" i="3"/>
  <c r="BD69" i="3"/>
  <c r="BF69" i="3"/>
  <c r="AZ70" i="3"/>
  <c r="BB70" i="3"/>
  <c r="BD70" i="3"/>
  <c r="BF70" i="3"/>
  <c r="AZ57" i="3"/>
  <c r="BB57" i="3"/>
  <c r="BD57" i="3"/>
  <c r="BF57" i="3"/>
  <c r="AZ58" i="3"/>
  <c r="BB58" i="3"/>
  <c r="BD58" i="3"/>
  <c r="BF58" i="3"/>
  <c r="AZ44" i="3"/>
  <c r="BA44" i="3"/>
  <c r="BB44" i="3"/>
  <c r="BC44" i="3"/>
  <c r="BD44" i="3"/>
  <c r="D199" i="2" s="1"/>
  <c r="BE44" i="3"/>
  <c r="E199" i="2" s="1"/>
  <c r="BF44" i="3"/>
  <c r="D208" i="2" s="1"/>
  <c r="BG44" i="3"/>
  <c r="E208" i="2" s="1"/>
  <c r="AZ45" i="3"/>
  <c r="D184" i="2" s="1"/>
  <c r="BA45" i="3"/>
  <c r="E184" i="2" s="1"/>
  <c r="BB45" i="3"/>
  <c r="BC45" i="3"/>
  <c r="BD45" i="3"/>
  <c r="D200" i="2" s="1"/>
  <c r="BE45" i="3"/>
  <c r="BF45" i="3"/>
  <c r="D209" i="2" s="1"/>
  <c r="BG45" i="3"/>
  <c r="E209" i="2" s="1"/>
  <c r="C210" i="2"/>
  <c r="B210" i="2"/>
  <c r="C201" i="2"/>
  <c r="B201" i="2"/>
  <c r="C185" i="2"/>
  <c r="B185" i="2"/>
  <c r="D244" i="2" l="1"/>
  <c r="E244" i="2" s="1"/>
  <c r="G209" i="2"/>
  <c r="J209" i="2" s="1"/>
  <c r="L209" i="2" s="1"/>
  <c r="I184" i="2"/>
  <c r="M184" i="2" s="1"/>
  <c r="F244" i="2"/>
  <c r="G244" i="2" s="1"/>
  <c r="F243" i="2"/>
  <c r="G243" i="2" s="1"/>
  <c r="G208" i="2"/>
  <c r="J208" i="2" s="1"/>
  <c r="G184" i="2"/>
  <c r="J184" i="2" s="1"/>
  <c r="G199" i="2"/>
  <c r="J199" i="2" s="1"/>
  <c r="G200" i="2"/>
  <c r="J200" i="2" s="1"/>
  <c r="I200" i="2"/>
  <c r="M200" i="2" s="1"/>
  <c r="I199" i="2"/>
  <c r="M199" i="2" s="1"/>
  <c r="G183" i="2"/>
  <c r="J183" i="2" s="1"/>
  <c r="I183" i="2"/>
  <c r="I209" i="2"/>
  <c r="K209" i="2" s="1"/>
  <c r="I208" i="2"/>
  <c r="M208" i="2" s="1"/>
  <c r="D243" i="2"/>
  <c r="E243" i="2" s="1"/>
  <c r="D174" i="2"/>
  <c r="I243" i="2" s="1"/>
  <c r="E174" i="2"/>
  <c r="J243" i="2" s="1"/>
  <c r="E175" i="2"/>
  <c r="J244" i="2" s="1"/>
  <c r="D175" i="2"/>
  <c r="I244" i="2" s="1"/>
  <c r="C176" i="2"/>
  <c r="B176" i="2"/>
  <c r="W209" i="2" l="1"/>
  <c r="K184" i="2"/>
  <c r="L183" i="2"/>
  <c r="W183" i="2"/>
  <c r="L200" i="2"/>
  <c r="W200" i="2"/>
  <c r="L199" i="2"/>
  <c r="W199" i="2"/>
  <c r="L208" i="2"/>
  <c r="W208" i="2"/>
  <c r="L184" i="2"/>
  <c r="W184" i="2"/>
  <c r="K200" i="2"/>
  <c r="K199" i="2"/>
  <c r="M183" i="2"/>
  <c r="K183" i="2"/>
  <c r="M209" i="2"/>
  <c r="K208" i="2"/>
  <c r="K244" i="2"/>
  <c r="L244" i="2" s="1"/>
  <c r="M244" i="2"/>
  <c r="N244" i="2" s="1"/>
  <c r="M243" i="2"/>
  <c r="N243" i="2" s="1"/>
  <c r="K243" i="2"/>
  <c r="L243" i="2" s="1"/>
  <c r="I175" i="2"/>
  <c r="G174" i="2"/>
  <c r="G175" i="2"/>
  <c r="I174" i="2"/>
  <c r="K174" i="2" s="1"/>
  <c r="C167" i="2"/>
  <c r="B167" i="2"/>
  <c r="AT61" i="3"/>
  <c r="AT62" i="3"/>
  <c r="AT63" i="3"/>
  <c r="AT64" i="3"/>
  <c r="AT65" i="3"/>
  <c r="AT66" i="3"/>
  <c r="AT49" i="3"/>
  <c r="AT50" i="3"/>
  <c r="AT51" i="3"/>
  <c r="AT52" i="3"/>
  <c r="AT53" i="3"/>
  <c r="AT54" i="3"/>
  <c r="AT36" i="3"/>
  <c r="AU36" i="3"/>
  <c r="AT37" i="3"/>
  <c r="AU37" i="3"/>
  <c r="AT38" i="3"/>
  <c r="AU38" i="3"/>
  <c r="AT39" i="3"/>
  <c r="AU39" i="3"/>
  <c r="AT40" i="3"/>
  <c r="AU40" i="3"/>
  <c r="AT41" i="3"/>
  <c r="AU41" i="3"/>
  <c r="J175" i="2" l="1"/>
  <c r="L175" i="2" s="1"/>
  <c r="M175" i="2"/>
  <c r="K175" i="2"/>
  <c r="J174" i="2"/>
  <c r="L174" i="2" s="1"/>
  <c r="M174" i="2"/>
  <c r="AR61" i="3"/>
  <c r="AR62" i="3"/>
  <c r="AR63" i="3"/>
  <c r="AR64" i="3"/>
  <c r="AR65" i="3"/>
  <c r="AR66" i="3"/>
  <c r="AR49" i="3"/>
  <c r="AR50" i="3"/>
  <c r="AR51" i="3"/>
  <c r="AR52" i="3"/>
  <c r="AR53" i="3"/>
  <c r="AR54" i="3"/>
  <c r="AR36" i="3"/>
  <c r="AS36" i="3"/>
  <c r="AR37" i="3"/>
  <c r="AS37" i="3"/>
  <c r="AR38" i="3"/>
  <c r="AS38" i="3"/>
  <c r="AR39" i="3"/>
  <c r="AS39" i="3"/>
  <c r="AR40" i="3"/>
  <c r="AS40" i="3"/>
  <c r="AR41" i="3"/>
  <c r="AS41" i="3"/>
  <c r="W174" i="2" l="1"/>
  <c r="W175" i="2"/>
  <c r="C146" i="2"/>
  <c r="B146" i="2"/>
  <c r="AN61" i="3" l="1"/>
  <c r="AN62" i="3"/>
  <c r="AN63" i="3"/>
  <c r="AN64" i="3"/>
  <c r="AN65" i="3"/>
  <c r="AN66" i="3"/>
  <c r="AN49" i="3"/>
  <c r="AN50" i="3"/>
  <c r="AN51" i="3"/>
  <c r="AN52" i="3"/>
  <c r="AN53" i="3"/>
  <c r="AN54" i="3"/>
  <c r="AN36" i="3"/>
  <c r="AO36" i="3"/>
  <c r="AN37" i="3"/>
  <c r="AO37" i="3"/>
  <c r="AN38" i="3"/>
  <c r="AO38" i="3"/>
  <c r="AN39" i="3"/>
  <c r="AO39" i="3"/>
  <c r="AN40" i="3"/>
  <c r="AO40" i="3"/>
  <c r="AN41" i="3"/>
  <c r="AO41" i="3"/>
  <c r="AL61" i="3" l="1"/>
  <c r="AL62" i="3"/>
  <c r="AL63" i="3"/>
  <c r="AL64" i="3"/>
  <c r="AL65" i="3"/>
  <c r="AL66" i="3"/>
  <c r="AL49" i="3"/>
  <c r="AL50" i="3"/>
  <c r="AL51" i="3"/>
  <c r="AL52" i="3"/>
  <c r="AL53" i="3"/>
  <c r="AL54" i="3"/>
  <c r="AL36" i="3"/>
  <c r="AM36" i="3"/>
  <c r="AL37" i="3"/>
  <c r="AM37" i="3"/>
  <c r="AL38" i="3"/>
  <c r="AM38" i="3"/>
  <c r="AL39" i="3"/>
  <c r="AM39" i="3"/>
  <c r="AL40" i="3"/>
  <c r="AM40" i="3"/>
  <c r="AL41" i="3"/>
  <c r="AM41" i="3"/>
  <c r="C139" i="2" l="1"/>
  <c r="B139" i="2"/>
  <c r="C132" i="2"/>
  <c r="B132" i="2"/>
  <c r="C125" i="2"/>
  <c r="B125" i="2"/>
  <c r="C118" i="2"/>
  <c r="B118" i="2"/>
  <c r="C111" i="2"/>
  <c r="B111" i="2"/>
  <c r="C104" i="2" l="1"/>
  <c r="B104" i="2"/>
  <c r="AB61" i="3" l="1"/>
  <c r="AB62" i="3"/>
  <c r="AB63" i="3"/>
  <c r="AB64" i="3"/>
  <c r="AB65" i="3"/>
  <c r="AB66" i="3"/>
  <c r="AB49" i="3"/>
  <c r="AB50" i="3"/>
  <c r="AB51" i="3"/>
  <c r="AB52" i="3"/>
  <c r="AB53" i="3"/>
  <c r="AB54" i="3"/>
  <c r="AB36" i="3"/>
  <c r="AC36" i="3"/>
  <c r="AB37" i="3"/>
  <c r="AC37" i="3"/>
  <c r="AB38" i="3"/>
  <c r="AC38" i="3"/>
  <c r="AB39" i="3"/>
  <c r="AC39" i="3"/>
  <c r="AB40" i="3"/>
  <c r="AC40" i="3"/>
  <c r="AB41" i="3"/>
  <c r="AC41" i="3"/>
  <c r="Z61" i="3" l="1"/>
  <c r="Z62" i="3"/>
  <c r="Z63" i="3"/>
  <c r="Z64" i="3"/>
  <c r="Z65" i="3"/>
  <c r="Z66" i="3"/>
  <c r="Z49" i="3"/>
  <c r="Z50" i="3"/>
  <c r="Z51" i="3"/>
  <c r="Z52" i="3"/>
  <c r="Z53" i="3"/>
  <c r="Z54" i="3"/>
  <c r="Z36" i="3"/>
  <c r="AA36" i="3"/>
  <c r="Z37" i="3"/>
  <c r="AA37" i="3"/>
  <c r="Z38" i="3"/>
  <c r="AA38" i="3"/>
  <c r="Z39" i="3"/>
  <c r="AA39" i="3"/>
  <c r="Z40" i="3"/>
  <c r="AA40" i="3"/>
  <c r="Z41" i="3"/>
  <c r="AA41" i="3"/>
  <c r="X61" i="3" l="1"/>
  <c r="X62" i="3"/>
  <c r="X63" i="3"/>
  <c r="X64" i="3"/>
  <c r="X65" i="3"/>
  <c r="X66" i="3"/>
  <c r="X49" i="3"/>
  <c r="X50" i="3"/>
  <c r="X51" i="3"/>
  <c r="X52" i="3"/>
  <c r="X53" i="3"/>
  <c r="X54" i="3"/>
  <c r="X36" i="3"/>
  <c r="Y36" i="3"/>
  <c r="X37" i="3"/>
  <c r="Y37" i="3"/>
  <c r="X38" i="3"/>
  <c r="Y38" i="3"/>
  <c r="X39" i="3"/>
  <c r="Y39" i="3"/>
  <c r="X40" i="3"/>
  <c r="Y40" i="3"/>
  <c r="X41" i="3"/>
  <c r="Y41" i="3"/>
  <c r="V61" i="3" l="1"/>
  <c r="V62" i="3"/>
  <c r="V63" i="3"/>
  <c r="V64" i="3"/>
  <c r="V65" i="3"/>
  <c r="V66" i="3"/>
  <c r="V49" i="3"/>
  <c r="V50" i="3"/>
  <c r="V51" i="3"/>
  <c r="V52" i="3"/>
  <c r="V53" i="3"/>
  <c r="V54" i="3"/>
  <c r="V36" i="3"/>
  <c r="W36" i="3"/>
  <c r="V37" i="3"/>
  <c r="W37" i="3"/>
  <c r="V38" i="3"/>
  <c r="W38" i="3"/>
  <c r="V39" i="3"/>
  <c r="W39" i="3"/>
  <c r="V40" i="3"/>
  <c r="W40" i="3"/>
  <c r="V41" i="3"/>
  <c r="W41" i="3"/>
  <c r="C69" i="2" l="1"/>
  <c r="B69" i="2"/>
  <c r="C62" i="2"/>
  <c r="B62" i="2"/>
  <c r="P61" i="3" l="1"/>
  <c r="P62" i="3"/>
  <c r="P63" i="3"/>
  <c r="P64" i="3"/>
  <c r="P65" i="3"/>
  <c r="P66" i="3"/>
  <c r="P49" i="3"/>
  <c r="P50" i="3"/>
  <c r="P51" i="3"/>
  <c r="P52" i="3"/>
  <c r="P53" i="3"/>
  <c r="P54" i="3"/>
  <c r="P36" i="3"/>
  <c r="Q36" i="3"/>
  <c r="P37" i="3"/>
  <c r="Q37" i="3"/>
  <c r="P38" i="3"/>
  <c r="Q38" i="3"/>
  <c r="P39" i="3"/>
  <c r="Q39" i="3"/>
  <c r="P40" i="3"/>
  <c r="Q40" i="3"/>
  <c r="P41" i="3"/>
  <c r="Q41" i="3"/>
  <c r="N61" i="3" l="1"/>
  <c r="N62" i="3"/>
  <c r="N63" i="3"/>
  <c r="N64" i="3"/>
  <c r="N65" i="3"/>
  <c r="N66" i="3"/>
  <c r="N49" i="3"/>
  <c r="N50" i="3"/>
  <c r="N51" i="3"/>
  <c r="N52" i="3"/>
  <c r="N53" i="3"/>
  <c r="N54" i="3"/>
  <c r="N36" i="3"/>
  <c r="O36" i="3"/>
  <c r="N37" i="3"/>
  <c r="O37" i="3"/>
  <c r="N38" i="3"/>
  <c r="O38" i="3"/>
  <c r="N39" i="3"/>
  <c r="O39" i="3"/>
  <c r="N40" i="3"/>
  <c r="O40" i="3"/>
  <c r="N41" i="3"/>
  <c r="O41" i="3"/>
  <c r="J242" i="2" l="1"/>
  <c r="J241" i="2"/>
  <c r="B242" i="2"/>
  <c r="C242" i="2"/>
  <c r="C241" i="2"/>
  <c r="B241" i="2"/>
  <c r="F241" i="2" l="1"/>
  <c r="G241" i="2" s="1"/>
  <c r="F242" i="2"/>
  <c r="D242" i="2"/>
  <c r="E242" i="2" s="1"/>
  <c r="D241" i="2"/>
  <c r="E241" i="2" s="1"/>
  <c r="G242" i="2"/>
  <c r="B34" i="2"/>
  <c r="C34" i="2"/>
  <c r="H56" i="3" l="1"/>
  <c r="H55" i="3"/>
  <c r="H54" i="3"/>
  <c r="I43" i="3"/>
  <c r="H43" i="3"/>
  <c r="D25" i="2" s="1"/>
  <c r="H42" i="3"/>
  <c r="D24" i="2" s="1"/>
  <c r="I24" i="2" l="1"/>
  <c r="K24" i="2" s="1"/>
  <c r="I241" i="2"/>
  <c r="G25" i="2"/>
  <c r="J25" i="2" s="1"/>
  <c r="W25" i="2" s="1"/>
  <c r="I242" i="2"/>
  <c r="G24" i="2"/>
  <c r="J24" i="2" s="1"/>
  <c r="L24" i="2" s="1"/>
  <c r="I25" i="2"/>
  <c r="A12" i="2"/>
  <c r="K242" i="2" l="1"/>
  <c r="L242" i="2" s="1"/>
  <c r="M242" i="2"/>
  <c r="N242" i="2" s="1"/>
  <c r="K241" i="2"/>
  <c r="L241" i="2" s="1"/>
  <c r="M241" i="2"/>
  <c r="N241" i="2" s="1"/>
  <c r="L25" i="2"/>
  <c r="M24" i="2"/>
  <c r="W24" i="2"/>
  <c r="K25" i="2"/>
  <c r="M25" i="2"/>
  <c r="C160" i="2" l="1"/>
  <c r="B160" i="2"/>
  <c r="C153" i="2"/>
  <c r="B153" i="2"/>
  <c r="BD61" i="3" l="1"/>
  <c r="BD62" i="3"/>
  <c r="BD63" i="3"/>
  <c r="BD64" i="3"/>
  <c r="BD65" i="3"/>
  <c r="BD66" i="3"/>
  <c r="BD49" i="3"/>
  <c r="BD50" i="3"/>
  <c r="BD51" i="3"/>
  <c r="BD52" i="3"/>
  <c r="BD53" i="3"/>
  <c r="BD54" i="3"/>
  <c r="BD36" i="3"/>
  <c r="BE36" i="3"/>
  <c r="BD37" i="3"/>
  <c r="BE37" i="3"/>
  <c r="BD38" i="3"/>
  <c r="BE38" i="3"/>
  <c r="BD39" i="3"/>
  <c r="BE39" i="3"/>
  <c r="BD40" i="3"/>
  <c r="BE40" i="3"/>
  <c r="BD41" i="3"/>
  <c r="BE41" i="3"/>
  <c r="BE46" i="3" l="1"/>
  <c r="BD46" i="3"/>
  <c r="AP61" i="3"/>
  <c r="AP62" i="3"/>
  <c r="AP63" i="3"/>
  <c r="AP64" i="3"/>
  <c r="AP65" i="3"/>
  <c r="AP66" i="3"/>
  <c r="AP49" i="3"/>
  <c r="AP50" i="3"/>
  <c r="AP51" i="3"/>
  <c r="AP52" i="3"/>
  <c r="AP53" i="3"/>
  <c r="AP54" i="3"/>
  <c r="AP36" i="3"/>
  <c r="AQ36" i="3"/>
  <c r="AP37" i="3"/>
  <c r="AQ37" i="3"/>
  <c r="AP38" i="3"/>
  <c r="AQ38" i="3"/>
  <c r="AP39" i="3"/>
  <c r="AQ39" i="3"/>
  <c r="AP40" i="3"/>
  <c r="AQ40" i="3"/>
  <c r="AP41" i="3"/>
  <c r="AQ41" i="3"/>
  <c r="U16" i="4" l="1"/>
  <c r="U17" i="4"/>
  <c r="U18" i="4"/>
  <c r="U19" i="4"/>
  <c r="U20" i="4"/>
  <c r="AJ61" i="3" l="1"/>
  <c r="AJ62" i="3"/>
  <c r="AJ63" i="3"/>
  <c r="AJ64" i="3"/>
  <c r="AJ65" i="3"/>
  <c r="AJ66" i="3"/>
  <c r="AJ49" i="3"/>
  <c r="AJ50" i="3"/>
  <c r="AJ51" i="3"/>
  <c r="AJ52" i="3"/>
  <c r="AJ53" i="3"/>
  <c r="AJ54" i="3"/>
  <c r="AJ36" i="3"/>
  <c r="AK36" i="3"/>
  <c r="AJ37" i="3"/>
  <c r="AK37" i="3"/>
  <c r="AJ38" i="3"/>
  <c r="AK38" i="3"/>
  <c r="AJ39" i="3"/>
  <c r="AK39" i="3"/>
  <c r="AJ40" i="3"/>
  <c r="AK40" i="3"/>
  <c r="AJ41" i="3"/>
  <c r="AK41" i="3"/>
  <c r="B76" i="2" l="1"/>
  <c r="C76" i="2"/>
  <c r="J27" i="4" l="1"/>
  <c r="R61" i="3"/>
  <c r="R62" i="3"/>
  <c r="R63" i="3"/>
  <c r="R64" i="3"/>
  <c r="R65" i="3"/>
  <c r="R66" i="3"/>
  <c r="R49" i="3"/>
  <c r="R50" i="3"/>
  <c r="R51" i="3"/>
  <c r="R52" i="3"/>
  <c r="R53" i="3"/>
  <c r="R54" i="3"/>
  <c r="R36" i="3"/>
  <c r="S36" i="3"/>
  <c r="R37" i="3"/>
  <c r="S37" i="3"/>
  <c r="R38" i="3"/>
  <c r="S38" i="3"/>
  <c r="R39" i="3"/>
  <c r="S39" i="3"/>
  <c r="R40" i="3"/>
  <c r="S40" i="3"/>
  <c r="R41" i="3"/>
  <c r="S41" i="3"/>
  <c r="C11" i="2" l="1"/>
  <c r="B11" i="2"/>
  <c r="B81" i="1" l="1"/>
  <c r="G28" i="4" l="1"/>
  <c r="BC36" i="3" l="1"/>
  <c r="E186" i="2" s="1"/>
  <c r="BB36" i="3"/>
  <c r="D186" i="2" s="1"/>
  <c r="I186" i="2" l="1"/>
  <c r="G186" i="2"/>
  <c r="J186" i="2" l="1"/>
  <c r="W186" i="2" s="1"/>
  <c r="M186" i="2"/>
  <c r="K186" i="2"/>
  <c r="L186" i="2" l="1"/>
  <c r="W225" i="2"/>
  <c r="E198" i="2" l="1"/>
  <c r="D198" i="2"/>
  <c r="E197" i="2"/>
  <c r="D197" i="2"/>
  <c r="E196" i="2"/>
  <c r="D196" i="2"/>
  <c r="E195" i="2"/>
  <c r="D195" i="2"/>
  <c r="BF38" i="3"/>
  <c r="D204" i="2" s="1"/>
  <c r="E194" i="2"/>
  <c r="D194" i="2"/>
  <c r="E193" i="2"/>
  <c r="E201" i="2" s="1"/>
  <c r="D193" i="2"/>
  <c r="D201" i="2" l="1"/>
  <c r="I197" i="2"/>
  <c r="G197" i="2"/>
  <c r="J197" i="2" s="1"/>
  <c r="L197" i="2" s="1"/>
  <c r="I194" i="2"/>
  <c r="G194" i="2"/>
  <c r="J194" i="2" s="1"/>
  <c r="W194" i="2" s="1"/>
  <c r="I198" i="2"/>
  <c r="G198" i="2"/>
  <c r="J198" i="2" s="1"/>
  <c r="L198" i="2" s="1"/>
  <c r="G195" i="2"/>
  <c r="J195" i="2" s="1"/>
  <c r="L195" i="2" s="1"/>
  <c r="I195" i="2"/>
  <c r="G196" i="2"/>
  <c r="J196" i="2" s="1"/>
  <c r="L196" i="2" s="1"/>
  <c r="I196" i="2"/>
  <c r="I193" i="2"/>
  <c r="G193" i="2"/>
  <c r="BB66" i="3"/>
  <c r="BB65" i="3"/>
  <c r="BB64" i="3"/>
  <c r="BB63" i="3"/>
  <c r="BB62" i="3"/>
  <c r="BB61" i="3"/>
  <c r="BB54" i="3"/>
  <c r="AB10" i="4" s="1"/>
  <c r="BB53" i="3"/>
  <c r="AB9" i="4" s="1"/>
  <c r="BB52" i="3"/>
  <c r="BB51" i="3"/>
  <c r="BB50" i="3"/>
  <c r="BB49" i="3"/>
  <c r="BC40" i="3"/>
  <c r="E190" i="2" s="1"/>
  <c r="BC41" i="3"/>
  <c r="E191" i="2" s="1"/>
  <c r="BB41" i="3"/>
  <c r="D191" i="2" s="1"/>
  <c r="BB40" i="3"/>
  <c r="D190" i="2" s="1"/>
  <c r="BC39" i="3"/>
  <c r="E189" i="2" s="1"/>
  <c r="BB39" i="3"/>
  <c r="D189" i="2" s="1"/>
  <c r="BC38" i="3"/>
  <c r="E188" i="2" s="1"/>
  <c r="BB38" i="3"/>
  <c r="D188" i="2" s="1"/>
  <c r="BC37" i="3"/>
  <c r="BB37" i="3"/>
  <c r="L194" i="2" l="1"/>
  <c r="I188" i="2"/>
  <c r="M188" i="2" s="1"/>
  <c r="BB46" i="3"/>
  <c r="D187" i="2"/>
  <c r="BC46" i="3"/>
  <c r="E187" i="2"/>
  <c r="E192" i="2" s="1"/>
  <c r="G189" i="2"/>
  <c r="J189" i="2" s="1"/>
  <c r="I189" i="2"/>
  <c r="G188" i="2"/>
  <c r="J188" i="2" s="1"/>
  <c r="I190" i="2"/>
  <c r="G190" i="2"/>
  <c r="J190" i="2" s="1"/>
  <c r="I191" i="2"/>
  <c r="G191" i="2"/>
  <c r="J191" i="2" s="1"/>
  <c r="I201" i="2"/>
  <c r="J193" i="2"/>
  <c r="W193" i="2" s="1"/>
  <c r="G201" i="2"/>
  <c r="K193" i="2"/>
  <c r="M193" i="2"/>
  <c r="K196" i="2"/>
  <c r="M196" i="2"/>
  <c r="K195" i="2"/>
  <c r="M195" i="2"/>
  <c r="M198" i="2"/>
  <c r="K198" i="2"/>
  <c r="M194" i="2"/>
  <c r="K194" i="2"/>
  <c r="M197" i="2"/>
  <c r="K197" i="2"/>
  <c r="AZ66" i="3"/>
  <c r="AZ65" i="3"/>
  <c r="AZ64" i="3"/>
  <c r="AZ63" i="3"/>
  <c r="AZ62" i="3"/>
  <c r="AZ61" i="3"/>
  <c r="AZ54" i="3"/>
  <c r="AA10" i="4" s="1"/>
  <c r="AZ53" i="3"/>
  <c r="AA9" i="4" s="1"/>
  <c r="AZ52" i="3"/>
  <c r="AZ51" i="3"/>
  <c r="AZ50" i="3"/>
  <c r="AZ49" i="3"/>
  <c r="BA41" i="3"/>
  <c r="E182" i="2" s="1"/>
  <c r="AZ41" i="3"/>
  <c r="D182" i="2" s="1"/>
  <c r="BA40" i="3"/>
  <c r="E181" i="2" s="1"/>
  <c r="AZ40" i="3"/>
  <c r="D181" i="2" s="1"/>
  <c r="BA39" i="3"/>
  <c r="E180" i="2" s="1"/>
  <c r="AZ39" i="3"/>
  <c r="D180" i="2" s="1"/>
  <c r="BA38" i="3"/>
  <c r="E179" i="2" s="1"/>
  <c r="AZ38" i="3"/>
  <c r="D179" i="2" s="1"/>
  <c r="BA37" i="3"/>
  <c r="E178" i="2" s="1"/>
  <c r="AZ37" i="3"/>
  <c r="D178" i="2" s="1"/>
  <c r="BA36" i="3"/>
  <c r="AZ36" i="3"/>
  <c r="K188" i="2" l="1"/>
  <c r="W188" i="2"/>
  <c r="L188" i="2"/>
  <c r="L189" i="2"/>
  <c r="W189" i="2"/>
  <c r="M191" i="2"/>
  <c r="K191" i="2"/>
  <c r="M190" i="2"/>
  <c r="K190" i="2"/>
  <c r="K189" i="2"/>
  <c r="M189" i="2"/>
  <c r="I187" i="2"/>
  <c r="G187" i="2"/>
  <c r="D192" i="2"/>
  <c r="L190" i="2"/>
  <c r="W190" i="2"/>
  <c r="L191" i="2"/>
  <c r="W191" i="2"/>
  <c r="D177" i="2"/>
  <c r="D185" i="2" s="1"/>
  <c r="AZ46" i="3"/>
  <c r="E177" i="2"/>
  <c r="E185" i="2" s="1"/>
  <c r="BA46" i="3"/>
  <c r="K201" i="2"/>
  <c r="M201" i="2"/>
  <c r="L193" i="2"/>
  <c r="L201" i="2" s="1"/>
  <c r="J201" i="2"/>
  <c r="G178" i="2"/>
  <c r="J178" i="2" s="1"/>
  <c r="L178" i="2" s="1"/>
  <c r="I178" i="2"/>
  <c r="I180" i="2"/>
  <c r="G180" i="2"/>
  <c r="J180" i="2" s="1"/>
  <c r="L180" i="2" s="1"/>
  <c r="I179" i="2"/>
  <c r="G179" i="2"/>
  <c r="J179" i="2" s="1"/>
  <c r="L179" i="2" s="1"/>
  <c r="I181" i="2"/>
  <c r="G181" i="2"/>
  <c r="J181" i="2" s="1"/>
  <c r="L181" i="2" s="1"/>
  <c r="I182" i="2"/>
  <c r="G182" i="2"/>
  <c r="J182" i="2" s="1"/>
  <c r="L182" i="2" s="1"/>
  <c r="E173" i="2"/>
  <c r="D173" i="2"/>
  <c r="E172" i="2"/>
  <c r="D172" i="2"/>
  <c r="E171" i="2"/>
  <c r="D171" i="2"/>
  <c r="E170" i="2"/>
  <c r="D170" i="2"/>
  <c r="E169" i="2"/>
  <c r="D169" i="2"/>
  <c r="G177" i="2" l="1"/>
  <c r="G185" i="2" s="1"/>
  <c r="I177" i="2"/>
  <c r="I185" i="2" s="1"/>
  <c r="M187" i="2"/>
  <c r="M192" i="2" s="1"/>
  <c r="K187" i="2"/>
  <c r="K192" i="2" s="1"/>
  <c r="I192" i="2"/>
  <c r="J187" i="2"/>
  <c r="W187" i="2" s="1"/>
  <c r="G192" i="2"/>
  <c r="D168" i="2"/>
  <c r="D176" i="2" s="1"/>
  <c r="AX46" i="3"/>
  <c r="E168" i="2"/>
  <c r="E176" i="2" s="1"/>
  <c r="AY46" i="3"/>
  <c r="M180" i="2"/>
  <c r="K180" i="2"/>
  <c r="M178" i="2"/>
  <c r="K178" i="2"/>
  <c r="K181" i="2"/>
  <c r="M181" i="2"/>
  <c r="K182" i="2"/>
  <c r="M182" i="2"/>
  <c r="K179" i="2"/>
  <c r="M179" i="2"/>
  <c r="M177" i="2"/>
  <c r="K177" i="2"/>
  <c r="G170" i="2"/>
  <c r="J170" i="2" s="1"/>
  <c r="L170" i="2" s="1"/>
  <c r="I170" i="2"/>
  <c r="I171" i="2"/>
  <c r="G171" i="2"/>
  <c r="J171" i="2" s="1"/>
  <c r="L171" i="2" s="1"/>
  <c r="I169" i="2"/>
  <c r="G169" i="2"/>
  <c r="J169" i="2" s="1"/>
  <c r="L169" i="2" s="1"/>
  <c r="I172" i="2"/>
  <c r="G172" i="2"/>
  <c r="J172" i="2" s="1"/>
  <c r="L172" i="2" s="1"/>
  <c r="I173" i="2"/>
  <c r="G173" i="2"/>
  <c r="J173" i="2" s="1"/>
  <c r="L173" i="2" s="1"/>
  <c r="U10" i="4"/>
  <c r="U9" i="4"/>
  <c r="J177" i="2" l="1"/>
  <c r="W177" i="2" s="1"/>
  <c r="W192" i="2"/>
  <c r="L187" i="2"/>
  <c r="L192" i="2" s="1"/>
  <c r="J192" i="2"/>
  <c r="I168" i="2"/>
  <c r="M168" i="2" s="1"/>
  <c r="G168" i="2"/>
  <c r="J168" i="2" s="1"/>
  <c r="M185" i="2"/>
  <c r="K185" i="2"/>
  <c r="I176" i="2"/>
  <c r="M169" i="2"/>
  <c r="K169" i="2"/>
  <c r="K173" i="2"/>
  <c r="M173" i="2"/>
  <c r="M171" i="2"/>
  <c r="K171" i="2"/>
  <c r="K172" i="2"/>
  <c r="M172" i="2"/>
  <c r="K170" i="2"/>
  <c r="M170" i="2"/>
  <c r="T10" i="4"/>
  <c r="T9" i="4"/>
  <c r="L177" i="2" l="1"/>
  <c r="L185" i="2" s="1"/>
  <c r="J185" i="2"/>
  <c r="K168" i="2"/>
  <c r="J176" i="2"/>
  <c r="W168" i="2"/>
  <c r="G176" i="2"/>
  <c r="K176" i="2"/>
  <c r="L168" i="2"/>
  <c r="L176" i="2" s="1"/>
  <c r="M176" i="2"/>
  <c r="AF66" i="3"/>
  <c r="AF65" i="3"/>
  <c r="AF64" i="3"/>
  <c r="AF63" i="3"/>
  <c r="AF62" i="3"/>
  <c r="AF61" i="3"/>
  <c r="AF54" i="3"/>
  <c r="AF53" i="3"/>
  <c r="AF52" i="3"/>
  <c r="AF51" i="3"/>
  <c r="AF50" i="3"/>
  <c r="AF49" i="3"/>
  <c r="AG41" i="3"/>
  <c r="AF41" i="3"/>
  <c r="AG40" i="3"/>
  <c r="AF40" i="3"/>
  <c r="AG39" i="3"/>
  <c r="AF39" i="3"/>
  <c r="AG38" i="3"/>
  <c r="AF38" i="3"/>
  <c r="AG37" i="3"/>
  <c r="AF37" i="3"/>
  <c r="AG36" i="3"/>
  <c r="AF36" i="3"/>
  <c r="E105" i="2" l="1"/>
  <c r="AD66" i="3"/>
  <c r="AD65" i="3"/>
  <c r="AD64" i="3"/>
  <c r="AD63" i="3"/>
  <c r="AD62" i="3"/>
  <c r="AD61" i="3"/>
  <c r="AD54" i="3"/>
  <c r="AD53" i="3"/>
  <c r="AD52" i="3"/>
  <c r="AD51" i="3"/>
  <c r="AD50" i="3"/>
  <c r="AD49" i="3"/>
  <c r="AE41" i="3"/>
  <c r="E103" i="2" s="1"/>
  <c r="AD41" i="3"/>
  <c r="D103" i="2" s="1"/>
  <c r="AE40" i="3"/>
  <c r="E102" i="2" s="1"/>
  <c r="AD40" i="3"/>
  <c r="D102" i="2" s="1"/>
  <c r="AE39" i="3"/>
  <c r="E101" i="2" s="1"/>
  <c r="AD39" i="3"/>
  <c r="D101" i="2" s="1"/>
  <c r="AE38" i="3"/>
  <c r="E100" i="2" s="1"/>
  <c r="AD38" i="3"/>
  <c r="D100" i="2" s="1"/>
  <c r="AE37" i="3"/>
  <c r="E99" i="2" s="1"/>
  <c r="AD37" i="3"/>
  <c r="D99" i="2" s="1"/>
  <c r="AE36" i="3"/>
  <c r="E98" i="2" s="1"/>
  <c r="AD36" i="3"/>
  <c r="D98" i="2" s="1"/>
  <c r="I99" i="2" l="1"/>
  <c r="G99" i="2"/>
  <c r="J99" i="2" s="1"/>
  <c r="L99" i="2" s="1"/>
  <c r="I98" i="2"/>
  <c r="G98" i="2"/>
  <c r="J98" i="2" s="1"/>
  <c r="L98" i="2" s="1"/>
  <c r="G100" i="2"/>
  <c r="J100" i="2" s="1"/>
  <c r="L100" i="2" s="1"/>
  <c r="I100" i="2"/>
  <c r="I101" i="2"/>
  <c r="G101" i="2"/>
  <c r="J101" i="2" s="1"/>
  <c r="L101" i="2" s="1"/>
  <c r="G102" i="2"/>
  <c r="J102" i="2" s="1"/>
  <c r="L102" i="2" s="1"/>
  <c r="I102" i="2"/>
  <c r="I103" i="2"/>
  <c r="G103" i="2"/>
  <c r="J103" i="2" s="1"/>
  <c r="L103" i="2" s="1"/>
  <c r="C90" i="2"/>
  <c r="B90" i="2"/>
  <c r="M99" i="2" l="1"/>
  <c r="K99" i="2"/>
  <c r="M102" i="2"/>
  <c r="K102" i="2"/>
  <c r="M100" i="2"/>
  <c r="K100" i="2"/>
  <c r="K98" i="2"/>
  <c r="M98" i="2"/>
  <c r="M103" i="2"/>
  <c r="K103" i="2"/>
  <c r="M101" i="2"/>
  <c r="K101" i="2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W227" i="2" l="1"/>
  <c r="W226" i="2"/>
  <c r="W230" i="2"/>
  <c r="W228" i="2"/>
  <c r="W229" i="2" l="1"/>
  <c r="O29" i="3" l="1"/>
  <c r="N29" i="3"/>
  <c r="M29" i="3"/>
  <c r="L29" i="3"/>
  <c r="C55" i="2"/>
  <c r="B55" i="2"/>
  <c r="C48" i="2"/>
  <c r="B48" i="2"/>
  <c r="C41" i="2"/>
  <c r="B41" i="2"/>
  <c r="C27" i="2"/>
  <c r="B27" i="2"/>
  <c r="C18" i="2"/>
  <c r="B18" i="2"/>
  <c r="V45" i="1" l="1"/>
  <c r="AQ29" i="3" l="1"/>
  <c r="AP29" i="3"/>
  <c r="J34" i="13" l="1"/>
  <c r="I34" i="13"/>
  <c r="B240" i="2" l="1"/>
  <c r="B239" i="2"/>
  <c r="B238" i="2"/>
  <c r="B237" i="2"/>
  <c r="B236" i="2"/>
  <c r="B235" i="2"/>
  <c r="V235" i="2" l="1"/>
  <c r="U235" i="2"/>
  <c r="Q235" i="2"/>
  <c r="D154" i="2" l="1"/>
  <c r="D155" i="2"/>
  <c r="C239" i="2" l="1"/>
  <c r="C236" i="2" l="1"/>
  <c r="C237" i="2"/>
  <c r="F237" i="2" s="1"/>
  <c r="C238" i="2"/>
  <c r="F238" i="2" s="1"/>
  <c r="C240" i="2"/>
  <c r="P235" i="2" l="1"/>
  <c r="S235" i="2"/>
  <c r="R235" i="2"/>
  <c r="C235" i="2" l="1"/>
  <c r="C246" i="2" s="1"/>
  <c r="B246" i="2"/>
  <c r="Z27" i="4" l="1"/>
  <c r="Z29" i="4"/>
  <c r="Z28" i="4"/>
  <c r="W212" i="2" l="1"/>
  <c r="W220" i="2"/>
  <c r="W222" i="2"/>
  <c r="W219" i="2"/>
  <c r="W221" i="2"/>
  <c r="W211" i="2" l="1"/>
  <c r="AU29" i="3" l="1"/>
  <c r="AT29" i="3"/>
  <c r="AS29" i="3"/>
  <c r="AR29" i="3"/>
  <c r="AO29" i="3"/>
  <c r="AN29" i="3"/>
  <c r="AM29" i="3"/>
  <c r="AL29" i="3"/>
  <c r="C97" i="2" l="1"/>
  <c r="B97" i="2"/>
  <c r="AG29" i="3" l="1"/>
  <c r="AF29" i="3"/>
  <c r="AE29" i="3"/>
  <c r="AD29" i="3"/>
  <c r="L76" i="1" l="1"/>
  <c r="L77" i="1"/>
  <c r="L78" i="1"/>
  <c r="L79" i="1"/>
  <c r="K76" i="1" l="1"/>
  <c r="K77" i="1"/>
  <c r="K78" i="1"/>
  <c r="K79" i="1"/>
  <c r="BE29" i="3" l="1"/>
  <c r="BD29" i="3"/>
  <c r="BC29" i="3"/>
  <c r="BB29" i="3"/>
  <c r="BA29" i="3"/>
  <c r="AZ29" i="3"/>
  <c r="AY29" i="3"/>
  <c r="AX29" i="3"/>
  <c r="AK29" i="3"/>
  <c r="AJ29" i="3"/>
  <c r="AC29" i="3"/>
  <c r="AB29" i="3"/>
  <c r="AA29" i="3"/>
  <c r="Z29" i="3"/>
  <c r="Y29" i="3"/>
  <c r="X29" i="3"/>
  <c r="W29" i="3"/>
  <c r="V29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9" i="3" l="1"/>
  <c r="AV29" i="3"/>
  <c r="AI29" i="3"/>
  <c r="AH29" i="3"/>
  <c r="U29" i="3"/>
  <c r="T29" i="3"/>
  <c r="S29" i="3"/>
  <c r="R29" i="3"/>
  <c r="Q29" i="3"/>
  <c r="P29" i="3"/>
  <c r="K29" i="3"/>
  <c r="J29" i="3"/>
  <c r="I29" i="3"/>
  <c r="H29" i="3"/>
  <c r="G29" i="3"/>
  <c r="F29" i="3"/>
  <c r="E29" i="3"/>
  <c r="D29" i="3"/>
  <c r="C83" i="2" l="1"/>
  <c r="B83" i="2"/>
  <c r="G3" i="13" l="1"/>
  <c r="D29" i="4"/>
  <c r="B11" i="11" l="1"/>
  <c r="BG29" i="3" l="1"/>
  <c r="BF29" i="3"/>
  <c r="D28" i="4" l="1"/>
  <c r="R46" i="3" l="1"/>
  <c r="N30" i="4" l="1"/>
  <c r="G30" i="4" l="1"/>
  <c r="D27" i="4" l="1"/>
  <c r="E30" i="4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9" i="4" l="1"/>
  <c r="AC29" i="4"/>
  <c r="AB29" i="4"/>
  <c r="AA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G29" i="4"/>
  <c r="F29" i="4"/>
  <c r="E29" i="4"/>
  <c r="I29" i="4"/>
  <c r="H29" i="4"/>
  <c r="C29" i="4"/>
  <c r="T45" i="1" l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AD27" i="4" l="1"/>
  <c r="G10" i="13" l="1"/>
  <c r="G11" i="13" l="1"/>
  <c r="C45" i="1" l="1"/>
  <c r="D45" i="1"/>
  <c r="F45" i="1"/>
  <c r="G45" i="1"/>
  <c r="H45" i="1"/>
  <c r="I45" i="1"/>
  <c r="J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J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J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J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J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J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J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J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J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J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J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J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J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J61" i="1"/>
  <c r="K61" i="1"/>
  <c r="L61" i="1"/>
  <c r="M61" i="1"/>
  <c r="N61" i="1"/>
  <c r="O61" i="1"/>
  <c r="P61" i="1"/>
  <c r="C62" i="1"/>
  <c r="D62" i="1"/>
  <c r="F62" i="1"/>
  <c r="G62" i="1"/>
  <c r="H62" i="1"/>
  <c r="I62" i="1"/>
  <c r="J62" i="1"/>
  <c r="K62" i="1"/>
  <c r="L62" i="1"/>
  <c r="M62" i="1"/>
  <c r="N62" i="1"/>
  <c r="O62" i="1"/>
  <c r="P62" i="1"/>
  <c r="C63" i="1"/>
  <c r="D63" i="1"/>
  <c r="F63" i="1"/>
  <c r="G63" i="1"/>
  <c r="H63" i="1"/>
  <c r="I63" i="1"/>
  <c r="J63" i="1"/>
  <c r="K63" i="1"/>
  <c r="L63" i="1"/>
  <c r="M63" i="1"/>
  <c r="N63" i="1"/>
  <c r="O63" i="1"/>
  <c r="P63" i="1"/>
  <c r="C64" i="1"/>
  <c r="D64" i="1"/>
  <c r="F64" i="1"/>
  <c r="G64" i="1"/>
  <c r="H64" i="1"/>
  <c r="I64" i="1"/>
  <c r="J64" i="1"/>
  <c r="K64" i="1"/>
  <c r="L64" i="1"/>
  <c r="M64" i="1"/>
  <c r="N64" i="1"/>
  <c r="O64" i="1"/>
  <c r="P64" i="1"/>
  <c r="C65" i="1"/>
  <c r="D65" i="1"/>
  <c r="F65" i="1"/>
  <c r="G65" i="1"/>
  <c r="H65" i="1"/>
  <c r="I65" i="1"/>
  <c r="J65" i="1"/>
  <c r="K65" i="1"/>
  <c r="L65" i="1"/>
  <c r="M65" i="1"/>
  <c r="N65" i="1"/>
  <c r="O65" i="1"/>
  <c r="P65" i="1"/>
  <c r="C66" i="1"/>
  <c r="D66" i="1"/>
  <c r="F66" i="1"/>
  <c r="G66" i="1"/>
  <c r="H66" i="1"/>
  <c r="I66" i="1"/>
  <c r="J66" i="1"/>
  <c r="K66" i="1"/>
  <c r="L66" i="1"/>
  <c r="M66" i="1"/>
  <c r="N66" i="1"/>
  <c r="O66" i="1"/>
  <c r="P66" i="1"/>
  <c r="C67" i="1"/>
  <c r="D67" i="1"/>
  <c r="F67" i="1"/>
  <c r="G67" i="1"/>
  <c r="H67" i="1"/>
  <c r="I67" i="1"/>
  <c r="J67" i="1"/>
  <c r="K67" i="1"/>
  <c r="L67" i="1"/>
  <c r="M67" i="1"/>
  <c r="N67" i="1"/>
  <c r="O67" i="1"/>
  <c r="P67" i="1"/>
  <c r="C68" i="1"/>
  <c r="D68" i="1"/>
  <c r="F68" i="1"/>
  <c r="G68" i="1"/>
  <c r="H68" i="1"/>
  <c r="I68" i="1"/>
  <c r="J68" i="1"/>
  <c r="K68" i="1"/>
  <c r="L68" i="1"/>
  <c r="M68" i="1"/>
  <c r="N68" i="1"/>
  <c r="O68" i="1"/>
  <c r="P68" i="1"/>
  <c r="C69" i="1"/>
  <c r="D69" i="1"/>
  <c r="F69" i="1"/>
  <c r="G69" i="1"/>
  <c r="H69" i="1"/>
  <c r="I69" i="1"/>
  <c r="J69" i="1"/>
  <c r="K69" i="1"/>
  <c r="L69" i="1"/>
  <c r="M69" i="1"/>
  <c r="N69" i="1"/>
  <c r="O69" i="1"/>
  <c r="P69" i="1"/>
  <c r="C70" i="1"/>
  <c r="D70" i="1"/>
  <c r="F70" i="1"/>
  <c r="G70" i="1"/>
  <c r="H70" i="1"/>
  <c r="I70" i="1"/>
  <c r="J70" i="1"/>
  <c r="K70" i="1"/>
  <c r="L70" i="1"/>
  <c r="M70" i="1"/>
  <c r="N70" i="1"/>
  <c r="O70" i="1"/>
  <c r="P70" i="1"/>
  <c r="C71" i="1"/>
  <c r="D71" i="1"/>
  <c r="F71" i="1"/>
  <c r="G71" i="1"/>
  <c r="H71" i="1"/>
  <c r="I71" i="1"/>
  <c r="J71" i="1"/>
  <c r="K71" i="1"/>
  <c r="L71" i="1"/>
  <c r="M71" i="1"/>
  <c r="N71" i="1"/>
  <c r="O71" i="1"/>
  <c r="P71" i="1"/>
  <c r="C72" i="1"/>
  <c r="D72" i="1"/>
  <c r="F72" i="1"/>
  <c r="G72" i="1"/>
  <c r="H72" i="1"/>
  <c r="I72" i="1"/>
  <c r="J72" i="1"/>
  <c r="K72" i="1"/>
  <c r="L72" i="1"/>
  <c r="M72" i="1"/>
  <c r="N72" i="1"/>
  <c r="O72" i="1"/>
  <c r="P72" i="1"/>
  <c r="C73" i="1"/>
  <c r="D73" i="1"/>
  <c r="F73" i="1"/>
  <c r="G73" i="1"/>
  <c r="H73" i="1"/>
  <c r="I73" i="1"/>
  <c r="J73" i="1"/>
  <c r="K73" i="1"/>
  <c r="L73" i="1"/>
  <c r="M73" i="1"/>
  <c r="N73" i="1"/>
  <c r="O73" i="1"/>
  <c r="P73" i="1"/>
  <c r="C74" i="1"/>
  <c r="D74" i="1"/>
  <c r="F74" i="1"/>
  <c r="G74" i="1"/>
  <c r="H74" i="1"/>
  <c r="I74" i="1"/>
  <c r="J74" i="1"/>
  <c r="K74" i="1"/>
  <c r="L74" i="1"/>
  <c r="M74" i="1"/>
  <c r="N74" i="1"/>
  <c r="O74" i="1"/>
  <c r="P74" i="1"/>
  <c r="C75" i="1"/>
  <c r="D75" i="1"/>
  <c r="F75" i="1"/>
  <c r="G75" i="1"/>
  <c r="H75" i="1"/>
  <c r="I75" i="1"/>
  <c r="J75" i="1"/>
  <c r="K75" i="1"/>
  <c r="L75" i="1"/>
  <c r="M75" i="1"/>
  <c r="N75" i="1"/>
  <c r="O75" i="1"/>
  <c r="P75" i="1"/>
  <c r="C76" i="1"/>
  <c r="D76" i="1"/>
  <c r="F76" i="1"/>
  <c r="G76" i="1"/>
  <c r="H76" i="1"/>
  <c r="I76" i="1"/>
  <c r="J76" i="1"/>
  <c r="M76" i="1"/>
  <c r="N76" i="1"/>
  <c r="O76" i="1"/>
  <c r="P76" i="1"/>
  <c r="C77" i="1"/>
  <c r="D77" i="1"/>
  <c r="F77" i="1"/>
  <c r="G77" i="1"/>
  <c r="H77" i="1"/>
  <c r="I77" i="1"/>
  <c r="J77" i="1"/>
  <c r="M77" i="1"/>
  <c r="N77" i="1"/>
  <c r="O77" i="1"/>
  <c r="P77" i="1"/>
  <c r="C78" i="1"/>
  <c r="D78" i="1"/>
  <c r="F78" i="1"/>
  <c r="G78" i="1"/>
  <c r="H78" i="1"/>
  <c r="I78" i="1"/>
  <c r="J78" i="1"/>
  <c r="M78" i="1"/>
  <c r="N78" i="1"/>
  <c r="O78" i="1"/>
  <c r="P78" i="1"/>
  <c r="C79" i="1"/>
  <c r="D79" i="1"/>
  <c r="F79" i="1"/>
  <c r="G79" i="1"/>
  <c r="H79" i="1"/>
  <c r="I79" i="1"/>
  <c r="J79" i="1"/>
  <c r="M79" i="1"/>
  <c r="N79" i="1"/>
  <c r="O79" i="1"/>
  <c r="P79" i="1"/>
  <c r="AC28" i="4" l="1"/>
  <c r="AC27" i="4"/>
  <c r="AB27" i="4" l="1"/>
  <c r="AA27" i="4" l="1"/>
  <c r="Y28" i="4" l="1"/>
  <c r="Y35" i="4" s="1"/>
  <c r="Y27" i="4"/>
  <c r="X28" i="4"/>
  <c r="W28" i="4"/>
  <c r="X27" i="4"/>
  <c r="W27" i="4"/>
  <c r="V28" i="4" l="1"/>
  <c r="V27" i="4"/>
  <c r="U28" i="4"/>
  <c r="T28" i="4"/>
  <c r="U27" i="4"/>
  <c r="T27" i="4"/>
  <c r="U35" i="4" l="1"/>
  <c r="S27" i="4"/>
  <c r="S28" i="4"/>
  <c r="R28" i="4"/>
  <c r="R27" i="4"/>
  <c r="Q28" i="4" l="1"/>
  <c r="Q27" i="4"/>
  <c r="P28" i="4" l="1"/>
  <c r="P27" i="4"/>
  <c r="O28" i="4" l="1"/>
  <c r="O27" i="4"/>
  <c r="N28" i="4" l="1"/>
  <c r="N27" i="4"/>
  <c r="M27" i="4" l="1"/>
  <c r="L27" i="4"/>
  <c r="M28" i="4"/>
  <c r="L28" i="4"/>
  <c r="K28" i="4"/>
  <c r="K27" i="4"/>
  <c r="J28" i="4"/>
  <c r="I28" i="4" l="1"/>
  <c r="I27" i="4"/>
  <c r="H28" i="4" l="1"/>
  <c r="H27" i="4"/>
  <c r="G27" i="4"/>
  <c r="F28" i="4"/>
  <c r="F27" i="4"/>
  <c r="E28" i="4"/>
  <c r="E27" i="4"/>
  <c r="C28" i="4"/>
  <c r="C27" i="4"/>
  <c r="N11" i="2" l="1"/>
  <c r="C81" i="1" l="1"/>
  <c r="N18" i="2" s="1"/>
  <c r="Q81" i="1"/>
  <c r="N118" i="2" s="1"/>
  <c r="B18" i="13" s="1"/>
  <c r="AC81" i="1"/>
  <c r="N210" i="2" s="1"/>
  <c r="B30" i="13" s="1"/>
  <c r="O81" i="1"/>
  <c r="K81" i="1"/>
  <c r="N76" i="2" s="1"/>
  <c r="B12" i="13" s="1"/>
  <c r="G81" i="1"/>
  <c r="F81" i="1"/>
  <c r="N41" i="2" s="1"/>
  <c r="N81" i="1"/>
  <c r="N97" i="2" s="1"/>
  <c r="B15" i="13" s="1"/>
  <c r="J81" i="1"/>
  <c r="N69" i="2" s="1"/>
  <c r="M81" i="1"/>
  <c r="I81" i="1"/>
  <c r="N62" i="2" s="1"/>
  <c r="B10" i="13" s="1"/>
  <c r="E81" i="1"/>
  <c r="N34" i="2" s="1"/>
  <c r="P81" i="1"/>
  <c r="N111" i="2" s="1"/>
  <c r="L81" i="1"/>
  <c r="H81" i="1"/>
  <c r="N55" i="2" s="1"/>
  <c r="B9" i="13" s="1"/>
  <c r="D81" i="1"/>
  <c r="N27" i="2" s="1"/>
  <c r="AB81" i="1"/>
  <c r="AA81" i="1"/>
  <c r="N192" i="2" s="1"/>
  <c r="O192" i="2" s="1"/>
  <c r="Z81" i="1"/>
  <c r="N185" i="2" s="1"/>
  <c r="Y81" i="1"/>
  <c r="N176" i="2" s="1"/>
  <c r="X81" i="1"/>
  <c r="N167" i="2" s="1"/>
  <c r="W81" i="1"/>
  <c r="N160" i="2" s="1"/>
  <c r="R81" i="1"/>
  <c r="N125" i="2" s="1"/>
  <c r="B19" i="13" s="1"/>
  <c r="V81" i="1"/>
  <c r="N153" i="2" s="1"/>
  <c r="U81" i="1"/>
  <c r="T81" i="1"/>
  <c r="N139" i="2" s="1"/>
  <c r="S81" i="1"/>
  <c r="N132" i="2" s="1"/>
  <c r="B11" i="13" l="1"/>
  <c r="B20" i="13"/>
  <c r="B27" i="13"/>
  <c r="B26" i="13"/>
  <c r="B24" i="13"/>
  <c r="B23" i="13"/>
  <c r="N48" i="2"/>
  <c r="B8" i="13" s="1"/>
  <c r="B25" i="13"/>
  <c r="B17" i="13"/>
  <c r="B6" i="13"/>
  <c r="B7" i="13"/>
  <c r="B5" i="13"/>
  <c r="B4" i="13"/>
  <c r="G29" i="13"/>
  <c r="G8" i="13" l="1"/>
  <c r="G7" i="13"/>
  <c r="V8" i="4" l="1"/>
  <c r="C251" i="2" l="1"/>
  <c r="B3" i="13" l="1"/>
  <c r="D60" i="2" l="1"/>
  <c r="T36" i="3" l="1"/>
  <c r="D63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51" i="2"/>
  <c r="D72" i="2"/>
  <c r="BF65" i="3"/>
  <c r="AH65" i="3"/>
  <c r="T65" i="3"/>
  <c r="L65" i="3"/>
  <c r="J65" i="3"/>
  <c r="H65" i="3"/>
  <c r="F65" i="3"/>
  <c r="D65" i="3"/>
  <c r="BF53" i="3"/>
  <c r="AD9" i="4" s="1"/>
  <c r="AC9" i="4"/>
  <c r="Z9" i="4"/>
  <c r="Y9" i="4"/>
  <c r="X9" i="4"/>
  <c r="W9" i="4"/>
  <c r="V9" i="4"/>
  <c r="S9" i="4"/>
  <c r="AH53" i="3"/>
  <c r="R9" i="4" s="1"/>
  <c r="Q9" i="4"/>
  <c r="P9" i="4"/>
  <c r="O9" i="4"/>
  <c r="N9" i="4"/>
  <c r="M9" i="4"/>
  <c r="L9" i="4"/>
  <c r="T53" i="3"/>
  <c r="K9" i="4" s="1"/>
  <c r="J9" i="4"/>
  <c r="I9" i="4"/>
  <c r="H9" i="4"/>
  <c r="L53" i="3"/>
  <c r="G9" i="4" s="1"/>
  <c r="J53" i="3"/>
  <c r="F9" i="4" s="1"/>
  <c r="H53" i="3"/>
  <c r="E9" i="4" s="1"/>
  <c r="F53" i="3"/>
  <c r="D9" i="4" s="1"/>
  <c r="D53" i="3"/>
  <c r="C9" i="4" s="1"/>
  <c r="BG40" i="3"/>
  <c r="E206" i="2" s="1"/>
  <c r="BF40" i="3"/>
  <c r="D206" i="2" s="1"/>
  <c r="E165" i="2"/>
  <c r="D165" i="2"/>
  <c r="E158" i="2"/>
  <c r="D158" i="2"/>
  <c r="E151" i="2"/>
  <c r="D151" i="2"/>
  <c r="E144" i="2"/>
  <c r="D144" i="2"/>
  <c r="E137" i="2"/>
  <c r="D137" i="2"/>
  <c r="E130" i="2"/>
  <c r="D130" i="2"/>
  <c r="E123" i="2"/>
  <c r="D123" i="2"/>
  <c r="AI40" i="3"/>
  <c r="E116" i="2" s="1"/>
  <c r="AH40" i="3"/>
  <c r="D116" i="2" s="1"/>
  <c r="E109" i="2"/>
  <c r="D109" i="2"/>
  <c r="E95" i="2"/>
  <c r="D95" i="2"/>
  <c r="E88" i="2"/>
  <c r="D88" i="2"/>
  <c r="E81" i="2"/>
  <c r="D81" i="2"/>
  <c r="E74" i="2"/>
  <c r="D74" i="2"/>
  <c r="U40" i="3"/>
  <c r="E67" i="2" s="1"/>
  <c r="T40" i="3"/>
  <c r="D67" i="2" s="1"/>
  <c r="E60" i="2"/>
  <c r="E53" i="2"/>
  <c r="D53" i="2"/>
  <c r="E46" i="2"/>
  <c r="D46" i="2"/>
  <c r="M40" i="3"/>
  <c r="E39" i="2" s="1"/>
  <c r="L40" i="3"/>
  <c r="D39" i="2" s="1"/>
  <c r="K40" i="3"/>
  <c r="E32" i="2" s="1"/>
  <c r="J40" i="3"/>
  <c r="D32" i="2" s="1"/>
  <c r="I40" i="3"/>
  <c r="E23" i="2" s="1"/>
  <c r="H40" i="3"/>
  <c r="G40" i="3"/>
  <c r="E16" i="2" s="1"/>
  <c r="F40" i="3"/>
  <c r="D16" i="2" s="1"/>
  <c r="E40" i="3"/>
  <c r="E9" i="2" s="1"/>
  <c r="D40" i="3"/>
  <c r="D9" i="2" s="1"/>
  <c r="D134" i="2"/>
  <c r="E134" i="2"/>
  <c r="D135" i="2"/>
  <c r="E135" i="2"/>
  <c r="D136" i="2"/>
  <c r="E136" i="2"/>
  <c r="D138" i="2"/>
  <c r="E138" i="2"/>
  <c r="L36" i="3"/>
  <c r="L37" i="3"/>
  <c r="D36" i="2" s="1"/>
  <c r="L38" i="3"/>
  <c r="D37" i="2" s="1"/>
  <c r="L39" i="3"/>
  <c r="D38" i="2" s="1"/>
  <c r="L41" i="3"/>
  <c r="D40" i="2" s="1"/>
  <c r="L49" i="3"/>
  <c r="BG37" i="3"/>
  <c r="E203" i="2" s="1"/>
  <c r="BF37" i="3"/>
  <c r="D203" i="2" s="1"/>
  <c r="A19" i="2"/>
  <c r="A28" i="2" s="1"/>
  <c r="A35" i="2" s="1"/>
  <c r="A42" i="2" s="1"/>
  <c r="D161" i="2"/>
  <c r="O10" i="4"/>
  <c r="O8" i="4"/>
  <c r="O7" i="4"/>
  <c r="O6" i="4"/>
  <c r="N20" i="4"/>
  <c r="N19" i="4"/>
  <c r="N18" i="4"/>
  <c r="N17" i="4"/>
  <c r="N16" i="4"/>
  <c r="N10" i="4"/>
  <c r="N8" i="4"/>
  <c r="N7" i="4"/>
  <c r="N6" i="4"/>
  <c r="N5" i="4"/>
  <c r="T61" i="3"/>
  <c r="K16" i="4" s="1"/>
  <c r="O20" i="4"/>
  <c r="O19" i="4"/>
  <c r="O18" i="4"/>
  <c r="O17" i="4"/>
  <c r="O16" i="4"/>
  <c r="E96" i="2"/>
  <c r="D96" i="2"/>
  <c r="E94" i="2"/>
  <c r="D94" i="2"/>
  <c r="E93" i="2"/>
  <c r="D93" i="2"/>
  <c r="E92" i="2"/>
  <c r="D92" i="2"/>
  <c r="E91" i="2"/>
  <c r="D91" i="2"/>
  <c r="E89" i="2"/>
  <c r="D89" i="2"/>
  <c r="E87" i="2"/>
  <c r="D87" i="2"/>
  <c r="E86" i="2"/>
  <c r="D86" i="2"/>
  <c r="E85" i="2"/>
  <c r="D85" i="2"/>
  <c r="O5" i="4"/>
  <c r="AC20" i="4"/>
  <c r="AC19" i="4"/>
  <c r="AC18" i="4"/>
  <c r="AC17" i="4"/>
  <c r="AC16" i="4"/>
  <c r="AC35" i="4" s="1"/>
  <c r="AC10" i="4"/>
  <c r="AC8" i="4"/>
  <c r="AC7" i="4"/>
  <c r="AC6" i="4"/>
  <c r="AC5" i="4"/>
  <c r="AB20" i="4"/>
  <c r="AB19" i="4"/>
  <c r="AB18" i="4"/>
  <c r="AB17" i="4"/>
  <c r="AB16" i="4"/>
  <c r="AB8" i="4"/>
  <c r="AB7" i="4"/>
  <c r="AB6" i="4"/>
  <c r="AB5" i="4"/>
  <c r="D140" i="2"/>
  <c r="BF66" i="3"/>
  <c r="AA20" i="4"/>
  <c r="Z20" i="4"/>
  <c r="Y20" i="4"/>
  <c r="X20" i="4"/>
  <c r="W20" i="4"/>
  <c r="V20" i="4"/>
  <c r="T20" i="4"/>
  <c r="S20" i="4"/>
  <c r="AH66" i="3"/>
  <c r="R20" i="4" s="1"/>
  <c r="Q20" i="4"/>
  <c r="P20" i="4"/>
  <c r="M20" i="4"/>
  <c r="L20" i="4"/>
  <c r="T66" i="3"/>
  <c r="K20" i="4" s="1"/>
  <c r="J20" i="4"/>
  <c r="I20" i="4"/>
  <c r="H20" i="4"/>
  <c r="L66" i="3"/>
  <c r="G20" i="4" s="1"/>
  <c r="J66" i="3"/>
  <c r="F20" i="4" s="1"/>
  <c r="H66" i="3"/>
  <c r="E20" i="4" s="1"/>
  <c r="F66" i="3"/>
  <c r="D20" i="4" s="1"/>
  <c r="D66" i="3"/>
  <c r="C20" i="4" s="1"/>
  <c r="BF64" i="3"/>
  <c r="AA19" i="4"/>
  <c r="Z19" i="4"/>
  <c r="Y19" i="4"/>
  <c r="X19" i="4"/>
  <c r="W19" i="4"/>
  <c r="V19" i="4"/>
  <c r="T19" i="4"/>
  <c r="S19" i="4"/>
  <c r="AH64" i="3"/>
  <c r="R19" i="4" s="1"/>
  <c r="Q19" i="4"/>
  <c r="P19" i="4"/>
  <c r="M19" i="4"/>
  <c r="L19" i="4"/>
  <c r="T64" i="3"/>
  <c r="K19" i="4" s="1"/>
  <c r="J19" i="4"/>
  <c r="I19" i="4"/>
  <c r="H19" i="4"/>
  <c r="L64" i="3"/>
  <c r="G19" i="4" s="1"/>
  <c r="J64" i="3"/>
  <c r="F19" i="4" s="1"/>
  <c r="H64" i="3"/>
  <c r="E19" i="4" s="1"/>
  <c r="F64" i="3"/>
  <c r="D64" i="3"/>
  <c r="C19" i="4" s="1"/>
  <c r="BF63" i="3"/>
  <c r="AA18" i="4"/>
  <c r="Z18" i="4"/>
  <c r="Y18" i="4"/>
  <c r="X18" i="4"/>
  <c r="W18" i="4"/>
  <c r="V18" i="4"/>
  <c r="T18" i="4"/>
  <c r="S18" i="4"/>
  <c r="AH63" i="3"/>
  <c r="R18" i="4" s="1"/>
  <c r="Q18" i="4"/>
  <c r="P18" i="4"/>
  <c r="M18" i="4"/>
  <c r="L18" i="4"/>
  <c r="T63" i="3"/>
  <c r="K18" i="4" s="1"/>
  <c r="J18" i="4"/>
  <c r="I18" i="4"/>
  <c r="H18" i="4"/>
  <c r="L63" i="3"/>
  <c r="G18" i="4" s="1"/>
  <c r="J63" i="3"/>
  <c r="F18" i="4" s="1"/>
  <c r="H63" i="3"/>
  <c r="E18" i="4" s="1"/>
  <c r="F63" i="3"/>
  <c r="D63" i="3"/>
  <c r="C18" i="4" s="1"/>
  <c r="BF62" i="3"/>
  <c r="AD17" i="4" s="1"/>
  <c r="AA17" i="4"/>
  <c r="Z17" i="4"/>
  <c r="Y17" i="4"/>
  <c r="X17" i="4"/>
  <c r="W17" i="4"/>
  <c r="V17" i="4"/>
  <c r="T17" i="4"/>
  <c r="S17" i="4"/>
  <c r="AH62" i="3"/>
  <c r="R17" i="4" s="1"/>
  <c r="Q17" i="4"/>
  <c r="P17" i="4"/>
  <c r="M17" i="4"/>
  <c r="L17" i="4"/>
  <c r="T62" i="3"/>
  <c r="K17" i="4" s="1"/>
  <c r="J17" i="4"/>
  <c r="I17" i="4"/>
  <c r="H17" i="4"/>
  <c r="L62" i="3"/>
  <c r="G17" i="4" s="1"/>
  <c r="J62" i="3"/>
  <c r="F17" i="4" s="1"/>
  <c r="H62" i="3"/>
  <c r="E17" i="4" s="1"/>
  <c r="F62" i="3"/>
  <c r="D17" i="4" s="1"/>
  <c r="D62" i="3"/>
  <c r="C17" i="4" s="1"/>
  <c r="BF61" i="3"/>
  <c r="AA16" i="4"/>
  <c r="Z16" i="4"/>
  <c r="Y16" i="4"/>
  <c r="X16" i="4"/>
  <c r="W16" i="4"/>
  <c r="V16" i="4"/>
  <c r="T16" i="4"/>
  <c r="S16" i="4"/>
  <c r="AH61" i="3"/>
  <c r="R16" i="4" s="1"/>
  <c r="Q16" i="4"/>
  <c r="P16" i="4"/>
  <c r="M16" i="4"/>
  <c r="L16" i="4"/>
  <c r="J16" i="4"/>
  <c r="L61" i="3"/>
  <c r="J61" i="3"/>
  <c r="F16" i="4" s="1"/>
  <c r="H61" i="3"/>
  <c r="E16" i="4" s="1"/>
  <c r="F61" i="3"/>
  <c r="D16" i="4" s="1"/>
  <c r="D61" i="3"/>
  <c r="C16" i="4" s="1"/>
  <c r="BF54" i="3"/>
  <c r="AD10" i="4" s="1"/>
  <c r="Z10" i="4"/>
  <c r="Y10" i="4"/>
  <c r="X10" i="4"/>
  <c r="W10" i="4"/>
  <c r="V10" i="4"/>
  <c r="S10" i="4"/>
  <c r="AH54" i="3"/>
  <c r="R10" i="4" s="1"/>
  <c r="Q10" i="4"/>
  <c r="P10" i="4"/>
  <c r="M10" i="4"/>
  <c r="L10" i="4"/>
  <c r="T54" i="3"/>
  <c r="K10" i="4" s="1"/>
  <c r="J10" i="4"/>
  <c r="L54" i="3"/>
  <c r="J54" i="3"/>
  <c r="F10" i="4" s="1"/>
  <c r="E10" i="4"/>
  <c r="F54" i="3"/>
  <c r="D10" i="4" s="1"/>
  <c r="D54" i="3"/>
  <c r="C10" i="4" s="1"/>
  <c r="BF52" i="3"/>
  <c r="AA8" i="4"/>
  <c r="Z8" i="4"/>
  <c r="Y8" i="4"/>
  <c r="X8" i="4"/>
  <c r="W8" i="4"/>
  <c r="U8" i="4"/>
  <c r="T8" i="4"/>
  <c r="S8" i="4"/>
  <c r="AH52" i="3"/>
  <c r="R8" i="4" s="1"/>
  <c r="Q8" i="4"/>
  <c r="P8" i="4"/>
  <c r="M8" i="4"/>
  <c r="L8" i="4"/>
  <c r="T52" i="3"/>
  <c r="K8" i="4" s="1"/>
  <c r="J8" i="4"/>
  <c r="L52" i="3"/>
  <c r="J52" i="3"/>
  <c r="F8" i="4" s="1"/>
  <c r="H52" i="3"/>
  <c r="E8" i="4" s="1"/>
  <c r="F52" i="3"/>
  <c r="D8" i="4" s="1"/>
  <c r="D52" i="3"/>
  <c r="C8" i="4" s="1"/>
  <c r="BF51" i="3"/>
  <c r="AA7" i="4"/>
  <c r="Z7" i="4"/>
  <c r="Y7" i="4"/>
  <c r="X7" i="4"/>
  <c r="W7" i="4"/>
  <c r="V7" i="4"/>
  <c r="U7" i="4"/>
  <c r="T7" i="4"/>
  <c r="S7" i="4"/>
  <c r="AH51" i="3"/>
  <c r="R7" i="4" s="1"/>
  <c r="Q7" i="4"/>
  <c r="P7" i="4"/>
  <c r="M7" i="4"/>
  <c r="L7" i="4"/>
  <c r="T51" i="3"/>
  <c r="K7" i="4" s="1"/>
  <c r="J7" i="4"/>
  <c r="L51" i="3"/>
  <c r="J51" i="3"/>
  <c r="F7" i="4" s="1"/>
  <c r="H51" i="3"/>
  <c r="E7" i="4" s="1"/>
  <c r="F51" i="3"/>
  <c r="D7" i="4" s="1"/>
  <c r="D51" i="3"/>
  <c r="C7" i="4" s="1"/>
  <c r="BF50" i="3"/>
  <c r="AA6" i="4"/>
  <c r="Z6" i="4"/>
  <c r="Y6" i="4"/>
  <c r="X6" i="4"/>
  <c r="W6" i="4"/>
  <c r="V6" i="4"/>
  <c r="U6" i="4"/>
  <c r="T6" i="4"/>
  <c r="S6" i="4"/>
  <c r="AH50" i="3"/>
  <c r="R6" i="4" s="1"/>
  <c r="Q6" i="4"/>
  <c r="P6" i="4"/>
  <c r="M6" i="4"/>
  <c r="L6" i="4"/>
  <c r="T50" i="3"/>
  <c r="K6" i="4" s="1"/>
  <c r="J6" i="4"/>
  <c r="L50" i="3"/>
  <c r="J50" i="3"/>
  <c r="F6" i="4" s="1"/>
  <c r="H50" i="3"/>
  <c r="E6" i="4" s="1"/>
  <c r="F50" i="3"/>
  <c r="D6" i="4" s="1"/>
  <c r="D50" i="3"/>
  <c r="C6" i="4" s="1"/>
  <c r="BF49" i="3"/>
  <c r="AA5" i="4"/>
  <c r="Z5" i="4"/>
  <c r="Y5" i="4"/>
  <c r="X5" i="4"/>
  <c r="W5" i="4"/>
  <c r="V5" i="4"/>
  <c r="U5" i="4"/>
  <c r="T5" i="4"/>
  <c r="S5" i="4"/>
  <c r="AH49" i="3"/>
  <c r="R5" i="4" s="1"/>
  <c r="Q5" i="4"/>
  <c r="P5" i="4"/>
  <c r="M5" i="4"/>
  <c r="L5" i="4"/>
  <c r="T49" i="3"/>
  <c r="K5" i="4" s="1"/>
  <c r="J5" i="4"/>
  <c r="J49" i="3"/>
  <c r="F5" i="4" s="1"/>
  <c r="H49" i="3"/>
  <c r="E5" i="4" s="1"/>
  <c r="F49" i="3"/>
  <c r="D5" i="4" s="1"/>
  <c r="D49" i="3"/>
  <c r="C5" i="4" s="1"/>
  <c r="BG41" i="3"/>
  <c r="E207" i="2" s="1"/>
  <c r="BF41" i="3"/>
  <c r="D207" i="2" s="1"/>
  <c r="E166" i="2"/>
  <c r="D166" i="2"/>
  <c r="E159" i="2"/>
  <c r="D159" i="2"/>
  <c r="E152" i="2"/>
  <c r="D152" i="2"/>
  <c r="E145" i="2"/>
  <c r="D145" i="2"/>
  <c r="E131" i="2"/>
  <c r="D131" i="2"/>
  <c r="E124" i="2"/>
  <c r="D124" i="2"/>
  <c r="AI41" i="3"/>
  <c r="E117" i="2" s="1"/>
  <c r="AH41" i="3"/>
  <c r="D117" i="2" s="1"/>
  <c r="E110" i="2"/>
  <c r="D110" i="2"/>
  <c r="E82" i="2"/>
  <c r="D82" i="2"/>
  <c r="E75" i="2"/>
  <c r="D75" i="2"/>
  <c r="U41" i="3"/>
  <c r="E68" i="2" s="1"/>
  <c r="T41" i="3"/>
  <c r="D68" i="2" s="1"/>
  <c r="E61" i="2"/>
  <c r="D61" i="2"/>
  <c r="E54" i="2"/>
  <c r="D54" i="2"/>
  <c r="E47" i="2"/>
  <c r="D47" i="2"/>
  <c r="M41" i="3"/>
  <c r="E40" i="2" s="1"/>
  <c r="K41" i="3"/>
  <c r="E33" i="2" s="1"/>
  <c r="J41" i="3"/>
  <c r="D33" i="2" s="1"/>
  <c r="I41" i="3"/>
  <c r="E26" i="2" s="1"/>
  <c r="H41" i="3"/>
  <c r="D26" i="2" s="1"/>
  <c r="G41" i="3"/>
  <c r="E17" i="2" s="1"/>
  <c r="F41" i="3"/>
  <c r="D17" i="2" s="1"/>
  <c r="E41" i="3"/>
  <c r="E10" i="2" s="1"/>
  <c r="D41" i="3"/>
  <c r="D10" i="2" s="1"/>
  <c r="BG39" i="3"/>
  <c r="E205" i="2" s="1"/>
  <c r="BF39" i="3"/>
  <c r="D205" i="2" s="1"/>
  <c r="E164" i="2"/>
  <c r="D164" i="2"/>
  <c r="E157" i="2"/>
  <c r="D157" i="2"/>
  <c r="E150" i="2"/>
  <c r="D150" i="2"/>
  <c r="E143" i="2"/>
  <c r="D143" i="2"/>
  <c r="E129" i="2"/>
  <c r="D129" i="2"/>
  <c r="E122" i="2"/>
  <c r="D122" i="2"/>
  <c r="AI39" i="3"/>
  <c r="E115" i="2" s="1"/>
  <c r="AH39" i="3"/>
  <c r="D115" i="2" s="1"/>
  <c r="E108" i="2"/>
  <c r="D108" i="2"/>
  <c r="E80" i="2"/>
  <c r="D80" i="2"/>
  <c r="E73" i="2"/>
  <c r="D73" i="2"/>
  <c r="U39" i="3"/>
  <c r="E66" i="2" s="1"/>
  <c r="T39" i="3"/>
  <c r="D66" i="2" s="1"/>
  <c r="E59" i="2"/>
  <c r="D59" i="2"/>
  <c r="E52" i="2"/>
  <c r="D52" i="2"/>
  <c r="E45" i="2"/>
  <c r="D45" i="2"/>
  <c r="M39" i="3"/>
  <c r="E38" i="2" s="1"/>
  <c r="K39" i="3"/>
  <c r="E31" i="2" s="1"/>
  <c r="J39" i="3"/>
  <c r="D31" i="2" s="1"/>
  <c r="I39" i="3"/>
  <c r="E22" i="2" s="1"/>
  <c r="H39" i="3"/>
  <c r="D22" i="2" s="1"/>
  <c r="G39" i="3"/>
  <c r="E15" i="2" s="1"/>
  <c r="F39" i="3"/>
  <c r="D15" i="2" s="1"/>
  <c r="E39" i="3"/>
  <c r="E8" i="2" s="1"/>
  <c r="D39" i="3"/>
  <c r="D8" i="2" s="1"/>
  <c r="BG38" i="3"/>
  <c r="E204" i="2" s="1"/>
  <c r="E163" i="2"/>
  <c r="D163" i="2"/>
  <c r="E156" i="2"/>
  <c r="E149" i="2"/>
  <c r="D149" i="2"/>
  <c r="E142" i="2"/>
  <c r="D142" i="2"/>
  <c r="E128" i="2"/>
  <c r="D128" i="2"/>
  <c r="E121" i="2"/>
  <c r="D121" i="2"/>
  <c r="AI38" i="3"/>
  <c r="E114" i="2" s="1"/>
  <c r="AH38" i="3"/>
  <c r="D114" i="2" s="1"/>
  <c r="E107" i="2"/>
  <c r="D107" i="2"/>
  <c r="E79" i="2"/>
  <c r="D79" i="2"/>
  <c r="U38" i="3"/>
  <c r="E65" i="2" s="1"/>
  <c r="T38" i="3"/>
  <c r="D65" i="2" s="1"/>
  <c r="E58" i="2"/>
  <c r="D58" i="2"/>
  <c r="E51" i="2"/>
  <c r="D51" i="2"/>
  <c r="E44" i="2"/>
  <c r="D44" i="2"/>
  <c r="M38" i="3"/>
  <c r="E37" i="2" s="1"/>
  <c r="K38" i="3"/>
  <c r="E30" i="2" s="1"/>
  <c r="J38" i="3"/>
  <c r="D30" i="2" s="1"/>
  <c r="I38" i="3"/>
  <c r="E21" i="2" s="1"/>
  <c r="H38" i="3"/>
  <c r="D21" i="2" s="1"/>
  <c r="G38" i="3"/>
  <c r="E14" i="2" s="1"/>
  <c r="F38" i="3"/>
  <c r="D14" i="2" s="1"/>
  <c r="E38" i="3"/>
  <c r="E7" i="2" s="1"/>
  <c r="D38" i="3"/>
  <c r="D7" i="2" s="1"/>
  <c r="E162" i="2"/>
  <c r="D162" i="2"/>
  <c r="E155" i="2"/>
  <c r="E148" i="2"/>
  <c r="D148" i="2"/>
  <c r="E141" i="2"/>
  <c r="D141" i="2"/>
  <c r="E127" i="2"/>
  <c r="D127" i="2"/>
  <c r="E120" i="2"/>
  <c r="D120" i="2"/>
  <c r="AI37" i="3"/>
  <c r="E113" i="2" s="1"/>
  <c r="AH37" i="3"/>
  <c r="D113" i="2" s="1"/>
  <c r="E106" i="2"/>
  <c r="D106" i="2"/>
  <c r="E78" i="2"/>
  <c r="D78" i="2"/>
  <c r="E71" i="2"/>
  <c r="D71" i="2"/>
  <c r="U37" i="3"/>
  <c r="E64" i="2" s="1"/>
  <c r="T37" i="3"/>
  <c r="D64" i="2" s="1"/>
  <c r="E57" i="2"/>
  <c r="D57" i="2"/>
  <c r="E50" i="2"/>
  <c r="D50" i="2"/>
  <c r="E43" i="2"/>
  <c r="D43" i="2"/>
  <c r="M37" i="3"/>
  <c r="E36" i="2" s="1"/>
  <c r="K37" i="3"/>
  <c r="E29" i="2" s="1"/>
  <c r="J37" i="3"/>
  <c r="D29" i="2" s="1"/>
  <c r="I37" i="3"/>
  <c r="E20" i="2" s="1"/>
  <c r="H37" i="3"/>
  <c r="D20" i="2" s="1"/>
  <c r="G37" i="3"/>
  <c r="E13" i="2" s="1"/>
  <c r="F37" i="3"/>
  <c r="D13" i="2" s="1"/>
  <c r="E37" i="3"/>
  <c r="E6" i="2" s="1"/>
  <c r="D37" i="3"/>
  <c r="D6" i="2" s="1"/>
  <c r="BG36" i="3"/>
  <c r="BF36" i="3"/>
  <c r="E161" i="2"/>
  <c r="E147" i="2"/>
  <c r="D147" i="2"/>
  <c r="E140" i="2"/>
  <c r="E126" i="2"/>
  <c r="D126" i="2"/>
  <c r="E119" i="2"/>
  <c r="D119" i="2"/>
  <c r="AI36" i="3"/>
  <c r="E112" i="2" s="1"/>
  <c r="AH36" i="3"/>
  <c r="D112" i="2" s="1"/>
  <c r="E70" i="2"/>
  <c r="D70" i="2"/>
  <c r="U36" i="3"/>
  <c r="D56" i="2"/>
  <c r="M36" i="3"/>
  <c r="K36" i="3"/>
  <c r="J36" i="3"/>
  <c r="D28" i="2" s="1"/>
  <c r="I36" i="3"/>
  <c r="H36" i="3"/>
  <c r="G36" i="3"/>
  <c r="E12" i="2" s="1"/>
  <c r="F36" i="3"/>
  <c r="D12" i="2" s="1"/>
  <c r="E36" i="3"/>
  <c r="E5" i="2" s="1"/>
  <c r="D36" i="3"/>
  <c r="AA35" i="4" l="1"/>
  <c r="AB35" i="4"/>
  <c r="D146" i="2"/>
  <c r="AA34" i="4"/>
  <c r="D202" i="2"/>
  <c r="D210" i="2" s="1"/>
  <c r="BF46" i="3"/>
  <c r="E202" i="2"/>
  <c r="E210" i="2" s="1"/>
  <c r="BG46" i="3"/>
  <c r="Z36" i="4"/>
  <c r="Z33" i="4"/>
  <c r="AA33" i="4"/>
  <c r="AA36" i="4"/>
  <c r="AC36" i="4"/>
  <c r="AC33" i="4"/>
  <c r="Z35" i="4"/>
  <c r="Z34" i="4"/>
  <c r="AB34" i="4"/>
  <c r="AB33" i="4"/>
  <c r="AB36" i="4"/>
  <c r="AC34" i="4"/>
  <c r="E167" i="2"/>
  <c r="D167" i="2"/>
  <c r="C35" i="4"/>
  <c r="S35" i="4"/>
  <c r="S37" i="4" s="1"/>
  <c r="I46" i="3"/>
  <c r="E36" i="4"/>
  <c r="E33" i="4"/>
  <c r="D19" i="2"/>
  <c r="H46" i="3"/>
  <c r="E34" i="4"/>
  <c r="E35" i="4"/>
  <c r="E37" i="4" s="1"/>
  <c r="AB37" i="4"/>
  <c r="O35" i="4"/>
  <c r="R35" i="4"/>
  <c r="R37" i="4" s="1"/>
  <c r="P35" i="4"/>
  <c r="Q35" i="4"/>
  <c r="Q37" i="4" s="1"/>
  <c r="T35" i="4"/>
  <c r="T37" i="4" s="1"/>
  <c r="V35" i="4"/>
  <c r="N35" i="4"/>
  <c r="N37" i="4" s="1"/>
  <c r="J35" i="4"/>
  <c r="W35" i="4"/>
  <c r="C36" i="4"/>
  <c r="F35" i="4"/>
  <c r="F37" i="4" s="1"/>
  <c r="X35" i="4"/>
  <c r="X37" i="4" s="1"/>
  <c r="L35" i="4"/>
  <c r="L37" i="4" s="1"/>
  <c r="AA37" i="4"/>
  <c r="M35" i="4"/>
  <c r="M37" i="4" s="1"/>
  <c r="L36" i="4"/>
  <c r="K35" i="4"/>
  <c r="K37" i="4" s="1"/>
  <c r="E63" i="2"/>
  <c r="E69" i="2" s="1"/>
  <c r="U46" i="3"/>
  <c r="E72" i="2"/>
  <c r="E76" i="2" s="1"/>
  <c r="L33" i="4"/>
  <c r="L34" i="4"/>
  <c r="L39" i="4" s="1"/>
  <c r="V46" i="3"/>
  <c r="W46" i="3"/>
  <c r="D76" i="2"/>
  <c r="U36" i="4"/>
  <c r="T36" i="4"/>
  <c r="E11" i="2"/>
  <c r="D46" i="3"/>
  <c r="D5" i="2"/>
  <c r="D11" i="2" s="1"/>
  <c r="E46" i="3"/>
  <c r="C33" i="4"/>
  <c r="C34" i="4"/>
  <c r="I205" i="2"/>
  <c r="G205" i="2"/>
  <c r="J205" i="2" s="1"/>
  <c r="L205" i="2" s="1"/>
  <c r="I202" i="2"/>
  <c r="G202" i="2"/>
  <c r="I204" i="2"/>
  <c r="G204" i="2"/>
  <c r="J204" i="2" s="1"/>
  <c r="L204" i="2" s="1"/>
  <c r="I203" i="2"/>
  <c r="G203" i="2"/>
  <c r="J203" i="2" s="1"/>
  <c r="G207" i="2"/>
  <c r="J207" i="2" s="1"/>
  <c r="L207" i="2" s="1"/>
  <c r="I207" i="2"/>
  <c r="G206" i="2"/>
  <c r="J206" i="2" s="1"/>
  <c r="L206" i="2" s="1"/>
  <c r="I206" i="2"/>
  <c r="I166" i="2"/>
  <c r="G166" i="2"/>
  <c r="J166" i="2" s="1"/>
  <c r="L166" i="2" s="1"/>
  <c r="G144" i="2"/>
  <c r="J144" i="2" s="1"/>
  <c r="L144" i="2" s="1"/>
  <c r="I144" i="2"/>
  <c r="I142" i="2"/>
  <c r="G142" i="2"/>
  <c r="J142" i="2" s="1"/>
  <c r="L142" i="2" s="1"/>
  <c r="I141" i="2"/>
  <c r="G141" i="2"/>
  <c r="J141" i="2" s="1"/>
  <c r="L141" i="2" s="1"/>
  <c r="I151" i="2"/>
  <c r="G151" i="2"/>
  <c r="J151" i="2" s="1"/>
  <c r="L151" i="2" s="1"/>
  <c r="G149" i="2"/>
  <c r="J149" i="2" s="1"/>
  <c r="L149" i="2" s="1"/>
  <c r="I149" i="2"/>
  <c r="I143" i="2"/>
  <c r="G143" i="2"/>
  <c r="J143" i="2" s="1"/>
  <c r="L143" i="2" s="1"/>
  <c r="I147" i="2"/>
  <c r="G147" i="2"/>
  <c r="J147" i="2" s="1"/>
  <c r="L147" i="2" s="1"/>
  <c r="I148" i="2"/>
  <c r="G148" i="2"/>
  <c r="J148" i="2" s="1"/>
  <c r="L148" i="2" s="1"/>
  <c r="I150" i="2"/>
  <c r="G150" i="2"/>
  <c r="J150" i="2" s="1"/>
  <c r="L150" i="2" s="1"/>
  <c r="G145" i="2"/>
  <c r="J145" i="2" s="1"/>
  <c r="L145" i="2" s="1"/>
  <c r="I145" i="2"/>
  <c r="G165" i="2"/>
  <c r="J165" i="2" s="1"/>
  <c r="L165" i="2" s="1"/>
  <c r="I165" i="2"/>
  <c r="G162" i="2"/>
  <c r="J162" i="2" s="1"/>
  <c r="L162" i="2" s="1"/>
  <c r="I162" i="2"/>
  <c r="G163" i="2"/>
  <c r="J163" i="2" s="1"/>
  <c r="L163" i="2" s="1"/>
  <c r="I163" i="2"/>
  <c r="G161" i="2"/>
  <c r="I161" i="2"/>
  <c r="G152" i="2"/>
  <c r="J152" i="2" s="1"/>
  <c r="L152" i="2" s="1"/>
  <c r="I152" i="2"/>
  <c r="I164" i="2"/>
  <c r="G164" i="2"/>
  <c r="J164" i="2" s="1"/>
  <c r="L164" i="2" s="1"/>
  <c r="I140" i="2"/>
  <c r="G140" i="2"/>
  <c r="J140" i="2" s="1"/>
  <c r="L140" i="2" s="1"/>
  <c r="I124" i="2"/>
  <c r="G124" i="2"/>
  <c r="J124" i="2" s="1"/>
  <c r="L124" i="2" s="1"/>
  <c r="I122" i="2"/>
  <c r="G122" i="2"/>
  <c r="J122" i="2" s="1"/>
  <c r="L122" i="2" s="1"/>
  <c r="G123" i="2"/>
  <c r="J123" i="2" s="1"/>
  <c r="L123" i="2" s="1"/>
  <c r="I123" i="2"/>
  <c r="G121" i="2"/>
  <c r="J121" i="2" s="1"/>
  <c r="L121" i="2" s="1"/>
  <c r="I121" i="2"/>
  <c r="G119" i="2"/>
  <c r="J119" i="2" s="1"/>
  <c r="L119" i="2" s="1"/>
  <c r="I119" i="2"/>
  <c r="G120" i="2"/>
  <c r="J120" i="2" s="1"/>
  <c r="L120" i="2" s="1"/>
  <c r="I120" i="2"/>
  <c r="I117" i="2"/>
  <c r="G117" i="2"/>
  <c r="J117" i="2" s="1"/>
  <c r="L117" i="2" s="1"/>
  <c r="I116" i="2"/>
  <c r="G116" i="2"/>
  <c r="J116" i="2" s="1"/>
  <c r="L116" i="2" s="1"/>
  <c r="G112" i="2"/>
  <c r="J112" i="2" s="1"/>
  <c r="L112" i="2" s="1"/>
  <c r="I112" i="2"/>
  <c r="G113" i="2"/>
  <c r="J113" i="2" s="1"/>
  <c r="L113" i="2" s="1"/>
  <c r="I113" i="2"/>
  <c r="I114" i="2"/>
  <c r="G114" i="2"/>
  <c r="J114" i="2" s="1"/>
  <c r="L114" i="2" s="1"/>
  <c r="I115" i="2"/>
  <c r="G115" i="2"/>
  <c r="J115" i="2" s="1"/>
  <c r="L115" i="2" s="1"/>
  <c r="G95" i="2"/>
  <c r="J95" i="2" s="1"/>
  <c r="L95" i="2" s="1"/>
  <c r="I95" i="2"/>
  <c r="I91" i="2"/>
  <c r="G91" i="2"/>
  <c r="J91" i="2" s="1"/>
  <c r="I92" i="2"/>
  <c r="G92" i="2"/>
  <c r="J92" i="2" s="1"/>
  <c r="L92" i="2" s="1"/>
  <c r="G93" i="2"/>
  <c r="J93" i="2" s="1"/>
  <c r="L93" i="2" s="1"/>
  <c r="I93" i="2"/>
  <c r="I94" i="2"/>
  <c r="G94" i="2"/>
  <c r="J94" i="2" s="1"/>
  <c r="L94" i="2" s="1"/>
  <c r="I96" i="2"/>
  <c r="G96" i="2"/>
  <c r="J96" i="2" s="1"/>
  <c r="L96" i="2" s="1"/>
  <c r="P36" i="4"/>
  <c r="X36" i="4"/>
  <c r="O36" i="4"/>
  <c r="Q36" i="4"/>
  <c r="Y36" i="4"/>
  <c r="R36" i="4"/>
  <c r="V36" i="4"/>
  <c r="D36" i="4"/>
  <c r="M36" i="4"/>
  <c r="S36" i="4"/>
  <c r="W36" i="4"/>
  <c r="N36" i="4"/>
  <c r="K36" i="4"/>
  <c r="J36" i="4"/>
  <c r="F36" i="4"/>
  <c r="N34" i="4"/>
  <c r="N39" i="4" s="1"/>
  <c r="G127" i="2"/>
  <c r="J127" i="2" s="1"/>
  <c r="L127" i="2" s="1"/>
  <c r="I127" i="2"/>
  <c r="I130" i="2"/>
  <c r="G130" i="2"/>
  <c r="J130" i="2" s="1"/>
  <c r="L130" i="2" s="1"/>
  <c r="I128" i="2"/>
  <c r="G128" i="2"/>
  <c r="J128" i="2" s="1"/>
  <c r="L128" i="2" s="1"/>
  <c r="I126" i="2"/>
  <c r="G126" i="2"/>
  <c r="D132" i="2"/>
  <c r="I129" i="2"/>
  <c r="G129" i="2"/>
  <c r="J129" i="2" s="1"/>
  <c r="L129" i="2" s="1"/>
  <c r="E132" i="2"/>
  <c r="I131" i="2"/>
  <c r="G131" i="2"/>
  <c r="J131" i="2" s="1"/>
  <c r="L131" i="2" s="1"/>
  <c r="I13" i="2"/>
  <c r="G13" i="2"/>
  <c r="J13" i="2" s="1"/>
  <c r="L13" i="2" s="1"/>
  <c r="G12" i="2"/>
  <c r="J12" i="2" s="1"/>
  <c r="L12" i="2" s="1"/>
  <c r="I12" i="2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9" i="2"/>
  <c r="E35" i="2"/>
  <c r="E41" i="2" s="1"/>
  <c r="M46" i="3"/>
  <c r="E49" i="2"/>
  <c r="E55" i="2" s="1"/>
  <c r="Q46" i="3"/>
  <c r="D118" i="2"/>
  <c r="AH46" i="3"/>
  <c r="T46" i="3"/>
  <c r="E84" i="2"/>
  <c r="E90" i="2" s="1"/>
  <c r="AA46" i="3"/>
  <c r="AV46" i="3"/>
  <c r="D42" i="2"/>
  <c r="N46" i="3"/>
  <c r="E118" i="2"/>
  <c r="AI46" i="3"/>
  <c r="E154" i="2"/>
  <c r="E160" i="2" s="1"/>
  <c r="AU46" i="3"/>
  <c r="AP46" i="3"/>
  <c r="AB46" i="3"/>
  <c r="D18" i="2"/>
  <c r="F46" i="3"/>
  <c r="D34" i="2"/>
  <c r="J46" i="3"/>
  <c r="E42" i="2"/>
  <c r="E48" i="2" s="1"/>
  <c r="O46" i="3"/>
  <c r="E56" i="2"/>
  <c r="G56" i="2" s="1"/>
  <c r="S46" i="3"/>
  <c r="D77" i="2"/>
  <c r="D83" i="2" s="1"/>
  <c r="X46" i="3"/>
  <c r="D105" i="2"/>
  <c r="D111" i="2" s="1"/>
  <c r="AF46" i="3"/>
  <c r="AJ46" i="3"/>
  <c r="E146" i="2"/>
  <c r="AQ46" i="3"/>
  <c r="AW46" i="3"/>
  <c r="AC46" i="3"/>
  <c r="E133" i="2"/>
  <c r="E139" i="2" s="1"/>
  <c r="AO46" i="3"/>
  <c r="D104" i="2"/>
  <c r="AD46" i="3"/>
  <c r="AL46" i="3"/>
  <c r="E153" i="2"/>
  <c r="AS46" i="3"/>
  <c r="D156" i="2"/>
  <c r="I237" i="2" s="1"/>
  <c r="AT46" i="3"/>
  <c r="E19" i="2"/>
  <c r="E27" i="2" s="1"/>
  <c r="AE46" i="3"/>
  <c r="AM46" i="3"/>
  <c r="D35" i="2"/>
  <c r="L46" i="3"/>
  <c r="E18" i="2"/>
  <c r="G46" i="3"/>
  <c r="E28" i="2"/>
  <c r="E34" i="2" s="1"/>
  <c r="K46" i="3"/>
  <c r="D49" i="2"/>
  <c r="P46" i="3"/>
  <c r="E77" i="2"/>
  <c r="E83" i="2" s="1"/>
  <c r="Y46" i="3"/>
  <c r="E111" i="2"/>
  <c r="AG46" i="3"/>
  <c r="AK46" i="3"/>
  <c r="AR46" i="3"/>
  <c r="D84" i="2"/>
  <c r="D90" i="2" s="1"/>
  <c r="Z46" i="3"/>
  <c r="D133" i="2"/>
  <c r="D139" i="2" s="1"/>
  <c r="AN46" i="3"/>
  <c r="K34" i="4"/>
  <c r="K39" i="4" s="1"/>
  <c r="K33" i="4"/>
  <c r="I239" i="2"/>
  <c r="X34" i="4"/>
  <c r="J239" i="2"/>
  <c r="J236" i="2"/>
  <c r="J238" i="2"/>
  <c r="I240" i="2"/>
  <c r="I238" i="2"/>
  <c r="I236" i="2"/>
  <c r="J240" i="2"/>
  <c r="U37" i="4"/>
  <c r="AD5" i="4"/>
  <c r="AD6" i="4"/>
  <c r="AD7" i="4"/>
  <c r="AD8" i="4"/>
  <c r="AD16" i="4"/>
  <c r="AD18" i="4"/>
  <c r="AD19" i="4"/>
  <c r="AD20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G26" i="2"/>
  <c r="J26" i="2" s="1"/>
  <c r="I26" i="2"/>
  <c r="M26" i="2" s="1"/>
  <c r="I60" i="2"/>
  <c r="M60" i="2" s="1"/>
  <c r="G60" i="2"/>
  <c r="J60" i="2" s="1"/>
  <c r="L60" i="2" s="1"/>
  <c r="I58" i="2"/>
  <c r="M58" i="2" s="1"/>
  <c r="G58" i="2"/>
  <c r="J58" i="2" s="1"/>
  <c r="L58" i="2" s="1"/>
  <c r="I61" i="2"/>
  <c r="M61" i="2" s="1"/>
  <c r="G61" i="2"/>
  <c r="J61" i="2" s="1"/>
  <c r="L61" i="2" s="1"/>
  <c r="I57" i="2"/>
  <c r="M57" i="2" s="1"/>
  <c r="G57" i="2"/>
  <c r="J57" i="2" s="1"/>
  <c r="W57" i="2" s="1"/>
  <c r="I59" i="2"/>
  <c r="M59" i="2" s="1"/>
  <c r="G59" i="2"/>
  <c r="J59" i="2" s="1"/>
  <c r="L59" i="2" s="1"/>
  <c r="G43" i="2"/>
  <c r="J43" i="2" s="1"/>
  <c r="W43" i="2" s="1"/>
  <c r="I43" i="2"/>
  <c r="M43" i="2" s="1"/>
  <c r="G44" i="2"/>
  <c r="J44" i="2" s="1"/>
  <c r="L44" i="2" s="1"/>
  <c r="I44" i="2"/>
  <c r="M44" i="2" s="1"/>
  <c r="G47" i="2"/>
  <c r="J47" i="2" s="1"/>
  <c r="L47" i="2" s="1"/>
  <c r="I47" i="2"/>
  <c r="M47" i="2" s="1"/>
  <c r="G46" i="2"/>
  <c r="J46" i="2" s="1"/>
  <c r="L46" i="2" s="1"/>
  <c r="I46" i="2"/>
  <c r="M46" i="2" s="1"/>
  <c r="I45" i="2"/>
  <c r="M45" i="2" s="1"/>
  <c r="G45" i="2"/>
  <c r="J45" i="2" s="1"/>
  <c r="L45" i="2" s="1"/>
  <c r="G40" i="2"/>
  <c r="J40" i="2" s="1"/>
  <c r="L40" i="2" s="1"/>
  <c r="I40" i="2"/>
  <c r="M40" i="2" s="1"/>
  <c r="I39" i="2"/>
  <c r="M39" i="2" s="1"/>
  <c r="G39" i="2"/>
  <c r="J39" i="2" s="1"/>
  <c r="L39" i="2" s="1"/>
  <c r="D18" i="4"/>
  <c r="D19" i="4"/>
  <c r="G66" i="2"/>
  <c r="J66" i="2" s="1"/>
  <c r="L66" i="2" s="1"/>
  <c r="I66" i="2"/>
  <c r="M66" i="2" s="1"/>
  <c r="G65" i="2"/>
  <c r="J65" i="2" s="1"/>
  <c r="L65" i="2" s="1"/>
  <c r="I65" i="2"/>
  <c r="M65" i="2" s="1"/>
  <c r="G64" i="2"/>
  <c r="I64" i="2"/>
  <c r="M64" i="2" s="1"/>
  <c r="G67" i="2"/>
  <c r="J67" i="2" s="1"/>
  <c r="L67" i="2" s="1"/>
  <c r="I67" i="2"/>
  <c r="M67" i="2" s="1"/>
  <c r="I5" i="4"/>
  <c r="I6" i="4"/>
  <c r="I7" i="4"/>
  <c r="I8" i="4"/>
  <c r="I10" i="4"/>
  <c r="I16" i="4"/>
  <c r="I68" i="2"/>
  <c r="M68" i="2" s="1"/>
  <c r="AB39" i="4"/>
  <c r="AC39" i="4"/>
  <c r="O34" i="4"/>
  <c r="U34" i="4"/>
  <c r="U39" i="4" s="1"/>
  <c r="W34" i="4"/>
  <c r="W39" i="4" s="1"/>
  <c r="Y34" i="4"/>
  <c r="Y39" i="4" s="1"/>
  <c r="AA39" i="4"/>
  <c r="Q34" i="4"/>
  <c r="Q39" i="4" s="1"/>
  <c r="S34" i="4"/>
  <c r="S39" i="4" s="1"/>
  <c r="F34" i="4"/>
  <c r="F39" i="4" s="1"/>
  <c r="T34" i="4"/>
  <c r="T39" i="4" s="1"/>
  <c r="V34" i="4"/>
  <c r="V39" i="4" s="1"/>
  <c r="Z39" i="4"/>
  <c r="M34" i="4"/>
  <c r="M39" i="4" s="1"/>
  <c r="P34" i="4"/>
  <c r="P39" i="4" s="1"/>
  <c r="R34" i="4"/>
  <c r="E39" i="4"/>
  <c r="J34" i="4"/>
  <c r="J39" i="4" s="1"/>
  <c r="I107" i="2"/>
  <c r="M107" i="2" s="1"/>
  <c r="G107" i="2"/>
  <c r="J107" i="2" s="1"/>
  <c r="L107" i="2" s="1"/>
  <c r="I108" i="2"/>
  <c r="M108" i="2" s="1"/>
  <c r="G108" i="2"/>
  <c r="J108" i="2" s="1"/>
  <c r="L108" i="2" s="1"/>
  <c r="I110" i="2"/>
  <c r="M110" i="2" s="1"/>
  <c r="G110" i="2"/>
  <c r="J110" i="2" s="1"/>
  <c r="L110" i="2" s="1"/>
  <c r="I106" i="2"/>
  <c r="M106" i="2" s="1"/>
  <c r="G106" i="2"/>
  <c r="J106" i="2" s="1"/>
  <c r="L106" i="2" s="1"/>
  <c r="I109" i="2"/>
  <c r="M109" i="2" s="1"/>
  <c r="G109" i="2"/>
  <c r="J109" i="2" s="1"/>
  <c r="L109" i="2" s="1"/>
  <c r="A49" i="2"/>
  <c r="A56" i="2" s="1"/>
  <c r="A63" i="2" s="1"/>
  <c r="A70" i="2" s="1"/>
  <c r="A77" i="2" s="1"/>
  <c r="A84" i="2" s="1"/>
  <c r="A91" i="2" s="1"/>
  <c r="A98" i="2" s="1"/>
  <c r="A105" i="2" s="1"/>
  <c r="A112" i="2" s="1"/>
  <c r="A119" i="2" s="1"/>
  <c r="A126" i="2" s="1"/>
  <c r="W99" i="2"/>
  <c r="I50" i="2"/>
  <c r="M50" i="2" s="1"/>
  <c r="G50" i="2"/>
  <c r="J50" i="2" s="1"/>
  <c r="I31" i="2"/>
  <c r="M31" i="2" s="1"/>
  <c r="G31" i="2"/>
  <c r="J31" i="2" s="1"/>
  <c r="L31" i="2" s="1"/>
  <c r="G30" i="2"/>
  <c r="J30" i="2" s="1"/>
  <c r="L30" i="2" s="1"/>
  <c r="I30" i="2"/>
  <c r="M30" i="2" s="1"/>
  <c r="G33" i="2"/>
  <c r="J33" i="2" s="1"/>
  <c r="L33" i="2" s="1"/>
  <c r="I33" i="2"/>
  <c r="M33" i="2" s="1"/>
  <c r="I29" i="2"/>
  <c r="M29" i="2" s="1"/>
  <c r="G29" i="2"/>
  <c r="J29" i="2" s="1"/>
  <c r="W29" i="2" s="1"/>
  <c r="I32" i="2"/>
  <c r="M32" i="2" s="1"/>
  <c r="G32" i="2"/>
  <c r="J32" i="2" s="1"/>
  <c r="L32" i="2" s="1"/>
  <c r="H5" i="4"/>
  <c r="H6" i="4"/>
  <c r="H7" i="4"/>
  <c r="H8" i="4"/>
  <c r="H10" i="4"/>
  <c r="H16" i="4"/>
  <c r="H35" i="4" s="1"/>
  <c r="G6" i="4"/>
  <c r="G7" i="4"/>
  <c r="G8" i="4"/>
  <c r="G10" i="4"/>
  <c r="G16" i="4"/>
  <c r="G35" i="4" s="1"/>
  <c r="G5" i="4"/>
  <c r="D251" i="2"/>
  <c r="G73" i="2"/>
  <c r="J73" i="2" s="1"/>
  <c r="L73" i="2" s="1"/>
  <c r="D240" i="2"/>
  <c r="E240" i="2" s="1"/>
  <c r="I8" i="2"/>
  <c r="D33" i="4"/>
  <c r="G87" i="2"/>
  <c r="J87" i="2" s="1"/>
  <c r="L87" i="2" s="1"/>
  <c r="I73" i="2"/>
  <c r="I10" i="2"/>
  <c r="I82" i="2"/>
  <c r="M82" i="2" s="1"/>
  <c r="G75" i="2"/>
  <c r="J75" i="2" s="1"/>
  <c r="L75" i="2" s="1"/>
  <c r="I75" i="2"/>
  <c r="M33" i="4"/>
  <c r="I78" i="2"/>
  <c r="F240" i="2"/>
  <c r="G240" i="2" s="1"/>
  <c r="D236" i="2"/>
  <c r="E236" i="2" s="1"/>
  <c r="P33" i="4"/>
  <c r="G78" i="2"/>
  <c r="J78" i="2" s="1"/>
  <c r="G82" i="2"/>
  <c r="J82" i="2" s="1"/>
  <c r="L82" i="2" s="1"/>
  <c r="G8" i="2"/>
  <c r="J8" i="2" s="1"/>
  <c r="L8" i="2" s="1"/>
  <c r="G7" i="2"/>
  <c r="J7" i="2" s="1"/>
  <c r="L7" i="2" s="1"/>
  <c r="D237" i="2"/>
  <c r="E237" i="2" s="1"/>
  <c r="N33" i="4"/>
  <c r="I85" i="2"/>
  <c r="M85" i="2" s="1"/>
  <c r="G85" i="2"/>
  <c r="J85" i="2" s="1"/>
  <c r="I79" i="2"/>
  <c r="M79" i="2" s="1"/>
  <c r="G79" i="2"/>
  <c r="J79" i="2" s="1"/>
  <c r="L79" i="2" s="1"/>
  <c r="F33" i="4"/>
  <c r="G10" i="2"/>
  <c r="J10" i="2" s="1"/>
  <c r="L10" i="2" s="1"/>
  <c r="I71" i="2"/>
  <c r="M71" i="2" s="1"/>
  <c r="G74" i="2"/>
  <c r="J74" i="2" s="1"/>
  <c r="L74" i="2" s="1"/>
  <c r="I157" i="2"/>
  <c r="M157" i="2" s="1"/>
  <c r="G157" i="2"/>
  <c r="J157" i="2" s="1"/>
  <c r="I155" i="2"/>
  <c r="M155" i="2" s="1"/>
  <c r="G155" i="2"/>
  <c r="J155" i="2" s="1"/>
  <c r="W155" i="2" s="1"/>
  <c r="I159" i="2"/>
  <c r="M159" i="2" s="1"/>
  <c r="G159" i="2"/>
  <c r="J159" i="2" s="1"/>
  <c r="I158" i="2"/>
  <c r="M158" i="2" s="1"/>
  <c r="G158" i="2"/>
  <c r="J158" i="2" s="1"/>
  <c r="D235" i="2"/>
  <c r="E235" i="2" s="1"/>
  <c r="F236" i="2"/>
  <c r="G236" i="2" s="1"/>
  <c r="G237" i="2"/>
  <c r="G9" i="2"/>
  <c r="J9" i="2" s="1"/>
  <c r="L9" i="2" s="1"/>
  <c r="I9" i="2"/>
  <c r="M9" i="2" s="1"/>
  <c r="I88" i="2"/>
  <c r="M88" i="2" s="1"/>
  <c r="G88" i="2"/>
  <c r="J88" i="2" s="1"/>
  <c r="L88" i="2" s="1"/>
  <c r="G71" i="2"/>
  <c r="J71" i="2" s="1"/>
  <c r="I7" i="2"/>
  <c r="M7" i="2" s="1"/>
  <c r="I81" i="2"/>
  <c r="M81" i="2" s="1"/>
  <c r="G81" i="2"/>
  <c r="J81" i="2" s="1"/>
  <c r="L81" i="2" s="1"/>
  <c r="I74" i="2"/>
  <c r="M74" i="2" s="1"/>
  <c r="J33" i="4"/>
  <c r="I86" i="2"/>
  <c r="M86" i="2" s="1"/>
  <c r="G86" i="2"/>
  <c r="J86" i="2" s="1"/>
  <c r="L86" i="2" s="1"/>
  <c r="O33" i="4"/>
  <c r="I89" i="2"/>
  <c r="M89" i="2" s="1"/>
  <c r="G89" i="2"/>
  <c r="J89" i="2" s="1"/>
  <c r="L89" i="2" s="1"/>
  <c r="I87" i="2"/>
  <c r="M87" i="2" s="1"/>
  <c r="B21" i="13"/>
  <c r="N201" i="2"/>
  <c r="B28" i="13"/>
  <c r="N90" i="2"/>
  <c r="B14" i="13" s="1"/>
  <c r="N83" i="2"/>
  <c r="B13" i="13" s="1"/>
  <c r="Y33" i="4"/>
  <c r="W33" i="4"/>
  <c r="V33" i="4"/>
  <c r="X33" i="4"/>
  <c r="N146" i="2"/>
  <c r="B22" i="13" s="1"/>
  <c r="F235" i="2"/>
  <c r="F239" i="2"/>
  <c r="G238" i="2"/>
  <c r="D238" i="2"/>
  <c r="E238" i="2" s="1"/>
  <c r="D239" i="2"/>
  <c r="I136" i="2"/>
  <c r="M136" i="2" s="1"/>
  <c r="G136" i="2"/>
  <c r="U33" i="4"/>
  <c r="G134" i="2"/>
  <c r="I134" i="2"/>
  <c r="M134" i="2" s="1"/>
  <c r="G135" i="2"/>
  <c r="I135" i="2"/>
  <c r="M135" i="2" s="1"/>
  <c r="G137" i="2"/>
  <c r="J137" i="2" s="1"/>
  <c r="L137" i="2" s="1"/>
  <c r="I137" i="2"/>
  <c r="M137" i="2" s="1"/>
  <c r="T33" i="4"/>
  <c r="S33" i="4"/>
  <c r="R33" i="4"/>
  <c r="Q33" i="4"/>
  <c r="AD35" i="4" l="1"/>
  <c r="L203" i="2"/>
  <c r="W203" i="2"/>
  <c r="J202" i="2"/>
  <c r="W202" i="2" s="1"/>
  <c r="G210" i="2"/>
  <c r="I210" i="2"/>
  <c r="AD33" i="4"/>
  <c r="AD36" i="4"/>
  <c r="AD34" i="4"/>
  <c r="G235" i="2"/>
  <c r="F246" i="2"/>
  <c r="G72" i="2"/>
  <c r="J72" i="2" s="1"/>
  <c r="W72" i="2" s="1"/>
  <c r="I72" i="2"/>
  <c r="K72" i="2" s="1"/>
  <c r="I167" i="2"/>
  <c r="J161" i="2"/>
  <c r="W161" i="2" s="1"/>
  <c r="G167" i="2"/>
  <c r="J237" i="2"/>
  <c r="M237" i="2" s="1"/>
  <c r="L26" i="2"/>
  <c r="W26" i="2"/>
  <c r="I34" i="4"/>
  <c r="I39" i="4" s="1"/>
  <c r="I35" i="4"/>
  <c r="D35" i="4"/>
  <c r="D37" i="4" s="1"/>
  <c r="L91" i="2"/>
  <c r="W91" i="2"/>
  <c r="L20" i="2"/>
  <c r="W20" i="2"/>
  <c r="K206" i="2"/>
  <c r="M206" i="2"/>
  <c r="M207" i="2"/>
  <c r="K207" i="2"/>
  <c r="K203" i="2"/>
  <c r="M203" i="2"/>
  <c r="M204" i="2"/>
  <c r="K204" i="2"/>
  <c r="K202" i="2"/>
  <c r="M202" i="2"/>
  <c r="M205" i="2"/>
  <c r="K205" i="2"/>
  <c r="K149" i="2"/>
  <c r="M149" i="2"/>
  <c r="K140" i="2"/>
  <c r="M140" i="2"/>
  <c r="M145" i="2"/>
  <c r="K145" i="2"/>
  <c r="M164" i="2"/>
  <c r="K164" i="2"/>
  <c r="M151" i="2"/>
  <c r="K151" i="2"/>
  <c r="M152" i="2"/>
  <c r="K152" i="2"/>
  <c r="M150" i="2"/>
  <c r="K150" i="2"/>
  <c r="M141" i="2"/>
  <c r="K141" i="2"/>
  <c r="M161" i="2"/>
  <c r="K161" i="2"/>
  <c r="M148" i="2"/>
  <c r="K148" i="2"/>
  <c r="M142" i="2"/>
  <c r="K142" i="2"/>
  <c r="M163" i="2"/>
  <c r="K163" i="2"/>
  <c r="M144" i="2"/>
  <c r="K144" i="2"/>
  <c r="K147" i="2"/>
  <c r="M147" i="2"/>
  <c r="K162" i="2"/>
  <c r="M162" i="2"/>
  <c r="M165" i="2"/>
  <c r="K165" i="2"/>
  <c r="M143" i="2"/>
  <c r="K143" i="2"/>
  <c r="K166" i="2"/>
  <c r="M166" i="2"/>
  <c r="K119" i="2"/>
  <c r="M119" i="2"/>
  <c r="K121" i="2"/>
  <c r="M121" i="2"/>
  <c r="M120" i="2"/>
  <c r="K120" i="2"/>
  <c r="M123" i="2"/>
  <c r="K123" i="2"/>
  <c r="M122" i="2"/>
  <c r="K122" i="2"/>
  <c r="K124" i="2"/>
  <c r="M124" i="2"/>
  <c r="K115" i="2"/>
  <c r="M115" i="2"/>
  <c r="M114" i="2"/>
  <c r="K114" i="2"/>
  <c r="K113" i="2"/>
  <c r="M113" i="2"/>
  <c r="K112" i="2"/>
  <c r="M112" i="2"/>
  <c r="M116" i="2"/>
  <c r="K116" i="2"/>
  <c r="M117" i="2"/>
  <c r="K117" i="2"/>
  <c r="M96" i="2"/>
  <c r="K96" i="2"/>
  <c r="K94" i="2"/>
  <c r="M94" i="2"/>
  <c r="K93" i="2"/>
  <c r="M93" i="2"/>
  <c r="K92" i="2"/>
  <c r="M92" i="2"/>
  <c r="M91" i="2"/>
  <c r="K91" i="2"/>
  <c r="K95" i="2"/>
  <c r="M95" i="2"/>
  <c r="L57" i="2"/>
  <c r="W141" i="2"/>
  <c r="H36" i="4"/>
  <c r="G36" i="4"/>
  <c r="I36" i="4"/>
  <c r="M238" i="2"/>
  <c r="W144" i="2"/>
  <c r="O37" i="4"/>
  <c r="K129" i="2"/>
  <c r="M129" i="2"/>
  <c r="G132" i="2"/>
  <c r="J126" i="2"/>
  <c r="M126" i="2"/>
  <c r="K126" i="2"/>
  <c r="I132" i="2"/>
  <c r="M128" i="2"/>
  <c r="K128" i="2"/>
  <c r="M130" i="2"/>
  <c r="K130" i="2"/>
  <c r="M131" i="2"/>
  <c r="K131" i="2"/>
  <c r="M127" i="2"/>
  <c r="K127" i="2"/>
  <c r="M12" i="2"/>
  <c r="K12" i="2"/>
  <c r="M17" i="2"/>
  <c r="K17" i="2"/>
  <c r="M15" i="2"/>
  <c r="K15" i="2"/>
  <c r="K16" i="2"/>
  <c r="M16" i="2"/>
  <c r="K14" i="2"/>
  <c r="M14" i="2"/>
  <c r="M13" i="2"/>
  <c r="K13" i="2"/>
  <c r="G42" i="2"/>
  <c r="J42" i="2" s="1"/>
  <c r="I49" i="2"/>
  <c r="M49" i="2" s="1"/>
  <c r="I133" i="2"/>
  <c r="M133" i="2" s="1"/>
  <c r="I84" i="2"/>
  <c r="J64" i="2"/>
  <c r="W64" i="2" s="1"/>
  <c r="G49" i="2"/>
  <c r="J49" i="2" s="1"/>
  <c r="W49" i="2" s="1"/>
  <c r="G133" i="2"/>
  <c r="J133" i="2" s="1"/>
  <c r="W133" i="2" s="1"/>
  <c r="G77" i="2"/>
  <c r="J77" i="2" s="1"/>
  <c r="I77" i="2"/>
  <c r="M77" i="2" s="1"/>
  <c r="I42" i="2"/>
  <c r="M42" i="2" s="1"/>
  <c r="D48" i="2"/>
  <c r="H8" i="13" s="1"/>
  <c r="I19" i="2"/>
  <c r="M19" i="2" s="1"/>
  <c r="G154" i="2"/>
  <c r="J154" i="2" s="1"/>
  <c r="W154" i="2" s="1"/>
  <c r="I105" i="2"/>
  <c r="M105" i="2" s="1"/>
  <c r="G28" i="2"/>
  <c r="J28" i="2" s="1"/>
  <c r="H26" i="13"/>
  <c r="H14" i="13"/>
  <c r="W147" i="2"/>
  <c r="I154" i="2"/>
  <c r="M154" i="2" s="1"/>
  <c r="I28" i="2"/>
  <c r="M28" i="2" s="1"/>
  <c r="G84" i="2"/>
  <c r="G90" i="2" s="1"/>
  <c r="I156" i="2"/>
  <c r="M156" i="2" s="1"/>
  <c r="G105" i="2"/>
  <c r="J105" i="2" s="1"/>
  <c r="D160" i="2"/>
  <c r="H24" i="13" s="1"/>
  <c r="D27" i="2"/>
  <c r="H5" i="13" s="1"/>
  <c r="I56" i="2"/>
  <c r="M56" i="2" s="1"/>
  <c r="G19" i="2"/>
  <c r="J19" i="2" s="1"/>
  <c r="G156" i="2"/>
  <c r="J156" i="2" s="1"/>
  <c r="W156" i="2" s="1"/>
  <c r="E62" i="2"/>
  <c r="J235" i="2"/>
  <c r="H30" i="13"/>
  <c r="C37" i="4"/>
  <c r="W152" i="2"/>
  <c r="W180" i="2"/>
  <c r="P40" i="4"/>
  <c r="K16" i="13" s="1"/>
  <c r="P37" i="4"/>
  <c r="W129" i="2"/>
  <c r="W170" i="2"/>
  <c r="W151" i="2"/>
  <c r="W93" i="2"/>
  <c r="W159" i="2"/>
  <c r="L159" i="2"/>
  <c r="W157" i="2"/>
  <c r="L157" i="2"/>
  <c r="W206" i="2"/>
  <c r="W96" i="2"/>
  <c r="W181" i="2"/>
  <c r="W182" i="2"/>
  <c r="W78" i="2"/>
  <c r="L78" i="2"/>
  <c r="K75" i="2"/>
  <c r="M75" i="2"/>
  <c r="K8" i="2"/>
  <c r="M8" i="2"/>
  <c r="W142" i="2"/>
  <c r="W145" i="2"/>
  <c r="Z40" i="4"/>
  <c r="K26" i="13" s="1"/>
  <c r="Z37" i="4"/>
  <c r="Y38" i="4"/>
  <c r="Y37" i="4"/>
  <c r="W130" i="2"/>
  <c r="W128" i="2"/>
  <c r="W196" i="2"/>
  <c r="W131" i="2"/>
  <c r="W95" i="2"/>
  <c r="W198" i="2"/>
  <c r="K78" i="2"/>
  <c r="M78" i="2"/>
  <c r="K73" i="2"/>
  <c r="M73" i="2"/>
  <c r="J38" i="4"/>
  <c r="J37" i="4"/>
  <c r="W38" i="4"/>
  <c r="W37" i="4"/>
  <c r="W92" i="2"/>
  <c r="W85" i="2"/>
  <c r="L85" i="2"/>
  <c r="W166" i="2"/>
  <c r="L29" i="2"/>
  <c r="W197" i="2"/>
  <c r="W150" i="2"/>
  <c r="W148" i="2"/>
  <c r="W94" i="2"/>
  <c r="W71" i="2"/>
  <c r="L71" i="2"/>
  <c r="W158" i="2"/>
  <c r="L158" i="2"/>
  <c r="L155" i="2"/>
  <c r="W207" i="2"/>
  <c r="K10" i="2"/>
  <c r="M10" i="2"/>
  <c r="W143" i="2"/>
  <c r="W50" i="2"/>
  <c r="L50" i="2"/>
  <c r="V38" i="4"/>
  <c r="V37" i="4"/>
  <c r="L43" i="2"/>
  <c r="AC40" i="4"/>
  <c r="K29" i="13" s="1"/>
  <c r="AC37" i="4"/>
  <c r="E239" i="2"/>
  <c r="D246" i="2"/>
  <c r="D6" i="11" s="1"/>
  <c r="G239" i="2"/>
  <c r="X39" i="4"/>
  <c r="X40" i="4"/>
  <c r="O39" i="4"/>
  <c r="AD39" i="4"/>
  <c r="B29" i="13"/>
  <c r="K26" i="2"/>
  <c r="K22" i="2"/>
  <c r="K20" i="2"/>
  <c r="W21" i="2"/>
  <c r="W23" i="2"/>
  <c r="W22" i="2"/>
  <c r="K21" i="2"/>
  <c r="K23" i="2"/>
  <c r="J135" i="2"/>
  <c r="J134" i="2"/>
  <c r="L134" i="2" s="1"/>
  <c r="J136" i="2"/>
  <c r="L136" i="2" s="1"/>
  <c r="K60" i="2"/>
  <c r="J56" i="2"/>
  <c r="W56" i="2" s="1"/>
  <c r="G62" i="2"/>
  <c r="K61" i="2"/>
  <c r="K59" i="2"/>
  <c r="K57" i="2"/>
  <c r="K58" i="2"/>
  <c r="G34" i="4"/>
  <c r="G39" i="4" s="1"/>
  <c r="W106" i="2"/>
  <c r="W120" i="2"/>
  <c r="W113" i="2"/>
  <c r="W46" i="2"/>
  <c r="A133" i="2"/>
  <c r="A140" i="2" s="1"/>
  <c r="A147" i="2" s="1"/>
  <c r="A154" i="2" s="1"/>
  <c r="A161" i="2" s="1"/>
  <c r="A168" i="2" s="1"/>
  <c r="K47" i="2"/>
  <c r="K43" i="2"/>
  <c r="K45" i="2"/>
  <c r="K46" i="2"/>
  <c r="K44" i="2"/>
  <c r="K39" i="2"/>
  <c r="K40" i="2"/>
  <c r="D34" i="4"/>
  <c r="D39" i="4" s="1"/>
  <c r="I37" i="2"/>
  <c r="M37" i="2" s="1"/>
  <c r="G37" i="2"/>
  <c r="J37" i="2" s="1"/>
  <c r="L37" i="2" s="1"/>
  <c r="I36" i="2"/>
  <c r="M36" i="2" s="1"/>
  <c r="G36" i="2"/>
  <c r="J36" i="2" s="1"/>
  <c r="L36" i="2" s="1"/>
  <c r="I38" i="2"/>
  <c r="M38" i="2" s="1"/>
  <c r="G38" i="2"/>
  <c r="J38" i="2" s="1"/>
  <c r="L38" i="2" s="1"/>
  <c r="I35" i="2"/>
  <c r="M35" i="2" s="1"/>
  <c r="D41" i="2"/>
  <c r="H7" i="13" s="1"/>
  <c r="G35" i="2"/>
  <c r="I33" i="4"/>
  <c r="K64" i="2"/>
  <c r="K65" i="2"/>
  <c r="K67" i="2"/>
  <c r="K66" i="2"/>
  <c r="H11" i="13"/>
  <c r="I63" i="2"/>
  <c r="I69" i="2" s="1"/>
  <c r="G63" i="2"/>
  <c r="J63" i="2" s="1"/>
  <c r="W63" i="2" s="1"/>
  <c r="D62" i="2"/>
  <c r="K68" i="2"/>
  <c r="G68" i="2"/>
  <c r="J68" i="2" s="1"/>
  <c r="L68" i="2" s="1"/>
  <c r="H34" i="4"/>
  <c r="H39" i="4" s="1"/>
  <c r="K108" i="2"/>
  <c r="K107" i="2"/>
  <c r="K110" i="2"/>
  <c r="K109" i="2"/>
  <c r="K106" i="2"/>
  <c r="M240" i="2"/>
  <c r="N240" i="2" s="1"/>
  <c r="N104" i="2"/>
  <c r="B16" i="13" s="1"/>
  <c r="B34" i="13" s="1"/>
  <c r="W137" i="2"/>
  <c r="C248" i="2"/>
  <c r="D5" i="11" s="1"/>
  <c r="W79" i="2"/>
  <c r="W65" i="2"/>
  <c r="W40" i="2"/>
  <c r="W30" i="2"/>
  <c r="W116" i="2"/>
  <c r="W117" i="2"/>
  <c r="W89" i="2"/>
  <c r="W66" i="2"/>
  <c r="W81" i="2"/>
  <c r="W110" i="2"/>
  <c r="W75" i="2"/>
  <c r="W32" i="2"/>
  <c r="W33" i="2"/>
  <c r="W39" i="2"/>
  <c r="W100" i="2"/>
  <c r="W114" i="2"/>
  <c r="W67" i="2"/>
  <c r="W74" i="2"/>
  <c r="W107" i="2"/>
  <c r="W31" i="2"/>
  <c r="W115" i="2"/>
  <c r="W109" i="2"/>
  <c r="W86" i="2"/>
  <c r="W88" i="2"/>
  <c r="W82" i="2"/>
  <c r="W87" i="2"/>
  <c r="W73" i="2"/>
  <c r="W102" i="2"/>
  <c r="W101" i="2"/>
  <c r="W103" i="2"/>
  <c r="W16" i="2"/>
  <c r="W14" i="2"/>
  <c r="W17" i="2"/>
  <c r="W15" i="2"/>
  <c r="W9" i="2"/>
  <c r="W8" i="2"/>
  <c r="W10" i="2"/>
  <c r="W7" i="2"/>
  <c r="H33" i="4"/>
  <c r="K29" i="2"/>
  <c r="K30" i="2"/>
  <c r="K31" i="2"/>
  <c r="K32" i="2"/>
  <c r="K33" i="2"/>
  <c r="K50" i="2"/>
  <c r="I54" i="2"/>
  <c r="M54" i="2" s="1"/>
  <c r="G54" i="2"/>
  <c r="J54" i="2" s="1"/>
  <c r="L54" i="2" s="1"/>
  <c r="I52" i="2"/>
  <c r="M52" i="2" s="1"/>
  <c r="G52" i="2"/>
  <c r="J52" i="2" s="1"/>
  <c r="L52" i="2" s="1"/>
  <c r="I53" i="2"/>
  <c r="M53" i="2" s="1"/>
  <c r="G53" i="2"/>
  <c r="J53" i="2" s="1"/>
  <c r="L53" i="2" s="1"/>
  <c r="I51" i="2"/>
  <c r="M51" i="2" s="1"/>
  <c r="G51" i="2"/>
  <c r="D55" i="2"/>
  <c r="H9" i="13" s="1"/>
  <c r="H13" i="13"/>
  <c r="G33" i="4"/>
  <c r="H21" i="13"/>
  <c r="H22" i="13"/>
  <c r="H12" i="13"/>
  <c r="H4" i="13"/>
  <c r="C39" i="4"/>
  <c r="C38" i="4"/>
  <c r="D125" i="2"/>
  <c r="C40" i="4"/>
  <c r="G80" i="2"/>
  <c r="J80" i="2" s="1"/>
  <c r="L80" i="2" s="1"/>
  <c r="H18" i="13"/>
  <c r="I80" i="2"/>
  <c r="M80" i="2" s="1"/>
  <c r="D97" i="2"/>
  <c r="P38" i="4"/>
  <c r="K82" i="2"/>
  <c r="G6" i="2"/>
  <c r="J6" i="2" s="1"/>
  <c r="R40" i="4"/>
  <c r="K18" i="13" s="1"/>
  <c r="R38" i="4"/>
  <c r="Q38" i="4"/>
  <c r="Q40" i="4"/>
  <c r="K17" i="13" s="1"/>
  <c r="N38" i="4"/>
  <c r="N40" i="4"/>
  <c r="K14" i="13" s="1"/>
  <c r="M40" i="4"/>
  <c r="K13" i="13" s="1"/>
  <c r="M38" i="4"/>
  <c r="E125" i="2"/>
  <c r="K71" i="2"/>
  <c r="K38" i="4"/>
  <c r="K40" i="4"/>
  <c r="K11" i="13" s="1"/>
  <c r="J40" i="4"/>
  <c r="K10" i="13" s="1"/>
  <c r="Z38" i="4"/>
  <c r="K79" i="2"/>
  <c r="K85" i="2"/>
  <c r="I138" i="2"/>
  <c r="I70" i="2"/>
  <c r="M70" i="2" s="1"/>
  <c r="E40" i="4"/>
  <c r="K5" i="13" s="1"/>
  <c r="E38" i="4"/>
  <c r="K159" i="2"/>
  <c r="K155" i="2"/>
  <c r="X38" i="4"/>
  <c r="K158" i="2"/>
  <c r="K157" i="2"/>
  <c r="L40" i="4"/>
  <c r="K12" i="13" s="1"/>
  <c r="L38" i="4"/>
  <c r="K74" i="2"/>
  <c r="K89" i="2"/>
  <c r="I6" i="2"/>
  <c r="M6" i="2" s="1"/>
  <c r="Y40" i="4"/>
  <c r="K25" i="13" s="1"/>
  <c r="E97" i="2"/>
  <c r="F40" i="4"/>
  <c r="K6" i="13" s="1"/>
  <c r="F38" i="4"/>
  <c r="K9" i="2"/>
  <c r="E104" i="2"/>
  <c r="H16" i="13" s="1"/>
  <c r="H6" i="13"/>
  <c r="O40" i="4"/>
  <c r="O38" i="4"/>
  <c r="G5" i="2"/>
  <c r="I5" i="2"/>
  <c r="K7" i="2"/>
  <c r="G138" i="2"/>
  <c r="K87" i="2"/>
  <c r="K86" i="2"/>
  <c r="K81" i="2"/>
  <c r="G70" i="2"/>
  <c r="K88" i="2"/>
  <c r="W40" i="4"/>
  <c r="K23" i="13" s="1"/>
  <c r="V40" i="4"/>
  <c r="K22" i="13" s="1"/>
  <c r="AC38" i="4"/>
  <c r="AB40" i="4"/>
  <c r="K28" i="13" s="1"/>
  <c r="AB38" i="4"/>
  <c r="D153" i="2"/>
  <c r="H23" i="13" s="1"/>
  <c r="AA40" i="4"/>
  <c r="K27" i="13" s="1"/>
  <c r="AA38" i="4"/>
  <c r="C3" i="13"/>
  <c r="U40" i="4"/>
  <c r="K21" i="13" s="1"/>
  <c r="U38" i="4"/>
  <c r="K135" i="2"/>
  <c r="K134" i="2"/>
  <c r="K137" i="2"/>
  <c r="K136" i="2"/>
  <c r="H20" i="13"/>
  <c r="T40" i="4"/>
  <c r="K20" i="13" s="1"/>
  <c r="T38" i="4"/>
  <c r="S40" i="4"/>
  <c r="K19" i="13" s="1"/>
  <c r="S38" i="4"/>
  <c r="R39" i="4"/>
  <c r="M210" i="2" l="1"/>
  <c r="K210" i="2"/>
  <c r="G76" i="2"/>
  <c r="L202" i="2"/>
  <c r="L210" i="2" s="1"/>
  <c r="J210" i="2"/>
  <c r="M72" i="2"/>
  <c r="M76" i="2" s="1"/>
  <c r="J246" i="2"/>
  <c r="E246" i="2"/>
  <c r="F251" i="2" s="1"/>
  <c r="G246" i="2"/>
  <c r="I251" i="2" s="1"/>
  <c r="K167" i="2"/>
  <c r="M167" i="2"/>
  <c r="L161" i="2"/>
  <c r="L167" i="2" s="1"/>
  <c r="J167" i="2"/>
  <c r="L19" i="2"/>
  <c r="L27" i="2" s="1"/>
  <c r="W19" i="2"/>
  <c r="W27" i="2" s="1"/>
  <c r="I76" i="2"/>
  <c r="L72" i="2"/>
  <c r="M5" i="2"/>
  <c r="M11" i="2" s="1"/>
  <c r="I11" i="2"/>
  <c r="G11" i="2"/>
  <c r="L133" i="2"/>
  <c r="L56" i="2"/>
  <c r="L62" i="2" s="1"/>
  <c r="M84" i="2"/>
  <c r="M90" i="2" s="1"/>
  <c r="I90" i="2"/>
  <c r="B35" i="4"/>
  <c r="J104" i="2"/>
  <c r="W98" i="2"/>
  <c r="W104" i="2" s="1"/>
  <c r="D16" i="13" s="1"/>
  <c r="B36" i="4"/>
  <c r="B33" i="4"/>
  <c r="L125" i="2"/>
  <c r="W119" i="2"/>
  <c r="B34" i="4"/>
  <c r="B39" i="4"/>
  <c r="L126" i="2"/>
  <c r="L132" i="2" s="1"/>
  <c r="J132" i="2"/>
  <c r="K132" i="2"/>
  <c r="I48" i="2"/>
  <c r="M132" i="2"/>
  <c r="K118" i="2"/>
  <c r="L49" i="2"/>
  <c r="K49" i="2"/>
  <c r="G48" i="2"/>
  <c r="J84" i="2"/>
  <c r="J90" i="2" s="1"/>
  <c r="G111" i="2"/>
  <c r="K56" i="2"/>
  <c r="K62" i="2" s="1"/>
  <c r="K77" i="2"/>
  <c r="J125" i="2"/>
  <c r="K84" i="2"/>
  <c r="K90" i="2" s="1"/>
  <c r="K133" i="2"/>
  <c r="G118" i="2"/>
  <c r="G125" i="2"/>
  <c r="G146" i="2"/>
  <c r="K42" i="2"/>
  <c r="K48" i="2" s="1"/>
  <c r="I62" i="2"/>
  <c r="G34" i="2"/>
  <c r="K19" i="2"/>
  <c r="K27" i="2" s="1"/>
  <c r="L64" i="2"/>
  <c r="I34" i="2"/>
  <c r="G69" i="2"/>
  <c r="I118" i="2"/>
  <c r="K154" i="2"/>
  <c r="L104" i="2"/>
  <c r="I111" i="2"/>
  <c r="K105" i="2"/>
  <c r="K111" i="2" s="1"/>
  <c r="H10" i="13"/>
  <c r="M160" i="2"/>
  <c r="L156" i="2"/>
  <c r="K146" i="2"/>
  <c r="I160" i="2"/>
  <c r="G160" i="2"/>
  <c r="I146" i="2"/>
  <c r="K28" i="2"/>
  <c r="K34" i="2" s="1"/>
  <c r="K156" i="2"/>
  <c r="H28" i="13"/>
  <c r="W195" i="2"/>
  <c r="W201" i="2" s="1"/>
  <c r="L154" i="2"/>
  <c r="W160" i="2"/>
  <c r="W164" i="2"/>
  <c r="W163" i="2"/>
  <c r="W178" i="2"/>
  <c r="W105" i="2"/>
  <c r="L105" i="2"/>
  <c r="L111" i="2" s="1"/>
  <c r="M63" i="2"/>
  <c r="M69" i="2" s="1"/>
  <c r="G40" i="4"/>
  <c r="K7" i="13" s="1"/>
  <c r="G37" i="4"/>
  <c r="W204" i="2"/>
  <c r="W6" i="2"/>
  <c r="L6" i="2"/>
  <c r="W126" i="2"/>
  <c r="W12" i="2"/>
  <c r="W140" i="2"/>
  <c r="W146" i="2" s="1"/>
  <c r="D22" i="13" s="1"/>
  <c r="L146" i="2"/>
  <c r="W171" i="2"/>
  <c r="W172" i="2"/>
  <c r="I38" i="4"/>
  <c r="I37" i="4"/>
  <c r="W42" i="2"/>
  <c r="L42" i="2"/>
  <c r="L48" i="2" s="1"/>
  <c r="W135" i="2"/>
  <c r="L135" i="2"/>
  <c r="W127" i="2"/>
  <c r="W162" i="2"/>
  <c r="W173" i="2"/>
  <c r="AD38" i="4"/>
  <c r="AD37" i="4"/>
  <c r="W179" i="2"/>
  <c r="W77" i="2"/>
  <c r="L77" i="2"/>
  <c r="W13" i="2"/>
  <c r="W97" i="2"/>
  <c r="D15" i="13" s="1"/>
  <c r="I139" i="2"/>
  <c r="M138" i="2"/>
  <c r="M139" i="2" s="1"/>
  <c r="W205" i="2"/>
  <c r="W165" i="2"/>
  <c r="W28" i="2"/>
  <c r="W34" i="2" s="1"/>
  <c r="L28" i="2"/>
  <c r="L34" i="2" s="1"/>
  <c r="W169" i="2"/>
  <c r="H40" i="4"/>
  <c r="K8" i="13" s="1"/>
  <c r="H37" i="4"/>
  <c r="W112" i="2"/>
  <c r="W118" i="2" s="1"/>
  <c r="D18" i="13" s="1"/>
  <c r="L118" i="2"/>
  <c r="J160" i="2"/>
  <c r="K24" i="13"/>
  <c r="K15" i="13"/>
  <c r="AD40" i="4"/>
  <c r="K30" i="13" s="1"/>
  <c r="W216" i="2"/>
  <c r="W215" i="2"/>
  <c r="W214" i="2"/>
  <c r="W223" i="2"/>
  <c r="C4" i="13"/>
  <c r="A177" i="2"/>
  <c r="A186" i="2" s="1"/>
  <c r="A193" i="2" s="1"/>
  <c r="A202" i="2" s="1"/>
  <c r="W124" i="2"/>
  <c r="W121" i="2"/>
  <c r="W122" i="2"/>
  <c r="J138" i="2"/>
  <c r="W136" i="2"/>
  <c r="W134" i="2"/>
  <c r="W123" i="2"/>
  <c r="D40" i="4"/>
  <c r="K4" i="13" s="1"/>
  <c r="J62" i="2"/>
  <c r="M62" i="2"/>
  <c r="W36" i="2"/>
  <c r="J97" i="2"/>
  <c r="D38" i="4"/>
  <c r="J118" i="2"/>
  <c r="M118" i="2"/>
  <c r="W59" i="2"/>
  <c r="M48" i="2"/>
  <c r="J48" i="2"/>
  <c r="W60" i="2"/>
  <c r="W38" i="2"/>
  <c r="I41" i="2"/>
  <c r="K35" i="2"/>
  <c r="K36" i="2"/>
  <c r="G41" i="2"/>
  <c r="J35" i="2"/>
  <c r="K38" i="2"/>
  <c r="K37" i="2"/>
  <c r="W37" i="2"/>
  <c r="I40" i="4"/>
  <c r="K9" i="13" s="1"/>
  <c r="W68" i="2"/>
  <c r="K63" i="2"/>
  <c r="K69" i="2" s="1"/>
  <c r="H38" i="4"/>
  <c r="M111" i="2"/>
  <c r="J111" i="2"/>
  <c r="G38" i="4"/>
  <c r="H29" i="13"/>
  <c r="N238" i="2"/>
  <c r="J146" i="2"/>
  <c r="W108" i="2"/>
  <c r="W47" i="2"/>
  <c r="W53" i="2"/>
  <c r="W80" i="2"/>
  <c r="W52" i="2"/>
  <c r="W61" i="2"/>
  <c r="W45" i="2"/>
  <c r="W54" i="2"/>
  <c r="J34" i="2"/>
  <c r="M34" i="2"/>
  <c r="I55" i="2"/>
  <c r="K51" i="2"/>
  <c r="K54" i="2"/>
  <c r="K53" i="2"/>
  <c r="J51" i="2"/>
  <c r="L51" i="2" s="1"/>
  <c r="G55" i="2"/>
  <c r="K52" i="2"/>
  <c r="B252" i="2"/>
  <c r="C252" i="2"/>
  <c r="H25" i="13"/>
  <c r="H15" i="13"/>
  <c r="H19" i="13"/>
  <c r="H17" i="13"/>
  <c r="H3" i="13"/>
  <c r="K3" i="13"/>
  <c r="I83" i="2"/>
  <c r="K80" i="2"/>
  <c r="I125" i="2"/>
  <c r="M125" i="2"/>
  <c r="G104" i="2"/>
  <c r="G83" i="2"/>
  <c r="K239" i="2"/>
  <c r="J27" i="2"/>
  <c r="K238" i="2"/>
  <c r="L238" i="2" s="1"/>
  <c r="I27" i="2"/>
  <c r="M27" i="2"/>
  <c r="K138" i="2"/>
  <c r="M239" i="2"/>
  <c r="G27" i="2"/>
  <c r="N237" i="2"/>
  <c r="K70" i="2"/>
  <c r="K76" i="2" s="1"/>
  <c r="K240" i="2"/>
  <c r="L240" i="2" s="1"/>
  <c r="G139" i="2"/>
  <c r="G18" i="2"/>
  <c r="J83" i="2"/>
  <c r="K6" i="2"/>
  <c r="J70" i="2"/>
  <c r="J76" i="2" s="1"/>
  <c r="J5" i="2"/>
  <c r="I104" i="2"/>
  <c r="M146" i="2" s="1"/>
  <c r="M18" i="2"/>
  <c r="K18" i="2"/>
  <c r="K236" i="2"/>
  <c r="L236" i="2" s="1"/>
  <c r="M83" i="2"/>
  <c r="I97" i="2"/>
  <c r="K5" i="2"/>
  <c r="J18" i="2"/>
  <c r="G97" i="2"/>
  <c r="I18" i="2"/>
  <c r="M236" i="2"/>
  <c r="N236" i="2" s="1"/>
  <c r="K237" i="2"/>
  <c r="L237" i="2" s="1"/>
  <c r="G153" i="2"/>
  <c r="I153" i="2"/>
  <c r="M153" i="2"/>
  <c r="D7" i="11"/>
  <c r="G251" i="2"/>
  <c r="W210" i="2" l="1"/>
  <c r="K34" i="13"/>
  <c r="W185" i="2"/>
  <c r="D29" i="13"/>
  <c r="D9" i="11"/>
  <c r="D8" i="11"/>
  <c r="W176" i="2"/>
  <c r="O176" i="2" s="1"/>
  <c r="F26" i="13" s="1"/>
  <c r="W167" i="2"/>
  <c r="O167" i="2" s="1"/>
  <c r="F25" i="13" s="1"/>
  <c r="K11" i="2"/>
  <c r="W5" i="2"/>
  <c r="W11" i="2" s="1"/>
  <c r="J11" i="2"/>
  <c r="W83" i="2"/>
  <c r="D13" i="13" s="1"/>
  <c r="L84" i="2"/>
  <c r="L90" i="2" s="1"/>
  <c r="B38" i="4"/>
  <c r="B37" i="4"/>
  <c r="B40" i="4"/>
  <c r="K83" i="2"/>
  <c r="K139" i="2"/>
  <c r="W84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K153" i="2"/>
  <c r="K160" i="2"/>
  <c r="L63" i="2"/>
  <c r="L69" i="2" s="1"/>
  <c r="J69" i="2"/>
  <c r="L160" i="2"/>
  <c r="O201" i="2"/>
  <c r="F29" i="13" s="1"/>
  <c r="K97" i="2"/>
  <c r="W18" i="2"/>
  <c r="O18" i="2" s="1"/>
  <c r="F4" i="13" s="1"/>
  <c r="D30" i="13"/>
  <c r="W132" i="2"/>
  <c r="D27" i="13"/>
  <c r="W70" i="2"/>
  <c r="L70" i="2"/>
  <c r="L76" i="2" s="1"/>
  <c r="J139" i="2"/>
  <c r="L138" i="2"/>
  <c r="L139" i="2" s="1"/>
  <c r="L5" i="2"/>
  <c r="L11" i="2" s="1"/>
  <c r="W35" i="2"/>
  <c r="W41" i="2" s="1"/>
  <c r="D7" i="13" s="1"/>
  <c r="L35" i="2"/>
  <c r="L41" i="2" s="1"/>
  <c r="J153" i="2"/>
  <c r="L153" i="2"/>
  <c r="N239" i="2"/>
  <c r="L239" i="2"/>
  <c r="W213" i="2"/>
  <c r="W218" i="2"/>
  <c r="W224" i="2" s="1"/>
  <c r="D24" i="13"/>
  <c r="O160" i="2"/>
  <c r="F24" i="13" s="1"/>
  <c r="D6" i="13"/>
  <c r="D5" i="13"/>
  <c r="W138" i="2"/>
  <c r="W139" i="2" s="1"/>
  <c r="D21" i="13" s="1"/>
  <c r="W125" i="2"/>
  <c r="O104" i="2"/>
  <c r="F16" i="13" s="1"/>
  <c r="M41" i="2"/>
  <c r="J41" i="2"/>
  <c r="K41" i="2"/>
  <c r="W58" i="2"/>
  <c r="W62" i="2" s="1"/>
  <c r="O118" i="2"/>
  <c r="F18" i="13" s="1"/>
  <c r="O34" i="2"/>
  <c r="F6" i="13" s="1"/>
  <c r="O146" i="2"/>
  <c r="F22" i="13" s="1"/>
  <c r="W51" i="2"/>
  <c r="W55" i="2" s="1"/>
  <c r="D9" i="13" s="1"/>
  <c r="J55" i="2"/>
  <c r="W44" i="2"/>
  <c r="W48" i="2" s="1"/>
  <c r="D8" i="13" s="1"/>
  <c r="L18" i="2"/>
  <c r="W111" i="2"/>
  <c r="D17" i="13" s="1"/>
  <c r="O27" i="2"/>
  <c r="F5" i="13" s="1"/>
  <c r="L83" i="2"/>
  <c r="W149" i="2"/>
  <c r="M55" i="2"/>
  <c r="L55" i="2"/>
  <c r="K55" i="2"/>
  <c r="M97" i="2"/>
  <c r="K125" i="2"/>
  <c r="K104" i="2"/>
  <c r="M104" i="2"/>
  <c r="D252" i="2"/>
  <c r="C34" i="13" l="1"/>
  <c r="D28" i="13"/>
  <c r="W76" i="2"/>
  <c r="D12" i="13" s="1"/>
  <c r="W90" i="2"/>
  <c r="D14" i="13" s="1"/>
  <c r="D20" i="13"/>
  <c r="O132" i="2"/>
  <c r="F20" i="13" s="1"/>
  <c r="O83" i="2"/>
  <c r="F13" i="13" s="1"/>
  <c r="W69" i="2"/>
  <c r="O69" i="2" s="1"/>
  <c r="F11" i="13" s="1"/>
  <c r="D4" i="13"/>
  <c r="O210" i="2"/>
  <c r="F30" i="13" s="1"/>
  <c r="D25" i="13"/>
  <c r="D26" i="13"/>
  <c r="O185" i="2"/>
  <c r="F27" i="13" s="1"/>
  <c r="D3" i="13"/>
  <c r="W217" i="2"/>
  <c r="D19" i="13"/>
  <c r="O125" i="2"/>
  <c r="F19" i="13" s="1"/>
  <c r="O41" i="2"/>
  <c r="F7" i="13" s="1"/>
  <c r="O139" i="2"/>
  <c r="F21" i="13" s="1"/>
  <c r="O48" i="2"/>
  <c r="F8" i="13" s="1"/>
  <c r="D10" i="13"/>
  <c r="O111" i="2"/>
  <c r="F17" i="13" s="1"/>
  <c r="W153" i="2"/>
  <c r="O11" i="2"/>
  <c r="F3" i="13" s="1"/>
  <c r="O55" i="2"/>
  <c r="F9" i="13" s="1"/>
  <c r="G252" i="2"/>
  <c r="F252" i="2"/>
  <c r="I252" i="2"/>
  <c r="F28" i="13" l="1"/>
  <c r="O76" i="2"/>
  <c r="F12" i="13" s="1"/>
  <c r="O90" i="2"/>
  <c r="F14" i="13" s="1"/>
  <c r="D11" i="13"/>
  <c r="D23" i="13"/>
  <c r="O153" i="2"/>
  <c r="F23" i="13" s="1"/>
  <c r="O62" i="2"/>
  <c r="F10" i="13" s="1"/>
  <c r="E3" i="13"/>
  <c r="L97" i="2"/>
  <c r="O97" i="2"/>
  <c r="D34" i="13" l="1"/>
  <c r="E4" i="13"/>
  <c r="E5" i="13" s="1"/>
  <c r="E6" i="13" s="1"/>
  <c r="E7" i="13" s="1"/>
  <c r="E8" i="13" s="1"/>
  <c r="E9" i="13" s="1"/>
  <c r="E10" i="13" s="1"/>
  <c r="E11" i="13" s="1"/>
  <c r="F15" i="13"/>
  <c r="F34" i="13" s="1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4" i="13" l="1"/>
  <c r="I235" i="2"/>
  <c r="I246" i="2" s="1"/>
  <c r="J253" i="2" l="1"/>
  <c r="C5" i="11" s="1"/>
  <c r="B5" i="11" s="1"/>
  <c r="G248" i="2"/>
  <c r="K235" i="2"/>
  <c r="K246" i="2" s="1"/>
  <c r="M235" i="2"/>
  <c r="M246" i="2" s="1"/>
  <c r="L235" i="2" l="1"/>
  <c r="C6" i="11"/>
  <c r="B6" i="11" s="1"/>
  <c r="N235" i="2"/>
  <c r="C7" i="11"/>
  <c r="B7" i="11" s="1"/>
  <c r="W231" i="2"/>
  <c r="W235" i="2" s="1"/>
  <c r="N246" i="2" l="1"/>
  <c r="C9" i="11" s="1"/>
  <c r="B9" i="11" s="1"/>
  <c r="L246" i="2"/>
  <c r="C8" i="11" s="1"/>
  <c r="B8" i="11" s="1"/>
  <c r="H27" i="13" l="1"/>
  <c r="H34" i="13" s="1"/>
</calcChain>
</file>

<file path=xl/comments1.xml><?xml version="1.0" encoding="utf-8"?>
<comments xmlns="http://schemas.openxmlformats.org/spreadsheetml/2006/main">
  <authors>
    <author>Autor</author>
  </authors>
  <commentList>
    <comment ref="T16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12097</t>
        </r>
      </text>
    </comment>
    <comment ref="T17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12149</t>
        </r>
      </text>
    </comment>
    <comment ref="T18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12156</t>
        </r>
      </text>
    </comment>
    <comment ref="T18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12157</t>
        </r>
      </text>
    </comment>
    <comment ref="T19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12192</t>
        </r>
      </text>
    </comment>
    <comment ref="T1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12193</t>
        </r>
      </text>
    </comment>
    <comment ref="T20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12216</t>
        </r>
      </text>
    </comment>
    <comment ref="T20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12217</t>
        </r>
      </text>
    </comment>
  </commentList>
</comments>
</file>

<file path=xl/sharedStrings.xml><?xml version="1.0" encoding="utf-8"?>
<sst xmlns="http://schemas.openxmlformats.org/spreadsheetml/2006/main" count="676" uniqueCount="182">
  <si>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</si>
  <si>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</si>
  <si>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</si>
  <si>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</si>
  <si>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</si>
  <si>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</si>
  <si>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</si>
  <si>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</si>
  <si>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</si>
  <si>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</si>
  <si>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</si>
  <si>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</si>
  <si>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</si>
  <si>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</si>
  <si>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</si>
  <si>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</si>
  <si>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</si>
  <si>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</si>
  <si>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</si>
  <si>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</si>
  <si>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</si>
  <si>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</si>
  <si>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</si>
  <si>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</si>
  <si>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</si>
  <si>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</si>
  <si>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</si>
  <si>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</si>
  <si>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</si>
  <si>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</si>
  <si>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</si>
  <si>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</si>
  <si>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</si>
  <si>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</si>
  <si>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</si>
  <si>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</si>
  <si>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</si>
  <si>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</si>
  <si>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</si>
  <si>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</si>
  <si>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</si>
  <si>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</si>
  <si>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</si>
  <si>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</si>
  <si>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</si>
  <si>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</si>
  <si>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</si>
  <si>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</si>
  <si>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</si>
  <si>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</si>
  <si>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</si>
  <si>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</si>
  <si>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</si>
  <si>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</si>
  <si>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</si>
  <si>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</si>
  <si>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</si>
  <si>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</si>
  <si>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</si>
  <si>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</si>
  <si>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</si>
  <si>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</si>
  <si>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</si>
  <si>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</si>
  <si>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</si>
  <si>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</si>
  <si>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</si>
  <si>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</si>
  <si>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</si>
  <si>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</si>
  <si>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</si>
  <si>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</si>
  <si>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</si>
  <si>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</si>
  <si>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</si>
  <si>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</si>
  <si>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</si>
  <si>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</si>
  <si>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</si>
  <si>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</si>
  <si>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</si>
  <si>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</si>
  <si>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</si>
  <si>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</si>
  <si>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</si>
  <si>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</si>
  <si>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</si>
  <si>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</si>
  <si>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</si>
  <si>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</si>
  <si>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</si>
  <si>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</si>
  <si>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</si>
  <si>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</si>
  <si>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</si>
  <si>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</si>
  <si>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</si>
  <si>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</si>
  <si>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</si>
  <si>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</si>
  <si>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</si>
  <si>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</si>
  <si>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</si>
  <si>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</si>
  <si>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</si>
  <si>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</si>
  <si>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</si>
  <si>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</si>
  <si>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</si>
  <si>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</si>
  <si>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</si>
  <si>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</si>
  <si>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</si>
  <si>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</si>
  <si>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</si>
  <si>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</si>
  <si>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</si>
  <si>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</si>
  <si>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</si>
  <si>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</si>
  <si>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</si>
  <si>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</si>
  <si>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</si>
  <si>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</si>
  <si>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</si>
  <si>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</si>
  <si>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</si>
  <si>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</si>
  <si>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</si>
  <si>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</si>
  <si>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</si>
  <si>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</si>
  <si>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</si>
  <si>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</si>
  <si>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</si>
  <si>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</si>
  <si>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</si>
  <si>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</si>
  <si>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</si>
  <si>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</si>
  <si>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</si>
  <si>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</si>
  <si>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</si>
  <si>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</si>
  <si>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</si>
  <si>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</si>
  <si>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</si>
  <si>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</si>
  <si>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</si>
  <si>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</si>
  <si>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</si>
  <si>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</si>
  <si>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</si>
  <si>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</si>
  <si>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</si>
  <si>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</si>
  <si>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</si>
  <si>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</si>
  <si>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</si>
  <si>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</si>
  <si>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</si>
  <si>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</si>
  <si>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Oferta Febrero 2025</t>
  </si>
  <si>
    <t>Febrero 2025</t>
  </si>
  <si>
    <t>PU-ES</t>
  </si>
  <si>
    <t>ES-PU</t>
  </si>
  <si>
    <t>Servicios ES-PU</t>
  </si>
  <si>
    <t>Servicios PU-ES</t>
  </si>
  <si>
    <t>Trenes PU-ES</t>
  </si>
  <si>
    <t>Trenes ES-PU</t>
  </si>
  <si>
    <t>Rige nueva planilla servicios siemples PU-Liy LI-PU</t>
  </si>
  <si>
    <t>Planilla especial Sabado 8 feb. Planillaa 12 y 30 min</t>
  </si>
  <si>
    <t>Planilla especial domingo 9 feb. Planilla 30 min.</t>
  </si>
  <si>
    <t>Trenes VM-LI</t>
  </si>
  <si>
    <t>Trenes VM-PU</t>
  </si>
  <si>
    <t>Servicios VM-LI</t>
  </si>
  <si>
    <t>Servicios VM-PU</t>
  </si>
  <si>
    <t>PLANILLA FESTIVAL VINA DEL MAR (SERVICIOS NOCTURNOS)</t>
  </si>
  <si>
    <t>PLANILLA ESPECIAL DOMINGO FESTIVAL DE VINA</t>
  </si>
  <si>
    <t xml:space="preserve">PLANILLA FESTIVAL VINA DEL MAR (SERVICIOS NOCTURNOS) y SUSPENSION DE SERVICIO POR CORTE DE ENEREGIA </t>
  </si>
  <si>
    <t>Total Trenes P</t>
  </si>
  <si>
    <t>KmTren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</si>
</sst>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9"/>
      <color rgb="FFFF0000"/>
      <name val="Arial"/>
      <family val="2"/>
    </font>
    <font>
      <b/>
      <sz val="8.8000000000000007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theme="8" tint="0.79998168889431442"/>
        <bgColor indexed="41"/>
      </patternFill>
    </fill>
    <fill>
      <patternFill patternType="solid">
        <fgColor theme="0"/>
        <bgColor indexed="3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7" tint="0.59999389629810485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78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7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4" fillId="0" borderId="0" xfId="2" applyFon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7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7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8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9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9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7" fontId="39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0" xfId="0" applyBorder="1"/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4" fillId="0" borderId="0" xfId="0" applyFont="1" applyBorder="1" applyAlignment="1">
      <alignment horizontal="center" vertical="center"/>
    </xf>
    <xf numFmtId="166" fontId="13" fillId="53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4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5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5" fillId="12" borderId="11" xfId="2" applyFont="1" applyFill="1" applyBorder="1" applyAlignment="1" applyProtection="1">
      <alignment horizontal="center"/>
    </xf>
    <xf numFmtId="0" fontId="5" fillId="9" borderId="0" xfId="0" applyFont="1" applyFill="1" applyBorder="1" applyAlignment="1">
      <alignment horizontal="center"/>
    </xf>
    <xf numFmtId="0" fontId="15" fillId="56" borderId="2" xfId="0" applyFont="1" applyFill="1" applyBorder="1" applyAlignment="1">
      <alignment horizontal="center" vertical="center"/>
    </xf>
    <xf numFmtId="3" fontId="15" fillId="56" borderId="2" xfId="0" applyNumberFormat="1" applyFont="1" applyFill="1" applyBorder="1" applyAlignment="1">
      <alignment horizontal="center" vertical="center"/>
    </xf>
    <xf numFmtId="0" fontId="0" fillId="56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5" fillId="58" borderId="2" xfId="0" applyFont="1" applyFill="1" applyBorder="1" applyAlignment="1">
      <alignment horizontal="center" vertical="center"/>
    </xf>
    <xf numFmtId="0" fontId="15" fillId="38" borderId="2" xfId="0" applyFont="1" applyFill="1" applyBorder="1" applyAlignment="1">
      <alignment horizontal="center" vertical="center"/>
    </xf>
    <xf numFmtId="3" fontId="20" fillId="58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4" borderId="0" xfId="0" applyNumberFormat="1" applyFont="1" applyFill="1"/>
    <xf numFmtId="0" fontId="48" fillId="57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0" fillId="54" borderId="72" xfId="0" applyFill="1" applyBorder="1"/>
    <xf numFmtId="0" fontId="0" fillId="0" borderId="72" xfId="0" applyFill="1" applyBorder="1" applyAlignment="1">
      <alignment horizontal="right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4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9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60" borderId="0" xfId="0" applyFont="1" applyFill="1" applyBorder="1" applyAlignment="1">
      <alignment horizontal="center"/>
    </xf>
    <xf numFmtId="0" fontId="5" fillId="60" borderId="66" xfId="0" applyFont="1" applyFill="1" applyBorder="1" applyAlignment="1">
      <alignment horizontal="center"/>
    </xf>
    <xf numFmtId="0" fontId="5" fillId="60" borderId="17" xfId="0" applyFont="1" applyFill="1" applyBorder="1" applyAlignment="1">
      <alignment horizontal="center"/>
    </xf>
    <xf numFmtId="0" fontId="5" fillId="60" borderId="65" xfId="0" applyFont="1" applyFill="1" applyBorder="1" applyAlignment="1">
      <alignment horizontal="center"/>
    </xf>
    <xf numFmtId="0" fontId="5" fillId="60" borderId="9" xfId="0" applyFont="1" applyFill="1" applyBorder="1" applyAlignment="1">
      <alignment horizontal="center"/>
    </xf>
    <xf numFmtId="0" fontId="5" fillId="60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7" fillId="0" borderId="0" xfId="0" applyFont="1" applyFill="1" applyBorder="1" applyAlignment="1"/>
    <xf numFmtId="0" fontId="3" fillId="54" borderId="0" xfId="6" applyFill="1" applyBorder="1" applyAlignment="1" applyProtection="1">
      <alignment horizontal="center"/>
      <protection locked="0"/>
    </xf>
    <xf numFmtId="0" fontId="7" fillId="61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1" fontId="3" fillId="61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64" borderId="2" xfId="0" applyFont="1" applyFill="1" applyBorder="1" applyAlignment="1" applyProtection="1">
      <alignment horizontal="center"/>
      <protection locked="0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7" fillId="16" borderId="2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4" borderId="72" xfId="0" applyFill="1" applyBorder="1" applyAlignment="1">
      <alignment horizontal="center"/>
    </xf>
    <xf numFmtId="0" fontId="0" fillId="54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52" fillId="0" borderId="0" xfId="0" applyFont="1" applyFill="1" applyBorder="1" applyAlignment="1">
      <alignment vertical="center" wrapText="1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4" fillId="0" borderId="0" xfId="2" applyFont="1" applyFill="1" applyAlignment="1">
      <alignment horizontal="center"/>
    </xf>
    <xf numFmtId="0" fontId="13" fillId="7" borderId="6" xfId="2" applyFont="1" applyFill="1" applyBorder="1" applyAlignment="1">
      <alignment horizontal="center" vertical="center"/>
    </xf>
    <xf numFmtId="0" fontId="13" fillId="7" borderId="85" xfId="2" applyFont="1" applyFill="1" applyBorder="1" applyAlignment="1">
      <alignment horizontal="center" vertical="center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5" fillId="62" borderId="0" xfId="2" applyFont="1" applyFill="1" applyAlignment="1">
      <alignment horizontal="center" vertical="center" wrapText="1"/>
    </xf>
    <xf numFmtId="0" fontId="51" fillId="63" borderId="0" xfId="2" applyFont="1" applyFill="1" applyAlignment="1">
      <alignment horizontal="center" vertical="center" wrapText="1"/>
    </xf>
    <xf numFmtId="0" fontId="49" fillId="63" borderId="0" xfId="2" applyFont="1" applyFill="1" applyAlignment="1">
      <alignment horizontal="center" vertical="center" wrapText="1"/>
    </xf>
    <xf numFmtId="0" fontId="5" fillId="38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4" fillId="58" borderId="0" xfId="2" applyFont="1" applyFill="1" applyAlignment="1">
      <alignment horizontal="center" vertical="center" wrapText="1"/>
    </xf>
    <xf numFmtId="0" fontId="14" fillId="65" borderId="0" xfId="2" applyFont="1" applyFill="1" applyAlignment="1">
      <alignment horizontal="center" vertical="center" wrapText="1"/>
    </xf>
    <xf numFmtId="0" fontId="14" fillId="40" borderId="0" xfId="2" applyFont="1" applyFill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4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C82"/>
  <sheetViews>
    <sheetView topLeftCell="M1" zoomScaleNormal="100" workbookViewId="0">
      <selection activeCell="AC5" sqref="AC5:AC39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</cols>
  <sheetData>
    <row r="1" spans="1:29" ht="18" x14ac:dyDescent="0.25">
      <c r="A1" s="332" t="s">
        <v>0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  <c r="AC1" s="332"/>
    </row>
    <row r="2" spans="1:29" x14ac:dyDescent="0.25">
      <c r="A2" s="1"/>
      <c r="B2" s="63">
        <v>45689</v>
      </c>
      <c r="C2" s="63">
        <v>45690</v>
      </c>
      <c r="D2" s="63">
        <v>45691</v>
      </c>
      <c r="E2" s="63">
        <v>45692</v>
      </c>
      <c r="F2" s="63">
        <v>45693</v>
      </c>
      <c r="G2" s="63">
        <v>45694</v>
      </c>
      <c r="H2" s="63">
        <v>45695</v>
      </c>
      <c r="I2" s="63">
        <v>45696</v>
      </c>
      <c r="J2" s="63">
        <v>45697</v>
      </c>
      <c r="K2" s="63">
        <v>45698</v>
      </c>
      <c r="L2" s="63">
        <v>45699</v>
      </c>
      <c r="M2" s="63">
        <v>45700</v>
      </c>
      <c r="N2" s="63">
        <v>45701</v>
      </c>
      <c r="O2" s="63">
        <v>45702</v>
      </c>
      <c r="P2" s="63">
        <v>45703</v>
      </c>
      <c r="Q2" s="63">
        <v>45704</v>
      </c>
      <c r="R2" s="63">
        <v>45705</v>
      </c>
      <c r="S2" s="63">
        <v>45706</v>
      </c>
      <c r="T2" s="63">
        <v>45707</v>
      </c>
      <c r="U2" s="63">
        <v>45708</v>
      </c>
      <c r="V2" s="63">
        <v>45709</v>
      </c>
      <c r="W2" s="63">
        <v>45710</v>
      </c>
      <c r="X2" s="63">
        <v>45711</v>
      </c>
      <c r="Y2" s="63">
        <v>45712</v>
      </c>
      <c r="Z2" s="63">
        <v>45713</v>
      </c>
      <c r="AA2" s="63">
        <v>45714</v>
      </c>
      <c r="AB2" s="63">
        <v>45715</v>
      </c>
      <c r="AC2" s="63">
        <v>45716</v>
      </c>
    </row>
    <row r="3" spans="1:29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</row>
    <row r="4" spans="1:29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</row>
    <row r="5" spans="1:29" x14ac:dyDescent="0.25">
      <c r="A5" s="5" t="s">
        <v>4</v>
      </c>
      <c r="B5" s="240">
        <v>1980652</v>
      </c>
      <c r="C5" s="240">
        <v>1980652</v>
      </c>
      <c r="D5" s="240">
        <v>1980843</v>
      </c>
      <c r="E5" s="240">
        <v>1980845</v>
      </c>
      <c r="F5" s="240">
        <v>1981012</v>
      </c>
      <c r="G5" s="240">
        <v>1981615</v>
      </c>
      <c r="H5" s="240">
        <v>1982175</v>
      </c>
      <c r="I5" s="240">
        <v>1982691</v>
      </c>
      <c r="J5" s="240">
        <v>1983036</v>
      </c>
      <c r="K5" s="240">
        <v>1983231</v>
      </c>
      <c r="L5" s="240">
        <v>1983740</v>
      </c>
      <c r="M5" s="240">
        <v>1984190</v>
      </c>
      <c r="N5" s="240">
        <v>1984271</v>
      </c>
      <c r="O5" s="240">
        <v>1984409</v>
      </c>
      <c r="P5" s="240">
        <v>1984409</v>
      </c>
      <c r="Q5" s="240">
        <v>1984409</v>
      </c>
      <c r="R5" s="240">
        <v>1984412</v>
      </c>
      <c r="S5" s="240">
        <v>1984611</v>
      </c>
      <c r="T5" s="240">
        <v>1985128</v>
      </c>
      <c r="U5" s="240">
        <v>1985563</v>
      </c>
      <c r="V5" s="240">
        <v>1985875</v>
      </c>
      <c r="W5" s="240">
        <v>1985875</v>
      </c>
      <c r="X5" s="240">
        <v>1985875</v>
      </c>
      <c r="Y5" s="240">
        <v>1986461</v>
      </c>
      <c r="Z5" s="240">
        <v>1986482</v>
      </c>
      <c r="AA5" s="240">
        <v>1986673</v>
      </c>
      <c r="AB5" s="240">
        <v>1986924</v>
      </c>
      <c r="AC5" s="240">
        <v>1987509</v>
      </c>
    </row>
    <row r="6" spans="1:29" x14ac:dyDescent="0.25">
      <c r="A6" s="5" t="s">
        <v>5</v>
      </c>
      <c r="B6" s="240">
        <v>1968063</v>
      </c>
      <c r="C6" s="240">
        <v>1968169</v>
      </c>
      <c r="D6" s="240">
        <v>1968715</v>
      </c>
      <c r="E6" s="240">
        <v>1968893</v>
      </c>
      <c r="F6" s="240">
        <v>1969045</v>
      </c>
      <c r="G6" s="240">
        <v>1969236</v>
      </c>
      <c r="H6" s="240">
        <v>1969427</v>
      </c>
      <c r="I6" s="240">
        <v>1969427</v>
      </c>
      <c r="J6" s="240">
        <v>1969427</v>
      </c>
      <c r="K6" s="240">
        <v>1970015</v>
      </c>
      <c r="L6" s="240">
        <v>1970577</v>
      </c>
      <c r="M6" s="240">
        <v>1970771</v>
      </c>
      <c r="N6" s="240">
        <v>1971358</v>
      </c>
      <c r="O6" s="240">
        <v>1971919</v>
      </c>
      <c r="P6" s="240">
        <v>1971962</v>
      </c>
      <c r="Q6" s="240">
        <v>1972439</v>
      </c>
      <c r="R6" s="240">
        <v>1973000</v>
      </c>
      <c r="S6" s="240">
        <v>1973152</v>
      </c>
      <c r="T6" s="240">
        <v>1973404</v>
      </c>
      <c r="U6" s="240">
        <v>1973602</v>
      </c>
      <c r="V6" s="240">
        <v>1973629</v>
      </c>
      <c r="W6" s="240">
        <v>1973629</v>
      </c>
      <c r="X6" s="240">
        <v>1973629</v>
      </c>
      <c r="Y6" s="240">
        <v>1973629</v>
      </c>
      <c r="Z6" s="240">
        <v>1973629</v>
      </c>
      <c r="AA6" s="240">
        <v>1973629</v>
      </c>
      <c r="AB6" s="240">
        <v>1973650</v>
      </c>
      <c r="AC6" s="240">
        <v>1973652</v>
      </c>
    </row>
    <row r="7" spans="1:29" x14ac:dyDescent="0.25">
      <c r="A7" s="5" t="s">
        <v>6</v>
      </c>
      <c r="B7" s="240">
        <v>2032577</v>
      </c>
      <c r="C7" s="240">
        <v>2033095</v>
      </c>
      <c r="D7" s="240">
        <v>2033613</v>
      </c>
      <c r="E7" s="240">
        <v>2034217</v>
      </c>
      <c r="F7" s="240">
        <v>2034217</v>
      </c>
      <c r="G7" s="240">
        <v>2034498</v>
      </c>
      <c r="H7" s="240">
        <v>2034590</v>
      </c>
      <c r="I7" s="240">
        <v>2035109</v>
      </c>
      <c r="J7" s="240">
        <v>2035456</v>
      </c>
      <c r="K7" s="240">
        <v>2036017</v>
      </c>
      <c r="L7" s="240">
        <v>2036080</v>
      </c>
      <c r="M7" s="240">
        <v>2036212</v>
      </c>
      <c r="N7" s="240">
        <v>2036463</v>
      </c>
      <c r="O7" s="240">
        <v>2036622</v>
      </c>
      <c r="P7" s="240">
        <v>2037186</v>
      </c>
      <c r="Q7" s="240">
        <v>2037229</v>
      </c>
      <c r="R7" s="240">
        <v>2037834</v>
      </c>
      <c r="S7" s="240">
        <v>2038441</v>
      </c>
      <c r="T7" s="240">
        <v>2039002</v>
      </c>
      <c r="U7" s="240">
        <v>2039563</v>
      </c>
      <c r="V7" s="240">
        <v>2039929</v>
      </c>
      <c r="W7" s="240">
        <v>2040103</v>
      </c>
      <c r="X7" s="240">
        <v>2040469</v>
      </c>
      <c r="Y7" s="240">
        <v>2040636</v>
      </c>
      <c r="Z7" s="240">
        <v>2040914</v>
      </c>
      <c r="AA7" s="240">
        <v>2041192</v>
      </c>
      <c r="AB7" s="240">
        <v>2041624</v>
      </c>
      <c r="AC7" s="240">
        <v>2041887</v>
      </c>
    </row>
    <row r="8" spans="1:29" x14ac:dyDescent="0.25">
      <c r="A8" s="6" t="s">
        <v>7</v>
      </c>
      <c r="B8" s="240">
        <v>2038412</v>
      </c>
      <c r="C8" s="240">
        <v>2038412</v>
      </c>
      <c r="D8" s="240">
        <v>2038436</v>
      </c>
      <c r="E8" s="240">
        <v>2038436</v>
      </c>
      <c r="F8" s="240">
        <v>2038436</v>
      </c>
      <c r="G8" s="240">
        <v>2038436</v>
      </c>
      <c r="H8" s="240">
        <v>2038436</v>
      </c>
      <c r="I8" s="240">
        <v>2038436</v>
      </c>
      <c r="J8" s="240">
        <v>2038436</v>
      </c>
      <c r="K8" s="240">
        <v>2038783</v>
      </c>
      <c r="L8" s="240">
        <v>2039388</v>
      </c>
      <c r="M8" s="240">
        <v>2039760</v>
      </c>
      <c r="N8" s="240">
        <v>2039893</v>
      </c>
      <c r="O8" s="240">
        <v>2040178</v>
      </c>
      <c r="P8" s="240">
        <v>2040740</v>
      </c>
      <c r="Q8" s="240">
        <v>2041219</v>
      </c>
      <c r="R8" s="240">
        <v>2041784</v>
      </c>
      <c r="S8" s="240">
        <v>2041915</v>
      </c>
      <c r="T8" s="240">
        <v>2041916</v>
      </c>
      <c r="U8" s="240">
        <v>2041937</v>
      </c>
      <c r="V8" s="240">
        <v>2042128</v>
      </c>
      <c r="W8" s="240">
        <v>2042128</v>
      </c>
      <c r="X8" s="240">
        <v>2042363</v>
      </c>
      <c r="Y8" s="240">
        <v>2042838</v>
      </c>
      <c r="Z8" s="240">
        <v>2043057</v>
      </c>
      <c r="AA8" s="240">
        <v>2043534</v>
      </c>
      <c r="AB8" s="240">
        <v>2043685</v>
      </c>
      <c r="AC8" s="240">
        <v>2043937</v>
      </c>
    </row>
    <row r="9" spans="1:29" x14ac:dyDescent="0.25">
      <c r="A9" s="6" t="s">
        <v>8</v>
      </c>
      <c r="B9" s="240">
        <v>1946383</v>
      </c>
      <c r="C9" s="240">
        <v>1946383</v>
      </c>
      <c r="D9" s="240">
        <v>1946463</v>
      </c>
      <c r="E9" s="240">
        <v>1946680</v>
      </c>
      <c r="F9" s="240">
        <v>1946931</v>
      </c>
      <c r="G9" s="240">
        <v>1947519</v>
      </c>
      <c r="H9" s="240">
        <v>1947971</v>
      </c>
      <c r="I9" s="240">
        <v>1947971</v>
      </c>
      <c r="J9" s="240">
        <v>1947971</v>
      </c>
      <c r="K9" s="240">
        <v>1947971</v>
      </c>
      <c r="L9" s="240">
        <v>1948225</v>
      </c>
      <c r="M9" s="240">
        <v>1948477</v>
      </c>
      <c r="N9" s="240">
        <v>1948557</v>
      </c>
      <c r="O9" s="240">
        <v>1948557</v>
      </c>
      <c r="P9" s="240">
        <v>1948557</v>
      </c>
      <c r="Q9" s="240">
        <v>1948557</v>
      </c>
      <c r="R9" s="240">
        <v>1948579</v>
      </c>
      <c r="S9" s="240">
        <v>1948659</v>
      </c>
      <c r="T9" s="240">
        <v>1948679</v>
      </c>
      <c r="U9" s="240">
        <v>1948931</v>
      </c>
      <c r="V9" s="240">
        <v>1949459</v>
      </c>
      <c r="W9" s="240">
        <v>1950021</v>
      </c>
      <c r="X9" s="240">
        <v>1950538</v>
      </c>
      <c r="Y9" s="240">
        <v>1951214</v>
      </c>
      <c r="Z9" s="240">
        <v>1951372</v>
      </c>
      <c r="AA9" s="240">
        <v>1951825</v>
      </c>
      <c r="AB9" s="240">
        <v>1952030</v>
      </c>
      <c r="AC9" s="240">
        <v>1952281</v>
      </c>
    </row>
    <row r="10" spans="1:29" x14ac:dyDescent="0.25">
      <c r="A10" s="6" t="s">
        <v>9</v>
      </c>
      <c r="B10" s="240">
        <v>2054640</v>
      </c>
      <c r="C10" s="240">
        <v>2054640</v>
      </c>
      <c r="D10" s="240">
        <v>2054891</v>
      </c>
      <c r="E10" s="240">
        <v>2055494</v>
      </c>
      <c r="F10" s="240">
        <v>2056054</v>
      </c>
      <c r="G10" s="240">
        <v>2056248</v>
      </c>
      <c r="H10" s="240">
        <v>2056507</v>
      </c>
      <c r="I10" s="240">
        <v>2057024</v>
      </c>
      <c r="J10" s="240">
        <v>2057196</v>
      </c>
      <c r="K10" s="240">
        <v>2057715</v>
      </c>
      <c r="L10" s="240">
        <v>2057951</v>
      </c>
      <c r="M10" s="240">
        <v>2058453</v>
      </c>
      <c r="N10" s="240">
        <v>2058473</v>
      </c>
      <c r="O10" s="240">
        <v>2058475</v>
      </c>
      <c r="P10" s="240">
        <v>2058475</v>
      </c>
      <c r="Q10" s="240">
        <v>2058475</v>
      </c>
      <c r="R10" s="240">
        <v>2058614</v>
      </c>
      <c r="S10" s="240">
        <v>2059047</v>
      </c>
      <c r="T10" s="240">
        <v>2059420</v>
      </c>
      <c r="U10" s="240">
        <v>2059560</v>
      </c>
      <c r="V10" s="240">
        <v>2060036</v>
      </c>
      <c r="W10" s="240">
        <v>2060596</v>
      </c>
      <c r="X10" s="240">
        <v>2061113</v>
      </c>
      <c r="Y10" s="240">
        <v>2061634</v>
      </c>
      <c r="Z10" s="240">
        <v>2061767</v>
      </c>
      <c r="AA10" s="240">
        <v>2062353</v>
      </c>
      <c r="AB10" s="240">
        <v>2063028</v>
      </c>
      <c r="AC10" s="240">
        <v>2063615</v>
      </c>
    </row>
    <row r="11" spans="1:29" x14ac:dyDescent="0.25">
      <c r="A11" s="6" t="s">
        <v>10</v>
      </c>
      <c r="B11" s="240">
        <v>2083331</v>
      </c>
      <c r="C11" s="240">
        <v>2083333</v>
      </c>
      <c r="D11" s="240">
        <v>2083735</v>
      </c>
      <c r="E11" s="240">
        <v>2083736</v>
      </c>
      <c r="F11" s="240">
        <v>2083928</v>
      </c>
      <c r="G11" s="240">
        <v>2084182</v>
      </c>
      <c r="H11" s="240">
        <v>2084442</v>
      </c>
      <c r="I11" s="240">
        <v>2084794</v>
      </c>
      <c r="J11" s="240">
        <v>2084797</v>
      </c>
      <c r="K11" s="240">
        <v>2084888</v>
      </c>
      <c r="L11" s="240">
        <v>2084892</v>
      </c>
      <c r="M11" s="240">
        <v>2085025</v>
      </c>
      <c r="N11" s="240">
        <v>2085589</v>
      </c>
      <c r="O11" s="240">
        <v>2085593</v>
      </c>
      <c r="P11" s="240">
        <v>2086117</v>
      </c>
      <c r="Q11" s="240">
        <v>2086597</v>
      </c>
      <c r="R11" s="240">
        <v>2086662</v>
      </c>
      <c r="S11" s="240">
        <v>2086742</v>
      </c>
      <c r="T11" s="240">
        <v>2087003</v>
      </c>
      <c r="U11" s="240">
        <v>2087610</v>
      </c>
      <c r="V11" s="240">
        <v>2087901</v>
      </c>
      <c r="W11" s="240">
        <v>2087901</v>
      </c>
      <c r="X11" s="240">
        <v>2088137</v>
      </c>
      <c r="Y11" s="240">
        <v>2088632</v>
      </c>
      <c r="Z11" s="240">
        <v>2088632</v>
      </c>
      <c r="AA11" s="240">
        <v>2088982</v>
      </c>
      <c r="AB11" s="240">
        <v>2089506</v>
      </c>
      <c r="AC11" s="240">
        <v>2089640</v>
      </c>
    </row>
    <row r="12" spans="1:29" x14ac:dyDescent="0.25">
      <c r="A12" s="5" t="s">
        <v>11</v>
      </c>
      <c r="B12" s="240">
        <v>1988125</v>
      </c>
      <c r="C12" s="240">
        <v>1988645</v>
      </c>
      <c r="D12" s="240">
        <v>1988991</v>
      </c>
      <c r="E12" s="240">
        <v>1989081</v>
      </c>
      <c r="F12" s="240">
        <v>1989642</v>
      </c>
      <c r="G12" s="240">
        <v>1990049</v>
      </c>
      <c r="H12" s="240">
        <v>1990122</v>
      </c>
      <c r="I12" s="240">
        <v>1990122</v>
      </c>
      <c r="J12" s="240">
        <v>1990122</v>
      </c>
      <c r="K12" s="240">
        <v>1990357</v>
      </c>
      <c r="L12" s="240">
        <v>1990490</v>
      </c>
      <c r="M12" s="240">
        <v>1990974</v>
      </c>
      <c r="N12" s="240">
        <v>1991492</v>
      </c>
      <c r="O12" s="240">
        <v>1991512</v>
      </c>
      <c r="P12" s="240">
        <v>1991512</v>
      </c>
      <c r="Q12" s="240">
        <v>1991533</v>
      </c>
      <c r="R12" s="240">
        <v>1991536</v>
      </c>
      <c r="S12" s="240">
        <v>1992012</v>
      </c>
      <c r="T12" s="240">
        <v>1992617</v>
      </c>
      <c r="U12" s="240">
        <v>1992679</v>
      </c>
      <c r="V12" s="240">
        <v>1992870</v>
      </c>
      <c r="W12" s="240">
        <v>1992870</v>
      </c>
      <c r="X12" s="240">
        <v>1992870</v>
      </c>
      <c r="Y12" s="240">
        <v>1993121</v>
      </c>
      <c r="Z12" s="240">
        <v>1993449</v>
      </c>
      <c r="AA12" s="240">
        <v>1993601</v>
      </c>
      <c r="AB12" s="240">
        <v>1994188</v>
      </c>
      <c r="AC12" s="240">
        <v>1994451</v>
      </c>
    </row>
    <row r="13" spans="1:29" x14ac:dyDescent="0.25">
      <c r="A13" s="5" t="s">
        <v>12</v>
      </c>
      <c r="B13" s="240">
        <v>1971688</v>
      </c>
      <c r="C13" s="240">
        <v>1971688</v>
      </c>
      <c r="D13" s="240">
        <v>1972091</v>
      </c>
      <c r="E13" s="240">
        <v>1972172</v>
      </c>
      <c r="F13" s="240">
        <v>1972333</v>
      </c>
      <c r="G13" s="240">
        <v>1972336</v>
      </c>
      <c r="H13" s="240">
        <v>1972599</v>
      </c>
      <c r="I13" s="240">
        <v>1972762</v>
      </c>
      <c r="J13" s="240">
        <v>1973113</v>
      </c>
      <c r="K13" s="240">
        <v>1973533</v>
      </c>
      <c r="L13" s="240">
        <v>1973790</v>
      </c>
      <c r="M13" s="240">
        <v>1973831</v>
      </c>
      <c r="N13" s="240">
        <v>1974359</v>
      </c>
      <c r="O13" s="240">
        <v>1974975</v>
      </c>
      <c r="P13" s="240">
        <v>1974978</v>
      </c>
      <c r="Q13" s="240">
        <v>1975419</v>
      </c>
      <c r="R13" s="240">
        <v>1975857</v>
      </c>
      <c r="S13" s="240">
        <v>1976385</v>
      </c>
      <c r="T13" s="240">
        <v>1976741</v>
      </c>
      <c r="U13" s="240">
        <v>1976761</v>
      </c>
      <c r="V13" s="240">
        <v>1976763</v>
      </c>
      <c r="W13" s="240">
        <v>1976763</v>
      </c>
      <c r="X13" s="240">
        <v>1976763</v>
      </c>
      <c r="Y13" s="240">
        <v>1977018</v>
      </c>
      <c r="Z13" s="240">
        <v>1977222</v>
      </c>
      <c r="AA13" s="240">
        <v>1977313</v>
      </c>
      <c r="AB13" s="240">
        <v>1977909</v>
      </c>
      <c r="AC13" s="240">
        <v>1978420</v>
      </c>
    </row>
    <row r="14" spans="1:29" x14ac:dyDescent="0.25">
      <c r="A14" s="5" t="s">
        <v>13</v>
      </c>
      <c r="B14" s="240">
        <v>2048160</v>
      </c>
      <c r="C14" s="240">
        <v>2048204</v>
      </c>
      <c r="D14" s="240">
        <v>2048692</v>
      </c>
      <c r="E14" s="240">
        <v>2048956</v>
      </c>
      <c r="F14" s="240">
        <v>2049220</v>
      </c>
      <c r="G14" s="240">
        <v>2049420</v>
      </c>
      <c r="H14" s="240">
        <v>2049899</v>
      </c>
      <c r="I14" s="240">
        <v>2049942</v>
      </c>
      <c r="J14" s="240">
        <v>2050031</v>
      </c>
      <c r="K14" s="240">
        <v>2050034</v>
      </c>
      <c r="L14" s="240">
        <v>2050468</v>
      </c>
      <c r="M14" s="240">
        <v>2051033</v>
      </c>
      <c r="N14" s="240">
        <v>2051510</v>
      </c>
      <c r="O14" s="240">
        <v>2051650</v>
      </c>
      <c r="P14" s="240">
        <v>2051650</v>
      </c>
      <c r="Q14" s="240">
        <v>2051650</v>
      </c>
      <c r="R14" s="240">
        <v>2051931</v>
      </c>
      <c r="S14" s="240">
        <v>2052496</v>
      </c>
      <c r="T14" s="240">
        <v>2052630</v>
      </c>
      <c r="U14" s="240">
        <v>2053191</v>
      </c>
      <c r="V14" s="240">
        <v>2053752</v>
      </c>
      <c r="W14" s="240">
        <v>2054312</v>
      </c>
      <c r="X14" s="240">
        <v>2054528</v>
      </c>
      <c r="Y14" s="240">
        <v>2054679</v>
      </c>
      <c r="Z14" s="240">
        <v>2054806</v>
      </c>
      <c r="AA14" s="240">
        <v>2055199</v>
      </c>
      <c r="AB14" s="240">
        <v>2055351</v>
      </c>
      <c r="AC14" s="240">
        <v>2055614</v>
      </c>
    </row>
    <row r="15" spans="1:29" x14ac:dyDescent="0.25">
      <c r="A15" s="6" t="s">
        <v>14</v>
      </c>
      <c r="B15" s="240">
        <v>2063983</v>
      </c>
      <c r="C15" s="240">
        <v>2064460</v>
      </c>
      <c r="D15" s="240">
        <v>2065005</v>
      </c>
      <c r="E15" s="240">
        <v>2065208</v>
      </c>
      <c r="F15" s="240">
        <v>2065730</v>
      </c>
      <c r="G15" s="240">
        <v>2066250</v>
      </c>
      <c r="H15" s="240">
        <v>2066859</v>
      </c>
      <c r="I15" s="240">
        <v>2067380</v>
      </c>
      <c r="J15" s="240">
        <v>2067559</v>
      </c>
      <c r="K15" s="240">
        <v>2067719</v>
      </c>
      <c r="L15" s="240">
        <v>2067809</v>
      </c>
      <c r="M15" s="240">
        <v>2067812</v>
      </c>
      <c r="N15" s="240">
        <v>2067813</v>
      </c>
      <c r="O15" s="240">
        <v>2067813</v>
      </c>
      <c r="P15" s="240">
        <v>2067813</v>
      </c>
      <c r="Q15" s="240">
        <v>2067813</v>
      </c>
      <c r="R15" s="240">
        <v>2068094</v>
      </c>
      <c r="S15" s="240">
        <v>2068227</v>
      </c>
      <c r="T15" s="240">
        <v>2068481</v>
      </c>
      <c r="U15" s="240">
        <v>2068883</v>
      </c>
      <c r="V15" s="240">
        <v>2069490</v>
      </c>
      <c r="W15" s="240">
        <v>2070010</v>
      </c>
      <c r="X15" s="240">
        <v>2070376</v>
      </c>
      <c r="Y15" s="240">
        <v>2070517</v>
      </c>
      <c r="Z15" s="240">
        <v>2070641</v>
      </c>
      <c r="AA15" s="240">
        <v>2070870</v>
      </c>
      <c r="AB15" s="240">
        <v>2071131</v>
      </c>
      <c r="AC15" s="240">
        <v>2071551</v>
      </c>
    </row>
    <row r="16" spans="1:29" x14ac:dyDescent="0.25">
      <c r="A16" s="6" t="s">
        <v>15</v>
      </c>
      <c r="B16" s="240">
        <v>1905739</v>
      </c>
      <c r="C16" s="240">
        <v>1906257</v>
      </c>
      <c r="D16" s="240">
        <v>1906346</v>
      </c>
      <c r="E16" s="240">
        <v>1906479</v>
      </c>
      <c r="F16" s="240">
        <v>1906807</v>
      </c>
      <c r="G16" s="240">
        <v>1906888</v>
      </c>
      <c r="H16" s="240">
        <v>1906909</v>
      </c>
      <c r="I16" s="240">
        <v>1906909</v>
      </c>
      <c r="J16" s="240">
        <v>1906909</v>
      </c>
      <c r="K16" s="240">
        <v>1906988</v>
      </c>
      <c r="L16" s="240">
        <v>1907078</v>
      </c>
      <c r="M16" s="240">
        <v>1907254</v>
      </c>
      <c r="N16" s="240">
        <v>1907254</v>
      </c>
      <c r="O16" s="240">
        <v>1907335</v>
      </c>
      <c r="P16" s="240">
        <v>1907335</v>
      </c>
      <c r="Q16" s="240">
        <v>1907355</v>
      </c>
      <c r="R16" s="240">
        <v>1907502</v>
      </c>
      <c r="S16" s="240">
        <v>1908021</v>
      </c>
      <c r="T16" s="240">
        <v>1908291</v>
      </c>
      <c r="U16" s="240">
        <v>1908542</v>
      </c>
      <c r="V16" s="240">
        <v>1908794</v>
      </c>
      <c r="W16" s="240">
        <v>1908794</v>
      </c>
      <c r="X16" s="240">
        <v>1908794</v>
      </c>
      <c r="Y16" s="240">
        <v>1909194</v>
      </c>
      <c r="Z16" s="240">
        <v>1909612</v>
      </c>
      <c r="AA16" s="240">
        <v>1910063</v>
      </c>
      <c r="AB16" s="240">
        <v>1910341</v>
      </c>
      <c r="AC16" s="240">
        <v>1910972</v>
      </c>
    </row>
    <row r="17" spans="1:29" x14ac:dyDescent="0.25">
      <c r="A17" s="6" t="s">
        <v>16</v>
      </c>
      <c r="B17" s="240">
        <v>2025007</v>
      </c>
      <c r="C17" s="240">
        <v>2025487</v>
      </c>
      <c r="D17" s="240">
        <v>2026033</v>
      </c>
      <c r="E17" s="240">
        <v>2026298</v>
      </c>
      <c r="F17" s="240">
        <v>2026387</v>
      </c>
      <c r="G17" s="240">
        <v>2026822</v>
      </c>
      <c r="H17" s="240">
        <v>2026981</v>
      </c>
      <c r="I17" s="240">
        <v>2027416</v>
      </c>
      <c r="J17" s="240">
        <v>2027763</v>
      </c>
      <c r="K17" s="240">
        <v>2028325</v>
      </c>
      <c r="L17" s="240">
        <v>2028370</v>
      </c>
      <c r="M17" s="240">
        <v>2028376</v>
      </c>
      <c r="N17" s="240">
        <v>2028639</v>
      </c>
      <c r="O17" s="240">
        <v>2029159</v>
      </c>
      <c r="P17" s="240">
        <v>2029721</v>
      </c>
      <c r="Q17" s="240">
        <v>2029764</v>
      </c>
      <c r="R17" s="240">
        <v>2030198</v>
      </c>
      <c r="S17" s="240">
        <v>2030419</v>
      </c>
      <c r="T17" s="240">
        <v>2030483</v>
      </c>
      <c r="U17" s="240">
        <v>2030484</v>
      </c>
      <c r="V17" s="240">
        <v>2030675</v>
      </c>
      <c r="W17" s="240">
        <v>2030675</v>
      </c>
      <c r="X17" s="240">
        <v>2030675</v>
      </c>
      <c r="Y17" s="240">
        <v>2030940</v>
      </c>
      <c r="Z17" s="240">
        <v>2031079</v>
      </c>
      <c r="AA17" s="240">
        <v>2031273</v>
      </c>
      <c r="AB17" s="240">
        <v>2031666</v>
      </c>
      <c r="AC17" s="240">
        <v>2032145</v>
      </c>
    </row>
    <row r="18" spans="1:29" x14ac:dyDescent="0.25">
      <c r="A18" s="6" t="s">
        <v>17</v>
      </c>
      <c r="B18" s="240">
        <v>1998182</v>
      </c>
      <c r="C18" s="240">
        <v>1998182</v>
      </c>
      <c r="D18" s="240">
        <v>1998579</v>
      </c>
      <c r="E18" s="240">
        <v>1998830</v>
      </c>
      <c r="F18" s="240">
        <v>1999049</v>
      </c>
      <c r="G18" s="240">
        <v>1999610</v>
      </c>
      <c r="H18" s="240">
        <v>2000170</v>
      </c>
      <c r="I18" s="240">
        <v>2000213</v>
      </c>
      <c r="J18" s="240">
        <v>2000303</v>
      </c>
      <c r="K18" s="240">
        <v>2000500</v>
      </c>
      <c r="L18" s="240">
        <v>2000631</v>
      </c>
      <c r="M18" s="240">
        <v>2000797</v>
      </c>
      <c r="N18" s="240">
        <v>2001035</v>
      </c>
      <c r="O18" s="240">
        <v>2001285</v>
      </c>
      <c r="P18" s="240">
        <v>2001285</v>
      </c>
      <c r="Q18" s="240">
        <v>2001285</v>
      </c>
      <c r="R18" s="240">
        <v>2001694</v>
      </c>
      <c r="S18" s="240">
        <v>2002168</v>
      </c>
      <c r="T18" s="240">
        <v>2002430</v>
      </c>
      <c r="U18" s="240">
        <v>2002950</v>
      </c>
      <c r="V18" s="240">
        <v>2003554</v>
      </c>
      <c r="W18" s="240">
        <v>2004117</v>
      </c>
      <c r="X18" s="240">
        <v>2004332</v>
      </c>
      <c r="Y18" s="240">
        <v>2004529</v>
      </c>
      <c r="Z18" s="240">
        <v>2004639</v>
      </c>
      <c r="AA18" s="240">
        <v>2004830</v>
      </c>
      <c r="AB18" s="240">
        <v>2005080</v>
      </c>
      <c r="AC18" s="240">
        <v>2005666</v>
      </c>
    </row>
    <row r="19" spans="1:29" x14ac:dyDescent="0.25">
      <c r="A19" s="6" t="s">
        <v>18</v>
      </c>
      <c r="B19" s="240">
        <v>2080126</v>
      </c>
      <c r="C19" s="240">
        <v>2080126</v>
      </c>
      <c r="D19" s="240">
        <v>2080128</v>
      </c>
      <c r="E19" s="240">
        <v>2080319</v>
      </c>
      <c r="F19" s="240">
        <v>2080400</v>
      </c>
      <c r="G19" s="240">
        <v>2080403</v>
      </c>
      <c r="H19" s="240">
        <v>2080835</v>
      </c>
      <c r="I19" s="240">
        <v>2081353</v>
      </c>
      <c r="J19" s="240">
        <v>2081527</v>
      </c>
      <c r="K19" s="240">
        <v>2081527</v>
      </c>
      <c r="L19" s="240">
        <v>2081527</v>
      </c>
      <c r="M19" s="240">
        <v>2081530</v>
      </c>
      <c r="N19" s="240">
        <v>2081704</v>
      </c>
      <c r="O19" s="240">
        <v>2082264</v>
      </c>
      <c r="P19" s="240">
        <v>2082308</v>
      </c>
      <c r="Q19" s="240">
        <v>2082828</v>
      </c>
      <c r="R19" s="240">
        <v>2083086</v>
      </c>
      <c r="S19" s="240">
        <v>2083305</v>
      </c>
      <c r="T19" s="240">
        <v>2083568</v>
      </c>
      <c r="U19" s="240">
        <v>2083650</v>
      </c>
      <c r="V19" s="240">
        <v>2083650</v>
      </c>
      <c r="W19" s="240">
        <v>2083650</v>
      </c>
      <c r="X19" s="240">
        <v>2083650</v>
      </c>
      <c r="Y19" s="240">
        <v>2083869</v>
      </c>
      <c r="Z19" s="240">
        <v>2084001</v>
      </c>
      <c r="AA19" s="240">
        <v>2084092</v>
      </c>
      <c r="AB19" s="240">
        <v>2084363</v>
      </c>
      <c r="AC19" s="240">
        <v>2084712</v>
      </c>
    </row>
    <row r="20" spans="1:29" x14ac:dyDescent="0.25">
      <c r="A20" s="6" t="s">
        <v>19</v>
      </c>
      <c r="B20" s="240">
        <v>2042670</v>
      </c>
      <c r="C20" s="240">
        <v>2043150</v>
      </c>
      <c r="D20" s="240">
        <v>2043714</v>
      </c>
      <c r="E20" s="240">
        <v>2044344</v>
      </c>
      <c r="F20" s="240">
        <v>2044482</v>
      </c>
      <c r="G20" s="240">
        <v>2044964</v>
      </c>
      <c r="H20" s="240">
        <v>2045529</v>
      </c>
      <c r="I20" s="240">
        <v>2046006</v>
      </c>
      <c r="J20" s="240">
        <v>2046401</v>
      </c>
      <c r="K20" s="240">
        <v>2046570</v>
      </c>
      <c r="L20" s="240">
        <v>2046704</v>
      </c>
      <c r="M20" s="240">
        <v>2046872</v>
      </c>
      <c r="N20" s="240">
        <v>2047145</v>
      </c>
      <c r="O20" s="240">
        <v>2047398</v>
      </c>
      <c r="P20" s="240">
        <v>2047919</v>
      </c>
      <c r="Q20" s="240">
        <v>2047919</v>
      </c>
      <c r="R20" s="240">
        <v>2048132</v>
      </c>
      <c r="S20" s="240">
        <v>2048273</v>
      </c>
      <c r="T20" s="240">
        <v>2048840</v>
      </c>
      <c r="U20" s="240">
        <v>2049404</v>
      </c>
      <c r="V20" s="240">
        <v>2049558</v>
      </c>
      <c r="W20" s="240">
        <v>2049558</v>
      </c>
      <c r="X20" s="240">
        <v>2049558</v>
      </c>
      <c r="Y20" s="240">
        <v>2049819</v>
      </c>
      <c r="Z20" s="240">
        <v>2049822</v>
      </c>
      <c r="AA20" s="240">
        <v>2050242</v>
      </c>
      <c r="AB20" s="240">
        <v>2050400</v>
      </c>
      <c r="AC20" s="240">
        <v>2050881</v>
      </c>
    </row>
    <row r="21" spans="1:29" x14ac:dyDescent="0.25">
      <c r="A21" s="6" t="s">
        <v>20</v>
      </c>
      <c r="B21" s="240">
        <v>2048707</v>
      </c>
      <c r="C21" s="240">
        <v>2048752</v>
      </c>
      <c r="D21" s="240">
        <v>2048756</v>
      </c>
      <c r="E21" s="240">
        <v>2049277</v>
      </c>
      <c r="F21" s="240">
        <v>2049883</v>
      </c>
      <c r="G21" s="240">
        <v>2050448</v>
      </c>
      <c r="H21" s="240">
        <v>2050652</v>
      </c>
      <c r="I21" s="240">
        <v>2050652</v>
      </c>
      <c r="J21" s="240">
        <v>2050652</v>
      </c>
      <c r="K21" s="240">
        <v>2050772</v>
      </c>
      <c r="L21" s="240">
        <v>2050948</v>
      </c>
      <c r="M21" s="240">
        <v>2051200</v>
      </c>
      <c r="N21" s="240">
        <v>2051452</v>
      </c>
      <c r="O21" s="240">
        <v>2051584</v>
      </c>
      <c r="P21" s="240">
        <v>2051584</v>
      </c>
      <c r="Q21" s="240">
        <v>2051584</v>
      </c>
      <c r="R21" s="240">
        <v>2051655</v>
      </c>
      <c r="S21" s="240">
        <v>2051855</v>
      </c>
      <c r="T21" s="240">
        <v>2051965</v>
      </c>
      <c r="U21" s="240">
        <v>2052116</v>
      </c>
      <c r="V21" s="240">
        <v>2052257</v>
      </c>
      <c r="W21" s="240">
        <v>2052257</v>
      </c>
      <c r="X21" s="240">
        <v>2052345</v>
      </c>
      <c r="Y21" s="240">
        <v>2052520</v>
      </c>
      <c r="Z21" s="240">
        <v>2052762</v>
      </c>
      <c r="AA21" s="240">
        <v>2052871</v>
      </c>
      <c r="AB21" s="240">
        <v>2053219</v>
      </c>
      <c r="AC21" s="240">
        <v>2053394</v>
      </c>
    </row>
    <row r="22" spans="1:29" x14ac:dyDescent="0.25">
      <c r="A22" s="6" t="s">
        <v>21</v>
      </c>
      <c r="B22" s="240">
        <v>1977567</v>
      </c>
      <c r="C22" s="240">
        <v>1977610</v>
      </c>
      <c r="D22" s="240">
        <v>1977915</v>
      </c>
      <c r="E22" s="240">
        <v>1978474</v>
      </c>
      <c r="F22" s="240">
        <v>1979034</v>
      </c>
      <c r="G22" s="240">
        <v>1979292</v>
      </c>
      <c r="H22" s="240">
        <v>1979543</v>
      </c>
      <c r="I22" s="240">
        <v>1979543</v>
      </c>
      <c r="J22" s="240">
        <v>1979543</v>
      </c>
      <c r="K22" s="240">
        <v>1979747</v>
      </c>
      <c r="L22" s="240">
        <v>1980318</v>
      </c>
      <c r="M22" s="240">
        <v>1980836</v>
      </c>
      <c r="N22" s="240">
        <v>1981396</v>
      </c>
      <c r="O22" s="240">
        <v>1981956</v>
      </c>
      <c r="P22" s="240">
        <v>1982215</v>
      </c>
      <c r="Q22" s="240">
        <v>1982389</v>
      </c>
      <c r="R22" s="240">
        <v>1982906</v>
      </c>
      <c r="S22" s="240">
        <v>1982927</v>
      </c>
      <c r="T22" s="240">
        <v>1983123</v>
      </c>
      <c r="U22" s="240">
        <v>1983683</v>
      </c>
      <c r="V22" s="240">
        <v>1984286</v>
      </c>
      <c r="W22" s="240">
        <v>1984329</v>
      </c>
      <c r="X22" s="240">
        <v>1984807</v>
      </c>
      <c r="Y22" s="240">
        <v>1985410</v>
      </c>
      <c r="Z22" s="240">
        <v>1985765</v>
      </c>
      <c r="AA22" s="240">
        <v>1985821</v>
      </c>
      <c r="AB22" s="240">
        <v>1986166</v>
      </c>
      <c r="AC22" s="240">
        <v>1986465</v>
      </c>
    </row>
    <row r="23" spans="1:29" x14ac:dyDescent="0.25">
      <c r="A23" s="6" t="s">
        <v>22</v>
      </c>
      <c r="B23" s="240">
        <v>2020905</v>
      </c>
      <c r="C23" s="240">
        <v>2020905</v>
      </c>
      <c r="D23" s="240">
        <v>2020994</v>
      </c>
      <c r="E23" s="240">
        <v>2021033</v>
      </c>
      <c r="F23" s="240">
        <v>2021551</v>
      </c>
      <c r="G23" s="240">
        <v>2021903</v>
      </c>
      <c r="H23" s="240">
        <v>2022166</v>
      </c>
      <c r="I23" s="240">
        <v>2022281</v>
      </c>
      <c r="J23" s="240">
        <v>2022669</v>
      </c>
      <c r="K23" s="240">
        <v>2023058</v>
      </c>
      <c r="L23" s="240">
        <v>2023191</v>
      </c>
      <c r="M23" s="240">
        <v>2023228</v>
      </c>
      <c r="N23" s="240">
        <v>2023288</v>
      </c>
      <c r="O23" s="240">
        <v>2023848</v>
      </c>
      <c r="P23" s="240">
        <v>2024365</v>
      </c>
      <c r="Q23" s="240">
        <v>2024365</v>
      </c>
      <c r="R23" s="240">
        <v>2024792</v>
      </c>
      <c r="S23" s="240">
        <v>2025398</v>
      </c>
      <c r="T23" s="240">
        <v>2025401</v>
      </c>
      <c r="U23" s="240">
        <v>2025768</v>
      </c>
      <c r="V23" s="240">
        <v>2025770</v>
      </c>
      <c r="W23" s="240">
        <v>2025770</v>
      </c>
      <c r="X23" s="240">
        <v>2025961</v>
      </c>
      <c r="Y23" s="240">
        <v>2026410</v>
      </c>
      <c r="Z23" s="240">
        <v>2026501</v>
      </c>
      <c r="AA23" s="240">
        <v>2027061</v>
      </c>
      <c r="AB23" s="240">
        <v>2027572</v>
      </c>
      <c r="AC23" s="240">
        <v>2028135</v>
      </c>
    </row>
    <row r="24" spans="1:29" x14ac:dyDescent="0.25">
      <c r="A24" s="5" t="s">
        <v>23</v>
      </c>
      <c r="B24" s="240">
        <v>2048928</v>
      </c>
      <c r="C24" s="240">
        <v>2049404</v>
      </c>
      <c r="D24" s="240">
        <v>2049599</v>
      </c>
      <c r="E24" s="240">
        <v>2049861</v>
      </c>
      <c r="F24" s="240">
        <v>2050113</v>
      </c>
      <c r="G24" s="240">
        <v>2050254</v>
      </c>
      <c r="H24" s="240">
        <v>2050430</v>
      </c>
      <c r="I24" s="240">
        <v>2050949</v>
      </c>
      <c r="J24" s="240">
        <v>2051126</v>
      </c>
      <c r="K24" s="240">
        <v>2051729</v>
      </c>
      <c r="L24" s="240">
        <v>2052306</v>
      </c>
      <c r="M24" s="240">
        <v>2052757</v>
      </c>
      <c r="N24" s="240">
        <v>2052889</v>
      </c>
      <c r="O24" s="240">
        <v>2053140</v>
      </c>
      <c r="P24" s="240">
        <v>2053140</v>
      </c>
      <c r="Q24" s="240">
        <v>2053140</v>
      </c>
      <c r="R24" s="240">
        <v>2053391</v>
      </c>
      <c r="S24" s="240">
        <v>2053664</v>
      </c>
      <c r="T24" s="240">
        <v>2054225</v>
      </c>
      <c r="U24" s="240">
        <v>2054785</v>
      </c>
      <c r="V24" s="240">
        <v>2054934</v>
      </c>
      <c r="W24" s="240">
        <v>2054934</v>
      </c>
      <c r="X24" s="240">
        <v>2054934</v>
      </c>
      <c r="Y24" s="240">
        <v>2055520</v>
      </c>
      <c r="Z24" s="240">
        <v>2055724</v>
      </c>
      <c r="AA24" s="240">
        <v>2056170</v>
      </c>
      <c r="AB24" s="240">
        <v>2056790</v>
      </c>
      <c r="AC24" s="240">
        <v>2057095</v>
      </c>
    </row>
    <row r="25" spans="1:29" x14ac:dyDescent="0.25">
      <c r="A25" s="6" t="s">
        <v>24</v>
      </c>
      <c r="B25" s="240">
        <v>2060138</v>
      </c>
      <c r="C25" s="240">
        <v>2060138</v>
      </c>
      <c r="D25" s="240">
        <v>2060642</v>
      </c>
      <c r="E25" s="240">
        <v>2061160</v>
      </c>
      <c r="F25" s="240">
        <v>2061418</v>
      </c>
      <c r="G25" s="240">
        <v>2061684</v>
      </c>
      <c r="H25" s="240">
        <v>2062267</v>
      </c>
      <c r="I25" s="240">
        <v>2062785</v>
      </c>
      <c r="J25" s="240">
        <v>2063173</v>
      </c>
      <c r="K25" s="240">
        <v>2063733</v>
      </c>
      <c r="L25" s="240">
        <v>2064293</v>
      </c>
      <c r="M25" s="240">
        <v>2064614</v>
      </c>
      <c r="N25" s="240">
        <v>2064745</v>
      </c>
      <c r="O25" s="240">
        <v>2064996</v>
      </c>
      <c r="P25" s="240">
        <v>2064996</v>
      </c>
      <c r="Q25" s="240">
        <v>2064996</v>
      </c>
      <c r="R25" s="240">
        <v>2065248</v>
      </c>
      <c r="S25" s="240">
        <v>2065498</v>
      </c>
      <c r="T25" s="240">
        <v>2065656</v>
      </c>
      <c r="U25" s="240">
        <v>2065808</v>
      </c>
      <c r="V25" s="240">
        <v>2066378</v>
      </c>
      <c r="W25" s="240">
        <v>2066941</v>
      </c>
      <c r="X25" s="240">
        <v>2067421</v>
      </c>
      <c r="Y25" s="240">
        <v>2067573</v>
      </c>
      <c r="Z25" s="240">
        <v>2067573</v>
      </c>
      <c r="AA25" s="240">
        <v>2068086</v>
      </c>
      <c r="AB25" s="240">
        <v>2068521</v>
      </c>
      <c r="AC25" s="240">
        <v>2068601</v>
      </c>
    </row>
    <row r="26" spans="1:29" x14ac:dyDescent="0.25">
      <c r="A26" s="6" t="s">
        <v>25</v>
      </c>
      <c r="B26" s="240">
        <v>2069539</v>
      </c>
      <c r="C26" s="240">
        <v>2069539</v>
      </c>
      <c r="D26" s="240">
        <v>2069802</v>
      </c>
      <c r="E26" s="240">
        <v>2069993</v>
      </c>
      <c r="F26" s="240">
        <v>2070093</v>
      </c>
      <c r="G26" s="240">
        <v>2070330</v>
      </c>
      <c r="H26" s="240">
        <v>2070936</v>
      </c>
      <c r="I26" s="240">
        <v>2071413</v>
      </c>
      <c r="J26" s="240">
        <v>2071760</v>
      </c>
      <c r="K26" s="240">
        <v>2072323</v>
      </c>
      <c r="L26" s="240">
        <v>2072453</v>
      </c>
      <c r="M26" s="240">
        <v>2072458</v>
      </c>
      <c r="N26" s="240">
        <v>2072722</v>
      </c>
      <c r="O26" s="240">
        <v>2073286</v>
      </c>
      <c r="P26" s="240">
        <v>2073806</v>
      </c>
      <c r="Q26" s="240">
        <v>2074069</v>
      </c>
      <c r="R26" s="240">
        <v>2074675</v>
      </c>
      <c r="S26" s="240">
        <v>2074860</v>
      </c>
      <c r="T26" s="240">
        <v>2075064</v>
      </c>
      <c r="U26" s="240">
        <v>2075312</v>
      </c>
      <c r="V26" s="240">
        <v>2075906</v>
      </c>
      <c r="W26" s="240">
        <v>2076339</v>
      </c>
      <c r="X26" s="240">
        <v>2076778</v>
      </c>
      <c r="Y26" s="240">
        <v>2076931</v>
      </c>
      <c r="Z26" s="240">
        <v>2077261</v>
      </c>
      <c r="AA26" s="240">
        <v>2077827</v>
      </c>
      <c r="AB26" s="240">
        <v>2078433</v>
      </c>
      <c r="AC26" s="240">
        <v>2079013</v>
      </c>
    </row>
    <row r="27" spans="1:29" x14ac:dyDescent="0.25">
      <c r="A27" s="6" t="s">
        <v>26</v>
      </c>
      <c r="B27" s="240">
        <v>2030265</v>
      </c>
      <c r="C27" s="240">
        <v>2030265</v>
      </c>
      <c r="D27" s="240">
        <v>2030561</v>
      </c>
      <c r="E27" s="240">
        <v>2030820</v>
      </c>
      <c r="F27" s="240">
        <v>2030960</v>
      </c>
      <c r="G27" s="240">
        <v>2031049</v>
      </c>
      <c r="H27" s="240">
        <v>2031654</v>
      </c>
      <c r="I27" s="240">
        <v>2032173</v>
      </c>
      <c r="J27" s="240">
        <v>2032521</v>
      </c>
      <c r="K27" s="240">
        <v>2032954</v>
      </c>
      <c r="L27" s="240">
        <v>2033345</v>
      </c>
      <c r="M27" s="240">
        <v>2033902</v>
      </c>
      <c r="N27" s="240">
        <v>2033999</v>
      </c>
      <c r="O27" s="240">
        <v>2034607</v>
      </c>
      <c r="P27" s="240">
        <v>2034607</v>
      </c>
      <c r="Q27" s="240">
        <v>2034869</v>
      </c>
      <c r="R27" s="240">
        <v>2034961</v>
      </c>
      <c r="S27" s="240">
        <v>2035397</v>
      </c>
      <c r="T27" s="240">
        <v>2035397</v>
      </c>
      <c r="U27" s="240">
        <v>2035548</v>
      </c>
      <c r="V27" s="240">
        <v>2035800</v>
      </c>
      <c r="W27" s="240">
        <v>2035800</v>
      </c>
      <c r="X27" s="240">
        <v>2036078</v>
      </c>
      <c r="Y27" s="240">
        <v>2036600</v>
      </c>
      <c r="Z27" s="240">
        <v>2036601</v>
      </c>
      <c r="AA27" s="240">
        <v>2036733</v>
      </c>
      <c r="AB27" s="240">
        <v>2036984</v>
      </c>
      <c r="AC27" s="240">
        <v>2037236</v>
      </c>
    </row>
    <row r="28" spans="1:29" x14ac:dyDescent="0.25">
      <c r="A28" s="6" t="s">
        <v>27</v>
      </c>
      <c r="B28" s="240">
        <v>2027602</v>
      </c>
      <c r="C28" s="240">
        <v>2027602</v>
      </c>
      <c r="D28" s="240">
        <v>2027602</v>
      </c>
      <c r="E28" s="240">
        <v>2027602</v>
      </c>
      <c r="F28" s="240">
        <v>2027602</v>
      </c>
      <c r="G28" s="240">
        <v>2027602</v>
      </c>
      <c r="H28" s="240">
        <v>2027602</v>
      </c>
      <c r="I28" s="240">
        <v>2027602</v>
      </c>
      <c r="J28" s="240">
        <v>2027602</v>
      </c>
      <c r="K28" s="240">
        <v>2027602</v>
      </c>
      <c r="L28" s="240">
        <v>2027602</v>
      </c>
      <c r="M28" s="240">
        <v>2027602</v>
      </c>
      <c r="N28" s="240">
        <v>2027602</v>
      </c>
      <c r="O28" s="240">
        <v>2027602</v>
      </c>
      <c r="P28" s="240">
        <v>2027602</v>
      </c>
      <c r="Q28" s="240">
        <v>2027602</v>
      </c>
      <c r="R28" s="240">
        <v>2027602</v>
      </c>
      <c r="S28" s="240">
        <v>2027602</v>
      </c>
      <c r="T28" s="240">
        <v>2027602</v>
      </c>
      <c r="U28" s="240">
        <v>2027602</v>
      </c>
      <c r="V28" s="240">
        <v>2027602</v>
      </c>
      <c r="W28" s="240">
        <v>2027602</v>
      </c>
      <c r="X28" s="240">
        <v>2027602</v>
      </c>
      <c r="Y28" s="240">
        <v>2027602</v>
      </c>
      <c r="Z28" s="240">
        <v>2027602</v>
      </c>
      <c r="AA28" s="240">
        <v>2027602</v>
      </c>
      <c r="AB28" s="240">
        <v>2027602</v>
      </c>
      <c r="AC28" s="240">
        <v>2027602</v>
      </c>
    </row>
    <row r="29" spans="1:29" x14ac:dyDescent="0.25">
      <c r="A29" s="5" t="s">
        <v>28</v>
      </c>
      <c r="B29" s="240">
        <v>1948208</v>
      </c>
      <c r="C29" s="240">
        <v>1948685</v>
      </c>
      <c r="D29" s="240">
        <v>1948750</v>
      </c>
      <c r="E29" s="240">
        <v>1949000</v>
      </c>
      <c r="F29" s="240">
        <v>1949587</v>
      </c>
      <c r="G29" s="240">
        <v>1949766</v>
      </c>
      <c r="H29" s="240">
        <v>1950029</v>
      </c>
      <c r="I29" s="240">
        <v>1950029</v>
      </c>
      <c r="J29" s="240">
        <v>1950029</v>
      </c>
      <c r="K29" s="240">
        <v>1950029</v>
      </c>
      <c r="L29" s="240">
        <v>1950277</v>
      </c>
      <c r="M29" s="240">
        <v>1950418</v>
      </c>
      <c r="N29" s="240">
        <v>1950892</v>
      </c>
      <c r="O29" s="240">
        <v>1951496</v>
      </c>
      <c r="P29" s="240">
        <v>1951970</v>
      </c>
      <c r="Q29" s="240">
        <v>1952060</v>
      </c>
      <c r="R29" s="240">
        <v>1952199</v>
      </c>
      <c r="S29" s="240">
        <v>1952786</v>
      </c>
      <c r="T29" s="240">
        <v>1953346</v>
      </c>
      <c r="U29" s="240">
        <v>1953477</v>
      </c>
      <c r="V29" s="240">
        <v>1953911</v>
      </c>
      <c r="W29" s="240">
        <v>1954432</v>
      </c>
      <c r="X29" s="240">
        <v>1954909</v>
      </c>
      <c r="Y29" s="240">
        <v>1955545</v>
      </c>
      <c r="Z29" s="240">
        <v>1955959</v>
      </c>
      <c r="AA29" s="240">
        <v>1956299</v>
      </c>
      <c r="AB29" s="240">
        <v>1956819</v>
      </c>
      <c r="AC29" s="240">
        <v>1957382</v>
      </c>
    </row>
    <row r="30" spans="1:29" x14ac:dyDescent="0.25">
      <c r="A30" s="6" t="s">
        <v>29</v>
      </c>
      <c r="B30" s="240">
        <v>1691596</v>
      </c>
      <c r="C30" s="240">
        <v>1691596</v>
      </c>
      <c r="D30" s="240">
        <v>1691936</v>
      </c>
      <c r="E30" s="240">
        <v>1692543</v>
      </c>
      <c r="F30" s="240">
        <v>1692952</v>
      </c>
      <c r="G30" s="240">
        <v>1693084</v>
      </c>
      <c r="H30" s="240">
        <v>1693335</v>
      </c>
      <c r="I30" s="240">
        <v>1693335</v>
      </c>
      <c r="J30" s="240">
        <v>1693335</v>
      </c>
      <c r="K30" s="240">
        <v>1693526</v>
      </c>
      <c r="L30" s="240">
        <v>1693606</v>
      </c>
      <c r="M30" s="240">
        <v>1693629</v>
      </c>
      <c r="N30" s="240">
        <v>1693768</v>
      </c>
      <c r="O30" s="240">
        <v>1694029</v>
      </c>
      <c r="P30" s="240">
        <v>1694029</v>
      </c>
      <c r="Q30" s="240">
        <v>1694076</v>
      </c>
      <c r="R30" s="240">
        <v>1694680</v>
      </c>
      <c r="S30" s="240">
        <v>1695241</v>
      </c>
      <c r="T30" s="240">
        <v>1695675</v>
      </c>
      <c r="U30" s="240">
        <v>1695766</v>
      </c>
      <c r="V30" s="240">
        <v>1695769</v>
      </c>
      <c r="W30" s="240">
        <v>1695769</v>
      </c>
      <c r="X30" s="240">
        <v>1695769</v>
      </c>
      <c r="Y30" s="240">
        <v>1696199</v>
      </c>
      <c r="Z30" s="240">
        <v>1696597</v>
      </c>
      <c r="AA30" s="240">
        <v>1696856</v>
      </c>
      <c r="AB30" s="240">
        <v>1697220</v>
      </c>
      <c r="AC30" s="240">
        <v>1697472</v>
      </c>
    </row>
    <row r="31" spans="1:29" x14ac:dyDescent="0.25">
      <c r="A31" s="7" t="s">
        <v>30</v>
      </c>
      <c r="B31" s="240">
        <v>1998853</v>
      </c>
      <c r="C31" s="240">
        <v>1998853</v>
      </c>
      <c r="D31" s="240">
        <v>1998853</v>
      </c>
      <c r="E31" s="240">
        <v>1998744</v>
      </c>
      <c r="F31" s="240">
        <v>1999348</v>
      </c>
      <c r="G31" s="240">
        <v>1999908</v>
      </c>
      <c r="H31" s="240">
        <v>2000469</v>
      </c>
      <c r="I31" s="240">
        <v>2000631</v>
      </c>
      <c r="J31" s="240">
        <v>2001021</v>
      </c>
      <c r="K31" s="240">
        <v>2001257</v>
      </c>
      <c r="L31" s="240">
        <v>2001508</v>
      </c>
      <c r="M31" s="240">
        <v>2001759</v>
      </c>
      <c r="N31" s="240">
        <v>2002011</v>
      </c>
      <c r="O31" s="240">
        <v>2002262</v>
      </c>
      <c r="P31" s="240">
        <v>2002262</v>
      </c>
      <c r="Q31" s="240">
        <v>2002262</v>
      </c>
      <c r="R31" s="240">
        <v>2002576</v>
      </c>
      <c r="S31" s="240">
        <v>2002705</v>
      </c>
      <c r="T31" s="240">
        <v>2003308</v>
      </c>
      <c r="U31" s="240">
        <v>2003825</v>
      </c>
      <c r="V31" s="240">
        <v>2004346</v>
      </c>
      <c r="W31" s="240">
        <v>2004906</v>
      </c>
      <c r="X31" s="240">
        <v>2005129</v>
      </c>
      <c r="Y31" s="240">
        <v>2005519</v>
      </c>
      <c r="Z31" s="240">
        <v>2005519</v>
      </c>
      <c r="AA31" s="240">
        <v>2006037</v>
      </c>
      <c r="AB31" s="240">
        <v>2006504</v>
      </c>
      <c r="AC31" s="240">
        <v>2006956</v>
      </c>
    </row>
    <row r="32" spans="1:29" s="126" customFormat="1" x14ac:dyDescent="0.25">
      <c r="A32" s="6" t="s">
        <v>111</v>
      </c>
      <c r="B32" s="240">
        <v>641732</v>
      </c>
      <c r="C32" s="240">
        <v>642163</v>
      </c>
      <c r="D32" s="240">
        <v>642185</v>
      </c>
      <c r="E32" s="240">
        <v>642772</v>
      </c>
      <c r="F32" s="240">
        <v>643289</v>
      </c>
      <c r="G32" s="240">
        <v>643895</v>
      </c>
      <c r="H32" s="240">
        <v>644004</v>
      </c>
      <c r="I32" s="240">
        <v>644004</v>
      </c>
      <c r="J32" s="240">
        <v>644004</v>
      </c>
      <c r="K32" s="240">
        <v>644004</v>
      </c>
      <c r="L32" s="240">
        <v>644257</v>
      </c>
      <c r="M32" s="240">
        <v>644448</v>
      </c>
      <c r="N32" s="240">
        <v>644528</v>
      </c>
      <c r="O32" s="240">
        <v>644528</v>
      </c>
      <c r="P32" s="240">
        <v>644528</v>
      </c>
      <c r="Q32" s="240">
        <v>644528</v>
      </c>
      <c r="R32" s="240">
        <v>644809</v>
      </c>
      <c r="S32" s="240">
        <v>644810</v>
      </c>
      <c r="T32" s="240">
        <v>645294</v>
      </c>
      <c r="U32" s="240">
        <v>645786</v>
      </c>
      <c r="V32" s="240">
        <v>645786</v>
      </c>
      <c r="W32" s="240">
        <v>645786</v>
      </c>
      <c r="X32" s="240">
        <v>645786</v>
      </c>
      <c r="Y32" s="240">
        <v>645941</v>
      </c>
      <c r="Z32" s="240">
        <v>646068</v>
      </c>
      <c r="AA32" s="240">
        <v>646313</v>
      </c>
      <c r="AB32" s="240">
        <v>646540</v>
      </c>
      <c r="AC32" s="240">
        <v>646799</v>
      </c>
    </row>
    <row r="33" spans="1:29" s="126" customFormat="1" x14ac:dyDescent="0.25">
      <c r="A33" s="5" t="s">
        <v>112</v>
      </c>
      <c r="B33" s="240">
        <v>609597</v>
      </c>
      <c r="C33" s="240">
        <v>609597</v>
      </c>
      <c r="D33" s="240">
        <v>609597</v>
      </c>
      <c r="E33" s="240">
        <v>609597</v>
      </c>
      <c r="F33" s="240">
        <v>609597</v>
      </c>
      <c r="G33" s="240">
        <v>609597</v>
      </c>
      <c r="H33" s="240">
        <v>609597</v>
      </c>
      <c r="I33" s="240">
        <v>609597</v>
      </c>
      <c r="J33" s="240">
        <v>609597</v>
      </c>
      <c r="K33" s="240">
        <v>609597</v>
      </c>
      <c r="L33" s="240">
        <v>609597</v>
      </c>
      <c r="M33" s="240">
        <v>609597</v>
      </c>
      <c r="N33" s="240">
        <v>609597</v>
      </c>
      <c r="O33" s="240">
        <v>609597</v>
      </c>
      <c r="P33" s="240">
        <v>609597</v>
      </c>
      <c r="Q33" s="240">
        <v>609597</v>
      </c>
      <c r="R33" s="240">
        <v>609597</v>
      </c>
      <c r="S33" s="240">
        <v>609597</v>
      </c>
      <c r="T33" s="240">
        <v>609597</v>
      </c>
      <c r="U33" s="240">
        <v>609597</v>
      </c>
      <c r="V33" s="240">
        <v>609597</v>
      </c>
      <c r="W33" s="240">
        <v>609597</v>
      </c>
      <c r="X33" s="240">
        <v>609597</v>
      </c>
      <c r="Y33" s="240">
        <v>609597</v>
      </c>
      <c r="Z33" s="240">
        <v>609597</v>
      </c>
      <c r="AA33" s="240">
        <v>609597</v>
      </c>
      <c r="AB33" s="240">
        <v>609597</v>
      </c>
      <c r="AC33" s="240">
        <v>609597</v>
      </c>
    </row>
    <row r="34" spans="1:29" s="126" customFormat="1" x14ac:dyDescent="0.25">
      <c r="A34" s="6" t="s">
        <v>113</v>
      </c>
      <c r="B34" s="240">
        <v>621763</v>
      </c>
      <c r="C34" s="240">
        <v>621763</v>
      </c>
      <c r="D34" s="240">
        <v>621993</v>
      </c>
      <c r="E34" s="240">
        <v>622469</v>
      </c>
      <c r="F34" s="240">
        <v>622989</v>
      </c>
      <c r="G34" s="240">
        <v>623030</v>
      </c>
      <c r="H34" s="240">
        <v>623030</v>
      </c>
      <c r="I34" s="240">
        <v>623030</v>
      </c>
      <c r="J34" s="240">
        <v>623030</v>
      </c>
      <c r="K34" s="240">
        <v>623206</v>
      </c>
      <c r="L34" s="240">
        <v>623210</v>
      </c>
      <c r="M34" s="240">
        <v>623642</v>
      </c>
      <c r="N34" s="240">
        <v>624249</v>
      </c>
      <c r="O34" s="240">
        <v>624515</v>
      </c>
      <c r="P34" s="240">
        <v>624860</v>
      </c>
      <c r="Q34" s="240">
        <v>625119</v>
      </c>
      <c r="R34" s="240">
        <v>625210</v>
      </c>
      <c r="S34" s="240">
        <v>625728</v>
      </c>
      <c r="T34" s="240">
        <v>626159</v>
      </c>
      <c r="U34" s="240">
        <v>626593</v>
      </c>
      <c r="V34" s="240">
        <v>626616</v>
      </c>
      <c r="W34" s="240">
        <v>626616</v>
      </c>
      <c r="X34" s="240">
        <v>626616</v>
      </c>
      <c r="Y34" s="240">
        <v>626957</v>
      </c>
      <c r="Z34" s="240">
        <v>627264</v>
      </c>
      <c r="AA34" s="240">
        <v>627739</v>
      </c>
      <c r="AB34" s="240">
        <v>627878</v>
      </c>
      <c r="AC34" s="240">
        <v>628010</v>
      </c>
    </row>
    <row r="35" spans="1:29" s="126" customFormat="1" x14ac:dyDescent="0.25">
      <c r="A35" s="7" t="s">
        <v>114</v>
      </c>
      <c r="B35" s="240">
        <v>638973</v>
      </c>
      <c r="C35" s="240">
        <v>638973</v>
      </c>
      <c r="D35" s="240">
        <v>639045</v>
      </c>
      <c r="E35" s="240">
        <v>639573</v>
      </c>
      <c r="F35" s="240">
        <v>639618</v>
      </c>
      <c r="G35" s="240">
        <v>639658</v>
      </c>
      <c r="H35" s="240">
        <v>639658</v>
      </c>
      <c r="I35" s="240">
        <v>639658</v>
      </c>
      <c r="J35" s="240">
        <v>639658</v>
      </c>
      <c r="K35" s="240">
        <v>640091</v>
      </c>
      <c r="L35" s="240">
        <v>640696</v>
      </c>
      <c r="M35" s="240">
        <v>641301</v>
      </c>
      <c r="N35" s="240">
        <v>641407</v>
      </c>
      <c r="O35" s="240">
        <v>641608</v>
      </c>
      <c r="P35" s="240">
        <v>642127</v>
      </c>
      <c r="Q35" s="240">
        <v>642558</v>
      </c>
      <c r="R35" s="240">
        <v>643075</v>
      </c>
      <c r="S35" s="240">
        <v>643334</v>
      </c>
      <c r="T35" s="240">
        <v>643538</v>
      </c>
      <c r="U35" s="240">
        <v>643823</v>
      </c>
      <c r="V35" s="240">
        <v>644342</v>
      </c>
      <c r="W35" s="240">
        <v>644863</v>
      </c>
      <c r="X35" s="240">
        <v>645211</v>
      </c>
      <c r="Y35" s="240">
        <v>645385</v>
      </c>
      <c r="Z35" s="240">
        <v>645388</v>
      </c>
      <c r="AA35" s="240">
        <v>645839</v>
      </c>
      <c r="AB35" s="240">
        <v>646067</v>
      </c>
      <c r="AC35" s="240">
        <v>646262</v>
      </c>
    </row>
    <row r="36" spans="1:29" s="126" customFormat="1" x14ac:dyDescent="0.25">
      <c r="A36" s="5" t="s">
        <v>115</v>
      </c>
      <c r="B36" s="240">
        <v>616141</v>
      </c>
      <c r="C36" s="240">
        <v>616141</v>
      </c>
      <c r="D36" s="240">
        <v>616309</v>
      </c>
      <c r="E36" s="240">
        <v>616573</v>
      </c>
      <c r="F36" s="240">
        <v>616575</v>
      </c>
      <c r="G36" s="240">
        <v>616852</v>
      </c>
      <c r="H36" s="240">
        <v>616925</v>
      </c>
      <c r="I36" s="240">
        <v>616925</v>
      </c>
      <c r="J36" s="240">
        <v>616925</v>
      </c>
      <c r="K36" s="240">
        <v>617184</v>
      </c>
      <c r="L36" s="240">
        <v>617789</v>
      </c>
      <c r="M36" s="240">
        <v>618048</v>
      </c>
      <c r="N36" s="240">
        <v>618299</v>
      </c>
      <c r="O36" s="240">
        <v>618301</v>
      </c>
      <c r="P36" s="240">
        <v>618301</v>
      </c>
      <c r="Q36" s="240">
        <v>618301</v>
      </c>
      <c r="R36" s="240">
        <v>618500</v>
      </c>
      <c r="S36" s="240">
        <v>618501</v>
      </c>
      <c r="T36" s="240">
        <v>618501</v>
      </c>
      <c r="U36" s="240">
        <v>618502</v>
      </c>
      <c r="V36" s="240">
        <v>618502</v>
      </c>
      <c r="W36" s="240">
        <v>618938</v>
      </c>
      <c r="X36" s="240">
        <v>619027</v>
      </c>
      <c r="Y36" s="240">
        <v>619330</v>
      </c>
      <c r="Z36" s="240">
        <v>619546</v>
      </c>
      <c r="AA36" s="240">
        <v>619722</v>
      </c>
      <c r="AB36" s="240">
        <v>619862</v>
      </c>
      <c r="AC36" s="240">
        <v>620054</v>
      </c>
    </row>
    <row r="37" spans="1:29" s="126" customFormat="1" x14ac:dyDescent="0.25">
      <c r="A37" s="6" t="s">
        <v>116</v>
      </c>
      <c r="B37" s="240">
        <v>664665</v>
      </c>
      <c r="C37" s="240">
        <v>664665</v>
      </c>
      <c r="D37" s="240">
        <v>665143</v>
      </c>
      <c r="E37" s="240">
        <v>665360</v>
      </c>
      <c r="F37" s="240">
        <v>665741</v>
      </c>
      <c r="G37" s="240">
        <v>666224</v>
      </c>
      <c r="H37" s="240">
        <v>666225</v>
      </c>
      <c r="I37" s="240">
        <v>666225</v>
      </c>
      <c r="J37" s="240">
        <v>666225</v>
      </c>
      <c r="K37" s="240">
        <v>666225</v>
      </c>
      <c r="L37" s="240">
        <v>666657</v>
      </c>
      <c r="M37" s="240">
        <v>667177</v>
      </c>
      <c r="N37" s="240">
        <v>667782</v>
      </c>
      <c r="O37" s="240">
        <v>668386</v>
      </c>
      <c r="P37" s="240">
        <v>668904</v>
      </c>
      <c r="Q37" s="240">
        <v>669336</v>
      </c>
      <c r="R37" s="240">
        <v>669356</v>
      </c>
      <c r="S37" s="240">
        <v>669608</v>
      </c>
      <c r="T37" s="240">
        <v>669859</v>
      </c>
      <c r="U37" s="240">
        <v>670032</v>
      </c>
      <c r="V37" s="240">
        <v>670032</v>
      </c>
      <c r="W37" s="240">
        <v>670032</v>
      </c>
      <c r="X37" s="240">
        <v>670032</v>
      </c>
      <c r="Y37" s="240">
        <v>670288</v>
      </c>
      <c r="Z37" s="240">
        <v>670486</v>
      </c>
      <c r="AA37" s="240">
        <v>670745</v>
      </c>
      <c r="AB37" s="240">
        <v>670749</v>
      </c>
      <c r="AC37" s="240">
        <v>670942</v>
      </c>
    </row>
    <row r="38" spans="1:29" x14ac:dyDescent="0.25">
      <c r="A38" s="7" t="s">
        <v>117</v>
      </c>
      <c r="B38" s="240">
        <v>311200</v>
      </c>
      <c r="C38" s="240">
        <v>311200</v>
      </c>
      <c r="D38" s="240">
        <v>311425</v>
      </c>
      <c r="E38" s="240">
        <v>311687</v>
      </c>
      <c r="F38" s="240">
        <v>311710</v>
      </c>
      <c r="G38" s="240">
        <v>311961</v>
      </c>
      <c r="H38" s="240">
        <v>312212</v>
      </c>
      <c r="I38" s="240">
        <v>312212</v>
      </c>
      <c r="J38" s="240">
        <v>312212</v>
      </c>
      <c r="K38" s="240">
        <v>312679</v>
      </c>
      <c r="L38" s="240">
        <v>312872</v>
      </c>
      <c r="M38" s="240">
        <v>313324</v>
      </c>
      <c r="N38" s="240">
        <v>313928</v>
      </c>
      <c r="O38" s="240">
        <v>314402</v>
      </c>
      <c r="P38" s="240">
        <v>314914</v>
      </c>
      <c r="Q38" s="240">
        <v>315439</v>
      </c>
      <c r="R38" s="240">
        <v>315725</v>
      </c>
      <c r="S38" s="240">
        <v>315727</v>
      </c>
      <c r="T38" s="240">
        <v>315918</v>
      </c>
      <c r="U38" s="240">
        <v>316191</v>
      </c>
      <c r="V38" s="240">
        <v>316795</v>
      </c>
      <c r="W38" s="240">
        <v>317270</v>
      </c>
      <c r="X38" s="240">
        <v>317701</v>
      </c>
      <c r="Y38" s="240">
        <v>317960</v>
      </c>
      <c r="Z38" s="240">
        <v>317964</v>
      </c>
      <c r="AA38" s="240">
        <v>318528</v>
      </c>
      <c r="AB38" s="240">
        <v>319005</v>
      </c>
      <c r="AC38" s="240">
        <v>319268</v>
      </c>
    </row>
    <row r="39" spans="1:29" x14ac:dyDescent="0.25">
      <c r="A39" s="5" t="s">
        <v>118</v>
      </c>
      <c r="B39" s="240">
        <v>641961</v>
      </c>
      <c r="C39" s="240">
        <v>642392</v>
      </c>
      <c r="D39" s="240">
        <v>642479</v>
      </c>
      <c r="E39" s="240">
        <v>642479</v>
      </c>
      <c r="F39" s="240">
        <v>642479</v>
      </c>
      <c r="G39" s="240">
        <v>642500</v>
      </c>
      <c r="H39" s="240">
        <v>642501</v>
      </c>
      <c r="I39" s="240">
        <v>642501</v>
      </c>
      <c r="J39" s="240">
        <v>642501</v>
      </c>
      <c r="K39" s="240">
        <v>642985</v>
      </c>
      <c r="L39" s="240">
        <v>643418</v>
      </c>
      <c r="M39" s="240">
        <v>643982</v>
      </c>
      <c r="N39" s="240">
        <v>644389</v>
      </c>
      <c r="O39" s="240">
        <v>644391</v>
      </c>
      <c r="P39" s="240">
        <v>644391</v>
      </c>
      <c r="Q39" s="240">
        <v>644391</v>
      </c>
      <c r="R39" s="240">
        <v>644589</v>
      </c>
      <c r="S39" s="240">
        <v>644590</v>
      </c>
      <c r="T39" s="240">
        <v>644590</v>
      </c>
      <c r="U39" s="240">
        <v>644591</v>
      </c>
      <c r="V39" s="240">
        <v>644591</v>
      </c>
      <c r="W39" s="240">
        <v>644591</v>
      </c>
      <c r="X39" s="240">
        <v>644767</v>
      </c>
      <c r="Y39" s="240">
        <v>645284</v>
      </c>
      <c r="Z39" s="240">
        <v>645306</v>
      </c>
      <c r="AA39" s="240">
        <v>645437</v>
      </c>
      <c r="AB39" s="240">
        <v>645687</v>
      </c>
      <c r="AC39" s="240">
        <v>645879</v>
      </c>
    </row>
    <row r="40" spans="1:29" s="126" customFormat="1" ht="18" x14ac:dyDescent="0.25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</row>
    <row r="41" spans="1:29" ht="18" x14ac:dyDescent="0.25">
      <c r="A41" s="332" t="s">
        <v>31</v>
      </c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2"/>
    </row>
    <row r="42" spans="1:29" x14ac:dyDescent="0.25">
      <c r="A42" s="9"/>
      <c r="B42" s="64">
        <v>45689</v>
      </c>
      <c r="C42" s="64">
        <v>45690</v>
      </c>
      <c r="D42" s="64">
        <v>45691</v>
      </c>
      <c r="E42" s="64">
        <v>45692</v>
      </c>
      <c r="F42" s="64">
        <v>45693</v>
      </c>
      <c r="G42" s="64">
        <v>45694</v>
      </c>
      <c r="H42" s="64">
        <v>45695</v>
      </c>
      <c r="I42" s="64">
        <v>45696</v>
      </c>
      <c r="J42" s="64">
        <v>45697</v>
      </c>
      <c r="K42" s="64">
        <v>45698</v>
      </c>
      <c r="L42" s="64">
        <v>45699</v>
      </c>
      <c r="M42" s="64">
        <v>45700</v>
      </c>
      <c r="N42" s="64">
        <v>45701</v>
      </c>
      <c r="O42" s="64">
        <v>45702</v>
      </c>
      <c r="P42" s="64">
        <v>45703</v>
      </c>
      <c r="Q42" s="64">
        <v>45704</v>
      </c>
      <c r="R42" s="64">
        <v>45705</v>
      </c>
      <c r="S42" s="64">
        <v>45706</v>
      </c>
      <c r="T42" s="64">
        <v>45707</v>
      </c>
      <c r="U42" s="64">
        <v>45708</v>
      </c>
      <c r="V42" s="64">
        <v>45709</v>
      </c>
      <c r="W42" s="64">
        <v>45710</v>
      </c>
      <c r="X42" s="64">
        <v>45711</v>
      </c>
      <c r="Y42" s="64">
        <v>45712</v>
      </c>
      <c r="Z42" s="64">
        <v>45713</v>
      </c>
      <c r="AA42" s="64">
        <v>45714</v>
      </c>
      <c r="AB42" s="64">
        <v>45715</v>
      </c>
      <c r="AC42" s="64">
        <v>45716</v>
      </c>
    </row>
    <row r="43" spans="1:29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</row>
    <row r="44" spans="1:29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</row>
    <row r="45" spans="1:29" x14ac:dyDescent="0.25">
      <c r="A45" s="11" t="s">
        <v>4</v>
      </c>
      <c r="B45" s="240">
        <v>0</v>
      </c>
      <c r="C45" s="12">
        <f t="shared" ref="C45:D64" si="0">C5-B5</f>
        <v>0</v>
      </c>
      <c r="D45" s="12">
        <f t="shared" si="0"/>
        <v>191</v>
      </c>
      <c r="E45" s="12">
        <f t="shared" ref="E45:F64" si="1">E5-D5</f>
        <v>2</v>
      </c>
      <c r="F45" s="12">
        <f t="shared" si="1"/>
        <v>167</v>
      </c>
      <c r="G45" s="12">
        <f t="shared" ref="G45:P45" si="2">G5-F5</f>
        <v>603</v>
      </c>
      <c r="H45" s="12">
        <f t="shared" si="2"/>
        <v>560</v>
      </c>
      <c r="I45" s="12">
        <f t="shared" si="2"/>
        <v>516</v>
      </c>
      <c r="J45" s="12">
        <f t="shared" si="2"/>
        <v>345</v>
      </c>
      <c r="K45" s="12">
        <f t="shared" si="2"/>
        <v>195</v>
      </c>
      <c r="L45" s="12">
        <f t="shared" si="2"/>
        <v>509</v>
      </c>
      <c r="M45" s="12">
        <f t="shared" si="2"/>
        <v>450</v>
      </c>
      <c r="N45" s="12">
        <f t="shared" si="2"/>
        <v>81</v>
      </c>
      <c r="O45" s="12">
        <f t="shared" si="2"/>
        <v>138</v>
      </c>
      <c r="P45" s="12">
        <f t="shared" si="2"/>
        <v>0</v>
      </c>
      <c r="Q45" s="12">
        <f>Q5-P5</f>
        <v>0</v>
      </c>
      <c r="R45" s="12">
        <f>R5-Q5</f>
        <v>3</v>
      </c>
      <c r="S45" s="12">
        <f>S5-R5</f>
        <v>199</v>
      </c>
      <c r="T45" s="12">
        <f t="shared" ref="T45:AC45" si="3">T5-S5</f>
        <v>517</v>
      </c>
      <c r="U45" s="12">
        <f t="shared" si="3"/>
        <v>435</v>
      </c>
      <c r="V45" s="12">
        <f>V5-U5</f>
        <v>312</v>
      </c>
      <c r="W45" s="12">
        <f t="shared" si="3"/>
        <v>0</v>
      </c>
      <c r="X45" s="12">
        <f t="shared" si="3"/>
        <v>0</v>
      </c>
      <c r="Y45" s="12">
        <f t="shared" si="3"/>
        <v>586</v>
      </c>
      <c r="Z45" s="12">
        <f t="shared" si="3"/>
        <v>21</v>
      </c>
      <c r="AA45" s="12">
        <f t="shared" si="3"/>
        <v>191</v>
      </c>
      <c r="AB45" s="12">
        <f t="shared" si="3"/>
        <v>251</v>
      </c>
      <c r="AC45" s="12">
        <f t="shared" si="3"/>
        <v>585</v>
      </c>
    </row>
    <row r="46" spans="1:29" x14ac:dyDescent="0.25">
      <c r="A46" s="11" t="s">
        <v>5</v>
      </c>
      <c r="B46" s="240">
        <v>3</v>
      </c>
      <c r="C46" s="12">
        <f t="shared" si="0"/>
        <v>106</v>
      </c>
      <c r="D46" s="12">
        <f t="shared" si="0"/>
        <v>546</v>
      </c>
      <c r="E46" s="12">
        <f t="shared" si="1"/>
        <v>178</v>
      </c>
      <c r="F46" s="12">
        <f t="shared" si="1"/>
        <v>152</v>
      </c>
      <c r="G46" s="12">
        <f t="shared" ref="G46:P62" si="4">G6-F6</f>
        <v>191</v>
      </c>
      <c r="H46" s="12">
        <f t="shared" si="4"/>
        <v>191</v>
      </c>
      <c r="I46" s="12">
        <f t="shared" si="4"/>
        <v>0</v>
      </c>
      <c r="J46" s="12">
        <f t="shared" si="4"/>
        <v>0</v>
      </c>
      <c r="K46" s="12">
        <f t="shared" si="4"/>
        <v>588</v>
      </c>
      <c r="L46" s="12">
        <f t="shared" si="4"/>
        <v>562</v>
      </c>
      <c r="M46" s="12">
        <f t="shared" si="4"/>
        <v>194</v>
      </c>
      <c r="N46" s="12">
        <f t="shared" si="4"/>
        <v>587</v>
      </c>
      <c r="O46" s="12">
        <f t="shared" si="4"/>
        <v>561</v>
      </c>
      <c r="P46" s="12">
        <f t="shared" si="4"/>
        <v>43</v>
      </c>
      <c r="Q46" s="12">
        <f t="shared" ref="Q46:Q79" si="5">Q6-P6</f>
        <v>477</v>
      </c>
      <c r="R46" s="12">
        <f t="shared" ref="R46:S79" si="6">R6-Q6</f>
        <v>561</v>
      </c>
      <c r="S46" s="12">
        <f t="shared" si="6"/>
        <v>152</v>
      </c>
      <c r="T46" s="12">
        <f t="shared" ref="T46:AC46" si="7">T6-S6</f>
        <v>252</v>
      </c>
      <c r="U46" s="12">
        <f t="shared" si="7"/>
        <v>198</v>
      </c>
      <c r="V46" s="12">
        <f t="shared" si="7"/>
        <v>27</v>
      </c>
      <c r="W46" s="12">
        <f t="shared" si="7"/>
        <v>0</v>
      </c>
      <c r="X46" s="12">
        <f t="shared" si="7"/>
        <v>0</v>
      </c>
      <c r="Y46" s="12">
        <f t="shared" si="7"/>
        <v>0</v>
      </c>
      <c r="Z46" s="12">
        <f t="shared" si="7"/>
        <v>0</v>
      </c>
      <c r="AA46" s="12">
        <f t="shared" si="7"/>
        <v>0</v>
      </c>
      <c r="AB46" s="12">
        <f t="shared" si="7"/>
        <v>21</v>
      </c>
      <c r="AC46" s="12">
        <f t="shared" si="7"/>
        <v>2</v>
      </c>
    </row>
    <row r="47" spans="1:29" x14ac:dyDescent="0.25">
      <c r="A47" s="11" t="s">
        <v>6</v>
      </c>
      <c r="B47" s="240">
        <v>86</v>
      </c>
      <c r="C47" s="12">
        <f t="shared" si="0"/>
        <v>518</v>
      </c>
      <c r="D47" s="12">
        <f t="shared" si="0"/>
        <v>518</v>
      </c>
      <c r="E47" s="12">
        <f t="shared" si="1"/>
        <v>604</v>
      </c>
      <c r="F47" s="12">
        <f t="shared" si="1"/>
        <v>0</v>
      </c>
      <c r="G47" s="12">
        <f t="shared" si="4"/>
        <v>281</v>
      </c>
      <c r="H47" s="12">
        <f t="shared" si="4"/>
        <v>92</v>
      </c>
      <c r="I47" s="12">
        <f t="shared" si="4"/>
        <v>519</v>
      </c>
      <c r="J47" s="12">
        <f t="shared" si="4"/>
        <v>347</v>
      </c>
      <c r="K47" s="12">
        <f t="shared" si="4"/>
        <v>561</v>
      </c>
      <c r="L47" s="12">
        <f t="shared" si="4"/>
        <v>63</v>
      </c>
      <c r="M47" s="12">
        <f t="shared" si="4"/>
        <v>132</v>
      </c>
      <c r="N47" s="12">
        <f t="shared" si="4"/>
        <v>251</v>
      </c>
      <c r="O47" s="12">
        <f t="shared" si="4"/>
        <v>159</v>
      </c>
      <c r="P47" s="12">
        <f t="shared" si="4"/>
        <v>564</v>
      </c>
      <c r="Q47" s="12">
        <f t="shared" si="5"/>
        <v>43</v>
      </c>
      <c r="R47" s="12">
        <f t="shared" si="6"/>
        <v>605</v>
      </c>
      <c r="S47" s="12">
        <f t="shared" si="6"/>
        <v>607</v>
      </c>
      <c r="T47" s="12">
        <f t="shared" ref="T47:AC47" si="8">T7-S7</f>
        <v>561</v>
      </c>
      <c r="U47" s="12">
        <f t="shared" si="8"/>
        <v>561</v>
      </c>
      <c r="V47" s="12">
        <f t="shared" si="8"/>
        <v>366</v>
      </c>
      <c r="W47" s="12">
        <f t="shared" si="8"/>
        <v>174</v>
      </c>
      <c r="X47" s="12">
        <f t="shared" si="8"/>
        <v>366</v>
      </c>
      <c r="Y47" s="12">
        <f t="shared" si="8"/>
        <v>167</v>
      </c>
      <c r="Z47" s="12">
        <f t="shared" si="8"/>
        <v>278</v>
      </c>
      <c r="AA47" s="12">
        <f t="shared" si="8"/>
        <v>278</v>
      </c>
      <c r="AB47" s="12">
        <f t="shared" si="8"/>
        <v>432</v>
      </c>
      <c r="AC47" s="12">
        <f t="shared" si="8"/>
        <v>263</v>
      </c>
    </row>
    <row r="48" spans="1:29" x14ac:dyDescent="0.25">
      <c r="A48" s="13" t="s">
        <v>7</v>
      </c>
      <c r="B48" s="240">
        <v>0</v>
      </c>
      <c r="C48" s="12">
        <f t="shared" si="0"/>
        <v>0</v>
      </c>
      <c r="D48" s="12">
        <f t="shared" si="0"/>
        <v>24</v>
      </c>
      <c r="E48" s="12">
        <f t="shared" si="1"/>
        <v>0</v>
      </c>
      <c r="F48" s="12">
        <f t="shared" si="1"/>
        <v>0</v>
      </c>
      <c r="G48" s="12">
        <f t="shared" si="4"/>
        <v>0</v>
      </c>
      <c r="H48" s="12">
        <f t="shared" si="4"/>
        <v>0</v>
      </c>
      <c r="I48" s="12">
        <f t="shared" si="4"/>
        <v>0</v>
      </c>
      <c r="J48" s="12">
        <f t="shared" si="4"/>
        <v>0</v>
      </c>
      <c r="K48" s="12">
        <f t="shared" si="4"/>
        <v>347</v>
      </c>
      <c r="L48" s="12">
        <f t="shared" si="4"/>
        <v>605</v>
      </c>
      <c r="M48" s="12">
        <f t="shared" si="4"/>
        <v>372</v>
      </c>
      <c r="N48" s="12">
        <f t="shared" si="4"/>
        <v>133</v>
      </c>
      <c r="O48" s="12">
        <f t="shared" si="4"/>
        <v>285</v>
      </c>
      <c r="P48" s="12">
        <f t="shared" si="4"/>
        <v>562</v>
      </c>
      <c r="Q48" s="12">
        <f t="shared" si="5"/>
        <v>479</v>
      </c>
      <c r="R48" s="12">
        <f t="shared" si="6"/>
        <v>565</v>
      </c>
      <c r="S48" s="12">
        <f t="shared" si="6"/>
        <v>131</v>
      </c>
      <c r="T48" s="12">
        <f t="shared" ref="T48:AC48" si="9">T8-S8</f>
        <v>1</v>
      </c>
      <c r="U48" s="12">
        <f t="shared" si="9"/>
        <v>21</v>
      </c>
      <c r="V48" s="12">
        <f t="shared" si="9"/>
        <v>191</v>
      </c>
      <c r="W48" s="12">
        <f t="shared" si="9"/>
        <v>0</v>
      </c>
      <c r="X48" s="12">
        <f t="shared" si="9"/>
        <v>235</v>
      </c>
      <c r="Y48" s="12">
        <f t="shared" si="9"/>
        <v>475</v>
      </c>
      <c r="Z48" s="12">
        <f t="shared" si="9"/>
        <v>219</v>
      </c>
      <c r="AA48" s="12">
        <f t="shared" si="9"/>
        <v>477</v>
      </c>
      <c r="AB48" s="12">
        <f t="shared" si="9"/>
        <v>151</v>
      </c>
      <c r="AC48" s="12">
        <f t="shared" si="9"/>
        <v>252</v>
      </c>
    </row>
    <row r="49" spans="1:29" x14ac:dyDescent="0.25">
      <c r="A49" s="13" t="s">
        <v>8</v>
      </c>
      <c r="B49" s="240">
        <v>0</v>
      </c>
      <c r="C49" s="12">
        <f t="shared" si="0"/>
        <v>0</v>
      </c>
      <c r="D49" s="12">
        <f t="shared" si="0"/>
        <v>80</v>
      </c>
      <c r="E49" s="12">
        <f t="shared" si="1"/>
        <v>217</v>
      </c>
      <c r="F49" s="12">
        <f t="shared" si="1"/>
        <v>251</v>
      </c>
      <c r="G49" s="12">
        <f t="shared" si="4"/>
        <v>588</v>
      </c>
      <c r="H49" s="12">
        <f t="shared" si="4"/>
        <v>452</v>
      </c>
      <c r="I49" s="12">
        <f t="shared" si="4"/>
        <v>0</v>
      </c>
      <c r="J49" s="12">
        <f t="shared" si="4"/>
        <v>0</v>
      </c>
      <c r="K49" s="12">
        <f t="shared" si="4"/>
        <v>0</v>
      </c>
      <c r="L49" s="12">
        <f t="shared" si="4"/>
        <v>254</v>
      </c>
      <c r="M49" s="12">
        <f t="shared" si="4"/>
        <v>252</v>
      </c>
      <c r="N49" s="12">
        <f t="shared" si="4"/>
        <v>80</v>
      </c>
      <c r="O49" s="12">
        <f t="shared" si="4"/>
        <v>0</v>
      </c>
      <c r="P49" s="12">
        <f t="shared" si="4"/>
        <v>0</v>
      </c>
      <c r="Q49" s="12">
        <f t="shared" si="5"/>
        <v>0</v>
      </c>
      <c r="R49" s="12">
        <f t="shared" si="6"/>
        <v>22</v>
      </c>
      <c r="S49" s="12">
        <f t="shared" si="6"/>
        <v>80</v>
      </c>
      <c r="T49" s="12">
        <f t="shared" ref="T49:AC49" si="10">T9-S9</f>
        <v>20</v>
      </c>
      <c r="U49" s="12">
        <f t="shared" si="10"/>
        <v>252</v>
      </c>
      <c r="V49" s="12">
        <f t="shared" si="10"/>
        <v>528</v>
      </c>
      <c r="W49" s="12">
        <f t="shared" si="10"/>
        <v>562</v>
      </c>
      <c r="X49" s="12">
        <f t="shared" si="10"/>
        <v>517</v>
      </c>
      <c r="Y49" s="12">
        <f t="shared" si="10"/>
        <v>676</v>
      </c>
      <c r="Z49" s="12">
        <f t="shared" si="10"/>
        <v>158</v>
      </c>
      <c r="AA49" s="12">
        <f t="shared" si="10"/>
        <v>453</v>
      </c>
      <c r="AB49" s="12">
        <f t="shared" si="10"/>
        <v>205</v>
      </c>
      <c r="AC49" s="12">
        <f t="shared" si="10"/>
        <v>251</v>
      </c>
    </row>
    <row r="50" spans="1:29" x14ac:dyDescent="0.25">
      <c r="A50" s="13" t="s">
        <v>9</v>
      </c>
      <c r="B50" s="240">
        <v>0</v>
      </c>
      <c r="C50" s="12">
        <f t="shared" si="0"/>
        <v>0</v>
      </c>
      <c r="D50" s="12">
        <f t="shared" si="0"/>
        <v>251</v>
      </c>
      <c r="E50" s="12">
        <f t="shared" si="1"/>
        <v>603</v>
      </c>
      <c r="F50" s="12">
        <f t="shared" si="1"/>
        <v>560</v>
      </c>
      <c r="G50" s="12">
        <f t="shared" si="4"/>
        <v>194</v>
      </c>
      <c r="H50" s="12">
        <f t="shared" si="4"/>
        <v>259</v>
      </c>
      <c r="I50" s="12">
        <f t="shared" si="4"/>
        <v>517</v>
      </c>
      <c r="J50" s="12">
        <f t="shared" si="4"/>
        <v>172</v>
      </c>
      <c r="K50" s="12">
        <f t="shared" si="4"/>
        <v>519</v>
      </c>
      <c r="L50" s="12">
        <f t="shared" si="4"/>
        <v>236</v>
      </c>
      <c r="M50" s="12">
        <f t="shared" si="4"/>
        <v>502</v>
      </c>
      <c r="N50" s="12">
        <f t="shared" si="4"/>
        <v>20</v>
      </c>
      <c r="O50" s="12">
        <f t="shared" si="4"/>
        <v>2</v>
      </c>
      <c r="P50" s="12">
        <f t="shared" si="4"/>
        <v>0</v>
      </c>
      <c r="Q50" s="12">
        <f t="shared" si="5"/>
        <v>0</v>
      </c>
      <c r="R50" s="12">
        <f t="shared" si="6"/>
        <v>139</v>
      </c>
      <c r="S50" s="12">
        <f t="shared" si="6"/>
        <v>433</v>
      </c>
      <c r="T50" s="12">
        <f t="shared" ref="T50:AC50" si="11">T10-S10</f>
        <v>373</v>
      </c>
      <c r="U50" s="12">
        <f t="shared" si="11"/>
        <v>140</v>
      </c>
      <c r="V50" s="12">
        <f t="shared" si="11"/>
        <v>476</v>
      </c>
      <c r="W50" s="12">
        <f t="shared" si="11"/>
        <v>560</v>
      </c>
      <c r="X50" s="12">
        <f t="shared" si="11"/>
        <v>517</v>
      </c>
      <c r="Y50" s="12">
        <f t="shared" si="11"/>
        <v>521</v>
      </c>
      <c r="Z50" s="12">
        <f t="shared" si="11"/>
        <v>133</v>
      </c>
      <c r="AA50" s="12">
        <f t="shared" si="11"/>
        <v>586</v>
      </c>
      <c r="AB50" s="12">
        <f t="shared" si="11"/>
        <v>675</v>
      </c>
      <c r="AC50" s="12">
        <f t="shared" si="11"/>
        <v>587</v>
      </c>
    </row>
    <row r="51" spans="1:29" x14ac:dyDescent="0.25">
      <c r="A51" s="13" t="s">
        <v>10</v>
      </c>
      <c r="B51" s="240">
        <v>479</v>
      </c>
      <c r="C51" s="12">
        <f t="shared" si="0"/>
        <v>2</v>
      </c>
      <c r="D51" s="12">
        <f t="shared" si="0"/>
        <v>402</v>
      </c>
      <c r="E51" s="12">
        <f t="shared" si="1"/>
        <v>1</v>
      </c>
      <c r="F51" s="12">
        <f t="shared" si="1"/>
        <v>192</v>
      </c>
      <c r="G51" s="12">
        <f t="shared" si="4"/>
        <v>254</v>
      </c>
      <c r="H51" s="12">
        <f t="shared" si="4"/>
        <v>260</v>
      </c>
      <c r="I51" s="12">
        <f t="shared" si="4"/>
        <v>352</v>
      </c>
      <c r="J51" s="12">
        <f t="shared" si="4"/>
        <v>3</v>
      </c>
      <c r="K51" s="12">
        <f t="shared" si="4"/>
        <v>91</v>
      </c>
      <c r="L51" s="12">
        <f t="shared" si="4"/>
        <v>4</v>
      </c>
      <c r="M51" s="12">
        <f t="shared" si="4"/>
        <v>133</v>
      </c>
      <c r="N51" s="12">
        <f t="shared" si="4"/>
        <v>564</v>
      </c>
      <c r="O51" s="12">
        <f t="shared" si="4"/>
        <v>4</v>
      </c>
      <c r="P51" s="12">
        <f t="shared" si="4"/>
        <v>524</v>
      </c>
      <c r="Q51" s="12">
        <f t="shared" si="5"/>
        <v>480</v>
      </c>
      <c r="R51" s="12">
        <f t="shared" si="6"/>
        <v>65</v>
      </c>
      <c r="S51" s="12">
        <f t="shared" si="6"/>
        <v>80</v>
      </c>
      <c r="T51" s="12">
        <f t="shared" ref="T51:AC51" si="12">T11-S11</f>
        <v>261</v>
      </c>
      <c r="U51" s="12">
        <f t="shared" si="12"/>
        <v>607</v>
      </c>
      <c r="V51" s="12">
        <f t="shared" si="12"/>
        <v>291</v>
      </c>
      <c r="W51" s="12">
        <f t="shared" si="12"/>
        <v>0</v>
      </c>
      <c r="X51" s="12">
        <f t="shared" si="12"/>
        <v>236</v>
      </c>
      <c r="Y51" s="12">
        <f t="shared" si="12"/>
        <v>495</v>
      </c>
      <c r="Z51" s="12">
        <f t="shared" si="12"/>
        <v>0</v>
      </c>
      <c r="AA51" s="12">
        <f t="shared" si="12"/>
        <v>350</v>
      </c>
      <c r="AB51" s="12">
        <f t="shared" si="12"/>
        <v>524</v>
      </c>
      <c r="AC51" s="12">
        <f t="shared" si="12"/>
        <v>134</v>
      </c>
    </row>
    <row r="52" spans="1:29" x14ac:dyDescent="0.25">
      <c r="A52" s="11" t="s">
        <v>11</v>
      </c>
      <c r="B52" s="240">
        <v>561</v>
      </c>
      <c r="C52" s="12">
        <f t="shared" si="0"/>
        <v>520</v>
      </c>
      <c r="D52" s="12">
        <f t="shared" si="0"/>
        <v>346</v>
      </c>
      <c r="E52" s="12">
        <f t="shared" si="1"/>
        <v>90</v>
      </c>
      <c r="F52" s="12">
        <f t="shared" si="1"/>
        <v>561</v>
      </c>
      <c r="G52" s="12">
        <f t="shared" si="4"/>
        <v>407</v>
      </c>
      <c r="H52" s="12">
        <f t="shared" si="4"/>
        <v>73</v>
      </c>
      <c r="I52" s="12">
        <f t="shared" si="4"/>
        <v>0</v>
      </c>
      <c r="J52" s="12">
        <f t="shared" si="4"/>
        <v>0</v>
      </c>
      <c r="K52" s="12">
        <f t="shared" si="4"/>
        <v>235</v>
      </c>
      <c r="L52" s="12">
        <f t="shared" si="4"/>
        <v>133</v>
      </c>
      <c r="M52" s="12">
        <f t="shared" si="4"/>
        <v>484</v>
      </c>
      <c r="N52" s="12">
        <f t="shared" si="4"/>
        <v>518</v>
      </c>
      <c r="O52" s="12">
        <f t="shared" si="4"/>
        <v>20</v>
      </c>
      <c r="P52" s="12">
        <f t="shared" si="4"/>
        <v>0</v>
      </c>
      <c r="Q52" s="12">
        <f t="shared" si="5"/>
        <v>21</v>
      </c>
      <c r="R52" s="12">
        <f t="shared" si="6"/>
        <v>3</v>
      </c>
      <c r="S52" s="12">
        <f t="shared" si="6"/>
        <v>476</v>
      </c>
      <c r="T52" s="12">
        <f t="shared" ref="T52:AC52" si="13">T12-S12</f>
        <v>605</v>
      </c>
      <c r="U52" s="12">
        <f t="shared" si="13"/>
        <v>62</v>
      </c>
      <c r="V52" s="12">
        <f t="shared" si="13"/>
        <v>191</v>
      </c>
      <c r="W52" s="12">
        <f t="shared" si="13"/>
        <v>0</v>
      </c>
      <c r="X52" s="12">
        <f t="shared" si="13"/>
        <v>0</v>
      </c>
      <c r="Y52" s="12">
        <f t="shared" si="13"/>
        <v>251</v>
      </c>
      <c r="Z52" s="12">
        <f t="shared" si="13"/>
        <v>328</v>
      </c>
      <c r="AA52" s="12">
        <f t="shared" si="13"/>
        <v>152</v>
      </c>
      <c r="AB52" s="12">
        <f t="shared" si="13"/>
        <v>587</v>
      </c>
      <c r="AC52" s="12">
        <f t="shared" si="13"/>
        <v>263</v>
      </c>
    </row>
    <row r="53" spans="1:29" x14ac:dyDescent="0.25">
      <c r="A53" s="11" t="s">
        <v>12</v>
      </c>
      <c r="B53" s="240">
        <v>0</v>
      </c>
      <c r="C53" s="12">
        <f t="shared" si="0"/>
        <v>0</v>
      </c>
      <c r="D53" s="12">
        <f t="shared" si="0"/>
        <v>403</v>
      </c>
      <c r="E53" s="12">
        <f t="shared" si="1"/>
        <v>81</v>
      </c>
      <c r="F53" s="12">
        <f t="shared" si="1"/>
        <v>161</v>
      </c>
      <c r="G53" s="12">
        <f t="shared" si="4"/>
        <v>3</v>
      </c>
      <c r="H53" s="12">
        <f t="shared" si="4"/>
        <v>263</v>
      </c>
      <c r="I53" s="12">
        <f t="shared" si="4"/>
        <v>163</v>
      </c>
      <c r="J53" s="12">
        <f t="shared" si="4"/>
        <v>351</v>
      </c>
      <c r="K53" s="12">
        <f t="shared" si="4"/>
        <v>420</v>
      </c>
      <c r="L53" s="12">
        <f t="shared" si="4"/>
        <v>257</v>
      </c>
      <c r="M53" s="12">
        <f t="shared" si="4"/>
        <v>41</v>
      </c>
      <c r="N53" s="12">
        <f t="shared" si="4"/>
        <v>528</v>
      </c>
      <c r="O53" s="12">
        <f t="shared" si="4"/>
        <v>616</v>
      </c>
      <c r="P53" s="12">
        <f t="shared" si="4"/>
        <v>3</v>
      </c>
      <c r="Q53" s="12">
        <f t="shared" si="5"/>
        <v>441</v>
      </c>
      <c r="R53" s="12">
        <f t="shared" si="6"/>
        <v>438</v>
      </c>
      <c r="S53" s="12">
        <f t="shared" si="6"/>
        <v>528</v>
      </c>
      <c r="T53" s="12">
        <f t="shared" ref="T53:AC53" si="14">T13-S13</f>
        <v>356</v>
      </c>
      <c r="U53" s="12">
        <f t="shared" si="14"/>
        <v>20</v>
      </c>
      <c r="V53" s="12">
        <f t="shared" si="14"/>
        <v>2</v>
      </c>
      <c r="W53" s="12">
        <f t="shared" si="14"/>
        <v>0</v>
      </c>
      <c r="X53" s="12">
        <f t="shared" si="14"/>
        <v>0</v>
      </c>
      <c r="Y53" s="12">
        <f t="shared" si="14"/>
        <v>255</v>
      </c>
      <c r="Z53" s="12">
        <f t="shared" si="14"/>
        <v>204</v>
      </c>
      <c r="AA53" s="12">
        <f t="shared" si="14"/>
        <v>91</v>
      </c>
      <c r="AB53" s="12">
        <f t="shared" si="14"/>
        <v>596</v>
      </c>
      <c r="AC53" s="12">
        <f t="shared" si="14"/>
        <v>511</v>
      </c>
    </row>
    <row r="54" spans="1:29" x14ac:dyDescent="0.25">
      <c r="A54" s="11" t="s">
        <v>13</v>
      </c>
      <c r="B54" s="240">
        <v>564</v>
      </c>
      <c r="C54" s="12">
        <f t="shared" si="0"/>
        <v>44</v>
      </c>
      <c r="D54" s="12">
        <f t="shared" si="0"/>
        <v>488</v>
      </c>
      <c r="E54" s="12">
        <f t="shared" si="1"/>
        <v>264</v>
      </c>
      <c r="F54" s="12">
        <f t="shared" si="1"/>
        <v>264</v>
      </c>
      <c r="G54" s="12">
        <f t="shared" si="4"/>
        <v>200</v>
      </c>
      <c r="H54" s="12">
        <f t="shared" si="4"/>
        <v>479</v>
      </c>
      <c r="I54" s="12">
        <f t="shared" si="4"/>
        <v>43</v>
      </c>
      <c r="J54" s="12">
        <f t="shared" si="4"/>
        <v>89</v>
      </c>
      <c r="K54" s="12">
        <f t="shared" si="4"/>
        <v>3</v>
      </c>
      <c r="L54" s="12">
        <f t="shared" si="4"/>
        <v>434</v>
      </c>
      <c r="M54" s="12">
        <f t="shared" si="4"/>
        <v>565</v>
      </c>
      <c r="N54" s="12">
        <f t="shared" si="4"/>
        <v>477</v>
      </c>
      <c r="O54" s="12">
        <f t="shared" si="4"/>
        <v>140</v>
      </c>
      <c r="P54" s="12">
        <f t="shared" si="4"/>
        <v>0</v>
      </c>
      <c r="Q54" s="12">
        <f t="shared" si="5"/>
        <v>0</v>
      </c>
      <c r="R54" s="12">
        <f t="shared" si="6"/>
        <v>281</v>
      </c>
      <c r="S54" s="12">
        <f t="shared" si="6"/>
        <v>565</v>
      </c>
      <c r="T54" s="12">
        <f t="shared" ref="T54:AC54" si="15">T14-S14</f>
        <v>134</v>
      </c>
      <c r="U54" s="12">
        <f t="shared" si="15"/>
        <v>561</v>
      </c>
      <c r="V54" s="12">
        <f t="shared" si="15"/>
        <v>561</v>
      </c>
      <c r="W54" s="12">
        <f t="shared" si="15"/>
        <v>560</v>
      </c>
      <c r="X54" s="12">
        <f t="shared" si="15"/>
        <v>216</v>
      </c>
      <c r="Y54" s="12">
        <f t="shared" si="15"/>
        <v>151</v>
      </c>
      <c r="Z54" s="12">
        <f t="shared" si="15"/>
        <v>127</v>
      </c>
      <c r="AA54" s="12">
        <f t="shared" si="15"/>
        <v>393</v>
      </c>
      <c r="AB54" s="12">
        <f t="shared" si="15"/>
        <v>152</v>
      </c>
      <c r="AC54" s="12">
        <f t="shared" si="15"/>
        <v>263</v>
      </c>
    </row>
    <row r="55" spans="1:29" x14ac:dyDescent="0.25">
      <c r="A55" s="13" t="s">
        <v>14</v>
      </c>
      <c r="B55" s="240">
        <v>523</v>
      </c>
      <c r="C55" s="12">
        <f t="shared" si="0"/>
        <v>477</v>
      </c>
      <c r="D55" s="12">
        <f t="shared" si="0"/>
        <v>545</v>
      </c>
      <c r="E55" s="12">
        <f t="shared" si="1"/>
        <v>203</v>
      </c>
      <c r="F55" s="12">
        <f t="shared" si="1"/>
        <v>522</v>
      </c>
      <c r="G55" s="12">
        <f t="shared" si="4"/>
        <v>520</v>
      </c>
      <c r="H55" s="12">
        <f t="shared" si="4"/>
        <v>609</v>
      </c>
      <c r="I55" s="12">
        <f t="shared" si="4"/>
        <v>521</v>
      </c>
      <c r="J55" s="12">
        <f t="shared" si="4"/>
        <v>179</v>
      </c>
      <c r="K55" s="12">
        <f t="shared" si="4"/>
        <v>160</v>
      </c>
      <c r="L55" s="12">
        <f t="shared" si="4"/>
        <v>90</v>
      </c>
      <c r="M55" s="12">
        <f t="shared" si="4"/>
        <v>3</v>
      </c>
      <c r="N55" s="12">
        <f t="shared" si="4"/>
        <v>1</v>
      </c>
      <c r="O55" s="12">
        <f t="shared" si="4"/>
        <v>0</v>
      </c>
      <c r="P55" s="12">
        <f t="shared" si="4"/>
        <v>0</v>
      </c>
      <c r="Q55" s="12">
        <f t="shared" si="5"/>
        <v>0</v>
      </c>
      <c r="R55" s="12">
        <f t="shared" si="6"/>
        <v>281</v>
      </c>
      <c r="S55" s="12">
        <f t="shared" si="6"/>
        <v>133</v>
      </c>
      <c r="T55" s="12">
        <f t="shared" ref="T55:AC55" si="16">T15-S15</f>
        <v>254</v>
      </c>
      <c r="U55" s="12">
        <f t="shared" si="16"/>
        <v>402</v>
      </c>
      <c r="V55" s="12">
        <f t="shared" si="16"/>
        <v>607</v>
      </c>
      <c r="W55" s="12">
        <f t="shared" si="16"/>
        <v>520</v>
      </c>
      <c r="X55" s="12">
        <f t="shared" si="16"/>
        <v>366</v>
      </c>
      <c r="Y55" s="12">
        <f t="shared" si="16"/>
        <v>141</v>
      </c>
      <c r="Z55" s="12">
        <f t="shared" si="16"/>
        <v>124</v>
      </c>
      <c r="AA55" s="12">
        <f t="shared" si="16"/>
        <v>229</v>
      </c>
      <c r="AB55" s="12">
        <f t="shared" si="16"/>
        <v>261</v>
      </c>
      <c r="AC55" s="12">
        <f t="shared" si="16"/>
        <v>420</v>
      </c>
    </row>
    <row r="56" spans="1:29" x14ac:dyDescent="0.25">
      <c r="A56" s="13" t="s">
        <v>15</v>
      </c>
      <c r="B56" s="240">
        <v>518</v>
      </c>
      <c r="C56" s="12">
        <f t="shared" si="0"/>
        <v>518</v>
      </c>
      <c r="D56" s="12">
        <f t="shared" si="0"/>
        <v>89</v>
      </c>
      <c r="E56" s="12">
        <f t="shared" si="1"/>
        <v>133</v>
      </c>
      <c r="F56" s="12">
        <f t="shared" si="1"/>
        <v>328</v>
      </c>
      <c r="G56" s="12">
        <f t="shared" si="4"/>
        <v>81</v>
      </c>
      <c r="H56" s="12">
        <f t="shared" si="4"/>
        <v>21</v>
      </c>
      <c r="I56" s="12">
        <f t="shared" si="4"/>
        <v>0</v>
      </c>
      <c r="J56" s="12">
        <f t="shared" si="4"/>
        <v>0</v>
      </c>
      <c r="K56" s="12">
        <f t="shared" si="4"/>
        <v>79</v>
      </c>
      <c r="L56" s="12">
        <f t="shared" si="4"/>
        <v>90</v>
      </c>
      <c r="M56" s="12">
        <f t="shared" si="4"/>
        <v>176</v>
      </c>
      <c r="N56" s="12">
        <f t="shared" si="4"/>
        <v>0</v>
      </c>
      <c r="O56" s="12">
        <f t="shared" si="4"/>
        <v>81</v>
      </c>
      <c r="P56" s="12">
        <f t="shared" si="4"/>
        <v>0</v>
      </c>
      <c r="Q56" s="12">
        <f t="shared" si="5"/>
        <v>20</v>
      </c>
      <c r="R56" s="12">
        <f t="shared" si="6"/>
        <v>147</v>
      </c>
      <c r="S56" s="12">
        <f t="shared" si="6"/>
        <v>519</v>
      </c>
      <c r="T56" s="12">
        <f t="shared" ref="T56:AC56" si="17">T16-S16</f>
        <v>270</v>
      </c>
      <c r="U56" s="12">
        <f t="shared" si="17"/>
        <v>251</v>
      </c>
      <c r="V56" s="12">
        <f t="shared" si="17"/>
        <v>252</v>
      </c>
      <c r="W56" s="12">
        <f t="shared" si="17"/>
        <v>0</v>
      </c>
      <c r="X56" s="12">
        <f t="shared" si="17"/>
        <v>0</v>
      </c>
      <c r="Y56" s="12">
        <f t="shared" si="17"/>
        <v>400</v>
      </c>
      <c r="Z56" s="12">
        <f t="shared" si="17"/>
        <v>418</v>
      </c>
      <c r="AA56" s="12">
        <f t="shared" si="17"/>
        <v>451</v>
      </c>
      <c r="AB56" s="12">
        <f t="shared" si="17"/>
        <v>278</v>
      </c>
      <c r="AC56" s="12">
        <f t="shared" si="17"/>
        <v>631</v>
      </c>
    </row>
    <row r="57" spans="1:29" x14ac:dyDescent="0.25">
      <c r="A57" s="13" t="s">
        <v>16</v>
      </c>
      <c r="B57" s="240">
        <v>565</v>
      </c>
      <c r="C57" s="12">
        <f t="shared" si="0"/>
        <v>480</v>
      </c>
      <c r="D57" s="12">
        <f t="shared" si="0"/>
        <v>546</v>
      </c>
      <c r="E57" s="12">
        <f t="shared" si="1"/>
        <v>265</v>
      </c>
      <c r="F57" s="12">
        <f t="shared" si="1"/>
        <v>89</v>
      </c>
      <c r="G57" s="12">
        <f t="shared" si="4"/>
        <v>435</v>
      </c>
      <c r="H57" s="12">
        <f t="shared" si="4"/>
        <v>159</v>
      </c>
      <c r="I57" s="12">
        <f t="shared" si="4"/>
        <v>435</v>
      </c>
      <c r="J57" s="12">
        <f t="shared" si="4"/>
        <v>347</v>
      </c>
      <c r="K57" s="12">
        <f t="shared" si="4"/>
        <v>562</v>
      </c>
      <c r="L57" s="12">
        <f t="shared" si="4"/>
        <v>45</v>
      </c>
      <c r="M57" s="12">
        <f t="shared" si="4"/>
        <v>6</v>
      </c>
      <c r="N57" s="12">
        <f t="shared" si="4"/>
        <v>263</v>
      </c>
      <c r="O57" s="12">
        <f t="shared" si="4"/>
        <v>520</v>
      </c>
      <c r="P57" s="12">
        <f t="shared" si="4"/>
        <v>562</v>
      </c>
      <c r="Q57" s="12">
        <f t="shared" si="5"/>
        <v>43</v>
      </c>
      <c r="R57" s="12">
        <f t="shared" si="6"/>
        <v>434</v>
      </c>
      <c r="S57" s="12">
        <f t="shared" si="6"/>
        <v>221</v>
      </c>
      <c r="T57" s="12">
        <f t="shared" ref="T57:AC57" si="18">T17-S17</f>
        <v>64</v>
      </c>
      <c r="U57" s="12">
        <f t="shared" si="18"/>
        <v>1</v>
      </c>
      <c r="V57" s="12">
        <f t="shared" si="18"/>
        <v>191</v>
      </c>
      <c r="W57" s="12">
        <f t="shared" si="18"/>
        <v>0</v>
      </c>
      <c r="X57" s="12">
        <f t="shared" si="18"/>
        <v>0</v>
      </c>
      <c r="Y57" s="12">
        <f t="shared" si="18"/>
        <v>265</v>
      </c>
      <c r="Z57" s="12">
        <f t="shared" si="18"/>
        <v>139</v>
      </c>
      <c r="AA57" s="12">
        <f t="shared" si="18"/>
        <v>194</v>
      </c>
      <c r="AB57" s="12">
        <f t="shared" si="18"/>
        <v>393</v>
      </c>
      <c r="AC57" s="12">
        <f t="shared" si="18"/>
        <v>479</v>
      </c>
    </row>
    <row r="58" spans="1:29" x14ac:dyDescent="0.25">
      <c r="A58" s="13" t="s">
        <v>17</v>
      </c>
      <c r="B58" s="240">
        <v>0</v>
      </c>
      <c r="C58" s="12">
        <f t="shared" si="0"/>
        <v>0</v>
      </c>
      <c r="D58" s="12">
        <f t="shared" si="0"/>
        <v>397</v>
      </c>
      <c r="E58" s="12">
        <f t="shared" si="1"/>
        <v>251</v>
      </c>
      <c r="F58" s="12">
        <f t="shared" si="1"/>
        <v>219</v>
      </c>
      <c r="G58" s="12">
        <f t="shared" si="4"/>
        <v>561</v>
      </c>
      <c r="H58" s="12">
        <f t="shared" si="4"/>
        <v>560</v>
      </c>
      <c r="I58" s="12">
        <f t="shared" si="4"/>
        <v>43</v>
      </c>
      <c r="J58" s="12">
        <f t="shared" si="4"/>
        <v>90</v>
      </c>
      <c r="K58" s="12">
        <f t="shared" si="4"/>
        <v>197</v>
      </c>
      <c r="L58" s="12">
        <f t="shared" si="4"/>
        <v>131</v>
      </c>
      <c r="M58" s="12">
        <f t="shared" si="4"/>
        <v>166</v>
      </c>
      <c r="N58" s="12">
        <f t="shared" si="4"/>
        <v>238</v>
      </c>
      <c r="O58" s="12">
        <f t="shared" si="4"/>
        <v>250</v>
      </c>
      <c r="P58" s="12">
        <f t="shared" si="4"/>
        <v>0</v>
      </c>
      <c r="Q58" s="12">
        <f t="shared" si="5"/>
        <v>0</v>
      </c>
      <c r="R58" s="12">
        <f t="shared" si="6"/>
        <v>409</v>
      </c>
      <c r="S58" s="12">
        <f t="shared" si="6"/>
        <v>474</v>
      </c>
      <c r="T58" s="12">
        <f t="shared" ref="T58:AC58" si="19">T18-S18</f>
        <v>262</v>
      </c>
      <c r="U58" s="12">
        <f t="shared" si="19"/>
        <v>520</v>
      </c>
      <c r="V58" s="12">
        <f t="shared" si="19"/>
        <v>604</v>
      </c>
      <c r="W58" s="12">
        <f t="shared" si="19"/>
        <v>563</v>
      </c>
      <c r="X58" s="12">
        <f t="shared" si="19"/>
        <v>215</v>
      </c>
      <c r="Y58" s="12">
        <f t="shared" si="19"/>
        <v>197</v>
      </c>
      <c r="Z58" s="12">
        <f t="shared" si="19"/>
        <v>110</v>
      </c>
      <c r="AA58" s="12">
        <f t="shared" si="19"/>
        <v>191</v>
      </c>
      <c r="AB58" s="12">
        <f t="shared" si="19"/>
        <v>250</v>
      </c>
      <c r="AC58" s="12">
        <f t="shared" si="19"/>
        <v>586</v>
      </c>
    </row>
    <row r="59" spans="1:29" x14ac:dyDescent="0.25">
      <c r="A59" s="13" t="s">
        <v>18</v>
      </c>
      <c r="B59" s="240">
        <v>0</v>
      </c>
      <c r="C59" s="12">
        <f t="shared" si="0"/>
        <v>0</v>
      </c>
      <c r="D59" s="12">
        <f t="shared" si="0"/>
        <v>2</v>
      </c>
      <c r="E59" s="12">
        <f t="shared" si="1"/>
        <v>191</v>
      </c>
      <c r="F59" s="12">
        <f t="shared" si="1"/>
        <v>81</v>
      </c>
      <c r="G59" s="12">
        <f t="shared" si="4"/>
        <v>3</v>
      </c>
      <c r="H59" s="12">
        <f t="shared" si="4"/>
        <v>432</v>
      </c>
      <c r="I59" s="12">
        <f t="shared" si="4"/>
        <v>518</v>
      </c>
      <c r="J59" s="12">
        <f t="shared" si="4"/>
        <v>174</v>
      </c>
      <c r="K59" s="12">
        <f t="shared" si="4"/>
        <v>0</v>
      </c>
      <c r="L59" s="12">
        <f t="shared" si="4"/>
        <v>0</v>
      </c>
      <c r="M59" s="12">
        <f t="shared" si="4"/>
        <v>3</v>
      </c>
      <c r="N59" s="12">
        <f t="shared" si="4"/>
        <v>174</v>
      </c>
      <c r="O59" s="12">
        <f t="shared" si="4"/>
        <v>560</v>
      </c>
      <c r="P59" s="12">
        <f t="shared" si="4"/>
        <v>44</v>
      </c>
      <c r="Q59" s="12">
        <f t="shared" si="5"/>
        <v>520</v>
      </c>
      <c r="R59" s="12">
        <f t="shared" si="6"/>
        <v>258</v>
      </c>
      <c r="S59" s="12">
        <f t="shared" si="6"/>
        <v>219</v>
      </c>
      <c r="T59" s="12">
        <f t="shared" ref="T59:AC59" si="20">T19-S19</f>
        <v>263</v>
      </c>
      <c r="U59" s="12">
        <f t="shared" si="20"/>
        <v>82</v>
      </c>
      <c r="V59" s="12">
        <f t="shared" si="20"/>
        <v>0</v>
      </c>
      <c r="W59" s="12">
        <f t="shared" si="20"/>
        <v>0</v>
      </c>
      <c r="X59" s="12">
        <f t="shared" si="20"/>
        <v>0</v>
      </c>
      <c r="Y59" s="12">
        <f t="shared" si="20"/>
        <v>219</v>
      </c>
      <c r="Z59" s="12">
        <f t="shared" si="20"/>
        <v>132</v>
      </c>
      <c r="AA59" s="12">
        <f t="shared" si="20"/>
        <v>91</v>
      </c>
      <c r="AB59" s="12">
        <f t="shared" si="20"/>
        <v>271</v>
      </c>
      <c r="AC59" s="12">
        <f t="shared" si="20"/>
        <v>349</v>
      </c>
    </row>
    <row r="60" spans="1:29" x14ac:dyDescent="0.25">
      <c r="A60" s="13" t="s">
        <v>19</v>
      </c>
      <c r="B60" s="240">
        <v>521</v>
      </c>
      <c r="C60" s="12">
        <f t="shared" si="0"/>
        <v>480</v>
      </c>
      <c r="D60" s="12">
        <f t="shared" si="0"/>
        <v>564</v>
      </c>
      <c r="E60" s="12">
        <f t="shared" si="1"/>
        <v>630</v>
      </c>
      <c r="F60" s="12">
        <f t="shared" si="1"/>
        <v>138</v>
      </c>
      <c r="G60" s="12">
        <f t="shared" si="4"/>
        <v>482</v>
      </c>
      <c r="H60" s="12">
        <f t="shared" si="4"/>
        <v>565</v>
      </c>
      <c r="I60" s="12">
        <f t="shared" si="4"/>
        <v>477</v>
      </c>
      <c r="J60" s="12">
        <f t="shared" si="4"/>
        <v>395</v>
      </c>
      <c r="K60" s="12">
        <f t="shared" si="4"/>
        <v>169</v>
      </c>
      <c r="L60" s="12">
        <f t="shared" si="4"/>
        <v>134</v>
      </c>
      <c r="M60" s="12">
        <f t="shared" si="4"/>
        <v>168</v>
      </c>
      <c r="N60" s="12">
        <f t="shared" si="4"/>
        <v>273</v>
      </c>
      <c r="O60" s="12">
        <f t="shared" si="4"/>
        <v>253</v>
      </c>
      <c r="P60" s="12">
        <f t="shared" si="4"/>
        <v>521</v>
      </c>
      <c r="Q60" s="12">
        <f t="shared" si="5"/>
        <v>0</v>
      </c>
      <c r="R60" s="12">
        <f t="shared" si="6"/>
        <v>213</v>
      </c>
      <c r="S60" s="12">
        <f t="shared" si="6"/>
        <v>141</v>
      </c>
      <c r="T60" s="12">
        <f t="shared" ref="T60:AC60" si="21">T20-S20</f>
        <v>567</v>
      </c>
      <c r="U60" s="12">
        <f t="shared" si="21"/>
        <v>564</v>
      </c>
      <c r="V60" s="12">
        <f t="shared" si="21"/>
        <v>154</v>
      </c>
      <c r="W60" s="12">
        <f t="shared" si="21"/>
        <v>0</v>
      </c>
      <c r="X60" s="12">
        <f t="shared" si="21"/>
        <v>0</v>
      </c>
      <c r="Y60" s="12">
        <f t="shared" si="21"/>
        <v>261</v>
      </c>
      <c r="Z60" s="12">
        <f t="shared" si="21"/>
        <v>3</v>
      </c>
      <c r="AA60" s="12">
        <f t="shared" si="21"/>
        <v>420</v>
      </c>
      <c r="AB60" s="12">
        <f t="shared" si="21"/>
        <v>158</v>
      </c>
      <c r="AC60" s="12">
        <f t="shared" si="21"/>
        <v>481</v>
      </c>
    </row>
    <row r="61" spans="1:29" x14ac:dyDescent="0.25">
      <c r="A61" s="13" t="s">
        <v>20</v>
      </c>
      <c r="B61" s="240">
        <v>563</v>
      </c>
      <c r="C61" s="12">
        <f t="shared" si="0"/>
        <v>45</v>
      </c>
      <c r="D61" s="12">
        <f t="shared" si="0"/>
        <v>4</v>
      </c>
      <c r="E61" s="12">
        <f t="shared" si="1"/>
        <v>521</v>
      </c>
      <c r="F61" s="12">
        <f t="shared" si="1"/>
        <v>606</v>
      </c>
      <c r="G61" s="12">
        <f t="shared" si="4"/>
        <v>565</v>
      </c>
      <c r="H61" s="12">
        <f t="shared" si="4"/>
        <v>204</v>
      </c>
      <c r="I61" s="12">
        <f t="shared" si="4"/>
        <v>0</v>
      </c>
      <c r="J61" s="12">
        <f t="shared" si="4"/>
        <v>0</v>
      </c>
      <c r="K61" s="12">
        <f t="shared" si="4"/>
        <v>120</v>
      </c>
      <c r="L61" s="12">
        <f t="shared" si="4"/>
        <v>176</v>
      </c>
      <c r="M61" s="12">
        <f t="shared" si="4"/>
        <v>252</v>
      </c>
      <c r="N61" s="12">
        <f t="shared" si="4"/>
        <v>252</v>
      </c>
      <c r="O61" s="12">
        <f t="shared" si="4"/>
        <v>132</v>
      </c>
      <c r="P61" s="12">
        <f t="shared" si="4"/>
        <v>0</v>
      </c>
      <c r="Q61" s="12">
        <f t="shared" si="5"/>
        <v>0</v>
      </c>
      <c r="R61" s="12">
        <f t="shared" si="6"/>
        <v>71</v>
      </c>
      <c r="S61" s="12">
        <f t="shared" si="6"/>
        <v>200</v>
      </c>
      <c r="T61" s="12">
        <f t="shared" ref="T61:AC61" si="22">T21-S21</f>
        <v>110</v>
      </c>
      <c r="U61" s="12">
        <f t="shared" si="22"/>
        <v>151</v>
      </c>
      <c r="V61" s="12">
        <f t="shared" si="22"/>
        <v>141</v>
      </c>
      <c r="W61" s="12">
        <f t="shared" si="22"/>
        <v>0</v>
      </c>
      <c r="X61" s="12">
        <f t="shared" si="22"/>
        <v>88</v>
      </c>
      <c r="Y61" s="12">
        <f t="shared" si="22"/>
        <v>175</v>
      </c>
      <c r="Z61" s="12">
        <f t="shared" si="22"/>
        <v>242</v>
      </c>
      <c r="AA61" s="12">
        <f t="shared" si="22"/>
        <v>109</v>
      </c>
      <c r="AB61" s="12">
        <f t="shared" si="22"/>
        <v>348</v>
      </c>
      <c r="AC61" s="12">
        <f t="shared" si="22"/>
        <v>175</v>
      </c>
    </row>
    <row r="62" spans="1:29" x14ac:dyDescent="0.25">
      <c r="A62" s="13" t="s">
        <v>21</v>
      </c>
      <c r="B62" s="240">
        <v>562</v>
      </c>
      <c r="C62" s="12">
        <f t="shared" si="0"/>
        <v>43</v>
      </c>
      <c r="D62" s="12">
        <f t="shared" si="0"/>
        <v>305</v>
      </c>
      <c r="E62" s="12">
        <f t="shared" si="1"/>
        <v>559</v>
      </c>
      <c r="F62" s="12">
        <f t="shared" si="1"/>
        <v>560</v>
      </c>
      <c r="G62" s="12">
        <f t="shared" si="4"/>
        <v>258</v>
      </c>
      <c r="H62" s="12">
        <f t="shared" si="4"/>
        <v>251</v>
      </c>
      <c r="I62" s="12">
        <f t="shared" si="4"/>
        <v>0</v>
      </c>
      <c r="J62" s="12">
        <f t="shared" si="4"/>
        <v>0</v>
      </c>
      <c r="K62" s="12">
        <f t="shared" si="4"/>
        <v>204</v>
      </c>
      <c r="L62" s="12">
        <f t="shared" si="4"/>
        <v>571</v>
      </c>
      <c r="M62" s="12">
        <f t="shared" si="4"/>
        <v>518</v>
      </c>
      <c r="N62" s="12">
        <f t="shared" si="4"/>
        <v>560</v>
      </c>
      <c r="O62" s="12">
        <f t="shared" si="4"/>
        <v>560</v>
      </c>
      <c r="P62" s="12">
        <f t="shared" si="4"/>
        <v>259</v>
      </c>
      <c r="Q62" s="12">
        <f t="shared" si="5"/>
        <v>174</v>
      </c>
      <c r="R62" s="12">
        <f t="shared" si="6"/>
        <v>517</v>
      </c>
      <c r="S62" s="12">
        <f t="shared" si="6"/>
        <v>21</v>
      </c>
      <c r="T62" s="12">
        <f t="shared" ref="T62:AC62" si="23">T22-S22</f>
        <v>196</v>
      </c>
      <c r="U62" s="12">
        <f t="shared" si="23"/>
        <v>560</v>
      </c>
      <c r="V62" s="12">
        <f t="shared" si="23"/>
        <v>603</v>
      </c>
      <c r="W62" s="12">
        <f t="shared" si="23"/>
        <v>43</v>
      </c>
      <c r="X62" s="12">
        <f t="shared" si="23"/>
        <v>478</v>
      </c>
      <c r="Y62" s="12">
        <f t="shared" si="23"/>
        <v>603</v>
      </c>
      <c r="Z62" s="12">
        <f t="shared" si="23"/>
        <v>355</v>
      </c>
      <c r="AA62" s="12">
        <f t="shared" si="23"/>
        <v>56</v>
      </c>
      <c r="AB62" s="12">
        <f t="shared" si="23"/>
        <v>345</v>
      </c>
      <c r="AC62" s="12">
        <f t="shared" si="23"/>
        <v>299</v>
      </c>
    </row>
    <row r="63" spans="1:29" x14ac:dyDescent="0.25">
      <c r="A63" s="13" t="s">
        <v>22</v>
      </c>
      <c r="B63" s="240">
        <v>434</v>
      </c>
      <c r="C63" s="12">
        <f t="shared" si="0"/>
        <v>0</v>
      </c>
      <c r="D63" s="12">
        <f t="shared" si="0"/>
        <v>89</v>
      </c>
      <c r="E63" s="12">
        <f t="shared" si="1"/>
        <v>39</v>
      </c>
      <c r="F63" s="12">
        <f t="shared" si="1"/>
        <v>518</v>
      </c>
      <c r="G63" s="12">
        <f t="shared" ref="G63:P78" si="24">G23-F23</f>
        <v>352</v>
      </c>
      <c r="H63" s="12">
        <f t="shared" si="24"/>
        <v>263</v>
      </c>
      <c r="I63" s="12">
        <f t="shared" si="24"/>
        <v>115</v>
      </c>
      <c r="J63" s="12">
        <f t="shared" si="24"/>
        <v>388</v>
      </c>
      <c r="K63" s="12">
        <f t="shared" si="24"/>
        <v>389</v>
      </c>
      <c r="L63" s="12">
        <f t="shared" si="24"/>
        <v>133</v>
      </c>
      <c r="M63" s="12">
        <f t="shared" si="24"/>
        <v>37</v>
      </c>
      <c r="N63" s="12">
        <f t="shared" si="24"/>
        <v>60</v>
      </c>
      <c r="O63" s="12">
        <f t="shared" si="24"/>
        <v>560</v>
      </c>
      <c r="P63" s="12">
        <f t="shared" si="24"/>
        <v>517</v>
      </c>
      <c r="Q63" s="12">
        <f t="shared" si="5"/>
        <v>0</v>
      </c>
      <c r="R63" s="12">
        <f t="shared" si="6"/>
        <v>427</v>
      </c>
      <c r="S63" s="12">
        <f t="shared" si="6"/>
        <v>606</v>
      </c>
      <c r="T63" s="12">
        <f t="shared" ref="T63:AC63" si="25">T23-S23</f>
        <v>3</v>
      </c>
      <c r="U63" s="12">
        <f t="shared" si="25"/>
        <v>367</v>
      </c>
      <c r="V63" s="12">
        <f t="shared" si="25"/>
        <v>2</v>
      </c>
      <c r="W63" s="12">
        <f t="shared" si="25"/>
        <v>0</v>
      </c>
      <c r="X63" s="12">
        <f t="shared" si="25"/>
        <v>191</v>
      </c>
      <c r="Y63" s="12">
        <f t="shared" si="25"/>
        <v>449</v>
      </c>
      <c r="Z63" s="12">
        <f t="shared" si="25"/>
        <v>91</v>
      </c>
      <c r="AA63" s="12">
        <f t="shared" si="25"/>
        <v>560</v>
      </c>
      <c r="AB63" s="12">
        <f t="shared" si="25"/>
        <v>511</v>
      </c>
      <c r="AC63" s="12">
        <f t="shared" si="25"/>
        <v>563</v>
      </c>
    </row>
    <row r="64" spans="1:29" x14ac:dyDescent="0.25">
      <c r="A64" s="11" t="s">
        <v>23</v>
      </c>
      <c r="B64" s="240">
        <v>44</v>
      </c>
      <c r="C64" s="12">
        <f t="shared" si="0"/>
        <v>476</v>
      </c>
      <c r="D64" s="12">
        <f t="shared" si="0"/>
        <v>195</v>
      </c>
      <c r="E64" s="12">
        <f t="shared" si="1"/>
        <v>262</v>
      </c>
      <c r="F64" s="12">
        <f t="shared" si="1"/>
        <v>252</v>
      </c>
      <c r="G64" s="12">
        <f t="shared" si="24"/>
        <v>141</v>
      </c>
      <c r="H64" s="12">
        <f t="shared" si="24"/>
        <v>176</v>
      </c>
      <c r="I64" s="12">
        <f t="shared" si="24"/>
        <v>519</v>
      </c>
      <c r="J64" s="12">
        <f t="shared" si="24"/>
        <v>177</v>
      </c>
      <c r="K64" s="12">
        <f t="shared" si="24"/>
        <v>603</v>
      </c>
      <c r="L64" s="12">
        <f t="shared" si="24"/>
        <v>577</v>
      </c>
      <c r="M64" s="12">
        <f t="shared" si="24"/>
        <v>451</v>
      </c>
      <c r="N64" s="12">
        <f t="shared" si="24"/>
        <v>132</v>
      </c>
      <c r="O64" s="12">
        <f t="shared" si="24"/>
        <v>251</v>
      </c>
      <c r="P64" s="12">
        <f t="shared" si="24"/>
        <v>0</v>
      </c>
      <c r="Q64" s="12">
        <f t="shared" si="5"/>
        <v>0</v>
      </c>
      <c r="R64" s="12">
        <f t="shared" si="6"/>
        <v>251</v>
      </c>
      <c r="S64" s="12">
        <f t="shared" si="6"/>
        <v>273</v>
      </c>
      <c r="T64" s="12">
        <f t="shared" ref="T64:AC64" si="26">T24-S24</f>
        <v>561</v>
      </c>
      <c r="U64" s="12">
        <f t="shared" si="26"/>
        <v>560</v>
      </c>
      <c r="V64" s="12">
        <f t="shared" si="26"/>
        <v>149</v>
      </c>
      <c r="W64" s="12">
        <f t="shared" si="26"/>
        <v>0</v>
      </c>
      <c r="X64" s="12">
        <f t="shared" si="26"/>
        <v>0</v>
      </c>
      <c r="Y64" s="12">
        <f t="shared" si="26"/>
        <v>586</v>
      </c>
      <c r="Z64" s="12">
        <f t="shared" si="26"/>
        <v>204</v>
      </c>
      <c r="AA64" s="12">
        <f t="shared" si="26"/>
        <v>446</v>
      </c>
      <c r="AB64" s="12">
        <f t="shared" si="26"/>
        <v>620</v>
      </c>
      <c r="AC64" s="12">
        <f t="shared" si="26"/>
        <v>305</v>
      </c>
    </row>
    <row r="65" spans="1:29" x14ac:dyDescent="0.25">
      <c r="A65" s="13" t="s">
        <v>24</v>
      </c>
      <c r="B65" s="240">
        <v>0</v>
      </c>
      <c r="C65" s="12">
        <f t="shared" ref="C65:D79" si="27">C25-B25</f>
        <v>0</v>
      </c>
      <c r="D65" s="12">
        <f t="shared" si="27"/>
        <v>504</v>
      </c>
      <c r="E65" s="12">
        <f t="shared" ref="E65:F79" si="28">E25-D25</f>
        <v>518</v>
      </c>
      <c r="F65" s="12">
        <f t="shared" si="28"/>
        <v>258</v>
      </c>
      <c r="G65" s="12">
        <f t="shared" si="24"/>
        <v>266</v>
      </c>
      <c r="H65" s="12">
        <f t="shared" si="24"/>
        <v>583</v>
      </c>
      <c r="I65" s="12">
        <f t="shared" si="24"/>
        <v>518</v>
      </c>
      <c r="J65" s="12">
        <f t="shared" si="24"/>
        <v>388</v>
      </c>
      <c r="K65" s="12">
        <f t="shared" si="24"/>
        <v>560</v>
      </c>
      <c r="L65" s="12">
        <f t="shared" si="24"/>
        <v>560</v>
      </c>
      <c r="M65" s="12">
        <f t="shared" si="24"/>
        <v>321</v>
      </c>
      <c r="N65" s="12">
        <f t="shared" si="24"/>
        <v>131</v>
      </c>
      <c r="O65" s="12">
        <f t="shared" si="24"/>
        <v>251</v>
      </c>
      <c r="P65" s="12">
        <f t="shared" si="24"/>
        <v>0</v>
      </c>
      <c r="Q65" s="12">
        <f t="shared" si="5"/>
        <v>0</v>
      </c>
      <c r="R65" s="12">
        <f t="shared" si="6"/>
        <v>252</v>
      </c>
      <c r="S65" s="12">
        <f t="shared" si="6"/>
        <v>250</v>
      </c>
      <c r="T65" s="12">
        <f t="shared" ref="T65:AC65" si="29">T25-S25</f>
        <v>158</v>
      </c>
      <c r="U65" s="12">
        <f t="shared" si="29"/>
        <v>152</v>
      </c>
      <c r="V65" s="12">
        <f t="shared" si="29"/>
        <v>570</v>
      </c>
      <c r="W65" s="12">
        <f t="shared" si="29"/>
        <v>563</v>
      </c>
      <c r="X65" s="12">
        <f t="shared" si="29"/>
        <v>480</v>
      </c>
      <c r="Y65" s="12">
        <f t="shared" si="29"/>
        <v>152</v>
      </c>
      <c r="Z65" s="12">
        <f t="shared" si="29"/>
        <v>0</v>
      </c>
      <c r="AA65" s="12">
        <f t="shared" si="29"/>
        <v>513</v>
      </c>
      <c r="AB65" s="12">
        <f t="shared" si="29"/>
        <v>435</v>
      </c>
      <c r="AC65" s="12">
        <f t="shared" si="29"/>
        <v>80</v>
      </c>
    </row>
    <row r="66" spans="1:29" x14ac:dyDescent="0.25">
      <c r="A66" s="13" t="s">
        <v>25</v>
      </c>
      <c r="B66" s="240">
        <v>0</v>
      </c>
      <c r="C66" s="12">
        <f t="shared" si="27"/>
        <v>0</v>
      </c>
      <c r="D66" s="12">
        <f t="shared" si="27"/>
        <v>263</v>
      </c>
      <c r="E66" s="12">
        <f t="shared" si="28"/>
        <v>191</v>
      </c>
      <c r="F66" s="12">
        <f t="shared" si="28"/>
        <v>100</v>
      </c>
      <c r="G66" s="12">
        <f t="shared" si="24"/>
        <v>237</v>
      </c>
      <c r="H66" s="12">
        <f t="shared" si="24"/>
        <v>606</v>
      </c>
      <c r="I66" s="12">
        <f t="shared" si="24"/>
        <v>477</v>
      </c>
      <c r="J66" s="12">
        <f t="shared" si="24"/>
        <v>347</v>
      </c>
      <c r="K66" s="12">
        <f t="shared" si="24"/>
        <v>563</v>
      </c>
      <c r="L66" s="12">
        <f t="shared" si="24"/>
        <v>130</v>
      </c>
      <c r="M66" s="12">
        <f t="shared" si="24"/>
        <v>5</v>
      </c>
      <c r="N66" s="12">
        <f t="shared" si="24"/>
        <v>264</v>
      </c>
      <c r="O66" s="12">
        <f t="shared" si="24"/>
        <v>564</v>
      </c>
      <c r="P66" s="12">
        <f t="shared" si="24"/>
        <v>520</v>
      </c>
      <c r="Q66" s="12">
        <f t="shared" si="5"/>
        <v>263</v>
      </c>
      <c r="R66" s="12">
        <f t="shared" si="6"/>
        <v>606</v>
      </c>
      <c r="S66" s="12">
        <f t="shared" si="6"/>
        <v>185</v>
      </c>
      <c r="T66" s="12">
        <f t="shared" ref="T66:AC66" si="30">T26-S26</f>
        <v>204</v>
      </c>
      <c r="U66" s="12">
        <f t="shared" si="30"/>
        <v>248</v>
      </c>
      <c r="V66" s="12">
        <f t="shared" si="30"/>
        <v>594</v>
      </c>
      <c r="W66" s="12">
        <f t="shared" si="30"/>
        <v>433</v>
      </c>
      <c r="X66" s="12">
        <f t="shared" si="30"/>
        <v>439</v>
      </c>
      <c r="Y66" s="12">
        <f t="shared" si="30"/>
        <v>153</v>
      </c>
      <c r="Z66" s="12">
        <f t="shared" si="30"/>
        <v>330</v>
      </c>
      <c r="AA66" s="12">
        <f t="shared" si="30"/>
        <v>566</v>
      </c>
      <c r="AB66" s="12">
        <f t="shared" si="30"/>
        <v>606</v>
      </c>
      <c r="AC66" s="12">
        <f t="shared" si="30"/>
        <v>580</v>
      </c>
    </row>
    <row r="67" spans="1:29" x14ac:dyDescent="0.25">
      <c r="A67" s="13" t="s">
        <v>26</v>
      </c>
      <c r="B67" s="240">
        <v>0</v>
      </c>
      <c r="C67" s="12">
        <f t="shared" si="27"/>
        <v>0</v>
      </c>
      <c r="D67" s="12">
        <f t="shared" si="27"/>
        <v>296</v>
      </c>
      <c r="E67" s="12">
        <f t="shared" si="28"/>
        <v>259</v>
      </c>
      <c r="F67" s="12">
        <f t="shared" si="28"/>
        <v>140</v>
      </c>
      <c r="G67" s="12">
        <f t="shared" si="24"/>
        <v>89</v>
      </c>
      <c r="H67" s="12">
        <f t="shared" si="24"/>
        <v>605</v>
      </c>
      <c r="I67" s="12">
        <f t="shared" si="24"/>
        <v>519</v>
      </c>
      <c r="J67" s="12">
        <f t="shared" si="24"/>
        <v>348</v>
      </c>
      <c r="K67" s="12">
        <f t="shared" si="24"/>
        <v>433</v>
      </c>
      <c r="L67" s="12">
        <f t="shared" si="24"/>
        <v>391</v>
      </c>
      <c r="M67" s="12">
        <f t="shared" si="24"/>
        <v>557</v>
      </c>
      <c r="N67" s="12">
        <f t="shared" si="24"/>
        <v>97</v>
      </c>
      <c r="O67" s="12">
        <f t="shared" si="24"/>
        <v>608</v>
      </c>
      <c r="P67" s="12">
        <f t="shared" si="24"/>
        <v>0</v>
      </c>
      <c r="Q67" s="12">
        <f t="shared" si="5"/>
        <v>262</v>
      </c>
      <c r="R67" s="12">
        <f t="shared" si="6"/>
        <v>92</v>
      </c>
      <c r="S67" s="12">
        <f t="shared" si="6"/>
        <v>436</v>
      </c>
      <c r="T67" s="12">
        <f t="shared" ref="T67:AC67" si="31">T27-S27</f>
        <v>0</v>
      </c>
      <c r="U67" s="12">
        <f t="shared" si="31"/>
        <v>151</v>
      </c>
      <c r="V67" s="12">
        <f t="shared" si="31"/>
        <v>252</v>
      </c>
      <c r="W67" s="12">
        <f t="shared" si="31"/>
        <v>0</v>
      </c>
      <c r="X67" s="12">
        <f t="shared" si="31"/>
        <v>278</v>
      </c>
      <c r="Y67" s="12">
        <f t="shared" si="31"/>
        <v>522</v>
      </c>
      <c r="Z67" s="12">
        <f t="shared" si="31"/>
        <v>1</v>
      </c>
      <c r="AA67" s="12">
        <f t="shared" si="31"/>
        <v>132</v>
      </c>
      <c r="AB67" s="12">
        <f t="shared" si="31"/>
        <v>251</v>
      </c>
      <c r="AC67" s="12">
        <f t="shared" si="31"/>
        <v>252</v>
      </c>
    </row>
    <row r="68" spans="1:29" x14ac:dyDescent="0.25">
      <c r="A68" s="13" t="s">
        <v>27</v>
      </c>
      <c r="B68" s="240">
        <v>0</v>
      </c>
      <c r="C68" s="12">
        <f t="shared" si="27"/>
        <v>0</v>
      </c>
      <c r="D68" s="12">
        <f t="shared" si="27"/>
        <v>0</v>
      </c>
      <c r="E68" s="12">
        <f t="shared" si="28"/>
        <v>0</v>
      </c>
      <c r="F68" s="12">
        <f t="shared" si="28"/>
        <v>0</v>
      </c>
      <c r="G68" s="12">
        <f t="shared" si="24"/>
        <v>0</v>
      </c>
      <c r="H68" s="12">
        <f t="shared" si="24"/>
        <v>0</v>
      </c>
      <c r="I68" s="12">
        <f t="shared" si="24"/>
        <v>0</v>
      </c>
      <c r="J68" s="12">
        <f t="shared" si="24"/>
        <v>0</v>
      </c>
      <c r="K68" s="12">
        <f t="shared" si="24"/>
        <v>0</v>
      </c>
      <c r="L68" s="12">
        <f t="shared" si="24"/>
        <v>0</v>
      </c>
      <c r="M68" s="12">
        <f t="shared" si="24"/>
        <v>0</v>
      </c>
      <c r="N68" s="12">
        <f t="shared" si="24"/>
        <v>0</v>
      </c>
      <c r="O68" s="12">
        <f t="shared" si="24"/>
        <v>0</v>
      </c>
      <c r="P68" s="12">
        <f t="shared" si="24"/>
        <v>0</v>
      </c>
      <c r="Q68" s="12">
        <f t="shared" si="5"/>
        <v>0</v>
      </c>
      <c r="R68" s="12">
        <f t="shared" si="6"/>
        <v>0</v>
      </c>
      <c r="S68" s="12">
        <f t="shared" si="6"/>
        <v>0</v>
      </c>
      <c r="T68" s="12">
        <f t="shared" ref="T68:AC68" si="32">T28-S28</f>
        <v>0</v>
      </c>
      <c r="U68" s="12">
        <f t="shared" si="32"/>
        <v>0</v>
      </c>
      <c r="V68" s="12">
        <f t="shared" si="32"/>
        <v>0</v>
      </c>
      <c r="W68" s="12">
        <f t="shared" si="32"/>
        <v>0</v>
      </c>
      <c r="X68" s="12">
        <f t="shared" si="32"/>
        <v>0</v>
      </c>
      <c r="Y68" s="12">
        <f t="shared" si="32"/>
        <v>0</v>
      </c>
      <c r="Z68" s="12">
        <f t="shared" si="32"/>
        <v>0</v>
      </c>
      <c r="AA68" s="12">
        <f t="shared" si="32"/>
        <v>0</v>
      </c>
      <c r="AB68" s="12">
        <f t="shared" si="32"/>
        <v>0</v>
      </c>
      <c r="AC68" s="12">
        <f t="shared" si="32"/>
        <v>0</v>
      </c>
    </row>
    <row r="69" spans="1:29" x14ac:dyDescent="0.25">
      <c r="A69" s="11" t="s">
        <v>28</v>
      </c>
      <c r="B69" s="240">
        <v>43</v>
      </c>
      <c r="C69" s="12">
        <f t="shared" si="27"/>
        <v>477</v>
      </c>
      <c r="D69" s="12">
        <f t="shared" si="27"/>
        <v>65</v>
      </c>
      <c r="E69" s="12">
        <f t="shared" si="28"/>
        <v>250</v>
      </c>
      <c r="F69" s="12">
        <f t="shared" si="28"/>
        <v>587</v>
      </c>
      <c r="G69" s="12">
        <f t="shared" si="24"/>
        <v>179</v>
      </c>
      <c r="H69" s="12">
        <f t="shared" si="24"/>
        <v>263</v>
      </c>
      <c r="I69" s="12">
        <f t="shared" si="24"/>
        <v>0</v>
      </c>
      <c r="J69" s="12">
        <f t="shared" si="24"/>
        <v>0</v>
      </c>
      <c r="K69" s="12">
        <f t="shared" si="24"/>
        <v>0</v>
      </c>
      <c r="L69" s="12">
        <f t="shared" si="24"/>
        <v>248</v>
      </c>
      <c r="M69" s="12">
        <f t="shared" si="24"/>
        <v>141</v>
      </c>
      <c r="N69" s="12">
        <f t="shared" si="24"/>
        <v>474</v>
      </c>
      <c r="O69" s="12">
        <f t="shared" si="24"/>
        <v>604</v>
      </c>
      <c r="P69" s="12">
        <f t="shared" si="24"/>
        <v>474</v>
      </c>
      <c r="Q69" s="12">
        <f t="shared" si="5"/>
        <v>90</v>
      </c>
      <c r="R69" s="12">
        <f t="shared" si="6"/>
        <v>139</v>
      </c>
      <c r="S69" s="12">
        <f t="shared" si="6"/>
        <v>587</v>
      </c>
      <c r="T69" s="12">
        <f t="shared" ref="T69:AC69" si="33">T29-S29</f>
        <v>560</v>
      </c>
      <c r="U69" s="12">
        <f t="shared" si="33"/>
        <v>131</v>
      </c>
      <c r="V69" s="12">
        <f t="shared" si="33"/>
        <v>434</v>
      </c>
      <c r="W69" s="12">
        <f t="shared" si="33"/>
        <v>521</v>
      </c>
      <c r="X69" s="12">
        <f t="shared" si="33"/>
        <v>477</v>
      </c>
      <c r="Y69" s="12">
        <f t="shared" si="33"/>
        <v>636</v>
      </c>
      <c r="Z69" s="12">
        <f t="shared" si="33"/>
        <v>414</v>
      </c>
      <c r="AA69" s="12">
        <f t="shared" si="33"/>
        <v>340</v>
      </c>
      <c r="AB69" s="12">
        <f t="shared" si="33"/>
        <v>520</v>
      </c>
      <c r="AC69" s="12">
        <f t="shared" si="33"/>
        <v>563</v>
      </c>
    </row>
    <row r="70" spans="1:29" x14ac:dyDescent="0.25">
      <c r="A70" s="13" t="s">
        <v>29</v>
      </c>
      <c r="B70" s="240">
        <v>0</v>
      </c>
      <c r="C70" s="12">
        <f t="shared" si="27"/>
        <v>0</v>
      </c>
      <c r="D70" s="12">
        <f t="shared" si="27"/>
        <v>340</v>
      </c>
      <c r="E70" s="12">
        <f t="shared" si="28"/>
        <v>607</v>
      </c>
      <c r="F70" s="12">
        <f t="shared" si="28"/>
        <v>409</v>
      </c>
      <c r="G70" s="12">
        <f t="shared" si="24"/>
        <v>132</v>
      </c>
      <c r="H70" s="12">
        <f t="shared" si="24"/>
        <v>251</v>
      </c>
      <c r="I70" s="12">
        <f t="shared" si="24"/>
        <v>0</v>
      </c>
      <c r="J70" s="12">
        <f t="shared" si="24"/>
        <v>0</v>
      </c>
      <c r="K70" s="12">
        <f t="shared" si="24"/>
        <v>191</v>
      </c>
      <c r="L70" s="12">
        <f t="shared" si="24"/>
        <v>80</v>
      </c>
      <c r="M70" s="12">
        <f t="shared" si="24"/>
        <v>23</v>
      </c>
      <c r="N70" s="12">
        <f t="shared" si="24"/>
        <v>139</v>
      </c>
      <c r="O70" s="12">
        <f t="shared" si="24"/>
        <v>261</v>
      </c>
      <c r="P70" s="12">
        <f t="shared" si="24"/>
        <v>0</v>
      </c>
      <c r="Q70" s="12">
        <f t="shared" si="5"/>
        <v>47</v>
      </c>
      <c r="R70" s="12">
        <f t="shared" si="6"/>
        <v>604</v>
      </c>
      <c r="S70" s="12">
        <f t="shared" si="6"/>
        <v>561</v>
      </c>
      <c r="T70" s="12">
        <f t="shared" ref="T70:AC70" si="34">T30-S30</f>
        <v>434</v>
      </c>
      <c r="U70" s="12">
        <f t="shared" si="34"/>
        <v>91</v>
      </c>
      <c r="V70" s="12">
        <f t="shared" si="34"/>
        <v>3</v>
      </c>
      <c r="W70" s="12">
        <f t="shared" si="34"/>
        <v>0</v>
      </c>
      <c r="X70" s="12">
        <f t="shared" si="34"/>
        <v>0</v>
      </c>
      <c r="Y70" s="12">
        <f t="shared" si="34"/>
        <v>430</v>
      </c>
      <c r="Z70" s="12">
        <f t="shared" si="34"/>
        <v>398</v>
      </c>
      <c r="AA70" s="12">
        <f t="shared" si="34"/>
        <v>259</v>
      </c>
      <c r="AB70" s="12">
        <f t="shared" si="34"/>
        <v>364</v>
      </c>
      <c r="AC70" s="12">
        <f t="shared" si="34"/>
        <v>252</v>
      </c>
    </row>
    <row r="71" spans="1:29" x14ac:dyDescent="0.25">
      <c r="A71" s="11" t="s">
        <v>30</v>
      </c>
      <c r="B71" s="240">
        <v>0</v>
      </c>
      <c r="C71" s="12">
        <f t="shared" si="27"/>
        <v>0</v>
      </c>
      <c r="D71" s="12">
        <f t="shared" si="27"/>
        <v>0</v>
      </c>
      <c r="E71" s="12">
        <f t="shared" si="28"/>
        <v>-109</v>
      </c>
      <c r="F71" s="12">
        <f t="shared" si="28"/>
        <v>604</v>
      </c>
      <c r="G71" s="12">
        <f t="shared" si="24"/>
        <v>560</v>
      </c>
      <c r="H71" s="12">
        <f t="shared" si="24"/>
        <v>561</v>
      </c>
      <c r="I71" s="12">
        <f t="shared" si="24"/>
        <v>162</v>
      </c>
      <c r="J71" s="12">
        <f t="shared" si="24"/>
        <v>390</v>
      </c>
      <c r="K71" s="12">
        <f t="shared" si="24"/>
        <v>236</v>
      </c>
      <c r="L71" s="12">
        <f t="shared" si="24"/>
        <v>251</v>
      </c>
      <c r="M71" s="12">
        <f t="shared" si="24"/>
        <v>251</v>
      </c>
      <c r="N71" s="12">
        <f t="shared" si="24"/>
        <v>252</v>
      </c>
      <c r="O71" s="12">
        <f t="shared" si="24"/>
        <v>251</v>
      </c>
      <c r="P71" s="12">
        <f t="shared" si="24"/>
        <v>0</v>
      </c>
      <c r="Q71" s="12">
        <f t="shared" si="5"/>
        <v>0</v>
      </c>
      <c r="R71" s="12">
        <f t="shared" si="6"/>
        <v>314</v>
      </c>
      <c r="S71" s="12">
        <f t="shared" si="6"/>
        <v>129</v>
      </c>
      <c r="T71" s="12">
        <f t="shared" ref="T71:AC71" si="35">T31-S31</f>
        <v>603</v>
      </c>
      <c r="U71" s="12">
        <f t="shared" si="35"/>
        <v>517</v>
      </c>
      <c r="V71" s="12">
        <f t="shared" si="35"/>
        <v>521</v>
      </c>
      <c r="W71" s="12">
        <f t="shared" si="35"/>
        <v>560</v>
      </c>
      <c r="X71" s="12">
        <f t="shared" si="35"/>
        <v>223</v>
      </c>
      <c r="Y71" s="12">
        <f t="shared" si="35"/>
        <v>390</v>
      </c>
      <c r="Z71" s="12">
        <f t="shared" si="35"/>
        <v>0</v>
      </c>
      <c r="AA71" s="12">
        <f t="shared" si="35"/>
        <v>518</v>
      </c>
      <c r="AB71" s="12">
        <f t="shared" si="35"/>
        <v>467</v>
      </c>
      <c r="AC71" s="12">
        <f t="shared" si="35"/>
        <v>452</v>
      </c>
    </row>
    <row r="72" spans="1:29" s="126" customFormat="1" x14ac:dyDescent="0.25">
      <c r="A72" s="13" t="s">
        <v>111</v>
      </c>
      <c r="B72" s="240">
        <v>518</v>
      </c>
      <c r="C72" s="12">
        <f t="shared" si="27"/>
        <v>431</v>
      </c>
      <c r="D72" s="12">
        <f t="shared" si="27"/>
        <v>22</v>
      </c>
      <c r="E72" s="12">
        <f t="shared" si="28"/>
        <v>587</v>
      </c>
      <c r="F72" s="12">
        <f t="shared" si="28"/>
        <v>517</v>
      </c>
      <c r="G72" s="12">
        <f t="shared" si="24"/>
        <v>606</v>
      </c>
      <c r="H72" s="12">
        <f t="shared" si="24"/>
        <v>109</v>
      </c>
      <c r="I72" s="12">
        <f t="shared" si="24"/>
        <v>0</v>
      </c>
      <c r="J72" s="12">
        <f t="shared" si="24"/>
        <v>0</v>
      </c>
      <c r="K72" s="12">
        <f t="shared" si="24"/>
        <v>0</v>
      </c>
      <c r="L72" s="12">
        <f t="shared" si="24"/>
        <v>253</v>
      </c>
      <c r="M72" s="12">
        <f t="shared" si="24"/>
        <v>191</v>
      </c>
      <c r="N72" s="12">
        <f t="shared" si="24"/>
        <v>80</v>
      </c>
      <c r="O72" s="12">
        <f t="shared" si="24"/>
        <v>0</v>
      </c>
      <c r="P72" s="12">
        <f t="shared" si="24"/>
        <v>0</v>
      </c>
      <c r="Q72" s="12">
        <f t="shared" si="5"/>
        <v>0</v>
      </c>
      <c r="R72" s="12">
        <f t="shared" si="6"/>
        <v>281</v>
      </c>
      <c r="S72" s="12">
        <f t="shared" si="6"/>
        <v>1</v>
      </c>
      <c r="T72" s="12">
        <f t="shared" ref="T72:AC72" si="36">T32-S32</f>
        <v>484</v>
      </c>
      <c r="U72" s="12">
        <f t="shared" si="36"/>
        <v>492</v>
      </c>
      <c r="V72" s="12">
        <f t="shared" si="36"/>
        <v>0</v>
      </c>
      <c r="W72" s="12">
        <f t="shared" si="36"/>
        <v>0</v>
      </c>
      <c r="X72" s="12">
        <f t="shared" si="36"/>
        <v>0</v>
      </c>
      <c r="Y72" s="12">
        <f t="shared" si="36"/>
        <v>155</v>
      </c>
      <c r="Z72" s="12">
        <f t="shared" si="36"/>
        <v>127</v>
      </c>
      <c r="AA72" s="12">
        <f t="shared" si="36"/>
        <v>245</v>
      </c>
      <c r="AB72" s="12">
        <f t="shared" si="36"/>
        <v>227</v>
      </c>
      <c r="AC72" s="12">
        <f t="shared" si="36"/>
        <v>259</v>
      </c>
    </row>
    <row r="73" spans="1:29" s="126" customFormat="1" x14ac:dyDescent="0.25">
      <c r="A73" s="11" t="s">
        <v>112</v>
      </c>
      <c r="B73" s="240">
        <v>0</v>
      </c>
      <c r="C73" s="12">
        <f t="shared" si="27"/>
        <v>0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0</v>
      </c>
      <c r="H73" s="12">
        <f t="shared" si="24"/>
        <v>0</v>
      </c>
      <c r="I73" s="12">
        <f t="shared" si="24"/>
        <v>0</v>
      </c>
      <c r="J73" s="12">
        <f t="shared" si="24"/>
        <v>0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5"/>
        <v>0</v>
      </c>
      <c r="R73" s="12">
        <f t="shared" si="6"/>
        <v>0</v>
      </c>
      <c r="S73" s="12">
        <f t="shared" si="6"/>
        <v>0</v>
      </c>
      <c r="T73" s="12">
        <f t="shared" ref="T73:AC73" si="37">T33-S33</f>
        <v>0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0</v>
      </c>
      <c r="AA73" s="12">
        <f t="shared" si="37"/>
        <v>0</v>
      </c>
      <c r="AB73" s="12">
        <f t="shared" si="37"/>
        <v>0</v>
      </c>
      <c r="AC73" s="12">
        <f t="shared" si="37"/>
        <v>0</v>
      </c>
    </row>
    <row r="74" spans="1:29" s="126" customFormat="1" x14ac:dyDescent="0.25">
      <c r="A74" s="13" t="s">
        <v>113</v>
      </c>
      <c r="B74" s="240">
        <v>0</v>
      </c>
      <c r="C74" s="12">
        <f t="shared" si="27"/>
        <v>0</v>
      </c>
      <c r="D74" s="12">
        <f t="shared" si="27"/>
        <v>230</v>
      </c>
      <c r="E74" s="12">
        <f t="shared" si="28"/>
        <v>476</v>
      </c>
      <c r="F74" s="12">
        <f t="shared" si="28"/>
        <v>520</v>
      </c>
      <c r="G74" s="12">
        <f t="shared" si="24"/>
        <v>41</v>
      </c>
      <c r="H74" s="12">
        <f t="shared" si="24"/>
        <v>0</v>
      </c>
      <c r="I74" s="12">
        <f t="shared" si="24"/>
        <v>0</v>
      </c>
      <c r="J74" s="12">
        <f t="shared" si="24"/>
        <v>0</v>
      </c>
      <c r="K74" s="12">
        <f t="shared" si="24"/>
        <v>176</v>
      </c>
      <c r="L74" s="12">
        <f t="shared" si="24"/>
        <v>4</v>
      </c>
      <c r="M74" s="12">
        <f t="shared" si="24"/>
        <v>432</v>
      </c>
      <c r="N74" s="12">
        <f t="shared" si="24"/>
        <v>607</v>
      </c>
      <c r="O74" s="12">
        <f t="shared" si="24"/>
        <v>266</v>
      </c>
      <c r="P74" s="12">
        <f t="shared" si="24"/>
        <v>345</v>
      </c>
      <c r="Q74" s="12">
        <f t="shared" si="5"/>
        <v>259</v>
      </c>
      <c r="R74" s="12">
        <f t="shared" si="6"/>
        <v>91</v>
      </c>
      <c r="S74" s="12">
        <f t="shared" si="6"/>
        <v>518</v>
      </c>
      <c r="T74" s="12">
        <f t="shared" ref="T74:AC74" si="38">T34-S34</f>
        <v>431</v>
      </c>
      <c r="U74" s="12">
        <f t="shared" si="38"/>
        <v>434</v>
      </c>
      <c r="V74" s="12">
        <f t="shared" si="38"/>
        <v>23</v>
      </c>
      <c r="W74" s="12">
        <f t="shared" si="38"/>
        <v>0</v>
      </c>
      <c r="X74" s="12">
        <f t="shared" si="38"/>
        <v>0</v>
      </c>
      <c r="Y74" s="12">
        <f t="shared" si="38"/>
        <v>341</v>
      </c>
      <c r="Z74" s="12">
        <f t="shared" si="38"/>
        <v>307</v>
      </c>
      <c r="AA74" s="12">
        <f t="shared" si="38"/>
        <v>475</v>
      </c>
      <c r="AB74" s="12">
        <f t="shared" si="38"/>
        <v>139</v>
      </c>
      <c r="AC74" s="12">
        <f t="shared" si="38"/>
        <v>132</v>
      </c>
    </row>
    <row r="75" spans="1:29" s="126" customFormat="1" x14ac:dyDescent="0.25">
      <c r="A75" s="11" t="s">
        <v>114</v>
      </c>
      <c r="B75" s="240">
        <v>0</v>
      </c>
      <c r="C75" s="12">
        <f t="shared" si="27"/>
        <v>0</v>
      </c>
      <c r="D75" s="12">
        <f t="shared" si="27"/>
        <v>72</v>
      </c>
      <c r="E75" s="12">
        <f t="shared" si="28"/>
        <v>528</v>
      </c>
      <c r="F75" s="12">
        <f t="shared" si="28"/>
        <v>45</v>
      </c>
      <c r="G75" s="12">
        <f t="shared" si="24"/>
        <v>40</v>
      </c>
      <c r="H75" s="12">
        <f t="shared" si="24"/>
        <v>0</v>
      </c>
      <c r="I75" s="12">
        <f t="shared" si="24"/>
        <v>0</v>
      </c>
      <c r="J75" s="12">
        <f t="shared" si="24"/>
        <v>0</v>
      </c>
      <c r="K75" s="12">
        <f t="shared" si="24"/>
        <v>433</v>
      </c>
      <c r="L75" s="12">
        <f t="shared" si="24"/>
        <v>605</v>
      </c>
      <c r="M75" s="12">
        <f t="shared" si="24"/>
        <v>605</v>
      </c>
      <c r="N75" s="12">
        <f t="shared" si="24"/>
        <v>106</v>
      </c>
      <c r="O75" s="12">
        <f t="shared" si="24"/>
        <v>201</v>
      </c>
      <c r="P75" s="12">
        <f t="shared" si="24"/>
        <v>519</v>
      </c>
      <c r="Q75" s="12">
        <f t="shared" si="5"/>
        <v>431</v>
      </c>
      <c r="R75" s="12">
        <f t="shared" si="6"/>
        <v>517</v>
      </c>
      <c r="S75" s="12">
        <f t="shared" si="6"/>
        <v>259</v>
      </c>
      <c r="T75" s="12">
        <f t="shared" ref="T75:AC75" si="39">T35-S35</f>
        <v>204</v>
      </c>
      <c r="U75" s="12">
        <f t="shared" si="39"/>
        <v>285</v>
      </c>
      <c r="V75" s="12">
        <f t="shared" si="39"/>
        <v>519</v>
      </c>
      <c r="W75" s="12">
        <f t="shared" si="39"/>
        <v>521</v>
      </c>
      <c r="X75" s="12">
        <f t="shared" si="39"/>
        <v>348</v>
      </c>
      <c r="Y75" s="12">
        <f t="shared" si="39"/>
        <v>174</v>
      </c>
      <c r="Z75" s="12">
        <f t="shared" si="39"/>
        <v>3</v>
      </c>
      <c r="AA75" s="12">
        <f t="shared" si="39"/>
        <v>451</v>
      </c>
      <c r="AB75" s="12">
        <f t="shared" si="39"/>
        <v>228</v>
      </c>
      <c r="AC75" s="12">
        <f t="shared" si="39"/>
        <v>195</v>
      </c>
    </row>
    <row r="76" spans="1:29" s="126" customFormat="1" x14ac:dyDescent="0.25">
      <c r="A76" s="13" t="s">
        <v>115</v>
      </c>
      <c r="B76" s="240">
        <v>0</v>
      </c>
      <c r="C76" s="12">
        <f t="shared" si="27"/>
        <v>0</v>
      </c>
      <c r="D76" s="12">
        <f t="shared" si="27"/>
        <v>168</v>
      </c>
      <c r="E76" s="12">
        <f t="shared" si="28"/>
        <v>264</v>
      </c>
      <c r="F76" s="12">
        <f t="shared" si="28"/>
        <v>2</v>
      </c>
      <c r="G76" s="12">
        <f t="shared" si="24"/>
        <v>277</v>
      </c>
      <c r="H76" s="12">
        <f t="shared" si="24"/>
        <v>73</v>
      </c>
      <c r="I76" s="12">
        <f t="shared" si="24"/>
        <v>0</v>
      </c>
      <c r="J76" s="12">
        <f t="shared" si="24"/>
        <v>0</v>
      </c>
      <c r="K76" s="12">
        <f t="shared" si="24"/>
        <v>259</v>
      </c>
      <c r="L76" s="12">
        <f t="shared" si="24"/>
        <v>605</v>
      </c>
      <c r="M76" s="12">
        <f t="shared" si="24"/>
        <v>259</v>
      </c>
      <c r="N76" s="12">
        <f t="shared" si="24"/>
        <v>251</v>
      </c>
      <c r="O76" s="12">
        <f t="shared" si="24"/>
        <v>2</v>
      </c>
      <c r="P76" s="12">
        <f t="shared" si="24"/>
        <v>0</v>
      </c>
      <c r="Q76" s="12">
        <f t="shared" si="5"/>
        <v>0</v>
      </c>
      <c r="R76" s="12">
        <f t="shared" si="6"/>
        <v>199</v>
      </c>
      <c r="S76" s="12">
        <f t="shared" si="6"/>
        <v>1</v>
      </c>
      <c r="T76" s="12">
        <f t="shared" ref="T76:AC76" si="40">T36-S36</f>
        <v>0</v>
      </c>
      <c r="U76" s="12">
        <f t="shared" si="40"/>
        <v>1</v>
      </c>
      <c r="V76" s="12">
        <f t="shared" si="40"/>
        <v>0</v>
      </c>
      <c r="W76" s="12">
        <f t="shared" si="40"/>
        <v>436</v>
      </c>
      <c r="X76" s="12">
        <f t="shared" si="40"/>
        <v>89</v>
      </c>
      <c r="Y76" s="12">
        <f t="shared" si="40"/>
        <v>303</v>
      </c>
      <c r="Z76" s="12">
        <f t="shared" si="40"/>
        <v>216</v>
      </c>
      <c r="AA76" s="12">
        <f t="shared" si="40"/>
        <v>176</v>
      </c>
      <c r="AB76" s="12">
        <f t="shared" si="40"/>
        <v>140</v>
      </c>
      <c r="AC76" s="12">
        <f t="shared" si="40"/>
        <v>192</v>
      </c>
    </row>
    <row r="77" spans="1:29" s="126" customFormat="1" x14ac:dyDescent="0.25">
      <c r="A77" s="11" t="s">
        <v>116</v>
      </c>
      <c r="B77" s="240">
        <v>0</v>
      </c>
      <c r="C77" s="12">
        <f t="shared" si="27"/>
        <v>0</v>
      </c>
      <c r="D77" s="12">
        <f t="shared" si="27"/>
        <v>478</v>
      </c>
      <c r="E77" s="12">
        <f t="shared" si="28"/>
        <v>217</v>
      </c>
      <c r="F77" s="12">
        <f t="shared" si="28"/>
        <v>381</v>
      </c>
      <c r="G77" s="12">
        <f t="shared" si="24"/>
        <v>483</v>
      </c>
      <c r="H77" s="12">
        <f t="shared" si="24"/>
        <v>1</v>
      </c>
      <c r="I77" s="12">
        <f t="shared" si="24"/>
        <v>0</v>
      </c>
      <c r="J77" s="12">
        <f t="shared" si="24"/>
        <v>0</v>
      </c>
      <c r="K77" s="12">
        <f t="shared" si="24"/>
        <v>0</v>
      </c>
      <c r="L77" s="12">
        <f t="shared" si="24"/>
        <v>432</v>
      </c>
      <c r="M77" s="12">
        <f t="shared" si="24"/>
        <v>520</v>
      </c>
      <c r="N77" s="12">
        <f t="shared" si="24"/>
        <v>605</v>
      </c>
      <c r="O77" s="12">
        <f t="shared" si="24"/>
        <v>604</v>
      </c>
      <c r="P77" s="12">
        <f t="shared" si="24"/>
        <v>518</v>
      </c>
      <c r="Q77" s="12">
        <f t="shared" si="5"/>
        <v>432</v>
      </c>
      <c r="R77" s="12">
        <f t="shared" si="6"/>
        <v>20</v>
      </c>
      <c r="S77" s="12">
        <f t="shared" si="6"/>
        <v>252</v>
      </c>
      <c r="T77" s="12">
        <f t="shared" ref="T77:AC77" si="41">T37-S37</f>
        <v>251</v>
      </c>
      <c r="U77" s="12">
        <f t="shared" si="41"/>
        <v>173</v>
      </c>
      <c r="V77" s="12">
        <f t="shared" si="41"/>
        <v>0</v>
      </c>
      <c r="W77" s="12">
        <f t="shared" si="41"/>
        <v>0</v>
      </c>
      <c r="X77" s="12">
        <f t="shared" si="41"/>
        <v>0</v>
      </c>
      <c r="Y77" s="12">
        <f t="shared" si="41"/>
        <v>256</v>
      </c>
      <c r="Z77" s="12">
        <f t="shared" si="41"/>
        <v>198</v>
      </c>
      <c r="AA77" s="12">
        <f t="shared" si="41"/>
        <v>259</v>
      </c>
      <c r="AB77" s="12">
        <f t="shared" si="41"/>
        <v>4</v>
      </c>
      <c r="AC77" s="12">
        <f t="shared" si="41"/>
        <v>193</v>
      </c>
    </row>
    <row r="78" spans="1:29" s="126" customFormat="1" x14ac:dyDescent="0.25">
      <c r="A78" s="13" t="s">
        <v>117</v>
      </c>
      <c r="B78" s="240">
        <v>0</v>
      </c>
      <c r="C78" s="12">
        <f t="shared" si="27"/>
        <v>0</v>
      </c>
      <c r="D78" s="12">
        <f t="shared" si="27"/>
        <v>225</v>
      </c>
      <c r="E78" s="12">
        <f t="shared" si="28"/>
        <v>262</v>
      </c>
      <c r="F78" s="12">
        <f t="shared" si="28"/>
        <v>23</v>
      </c>
      <c r="G78" s="12">
        <f t="shared" si="24"/>
        <v>251</v>
      </c>
      <c r="H78" s="12">
        <f t="shared" si="24"/>
        <v>251</v>
      </c>
      <c r="I78" s="12">
        <f t="shared" si="24"/>
        <v>0</v>
      </c>
      <c r="J78" s="12">
        <f t="shared" si="24"/>
        <v>0</v>
      </c>
      <c r="K78" s="12">
        <f t="shared" si="24"/>
        <v>467</v>
      </c>
      <c r="L78" s="12">
        <f t="shared" si="24"/>
        <v>193</v>
      </c>
      <c r="M78" s="12">
        <f t="shared" si="24"/>
        <v>452</v>
      </c>
      <c r="N78" s="12">
        <f t="shared" si="24"/>
        <v>604</v>
      </c>
      <c r="O78" s="12">
        <f t="shared" si="24"/>
        <v>474</v>
      </c>
      <c r="P78" s="12">
        <f t="shared" si="24"/>
        <v>512</v>
      </c>
      <c r="Q78" s="12">
        <f t="shared" si="5"/>
        <v>525</v>
      </c>
      <c r="R78" s="12">
        <f t="shared" si="6"/>
        <v>286</v>
      </c>
      <c r="S78" s="12">
        <f t="shared" si="6"/>
        <v>2</v>
      </c>
      <c r="T78" s="12">
        <f t="shared" ref="T78:AC78" si="42">T38-S38</f>
        <v>191</v>
      </c>
      <c r="U78" s="12">
        <f t="shared" si="42"/>
        <v>273</v>
      </c>
      <c r="V78" s="12">
        <f t="shared" si="42"/>
        <v>604</v>
      </c>
      <c r="W78" s="12">
        <f t="shared" si="42"/>
        <v>475</v>
      </c>
      <c r="X78" s="12">
        <f t="shared" si="42"/>
        <v>431</v>
      </c>
      <c r="Y78" s="12">
        <f t="shared" si="42"/>
        <v>259</v>
      </c>
      <c r="Z78" s="12">
        <f t="shared" si="42"/>
        <v>4</v>
      </c>
      <c r="AA78" s="12">
        <f t="shared" si="42"/>
        <v>564</v>
      </c>
      <c r="AB78" s="12">
        <f t="shared" si="42"/>
        <v>477</v>
      </c>
      <c r="AC78" s="12">
        <f t="shared" si="42"/>
        <v>263</v>
      </c>
    </row>
    <row r="79" spans="1:29" s="126" customFormat="1" x14ac:dyDescent="0.25">
      <c r="A79" s="11" t="s">
        <v>118</v>
      </c>
      <c r="B79" s="240">
        <v>519</v>
      </c>
      <c r="C79" s="12">
        <f t="shared" si="27"/>
        <v>431</v>
      </c>
      <c r="D79" s="12">
        <f t="shared" si="27"/>
        <v>87</v>
      </c>
      <c r="E79" s="12">
        <f t="shared" si="28"/>
        <v>0</v>
      </c>
      <c r="F79" s="12">
        <f t="shared" si="28"/>
        <v>0</v>
      </c>
      <c r="G79" s="12">
        <f t="shared" ref="G79:P79" si="43">G39-F39</f>
        <v>21</v>
      </c>
      <c r="H79" s="12">
        <f t="shared" si="43"/>
        <v>1</v>
      </c>
      <c r="I79" s="12">
        <f t="shared" si="43"/>
        <v>0</v>
      </c>
      <c r="J79" s="12">
        <f t="shared" si="43"/>
        <v>0</v>
      </c>
      <c r="K79" s="12">
        <f t="shared" si="43"/>
        <v>484</v>
      </c>
      <c r="L79" s="12">
        <f t="shared" si="43"/>
        <v>433</v>
      </c>
      <c r="M79" s="12">
        <f t="shared" si="43"/>
        <v>564</v>
      </c>
      <c r="N79" s="12">
        <f t="shared" si="43"/>
        <v>407</v>
      </c>
      <c r="O79" s="12">
        <f t="shared" si="43"/>
        <v>2</v>
      </c>
      <c r="P79" s="12">
        <f t="shared" si="43"/>
        <v>0</v>
      </c>
      <c r="Q79" s="12">
        <f t="shared" si="5"/>
        <v>0</v>
      </c>
      <c r="R79" s="12">
        <f t="shared" si="6"/>
        <v>198</v>
      </c>
      <c r="S79" s="12">
        <f t="shared" si="6"/>
        <v>1</v>
      </c>
      <c r="T79" s="12">
        <f t="shared" ref="T79:AC79" si="44">T39-S39</f>
        <v>0</v>
      </c>
      <c r="U79" s="12">
        <f t="shared" si="44"/>
        <v>1</v>
      </c>
      <c r="V79" s="12">
        <f t="shared" si="44"/>
        <v>0</v>
      </c>
      <c r="W79" s="12">
        <f t="shared" si="44"/>
        <v>0</v>
      </c>
      <c r="X79" s="12">
        <f t="shared" si="44"/>
        <v>176</v>
      </c>
      <c r="Y79" s="12">
        <f t="shared" si="44"/>
        <v>517</v>
      </c>
      <c r="Z79" s="12">
        <f t="shared" si="44"/>
        <v>22</v>
      </c>
      <c r="AA79" s="12">
        <f t="shared" si="44"/>
        <v>131</v>
      </c>
      <c r="AB79" s="12">
        <f t="shared" si="44"/>
        <v>250</v>
      </c>
      <c r="AC79" s="12">
        <f t="shared" si="44"/>
        <v>192</v>
      </c>
    </row>
    <row r="80" spans="1:29" ht="15.75" thickBot="1" x14ac:dyDescent="0.3">
      <c r="A80" s="14"/>
      <c r="B80" s="175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</row>
    <row r="81" spans="1:29" ht="15.75" thickBot="1" x14ac:dyDescent="0.3">
      <c r="A81" s="15" t="s">
        <v>34</v>
      </c>
      <c r="B81" s="16">
        <f>SUM(B45:B79)</f>
        <v>6503</v>
      </c>
      <c r="C81" s="16">
        <f t="shared" ref="C81:P81" si="45">SUM(C45:C79)</f>
        <v>5048</v>
      </c>
      <c r="D81" s="16">
        <f t="shared" si="45"/>
        <v>8735</v>
      </c>
      <c r="E81" s="16">
        <f t="shared" si="45"/>
        <v>9144</v>
      </c>
      <c r="F81" s="16">
        <f t="shared" si="45"/>
        <v>9207</v>
      </c>
      <c r="G81" s="16">
        <f t="shared" si="45"/>
        <v>9301</v>
      </c>
      <c r="H81" s="16">
        <f t="shared" si="45"/>
        <v>9173</v>
      </c>
      <c r="I81" s="16">
        <f t="shared" si="45"/>
        <v>6414</v>
      </c>
      <c r="J81" s="16">
        <f t="shared" si="45"/>
        <v>4530</v>
      </c>
      <c r="K81" s="16">
        <f t="shared" si="45"/>
        <v>9244</v>
      </c>
      <c r="L81" s="16">
        <f t="shared" si="45"/>
        <v>9189</v>
      </c>
      <c r="M81" s="16">
        <f t="shared" si="45"/>
        <v>9226</v>
      </c>
      <c r="N81" s="16">
        <f t="shared" si="45"/>
        <v>9209</v>
      </c>
      <c r="O81" s="16">
        <f t="shared" si="45"/>
        <v>9180</v>
      </c>
      <c r="P81" s="16">
        <f t="shared" si="45"/>
        <v>6487</v>
      </c>
      <c r="Q81" s="16">
        <f>SUM(Q45:Q79)</f>
        <v>5007</v>
      </c>
      <c r="R81" s="16">
        <f t="shared" ref="R81:AC81" si="46">SUM(R45:R79)</f>
        <v>9289</v>
      </c>
      <c r="S81" s="16">
        <f t="shared" si="46"/>
        <v>9240</v>
      </c>
      <c r="T81" s="16">
        <f t="shared" si="46"/>
        <v>9150</v>
      </c>
      <c r="U81" s="16">
        <f t="shared" si="46"/>
        <v>9264</v>
      </c>
      <c r="V81" s="16">
        <f t="shared" si="46"/>
        <v>9168</v>
      </c>
      <c r="W81" s="16">
        <f t="shared" si="46"/>
        <v>6491</v>
      </c>
      <c r="X81" s="16">
        <f t="shared" si="46"/>
        <v>6366</v>
      </c>
      <c r="Y81" s="16">
        <f t="shared" si="46"/>
        <v>11161</v>
      </c>
      <c r="Z81" s="16">
        <f t="shared" si="46"/>
        <v>5306</v>
      </c>
      <c r="AA81" s="16">
        <f t="shared" si="46"/>
        <v>10347</v>
      </c>
      <c r="AB81" s="16">
        <f t="shared" si="46"/>
        <v>11137</v>
      </c>
      <c r="AC81" s="16">
        <f t="shared" si="46"/>
        <v>11004</v>
      </c>
    </row>
    <row r="82" spans="1:29" s="126" customFormat="1" x14ac:dyDescent="0.25">
      <c r="A82" s="259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/>
  <dimension ref="A1:BM255"/>
  <sheetViews>
    <sheetView tabSelected="1" zoomScale="115" zoomScaleNormal="115" workbookViewId="0">
      <pane ySplit="4" topLeftCell="A5" activePane="bottomLeft" state="frozen"/>
      <selection pane="bottomLeft" activeCell="A2" sqref="A2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6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6" customWidth="1"/>
    <col min="20" max="20" width="4.140625" customWidth="1"/>
    <col min="21" max="21" width="3.85546875" customWidth="1"/>
    <col min="22" max="22" width="3.85546875" style="126" customWidth="1"/>
  </cols>
  <sheetData>
    <row r="1" spans="1:24" x14ac:dyDescent="0.25">
      <c r="A1" s="17"/>
      <c r="B1" s="18"/>
      <c r="C1" s="18"/>
      <c r="D1" s="18"/>
      <c r="E1" s="18"/>
      <c r="F1" s="18"/>
      <c r="H1" s="160" t="s">
        <v>125</v>
      </c>
      <c r="I1" s="160">
        <v>21.7</v>
      </c>
      <c r="J1" s="160" t="s">
        <v>35</v>
      </c>
      <c r="K1" s="160">
        <v>25.4</v>
      </c>
      <c r="L1" s="160" t="s">
        <v>36</v>
      </c>
      <c r="M1" s="160">
        <v>29.11</v>
      </c>
      <c r="N1" s="160" t="s">
        <v>119</v>
      </c>
      <c r="O1" s="160">
        <v>21.7</v>
      </c>
      <c r="P1" s="249" t="s">
        <v>157</v>
      </c>
      <c r="Q1" s="268">
        <v>8.3000000000000007</v>
      </c>
      <c r="R1" s="249" t="s">
        <v>158</v>
      </c>
      <c r="S1" s="268">
        <v>34.83</v>
      </c>
      <c r="W1" s="249" t="s">
        <v>161</v>
      </c>
      <c r="X1" s="291">
        <v>11.71</v>
      </c>
    </row>
    <row r="2" spans="1:24" ht="15.75" thickBot="1" x14ac:dyDescent="0.3">
      <c r="A2" s="17"/>
      <c r="B2" s="362" t="s">
        <v>37</v>
      </c>
      <c r="C2" s="362"/>
      <c r="D2" s="363" t="s">
        <v>37</v>
      </c>
      <c r="E2" s="363"/>
      <c r="F2" s="41"/>
      <c r="H2" s="215" t="s">
        <v>150</v>
      </c>
      <c r="I2" s="215">
        <v>30.4</v>
      </c>
      <c r="J2" s="160" t="s">
        <v>121</v>
      </c>
      <c r="K2" s="160">
        <v>25.4</v>
      </c>
      <c r="L2" s="160" t="s">
        <v>38</v>
      </c>
      <c r="M2" s="160">
        <v>43.13</v>
      </c>
      <c r="N2" s="160" t="s">
        <v>110</v>
      </c>
      <c r="O2" s="160">
        <v>35.729999999999997</v>
      </c>
      <c r="P2" s="249" t="s">
        <v>156</v>
      </c>
      <c r="Q2" s="247">
        <v>33.97</v>
      </c>
      <c r="R2" s="249" t="s">
        <v>159</v>
      </c>
      <c r="S2" s="280">
        <v>7.4</v>
      </c>
    </row>
    <row r="3" spans="1:24" ht="14.1" customHeight="1" x14ac:dyDescent="0.25">
      <c r="A3" s="17"/>
      <c r="B3" s="362" t="s">
        <v>39</v>
      </c>
      <c r="C3" s="362"/>
      <c r="D3" s="363" t="s">
        <v>40</v>
      </c>
      <c r="E3" s="363"/>
      <c r="F3" s="353" t="s">
        <v>41</v>
      </c>
      <c r="G3" s="353" t="s">
        <v>42</v>
      </c>
      <c r="H3" s="333" t="s">
        <v>180</v>
      </c>
      <c r="I3" s="353" t="s">
        <v>43</v>
      </c>
      <c r="J3" s="353" t="s">
        <v>44</v>
      </c>
      <c r="K3" s="353" t="s">
        <v>45</v>
      </c>
      <c r="L3" s="353" t="s">
        <v>46</v>
      </c>
      <c r="M3" s="353" t="s">
        <v>47</v>
      </c>
      <c r="N3" s="352" t="s">
        <v>48</v>
      </c>
      <c r="O3" s="352" t="s">
        <v>49</v>
      </c>
      <c r="P3" s="351"/>
      <c r="Q3" s="354" t="s">
        <v>142</v>
      </c>
      <c r="R3" s="355"/>
      <c r="S3" s="356"/>
      <c r="T3" s="357" t="s">
        <v>145</v>
      </c>
      <c r="U3" s="358"/>
      <c r="V3" s="359"/>
      <c r="W3" s="335" t="s">
        <v>146</v>
      </c>
      <c r="X3" s="335" t="s">
        <v>181</v>
      </c>
    </row>
    <row r="4" spans="1:24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53"/>
      <c r="G4" s="333"/>
      <c r="H4" s="334"/>
      <c r="I4" s="353"/>
      <c r="J4" s="353"/>
      <c r="K4" s="353"/>
      <c r="L4" s="353"/>
      <c r="M4" s="353"/>
      <c r="N4" s="352"/>
      <c r="O4" s="352"/>
      <c r="P4" s="351"/>
      <c r="Q4" s="202" t="s">
        <v>143</v>
      </c>
      <c r="R4" s="203" t="s">
        <v>144</v>
      </c>
      <c r="S4" s="203" t="s">
        <v>149</v>
      </c>
      <c r="T4" s="204" t="s">
        <v>143</v>
      </c>
      <c r="U4" s="252" t="s">
        <v>144</v>
      </c>
      <c r="V4" s="253" t="s">
        <v>149</v>
      </c>
      <c r="W4" s="336"/>
      <c r="X4" s="336"/>
    </row>
    <row r="5" spans="1:24" x14ac:dyDescent="0.25">
      <c r="A5" s="213">
        <v>45689</v>
      </c>
      <c r="B5" s="118">
        <v>69</v>
      </c>
      <c r="C5" s="118">
        <v>3</v>
      </c>
      <c r="D5" s="150">
        <f>'Data Ocupacion'!D36</f>
        <v>69</v>
      </c>
      <c r="E5" s="150">
        <f>'Data Ocupacion'!E36</f>
        <v>3</v>
      </c>
      <c r="F5" s="118" t="s">
        <v>38</v>
      </c>
      <c r="G5" s="118">
        <f t="shared" ref="G5:G10" si="0">D5+E5*2</f>
        <v>75</v>
      </c>
      <c r="H5" s="118">
        <f>B5+C5*2</f>
        <v>75</v>
      </c>
      <c r="I5" s="118">
        <f t="shared" ref="I5:I10" si="1">D5+E5</f>
        <v>72</v>
      </c>
      <c r="J5" s="118">
        <f>G5*M$2</f>
        <v>3234.75</v>
      </c>
      <c r="K5" s="156">
        <f>I5*M$2</f>
        <v>3105.36</v>
      </c>
      <c r="L5" s="118">
        <f t="shared" ref="L5:L10" si="2">J5*104</f>
        <v>336414</v>
      </c>
      <c r="M5" s="118">
        <f t="shared" ref="M5:M10" si="3">I5*104</f>
        <v>7488</v>
      </c>
      <c r="N5" s="19"/>
      <c r="O5" s="19"/>
      <c r="P5" s="149"/>
      <c r="Q5" s="189"/>
      <c r="R5" s="189"/>
      <c r="S5" s="216"/>
      <c r="T5" s="198"/>
      <c r="U5" s="199"/>
      <c r="V5" s="245"/>
      <c r="W5" s="188">
        <f>J5-(Q5*($M$2-$K$1)+(R5*($M$2-$M$1))+  (S5*($M$2-$I$2)))</f>
        <v>3234.75</v>
      </c>
      <c r="X5" s="188">
        <f>H5*$M$2</f>
        <v>3234.75</v>
      </c>
    </row>
    <row r="6" spans="1:24" ht="15" customHeight="1" x14ac:dyDescent="0.25">
      <c r="A6" s="277"/>
      <c r="B6" s="118">
        <v>75</v>
      </c>
      <c r="C6" s="118">
        <v>0</v>
      </c>
      <c r="D6" s="150">
        <f>'Data Ocupacion'!D37</f>
        <v>75</v>
      </c>
      <c r="E6" s="150">
        <f>'Data Ocupacion'!E37</f>
        <v>0</v>
      </c>
      <c r="F6" s="118" t="s">
        <v>52</v>
      </c>
      <c r="G6" s="118">
        <f t="shared" si="0"/>
        <v>75</v>
      </c>
      <c r="H6" s="118">
        <f t="shared" ref="H6:H10" si="4">B6+C6*2</f>
        <v>75</v>
      </c>
      <c r="I6" s="118">
        <f t="shared" si="1"/>
        <v>75</v>
      </c>
      <c r="J6" s="118">
        <f>G6*M$2</f>
        <v>3234.75</v>
      </c>
      <c r="K6" s="156">
        <f>I6*M$2</f>
        <v>3234.75</v>
      </c>
      <c r="L6" s="118">
        <f t="shared" si="2"/>
        <v>336414</v>
      </c>
      <c r="M6" s="118">
        <f t="shared" si="3"/>
        <v>7800</v>
      </c>
      <c r="N6" s="19"/>
      <c r="O6" s="19"/>
      <c r="P6" s="149"/>
      <c r="Q6" s="194"/>
      <c r="R6" s="194"/>
      <c r="S6" s="194"/>
      <c r="T6" s="189"/>
      <c r="U6" s="214"/>
      <c r="V6" s="246"/>
      <c r="W6" s="192">
        <f>J6-(T6*($M$2-$K$1)+(U6*($M$2-$M$1)))</f>
        <v>3234.75</v>
      </c>
      <c r="X6" s="188">
        <f>H6*$M$2</f>
        <v>3234.75</v>
      </c>
    </row>
    <row r="7" spans="1:24" ht="15" customHeight="1" x14ac:dyDescent="0.25">
      <c r="A7" s="277"/>
      <c r="B7" s="118">
        <v>0</v>
      </c>
      <c r="C7" s="118">
        <v>0</v>
      </c>
      <c r="D7" s="150">
        <f>'Data Ocupacion'!D38</f>
        <v>0</v>
      </c>
      <c r="E7" s="150">
        <f>'Data Ocupacion'!E38</f>
        <v>0</v>
      </c>
      <c r="F7" s="118" t="s">
        <v>36</v>
      </c>
      <c r="G7" s="118">
        <f t="shared" si="0"/>
        <v>0</v>
      </c>
      <c r="H7" s="118">
        <f t="shared" si="4"/>
        <v>0</v>
      </c>
      <c r="I7" s="118">
        <f t="shared" si="1"/>
        <v>0</v>
      </c>
      <c r="J7" s="118">
        <f>G7*M$1</f>
        <v>0</v>
      </c>
      <c r="K7" s="156">
        <f>I7*M$1</f>
        <v>0</v>
      </c>
      <c r="L7" s="118">
        <f t="shared" si="2"/>
        <v>0</v>
      </c>
      <c r="M7" s="118">
        <f t="shared" si="3"/>
        <v>0</v>
      </c>
      <c r="N7" s="19"/>
      <c r="O7" s="19"/>
      <c r="P7" s="149"/>
      <c r="Q7" s="193"/>
      <c r="R7" s="195"/>
      <c r="S7" s="217"/>
      <c r="T7" s="196"/>
      <c r="U7" s="197"/>
      <c r="V7" s="197"/>
      <c r="W7" s="188">
        <f>J7-(Q7*($M$1-$K$1))</f>
        <v>0</v>
      </c>
      <c r="X7" s="188">
        <f>H7*$M$1</f>
        <v>0</v>
      </c>
    </row>
    <row r="8" spans="1:24" ht="15" customHeight="1" x14ac:dyDescent="0.25">
      <c r="A8" s="277"/>
      <c r="B8" s="118">
        <v>0</v>
      </c>
      <c r="C8" s="118">
        <v>0</v>
      </c>
      <c r="D8" s="150">
        <f>'Data Ocupacion'!D39</f>
        <v>0</v>
      </c>
      <c r="E8" s="150">
        <f>'Data Ocupacion'!E39</f>
        <v>0</v>
      </c>
      <c r="F8" s="118" t="s">
        <v>53</v>
      </c>
      <c r="G8" s="118">
        <f t="shared" si="0"/>
        <v>0</v>
      </c>
      <c r="H8" s="118">
        <f t="shared" si="4"/>
        <v>0</v>
      </c>
      <c r="I8" s="118">
        <f t="shared" si="1"/>
        <v>0</v>
      </c>
      <c r="J8" s="118">
        <f>G8*M$1</f>
        <v>0</v>
      </c>
      <c r="K8" s="156">
        <f>I8*M$1</f>
        <v>0</v>
      </c>
      <c r="L8" s="118">
        <f t="shared" si="2"/>
        <v>0</v>
      </c>
      <c r="M8" s="118">
        <f t="shared" si="3"/>
        <v>0</v>
      </c>
      <c r="N8" s="19"/>
      <c r="O8" s="19"/>
      <c r="P8" s="149"/>
      <c r="Q8" s="197"/>
      <c r="R8" s="197"/>
      <c r="S8" s="197"/>
      <c r="T8" s="197"/>
      <c r="U8" s="197"/>
      <c r="V8" s="197"/>
      <c r="W8" s="188">
        <f t="shared" ref="W8:W9" si="5">J8</f>
        <v>0</v>
      </c>
      <c r="X8" s="188">
        <f>H8*$M$1</f>
        <v>0</v>
      </c>
    </row>
    <row r="9" spans="1:24" s="126" customFormat="1" ht="15" customHeight="1" x14ac:dyDescent="0.25">
      <c r="A9" s="277"/>
      <c r="B9" s="118">
        <v>0</v>
      </c>
      <c r="C9" s="118">
        <v>0</v>
      </c>
      <c r="D9" s="150">
        <f>'Data Ocupacion'!D40</f>
        <v>0</v>
      </c>
      <c r="E9" s="150">
        <f>'Data Ocupacion'!E40</f>
        <v>0</v>
      </c>
      <c r="F9" s="118" t="s">
        <v>122</v>
      </c>
      <c r="G9" s="118">
        <f t="shared" si="0"/>
        <v>0</v>
      </c>
      <c r="H9" s="118">
        <f t="shared" si="4"/>
        <v>0</v>
      </c>
      <c r="I9" s="118">
        <f t="shared" si="1"/>
        <v>0</v>
      </c>
      <c r="J9" s="118">
        <f>G9*K$1</f>
        <v>0</v>
      </c>
      <c r="K9" s="156">
        <f>I9*K$1</f>
        <v>0</v>
      </c>
      <c r="L9" s="118">
        <f t="shared" si="2"/>
        <v>0</v>
      </c>
      <c r="M9" s="118">
        <f t="shared" si="3"/>
        <v>0</v>
      </c>
      <c r="N9" s="19"/>
      <c r="O9" s="19"/>
      <c r="P9" s="149"/>
      <c r="Q9" s="197"/>
      <c r="R9" s="197"/>
      <c r="S9" s="197"/>
      <c r="T9" s="197"/>
      <c r="U9" s="197"/>
      <c r="V9" s="197"/>
      <c r="W9" s="188">
        <f t="shared" si="5"/>
        <v>0</v>
      </c>
      <c r="X9" s="188">
        <f>H9*$K$1</f>
        <v>0</v>
      </c>
    </row>
    <row r="10" spans="1:24" ht="15.95" customHeight="1" thickBot="1" x14ac:dyDescent="0.3">
      <c r="A10" s="277"/>
      <c r="B10" s="118">
        <v>0</v>
      </c>
      <c r="C10" s="118">
        <v>0</v>
      </c>
      <c r="D10" s="150">
        <f>'Data Ocupacion'!D41</f>
        <v>0</v>
      </c>
      <c r="E10" s="150">
        <f>'Data Ocupacion'!E41</f>
        <v>0</v>
      </c>
      <c r="F10" s="118" t="s">
        <v>35</v>
      </c>
      <c r="G10" s="118">
        <f t="shared" si="0"/>
        <v>0</v>
      </c>
      <c r="H10" s="118">
        <f t="shared" si="4"/>
        <v>0</v>
      </c>
      <c r="I10" s="118">
        <f t="shared" si="1"/>
        <v>0</v>
      </c>
      <c r="J10" s="118">
        <f>G10*K$1</f>
        <v>0</v>
      </c>
      <c r="K10" s="156">
        <f>I10*K$1</f>
        <v>0</v>
      </c>
      <c r="L10" s="118">
        <f t="shared" si="2"/>
        <v>0</v>
      </c>
      <c r="M10" s="118">
        <f t="shared" si="3"/>
        <v>0</v>
      </c>
      <c r="N10" s="19"/>
      <c r="O10" s="19"/>
      <c r="P10" s="149"/>
      <c r="Q10" s="197"/>
      <c r="R10" s="197"/>
      <c r="S10" s="197"/>
      <c r="T10" s="197"/>
      <c r="U10" s="197"/>
      <c r="V10" s="197"/>
      <c r="W10" s="188">
        <f>J10</f>
        <v>0</v>
      </c>
      <c r="X10" s="188">
        <f>H10*$K$1</f>
        <v>0</v>
      </c>
    </row>
    <row r="11" spans="1:24" ht="15.75" thickBot="1" x14ac:dyDescent="0.3">
      <c r="A11" s="20"/>
      <c r="B11" s="230">
        <f>SUM(B5:B10)</f>
        <v>144</v>
      </c>
      <c r="C11" s="230">
        <f>SUM(C5:C10)</f>
        <v>3</v>
      </c>
      <c r="D11" s="155">
        <f>SUM(D5:D10)</f>
        <v>144</v>
      </c>
      <c r="E11" s="155">
        <f>SUM(E5:E10)</f>
        <v>3</v>
      </c>
      <c r="F11" s="121"/>
      <c r="G11" s="121">
        <f t="shared" ref="G11:M11" si="6">SUM(G5:G10)</f>
        <v>150</v>
      </c>
      <c r="H11" s="121">
        <f t="shared" ref="H6:H69" si="7">D11+E11*2</f>
        <v>150</v>
      </c>
      <c r="I11" s="121">
        <f t="shared" si="6"/>
        <v>147</v>
      </c>
      <c r="J11" s="122">
        <f t="shared" si="6"/>
        <v>6469.5</v>
      </c>
      <c r="K11" s="121">
        <f t="shared" si="6"/>
        <v>6340.1100000000006</v>
      </c>
      <c r="L11" s="120">
        <f t="shared" si="6"/>
        <v>672828</v>
      </c>
      <c r="M11" s="154">
        <f t="shared" si="6"/>
        <v>15288</v>
      </c>
      <c r="N11" s="125">
        <f>'Odometro-Kilometraje'!B81</f>
        <v>6503</v>
      </c>
      <c r="O11" s="21">
        <f>(W11/N11)*100</f>
        <v>99.484853144702441</v>
      </c>
      <c r="P11" s="200"/>
      <c r="Q11" s="187"/>
      <c r="R11" s="187"/>
      <c r="S11" s="187"/>
      <c r="T11" s="187"/>
      <c r="U11" s="187"/>
      <c r="V11" s="187"/>
      <c r="W11" s="201">
        <f>SUM(W5:W10)</f>
        <v>6469.5</v>
      </c>
      <c r="X11" s="201">
        <f>SUM(X5:X10)</f>
        <v>6469.5</v>
      </c>
    </row>
    <row r="12" spans="1:24" x14ac:dyDescent="0.25">
      <c r="A12" s="62">
        <f>A5+1</f>
        <v>45690</v>
      </c>
      <c r="B12" s="231">
        <v>51</v>
      </c>
      <c r="C12" s="231">
        <v>3</v>
      </c>
      <c r="D12" s="140">
        <f>'Data Ocupacion'!F36</f>
        <v>51</v>
      </c>
      <c r="E12" s="140">
        <f>'Data Ocupacion'!G36</f>
        <v>3</v>
      </c>
      <c r="F12" s="231" t="s">
        <v>38</v>
      </c>
      <c r="G12" s="231">
        <f t="shared" ref="G12:G17" si="8">D12+E12*2</f>
        <v>57</v>
      </c>
      <c r="H12" s="231">
        <f>B12+C12*2</f>
        <v>57</v>
      </c>
      <c r="I12" s="231">
        <f t="shared" ref="I12:I17" si="9">D12+E12</f>
        <v>54</v>
      </c>
      <c r="J12" s="231">
        <f>G12*M$2</f>
        <v>2458.4100000000003</v>
      </c>
      <c r="K12" s="156">
        <f>I12*M$2</f>
        <v>2329.02</v>
      </c>
      <c r="L12" s="231">
        <f t="shared" ref="L12:L17" si="10">J12*104</f>
        <v>255674.64000000004</v>
      </c>
      <c r="M12" s="231">
        <f t="shared" ref="M12:M17" si="11">I12*104</f>
        <v>5616</v>
      </c>
      <c r="N12" s="19"/>
      <c r="O12" s="19"/>
      <c r="P12" s="149"/>
      <c r="Q12" s="189"/>
      <c r="R12" s="189"/>
      <c r="S12" s="216"/>
      <c r="T12" s="190"/>
      <c r="U12" s="199"/>
      <c r="V12" s="245"/>
      <c r="W12" s="188">
        <f>J12-(Q12*($M$2-$K$1)+(R12*($M$2-$M$1))+  (S12*($M$2-$I$2))+ (T12*($M$2-$K$1)))</f>
        <v>2458.4100000000003</v>
      </c>
      <c r="X12" s="188">
        <f>H12*$M$2</f>
        <v>2458.4100000000003</v>
      </c>
    </row>
    <row r="13" spans="1:24" ht="15" customHeight="1" x14ac:dyDescent="0.25">
      <c r="A13" s="277"/>
      <c r="B13" s="231">
        <v>57</v>
      </c>
      <c r="C13" s="231">
        <v>0</v>
      </c>
      <c r="D13" s="140">
        <f>'Data Ocupacion'!F37</f>
        <v>57</v>
      </c>
      <c r="E13" s="140">
        <f>'Data Ocupacion'!G37</f>
        <v>0</v>
      </c>
      <c r="F13" s="231" t="s">
        <v>52</v>
      </c>
      <c r="G13" s="231">
        <f t="shared" si="8"/>
        <v>57</v>
      </c>
      <c r="H13" s="231">
        <f t="shared" ref="H13:H17" si="12">B13+C13*2</f>
        <v>57</v>
      </c>
      <c r="I13" s="231">
        <f t="shared" si="9"/>
        <v>57</v>
      </c>
      <c r="J13" s="231">
        <f>G13*M$2</f>
        <v>2458.4100000000003</v>
      </c>
      <c r="K13" s="156">
        <f>I13*M$2</f>
        <v>2458.4100000000003</v>
      </c>
      <c r="L13" s="231">
        <f t="shared" si="10"/>
        <v>255674.64000000004</v>
      </c>
      <c r="M13" s="231">
        <f t="shared" si="11"/>
        <v>5928</v>
      </c>
      <c r="N13" s="19"/>
      <c r="O13" s="19"/>
      <c r="P13" s="149"/>
      <c r="Q13" s="194"/>
      <c r="R13" s="194"/>
      <c r="S13" s="194"/>
      <c r="T13" s="189"/>
      <c r="U13" s="189"/>
      <c r="V13" s="216"/>
      <c r="W13" s="192">
        <f>J13-(T13*($M$2-$K$1)+(U13*($M$2-$M$1)))</f>
        <v>2458.4100000000003</v>
      </c>
      <c r="X13" s="188">
        <f>H13*$M$2</f>
        <v>2458.4100000000003</v>
      </c>
    </row>
    <row r="14" spans="1:24" ht="15.95" customHeight="1" x14ac:dyDescent="0.25">
      <c r="A14" s="277"/>
      <c r="B14" s="231">
        <v>0</v>
      </c>
      <c r="C14" s="231">
        <v>0</v>
      </c>
      <c r="D14" s="140">
        <f>'Data Ocupacion'!F38</f>
        <v>0</v>
      </c>
      <c r="E14" s="140">
        <f>'Data Ocupacion'!G38</f>
        <v>0</v>
      </c>
      <c r="F14" s="231" t="s">
        <v>36</v>
      </c>
      <c r="G14" s="231">
        <f t="shared" si="8"/>
        <v>0</v>
      </c>
      <c r="H14" s="231">
        <f t="shared" si="12"/>
        <v>0</v>
      </c>
      <c r="I14" s="231">
        <f t="shared" si="9"/>
        <v>0</v>
      </c>
      <c r="J14" s="231">
        <f>G14*M$1</f>
        <v>0</v>
      </c>
      <c r="K14" s="156">
        <f>I14*M$1</f>
        <v>0</v>
      </c>
      <c r="L14" s="231">
        <f t="shared" si="10"/>
        <v>0</v>
      </c>
      <c r="M14" s="231">
        <f t="shared" si="11"/>
        <v>0</v>
      </c>
      <c r="N14" s="19"/>
      <c r="O14" s="19"/>
      <c r="P14" s="149"/>
      <c r="Q14" s="193"/>
      <c r="R14" s="195"/>
      <c r="S14" s="217"/>
      <c r="T14" s="196"/>
      <c r="U14" s="197"/>
      <c r="V14" s="197"/>
      <c r="W14" s="188">
        <f>J14-(Q14*($M$1-$K$1))</f>
        <v>0</v>
      </c>
      <c r="X14" s="188">
        <f>H15*$M$1</f>
        <v>0</v>
      </c>
    </row>
    <row r="15" spans="1:24" ht="15" customHeight="1" x14ac:dyDescent="0.25">
      <c r="A15" s="277"/>
      <c r="B15" s="231">
        <v>0</v>
      </c>
      <c r="C15" s="231">
        <v>0</v>
      </c>
      <c r="D15" s="140">
        <f>'Data Ocupacion'!F39</f>
        <v>0</v>
      </c>
      <c r="E15" s="140">
        <f>'Data Ocupacion'!G39</f>
        <v>0</v>
      </c>
      <c r="F15" s="231" t="s">
        <v>53</v>
      </c>
      <c r="G15" s="231">
        <f t="shared" si="8"/>
        <v>0</v>
      </c>
      <c r="H15" s="231">
        <f t="shared" si="12"/>
        <v>0</v>
      </c>
      <c r="I15" s="231">
        <f t="shared" si="9"/>
        <v>0</v>
      </c>
      <c r="J15" s="231">
        <f>G15*M$1</f>
        <v>0</v>
      </c>
      <c r="K15" s="156">
        <f>I15*M$1</f>
        <v>0</v>
      </c>
      <c r="L15" s="231">
        <f t="shared" si="10"/>
        <v>0</v>
      </c>
      <c r="M15" s="231">
        <f t="shared" si="11"/>
        <v>0</v>
      </c>
      <c r="N15" s="168"/>
      <c r="O15" s="19"/>
      <c r="P15" s="149"/>
      <c r="Q15" s="197"/>
      <c r="R15" s="197"/>
      <c r="S15" s="197"/>
      <c r="T15" s="197"/>
      <c r="U15" s="197"/>
      <c r="V15" s="197"/>
      <c r="W15" s="188">
        <f t="shared" ref="W15:W16" si="13">J15</f>
        <v>0</v>
      </c>
      <c r="X15" s="188">
        <f>H16*$M$1</f>
        <v>0</v>
      </c>
    </row>
    <row r="16" spans="1:24" s="126" customFormat="1" ht="15" customHeight="1" x14ac:dyDescent="0.25">
      <c r="A16" s="277"/>
      <c r="B16" s="231">
        <v>0</v>
      </c>
      <c r="C16" s="231">
        <v>0</v>
      </c>
      <c r="D16" s="140">
        <f>'Data Ocupacion'!F40</f>
        <v>0</v>
      </c>
      <c r="E16" s="140">
        <f>'Data Ocupacion'!G40</f>
        <v>0</v>
      </c>
      <c r="F16" s="231" t="s">
        <v>122</v>
      </c>
      <c r="G16" s="231">
        <f t="shared" si="8"/>
        <v>0</v>
      </c>
      <c r="H16" s="231">
        <f t="shared" si="12"/>
        <v>0</v>
      </c>
      <c r="I16" s="231">
        <f t="shared" si="9"/>
        <v>0</v>
      </c>
      <c r="J16" s="231">
        <f>G16*K$1</f>
        <v>0</v>
      </c>
      <c r="K16" s="156">
        <f>I16*K$1</f>
        <v>0</v>
      </c>
      <c r="L16" s="231">
        <f t="shared" si="10"/>
        <v>0</v>
      </c>
      <c r="M16" s="231">
        <f t="shared" si="11"/>
        <v>0</v>
      </c>
      <c r="N16" s="168"/>
      <c r="O16" s="19"/>
      <c r="P16" s="149"/>
      <c r="Q16" s="197"/>
      <c r="R16" s="197"/>
      <c r="S16" s="197"/>
      <c r="T16" s="197"/>
      <c r="U16" s="197"/>
      <c r="V16" s="197"/>
      <c r="W16" s="188">
        <f t="shared" si="13"/>
        <v>0</v>
      </c>
      <c r="X16" s="188">
        <f>H17*$K$1</f>
        <v>0</v>
      </c>
    </row>
    <row r="17" spans="1:24" ht="15.95" customHeight="1" thickBot="1" x14ac:dyDescent="0.3">
      <c r="A17" s="277"/>
      <c r="B17" s="231">
        <v>0</v>
      </c>
      <c r="C17" s="231">
        <v>0</v>
      </c>
      <c r="D17" s="140">
        <f>'Data Ocupacion'!F41</f>
        <v>0</v>
      </c>
      <c r="E17" s="140">
        <f>'Data Ocupacion'!G41</f>
        <v>0</v>
      </c>
      <c r="F17" s="231" t="s">
        <v>35</v>
      </c>
      <c r="G17" s="231">
        <f t="shared" si="8"/>
        <v>0</v>
      </c>
      <c r="H17" s="231">
        <f t="shared" si="12"/>
        <v>0</v>
      </c>
      <c r="I17" s="231">
        <f t="shared" si="9"/>
        <v>0</v>
      </c>
      <c r="J17" s="231">
        <f>G17*K$1</f>
        <v>0</v>
      </c>
      <c r="K17" s="156">
        <f>I17*K$1</f>
        <v>0</v>
      </c>
      <c r="L17" s="231">
        <f t="shared" si="10"/>
        <v>0</v>
      </c>
      <c r="M17" s="231">
        <f t="shared" si="11"/>
        <v>0</v>
      </c>
      <c r="N17" s="19"/>
      <c r="O17" s="19"/>
      <c r="P17" s="149"/>
      <c r="Q17" s="197"/>
      <c r="R17" s="197"/>
      <c r="S17" s="197"/>
      <c r="T17" s="197"/>
      <c r="U17" s="197"/>
      <c r="V17" s="197"/>
      <c r="W17" s="188">
        <f>J17</f>
        <v>0</v>
      </c>
      <c r="X17" s="188">
        <f>H17*$K$1</f>
        <v>0</v>
      </c>
    </row>
    <row r="18" spans="1:24" ht="15.75" thickBot="1" x14ac:dyDescent="0.3">
      <c r="A18" s="20"/>
      <c r="B18" s="230">
        <f>SUM(B12:B17)</f>
        <v>108</v>
      </c>
      <c r="C18" s="230">
        <f>SUM(C12:C17)</f>
        <v>3</v>
      </c>
      <c r="D18" s="155">
        <f>SUM(D12:D17)</f>
        <v>108</v>
      </c>
      <c r="E18" s="155">
        <f>SUM(E12:E17)</f>
        <v>3</v>
      </c>
      <c r="F18" s="121"/>
      <c r="G18" s="121">
        <f t="shared" ref="G18:M18" si="14">SUM(G12:G17)</f>
        <v>114</v>
      </c>
      <c r="H18" s="121">
        <f t="shared" si="7"/>
        <v>114</v>
      </c>
      <c r="I18" s="121">
        <f t="shared" si="14"/>
        <v>111</v>
      </c>
      <c r="J18" s="122">
        <f t="shared" si="14"/>
        <v>4916.8200000000006</v>
      </c>
      <c r="K18" s="121">
        <f t="shared" si="14"/>
        <v>4787.43</v>
      </c>
      <c r="L18" s="120">
        <f t="shared" si="14"/>
        <v>511349.28000000009</v>
      </c>
      <c r="M18" s="154">
        <f t="shared" si="14"/>
        <v>11544</v>
      </c>
      <c r="N18" s="125">
        <f>'Odometro-Kilometraje'!C81</f>
        <v>5048</v>
      </c>
      <c r="O18" s="21">
        <f>(W18/N18)*100</f>
        <v>97.40134706814581</v>
      </c>
      <c r="P18" s="200"/>
      <c r="Q18" s="187"/>
      <c r="R18" s="187"/>
      <c r="S18" s="187"/>
      <c r="T18" s="187"/>
      <c r="U18" s="187"/>
      <c r="V18" s="187"/>
      <c r="W18" s="201">
        <f>SUM(W12:W17)</f>
        <v>4916.8200000000006</v>
      </c>
      <c r="X18" s="201">
        <f>SUM(X12:X17)</f>
        <v>4916.8200000000006</v>
      </c>
    </row>
    <row r="19" spans="1:24" x14ac:dyDescent="0.25">
      <c r="A19" s="62">
        <f>A12+1</f>
        <v>45691</v>
      </c>
      <c r="B19" s="127">
        <v>78</v>
      </c>
      <c r="C19" s="127">
        <v>1</v>
      </c>
      <c r="D19" s="128">
        <f>'Data Ocupacion'!H36</f>
        <v>66</v>
      </c>
      <c r="E19" s="128">
        <f>'Data Ocupacion'!I36</f>
        <v>3</v>
      </c>
      <c r="F19" s="127" t="s">
        <v>38</v>
      </c>
      <c r="G19" s="127">
        <f t="shared" ref="G19:G26" si="15">D19+E19*2</f>
        <v>72</v>
      </c>
      <c r="H19" s="127">
        <f>B19+C19*2</f>
        <v>80</v>
      </c>
      <c r="I19" s="127">
        <f t="shared" ref="I19:I26" si="16">D19+E19</f>
        <v>69</v>
      </c>
      <c r="J19" s="127">
        <f>G19*M$2</f>
        <v>3105.36</v>
      </c>
      <c r="K19" s="156">
        <f>I19*M$2</f>
        <v>2975.9700000000003</v>
      </c>
      <c r="L19" s="127">
        <f t="shared" ref="L19:L26" si="17">J19*104</f>
        <v>322957.44</v>
      </c>
      <c r="M19" s="127">
        <f t="shared" ref="M19:M26" si="18">I19*104</f>
        <v>7176</v>
      </c>
      <c r="N19" s="19"/>
      <c r="O19" s="19"/>
      <c r="P19" s="149"/>
      <c r="Q19" s="189"/>
      <c r="R19" s="189"/>
      <c r="S19" s="216"/>
      <c r="T19" s="189"/>
      <c r="U19" s="199"/>
      <c r="V19" s="245"/>
      <c r="W19" s="188">
        <f>J19-(Q19*($M$2-$K$1)+(R19*($M$2-$M$1))+  (S19*($M$2-$I$2))+(T19*$K$1))</f>
        <v>3105.36</v>
      </c>
      <c r="X19" s="188">
        <f>H19*$M$2</f>
        <v>3450.4</v>
      </c>
    </row>
    <row r="20" spans="1:24" ht="15.95" customHeight="1" x14ac:dyDescent="0.25">
      <c r="A20" s="342" t="s">
        <v>170</v>
      </c>
      <c r="B20" s="127">
        <v>76</v>
      </c>
      <c r="C20" s="127">
        <v>2</v>
      </c>
      <c r="D20" s="128">
        <f>'Data Ocupacion'!H37</f>
        <v>68</v>
      </c>
      <c r="E20" s="128">
        <f>'Data Ocupacion'!I37</f>
        <v>3</v>
      </c>
      <c r="F20" s="127" t="s">
        <v>52</v>
      </c>
      <c r="G20" s="127">
        <f t="shared" si="15"/>
        <v>74</v>
      </c>
      <c r="H20" s="127">
        <f t="shared" ref="H20:H26" si="19">B20+C20*2</f>
        <v>80</v>
      </c>
      <c r="I20" s="127">
        <f t="shared" si="16"/>
        <v>71</v>
      </c>
      <c r="J20" s="127">
        <f>G20*M$2</f>
        <v>3191.6200000000003</v>
      </c>
      <c r="K20" s="156">
        <f>I20*M$2</f>
        <v>3062.23</v>
      </c>
      <c r="L20" s="127">
        <f t="shared" si="17"/>
        <v>331928.48000000004</v>
      </c>
      <c r="M20" s="127">
        <f t="shared" si="18"/>
        <v>7384</v>
      </c>
      <c r="N20" s="19"/>
      <c r="O20" s="19"/>
      <c r="P20" s="149"/>
      <c r="Q20" s="194"/>
      <c r="R20" s="194"/>
      <c r="S20" s="194"/>
      <c r="T20" s="189"/>
      <c r="U20" s="191"/>
      <c r="V20" s="246"/>
      <c r="W20" s="192">
        <f>J20-(T20*($M$2-$K$1)+(U20*($M$2-$M$1)))</f>
        <v>3191.6200000000003</v>
      </c>
      <c r="X20" s="188">
        <f>H20*$M$2</f>
        <v>3450.4</v>
      </c>
    </row>
    <row r="21" spans="1:24" ht="15" customHeight="1" x14ac:dyDescent="0.25">
      <c r="A21" s="342"/>
      <c r="B21" s="127">
        <v>33</v>
      </c>
      <c r="C21" s="127">
        <v>0</v>
      </c>
      <c r="D21" s="128">
        <f>'Data Ocupacion'!H38</f>
        <v>30</v>
      </c>
      <c r="E21" s="128">
        <f>'Data Ocupacion'!I38</f>
        <v>0</v>
      </c>
      <c r="F21" s="127" t="s">
        <v>36</v>
      </c>
      <c r="G21" s="127">
        <f t="shared" si="15"/>
        <v>30</v>
      </c>
      <c r="H21" s="127">
        <f t="shared" si="19"/>
        <v>33</v>
      </c>
      <c r="I21" s="127">
        <f t="shared" si="16"/>
        <v>30</v>
      </c>
      <c r="J21" s="127">
        <f>G21*M$1</f>
        <v>873.3</v>
      </c>
      <c r="K21" s="156">
        <f>I21*M$1</f>
        <v>873.3</v>
      </c>
      <c r="L21" s="127">
        <f t="shared" si="17"/>
        <v>90823.2</v>
      </c>
      <c r="M21" s="127">
        <f t="shared" si="18"/>
        <v>3120</v>
      </c>
      <c r="N21" s="19"/>
      <c r="O21" s="19"/>
      <c r="P21" s="149"/>
      <c r="Q21" s="193"/>
      <c r="R21" s="195"/>
      <c r="S21" s="217"/>
      <c r="T21" s="196"/>
      <c r="U21" s="197"/>
      <c r="V21" s="197"/>
      <c r="W21" s="188">
        <f>J21-(Q21*($M$1-$K$1))</f>
        <v>873.3</v>
      </c>
      <c r="X21" s="188">
        <f>H21*$M$1</f>
        <v>960.63</v>
      </c>
    </row>
    <row r="22" spans="1:24" ht="15" customHeight="1" x14ac:dyDescent="0.25">
      <c r="A22" s="342"/>
      <c r="B22" s="127">
        <v>32</v>
      </c>
      <c r="C22" s="127">
        <v>0</v>
      </c>
      <c r="D22" s="128">
        <f>'Data Ocupacion'!H39</f>
        <v>29</v>
      </c>
      <c r="E22" s="128">
        <f>'Data Ocupacion'!I39</f>
        <v>0</v>
      </c>
      <c r="F22" s="127" t="s">
        <v>53</v>
      </c>
      <c r="G22" s="127">
        <f t="shared" si="15"/>
        <v>29</v>
      </c>
      <c r="H22" s="127">
        <f t="shared" si="19"/>
        <v>32</v>
      </c>
      <c r="I22" s="127">
        <f t="shared" si="16"/>
        <v>29</v>
      </c>
      <c r="J22" s="127">
        <f>G22*M$1</f>
        <v>844.18999999999994</v>
      </c>
      <c r="K22" s="156">
        <f>I22*M$1</f>
        <v>844.18999999999994</v>
      </c>
      <c r="L22" s="127">
        <f t="shared" si="17"/>
        <v>87795.76</v>
      </c>
      <c r="M22" s="127">
        <f t="shared" si="18"/>
        <v>3016</v>
      </c>
      <c r="N22" s="19"/>
      <c r="O22" s="19"/>
      <c r="P22" s="149"/>
      <c r="Q22" s="197"/>
      <c r="R22" s="197"/>
      <c r="S22" s="197"/>
      <c r="T22" s="197"/>
      <c r="U22" s="197"/>
      <c r="V22" s="197"/>
      <c r="W22" s="188">
        <f t="shared" ref="W22:W26" si="20">J22</f>
        <v>844.18999999999994</v>
      </c>
      <c r="X22" s="188">
        <f>H22*$M$1</f>
        <v>931.52</v>
      </c>
    </row>
    <row r="23" spans="1:24" s="126" customFormat="1" ht="15" customHeight="1" x14ac:dyDescent="0.25">
      <c r="A23" s="342"/>
      <c r="B23" s="127">
        <v>0</v>
      </c>
      <c r="C23" s="127">
        <v>0</v>
      </c>
      <c r="D23" s="128">
        <v>0</v>
      </c>
      <c r="E23" s="128">
        <f>'Data Ocupacion'!I40</f>
        <v>0</v>
      </c>
      <c r="F23" s="127" t="s">
        <v>122</v>
      </c>
      <c r="G23" s="127">
        <f t="shared" si="15"/>
        <v>0</v>
      </c>
      <c r="H23" s="127">
        <f t="shared" si="19"/>
        <v>0</v>
      </c>
      <c r="I23" s="127">
        <f t="shared" si="16"/>
        <v>0</v>
      </c>
      <c r="J23" s="127">
        <f>G23*K$1</f>
        <v>0</v>
      </c>
      <c r="K23" s="156">
        <f>I23*K$1</f>
        <v>0</v>
      </c>
      <c r="L23" s="127">
        <f t="shared" si="17"/>
        <v>0</v>
      </c>
      <c r="M23" s="127">
        <f t="shared" si="18"/>
        <v>0</v>
      </c>
      <c r="N23" s="19"/>
      <c r="O23" s="19"/>
      <c r="P23" s="149"/>
      <c r="Q23" s="197"/>
      <c r="R23" s="197"/>
      <c r="S23" s="197"/>
      <c r="T23" s="197"/>
      <c r="U23" s="197"/>
      <c r="V23" s="197"/>
      <c r="W23" s="188">
        <f t="shared" si="20"/>
        <v>0</v>
      </c>
      <c r="X23" s="188">
        <f>H23*$K$1</f>
        <v>0</v>
      </c>
    </row>
    <row r="24" spans="1:24" s="126" customFormat="1" ht="15" customHeight="1" x14ac:dyDescent="0.25">
      <c r="A24" s="342"/>
      <c r="B24" s="127">
        <v>0</v>
      </c>
      <c r="C24" s="127">
        <v>0</v>
      </c>
      <c r="D24" s="128">
        <f>'Data Ocupacion'!H42</f>
        <v>6</v>
      </c>
      <c r="E24" s="128">
        <v>0</v>
      </c>
      <c r="F24" s="127" t="s">
        <v>164</v>
      </c>
      <c r="G24" s="127">
        <f t="shared" si="15"/>
        <v>6</v>
      </c>
      <c r="H24" s="127">
        <f t="shared" si="19"/>
        <v>0</v>
      </c>
      <c r="I24" s="127">
        <f t="shared" si="16"/>
        <v>6</v>
      </c>
      <c r="J24" s="127">
        <f>G24*X$1</f>
        <v>70.260000000000005</v>
      </c>
      <c r="K24" s="156">
        <f>I24*X$1</f>
        <v>70.260000000000005</v>
      </c>
      <c r="L24" s="127">
        <f t="shared" si="17"/>
        <v>7307.0400000000009</v>
      </c>
      <c r="M24" s="127">
        <f t="shared" si="18"/>
        <v>624</v>
      </c>
      <c r="N24" s="19"/>
      <c r="O24" s="19"/>
      <c r="P24" s="149"/>
      <c r="Q24" s="197"/>
      <c r="R24" s="197"/>
      <c r="S24" s="197"/>
      <c r="T24" s="197"/>
      <c r="U24" s="197"/>
      <c r="V24" s="197"/>
      <c r="W24" s="188">
        <f t="shared" si="20"/>
        <v>70.260000000000005</v>
      </c>
      <c r="X24" s="188">
        <f>H24*$X$1</f>
        <v>0</v>
      </c>
    </row>
    <row r="25" spans="1:24" s="126" customFormat="1" ht="15" customHeight="1" x14ac:dyDescent="0.25">
      <c r="A25" s="342"/>
      <c r="B25" s="127">
        <v>0</v>
      </c>
      <c r="C25" s="127">
        <v>0</v>
      </c>
      <c r="D25" s="128">
        <f>'Data Ocupacion'!H43</f>
        <v>4</v>
      </c>
      <c r="E25" s="128">
        <v>0</v>
      </c>
      <c r="F25" s="127" t="s">
        <v>165</v>
      </c>
      <c r="G25" s="127">
        <f t="shared" si="15"/>
        <v>4</v>
      </c>
      <c r="H25" s="127">
        <f t="shared" si="19"/>
        <v>0</v>
      </c>
      <c r="I25" s="127">
        <f t="shared" si="16"/>
        <v>4</v>
      </c>
      <c r="J25" s="127">
        <f>G25*X$1</f>
        <v>46.84</v>
      </c>
      <c r="K25" s="156">
        <f>I25*X$1</f>
        <v>46.84</v>
      </c>
      <c r="L25" s="127">
        <f t="shared" si="17"/>
        <v>4871.3600000000006</v>
      </c>
      <c r="M25" s="127">
        <f t="shared" si="18"/>
        <v>416</v>
      </c>
      <c r="N25" s="19"/>
      <c r="O25" s="19"/>
      <c r="P25" s="149"/>
      <c r="Q25" s="197"/>
      <c r="R25" s="197"/>
      <c r="S25" s="197"/>
      <c r="T25" s="197"/>
      <c r="U25" s="197"/>
      <c r="V25" s="197"/>
      <c r="W25" s="188">
        <f t="shared" si="20"/>
        <v>46.84</v>
      </c>
      <c r="X25" s="188">
        <f>H25*$X$1</f>
        <v>0</v>
      </c>
    </row>
    <row r="26" spans="1:24" ht="13.5" customHeight="1" thickBot="1" x14ac:dyDescent="0.3">
      <c r="A26" s="342"/>
      <c r="B26" s="127">
        <v>1</v>
      </c>
      <c r="C26" s="127">
        <v>0</v>
      </c>
      <c r="D26" s="278">
        <f>'Data Ocupacion'!H41</f>
        <v>1</v>
      </c>
      <c r="E26" s="128">
        <f>'Data Ocupacion'!I41</f>
        <v>0</v>
      </c>
      <c r="F26" s="127" t="s">
        <v>35</v>
      </c>
      <c r="G26" s="127">
        <f t="shared" si="15"/>
        <v>1</v>
      </c>
      <c r="H26" s="127">
        <f t="shared" si="19"/>
        <v>1</v>
      </c>
      <c r="I26" s="127">
        <f t="shared" si="16"/>
        <v>1</v>
      </c>
      <c r="J26" s="127">
        <f>G26*K$1</f>
        <v>25.4</v>
      </c>
      <c r="K26" s="156">
        <f>I26*K$1</f>
        <v>25.4</v>
      </c>
      <c r="L26" s="127">
        <f t="shared" si="17"/>
        <v>2641.6</v>
      </c>
      <c r="M26" s="127">
        <f t="shared" si="18"/>
        <v>104</v>
      </c>
      <c r="N26" s="19"/>
      <c r="O26" s="19"/>
      <c r="P26" s="149"/>
      <c r="Q26" s="197"/>
      <c r="R26" s="197"/>
      <c r="S26" s="197"/>
      <c r="T26" s="197"/>
      <c r="U26" s="197"/>
      <c r="V26" s="197"/>
      <c r="W26" s="188">
        <f t="shared" si="20"/>
        <v>25.4</v>
      </c>
      <c r="X26" s="188">
        <f>H26*$K$1</f>
        <v>25.4</v>
      </c>
    </row>
    <row r="27" spans="1:24" ht="15.95" customHeight="1" thickBot="1" x14ac:dyDescent="0.3">
      <c r="A27" s="20"/>
      <c r="B27" s="230">
        <f>SUM(B19:B26)</f>
        <v>220</v>
      </c>
      <c r="C27" s="230">
        <f>SUM(C19:C26)</f>
        <v>3</v>
      </c>
      <c r="D27" s="155">
        <f>SUM(D19:D26)</f>
        <v>204</v>
      </c>
      <c r="E27" s="155">
        <f>SUM(E19:E26)</f>
        <v>6</v>
      </c>
      <c r="F27" s="121"/>
      <c r="G27" s="121">
        <f t="shared" ref="G27:M27" si="21">SUM(G19:G26)</f>
        <v>216</v>
      </c>
      <c r="H27" s="121">
        <f t="shared" si="7"/>
        <v>216</v>
      </c>
      <c r="I27" s="121">
        <f t="shared" si="21"/>
        <v>210</v>
      </c>
      <c r="J27" s="122">
        <f t="shared" si="21"/>
        <v>8156.97</v>
      </c>
      <c r="K27" s="121">
        <f t="shared" si="21"/>
        <v>7898.1900000000005</v>
      </c>
      <c r="L27" s="120">
        <f t="shared" si="21"/>
        <v>848324.88</v>
      </c>
      <c r="M27" s="154">
        <f t="shared" si="21"/>
        <v>21840</v>
      </c>
      <c r="N27" s="186">
        <f>'Odometro-Kilometraje'!D81</f>
        <v>8735</v>
      </c>
      <c r="O27" s="21">
        <f>(W27/N27)*100</f>
        <v>93.382598740698342</v>
      </c>
      <c r="P27" s="200"/>
      <c r="Q27" s="187"/>
      <c r="R27" s="187"/>
      <c r="S27" s="187"/>
      <c r="T27" s="187"/>
      <c r="U27" s="187"/>
      <c r="V27" s="187"/>
      <c r="W27" s="201">
        <f>SUM(W19:W26)</f>
        <v>8156.97</v>
      </c>
      <c r="X27" s="201">
        <f>SUM(X19:X26)</f>
        <v>8818.35</v>
      </c>
    </row>
    <row r="28" spans="1:24" x14ac:dyDescent="0.25">
      <c r="A28" s="62">
        <f>A19+1</f>
        <v>45692</v>
      </c>
      <c r="B28" s="127">
        <v>78</v>
      </c>
      <c r="C28" s="127">
        <v>1</v>
      </c>
      <c r="D28" s="128">
        <f>'Data Ocupacion'!J36</f>
        <v>77</v>
      </c>
      <c r="E28" s="128">
        <f>'Data Ocupacion'!K36</f>
        <v>2</v>
      </c>
      <c r="F28" s="127" t="s">
        <v>38</v>
      </c>
      <c r="G28" s="127">
        <f t="shared" ref="G28:G33" si="22">D28+E28*2</f>
        <v>81</v>
      </c>
      <c r="H28" s="127">
        <f t="shared" ref="H28:H33" si="23">B28+C28*2</f>
        <v>80</v>
      </c>
      <c r="I28" s="127">
        <f t="shared" ref="I28:I33" si="24">D28+E28</f>
        <v>79</v>
      </c>
      <c r="J28" s="127">
        <f>G28*M$2</f>
        <v>3493.53</v>
      </c>
      <c r="K28" s="156">
        <f>I28*M$2</f>
        <v>3407.27</v>
      </c>
      <c r="L28" s="127">
        <f t="shared" ref="L28:L33" si="25">J28*104</f>
        <v>363327.12</v>
      </c>
      <c r="M28" s="127">
        <f t="shared" ref="M28:M33" si="26">I28*104</f>
        <v>8216</v>
      </c>
      <c r="N28" s="19"/>
      <c r="O28" s="19"/>
      <c r="P28" s="149"/>
      <c r="Q28" s="189"/>
      <c r="R28" s="189"/>
      <c r="S28" s="216"/>
      <c r="T28" s="198"/>
      <c r="U28" s="199"/>
      <c r="V28" s="245"/>
      <c r="W28" s="188">
        <f>J28-(Q28*($M$2-$K$1)+(R28*($M$2-$M$1))+  (S28*($M$2-$I$2)))</f>
        <v>3493.53</v>
      </c>
      <c r="X28" s="188">
        <f>H28*$M$2</f>
        <v>3450.4</v>
      </c>
    </row>
    <row r="29" spans="1:24" ht="17.25" customHeight="1" x14ac:dyDescent="0.25">
      <c r="A29" s="277"/>
      <c r="B29" s="127">
        <v>76</v>
      </c>
      <c r="C29" s="127">
        <v>2</v>
      </c>
      <c r="D29" s="128">
        <f>'Data Ocupacion'!J37</f>
        <v>75</v>
      </c>
      <c r="E29" s="128">
        <f>'Data Ocupacion'!K37</f>
        <v>3</v>
      </c>
      <c r="F29" s="127" t="s">
        <v>52</v>
      </c>
      <c r="G29" s="127">
        <f t="shared" si="22"/>
        <v>81</v>
      </c>
      <c r="H29" s="127">
        <f t="shared" si="23"/>
        <v>80</v>
      </c>
      <c r="I29" s="127">
        <f t="shared" si="24"/>
        <v>78</v>
      </c>
      <c r="J29" s="127">
        <f>G29*M$2</f>
        <v>3493.53</v>
      </c>
      <c r="K29" s="156">
        <f>I29*M$2</f>
        <v>3364.1400000000003</v>
      </c>
      <c r="L29" s="127">
        <f t="shared" si="25"/>
        <v>363327.12</v>
      </c>
      <c r="M29" s="127">
        <f t="shared" si="26"/>
        <v>8112</v>
      </c>
      <c r="N29" s="19"/>
      <c r="O29" s="19"/>
      <c r="P29" s="149"/>
      <c r="Q29" s="194"/>
      <c r="R29" s="194"/>
      <c r="S29" s="194"/>
      <c r="T29" s="189"/>
      <c r="U29" s="214"/>
      <c r="V29" s="246"/>
      <c r="W29" s="192">
        <f>J29-(T29*($M$2-$K$1)+(U29*($M$2-$M$1))+(V29*($M$2-$I$2)))</f>
        <v>3493.53</v>
      </c>
      <c r="X29" s="188">
        <f>H28*$M$2</f>
        <v>3450.4</v>
      </c>
    </row>
    <row r="30" spans="1:24" ht="15" customHeight="1" x14ac:dyDescent="0.25">
      <c r="A30" s="277"/>
      <c r="B30" s="127">
        <v>33</v>
      </c>
      <c r="C30" s="127">
        <v>0</v>
      </c>
      <c r="D30" s="128">
        <f>'Data Ocupacion'!J38</f>
        <v>33</v>
      </c>
      <c r="E30" s="128">
        <f>'Data Ocupacion'!K38</f>
        <v>0</v>
      </c>
      <c r="F30" s="127" t="s">
        <v>36</v>
      </c>
      <c r="G30" s="127">
        <f t="shared" si="22"/>
        <v>33</v>
      </c>
      <c r="H30" s="127">
        <f t="shared" si="23"/>
        <v>33</v>
      </c>
      <c r="I30" s="127">
        <f t="shared" si="24"/>
        <v>33</v>
      </c>
      <c r="J30" s="127">
        <f>G30*M$1</f>
        <v>960.63</v>
      </c>
      <c r="K30" s="156">
        <f>I30*M$1</f>
        <v>960.63</v>
      </c>
      <c r="L30" s="127">
        <f t="shared" si="25"/>
        <v>99905.52</v>
      </c>
      <c r="M30" s="127">
        <f t="shared" si="26"/>
        <v>3432</v>
      </c>
      <c r="N30" s="19"/>
      <c r="O30" s="19"/>
      <c r="P30" s="149"/>
      <c r="Q30" s="193"/>
      <c r="R30" s="195"/>
      <c r="S30" s="217"/>
      <c r="T30" s="196"/>
      <c r="U30" s="197"/>
      <c r="V30" s="197"/>
      <c r="W30" s="188">
        <f>J30-(Q30*($M$1-$K$1))</f>
        <v>960.63</v>
      </c>
      <c r="X30" s="188">
        <f>H30*$M$1</f>
        <v>960.63</v>
      </c>
    </row>
    <row r="31" spans="1:24" ht="15" customHeight="1" x14ac:dyDescent="0.25">
      <c r="A31" s="277"/>
      <c r="B31" s="127">
        <v>32</v>
      </c>
      <c r="C31" s="127">
        <v>0</v>
      </c>
      <c r="D31" s="128">
        <f>'Data Ocupacion'!J39</f>
        <v>32</v>
      </c>
      <c r="E31" s="128">
        <f>'Data Ocupacion'!K39</f>
        <v>0</v>
      </c>
      <c r="F31" s="127" t="s">
        <v>53</v>
      </c>
      <c r="G31" s="127">
        <f t="shared" si="22"/>
        <v>32</v>
      </c>
      <c r="H31" s="127">
        <f t="shared" si="23"/>
        <v>32</v>
      </c>
      <c r="I31" s="127">
        <f t="shared" si="24"/>
        <v>32</v>
      </c>
      <c r="J31" s="127">
        <f>G31*M$1</f>
        <v>931.52</v>
      </c>
      <c r="K31" s="156">
        <f>I31*M$1</f>
        <v>931.52</v>
      </c>
      <c r="L31" s="127">
        <f t="shared" si="25"/>
        <v>96878.080000000002</v>
      </c>
      <c r="M31" s="127">
        <f t="shared" si="26"/>
        <v>3328</v>
      </c>
      <c r="N31" s="19"/>
      <c r="O31" s="19"/>
      <c r="P31" s="149"/>
      <c r="Q31" s="197"/>
      <c r="R31" s="197"/>
      <c r="S31" s="197"/>
      <c r="T31" s="197"/>
      <c r="U31" s="197"/>
      <c r="V31" s="197"/>
      <c r="W31" s="188">
        <f t="shared" ref="W31:W32" si="27">J31</f>
        <v>931.52</v>
      </c>
      <c r="X31" s="188">
        <f>H31*$M$1</f>
        <v>931.52</v>
      </c>
    </row>
    <row r="32" spans="1:24" s="126" customFormat="1" ht="15" customHeight="1" x14ac:dyDescent="0.25">
      <c r="A32" s="277"/>
      <c r="B32" s="127">
        <v>0</v>
      </c>
      <c r="C32" s="127">
        <v>0</v>
      </c>
      <c r="D32" s="128">
        <f>'Data Ocupacion'!J40</f>
        <v>0</v>
      </c>
      <c r="E32" s="128">
        <f>'Data Ocupacion'!K40</f>
        <v>0</v>
      </c>
      <c r="F32" s="127" t="s">
        <v>122</v>
      </c>
      <c r="G32" s="127">
        <f t="shared" si="22"/>
        <v>0</v>
      </c>
      <c r="H32" s="127">
        <f t="shared" si="23"/>
        <v>0</v>
      </c>
      <c r="I32" s="127">
        <f t="shared" si="24"/>
        <v>0</v>
      </c>
      <c r="J32" s="127">
        <f>G32*K$1</f>
        <v>0</v>
      </c>
      <c r="K32" s="156">
        <f>I32*K$1</f>
        <v>0</v>
      </c>
      <c r="L32" s="127">
        <f t="shared" si="25"/>
        <v>0</v>
      </c>
      <c r="M32" s="127">
        <f t="shared" si="26"/>
        <v>0</v>
      </c>
      <c r="N32" s="19"/>
      <c r="P32" s="149"/>
      <c r="Q32" s="197"/>
      <c r="R32" s="197"/>
      <c r="S32" s="197"/>
      <c r="T32" s="197"/>
      <c r="U32" s="197"/>
      <c r="V32" s="197"/>
      <c r="W32" s="188">
        <f t="shared" si="27"/>
        <v>0</v>
      </c>
      <c r="X32" s="188">
        <f>H32*$K$1</f>
        <v>0</v>
      </c>
    </row>
    <row r="33" spans="1:32" ht="15.95" customHeight="1" thickBot="1" x14ac:dyDescent="0.3">
      <c r="A33" s="277"/>
      <c r="B33" s="127">
        <v>1</v>
      </c>
      <c r="C33" s="127">
        <v>0</v>
      </c>
      <c r="D33" s="278">
        <f>'Data Ocupacion'!J41</f>
        <v>1</v>
      </c>
      <c r="E33" s="128">
        <f>'Data Ocupacion'!K41</f>
        <v>0</v>
      </c>
      <c r="F33" s="127" t="s">
        <v>35</v>
      </c>
      <c r="G33" s="127">
        <f t="shared" si="22"/>
        <v>1</v>
      </c>
      <c r="H33" s="127">
        <f t="shared" si="23"/>
        <v>1</v>
      </c>
      <c r="I33" s="127">
        <f t="shared" si="24"/>
        <v>1</v>
      </c>
      <c r="J33" s="127">
        <f>G33*K$1</f>
        <v>25.4</v>
      </c>
      <c r="K33" s="156">
        <f>I33*K$1</f>
        <v>25.4</v>
      </c>
      <c r="L33" s="127">
        <f t="shared" si="25"/>
        <v>2641.6</v>
      </c>
      <c r="M33" s="127">
        <f t="shared" si="26"/>
        <v>104</v>
      </c>
      <c r="N33" s="19"/>
      <c r="P33" s="149"/>
      <c r="Q33" s="197"/>
      <c r="R33" s="197"/>
      <c r="S33" s="197"/>
      <c r="T33" s="197"/>
      <c r="U33" s="197"/>
      <c r="V33" s="197"/>
      <c r="W33" s="188">
        <f>J33</f>
        <v>25.4</v>
      </c>
      <c r="X33" s="188">
        <f>H33*$K$1</f>
        <v>25.4</v>
      </c>
    </row>
    <row r="34" spans="1:32" ht="15.75" thickBot="1" x14ac:dyDescent="0.3">
      <c r="A34" s="20"/>
      <c r="B34" s="230">
        <f>SUM(B28:B33)</f>
        <v>220</v>
      </c>
      <c r="C34" s="230">
        <f>SUM(C28:C33)</f>
        <v>3</v>
      </c>
      <c r="D34" s="155">
        <f>SUM(D28:D33)</f>
        <v>218</v>
      </c>
      <c r="E34" s="155">
        <f>SUM(E28:E33)</f>
        <v>5</v>
      </c>
      <c r="F34" s="121"/>
      <c r="G34" s="121">
        <f t="shared" ref="G34:M34" si="28">SUM(G28:G33)</f>
        <v>228</v>
      </c>
      <c r="H34" s="121">
        <f t="shared" si="7"/>
        <v>228</v>
      </c>
      <c r="I34" s="121">
        <f t="shared" si="28"/>
        <v>223</v>
      </c>
      <c r="J34" s="122">
        <f t="shared" si="28"/>
        <v>8904.61</v>
      </c>
      <c r="K34" s="121">
        <f t="shared" si="28"/>
        <v>8688.9599999999991</v>
      </c>
      <c r="L34" s="120">
        <f t="shared" si="28"/>
        <v>926079.44</v>
      </c>
      <c r="M34" s="154">
        <f t="shared" si="28"/>
        <v>23192</v>
      </c>
      <c r="N34" s="125">
        <f>'Odometro-Kilometraje'!E81</f>
        <v>9144</v>
      </c>
      <c r="O34" s="21">
        <f>(W34/N34)*100</f>
        <v>97.38199912510936</v>
      </c>
      <c r="P34" s="200"/>
      <c r="Q34" s="187"/>
      <c r="R34" s="187"/>
      <c r="S34" s="187"/>
      <c r="T34" s="187"/>
      <c r="U34" s="187"/>
      <c r="V34" s="187"/>
      <c r="W34" s="201">
        <f>SUM(W28:W33)</f>
        <v>8904.61</v>
      </c>
      <c r="X34" s="201">
        <f>SUM(X28:X33)</f>
        <v>8818.35</v>
      </c>
    </row>
    <row r="35" spans="1:32" x14ac:dyDescent="0.25">
      <c r="A35" s="62">
        <f>A28+1</f>
        <v>45693</v>
      </c>
      <c r="B35" s="127">
        <v>78</v>
      </c>
      <c r="C35" s="127">
        <v>1</v>
      </c>
      <c r="D35" s="128">
        <f>'Data Ocupacion'!L36</f>
        <v>78</v>
      </c>
      <c r="E35" s="128">
        <f>'Data Ocupacion'!M36</f>
        <v>1</v>
      </c>
      <c r="F35" s="127" t="s">
        <v>38</v>
      </c>
      <c r="G35" s="127">
        <f t="shared" ref="G35:G40" si="29">D35+E35*2</f>
        <v>80</v>
      </c>
      <c r="H35" s="127">
        <f t="shared" ref="H35:H40" si="30">B35+C35*2</f>
        <v>80</v>
      </c>
      <c r="I35" s="127">
        <f t="shared" ref="I35:I40" si="31">D35+E35</f>
        <v>79</v>
      </c>
      <c r="J35" s="127">
        <f>G35*M$2</f>
        <v>3450.4</v>
      </c>
      <c r="K35" s="156">
        <f>I35*M$2</f>
        <v>3407.27</v>
      </c>
      <c r="L35" s="127">
        <f t="shared" ref="L35:L40" si="32">J35*104</f>
        <v>358841.60000000003</v>
      </c>
      <c r="M35" s="127">
        <f t="shared" ref="M35:M40" si="33">I35*104</f>
        <v>8216</v>
      </c>
      <c r="N35" s="19"/>
      <c r="O35" s="19"/>
      <c r="P35" s="149"/>
      <c r="Q35" s="189"/>
      <c r="R35" s="194"/>
      <c r="S35" s="194"/>
      <c r="T35" s="198"/>
      <c r="U35" s="199"/>
      <c r="V35" s="245"/>
      <c r="W35" s="188">
        <f>J35-(Q35*($M$2-$K$1)+(R35*($M$2-$M$1))+  (S35*($M$2-$I$2)))</f>
        <v>3450.4</v>
      </c>
      <c r="X35" s="188">
        <f>H35*$M$2</f>
        <v>3450.4</v>
      </c>
    </row>
    <row r="36" spans="1:32" ht="15" customHeight="1" x14ac:dyDescent="0.25">
      <c r="A36" s="277"/>
      <c r="B36" s="127">
        <v>76</v>
      </c>
      <c r="C36" s="127">
        <v>2</v>
      </c>
      <c r="D36" s="128">
        <f>'Data Ocupacion'!L37</f>
        <v>76</v>
      </c>
      <c r="E36" s="128">
        <f>'Data Ocupacion'!M37</f>
        <v>2</v>
      </c>
      <c r="F36" s="127" t="s">
        <v>52</v>
      </c>
      <c r="G36" s="127">
        <f t="shared" si="29"/>
        <v>80</v>
      </c>
      <c r="H36" s="127">
        <f t="shared" si="30"/>
        <v>80</v>
      </c>
      <c r="I36" s="127">
        <f t="shared" si="31"/>
        <v>78</v>
      </c>
      <c r="J36" s="127">
        <f>G36*M$2</f>
        <v>3450.4</v>
      </c>
      <c r="K36" s="156">
        <f>I36*M$2</f>
        <v>3364.1400000000003</v>
      </c>
      <c r="L36" s="127">
        <f t="shared" si="32"/>
        <v>358841.60000000003</v>
      </c>
      <c r="M36" s="127">
        <f t="shared" si="33"/>
        <v>8112</v>
      </c>
      <c r="N36" s="19"/>
      <c r="O36" s="19"/>
      <c r="P36" s="149"/>
      <c r="Q36" s="194"/>
      <c r="R36" s="194"/>
      <c r="S36" s="194"/>
      <c r="T36" s="256"/>
      <c r="U36" s="229"/>
      <c r="V36" s="194"/>
      <c r="W36" s="192">
        <f>J36-(T36*($M$2-$K$1)+(U36*($M$2-$M$1)))</f>
        <v>3450.4</v>
      </c>
      <c r="X36" s="188">
        <f>H35*$M$2</f>
        <v>3450.4</v>
      </c>
    </row>
    <row r="37" spans="1:32" ht="15" customHeight="1" x14ac:dyDescent="0.25">
      <c r="A37" s="277"/>
      <c r="B37" s="127">
        <v>33</v>
      </c>
      <c r="C37" s="127">
        <v>0</v>
      </c>
      <c r="D37" s="128">
        <f>'Data Ocupacion'!L38</f>
        <v>33</v>
      </c>
      <c r="E37" s="128">
        <f>'Data Ocupacion'!M38</f>
        <v>0</v>
      </c>
      <c r="F37" s="127" t="s">
        <v>36</v>
      </c>
      <c r="G37" s="127">
        <f t="shared" si="29"/>
        <v>33</v>
      </c>
      <c r="H37" s="127">
        <f t="shared" si="30"/>
        <v>33</v>
      </c>
      <c r="I37" s="127">
        <f t="shared" si="31"/>
        <v>33</v>
      </c>
      <c r="J37" s="127">
        <f>G37*M$1</f>
        <v>960.63</v>
      </c>
      <c r="K37" s="156">
        <f>I37*M$1</f>
        <v>960.63</v>
      </c>
      <c r="L37" s="127">
        <f t="shared" si="32"/>
        <v>99905.52</v>
      </c>
      <c r="M37" s="127">
        <f t="shared" si="33"/>
        <v>3432</v>
      </c>
      <c r="N37" s="19"/>
      <c r="O37" s="19"/>
      <c r="P37" s="149"/>
      <c r="Q37" s="194"/>
      <c r="R37" s="257"/>
      <c r="S37" s="217"/>
      <c r="T37" s="196"/>
      <c r="U37" s="197"/>
      <c r="V37" s="197"/>
      <c r="W37" s="188">
        <f>J37-(Q37*($M$1-$K$1))</f>
        <v>960.63</v>
      </c>
      <c r="X37" s="188">
        <f>H37*$M$1</f>
        <v>960.63</v>
      </c>
    </row>
    <row r="38" spans="1:32" ht="15" customHeight="1" x14ac:dyDescent="0.25">
      <c r="A38" s="277"/>
      <c r="B38" s="127">
        <v>32</v>
      </c>
      <c r="C38" s="127">
        <v>0</v>
      </c>
      <c r="D38" s="128">
        <f>'Data Ocupacion'!L39</f>
        <v>32</v>
      </c>
      <c r="E38" s="128">
        <f>'Data Ocupacion'!M39</f>
        <v>0</v>
      </c>
      <c r="F38" s="127" t="s">
        <v>53</v>
      </c>
      <c r="G38" s="127">
        <f t="shared" si="29"/>
        <v>32</v>
      </c>
      <c r="H38" s="127">
        <f t="shared" si="30"/>
        <v>32</v>
      </c>
      <c r="I38" s="127">
        <f t="shared" si="31"/>
        <v>32</v>
      </c>
      <c r="J38" s="127">
        <f>G38*M$1</f>
        <v>931.52</v>
      </c>
      <c r="K38" s="156">
        <f>I38*M$1</f>
        <v>931.52</v>
      </c>
      <c r="L38" s="127">
        <f t="shared" si="32"/>
        <v>96878.080000000002</v>
      </c>
      <c r="M38" s="127">
        <f t="shared" si="33"/>
        <v>3328</v>
      </c>
      <c r="N38" s="19"/>
      <c r="O38" s="19"/>
      <c r="P38" s="149"/>
      <c r="Q38" s="197"/>
      <c r="R38" s="197"/>
      <c r="S38" s="197"/>
      <c r="T38" s="197"/>
      <c r="U38" s="197"/>
      <c r="V38" s="197"/>
      <c r="W38" s="188">
        <f t="shared" ref="W38:W39" si="34">J38</f>
        <v>931.52</v>
      </c>
      <c r="X38" s="188">
        <f>H38*$M$1</f>
        <v>931.52</v>
      </c>
    </row>
    <row r="39" spans="1:32" s="126" customFormat="1" ht="15" customHeight="1" x14ac:dyDescent="0.25">
      <c r="A39" s="277"/>
      <c r="B39" s="127">
        <v>0</v>
      </c>
      <c r="C39" s="127">
        <v>0</v>
      </c>
      <c r="D39" s="128">
        <f>'Data Ocupacion'!L40</f>
        <v>0</v>
      </c>
      <c r="E39" s="128">
        <f>'Data Ocupacion'!M40</f>
        <v>0</v>
      </c>
      <c r="F39" s="127" t="s">
        <v>122</v>
      </c>
      <c r="G39" s="127">
        <f t="shared" si="29"/>
        <v>0</v>
      </c>
      <c r="H39" s="127">
        <f t="shared" si="30"/>
        <v>0</v>
      </c>
      <c r="I39" s="127">
        <f t="shared" si="31"/>
        <v>0</v>
      </c>
      <c r="J39" s="127">
        <f>G39*K$1</f>
        <v>0</v>
      </c>
      <c r="K39" s="156">
        <f>I39*K$1</f>
        <v>0</v>
      </c>
      <c r="L39" s="127">
        <f t="shared" si="32"/>
        <v>0</v>
      </c>
      <c r="M39" s="127">
        <f t="shared" si="33"/>
        <v>0</v>
      </c>
      <c r="N39" s="19"/>
      <c r="O39" s="19"/>
      <c r="P39" s="149"/>
      <c r="Q39" s="197"/>
      <c r="R39" s="197"/>
      <c r="S39" s="197"/>
      <c r="T39" s="197"/>
      <c r="U39" s="197"/>
      <c r="V39" s="197"/>
      <c r="W39" s="188">
        <f t="shared" si="34"/>
        <v>0</v>
      </c>
      <c r="X39" s="188">
        <f>H39*$K$1</f>
        <v>0</v>
      </c>
    </row>
    <row r="40" spans="1:32" ht="15.95" customHeight="1" thickBot="1" x14ac:dyDescent="0.3">
      <c r="A40" s="277"/>
      <c r="B40" s="127">
        <v>1</v>
      </c>
      <c r="C40" s="127">
        <v>0</v>
      </c>
      <c r="D40" s="278">
        <f>'Data Ocupacion'!L41</f>
        <v>1</v>
      </c>
      <c r="E40" s="128">
        <f>'Data Ocupacion'!M41</f>
        <v>0</v>
      </c>
      <c r="F40" s="127" t="s">
        <v>35</v>
      </c>
      <c r="G40" s="127">
        <f t="shared" si="29"/>
        <v>1</v>
      </c>
      <c r="H40" s="127">
        <f t="shared" si="30"/>
        <v>1</v>
      </c>
      <c r="I40" s="127">
        <f t="shared" si="31"/>
        <v>1</v>
      </c>
      <c r="J40" s="127">
        <f>G40*K$1</f>
        <v>25.4</v>
      </c>
      <c r="K40" s="156">
        <f>I40*K$1</f>
        <v>25.4</v>
      </c>
      <c r="L40" s="127">
        <f t="shared" si="32"/>
        <v>2641.6</v>
      </c>
      <c r="M40" s="127">
        <f t="shared" si="33"/>
        <v>104</v>
      </c>
      <c r="N40" s="19"/>
      <c r="O40" s="19"/>
      <c r="P40" s="149"/>
      <c r="Q40" s="197"/>
      <c r="R40" s="197"/>
      <c r="S40" s="197"/>
      <c r="T40" s="197"/>
      <c r="U40" s="197"/>
      <c r="V40" s="197"/>
      <c r="W40" s="188">
        <f>J40</f>
        <v>25.4</v>
      </c>
      <c r="X40" s="188">
        <f>H40*$K$1</f>
        <v>25.4</v>
      </c>
    </row>
    <row r="41" spans="1:32" ht="15.75" thickBot="1" x14ac:dyDescent="0.3">
      <c r="A41" s="20"/>
      <c r="B41" s="230">
        <f>SUM(B35:B40)</f>
        <v>220</v>
      </c>
      <c r="C41" s="230">
        <f>SUM(C35:C40)</f>
        <v>3</v>
      </c>
      <c r="D41" s="155">
        <f>SUM(D35:D40)</f>
        <v>220</v>
      </c>
      <c r="E41" s="155">
        <f>SUM(E35:E40)</f>
        <v>3</v>
      </c>
      <c r="F41" s="121"/>
      <c r="G41" s="121">
        <f t="shared" ref="G41:M41" si="35">SUM(G35:G40)</f>
        <v>226</v>
      </c>
      <c r="H41" s="121">
        <f t="shared" si="7"/>
        <v>226</v>
      </c>
      <c r="I41" s="121">
        <f t="shared" si="35"/>
        <v>223</v>
      </c>
      <c r="J41" s="122">
        <f t="shared" si="35"/>
        <v>8818.35</v>
      </c>
      <c r="K41" s="121">
        <f t="shared" si="35"/>
        <v>8688.9599999999991</v>
      </c>
      <c r="L41" s="120">
        <f t="shared" si="35"/>
        <v>917108.4</v>
      </c>
      <c r="M41" s="154">
        <f t="shared" si="35"/>
        <v>23192</v>
      </c>
      <c r="N41" s="125">
        <f>'Odometro-Kilometraje'!F81</f>
        <v>9207</v>
      </c>
      <c r="O41" s="21">
        <f>(W41/N41)*100</f>
        <v>95.778755294884334</v>
      </c>
      <c r="P41" s="200"/>
      <c r="Q41" s="187"/>
      <c r="R41" s="187"/>
      <c r="S41" s="187"/>
      <c r="T41" s="187"/>
      <c r="U41" s="187"/>
      <c r="V41" s="187"/>
      <c r="W41" s="201">
        <f>SUM(W35:W40)</f>
        <v>8818.35</v>
      </c>
      <c r="X41" s="201">
        <f>SUM(X35:X40)</f>
        <v>8818.35</v>
      </c>
    </row>
    <row r="42" spans="1:32" x14ac:dyDescent="0.25">
      <c r="A42" s="62">
        <f>A35+1</f>
        <v>45694</v>
      </c>
      <c r="B42" s="127">
        <v>78</v>
      </c>
      <c r="C42" s="127">
        <v>1</v>
      </c>
      <c r="D42" s="128">
        <f>'Data Ocupacion'!N36</f>
        <v>78</v>
      </c>
      <c r="E42" s="128">
        <f>'Data Ocupacion'!O36</f>
        <v>1</v>
      </c>
      <c r="F42" s="284" t="s">
        <v>38</v>
      </c>
      <c r="G42" s="284">
        <f t="shared" ref="G42:G47" si="36">D42+E42*2</f>
        <v>80</v>
      </c>
      <c r="H42" s="127">
        <f t="shared" ref="H42:H47" si="37">B42+C42*2</f>
        <v>80</v>
      </c>
      <c r="I42" s="284">
        <f t="shared" ref="I42:I47" si="38">D42+E42</f>
        <v>79</v>
      </c>
      <c r="J42" s="284">
        <f>G42*M$2</f>
        <v>3450.4</v>
      </c>
      <c r="K42" s="156">
        <f>I42*M$2</f>
        <v>3407.27</v>
      </c>
      <c r="L42" s="284">
        <f t="shared" ref="L42:L47" si="39">J42*104</f>
        <v>358841.60000000003</v>
      </c>
      <c r="M42" s="284">
        <f t="shared" ref="M42:M47" si="40">I42*104</f>
        <v>8216</v>
      </c>
      <c r="N42" s="19"/>
      <c r="O42" s="19"/>
      <c r="P42" s="149"/>
      <c r="Q42" s="189"/>
      <c r="R42" s="189"/>
      <c r="S42" s="216"/>
      <c r="T42" s="198"/>
      <c r="U42" s="228"/>
      <c r="V42" s="146"/>
      <c r="W42" s="188">
        <f>J42-(Q42*($M$2-$K$1)+(R42*($M$2-$M$1))+  (S42*($M$2-$I$2)))</f>
        <v>3450.4</v>
      </c>
      <c r="X42" s="188">
        <f>H42*$M$2</f>
        <v>3450.4</v>
      </c>
    </row>
    <row r="43" spans="1:32" ht="15" customHeight="1" x14ac:dyDescent="0.25">
      <c r="A43" s="227"/>
      <c r="B43" s="127">
        <v>76</v>
      </c>
      <c r="C43" s="127">
        <v>2</v>
      </c>
      <c r="D43" s="128">
        <f>'Data Ocupacion'!N37</f>
        <v>76</v>
      </c>
      <c r="E43" s="128">
        <f>'Data Ocupacion'!O37</f>
        <v>2</v>
      </c>
      <c r="F43" s="284" t="s">
        <v>52</v>
      </c>
      <c r="G43" s="284">
        <f t="shared" si="36"/>
        <v>80</v>
      </c>
      <c r="H43" s="127">
        <f t="shared" si="37"/>
        <v>80</v>
      </c>
      <c r="I43" s="284">
        <f t="shared" si="38"/>
        <v>78</v>
      </c>
      <c r="J43" s="284">
        <f>G43*M$2</f>
        <v>3450.4</v>
      </c>
      <c r="K43" s="156">
        <f>I43*M$2</f>
        <v>3364.1400000000003</v>
      </c>
      <c r="L43" s="284">
        <f t="shared" si="39"/>
        <v>358841.60000000003</v>
      </c>
      <c r="M43" s="284">
        <f t="shared" si="40"/>
        <v>8112</v>
      </c>
      <c r="N43" s="19"/>
      <c r="O43" s="19"/>
      <c r="P43" s="149"/>
      <c r="Q43" s="194"/>
      <c r="R43" s="229"/>
      <c r="S43" s="194"/>
      <c r="T43" s="189"/>
      <c r="U43" s="214"/>
      <c r="V43" s="246"/>
      <c r="W43" s="192">
        <f>J43-(T43*($M$2-$K$1)+(U43*($M$2-$M$1)))</f>
        <v>3450.4</v>
      </c>
      <c r="X43" s="188">
        <f>H42*$M$2</f>
        <v>3450.4</v>
      </c>
    </row>
    <row r="44" spans="1:32" ht="15" customHeight="1" x14ac:dyDescent="0.25">
      <c r="A44" s="227"/>
      <c r="B44" s="127">
        <v>33</v>
      </c>
      <c r="C44" s="127">
        <v>0</v>
      </c>
      <c r="D44" s="128">
        <f>'Data Ocupacion'!N38</f>
        <v>33</v>
      </c>
      <c r="E44" s="128">
        <f>'Data Ocupacion'!O38</f>
        <v>0</v>
      </c>
      <c r="F44" s="284" t="s">
        <v>36</v>
      </c>
      <c r="G44" s="284">
        <f t="shared" si="36"/>
        <v>33</v>
      </c>
      <c r="H44" s="127">
        <f t="shared" si="37"/>
        <v>33</v>
      </c>
      <c r="I44" s="284">
        <f t="shared" si="38"/>
        <v>33</v>
      </c>
      <c r="J44" s="284">
        <f>G44*M$1</f>
        <v>960.63</v>
      </c>
      <c r="K44" s="156">
        <f>I44*M$1</f>
        <v>960.63</v>
      </c>
      <c r="L44" s="284">
        <f t="shared" si="39"/>
        <v>99905.52</v>
      </c>
      <c r="M44" s="284">
        <f t="shared" si="40"/>
        <v>3432</v>
      </c>
      <c r="N44" s="19"/>
      <c r="O44" s="19"/>
      <c r="P44" s="149"/>
      <c r="Q44" s="193"/>
      <c r="R44" s="195"/>
      <c r="S44" s="217"/>
      <c r="T44" s="196"/>
      <c r="U44" s="197"/>
      <c r="V44" s="197"/>
      <c r="W44" s="188">
        <f>J44-(Q44*($M$1-$K$1))</f>
        <v>960.63</v>
      </c>
      <c r="X44" s="188">
        <f>H44*$M$1</f>
        <v>960.63</v>
      </c>
      <c r="Z44" s="279"/>
      <c r="AA44" s="279"/>
      <c r="AB44" s="279"/>
      <c r="AC44" s="279"/>
      <c r="AD44" s="279"/>
      <c r="AE44" s="279"/>
      <c r="AF44" s="279"/>
    </row>
    <row r="45" spans="1:32" x14ac:dyDescent="0.25">
      <c r="A45" s="227"/>
      <c r="B45" s="127">
        <v>32</v>
      </c>
      <c r="C45" s="127">
        <v>0</v>
      </c>
      <c r="D45" s="128">
        <f>'Data Ocupacion'!N39</f>
        <v>32</v>
      </c>
      <c r="E45" s="128">
        <f>'Data Ocupacion'!O39</f>
        <v>0</v>
      </c>
      <c r="F45" s="284" t="s">
        <v>53</v>
      </c>
      <c r="G45" s="284">
        <f t="shared" si="36"/>
        <v>32</v>
      </c>
      <c r="H45" s="127">
        <f t="shared" si="37"/>
        <v>32</v>
      </c>
      <c r="I45" s="284">
        <f t="shared" si="38"/>
        <v>32</v>
      </c>
      <c r="J45" s="284">
        <f>G45*M$1</f>
        <v>931.52</v>
      </c>
      <c r="K45" s="156">
        <f>I45*M$1</f>
        <v>931.52</v>
      </c>
      <c r="L45" s="284">
        <f t="shared" si="39"/>
        <v>96878.080000000002</v>
      </c>
      <c r="M45" s="284">
        <f t="shared" si="40"/>
        <v>3328</v>
      </c>
      <c r="N45" s="19"/>
      <c r="O45" s="19"/>
      <c r="P45" s="149"/>
      <c r="Q45" s="197"/>
      <c r="R45" s="197"/>
      <c r="S45" s="197"/>
      <c r="T45" s="197"/>
      <c r="U45" s="197"/>
      <c r="V45" s="197"/>
      <c r="W45" s="188">
        <f t="shared" ref="W45:W46" si="41">J45</f>
        <v>931.52</v>
      </c>
      <c r="X45" s="188">
        <f>H45*$M$1</f>
        <v>931.52</v>
      </c>
      <c r="Z45" s="279"/>
      <c r="AA45" s="279"/>
      <c r="AB45" s="279"/>
      <c r="AC45" s="279"/>
      <c r="AD45" s="279"/>
      <c r="AE45" s="279"/>
      <c r="AF45" s="279"/>
    </row>
    <row r="46" spans="1:32" s="126" customFormat="1" x14ac:dyDescent="0.25">
      <c r="A46" s="227"/>
      <c r="B46" s="127">
        <v>0</v>
      </c>
      <c r="C46" s="127">
        <v>0</v>
      </c>
      <c r="D46" s="128">
        <f>'Data Ocupacion'!N40</f>
        <v>0</v>
      </c>
      <c r="E46" s="128">
        <f>'Data Ocupacion'!O40</f>
        <v>0</v>
      </c>
      <c r="F46" s="284" t="s">
        <v>122</v>
      </c>
      <c r="G46" s="284">
        <f t="shared" si="36"/>
        <v>0</v>
      </c>
      <c r="H46" s="127">
        <f t="shared" si="37"/>
        <v>0</v>
      </c>
      <c r="I46" s="284">
        <f t="shared" si="38"/>
        <v>0</v>
      </c>
      <c r="J46" s="284">
        <f>G46*K$1</f>
        <v>0</v>
      </c>
      <c r="K46" s="156">
        <f>I46*K$1</f>
        <v>0</v>
      </c>
      <c r="L46" s="284">
        <f t="shared" si="39"/>
        <v>0</v>
      </c>
      <c r="M46" s="284">
        <f t="shared" si="40"/>
        <v>0</v>
      </c>
      <c r="N46" s="19"/>
      <c r="O46" s="19"/>
      <c r="P46" s="149"/>
      <c r="Q46" s="197"/>
      <c r="R46" s="197"/>
      <c r="S46" s="197"/>
      <c r="T46" s="197"/>
      <c r="U46" s="197"/>
      <c r="V46" s="197"/>
      <c r="W46" s="188">
        <f t="shared" si="41"/>
        <v>0</v>
      </c>
      <c r="X46" s="188">
        <f>H46*$K$1</f>
        <v>0</v>
      </c>
      <c r="Z46" s="279"/>
      <c r="AA46" s="279"/>
      <c r="AB46" s="279"/>
      <c r="AC46" s="279"/>
      <c r="AD46" s="279"/>
      <c r="AE46" s="279"/>
      <c r="AF46" s="279"/>
    </row>
    <row r="47" spans="1:32" ht="15.75" thickBot="1" x14ac:dyDescent="0.3">
      <c r="A47" s="185"/>
      <c r="B47" s="127">
        <v>1</v>
      </c>
      <c r="C47" s="127">
        <v>0</v>
      </c>
      <c r="D47" s="128">
        <f>'Data Ocupacion'!N41</f>
        <v>1</v>
      </c>
      <c r="E47" s="128">
        <f>'Data Ocupacion'!O41</f>
        <v>0</v>
      </c>
      <c r="F47" s="284" t="s">
        <v>35</v>
      </c>
      <c r="G47" s="284">
        <f t="shared" si="36"/>
        <v>1</v>
      </c>
      <c r="H47" s="127">
        <f t="shared" si="37"/>
        <v>1</v>
      </c>
      <c r="I47" s="284">
        <f t="shared" si="38"/>
        <v>1</v>
      </c>
      <c r="J47" s="284">
        <f>G47*K$1</f>
        <v>25.4</v>
      </c>
      <c r="K47" s="156">
        <f>I47*K$1</f>
        <v>25.4</v>
      </c>
      <c r="L47" s="284">
        <f t="shared" si="39"/>
        <v>2641.6</v>
      </c>
      <c r="M47" s="284">
        <f t="shared" si="40"/>
        <v>104</v>
      </c>
      <c r="N47" s="19"/>
      <c r="O47" s="19"/>
      <c r="P47" s="149"/>
      <c r="Q47" s="197"/>
      <c r="R47" s="197"/>
      <c r="S47" s="197"/>
      <c r="T47" s="197"/>
      <c r="U47" s="197"/>
      <c r="V47" s="197"/>
      <c r="W47" s="188">
        <f>J47</f>
        <v>25.4</v>
      </c>
      <c r="X47" s="188">
        <f>H47*$K$1</f>
        <v>25.4</v>
      </c>
      <c r="Z47" s="279"/>
      <c r="AA47" s="279"/>
      <c r="AB47" s="279"/>
      <c r="AC47" s="279"/>
      <c r="AD47" s="279"/>
      <c r="AE47" s="279"/>
      <c r="AF47" s="279"/>
    </row>
    <row r="48" spans="1:32" ht="15.75" thickBot="1" x14ac:dyDescent="0.3">
      <c r="A48" s="208"/>
      <c r="B48" s="230">
        <f>SUM(B42:B47)</f>
        <v>220</v>
      </c>
      <c r="C48" s="230">
        <f>SUM(C42:C47)</f>
        <v>3</v>
      </c>
      <c r="D48" s="155">
        <f>SUM(D42:D47)</f>
        <v>220</v>
      </c>
      <c r="E48" s="155">
        <f>SUM(E42:E47)</f>
        <v>3</v>
      </c>
      <c r="F48" s="121"/>
      <c r="G48" s="121">
        <f t="shared" ref="G48:M48" si="42">SUM(G42:G47)</f>
        <v>226</v>
      </c>
      <c r="H48" s="121">
        <f t="shared" si="7"/>
        <v>226</v>
      </c>
      <c r="I48" s="121">
        <f t="shared" si="42"/>
        <v>223</v>
      </c>
      <c r="J48" s="122">
        <f t="shared" si="42"/>
        <v>8818.35</v>
      </c>
      <c r="K48" s="121">
        <f t="shared" si="42"/>
        <v>8688.9599999999991</v>
      </c>
      <c r="L48" s="120">
        <f t="shared" si="42"/>
        <v>917108.4</v>
      </c>
      <c r="M48" s="154">
        <f t="shared" si="42"/>
        <v>23192</v>
      </c>
      <c r="N48" s="125">
        <f>'Odometro-Kilometraje'!G81</f>
        <v>9301</v>
      </c>
      <c r="O48" s="21">
        <f>(W48/N48)*100</f>
        <v>94.81077303515751</v>
      </c>
      <c r="P48" s="200"/>
      <c r="Q48" s="187"/>
      <c r="R48" s="187"/>
      <c r="S48" s="187"/>
      <c r="T48" s="187"/>
      <c r="U48" s="187"/>
      <c r="V48" s="187"/>
      <c r="W48" s="201">
        <f>SUM(W42:W47)</f>
        <v>8818.35</v>
      </c>
      <c r="X48" s="201">
        <f>SUM(X42:X47)</f>
        <v>8818.35</v>
      </c>
      <c r="Z48" s="279"/>
      <c r="AA48" s="279"/>
      <c r="AB48" s="279"/>
      <c r="AC48" s="279"/>
      <c r="AD48" s="279"/>
      <c r="AE48" s="279"/>
      <c r="AF48" s="279"/>
    </row>
    <row r="49" spans="1:65" x14ac:dyDescent="0.25">
      <c r="A49" s="62">
        <f>A42+1</f>
        <v>45695</v>
      </c>
      <c r="B49" s="127">
        <v>78</v>
      </c>
      <c r="C49" s="127">
        <v>1</v>
      </c>
      <c r="D49" s="128">
        <f>'Data Ocupacion'!P36</f>
        <v>78</v>
      </c>
      <c r="E49" s="128">
        <f>'Data Ocupacion'!Q36</f>
        <v>1</v>
      </c>
      <c r="F49" s="285" t="s">
        <v>38</v>
      </c>
      <c r="G49" s="286">
        <f t="shared" ref="G49:G54" si="43">D49+E49*2</f>
        <v>80</v>
      </c>
      <c r="H49" s="127">
        <f t="shared" ref="H49:H54" si="44">B49+C49*2</f>
        <v>80</v>
      </c>
      <c r="I49" s="287">
        <f t="shared" ref="I49:I54" si="45">D49+E49</f>
        <v>79</v>
      </c>
      <c r="J49" s="287">
        <f>G49*M$2</f>
        <v>3450.4</v>
      </c>
      <c r="K49" s="156">
        <f>I49*M$2</f>
        <v>3407.27</v>
      </c>
      <c r="L49" s="284">
        <f t="shared" ref="L49:L54" si="46">J49*104</f>
        <v>358841.60000000003</v>
      </c>
      <c r="M49" s="284">
        <f t="shared" ref="M49:M54" si="47">I49*104</f>
        <v>8216</v>
      </c>
      <c r="N49" s="19"/>
      <c r="O49" s="19"/>
      <c r="P49" s="149"/>
      <c r="Q49" s="189"/>
      <c r="R49" s="189"/>
      <c r="S49" s="216"/>
      <c r="T49" s="198"/>
      <c r="U49" s="199"/>
      <c r="V49" s="245"/>
      <c r="W49" s="188">
        <f>J49-(Q49*($M$2-$K$1)+(R49*($M$2-$M$1))+  (S49*($M$2-$I$2)))</f>
        <v>3450.4</v>
      </c>
      <c r="X49" s="188">
        <f>H49*$M$2</f>
        <v>3450.4</v>
      </c>
      <c r="Z49" s="279"/>
      <c r="AA49" s="279"/>
      <c r="AB49" s="279"/>
      <c r="AC49" s="279"/>
      <c r="AD49" s="279"/>
      <c r="AE49" s="279"/>
      <c r="AF49" s="279"/>
    </row>
    <row r="50" spans="1:65" ht="15" customHeight="1" x14ac:dyDescent="0.25">
      <c r="A50" s="185"/>
      <c r="B50" s="127">
        <v>76</v>
      </c>
      <c r="C50" s="127">
        <v>2</v>
      </c>
      <c r="D50" s="128">
        <f>'Data Ocupacion'!P37</f>
        <v>76</v>
      </c>
      <c r="E50" s="128">
        <f>'Data Ocupacion'!Q37</f>
        <v>2</v>
      </c>
      <c r="F50" s="285" t="s">
        <v>52</v>
      </c>
      <c r="G50" s="286">
        <f t="shared" si="43"/>
        <v>80</v>
      </c>
      <c r="H50" s="127">
        <f t="shared" si="44"/>
        <v>80</v>
      </c>
      <c r="I50" s="284">
        <f t="shared" si="45"/>
        <v>78</v>
      </c>
      <c r="J50" s="284">
        <f>G50*M$2</f>
        <v>3450.4</v>
      </c>
      <c r="K50" s="156">
        <f>I50*M$2</f>
        <v>3364.1400000000003</v>
      </c>
      <c r="L50" s="284">
        <f t="shared" si="46"/>
        <v>358841.60000000003</v>
      </c>
      <c r="M50" s="284">
        <f t="shared" si="47"/>
        <v>8112</v>
      </c>
      <c r="N50" s="19"/>
      <c r="O50" s="19"/>
      <c r="P50" s="149"/>
      <c r="Q50" s="194"/>
      <c r="R50" s="194"/>
      <c r="S50" s="194"/>
      <c r="T50" s="189"/>
      <c r="U50" s="214"/>
      <c r="V50" s="246"/>
      <c r="W50" s="192">
        <f>J50-(T50*($M$2-$K$1)+(U50*($M$2-$M$1)))</f>
        <v>3450.4</v>
      </c>
      <c r="X50" s="188">
        <f>H49*$M$2</f>
        <v>3450.4</v>
      </c>
    </row>
    <row r="51" spans="1:65" ht="16.5" customHeight="1" x14ac:dyDescent="0.25">
      <c r="A51" s="185"/>
      <c r="B51" s="127">
        <v>33</v>
      </c>
      <c r="C51" s="127">
        <v>0</v>
      </c>
      <c r="D51" s="128">
        <f>'Data Ocupacion'!P38</f>
        <v>33</v>
      </c>
      <c r="E51" s="128">
        <f>'Data Ocupacion'!Q38</f>
        <v>0</v>
      </c>
      <c r="F51" s="285" t="s">
        <v>36</v>
      </c>
      <c r="G51" s="286">
        <f t="shared" si="43"/>
        <v>33</v>
      </c>
      <c r="H51" s="127">
        <f t="shared" si="44"/>
        <v>33</v>
      </c>
      <c r="I51" s="284">
        <f t="shared" si="45"/>
        <v>33</v>
      </c>
      <c r="J51" s="284">
        <f>G51*M$1</f>
        <v>960.63</v>
      </c>
      <c r="K51" s="156">
        <f>I51*M$1</f>
        <v>960.63</v>
      </c>
      <c r="L51" s="284">
        <f t="shared" si="46"/>
        <v>99905.52</v>
      </c>
      <c r="M51" s="284">
        <f t="shared" si="47"/>
        <v>3432</v>
      </c>
      <c r="N51" s="19"/>
      <c r="O51" s="19"/>
      <c r="P51" s="149"/>
      <c r="Q51" s="194"/>
      <c r="R51" s="195"/>
      <c r="S51" s="217"/>
      <c r="T51" s="196"/>
      <c r="U51" s="197"/>
      <c r="V51" s="197"/>
      <c r="W51" s="188">
        <f>J51-(Q51*($M$1-$K$1))</f>
        <v>960.63</v>
      </c>
      <c r="X51" s="188">
        <f>H51*$M$1</f>
        <v>960.63</v>
      </c>
    </row>
    <row r="52" spans="1:65" x14ac:dyDescent="0.25">
      <c r="A52" s="185"/>
      <c r="B52" s="127">
        <v>32</v>
      </c>
      <c r="C52" s="127">
        <v>0</v>
      </c>
      <c r="D52" s="128">
        <f>'Data Ocupacion'!P39</f>
        <v>32</v>
      </c>
      <c r="E52" s="128">
        <f>'Data Ocupacion'!Q39</f>
        <v>0</v>
      </c>
      <c r="F52" s="285" t="s">
        <v>53</v>
      </c>
      <c r="G52" s="286">
        <f t="shared" si="43"/>
        <v>32</v>
      </c>
      <c r="H52" s="127">
        <f t="shared" si="44"/>
        <v>32</v>
      </c>
      <c r="I52" s="284">
        <f t="shared" si="45"/>
        <v>32</v>
      </c>
      <c r="J52" s="284">
        <f>G52*M$1</f>
        <v>931.52</v>
      </c>
      <c r="K52" s="156">
        <f>I52*M$1</f>
        <v>931.52</v>
      </c>
      <c r="L52" s="284">
        <f t="shared" si="46"/>
        <v>96878.080000000002</v>
      </c>
      <c r="M52" s="284">
        <f t="shared" si="47"/>
        <v>3328</v>
      </c>
      <c r="N52" s="19"/>
      <c r="O52" s="19"/>
      <c r="P52" s="149"/>
      <c r="Q52" s="197"/>
      <c r="R52" s="197"/>
      <c r="S52" s="197"/>
      <c r="T52" s="197"/>
      <c r="U52" s="197"/>
      <c r="V52" s="197"/>
      <c r="W52" s="188">
        <f t="shared" ref="W52:W53" si="48">J52</f>
        <v>931.52</v>
      </c>
      <c r="X52" s="188">
        <f>H52*$M$1</f>
        <v>931.52</v>
      </c>
    </row>
    <row r="53" spans="1:65" s="126" customFormat="1" x14ac:dyDescent="0.25">
      <c r="A53" s="185"/>
      <c r="B53" s="127">
        <v>0</v>
      </c>
      <c r="C53" s="127">
        <v>0</v>
      </c>
      <c r="D53" s="128">
        <f>'Data Ocupacion'!P40</f>
        <v>0</v>
      </c>
      <c r="E53" s="128">
        <f>'Data Ocupacion'!Q40</f>
        <v>0</v>
      </c>
      <c r="F53" s="285" t="s">
        <v>122</v>
      </c>
      <c r="G53" s="286">
        <f t="shared" si="43"/>
        <v>0</v>
      </c>
      <c r="H53" s="127">
        <f t="shared" si="44"/>
        <v>0</v>
      </c>
      <c r="I53" s="284">
        <f t="shared" si="45"/>
        <v>0</v>
      </c>
      <c r="J53" s="288">
        <f>G53*K$1</f>
        <v>0</v>
      </c>
      <c r="K53" s="156">
        <f>I53*K$1</f>
        <v>0</v>
      </c>
      <c r="L53" s="284">
        <f t="shared" si="46"/>
        <v>0</v>
      </c>
      <c r="M53" s="284">
        <f t="shared" si="47"/>
        <v>0</v>
      </c>
      <c r="N53" s="19"/>
      <c r="O53" s="19"/>
      <c r="P53" s="149"/>
      <c r="Q53" s="197"/>
      <c r="R53" s="197"/>
      <c r="S53" s="197"/>
      <c r="T53" s="197"/>
      <c r="U53" s="197"/>
      <c r="V53" s="197"/>
      <c r="W53" s="188">
        <f t="shared" si="48"/>
        <v>0</v>
      </c>
      <c r="X53" s="188">
        <f>H53*$K$1</f>
        <v>0</v>
      </c>
    </row>
    <row r="54" spans="1:65" ht="15.75" thickBot="1" x14ac:dyDescent="0.3">
      <c r="A54" s="185"/>
      <c r="B54" s="127">
        <v>1</v>
      </c>
      <c r="C54" s="127">
        <v>0</v>
      </c>
      <c r="D54" s="128">
        <f>'Data Ocupacion'!P41</f>
        <v>1</v>
      </c>
      <c r="E54" s="128">
        <f>'Data Ocupacion'!Q41</f>
        <v>0</v>
      </c>
      <c r="F54" s="285" t="s">
        <v>35</v>
      </c>
      <c r="G54" s="286">
        <f t="shared" si="43"/>
        <v>1</v>
      </c>
      <c r="H54" s="127">
        <f t="shared" si="44"/>
        <v>1</v>
      </c>
      <c r="I54" s="289">
        <f t="shared" si="45"/>
        <v>1</v>
      </c>
      <c r="J54" s="289">
        <f>G54*K$1</f>
        <v>25.4</v>
      </c>
      <c r="K54" s="156">
        <f>I54*K$1</f>
        <v>25.4</v>
      </c>
      <c r="L54" s="284">
        <f t="shared" si="46"/>
        <v>2641.6</v>
      </c>
      <c r="M54" s="284">
        <f t="shared" si="47"/>
        <v>104</v>
      </c>
      <c r="N54" s="19"/>
      <c r="O54" s="19"/>
      <c r="P54" s="149"/>
      <c r="Q54" s="197"/>
      <c r="R54" s="197"/>
      <c r="S54" s="197"/>
      <c r="T54" s="197"/>
      <c r="U54" s="197"/>
      <c r="V54" s="197"/>
      <c r="W54" s="188">
        <f>J54</f>
        <v>25.4</v>
      </c>
      <c r="X54" s="188">
        <f>H54*$K$1</f>
        <v>25.4</v>
      </c>
    </row>
    <row r="55" spans="1:65" ht="18" customHeight="1" thickBot="1" x14ac:dyDescent="0.3">
      <c r="A55" s="20"/>
      <c r="B55" s="230">
        <f>SUM(B49:B54)</f>
        <v>220</v>
      </c>
      <c r="C55" s="230">
        <f>SUM(C49:C54)</f>
        <v>3</v>
      </c>
      <c r="D55" s="151">
        <f>SUM(D49:D54)</f>
        <v>220</v>
      </c>
      <c r="E55" s="151">
        <f>SUM(E49:E54)</f>
        <v>3</v>
      </c>
      <c r="F55" s="121"/>
      <c r="G55" s="121">
        <f t="shared" ref="G55:M55" si="49">SUM(G49:G54)</f>
        <v>226</v>
      </c>
      <c r="H55" s="121">
        <f t="shared" si="7"/>
        <v>226</v>
      </c>
      <c r="I55" s="121">
        <f t="shared" si="49"/>
        <v>223</v>
      </c>
      <c r="J55" s="122">
        <f t="shared" si="49"/>
        <v>8818.35</v>
      </c>
      <c r="K55" s="121">
        <f t="shared" si="49"/>
        <v>8688.9599999999991</v>
      </c>
      <c r="L55" s="121">
        <f t="shared" si="49"/>
        <v>917108.4</v>
      </c>
      <c r="M55" s="121">
        <f t="shared" si="49"/>
        <v>23192</v>
      </c>
      <c r="N55" s="125">
        <f>'Odometro-Kilometraje'!H81</f>
        <v>9173</v>
      </c>
      <c r="O55" s="21">
        <f>(W55/N55)*100</f>
        <v>96.133762127984298</v>
      </c>
      <c r="P55" s="200"/>
      <c r="Q55" s="187"/>
      <c r="R55" s="187"/>
      <c r="S55" s="187"/>
      <c r="T55" s="187"/>
      <c r="U55" s="187"/>
      <c r="V55" s="187"/>
      <c r="W55" s="201">
        <f>SUM(W49:W54)</f>
        <v>8818.35</v>
      </c>
      <c r="X55" s="201">
        <f>SUM(X49:X54)</f>
        <v>8818.35</v>
      </c>
    </row>
    <row r="56" spans="1:65" x14ac:dyDescent="0.25">
      <c r="A56" s="62">
        <f>A49+1</f>
        <v>45696</v>
      </c>
      <c r="B56" s="118">
        <v>61</v>
      </c>
      <c r="C56" s="118">
        <v>6</v>
      </c>
      <c r="D56" s="150">
        <f>'Data Ocupacion'!R36</f>
        <v>61</v>
      </c>
      <c r="E56" s="150">
        <f>'Data Ocupacion'!S36</f>
        <v>6</v>
      </c>
      <c r="F56" s="118" t="s">
        <v>38</v>
      </c>
      <c r="G56" s="118">
        <f t="shared" ref="G56:G61" si="50">D56+E56*2</f>
        <v>73</v>
      </c>
      <c r="H56" s="118">
        <f t="shared" ref="H56:H61" si="51">B56+C56*2</f>
        <v>73</v>
      </c>
      <c r="I56" s="118">
        <f t="shared" ref="I56:I61" si="52">D56+E56</f>
        <v>67</v>
      </c>
      <c r="J56" s="118">
        <f>G56*M$2</f>
        <v>3148.4900000000002</v>
      </c>
      <c r="K56" s="156">
        <f>I56*M$2</f>
        <v>2889.71</v>
      </c>
      <c r="L56" s="118">
        <f t="shared" ref="L56:L61" si="53">J56*104</f>
        <v>327442.96000000002</v>
      </c>
      <c r="M56" s="118">
        <f t="shared" ref="M56:M61" si="54">I56*104</f>
        <v>6968</v>
      </c>
      <c r="N56" s="19"/>
      <c r="O56" s="19"/>
      <c r="P56" s="149"/>
      <c r="Q56" s="263"/>
      <c r="R56" s="189"/>
      <c r="S56" s="216"/>
      <c r="T56" s="211"/>
      <c r="U56" s="199"/>
      <c r="V56" s="245"/>
      <c r="W56" s="188">
        <f>J56-(Q56*($M$2-$K$1)+(R56*($M$2-$M$1))+  (S56*($M$2-$I$2))+(T56*$K$1))</f>
        <v>3148.4900000000002</v>
      </c>
      <c r="X56" s="188">
        <f>H56*$M$2</f>
        <v>3148.4900000000002</v>
      </c>
    </row>
    <row r="57" spans="1:65" ht="15" customHeight="1" x14ac:dyDescent="0.25">
      <c r="A57" s="339" t="s">
        <v>171</v>
      </c>
      <c r="B57" s="118">
        <v>69</v>
      </c>
      <c r="C57" s="118">
        <v>2</v>
      </c>
      <c r="D57" s="150">
        <f>'Data Ocupacion'!R37</f>
        <v>69</v>
      </c>
      <c r="E57" s="150">
        <f>'Data Ocupacion'!S37</f>
        <v>2</v>
      </c>
      <c r="F57" s="118" t="s">
        <v>52</v>
      </c>
      <c r="G57" s="118">
        <f t="shared" si="50"/>
        <v>73</v>
      </c>
      <c r="H57" s="118">
        <f t="shared" si="51"/>
        <v>73</v>
      </c>
      <c r="I57" s="118">
        <f t="shared" si="52"/>
        <v>71</v>
      </c>
      <c r="J57" s="118">
        <f>G57*M$2</f>
        <v>3148.4900000000002</v>
      </c>
      <c r="K57" s="156">
        <f>I57*M$2</f>
        <v>3062.23</v>
      </c>
      <c r="L57" s="118">
        <f t="shared" si="53"/>
        <v>327442.96000000002</v>
      </c>
      <c r="M57" s="118">
        <f t="shared" si="54"/>
        <v>7384</v>
      </c>
      <c r="N57" s="19"/>
      <c r="O57" s="19"/>
      <c r="P57" s="149"/>
      <c r="Q57" s="194" t="s">
        <v>147</v>
      </c>
      <c r="R57" s="194"/>
      <c r="S57" s="194"/>
      <c r="T57" s="189"/>
      <c r="U57" s="191"/>
      <c r="V57" s="246"/>
      <c r="W57" s="192">
        <f>J57-(T57*($M$2-$K$1)+(U57*($M$2-$M$1)))</f>
        <v>3148.4900000000002</v>
      </c>
      <c r="X57" s="188">
        <f>H56*$M$2</f>
        <v>3148.4900000000002</v>
      </c>
    </row>
    <row r="58" spans="1:65" ht="15" customHeight="1" x14ac:dyDescent="0.25">
      <c r="A58" s="339"/>
      <c r="B58" s="118">
        <v>0</v>
      </c>
      <c r="C58" s="118">
        <v>0</v>
      </c>
      <c r="D58" s="150">
        <f>'Data Ocupacion'!R38</f>
        <v>0</v>
      </c>
      <c r="E58" s="150">
        <f>'Data Ocupacion'!S38</f>
        <v>0</v>
      </c>
      <c r="F58" s="118" t="s">
        <v>36</v>
      </c>
      <c r="G58" s="118">
        <f t="shared" si="50"/>
        <v>0</v>
      </c>
      <c r="H58" s="118">
        <f t="shared" si="51"/>
        <v>0</v>
      </c>
      <c r="I58" s="118">
        <f t="shared" si="52"/>
        <v>0</v>
      </c>
      <c r="J58" s="118">
        <f>G58*M$1</f>
        <v>0</v>
      </c>
      <c r="K58" s="156">
        <f>I58*M$1</f>
        <v>0</v>
      </c>
      <c r="L58" s="118">
        <f t="shared" si="53"/>
        <v>0</v>
      </c>
      <c r="M58" s="118">
        <f t="shared" si="54"/>
        <v>0</v>
      </c>
      <c r="N58" s="19"/>
      <c r="O58" s="19"/>
      <c r="P58" s="149"/>
      <c r="Q58" s="193"/>
      <c r="R58" s="195"/>
      <c r="S58" s="217"/>
      <c r="T58" s="196"/>
      <c r="U58" s="197"/>
      <c r="V58" s="197"/>
      <c r="W58" s="188">
        <f>J58-(Q58*($M$1-$K$1))</f>
        <v>0</v>
      </c>
      <c r="X58" s="188">
        <f>H58*$M$1</f>
        <v>0</v>
      </c>
    </row>
    <row r="59" spans="1:65" x14ac:dyDescent="0.25">
      <c r="A59" s="339"/>
      <c r="B59" s="118">
        <v>0</v>
      </c>
      <c r="C59" s="118">
        <v>0</v>
      </c>
      <c r="D59" s="150">
        <f>'Data Ocupacion'!R39</f>
        <v>0</v>
      </c>
      <c r="E59" s="150">
        <f>'Data Ocupacion'!S39</f>
        <v>0</v>
      </c>
      <c r="F59" s="118" t="s">
        <v>53</v>
      </c>
      <c r="G59" s="118">
        <f t="shared" si="50"/>
        <v>0</v>
      </c>
      <c r="H59" s="118">
        <f t="shared" si="51"/>
        <v>0</v>
      </c>
      <c r="I59" s="118">
        <f t="shared" si="52"/>
        <v>0</v>
      </c>
      <c r="J59" s="118">
        <f>G59*M$1</f>
        <v>0</v>
      </c>
      <c r="K59" s="156">
        <f>I59*M$1</f>
        <v>0</v>
      </c>
      <c r="L59" s="118">
        <f t="shared" si="53"/>
        <v>0</v>
      </c>
      <c r="M59" s="118">
        <f t="shared" si="54"/>
        <v>0</v>
      </c>
      <c r="N59" s="19"/>
      <c r="O59" s="19"/>
      <c r="P59" s="149"/>
      <c r="Q59" s="197"/>
      <c r="R59" s="197"/>
      <c r="S59" s="197"/>
      <c r="T59" s="197"/>
      <c r="U59" s="197"/>
      <c r="V59" s="197"/>
      <c r="W59" s="188">
        <f t="shared" ref="W59:W60" si="55">J59</f>
        <v>0</v>
      </c>
      <c r="X59" s="188">
        <f>H58*$M$1</f>
        <v>0</v>
      </c>
      <c r="BM59" t="s">
        <v>120</v>
      </c>
    </row>
    <row r="60" spans="1:65" s="126" customFormat="1" ht="15" customHeight="1" x14ac:dyDescent="0.25">
      <c r="A60" s="339"/>
      <c r="B60" s="118">
        <v>0</v>
      </c>
      <c r="C60" s="118">
        <v>0</v>
      </c>
      <c r="D60" s="150">
        <f>'Data Ocupacion'!R40</f>
        <v>0</v>
      </c>
      <c r="E60" s="150">
        <f>'Data Ocupacion'!S40</f>
        <v>0</v>
      </c>
      <c r="F60" s="118" t="s">
        <v>122</v>
      </c>
      <c r="G60" s="118">
        <f t="shared" si="50"/>
        <v>0</v>
      </c>
      <c r="H60" s="118">
        <f t="shared" si="51"/>
        <v>0</v>
      </c>
      <c r="I60" s="118">
        <f t="shared" si="52"/>
        <v>0</v>
      </c>
      <c r="J60" s="118">
        <f>G60*K$1</f>
        <v>0</v>
      </c>
      <c r="K60" s="156">
        <f>I60*K$1</f>
        <v>0</v>
      </c>
      <c r="L60" s="118">
        <f t="shared" si="53"/>
        <v>0</v>
      </c>
      <c r="M60" s="118">
        <f t="shared" si="54"/>
        <v>0</v>
      </c>
      <c r="N60" s="19"/>
      <c r="O60" s="19"/>
      <c r="P60" s="149"/>
      <c r="Q60" s="197"/>
      <c r="R60" s="197"/>
      <c r="S60" s="197"/>
      <c r="T60" s="197"/>
      <c r="U60" s="197"/>
      <c r="V60" s="197"/>
      <c r="W60" s="188">
        <f t="shared" si="55"/>
        <v>0</v>
      </c>
      <c r="X60" s="188">
        <f>H59*$K$1</f>
        <v>0</v>
      </c>
    </row>
    <row r="61" spans="1:65" ht="15.75" thickBot="1" x14ac:dyDescent="0.3">
      <c r="A61" s="339"/>
      <c r="B61" s="118">
        <v>0</v>
      </c>
      <c r="C61" s="118">
        <v>0</v>
      </c>
      <c r="D61" s="150">
        <f>'Data Ocupacion'!R41</f>
        <v>0</v>
      </c>
      <c r="E61" s="150">
        <f>'Data Ocupacion'!S41</f>
        <v>0</v>
      </c>
      <c r="F61" s="118" t="s">
        <v>35</v>
      </c>
      <c r="G61" s="118">
        <f t="shared" si="50"/>
        <v>0</v>
      </c>
      <c r="H61" s="118">
        <f t="shared" si="51"/>
        <v>0</v>
      </c>
      <c r="I61" s="118">
        <f t="shared" si="52"/>
        <v>0</v>
      </c>
      <c r="J61" s="118">
        <f>G61*K$1</f>
        <v>0</v>
      </c>
      <c r="K61" s="156">
        <f>I61*K$1</f>
        <v>0</v>
      </c>
      <c r="L61" s="118">
        <f t="shared" si="53"/>
        <v>0</v>
      </c>
      <c r="M61" s="118">
        <f t="shared" si="54"/>
        <v>0</v>
      </c>
      <c r="N61" s="19"/>
      <c r="O61" s="19"/>
      <c r="P61" s="149"/>
      <c r="Q61" s="197"/>
      <c r="R61" s="197"/>
      <c r="S61" s="197"/>
      <c r="T61" s="197"/>
      <c r="U61" s="197"/>
      <c r="V61" s="197"/>
      <c r="W61" s="188">
        <f>J61</f>
        <v>0</v>
      </c>
      <c r="X61" s="188">
        <f>H60*$K$1</f>
        <v>0</v>
      </c>
    </row>
    <row r="62" spans="1:65" ht="15.75" thickBot="1" x14ac:dyDescent="0.3">
      <c r="A62" s="20"/>
      <c r="B62" s="230">
        <f>SUM(B56:B61)</f>
        <v>130</v>
      </c>
      <c r="C62" s="230">
        <f>SUM(C56:C61)</f>
        <v>8</v>
      </c>
      <c r="D62" s="155">
        <f>SUM(D56:D61)</f>
        <v>130</v>
      </c>
      <c r="E62" s="155">
        <f>SUM(E56:E61)</f>
        <v>8</v>
      </c>
      <c r="F62" s="121"/>
      <c r="G62" s="121">
        <f t="shared" ref="G62:M62" si="56">SUM(G56:G61)</f>
        <v>146</v>
      </c>
      <c r="H62" s="121">
        <f t="shared" si="7"/>
        <v>146</v>
      </c>
      <c r="I62" s="121">
        <f t="shared" si="56"/>
        <v>138</v>
      </c>
      <c r="J62" s="122">
        <f t="shared" si="56"/>
        <v>6296.9800000000005</v>
      </c>
      <c r="K62" s="121">
        <f t="shared" si="56"/>
        <v>5951.9400000000005</v>
      </c>
      <c r="L62" s="120">
        <f t="shared" si="56"/>
        <v>654885.92000000004</v>
      </c>
      <c r="M62" s="154">
        <f t="shared" si="56"/>
        <v>14352</v>
      </c>
      <c r="N62" s="125">
        <f>'Odometro-Kilometraje'!I81</f>
        <v>6414</v>
      </c>
      <c r="O62" s="21">
        <f>(W62/N62)*100</f>
        <v>98.175553476769579</v>
      </c>
      <c r="P62" s="200"/>
      <c r="Q62" s="187"/>
      <c r="R62" s="187"/>
      <c r="S62" s="187"/>
      <c r="T62" s="187"/>
      <c r="U62" s="187"/>
      <c r="V62" s="187"/>
      <c r="W62" s="201">
        <f>SUM(W56:W61)</f>
        <v>6296.9800000000005</v>
      </c>
      <c r="X62" s="201">
        <f>SUM(X56:X61)</f>
        <v>6296.9800000000005</v>
      </c>
    </row>
    <row r="63" spans="1:65" x14ac:dyDescent="0.25">
      <c r="A63" s="62">
        <f>A56+1</f>
        <v>45697</v>
      </c>
      <c r="B63" s="231">
        <v>0</v>
      </c>
      <c r="C63" s="231">
        <v>25</v>
      </c>
      <c r="D63" s="140">
        <f>'Data Ocupacion'!T36</f>
        <v>0</v>
      </c>
      <c r="E63" s="140">
        <f>'Data Ocupacion'!U36</f>
        <v>25</v>
      </c>
      <c r="F63" s="231" t="s">
        <v>38</v>
      </c>
      <c r="G63" s="231">
        <f t="shared" ref="G63:G68" si="57">D63+E63*2</f>
        <v>50</v>
      </c>
      <c r="H63" s="231">
        <f t="shared" ref="H63:H68" si="58">B63+C63*2</f>
        <v>50</v>
      </c>
      <c r="I63" s="231">
        <f t="shared" ref="I63:I68" si="59">D63+E63</f>
        <v>25</v>
      </c>
      <c r="J63" s="231">
        <f>G63*M$2</f>
        <v>2156.5</v>
      </c>
      <c r="K63" s="156">
        <f>I63*M$2</f>
        <v>1078.25</v>
      </c>
      <c r="L63" s="231">
        <f>J63*104</f>
        <v>224276</v>
      </c>
      <c r="M63" s="231">
        <f t="shared" ref="M63:M68" si="60">I63*104</f>
        <v>2600</v>
      </c>
      <c r="N63" s="19"/>
      <c r="O63" s="19"/>
      <c r="P63" s="149"/>
      <c r="Q63" s="189"/>
      <c r="R63" s="189"/>
      <c r="S63" s="216"/>
      <c r="T63" s="211"/>
      <c r="U63" s="199"/>
      <c r="V63" s="245"/>
      <c r="W63" s="188">
        <f>J63-(Q63*($M$2-$K$1)+(R63*($M$2-$M$1))+  (S63*($M$2-$I$2))+(T63*$K$1))</f>
        <v>2156.5</v>
      </c>
      <c r="X63" s="188">
        <f>H63*$M$2</f>
        <v>2156.5</v>
      </c>
    </row>
    <row r="64" spans="1:65" ht="15" customHeight="1" x14ac:dyDescent="0.25">
      <c r="A64" s="340" t="s">
        <v>172</v>
      </c>
      <c r="B64" s="231">
        <v>2</v>
      </c>
      <c r="C64" s="231">
        <v>25</v>
      </c>
      <c r="D64" s="140">
        <f>'Data Ocupacion'!T37</f>
        <v>2</v>
      </c>
      <c r="E64" s="140">
        <f>'Data Ocupacion'!U37</f>
        <v>25</v>
      </c>
      <c r="F64" s="231" t="s">
        <v>52</v>
      </c>
      <c r="G64" s="231">
        <f t="shared" si="57"/>
        <v>52</v>
      </c>
      <c r="H64" s="231">
        <f t="shared" si="58"/>
        <v>52</v>
      </c>
      <c r="I64" s="231">
        <f t="shared" si="59"/>
        <v>27</v>
      </c>
      <c r="J64" s="231">
        <f>G64*M$2</f>
        <v>2242.7600000000002</v>
      </c>
      <c r="K64" s="156">
        <f>I64*M$2</f>
        <v>1164.51</v>
      </c>
      <c r="L64" s="231">
        <f>J64*104</f>
        <v>233247.04000000004</v>
      </c>
      <c r="M64" s="231">
        <f t="shared" si="60"/>
        <v>2808</v>
      </c>
      <c r="N64" s="19"/>
      <c r="O64" s="19"/>
      <c r="P64" s="149"/>
      <c r="Q64" s="194"/>
      <c r="R64" s="194"/>
      <c r="S64" s="194"/>
      <c r="T64" s="189"/>
      <c r="U64" s="189"/>
      <c r="V64" s="246"/>
      <c r="W64" s="192">
        <f>J64-(T64*($M$2-$K$1)+(U64*($M$2-$M$1)))</f>
        <v>2242.7600000000002</v>
      </c>
      <c r="X64" s="188">
        <f>H64*$M$2</f>
        <v>2242.7600000000002</v>
      </c>
      <c r="Y64" s="254"/>
      <c r="AA64" s="126"/>
      <c r="AB64" s="126"/>
    </row>
    <row r="65" spans="1:25" x14ac:dyDescent="0.25">
      <c r="A65" s="341"/>
      <c r="B65" s="231">
        <v>0</v>
      </c>
      <c r="C65" s="231">
        <v>0</v>
      </c>
      <c r="D65" s="140">
        <f>'Data Ocupacion'!T38</f>
        <v>0</v>
      </c>
      <c r="E65" s="140">
        <f>'Data Ocupacion'!U38</f>
        <v>0</v>
      </c>
      <c r="F65" s="231" t="s">
        <v>36</v>
      </c>
      <c r="G65" s="231">
        <f t="shared" si="57"/>
        <v>0</v>
      </c>
      <c r="H65" s="231">
        <f t="shared" si="58"/>
        <v>0</v>
      </c>
      <c r="I65" s="231">
        <f t="shared" si="59"/>
        <v>0</v>
      </c>
      <c r="J65" s="231">
        <f>G65*M$1</f>
        <v>0</v>
      </c>
      <c r="K65" s="156">
        <f>I65*M$1</f>
        <v>0</v>
      </c>
      <c r="L65" s="231">
        <f>J65*104</f>
        <v>0</v>
      </c>
      <c r="M65" s="231">
        <f t="shared" si="60"/>
        <v>0</v>
      </c>
      <c r="N65" s="19"/>
      <c r="O65" s="19"/>
      <c r="P65" s="149"/>
      <c r="Q65" s="193"/>
      <c r="R65" s="195"/>
      <c r="S65" s="217"/>
      <c r="T65" s="196"/>
      <c r="U65" s="197"/>
      <c r="V65" s="197"/>
      <c r="W65" s="188">
        <f>J65-(Q65*($M$1-$K$1))</f>
        <v>0</v>
      </c>
      <c r="X65" s="188">
        <f>H65*$M$1</f>
        <v>0</v>
      </c>
      <c r="Y65" s="254"/>
    </row>
    <row r="66" spans="1:25" x14ac:dyDescent="0.25">
      <c r="A66" s="341"/>
      <c r="B66" s="231">
        <v>0</v>
      </c>
      <c r="C66" s="231">
        <v>0</v>
      </c>
      <c r="D66" s="140">
        <f>'Data Ocupacion'!T39</f>
        <v>0</v>
      </c>
      <c r="E66" s="140">
        <f>'Data Ocupacion'!U39</f>
        <v>0</v>
      </c>
      <c r="F66" s="231" t="s">
        <v>53</v>
      </c>
      <c r="G66" s="231">
        <f t="shared" si="57"/>
        <v>0</v>
      </c>
      <c r="H66" s="231">
        <f t="shared" si="58"/>
        <v>0</v>
      </c>
      <c r="I66" s="231">
        <f t="shared" si="59"/>
        <v>0</v>
      </c>
      <c r="J66" s="231">
        <f>G66*M$1</f>
        <v>0</v>
      </c>
      <c r="K66" s="156">
        <f>I66*M$1</f>
        <v>0</v>
      </c>
      <c r="L66" s="231">
        <f>J66*104</f>
        <v>0</v>
      </c>
      <c r="M66" s="231">
        <f t="shared" si="60"/>
        <v>0</v>
      </c>
      <c r="N66" s="19"/>
      <c r="O66" s="19"/>
      <c r="P66" s="149"/>
      <c r="Q66" s="197"/>
      <c r="R66" s="197"/>
      <c r="S66" s="197"/>
      <c r="T66" s="197"/>
      <c r="U66" s="197"/>
      <c r="V66" s="197"/>
      <c r="W66" s="188">
        <f t="shared" ref="W66:W67" si="61">J66</f>
        <v>0</v>
      </c>
      <c r="X66" s="188">
        <f>H65*$M$1</f>
        <v>0</v>
      </c>
    </row>
    <row r="67" spans="1:25" s="126" customFormat="1" x14ac:dyDescent="0.25">
      <c r="A67" s="341"/>
      <c r="B67" s="231">
        <v>0</v>
      </c>
      <c r="C67" s="231">
        <v>0</v>
      </c>
      <c r="D67" s="140">
        <f>'Data Ocupacion'!T40</f>
        <v>0</v>
      </c>
      <c r="E67" s="140">
        <f>'Data Ocupacion'!U40</f>
        <v>0</v>
      </c>
      <c r="F67" s="231" t="s">
        <v>122</v>
      </c>
      <c r="G67" s="231">
        <f t="shared" si="57"/>
        <v>0</v>
      </c>
      <c r="H67" s="231">
        <f t="shared" si="58"/>
        <v>0</v>
      </c>
      <c r="I67" s="231">
        <f t="shared" si="59"/>
        <v>0</v>
      </c>
      <c r="J67" s="231">
        <f>G67*K$1</f>
        <v>0</v>
      </c>
      <c r="K67" s="156">
        <f>I67*K$1</f>
        <v>0</v>
      </c>
      <c r="L67" s="231">
        <f t="shared" ref="L67" si="62">J67*104</f>
        <v>0</v>
      </c>
      <c r="M67" s="231">
        <f t="shared" si="60"/>
        <v>0</v>
      </c>
      <c r="N67" s="19"/>
      <c r="O67" s="19"/>
      <c r="P67" s="149"/>
      <c r="Q67" s="197"/>
      <c r="R67" s="197"/>
      <c r="S67" s="197"/>
      <c r="T67" s="197"/>
      <c r="U67" s="197"/>
      <c r="V67" s="197"/>
      <c r="W67" s="188">
        <f t="shared" si="61"/>
        <v>0</v>
      </c>
      <c r="X67" s="188">
        <f>H66*$K$1</f>
        <v>0</v>
      </c>
    </row>
    <row r="68" spans="1:25" ht="15.75" thickBot="1" x14ac:dyDescent="0.3">
      <c r="A68" s="341"/>
      <c r="B68" s="231">
        <v>0</v>
      </c>
      <c r="C68" s="231">
        <v>0</v>
      </c>
      <c r="D68" s="140">
        <f>'Data Ocupacion'!T41</f>
        <v>0</v>
      </c>
      <c r="E68" s="140">
        <f>'Data Ocupacion'!U41</f>
        <v>0</v>
      </c>
      <c r="F68" s="231" t="s">
        <v>35</v>
      </c>
      <c r="G68" s="231">
        <f t="shared" si="57"/>
        <v>0</v>
      </c>
      <c r="H68" s="231">
        <f t="shared" si="58"/>
        <v>0</v>
      </c>
      <c r="I68" s="231">
        <f t="shared" si="59"/>
        <v>0</v>
      </c>
      <c r="J68" s="231">
        <f>G68*K$1</f>
        <v>0</v>
      </c>
      <c r="K68" s="156">
        <f>I68*K$1</f>
        <v>0</v>
      </c>
      <c r="L68" s="231">
        <f>J68*104</f>
        <v>0</v>
      </c>
      <c r="M68" s="231">
        <f t="shared" si="60"/>
        <v>0</v>
      </c>
      <c r="N68" s="19"/>
      <c r="O68" s="19"/>
      <c r="P68" s="149"/>
      <c r="Q68" s="197"/>
      <c r="R68" s="197"/>
      <c r="S68" s="197"/>
      <c r="T68" s="197"/>
      <c r="U68" s="197"/>
      <c r="V68" s="197"/>
      <c r="W68" s="188">
        <f>J68</f>
        <v>0</v>
      </c>
      <c r="X68" s="188">
        <f>H67*$K$1</f>
        <v>0</v>
      </c>
    </row>
    <row r="69" spans="1:25" s="126" customFormat="1" ht="18.75" customHeight="1" thickBot="1" x14ac:dyDescent="0.3">
      <c r="A69" s="20"/>
      <c r="B69" s="230">
        <f>SUM(B63:B68)</f>
        <v>2</v>
      </c>
      <c r="C69" s="230">
        <f>SUM(C63:C68)</f>
        <v>50</v>
      </c>
      <c r="D69" s="155">
        <f>SUM(D63:D68)</f>
        <v>2</v>
      </c>
      <c r="E69" s="155">
        <f>SUM(E63:E68)</f>
        <v>50</v>
      </c>
      <c r="F69" s="121"/>
      <c r="G69" s="121">
        <f t="shared" ref="G69:M69" si="63">SUM(G63:G68)</f>
        <v>102</v>
      </c>
      <c r="H69" s="121">
        <f t="shared" si="7"/>
        <v>102</v>
      </c>
      <c r="I69" s="121">
        <f t="shared" si="63"/>
        <v>52</v>
      </c>
      <c r="J69" s="122">
        <f t="shared" si="63"/>
        <v>4399.26</v>
      </c>
      <c r="K69" s="121">
        <f t="shared" si="63"/>
        <v>2242.7600000000002</v>
      </c>
      <c r="L69" s="120">
        <f t="shared" si="63"/>
        <v>457523.04000000004</v>
      </c>
      <c r="M69" s="154">
        <f t="shared" si="63"/>
        <v>5408</v>
      </c>
      <c r="N69" s="125">
        <f>'Odometro-Kilometraje'!J81</f>
        <v>4530</v>
      </c>
      <c r="O69" s="21">
        <f>(W69/N69)*100</f>
        <v>97.113907284768217</v>
      </c>
      <c r="P69" s="200"/>
      <c r="Q69" s="187"/>
      <c r="R69" s="187"/>
      <c r="S69" s="187"/>
      <c r="T69" s="187"/>
      <c r="U69" s="187"/>
      <c r="V69" s="187"/>
      <c r="W69" s="201">
        <f>SUM(W63:W68)</f>
        <v>4399.26</v>
      </c>
      <c r="X69" s="201">
        <f>SUM(X63:X68)</f>
        <v>4399.26</v>
      </c>
      <c r="Y69" s="255"/>
    </row>
    <row r="70" spans="1:25" s="126" customFormat="1" x14ac:dyDescent="0.25">
      <c r="A70" s="62">
        <f>A63+1</f>
        <v>45698</v>
      </c>
      <c r="B70" s="127">
        <v>78</v>
      </c>
      <c r="C70" s="127">
        <v>1</v>
      </c>
      <c r="D70" s="128">
        <f>'Data Ocupacion'!V36</f>
        <v>79</v>
      </c>
      <c r="E70" s="128">
        <f>'Data Ocupacion'!W36</f>
        <v>1</v>
      </c>
      <c r="F70" s="235" t="s">
        <v>38</v>
      </c>
      <c r="G70" s="236">
        <f t="shared" ref="G70:G75" si="64">D70+E70*2</f>
        <v>81</v>
      </c>
      <c r="H70" s="127">
        <f t="shared" ref="H70:H75" si="65">B70+C70*2</f>
        <v>80</v>
      </c>
      <c r="I70" s="237">
        <f t="shared" ref="I70:I75" si="66">D70+E70</f>
        <v>80</v>
      </c>
      <c r="J70" s="237">
        <f>G70*M$2</f>
        <v>3493.53</v>
      </c>
      <c r="K70" s="156">
        <f>I70*M$2</f>
        <v>3450.4</v>
      </c>
      <c r="L70" s="127">
        <f t="shared" ref="L70:L75" si="67">J70*104</f>
        <v>363327.12</v>
      </c>
      <c r="M70" s="127">
        <f t="shared" ref="M70:M75" si="68">I70*104</f>
        <v>8320</v>
      </c>
      <c r="N70" s="19"/>
      <c r="O70" s="19"/>
      <c r="P70" s="149"/>
      <c r="Q70" s="189"/>
      <c r="R70" s="189"/>
      <c r="S70" s="216"/>
      <c r="T70" s="198"/>
      <c r="U70" s="199"/>
      <c r="V70" s="245"/>
      <c r="W70" s="188">
        <f>J70-(Q70*($M$2-$K$1)+(R70*($M$2-$M$1))+  (S70*($M$2-$I$2)))</f>
        <v>3493.53</v>
      </c>
      <c r="X70" s="188">
        <f>H70*$M$2</f>
        <v>3450.4</v>
      </c>
    </row>
    <row r="71" spans="1:25" x14ac:dyDescent="0.25">
      <c r="A71" s="185"/>
      <c r="B71" s="127">
        <v>76</v>
      </c>
      <c r="C71" s="127">
        <v>2</v>
      </c>
      <c r="D71" s="128">
        <f>'Data Ocupacion'!V37</f>
        <v>76</v>
      </c>
      <c r="E71" s="128">
        <f>'Data Ocupacion'!W37</f>
        <v>2</v>
      </c>
      <c r="F71" s="235" t="s">
        <v>52</v>
      </c>
      <c r="G71" s="236">
        <f t="shared" si="64"/>
        <v>80</v>
      </c>
      <c r="H71" s="127">
        <f t="shared" si="65"/>
        <v>80</v>
      </c>
      <c r="I71" s="127">
        <f t="shared" si="66"/>
        <v>78</v>
      </c>
      <c r="J71" s="127">
        <f>G71*M$2</f>
        <v>3450.4</v>
      </c>
      <c r="K71" s="156">
        <f>I71*M$2</f>
        <v>3364.1400000000003</v>
      </c>
      <c r="L71" s="127">
        <f t="shared" si="67"/>
        <v>358841.60000000003</v>
      </c>
      <c r="M71" s="127">
        <f t="shared" si="68"/>
        <v>8112</v>
      </c>
      <c r="N71" s="19"/>
      <c r="O71" s="19"/>
      <c r="P71" s="149"/>
      <c r="Q71" s="194"/>
      <c r="R71" s="194"/>
      <c r="S71" s="194"/>
      <c r="T71" s="189"/>
      <c r="U71" s="191"/>
      <c r="V71" s="246"/>
      <c r="W71" s="192">
        <f>J71-(T71*($M$2-$K$1)+(U71*($M$2-$M$1)))</f>
        <v>3450.4</v>
      </c>
      <c r="X71" s="188">
        <f>H71*$M$2</f>
        <v>3450.4</v>
      </c>
    </row>
    <row r="72" spans="1:25" ht="15" customHeight="1" x14ac:dyDescent="0.25">
      <c r="A72" s="185"/>
      <c r="B72" s="127">
        <v>33</v>
      </c>
      <c r="C72" s="127">
        <v>0</v>
      </c>
      <c r="D72" s="128">
        <f>'Data Ocupacion'!V38</f>
        <v>31</v>
      </c>
      <c r="E72" s="128">
        <f>'Data Ocupacion'!W38</f>
        <v>0</v>
      </c>
      <c r="F72" s="235" t="s">
        <v>36</v>
      </c>
      <c r="G72" s="236">
        <f t="shared" si="64"/>
        <v>31</v>
      </c>
      <c r="H72" s="127">
        <f t="shared" si="65"/>
        <v>33</v>
      </c>
      <c r="I72" s="127">
        <f t="shared" si="66"/>
        <v>31</v>
      </c>
      <c r="J72" s="127">
        <f>G72*M$1</f>
        <v>902.41</v>
      </c>
      <c r="K72" s="156">
        <f>I72*M$1</f>
        <v>902.41</v>
      </c>
      <c r="L72" s="127">
        <f t="shared" si="67"/>
        <v>93850.64</v>
      </c>
      <c r="M72" s="127">
        <f t="shared" si="68"/>
        <v>3224</v>
      </c>
      <c r="N72" s="19"/>
      <c r="O72" s="19"/>
      <c r="P72" s="149"/>
      <c r="Q72" s="193"/>
      <c r="R72" s="195"/>
      <c r="S72" s="217"/>
      <c r="T72" s="196"/>
      <c r="U72" s="197"/>
      <c r="V72" s="197"/>
      <c r="W72" s="188">
        <f>J72-(Q72*($M$1-$K$1))</f>
        <v>902.41</v>
      </c>
      <c r="X72" s="188">
        <f>H72*$M$1</f>
        <v>960.63</v>
      </c>
    </row>
    <row r="73" spans="1:25" ht="15" customHeight="1" x14ac:dyDescent="0.25">
      <c r="A73" s="185"/>
      <c r="B73" s="127">
        <v>32</v>
      </c>
      <c r="C73" s="127">
        <v>0</v>
      </c>
      <c r="D73" s="128">
        <f>'Data Ocupacion'!V39</f>
        <v>32</v>
      </c>
      <c r="E73" s="128">
        <f>'Data Ocupacion'!W39</f>
        <v>0</v>
      </c>
      <c r="F73" s="235" t="s">
        <v>53</v>
      </c>
      <c r="G73" s="236">
        <f t="shared" si="64"/>
        <v>32</v>
      </c>
      <c r="H73" s="127">
        <f t="shared" si="65"/>
        <v>32</v>
      </c>
      <c r="I73" s="127">
        <f t="shared" si="66"/>
        <v>32</v>
      </c>
      <c r="J73" s="127">
        <f>G73*M$1</f>
        <v>931.52</v>
      </c>
      <c r="K73" s="156">
        <f>I73*M$1</f>
        <v>931.52</v>
      </c>
      <c r="L73" s="127">
        <f t="shared" si="67"/>
        <v>96878.080000000002</v>
      </c>
      <c r="M73" s="127">
        <f t="shared" si="68"/>
        <v>3328</v>
      </c>
      <c r="N73" s="19"/>
      <c r="O73" s="19"/>
      <c r="P73" s="149"/>
      <c r="Q73" s="197"/>
      <c r="R73" s="197"/>
      <c r="S73" s="197"/>
      <c r="T73" s="197"/>
      <c r="U73" s="197"/>
      <c r="V73" s="197"/>
      <c r="W73" s="188">
        <f t="shared" ref="W73:W74" si="69">J73</f>
        <v>931.52</v>
      </c>
      <c r="X73" s="188">
        <f>H73*$M$1</f>
        <v>931.52</v>
      </c>
    </row>
    <row r="74" spans="1:25" ht="15" customHeight="1" x14ac:dyDescent="0.25">
      <c r="A74" s="185"/>
      <c r="B74" s="127">
        <v>0</v>
      </c>
      <c r="C74" s="127">
        <v>0</v>
      </c>
      <c r="D74" s="128">
        <f>'Data Ocupacion'!V40</f>
        <v>0</v>
      </c>
      <c r="E74" s="128">
        <f>'Data Ocupacion'!W40</f>
        <v>0</v>
      </c>
      <c r="F74" s="235" t="s">
        <v>122</v>
      </c>
      <c r="G74" s="236">
        <f t="shared" si="64"/>
        <v>0</v>
      </c>
      <c r="H74" s="127">
        <f t="shared" si="65"/>
        <v>0</v>
      </c>
      <c r="I74" s="127">
        <f t="shared" si="66"/>
        <v>0</v>
      </c>
      <c r="J74" s="238">
        <f>G74*K$1</f>
        <v>0</v>
      </c>
      <c r="K74" s="156">
        <f>I74*K$1</f>
        <v>0</v>
      </c>
      <c r="L74" s="127">
        <f t="shared" si="67"/>
        <v>0</v>
      </c>
      <c r="M74" s="127">
        <f t="shared" si="68"/>
        <v>0</v>
      </c>
      <c r="N74" s="19"/>
      <c r="O74" s="19"/>
      <c r="P74" s="149"/>
      <c r="Q74" s="197"/>
      <c r="R74" s="197"/>
      <c r="S74" s="197"/>
      <c r="T74" s="197"/>
      <c r="U74" s="197"/>
      <c r="V74" s="197"/>
      <c r="W74" s="188">
        <f t="shared" si="69"/>
        <v>0</v>
      </c>
      <c r="X74" s="188">
        <f>H74*$K$1</f>
        <v>0</v>
      </c>
    </row>
    <row r="75" spans="1:25" ht="14.25" customHeight="1" thickBot="1" x14ac:dyDescent="0.3">
      <c r="A75" s="185"/>
      <c r="B75" s="127">
        <v>1</v>
      </c>
      <c r="C75" s="127">
        <v>0</v>
      </c>
      <c r="D75" s="128">
        <f>'Data Ocupacion'!V41</f>
        <v>1</v>
      </c>
      <c r="E75" s="128">
        <f>'Data Ocupacion'!W41</f>
        <v>0</v>
      </c>
      <c r="F75" s="235" t="s">
        <v>35</v>
      </c>
      <c r="G75" s="236">
        <f t="shared" si="64"/>
        <v>1</v>
      </c>
      <c r="H75" s="127">
        <f t="shared" si="65"/>
        <v>1</v>
      </c>
      <c r="I75" s="239">
        <f t="shared" si="66"/>
        <v>1</v>
      </c>
      <c r="J75" s="239">
        <f>G75*K$1</f>
        <v>25.4</v>
      </c>
      <c r="K75" s="156">
        <f>I75*K$1</f>
        <v>25.4</v>
      </c>
      <c r="L75" s="127">
        <f t="shared" si="67"/>
        <v>2641.6</v>
      </c>
      <c r="M75" s="127">
        <f t="shared" si="68"/>
        <v>104</v>
      </c>
      <c r="N75" s="19"/>
      <c r="O75" s="19"/>
      <c r="P75" s="149"/>
      <c r="Q75" s="197"/>
      <c r="R75" s="197"/>
      <c r="S75" s="197"/>
      <c r="T75" s="197"/>
      <c r="U75" s="197"/>
      <c r="V75" s="197"/>
      <c r="W75" s="188">
        <f>J75</f>
        <v>25.4</v>
      </c>
      <c r="X75" s="188">
        <f>H75*$K$1</f>
        <v>25.4</v>
      </c>
    </row>
    <row r="76" spans="1:25" s="126" customFormat="1" ht="15.75" thickBot="1" x14ac:dyDescent="0.3">
      <c r="A76" s="20"/>
      <c r="B76" s="230">
        <f>SUM(B70:B75)</f>
        <v>220</v>
      </c>
      <c r="C76" s="230">
        <f>SUM(C70:C75)</f>
        <v>3</v>
      </c>
      <c r="D76" s="151">
        <f>SUM(D70:D75)</f>
        <v>219</v>
      </c>
      <c r="E76" s="151">
        <f>SUM(E70:E75)</f>
        <v>3</v>
      </c>
      <c r="F76" s="121"/>
      <c r="G76" s="121">
        <f t="shared" ref="G76:M76" si="70">SUM(G70:G75)</f>
        <v>225</v>
      </c>
      <c r="H76" s="121">
        <f t="shared" ref="H70:H133" si="71">D76+E76*2</f>
        <v>225</v>
      </c>
      <c r="I76" s="121">
        <f t="shared" si="70"/>
        <v>222</v>
      </c>
      <c r="J76" s="122">
        <f t="shared" si="70"/>
        <v>8803.26</v>
      </c>
      <c r="K76" s="121">
        <f t="shared" si="70"/>
        <v>8673.8700000000008</v>
      </c>
      <c r="L76" s="121">
        <f t="shared" si="70"/>
        <v>915539.03999999992</v>
      </c>
      <c r="M76" s="121">
        <f t="shared" si="70"/>
        <v>23088</v>
      </c>
      <c r="N76" s="125">
        <f>'Odometro-Kilometraje'!K81</f>
        <v>9244</v>
      </c>
      <c r="O76" s="21">
        <f>(W76/N76)*100</f>
        <v>95.232150584162696</v>
      </c>
      <c r="P76" s="200"/>
      <c r="Q76" s="187"/>
      <c r="R76" s="187"/>
      <c r="S76" s="187"/>
      <c r="T76" s="187"/>
      <c r="U76" s="187"/>
      <c r="V76" s="187"/>
      <c r="W76" s="201">
        <f>SUM(W70:W75)</f>
        <v>8803.26</v>
      </c>
      <c r="X76" s="201">
        <f>SUM(X70:X75)</f>
        <v>8818.35</v>
      </c>
    </row>
    <row r="77" spans="1:25" x14ac:dyDescent="0.25">
      <c r="A77" s="62">
        <f>A70+1</f>
        <v>45699</v>
      </c>
      <c r="B77" s="127">
        <v>78</v>
      </c>
      <c r="C77" s="127">
        <v>1</v>
      </c>
      <c r="D77" s="128">
        <f>'Data Ocupacion'!X36</f>
        <v>78</v>
      </c>
      <c r="E77" s="128">
        <f>'Data Ocupacion'!Y36</f>
        <v>1</v>
      </c>
      <c r="F77" s="235" t="s">
        <v>38</v>
      </c>
      <c r="G77" s="236">
        <f t="shared" ref="G77:G82" si="72">D77+E77*2</f>
        <v>80</v>
      </c>
      <c r="H77" s="127">
        <f t="shared" ref="H77:H82" si="73">B77+C77*2</f>
        <v>80</v>
      </c>
      <c r="I77" s="237">
        <f t="shared" ref="I77:I82" si="74">D77+E77</f>
        <v>79</v>
      </c>
      <c r="J77" s="237">
        <f>G77*M$2</f>
        <v>3450.4</v>
      </c>
      <c r="K77" s="156">
        <f>I77*M$2</f>
        <v>3407.27</v>
      </c>
      <c r="L77" s="127">
        <f t="shared" ref="L77:L82" si="75">J77*104</f>
        <v>358841.60000000003</v>
      </c>
      <c r="M77" s="127">
        <f t="shared" ref="M77:M82" si="76">I77*104</f>
        <v>8216</v>
      </c>
      <c r="N77" s="19"/>
      <c r="O77" s="19"/>
      <c r="P77" s="149"/>
      <c r="Q77" s="263"/>
      <c r="R77" s="189"/>
      <c r="S77" s="216"/>
      <c r="T77" s="198"/>
      <c r="U77" s="199"/>
      <c r="V77" s="245"/>
      <c r="W77" s="188">
        <f>J77-(Q77*($M$2-$K$1)+(R77*($M$2-$M$1))+  (S77*($M$2-$I$2)))</f>
        <v>3450.4</v>
      </c>
      <c r="X77" s="188">
        <f>H77*$M$2</f>
        <v>3450.4</v>
      </c>
    </row>
    <row r="78" spans="1:25" ht="15" customHeight="1" x14ac:dyDescent="0.25">
      <c r="A78" s="185"/>
      <c r="B78" s="127">
        <v>76</v>
      </c>
      <c r="C78" s="127">
        <v>2</v>
      </c>
      <c r="D78" s="128">
        <f>'Data Ocupacion'!X37</f>
        <v>76</v>
      </c>
      <c r="E78" s="128">
        <f>'Data Ocupacion'!Y37</f>
        <v>2</v>
      </c>
      <c r="F78" s="235" t="s">
        <v>52</v>
      </c>
      <c r="G78" s="236">
        <f t="shared" si="72"/>
        <v>80</v>
      </c>
      <c r="H78" s="127">
        <f t="shared" si="73"/>
        <v>80</v>
      </c>
      <c r="I78" s="127">
        <f t="shared" si="74"/>
        <v>78</v>
      </c>
      <c r="J78" s="127">
        <f>G78*M$2</f>
        <v>3450.4</v>
      </c>
      <c r="K78" s="156">
        <f>I78*M$2</f>
        <v>3364.1400000000003</v>
      </c>
      <c r="L78" s="127">
        <f t="shared" si="75"/>
        <v>358841.60000000003</v>
      </c>
      <c r="M78" s="127">
        <f t="shared" si="76"/>
        <v>8112</v>
      </c>
      <c r="N78" s="19"/>
      <c r="O78" s="19"/>
      <c r="P78" s="149"/>
      <c r="Q78" s="194"/>
      <c r="R78" s="194"/>
      <c r="S78" s="194"/>
      <c r="T78" s="263"/>
      <c r="U78" s="214"/>
      <c r="V78" s="246"/>
      <c r="W78" s="192">
        <f>J78-(T78*($M$2-$K$1)+(U78*($M$2-$M$1)))</f>
        <v>3450.4</v>
      </c>
      <c r="X78" s="188">
        <f>H78*$M$2</f>
        <v>3450.4</v>
      </c>
    </row>
    <row r="79" spans="1:25" ht="15" customHeight="1" x14ac:dyDescent="0.25">
      <c r="A79" s="185"/>
      <c r="B79" s="127">
        <v>33</v>
      </c>
      <c r="C79" s="127">
        <v>0</v>
      </c>
      <c r="D79" s="128">
        <f>'Data Ocupacion'!X38</f>
        <v>33</v>
      </c>
      <c r="E79" s="128">
        <f>'Data Ocupacion'!Y38</f>
        <v>0</v>
      </c>
      <c r="F79" s="235" t="s">
        <v>36</v>
      </c>
      <c r="G79" s="236">
        <f t="shared" si="72"/>
        <v>33</v>
      </c>
      <c r="H79" s="127">
        <f t="shared" si="73"/>
        <v>33</v>
      </c>
      <c r="I79" s="127">
        <f t="shared" si="74"/>
        <v>33</v>
      </c>
      <c r="J79" s="127">
        <f>G79*M$1</f>
        <v>960.63</v>
      </c>
      <c r="K79" s="156">
        <f>I79*M$1</f>
        <v>960.63</v>
      </c>
      <c r="L79" s="127">
        <f t="shared" si="75"/>
        <v>99905.52</v>
      </c>
      <c r="M79" s="127">
        <f t="shared" si="76"/>
        <v>3432</v>
      </c>
      <c r="N79" s="19"/>
      <c r="O79" s="19"/>
      <c r="P79" s="149"/>
      <c r="Q79" s="193"/>
      <c r="R79" s="195"/>
      <c r="S79" s="217"/>
      <c r="T79" s="196"/>
      <c r="U79" s="197"/>
      <c r="V79" s="197"/>
      <c r="W79" s="188">
        <f>J79-(Q79*($M$1-$K$1))</f>
        <v>960.63</v>
      </c>
      <c r="X79" s="188">
        <f>H79*$M$1</f>
        <v>960.63</v>
      </c>
    </row>
    <row r="80" spans="1:25" ht="13.5" customHeight="1" x14ac:dyDescent="0.25">
      <c r="A80" s="185"/>
      <c r="B80" s="127">
        <v>32</v>
      </c>
      <c r="C80" s="127">
        <v>0</v>
      </c>
      <c r="D80" s="128">
        <f>'Data Ocupacion'!X39</f>
        <v>32</v>
      </c>
      <c r="E80" s="128">
        <f>'Data Ocupacion'!Y39</f>
        <v>0</v>
      </c>
      <c r="F80" s="235" t="s">
        <v>53</v>
      </c>
      <c r="G80" s="236">
        <f t="shared" si="72"/>
        <v>32</v>
      </c>
      <c r="H80" s="127">
        <f t="shared" si="73"/>
        <v>32</v>
      </c>
      <c r="I80" s="127">
        <f t="shared" si="74"/>
        <v>32</v>
      </c>
      <c r="J80" s="127">
        <f>G80*M$1</f>
        <v>931.52</v>
      </c>
      <c r="K80" s="156">
        <f>I80*M$1</f>
        <v>931.52</v>
      </c>
      <c r="L80" s="127">
        <f t="shared" si="75"/>
        <v>96878.080000000002</v>
      </c>
      <c r="M80" s="127">
        <f t="shared" si="76"/>
        <v>3328</v>
      </c>
      <c r="N80" s="19"/>
      <c r="O80" s="19"/>
      <c r="P80" s="149"/>
      <c r="Q80" s="197"/>
      <c r="R80" s="197"/>
      <c r="S80" s="197"/>
      <c r="T80" s="197"/>
      <c r="U80" s="197"/>
      <c r="V80" s="197"/>
      <c r="W80" s="188">
        <f t="shared" ref="W80:W81" si="77">J80</f>
        <v>931.52</v>
      </c>
      <c r="X80" s="188">
        <f>H80*$M$1</f>
        <v>931.52</v>
      </c>
    </row>
    <row r="81" spans="1:24" s="126" customFormat="1" ht="15" customHeight="1" x14ac:dyDescent="0.25">
      <c r="A81" s="185"/>
      <c r="B81" s="127">
        <v>0</v>
      </c>
      <c r="C81" s="127">
        <v>0</v>
      </c>
      <c r="D81" s="128">
        <f>'Data Ocupacion'!X40</f>
        <v>0</v>
      </c>
      <c r="E81" s="128">
        <f>'Data Ocupacion'!Y40</f>
        <v>0</v>
      </c>
      <c r="F81" s="235" t="s">
        <v>122</v>
      </c>
      <c r="G81" s="236">
        <f t="shared" si="72"/>
        <v>0</v>
      </c>
      <c r="H81" s="127">
        <f t="shared" si="73"/>
        <v>0</v>
      </c>
      <c r="I81" s="127">
        <f t="shared" si="74"/>
        <v>0</v>
      </c>
      <c r="J81" s="238">
        <f>G81*K$1</f>
        <v>0</v>
      </c>
      <c r="K81" s="156">
        <f>I81*K$1</f>
        <v>0</v>
      </c>
      <c r="L81" s="127">
        <f t="shared" si="75"/>
        <v>0</v>
      </c>
      <c r="M81" s="127">
        <f t="shared" si="76"/>
        <v>0</v>
      </c>
      <c r="N81" s="19"/>
      <c r="O81" s="19"/>
      <c r="P81" s="149"/>
      <c r="Q81" s="197"/>
      <c r="R81" s="197"/>
      <c r="S81" s="197"/>
      <c r="T81" s="197"/>
      <c r="U81" s="197"/>
      <c r="V81" s="197"/>
      <c r="W81" s="188">
        <f t="shared" si="77"/>
        <v>0</v>
      </c>
      <c r="X81" s="188">
        <f>H81*$K$1</f>
        <v>0</v>
      </c>
    </row>
    <row r="82" spans="1:24" s="126" customFormat="1" ht="15" customHeight="1" thickBot="1" x14ac:dyDescent="0.3">
      <c r="A82" s="185"/>
      <c r="B82" s="127">
        <v>1</v>
      </c>
      <c r="C82" s="127">
        <v>0</v>
      </c>
      <c r="D82" s="128">
        <f>'Data Ocupacion'!X41</f>
        <v>1</v>
      </c>
      <c r="E82" s="128">
        <f>'Data Ocupacion'!Y41</f>
        <v>0</v>
      </c>
      <c r="F82" s="235" t="s">
        <v>35</v>
      </c>
      <c r="G82" s="236">
        <f t="shared" si="72"/>
        <v>1</v>
      </c>
      <c r="H82" s="127">
        <f t="shared" si="73"/>
        <v>1</v>
      </c>
      <c r="I82" s="239">
        <f t="shared" si="74"/>
        <v>1</v>
      </c>
      <c r="J82" s="239">
        <f>G82*K$1</f>
        <v>25.4</v>
      </c>
      <c r="K82" s="156">
        <f>I82*K$1</f>
        <v>25.4</v>
      </c>
      <c r="L82" s="127">
        <f t="shared" si="75"/>
        <v>2641.6</v>
      </c>
      <c r="M82" s="127">
        <f t="shared" si="76"/>
        <v>104</v>
      </c>
      <c r="N82" s="19"/>
      <c r="O82" s="19"/>
      <c r="P82" s="149"/>
      <c r="Q82" s="197"/>
      <c r="R82" s="197"/>
      <c r="S82" s="197"/>
      <c r="T82" s="197"/>
      <c r="U82" s="197"/>
      <c r="V82" s="197"/>
      <c r="W82" s="188">
        <f>J82</f>
        <v>25.4</v>
      </c>
      <c r="X82" s="188">
        <f>H82*$K$1</f>
        <v>25.4</v>
      </c>
    </row>
    <row r="83" spans="1:24" ht="15" customHeight="1" thickBot="1" x14ac:dyDescent="0.3">
      <c r="A83" s="20"/>
      <c r="B83" s="230">
        <f>SUM(B77:B82)</f>
        <v>220</v>
      </c>
      <c r="C83" s="230">
        <f>SUM(C77:C82)</f>
        <v>3</v>
      </c>
      <c r="D83" s="151">
        <f>SUM(D77:D82)</f>
        <v>220</v>
      </c>
      <c r="E83" s="151">
        <f>SUM(E77:E82)</f>
        <v>3</v>
      </c>
      <c r="F83" s="121"/>
      <c r="G83" s="121">
        <f t="shared" ref="G83:M83" si="78">SUM(G77:G82)</f>
        <v>226</v>
      </c>
      <c r="H83" s="121">
        <f t="shared" si="71"/>
        <v>226</v>
      </c>
      <c r="I83" s="121">
        <f t="shared" si="78"/>
        <v>223</v>
      </c>
      <c r="J83" s="122">
        <f t="shared" si="78"/>
        <v>8818.35</v>
      </c>
      <c r="K83" s="121">
        <f t="shared" si="78"/>
        <v>8688.9599999999991</v>
      </c>
      <c r="L83" s="121">
        <f t="shared" si="78"/>
        <v>917108.4</v>
      </c>
      <c r="M83" s="121">
        <f t="shared" si="78"/>
        <v>23192</v>
      </c>
      <c r="N83" s="125">
        <f>'Odometro-Kilometraje'!L81</f>
        <v>9189</v>
      </c>
      <c r="O83" s="21">
        <f>(W83/N83)*100</f>
        <v>95.966372837087818</v>
      </c>
      <c r="P83" s="200"/>
      <c r="Q83" s="187"/>
      <c r="R83" s="187"/>
      <c r="S83" s="187"/>
      <c r="T83" s="187"/>
      <c r="U83" s="187"/>
      <c r="V83" s="187"/>
      <c r="W83" s="201">
        <f>SUM(W77:W82)</f>
        <v>8818.35</v>
      </c>
      <c r="X83" s="201">
        <f>SUM(X77:X82)</f>
        <v>8818.35</v>
      </c>
    </row>
    <row r="84" spans="1:24" ht="15.95" customHeight="1" x14ac:dyDescent="0.25">
      <c r="A84" s="62">
        <f>A77+1</f>
        <v>45700</v>
      </c>
      <c r="B84" s="127">
        <v>78</v>
      </c>
      <c r="C84" s="127">
        <v>1</v>
      </c>
      <c r="D84" s="128">
        <f>'Data Ocupacion'!Z36</f>
        <v>78</v>
      </c>
      <c r="E84" s="128">
        <f>'Data Ocupacion'!AA36</f>
        <v>1</v>
      </c>
      <c r="F84" s="235" t="s">
        <v>38</v>
      </c>
      <c r="G84" s="236">
        <f t="shared" ref="G84:G89" si="79">D84+E84*2</f>
        <v>80</v>
      </c>
      <c r="H84" s="127">
        <f t="shared" ref="H84:H89" si="80">B84+C84*2</f>
        <v>80</v>
      </c>
      <c r="I84" s="237">
        <f t="shared" ref="I84:I89" si="81">D84+E84</f>
        <v>79</v>
      </c>
      <c r="J84" s="237">
        <f>G84*M$2</f>
        <v>3450.4</v>
      </c>
      <c r="K84" s="156">
        <f>I84*M$2</f>
        <v>3407.27</v>
      </c>
      <c r="L84" s="127">
        <f t="shared" ref="L84:L89" si="82">J84*104</f>
        <v>358841.60000000003</v>
      </c>
      <c r="M84" s="127">
        <f t="shared" ref="M84:M89" si="83">I84*104</f>
        <v>8216</v>
      </c>
      <c r="N84" s="19"/>
      <c r="O84" s="19"/>
      <c r="P84" s="149"/>
      <c r="Q84" s="263"/>
      <c r="R84" s="189"/>
      <c r="S84" s="216"/>
      <c r="T84" s="198"/>
      <c r="U84" s="199"/>
      <c r="V84" s="245"/>
      <c r="W84" s="188">
        <f>J84-(Q84*($M$2-$K$1)+(R84*($M$2-$M$1))+  (S84*($M$2-$I$2)))</f>
        <v>3450.4</v>
      </c>
      <c r="X84" s="188">
        <f>H84*$M$2</f>
        <v>3450.4</v>
      </c>
    </row>
    <row r="85" spans="1:24" ht="15" customHeight="1" x14ac:dyDescent="0.25">
      <c r="A85" s="185"/>
      <c r="B85" s="127">
        <v>76</v>
      </c>
      <c r="C85" s="127">
        <v>2</v>
      </c>
      <c r="D85" s="128">
        <f>'Data Ocupacion'!Z37</f>
        <v>76</v>
      </c>
      <c r="E85" s="128">
        <f>'Data Ocupacion'!AA37</f>
        <v>2</v>
      </c>
      <c r="F85" s="235" t="s">
        <v>52</v>
      </c>
      <c r="G85" s="236">
        <f t="shared" si="79"/>
        <v>80</v>
      </c>
      <c r="H85" s="127">
        <f t="shared" si="80"/>
        <v>80</v>
      </c>
      <c r="I85" s="127">
        <f t="shared" si="81"/>
        <v>78</v>
      </c>
      <c r="J85" s="127">
        <f>G85*M$2</f>
        <v>3450.4</v>
      </c>
      <c r="K85" s="156">
        <f>I85*M$2</f>
        <v>3364.1400000000003</v>
      </c>
      <c r="L85" s="127">
        <f t="shared" si="82"/>
        <v>358841.60000000003</v>
      </c>
      <c r="M85" s="127">
        <f t="shared" si="83"/>
        <v>8112</v>
      </c>
      <c r="N85" s="19"/>
      <c r="O85" s="19"/>
      <c r="P85" s="149"/>
      <c r="Q85" s="194"/>
      <c r="R85" s="194"/>
      <c r="S85" s="194"/>
      <c r="T85" s="263"/>
      <c r="U85" s="189"/>
      <c r="V85" s="216"/>
      <c r="W85" s="192">
        <f>J85-(T85*($M$2-$K$1)+(U85*($M$2-$M$1)))</f>
        <v>3450.4</v>
      </c>
      <c r="X85" s="188">
        <f>H85*$M$2</f>
        <v>3450.4</v>
      </c>
    </row>
    <row r="86" spans="1:24" ht="15" customHeight="1" x14ac:dyDescent="0.25">
      <c r="A86" s="185"/>
      <c r="B86" s="127">
        <v>33</v>
      </c>
      <c r="C86" s="127">
        <v>0</v>
      </c>
      <c r="D86" s="128">
        <f>'Data Ocupacion'!Z38</f>
        <v>33</v>
      </c>
      <c r="E86" s="128">
        <f>'Data Ocupacion'!AA38</f>
        <v>0</v>
      </c>
      <c r="F86" s="235" t="s">
        <v>36</v>
      </c>
      <c r="G86" s="236">
        <f t="shared" si="79"/>
        <v>33</v>
      </c>
      <c r="H86" s="127">
        <f t="shared" si="80"/>
        <v>33</v>
      </c>
      <c r="I86" s="127">
        <f t="shared" si="81"/>
        <v>33</v>
      </c>
      <c r="J86" s="127">
        <f>G86*M$1</f>
        <v>960.63</v>
      </c>
      <c r="K86" s="156">
        <f>I86*M$1</f>
        <v>960.63</v>
      </c>
      <c r="L86" s="127">
        <f t="shared" si="82"/>
        <v>99905.52</v>
      </c>
      <c r="M86" s="127">
        <f t="shared" si="83"/>
        <v>3432</v>
      </c>
      <c r="N86" s="19"/>
      <c r="O86" s="19"/>
      <c r="P86" s="149"/>
      <c r="Q86" s="193"/>
      <c r="R86" s="195"/>
      <c r="S86" s="217"/>
      <c r="T86" s="196"/>
      <c r="U86" s="197"/>
      <c r="V86" s="197"/>
      <c r="W86" s="188">
        <f>J86-(Q86*($M$1-$K$1))</f>
        <v>960.63</v>
      </c>
      <c r="X86" s="188">
        <f>H86*$M$1</f>
        <v>960.63</v>
      </c>
    </row>
    <row r="87" spans="1:24" ht="15" customHeight="1" x14ac:dyDescent="0.25">
      <c r="A87" s="185"/>
      <c r="B87" s="127">
        <v>32</v>
      </c>
      <c r="C87" s="127">
        <v>0</v>
      </c>
      <c r="D87" s="128">
        <f>'Data Ocupacion'!Z39</f>
        <v>32</v>
      </c>
      <c r="E87" s="128">
        <f>'Data Ocupacion'!AA39</f>
        <v>0</v>
      </c>
      <c r="F87" s="235" t="s">
        <v>53</v>
      </c>
      <c r="G87" s="236">
        <f t="shared" si="79"/>
        <v>32</v>
      </c>
      <c r="H87" s="127">
        <f t="shared" si="80"/>
        <v>32</v>
      </c>
      <c r="I87" s="127">
        <f t="shared" si="81"/>
        <v>32</v>
      </c>
      <c r="J87" s="127">
        <f>G87*M$1</f>
        <v>931.52</v>
      </c>
      <c r="K87" s="156">
        <f>I87*M$1</f>
        <v>931.52</v>
      </c>
      <c r="L87" s="127">
        <f t="shared" si="82"/>
        <v>96878.080000000002</v>
      </c>
      <c r="M87" s="127">
        <f t="shared" si="83"/>
        <v>3328</v>
      </c>
      <c r="N87" s="19"/>
      <c r="O87" s="19"/>
      <c r="P87" s="149"/>
      <c r="Q87" s="197"/>
      <c r="R87" s="197"/>
      <c r="S87" s="197"/>
      <c r="T87" s="197"/>
      <c r="U87" s="197"/>
      <c r="V87" s="197"/>
      <c r="W87" s="188">
        <f t="shared" ref="W87:W88" si="84">J87</f>
        <v>931.52</v>
      </c>
      <c r="X87" s="188">
        <f>H87*$M$1</f>
        <v>931.52</v>
      </c>
    </row>
    <row r="88" spans="1:24" ht="15" customHeight="1" x14ac:dyDescent="0.25">
      <c r="A88" s="185"/>
      <c r="B88" s="127">
        <v>0</v>
      </c>
      <c r="C88" s="127">
        <v>0</v>
      </c>
      <c r="D88" s="128">
        <f>'Data Ocupacion'!Z40</f>
        <v>0</v>
      </c>
      <c r="E88" s="128">
        <f>'Data Ocupacion'!AA40</f>
        <v>0</v>
      </c>
      <c r="F88" s="235" t="s">
        <v>122</v>
      </c>
      <c r="G88" s="236">
        <f t="shared" si="79"/>
        <v>0</v>
      </c>
      <c r="H88" s="127">
        <f t="shared" si="80"/>
        <v>0</v>
      </c>
      <c r="I88" s="127">
        <f t="shared" si="81"/>
        <v>0</v>
      </c>
      <c r="J88" s="238">
        <f>G88*K$1</f>
        <v>0</v>
      </c>
      <c r="K88" s="156">
        <f>I88*K$1</f>
        <v>0</v>
      </c>
      <c r="L88" s="127">
        <f t="shared" si="82"/>
        <v>0</v>
      </c>
      <c r="M88" s="127">
        <f t="shared" si="83"/>
        <v>0</v>
      </c>
      <c r="N88" s="19"/>
      <c r="O88" s="19"/>
      <c r="P88" s="149"/>
      <c r="Q88" s="197"/>
      <c r="R88" s="197"/>
      <c r="S88" s="197"/>
      <c r="T88" s="197"/>
      <c r="U88" s="197"/>
      <c r="V88" s="197"/>
      <c r="W88" s="188">
        <f t="shared" si="84"/>
        <v>0</v>
      </c>
      <c r="X88" s="188">
        <f>H88*$K$1</f>
        <v>0</v>
      </c>
    </row>
    <row r="89" spans="1:24" ht="15.75" thickBot="1" x14ac:dyDescent="0.3">
      <c r="A89" s="185"/>
      <c r="B89" s="127">
        <v>1</v>
      </c>
      <c r="C89" s="127">
        <v>0</v>
      </c>
      <c r="D89" s="128">
        <f>'Data Ocupacion'!Z41</f>
        <v>1</v>
      </c>
      <c r="E89" s="128">
        <f>'Data Ocupacion'!AA41</f>
        <v>0</v>
      </c>
      <c r="F89" s="235" t="s">
        <v>35</v>
      </c>
      <c r="G89" s="236">
        <f t="shared" si="79"/>
        <v>1</v>
      </c>
      <c r="H89" s="127">
        <f t="shared" si="80"/>
        <v>1</v>
      </c>
      <c r="I89" s="239">
        <f t="shared" si="81"/>
        <v>1</v>
      </c>
      <c r="J89" s="239">
        <f>G89*K$1</f>
        <v>25.4</v>
      </c>
      <c r="K89" s="156">
        <f>I89*K$1</f>
        <v>25.4</v>
      </c>
      <c r="L89" s="127">
        <f t="shared" si="82"/>
        <v>2641.6</v>
      </c>
      <c r="M89" s="127">
        <f t="shared" si="83"/>
        <v>104</v>
      </c>
      <c r="N89" s="19"/>
      <c r="O89" s="19"/>
      <c r="P89" s="149"/>
      <c r="Q89" s="197"/>
      <c r="R89" s="197"/>
      <c r="S89" s="197"/>
      <c r="T89" s="197"/>
      <c r="U89" s="197"/>
      <c r="V89" s="197"/>
      <c r="W89" s="188">
        <f>J89</f>
        <v>25.4</v>
      </c>
      <c r="X89" s="188">
        <f>H89*$K$1</f>
        <v>25.4</v>
      </c>
    </row>
    <row r="90" spans="1:24" s="126" customFormat="1" ht="15.75" thickBot="1" x14ac:dyDescent="0.3">
      <c r="A90" s="124"/>
      <c r="B90" s="230">
        <f>SUM(B84:B89)</f>
        <v>220</v>
      </c>
      <c r="C90" s="230">
        <f>SUM(C84:C89)</f>
        <v>3</v>
      </c>
      <c r="D90" s="151">
        <f>SUM(D84:D89)</f>
        <v>220</v>
      </c>
      <c r="E90" s="151">
        <f>SUM(E84:E89)</f>
        <v>3</v>
      </c>
      <c r="F90" s="121"/>
      <c r="G90" s="121">
        <f t="shared" ref="G90:M90" si="85">SUM(G84:G89)</f>
        <v>226</v>
      </c>
      <c r="H90" s="121">
        <f t="shared" si="71"/>
        <v>226</v>
      </c>
      <c r="I90" s="121">
        <f t="shared" si="85"/>
        <v>223</v>
      </c>
      <c r="J90" s="122">
        <f t="shared" si="85"/>
        <v>8818.35</v>
      </c>
      <c r="K90" s="121">
        <f t="shared" si="85"/>
        <v>8688.9599999999991</v>
      </c>
      <c r="L90" s="121">
        <f t="shared" si="85"/>
        <v>917108.4</v>
      </c>
      <c r="M90" s="121">
        <f t="shared" si="85"/>
        <v>23192</v>
      </c>
      <c r="N90" s="125">
        <f>'Odometro-Kilometraje'!M81</f>
        <v>9226</v>
      </c>
      <c r="O90" s="21">
        <f>(W90/N90)*100</f>
        <v>95.581508779536094</v>
      </c>
      <c r="P90" s="200"/>
      <c r="Q90" s="187"/>
      <c r="R90" s="187"/>
      <c r="S90" s="187"/>
      <c r="T90" s="187"/>
      <c r="U90" s="187"/>
      <c r="V90" s="187"/>
      <c r="W90" s="201">
        <f>SUM(W84:W89)</f>
        <v>8818.35</v>
      </c>
      <c r="X90" s="201">
        <f>SUM(X84:X89)</f>
        <v>8818.35</v>
      </c>
    </row>
    <row r="91" spans="1:24" x14ac:dyDescent="0.25">
      <c r="A91" s="123">
        <f>A84+1</f>
        <v>45701</v>
      </c>
      <c r="B91" s="127">
        <v>78</v>
      </c>
      <c r="C91" s="127">
        <v>1</v>
      </c>
      <c r="D91" s="128">
        <f>'Data Ocupacion'!AB36</f>
        <v>78</v>
      </c>
      <c r="E91" s="128">
        <f>'Data Ocupacion'!AC36</f>
        <v>1</v>
      </c>
      <c r="F91" s="235" t="s">
        <v>38</v>
      </c>
      <c r="G91" s="236">
        <f t="shared" ref="G91:G96" si="86">D91+E91*2</f>
        <v>80</v>
      </c>
      <c r="H91" s="127">
        <f t="shared" ref="H91:H96" si="87">B91+C91*2</f>
        <v>80</v>
      </c>
      <c r="I91" s="237">
        <f t="shared" ref="I91:I96" si="88">D91+E91</f>
        <v>79</v>
      </c>
      <c r="J91" s="237">
        <f>G91*M$2</f>
        <v>3450.4</v>
      </c>
      <c r="K91" s="156">
        <f>I91*M$2</f>
        <v>3407.27</v>
      </c>
      <c r="L91" s="127">
        <f t="shared" ref="L91:L96" si="89">J91*104</f>
        <v>358841.60000000003</v>
      </c>
      <c r="M91" s="127">
        <f t="shared" ref="M91:M96" si="90">I91*104</f>
        <v>8216</v>
      </c>
      <c r="N91" s="19"/>
      <c r="O91" s="19"/>
      <c r="P91" s="149"/>
      <c r="Q91" s="189"/>
      <c r="R91" s="189"/>
      <c r="S91" s="216"/>
      <c r="T91" s="263"/>
      <c r="U91" s="199"/>
      <c r="V91" s="245"/>
      <c r="W91" s="188">
        <f>J91-(Q91*($M$2-$K$1)+(R91*($M$2-$M$1))+  (S91*($M$2-$I$2))+(T91*$K$1))</f>
        <v>3450.4</v>
      </c>
      <c r="X91" s="188">
        <f>H91*$M$2</f>
        <v>3450.4</v>
      </c>
    </row>
    <row r="92" spans="1:24" ht="17.25" customHeight="1" x14ac:dyDescent="0.25">
      <c r="A92" s="185"/>
      <c r="B92" s="127">
        <v>76</v>
      </c>
      <c r="C92" s="127">
        <v>2</v>
      </c>
      <c r="D92" s="128">
        <f>'Data Ocupacion'!AB37</f>
        <v>76</v>
      </c>
      <c r="E92" s="128">
        <f>'Data Ocupacion'!AC37</f>
        <v>2</v>
      </c>
      <c r="F92" s="235" t="s">
        <v>52</v>
      </c>
      <c r="G92" s="236">
        <f t="shared" si="86"/>
        <v>80</v>
      </c>
      <c r="H92" s="127">
        <f t="shared" si="87"/>
        <v>80</v>
      </c>
      <c r="I92" s="127">
        <f t="shared" si="88"/>
        <v>78</v>
      </c>
      <c r="J92" s="127">
        <f>G92*M$2</f>
        <v>3450.4</v>
      </c>
      <c r="K92" s="156">
        <f>I92*M$2</f>
        <v>3364.1400000000003</v>
      </c>
      <c r="L92" s="127">
        <f t="shared" si="89"/>
        <v>358841.60000000003</v>
      </c>
      <c r="M92" s="127">
        <f t="shared" si="90"/>
        <v>8112</v>
      </c>
      <c r="N92" s="19"/>
      <c r="O92" s="19"/>
      <c r="P92" s="149"/>
      <c r="Q92" s="194"/>
      <c r="R92" s="194"/>
      <c r="S92" s="194"/>
      <c r="T92" s="263"/>
      <c r="U92" s="191"/>
      <c r="V92" s="246"/>
      <c r="W92" s="192">
        <f>J92-(T92*($M$2-$K$1)+(U92*($M$2-$M$1)))</f>
        <v>3450.4</v>
      </c>
      <c r="X92" s="188">
        <f>H92*$M$2</f>
        <v>3450.4</v>
      </c>
    </row>
    <row r="93" spans="1:24" x14ac:dyDescent="0.25">
      <c r="A93" s="185"/>
      <c r="B93" s="127">
        <v>33</v>
      </c>
      <c r="C93" s="127">
        <v>0</v>
      </c>
      <c r="D93" s="128">
        <f>'Data Ocupacion'!AB38</f>
        <v>33</v>
      </c>
      <c r="E93" s="128">
        <f>'Data Ocupacion'!AC38</f>
        <v>0</v>
      </c>
      <c r="F93" s="235" t="s">
        <v>36</v>
      </c>
      <c r="G93" s="236">
        <f t="shared" si="86"/>
        <v>33</v>
      </c>
      <c r="H93" s="127">
        <f t="shared" si="87"/>
        <v>33</v>
      </c>
      <c r="I93" s="127">
        <f t="shared" si="88"/>
        <v>33</v>
      </c>
      <c r="J93" s="127">
        <f>G93*M$1</f>
        <v>960.63</v>
      </c>
      <c r="K93" s="156">
        <f>I93*M$1</f>
        <v>960.63</v>
      </c>
      <c r="L93" s="127">
        <f t="shared" si="89"/>
        <v>99905.52</v>
      </c>
      <c r="M93" s="127">
        <f t="shared" si="90"/>
        <v>3432</v>
      </c>
      <c r="N93" s="19"/>
      <c r="O93" s="19"/>
      <c r="P93" s="149"/>
      <c r="Q93" s="263"/>
      <c r="R93" s="198"/>
      <c r="S93" s="245"/>
      <c r="T93" s="194"/>
      <c r="U93" s="197"/>
      <c r="V93" s="197"/>
      <c r="W93" s="188">
        <f>J93-(Q93*($M$1-$K$1))</f>
        <v>960.63</v>
      </c>
      <c r="X93" s="188">
        <f>H93*$M$1</f>
        <v>960.63</v>
      </c>
    </row>
    <row r="94" spans="1:24" ht="15" customHeight="1" x14ac:dyDescent="0.25">
      <c r="A94" s="185"/>
      <c r="B94" s="127">
        <v>32</v>
      </c>
      <c r="C94" s="127">
        <v>0</v>
      </c>
      <c r="D94" s="128">
        <f>'Data Ocupacion'!AB39</f>
        <v>32</v>
      </c>
      <c r="E94" s="128">
        <f>'Data Ocupacion'!AC39</f>
        <v>0</v>
      </c>
      <c r="F94" s="235" t="s">
        <v>53</v>
      </c>
      <c r="G94" s="236">
        <f t="shared" si="86"/>
        <v>32</v>
      </c>
      <c r="H94" s="127">
        <f t="shared" si="87"/>
        <v>32</v>
      </c>
      <c r="I94" s="127">
        <f t="shared" si="88"/>
        <v>32</v>
      </c>
      <c r="J94" s="127">
        <f>G94*M$1</f>
        <v>931.52</v>
      </c>
      <c r="K94" s="156">
        <f>I94*M$1</f>
        <v>931.52</v>
      </c>
      <c r="L94" s="127">
        <f t="shared" si="89"/>
        <v>96878.080000000002</v>
      </c>
      <c r="M94" s="127">
        <f t="shared" si="90"/>
        <v>3328</v>
      </c>
      <c r="N94" s="19"/>
      <c r="O94" s="19"/>
      <c r="P94" s="149"/>
      <c r="Q94" s="272"/>
      <c r="R94" s="272"/>
      <c r="S94" s="272"/>
      <c r="T94" s="272"/>
      <c r="U94" s="197"/>
      <c r="V94" s="197"/>
      <c r="W94" s="188">
        <f t="shared" ref="W94:W95" si="91">J94</f>
        <v>931.52</v>
      </c>
      <c r="X94" s="188">
        <f>H94*$M$1</f>
        <v>931.52</v>
      </c>
    </row>
    <row r="95" spans="1:24" ht="15" customHeight="1" x14ac:dyDescent="0.25">
      <c r="A95" s="185"/>
      <c r="B95" s="127">
        <v>0</v>
      </c>
      <c r="C95" s="127">
        <v>0</v>
      </c>
      <c r="D95" s="128">
        <f>'Data Ocupacion'!AB40</f>
        <v>0</v>
      </c>
      <c r="E95" s="128">
        <f>'Data Ocupacion'!AC40</f>
        <v>0</v>
      </c>
      <c r="F95" s="235" t="s">
        <v>122</v>
      </c>
      <c r="G95" s="236">
        <f t="shared" si="86"/>
        <v>0</v>
      </c>
      <c r="H95" s="127">
        <f t="shared" si="87"/>
        <v>0</v>
      </c>
      <c r="I95" s="127">
        <f t="shared" si="88"/>
        <v>0</v>
      </c>
      <c r="J95" s="238">
        <f>G95*K$1</f>
        <v>0</v>
      </c>
      <c r="K95" s="156">
        <f>I95*K$1</f>
        <v>0</v>
      </c>
      <c r="L95" s="127">
        <f t="shared" si="89"/>
        <v>0</v>
      </c>
      <c r="M95" s="127">
        <f t="shared" si="90"/>
        <v>0</v>
      </c>
      <c r="N95" s="19"/>
      <c r="O95" s="19"/>
      <c r="P95" s="149"/>
      <c r="Q95" s="272"/>
      <c r="R95" s="272"/>
      <c r="S95" s="272"/>
      <c r="T95" s="272"/>
      <c r="U95" s="197"/>
      <c r="V95" s="197"/>
      <c r="W95" s="188">
        <f t="shared" si="91"/>
        <v>0</v>
      </c>
      <c r="X95" s="188">
        <f>H95*$K$1</f>
        <v>0</v>
      </c>
    </row>
    <row r="96" spans="1:24" ht="15.75" thickBot="1" x14ac:dyDescent="0.3">
      <c r="A96" s="185"/>
      <c r="B96" s="127">
        <v>1</v>
      </c>
      <c r="C96" s="127">
        <v>0</v>
      </c>
      <c r="D96" s="128">
        <f>'Data Ocupacion'!AB41</f>
        <v>1</v>
      </c>
      <c r="E96" s="128">
        <f>'Data Ocupacion'!AC41</f>
        <v>0</v>
      </c>
      <c r="F96" s="235" t="s">
        <v>35</v>
      </c>
      <c r="G96" s="236">
        <f t="shared" si="86"/>
        <v>1</v>
      </c>
      <c r="H96" s="127">
        <f t="shared" si="87"/>
        <v>1</v>
      </c>
      <c r="I96" s="239">
        <f t="shared" si="88"/>
        <v>1</v>
      </c>
      <c r="J96" s="239">
        <f>G96*K$1</f>
        <v>25.4</v>
      </c>
      <c r="K96" s="156">
        <f>I96*K$1</f>
        <v>25.4</v>
      </c>
      <c r="L96" s="127">
        <f t="shared" si="89"/>
        <v>2641.6</v>
      </c>
      <c r="M96" s="127">
        <f t="shared" si="90"/>
        <v>104</v>
      </c>
      <c r="N96" s="19"/>
      <c r="O96" s="19"/>
      <c r="P96" s="149"/>
      <c r="Q96" s="272"/>
      <c r="R96" s="272"/>
      <c r="S96" s="272"/>
      <c r="T96" s="272"/>
      <c r="U96" s="197"/>
      <c r="V96" s="197"/>
      <c r="W96" s="188">
        <f>J96</f>
        <v>25.4</v>
      </c>
      <c r="X96" s="188">
        <f>H96*$K$1</f>
        <v>25.4</v>
      </c>
    </row>
    <row r="97" spans="1:24" s="126" customFormat="1" ht="15.75" thickBot="1" x14ac:dyDescent="0.3">
      <c r="A97" s="20"/>
      <c r="B97" s="230">
        <f>SUM(B91:B96)</f>
        <v>220</v>
      </c>
      <c r="C97" s="230">
        <f>SUM(C91:C96)</f>
        <v>3</v>
      </c>
      <c r="D97" s="151">
        <f>SUM(D91:D96)</f>
        <v>220</v>
      </c>
      <c r="E97" s="151">
        <f>SUM(E91:E96)</f>
        <v>3</v>
      </c>
      <c r="F97" s="121"/>
      <c r="G97" s="121">
        <f t="shared" ref="G97:M97" si="92">SUM(G91:G96)</f>
        <v>226</v>
      </c>
      <c r="H97" s="121">
        <f t="shared" si="71"/>
        <v>226</v>
      </c>
      <c r="I97" s="121">
        <f t="shared" si="92"/>
        <v>223</v>
      </c>
      <c r="J97" s="122">
        <f t="shared" si="92"/>
        <v>8818.35</v>
      </c>
      <c r="K97" s="121">
        <f t="shared" si="92"/>
        <v>8688.9599999999991</v>
      </c>
      <c r="L97" s="121">
        <f t="shared" si="92"/>
        <v>917108.4</v>
      </c>
      <c r="M97" s="121">
        <f t="shared" si="92"/>
        <v>23192</v>
      </c>
      <c r="N97" s="125">
        <f>'Odometro-Kilometraje'!N81</f>
        <v>9209</v>
      </c>
      <c r="O97" s="21">
        <f>(W97/N97)*100</f>
        <v>95.757954175263336</v>
      </c>
      <c r="P97" s="200"/>
      <c r="Q97" s="273"/>
      <c r="R97" s="273"/>
      <c r="S97" s="273"/>
      <c r="T97" s="273"/>
      <c r="U97" s="187"/>
      <c r="V97" s="187"/>
      <c r="W97" s="201">
        <f>SUM(W91:W96)</f>
        <v>8818.35</v>
      </c>
      <c r="X97" s="201">
        <f>SUM(X91:X96)</f>
        <v>8818.35</v>
      </c>
    </row>
    <row r="98" spans="1:24" ht="17.25" customHeight="1" x14ac:dyDescent="0.25">
      <c r="A98" s="62">
        <f>A91+1</f>
        <v>45702</v>
      </c>
      <c r="B98" s="127">
        <v>78</v>
      </c>
      <c r="C98" s="127">
        <v>1</v>
      </c>
      <c r="D98" s="128">
        <f>'Data Ocupacion'!AD36</f>
        <v>78</v>
      </c>
      <c r="E98" s="128">
        <f>'Data Ocupacion'!AE36</f>
        <v>1</v>
      </c>
      <c r="F98" s="235" t="s">
        <v>38</v>
      </c>
      <c r="G98" s="236">
        <f t="shared" ref="G98:G103" si="93">D98+E98*2</f>
        <v>80</v>
      </c>
      <c r="H98" s="127">
        <f t="shared" ref="H98:H103" si="94">B98+C98*2</f>
        <v>80</v>
      </c>
      <c r="I98" s="237">
        <f t="shared" ref="I98:I103" si="95">D98+E98</f>
        <v>79</v>
      </c>
      <c r="J98" s="237">
        <f>G98*M$2</f>
        <v>3450.4</v>
      </c>
      <c r="K98" s="156">
        <f>I98*M$2</f>
        <v>3407.27</v>
      </c>
      <c r="L98" s="127">
        <f t="shared" ref="L98:L103" si="96">J98*104</f>
        <v>358841.60000000003</v>
      </c>
      <c r="M98" s="127">
        <f t="shared" ref="M98:M103" si="97">I98*104</f>
        <v>8216</v>
      </c>
      <c r="N98" s="19"/>
      <c r="O98" s="19"/>
      <c r="P98" s="149"/>
      <c r="Q98" s="263"/>
      <c r="R98" s="189"/>
      <c r="S98" s="216"/>
      <c r="T98" s="198"/>
      <c r="U98" s="199"/>
      <c r="V98" s="245"/>
      <c r="W98" s="188">
        <f>J98-(Q98*($M$2-$K$1)+(R98*($M$2-$M$1))+  (S98*($M$2-$I$2)))</f>
        <v>3450.4</v>
      </c>
      <c r="X98" s="188">
        <f>H98*$M$2</f>
        <v>3450.4</v>
      </c>
    </row>
    <row r="99" spans="1:24" ht="15" customHeight="1" x14ac:dyDescent="0.25">
      <c r="A99" s="277"/>
      <c r="B99" s="127">
        <v>76</v>
      </c>
      <c r="C99" s="127">
        <v>2</v>
      </c>
      <c r="D99" s="128">
        <f>'Data Ocupacion'!AD37</f>
        <v>76</v>
      </c>
      <c r="E99" s="128">
        <f>'Data Ocupacion'!AE37</f>
        <v>2</v>
      </c>
      <c r="F99" s="235" t="s">
        <v>52</v>
      </c>
      <c r="G99" s="236">
        <f t="shared" si="93"/>
        <v>80</v>
      </c>
      <c r="H99" s="127">
        <f t="shared" si="94"/>
        <v>80</v>
      </c>
      <c r="I99" s="127">
        <f t="shared" si="95"/>
        <v>78</v>
      </c>
      <c r="J99" s="127">
        <f>G99*M$2</f>
        <v>3450.4</v>
      </c>
      <c r="K99" s="156">
        <f>I99*M$2</f>
        <v>3364.1400000000003</v>
      </c>
      <c r="L99" s="127">
        <f t="shared" si="96"/>
        <v>358841.60000000003</v>
      </c>
      <c r="M99" s="127">
        <f t="shared" si="97"/>
        <v>8112</v>
      </c>
      <c r="N99" s="19"/>
      <c r="O99" s="19"/>
      <c r="P99" s="149"/>
      <c r="Q99" s="194"/>
      <c r="R99" s="194"/>
      <c r="S99" s="194"/>
      <c r="T99" s="263"/>
      <c r="U99" s="214"/>
      <c r="V99" s="216"/>
      <c r="W99" s="192">
        <f>J99-(T99*($M$2-$K$1)+(U99*($M$2-$M$1)))</f>
        <v>3450.4</v>
      </c>
      <c r="X99" s="188">
        <f>H99*$M$2</f>
        <v>3450.4</v>
      </c>
    </row>
    <row r="100" spans="1:24" ht="15" customHeight="1" x14ac:dyDescent="0.25">
      <c r="A100" s="277"/>
      <c r="B100" s="127">
        <v>33</v>
      </c>
      <c r="C100" s="127">
        <v>0</v>
      </c>
      <c r="D100" s="128">
        <f>'Data Ocupacion'!AD38</f>
        <v>33</v>
      </c>
      <c r="E100" s="128">
        <f>'Data Ocupacion'!AE38</f>
        <v>0</v>
      </c>
      <c r="F100" s="235" t="s">
        <v>36</v>
      </c>
      <c r="G100" s="236">
        <f t="shared" si="93"/>
        <v>33</v>
      </c>
      <c r="H100" s="127">
        <f t="shared" si="94"/>
        <v>33</v>
      </c>
      <c r="I100" s="127">
        <f t="shared" si="95"/>
        <v>33</v>
      </c>
      <c r="J100" s="127">
        <f>G100*M$1</f>
        <v>960.63</v>
      </c>
      <c r="K100" s="156">
        <f>I100*M$1</f>
        <v>960.63</v>
      </c>
      <c r="L100" s="127">
        <f t="shared" si="96"/>
        <v>99905.52</v>
      </c>
      <c r="M100" s="127">
        <f t="shared" si="97"/>
        <v>3432</v>
      </c>
      <c r="N100" s="19"/>
      <c r="O100" s="19"/>
      <c r="P100" s="149"/>
      <c r="Q100" s="193"/>
      <c r="R100" s="195"/>
      <c r="S100" s="217"/>
      <c r="T100" s="196"/>
      <c r="U100" s="197"/>
      <c r="V100" s="197"/>
      <c r="W100" s="188">
        <f>J100-(Q100*($M$1-$K$1))</f>
        <v>960.63</v>
      </c>
      <c r="X100" s="188">
        <f>H100*$M$1</f>
        <v>960.63</v>
      </c>
    </row>
    <row r="101" spans="1:24" ht="15" customHeight="1" x14ac:dyDescent="0.25">
      <c r="A101" s="277"/>
      <c r="B101" s="127">
        <v>32</v>
      </c>
      <c r="C101" s="127">
        <v>0</v>
      </c>
      <c r="D101" s="128">
        <f>'Data Ocupacion'!AD39</f>
        <v>32</v>
      </c>
      <c r="E101" s="128">
        <f>'Data Ocupacion'!AE39</f>
        <v>0</v>
      </c>
      <c r="F101" s="235" t="s">
        <v>53</v>
      </c>
      <c r="G101" s="236">
        <f t="shared" si="93"/>
        <v>32</v>
      </c>
      <c r="H101" s="127">
        <f t="shared" si="94"/>
        <v>32</v>
      </c>
      <c r="I101" s="127">
        <f t="shared" si="95"/>
        <v>32</v>
      </c>
      <c r="J101" s="127">
        <f>G101*M$1</f>
        <v>931.52</v>
      </c>
      <c r="K101" s="156">
        <f>I101*M$1</f>
        <v>931.52</v>
      </c>
      <c r="L101" s="127">
        <f t="shared" si="96"/>
        <v>96878.080000000002</v>
      </c>
      <c r="M101" s="127">
        <f t="shared" si="97"/>
        <v>3328</v>
      </c>
      <c r="N101" s="19"/>
      <c r="O101" s="19"/>
      <c r="P101" s="149"/>
      <c r="Q101" s="197"/>
      <c r="R101" s="197"/>
      <c r="S101" s="197"/>
      <c r="T101" s="197"/>
      <c r="U101" s="197"/>
      <c r="V101" s="197"/>
      <c r="W101" s="188">
        <f t="shared" ref="W101:W102" si="98">J101</f>
        <v>931.52</v>
      </c>
      <c r="X101" s="188">
        <f>H101*$M$1</f>
        <v>931.52</v>
      </c>
    </row>
    <row r="102" spans="1:24" ht="15" customHeight="1" x14ac:dyDescent="0.25">
      <c r="A102" s="277"/>
      <c r="B102" s="127">
        <v>0</v>
      </c>
      <c r="C102" s="127">
        <v>0</v>
      </c>
      <c r="D102" s="128">
        <f>'Data Ocupacion'!AD40</f>
        <v>0</v>
      </c>
      <c r="E102" s="128">
        <f>'Data Ocupacion'!AE40</f>
        <v>0</v>
      </c>
      <c r="F102" s="235" t="s">
        <v>122</v>
      </c>
      <c r="G102" s="236">
        <f t="shared" si="93"/>
        <v>0</v>
      </c>
      <c r="H102" s="127">
        <f t="shared" si="94"/>
        <v>0</v>
      </c>
      <c r="I102" s="127">
        <f t="shared" si="95"/>
        <v>0</v>
      </c>
      <c r="J102" s="238">
        <f>G102*K$1</f>
        <v>0</v>
      </c>
      <c r="K102" s="156">
        <f>I102*K$1</f>
        <v>0</v>
      </c>
      <c r="L102" s="127">
        <f t="shared" si="96"/>
        <v>0</v>
      </c>
      <c r="M102" s="127">
        <f t="shared" si="97"/>
        <v>0</v>
      </c>
      <c r="N102" s="19"/>
      <c r="O102" s="19"/>
      <c r="P102" s="149"/>
      <c r="Q102" s="197"/>
      <c r="R102" s="197"/>
      <c r="S102" s="197"/>
      <c r="T102" s="197"/>
      <c r="U102" s="197"/>
      <c r="V102" s="197"/>
      <c r="W102" s="188">
        <f t="shared" si="98"/>
        <v>0</v>
      </c>
      <c r="X102" s="188">
        <f>H102*$K$1</f>
        <v>0</v>
      </c>
    </row>
    <row r="103" spans="1:24" ht="15" customHeight="1" thickBot="1" x14ac:dyDescent="0.3">
      <c r="A103" s="277"/>
      <c r="B103" s="127">
        <v>1</v>
      </c>
      <c r="C103" s="127">
        <v>0</v>
      </c>
      <c r="D103" s="128">
        <f>'Data Ocupacion'!AD41</f>
        <v>1</v>
      </c>
      <c r="E103" s="128">
        <f>'Data Ocupacion'!AE41</f>
        <v>0</v>
      </c>
      <c r="F103" s="235" t="s">
        <v>35</v>
      </c>
      <c r="G103" s="236">
        <f t="shared" si="93"/>
        <v>1</v>
      </c>
      <c r="H103" s="127">
        <f t="shared" si="94"/>
        <v>1</v>
      </c>
      <c r="I103" s="239">
        <f t="shared" si="95"/>
        <v>1</v>
      </c>
      <c r="J103" s="239">
        <f>G103*K$1</f>
        <v>25.4</v>
      </c>
      <c r="K103" s="156">
        <f>I103*K$1</f>
        <v>25.4</v>
      </c>
      <c r="L103" s="127">
        <f t="shared" si="96"/>
        <v>2641.6</v>
      </c>
      <c r="M103" s="127">
        <f t="shared" si="97"/>
        <v>104</v>
      </c>
      <c r="N103" s="19"/>
      <c r="O103" s="19"/>
      <c r="P103" s="149"/>
      <c r="Q103" s="197"/>
      <c r="R103" s="197"/>
      <c r="S103" s="197"/>
      <c r="T103" s="197"/>
      <c r="U103" s="197"/>
      <c r="V103" s="197"/>
      <c r="W103" s="188">
        <f>J103</f>
        <v>25.4</v>
      </c>
      <c r="X103" s="188">
        <f>H103*$K$1</f>
        <v>25.4</v>
      </c>
    </row>
    <row r="104" spans="1:24" s="126" customFormat="1" ht="15" customHeight="1" thickBot="1" x14ac:dyDescent="0.3">
      <c r="A104" s="20"/>
      <c r="B104" s="230">
        <f>SUM(B98:B103)</f>
        <v>220</v>
      </c>
      <c r="C104" s="230">
        <f>SUM(C98:C103)</f>
        <v>3</v>
      </c>
      <c r="D104" s="151">
        <f>SUM(D98:D103)</f>
        <v>220</v>
      </c>
      <c r="E104" s="151">
        <f>SUM(E98:E103)</f>
        <v>3</v>
      </c>
      <c r="F104" s="121"/>
      <c r="G104" s="121">
        <f t="shared" ref="G104:M104" si="99">SUM(G98:G103)</f>
        <v>226</v>
      </c>
      <c r="H104" s="121">
        <f t="shared" si="71"/>
        <v>226</v>
      </c>
      <c r="I104" s="121">
        <f t="shared" si="99"/>
        <v>223</v>
      </c>
      <c r="J104" s="122">
        <f t="shared" si="99"/>
        <v>8818.35</v>
      </c>
      <c r="K104" s="121">
        <f t="shared" si="99"/>
        <v>8688.9599999999991</v>
      </c>
      <c r="L104" s="121">
        <f t="shared" si="99"/>
        <v>917108.4</v>
      </c>
      <c r="M104" s="121">
        <f t="shared" si="99"/>
        <v>23192</v>
      </c>
      <c r="N104" s="125">
        <f>'Odometro-Kilometraje'!O81</f>
        <v>9180</v>
      </c>
      <c r="O104" s="21">
        <f>(W104/N104)*100</f>
        <v>96.060457516339866</v>
      </c>
      <c r="P104" s="200"/>
      <c r="Q104" s="187"/>
      <c r="R104" s="187"/>
      <c r="S104" s="187"/>
      <c r="T104" s="187"/>
      <c r="U104" s="187"/>
      <c r="V104" s="187"/>
      <c r="W104" s="201">
        <f>SUM(W98:W103)</f>
        <v>8818.35</v>
      </c>
      <c r="X104" s="201">
        <f>SUM(X98:X103)</f>
        <v>8818.35</v>
      </c>
    </row>
    <row r="105" spans="1:24" ht="15.95" customHeight="1" x14ac:dyDescent="0.25">
      <c r="A105" s="62">
        <f>A98+1</f>
        <v>45703</v>
      </c>
      <c r="B105" s="118">
        <v>69</v>
      </c>
      <c r="C105" s="118">
        <v>3</v>
      </c>
      <c r="D105" s="150">
        <f>'Data Ocupacion'!AF36</f>
        <v>69</v>
      </c>
      <c r="E105" s="150">
        <f>'Data Ocupacion'!AG36</f>
        <v>3</v>
      </c>
      <c r="F105" s="118" t="s">
        <v>38</v>
      </c>
      <c r="G105" s="118">
        <f t="shared" ref="G105:G110" si="100">D105+E105*2</f>
        <v>75</v>
      </c>
      <c r="H105" s="118">
        <f t="shared" ref="H105:H110" si="101">B105+C105*2</f>
        <v>75</v>
      </c>
      <c r="I105" s="118">
        <f t="shared" ref="I105:I110" si="102">D105+E105</f>
        <v>72</v>
      </c>
      <c r="J105" s="118">
        <f>G105*M$2</f>
        <v>3234.75</v>
      </c>
      <c r="K105" s="156">
        <f>I105*M$2</f>
        <v>3105.36</v>
      </c>
      <c r="L105" s="118">
        <f t="shared" ref="L105:L110" si="103">J105*104</f>
        <v>336414</v>
      </c>
      <c r="M105" s="118">
        <f t="shared" ref="M105:M110" si="104">I105*104</f>
        <v>7488</v>
      </c>
      <c r="N105" s="19"/>
      <c r="O105" s="19"/>
      <c r="P105" s="149"/>
      <c r="Q105" s="263"/>
      <c r="R105" s="189"/>
      <c r="S105" s="216"/>
      <c r="T105" s="198"/>
      <c r="U105" s="199"/>
      <c r="V105" s="245"/>
      <c r="W105" s="188">
        <f>J105-(Q105*($M$2-$K$1)+(R105*($M$2-$M$1))+  (S105*($M$2-$I$2)))</f>
        <v>3234.75</v>
      </c>
      <c r="X105" s="188">
        <f>H105*$M$2</f>
        <v>3234.75</v>
      </c>
    </row>
    <row r="106" spans="1:24" ht="15" customHeight="1" x14ac:dyDescent="0.25">
      <c r="A106" s="277"/>
      <c r="B106" s="118">
        <v>75</v>
      </c>
      <c r="C106" s="118">
        <v>0</v>
      </c>
      <c r="D106" s="150">
        <f>'Data Ocupacion'!AF37</f>
        <v>75</v>
      </c>
      <c r="E106" s="150">
        <f>'Data Ocupacion'!AG37</f>
        <v>0</v>
      </c>
      <c r="F106" s="118" t="s">
        <v>52</v>
      </c>
      <c r="G106" s="118">
        <f t="shared" si="100"/>
        <v>75</v>
      </c>
      <c r="H106" s="118">
        <f t="shared" si="101"/>
        <v>75</v>
      </c>
      <c r="I106" s="118">
        <f t="shared" si="102"/>
        <v>75</v>
      </c>
      <c r="J106" s="118">
        <f>G106*M$2</f>
        <v>3234.75</v>
      </c>
      <c r="K106" s="156">
        <f>I106*M$2</f>
        <v>3234.75</v>
      </c>
      <c r="L106" s="118">
        <f t="shared" si="103"/>
        <v>336414</v>
      </c>
      <c r="M106" s="118">
        <f t="shared" si="104"/>
        <v>7800</v>
      </c>
      <c r="N106" s="19"/>
      <c r="O106" s="19"/>
      <c r="P106" s="149"/>
      <c r="Q106" s="194"/>
      <c r="R106" s="194"/>
      <c r="S106" s="194"/>
      <c r="T106" s="256"/>
      <c r="U106" s="191"/>
      <c r="V106" s="246"/>
      <c r="W106" s="192">
        <f>J106-(T106*($M$2-$K$1)+(U106*($M$2-$M$1)))</f>
        <v>3234.75</v>
      </c>
      <c r="X106" s="188">
        <f>H106*$M$2</f>
        <v>3234.75</v>
      </c>
    </row>
    <row r="107" spans="1:24" ht="14.25" customHeight="1" x14ac:dyDescent="0.25">
      <c r="A107" s="277"/>
      <c r="B107" s="118">
        <v>0</v>
      </c>
      <c r="C107" s="118">
        <v>0</v>
      </c>
      <c r="D107" s="150">
        <f>'Data Ocupacion'!AF38</f>
        <v>0</v>
      </c>
      <c r="E107" s="150">
        <f>'Data Ocupacion'!AG38</f>
        <v>0</v>
      </c>
      <c r="F107" s="118" t="s">
        <v>36</v>
      </c>
      <c r="G107" s="118">
        <f t="shared" si="100"/>
        <v>0</v>
      </c>
      <c r="H107" s="118">
        <f t="shared" si="101"/>
        <v>0</v>
      </c>
      <c r="I107" s="118">
        <f t="shared" si="102"/>
        <v>0</v>
      </c>
      <c r="J107" s="118">
        <f>G107*M$1</f>
        <v>0</v>
      </c>
      <c r="K107" s="156">
        <f>I107*M$1</f>
        <v>0</v>
      </c>
      <c r="L107" s="118">
        <f t="shared" si="103"/>
        <v>0</v>
      </c>
      <c r="M107" s="118">
        <f t="shared" si="104"/>
        <v>0</v>
      </c>
      <c r="N107" s="19"/>
      <c r="O107" s="19"/>
      <c r="P107" s="149"/>
      <c r="Q107" s="193"/>
      <c r="R107" s="195"/>
      <c r="S107" s="217"/>
      <c r="T107" s="196"/>
      <c r="U107" s="197"/>
      <c r="V107" s="197"/>
      <c r="W107" s="188">
        <f>J107-(Q107*($M$1-$K$1))</f>
        <v>0</v>
      </c>
      <c r="X107" s="188">
        <f>H107*$M$1</f>
        <v>0</v>
      </c>
    </row>
    <row r="108" spans="1:24" ht="15" customHeight="1" x14ac:dyDescent="0.25">
      <c r="A108" s="277"/>
      <c r="B108" s="118">
        <v>0</v>
      </c>
      <c r="C108" s="118">
        <v>0</v>
      </c>
      <c r="D108" s="150">
        <f>'Data Ocupacion'!AF39</f>
        <v>0</v>
      </c>
      <c r="E108" s="150">
        <f>'Data Ocupacion'!AG39</f>
        <v>0</v>
      </c>
      <c r="F108" s="118" t="s">
        <v>53</v>
      </c>
      <c r="G108" s="118">
        <f t="shared" si="100"/>
        <v>0</v>
      </c>
      <c r="H108" s="118">
        <f t="shared" si="101"/>
        <v>0</v>
      </c>
      <c r="I108" s="118">
        <f t="shared" si="102"/>
        <v>0</v>
      </c>
      <c r="J108" s="118">
        <f>G108*M$1</f>
        <v>0</v>
      </c>
      <c r="K108" s="156">
        <f>I108*M$1</f>
        <v>0</v>
      </c>
      <c r="L108" s="118">
        <f t="shared" si="103"/>
        <v>0</v>
      </c>
      <c r="M108" s="118">
        <f t="shared" si="104"/>
        <v>0</v>
      </c>
      <c r="N108" s="19"/>
      <c r="O108" s="19"/>
      <c r="P108" s="149"/>
      <c r="Q108" s="197"/>
      <c r="R108" s="197"/>
      <c r="S108" s="197"/>
      <c r="T108" s="197"/>
      <c r="U108" s="197"/>
      <c r="V108" s="197"/>
      <c r="W108" s="188">
        <f t="shared" ref="W108:W109" si="105">J108</f>
        <v>0</v>
      </c>
      <c r="X108" s="188">
        <f>H108*$M$1</f>
        <v>0</v>
      </c>
    </row>
    <row r="109" spans="1:24" ht="15" customHeight="1" x14ac:dyDescent="0.25">
      <c r="A109" s="277"/>
      <c r="B109" s="118">
        <v>0</v>
      </c>
      <c r="C109" s="118">
        <v>0</v>
      </c>
      <c r="D109" s="150">
        <f>'Data Ocupacion'!AF40</f>
        <v>0</v>
      </c>
      <c r="E109" s="150">
        <f>'Data Ocupacion'!AG40</f>
        <v>0</v>
      </c>
      <c r="F109" s="118" t="s">
        <v>122</v>
      </c>
      <c r="G109" s="118">
        <f t="shared" si="100"/>
        <v>0</v>
      </c>
      <c r="H109" s="118">
        <f t="shared" si="101"/>
        <v>0</v>
      </c>
      <c r="I109" s="118">
        <f t="shared" si="102"/>
        <v>0</v>
      </c>
      <c r="J109" s="118">
        <f>G109*K$1</f>
        <v>0</v>
      </c>
      <c r="K109" s="156">
        <f>I109*K$1</f>
        <v>0</v>
      </c>
      <c r="L109" s="118">
        <f t="shared" si="103"/>
        <v>0</v>
      </c>
      <c r="M109" s="118">
        <f t="shared" si="104"/>
        <v>0</v>
      </c>
      <c r="N109" s="19"/>
      <c r="O109" s="19"/>
      <c r="P109" s="149"/>
      <c r="Q109" s="197"/>
      <c r="R109" s="197"/>
      <c r="S109" s="197"/>
      <c r="T109" s="197"/>
      <c r="U109" s="197"/>
      <c r="V109" s="197"/>
      <c r="W109" s="188">
        <f t="shared" si="105"/>
        <v>0</v>
      </c>
      <c r="X109" s="188">
        <f>H109*$K$1</f>
        <v>0</v>
      </c>
    </row>
    <row r="110" spans="1:24" ht="15" customHeight="1" thickBot="1" x14ac:dyDescent="0.3">
      <c r="A110" s="277"/>
      <c r="B110" s="118">
        <v>0</v>
      </c>
      <c r="C110" s="118">
        <v>0</v>
      </c>
      <c r="D110" s="150">
        <f>'Data Ocupacion'!AF41</f>
        <v>0</v>
      </c>
      <c r="E110" s="150">
        <f>'Data Ocupacion'!AG41</f>
        <v>0</v>
      </c>
      <c r="F110" s="118" t="s">
        <v>35</v>
      </c>
      <c r="G110" s="118">
        <f t="shared" si="100"/>
        <v>0</v>
      </c>
      <c r="H110" s="118">
        <f t="shared" si="101"/>
        <v>0</v>
      </c>
      <c r="I110" s="118">
        <f t="shared" si="102"/>
        <v>0</v>
      </c>
      <c r="J110" s="118">
        <f>G110*K$1</f>
        <v>0</v>
      </c>
      <c r="K110" s="156">
        <f>I110*K$1</f>
        <v>0</v>
      </c>
      <c r="L110" s="118">
        <f t="shared" si="103"/>
        <v>0</v>
      </c>
      <c r="M110" s="118">
        <f t="shared" si="104"/>
        <v>0</v>
      </c>
      <c r="N110" s="19"/>
      <c r="O110" s="19"/>
      <c r="P110" s="149"/>
      <c r="Q110" s="197"/>
      <c r="R110" s="197"/>
      <c r="S110" s="197"/>
      <c r="T110" s="197"/>
      <c r="U110" s="197"/>
      <c r="V110" s="197"/>
      <c r="W110" s="188">
        <f>J110</f>
        <v>0</v>
      </c>
      <c r="X110" s="188">
        <f>H110*$K$1</f>
        <v>0</v>
      </c>
    </row>
    <row r="111" spans="1:24" s="126" customFormat="1" ht="15" customHeight="1" thickBot="1" x14ac:dyDescent="0.3">
      <c r="A111" s="20"/>
      <c r="B111" s="230">
        <f>SUM(B105:B110)</f>
        <v>144</v>
      </c>
      <c r="C111" s="230">
        <f>SUM(C105:C110)</f>
        <v>3</v>
      </c>
      <c r="D111" s="155">
        <f>SUM(D105:D110)</f>
        <v>144</v>
      </c>
      <c r="E111" s="155">
        <f>SUM(E105:E110)</f>
        <v>3</v>
      </c>
      <c r="F111" s="121"/>
      <c r="G111" s="121">
        <f t="shared" ref="G111:M111" si="106">SUM(G105:G110)</f>
        <v>150</v>
      </c>
      <c r="H111" s="121">
        <f t="shared" si="71"/>
        <v>150</v>
      </c>
      <c r="I111" s="121">
        <f t="shared" si="106"/>
        <v>147</v>
      </c>
      <c r="J111" s="122">
        <f t="shared" si="106"/>
        <v>6469.5</v>
      </c>
      <c r="K111" s="121">
        <f t="shared" si="106"/>
        <v>6340.1100000000006</v>
      </c>
      <c r="L111" s="120">
        <f t="shared" si="106"/>
        <v>672828</v>
      </c>
      <c r="M111" s="154">
        <f t="shared" si="106"/>
        <v>15288</v>
      </c>
      <c r="N111" s="125">
        <f>'Odometro-Kilometraje'!P81</f>
        <v>6487</v>
      </c>
      <c r="O111" s="21">
        <f>(W111/N111)*100</f>
        <v>99.730229690149528</v>
      </c>
      <c r="P111" s="200"/>
      <c r="Q111" s="187"/>
      <c r="R111" s="187"/>
      <c r="S111" s="187"/>
      <c r="T111" s="187"/>
      <c r="U111" s="187"/>
      <c r="V111" s="187"/>
      <c r="W111" s="201">
        <f>SUM(W105:W110)</f>
        <v>6469.5</v>
      </c>
      <c r="X111" s="201">
        <f>SUM(X105:X110)</f>
        <v>6469.5</v>
      </c>
    </row>
    <row r="112" spans="1:24" ht="15.95" customHeight="1" x14ac:dyDescent="0.25">
      <c r="A112" s="62">
        <f>A105+1</f>
        <v>45704</v>
      </c>
      <c r="B112" s="231">
        <v>51</v>
      </c>
      <c r="C112" s="231">
        <v>3</v>
      </c>
      <c r="D112" s="140">
        <f>'Data Ocupacion'!AH36</f>
        <v>51</v>
      </c>
      <c r="E112" s="140">
        <f>'Data Ocupacion'!AI36</f>
        <v>3</v>
      </c>
      <c r="F112" s="231" t="s">
        <v>38</v>
      </c>
      <c r="G112" s="231">
        <f t="shared" ref="G112:G117" si="107">D112+E112*2</f>
        <v>57</v>
      </c>
      <c r="H112" s="231">
        <f t="shared" ref="H112:H117" si="108">B112+C112*2</f>
        <v>57</v>
      </c>
      <c r="I112" s="231">
        <f t="shared" ref="I112:I117" si="109">D112+E112</f>
        <v>54</v>
      </c>
      <c r="J112" s="231">
        <f>G112*M$2</f>
        <v>2458.4100000000003</v>
      </c>
      <c r="K112" s="156">
        <f>I112*M$2</f>
        <v>2329.02</v>
      </c>
      <c r="L112" s="231">
        <f t="shared" ref="L112:L117" si="110">J112*104</f>
        <v>255674.64000000004</v>
      </c>
      <c r="M112" s="231">
        <f t="shared" ref="M112:M117" si="111">I112*104</f>
        <v>5616</v>
      </c>
      <c r="N112" s="19"/>
      <c r="O112" s="19"/>
      <c r="P112" s="149"/>
      <c r="Q112" s="189"/>
      <c r="R112" s="189"/>
      <c r="S112" s="216"/>
      <c r="T112" s="198"/>
      <c r="U112" s="199"/>
      <c r="V112" s="245"/>
      <c r="W112" s="188">
        <f>J112-(Q112*($M$2-$K$1)+(R112*($M$2-$M$1))+  (S112*($M$2-$I$2)))</f>
        <v>2458.4100000000003</v>
      </c>
      <c r="X112" s="188">
        <f>H112*$M$2</f>
        <v>2458.4100000000003</v>
      </c>
    </row>
    <row r="113" spans="1:26" ht="15" customHeight="1" x14ac:dyDescent="0.25">
      <c r="A113" s="277"/>
      <c r="B113" s="231">
        <v>57</v>
      </c>
      <c r="C113" s="231">
        <v>0</v>
      </c>
      <c r="D113" s="140">
        <f>'Data Ocupacion'!AH37</f>
        <v>57</v>
      </c>
      <c r="E113" s="140">
        <f>'Data Ocupacion'!AI37</f>
        <v>0</v>
      </c>
      <c r="F113" s="231" t="s">
        <v>52</v>
      </c>
      <c r="G113" s="231">
        <f t="shared" si="107"/>
        <v>57</v>
      </c>
      <c r="H113" s="231">
        <f t="shared" si="108"/>
        <v>57</v>
      </c>
      <c r="I113" s="231">
        <f t="shared" si="109"/>
        <v>57</v>
      </c>
      <c r="J113" s="231">
        <f>G113*M$2</f>
        <v>2458.4100000000003</v>
      </c>
      <c r="K113" s="156">
        <f>I113*M$2</f>
        <v>2458.4100000000003</v>
      </c>
      <c r="L113" s="231">
        <f t="shared" si="110"/>
        <v>255674.64000000004</v>
      </c>
      <c r="M113" s="231">
        <f t="shared" si="111"/>
        <v>5928</v>
      </c>
      <c r="N113" s="19"/>
      <c r="O113" s="19"/>
      <c r="P113" s="149"/>
      <c r="Q113" s="194"/>
      <c r="R113" s="194"/>
      <c r="S113" s="194"/>
      <c r="T113" s="189"/>
      <c r="U113" s="214"/>
      <c r="V113" s="246"/>
      <c r="W113" s="192">
        <f>J113-(T113*($M$2-$K$1)+(U113*($M$2-$M$1)))</f>
        <v>2458.4100000000003</v>
      </c>
      <c r="X113" s="188">
        <f>H113*$M$2</f>
        <v>2458.4100000000003</v>
      </c>
      <c r="Y113" s="175"/>
    </row>
    <row r="114" spans="1:26" x14ac:dyDescent="0.25">
      <c r="A114" s="277"/>
      <c r="B114" s="231">
        <v>0</v>
      </c>
      <c r="C114" s="231">
        <v>0</v>
      </c>
      <c r="D114" s="140">
        <f>'Data Ocupacion'!AH38</f>
        <v>0</v>
      </c>
      <c r="E114" s="140">
        <f>'Data Ocupacion'!AI38</f>
        <v>0</v>
      </c>
      <c r="F114" s="231" t="s">
        <v>36</v>
      </c>
      <c r="G114" s="231">
        <f t="shared" si="107"/>
        <v>0</v>
      </c>
      <c r="H114" s="231">
        <f t="shared" si="108"/>
        <v>0</v>
      </c>
      <c r="I114" s="231">
        <f t="shared" si="109"/>
        <v>0</v>
      </c>
      <c r="J114" s="231">
        <f>G114*M$1</f>
        <v>0</v>
      </c>
      <c r="K114" s="156">
        <f>I114*M$1</f>
        <v>0</v>
      </c>
      <c r="L114" s="231">
        <f t="shared" si="110"/>
        <v>0</v>
      </c>
      <c r="M114" s="231">
        <f t="shared" si="111"/>
        <v>0</v>
      </c>
      <c r="N114" s="19"/>
      <c r="O114" s="19"/>
      <c r="P114" s="149"/>
      <c r="Q114" s="193"/>
      <c r="R114" s="195"/>
      <c r="S114" s="217"/>
      <c r="T114" s="196"/>
      <c r="U114" s="197"/>
      <c r="V114" s="197"/>
      <c r="W114" s="188">
        <f>J114-(Q114*($M$1-$K$1))</f>
        <v>0</v>
      </c>
      <c r="X114" s="188">
        <f>H114*$M$1</f>
        <v>0</v>
      </c>
    </row>
    <row r="115" spans="1:26" ht="15.95" customHeight="1" x14ac:dyDescent="0.25">
      <c r="A115" s="277"/>
      <c r="B115" s="231">
        <v>0</v>
      </c>
      <c r="C115" s="231">
        <v>0</v>
      </c>
      <c r="D115" s="140">
        <f>'Data Ocupacion'!AH39</f>
        <v>0</v>
      </c>
      <c r="E115" s="140">
        <f>'Data Ocupacion'!AI39</f>
        <v>0</v>
      </c>
      <c r="F115" s="231" t="s">
        <v>53</v>
      </c>
      <c r="G115" s="231">
        <f t="shared" si="107"/>
        <v>0</v>
      </c>
      <c r="H115" s="231">
        <f t="shared" si="108"/>
        <v>0</v>
      </c>
      <c r="I115" s="231">
        <f t="shared" si="109"/>
        <v>0</v>
      </c>
      <c r="J115" s="231">
        <f>G115*M$1</f>
        <v>0</v>
      </c>
      <c r="K115" s="156">
        <f>I115*M$1</f>
        <v>0</v>
      </c>
      <c r="L115" s="231">
        <f t="shared" si="110"/>
        <v>0</v>
      </c>
      <c r="M115" s="231">
        <f t="shared" si="111"/>
        <v>0</v>
      </c>
      <c r="N115" s="19"/>
      <c r="O115" s="19"/>
      <c r="P115" s="149"/>
      <c r="Q115" s="197"/>
      <c r="R115" s="197"/>
      <c r="S115" s="197"/>
      <c r="T115" s="197"/>
      <c r="U115" s="197"/>
      <c r="V115" s="197"/>
      <c r="W115" s="188">
        <f t="shared" ref="W115:W116" si="112">J115</f>
        <v>0</v>
      </c>
      <c r="X115" s="188">
        <f>H115*$M$1</f>
        <v>0</v>
      </c>
    </row>
    <row r="116" spans="1:26" ht="15" customHeight="1" x14ac:dyDescent="0.25">
      <c r="A116" s="277"/>
      <c r="B116" s="231">
        <v>0</v>
      </c>
      <c r="C116" s="231">
        <v>0</v>
      </c>
      <c r="D116" s="140">
        <f>'Data Ocupacion'!AH40</f>
        <v>0</v>
      </c>
      <c r="E116" s="140">
        <f>'Data Ocupacion'!AI40</f>
        <v>0</v>
      </c>
      <c r="F116" s="231" t="s">
        <v>122</v>
      </c>
      <c r="G116" s="231">
        <f t="shared" si="107"/>
        <v>0</v>
      </c>
      <c r="H116" s="231">
        <f t="shared" si="108"/>
        <v>0</v>
      </c>
      <c r="I116" s="231">
        <f t="shared" si="109"/>
        <v>0</v>
      </c>
      <c r="J116" s="231">
        <f>G116*K$1</f>
        <v>0</v>
      </c>
      <c r="K116" s="156">
        <f>I116*K$1</f>
        <v>0</v>
      </c>
      <c r="L116" s="231">
        <f t="shared" si="110"/>
        <v>0</v>
      </c>
      <c r="M116" s="231">
        <f t="shared" si="111"/>
        <v>0</v>
      </c>
      <c r="N116" s="19"/>
      <c r="O116" s="19"/>
      <c r="P116" s="149"/>
      <c r="Q116" s="197"/>
      <c r="R116" s="197"/>
      <c r="S116" s="197"/>
      <c r="T116" s="197"/>
      <c r="U116" s="197"/>
      <c r="V116" s="197"/>
      <c r="W116" s="188">
        <f t="shared" si="112"/>
        <v>0</v>
      </c>
      <c r="X116" s="188">
        <f>H116*$K$1</f>
        <v>0</v>
      </c>
    </row>
    <row r="117" spans="1:26" ht="15" customHeight="1" thickBot="1" x14ac:dyDescent="0.3">
      <c r="A117" s="277"/>
      <c r="B117" s="231">
        <v>0</v>
      </c>
      <c r="C117" s="231">
        <v>0</v>
      </c>
      <c r="D117" s="140">
        <f>'Data Ocupacion'!AH41</f>
        <v>0</v>
      </c>
      <c r="E117" s="140">
        <f>'Data Ocupacion'!AI41</f>
        <v>0</v>
      </c>
      <c r="F117" s="231" t="s">
        <v>35</v>
      </c>
      <c r="G117" s="231">
        <f t="shared" si="107"/>
        <v>0</v>
      </c>
      <c r="H117" s="231">
        <f t="shared" si="108"/>
        <v>0</v>
      </c>
      <c r="I117" s="231">
        <f t="shared" si="109"/>
        <v>0</v>
      </c>
      <c r="J117" s="231">
        <f>G117*K$1</f>
        <v>0</v>
      </c>
      <c r="K117" s="156">
        <f>I117*K$1</f>
        <v>0</v>
      </c>
      <c r="L117" s="231">
        <f t="shared" si="110"/>
        <v>0</v>
      </c>
      <c r="M117" s="231">
        <f t="shared" si="111"/>
        <v>0</v>
      </c>
      <c r="N117" s="19"/>
      <c r="O117" s="19"/>
      <c r="P117" s="149"/>
      <c r="Q117" s="197"/>
      <c r="R117" s="197"/>
      <c r="S117" s="197"/>
      <c r="T117" s="197"/>
      <c r="U117" s="197"/>
      <c r="V117" s="197"/>
      <c r="W117" s="188">
        <f>J117</f>
        <v>0</v>
      </c>
      <c r="X117" s="188">
        <f>H117*$K$1</f>
        <v>0</v>
      </c>
    </row>
    <row r="118" spans="1:26" s="126" customFormat="1" ht="15" customHeight="1" thickBot="1" x14ac:dyDescent="0.3">
      <c r="A118" s="20"/>
      <c r="B118" s="230">
        <f>SUM(B112:B117)</f>
        <v>108</v>
      </c>
      <c r="C118" s="230">
        <f>SUM(C112:C117)</f>
        <v>3</v>
      </c>
      <c r="D118" s="151">
        <f>SUM(D112:D117)</f>
        <v>108</v>
      </c>
      <c r="E118" s="151">
        <f>SUM(E112:E117)</f>
        <v>3</v>
      </c>
      <c r="F118" s="121"/>
      <c r="G118" s="121">
        <f t="shared" ref="G118:M118" si="113">SUM(G112:G117)</f>
        <v>114</v>
      </c>
      <c r="H118" s="121">
        <f t="shared" si="71"/>
        <v>114</v>
      </c>
      <c r="I118" s="121">
        <f t="shared" si="113"/>
        <v>111</v>
      </c>
      <c r="J118" s="121">
        <f t="shared" si="113"/>
        <v>4916.8200000000006</v>
      </c>
      <c r="K118" s="121">
        <f t="shared" si="113"/>
        <v>4787.43</v>
      </c>
      <c r="L118" s="121">
        <f t="shared" si="113"/>
        <v>511349.28000000009</v>
      </c>
      <c r="M118" s="121">
        <f t="shared" si="113"/>
        <v>11544</v>
      </c>
      <c r="N118" s="125">
        <f>'Odometro-Kilometraje'!Q81</f>
        <v>5007</v>
      </c>
      <c r="O118" s="21">
        <f>(W118/N118)*100</f>
        <v>98.198921509886176</v>
      </c>
      <c r="P118" s="200"/>
      <c r="Q118" s="187"/>
      <c r="R118" s="187"/>
      <c r="S118" s="187"/>
      <c r="T118" s="187"/>
      <c r="U118" s="187"/>
      <c r="V118" s="187"/>
      <c r="W118" s="201">
        <f>SUM(W112:W117)</f>
        <v>4916.8200000000006</v>
      </c>
      <c r="X118" s="201">
        <f>SUM(X112:X117)</f>
        <v>4916.8200000000006</v>
      </c>
    </row>
    <row r="119" spans="1:26" ht="15.95" customHeight="1" x14ac:dyDescent="0.25">
      <c r="A119" s="62">
        <f>A112+1</f>
        <v>45705</v>
      </c>
      <c r="B119" s="127">
        <v>78</v>
      </c>
      <c r="C119" s="127">
        <v>1</v>
      </c>
      <c r="D119" s="128">
        <f>'Data Ocupacion'!AJ36</f>
        <v>78</v>
      </c>
      <c r="E119" s="128">
        <f>'Data Ocupacion'!AK36</f>
        <v>1</v>
      </c>
      <c r="F119" s="235" t="s">
        <v>38</v>
      </c>
      <c r="G119" s="236">
        <f t="shared" ref="G119:G124" si="114">D119+E119*2</f>
        <v>80</v>
      </c>
      <c r="H119" s="127">
        <f t="shared" ref="H119:H124" si="115">B119+C119*2</f>
        <v>80</v>
      </c>
      <c r="I119" s="237">
        <f t="shared" ref="I119:I124" si="116">D119+E119</f>
        <v>79</v>
      </c>
      <c r="J119" s="237">
        <f>G119*M$2</f>
        <v>3450.4</v>
      </c>
      <c r="K119" s="156">
        <f>I119*M$2</f>
        <v>3407.27</v>
      </c>
      <c r="L119" s="127">
        <f t="shared" ref="L119:L124" si="117">J119*104</f>
        <v>358841.60000000003</v>
      </c>
      <c r="M119" s="127">
        <f t="shared" ref="M119:M124" si="118">I119*104</f>
        <v>8216</v>
      </c>
      <c r="N119" s="19"/>
      <c r="O119" s="19"/>
      <c r="P119" s="149"/>
      <c r="Q119" s="189"/>
      <c r="R119" s="189"/>
      <c r="S119" s="216"/>
      <c r="T119" s="258"/>
      <c r="U119" s="199"/>
      <c r="V119" s="245"/>
      <c r="W119" s="188">
        <f>J119-(Q119*($M$2-$K$1)+(R119*($M$2-$M$1))+  (S119*($M$2-$I$2)))+(T119*($M$2-$K$1))</f>
        <v>3450.4</v>
      </c>
      <c r="X119" s="188">
        <f>H119*$M$2</f>
        <v>3450.4</v>
      </c>
    </row>
    <row r="120" spans="1:26" ht="15" customHeight="1" x14ac:dyDescent="0.25">
      <c r="A120" s="277"/>
      <c r="B120" s="127">
        <v>76</v>
      </c>
      <c r="C120" s="127">
        <v>2</v>
      </c>
      <c r="D120" s="128">
        <f>'Data Ocupacion'!AJ37</f>
        <v>76</v>
      </c>
      <c r="E120" s="128">
        <f>'Data Ocupacion'!AK37</f>
        <v>2</v>
      </c>
      <c r="F120" s="235" t="s">
        <v>52</v>
      </c>
      <c r="G120" s="236">
        <f t="shared" si="114"/>
        <v>80</v>
      </c>
      <c r="H120" s="127">
        <f t="shared" si="115"/>
        <v>80</v>
      </c>
      <c r="I120" s="127">
        <f t="shared" si="116"/>
        <v>78</v>
      </c>
      <c r="J120" s="127">
        <f>G120*M$2</f>
        <v>3450.4</v>
      </c>
      <c r="K120" s="156">
        <f>I120*M$2</f>
        <v>3364.1400000000003</v>
      </c>
      <c r="L120" s="127">
        <f t="shared" si="117"/>
        <v>358841.60000000003</v>
      </c>
      <c r="M120" s="127">
        <f t="shared" si="118"/>
        <v>8112</v>
      </c>
      <c r="N120" s="19"/>
      <c r="O120" s="19"/>
      <c r="P120" s="149"/>
      <c r="Q120" s="194"/>
      <c r="R120" s="194"/>
      <c r="S120" s="194"/>
      <c r="T120" s="189"/>
      <c r="U120" s="191"/>
      <c r="V120" s="246"/>
      <c r="W120" s="192">
        <f>J120-(T120*($M$2-$K$1)+(U120*($M$2-$M$1)))</f>
        <v>3450.4</v>
      </c>
      <c r="X120" s="188">
        <f>H120*$M$2</f>
        <v>3450.4</v>
      </c>
      <c r="Y120" s="175"/>
    </row>
    <row r="121" spans="1:26" ht="15" customHeight="1" x14ac:dyDescent="0.25">
      <c r="A121" s="277"/>
      <c r="B121" s="127">
        <v>33</v>
      </c>
      <c r="C121" s="127">
        <v>0</v>
      </c>
      <c r="D121" s="128">
        <f>'Data Ocupacion'!AJ38</f>
        <v>33</v>
      </c>
      <c r="E121" s="128">
        <f>'Data Ocupacion'!AK38</f>
        <v>0</v>
      </c>
      <c r="F121" s="235" t="s">
        <v>36</v>
      </c>
      <c r="G121" s="236">
        <f t="shared" si="114"/>
        <v>33</v>
      </c>
      <c r="H121" s="127">
        <f t="shared" si="115"/>
        <v>33</v>
      </c>
      <c r="I121" s="127">
        <f t="shared" si="116"/>
        <v>33</v>
      </c>
      <c r="J121" s="127">
        <f>G121*M$1</f>
        <v>960.63</v>
      </c>
      <c r="K121" s="156">
        <f>I121*M$1</f>
        <v>960.63</v>
      </c>
      <c r="L121" s="127">
        <f t="shared" si="117"/>
        <v>99905.52</v>
      </c>
      <c r="M121" s="127">
        <f t="shared" si="118"/>
        <v>3432</v>
      </c>
      <c r="N121" s="19"/>
      <c r="O121" s="19"/>
      <c r="P121" s="149"/>
      <c r="Q121" s="193"/>
      <c r="R121" s="195"/>
      <c r="S121" s="217"/>
      <c r="T121" s="196"/>
      <c r="U121" s="197"/>
      <c r="V121" s="197"/>
      <c r="W121" s="188">
        <f>J121-(Q121*($M$1-$K$1))</f>
        <v>960.63</v>
      </c>
      <c r="X121" s="188">
        <f>H121*$M$1</f>
        <v>960.63</v>
      </c>
    </row>
    <row r="122" spans="1:26" ht="15" customHeight="1" x14ac:dyDescent="0.25">
      <c r="A122" s="277"/>
      <c r="B122" s="127">
        <v>32</v>
      </c>
      <c r="C122" s="127">
        <v>0</v>
      </c>
      <c r="D122" s="128">
        <f>'Data Ocupacion'!AJ39</f>
        <v>32</v>
      </c>
      <c r="E122" s="128">
        <f>'Data Ocupacion'!AK39</f>
        <v>0</v>
      </c>
      <c r="F122" s="235" t="s">
        <v>53</v>
      </c>
      <c r="G122" s="236">
        <f t="shared" si="114"/>
        <v>32</v>
      </c>
      <c r="H122" s="127">
        <f t="shared" si="115"/>
        <v>32</v>
      </c>
      <c r="I122" s="127">
        <f t="shared" si="116"/>
        <v>32</v>
      </c>
      <c r="J122" s="127">
        <f>G122*M$1</f>
        <v>931.52</v>
      </c>
      <c r="K122" s="156">
        <f>I122*M$1</f>
        <v>931.52</v>
      </c>
      <c r="L122" s="127">
        <f t="shared" si="117"/>
        <v>96878.080000000002</v>
      </c>
      <c r="M122" s="127">
        <f t="shared" si="118"/>
        <v>3328</v>
      </c>
      <c r="N122" s="19"/>
      <c r="O122" s="19"/>
      <c r="P122" s="149"/>
      <c r="Q122" s="197"/>
      <c r="R122" s="197"/>
      <c r="S122" s="197"/>
      <c r="T122" s="197"/>
      <c r="U122" s="197"/>
      <c r="V122" s="197"/>
      <c r="W122" s="188">
        <f t="shared" ref="W122:W123" si="119">J122</f>
        <v>931.52</v>
      </c>
      <c r="X122" s="188">
        <f>H122*$M$1</f>
        <v>931.52</v>
      </c>
      <c r="Z122" s="206"/>
    </row>
    <row r="123" spans="1:26" ht="15" customHeight="1" x14ac:dyDescent="0.25">
      <c r="A123" s="277"/>
      <c r="B123" s="127">
        <v>0</v>
      </c>
      <c r="C123" s="127">
        <v>0</v>
      </c>
      <c r="D123" s="128">
        <f>'Data Ocupacion'!AJ40</f>
        <v>0</v>
      </c>
      <c r="E123" s="128">
        <f>'Data Ocupacion'!AK40</f>
        <v>0</v>
      </c>
      <c r="F123" s="235" t="s">
        <v>122</v>
      </c>
      <c r="G123" s="236">
        <f t="shared" si="114"/>
        <v>0</v>
      </c>
      <c r="H123" s="127">
        <f t="shared" si="115"/>
        <v>0</v>
      </c>
      <c r="I123" s="127">
        <f t="shared" si="116"/>
        <v>0</v>
      </c>
      <c r="J123" s="238">
        <f>G123*K$1</f>
        <v>0</v>
      </c>
      <c r="K123" s="156">
        <f>I123*K$1</f>
        <v>0</v>
      </c>
      <c r="L123" s="127">
        <f t="shared" si="117"/>
        <v>0</v>
      </c>
      <c r="M123" s="127">
        <f t="shared" si="118"/>
        <v>0</v>
      </c>
      <c r="N123" s="19"/>
      <c r="O123" s="19"/>
      <c r="P123" s="149"/>
      <c r="Q123" s="197"/>
      <c r="R123" s="197"/>
      <c r="S123" s="197"/>
      <c r="T123" s="197"/>
      <c r="U123" s="197"/>
      <c r="V123" s="197"/>
      <c r="W123" s="188">
        <f t="shared" si="119"/>
        <v>0</v>
      </c>
      <c r="X123" s="188">
        <f>H123*$K$1</f>
        <v>0</v>
      </c>
    </row>
    <row r="124" spans="1:26" ht="14.25" customHeight="1" thickBot="1" x14ac:dyDescent="0.3">
      <c r="A124" s="277"/>
      <c r="B124" s="127">
        <v>1</v>
      </c>
      <c r="C124" s="127">
        <v>0</v>
      </c>
      <c r="D124" s="128">
        <f>'Data Ocupacion'!AJ41</f>
        <v>1</v>
      </c>
      <c r="E124" s="128">
        <f>'Data Ocupacion'!AK41</f>
        <v>0</v>
      </c>
      <c r="F124" s="235" t="s">
        <v>35</v>
      </c>
      <c r="G124" s="236">
        <f t="shared" si="114"/>
        <v>1</v>
      </c>
      <c r="H124" s="127">
        <f t="shared" si="115"/>
        <v>1</v>
      </c>
      <c r="I124" s="239">
        <f t="shared" si="116"/>
        <v>1</v>
      </c>
      <c r="J124" s="239">
        <f>G124*K$1</f>
        <v>25.4</v>
      </c>
      <c r="K124" s="156">
        <f>I124*K$1</f>
        <v>25.4</v>
      </c>
      <c r="L124" s="127">
        <f t="shared" si="117"/>
        <v>2641.6</v>
      </c>
      <c r="M124" s="127">
        <f t="shared" si="118"/>
        <v>104</v>
      </c>
      <c r="N124" s="19"/>
      <c r="O124" s="19"/>
      <c r="P124" s="149"/>
      <c r="Q124" s="197"/>
      <c r="R124" s="197"/>
      <c r="S124" s="197"/>
      <c r="T124" s="197"/>
      <c r="U124" s="197"/>
      <c r="V124" s="197"/>
      <c r="W124" s="188">
        <f>J124</f>
        <v>25.4</v>
      </c>
      <c r="X124" s="188">
        <f>H124*$K$1</f>
        <v>25.4</v>
      </c>
    </row>
    <row r="125" spans="1:26" s="126" customFormat="1" ht="15" customHeight="1" thickBot="1" x14ac:dyDescent="0.3">
      <c r="A125" s="20"/>
      <c r="B125" s="230">
        <f>SUM(B119:B124)</f>
        <v>220</v>
      </c>
      <c r="C125" s="230">
        <f>SUM(C119:C124)</f>
        <v>3</v>
      </c>
      <c r="D125" s="151">
        <f>SUM(D119:D124)</f>
        <v>220</v>
      </c>
      <c r="E125" s="151">
        <f>SUM(E119:E124)</f>
        <v>3</v>
      </c>
      <c r="F125" s="121"/>
      <c r="G125" s="121">
        <f t="shared" ref="G125:M125" si="120">SUM(G119:G124)</f>
        <v>226</v>
      </c>
      <c r="H125" s="121">
        <f t="shared" si="71"/>
        <v>226</v>
      </c>
      <c r="I125" s="121">
        <f t="shared" si="120"/>
        <v>223</v>
      </c>
      <c r="J125" s="122">
        <f>SUM(J119:J124)</f>
        <v>8818.35</v>
      </c>
      <c r="K125" s="121">
        <f t="shared" si="120"/>
        <v>8688.9599999999991</v>
      </c>
      <c r="L125" s="121">
        <f t="shared" si="120"/>
        <v>917108.4</v>
      </c>
      <c r="M125" s="121">
        <f t="shared" si="120"/>
        <v>23192</v>
      </c>
      <c r="N125" s="125">
        <f>'Odometro-Kilometraje'!R81</f>
        <v>9289</v>
      </c>
      <c r="O125" s="21">
        <f>(W125/N125)*100</f>
        <v>94.933254386909255</v>
      </c>
      <c r="P125" s="200"/>
      <c r="Q125" s="187"/>
      <c r="R125" s="187"/>
      <c r="S125" s="187"/>
      <c r="T125" s="187"/>
      <c r="U125" s="187"/>
      <c r="V125" s="187"/>
      <c r="W125" s="201">
        <f>SUM(W119:W124)</f>
        <v>8818.35</v>
      </c>
      <c r="X125" s="201">
        <f>SUM(X119:X124)</f>
        <v>8818.35</v>
      </c>
    </row>
    <row r="126" spans="1:26" ht="15.95" customHeight="1" x14ac:dyDescent="0.25">
      <c r="A126" s="62">
        <f>A119+1</f>
        <v>45706</v>
      </c>
      <c r="B126" s="127">
        <v>78</v>
      </c>
      <c r="C126" s="127">
        <v>1</v>
      </c>
      <c r="D126" s="128">
        <f>'Data Ocupacion'!AL36</f>
        <v>78</v>
      </c>
      <c r="E126" s="128">
        <f>'Data Ocupacion'!AM36</f>
        <v>1</v>
      </c>
      <c r="F126" s="235" t="s">
        <v>38</v>
      </c>
      <c r="G126" s="236">
        <f t="shared" ref="G126:G131" si="121">D126+E126*2</f>
        <v>80</v>
      </c>
      <c r="H126" s="127">
        <f t="shared" ref="H126:H131" si="122">B126+C126*2</f>
        <v>80</v>
      </c>
      <c r="I126" s="237">
        <f t="shared" ref="I126:I131" si="123">D126+E126</f>
        <v>79</v>
      </c>
      <c r="J126" s="237">
        <f>G126*M$2</f>
        <v>3450.4</v>
      </c>
      <c r="K126" s="156">
        <f>I126*M$2</f>
        <v>3407.27</v>
      </c>
      <c r="L126" s="127">
        <f t="shared" ref="L126:L131" si="124">J126*104</f>
        <v>358841.60000000003</v>
      </c>
      <c r="M126" s="127">
        <f t="shared" ref="M126:M131" si="125">I126*104</f>
        <v>8216</v>
      </c>
      <c r="N126" s="19"/>
      <c r="O126" s="19"/>
      <c r="P126" s="149"/>
      <c r="Q126" s="189"/>
      <c r="R126" s="189"/>
      <c r="S126" s="216"/>
      <c r="T126" s="198"/>
      <c r="U126" s="199"/>
      <c r="V126" s="245"/>
      <c r="W126" s="188">
        <f>J126-(Q126*($M$2-$K$1)+(R126*($M$2-$M$1))+  (S126*($M$2-$I$2)))</f>
        <v>3450.4</v>
      </c>
      <c r="X126" s="188">
        <f>H126*$M$2</f>
        <v>3450.4</v>
      </c>
    </row>
    <row r="127" spans="1:26" ht="15" customHeight="1" x14ac:dyDescent="0.25">
      <c r="A127" s="277"/>
      <c r="B127" s="127">
        <v>76</v>
      </c>
      <c r="C127" s="127">
        <v>2</v>
      </c>
      <c r="D127" s="128">
        <f>'Data Ocupacion'!AL37</f>
        <v>76</v>
      </c>
      <c r="E127" s="128">
        <f>'Data Ocupacion'!AM37</f>
        <v>2</v>
      </c>
      <c r="F127" s="235" t="s">
        <v>52</v>
      </c>
      <c r="G127" s="236">
        <f t="shared" si="121"/>
        <v>80</v>
      </c>
      <c r="H127" s="127">
        <f t="shared" si="122"/>
        <v>80</v>
      </c>
      <c r="I127" s="127">
        <f t="shared" si="123"/>
        <v>78</v>
      </c>
      <c r="J127" s="127">
        <f>G127*M$2</f>
        <v>3450.4</v>
      </c>
      <c r="K127" s="156">
        <f>I127*M$2</f>
        <v>3364.1400000000003</v>
      </c>
      <c r="L127" s="127">
        <f t="shared" si="124"/>
        <v>358841.60000000003</v>
      </c>
      <c r="M127" s="127">
        <f t="shared" si="125"/>
        <v>8112</v>
      </c>
      <c r="N127" s="19"/>
      <c r="O127" s="19"/>
      <c r="P127" s="149"/>
      <c r="Q127" s="194"/>
      <c r="R127" s="194"/>
      <c r="S127" s="194"/>
      <c r="T127" s="189"/>
      <c r="U127" s="191"/>
      <c r="V127" s="246"/>
      <c r="W127" s="192">
        <f>J127-(T127*($M$2-$K$1)+(U127*($M$2-$M$1)))</f>
        <v>3450.4</v>
      </c>
      <c r="X127" s="188">
        <f>H127*$M$2</f>
        <v>3450.4</v>
      </c>
    </row>
    <row r="128" spans="1:26" ht="15" customHeight="1" x14ac:dyDescent="0.25">
      <c r="A128" s="277"/>
      <c r="B128" s="127">
        <v>33</v>
      </c>
      <c r="C128" s="127">
        <v>0</v>
      </c>
      <c r="D128" s="128">
        <f>'Data Ocupacion'!AL38</f>
        <v>33</v>
      </c>
      <c r="E128" s="128">
        <f>'Data Ocupacion'!AM38</f>
        <v>0</v>
      </c>
      <c r="F128" s="235" t="s">
        <v>36</v>
      </c>
      <c r="G128" s="236">
        <f t="shared" si="121"/>
        <v>33</v>
      </c>
      <c r="H128" s="127">
        <f t="shared" si="122"/>
        <v>33</v>
      </c>
      <c r="I128" s="127">
        <f t="shared" si="123"/>
        <v>33</v>
      </c>
      <c r="J128" s="127">
        <f>G128*M$1</f>
        <v>960.63</v>
      </c>
      <c r="K128" s="156">
        <f>I128*M$1</f>
        <v>960.63</v>
      </c>
      <c r="L128" s="127">
        <f t="shared" si="124"/>
        <v>99905.52</v>
      </c>
      <c r="M128" s="127">
        <f t="shared" si="125"/>
        <v>3432</v>
      </c>
      <c r="N128" s="19"/>
      <c r="O128" s="19"/>
      <c r="P128" s="149"/>
      <c r="Q128" s="193"/>
      <c r="R128" s="195"/>
      <c r="S128" s="217"/>
      <c r="T128" s="196"/>
      <c r="U128" s="197"/>
      <c r="V128" s="197"/>
      <c r="W128" s="188">
        <f>J128-(Q128*($M$1-$K$1))</f>
        <v>960.63</v>
      </c>
      <c r="X128" s="188">
        <f>H128*$M$1</f>
        <v>960.63</v>
      </c>
    </row>
    <row r="129" spans="1:24" ht="15" customHeight="1" x14ac:dyDescent="0.25">
      <c r="A129" s="277"/>
      <c r="B129" s="127">
        <v>32</v>
      </c>
      <c r="C129" s="127">
        <v>0</v>
      </c>
      <c r="D129" s="128">
        <f>'Data Ocupacion'!AL39</f>
        <v>32</v>
      </c>
      <c r="E129" s="128">
        <f>'Data Ocupacion'!AM39</f>
        <v>0</v>
      </c>
      <c r="F129" s="235" t="s">
        <v>53</v>
      </c>
      <c r="G129" s="236">
        <f t="shared" si="121"/>
        <v>32</v>
      </c>
      <c r="H129" s="127">
        <f t="shared" si="122"/>
        <v>32</v>
      </c>
      <c r="I129" s="127">
        <f t="shared" si="123"/>
        <v>32</v>
      </c>
      <c r="J129" s="127">
        <f>G129*M$1</f>
        <v>931.52</v>
      </c>
      <c r="K129" s="156">
        <f>I129*M$1</f>
        <v>931.52</v>
      </c>
      <c r="L129" s="127">
        <f t="shared" si="124"/>
        <v>96878.080000000002</v>
      </c>
      <c r="M129" s="127">
        <f t="shared" si="125"/>
        <v>3328</v>
      </c>
      <c r="N129" s="19"/>
      <c r="O129" s="19"/>
      <c r="P129" s="149"/>
      <c r="Q129" s="197"/>
      <c r="R129" s="197"/>
      <c r="S129" s="197"/>
      <c r="T129" s="197"/>
      <c r="U129" s="197"/>
      <c r="V129" s="197"/>
      <c r="W129" s="188">
        <f t="shared" ref="W129:W130" si="126">J129</f>
        <v>931.52</v>
      </c>
      <c r="X129" s="188">
        <f>H129*$M$1</f>
        <v>931.52</v>
      </c>
    </row>
    <row r="130" spans="1:24" s="126" customFormat="1" ht="15" customHeight="1" x14ac:dyDescent="0.25">
      <c r="A130" s="277"/>
      <c r="B130" s="127">
        <v>0</v>
      </c>
      <c r="C130" s="127">
        <v>0</v>
      </c>
      <c r="D130" s="128">
        <f>'Data Ocupacion'!AL40</f>
        <v>0</v>
      </c>
      <c r="E130" s="128">
        <f>'Data Ocupacion'!AM40</f>
        <v>0</v>
      </c>
      <c r="F130" s="235" t="s">
        <v>122</v>
      </c>
      <c r="G130" s="236">
        <f t="shared" si="121"/>
        <v>0</v>
      </c>
      <c r="H130" s="127">
        <f t="shared" si="122"/>
        <v>0</v>
      </c>
      <c r="I130" s="127">
        <f t="shared" si="123"/>
        <v>0</v>
      </c>
      <c r="J130" s="238">
        <f>G130*K$1</f>
        <v>0</v>
      </c>
      <c r="K130" s="156">
        <f>I130*K$1</f>
        <v>0</v>
      </c>
      <c r="L130" s="127">
        <f t="shared" si="124"/>
        <v>0</v>
      </c>
      <c r="M130" s="127">
        <f t="shared" si="125"/>
        <v>0</v>
      </c>
      <c r="N130" s="19"/>
      <c r="O130" s="19"/>
      <c r="P130" s="149"/>
      <c r="Q130" s="197"/>
      <c r="R130" s="197"/>
      <c r="S130" s="197"/>
      <c r="T130" s="197"/>
      <c r="U130" s="197"/>
      <c r="V130" s="197"/>
      <c r="W130" s="188">
        <f t="shared" si="126"/>
        <v>0</v>
      </c>
      <c r="X130" s="188">
        <f>H130*$K$1</f>
        <v>0</v>
      </c>
    </row>
    <row r="131" spans="1:24" s="126" customFormat="1" ht="15" customHeight="1" thickBot="1" x14ac:dyDescent="0.3">
      <c r="A131" s="277"/>
      <c r="B131" s="127">
        <v>1</v>
      </c>
      <c r="C131" s="127">
        <v>0</v>
      </c>
      <c r="D131" s="128">
        <f>'Data Ocupacion'!AL41</f>
        <v>1</v>
      </c>
      <c r="E131" s="128">
        <f>'Data Ocupacion'!AM41</f>
        <v>0</v>
      </c>
      <c r="F131" s="235" t="s">
        <v>35</v>
      </c>
      <c r="G131" s="236">
        <f t="shared" si="121"/>
        <v>1</v>
      </c>
      <c r="H131" s="127">
        <f t="shared" si="122"/>
        <v>1</v>
      </c>
      <c r="I131" s="239">
        <f t="shared" si="123"/>
        <v>1</v>
      </c>
      <c r="J131" s="239">
        <f>G131*K$1</f>
        <v>25.4</v>
      </c>
      <c r="K131" s="156">
        <f>I131*K$1</f>
        <v>25.4</v>
      </c>
      <c r="L131" s="127">
        <f t="shared" si="124"/>
        <v>2641.6</v>
      </c>
      <c r="M131" s="127">
        <f t="shared" si="125"/>
        <v>104</v>
      </c>
      <c r="N131" s="19"/>
      <c r="O131" s="19"/>
      <c r="P131" s="149"/>
      <c r="Q131" s="197"/>
      <c r="R131" s="197"/>
      <c r="S131" s="197"/>
      <c r="T131" s="197"/>
      <c r="U131" s="197"/>
      <c r="V131" s="197"/>
      <c r="W131" s="188">
        <f>J131</f>
        <v>25.4</v>
      </c>
      <c r="X131" s="188">
        <f>H131*$K$1</f>
        <v>25.4</v>
      </c>
    </row>
    <row r="132" spans="1:24" s="126" customFormat="1" ht="15" customHeight="1" thickBot="1" x14ac:dyDescent="0.3">
      <c r="A132" s="20"/>
      <c r="B132" s="230">
        <f>SUM(B126:B131)</f>
        <v>220</v>
      </c>
      <c r="C132" s="230">
        <f>SUM(C126:C131)</f>
        <v>3</v>
      </c>
      <c r="D132" s="151">
        <f>SUM(D126:D131)</f>
        <v>220</v>
      </c>
      <c r="E132" s="151">
        <f>SUM(E126:E131)</f>
        <v>3</v>
      </c>
      <c r="F132" s="121"/>
      <c r="G132" s="121">
        <f t="shared" ref="G132:M132" si="127">SUM(G126:G131)</f>
        <v>226</v>
      </c>
      <c r="H132" s="121">
        <f t="shared" si="71"/>
        <v>226</v>
      </c>
      <c r="I132" s="121">
        <f t="shared" si="127"/>
        <v>223</v>
      </c>
      <c r="J132" s="122">
        <f t="shared" si="127"/>
        <v>8818.35</v>
      </c>
      <c r="K132" s="121">
        <f t="shared" si="127"/>
        <v>8688.9599999999991</v>
      </c>
      <c r="L132" s="121">
        <f t="shared" si="127"/>
        <v>917108.4</v>
      </c>
      <c r="M132" s="121">
        <f t="shared" si="127"/>
        <v>23192</v>
      </c>
      <c r="N132" s="125">
        <f>'Odometro-Kilometraje'!S81</f>
        <v>9240</v>
      </c>
      <c r="O132" s="21">
        <f>(W132/N132)*100</f>
        <v>95.436688311688314</v>
      </c>
      <c r="P132" s="200"/>
      <c r="Q132" s="187"/>
      <c r="R132" s="187"/>
      <c r="S132" s="187"/>
      <c r="T132" s="187"/>
      <c r="U132" s="187"/>
      <c r="V132" s="187"/>
      <c r="W132" s="201">
        <f>SUM(W126:W131)</f>
        <v>8818.35</v>
      </c>
      <c r="X132" s="201">
        <f>SUM(X126:X131)</f>
        <v>8818.35</v>
      </c>
    </row>
    <row r="133" spans="1:24" ht="15" customHeight="1" x14ac:dyDescent="0.25">
      <c r="A133" s="62">
        <f>A126+1</f>
        <v>45707</v>
      </c>
      <c r="B133" s="127">
        <v>78</v>
      </c>
      <c r="C133" s="127">
        <v>1</v>
      </c>
      <c r="D133" s="128">
        <f>'Data Ocupacion'!AN36</f>
        <v>78</v>
      </c>
      <c r="E133" s="128">
        <f>'Data Ocupacion'!AO36</f>
        <v>1</v>
      </c>
      <c r="F133" s="235" t="s">
        <v>38</v>
      </c>
      <c r="G133" s="236">
        <f t="shared" ref="G133:G138" si="128">D133+E133*2</f>
        <v>80</v>
      </c>
      <c r="H133" s="127">
        <f t="shared" ref="H133:H138" si="129">B133+C133*2</f>
        <v>80</v>
      </c>
      <c r="I133" s="237">
        <f t="shared" ref="I133:I138" si="130">D133+E133</f>
        <v>79</v>
      </c>
      <c r="J133" s="237">
        <f>G133*M$2</f>
        <v>3450.4</v>
      </c>
      <c r="K133" s="156">
        <f>I133*M$2</f>
        <v>3407.27</v>
      </c>
      <c r="L133" s="127">
        <f t="shared" ref="L133:L138" si="131">J133*104</f>
        <v>358841.60000000003</v>
      </c>
      <c r="M133" s="127">
        <f t="shared" ref="M133:M138" si="132">I133*104</f>
        <v>8216</v>
      </c>
      <c r="N133" s="19"/>
      <c r="O133" s="19"/>
      <c r="P133" s="149"/>
      <c r="Q133" s="189"/>
      <c r="R133" s="189"/>
      <c r="S133" s="216"/>
      <c r="T133" s="211"/>
      <c r="U133" s="199"/>
      <c r="V133" s="245"/>
      <c r="W133" s="188">
        <f>J133-(Q133*($M$2-$K$1)+(R133*($M$2-$M$1))+  (S133*($M$2-$I$2))+(T133*$K$1))</f>
        <v>3450.4</v>
      </c>
      <c r="X133" s="188">
        <f>H133*$M$2</f>
        <v>3450.4</v>
      </c>
    </row>
    <row r="134" spans="1:24" ht="15" customHeight="1" x14ac:dyDescent="0.25">
      <c r="A134" s="210"/>
      <c r="B134" s="127">
        <v>76</v>
      </c>
      <c r="C134" s="127">
        <v>2</v>
      </c>
      <c r="D134" s="128">
        <f>'Data Ocupacion'!AN37</f>
        <v>76</v>
      </c>
      <c r="E134" s="128">
        <f>'Data Ocupacion'!AO37</f>
        <v>2</v>
      </c>
      <c r="F134" s="235" t="s">
        <v>52</v>
      </c>
      <c r="G134" s="236">
        <f t="shared" si="128"/>
        <v>80</v>
      </c>
      <c r="H134" s="127">
        <f t="shared" si="129"/>
        <v>80</v>
      </c>
      <c r="I134" s="127">
        <f t="shared" si="130"/>
        <v>78</v>
      </c>
      <c r="J134" s="127">
        <f>G134*M$2</f>
        <v>3450.4</v>
      </c>
      <c r="K134" s="156">
        <f>I134*M$2</f>
        <v>3364.1400000000003</v>
      </c>
      <c r="L134" s="127">
        <f t="shared" si="131"/>
        <v>358841.60000000003</v>
      </c>
      <c r="M134" s="127">
        <f t="shared" si="132"/>
        <v>8112</v>
      </c>
      <c r="N134" s="19"/>
      <c r="O134" s="19"/>
      <c r="P134" s="149"/>
      <c r="Q134" s="194"/>
      <c r="R134" s="194"/>
      <c r="S134" s="194"/>
      <c r="T134" s="189"/>
      <c r="U134" s="191"/>
      <c r="V134" s="246"/>
      <c r="W134" s="192">
        <f>J134-(T134*($M$2-$K$1)+(U134*($M$2-$M$1)))</f>
        <v>3450.4</v>
      </c>
      <c r="X134" s="188">
        <f>H134*$M$2</f>
        <v>3450.4</v>
      </c>
    </row>
    <row r="135" spans="1:24" ht="15" customHeight="1" x14ac:dyDescent="0.25">
      <c r="A135" s="210"/>
      <c r="B135" s="127">
        <v>33</v>
      </c>
      <c r="C135" s="127">
        <v>0</v>
      </c>
      <c r="D135" s="128">
        <f>'Data Ocupacion'!AN38</f>
        <v>33</v>
      </c>
      <c r="E135" s="128">
        <f>'Data Ocupacion'!AO38</f>
        <v>0</v>
      </c>
      <c r="F135" s="235" t="s">
        <v>36</v>
      </c>
      <c r="G135" s="236">
        <f t="shared" si="128"/>
        <v>33</v>
      </c>
      <c r="H135" s="127">
        <f t="shared" si="129"/>
        <v>33</v>
      </c>
      <c r="I135" s="127">
        <f t="shared" si="130"/>
        <v>33</v>
      </c>
      <c r="J135" s="127">
        <f>G135*M$1</f>
        <v>960.63</v>
      </c>
      <c r="K135" s="156">
        <f>I135*M$1</f>
        <v>960.63</v>
      </c>
      <c r="L135" s="127">
        <f t="shared" si="131"/>
        <v>99905.52</v>
      </c>
      <c r="M135" s="127">
        <f t="shared" si="132"/>
        <v>3432</v>
      </c>
      <c r="N135" s="19"/>
      <c r="O135" s="19"/>
      <c r="P135" s="149"/>
      <c r="Q135" s="193"/>
      <c r="R135" s="195"/>
      <c r="S135" s="217"/>
      <c r="T135" s="196"/>
      <c r="U135" s="197"/>
      <c r="V135" s="197"/>
      <c r="W135" s="188">
        <f>J135-(Q135*($M$1-$K$1))</f>
        <v>960.63</v>
      </c>
      <c r="X135" s="188">
        <f>H135*$M$1</f>
        <v>960.63</v>
      </c>
    </row>
    <row r="136" spans="1:24" ht="15" customHeight="1" x14ac:dyDescent="0.25">
      <c r="A136" s="210"/>
      <c r="B136" s="127">
        <v>32</v>
      </c>
      <c r="C136" s="127">
        <v>0</v>
      </c>
      <c r="D136" s="128">
        <f>'Data Ocupacion'!AN39</f>
        <v>32</v>
      </c>
      <c r="E136" s="128">
        <f>'Data Ocupacion'!AO39</f>
        <v>0</v>
      </c>
      <c r="F136" s="235" t="s">
        <v>53</v>
      </c>
      <c r="G136" s="236">
        <f t="shared" si="128"/>
        <v>32</v>
      </c>
      <c r="H136" s="127">
        <f t="shared" si="129"/>
        <v>32</v>
      </c>
      <c r="I136" s="127">
        <f t="shared" si="130"/>
        <v>32</v>
      </c>
      <c r="J136" s="127">
        <f>G136*M$1</f>
        <v>931.52</v>
      </c>
      <c r="K136" s="156">
        <f>I136*M$1</f>
        <v>931.52</v>
      </c>
      <c r="L136" s="127">
        <f t="shared" si="131"/>
        <v>96878.080000000002</v>
      </c>
      <c r="M136" s="127">
        <f t="shared" si="132"/>
        <v>3328</v>
      </c>
      <c r="N136" s="19"/>
      <c r="O136" s="19"/>
      <c r="P136" s="149"/>
      <c r="Q136" s="197"/>
      <c r="R136" s="197"/>
      <c r="S136" s="197"/>
      <c r="T136" s="197"/>
      <c r="U136" s="197"/>
      <c r="V136" s="197"/>
      <c r="W136" s="188">
        <f t="shared" ref="W136:W137" si="133">J136</f>
        <v>931.52</v>
      </c>
      <c r="X136" s="188">
        <f>H136*$M$1</f>
        <v>931.52</v>
      </c>
    </row>
    <row r="137" spans="1:24" ht="15" customHeight="1" x14ac:dyDescent="0.25">
      <c r="A137" s="210"/>
      <c r="B137" s="127">
        <v>0</v>
      </c>
      <c r="C137" s="127">
        <v>0</v>
      </c>
      <c r="D137" s="128">
        <f>'Data Ocupacion'!AN40</f>
        <v>0</v>
      </c>
      <c r="E137" s="128">
        <f>'Data Ocupacion'!AO40</f>
        <v>0</v>
      </c>
      <c r="F137" s="235" t="s">
        <v>122</v>
      </c>
      <c r="G137" s="236">
        <f t="shared" si="128"/>
        <v>0</v>
      </c>
      <c r="H137" s="127">
        <f t="shared" si="129"/>
        <v>0</v>
      </c>
      <c r="I137" s="127">
        <f t="shared" si="130"/>
        <v>0</v>
      </c>
      <c r="J137" s="238">
        <f>G137*K$1</f>
        <v>0</v>
      </c>
      <c r="K137" s="156">
        <f>I137*K$1</f>
        <v>0</v>
      </c>
      <c r="L137" s="127">
        <f t="shared" si="131"/>
        <v>0</v>
      </c>
      <c r="M137" s="127">
        <f t="shared" si="132"/>
        <v>0</v>
      </c>
      <c r="N137" s="19"/>
      <c r="O137" s="19"/>
      <c r="P137" s="149"/>
      <c r="Q137" s="197"/>
      <c r="R137" s="197"/>
      <c r="S137" s="197"/>
      <c r="T137" s="197"/>
      <c r="U137" s="197"/>
      <c r="V137" s="197"/>
      <c r="W137" s="188">
        <f t="shared" si="133"/>
        <v>0</v>
      </c>
      <c r="X137" s="188">
        <f>H137*$K$1</f>
        <v>0</v>
      </c>
    </row>
    <row r="138" spans="1:24" ht="15" customHeight="1" thickBot="1" x14ac:dyDescent="0.3">
      <c r="A138" s="210"/>
      <c r="B138" s="127">
        <v>1</v>
      </c>
      <c r="C138" s="127">
        <v>0</v>
      </c>
      <c r="D138" s="128">
        <f>'Data Ocupacion'!AN41</f>
        <v>1</v>
      </c>
      <c r="E138" s="128">
        <f>'Data Ocupacion'!AO41</f>
        <v>0</v>
      </c>
      <c r="F138" s="235" t="s">
        <v>35</v>
      </c>
      <c r="G138" s="236">
        <f t="shared" si="128"/>
        <v>1</v>
      </c>
      <c r="H138" s="127">
        <f t="shared" si="129"/>
        <v>1</v>
      </c>
      <c r="I138" s="239">
        <f t="shared" si="130"/>
        <v>1</v>
      </c>
      <c r="J138" s="239">
        <f>G138*K$1</f>
        <v>25.4</v>
      </c>
      <c r="K138" s="156">
        <f>I138*K$1</f>
        <v>25.4</v>
      </c>
      <c r="L138" s="127">
        <f t="shared" si="131"/>
        <v>2641.6</v>
      </c>
      <c r="M138" s="127">
        <f t="shared" si="132"/>
        <v>104</v>
      </c>
      <c r="N138" s="19"/>
      <c r="O138" s="19"/>
      <c r="P138" s="149"/>
      <c r="Q138" s="197"/>
      <c r="R138" s="197"/>
      <c r="S138" s="197"/>
      <c r="T138" s="197"/>
      <c r="U138" s="197"/>
      <c r="V138" s="197"/>
      <c r="W138" s="188">
        <f>J138</f>
        <v>25.4</v>
      </c>
      <c r="X138" s="188">
        <f>H138*$K$1</f>
        <v>25.4</v>
      </c>
    </row>
    <row r="139" spans="1:24" s="126" customFormat="1" ht="15" customHeight="1" thickBot="1" x14ac:dyDescent="0.3">
      <c r="A139" s="20"/>
      <c r="B139" s="230">
        <f>SUM(B133:B138)</f>
        <v>220</v>
      </c>
      <c r="C139" s="230">
        <f>SUM(C133:C138)</f>
        <v>3</v>
      </c>
      <c r="D139" s="151">
        <f>SUM(D133:D138)</f>
        <v>220</v>
      </c>
      <c r="E139" s="151">
        <f>SUM(E133:E138)</f>
        <v>3</v>
      </c>
      <c r="F139" s="121"/>
      <c r="G139" s="121">
        <f t="shared" ref="G139:M139" si="134">SUM(G133:G138)</f>
        <v>226</v>
      </c>
      <c r="H139" s="121">
        <f t="shared" ref="H134:H197" si="135">D139+E139*2</f>
        <v>226</v>
      </c>
      <c r="I139" s="121">
        <f t="shared" si="134"/>
        <v>223</v>
      </c>
      <c r="J139" s="122">
        <f t="shared" si="134"/>
        <v>8818.35</v>
      </c>
      <c r="K139" s="121">
        <f t="shared" si="134"/>
        <v>8688.9599999999991</v>
      </c>
      <c r="L139" s="121">
        <f t="shared" si="134"/>
        <v>917108.4</v>
      </c>
      <c r="M139" s="121">
        <f t="shared" si="134"/>
        <v>23192</v>
      </c>
      <c r="N139" s="125">
        <f>'Odometro-Kilometraje'!T81</f>
        <v>9150</v>
      </c>
      <c r="O139" s="21">
        <f>(W139/N139)*100</f>
        <v>96.375409836065572</v>
      </c>
      <c r="P139" s="200"/>
      <c r="Q139" s="187"/>
      <c r="R139" s="187"/>
      <c r="S139" s="187"/>
      <c r="T139" s="187"/>
      <c r="U139" s="187"/>
      <c r="V139" s="187"/>
      <c r="W139" s="201">
        <f>SUM(W133:W138)</f>
        <v>8818.35</v>
      </c>
      <c r="X139" s="201">
        <f>SUM(X133:X138)</f>
        <v>8818.35</v>
      </c>
    </row>
    <row r="140" spans="1:24" ht="15.95" customHeight="1" x14ac:dyDescent="0.25">
      <c r="A140" s="62">
        <f>A133+1</f>
        <v>45708</v>
      </c>
      <c r="B140" s="127">
        <v>78</v>
      </c>
      <c r="C140" s="127">
        <v>1</v>
      </c>
      <c r="D140" s="128">
        <f>'Data Ocupacion'!AP36</f>
        <v>78</v>
      </c>
      <c r="E140" s="128">
        <f>'Data Ocupacion'!AQ36</f>
        <v>1</v>
      </c>
      <c r="F140" s="127" t="s">
        <v>38</v>
      </c>
      <c r="G140" s="127">
        <f t="shared" ref="G140:G145" si="136">D140+E140*2</f>
        <v>80</v>
      </c>
      <c r="H140" s="127">
        <f t="shared" ref="H140:H145" si="137">B140+C140*2</f>
        <v>80</v>
      </c>
      <c r="I140" s="127">
        <f t="shared" ref="I140:I145" si="138">D140+E140</f>
        <v>79</v>
      </c>
      <c r="J140" s="127">
        <f>G140*M$2</f>
        <v>3450.4</v>
      </c>
      <c r="K140" s="156">
        <f>I140*M$2</f>
        <v>3407.27</v>
      </c>
      <c r="L140" s="127">
        <f t="shared" ref="L140:L145" si="139">J140*104</f>
        <v>358841.60000000003</v>
      </c>
      <c r="M140" s="127">
        <f t="shared" ref="M140:M145" si="140">I140*104</f>
        <v>8216</v>
      </c>
      <c r="N140" s="19"/>
      <c r="O140" s="19"/>
      <c r="P140" s="149"/>
      <c r="Q140" s="263"/>
      <c r="R140" s="189"/>
      <c r="S140" s="216"/>
      <c r="T140" s="198"/>
      <c r="U140" s="199"/>
      <c r="V140" s="245"/>
      <c r="W140" s="188">
        <f>J140-(Q140*($M$2-$K$1)+(R140*($M$2-$M$1))+  (S140*($M$2-$I$2)))</f>
        <v>3450.4</v>
      </c>
      <c r="X140" s="188">
        <f>H140*$M$2</f>
        <v>3450.4</v>
      </c>
    </row>
    <row r="141" spans="1:24" ht="15" customHeight="1" x14ac:dyDescent="0.25">
      <c r="A141" s="281"/>
      <c r="B141" s="127">
        <v>76</v>
      </c>
      <c r="C141" s="127">
        <v>2</v>
      </c>
      <c r="D141" s="128">
        <f>'Data Ocupacion'!AP37</f>
        <v>76</v>
      </c>
      <c r="E141" s="128">
        <f>'Data Ocupacion'!AQ37</f>
        <v>2</v>
      </c>
      <c r="F141" s="127" t="s">
        <v>52</v>
      </c>
      <c r="G141" s="127">
        <f t="shared" si="136"/>
        <v>80</v>
      </c>
      <c r="H141" s="127">
        <f t="shared" si="137"/>
        <v>80</v>
      </c>
      <c r="I141" s="127">
        <f t="shared" si="138"/>
        <v>78</v>
      </c>
      <c r="J141" s="127">
        <f>G141*M$2</f>
        <v>3450.4</v>
      </c>
      <c r="K141" s="156">
        <f>I141*M$2</f>
        <v>3364.1400000000003</v>
      </c>
      <c r="L141" s="127">
        <f t="shared" si="139"/>
        <v>358841.60000000003</v>
      </c>
      <c r="M141" s="127">
        <f t="shared" si="140"/>
        <v>8112</v>
      </c>
      <c r="N141" s="19"/>
      <c r="O141" s="19"/>
      <c r="P141" s="149"/>
      <c r="Q141" s="194"/>
      <c r="R141" s="194"/>
      <c r="S141" s="194"/>
      <c r="T141" s="263"/>
      <c r="U141" s="191"/>
      <c r="V141" s="216"/>
      <c r="W141" s="192">
        <f>J141-(T141*($M$2-$K$1)+(U141*($M$2-$M$1)))</f>
        <v>3450.4</v>
      </c>
      <c r="X141" s="188">
        <f>H141*$M$2</f>
        <v>3450.4</v>
      </c>
    </row>
    <row r="142" spans="1:24" ht="15" customHeight="1" x14ac:dyDescent="0.25">
      <c r="A142" s="281"/>
      <c r="B142" s="127">
        <v>33</v>
      </c>
      <c r="C142" s="127">
        <v>0</v>
      </c>
      <c r="D142" s="128">
        <f>'Data Ocupacion'!AP38</f>
        <v>33</v>
      </c>
      <c r="E142" s="128">
        <f>'Data Ocupacion'!AQ38</f>
        <v>0</v>
      </c>
      <c r="F142" s="127" t="s">
        <v>36</v>
      </c>
      <c r="G142" s="127">
        <f t="shared" si="136"/>
        <v>33</v>
      </c>
      <c r="H142" s="127">
        <f t="shared" si="137"/>
        <v>33</v>
      </c>
      <c r="I142" s="127">
        <f t="shared" si="138"/>
        <v>33</v>
      </c>
      <c r="J142" s="127">
        <f>G142*M$1</f>
        <v>960.63</v>
      </c>
      <c r="K142" s="156">
        <f>I142*M$1</f>
        <v>960.63</v>
      </c>
      <c r="L142" s="127">
        <f t="shared" si="139"/>
        <v>99905.52</v>
      </c>
      <c r="M142" s="127">
        <f t="shared" si="140"/>
        <v>3432</v>
      </c>
      <c r="N142" s="19"/>
      <c r="O142" s="19"/>
      <c r="P142" s="149"/>
      <c r="Q142" s="193"/>
      <c r="R142" s="195"/>
      <c r="S142" s="217"/>
      <c r="T142" s="196"/>
      <c r="U142" s="197"/>
      <c r="V142" s="197"/>
      <c r="W142" s="188">
        <f>J142-(Q142*($M$1-$K$1))</f>
        <v>960.63</v>
      </c>
      <c r="X142" s="188">
        <f>H142*$M$1</f>
        <v>960.63</v>
      </c>
    </row>
    <row r="143" spans="1:24" ht="15" customHeight="1" x14ac:dyDescent="0.25">
      <c r="A143" s="281"/>
      <c r="B143" s="127">
        <v>32</v>
      </c>
      <c r="C143" s="127">
        <v>0</v>
      </c>
      <c r="D143" s="128">
        <f>'Data Ocupacion'!AP39</f>
        <v>32</v>
      </c>
      <c r="E143" s="128">
        <f>'Data Ocupacion'!AQ39</f>
        <v>0</v>
      </c>
      <c r="F143" s="127" t="s">
        <v>53</v>
      </c>
      <c r="G143" s="127">
        <f t="shared" si="136"/>
        <v>32</v>
      </c>
      <c r="H143" s="127">
        <f t="shared" si="137"/>
        <v>32</v>
      </c>
      <c r="I143" s="127">
        <f t="shared" si="138"/>
        <v>32</v>
      </c>
      <c r="J143" s="127">
        <f>G143*M$1</f>
        <v>931.52</v>
      </c>
      <c r="K143" s="156">
        <f>I143*M$1</f>
        <v>931.52</v>
      </c>
      <c r="L143" s="127">
        <f t="shared" si="139"/>
        <v>96878.080000000002</v>
      </c>
      <c r="M143" s="127">
        <f t="shared" si="140"/>
        <v>3328</v>
      </c>
      <c r="N143" s="19"/>
      <c r="O143" s="19"/>
      <c r="P143" s="149"/>
      <c r="Q143" s="197"/>
      <c r="R143" s="197"/>
      <c r="S143" s="197"/>
      <c r="T143" s="197"/>
      <c r="U143" s="197"/>
      <c r="V143" s="197"/>
      <c r="W143" s="188">
        <f t="shared" ref="W143:W144" si="141">J143</f>
        <v>931.52</v>
      </c>
      <c r="X143" s="188">
        <f>H143*$M$1</f>
        <v>931.52</v>
      </c>
    </row>
    <row r="144" spans="1:24" ht="15" customHeight="1" x14ac:dyDescent="0.25">
      <c r="A144" s="281"/>
      <c r="B144" s="127">
        <v>0</v>
      </c>
      <c r="C144" s="127">
        <v>0</v>
      </c>
      <c r="D144" s="128">
        <f>'Data Ocupacion'!AP40</f>
        <v>0</v>
      </c>
      <c r="E144" s="128">
        <f>'Data Ocupacion'!AQ40</f>
        <v>0</v>
      </c>
      <c r="F144" s="127" t="s">
        <v>122</v>
      </c>
      <c r="G144" s="127">
        <f t="shared" si="136"/>
        <v>0</v>
      </c>
      <c r="H144" s="127">
        <f t="shared" si="137"/>
        <v>0</v>
      </c>
      <c r="I144" s="127">
        <f t="shared" si="138"/>
        <v>0</v>
      </c>
      <c r="J144" s="127">
        <f>G144*K$1</f>
        <v>0</v>
      </c>
      <c r="K144" s="156">
        <f>I144*K$1</f>
        <v>0</v>
      </c>
      <c r="L144" s="127">
        <f t="shared" si="139"/>
        <v>0</v>
      </c>
      <c r="M144" s="127">
        <f t="shared" si="140"/>
        <v>0</v>
      </c>
      <c r="N144" s="19"/>
      <c r="O144" s="19"/>
      <c r="P144" s="149"/>
      <c r="Q144" s="197"/>
      <c r="R144" s="197"/>
      <c r="S144" s="197"/>
      <c r="T144" s="197"/>
      <c r="U144" s="197"/>
      <c r="V144" s="197"/>
      <c r="W144" s="188">
        <f t="shared" si="141"/>
        <v>0</v>
      </c>
      <c r="X144" s="188">
        <f>H144*$K$1</f>
        <v>0</v>
      </c>
    </row>
    <row r="145" spans="1:26" ht="15" customHeight="1" thickBot="1" x14ac:dyDescent="0.3">
      <c r="A145" s="281"/>
      <c r="B145" s="127">
        <v>1</v>
      </c>
      <c r="C145" s="127">
        <v>0</v>
      </c>
      <c r="D145" s="128">
        <f>'Data Ocupacion'!AP41</f>
        <v>1</v>
      </c>
      <c r="E145" s="128">
        <f>'Data Ocupacion'!AQ41</f>
        <v>0</v>
      </c>
      <c r="F145" s="127" t="s">
        <v>35</v>
      </c>
      <c r="G145" s="127">
        <f t="shared" si="136"/>
        <v>1</v>
      </c>
      <c r="H145" s="127">
        <f t="shared" si="137"/>
        <v>1</v>
      </c>
      <c r="I145" s="127">
        <f t="shared" si="138"/>
        <v>1</v>
      </c>
      <c r="J145" s="127">
        <f>G145*K$1</f>
        <v>25.4</v>
      </c>
      <c r="K145" s="156">
        <f>I145*K$1</f>
        <v>25.4</v>
      </c>
      <c r="L145" s="127">
        <f t="shared" si="139"/>
        <v>2641.6</v>
      </c>
      <c r="M145" s="127">
        <f t="shared" si="140"/>
        <v>104</v>
      </c>
      <c r="N145" s="19"/>
      <c r="O145" s="19"/>
      <c r="P145" s="149"/>
      <c r="Q145" s="197"/>
      <c r="R145" s="197"/>
      <c r="S145" s="197"/>
      <c r="T145" s="197"/>
      <c r="U145" s="197"/>
      <c r="V145" s="197"/>
      <c r="W145" s="188">
        <f>J145</f>
        <v>25.4</v>
      </c>
      <c r="X145" s="188">
        <f>H145*$K$1</f>
        <v>25.4</v>
      </c>
    </row>
    <row r="146" spans="1:26" s="126" customFormat="1" ht="15" customHeight="1" thickBot="1" x14ac:dyDescent="0.3">
      <c r="A146" s="20"/>
      <c r="B146" s="230">
        <f>SUM(B140:B145)</f>
        <v>220</v>
      </c>
      <c r="C146" s="230">
        <f>SUM(C140:C145)</f>
        <v>3</v>
      </c>
      <c r="D146" s="151">
        <f>SUM(D140:D145)</f>
        <v>220</v>
      </c>
      <c r="E146" s="151">
        <f>SUM(E140:E145)</f>
        <v>3</v>
      </c>
      <c r="F146" s="121"/>
      <c r="G146" s="121">
        <f t="shared" ref="G146:M146" si="142">SUM(G140:G145)</f>
        <v>226</v>
      </c>
      <c r="H146" s="121">
        <f t="shared" si="135"/>
        <v>226</v>
      </c>
      <c r="I146" s="121">
        <f t="shared" si="142"/>
        <v>223</v>
      </c>
      <c r="J146" s="122">
        <f t="shared" si="142"/>
        <v>8818.35</v>
      </c>
      <c r="K146" s="121">
        <f t="shared" si="142"/>
        <v>8688.9599999999991</v>
      </c>
      <c r="L146" s="121">
        <f t="shared" si="142"/>
        <v>917108.4</v>
      </c>
      <c r="M146" s="121">
        <f t="shared" si="142"/>
        <v>23192</v>
      </c>
      <c r="N146" s="125">
        <f>'Odometro-Kilometraje'!U81</f>
        <v>9264</v>
      </c>
      <c r="O146" s="21">
        <f>(W146/N146)*100</f>
        <v>95.189443005181346</v>
      </c>
      <c r="P146" s="200"/>
      <c r="Q146" s="187"/>
      <c r="R146" s="187"/>
      <c r="S146" s="187"/>
      <c r="T146" s="187"/>
      <c r="U146" s="187"/>
      <c r="V146" s="187"/>
      <c r="W146" s="201">
        <f>SUM(W140:W145)</f>
        <v>8818.35</v>
      </c>
      <c r="X146" s="201">
        <f>SUM(X140:X145)</f>
        <v>8818.35</v>
      </c>
    </row>
    <row r="147" spans="1:26" x14ac:dyDescent="0.25">
      <c r="A147" s="62">
        <f>A140+1</f>
        <v>45709</v>
      </c>
      <c r="B147" s="127">
        <v>78</v>
      </c>
      <c r="C147" s="127">
        <v>1</v>
      </c>
      <c r="D147" s="128">
        <f>'Data Ocupacion'!AR36</f>
        <v>78</v>
      </c>
      <c r="E147" s="128">
        <f>'Data Ocupacion'!AS36</f>
        <v>1</v>
      </c>
      <c r="F147" s="235" t="s">
        <v>38</v>
      </c>
      <c r="G147" s="236">
        <f t="shared" ref="G147:G152" si="143">D147+E147*2</f>
        <v>80</v>
      </c>
      <c r="H147" s="127">
        <f t="shared" ref="H147:H152" si="144">B147+C147*2</f>
        <v>80</v>
      </c>
      <c r="I147" s="237">
        <f t="shared" ref="I147:I152" si="145">D147+E147</f>
        <v>79</v>
      </c>
      <c r="J147" s="237">
        <f>G147*M$2</f>
        <v>3450.4</v>
      </c>
      <c r="K147" s="156">
        <f>I147*M$2</f>
        <v>3407.27</v>
      </c>
      <c r="L147" s="127">
        <f t="shared" ref="L147:L152" si="146">J147*104</f>
        <v>358841.60000000003</v>
      </c>
      <c r="M147" s="127">
        <f t="shared" ref="M147:M152" si="147">I147*104</f>
        <v>8216</v>
      </c>
      <c r="N147" s="19"/>
      <c r="O147" s="19"/>
      <c r="P147" s="149"/>
      <c r="Q147" s="263"/>
      <c r="R147" s="189"/>
      <c r="S147" s="216"/>
      <c r="T147" s="198"/>
      <c r="U147" s="199"/>
      <c r="V147" s="245"/>
      <c r="W147" s="188">
        <f>J147-(Q147*($M$2-$K$1)+(R147*($M$2-$M$1))+  (S147*($M$2-$I$2)))</f>
        <v>3450.4</v>
      </c>
      <c r="X147" s="188">
        <f>H147*$M$2</f>
        <v>3450.4</v>
      </c>
    </row>
    <row r="148" spans="1:26" ht="15" customHeight="1" x14ac:dyDescent="0.25">
      <c r="A148" s="277"/>
      <c r="B148" s="127">
        <v>76</v>
      </c>
      <c r="C148" s="127">
        <v>2</v>
      </c>
      <c r="D148" s="128">
        <f>'Data Ocupacion'!AR37</f>
        <v>76</v>
      </c>
      <c r="E148" s="128">
        <f>'Data Ocupacion'!AS37</f>
        <v>2</v>
      </c>
      <c r="F148" s="235" t="s">
        <v>52</v>
      </c>
      <c r="G148" s="236">
        <f t="shared" si="143"/>
        <v>80</v>
      </c>
      <c r="H148" s="127">
        <f t="shared" si="144"/>
        <v>80</v>
      </c>
      <c r="I148" s="127">
        <f t="shared" si="145"/>
        <v>78</v>
      </c>
      <c r="J148" s="127">
        <f>G148*M$2</f>
        <v>3450.4</v>
      </c>
      <c r="K148" s="156">
        <f>I148*M$2</f>
        <v>3364.1400000000003</v>
      </c>
      <c r="L148" s="127">
        <f t="shared" si="146"/>
        <v>358841.60000000003</v>
      </c>
      <c r="M148" s="127">
        <f t="shared" si="147"/>
        <v>8112</v>
      </c>
      <c r="N148" s="19"/>
      <c r="O148" s="19"/>
      <c r="P148" s="149"/>
      <c r="Q148" s="194"/>
      <c r="R148" s="194"/>
      <c r="S148" s="194"/>
      <c r="T148" s="263"/>
      <c r="U148" s="191"/>
      <c r="V148" s="246"/>
      <c r="W148" s="192">
        <f>J148-(T148*($M$2-$K$1)+(U148*($M$2-$M$1)))</f>
        <v>3450.4</v>
      </c>
      <c r="X148" s="188">
        <f>H148*$M$2</f>
        <v>3450.4</v>
      </c>
    </row>
    <row r="149" spans="1:26" x14ac:dyDescent="0.25">
      <c r="A149" s="277"/>
      <c r="B149" s="127">
        <v>33</v>
      </c>
      <c r="C149" s="127">
        <v>0</v>
      </c>
      <c r="D149" s="128">
        <f>'Data Ocupacion'!AR38</f>
        <v>33</v>
      </c>
      <c r="E149" s="128">
        <f>'Data Ocupacion'!AS38</f>
        <v>0</v>
      </c>
      <c r="F149" s="235" t="s">
        <v>36</v>
      </c>
      <c r="G149" s="236">
        <f t="shared" si="143"/>
        <v>33</v>
      </c>
      <c r="H149" s="127">
        <f t="shared" si="144"/>
        <v>33</v>
      </c>
      <c r="I149" s="127">
        <f t="shared" si="145"/>
        <v>33</v>
      </c>
      <c r="J149" s="127">
        <f>G149*M$1</f>
        <v>960.63</v>
      </c>
      <c r="K149" s="156">
        <f>I149*M$1</f>
        <v>960.63</v>
      </c>
      <c r="L149" s="127">
        <f t="shared" si="146"/>
        <v>99905.52</v>
      </c>
      <c r="M149" s="127">
        <f t="shared" si="147"/>
        <v>3432</v>
      </c>
      <c r="N149" s="19"/>
      <c r="O149" s="19"/>
      <c r="P149" s="149"/>
      <c r="Q149" s="193"/>
      <c r="R149" s="195"/>
      <c r="S149" s="217"/>
      <c r="T149" s="196"/>
      <c r="U149" s="197"/>
      <c r="V149" s="197"/>
      <c r="W149" s="188">
        <f>J149-(Q149*($M$1-$K$1))</f>
        <v>960.63</v>
      </c>
      <c r="X149" s="188">
        <f>H149*$M$1</f>
        <v>960.63</v>
      </c>
    </row>
    <row r="150" spans="1:26" x14ac:dyDescent="0.25">
      <c r="A150" s="277"/>
      <c r="B150" s="127">
        <v>32</v>
      </c>
      <c r="C150" s="127">
        <v>0</v>
      </c>
      <c r="D150" s="128">
        <f>'Data Ocupacion'!AR39</f>
        <v>32</v>
      </c>
      <c r="E150" s="128">
        <f>'Data Ocupacion'!AS39</f>
        <v>0</v>
      </c>
      <c r="F150" s="235" t="s">
        <v>53</v>
      </c>
      <c r="G150" s="236">
        <f t="shared" si="143"/>
        <v>32</v>
      </c>
      <c r="H150" s="127">
        <f t="shared" si="144"/>
        <v>32</v>
      </c>
      <c r="I150" s="127">
        <f t="shared" si="145"/>
        <v>32</v>
      </c>
      <c r="J150" s="127">
        <f>G150*M$1</f>
        <v>931.52</v>
      </c>
      <c r="K150" s="156">
        <f>I150*M$1</f>
        <v>931.52</v>
      </c>
      <c r="L150" s="127">
        <f t="shared" si="146"/>
        <v>96878.080000000002</v>
      </c>
      <c r="M150" s="127">
        <f t="shared" si="147"/>
        <v>3328</v>
      </c>
      <c r="N150" s="19"/>
      <c r="O150" s="19"/>
      <c r="P150" s="261"/>
      <c r="Q150" s="197"/>
      <c r="R150" s="197"/>
      <c r="S150" s="197"/>
      <c r="T150" s="197"/>
      <c r="U150" s="197"/>
      <c r="V150" s="197"/>
      <c r="W150" s="188">
        <f t="shared" ref="W150:W151" si="148">J150</f>
        <v>931.52</v>
      </c>
      <c r="X150" s="188">
        <f>H150*$M$1</f>
        <v>931.52</v>
      </c>
    </row>
    <row r="151" spans="1:26" ht="15" customHeight="1" x14ac:dyDescent="0.25">
      <c r="A151" s="277"/>
      <c r="B151" s="127">
        <v>0</v>
      </c>
      <c r="C151" s="127">
        <v>0</v>
      </c>
      <c r="D151" s="128">
        <f>'Data Ocupacion'!AR40</f>
        <v>0</v>
      </c>
      <c r="E151" s="128">
        <f>'Data Ocupacion'!AS40</f>
        <v>0</v>
      </c>
      <c r="F151" s="235" t="s">
        <v>122</v>
      </c>
      <c r="G151" s="236">
        <f t="shared" si="143"/>
        <v>0</v>
      </c>
      <c r="H151" s="127">
        <f t="shared" si="144"/>
        <v>0</v>
      </c>
      <c r="I151" s="127">
        <f t="shared" si="145"/>
        <v>0</v>
      </c>
      <c r="J151" s="238">
        <f>G151*K$1</f>
        <v>0</v>
      </c>
      <c r="K151" s="156">
        <f>I151*K$1</f>
        <v>0</v>
      </c>
      <c r="L151" s="127">
        <f t="shared" si="146"/>
        <v>0</v>
      </c>
      <c r="M151" s="127">
        <f t="shared" si="147"/>
        <v>0</v>
      </c>
      <c r="N151" s="19"/>
      <c r="O151" s="19"/>
      <c r="P151" s="149"/>
      <c r="Q151" s="197"/>
      <c r="R151" s="197"/>
      <c r="S151" s="197"/>
      <c r="T151" s="197"/>
      <c r="U151" s="197"/>
      <c r="V151" s="197"/>
      <c r="W151" s="188">
        <f t="shared" si="148"/>
        <v>0</v>
      </c>
      <c r="X151" s="188">
        <f>H151*$K$1</f>
        <v>0</v>
      </c>
    </row>
    <row r="152" spans="1:26" ht="15.75" thickBot="1" x14ac:dyDescent="0.3">
      <c r="A152" s="277"/>
      <c r="B152" s="127">
        <v>1</v>
      </c>
      <c r="C152" s="127">
        <v>0</v>
      </c>
      <c r="D152" s="128">
        <f>'Data Ocupacion'!AR41</f>
        <v>1</v>
      </c>
      <c r="E152" s="128">
        <f>'Data Ocupacion'!AS41</f>
        <v>0</v>
      </c>
      <c r="F152" s="235" t="s">
        <v>35</v>
      </c>
      <c r="G152" s="236">
        <f t="shared" si="143"/>
        <v>1</v>
      </c>
      <c r="H152" s="127">
        <f t="shared" si="144"/>
        <v>1</v>
      </c>
      <c r="I152" s="239">
        <f t="shared" si="145"/>
        <v>1</v>
      </c>
      <c r="J152" s="239">
        <f>G152*K$1</f>
        <v>25.4</v>
      </c>
      <c r="K152" s="156">
        <f>I152*K$1</f>
        <v>25.4</v>
      </c>
      <c r="L152" s="127">
        <f t="shared" si="146"/>
        <v>2641.6</v>
      </c>
      <c r="M152" s="127">
        <f t="shared" si="147"/>
        <v>104</v>
      </c>
      <c r="N152" s="19"/>
      <c r="O152" s="19"/>
      <c r="P152" s="149"/>
      <c r="Q152" s="197"/>
      <c r="R152" s="197"/>
      <c r="S152" s="197"/>
      <c r="T152" s="197"/>
      <c r="U152" s="197"/>
      <c r="V152" s="197"/>
      <c r="W152" s="188">
        <f>J152</f>
        <v>25.4</v>
      </c>
      <c r="X152" s="188">
        <f>H152*$K$1</f>
        <v>25.4</v>
      </c>
    </row>
    <row r="153" spans="1:26" s="126" customFormat="1" ht="15.75" thickBot="1" x14ac:dyDescent="0.3">
      <c r="A153" s="20"/>
      <c r="B153" s="230">
        <f>SUM(B147:B152)</f>
        <v>220</v>
      </c>
      <c r="C153" s="230">
        <f>SUM(C147:C152)</f>
        <v>3</v>
      </c>
      <c r="D153" s="151">
        <f>SUM(D147:D152)</f>
        <v>220</v>
      </c>
      <c r="E153" s="151">
        <f>SUM(E147:E152)</f>
        <v>3</v>
      </c>
      <c r="F153" s="121"/>
      <c r="G153" s="121">
        <f t="shared" ref="G153:M153" si="149">SUM(G147:G152)</f>
        <v>226</v>
      </c>
      <c r="H153" s="121">
        <f t="shared" si="135"/>
        <v>226</v>
      </c>
      <c r="I153" s="121">
        <f t="shared" si="149"/>
        <v>223</v>
      </c>
      <c r="J153" s="122">
        <f>SUM(J147:J152)</f>
        <v>8818.35</v>
      </c>
      <c r="K153" s="121">
        <f t="shared" si="149"/>
        <v>8688.9599999999991</v>
      </c>
      <c r="L153" s="121">
        <f t="shared" si="149"/>
        <v>917108.4</v>
      </c>
      <c r="M153" s="121">
        <f t="shared" si="149"/>
        <v>23192</v>
      </c>
      <c r="N153" s="125">
        <f>'Odometro-Kilometraje'!V81</f>
        <v>9168</v>
      </c>
      <c r="O153" s="21">
        <f>(W153/N153)*100</f>
        <v>96.186191099476446</v>
      </c>
      <c r="P153" s="200"/>
      <c r="Q153" s="187"/>
      <c r="R153" s="187"/>
      <c r="S153" s="187"/>
      <c r="T153" s="187"/>
      <c r="U153" s="187"/>
      <c r="V153" s="187"/>
      <c r="W153" s="201">
        <f>SUM(W147:W152)</f>
        <v>8818.35</v>
      </c>
      <c r="X153" s="201">
        <f>SUM(X147:X152)</f>
        <v>8818.35</v>
      </c>
    </row>
    <row r="154" spans="1:26" x14ac:dyDescent="0.25">
      <c r="A154" s="62">
        <f>A147+1</f>
        <v>45710</v>
      </c>
      <c r="B154" s="118">
        <v>69</v>
      </c>
      <c r="C154" s="118">
        <v>3</v>
      </c>
      <c r="D154" s="150">
        <f>'Data Ocupacion'!AT36</f>
        <v>69</v>
      </c>
      <c r="E154" s="150">
        <f>'Data Ocupacion'!AU36</f>
        <v>3</v>
      </c>
      <c r="F154" s="316" t="s">
        <v>38</v>
      </c>
      <c r="G154" s="317">
        <f t="shared" ref="G154:G159" si="150">D154+E154*2</f>
        <v>75</v>
      </c>
      <c r="H154" s="118">
        <f t="shared" ref="H154:H159" si="151">B154+C154*2</f>
        <v>75</v>
      </c>
      <c r="I154" s="318">
        <f t="shared" ref="I154:I159" si="152">D154+E154</f>
        <v>72</v>
      </c>
      <c r="J154" s="318">
        <f>G154*M$2</f>
        <v>3234.75</v>
      </c>
      <c r="K154" s="156">
        <f>I154*M$2</f>
        <v>3105.36</v>
      </c>
      <c r="L154" s="118">
        <f t="shared" ref="L154:L159" si="153">J154*104</f>
        <v>336414</v>
      </c>
      <c r="M154" s="118">
        <f t="shared" ref="M154:M159" si="154">I154*104</f>
        <v>7488</v>
      </c>
      <c r="N154" s="19"/>
      <c r="O154" s="19"/>
      <c r="P154" s="149"/>
      <c r="Q154" s="263"/>
      <c r="R154" s="189"/>
      <c r="S154" s="216"/>
      <c r="T154" s="198"/>
      <c r="U154" s="199"/>
      <c r="V154" s="245"/>
      <c r="W154" s="188">
        <f>J154-(Q154*($M$2-$K$1)+(R154*($M$2-$M$1))+  (S154*($M$2-$I$2)))</f>
        <v>3234.75</v>
      </c>
      <c r="X154" s="188">
        <f>H154*$M$2</f>
        <v>3234.75</v>
      </c>
    </row>
    <row r="155" spans="1:26" ht="15" customHeight="1" x14ac:dyDescent="0.25">
      <c r="A155" s="277"/>
      <c r="B155" s="118">
        <v>75</v>
      </c>
      <c r="C155" s="118">
        <v>0</v>
      </c>
      <c r="D155" s="150">
        <f>'Data Ocupacion'!AT37</f>
        <v>75</v>
      </c>
      <c r="E155" s="150">
        <f>'Data Ocupacion'!AU37</f>
        <v>0</v>
      </c>
      <c r="F155" s="316" t="s">
        <v>52</v>
      </c>
      <c r="G155" s="317">
        <f t="shared" si="150"/>
        <v>75</v>
      </c>
      <c r="H155" s="118">
        <f t="shared" si="151"/>
        <v>75</v>
      </c>
      <c r="I155" s="118">
        <f t="shared" si="152"/>
        <v>75</v>
      </c>
      <c r="J155" s="118">
        <f>G155*M$2</f>
        <v>3234.75</v>
      </c>
      <c r="K155" s="156">
        <f>I155*M$2</f>
        <v>3234.75</v>
      </c>
      <c r="L155" s="118">
        <f t="shared" si="153"/>
        <v>336414</v>
      </c>
      <c r="M155" s="118">
        <f t="shared" si="154"/>
        <v>7800</v>
      </c>
      <c r="N155" s="19"/>
      <c r="O155" s="19"/>
      <c r="P155" s="149"/>
      <c r="Q155" s="194"/>
      <c r="R155" s="194"/>
      <c r="S155" s="194"/>
      <c r="T155" s="263"/>
      <c r="U155" s="214"/>
      <c r="V155" s="246"/>
      <c r="W155" s="192">
        <f>J155-(T155*($M$2-$K$1)+(U155*($M$2-$M$1)))</f>
        <v>3234.75</v>
      </c>
      <c r="X155" s="188">
        <f>H155*$M$2</f>
        <v>3234.75</v>
      </c>
      <c r="Y155" s="126"/>
      <c r="Z155" s="126"/>
    </row>
    <row r="156" spans="1:26" ht="14.45" customHeight="1" x14ac:dyDescent="0.25">
      <c r="A156" s="277"/>
      <c r="B156" s="118">
        <v>0</v>
      </c>
      <c r="C156" s="118">
        <v>0</v>
      </c>
      <c r="D156" s="150">
        <f>'Data Ocupacion'!AT38</f>
        <v>0</v>
      </c>
      <c r="E156" s="150">
        <f>'Data Ocupacion'!AU38</f>
        <v>0</v>
      </c>
      <c r="F156" s="316" t="s">
        <v>36</v>
      </c>
      <c r="G156" s="317">
        <f t="shared" si="150"/>
        <v>0</v>
      </c>
      <c r="H156" s="118">
        <f t="shared" si="151"/>
        <v>0</v>
      </c>
      <c r="I156" s="118">
        <f t="shared" si="152"/>
        <v>0</v>
      </c>
      <c r="J156" s="118">
        <f>G156*M$1</f>
        <v>0</v>
      </c>
      <c r="K156" s="156">
        <f>I156*M$1</f>
        <v>0</v>
      </c>
      <c r="L156" s="118">
        <f t="shared" si="153"/>
        <v>0</v>
      </c>
      <c r="M156" s="118">
        <f t="shared" si="154"/>
        <v>0</v>
      </c>
      <c r="N156" s="19"/>
      <c r="O156" s="19"/>
      <c r="P156" s="149"/>
      <c r="Q156" s="193"/>
      <c r="R156" s="195"/>
      <c r="S156" s="217"/>
      <c r="T156" s="196"/>
      <c r="U156" s="197"/>
      <c r="V156" s="197"/>
      <c r="W156" s="188">
        <f>J156-(Q156*($M$1-$K$1))</f>
        <v>0</v>
      </c>
      <c r="X156" s="188">
        <f>H156*$M$1</f>
        <v>0</v>
      </c>
      <c r="Y156" s="126"/>
      <c r="Z156" s="126"/>
    </row>
    <row r="157" spans="1:26" ht="15" customHeight="1" x14ac:dyDescent="0.25">
      <c r="A157" s="277"/>
      <c r="B157" s="118">
        <v>0</v>
      </c>
      <c r="C157" s="118">
        <v>0</v>
      </c>
      <c r="D157" s="150">
        <f>'Data Ocupacion'!AT39</f>
        <v>0</v>
      </c>
      <c r="E157" s="150">
        <f>'Data Ocupacion'!AU39</f>
        <v>0</v>
      </c>
      <c r="F157" s="316" t="s">
        <v>53</v>
      </c>
      <c r="G157" s="317">
        <f t="shared" si="150"/>
        <v>0</v>
      </c>
      <c r="H157" s="118">
        <f t="shared" si="151"/>
        <v>0</v>
      </c>
      <c r="I157" s="118">
        <f t="shared" si="152"/>
        <v>0</v>
      </c>
      <c r="J157" s="118">
        <f>G157*M$1</f>
        <v>0</v>
      </c>
      <c r="K157" s="156">
        <f>I157*M$1</f>
        <v>0</v>
      </c>
      <c r="L157" s="118">
        <f t="shared" si="153"/>
        <v>0</v>
      </c>
      <c r="M157" s="118">
        <f t="shared" si="154"/>
        <v>0</v>
      </c>
      <c r="N157" s="19"/>
      <c r="O157" s="19"/>
      <c r="P157" s="149"/>
      <c r="Q157" s="197"/>
      <c r="R157" s="197"/>
      <c r="S157" s="197"/>
      <c r="T157" s="197"/>
      <c r="U157" s="197"/>
      <c r="V157" s="197"/>
      <c r="W157" s="188">
        <f t="shared" ref="W157:W158" si="155">J157</f>
        <v>0</v>
      </c>
      <c r="X157" s="188">
        <f>H157*$M$1</f>
        <v>0</v>
      </c>
      <c r="Y157" s="126"/>
      <c r="Z157" s="126"/>
    </row>
    <row r="158" spans="1:26" ht="13.5" customHeight="1" x14ac:dyDescent="0.25">
      <c r="A158" s="277"/>
      <c r="B158" s="118">
        <v>0</v>
      </c>
      <c r="C158" s="118">
        <v>0</v>
      </c>
      <c r="D158" s="150">
        <f>'Data Ocupacion'!AT40</f>
        <v>0</v>
      </c>
      <c r="E158" s="150">
        <f>'Data Ocupacion'!AU40</f>
        <v>0</v>
      </c>
      <c r="F158" s="316" t="s">
        <v>122</v>
      </c>
      <c r="G158" s="317">
        <f t="shared" si="150"/>
        <v>0</v>
      </c>
      <c r="H158" s="118">
        <f t="shared" si="151"/>
        <v>0</v>
      </c>
      <c r="I158" s="118">
        <f t="shared" si="152"/>
        <v>0</v>
      </c>
      <c r="J158" s="319">
        <f>G158*K$1</f>
        <v>0</v>
      </c>
      <c r="K158" s="156">
        <f>I158*M$1</f>
        <v>0</v>
      </c>
      <c r="L158" s="118">
        <f t="shared" si="153"/>
        <v>0</v>
      </c>
      <c r="M158" s="118">
        <f t="shared" si="154"/>
        <v>0</v>
      </c>
      <c r="N158" s="19"/>
      <c r="O158" s="19"/>
      <c r="P158" s="149"/>
      <c r="Q158" s="197"/>
      <c r="R158" s="197"/>
      <c r="S158" s="197"/>
      <c r="T158" s="197"/>
      <c r="U158" s="197"/>
      <c r="V158" s="197"/>
      <c r="W158" s="188">
        <f t="shared" si="155"/>
        <v>0</v>
      </c>
      <c r="X158" s="188">
        <f>H158*$K$1</f>
        <v>0</v>
      </c>
      <c r="Y158" s="126"/>
      <c r="Z158" s="126"/>
    </row>
    <row r="159" spans="1:26" ht="15.75" thickBot="1" x14ac:dyDescent="0.3">
      <c r="A159" s="277"/>
      <c r="B159" s="118">
        <v>0</v>
      </c>
      <c r="C159" s="118">
        <v>0</v>
      </c>
      <c r="D159" s="150">
        <f>'Data Ocupacion'!AT41</f>
        <v>0</v>
      </c>
      <c r="E159" s="150">
        <f>'Data Ocupacion'!AU41</f>
        <v>0</v>
      </c>
      <c r="F159" s="316" t="s">
        <v>35</v>
      </c>
      <c r="G159" s="317">
        <f t="shared" si="150"/>
        <v>0</v>
      </c>
      <c r="H159" s="118">
        <f t="shared" si="151"/>
        <v>0</v>
      </c>
      <c r="I159" s="320">
        <f t="shared" si="152"/>
        <v>0</v>
      </c>
      <c r="J159" s="320">
        <f>G159*K$1</f>
        <v>0</v>
      </c>
      <c r="K159" s="156">
        <f>I159*K$1</f>
        <v>0</v>
      </c>
      <c r="L159" s="118">
        <f t="shared" si="153"/>
        <v>0</v>
      </c>
      <c r="M159" s="118">
        <f t="shared" si="154"/>
        <v>0</v>
      </c>
      <c r="N159" s="19"/>
      <c r="O159" s="19"/>
      <c r="P159" s="149"/>
      <c r="Q159" s="197"/>
      <c r="R159" s="197"/>
      <c r="S159" s="197"/>
      <c r="T159" s="197"/>
      <c r="U159" s="197"/>
      <c r="V159" s="197"/>
      <c r="W159" s="188">
        <f>J159</f>
        <v>0</v>
      </c>
      <c r="X159" s="188">
        <f>H159*$K$1</f>
        <v>0</v>
      </c>
    </row>
    <row r="160" spans="1:26" s="126" customFormat="1" ht="15.75" thickBot="1" x14ac:dyDescent="0.3">
      <c r="A160" s="20"/>
      <c r="B160" s="230">
        <f>SUM(B154:B159)</f>
        <v>144</v>
      </c>
      <c r="C160" s="230">
        <f>SUM(C154:C159)</f>
        <v>3</v>
      </c>
      <c r="D160" s="151">
        <f>SUM(D154:D159)</f>
        <v>144</v>
      </c>
      <c r="E160" s="151">
        <f>SUM(E154:E159)</f>
        <v>3</v>
      </c>
      <c r="F160" s="121"/>
      <c r="G160" s="121">
        <f t="shared" ref="G160:M160" si="156">SUM(G154:G159)</f>
        <v>150</v>
      </c>
      <c r="H160" s="121">
        <f t="shared" si="135"/>
        <v>150</v>
      </c>
      <c r="I160" s="121">
        <f t="shared" si="156"/>
        <v>147</v>
      </c>
      <c r="J160" s="122">
        <f t="shared" si="156"/>
        <v>6469.5</v>
      </c>
      <c r="K160" s="121">
        <f t="shared" si="156"/>
        <v>6340.1100000000006</v>
      </c>
      <c r="L160" s="121">
        <f t="shared" si="156"/>
        <v>672828</v>
      </c>
      <c r="M160" s="121">
        <f t="shared" si="156"/>
        <v>15288</v>
      </c>
      <c r="N160" s="125">
        <f>'Odometro-Kilometraje'!W81</f>
        <v>6491</v>
      </c>
      <c r="O160" s="21">
        <f>(W160/N160)*100</f>
        <v>99.668772146048383</v>
      </c>
      <c r="P160" s="200"/>
      <c r="Q160" s="187"/>
      <c r="R160" s="187"/>
      <c r="S160" s="187"/>
      <c r="T160" s="187"/>
      <c r="U160" s="187"/>
      <c r="V160" s="187"/>
      <c r="W160" s="201">
        <f>SUM(W154:W159)</f>
        <v>6469.5</v>
      </c>
      <c r="X160" s="201">
        <f>SUM(X154:X159)</f>
        <v>6469.5</v>
      </c>
    </row>
    <row r="161" spans="1:25" s="126" customFormat="1" x14ac:dyDescent="0.25">
      <c r="A161" s="62">
        <f>A154+1</f>
        <v>45711</v>
      </c>
      <c r="B161" s="231">
        <v>38</v>
      </c>
      <c r="C161" s="231">
        <v>16</v>
      </c>
      <c r="D161" s="128">
        <f>'Data Ocupacion'!AV36</f>
        <v>32</v>
      </c>
      <c r="E161" s="128">
        <f>'Data Ocupacion'!AW36</f>
        <v>22</v>
      </c>
      <c r="F161" s="231" t="s">
        <v>38</v>
      </c>
      <c r="G161" s="231">
        <f t="shared" ref="G161:G166" si="157">D161+E161*2</f>
        <v>76</v>
      </c>
      <c r="H161" s="231">
        <f t="shared" ref="H161:H166" si="158">B161+C161*2</f>
        <v>70</v>
      </c>
      <c r="I161" s="231">
        <f t="shared" ref="I161:I166" si="159">D161+E161</f>
        <v>54</v>
      </c>
      <c r="J161" s="231">
        <f>G161*M$2</f>
        <v>3277.88</v>
      </c>
      <c r="K161" s="156">
        <f>I161*M$2</f>
        <v>2329.02</v>
      </c>
      <c r="L161" s="231">
        <f t="shared" ref="L161:L166" si="160">J161*104</f>
        <v>340899.52</v>
      </c>
      <c r="M161" s="231">
        <f t="shared" ref="M161:M166" si="161">I161*104</f>
        <v>5616</v>
      </c>
      <c r="N161" s="19"/>
      <c r="O161" s="19"/>
      <c r="P161" s="149"/>
      <c r="Q161" s="189"/>
      <c r="R161" s="189"/>
      <c r="S161" s="216"/>
      <c r="T161" s="327">
        <v>4</v>
      </c>
      <c r="U161" s="199"/>
      <c r="V161" s="245"/>
      <c r="W161" s="188">
        <f>J161-(Q161*($M$2-$K$1)+(R161*($M$2-$M$1))+  (T161*($K$1)))</f>
        <v>3176.28</v>
      </c>
      <c r="X161" s="188">
        <f>H161*$M$2</f>
        <v>3019.1000000000004</v>
      </c>
    </row>
    <row r="162" spans="1:25" ht="15" customHeight="1" x14ac:dyDescent="0.25">
      <c r="A162" s="348" t="s">
        <v>178</v>
      </c>
      <c r="B162" s="231">
        <v>44</v>
      </c>
      <c r="C162" s="231">
        <v>13</v>
      </c>
      <c r="D162" s="128">
        <f>'Data Ocupacion'!AV37</f>
        <v>42</v>
      </c>
      <c r="E162" s="128">
        <f>'Data Ocupacion'!AW37</f>
        <v>15</v>
      </c>
      <c r="F162" s="231" t="s">
        <v>52</v>
      </c>
      <c r="G162" s="231">
        <f t="shared" si="157"/>
        <v>72</v>
      </c>
      <c r="H162" s="231">
        <f t="shared" si="158"/>
        <v>70</v>
      </c>
      <c r="I162" s="231">
        <f t="shared" si="159"/>
        <v>57</v>
      </c>
      <c r="J162" s="231">
        <f>G162*M$2</f>
        <v>3105.36</v>
      </c>
      <c r="K162" s="156">
        <f>I162*M$2</f>
        <v>2458.4100000000003</v>
      </c>
      <c r="L162" s="231">
        <f t="shared" si="160"/>
        <v>322957.44</v>
      </c>
      <c r="M162" s="231">
        <f t="shared" si="161"/>
        <v>5928</v>
      </c>
      <c r="N162" s="19"/>
      <c r="O162" s="19"/>
      <c r="P162" s="149"/>
      <c r="Q162" s="194"/>
      <c r="R162" s="194"/>
      <c r="S162" s="229"/>
      <c r="T162" s="189"/>
      <c r="U162" s="229"/>
      <c r="V162" s="246"/>
      <c r="W162" s="192">
        <f>J162-(T162*($M$2-$K$1)+(U162*($M$2-$M$1)))</f>
        <v>3105.36</v>
      </c>
      <c r="X162" s="188">
        <f>H162*$M$2</f>
        <v>3019.1000000000004</v>
      </c>
      <c r="Y162" s="175"/>
    </row>
    <row r="163" spans="1:25" ht="15" customHeight="1" x14ac:dyDescent="0.25">
      <c r="A163" s="348"/>
      <c r="B163" s="231">
        <v>0</v>
      </c>
      <c r="C163" s="231">
        <v>0</v>
      </c>
      <c r="D163" s="140">
        <f>'Data Ocupacion'!AV38</f>
        <v>0</v>
      </c>
      <c r="E163" s="140">
        <f>'Data Ocupacion'!AW38</f>
        <v>0</v>
      </c>
      <c r="F163" s="231" t="s">
        <v>36</v>
      </c>
      <c r="G163" s="231">
        <f t="shared" si="157"/>
        <v>0</v>
      </c>
      <c r="H163" s="231">
        <f t="shared" si="158"/>
        <v>0</v>
      </c>
      <c r="I163" s="231">
        <f t="shared" si="159"/>
        <v>0</v>
      </c>
      <c r="J163" s="231">
        <f>G163*M$1</f>
        <v>0</v>
      </c>
      <c r="K163" s="156">
        <f>I163*M$1</f>
        <v>0</v>
      </c>
      <c r="L163" s="231">
        <f t="shared" si="160"/>
        <v>0</v>
      </c>
      <c r="M163" s="231">
        <f t="shared" si="161"/>
        <v>0</v>
      </c>
      <c r="N163" s="19"/>
      <c r="O163" s="19"/>
      <c r="P163" s="149"/>
      <c r="Q163" s="193"/>
      <c r="R163" s="195"/>
      <c r="S163" s="217"/>
      <c r="T163" s="196"/>
      <c r="U163" s="197"/>
      <c r="V163" s="197"/>
      <c r="W163" s="188">
        <f>J163-(Q163*($M$1-$K$1))</f>
        <v>0</v>
      </c>
      <c r="X163" s="188">
        <f>H163*$M$1</f>
        <v>0</v>
      </c>
    </row>
    <row r="164" spans="1:25" ht="15" customHeight="1" x14ac:dyDescent="0.25">
      <c r="A164" s="348"/>
      <c r="B164" s="231">
        <v>0</v>
      </c>
      <c r="C164" s="231">
        <v>0</v>
      </c>
      <c r="D164" s="140">
        <f>'Data Ocupacion'!AV39</f>
        <v>0</v>
      </c>
      <c r="E164" s="140">
        <f>'Data Ocupacion'!AW39</f>
        <v>0</v>
      </c>
      <c r="F164" s="231" t="s">
        <v>53</v>
      </c>
      <c r="G164" s="231">
        <f t="shared" si="157"/>
        <v>0</v>
      </c>
      <c r="H164" s="231">
        <f t="shared" si="158"/>
        <v>0</v>
      </c>
      <c r="I164" s="231">
        <f t="shared" si="159"/>
        <v>0</v>
      </c>
      <c r="J164" s="231">
        <f>G164*M$1</f>
        <v>0</v>
      </c>
      <c r="K164" s="156">
        <f>I164*M$1</f>
        <v>0</v>
      </c>
      <c r="L164" s="231">
        <f t="shared" si="160"/>
        <v>0</v>
      </c>
      <c r="M164" s="231">
        <f t="shared" si="161"/>
        <v>0</v>
      </c>
      <c r="N164" s="19"/>
      <c r="O164" s="19"/>
      <c r="P164" s="149"/>
      <c r="Q164" s="197"/>
      <c r="R164" s="197"/>
      <c r="S164" s="197"/>
      <c r="T164" s="197"/>
      <c r="U164" s="197"/>
      <c r="V164" s="197"/>
      <c r="W164" s="188">
        <f t="shared" ref="W164:W165" si="162">J164</f>
        <v>0</v>
      </c>
      <c r="X164" s="188">
        <f>H164*$M$1</f>
        <v>0</v>
      </c>
    </row>
    <row r="165" spans="1:25" ht="13.5" customHeight="1" x14ac:dyDescent="0.25">
      <c r="A165" s="348"/>
      <c r="B165" s="231">
        <v>0</v>
      </c>
      <c r="C165" s="231">
        <v>0</v>
      </c>
      <c r="D165" s="140">
        <f>'Data Ocupacion'!AV40</f>
        <v>0</v>
      </c>
      <c r="E165" s="140">
        <f>'Data Ocupacion'!AW40</f>
        <v>0</v>
      </c>
      <c r="F165" s="231" t="s">
        <v>122</v>
      </c>
      <c r="G165" s="231">
        <f t="shared" si="157"/>
        <v>0</v>
      </c>
      <c r="H165" s="231">
        <f t="shared" si="158"/>
        <v>0</v>
      </c>
      <c r="I165" s="231">
        <f t="shared" si="159"/>
        <v>0</v>
      </c>
      <c r="J165" s="231">
        <f>G165*K$1</f>
        <v>0</v>
      </c>
      <c r="K165" s="156">
        <f>I165*K$1</f>
        <v>0</v>
      </c>
      <c r="L165" s="231">
        <f t="shared" si="160"/>
        <v>0</v>
      </c>
      <c r="M165" s="231">
        <f t="shared" si="161"/>
        <v>0</v>
      </c>
      <c r="N165" s="19"/>
      <c r="O165" s="19"/>
      <c r="P165" s="149"/>
      <c r="Q165" s="197"/>
      <c r="R165" s="197"/>
      <c r="S165" s="197"/>
      <c r="T165" s="197"/>
      <c r="U165" s="197"/>
      <c r="V165" s="197"/>
      <c r="W165" s="188">
        <f t="shared" si="162"/>
        <v>0</v>
      </c>
      <c r="X165" s="188">
        <f>H165*$K$1</f>
        <v>0</v>
      </c>
    </row>
    <row r="166" spans="1:25" ht="15.75" thickBot="1" x14ac:dyDescent="0.3">
      <c r="A166" s="348"/>
      <c r="B166" s="231">
        <v>0</v>
      </c>
      <c r="C166" s="231">
        <v>0</v>
      </c>
      <c r="D166" s="140">
        <f>'Data Ocupacion'!AV41</f>
        <v>0</v>
      </c>
      <c r="E166" s="140">
        <f>'Data Ocupacion'!AW41</f>
        <v>0</v>
      </c>
      <c r="F166" s="231" t="s">
        <v>35</v>
      </c>
      <c r="G166" s="231">
        <f t="shared" si="157"/>
        <v>0</v>
      </c>
      <c r="H166" s="231">
        <f t="shared" si="158"/>
        <v>0</v>
      </c>
      <c r="I166" s="231">
        <f t="shared" si="159"/>
        <v>0</v>
      </c>
      <c r="J166" s="231">
        <f>G166*K$1</f>
        <v>0</v>
      </c>
      <c r="K166" s="156">
        <f>I166*K$1</f>
        <v>0</v>
      </c>
      <c r="L166" s="231">
        <f t="shared" si="160"/>
        <v>0</v>
      </c>
      <c r="M166" s="231">
        <f t="shared" si="161"/>
        <v>0</v>
      </c>
      <c r="N166" s="19"/>
      <c r="O166" s="19"/>
      <c r="P166" s="149"/>
      <c r="Q166" s="197"/>
      <c r="R166" s="197"/>
      <c r="S166" s="197"/>
      <c r="T166" s="197"/>
      <c r="U166" s="197"/>
      <c r="V166" s="197"/>
      <c r="W166" s="188">
        <f>J166</f>
        <v>0</v>
      </c>
      <c r="X166" s="188">
        <f>H166*$K$1</f>
        <v>0</v>
      </c>
    </row>
    <row r="167" spans="1:25" s="126" customFormat="1" ht="15" customHeight="1" thickBot="1" x14ac:dyDescent="0.3">
      <c r="A167" s="20"/>
      <c r="B167" s="230">
        <f>SUM(B161:B166)</f>
        <v>82</v>
      </c>
      <c r="C167" s="230">
        <f>SUM(C161:C166)</f>
        <v>29</v>
      </c>
      <c r="D167" s="151">
        <f>SUM(D161:D166)</f>
        <v>74</v>
      </c>
      <c r="E167" s="151">
        <f>SUM(E161:E166)</f>
        <v>37</v>
      </c>
      <c r="F167" s="121"/>
      <c r="G167" s="121">
        <f t="shared" ref="G167:M167" si="163">SUM(G161:G166)</f>
        <v>148</v>
      </c>
      <c r="H167" s="121">
        <f t="shared" si="135"/>
        <v>148</v>
      </c>
      <c r="I167" s="121">
        <f t="shared" si="163"/>
        <v>111</v>
      </c>
      <c r="J167" s="122">
        <f t="shared" si="163"/>
        <v>6383.24</v>
      </c>
      <c r="K167" s="121">
        <f t="shared" si="163"/>
        <v>4787.43</v>
      </c>
      <c r="L167" s="121">
        <f t="shared" si="163"/>
        <v>663856.96</v>
      </c>
      <c r="M167" s="121">
        <f t="shared" si="163"/>
        <v>11544</v>
      </c>
      <c r="N167" s="125">
        <f>'Odometro-Kilometraje'!X81</f>
        <v>6366</v>
      </c>
      <c r="O167" s="21">
        <f>(W167/N167)*100</f>
        <v>98.674835061262968</v>
      </c>
      <c r="P167" s="200"/>
      <c r="Q167" s="187"/>
      <c r="R167" s="187"/>
      <c r="S167" s="187"/>
      <c r="T167" s="187"/>
      <c r="U167" s="187"/>
      <c r="V167" s="187"/>
      <c r="W167" s="201">
        <f>SUM(W161:W166)</f>
        <v>6281.64</v>
      </c>
      <c r="X167" s="201">
        <f>SUM(X161:X166)</f>
        <v>6038.2000000000007</v>
      </c>
    </row>
    <row r="168" spans="1:25" x14ac:dyDescent="0.25">
      <c r="A168" s="62">
        <f>A161+1</f>
        <v>45712</v>
      </c>
      <c r="B168" s="127">
        <v>61</v>
      </c>
      <c r="C168" s="127">
        <v>18</v>
      </c>
      <c r="D168" s="128">
        <f>'Data Ocupacion'!AX36</f>
        <v>61</v>
      </c>
      <c r="E168" s="128">
        <f>'Data Ocupacion'!AY36</f>
        <v>18</v>
      </c>
      <c r="F168" s="127" t="s">
        <v>38</v>
      </c>
      <c r="G168" s="127">
        <f t="shared" ref="G168:G175" si="164">D168+E168*2</f>
        <v>97</v>
      </c>
      <c r="H168" s="127">
        <f t="shared" ref="H168:H175" si="165">B168+C168*2</f>
        <v>97</v>
      </c>
      <c r="I168" s="127">
        <f t="shared" ref="I168:I175" si="166">D168+E168</f>
        <v>79</v>
      </c>
      <c r="J168" s="127">
        <f>G168*M$2</f>
        <v>4183.6100000000006</v>
      </c>
      <c r="K168" s="156">
        <f>I168*M$2</f>
        <v>3407.27</v>
      </c>
      <c r="L168" s="127">
        <f t="shared" ref="L168:L173" si="167">J168*104</f>
        <v>435095.44000000006</v>
      </c>
      <c r="M168" s="127">
        <f t="shared" ref="M168:M173" si="168">I168*104</f>
        <v>8216</v>
      </c>
      <c r="N168" s="19"/>
      <c r="O168" s="19"/>
      <c r="P168" s="149"/>
      <c r="Q168" s="193"/>
      <c r="R168" s="189"/>
      <c r="S168" s="216"/>
      <c r="T168" s="282"/>
      <c r="U168" s="199"/>
      <c r="V168" s="245"/>
      <c r="W168" s="188">
        <f>J168-(Q168*($M$2-$K$1)+(R168*($M$2-$M$1))+  (S168*($M$2-$I$2))+  (T168*($K$1)))</f>
        <v>4183.6100000000006</v>
      </c>
      <c r="X168" s="188">
        <f>H168*$M$2</f>
        <v>4183.6100000000006</v>
      </c>
    </row>
    <row r="169" spans="1:25" ht="15" customHeight="1" x14ac:dyDescent="0.25">
      <c r="A169" s="349" t="s">
        <v>177</v>
      </c>
      <c r="B169" s="127">
        <v>59</v>
      </c>
      <c r="C169" s="127">
        <v>19</v>
      </c>
      <c r="D169" s="128">
        <f>'Data Ocupacion'!AX37</f>
        <v>59</v>
      </c>
      <c r="E169" s="128">
        <f>'Data Ocupacion'!AY37</f>
        <v>19</v>
      </c>
      <c r="F169" s="127" t="s">
        <v>52</v>
      </c>
      <c r="G169" s="127">
        <f t="shared" si="164"/>
        <v>97</v>
      </c>
      <c r="H169" s="127">
        <f t="shared" si="165"/>
        <v>97</v>
      </c>
      <c r="I169" s="127">
        <f t="shared" si="166"/>
        <v>78</v>
      </c>
      <c r="J169" s="127">
        <f>G169*M$2</f>
        <v>4183.6100000000006</v>
      </c>
      <c r="K169" s="156">
        <f>I169*M$2</f>
        <v>3364.1400000000003</v>
      </c>
      <c r="L169" s="127">
        <f t="shared" si="167"/>
        <v>435095.44000000006</v>
      </c>
      <c r="M169" s="127">
        <f t="shared" si="168"/>
        <v>8112</v>
      </c>
      <c r="N169" s="19"/>
      <c r="O169" s="19"/>
      <c r="P169" s="149"/>
      <c r="Q169" s="194"/>
      <c r="R169" s="194"/>
      <c r="S169" s="194"/>
      <c r="T169" s="211"/>
      <c r="U169" s="214"/>
      <c r="V169" s="246"/>
      <c r="W169" s="192">
        <f>J169-(T169*($M$2-$K$1)+(U169*($M$2-$M$1)))</f>
        <v>4183.6100000000006</v>
      </c>
      <c r="X169" s="188">
        <f>H169*$M$2</f>
        <v>4183.6100000000006</v>
      </c>
      <c r="Y169" s="175"/>
    </row>
    <row r="170" spans="1:25" ht="15" customHeight="1" x14ac:dyDescent="0.25">
      <c r="A170" s="349"/>
      <c r="B170" s="127">
        <v>33</v>
      </c>
      <c r="C170" s="127">
        <v>0</v>
      </c>
      <c r="D170" s="128">
        <f>'Data Ocupacion'!AX38</f>
        <v>33</v>
      </c>
      <c r="E170" s="128">
        <f>'Data Ocupacion'!AY38</f>
        <v>0</v>
      </c>
      <c r="F170" s="127" t="s">
        <v>36</v>
      </c>
      <c r="G170" s="127">
        <f t="shared" si="164"/>
        <v>33</v>
      </c>
      <c r="H170" s="127">
        <f t="shared" si="165"/>
        <v>33</v>
      </c>
      <c r="I170" s="127">
        <f t="shared" si="166"/>
        <v>33</v>
      </c>
      <c r="J170" s="127">
        <f>G170*M$1</f>
        <v>960.63</v>
      </c>
      <c r="K170" s="156">
        <f>I170*M$1</f>
        <v>960.63</v>
      </c>
      <c r="L170" s="127">
        <f t="shared" si="167"/>
        <v>99905.52</v>
      </c>
      <c r="M170" s="127">
        <f t="shared" si="168"/>
        <v>3432</v>
      </c>
      <c r="N170" s="19"/>
      <c r="O170" s="19"/>
      <c r="P170" s="149"/>
      <c r="Q170" s="193"/>
      <c r="R170" s="195"/>
      <c r="S170" s="217"/>
      <c r="T170" s="196"/>
      <c r="U170" s="197"/>
      <c r="V170" s="197"/>
      <c r="W170" s="188">
        <f>J170-(Q170*($M$1-$K$1))</f>
        <v>960.63</v>
      </c>
      <c r="X170" s="188">
        <f>H170*$M$1</f>
        <v>960.63</v>
      </c>
    </row>
    <row r="171" spans="1:25" ht="15" customHeight="1" x14ac:dyDescent="0.25">
      <c r="A171" s="349"/>
      <c r="B171" s="127">
        <v>32</v>
      </c>
      <c r="C171" s="127">
        <v>0</v>
      </c>
      <c r="D171" s="128">
        <f>'Data Ocupacion'!AX39</f>
        <v>32</v>
      </c>
      <c r="E171" s="128">
        <f>'Data Ocupacion'!AY39</f>
        <v>0</v>
      </c>
      <c r="F171" s="127" t="s">
        <v>53</v>
      </c>
      <c r="G171" s="127">
        <f t="shared" si="164"/>
        <v>32</v>
      </c>
      <c r="H171" s="127">
        <f t="shared" si="165"/>
        <v>32</v>
      </c>
      <c r="I171" s="127">
        <f t="shared" si="166"/>
        <v>32</v>
      </c>
      <c r="J171" s="127">
        <f>G171*M$1</f>
        <v>931.52</v>
      </c>
      <c r="K171" s="156">
        <f>I171*M$1</f>
        <v>931.52</v>
      </c>
      <c r="L171" s="127">
        <f t="shared" si="167"/>
        <v>96878.080000000002</v>
      </c>
      <c r="M171" s="127">
        <f t="shared" si="168"/>
        <v>3328</v>
      </c>
      <c r="N171" s="19"/>
      <c r="O171" s="19"/>
      <c r="P171" s="149"/>
      <c r="Q171" s="197"/>
      <c r="R171" s="197"/>
      <c r="S171" s="197"/>
      <c r="T171" s="197"/>
      <c r="U171" s="197"/>
      <c r="V171" s="197"/>
      <c r="W171" s="188">
        <f t="shared" ref="W171:W172" si="169">J171</f>
        <v>931.52</v>
      </c>
      <c r="X171" s="188">
        <f>H171*$M$1</f>
        <v>931.52</v>
      </c>
    </row>
    <row r="172" spans="1:25" ht="15" customHeight="1" x14ac:dyDescent="0.25">
      <c r="A172" s="349"/>
      <c r="B172" s="127">
        <v>0</v>
      </c>
      <c r="C172" s="127">
        <v>0</v>
      </c>
      <c r="D172" s="128">
        <f>'Data Ocupacion'!AX40</f>
        <v>0</v>
      </c>
      <c r="E172" s="128">
        <f>'Data Ocupacion'!AY40</f>
        <v>0</v>
      </c>
      <c r="F172" s="127" t="s">
        <v>122</v>
      </c>
      <c r="G172" s="127">
        <f t="shared" si="164"/>
        <v>0</v>
      </c>
      <c r="H172" s="127">
        <f t="shared" si="165"/>
        <v>0</v>
      </c>
      <c r="I172" s="127">
        <f t="shared" si="166"/>
        <v>0</v>
      </c>
      <c r="J172" s="127">
        <f>G172*K$1</f>
        <v>0</v>
      </c>
      <c r="K172" s="156">
        <f>I172*K$1</f>
        <v>0</v>
      </c>
      <c r="L172" s="127">
        <f t="shared" si="167"/>
        <v>0</v>
      </c>
      <c r="M172" s="127">
        <f t="shared" si="168"/>
        <v>0</v>
      </c>
      <c r="N172" s="19"/>
      <c r="O172" s="19"/>
      <c r="P172" s="149"/>
      <c r="Q172" s="197"/>
      <c r="R172" s="197"/>
      <c r="S172" s="197"/>
      <c r="T172" s="197"/>
      <c r="U172" s="197"/>
      <c r="V172" s="197"/>
      <c r="W172" s="188">
        <f t="shared" si="169"/>
        <v>0</v>
      </c>
      <c r="X172" s="188">
        <f>H172*$K$1</f>
        <v>0</v>
      </c>
    </row>
    <row r="173" spans="1:25" x14ac:dyDescent="0.25">
      <c r="A173" s="349"/>
      <c r="B173" s="127">
        <v>1</v>
      </c>
      <c r="C173" s="127">
        <v>0</v>
      </c>
      <c r="D173" s="128">
        <f>'Data Ocupacion'!AX41</f>
        <v>1</v>
      </c>
      <c r="E173" s="128">
        <f>'Data Ocupacion'!AY41</f>
        <v>0</v>
      </c>
      <c r="F173" s="127" t="s">
        <v>35</v>
      </c>
      <c r="G173" s="127">
        <f t="shared" si="164"/>
        <v>1</v>
      </c>
      <c r="H173" s="127">
        <f t="shared" si="165"/>
        <v>1</v>
      </c>
      <c r="I173" s="127">
        <f t="shared" si="166"/>
        <v>1</v>
      </c>
      <c r="J173" s="127">
        <f>G173*K$1</f>
        <v>25.4</v>
      </c>
      <c r="K173" s="156">
        <f>I173*K$1</f>
        <v>25.4</v>
      </c>
      <c r="L173" s="127">
        <f t="shared" si="167"/>
        <v>2641.6</v>
      </c>
      <c r="M173" s="127">
        <f t="shared" si="168"/>
        <v>104</v>
      </c>
      <c r="N173" s="19"/>
      <c r="O173" s="19"/>
      <c r="P173" s="149"/>
      <c r="Q173" s="197"/>
      <c r="R173" s="197"/>
      <c r="S173" s="197"/>
      <c r="T173" s="197"/>
      <c r="U173" s="197"/>
      <c r="V173" s="197"/>
      <c r="W173" s="188">
        <f>J173</f>
        <v>25.4</v>
      </c>
      <c r="X173" s="188">
        <f>H173*$K$1</f>
        <v>25.4</v>
      </c>
    </row>
    <row r="174" spans="1:25" s="126" customFormat="1" x14ac:dyDescent="0.25">
      <c r="A174" s="349"/>
      <c r="B174" s="127">
        <v>4</v>
      </c>
      <c r="C174" s="127">
        <v>0</v>
      </c>
      <c r="D174" s="128">
        <f>'Data Ocupacion'!AX44</f>
        <v>4</v>
      </c>
      <c r="E174" s="128">
        <f>'Data Ocupacion'!AY44</f>
        <v>0</v>
      </c>
      <c r="F174" s="127" t="s">
        <v>158</v>
      </c>
      <c r="G174" s="127">
        <f t="shared" si="164"/>
        <v>4</v>
      </c>
      <c r="H174" s="127">
        <f t="shared" si="165"/>
        <v>4</v>
      </c>
      <c r="I174" s="127">
        <f t="shared" si="166"/>
        <v>4</v>
      </c>
      <c r="J174" s="127">
        <f>G174*S$1</f>
        <v>139.32</v>
      </c>
      <c r="K174" s="156">
        <f>I174*S$1</f>
        <v>139.32</v>
      </c>
      <c r="L174" s="127">
        <f t="shared" ref="L174:L175" si="170">J174*104</f>
        <v>14489.279999999999</v>
      </c>
      <c r="M174" s="127">
        <f t="shared" ref="M174:M175" si="171">I174*104</f>
        <v>416</v>
      </c>
      <c r="N174" s="19"/>
      <c r="O174" s="19"/>
      <c r="P174" s="149"/>
      <c r="Q174" s="197"/>
      <c r="R174" s="197"/>
      <c r="S174" s="197"/>
      <c r="T174" s="197"/>
      <c r="U174" s="197"/>
      <c r="V174" s="197"/>
      <c r="W174" s="188">
        <f t="shared" ref="W174:W175" si="172">J174</f>
        <v>139.32</v>
      </c>
      <c r="X174" s="188">
        <f>H174*$S$1</f>
        <v>139.32</v>
      </c>
    </row>
    <row r="175" spans="1:25" s="126" customFormat="1" ht="15.75" thickBot="1" x14ac:dyDescent="0.3">
      <c r="A175" s="349"/>
      <c r="B175" s="127">
        <v>2</v>
      </c>
      <c r="C175" s="127">
        <v>0</v>
      </c>
      <c r="D175" s="128">
        <f>'Data Ocupacion'!AX45</f>
        <v>2</v>
      </c>
      <c r="E175" s="128">
        <f>'Data Ocupacion'!AY45</f>
        <v>0</v>
      </c>
      <c r="F175" s="127" t="s">
        <v>157</v>
      </c>
      <c r="G175" s="127">
        <f t="shared" si="164"/>
        <v>2</v>
      </c>
      <c r="H175" s="127">
        <f t="shared" si="165"/>
        <v>2</v>
      </c>
      <c r="I175" s="127">
        <f t="shared" si="166"/>
        <v>2</v>
      </c>
      <c r="J175" s="127">
        <f>G175*Q$1</f>
        <v>16.600000000000001</v>
      </c>
      <c r="K175" s="156">
        <f>I175*Q$1</f>
        <v>16.600000000000001</v>
      </c>
      <c r="L175" s="127">
        <f t="shared" si="170"/>
        <v>1726.4</v>
      </c>
      <c r="M175" s="127">
        <f t="shared" si="171"/>
        <v>208</v>
      </c>
      <c r="N175" s="19"/>
      <c r="O175" s="19"/>
      <c r="P175" s="149"/>
      <c r="Q175" s="197"/>
      <c r="R175" s="197"/>
      <c r="S175" s="197"/>
      <c r="T175" s="197"/>
      <c r="U175" s="197"/>
      <c r="V175" s="197"/>
      <c r="W175" s="188">
        <f t="shared" si="172"/>
        <v>16.600000000000001</v>
      </c>
      <c r="X175" s="188">
        <f>H175*$Q$1</f>
        <v>16.600000000000001</v>
      </c>
    </row>
    <row r="176" spans="1:25" s="126" customFormat="1" ht="15.75" thickBot="1" x14ac:dyDescent="0.3">
      <c r="A176" s="20"/>
      <c r="B176" s="230">
        <f>SUM(B168:B175)</f>
        <v>192</v>
      </c>
      <c r="C176" s="230">
        <f>SUM(C168:C175)</f>
        <v>37</v>
      </c>
      <c r="D176" s="151">
        <f>SUM(D168:D175)</f>
        <v>192</v>
      </c>
      <c r="E176" s="151">
        <f>SUM(E168:E175)</f>
        <v>37</v>
      </c>
      <c r="F176" s="121"/>
      <c r="G176" s="121">
        <f t="shared" ref="G176:M176" si="173">SUM(G168:G175)</f>
        <v>266</v>
      </c>
      <c r="H176" s="121">
        <f t="shared" si="135"/>
        <v>266</v>
      </c>
      <c r="I176" s="121">
        <f t="shared" si="173"/>
        <v>229</v>
      </c>
      <c r="J176" s="121">
        <f t="shared" si="173"/>
        <v>10440.69</v>
      </c>
      <c r="K176" s="121">
        <f t="shared" si="173"/>
        <v>8844.8799999999992</v>
      </c>
      <c r="L176" s="121">
        <f t="shared" si="173"/>
        <v>1085831.7600000002</v>
      </c>
      <c r="M176" s="121">
        <f t="shared" si="173"/>
        <v>23816</v>
      </c>
      <c r="N176" s="125">
        <f>'Odometro-Kilometraje'!Y81</f>
        <v>11161</v>
      </c>
      <c r="O176" s="21">
        <f>(W176/N176)*100</f>
        <v>93.546187617596999</v>
      </c>
      <c r="P176" s="200"/>
      <c r="Q176" s="187"/>
      <c r="R176" s="187"/>
      <c r="S176" s="187"/>
      <c r="T176" s="187"/>
      <c r="U176" s="187"/>
      <c r="V176" s="187"/>
      <c r="W176" s="201">
        <f>SUM(W168:W175)</f>
        <v>10440.69</v>
      </c>
      <c r="X176" s="201">
        <f>SUM(X168:X175)</f>
        <v>10440.69</v>
      </c>
    </row>
    <row r="177" spans="1:25" x14ac:dyDescent="0.25">
      <c r="A177" s="62">
        <f>A168+1</f>
        <v>45713</v>
      </c>
      <c r="B177" s="127">
        <v>61</v>
      </c>
      <c r="C177" s="127">
        <v>18</v>
      </c>
      <c r="D177" s="128">
        <f>'Data Ocupacion'!AZ36</f>
        <v>44</v>
      </c>
      <c r="E177" s="128">
        <f>'Data Ocupacion'!BA36</f>
        <v>0</v>
      </c>
      <c r="F177" s="127" t="s">
        <v>38</v>
      </c>
      <c r="G177" s="127">
        <f t="shared" ref="G177:G184" si="174">D177+E177*2</f>
        <v>44</v>
      </c>
      <c r="H177" s="127">
        <f t="shared" ref="H177:H184" si="175">B177+C177*2</f>
        <v>97</v>
      </c>
      <c r="I177" s="127">
        <f t="shared" ref="I177:I184" si="176">D177+E177</f>
        <v>44</v>
      </c>
      <c r="J177" s="127">
        <f>G177*M$2</f>
        <v>1897.72</v>
      </c>
      <c r="K177" s="156">
        <f>I177*M$2</f>
        <v>1897.72</v>
      </c>
      <c r="L177" s="127">
        <f t="shared" ref="L177:L182" si="177">J177*104</f>
        <v>197362.88</v>
      </c>
      <c r="M177" s="127">
        <f t="shared" ref="M177:M182" si="178">I177*104</f>
        <v>4576</v>
      </c>
      <c r="N177" s="19"/>
      <c r="O177" s="19"/>
      <c r="P177" s="149"/>
      <c r="Q177" s="263"/>
      <c r="R177" s="189"/>
      <c r="S177" s="216"/>
      <c r="T177" s="324">
        <v>4</v>
      </c>
      <c r="U177" s="199"/>
      <c r="V177" s="245"/>
      <c r="W177" s="188">
        <f>J177-(Q177*($M$2-$K$1)+(R177*($M$2-$M$1))+  (T177*($K$1)))</f>
        <v>1796.1200000000001</v>
      </c>
      <c r="X177" s="188">
        <f>H177*$M$2</f>
        <v>4183.6100000000006</v>
      </c>
    </row>
    <row r="178" spans="1:25" ht="18" customHeight="1" x14ac:dyDescent="0.25">
      <c r="A178" s="350" t="s">
        <v>179</v>
      </c>
      <c r="B178" s="127">
        <v>59</v>
      </c>
      <c r="C178" s="127">
        <v>19</v>
      </c>
      <c r="D178" s="128">
        <f>'Data Ocupacion'!AZ37</f>
        <v>45</v>
      </c>
      <c r="E178" s="128">
        <f>'Data Ocupacion'!BA37</f>
        <v>0</v>
      </c>
      <c r="F178" s="127" t="s">
        <v>52</v>
      </c>
      <c r="G178" s="127">
        <f t="shared" si="174"/>
        <v>45</v>
      </c>
      <c r="H178" s="127">
        <f t="shared" si="175"/>
        <v>97</v>
      </c>
      <c r="I178" s="127">
        <f t="shared" si="176"/>
        <v>45</v>
      </c>
      <c r="J178" s="127">
        <f>G178*M$2</f>
        <v>1940.8500000000001</v>
      </c>
      <c r="K178" s="156">
        <f>I178*M$2</f>
        <v>1940.8500000000001</v>
      </c>
      <c r="L178" s="127">
        <f t="shared" si="177"/>
        <v>201848.40000000002</v>
      </c>
      <c r="M178" s="127">
        <f t="shared" si="178"/>
        <v>4680</v>
      </c>
      <c r="N178" s="19"/>
      <c r="O178" s="19"/>
      <c r="P178" s="149"/>
      <c r="Q178" s="194"/>
      <c r="R178" s="194"/>
      <c r="S178" s="194"/>
      <c r="T178" s="193"/>
      <c r="U178" s="191"/>
      <c r="V178" s="246"/>
      <c r="W178" s="192">
        <f>J178-(T178*($M$2-$K$1)+(U178*($M$2-$M$1)))</f>
        <v>1940.8500000000001</v>
      </c>
      <c r="X178" s="188">
        <f>H178*$M$2</f>
        <v>4183.6100000000006</v>
      </c>
      <c r="Y178" s="175"/>
    </row>
    <row r="179" spans="1:25" x14ac:dyDescent="0.25">
      <c r="A179" s="350"/>
      <c r="B179" s="127">
        <v>33</v>
      </c>
      <c r="C179" s="127">
        <v>0</v>
      </c>
      <c r="D179" s="128">
        <f>'Data Ocupacion'!AZ38</f>
        <v>13</v>
      </c>
      <c r="E179" s="128">
        <f>'Data Ocupacion'!BA38</f>
        <v>0</v>
      </c>
      <c r="F179" s="127" t="s">
        <v>36</v>
      </c>
      <c r="G179" s="127">
        <f t="shared" si="174"/>
        <v>13</v>
      </c>
      <c r="H179" s="127">
        <f t="shared" si="175"/>
        <v>33</v>
      </c>
      <c r="I179" s="127">
        <f t="shared" si="176"/>
        <v>13</v>
      </c>
      <c r="J179" s="127">
        <f>G179*M$1</f>
        <v>378.43</v>
      </c>
      <c r="K179" s="156">
        <f>I179*M$1</f>
        <v>378.43</v>
      </c>
      <c r="L179" s="127">
        <f t="shared" si="177"/>
        <v>39356.720000000001</v>
      </c>
      <c r="M179" s="127">
        <f t="shared" si="178"/>
        <v>1352</v>
      </c>
      <c r="N179" s="19"/>
      <c r="O179" s="19"/>
      <c r="P179" s="149"/>
      <c r="Q179" s="193"/>
      <c r="R179" s="195"/>
      <c r="S179" s="217"/>
      <c r="T179" s="196"/>
      <c r="U179" s="197"/>
      <c r="V179" s="197"/>
      <c r="W179" s="188">
        <f>J179-(Q179*($M$1-$K$1))</f>
        <v>378.43</v>
      </c>
      <c r="X179" s="188">
        <f>H179*$M$1</f>
        <v>960.63</v>
      </c>
    </row>
    <row r="180" spans="1:25" ht="15" customHeight="1" x14ac:dyDescent="0.25">
      <c r="A180" s="350"/>
      <c r="B180" s="127">
        <v>32</v>
      </c>
      <c r="C180" s="127">
        <v>0</v>
      </c>
      <c r="D180" s="128">
        <f>'Data Ocupacion'!AZ39</f>
        <v>14</v>
      </c>
      <c r="E180" s="128">
        <f>'Data Ocupacion'!BA39</f>
        <v>0</v>
      </c>
      <c r="F180" s="127" t="s">
        <v>53</v>
      </c>
      <c r="G180" s="127">
        <f t="shared" si="174"/>
        <v>14</v>
      </c>
      <c r="H180" s="127">
        <f t="shared" si="175"/>
        <v>32</v>
      </c>
      <c r="I180" s="127">
        <f t="shared" si="176"/>
        <v>14</v>
      </c>
      <c r="J180" s="127">
        <f>G180*M$1</f>
        <v>407.53999999999996</v>
      </c>
      <c r="K180" s="156">
        <f>I180*M$1</f>
        <v>407.53999999999996</v>
      </c>
      <c r="L180" s="127">
        <f t="shared" si="177"/>
        <v>42384.159999999996</v>
      </c>
      <c r="M180" s="127">
        <f t="shared" si="178"/>
        <v>1456</v>
      </c>
      <c r="N180" s="19"/>
      <c r="O180" s="19"/>
      <c r="P180" s="149"/>
      <c r="Q180" s="197"/>
      <c r="R180" s="197"/>
      <c r="S180" s="197"/>
      <c r="T180" s="197"/>
      <c r="U180" s="197"/>
      <c r="V180" s="197"/>
      <c r="W180" s="188">
        <f t="shared" ref="W180:W181" si="179">J180</f>
        <v>407.53999999999996</v>
      </c>
      <c r="X180" s="188">
        <f>H180*$M$1</f>
        <v>931.52</v>
      </c>
    </row>
    <row r="181" spans="1:25" ht="15.95" customHeight="1" x14ac:dyDescent="0.25">
      <c r="A181" s="350"/>
      <c r="B181" s="127">
        <v>0</v>
      </c>
      <c r="C181" s="127">
        <v>0</v>
      </c>
      <c r="D181" s="128">
        <f>'Data Ocupacion'!AZ40</f>
        <v>0</v>
      </c>
      <c r="E181" s="128">
        <f>'Data Ocupacion'!BA40</f>
        <v>0</v>
      </c>
      <c r="F181" s="127" t="s">
        <v>122</v>
      </c>
      <c r="G181" s="127">
        <f t="shared" si="174"/>
        <v>0</v>
      </c>
      <c r="H181" s="127">
        <f t="shared" si="175"/>
        <v>0</v>
      </c>
      <c r="I181" s="127">
        <f t="shared" si="176"/>
        <v>0</v>
      </c>
      <c r="J181" s="127">
        <f>G181*K$1</f>
        <v>0</v>
      </c>
      <c r="K181" s="156">
        <f>I181*K$1</f>
        <v>0</v>
      </c>
      <c r="L181" s="127">
        <f t="shared" si="177"/>
        <v>0</v>
      </c>
      <c r="M181" s="127">
        <f t="shared" si="178"/>
        <v>0</v>
      </c>
      <c r="N181" s="19"/>
      <c r="O181" s="19"/>
      <c r="P181" s="149"/>
      <c r="Q181" s="197"/>
      <c r="R181" s="197"/>
      <c r="S181" s="197"/>
      <c r="T181" s="197"/>
      <c r="U181" s="197"/>
      <c r="V181" s="197"/>
      <c r="W181" s="188">
        <f t="shared" si="179"/>
        <v>0</v>
      </c>
      <c r="X181" s="188">
        <f>H181*$K$1</f>
        <v>0</v>
      </c>
    </row>
    <row r="182" spans="1:25" x14ac:dyDescent="0.25">
      <c r="A182" s="350"/>
      <c r="B182" s="127">
        <v>1</v>
      </c>
      <c r="C182" s="127">
        <v>0</v>
      </c>
      <c r="D182" s="128">
        <f>'Data Ocupacion'!AZ41</f>
        <v>1</v>
      </c>
      <c r="E182" s="128">
        <f>'Data Ocupacion'!BA41</f>
        <v>0</v>
      </c>
      <c r="F182" s="127" t="s">
        <v>35</v>
      </c>
      <c r="G182" s="127">
        <f t="shared" si="174"/>
        <v>1</v>
      </c>
      <c r="H182" s="127">
        <f t="shared" si="175"/>
        <v>1</v>
      </c>
      <c r="I182" s="127">
        <f t="shared" si="176"/>
        <v>1</v>
      </c>
      <c r="J182" s="127">
        <f>G182*K$1</f>
        <v>25.4</v>
      </c>
      <c r="K182" s="156">
        <f>I182*K$1</f>
        <v>25.4</v>
      </c>
      <c r="L182" s="127">
        <f t="shared" si="177"/>
        <v>2641.6</v>
      </c>
      <c r="M182" s="127">
        <f t="shared" si="178"/>
        <v>104</v>
      </c>
      <c r="N182" s="19"/>
      <c r="O182" s="19"/>
      <c r="P182" s="149"/>
      <c r="Q182" s="197"/>
      <c r="R182" s="197"/>
      <c r="S182" s="197"/>
      <c r="T182" s="197"/>
      <c r="U182" s="197"/>
      <c r="V182" s="197"/>
      <c r="W182" s="188">
        <f>J182</f>
        <v>25.4</v>
      </c>
      <c r="X182" s="188">
        <f>H182*$K$1</f>
        <v>25.4</v>
      </c>
    </row>
    <row r="183" spans="1:25" s="126" customFormat="1" x14ac:dyDescent="0.25">
      <c r="A183" s="350"/>
      <c r="B183" s="127">
        <v>4</v>
      </c>
      <c r="C183" s="127">
        <v>0</v>
      </c>
      <c r="D183" s="128">
        <f>'Data Ocupacion'!AZ44</f>
        <v>4</v>
      </c>
      <c r="E183" s="128">
        <f>'Data Ocupacion'!BA44</f>
        <v>0</v>
      </c>
      <c r="F183" s="127" t="s">
        <v>158</v>
      </c>
      <c r="G183" s="127">
        <f t="shared" si="174"/>
        <v>4</v>
      </c>
      <c r="H183" s="127">
        <f t="shared" si="175"/>
        <v>4</v>
      </c>
      <c r="I183" s="127">
        <f t="shared" si="176"/>
        <v>4</v>
      </c>
      <c r="J183" s="127">
        <f>G183*S$1</f>
        <v>139.32</v>
      </c>
      <c r="K183" s="156">
        <f>I183*S$1</f>
        <v>139.32</v>
      </c>
      <c r="L183" s="127">
        <f t="shared" ref="L183:L184" si="180">J183*104</f>
        <v>14489.279999999999</v>
      </c>
      <c r="M183" s="127">
        <f t="shared" ref="M183:M184" si="181">I183*104</f>
        <v>416</v>
      </c>
      <c r="N183" s="19"/>
      <c r="O183" s="19"/>
      <c r="P183" s="149"/>
      <c r="Q183" s="197"/>
      <c r="R183" s="197"/>
      <c r="S183" s="197"/>
      <c r="T183" s="197"/>
      <c r="U183" s="197"/>
      <c r="V183" s="197"/>
      <c r="W183" s="188">
        <f t="shared" ref="W183:W184" si="182">J183</f>
        <v>139.32</v>
      </c>
      <c r="X183" s="188">
        <f>H183*$S$1</f>
        <v>139.32</v>
      </c>
    </row>
    <row r="184" spans="1:25" s="126" customFormat="1" ht="15.75" thickBot="1" x14ac:dyDescent="0.3">
      <c r="A184" s="350"/>
      <c r="B184" s="127">
        <v>2</v>
      </c>
      <c r="C184" s="127">
        <v>0</v>
      </c>
      <c r="D184" s="128">
        <f>'Data Ocupacion'!AZ45</f>
        <v>2</v>
      </c>
      <c r="E184" s="128">
        <f>'Data Ocupacion'!BA45</f>
        <v>0</v>
      </c>
      <c r="F184" s="127" t="s">
        <v>157</v>
      </c>
      <c r="G184" s="127">
        <f t="shared" si="174"/>
        <v>2</v>
      </c>
      <c r="H184" s="127">
        <f t="shared" si="175"/>
        <v>2</v>
      </c>
      <c r="I184" s="127">
        <f t="shared" si="176"/>
        <v>2</v>
      </c>
      <c r="J184" s="127">
        <f>G184*Q$1</f>
        <v>16.600000000000001</v>
      </c>
      <c r="K184" s="156">
        <f>I184*Q$1</f>
        <v>16.600000000000001</v>
      </c>
      <c r="L184" s="127">
        <f t="shared" si="180"/>
        <v>1726.4</v>
      </c>
      <c r="M184" s="127">
        <f t="shared" si="181"/>
        <v>208</v>
      </c>
      <c r="N184" s="19"/>
      <c r="O184" s="19"/>
      <c r="P184" s="149"/>
      <c r="Q184" s="197"/>
      <c r="R184" s="197"/>
      <c r="S184" s="197"/>
      <c r="T184" s="197"/>
      <c r="U184" s="197"/>
      <c r="V184" s="197"/>
      <c r="W184" s="188">
        <f t="shared" si="182"/>
        <v>16.600000000000001</v>
      </c>
      <c r="X184" s="188">
        <f>H184*$Q$1</f>
        <v>16.600000000000001</v>
      </c>
    </row>
    <row r="185" spans="1:25" s="126" customFormat="1" ht="15.75" thickBot="1" x14ac:dyDescent="0.3">
      <c r="A185" s="209"/>
      <c r="B185" s="230">
        <f>SUM(B177:B184)</f>
        <v>192</v>
      </c>
      <c r="C185" s="230">
        <f>SUM(C177:C184)</f>
        <v>37</v>
      </c>
      <c r="D185" s="155">
        <f>SUM(D177:D184)</f>
        <v>123</v>
      </c>
      <c r="E185" s="155">
        <f>SUM(E177:E184)</f>
        <v>0</v>
      </c>
      <c r="F185" s="121"/>
      <c r="G185" s="121">
        <f t="shared" ref="G185:M185" si="183">SUM(G177:G184)</f>
        <v>123</v>
      </c>
      <c r="H185" s="121">
        <f t="shared" si="135"/>
        <v>123</v>
      </c>
      <c r="I185" s="121">
        <f>SUM(I177:I184)</f>
        <v>123</v>
      </c>
      <c r="J185" s="122">
        <f t="shared" si="183"/>
        <v>4805.8599999999997</v>
      </c>
      <c r="K185" s="121">
        <f t="shared" si="183"/>
        <v>4805.8599999999997</v>
      </c>
      <c r="L185" s="120">
        <f t="shared" si="183"/>
        <v>499809.43999999994</v>
      </c>
      <c r="M185" s="154">
        <f t="shared" si="183"/>
        <v>12792</v>
      </c>
      <c r="N185" s="125">
        <f>'Odometro-Kilometraje'!Z81</f>
        <v>5306</v>
      </c>
      <c r="O185" s="21">
        <f>(W185/N185)*100</f>
        <v>88.659253675084813</v>
      </c>
      <c r="P185" s="200"/>
      <c r="Q185" s="187"/>
      <c r="R185" s="187"/>
      <c r="S185" s="187"/>
      <c r="T185" s="187"/>
      <c r="U185" s="187"/>
      <c r="V185" s="187"/>
      <c r="W185" s="201">
        <f>SUM(W177:W184)</f>
        <v>4704.26</v>
      </c>
      <c r="X185" s="201">
        <f>SUM(X177:X184)</f>
        <v>10440.69</v>
      </c>
    </row>
    <row r="186" spans="1:25" x14ac:dyDescent="0.25">
      <c r="A186" s="62">
        <f>A177+1</f>
        <v>45714</v>
      </c>
      <c r="B186" s="127">
        <v>78</v>
      </c>
      <c r="C186" s="127">
        <v>1</v>
      </c>
      <c r="D186" s="128">
        <f>'Data Ocupacion'!BB36</f>
        <v>65</v>
      </c>
      <c r="E186" s="128">
        <f>'Data Ocupacion'!BC36</f>
        <v>14</v>
      </c>
      <c r="F186" s="127" t="s">
        <v>38</v>
      </c>
      <c r="G186" s="127">
        <f t="shared" ref="G186:G191" si="184">D186+E186*2</f>
        <v>93</v>
      </c>
      <c r="H186" s="127">
        <f t="shared" ref="H186:H191" si="185">B186+C186*2</f>
        <v>80</v>
      </c>
      <c r="I186" s="127">
        <f t="shared" ref="I186:I191" si="186">D186+E186</f>
        <v>79</v>
      </c>
      <c r="J186" s="127">
        <f>G186*M$2</f>
        <v>4011.09</v>
      </c>
      <c r="K186" s="156">
        <f>I186*M$2</f>
        <v>3407.27</v>
      </c>
      <c r="L186" s="127">
        <f t="shared" ref="L186:L191" si="187">J186*104</f>
        <v>417153.36</v>
      </c>
      <c r="M186" s="127">
        <f t="shared" ref="M186:M191" si="188">I186*104</f>
        <v>8216</v>
      </c>
      <c r="N186" s="19"/>
      <c r="O186" s="19"/>
      <c r="P186" s="149"/>
      <c r="Q186" s="263"/>
      <c r="R186" s="189"/>
      <c r="S186" s="216"/>
      <c r="T186" s="325">
        <v>3</v>
      </c>
      <c r="U186" s="199"/>
      <c r="V186" s="245"/>
      <c r="W186" s="188">
        <f>J186-(Q186*($M$2-$K$1)+(R186*($M$2-$M$1))+  (T186*($K$1)))</f>
        <v>3934.8900000000003</v>
      </c>
      <c r="X186" s="188">
        <f>H186*$M$2</f>
        <v>3450.4</v>
      </c>
    </row>
    <row r="187" spans="1:25" ht="15" customHeight="1" x14ac:dyDescent="0.25">
      <c r="A187" s="277"/>
      <c r="B187" s="127">
        <v>76</v>
      </c>
      <c r="C187" s="127">
        <v>2</v>
      </c>
      <c r="D187" s="128">
        <f>'Data Ocupacion'!BB37</f>
        <v>64</v>
      </c>
      <c r="E187" s="128">
        <f>'Data Ocupacion'!BC37</f>
        <v>14</v>
      </c>
      <c r="F187" s="127" t="s">
        <v>52</v>
      </c>
      <c r="G187" s="127">
        <f t="shared" si="184"/>
        <v>92</v>
      </c>
      <c r="H187" s="127">
        <f t="shared" si="185"/>
        <v>80</v>
      </c>
      <c r="I187" s="127">
        <f t="shared" si="186"/>
        <v>78</v>
      </c>
      <c r="J187" s="127">
        <f>G187*M$2</f>
        <v>3967.96</v>
      </c>
      <c r="K187" s="156">
        <f>I187*M$2</f>
        <v>3364.1400000000003</v>
      </c>
      <c r="L187" s="127">
        <f t="shared" si="187"/>
        <v>412667.84</v>
      </c>
      <c r="M187" s="127">
        <f t="shared" si="188"/>
        <v>8112</v>
      </c>
      <c r="N187" s="19"/>
      <c r="O187" s="19"/>
      <c r="P187" s="149"/>
      <c r="Q187" s="194"/>
      <c r="R187" s="194"/>
      <c r="S187" s="229"/>
      <c r="T187" s="263">
        <v>1</v>
      </c>
      <c r="U187" s="189"/>
      <c r="V187" s="216"/>
      <c r="W187" s="192">
        <f>J187-(T187*($M$2-$K$1)+(U187*($M$2-$M$1)))</f>
        <v>3950.23</v>
      </c>
      <c r="X187" s="188">
        <f>H187*$M$2</f>
        <v>3450.4</v>
      </c>
    </row>
    <row r="188" spans="1:25" x14ac:dyDescent="0.25">
      <c r="A188" s="277"/>
      <c r="B188" s="127">
        <v>33</v>
      </c>
      <c r="C188" s="127">
        <v>0</v>
      </c>
      <c r="D188" s="128">
        <f>'Data Ocupacion'!BB38</f>
        <v>33</v>
      </c>
      <c r="E188" s="128">
        <f>'Data Ocupacion'!BC38</f>
        <v>0</v>
      </c>
      <c r="F188" s="127" t="s">
        <v>36</v>
      </c>
      <c r="G188" s="127">
        <f t="shared" si="184"/>
        <v>33</v>
      </c>
      <c r="H188" s="127">
        <f t="shared" si="185"/>
        <v>33</v>
      </c>
      <c r="I188" s="127">
        <f t="shared" si="186"/>
        <v>33</v>
      </c>
      <c r="J188" s="127">
        <f>G188*M$1</f>
        <v>960.63</v>
      </c>
      <c r="K188" s="156">
        <f>I188*M$1</f>
        <v>960.63</v>
      </c>
      <c r="L188" s="127">
        <f t="shared" si="187"/>
        <v>99905.52</v>
      </c>
      <c r="M188" s="127">
        <f t="shared" si="188"/>
        <v>3432</v>
      </c>
      <c r="N188" s="19"/>
      <c r="O188" s="19" t="s">
        <v>147</v>
      </c>
      <c r="P188" s="149"/>
      <c r="Q188" s="193"/>
      <c r="R188" s="195"/>
      <c r="S188" s="217"/>
      <c r="T188" s="196"/>
      <c r="U188" s="197"/>
      <c r="V188" s="197"/>
      <c r="W188" s="188">
        <f>J188-(Q188*($M$1-$K$1))</f>
        <v>960.63</v>
      </c>
      <c r="X188" s="188">
        <f>H188*$M$1</f>
        <v>960.63</v>
      </c>
    </row>
    <row r="189" spans="1:25" ht="15" customHeight="1" x14ac:dyDescent="0.25">
      <c r="A189" s="277"/>
      <c r="B189" s="127">
        <v>32</v>
      </c>
      <c r="C189" s="127">
        <v>0</v>
      </c>
      <c r="D189" s="128">
        <f>'Data Ocupacion'!BB39</f>
        <v>32</v>
      </c>
      <c r="E189" s="128">
        <f>'Data Ocupacion'!BC39</f>
        <v>0</v>
      </c>
      <c r="F189" s="127" t="s">
        <v>53</v>
      </c>
      <c r="G189" s="127">
        <f t="shared" si="184"/>
        <v>32</v>
      </c>
      <c r="H189" s="127">
        <f t="shared" si="185"/>
        <v>32</v>
      </c>
      <c r="I189" s="127">
        <f t="shared" si="186"/>
        <v>32</v>
      </c>
      <c r="J189" s="127">
        <f>G189*M$1</f>
        <v>931.52</v>
      </c>
      <c r="K189" s="156">
        <f>I189*M$1</f>
        <v>931.52</v>
      </c>
      <c r="L189" s="127">
        <f t="shared" si="187"/>
        <v>96878.080000000002</v>
      </c>
      <c r="M189" s="127">
        <f t="shared" si="188"/>
        <v>3328</v>
      </c>
      <c r="N189" s="19"/>
      <c r="O189" s="19"/>
      <c r="P189" s="149"/>
      <c r="Q189" s="197"/>
      <c r="R189" s="197"/>
      <c r="S189" s="197"/>
      <c r="T189" s="197"/>
      <c r="U189" s="197"/>
      <c r="V189" s="197"/>
      <c r="W189" s="188">
        <f t="shared" ref="W189:W190" si="189">J189</f>
        <v>931.52</v>
      </c>
      <c r="X189" s="188">
        <f>H189*$M$1</f>
        <v>931.52</v>
      </c>
    </row>
    <row r="190" spans="1:25" ht="15" customHeight="1" x14ac:dyDescent="0.25">
      <c r="A190" s="277"/>
      <c r="B190" s="127">
        <v>0</v>
      </c>
      <c r="C190" s="127">
        <v>0</v>
      </c>
      <c r="D190" s="128">
        <f>'Data Ocupacion'!BB40</f>
        <v>0</v>
      </c>
      <c r="E190" s="128">
        <f>'Data Ocupacion'!BC40</f>
        <v>0</v>
      </c>
      <c r="F190" s="127" t="s">
        <v>122</v>
      </c>
      <c r="G190" s="127">
        <f t="shared" si="184"/>
        <v>0</v>
      </c>
      <c r="H190" s="127">
        <f t="shared" si="185"/>
        <v>0</v>
      </c>
      <c r="I190" s="127">
        <f t="shared" si="186"/>
        <v>0</v>
      </c>
      <c r="J190" s="127">
        <f>G190*K$1</f>
        <v>0</v>
      </c>
      <c r="K190" s="156">
        <f>I190*K$1</f>
        <v>0</v>
      </c>
      <c r="L190" s="127">
        <f t="shared" si="187"/>
        <v>0</v>
      </c>
      <c r="M190" s="127">
        <f t="shared" si="188"/>
        <v>0</v>
      </c>
      <c r="N190" s="19"/>
      <c r="O190" s="19"/>
      <c r="P190" s="149"/>
      <c r="Q190" s="197"/>
      <c r="R190" s="197"/>
      <c r="S190" s="197"/>
      <c r="T190" s="197"/>
      <c r="U190" s="197"/>
      <c r="V190" s="197"/>
      <c r="W190" s="188">
        <f t="shared" si="189"/>
        <v>0</v>
      </c>
      <c r="X190" s="188">
        <f>H190*$K$1</f>
        <v>0</v>
      </c>
    </row>
    <row r="191" spans="1:25" ht="15" customHeight="1" thickBot="1" x14ac:dyDescent="0.3">
      <c r="A191" s="277"/>
      <c r="B191" s="127">
        <v>1</v>
      </c>
      <c r="C191" s="127">
        <v>0</v>
      </c>
      <c r="D191" s="128">
        <f>'Data Ocupacion'!BB41</f>
        <v>1</v>
      </c>
      <c r="E191" s="128">
        <f>'Data Ocupacion'!BC41</f>
        <v>0</v>
      </c>
      <c r="F191" s="127" t="s">
        <v>35</v>
      </c>
      <c r="G191" s="127">
        <f t="shared" si="184"/>
        <v>1</v>
      </c>
      <c r="H191" s="127">
        <f t="shared" si="185"/>
        <v>1</v>
      </c>
      <c r="I191" s="127">
        <f t="shared" si="186"/>
        <v>1</v>
      </c>
      <c r="J191" s="127">
        <f>G191*K$1</f>
        <v>25.4</v>
      </c>
      <c r="K191" s="156">
        <f>I191*K$1</f>
        <v>25.4</v>
      </c>
      <c r="L191" s="127">
        <f t="shared" si="187"/>
        <v>2641.6</v>
      </c>
      <c r="M191" s="127">
        <f t="shared" si="188"/>
        <v>104</v>
      </c>
      <c r="N191" s="19"/>
      <c r="O191" s="19"/>
      <c r="P191" s="149"/>
      <c r="Q191" s="197"/>
      <c r="R191" s="197"/>
      <c r="S191" s="197"/>
      <c r="T191" s="197"/>
      <c r="U191" s="197"/>
      <c r="V191" s="197"/>
      <c r="W191" s="188">
        <f>J191</f>
        <v>25.4</v>
      </c>
      <c r="X191" s="188">
        <f>H191*$K$1</f>
        <v>25.4</v>
      </c>
    </row>
    <row r="192" spans="1:25" s="126" customFormat="1" ht="15.75" thickBot="1" x14ac:dyDescent="0.3">
      <c r="A192" s="20"/>
      <c r="B192" s="230">
        <f>SUM(B186:B191)</f>
        <v>220</v>
      </c>
      <c r="C192" s="230">
        <f>SUM(C186:C191)</f>
        <v>3</v>
      </c>
      <c r="D192" s="155">
        <f>SUM(D186:D191)</f>
        <v>195</v>
      </c>
      <c r="E192" s="155">
        <f>SUM(E186:E191)</f>
        <v>28</v>
      </c>
      <c r="F192" s="121"/>
      <c r="G192" s="121">
        <f t="shared" ref="G192:M192" si="190">SUM(G186:G191)</f>
        <v>251</v>
      </c>
      <c r="H192" s="121">
        <f t="shared" si="135"/>
        <v>251</v>
      </c>
      <c r="I192" s="121">
        <f t="shared" si="190"/>
        <v>223</v>
      </c>
      <c r="J192" s="122">
        <f t="shared" si="190"/>
        <v>9896.6</v>
      </c>
      <c r="K192" s="121">
        <f t="shared" si="190"/>
        <v>8688.9599999999991</v>
      </c>
      <c r="L192" s="120">
        <f t="shared" si="190"/>
        <v>1029246.3999999999</v>
      </c>
      <c r="M192" s="154">
        <f t="shared" si="190"/>
        <v>23192</v>
      </c>
      <c r="N192" s="125">
        <f>'Odometro-Kilometraje'!AA81</f>
        <v>10347</v>
      </c>
      <c r="O192" s="21">
        <f>(W192/N192)*100</f>
        <v>94.739248091234174</v>
      </c>
      <c r="P192" s="200"/>
      <c r="Q192" s="187"/>
      <c r="R192" s="187"/>
      <c r="S192" s="187"/>
      <c r="T192" s="187"/>
      <c r="U192" s="187"/>
      <c r="V192" s="187"/>
      <c r="W192" s="201">
        <f>SUM(W186:W191)</f>
        <v>9802.67</v>
      </c>
      <c r="X192" s="201">
        <f>SUM(X186:X191)</f>
        <v>8818.35</v>
      </c>
    </row>
    <row r="193" spans="1:24" x14ac:dyDescent="0.25">
      <c r="A193" s="62">
        <f>A186+1</f>
        <v>45715</v>
      </c>
      <c r="B193" s="127">
        <v>61</v>
      </c>
      <c r="C193" s="127">
        <v>18</v>
      </c>
      <c r="D193" s="150">
        <f>'Data Ocupacion'!BD36</f>
        <v>62</v>
      </c>
      <c r="E193" s="150">
        <f>'Data Ocupacion'!BE36</f>
        <v>17</v>
      </c>
      <c r="F193" s="127" t="s">
        <v>38</v>
      </c>
      <c r="G193" s="127">
        <f t="shared" ref="G193:G200" si="191">D193+E193*2</f>
        <v>96</v>
      </c>
      <c r="H193" s="127">
        <f t="shared" ref="H193:H200" si="192">B193+C193*2</f>
        <v>97</v>
      </c>
      <c r="I193" s="127">
        <f t="shared" ref="I193:I200" si="193">D193+E193</f>
        <v>79</v>
      </c>
      <c r="J193" s="127">
        <f>G193*M$2</f>
        <v>4140.4800000000005</v>
      </c>
      <c r="K193" s="156">
        <f>I193*M$2</f>
        <v>3407.27</v>
      </c>
      <c r="L193" s="127">
        <f t="shared" ref="L193:L198" si="194">J193*104</f>
        <v>430609.92000000004</v>
      </c>
      <c r="M193" s="127">
        <f t="shared" ref="M193:M198" si="195">I193*104</f>
        <v>8216</v>
      </c>
      <c r="N193" s="19"/>
      <c r="O193" s="19"/>
      <c r="P193" s="149"/>
      <c r="Q193" s="193"/>
      <c r="R193" s="189"/>
      <c r="S193" s="216"/>
      <c r="T193" s="325">
        <v>4</v>
      </c>
      <c r="U193" s="199"/>
      <c r="V193" s="245"/>
      <c r="W193" s="188">
        <f>J193-(Q193*($M$2-$K$1)+(R193*($M$2-$M$1))+  (T193*($K$1)))</f>
        <v>4038.8800000000006</v>
      </c>
      <c r="X193" s="188">
        <f>H193*$M$2</f>
        <v>4183.6100000000006</v>
      </c>
    </row>
    <row r="194" spans="1:24" ht="18" customHeight="1" x14ac:dyDescent="0.25">
      <c r="A194" s="349" t="s">
        <v>177</v>
      </c>
      <c r="B194" s="127">
        <v>59</v>
      </c>
      <c r="C194" s="127">
        <v>19</v>
      </c>
      <c r="D194" s="150">
        <f>'Data Ocupacion'!BD37</f>
        <v>60</v>
      </c>
      <c r="E194" s="150">
        <f>'Data Ocupacion'!BE37</f>
        <v>18</v>
      </c>
      <c r="F194" s="127" t="s">
        <v>52</v>
      </c>
      <c r="G194" s="127">
        <f t="shared" si="191"/>
        <v>96</v>
      </c>
      <c r="H194" s="127">
        <f t="shared" si="192"/>
        <v>97</v>
      </c>
      <c r="I194" s="127">
        <f t="shared" si="193"/>
        <v>78</v>
      </c>
      <c r="J194" s="127">
        <f>G194*M$2</f>
        <v>4140.4800000000005</v>
      </c>
      <c r="K194" s="156">
        <f>I194*M$2</f>
        <v>3364.1400000000003</v>
      </c>
      <c r="L194" s="127">
        <f t="shared" si="194"/>
        <v>430609.92000000004</v>
      </c>
      <c r="M194" s="127">
        <f t="shared" si="195"/>
        <v>8112</v>
      </c>
      <c r="N194" s="19"/>
      <c r="O194" s="19"/>
      <c r="P194" s="149"/>
      <c r="Q194" s="194"/>
      <c r="R194" s="194"/>
      <c r="S194" s="229"/>
      <c r="T194" s="263">
        <v>1</v>
      </c>
      <c r="U194" s="214"/>
      <c r="V194" s="246"/>
      <c r="W194" s="192">
        <f>J194-(T194*($M$2-$K$1)+(U194*($M$2-$M$1)))</f>
        <v>4122.7500000000009</v>
      </c>
      <c r="X194" s="188">
        <f>H194*$M$2</f>
        <v>4183.6100000000006</v>
      </c>
    </row>
    <row r="195" spans="1:24" ht="15" customHeight="1" x14ac:dyDescent="0.25">
      <c r="A195" s="349"/>
      <c r="B195" s="127">
        <v>33</v>
      </c>
      <c r="C195" s="127">
        <v>0</v>
      </c>
      <c r="D195" s="128">
        <f>'Data Ocupacion'!BD38</f>
        <v>33</v>
      </c>
      <c r="E195" s="128">
        <f>'Data Ocupacion'!BE38</f>
        <v>0</v>
      </c>
      <c r="F195" s="127" t="s">
        <v>36</v>
      </c>
      <c r="G195" s="127">
        <f t="shared" si="191"/>
        <v>33</v>
      </c>
      <c r="H195" s="127">
        <f t="shared" si="192"/>
        <v>33</v>
      </c>
      <c r="I195" s="127">
        <f t="shared" si="193"/>
        <v>33</v>
      </c>
      <c r="J195" s="127">
        <f>G195*M$1</f>
        <v>960.63</v>
      </c>
      <c r="K195" s="156">
        <f>I195*M$1</f>
        <v>960.63</v>
      </c>
      <c r="L195" s="127">
        <f t="shared" si="194"/>
        <v>99905.52</v>
      </c>
      <c r="M195" s="127">
        <f t="shared" si="195"/>
        <v>3432</v>
      </c>
      <c r="N195" s="19"/>
      <c r="O195" s="19"/>
      <c r="P195" s="149"/>
      <c r="Q195" s="193"/>
      <c r="R195" s="195"/>
      <c r="S195" s="217"/>
      <c r="T195" s="196"/>
      <c r="U195" s="197"/>
      <c r="V195" s="197"/>
      <c r="W195" s="188">
        <f>J195-(Q195*($M$1-$K$1))</f>
        <v>960.63</v>
      </c>
      <c r="X195" s="188">
        <f>H195*$M$1</f>
        <v>960.63</v>
      </c>
    </row>
    <row r="196" spans="1:24" ht="15" customHeight="1" x14ac:dyDescent="0.25">
      <c r="A196" s="349"/>
      <c r="B196" s="127">
        <v>32</v>
      </c>
      <c r="C196" s="127">
        <v>0</v>
      </c>
      <c r="D196" s="128">
        <f>'Data Ocupacion'!BD39</f>
        <v>32</v>
      </c>
      <c r="E196" s="128">
        <f>'Data Ocupacion'!BE39</f>
        <v>0</v>
      </c>
      <c r="F196" s="127" t="s">
        <v>53</v>
      </c>
      <c r="G196" s="127">
        <f t="shared" si="191"/>
        <v>32</v>
      </c>
      <c r="H196" s="127">
        <f t="shared" si="192"/>
        <v>32</v>
      </c>
      <c r="I196" s="127">
        <f t="shared" si="193"/>
        <v>32</v>
      </c>
      <c r="J196" s="127">
        <f>G196*M$1</f>
        <v>931.52</v>
      </c>
      <c r="K196" s="156">
        <f>I196*M$1</f>
        <v>931.52</v>
      </c>
      <c r="L196" s="127">
        <f t="shared" si="194"/>
        <v>96878.080000000002</v>
      </c>
      <c r="M196" s="127">
        <f t="shared" si="195"/>
        <v>3328</v>
      </c>
      <c r="N196" s="19"/>
      <c r="O196" s="19"/>
      <c r="P196" s="149"/>
      <c r="Q196" s="197"/>
      <c r="R196" s="197"/>
      <c r="S196" s="197"/>
      <c r="T196" s="197"/>
      <c r="U196" s="197"/>
      <c r="V196" s="197"/>
      <c r="W196" s="188">
        <f t="shared" ref="W196:W197" si="196">J196</f>
        <v>931.52</v>
      </c>
      <c r="X196" s="188">
        <f>H196*$M$1</f>
        <v>931.52</v>
      </c>
    </row>
    <row r="197" spans="1:24" ht="15" customHeight="1" x14ac:dyDescent="0.25">
      <c r="A197" s="349"/>
      <c r="B197" s="127">
        <v>0</v>
      </c>
      <c r="C197" s="127">
        <v>0</v>
      </c>
      <c r="D197" s="128">
        <f>'Data Ocupacion'!BD40</f>
        <v>0</v>
      </c>
      <c r="E197" s="128">
        <f>'Data Ocupacion'!BE40</f>
        <v>0</v>
      </c>
      <c r="F197" s="127" t="s">
        <v>122</v>
      </c>
      <c r="G197" s="127">
        <f t="shared" si="191"/>
        <v>0</v>
      </c>
      <c r="H197" s="127">
        <f t="shared" si="192"/>
        <v>0</v>
      </c>
      <c r="I197" s="127">
        <f t="shared" si="193"/>
        <v>0</v>
      </c>
      <c r="J197" s="127">
        <f>G197*K$1</f>
        <v>0</v>
      </c>
      <c r="K197" s="156">
        <f>I197*K$1</f>
        <v>0</v>
      </c>
      <c r="L197" s="127">
        <f t="shared" si="194"/>
        <v>0</v>
      </c>
      <c r="M197" s="127">
        <f t="shared" si="195"/>
        <v>0</v>
      </c>
      <c r="N197" s="19"/>
      <c r="O197" s="19"/>
      <c r="P197" s="149"/>
      <c r="Q197" s="197"/>
      <c r="R197" s="197"/>
      <c r="S197" s="197"/>
      <c r="T197" s="197"/>
      <c r="U197" s="197"/>
      <c r="V197" s="197"/>
      <c r="W197" s="188">
        <f t="shared" si="196"/>
        <v>0</v>
      </c>
      <c r="X197" s="188">
        <f>H197*$K$1</f>
        <v>0</v>
      </c>
    </row>
    <row r="198" spans="1:24" ht="15.75" customHeight="1" x14ac:dyDescent="0.25">
      <c r="A198" s="349"/>
      <c r="B198" s="127">
        <v>1</v>
      </c>
      <c r="C198" s="127">
        <v>0</v>
      </c>
      <c r="D198" s="128">
        <f>'Data Ocupacion'!BD41</f>
        <v>1</v>
      </c>
      <c r="E198" s="128">
        <f>'Data Ocupacion'!BE41</f>
        <v>0</v>
      </c>
      <c r="F198" s="127" t="s">
        <v>35</v>
      </c>
      <c r="G198" s="127">
        <f t="shared" si="191"/>
        <v>1</v>
      </c>
      <c r="H198" s="127">
        <f t="shared" si="192"/>
        <v>1</v>
      </c>
      <c r="I198" s="127">
        <f t="shared" si="193"/>
        <v>1</v>
      </c>
      <c r="J198" s="127">
        <f>G198*K$1</f>
        <v>25.4</v>
      </c>
      <c r="K198" s="156">
        <f>I198*K$1</f>
        <v>25.4</v>
      </c>
      <c r="L198" s="127">
        <f t="shared" si="194"/>
        <v>2641.6</v>
      </c>
      <c r="M198" s="127">
        <f t="shared" si="195"/>
        <v>104</v>
      </c>
      <c r="N198" s="19"/>
      <c r="O198" s="19"/>
      <c r="P198" s="149"/>
      <c r="Q198" s="197"/>
      <c r="R198" s="197"/>
      <c r="S198" s="197"/>
      <c r="T198" s="197"/>
      <c r="U198" s="197"/>
      <c r="V198" s="197"/>
      <c r="W198" s="188">
        <f>J198</f>
        <v>25.4</v>
      </c>
      <c r="X198" s="188">
        <f>H198*$K$1</f>
        <v>25.4</v>
      </c>
    </row>
    <row r="199" spans="1:24" s="126" customFormat="1" ht="15.75" customHeight="1" x14ac:dyDescent="0.25">
      <c r="A199" s="349"/>
      <c r="B199" s="127">
        <v>4</v>
      </c>
      <c r="C199" s="127">
        <v>0</v>
      </c>
      <c r="D199" s="128">
        <f>'Data Ocupacion'!BD44</f>
        <v>4</v>
      </c>
      <c r="E199" s="128">
        <f>'Data Ocupacion'!BE44</f>
        <v>0</v>
      </c>
      <c r="F199" s="127" t="s">
        <v>158</v>
      </c>
      <c r="G199" s="127">
        <f t="shared" si="191"/>
        <v>4</v>
      </c>
      <c r="H199" s="127">
        <f t="shared" si="192"/>
        <v>4</v>
      </c>
      <c r="I199" s="127">
        <f t="shared" si="193"/>
        <v>4</v>
      </c>
      <c r="J199" s="127">
        <f>G199*S$1</f>
        <v>139.32</v>
      </c>
      <c r="K199" s="156">
        <f>I199*S$1</f>
        <v>139.32</v>
      </c>
      <c r="L199" s="127">
        <f t="shared" ref="L199:L200" si="197">J199*104</f>
        <v>14489.279999999999</v>
      </c>
      <c r="M199" s="127">
        <f t="shared" ref="M199:M200" si="198">I199*104</f>
        <v>416</v>
      </c>
      <c r="N199" s="19"/>
      <c r="O199" s="19"/>
      <c r="P199" s="149"/>
      <c r="Q199" s="197"/>
      <c r="R199" s="197"/>
      <c r="S199" s="197"/>
      <c r="T199" s="197"/>
      <c r="U199" s="197"/>
      <c r="V199" s="197"/>
      <c r="W199" s="188">
        <f t="shared" ref="W199:W200" si="199">J199</f>
        <v>139.32</v>
      </c>
      <c r="X199" s="188">
        <f>H199*$S$1</f>
        <v>139.32</v>
      </c>
    </row>
    <row r="200" spans="1:24" s="126" customFormat="1" ht="15.75" customHeight="1" thickBot="1" x14ac:dyDescent="0.3">
      <c r="A200" s="349"/>
      <c r="B200" s="127">
        <v>2</v>
      </c>
      <c r="C200" s="127">
        <v>0</v>
      </c>
      <c r="D200" s="128">
        <f>'Data Ocupacion'!BD45</f>
        <v>2</v>
      </c>
      <c r="E200" s="128">
        <f>'Data Ocupacion'!BE45</f>
        <v>0</v>
      </c>
      <c r="F200" s="127" t="s">
        <v>157</v>
      </c>
      <c r="G200" s="127">
        <f t="shared" si="191"/>
        <v>2</v>
      </c>
      <c r="H200" s="127">
        <f t="shared" si="192"/>
        <v>2</v>
      </c>
      <c r="I200" s="127">
        <f t="shared" si="193"/>
        <v>2</v>
      </c>
      <c r="J200" s="127">
        <f>G200*Q$1</f>
        <v>16.600000000000001</v>
      </c>
      <c r="K200" s="156">
        <f>I200*Q$1</f>
        <v>16.600000000000001</v>
      </c>
      <c r="L200" s="127">
        <f t="shared" si="197"/>
        <v>1726.4</v>
      </c>
      <c r="M200" s="127">
        <f t="shared" si="198"/>
        <v>208</v>
      </c>
      <c r="N200" s="19"/>
      <c r="O200" s="19"/>
      <c r="P200" s="149"/>
      <c r="Q200" s="197"/>
      <c r="R200" s="197"/>
      <c r="S200" s="197"/>
      <c r="T200" s="197"/>
      <c r="U200" s="197"/>
      <c r="V200" s="197"/>
      <c r="W200" s="188">
        <f t="shared" si="199"/>
        <v>16.600000000000001</v>
      </c>
      <c r="X200" s="188">
        <f>H200*$Q$1</f>
        <v>16.600000000000001</v>
      </c>
    </row>
    <row r="201" spans="1:24" s="126" customFormat="1" ht="15.75" thickBot="1" x14ac:dyDescent="0.3">
      <c r="A201" s="20"/>
      <c r="B201" s="230">
        <f>SUM(B193:B200)</f>
        <v>192</v>
      </c>
      <c r="C201" s="230">
        <f>SUM(C193:C200)</f>
        <v>37</v>
      </c>
      <c r="D201" s="151">
        <f>SUM(D193:D200)</f>
        <v>194</v>
      </c>
      <c r="E201" s="151">
        <f>SUM(E193:E200)</f>
        <v>35</v>
      </c>
      <c r="F201" s="121"/>
      <c r="G201" s="121">
        <f t="shared" ref="G201:M201" si="200">SUM(G193:G200)</f>
        <v>264</v>
      </c>
      <c r="H201" s="121">
        <f t="shared" ref="H198:H210" si="201">D201+E201*2</f>
        <v>264</v>
      </c>
      <c r="I201" s="121">
        <f t="shared" si="200"/>
        <v>229</v>
      </c>
      <c r="J201" s="121">
        <f t="shared" si="200"/>
        <v>10354.43</v>
      </c>
      <c r="K201" s="121">
        <f t="shared" si="200"/>
        <v>8844.8799999999992</v>
      </c>
      <c r="L201" s="121">
        <f t="shared" si="200"/>
        <v>1076860.7200000002</v>
      </c>
      <c r="M201" s="121">
        <f t="shared" si="200"/>
        <v>23816</v>
      </c>
      <c r="N201" s="125">
        <f>'Odometro-Kilometraje'!AB81</f>
        <v>11137</v>
      </c>
      <c r="O201" s="21">
        <f>(W201/N201)*100</f>
        <v>91.901768878513067</v>
      </c>
      <c r="P201" s="200"/>
      <c r="Q201" s="187"/>
      <c r="R201" s="187"/>
      <c r="S201" s="187"/>
      <c r="T201" s="187"/>
      <c r="U201" s="187"/>
      <c r="V201" s="187"/>
      <c r="W201" s="201">
        <f>SUM(W193:W200)</f>
        <v>10235.1</v>
      </c>
      <c r="X201" s="201">
        <f>SUM(X193:X200)</f>
        <v>10440.69</v>
      </c>
    </row>
    <row r="202" spans="1:24" x14ac:dyDescent="0.25">
      <c r="A202" s="62">
        <f>A193+1</f>
        <v>45716</v>
      </c>
      <c r="B202" s="127">
        <v>61</v>
      </c>
      <c r="C202" s="127">
        <v>18</v>
      </c>
      <c r="D202" s="150">
        <f>'Data Ocupacion'!BF36</f>
        <v>62</v>
      </c>
      <c r="E202" s="150">
        <f>'Data Ocupacion'!BG36</f>
        <v>17</v>
      </c>
      <c r="F202" s="235" t="s">
        <v>38</v>
      </c>
      <c r="G202" s="236">
        <f t="shared" ref="G202:G209" si="202">D202+E202*2</f>
        <v>96</v>
      </c>
      <c r="H202" s="127">
        <f t="shared" ref="H202:H209" si="203">B202+C202*2</f>
        <v>97</v>
      </c>
      <c r="I202" s="237">
        <f t="shared" ref="I202:I209" si="204">D202+E202</f>
        <v>79</v>
      </c>
      <c r="J202" s="237">
        <f>G202*M$2</f>
        <v>4140.4800000000005</v>
      </c>
      <c r="K202" s="156">
        <f>I202*M$2</f>
        <v>3407.27</v>
      </c>
      <c r="L202" s="127">
        <f t="shared" ref="L202:L207" si="205">J202*104</f>
        <v>430609.92000000004</v>
      </c>
      <c r="M202" s="127">
        <f t="shared" ref="M202:M207" si="206">I202*104</f>
        <v>8216</v>
      </c>
      <c r="N202" s="19"/>
      <c r="O202" s="19"/>
      <c r="P202" s="149"/>
      <c r="Q202" s="193"/>
      <c r="R202" s="189"/>
      <c r="S202" s="216"/>
      <c r="T202" s="326">
        <v>3</v>
      </c>
      <c r="U202" s="199"/>
      <c r="V202" s="245"/>
      <c r="W202" s="188">
        <f>J202-(Q202*($M$2-$K$1)+(R202*($M$2-$M$1))+  (T202*($K$1)))</f>
        <v>4064.2800000000007</v>
      </c>
      <c r="X202" s="188">
        <f>H202*$M$2</f>
        <v>4183.6100000000006</v>
      </c>
    </row>
    <row r="203" spans="1:24" ht="15" customHeight="1" x14ac:dyDescent="0.25">
      <c r="A203" s="349" t="s">
        <v>177</v>
      </c>
      <c r="B203" s="127">
        <v>59</v>
      </c>
      <c r="C203" s="127">
        <v>19</v>
      </c>
      <c r="D203" s="150">
        <f>'Data Ocupacion'!BF37</f>
        <v>60</v>
      </c>
      <c r="E203" s="150">
        <f>'Data Ocupacion'!BG37</f>
        <v>18</v>
      </c>
      <c r="F203" s="235" t="s">
        <v>52</v>
      </c>
      <c r="G203" s="236">
        <f t="shared" si="202"/>
        <v>96</v>
      </c>
      <c r="H203" s="127">
        <f t="shared" si="203"/>
        <v>97</v>
      </c>
      <c r="I203" s="127">
        <f t="shared" si="204"/>
        <v>78</v>
      </c>
      <c r="J203" s="127">
        <f>G203*M$2</f>
        <v>4140.4800000000005</v>
      </c>
      <c r="K203" s="156">
        <f>I203*M$2</f>
        <v>3364.1400000000003</v>
      </c>
      <c r="L203" s="127">
        <f t="shared" si="205"/>
        <v>430609.92000000004</v>
      </c>
      <c r="M203" s="127">
        <f t="shared" si="206"/>
        <v>8112</v>
      </c>
      <c r="N203" s="19"/>
      <c r="O203" s="19"/>
      <c r="P203" s="149"/>
      <c r="Q203" s="194"/>
      <c r="R203" s="194"/>
      <c r="S203" s="229"/>
      <c r="T203" s="263">
        <v>1</v>
      </c>
      <c r="U203" s="263"/>
      <c r="V203" s="216"/>
      <c r="W203" s="192">
        <f>J203-(T203*($M$2-$K$1)+(U203*($M$2-$M$1)))</f>
        <v>4122.7500000000009</v>
      </c>
      <c r="X203" s="188">
        <f>H203*$M$2</f>
        <v>4183.6100000000006</v>
      </c>
    </row>
    <row r="204" spans="1:24" ht="15" customHeight="1" x14ac:dyDescent="0.25">
      <c r="A204" s="349"/>
      <c r="B204" s="127">
        <v>33</v>
      </c>
      <c r="C204" s="127">
        <v>0</v>
      </c>
      <c r="D204" s="128">
        <f>'Data Ocupacion'!BF38</f>
        <v>33</v>
      </c>
      <c r="E204" s="128">
        <f>'Data Ocupacion'!BG38</f>
        <v>0</v>
      </c>
      <c r="F204" s="235" t="s">
        <v>36</v>
      </c>
      <c r="G204" s="236">
        <f t="shared" si="202"/>
        <v>33</v>
      </c>
      <c r="H204" s="127">
        <f t="shared" si="203"/>
        <v>33</v>
      </c>
      <c r="I204" s="127">
        <f t="shared" si="204"/>
        <v>33</v>
      </c>
      <c r="J204" s="127">
        <f>G204*M$1</f>
        <v>960.63</v>
      </c>
      <c r="K204" s="156">
        <f>I204*M$1</f>
        <v>960.63</v>
      </c>
      <c r="L204" s="127">
        <f t="shared" si="205"/>
        <v>99905.52</v>
      </c>
      <c r="M204" s="127">
        <f t="shared" si="206"/>
        <v>3432</v>
      </c>
      <c r="N204" s="19"/>
      <c r="O204" s="19" t="s">
        <v>147</v>
      </c>
      <c r="P204" s="149"/>
      <c r="Q204" s="193"/>
      <c r="R204" s="195"/>
      <c r="S204" s="217"/>
      <c r="T204" s="196"/>
      <c r="U204" s="197"/>
      <c r="V204" s="197"/>
      <c r="W204" s="188">
        <f>J204-(Q204*($M$1-$K$1))</f>
        <v>960.63</v>
      </c>
      <c r="X204" s="188">
        <f>H204*$M$1</f>
        <v>960.63</v>
      </c>
    </row>
    <row r="205" spans="1:24" ht="15" customHeight="1" x14ac:dyDescent="0.25">
      <c r="A205" s="349"/>
      <c r="B205" s="127">
        <v>32</v>
      </c>
      <c r="C205" s="127">
        <v>0</v>
      </c>
      <c r="D205" s="128">
        <f>'Data Ocupacion'!BF39</f>
        <v>32</v>
      </c>
      <c r="E205" s="128">
        <f>'Data Ocupacion'!BG39</f>
        <v>0</v>
      </c>
      <c r="F205" s="235" t="s">
        <v>53</v>
      </c>
      <c r="G205" s="236">
        <f t="shared" si="202"/>
        <v>32</v>
      </c>
      <c r="H205" s="127">
        <f t="shared" si="203"/>
        <v>32</v>
      </c>
      <c r="I205" s="127">
        <f t="shared" si="204"/>
        <v>32</v>
      </c>
      <c r="J205" s="127">
        <f>G205*M$1</f>
        <v>931.52</v>
      </c>
      <c r="K205" s="156">
        <f>I205*M$1</f>
        <v>931.52</v>
      </c>
      <c r="L205" s="127">
        <f t="shared" si="205"/>
        <v>96878.080000000002</v>
      </c>
      <c r="M205" s="127">
        <f t="shared" si="206"/>
        <v>3328</v>
      </c>
      <c r="N205" s="19"/>
      <c r="O205" s="19" t="s">
        <v>147</v>
      </c>
      <c r="P205" s="149"/>
      <c r="Q205" s="197"/>
      <c r="R205" s="197"/>
      <c r="S205" s="197"/>
      <c r="T205" s="197"/>
      <c r="U205" s="197"/>
      <c r="V205" s="197"/>
      <c r="W205" s="188">
        <f t="shared" ref="W205:W206" si="207">J205</f>
        <v>931.52</v>
      </c>
      <c r="X205" s="188">
        <f>H205*$M$1</f>
        <v>931.52</v>
      </c>
    </row>
    <row r="206" spans="1:24" ht="15" customHeight="1" x14ac:dyDescent="0.25">
      <c r="A206" s="349"/>
      <c r="B206" s="127">
        <v>0</v>
      </c>
      <c r="C206" s="127">
        <v>0</v>
      </c>
      <c r="D206" s="128">
        <f>'Data Ocupacion'!BF40</f>
        <v>0</v>
      </c>
      <c r="E206" s="128">
        <f>'Data Ocupacion'!BG40</f>
        <v>0</v>
      </c>
      <c r="F206" s="235" t="s">
        <v>122</v>
      </c>
      <c r="G206" s="236">
        <f t="shared" si="202"/>
        <v>0</v>
      </c>
      <c r="H206" s="127">
        <f t="shared" si="203"/>
        <v>0</v>
      </c>
      <c r="I206" s="127">
        <f t="shared" si="204"/>
        <v>0</v>
      </c>
      <c r="J206" s="238">
        <f>G206*K$1</f>
        <v>0</v>
      </c>
      <c r="K206" s="156">
        <f>I206*K$1</f>
        <v>0</v>
      </c>
      <c r="L206" s="127">
        <f t="shared" si="205"/>
        <v>0</v>
      </c>
      <c r="M206" s="127">
        <f t="shared" si="206"/>
        <v>0</v>
      </c>
      <c r="N206" s="19"/>
      <c r="O206" s="19"/>
      <c r="P206" s="149"/>
      <c r="Q206" s="197"/>
      <c r="R206" s="197"/>
      <c r="S206" s="197"/>
      <c r="T206" s="197"/>
      <c r="U206" s="197"/>
      <c r="V206" s="197"/>
      <c r="W206" s="188">
        <f t="shared" si="207"/>
        <v>0</v>
      </c>
      <c r="X206" s="188">
        <f>H206*$K$1</f>
        <v>0</v>
      </c>
    </row>
    <row r="207" spans="1:24" ht="15.75" customHeight="1" x14ac:dyDescent="0.25">
      <c r="A207" s="349"/>
      <c r="B207" s="127">
        <v>1</v>
      </c>
      <c r="C207" s="127">
        <v>0</v>
      </c>
      <c r="D207" s="128">
        <f>'Data Ocupacion'!BF41</f>
        <v>1</v>
      </c>
      <c r="E207" s="128">
        <f>'Data Ocupacion'!BG41</f>
        <v>0</v>
      </c>
      <c r="F207" s="235" t="s">
        <v>35</v>
      </c>
      <c r="G207" s="236">
        <f t="shared" si="202"/>
        <v>1</v>
      </c>
      <c r="H207" s="127">
        <f t="shared" si="203"/>
        <v>1</v>
      </c>
      <c r="I207" s="239">
        <f t="shared" si="204"/>
        <v>1</v>
      </c>
      <c r="J207" s="239">
        <f>G207*K$1</f>
        <v>25.4</v>
      </c>
      <c r="K207" s="156">
        <f>I207*K$1</f>
        <v>25.4</v>
      </c>
      <c r="L207" s="127">
        <f t="shared" si="205"/>
        <v>2641.6</v>
      </c>
      <c r="M207" s="127">
        <f t="shared" si="206"/>
        <v>104</v>
      </c>
      <c r="N207" s="19"/>
      <c r="O207" s="19"/>
      <c r="P207" s="149"/>
      <c r="Q207" s="197"/>
      <c r="R207" s="197"/>
      <c r="S207" s="197"/>
      <c r="T207" s="197"/>
      <c r="U207" s="197"/>
      <c r="V207" s="197"/>
      <c r="W207" s="188">
        <f>J207</f>
        <v>25.4</v>
      </c>
      <c r="X207" s="188">
        <f>H207*$K$1</f>
        <v>25.4</v>
      </c>
    </row>
    <row r="208" spans="1:24" s="126" customFormat="1" ht="15.75" customHeight="1" x14ac:dyDescent="0.25">
      <c r="A208" s="349"/>
      <c r="B208" s="127">
        <v>4</v>
      </c>
      <c r="C208" s="127">
        <v>0</v>
      </c>
      <c r="D208" s="128">
        <f>'Data Ocupacion'!BF44</f>
        <v>4</v>
      </c>
      <c r="E208" s="128">
        <f>'Data Ocupacion'!BG44</f>
        <v>0</v>
      </c>
      <c r="F208" s="127" t="s">
        <v>158</v>
      </c>
      <c r="G208" s="236">
        <f t="shared" si="202"/>
        <v>4</v>
      </c>
      <c r="H208" s="127">
        <f t="shared" si="203"/>
        <v>4</v>
      </c>
      <c r="I208" s="239">
        <f t="shared" si="204"/>
        <v>4</v>
      </c>
      <c r="J208" s="239">
        <f>G208*S$1</f>
        <v>139.32</v>
      </c>
      <c r="K208" s="156">
        <f>I208*S$1</f>
        <v>139.32</v>
      </c>
      <c r="L208" s="127">
        <f t="shared" ref="L208:L209" si="208">J208*104</f>
        <v>14489.279999999999</v>
      </c>
      <c r="M208" s="127">
        <f t="shared" ref="M208:M209" si="209">I208*104</f>
        <v>416</v>
      </c>
      <c r="N208" s="19"/>
      <c r="O208" s="19"/>
      <c r="P208" s="149"/>
      <c r="Q208" s="197"/>
      <c r="R208" s="197"/>
      <c r="S208" s="197"/>
      <c r="T208" s="197"/>
      <c r="U208" s="197"/>
      <c r="V208" s="197"/>
      <c r="W208" s="188">
        <f t="shared" ref="W208:W209" si="210">J208</f>
        <v>139.32</v>
      </c>
      <c r="X208" s="188">
        <f>H208*$S$1</f>
        <v>139.32</v>
      </c>
    </row>
    <row r="209" spans="1:32" s="126" customFormat="1" ht="15.75" customHeight="1" thickBot="1" x14ac:dyDescent="0.3">
      <c r="A209" s="349"/>
      <c r="B209" s="127">
        <v>2</v>
      </c>
      <c r="C209" s="127">
        <v>0</v>
      </c>
      <c r="D209" s="128">
        <f>'Data Ocupacion'!BF45</f>
        <v>2</v>
      </c>
      <c r="E209" s="128">
        <f>'Data Ocupacion'!BG45</f>
        <v>0</v>
      </c>
      <c r="F209" s="127" t="s">
        <v>157</v>
      </c>
      <c r="G209" s="236">
        <f t="shared" si="202"/>
        <v>2</v>
      </c>
      <c r="H209" s="127">
        <f t="shared" si="203"/>
        <v>2</v>
      </c>
      <c r="I209" s="239">
        <f t="shared" si="204"/>
        <v>2</v>
      </c>
      <c r="J209" s="239">
        <f>G209*Q$1</f>
        <v>16.600000000000001</v>
      </c>
      <c r="K209" s="156">
        <f>I209*Q$1</f>
        <v>16.600000000000001</v>
      </c>
      <c r="L209" s="127">
        <f t="shared" si="208"/>
        <v>1726.4</v>
      </c>
      <c r="M209" s="127">
        <f t="shared" si="209"/>
        <v>208</v>
      </c>
      <c r="N209" s="19"/>
      <c r="O209" s="19"/>
      <c r="P209" s="149"/>
      <c r="Q209" s="197"/>
      <c r="R209" s="197"/>
      <c r="S209" s="197"/>
      <c r="T209" s="197"/>
      <c r="U209" s="197"/>
      <c r="V209" s="197"/>
      <c r="W209" s="188">
        <f t="shared" si="210"/>
        <v>16.600000000000001</v>
      </c>
      <c r="X209" s="188">
        <f>H209*$Q$1</f>
        <v>16.600000000000001</v>
      </c>
    </row>
    <row r="210" spans="1:32" s="126" customFormat="1" ht="15.75" thickBot="1" x14ac:dyDescent="0.3">
      <c r="A210" s="20"/>
      <c r="B210" s="230">
        <f>SUM(B202:B209)</f>
        <v>192</v>
      </c>
      <c r="C210" s="230">
        <f>SUM(C202:C209)</f>
        <v>37</v>
      </c>
      <c r="D210" s="151">
        <f>SUM(D202:D209)</f>
        <v>194</v>
      </c>
      <c r="E210" s="151">
        <f>SUM(E202:E209)</f>
        <v>35</v>
      </c>
      <c r="F210" s="121"/>
      <c r="G210" s="121">
        <f t="shared" ref="G210:M210" si="211">SUM(G202:G209)</f>
        <v>264</v>
      </c>
      <c r="H210" s="121">
        <f t="shared" si="201"/>
        <v>264</v>
      </c>
      <c r="I210" s="121">
        <f t="shared" si="211"/>
        <v>229</v>
      </c>
      <c r="J210" s="121">
        <f t="shared" si="211"/>
        <v>10354.43</v>
      </c>
      <c r="K210" s="121">
        <f t="shared" si="211"/>
        <v>8844.8799999999992</v>
      </c>
      <c r="L210" s="121">
        <f t="shared" si="211"/>
        <v>1076860.7200000002</v>
      </c>
      <c r="M210" s="121">
        <f t="shared" si="211"/>
        <v>23816</v>
      </c>
      <c r="N210" s="125">
        <f>'Odometro-Kilometraje'!AC81</f>
        <v>11004</v>
      </c>
      <c r="O210" s="21">
        <f>(W210/N210)*100</f>
        <v>93.243366048709575</v>
      </c>
      <c r="P210" s="200"/>
      <c r="Q210" s="187"/>
      <c r="R210" s="187"/>
      <c r="S210" s="187"/>
      <c r="T210" s="187"/>
      <c r="U210" s="187"/>
      <c r="V210" s="187"/>
      <c r="W210" s="201">
        <f>SUM(W202:W209)</f>
        <v>10260.500000000002</v>
      </c>
      <c r="X210" s="201">
        <f>SUM(X202:X209)</f>
        <v>10440.69</v>
      </c>
    </row>
    <row r="211" spans="1:32" ht="1.5" customHeight="1" x14ac:dyDescent="0.25">
      <c r="A211" s="62"/>
      <c r="B211" s="127"/>
      <c r="C211" s="127"/>
      <c r="D211" s="128"/>
      <c r="E211" s="128"/>
      <c r="F211" s="127"/>
      <c r="G211" s="127"/>
      <c r="H211" s="127"/>
      <c r="I211" s="127"/>
      <c r="J211" s="127"/>
      <c r="K211" s="156"/>
      <c r="L211" s="127"/>
      <c r="M211" s="127"/>
      <c r="N211" s="19"/>
      <c r="O211" s="19"/>
      <c r="P211" s="149"/>
      <c r="Q211" s="193"/>
      <c r="R211" s="189"/>
      <c r="S211" s="216"/>
      <c r="T211" s="198"/>
      <c r="U211" s="199"/>
      <c r="V211" s="245"/>
      <c r="W211" s="188">
        <f>J211-(Q211*($M$2-$K$1)+(R211*($M$2-$M$1))+  (S211*($M$2-$I$2)))</f>
        <v>0</v>
      </c>
      <c r="X211" s="188">
        <f>H210*$K$1</f>
        <v>6705.5999999999995</v>
      </c>
    </row>
    <row r="212" spans="1:32" ht="15" hidden="1" customHeight="1" x14ac:dyDescent="0.25">
      <c r="A212" s="210"/>
      <c r="B212" s="127"/>
      <c r="C212" s="127"/>
      <c r="D212" s="128"/>
      <c r="E212" s="128"/>
      <c r="F212" s="127"/>
      <c r="G212" s="127"/>
      <c r="H212" s="127"/>
      <c r="I212" s="127"/>
      <c r="J212" s="127"/>
      <c r="K212" s="156"/>
      <c r="L212" s="127"/>
      <c r="M212" s="127"/>
      <c r="N212" s="19"/>
      <c r="O212" s="19"/>
      <c r="P212" s="149"/>
      <c r="Q212" s="194"/>
      <c r="R212" s="194"/>
      <c r="S212" s="194"/>
      <c r="T212" s="263"/>
      <c r="U212" s="189"/>
      <c r="V212" s="216"/>
      <c r="W212" s="192">
        <f>J212-(T212*($M$2-$K$1)+(U212*($M$2-$M$1)))</f>
        <v>0</v>
      </c>
      <c r="X212" s="188">
        <f>H211*$K$1</f>
        <v>0</v>
      </c>
    </row>
    <row r="213" spans="1:32" s="126" customFormat="1" ht="15" hidden="1" customHeight="1" x14ac:dyDescent="0.25">
      <c r="A213" s="210"/>
      <c r="B213" s="127"/>
      <c r="C213" s="127"/>
      <c r="D213" s="128"/>
      <c r="E213" s="128"/>
      <c r="F213" s="127"/>
      <c r="G213" s="127"/>
      <c r="H213" s="127"/>
      <c r="I213" s="127"/>
      <c r="J213" s="127"/>
      <c r="K213" s="156"/>
      <c r="L213" s="127"/>
      <c r="M213" s="127"/>
      <c r="N213" s="19"/>
      <c r="O213" s="19"/>
      <c r="P213" s="149"/>
      <c r="Q213" s="193"/>
      <c r="R213" s="195"/>
      <c r="S213" s="217"/>
      <c r="T213" s="196"/>
      <c r="U213" s="197"/>
      <c r="V213" s="197"/>
      <c r="W213" s="188">
        <f>J213-(Q213*($M$1-$K$1))</f>
        <v>0</v>
      </c>
      <c r="X213" s="188">
        <f>H213*$M$2</f>
        <v>0</v>
      </c>
    </row>
    <row r="214" spans="1:32" s="126" customFormat="1" ht="15" hidden="1" customHeight="1" x14ac:dyDescent="0.25">
      <c r="A214" s="210"/>
      <c r="B214" s="127"/>
      <c r="C214" s="127"/>
      <c r="D214" s="128"/>
      <c r="E214" s="128"/>
      <c r="F214" s="127"/>
      <c r="G214" s="127"/>
      <c r="H214" s="127"/>
      <c r="I214" s="127"/>
      <c r="J214" s="127"/>
      <c r="K214" s="156"/>
      <c r="L214" s="127"/>
      <c r="M214" s="127"/>
      <c r="N214" s="19"/>
      <c r="O214" s="19"/>
      <c r="P214" s="149"/>
      <c r="Q214" s="197"/>
      <c r="R214" s="197"/>
      <c r="S214" s="197"/>
      <c r="T214" s="197"/>
      <c r="U214" s="197"/>
      <c r="V214" s="197"/>
      <c r="W214" s="188">
        <f t="shared" ref="W214:W215" si="212">J214</f>
        <v>0</v>
      </c>
      <c r="X214" s="188">
        <f>H214*$M$2</f>
        <v>0</v>
      </c>
    </row>
    <row r="215" spans="1:32" s="126" customFormat="1" ht="15" hidden="1" customHeight="1" x14ac:dyDescent="0.25">
      <c r="A215" s="210"/>
      <c r="B215" s="127"/>
      <c r="C215" s="127"/>
      <c r="D215" s="128"/>
      <c r="E215" s="128"/>
      <c r="F215" s="127"/>
      <c r="G215" s="127"/>
      <c r="H215" s="127"/>
      <c r="I215" s="127"/>
      <c r="J215" s="127"/>
      <c r="K215" s="156"/>
      <c r="L215" s="127"/>
      <c r="M215" s="127"/>
      <c r="N215" s="19"/>
      <c r="O215" s="19"/>
      <c r="P215" s="149"/>
      <c r="Q215" s="197"/>
      <c r="R215" s="197"/>
      <c r="S215" s="197"/>
      <c r="T215" s="197"/>
      <c r="U215" s="197"/>
      <c r="V215" s="197"/>
      <c r="W215" s="188">
        <f t="shared" si="212"/>
        <v>0</v>
      </c>
      <c r="X215" s="188">
        <f>H215*$M$1</f>
        <v>0</v>
      </c>
    </row>
    <row r="216" spans="1:32" s="126" customFormat="1" ht="15" hidden="1" customHeight="1" x14ac:dyDescent="0.25">
      <c r="A216" s="210"/>
      <c r="B216" s="127"/>
      <c r="C216" s="127"/>
      <c r="D216" s="128"/>
      <c r="E216" s="128"/>
      <c r="F216" s="127"/>
      <c r="G216" s="127"/>
      <c r="H216" s="127"/>
      <c r="I216" s="127"/>
      <c r="J216" s="127"/>
      <c r="K216" s="156"/>
      <c r="L216" s="127"/>
      <c r="M216" s="127"/>
      <c r="N216" s="19"/>
      <c r="O216" s="19"/>
      <c r="P216" s="149"/>
      <c r="Q216" s="197"/>
      <c r="R216" s="197"/>
      <c r="S216" s="197"/>
      <c r="T216" s="197"/>
      <c r="U216" s="197"/>
      <c r="V216" s="197"/>
      <c r="W216" s="188">
        <f>J216</f>
        <v>0</v>
      </c>
      <c r="X216" s="188">
        <f>H216*$M$1</f>
        <v>0</v>
      </c>
    </row>
    <row r="217" spans="1:32" s="126" customFormat="1" ht="14.25" hidden="1" customHeight="1" thickBot="1" x14ac:dyDescent="0.3">
      <c r="A217" s="20"/>
      <c r="B217" s="230"/>
      <c r="C217" s="230"/>
      <c r="D217" s="151"/>
      <c r="E217" s="151"/>
      <c r="F217" s="121"/>
      <c r="G217" s="121"/>
      <c r="H217" s="121"/>
      <c r="I217" s="121"/>
      <c r="J217" s="121"/>
      <c r="K217" s="121"/>
      <c r="L217" s="121"/>
      <c r="M217" s="121"/>
      <c r="N217" s="125"/>
      <c r="O217" s="21"/>
      <c r="P217" s="200"/>
      <c r="Q217" s="187"/>
      <c r="R217" s="187"/>
      <c r="S217" s="187"/>
      <c r="T217" s="187"/>
      <c r="U217" s="187"/>
      <c r="V217" s="187"/>
      <c r="W217" s="201">
        <f>SUM(W211:W216)</f>
        <v>0</v>
      </c>
      <c r="X217" s="188">
        <f>H217*$K$1</f>
        <v>0</v>
      </c>
      <c r="Y217" s="262"/>
    </row>
    <row r="218" spans="1:32" s="126" customFormat="1" ht="15" hidden="1" customHeight="1" x14ac:dyDescent="0.25">
      <c r="A218" s="62"/>
      <c r="B218" s="127"/>
      <c r="C218" s="127"/>
      <c r="D218" s="128"/>
      <c r="E218" s="128"/>
      <c r="F218" s="127"/>
      <c r="G218" s="127"/>
      <c r="H218" s="127"/>
      <c r="I218" s="127"/>
      <c r="J218" s="127"/>
      <c r="K218" s="156"/>
      <c r="L218" s="127"/>
      <c r="M218" s="127"/>
      <c r="N218" s="19"/>
      <c r="O218" s="19"/>
      <c r="P218" s="149"/>
      <c r="Q218" s="189"/>
      <c r="R218" s="189"/>
      <c r="S218" s="216"/>
      <c r="T218" s="198"/>
      <c r="U218" s="199"/>
      <c r="V218" s="245"/>
      <c r="W218" s="188">
        <f>J218-(Q218*($M$2-$K$1)+(R218*($M$2-$M$1))+  (S218*($M$2-$I$2)))</f>
        <v>0</v>
      </c>
      <c r="X218" s="188">
        <f>H218*$K$1</f>
        <v>0</v>
      </c>
    </row>
    <row r="219" spans="1:32" s="126" customFormat="1" ht="15" hidden="1" customHeight="1" x14ac:dyDescent="0.25">
      <c r="A219" s="210"/>
      <c r="B219" s="127"/>
      <c r="C219" s="127"/>
      <c r="D219" s="128"/>
      <c r="E219" s="128"/>
      <c r="F219" s="127"/>
      <c r="G219" s="127"/>
      <c r="H219" s="127"/>
      <c r="I219" s="127"/>
      <c r="J219" s="127"/>
      <c r="K219" s="156"/>
      <c r="L219" s="127"/>
      <c r="M219" s="127"/>
      <c r="N219" s="19"/>
      <c r="O219" s="19"/>
      <c r="P219" s="149"/>
      <c r="Q219" s="194"/>
      <c r="R219" s="194"/>
      <c r="S219" s="194"/>
      <c r="T219" s="189"/>
      <c r="U219" s="189"/>
      <c r="V219" s="216"/>
      <c r="W219" s="192">
        <f>J219-(T219*($M$2-$K$1)+(U219*($M$2-$M$1)))</f>
        <v>0</v>
      </c>
      <c r="X219" s="201">
        <f>SUM(X213:X218)</f>
        <v>0</v>
      </c>
    </row>
    <row r="220" spans="1:32" s="126" customFormat="1" ht="15" hidden="1" customHeight="1" x14ac:dyDescent="0.25">
      <c r="A220" s="210"/>
      <c r="B220" s="127"/>
      <c r="C220" s="127"/>
      <c r="D220" s="128"/>
      <c r="E220" s="128"/>
      <c r="F220" s="127"/>
      <c r="G220" s="127"/>
      <c r="H220" s="127"/>
      <c r="I220" s="127"/>
      <c r="J220" s="127"/>
      <c r="K220" s="156"/>
      <c r="L220" s="127"/>
      <c r="M220" s="127"/>
      <c r="N220" s="19"/>
      <c r="O220" s="19"/>
      <c r="P220" s="149"/>
      <c r="Q220" s="193"/>
      <c r="R220" s="195"/>
      <c r="S220" s="217"/>
      <c r="T220" s="196"/>
      <c r="U220" s="197"/>
      <c r="V220" s="197"/>
      <c r="W220" s="188">
        <f>J220-(Q220*($M$1-$K$1))</f>
        <v>0</v>
      </c>
      <c r="X220" s="188">
        <f>H220*$M$2</f>
        <v>0</v>
      </c>
      <c r="AF220" s="126">
        <v>46.84</v>
      </c>
    </row>
    <row r="221" spans="1:32" s="126" customFormat="1" ht="15" hidden="1" customHeight="1" x14ac:dyDescent="0.25">
      <c r="A221" s="210"/>
      <c r="B221" s="127"/>
      <c r="C221" s="127"/>
      <c r="D221" s="128"/>
      <c r="E221" s="128"/>
      <c r="F221" s="127"/>
      <c r="G221" s="127"/>
      <c r="H221" s="127"/>
      <c r="I221" s="127"/>
      <c r="J221" s="127"/>
      <c r="K221" s="156"/>
      <c r="L221" s="127"/>
      <c r="M221" s="127"/>
      <c r="N221" s="19"/>
      <c r="O221" s="19"/>
      <c r="P221" s="149"/>
      <c r="Q221" s="197"/>
      <c r="R221" s="197"/>
      <c r="S221" s="197"/>
      <c r="T221" s="197"/>
      <c r="U221" s="197"/>
      <c r="V221" s="197"/>
      <c r="W221" s="188">
        <f t="shared" ref="W221:W222" si="213">J221</f>
        <v>0</v>
      </c>
      <c r="X221" s="188">
        <f>H221*$M$2</f>
        <v>0</v>
      </c>
    </row>
    <row r="222" spans="1:32" s="126" customFormat="1" ht="15" hidden="1" customHeight="1" x14ac:dyDescent="0.25">
      <c r="A222" s="210"/>
      <c r="B222" s="127"/>
      <c r="C222" s="127"/>
      <c r="D222" s="128"/>
      <c r="E222" s="128"/>
      <c r="F222" s="127"/>
      <c r="G222" s="127"/>
      <c r="H222" s="127"/>
      <c r="I222" s="127"/>
      <c r="J222" s="127"/>
      <c r="K222" s="156"/>
      <c r="L222" s="127"/>
      <c r="M222" s="127"/>
      <c r="N222" s="19"/>
      <c r="O222" s="19"/>
      <c r="P222" s="149"/>
      <c r="Q222" s="197"/>
      <c r="R222" s="197"/>
      <c r="S222" s="197"/>
      <c r="T222" s="197"/>
      <c r="U222" s="197"/>
      <c r="V222" s="197"/>
      <c r="W222" s="188">
        <f t="shared" si="213"/>
        <v>0</v>
      </c>
      <c r="X222" s="188">
        <f>H222*$M$1</f>
        <v>0</v>
      </c>
    </row>
    <row r="223" spans="1:32" s="126" customFormat="1" ht="15" hidden="1" customHeight="1" x14ac:dyDescent="0.25">
      <c r="A223" s="210"/>
      <c r="B223" s="127"/>
      <c r="C223" s="127"/>
      <c r="D223" s="128"/>
      <c r="E223" s="128"/>
      <c r="F223" s="127"/>
      <c r="G223" s="127"/>
      <c r="H223" s="127"/>
      <c r="I223" s="127"/>
      <c r="J223" s="127"/>
      <c r="K223" s="156"/>
      <c r="L223" s="127"/>
      <c r="M223" s="127"/>
      <c r="N223" s="19"/>
      <c r="O223" s="19"/>
      <c r="P223" s="149"/>
      <c r="Q223" s="197"/>
      <c r="R223" s="197"/>
      <c r="S223" s="197"/>
      <c r="T223" s="197"/>
      <c r="U223" s="197"/>
      <c r="V223" s="197"/>
      <c r="W223" s="188">
        <f>J223</f>
        <v>0</v>
      </c>
      <c r="X223" s="188">
        <f>H223*$M$1</f>
        <v>0</v>
      </c>
    </row>
    <row r="224" spans="1:32" s="126" customFormat="1" ht="15.75" hidden="1" customHeight="1" thickBot="1" x14ac:dyDescent="0.3">
      <c r="A224" s="20"/>
      <c r="B224" s="230"/>
      <c r="C224" s="230"/>
      <c r="D224" s="151"/>
      <c r="E224" s="151"/>
      <c r="F224" s="121"/>
      <c r="G224" s="121"/>
      <c r="H224" s="121"/>
      <c r="I224" s="121"/>
      <c r="J224" s="121"/>
      <c r="K224" s="121"/>
      <c r="L224" s="121"/>
      <c r="M224" s="121"/>
      <c r="N224" s="125"/>
      <c r="O224" s="21"/>
      <c r="P224" s="200"/>
      <c r="Q224" s="187"/>
      <c r="R224" s="187"/>
      <c r="S224" s="187"/>
      <c r="T224" s="187"/>
      <c r="U224" s="187"/>
      <c r="V224" s="187"/>
      <c r="W224" s="201">
        <f>SUM(W218:W223)</f>
        <v>0</v>
      </c>
      <c r="X224" s="188">
        <f>H224*$K$1</f>
        <v>0</v>
      </c>
      <c r="Y224" s="283"/>
    </row>
    <row r="225" spans="1:29" s="126" customFormat="1" ht="15" hidden="1" customHeight="1" x14ac:dyDescent="0.25">
      <c r="A225" s="62"/>
      <c r="B225" s="127"/>
      <c r="C225" s="127"/>
      <c r="D225" s="128"/>
      <c r="E225" s="128"/>
      <c r="F225" s="127"/>
      <c r="G225" s="127"/>
      <c r="H225" s="127"/>
      <c r="I225" s="127"/>
      <c r="J225" s="127"/>
      <c r="K225" s="156"/>
      <c r="L225" s="127"/>
      <c r="M225" s="127"/>
      <c r="N225" s="19"/>
      <c r="O225" s="19"/>
      <c r="P225" s="149"/>
      <c r="Q225" s="256"/>
      <c r="R225" s="189"/>
      <c r="S225" s="216"/>
      <c r="T225" s="211"/>
      <c r="U225" s="199"/>
      <c r="V225" s="245"/>
      <c r="W225" s="188">
        <f>J225-(Q225*($M$2-$K$1)+(R225*($M$2-$M$1))+  (S225*($M$2-$I$2))+  (T225*($K$1)))</f>
        <v>0</v>
      </c>
      <c r="X225" s="188">
        <f>H225*$K$1</f>
        <v>0</v>
      </c>
      <c r="Y225" s="283"/>
    </row>
    <row r="226" spans="1:29" s="126" customFormat="1" ht="15" hidden="1" customHeight="1" x14ac:dyDescent="0.25">
      <c r="A226" s="210"/>
      <c r="B226" s="127"/>
      <c r="C226" s="127"/>
      <c r="D226" s="128"/>
      <c r="E226" s="128"/>
      <c r="F226" s="127"/>
      <c r="G226" s="127"/>
      <c r="H226" s="127"/>
      <c r="I226" s="127"/>
      <c r="J226" s="127"/>
      <c r="K226" s="156"/>
      <c r="L226" s="127"/>
      <c r="M226" s="127"/>
      <c r="N226" s="19"/>
      <c r="O226" s="19"/>
      <c r="P226" s="149"/>
      <c r="Q226" s="194"/>
      <c r="R226" s="194"/>
      <c r="S226" s="194"/>
      <c r="T226" s="189"/>
      <c r="U226" s="189"/>
      <c r="V226" s="216"/>
      <c r="W226" s="192">
        <f>J226-(T226*($M$2-$K$1)+(U226*($M$2-$M$1)))</f>
        <v>0</v>
      </c>
      <c r="X226" s="201">
        <f>SUM(X220:X225)</f>
        <v>0</v>
      </c>
    </row>
    <row r="227" spans="1:29" s="126" customFormat="1" ht="15" hidden="1" customHeight="1" x14ac:dyDescent="0.25">
      <c r="A227" s="210"/>
      <c r="B227" s="127"/>
      <c r="C227" s="127"/>
      <c r="D227" s="128"/>
      <c r="E227" s="128"/>
      <c r="F227" s="127"/>
      <c r="G227" s="127"/>
      <c r="H227" s="127"/>
      <c r="I227" s="127"/>
      <c r="J227" s="127"/>
      <c r="K227" s="156"/>
      <c r="L227" s="127"/>
      <c r="M227" s="127"/>
      <c r="N227" s="19"/>
      <c r="O227" s="19"/>
      <c r="P227" s="149"/>
      <c r="Q227" s="193"/>
      <c r="R227" s="195"/>
      <c r="S227" s="217"/>
      <c r="T227" s="196"/>
      <c r="U227" s="197"/>
      <c r="V227" s="197"/>
      <c r="W227" s="188">
        <f>J227-(Q227*($M$1-$K$1))</f>
        <v>0</v>
      </c>
    </row>
    <row r="228" spans="1:29" s="126" customFormat="1" ht="15" hidden="1" customHeight="1" x14ac:dyDescent="0.25">
      <c r="A228" s="210"/>
      <c r="B228" s="127"/>
      <c r="C228" s="127"/>
      <c r="D228" s="128"/>
      <c r="E228" s="128"/>
      <c r="F228" s="127"/>
      <c r="G228" s="127"/>
      <c r="H228" s="127"/>
      <c r="I228" s="127"/>
      <c r="J228" s="127"/>
      <c r="K228" s="156"/>
      <c r="L228" s="127"/>
      <c r="M228" s="127"/>
      <c r="N228" s="19"/>
      <c r="O228" s="19"/>
      <c r="P228" s="149"/>
      <c r="Q228" s="197"/>
      <c r="R228" s="197"/>
      <c r="S228" s="197"/>
      <c r="T228" s="197"/>
      <c r="U228" s="197"/>
      <c r="V228" s="197"/>
      <c r="W228" s="188">
        <f t="shared" ref="W228:W229" si="214">J228</f>
        <v>0</v>
      </c>
    </row>
    <row r="229" spans="1:29" s="126" customFormat="1" ht="15" hidden="1" customHeight="1" x14ac:dyDescent="0.25">
      <c r="A229" s="210"/>
      <c r="B229" s="127"/>
      <c r="C229" s="127"/>
      <c r="D229" s="128"/>
      <c r="E229" s="128"/>
      <c r="F229" s="127"/>
      <c r="G229" s="127"/>
      <c r="H229" s="127"/>
      <c r="I229" s="127"/>
      <c r="J229" s="127"/>
      <c r="K229" s="156"/>
      <c r="L229" s="127"/>
      <c r="M229" s="127"/>
      <c r="N229" s="19"/>
      <c r="O229" s="19"/>
      <c r="P229" s="149"/>
      <c r="Q229" s="197"/>
      <c r="R229" s="197"/>
      <c r="S229" s="197"/>
      <c r="T229" s="197"/>
      <c r="U229" s="197"/>
      <c r="V229" s="197"/>
      <c r="W229" s="188">
        <f t="shared" si="214"/>
        <v>0</v>
      </c>
    </row>
    <row r="230" spans="1:29" s="126" customFormat="1" ht="15.75" hidden="1" customHeight="1" x14ac:dyDescent="0.25">
      <c r="A230" s="210"/>
      <c r="B230" s="127"/>
      <c r="C230" s="127"/>
      <c r="D230" s="128"/>
      <c r="E230" s="128"/>
      <c r="F230" s="127"/>
      <c r="G230" s="127"/>
      <c r="H230" s="127"/>
      <c r="I230" s="127"/>
      <c r="J230" s="127"/>
      <c r="K230" s="156"/>
      <c r="L230" s="127"/>
      <c r="M230" s="127"/>
      <c r="N230" s="19"/>
      <c r="O230" s="19"/>
      <c r="P230" s="149"/>
      <c r="Q230" s="197"/>
      <c r="R230" s="197"/>
      <c r="S230" s="197"/>
      <c r="T230" s="197"/>
      <c r="U230" s="197"/>
      <c r="V230" s="197"/>
      <c r="W230" s="188">
        <f>J230</f>
        <v>0</v>
      </c>
    </row>
    <row r="231" spans="1:29" s="126" customFormat="1" ht="15.75" hidden="1" thickBot="1" x14ac:dyDescent="0.3">
      <c r="A231" s="20"/>
      <c r="B231" s="230"/>
      <c r="C231" s="230"/>
      <c r="D231" s="151"/>
      <c r="E231" s="151"/>
      <c r="F231" s="121"/>
      <c r="G231" s="121"/>
      <c r="H231" s="121"/>
      <c r="I231" s="121"/>
      <c r="J231" s="121"/>
      <c r="K231" s="121"/>
      <c r="L231" s="121"/>
      <c r="M231" s="121"/>
      <c r="N231" s="125"/>
      <c r="O231" s="21"/>
      <c r="P231" s="200"/>
      <c r="Q231" s="187"/>
      <c r="R231" s="187"/>
      <c r="S231" s="187"/>
      <c r="T231" s="187"/>
      <c r="U231" s="187"/>
      <c r="V231" s="187"/>
      <c r="W231" s="201">
        <f>SUM(W225:W230)</f>
        <v>0</v>
      </c>
    </row>
    <row r="232" spans="1:29" s="126" customFormat="1" ht="15.75" thickBot="1" x14ac:dyDescent="0.3"/>
    <row r="233" spans="1:29" s="126" customFormat="1" ht="15.75" thickBot="1" x14ac:dyDescent="0.3">
      <c r="A233"/>
      <c r="B233" s="345" t="s">
        <v>56</v>
      </c>
      <c r="C233" s="346"/>
      <c r="D233" s="346"/>
      <c r="E233" s="346"/>
      <c r="F233" s="346"/>
      <c r="G233" s="347"/>
      <c r="H233" s="329"/>
      <c r="I233" s="345" t="s">
        <v>57</v>
      </c>
      <c r="J233" s="346"/>
      <c r="K233" s="346"/>
      <c r="L233" s="346"/>
      <c r="M233" s="346"/>
      <c r="N233" s="347"/>
      <c r="P233" s="360" t="s">
        <v>142</v>
      </c>
      <c r="Q233" s="360"/>
      <c r="R233" s="360"/>
      <c r="S233" s="361"/>
      <c r="T233" s="357" t="s">
        <v>145</v>
      </c>
      <c r="U233" s="358"/>
      <c r="V233" s="359"/>
      <c r="W233" s="337" t="s">
        <v>146</v>
      </c>
      <c r="X233" s="337" t="s">
        <v>181</v>
      </c>
    </row>
    <row r="234" spans="1:29" s="126" customFormat="1" ht="24.75" thickBot="1" x14ac:dyDescent="0.3">
      <c r="A234" s="22" t="s">
        <v>56</v>
      </c>
      <c r="B234" s="184" t="s">
        <v>58</v>
      </c>
      <c r="C234" s="184" t="s">
        <v>59</v>
      </c>
      <c r="D234" s="184" t="s">
        <v>60</v>
      </c>
      <c r="E234" s="184" t="s">
        <v>61</v>
      </c>
      <c r="F234" s="184" t="s">
        <v>62</v>
      </c>
      <c r="G234" s="184" t="s">
        <v>63</v>
      </c>
      <c r="H234" s="184"/>
      <c r="I234" s="184" t="s">
        <v>58</v>
      </c>
      <c r="J234" s="184" t="s">
        <v>59</v>
      </c>
      <c r="K234" s="184" t="s">
        <v>60</v>
      </c>
      <c r="L234" s="184" t="s">
        <v>61</v>
      </c>
      <c r="M234" s="184" t="s">
        <v>62</v>
      </c>
      <c r="N234" s="184" t="s">
        <v>63</v>
      </c>
      <c r="P234" s="224" t="s">
        <v>143</v>
      </c>
      <c r="Q234" s="203" t="s">
        <v>144</v>
      </c>
      <c r="R234" s="223" t="s">
        <v>151</v>
      </c>
      <c r="S234" s="225" t="s">
        <v>149</v>
      </c>
      <c r="T234" s="204" t="s">
        <v>143</v>
      </c>
      <c r="U234" s="205" t="s">
        <v>144</v>
      </c>
      <c r="V234" s="244" t="s">
        <v>149</v>
      </c>
      <c r="W234" s="338"/>
      <c r="X234" s="338"/>
    </row>
    <row r="235" spans="1:29" ht="15.95" customHeight="1" x14ac:dyDescent="0.25">
      <c r="A235" s="23" t="s">
        <v>38</v>
      </c>
      <c r="B235" s="116">
        <f t="shared" ref="B235:C239" si="215">B5+B12+B19+B28+B35+B42+B49+B56+B63+B70+B77+B84+B91+B98+B105+B112+B119+B126+B133+B140+B147+B154+B161+B168+B177+B186+B193+B202+B211+B218+B225</f>
        <v>1900</v>
      </c>
      <c r="C235" s="116">
        <f t="shared" si="215"/>
        <v>150</v>
      </c>
      <c r="D235" s="116">
        <f t="shared" ref="D235:D244" si="216">B235+C235</f>
        <v>2050</v>
      </c>
      <c r="E235" s="142">
        <f>D235*43.13</f>
        <v>88416.5</v>
      </c>
      <c r="F235" s="142">
        <f>B235*43.13+C235*86.26</f>
        <v>94886</v>
      </c>
      <c r="G235" s="142">
        <f t="shared" ref="G235:G244" si="217">F235*104</f>
        <v>9868144</v>
      </c>
      <c r="H235" s="142"/>
      <c r="I235" s="116">
        <f t="shared" ref="I235:J239" si="218">D5+D12+D19+D28+D35+D42+D49+D56+D63+D70+D77+D84+D91+D98+D105+D112+D119+D126+D133+D140+D147+D154+D161+D168+D177+D186+D193+D202+D211+D218+D225</f>
        <v>1854</v>
      </c>
      <c r="J235" s="116">
        <f t="shared" si="218"/>
        <v>152</v>
      </c>
      <c r="K235" s="141">
        <f>I235+J235</f>
        <v>2006</v>
      </c>
      <c r="L235" s="142">
        <f>K235*43.13</f>
        <v>86518.78</v>
      </c>
      <c r="M235" s="142">
        <f>I235*43.13+J235*86.26</f>
        <v>93074.540000000008</v>
      </c>
      <c r="N235" s="142">
        <f t="shared" ref="N235:N242" si="219">M235*104</f>
        <v>9679752.1600000001</v>
      </c>
      <c r="O235" s="126"/>
      <c r="P235" s="218">
        <f>SUM(Q202,Q193,Q186,Q177,Q168,Q161,Q154,Q147,Q140,Q133,Q126,Q119,Q112,Q105,Q98,Q91,Q84,Q77,Q70,Q63,Q56,Q49,Q42,Q35,Q28,Q19,Q12,Q5,Q211,Q218,Q225)</f>
        <v>0</v>
      </c>
      <c r="Q235" s="219">
        <f>SUM(R202,R193,R186,R177,R168,R161,R154,R147,R140,R133,R126,R119,R112,R105,R98,R91,R84,R77,R70,R63,R56,R49,R42,R35,R28,R19,R12,R5,R211,R218,R225)</f>
        <v>0</v>
      </c>
      <c r="R235" s="126">
        <f>SUM(Q204,Q195,Q188,Q179,Q170,Q163,Q156,Q149,Q142,Q135,Q128,Q121,Q114,Q107,Q100,Q93,Q86,Q79,Q72,Q65,Q58,Q51,Q44,Q37,Q30,Q21,Q14,Q7,Q213,Q220,Q227)</f>
        <v>0</v>
      </c>
      <c r="S235" s="126">
        <f>SUM(S202,S193,S186,S177,S168,S161,S154,S147,S140,S133,S126,S119,S112,S105,S98,S91,S84,S77,S70,S63,S56,S49,S42,S35,S28,S19,S12,S5,S211,S218,S225)</f>
        <v>0</v>
      </c>
      <c r="T235" s="126">
        <f>SUM(T203,T194,T187,T178,T169,T162,T155,T148,T141,T134,T127,T120,T113,T106,T99,T92,T85,T78,T71,T64,T57,T50,T43,T36,T29,T20,T13,T6,T212,T219,T226)+SUM(T202,T193,T177,T168,T161,T154,T147,T140,T133,T126,T119,T112,T105,T91,T84,T77,T70,T63,T56,T49,T42,T35,T28,T19,T12,T5)</f>
        <v>18</v>
      </c>
      <c r="U235" s="126">
        <f>SUM(U203,U194,U187,U178,U169,U162,U155,U148,U141,U134,U127,U120,U113,U106,U99,U92,U85,U78,U71,U64,U57,U50,U43,U36,U29,U20,U13,U6,U212,U219,U226)</f>
        <v>0</v>
      </c>
      <c r="V235" s="126">
        <f>SUM(V203,V194,V187,V178,V169,V162,V155,V148,V141,V134,V127,V120,V113,V106,V99,V92,V85,V78,V71,V64,V57,V50,V43,V36,V29,V20,V13,V6,V212,V219,V226)</f>
        <v>0</v>
      </c>
      <c r="W235" s="248">
        <f>W11+W18+W27+W34+W41+W48+W55+W62+W69+W76+W83+W90+W97+W104+W111+W118+W125+W132+W139+W146+W153+W160+W167+W176+W185+W192+W201+W210+W217+W224+W231</f>
        <v>223348.28000000009</v>
      </c>
      <c r="X235" s="248">
        <f>X11+X18+X27+X34+X41+X48+X55+X62+X69+X76+X83+X90+X97+X104+X111+X118+X125+X132+X139+X146+X153+X160+X167+X176+X185+X192+X201+X210</f>
        <v>228832.94000000009</v>
      </c>
    </row>
    <row r="236" spans="1:29" ht="17.25" customHeight="1" x14ac:dyDescent="0.25">
      <c r="A236" s="23" t="s">
        <v>52</v>
      </c>
      <c r="B236" s="116">
        <f t="shared" si="215"/>
        <v>1906</v>
      </c>
      <c r="C236" s="116">
        <f t="shared" si="215"/>
        <v>148</v>
      </c>
      <c r="D236" s="116">
        <f t="shared" si="216"/>
        <v>2054</v>
      </c>
      <c r="E236" s="142">
        <f>D236*43.13</f>
        <v>88589.02</v>
      </c>
      <c r="F236" s="142">
        <f>B236*43.13+C236*86.26</f>
        <v>94972.26</v>
      </c>
      <c r="G236" s="142">
        <f t="shared" si="217"/>
        <v>9877115.0399999991</v>
      </c>
      <c r="H236" s="142"/>
      <c r="I236" s="116">
        <f t="shared" si="218"/>
        <v>1871</v>
      </c>
      <c r="J236" s="116">
        <f t="shared" si="218"/>
        <v>143</v>
      </c>
      <c r="K236" s="141">
        <f t="shared" ref="K236:K244" si="220">I236+J236</f>
        <v>2014</v>
      </c>
      <c r="L236" s="142">
        <f>K236*43.13</f>
        <v>86863.82</v>
      </c>
      <c r="M236" s="142">
        <f>I236*43.13+J236*86.26</f>
        <v>93031.41</v>
      </c>
      <c r="N236" s="142">
        <f t="shared" si="219"/>
        <v>9675266.6400000006</v>
      </c>
      <c r="O236" s="126"/>
      <c r="W236" s="218"/>
      <c r="AA236" s="8"/>
    </row>
    <row r="237" spans="1:29" x14ac:dyDescent="0.25">
      <c r="A237" s="23" t="s">
        <v>36</v>
      </c>
      <c r="B237" s="116">
        <f t="shared" si="215"/>
        <v>660</v>
      </c>
      <c r="C237" s="116">
        <f t="shared" si="215"/>
        <v>0</v>
      </c>
      <c r="D237" s="116">
        <f t="shared" si="216"/>
        <v>660</v>
      </c>
      <c r="E237" s="142">
        <f>D237*29.11</f>
        <v>19212.599999999999</v>
      </c>
      <c r="F237" s="142">
        <f>B237*29.11+C237*58.22</f>
        <v>19212.599999999999</v>
      </c>
      <c r="G237" s="142">
        <f t="shared" si="217"/>
        <v>1998110.4</v>
      </c>
      <c r="H237" s="142"/>
      <c r="I237" s="116">
        <f t="shared" si="218"/>
        <v>635</v>
      </c>
      <c r="J237" s="116">
        <f t="shared" si="218"/>
        <v>0</v>
      </c>
      <c r="K237" s="141">
        <f t="shared" si="220"/>
        <v>635</v>
      </c>
      <c r="L237" s="142">
        <f>K237*29.11</f>
        <v>18484.849999999999</v>
      </c>
      <c r="M237" s="142">
        <f>I237*29.11+J237*58.22</f>
        <v>18484.849999999999</v>
      </c>
      <c r="N237" s="142">
        <f t="shared" si="219"/>
        <v>1922424.4</v>
      </c>
      <c r="O237" s="126"/>
      <c r="W237" s="218"/>
      <c r="X237" s="175"/>
    </row>
    <row r="238" spans="1:29" x14ac:dyDescent="0.25">
      <c r="A238" s="23" t="s">
        <v>53</v>
      </c>
      <c r="B238" s="116">
        <f t="shared" si="215"/>
        <v>640</v>
      </c>
      <c r="C238" s="116">
        <f t="shared" si="215"/>
        <v>0</v>
      </c>
      <c r="D238" s="116">
        <f t="shared" si="216"/>
        <v>640</v>
      </c>
      <c r="E238" s="142">
        <f>D238*29.11</f>
        <v>18630.400000000001</v>
      </c>
      <c r="F238" s="142">
        <f>B238*29.11+C238*58.22</f>
        <v>18630.400000000001</v>
      </c>
      <c r="G238" s="142">
        <f t="shared" si="217"/>
        <v>1937561.6000000001</v>
      </c>
      <c r="H238" s="142"/>
      <c r="I238" s="116">
        <f t="shared" si="218"/>
        <v>619</v>
      </c>
      <c r="J238" s="116">
        <f t="shared" si="218"/>
        <v>0</v>
      </c>
      <c r="K238" s="141">
        <f t="shared" si="220"/>
        <v>619</v>
      </c>
      <c r="L238" s="142">
        <f>K238*29.11</f>
        <v>18019.09</v>
      </c>
      <c r="M238" s="142">
        <f>I238*29.11+J238*58.22</f>
        <v>18019.09</v>
      </c>
      <c r="N238" s="142">
        <f t="shared" si="219"/>
        <v>1873985.36</v>
      </c>
      <c r="O238" s="126"/>
      <c r="W238" s="218"/>
      <c r="AA238" s="103"/>
      <c r="AB238" s="103"/>
      <c r="AC238" s="103"/>
    </row>
    <row r="239" spans="1:29" x14ac:dyDescent="0.25">
      <c r="A239" s="23" t="s">
        <v>122</v>
      </c>
      <c r="B239" s="116">
        <f t="shared" si="215"/>
        <v>0</v>
      </c>
      <c r="C239" s="116">
        <f t="shared" si="215"/>
        <v>0</v>
      </c>
      <c r="D239" s="116">
        <f t="shared" si="216"/>
        <v>0</v>
      </c>
      <c r="E239" s="142">
        <f>D239*25.4</f>
        <v>0</v>
      </c>
      <c r="F239" s="142">
        <f>B239*25.4+C239*50.8</f>
        <v>0</v>
      </c>
      <c r="G239" s="142">
        <f t="shared" si="217"/>
        <v>0</v>
      </c>
      <c r="H239" s="142"/>
      <c r="I239" s="116">
        <f t="shared" si="218"/>
        <v>0</v>
      </c>
      <c r="J239" s="116">
        <f t="shared" si="218"/>
        <v>0</v>
      </c>
      <c r="K239" s="141">
        <f t="shared" si="220"/>
        <v>0</v>
      </c>
      <c r="L239" s="142">
        <f>K239*25.4</f>
        <v>0</v>
      </c>
      <c r="M239" s="142">
        <f>I239*25.4+J239*50.8</f>
        <v>0</v>
      </c>
      <c r="N239" s="142">
        <f t="shared" si="219"/>
        <v>0</v>
      </c>
      <c r="O239" s="126"/>
      <c r="W239" s="218"/>
    </row>
    <row r="240" spans="1:29" x14ac:dyDescent="0.25">
      <c r="A240" s="23" t="s">
        <v>35</v>
      </c>
      <c r="B240" s="116">
        <f>B10+B17+B26+B33+B40+B47+B54+B61+B68+B75+B82+B89+B96+B103+B110+B117+B124+B131+B138+B145+B152+B159+B166+B173+B182+B191+B198+B207+B216+B223+B230</f>
        <v>20</v>
      </c>
      <c r="C240" s="116">
        <f>C10+C17+C26+C33+C40+C47+C54+C61+C68+C75+C82+C89+C96+C103+C110+C117+C124+C131+C138+C145+C152+C159+C166+C173+C182+C191+C198+C207+C216+C223+C230</f>
        <v>0</v>
      </c>
      <c r="D240" s="116">
        <f t="shared" si="216"/>
        <v>20</v>
      </c>
      <c r="E240" s="142">
        <f>D240*25.4</f>
        <v>508</v>
      </c>
      <c r="F240" s="142">
        <f>B240*25.4+C240*50.8</f>
        <v>508</v>
      </c>
      <c r="G240" s="142">
        <f t="shared" si="217"/>
        <v>52832</v>
      </c>
      <c r="H240" s="142"/>
      <c r="I240" s="116">
        <f>D10+D17+D26+D33+D40+D47+D54+D61+D68+D75+D82+D89+D96+D103+D110+D117+D124+D131+D138+D145+D152+D159+D166+D173+D182+D191+D198+D207+D216+D223+D230</f>
        <v>20</v>
      </c>
      <c r="J240" s="116">
        <f>E10+E17+E26+E33+E40+E47+E54+E61+E68+E75+E82+E89+E96+E103+E110+E117+E124+E131+E138+E145+E152+E159+E166+E173+E182+E191+E198+E207+E216+E223+E230</f>
        <v>0</v>
      </c>
      <c r="K240" s="141">
        <f t="shared" si="220"/>
        <v>20</v>
      </c>
      <c r="L240" s="142">
        <f>K240*25.4</f>
        <v>508</v>
      </c>
      <c r="M240" s="142">
        <f>I240*25.4+J240*50.8</f>
        <v>508</v>
      </c>
      <c r="N240" s="142">
        <f t="shared" si="219"/>
        <v>52832</v>
      </c>
      <c r="O240" s="126"/>
      <c r="P240" s="126"/>
      <c r="Q240" s="126"/>
      <c r="R240" s="126"/>
      <c r="T240" s="126"/>
      <c r="U240" s="126"/>
      <c r="W240" s="218"/>
      <c r="AA240" s="103"/>
      <c r="AB240" s="103"/>
      <c r="AC240" s="103"/>
    </row>
    <row r="241" spans="1:23" s="126" customFormat="1" x14ac:dyDescent="0.25">
      <c r="A241" s="23" t="s">
        <v>164</v>
      </c>
      <c r="B241" s="116">
        <f>B24</f>
        <v>0</v>
      </c>
      <c r="C241" s="116">
        <f>C24</f>
        <v>0</v>
      </c>
      <c r="D241" s="116">
        <f t="shared" si="216"/>
        <v>0</v>
      </c>
      <c r="E241" s="142">
        <f>D241*X1</f>
        <v>0</v>
      </c>
      <c r="F241" s="142">
        <f>B241*X1+C241*(X1*2)</f>
        <v>0</v>
      </c>
      <c r="G241" s="142">
        <f t="shared" si="217"/>
        <v>0</v>
      </c>
      <c r="H241" s="142"/>
      <c r="I241" s="116">
        <f>D24</f>
        <v>6</v>
      </c>
      <c r="J241" s="116">
        <f>E24</f>
        <v>0</v>
      </c>
      <c r="K241" s="141">
        <f t="shared" si="220"/>
        <v>6</v>
      </c>
      <c r="L241" s="142">
        <f>K241*X1</f>
        <v>70.260000000000005</v>
      </c>
      <c r="M241" s="142">
        <f>I241*X1+J241*(X1*2)</f>
        <v>70.260000000000005</v>
      </c>
      <c r="N241" s="142">
        <f t="shared" si="219"/>
        <v>7307.0400000000009</v>
      </c>
      <c r="W241" s="218"/>
    </row>
    <row r="242" spans="1:23" s="126" customFormat="1" x14ac:dyDescent="0.25">
      <c r="A242" s="23" t="s">
        <v>165</v>
      </c>
      <c r="B242" s="116">
        <f>B25</f>
        <v>0</v>
      </c>
      <c r="C242" s="116">
        <f>C25</f>
        <v>0</v>
      </c>
      <c r="D242" s="116">
        <f t="shared" si="216"/>
        <v>0</v>
      </c>
      <c r="E242" s="142">
        <f>D242*X1</f>
        <v>0</v>
      </c>
      <c r="F242" s="142">
        <f>B242*X1+C242*(X1*2)</f>
        <v>0</v>
      </c>
      <c r="G242" s="142">
        <f t="shared" si="217"/>
        <v>0</v>
      </c>
      <c r="H242" s="142"/>
      <c r="I242" s="116">
        <f>D25</f>
        <v>4</v>
      </c>
      <c r="J242" s="116">
        <f>E25</f>
        <v>0</v>
      </c>
      <c r="K242" s="141">
        <f t="shared" si="220"/>
        <v>4</v>
      </c>
      <c r="L242" s="142">
        <f>K242*X1</f>
        <v>46.84</v>
      </c>
      <c r="M242" s="142">
        <f>I242*X1+J242*(X1*2)</f>
        <v>46.84</v>
      </c>
      <c r="N242" s="142">
        <f t="shared" si="219"/>
        <v>4871.3600000000006</v>
      </c>
      <c r="W242" s="218"/>
    </row>
    <row r="243" spans="1:23" s="126" customFormat="1" x14ac:dyDescent="0.25">
      <c r="A243" s="23" t="s">
        <v>158</v>
      </c>
      <c r="B243" s="116">
        <f>B174+B183+B199+B208</f>
        <v>16</v>
      </c>
      <c r="C243" s="116">
        <f>C174+C183+C199+C208</f>
        <v>0</v>
      </c>
      <c r="D243" s="116">
        <f t="shared" si="216"/>
        <v>16</v>
      </c>
      <c r="E243" s="142">
        <f>D243*S1</f>
        <v>557.28</v>
      </c>
      <c r="F243" s="142">
        <f>B243*S1+C243*(S1*2)</f>
        <v>557.28</v>
      </c>
      <c r="G243" s="142">
        <f t="shared" si="217"/>
        <v>57957.119999999995</v>
      </c>
      <c r="H243" s="142"/>
      <c r="I243" s="116">
        <f>D174+D183+D199+D208</f>
        <v>16</v>
      </c>
      <c r="J243" s="116">
        <f>E174+E183+E199+E208</f>
        <v>0</v>
      </c>
      <c r="K243" s="141">
        <f t="shared" si="220"/>
        <v>16</v>
      </c>
      <c r="L243" s="142">
        <f>K243*S1</f>
        <v>557.28</v>
      </c>
      <c r="M243" s="142">
        <f>I243*S1+J243*(S1*2)</f>
        <v>557.28</v>
      </c>
      <c r="N243" s="142">
        <f t="shared" ref="N243:N244" si="221">M243*104</f>
        <v>57957.119999999995</v>
      </c>
      <c r="W243" s="218"/>
    </row>
    <row r="244" spans="1:23" s="126" customFormat="1" x14ac:dyDescent="0.25">
      <c r="A244" s="23" t="s">
        <v>157</v>
      </c>
      <c r="B244" s="116">
        <f>B175+B184+B200+B209</f>
        <v>8</v>
      </c>
      <c r="C244" s="116">
        <f>C175+C184+C200+C209</f>
        <v>0</v>
      </c>
      <c r="D244" s="116">
        <f t="shared" si="216"/>
        <v>8</v>
      </c>
      <c r="E244" s="142">
        <f>D244*Q1</f>
        <v>66.400000000000006</v>
      </c>
      <c r="F244" s="142">
        <f>B244*Q1+C244*(Q1*2)</f>
        <v>66.400000000000006</v>
      </c>
      <c r="G244" s="142">
        <f t="shared" si="217"/>
        <v>6905.6</v>
      </c>
      <c r="H244" s="142"/>
      <c r="I244" s="116">
        <f>D175+D184+D200+D209</f>
        <v>8</v>
      </c>
      <c r="J244" s="116">
        <f>E175+E184+E200+E209</f>
        <v>0</v>
      </c>
      <c r="K244" s="141">
        <f t="shared" si="220"/>
        <v>8</v>
      </c>
      <c r="L244" s="142">
        <f>K244*Q1</f>
        <v>66.400000000000006</v>
      </c>
      <c r="M244" s="142">
        <f>I244*Q1+J244*(Q1*2)</f>
        <v>66.400000000000006</v>
      </c>
      <c r="N244" s="142">
        <f t="shared" si="221"/>
        <v>6905.6</v>
      </c>
      <c r="W244" s="218"/>
    </row>
    <row r="245" spans="1:23" s="126" customForma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P245"/>
      <c r="Q245"/>
      <c r="R245"/>
      <c r="T245"/>
      <c r="U245"/>
      <c r="W245" s="218"/>
    </row>
    <row r="246" spans="1:23" s="126" customFormat="1" x14ac:dyDescent="0.25">
      <c r="A246" s="182" t="s">
        <v>64</v>
      </c>
      <c r="B246" s="242">
        <f>SUM(B235:B245)</f>
        <v>5150</v>
      </c>
      <c r="C246" s="242">
        <f>SUM(C235:C245)</f>
        <v>298</v>
      </c>
      <c r="D246" s="242">
        <f>SUM(D235:D245)</f>
        <v>5448</v>
      </c>
      <c r="E246" s="183">
        <f t="shared" ref="E246:N246" si="222">SUM(E235:E244)</f>
        <v>215980.2</v>
      </c>
      <c r="F246" s="183">
        <f t="shared" si="222"/>
        <v>228832.94</v>
      </c>
      <c r="G246" s="183">
        <f t="shared" si="222"/>
        <v>23798625.760000002</v>
      </c>
      <c r="H246" s="183"/>
      <c r="I246" s="241">
        <f t="shared" si="222"/>
        <v>5033</v>
      </c>
      <c r="J246" s="241">
        <f t="shared" si="222"/>
        <v>295</v>
      </c>
      <c r="K246" s="232">
        <f t="shared" si="222"/>
        <v>5328</v>
      </c>
      <c r="L246" s="233">
        <f t="shared" si="222"/>
        <v>211135.32</v>
      </c>
      <c r="M246" s="233">
        <f t="shared" si="222"/>
        <v>223858.67</v>
      </c>
      <c r="N246" s="233">
        <f t="shared" si="222"/>
        <v>23281301.68</v>
      </c>
      <c r="P246"/>
      <c r="Q246"/>
      <c r="R246"/>
      <c r="T246"/>
      <c r="U246"/>
      <c r="W246" s="218"/>
    </row>
    <row r="247" spans="1:23" x14ac:dyDescent="0.25">
      <c r="A247" s="126"/>
      <c r="B247" s="126"/>
      <c r="C247" s="126"/>
      <c r="D247" s="126"/>
      <c r="E247" s="126"/>
      <c r="F247" s="126"/>
      <c r="G247" s="126"/>
      <c r="I247" s="126"/>
      <c r="J247" s="126"/>
      <c r="K247" s="126"/>
      <c r="L247" s="126"/>
      <c r="M247" s="218"/>
      <c r="N247" s="126"/>
      <c r="O247" s="126"/>
      <c r="W247" s="218"/>
    </row>
    <row r="248" spans="1:23" ht="42" customHeight="1" thickBot="1" x14ac:dyDescent="0.3">
      <c r="B248" s="126" t="s">
        <v>65</v>
      </c>
      <c r="C248" s="126">
        <f>(B246)+(C246*2)</f>
        <v>5746</v>
      </c>
      <c r="D248" s="126"/>
      <c r="E248" s="126"/>
      <c r="F248" s="126" t="s">
        <v>65</v>
      </c>
      <c r="G248" s="126">
        <f>(I246)+(J246*2)</f>
        <v>5623</v>
      </c>
      <c r="I248" s="126"/>
      <c r="J248" s="206"/>
      <c r="K248" s="126"/>
      <c r="L248" s="126"/>
      <c r="M248" s="218"/>
      <c r="N248" s="126"/>
      <c r="O248" s="126"/>
      <c r="W248" s="218"/>
    </row>
    <row r="249" spans="1:23" x14ac:dyDescent="0.25">
      <c r="A249" s="24"/>
      <c r="B249" s="343" t="s">
        <v>55</v>
      </c>
      <c r="C249" s="344"/>
      <c r="D249" s="25" t="s">
        <v>65</v>
      </c>
      <c r="E249" s="26"/>
      <c r="F249" s="27" t="s">
        <v>61</v>
      </c>
      <c r="G249" s="27" t="s">
        <v>66</v>
      </c>
      <c r="H249" s="25"/>
      <c r="I249" s="28" t="s">
        <v>67</v>
      </c>
      <c r="J249" s="126"/>
      <c r="K249" s="126"/>
      <c r="L249" s="126"/>
      <c r="M249" s="126"/>
      <c r="N249" s="126"/>
      <c r="O249" s="126"/>
      <c r="W249" s="218"/>
    </row>
    <row r="250" spans="1:23" x14ac:dyDescent="0.25">
      <c r="A250" s="29"/>
      <c r="B250" s="30" t="s">
        <v>58</v>
      </c>
      <c r="C250" s="30" t="s">
        <v>68</v>
      </c>
      <c r="D250" s="31"/>
      <c r="E250" s="32"/>
      <c r="F250" s="30"/>
      <c r="G250" s="30"/>
      <c r="H250" s="31"/>
      <c r="I250" s="33"/>
      <c r="J250" s="126"/>
      <c r="K250" s="126"/>
      <c r="L250" s="126"/>
      <c r="M250" s="126"/>
      <c r="N250" s="126"/>
      <c r="O250" s="126"/>
      <c r="W250" s="218"/>
    </row>
    <row r="251" spans="1:23" ht="15" hidden="1" customHeight="1" x14ac:dyDescent="0.25">
      <c r="A251" s="34" t="s">
        <v>69</v>
      </c>
      <c r="B251" s="147" t="e">
        <f>+#REF!</f>
        <v>#REF!</v>
      </c>
      <c r="C251" s="147" t="e">
        <f>+#REF!</f>
        <v>#REF!</v>
      </c>
      <c r="D251" s="147" t="e">
        <f>+B251+2*C251</f>
        <v>#REF!</v>
      </c>
      <c r="E251" s="35" t="s">
        <v>69</v>
      </c>
      <c r="F251" s="36">
        <f>+E246</f>
        <v>215980.2</v>
      </c>
      <c r="G251" s="36">
        <f>+F246</f>
        <v>228832.94</v>
      </c>
      <c r="H251" s="330"/>
      <c r="I251" s="37">
        <f>+G246</f>
        <v>23798625.760000002</v>
      </c>
      <c r="J251" s="126"/>
      <c r="K251" s="126"/>
      <c r="L251" s="126"/>
      <c r="M251" s="126"/>
      <c r="N251" s="126"/>
      <c r="O251" s="126"/>
      <c r="W251" s="218"/>
    </row>
    <row r="252" spans="1:23" ht="15.95" hidden="1" customHeight="1" thickBot="1" x14ac:dyDescent="0.3">
      <c r="A252" s="38" t="s">
        <v>70</v>
      </c>
      <c r="B252" s="181" t="e">
        <f>+#REF!</f>
        <v>#REF!</v>
      </c>
      <c r="C252" s="181" t="e">
        <f>+#REF!</f>
        <v>#REF!</v>
      </c>
      <c r="D252" s="147" t="e">
        <f>+B252+2*C252</f>
        <v>#REF!</v>
      </c>
      <c r="E252" s="38" t="s">
        <v>70</v>
      </c>
      <c r="F252" s="39" t="e">
        <f>+#REF!</f>
        <v>#REF!</v>
      </c>
      <c r="G252" s="39" t="e">
        <f>+#REF!</f>
        <v>#REF!</v>
      </c>
      <c r="H252" s="331"/>
      <c r="I252" s="40" t="e">
        <f>+#REF!</f>
        <v>#REF!</v>
      </c>
      <c r="J252" s="126"/>
      <c r="K252" s="126"/>
      <c r="L252" s="126"/>
      <c r="M252" s="126"/>
      <c r="N252" s="126"/>
      <c r="O252" s="126"/>
      <c r="W252" s="218"/>
    </row>
    <row r="253" spans="1:23" ht="15" hidden="1" customHeight="1" x14ac:dyDescent="0.25">
      <c r="C253" s="126"/>
      <c r="D253" s="126"/>
      <c r="E253" s="126"/>
      <c r="F253" s="126"/>
      <c r="G253" s="126"/>
      <c r="I253" s="126" t="s">
        <v>65</v>
      </c>
      <c r="J253" s="234">
        <f>(I246)+(J246*2)</f>
        <v>5623</v>
      </c>
      <c r="K253" s="126"/>
      <c r="L253" s="126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</row>
    <row r="254" spans="1:23" ht="15" hidden="1" customHeight="1" x14ac:dyDescent="0.25">
      <c r="C254" s="126"/>
      <c r="D254" s="126"/>
      <c r="E254" s="126"/>
      <c r="F254" s="126"/>
      <c r="G254" s="126"/>
      <c r="I254" s="126"/>
      <c r="J254" s="126"/>
      <c r="K254" s="126"/>
      <c r="L254" s="126"/>
      <c r="M254" s="126"/>
      <c r="N254" s="126"/>
      <c r="O254" s="126"/>
    </row>
    <row r="255" spans="1:23" x14ac:dyDescent="0.25">
      <c r="C255" s="126"/>
    </row>
  </sheetData>
  <dataConsolidate>
    <dataRefs count="1">
      <dataRef name="=suma($G$5:$G$9)" r:id="rId1"/>
    </dataRefs>
  </dataConsolidate>
  <mergeCells count="34">
    <mergeCell ref="B2:C2"/>
    <mergeCell ref="D2:E2"/>
    <mergeCell ref="B3:C3"/>
    <mergeCell ref="D3:E3"/>
    <mergeCell ref="G3:G4"/>
    <mergeCell ref="N3:N4"/>
    <mergeCell ref="J3:J4"/>
    <mergeCell ref="Q3:S3"/>
    <mergeCell ref="T233:V233"/>
    <mergeCell ref="T3:V3"/>
    <mergeCell ref="P233:S233"/>
    <mergeCell ref="B249:C249"/>
    <mergeCell ref="B233:G233"/>
    <mergeCell ref="A162:A166"/>
    <mergeCell ref="A169:A175"/>
    <mergeCell ref="A178:A184"/>
    <mergeCell ref="A194:A200"/>
    <mergeCell ref="A203:A209"/>
    <mergeCell ref="H3:H4"/>
    <mergeCell ref="X3:X4"/>
    <mergeCell ref="X233:X234"/>
    <mergeCell ref="A57:A61"/>
    <mergeCell ref="A64:A68"/>
    <mergeCell ref="A20:A26"/>
    <mergeCell ref="W233:W234"/>
    <mergeCell ref="W3:W4"/>
    <mergeCell ref="P3:P4"/>
    <mergeCell ref="O3:O4"/>
    <mergeCell ref="F3:F4"/>
    <mergeCell ref="I233:N233"/>
    <mergeCell ref="I3:I4"/>
    <mergeCell ref="K3:K4"/>
    <mergeCell ref="L3:L4"/>
    <mergeCell ref="M3:M4"/>
  </mergeCells>
  <conditionalFormatting sqref="D49:E54 D5:E10 D161:E166 D186:D191">
    <cfRule type="expression" dxfId="41" priority="263">
      <formula>AND($B5&lt;&gt;$D5)</formula>
    </cfRule>
  </conditionalFormatting>
  <conditionalFormatting sqref="D56:E61">
    <cfRule type="expression" dxfId="40" priority="176">
      <formula>AND($B56&lt;&gt;$D56)</formula>
    </cfRule>
  </conditionalFormatting>
  <conditionalFormatting sqref="D154:E159">
    <cfRule type="expression" dxfId="39" priority="150">
      <formula>AND($B154&lt;&gt;$D154)</formula>
    </cfRule>
  </conditionalFormatting>
  <conditionalFormatting sqref="E35:E40 E5:E10">
    <cfRule type="expression" dxfId="38" priority="137">
      <formula>AND($C5&lt;&gt;$E5)</formula>
    </cfRule>
  </conditionalFormatting>
  <conditionalFormatting sqref="D35:D40">
    <cfRule type="expression" dxfId="37" priority="138">
      <formula>AND($B35&lt;&gt;$D35)</formula>
    </cfRule>
  </conditionalFormatting>
  <conditionalFormatting sqref="E186:E191">
    <cfRule type="expression" dxfId="36" priority="113">
      <formula>AND($C186&lt;&gt;$E186)</formula>
    </cfRule>
  </conditionalFormatting>
  <conditionalFormatting sqref="E186:E191">
    <cfRule type="expression" dxfId="35" priority="111">
      <formula>AND($C186&lt;&gt;$E186)</formula>
    </cfRule>
  </conditionalFormatting>
  <conditionalFormatting sqref="E12:E17">
    <cfRule type="expression" dxfId="34" priority="105">
      <formula>AND($C12&lt;&gt;$E12)</formula>
    </cfRule>
  </conditionalFormatting>
  <conditionalFormatting sqref="D12:D17">
    <cfRule type="expression" dxfId="33" priority="106">
      <formula>AND($B12&lt;&gt;$D12)</formula>
    </cfRule>
  </conditionalFormatting>
  <conditionalFormatting sqref="E140:E145">
    <cfRule type="expression" dxfId="32" priority="57">
      <formula>AND($C140&lt;&gt;$E140)</formula>
    </cfRule>
  </conditionalFormatting>
  <conditionalFormatting sqref="D140:D145">
    <cfRule type="expression" dxfId="31" priority="58">
      <formula>AND($B140&lt;&gt;$D140)</formula>
    </cfRule>
  </conditionalFormatting>
  <conditionalFormatting sqref="D147:E152">
    <cfRule type="expression" dxfId="30" priority="53">
      <formula>AND($B147&lt;&gt;$D147)</formula>
    </cfRule>
  </conditionalFormatting>
  <conditionalFormatting sqref="D168:E175">
    <cfRule type="expression" dxfId="29" priority="45">
      <formula>AND($B168&lt;&gt;$D168)</formula>
    </cfRule>
  </conditionalFormatting>
  <conditionalFormatting sqref="D177:E184">
    <cfRule type="expression" dxfId="28" priority="43">
      <formula>AND($B177&lt;&gt;$D177)</formula>
    </cfRule>
  </conditionalFormatting>
  <conditionalFormatting sqref="D211:E216">
    <cfRule type="expression" dxfId="27" priority="41">
      <formula>AND($B211&lt;&gt;$D211)</formula>
    </cfRule>
  </conditionalFormatting>
  <conditionalFormatting sqref="D218:E223">
    <cfRule type="expression" dxfId="26" priority="39">
      <formula>AND($B218&lt;&gt;$D218)</formula>
    </cfRule>
  </conditionalFormatting>
  <conditionalFormatting sqref="D225:E230">
    <cfRule type="expression" dxfId="25" priority="37">
      <formula>AND($B225&lt;&gt;$D225)</formula>
    </cfRule>
  </conditionalFormatting>
  <conditionalFormatting sqref="E19:E26">
    <cfRule type="expression" dxfId="24" priority="30">
      <formula>AND($C19&lt;&gt;$E19)</formula>
    </cfRule>
  </conditionalFormatting>
  <conditionalFormatting sqref="D19:D26">
    <cfRule type="expression" dxfId="23" priority="31">
      <formula>AND($B19&lt;&gt;$D19)</formula>
    </cfRule>
  </conditionalFormatting>
  <conditionalFormatting sqref="E28:E33">
    <cfRule type="expression" dxfId="22" priority="28">
      <formula>AND($C28&lt;&gt;$E28)</formula>
    </cfRule>
  </conditionalFormatting>
  <conditionalFormatting sqref="D28:D33">
    <cfRule type="expression" dxfId="21" priority="29">
      <formula>AND($B28&lt;&gt;$D28)</formula>
    </cfRule>
  </conditionalFormatting>
  <conditionalFormatting sqref="E42:E47">
    <cfRule type="expression" dxfId="20" priority="26">
      <formula>AND($C42&lt;&gt;$E42)</formula>
    </cfRule>
  </conditionalFormatting>
  <conditionalFormatting sqref="D42:D47">
    <cfRule type="expression" dxfId="19" priority="27">
      <formula>AND($B42&lt;&gt;$D42)</formula>
    </cfRule>
  </conditionalFormatting>
  <conditionalFormatting sqref="D193:D200 E199:E200">
    <cfRule type="expression" dxfId="18" priority="19">
      <formula>AND($B193&lt;&gt;$D193)</formula>
    </cfRule>
  </conditionalFormatting>
  <conditionalFormatting sqref="D119:E124">
    <cfRule type="expression" dxfId="17" priority="24">
      <formula>AND($B119&lt;&gt;$D119)</formula>
    </cfRule>
  </conditionalFormatting>
  <conditionalFormatting sqref="E193:E198">
    <cfRule type="expression" dxfId="16" priority="18">
      <formula>AND($C193&lt;&gt;$E193)</formula>
    </cfRule>
  </conditionalFormatting>
  <conditionalFormatting sqref="D63:E68">
    <cfRule type="expression" dxfId="15" priority="16">
      <formula>AND($B63&lt;&gt;$D63)</formula>
    </cfRule>
  </conditionalFormatting>
  <conditionalFormatting sqref="D77:E82">
    <cfRule type="expression" dxfId="14" priority="15">
      <formula>AND($B77&lt;&gt;$D77)</formula>
    </cfRule>
  </conditionalFormatting>
  <conditionalFormatting sqref="D84:E89">
    <cfRule type="expression" dxfId="13" priority="14">
      <formula>AND($B84&lt;&gt;$D84)</formula>
    </cfRule>
  </conditionalFormatting>
  <conditionalFormatting sqref="D91:E96">
    <cfRule type="expression" dxfId="12" priority="13">
      <formula>AND($B91&lt;&gt;$D91)</formula>
    </cfRule>
  </conditionalFormatting>
  <conditionalFormatting sqref="D98:E103">
    <cfRule type="expression" dxfId="11" priority="12">
      <formula>AND($B98&lt;&gt;$D98)</formula>
    </cfRule>
  </conditionalFormatting>
  <conditionalFormatting sqref="D63:E68">
    <cfRule type="expression" dxfId="10" priority="11">
      <formula>AND($B63&lt;&gt;$D63)</formula>
    </cfRule>
  </conditionalFormatting>
  <conditionalFormatting sqref="D56:E61">
    <cfRule type="expression" dxfId="9" priority="10">
      <formula>AND($B56&lt;&gt;$D56)</formula>
    </cfRule>
  </conditionalFormatting>
  <conditionalFormatting sqref="D70:E75">
    <cfRule type="expression" dxfId="8" priority="9">
      <formula>AND($B70&lt;&gt;$D70)</formula>
    </cfRule>
  </conditionalFormatting>
  <conditionalFormatting sqref="D112:E117">
    <cfRule type="expression" dxfId="7" priority="8">
      <formula>AND($B112&lt;&gt;$D112)</formula>
    </cfRule>
  </conditionalFormatting>
  <conditionalFormatting sqref="D112:D117">
    <cfRule type="expression" dxfId="6" priority="7">
      <formula>AND($B112&lt;&gt;$D112)</formula>
    </cfRule>
  </conditionalFormatting>
  <conditionalFormatting sqref="E112:E117">
    <cfRule type="expression" dxfId="5" priority="6">
      <formula>AND($C112&lt;&gt;$E112)</formula>
    </cfRule>
  </conditionalFormatting>
  <conditionalFormatting sqref="D105:E110">
    <cfRule type="expression" dxfId="4" priority="5">
      <formula>AND($B105&lt;&gt;$D105)</formula>
    </cfRule>
  </conditionalFormatting>
  <conditionalFormatting sqref="D126:E131">
    <cfRule type="expression" dxfId="3" priority="4">
      <formula>AND($B126&lt;&gt;$D126)</formula>
    </cfRule>
  </conditionalFormatting>
  <conditionalFormatting sqref="D133:E138">
    <cfRule type="expression" dxfId="2" priority="3">
      <formula>AND($B133&lt;&gt;$D133)</formula>
    </cfRule>
  </conditionalFormatting>
  <conditionalFormatting sqref="D202:D209 E208:E209">
    <cfRule type="expression" dxfId="1" priority="2">
      <formula>AND($B202&lt;&gt;$D202)</formula>
    </cfRule>
  </conditionalFormatting>
  <conditionalFormatting sqref="E202:E207">
    <cfRule type="expression" dxfId="0" priority="1">
      <formula>AND($C202&lt;&gt;$E202)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XCG86"/>
  <sheetViews>
    <sheetView zoomScaleNormal="100" workbookViewId="0">
      <selection activeCell="AZ16" sqref="AZ16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2" x14ac:dyDescent="0.25">
      <c r="C1" s="8"/>
      <c r="D1" s="364">
        <v>45689</v>
      </c>
      <c r="E1" s="364"/>
      <c r="F1" s="364">
        <v>45690</v>
      </c>
      <c r="G1" s="364"/>
      <c r="H1" s="364">
        <v>45691</v>
      </c>
      <c r="I1" s="364"/>
      <c r="J1" s="364">
        <v>45692</v>
      </c>
      <c r="K1" s="364"/>
      <c r="L1" s="364">
        <v>45693</v>
      </c>
      <c r="M1" s="364"/>
      <c r="N1" s="364">
        <v>45694</v>
      </c>
      <c r="O1" s="364"/>
      <c r="P1" s="364">
        <v>45695</v>
      </c>
      <c r="Q1" s="364"/>
      <c r="R1" s="364">
        <v>45696</v>
      </c>
      <c r="S1" s="364"/>
      <c r="T1" s="364">
        <v>45697</v>
      </c>
      <c r="U1" s="364"/>
      <c r="V1" s="364">
        <v>45698</v>
      </c>
      <c r="W1" s="364"/>
      <c r="X1" s="364">
        <v>45699</v>
      </c>
      <c r="Y1" s="364"/>
      <c r="Z1" s="364">
        <v>45700</v>
      </c>
      <c r="AA1" s="364"/>
      <c r="AB1" s="364">
        <v>45701</v>
      </c>
      <c r="AC1" s="364"/>
      <c r="AD1" s="364">
        <v>45702</v>
      </c>
      <c r="AE1" s="364"/>
      <c r="AF1" s="364">
        <v>45703</v>
      </c>
      <c r="AG1" s="364"/>
      <c r="AH1" s="364">
        <v>45704</v>
      </c>
      <c r="AI1" s="364"/>
      <c r="AJ1" s="364">
        <v>45705</v>
      </c>
      <c r="AK1" s="364"/>
      <c r="AL1" s="364">
        <v>45706</v>
      </c>
      <c r="AM1" s="364"/>
      <c r="AN1" s="364">
        <v>45707</v>
      </c>
      <c r="AO1" s="364"/>
      <c r="AP1" s="364">
        <v>45708</v>
      </c>
      <c r="AQ1" s="364"/>
      <c r="AR1" s="364">
        <v>45709</v>
      </c>
      <c r="AS1" s="364"/>
      <c r="AT1" s="364">
        <v>45710</v>
      </c>
      <c r="AU1" s="364"/>
      <c r="AV1" s="364">
        <v>45711</v>
      </c>
      <c r="AW1" s="364"/>
      <c r="AX1" s="364">
        <v>45712</v>
      </c>
      <c r="AY1" s="364"/>
      <c r="AZ1" s="364">
        <v>45713</v>
      </c>
      <c r="BA1" s="364"/>
      <c r="BB1" s="364">
        <v>45714</v>
      </c>
      <c r="BC1" s="364"/>
      <c r="BD1" s="364">
        <v>45715</v>
      </c>
      <c r="BE1" s="364"/>
      <c r="BF1" s="364">
        <v>45716</v>
      </c>
      <c r="BG1" s="364"/>
    </row>
    <row r="2" spans="1:62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</row>
    <row r="3" spans="1:62" ht="15.75" thickBot="1" x14ac:dyDescent="0.3">
      <c r="A3" s="67" t="s">
        <v>73</v>
      </c>
      <c r="B3" s="68"/>
      <c r="C3" s="8"/>
      <c r="D3" s="137">
        <v>0</v>
      </c>
      <c r="E3" s="137">
        <v>0</v>
      </c>
      <c r="F3" s="138">
        <v>0</v>
      </c>
      <c r="G3" s="138">
        <v>0</v>
      </c>
      <c r="H3" s="159">
        <v>10</v>
      </c>
      <c r="I3" s="159">
        <v>0</v>
      </c>
      <c r="J3" s="159">
        <v>10</v>
      </c>
      <c r="K3" s="159">
        <v>0</v>
      </c>
      <c r="L3" s="159">
        <v>10</v>
      </c>
      <c r="M3" s="301">
        <v>0</v>
      </c>
      <c r="N3" s="159">
        <v>10</v>
      </c>
      <c r="O3" s="159">
        <v>0</v>
      </c>
      <c r="P3" s="159">
        <v>10</v>
      </c>
      <c r="Q3" s="159">
        <v>0</v>
      </c>
      <c r="R3" s="137">
        <v>0</v>
      </c>
      <c r="S3" s="137">
        <v>0</v>
      </c>
      <c r="T3" s="138">
        <v>0</v>
      </c>
      <c r="U3" s="138">
        <v>0</v>
      </c>
      <c r="V3" s="159">
        <v>10</v>
      </c>
      <c r="W3" s="159">
        <v>0</v>
      </c>
      <c r="X3" s="159">
        <v>10</v>
      </c>
      <c r="Y3" s="159">
        <v>0</v>
      </c>
      <c r="Z3" s="159">
        <v>10</v>
      </c>
      <c r="AA3" s="159">
        <v>0</v>
      </c>
      <c r="AB3" s="159">
        <v>10</v>
      </c>
      <c r="AC3" s="159">
        <v>0</v>
      </c>
      <c r="AD3" s="159">
        <v>10</v>
      </c>
      <c r="AE3" s="159">
        <v>0</v>
      </c>
      <c r="AF3" s="137">
        <v>0</v>
      </c>
      <c r="AG3" s="137">
        <v>0</v>
      </c>
      <c r="AH3" s="138">
        <v>0</v>
      </c>
      <c r="AI3" s="138">
        <v>0</v>
      </c>
      <c r="AJ3" s="159">
        <v>10</v>
      </c>
      <c r="AK3" s="159">
        <v>0</v>
      </c>
      <c r="AL3" s="159">
        <v>10</v>
      </c>
      <c r="AM3" s="159">
        <v>0</v>
      </c>
      <c r="AN3" s="159">
        <v>10</v>
      </c>
      <c r="AO3" s="159">
        <v>0</v>
      </c>
      <c r="AP3" s="159">
        <v>10</v>
      </c>
      <c r="AQ3" s="159">
        <v>0</v>
      </c>
      <c r="AR3" s="159">
        <v>10</v>
      </c>
      <c r="AS3" s="159">
        <v>0</v>
      </c>
      <c r="AT3" s="137">
        <v>0</v>
      </c>
      <c r="AU3" s="137">
        <v>0</v>
      </c>
      <c r="AV3" s="138">
        <v>0</v>
      </c>
      <c r="AW3" s="138">
        <v>0</v>
      </c>
      <c r="AX3" s="159">
        <v>10</v>
      </c>
      <c r="AY3" s="159">
        <v>0</v>
      </c>
      <c r="AZ3" s="159">
        <v>10</v>
      </c>
      <c r="BA3" s="159">
        <v>0</v>
      </c>
      <c r="BB3" s="159">
        <v>10</v>
      </c>
      <c r="BC3" s="159">
        <v>0</v>
      </c>
      <c r="BD3" s="159">
        <v>10</v>
      </c>
      <c r="BE3" s="159">
        <v>0</v>
      </c>
      <c r="BF3" s="159">
        <v>10</v>
      </c>
      <c r="BG3" s="159">
        <v>0</v>
      </c>
      <c r="BI3" s="126"/>
      <c r="BJ3" s="126"/>
    </row>
    <row r="4" spans="1:62" s="126" customFormat="1" x14ac:dyDescent="0.25">
      <c r="A4" s="67" t="s">
        <v>123</v>
      </c>
      <c r="B4" s="158"/>
      <c r="C4" s="8"/>
      <c r="D4" s="137">
        <v>0</v>
      </c>
      <c r="E4" s="137">
        <v>0</v>
      </c>
      <c r="F4" s="138">
        <v>0</v>
      </c>
      <c r="G4" s="138">
        <v>0</v>
      </c>
      <c r="H4" s="159">
        <v>0</v>
      </c>
      <c r="I4" s="159">
        <v>0</v>
      </c>
      <c r="J4" s="159">
        <v>0</v>
      </c>
      <c r="K4" s="159">
        <v>0</v>
      </c>
      <c r="L4" s="159">
        <v>0</v>
      </c>
      <c r="M4" s="301">
        <v>0</v>
      </c>
      <c r="N4" s="159">
        <v>0</v>
      </c>
      <c r="O4" s="159">
        <v>0</v>
      </c>
      <c r="P4" s="159">
        <v>0</v>
      </c>
      <c r="Q4" s="159">
        <v>0</v>
      </c>
      <c r="R4" s="137">
        <v>0</v>
      </c>
      <c r="S4" s="137">
        <v>0</v>
      </c>
      <c r="T4" s="138">
        <v>0</v>
      </c>
      <c r="U4" s="138">
        <v>0</v>
      </c>
      <c r="V4" s="159">
        <v>0</v>
      </c>
      <c r="W4" s="159">
        <v>0</v>
      </c>
      <c r="X4" s="159">
        <v>0</v>
      </c>
      <c r="Y4" s="159">
        <v>0</v>
      </c>
      <c r="Z4" s="159">
        <v>0</v>
      </c>
      <c r="AA4" s="159">
        <v>0</v>
      </c>
      <c r="AB4" s="159">
        <v>0</v>
      </c>
      <c r="AC4" s="159">
        <v>0</v>
      </c>
      <c r="AD4" s="159">
        <v>0</v>
      </c>
      <c r="AE4" s="159">
        <v>0</v>
      </c>
      <c r="AF4" s="137">
        <v>0</v>
      </c>
      <c r="AG4" s="137">
        <v>0</v>
      </c>
      <c r="AH4" s="138">
        <v>0</v>
      </c>
      <c r="AI4" s="138">
        <v>0</v>
      </c>
      <c r="AJ4" s="159">
        <v>0</v>
      </c>
      <c r="AK4" s="159">
        <v>0</v>
      </c>
      <c r="AL4" s="159">
        <v>0</v>
      </c>
      <c r="AM4" s="159">
        <v>0</v>
      </c>
      <c r="AN4" s="159">
        <v>0</v>
      </c>
      <c r="AO4" s="159">
        <v>0</v>
      </c>
      <c r="AP4" s="159">
        <v>0</v>
      </c>
      <c r="AQ4" s="159">
        <v>0</v>
      </c>
      <c r="AR4" s="159">
        <v>0</v>
      </c>
      <c r="AS4" s="159">
        <v>0</v>
      </c>
      <c r="AT4" s="137">
        <v>0</v>
      </c>
      <c r="AU4" s="137">
        <v>0</v>
      </c>
      <c r="AV4" s="138">
        <v>0</v>
      </c>
      <c r="AW4" s="138">
        <v>0</v>
      </c>
      <c r="AX4" s="159">
        <v>0</v>
      </c>
      <c r="AY4" s="159">
        <v>0</v>
      </c>
      <c r="AZ4" s="159">
        <v>0</v>
      </c>
      <c r="BA4" s="159">
        <v>0</v>
      </c>
      <c r="BB4" s="159">
        <v>0</v>
      </c>
      <c r="BC4" s="159">
        <v>0</v>
      </c>
      <c r="BD4" s="159">
        <v>0</v>
      </c>
      <c r="BE4" s="159">
        <v>0</v>
      </c>
      <c r="BF4" s="159">
        <v>0</v>
      </c>
      <c r="BG4" s="159">
        <v>0</v>
      </c>
    </row>
    <row r="5" spans="1:62" x14ac:dyDescent="0.25">
      <c r="A5" s="69" t="s">
        <v>74</v>
      </c>
      <c r="B5" s="70"/>
      <c r="C5" s="8"/>
      <c r="D5" s="137">
        <v>0</v>
      </c>
      <c r="E5" s="137">
        <v>0</v>
      </c>
      <c r="F5" s="138">
        <v>0</v>
      </c>
      <c r="G5" s="138">
        <v>0</v>
      </c>
      <c r="H5" s="159">
        <v>10</v>
      </c>
      <c r="I5" s="159">
        <v>0</v>
      </c>
      <c r="J5" s="159">
        <v>10</v>
      </c>
      <c r="K5" s="159">
        <v>0</v>
      </c>
      <c r="L5" s="159">
        <v>10</v>
      </c>
      <c r="M5" s="301">
        <v>0</v>
      </c>
      <c r="N5" s="159">
        <v>10</v>
      </c>
      <c r="O5" s="159">
        <v>0</v>
      </c>
      <c r="P5" s="159">
        <v>10</v>
      </c>
      <c r="Q5" s="159">
        <v>0</v>
      </c>
      <c r="R5" s="137">
        <v>0</v>
      </c>
      <c r="S5" s="137">
        <v>0</v>
      </c>
      <c r="T5" s="138">
        <v>0</v>
      </c>
      <c r="U5" s="138">
        <v>0</v>
      </c>
      <c r="V5" s="159">
        <v>10</v>
      </c>
      <c r="W5" s="159">
        <v>0</v>
      </c>
      <c r="X5" s="159">
        <v>10</v>
      </c>
      <c r="Y5" s="159">
        <v>0</v>
      </c>
      <c r="Z5" s="159">
        <v>10</v>
      </c>
      <c r="AA5" s="159">
        <v>0</v>
      </c>
      <c r="AB5" s="159">
        <v>10</v>
      </c>
      <c r="AC5" s="159">
        <v>0</v>
      </c>
      <c r="AD5" s="159">
        <v>10</v>
      </c>
      <c r="AE5" s="159">
        <v>0</v>
      </c>
      <c r="AF5" s="137">
        <v>0</v>
      </c>
      <c r="AG5" s="137">
        <v>0</v>
      </c>
      <c r="AH5" s="138">
        <v>0</v>
      </c>
      <c r="AI5" s="138">
        <v>0</v>
      </c>
      <c r="AJ5" s="159">
        <v>10</v>
      </c>
      <c r="AK5" s="159">
        <v>0</v>
      </c>
      <c r="AL5" s="159">
        <v>10</v>
      </c>
      <c r="AM5" s="159">
        <v>0</v>
      </c>
      <c r="AN5" s="159">
        <v>10</v>
      </c>
      <c r="AO5" s="159">
        <v>0</v>
      </c>
      <c r="AP5" s="159">
        <v>10</v>
      </c>
      <c r="AQ5" s="159">
        <v>0</v>
      </c>
      <c r="AR5" s="159">
        <v>10</v>
      </c>
      <c r="AS5" s="159">
        <v>0</v>
      </c>
      <c r="AT5" s="137">
        <v>0</v>
      </c>
      <c r="AU5" s="137">
        <v>0</v>
      </c>
      <c r="AV5" s="138">
        <v>0</v>
      </c>
      <c r="AW5" s="138">
        <v>0</v>
      </c>
      <c r="AX5" s="159">
        <v>10</v>
      </c>
      <c r="AY5" s="159">
        <v>0</v>
      </c>
      <c r="AZ5" s="159">
        <v>10</v>
      </c>
      <c r="BA5" s="159">
        <v>0</v>
      </c>
      <c r="BB5" s="159">
        <v>10</v>
      </c>
      <c r="BC5" s="159">
        <v>0</v>
      </c>
      <c r="BD5" s="159">
        <v>10</v>
      </c>
      <c r="BE5" s="159">
        <v>0</v>
      </c>
      <c r="BF5" s="159">
        <v>10</v>
      </c>
      <c r="BG5" s="159">
        <v>0</v>
      </c>
      <c r="BI5" s="126"/>
      <c r="BJ5" s="126"/>
    </row>
    <row r="6" spans="1:62" x14ac:dyDescent="0.25">
      <c r="A6" s="69" t="s">
        <v>75</v>
      </c>
      <c r="B6" s="70"/>
      <c r="C6" s="8"/>
      <c r="D6" s="137">
        <v>0</v>
      </c>
      <c r="E6" s="137">
        <v>0</v>
      </c>
      <c r="F6" s="138">
        <v>0</v>
      </c>
      <c r="G6" s="138">
        <v>0</v>
      </c>
      <c r="H6" s="159">
        <v>10</v>
      </c>
      <c r="I6" s="159">
        <v>0</v>
      </c>
      <c r="J6" s="159">
        <v>10</v>
      </c>
      <c r="K6" s="159">
        <v>0</v>
      </c>
      <c r="L6" s="159">
        <v>10</v>
      </c>
      <c r="M6" s="301">
        <v>0</v>
      </c>
      <c r="N6" s="159">
        <v>10</v>
      </c>
      <c r="O6" s="159">
        <v>0</v>
      </c>
      <c r="P6" s="159">
        <v>10</v>
      </c>
      <c r="Q6" s="159">
        <v>0</v>
      </c>
      <c r="R6" s="137">
        <v>0</v>
      </c>
      <c r="S6" s="137">
        <v>0</v>
      </c>
      <c r="T6" s="138">
        <v>0</v>
      </c>
      <c r="U6" s="138">
        <v>0</v>
      </c>
      <c r="V6" s="159">
        <v>10</v>
      </c>
      <c r="W6" s="159">
        <v>0</v>
      </c>
      <c r="X6" s="159">
        <v>10</v>
      </c>
      <c r="Y6" s="159">
        <v>0</v>
      </c>
      <c r="Z6" s="159">
        <v>10</v>
      </c>
      <c r="AA6" s="159">
        <v>0</v>
      </c>
      <c r="AB6" s="159">
        <v>10</v>
      </c>
      <c r="AC6" s="159">
        <v>0</v>
      </c>
      <c r="AD6" s="159">
        <v>10</v>
      </c>
      <c r="AE6" s="159">
        <v>0</v>
      </c>
      <c r="AF6" s="137">
        <v>0</v>
      </c>
      <c r="AG6" s="137">
        <v>0</v>
      </c>
      <c r="AH6" s="138">
        <v>0</v>
      </c>
      <c r="AI6" s="138">
        <v>0</v>
      </c>
      <c r="AJ6" s="159">
        <v>10</v>
      </c>
      <c r="AK6" s="159">
        <v>0</v>
      </c>
      <c r="AL6" s="159">
        <v>10</v>
      </c>
      <c r="AM6" s="159">
        <v>0</v>
      </c>
      <c r="AN6" s="159">
        <v>10</v>
      </c>
      <c r="AO6" s="159">
        <v>0</v>
      </c>
      <c r="AP6" s="159">
        <v>10</v>
      </c>
      <c r="AQ6" s="159">
        <v>0</v>
      </c>
      <c r="AR6" s="159">
        <v>10</v>
      </c>
      <c r="AS6" s="159">
        <v>0</v>
      </c>
      <c r="AT6" s="137">
        <v>0</v>
      </c>
      <c r="AU6" s="137">
        <v>0</v>
      </c>
      <c r="AV6" s="138">
        <v>0</v>
      </c>
      <c r="AW6" s="138">
        <v>0</v>
      </c>
      <c r="AX6" s="159">
        <v>10</v>
      </c>
      <c r="AY6" s="159">
        <v>0</v>
      </c>
      <c r="AZ6" s="159">
        <v>10</v>
      </c>
      <c r="BA6" s="159">
        <v>0</v>
      </c>
      <c r="BB6" s="159">
        <v>10</v>
      </c>
      <c r="BC6" s="159">
        <v>0</v>
      </c>
      <c r="BD6" s="159">
        <v>10</v>
      </c>
      <c r="BE6" s="159">
        <v>0</v>
      </c>
      <c r="BF6" s="159">
        <v>10</v>
      </c>
      <c r="BG6" s="159">
        <v>0</v>
      </c>
      <c r="BI6" s="126"/>
      <c r="BJ6" s="126"/>
    </row>
    <row r="7" spans="1:62" x14ac:dyDescent="0.25">
      <c r="A7" s="69" t="s">
        <v>76</v>
      </c>
      <c r="B7" s="70"/>
      <c r="C7" s="8"/>
      <c r="D7" s="137">
        <v>0</v>
      </c>
      <c r="E7" s="137">
        <v>0</v>
      </c>
      <c r="F7" s="138">
        <v>0</v>
      </c>
      <c r="G7" s="138">
        <v>0</v>
      </c>
      <c r="H7" s="159">
        <v>0</v>
      </c>
      <c r="I7" s="159">
        <v>0</v>
      </c>
      <c r="J7" s="159">
        <v>0</v>
      </c>
      <c r="K7" s="159">
        <v>0</v>
      </c>
      <c r="L7" s="159">
        <v>0</v>
      </c>
      <c r="M7" s="301">
        <v>0</v>
      </c>
      <c r="N7" s="159">
        <v>0</v>
      </c>
      <c r="O7" s="159">
        <v>0</v>
      </c>
      <c r="P7" s="159">
        <v>0</v>
      </c>
      <c r="Q7" s="159">
        <v>0</v>
      </c>
      <c r="R7" s="137">
        <v>0</v>
      </c>
      <c r="S7" s="137">
        <v>0</v>
      </c>
      <c r="T7" s="138">
        <v>0</v>
      </c>
      <c r="U7" s="138">
        <v>0</v>
      </c>
      <c r="V7" s="159">
        <v>0</v>
      </c>
      <c r="W7" s="159">
        <v>0</v>
      </c>
      <c r="X7" s="159">
        <v>0</v>
      </c>
      <c r="Y7" s="159">
        <v>0</v>
      </c>
      <c r="Z7" s="159">
        <v>0</v>
      </c>
      <c r="AA7" s="159">
        <v>0</v>
      </c>
      <c r="AB7" s="159">
        <v>0</v>
      </c>
      <c r="AC7" s="159">
        <v>0</v>
      </c>
      <c r="AD7" s="159">
        <v>0</v>
      </c>
      <c r="AE7" s="159">
        <v>0</v>
      </c>
      <c r="AF7" s="137">
        <v>0</v>
      </c>
      <c r="AG7" s="137">
        <v>0</v>
      </c>
      <c r="AH7" s="138">
        <v>0</v>
      </c>
      <c r="AI7" s="138">
        <v>0</v>
      </c>
      <c r="AJ7" s="159">
        <v>0</v>
      </c>
      <c r="AK7" s="159">
        <v>0</v>
      </c>
      <c r="AL7" s="159">
        <v>0</v>
      </c>
      <c r="AM7" s="159">
        <v>0</v>
      </c>
      <c r="AN7" s="159">
        <v>0</v>
      </c>
      <c r="AO7" s="159">
        <v>0</v>
      </c>
      <c r="AP7" s="159">
        <v>0</v>
      </c>
      <c r="AQ7" s="159">
        <v>0</v>
      </c>
      <c r="AR7" s="159">
        <v>0</v>
      </c>
      <c r="AS7" s="159">
        <v>0</v>
      </c>
      <c r="AT7" s="137">
        <v>0</v>
      </c>
      <c r="AU7" s="137">
        <v>0</v>
      </c>
      <c r="AV7" s="138">
        <v>0</v>
      </c>
      <c r="AW7" s="138">
        <v>0</v>
      </c>
      <c r="AX7" s="159">
        <v>0</v>
      </c>
      <c r="AY7" s="159">
        <v>0</v>
      </c>
      <c r="AZ7" s="159">
        <v>0</v>
      </c>
      <c r="BA7" s="159">
        <v>0</v>
      </c>
      <c r="BB7" s="159">
        <v>0</v>
      </c>
      <c r="BC7" s="159">
        <v>0</v>
      </c>
      <c r="BD7" s="159">
        <v>0</v>
      </c>
      <c r="BE7" s="159">
        <v>0</v>
      </c>
      <c r="BF7" s="159">
        <v>0</v>
      </c>
      <c r="BG7" s="159">
        <v>0</v>
      </c>
      <c r="BI7" s="126"/>
      <c r="BJ7" s="126"/>
    </row>
    <row r="8" spans="1:62" ht="15.75" thickBot="1" x14ac:dyDescent="0.3">
      <c r="A8" s="69" t="s">
        <v>77</v>
      </c>
      <c r="B8" s="71"/>
      <c r="C8" s="8"/>
      <c r="D8" s="137">
        <v>0</v>
      </c>
      <c r="E8" s="137">
        <v>0</v>
      </c>
      <c r="F8" s="138">
        <v>0</v>
      </c>
      <c r="G8" s="138">
        <v>0</v>
      </c>
      <c r="H8" s="159">
        <v>10</v>
      </c>
      <c r="I8" s="159">
        <v>0</v>
      </c>
      <c r="J8" s="159">
        <v>10</v>
      </c>
      <c r="K8" s="159">
        <v>0</v>
      </c>
      <c r="L8" s="159">
        <v>10</v>
      </c>
      <c r="M8" s="301">
        <v>0</v>
      </c>
      <c r="N8" s="159">
        <v>10</v>
      </c>
      <c r="O8" s="159">
        <v>0</v>
      </c>
      <c r="P8" s="159">
        <v>10</v>
      </c>
      <c r="Q8" s="159">
        <v>0</v>
      </c>
      <c r="R8" s="137">
        <v>0</v>
      </c>
      <c r="S8" s="137">
        <v>0</v>
      </c>
      <c r="T8" s="138">
        <v>0</v>
      </c>
      <c r="U8" s="138">
        <v>0</v>
      </c>
      <c r="V8" s="159">
        <v>10</v>
      </c>
      <c r="W8" s="159">
        <v>0</v>
      </c>
      <c r="X8" s="159">
        <v>10</v>
      </c>
      <c r="Y8" s="159">
        <v>0</v>
      </c>
      <c r="Z8" s="159">
        <v>10</v>
      </c>
      <c r="AA8" s="159">
        <v>0</v>
      </c>
      <c r="AB8" s="159">
        <v>10</v>
      </c>
      <c r="AC8" s="159">
        <v>0</v>
      </c>
      <c r="AD8" s="159">
        <v>10</v>
      </c>
      <c r="AE8" s="159">
        <v>0</v>
      </c>
      <c r="AF8" s="137">
        <v>0</v>
      </c>
      <c r="AG8" s="137">
        <v>0</v>
      </c>
      <c r="AH8" s="138">
        <v>0</v>
      </c>
      <c r="AI8" s="138">
        <v>0</v>
      </c>
      <c r="AJ8" s="159">
        <v>10</v>
      </c>
      <c r="AK8" s="159">
        <v>0</v>
      </c>
      <c r="AL8" s="159">
        <v>10</v>
      </c>
      <c r="AM8" s="159">
        <v>0</v>
      </c>
      <c r="AN8" s="159">
        <v>10</v>
      </c>
      <c r="AO8" s="159">
        <v>0</v>
      </c>
      <c r="AP8" s="159">
        <v>10</v>
      </c>
      <c r="AQ8" s="159">
        <v>0</v>
      </c>
      <c r="AR8" s="159">
        <v>10</v>
      </c>
      <c r="AS8" s="159">
        <v>0</v>
      </c>
      <c r="AT8" s="137">
        <v>0</v>
      </c>
      <c r="AU8" s="137">
        <v>0</v>
      </c>
      <c r="AV8" s="138">
        <v>0</v>
      </c>
      <c r="AW8" s="138">
        <v>0</v>
      </c>
      <c r="AX8" s="159">
        <v>10</v>
      </c>
      <c r="AY8" s="159">
        <v>0</v>
      </c>
      <c r="AZ8" s="159">
        <v>10</v>
      </c>
      <c r="BA8" s="159">
        <v>0</v>
      </c>
      <c r="BB8" s="159">
        <v>10</v>
      </c>
      <c r="BC8" s="159">
        <v>0</v>
      </c>
      <c r="BD8" s="159">
        <v>10</v>
      </c>
      <c r="BE8" s="159">
        <v>0</v>
      </c>
      <c r="BF8" s="159">
        <v>10</v>
      </c>
      <c r="BG8" s="159">
        <v>0</v>
      </c>
      <c r="BI8" s="126"/>
      <c r="BJ8" s="126"/>
    </row>
    <row r="9" spans="1:62" x14ac:dyDescent="0.25">
      <c r="A9" s="55"/>
      <c r="B9" s="55"/>
      <c r="C9" s="8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I9" s="126"/>
      <c r="BJ9" s="126"/>
    </row>
    <row r="10" spans="1:62" x14ac:dyDescent="0.25">
      <c r="A10" s="72" t="s">
        <v>73</v>
      </c>
      <c r="B10" s="73"/>
      <c r="C10" s="8"/>
      <c r="D10" s="137">
        <v>0</v>
      </c>
      <c r="E10" s="137">
        <v>0</v>
      </c>
      <c r="F10" s="138">
        <v>0</v>
      </c>
      <c r="G10" s="138">
        <v>0</v>
      </c>
      <c r="H10" s="159">
        <v>13</v>
      </c>
      <c r="I10" s="159">
        <v>0</v>
      </c>
      <c r="J10" s="159">
        <v>16</v>
      </c>
      <c r="K10" s="159">
        <v>0</v>
      </c>
      <c r="L10" s="159">
        <v>16</v>
      </c>
      <c r="M10" s="301">
        <v>0</v>
      </c>
      <c r="N10" s="159">
        <v>16</v>
      </c>
      <c r="O10" s="159">
        <v>0</v>
      </c>
      <c r="P10" s="159">
        <v>16</v>
      </c>
      <c r="Q10" s="159">
        <v>0</v>
      </c>
      <c r="R10" s="137">
        <v>0</v>
      </c>
      <c r="S10" s="137">
        <v>0</v>
      </c>
      <c r="T10" s="138">
        <v>0</v>
      </c>
      <c r="U10" s="138">
        <v>0</v>
      </c>
      <c r="V10" s="159">
        <v>16</v>
      </c>
      <c r="W10" s="159">
        <v>0</v>
      </c>
      <c r="X10" s="159">
        <v>16</v>
      </c>
      <c r="Y10" s="159">
        <v>0</v>
      </c>
      <c r="Z10" s="159">
        <v>16</v>
      </c>
      <c r="AA10" s="159">
        <v>0</v>
      </c>
      <c r="AB10" s="159">
        <v>16</v>
      </c>
      <c r="AC10" s="159">
        <v>0</v>
      </c>
      <c r="AD10" s="159">
        <v>16</v>
      </c>
      <c r="AE10" s="159">
        <v>0</v>
      </c>
      <c r="AF10" s="137">
        <v>0</v>
      </c>
      <c r="AG10" s="137">
        <v>0</v>
      </c>
      <c r="AH10" s="138">
        <v>0</v>
      </c>
      <c r="AI10" s="138">
        <v>0</v>
      </c>
      <c r="AJ10" s="159">
        <v>16</v>
      </c>
      <c r="AK10" s="159">
        <v>0</v>
      </c>
      <c r="AL10" s="159">
        <v>16</v>
      </c>
      <c r="AM10" s="159">
        <v>0</v>
      </c>
      <c r="AN10" s="159">
        <v>16</v>
      </c>
      <c r="AO10" s="159">
        <v>0</v>
      </c>
      <c r="AP10" s="159">
        <v>16</v>
      </c>
      <c r="AQ10" s="159">
        <v>0</v>
      </c>
      <c r="AR10" s="159">
        <v>16</v>
      </c>
      <c r="AS10" s="159">
        <v>0</v>
      </c>
      <c r="AT10" s="137">
        <v>0</v>
      </c>
      <c r="AU10" s="137">
        <v>0</v>
      </c>
      <c r="AV10" s="138">
        <v>0</v>
      </c>
      <c r="AW10" s="138">
        <v>0</v>
      </c>
      <c r="AX10" s="159">
        <v>16</v>
      </c>
      <c r="AY10" s="159">
        <v>0</v>
      </c>
      <c r="AZ10" s="159">
        <v>3</v>
      </c>
      <c r="BA10" s="159">
        <v>0</v>
      </c>
      <c r="BB10" s="159">
        <v>16</v>
      </c>
      <c r="BC10" s="159">
        <v>0</v>
      </c>
      <c r="BD10" s="159">
        <v>16</v>
      </c>
      <c r="BE10" s="159">
        <v>0</v>
      </c>
      <c r="BF10" s="159">
        <v>16</v>
      </c>
      <c r="BG10" s="159">
        <v>0</v>
      </c>
      <c r="BI10" s="126"/>
      <c r="BJ10" s="126"/>
    </row>
    <row r="11" spans="1:62" s="126" customFormat="1" x14ac:dyDescent="0.25">
      <c r="A11" s="72" t="s">
        <v>123</v>
      </c>
      <c r="B11" s="73"/>
      <c r="C11" s="8"/>
      <c r="D11" s="137">
        <v>0</v>
      </c>
      <c r="E11" s="137">
        <v>0</v>
      </c>
      <c r="F11" s="138">
        <v>0</v>
      </c>
      <c r="G11" s="138">
        <v>0</v>
      </c>
      <c r="H11" s="159">
        <v>0</v>
      </c>
      <c r="I11" s="159">
        <v>0</v>
      </c>
      <c r="J11" s="159">
        <v>0</v>
      </c>
      <c r="K11" s="159">
        <v>0</v>
      </c>
      <c r="L11" s="159">
        <v>0</v>
      </c>
      <c r="M11" s="301">
        <v>0</v>
      </c>
      <c r="N11" s="159">
        <v>0</v>
      </c>
      <c r="O11" s="159">
        <v>0</v>
      </c>
      <c r="P11" s="159">
        <v>0</v>
      </c>
      <c r="Q11" s="159">
        <v>0</v>
      </c>
      <c r="R11" s="137">
        <v>0</v>
      </c>
      <c r="S11" s="137">
        <v>0</v>
      </c>
      <c r="T11" s="138">
        <v>0</v>
      </c>
      <c r="U11" s="138">
        <v>0</v>
      </c>
      <c r="V11" s="159">
        <v>0</v>
      </c>
      <c r="W11" s="159">
        <v>0</v>
      </c>
      <c r="X11" s="159">
        <v>0</v>
      </c>
      <c r="Y11" s="159">
        <v>0</v>
      </c>
      <c r="Z11" s="159">
        <v>0</v>
      </c>
      <c r="AA11" s="159">
        <v>0</v>
      </c>
      <c r="AB11" s="159">
        <v>0</v>
      </c>
      <c r="AC11" s="159">
        <v>0</v>
      </c>
      <c r="AD11" s="159">
        <v>0</v>
      </c>
      <c r="AE11" s="159">
        <v>0</v>
      </c>
      <c r="AF11" s="137">
        <v>0</v>
      </c>
      <c r="AG11" s="137">
        <v>0</v>
      </c>
      <c r="AH11" s="138">
        <v>0</v>
      </c>
      <c r="AI11" s="138">
        <v>0</v>
      </c>
      <c r="AJ11" s="159">
        <v>0</v>
      </c>
      <c r="AK11" s="159">
        <v>0</v>
      </c>
      <c r="AL11" s="159">
        <v>0</v>
      </c>
      <c r="AM11" s="159">
        <v>0</v>
      </c>
      <c r="AN11" s="159">
        <v>0</v>
      </c>
      <c r="AO11" s="159">
        <v>0</v>
      </c>
      <c r="AP11" s="159">
        <v>0</v>
      </c>
      <c r="AQ11" s="159">
        <v>0</v>
      </c>
      <c r="AR11" s="159">
        <v>0</v>
      </c>
      <c r="AS11" s="159">
        <v>0</v>
      </c>
      <c r="AT11" s="137">
        <v>0</v>
      </c>
      <c r="AU11" s="137">
        <v>0</v>
      </c>
      <c r="AV11" s="138">
        <v>0</v>
      </c>
      <c r="AW11" s="138">
        <v>0</v>
      </c>
      <c r="AX11" s="159">
        <v>0</v>
      </c>
      <c r="AY11" s="159">
        <v>0</v>
      </c>
      <c r="AZ11" s="159">
        <v>0</v>
      </c>
      <c r="BA11" s="159">
        <v>0</v>
      </c>
      <c r="BB11" s="159">
        <v>0</v>
      </c>
      <c r="BC11" s="159">
        <v>0</v>
      </c>
      <c r="BD11" s="159">
        <v>0</v>
      </c>
      <c r="BE11" s="159">
        <v>0</v>
      </c>
      <c r="BF11" s="159">
        <v>0</v>
      </c>
      <c r="BG11" s="159">
        <v>0</v>
      </c>
    </row>
    <row r="12" spans="1:62" x14ac:dyDescent="0.25">
      <c r="A12" s="74" t="s">
        <v>74</v>
      </c>
      <c r="B12" s="75"/>
      <c r="C12" s="8"/>
      <c r="D12" s="137">
        <v>69</v>
      </c>
      <c r="E12" s="137">
        <v>3</v>
      </c>
      <c r="F12" s="138">
        <v>51</v>
      </c>
      <c r="G12" s="138">
        <v>3</v>
      </c>
      <c r="H12" s="159">
        <v>50</v>
      </c>
      <c r="I12" s="159">
        <v>1</v>
      </c>
      <c r="J12" s="159">
        <v>59</v>
      </c>
      <c r="K12" s="159">
        <v>2</v>
      </c>
      <c r="L12" s="159">
        <v>60</v>
      </c>
      <c r="M12" s="301">
        <v>1</v>
      </c>
      <c r="N12" s="159">
        <v>60</v>
      </c>
      <c r="O12" s="159">
        <v>1</v>
      </c>
      <c r="P12" s="159">
        <v>60</v>
      </c>
      <c r="Q12" s="159">
        <v>1</v>
      </c>
      <c r="R12" s="137">
        <v>61</v>
      </c>
      <c r="S12" s="137">
        <v>6</v>
      </c>
      <c r="T12" s="138">
        <v>0</v>
      </c>
      <c r="U12" s="138">
        <v>25</v>
      </c>
      <c r="V12" s="159">
        <v>60</v>
      </c>
      <c r="W12" s="159">
        <v>1</v>
      </c>
      <c r="X12" s="159">
        <v>60</v>
      </c>
      <c r="Y12" s="159">
        <v>1</v>
      </c>
      <c r="Z12" s="159">
        <v>60</v>
      </c>
      <c r="AA12" s="159">
        <v>1</v>
      </c>
      <c r="AB12" s="159">
        <v>60</v>
      </c>
      <c r="AC12" s="159">
        <v>1</v>
      </c>
      <c r="AD12" s="159">
        <v>60</v>
      </c>
      <c r="AE12" s="159">
        <v>1</v>
      </c>
      <c r="AF12" s="137">
        <v>69</v>
      </c>
      <c r="AG12" s="137">
        <v>3</v>
      </c>
      <c r="AH12" s="138">
        <v>51</v>
      </c>
      <c r="AI12" s="138">
        <v>3</v>
      </c>
      <c r="AJ12" s="159">
        <v>60</v>
      </c>
      <c r="AK12" s="159">
        <v>1</v>
      </c>
      <c r="AL12" s="159">
        <v>60</v>
      </c>
      <c r="AM12" s="159">
        <v>1</v>
      </c>
      <c r="AN12" s="159">
        <v>60</v>
      </c>
      <c r="AO12" s="159">
        <v>1</v>
      </c>
      <c r="AP12" s="159">
        <v>60</v>
      </c>
      <c r="AQ12" s="159">
        <v>1</v>
      </c>
      <c r="AR12" s="159">
        <v>60</v>
      </c>
      <c r="AS12" s="159">
        <v>1</v>
      </c>
      <c r="AT12" s="137">
        <v>69</v>
      </c>
      <c r="AU12" s="137">
        <v>3</v>
      </c>
      <c r="AV12" s="138">
        <v>32</v>
      </c>
      <c r="AW12" s="138">
        <v>22</v>
      </c>
      <c r="AX12" s="159">
        <v>51</v>
      </c>
      <c r="AY12" s="159">
        <v>10</v>
      </c>
      <c r="AZ12" s="159">
        <v>34</v>
      </c>
      <c r="BA12" s="159">
        <v>0</v>
      </c>
      <c r="BB12" s="159">
        <v>52</v>
      </c>
      <c r="BC12" s="159">
        <v>9</v>
      </c>
      <c r="BD12" s="159">
        <v>52</v>
      </c>
      <c r="BE12" s="159">
        <v>9</v>
      </c>
      <c r="BF12" s="159">
        <v>51</v>
      </c>
      <c r="BG12" s="159">
        <v>10</v>
      </c>
      <c r="BI12" s="126"/>
      <c r="BJ12" s="126"/>
    </row>
    <row r="13" spans="1:62" x14ac:dyDescent="0.25">
      <c r="A13" s="74" t="s">
        <v>75</v>
      </c>
      <c r="B13" s="75"/>
      <c r="C13" s="8"/>
      <c r="D13" s="137">
        <v>0</v>
      </c>
      <c r="E13" s="137">
        <v>0</v>
      </c>
      <c r="F13" s="138">
        <v>0</v>
      </c>
      <c r="G13" s="138">
        <v>0</v>
      </c>
      <c r="H13" s="159">
        <v>13</v>
      </c>
      <c r="I13" s="159">
        <v>0</v>
      </c>
      <c r="J13" s="159">
        <v>16</v>
      </c>
      <c r="K13" s="159">
        <v>0</v>
      </c>
      <c r="L13" s="159">
        <v>16</v>
      </c>
      <c r="M13" s="301">
        <v>0</v>
      </c>
      <c r="N13" s="159">
        <v>16</v>
      </c>
      <c r="O13" s="159">
        <v>0</v>
      </c>
      <c r="P13" s="159">
        <v>16</v>
      </c>
      <c r="Q13" s="159">
        <v>0</v>
      </c>
      <c r="R13" s="137">
        <v>0</v>
      </c>
      <c r="S13" s="137">
        <v>0</v>
      </c>
      <c r="T13" s="138">
        <v>0</v>
      </c>
      <c r="U13" s="138">
        <v>0</v>
      </c>
      <c r="V13" s="159">
        <v>16</v>
      </c>
      <c r="W13" s="159">
        <v>0</v>
      </c>
      <c r="X13" s="159">
        <v>16</v>
      </c>
      <c r="Y13" s="159">
        <v>0</v>
      </c>
      <c r="Z13" s="159">
        <v>16</v>
      </c>
      <c r="AA13" s="159">
        <v>0</v>
      </c>
      <c r="AB13" s="159">
        <v>16</v>
      </c>
      <c r="AC13" s="159">
        <v>0</v>
      </c>
      <c r="AD13" s="159">
        <v>16</v>
      </c>
      <c r="AE13" s="159">
        <v>0</v>
      </c>
      <c r="AF13" s="137">
        <v>0</v>
      </c>
      <c r="AG13" s="137">
        <v>0</v>
      </c>
      <c r="AH13" s="138">
        <v>0</v>
      </c>
      <c r="AI13" s="138">
        <v>0</v>
      </c>
      <c r="AJ13" s="159">
        <v>16</v>
      </c>
      <c r="AK13" s="159">
        <v>0</v>
      </c>
      <c r="AL13" s="159">
        <v>16</v>
      </c>
      <c r="AM13" s="159">
        <v>0</v>
      </c>
      <c r="AN13" s="159">
        <v>16</v>
      </c>
      <c r="AO13" s="159">
        <v>0</v>
      </c>
      <c r="AP13" s="159">
        <v>16</v>
      </c>
      <c r="AQ13" s="159">
        <v>0</v>
      </c>
      <c r="AR13" s="159">
        <v>16</v>
      </c>
      <c r="AS13" s="159">
        <v>0</v>
      </c>
      <c r="AT13" s="137">
        <v>0</v>
      </c>
      <c r="AU13" s="137">
        <v>0</v>
      </c>
      <c r="AV13" s="138">
        <v>0</v>
      </c>
      <c r="AW13" s="138">
        <v>0</v>
      </c>
      <c r="AX13" s="159">
        <v>16</v>
      </c>
      <c r="AY13" s="159">
        <v>0</v>
      </c>
      <c r="AZ13" s="159">
        <v>4</v>
      </c>
      <c r="BA13" s="159">
        <v>0</v>
      </c>
      <c r="BB13" s="159">
        <v>16</v>
      </c>
      <c r="BC13" s="159">
        <v>0</v>
      </c>
      <c r="BD13" s="159">
        <v>16</v>
      </c>
      <c r="BE13" s="159">
        <v>0</v>
      </c>
      <c r="BF13" s="159">
        <v>16</v>
      </c>
      <c r="BG13" s="159">
        <v>0</v>
      </c>
      <c r="BI13" s="126"/>
      <c r="BJ13" s="126"/>
    </row>
    <row r="14" spans="1:62" ht="15.75" thickBot="1" x14ac:dyDescent="0.3">
      <c r="A14" s="76" t="s">
        <v>76</v>
      </c>
      <c r="B14" s="77"/>
      <c r="C14" s="8"/>
      <c r="D14" s="137">
        <v>0</v>
      </c>
      <c r="E14" s="137">
        <v>0</v>
      </c>
      <c r="F14" s="138">
        <v>0</v>
      </c>
      <c r="G14" s="138">
        <v>0</v>
      </c>
      <c r="H14" s="159">
        <v>1</v>
      </c>
      <c r="I14" s="159">
        <v>0</v>
      </c>
      <c r="J14" s="159">
        <v>1</v>
      </c>
      <c r="K14" s="159">
        <v>0</v>
      </c>
      <c r="L14" s="159">
        <v>1</v>
      </c>
      <c r="M14" s="301">
        <v>0</v>
      </c>
      <c r="N14" s="159">
        <v>1</v>
      </c>
      <c r="O14" s="159">
        <v>0</v>
      </c>
      <c r="P14" s="159">
        <v>1</v>
      </c>
      <c r="Q14" s="159">
        <v>0</v>
      </c>
      <c r="R14" s="137">
        <v>0</v>
      </c>
      <c r="S14" s="137">
        <v>0</v>
      </c>
      <c r="T14" s="138">
        <v>0</v>
      </c>
      <c r="U14" s="138">
        <v>0</v>
      </c>
      <c r="V14" s="159">
        <v>1</v>
      </c>
      <c r="W14" s="159">
        <v>0</v>
      </c>
      <c r="X14" s="159">
        <v>1</v>
      </c>
      <c r="Y14" s="159">
        <v>0</v>
      </c>
      <c r="Z14" s="159">
        <v>1</v>
      </c>
      <c r="AA14" s="159">
        <v>0</v>
      </c>
      <c r="AB14" s="159">
        <v>1</v>
      </c>
      <c r="AC14" s="159">
        <v>0</v>
      </c>
      <c r="AD14" s="159">
        <v>1</v>
      </c>
      <c r="AE14" s="159">
        <v>0</v>
      </c>
      <c r="AF14" s="137">
        <v>0</v>
      </c>
      <c r="AG14" s="137">
        <v>0</v>
      </c>
      <c r="AH14" s="138">
        <v>0</v>
      </c>
      <c r="AI14" s="138">
        <v>0</v>
      </c>
      <c r="AJ14" s="159">
        <v>1</v>
      </c>
      <c r="AK14" s="159">
        <v>0</v>
      </c>
      <c r="AL14" s="159">
        <v>1</v>
      </c>
      <c r="AM14" s="159">
        <v>0</v>
      </c>
      <c r="AN14" s="159">
        <v>1</v>
      </c>
      <c r="AO14" s="159">
        <v>0</v>
      </c>
      <c r="AP14" s="159">
        <v>1</v>
      </c>
      <c r="AQ14" s="159">
        <v>0</v>
      </c>
      <c r="AR14" s="159">
        <v>1</v>
      </c>
      <c r="AS14" s="159">
        <v>0</v>
      </c>
      <c r="AT14" s="137">
        <v>0</v>
      </c>
      <c r="AU14" s="137">
        <v>0</v>
      </c>
      <c r="AV14" s="138">
        <v>0</v>
      </c>
      <c r="AW14" s="138">
        <v>0</v>
      </c>
      <c r="AX14" s="159">
        <v>1</v>
      </c>
      <c r="AY14" s="159">
        <v>0</v>
      </c>
      <c r="AZ14" s="159">
        <v>1</v>
      </c>
      <c r="BA14" s="159">
        <v>0</v>
      </c>
      <c r="BB14" s="159">
        <v>1</v>
      </c>
      <c r="BC14" s="159">
        <v>0</v>
      </c>
      <c r="BD14" s="159">
        <v>1</v>
      </c>
      <c r="BE14" s="159">
        <v>0</v>
      </c>
      <c r="BF14" s="159">
        <v>1</v>
      </c>
      <c r="BG14" s="159">
        <v>0</v>
      </c>
      <c r="BI14" s="126"/>
      <c r="BJ14" s="126"/>
    </row>
    <row r="15" spans="1:62" x14ac:dyDescent="0.25">
      <c r="A15" s="293" t="s">
        <v>77</v>
      </c>
      <c r="B15" s="293"/>
      <c r="C15" s="8"/>
      <c r="D15" s="137">
        <v>75</v>
      </c>
      <c r="E15" s="137">
        <v>0</v>
      </c>
      <c r="F15" s="138">
        <v>57</v>
      </c>
      <c r="G15" s="138">
        <v>0</v>
      </c>
      <c r="H15" s="159">
        <v>51</v>
      </c>
      <c r="I15" s="159">
        <v>3</v>
      </c>
      <c r="J15" s="159">
        <v>58</v>
      </c>
      <c r="K15" s="159">
        <v>3</v>
      </c>
      <c r="L15" s="159">
        <v>59</v>
      </c>
      <c r="M15" s="301">
        <v>2</v>
      </c>
      <c r="N15" s="159">
        <v>59</v>
      </c>
      <c r="O15" s="159">
        <v>2</v>
      </c>
      <c r="P15" s="159">
        <v>59</v>
      </c>
      <c r="Q15" s="159">
        <v>2</v>
      </c>
      <c r="R15" s="137">
        <v>69</v>
      </c>
      <c r="S15" s="137">
        <v>2</v>
      </c>
      <c r="T15" s="138">
        <v>2</v>
      </c>
      <c r="U15" s="138">
        <v>25</v>
      </c>
      <c r="V15" s="159">
        <v>59</v>
      </c>
      <c r="W15" s="159">
        <v>2</v>
      </c>
      <c r="X15" s="159">
        <v>59</v>
      </c>
      <c r="Y15" s="159">
        <v>2</v>
      </c>
      <c r="Z15" s="159">
        <v>59</v>
      </c>
      <c r="AA15" s="159">
        <v>2</v>
      </c>
      <c r="AB15" s="159">
        <v>59</v>
      </c>
      <c r="AC15" s="159">
        <v>2</v>
      </c>
      <c r="AD15" s="159">
        <v>59</v>
      </c>
      <c r="AE15" s="159">
        <v>2</v>
      </c>
      <c r="AF15" s="137">
        <v>75</v>
      </c>
      <c r="AG15" s="137">
        <v>0</v>
      </c>
      <c r="AH15" s="138">
        <v>57</v>
      </c>
      <c r="AI15" s="138">
        <v>0</v>
      </c>
      <c r="AJ15" s="159">
        <v>59</v>
      </c>
      <c r="AK15" s="159">
        <v>2</v>
      </c>
      <c r="AL15" s="159">
        <v>59</v>
      </c>
      <c r="AM15" s="159">
        <v>2</v>
      </c>
      <c r="AN15" s="159">
        <v>59</v>
      </c>
      <c r="AO15" s="159">
        <v>2</v>
      </c>
      <c r="AP15" s="159">
        <v>59</v>
      </c>
      <c r="AQ15" s="159">
        <v>2</v>
      </c>
      <c r="AR15" s="159">
        <v>59</v>
      </c>
      <c r="AS15" s="159">
        <v>2</v>
      </c>
      <c r="AT15" s="137">
        <v>75</v>
      </c>
      <c r="AU15" s="137">
        <v>0</v>
      </c>
      <c r="AV15" s="138">
        <v>42</v>
      </c>
      <c r="AW15" s="138">
        <v>15</v>
      </c>
      <c r="AX15" s="159">
        <v>44</v>
      </c>
      <c r="AY15" s="159">
        <v>17</v>
      </c>
      <c r="AZ15" s="159">
        <v>35</v>
      </c>
      <c r="BA15" s="159">
        <v>0</v>
      </c>
      <c r="BB15" s="159">
        <v>49</v>
      </c>
      <c r="BC15" s="159">
        <v>12</v>
      </c>
      <c r="BD15" s="159">
        <v>45</v>
      </c>
      <c r="BE15" s="159">
        <v>16</v>
      </c>
      <c r="BF15" s="159">
        <v>45</v>
      </c>
      <c r="BG15" s="159">
        <v>16</v>
      </c>
      <c r="BI15" s="126"/>
      <c r="BJ15" s="126"/>
    </row>
    <row r="16" spans="1:62" ht="15.75" thickBot="1" x14ac:dyDescent="0.3">
      <c r="A16" s="76" t="s">
        <v>167</v>
      </c>
      <c r="B16" s="77"/>
      <c r="C16" s="8"/>
      <c r="D16" s="296"/>
      <c r="E16" s="296"/>
      <c r="F16" s="296"/>
      <c r="G16" s="296"/>
      <c r="H16" s="159">
        <v>6</v>
      </c>
      <c r="I16" s="159">
        <v>0</v>
      </c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X16" s="126"/>
      <c r="Y16" s="296"/>
      <c r="Z16" s="295"/>
      <c r="AA16" s="295"/>
      <c r="AB16" s="296"/>
      <c r="AC16" s="296"/>
      <c r="AD16" s="295"/>
      <c r="AE16" s="295"/>
      <c r="AF16" s="296"/>
      <c r="AG16" s="296"/>
      <c r="AH16" s="296"/>
      <c r="AI16" s="296"/>
      <c r="AT16" s="296"/>
      <c r="AU16" s="295"/>
      <c r="AV16" s="295"/>
      <c r="AW16" s="295"/>
      <c r="AX16" s="295"/>
      <c r="AY16" s="295"/>
      <c r="AZ16" s="295"/>
      <c r="BA16" s="295"/>
      <c r="BB16" s="126"/>
      <c r="BC16" s="126"/>
      <c r="BF16" s="296"/>
      <c r="BG16" s="296"/>
      <c r="BI16" s="126"/>
      <c r="BJ16" s="126"/>
    </row>
    <row r="17" spans="1:62 16309:16309" s="126" customFormat="1" x14ac:dyDescent="0.25">
      <c r="A17" s="293" t="s">
        <v>166</v>
      </c>
      <c r="B17" s="293"/>
      <c r="C17" s="8"/>
      <c r="D17" s="296"/>
      <c r="E17" s="296"/>
      <c r="F17" s="296"/>
      <c r="G17" s="296"/>
      <c r="H17" s="159">
        <v>4</v>
      </c>
      <c r="I17" s="159">
        <v>0</v>
      </c>
      <c r="J17" s="296"/>
      <c r="K17" s="296"/>
      <c r="L17" s="296"/>
      <c r="M17" s="296"/>
      <c r="R17" s="296"/>
      <c r="S17" s="296"/>
      <c r="T17" s="296"/>
      <c r="U17" s="296"/>
      <c r="AD17" s="295"/>
      <c r="AE17" s="295"/>
      <c r="AF17" s="296"/>
      <c r="AG17" s="296"/>
      <c r="AH17" s="296"/>
      <c r="AI17" s="296"/>
      <c r="AZ17" s="295"/>
      <c r="BA17" s="295"/>
      <c r="BF17" s="296"/>
      <c r="BG17" s="296"/>
    </row>
    <row r="18" spans="1:62 16309:16309" s="126" customFormat="1" x14ac:dyDescent="0.25">
      <c r="A18" s="321" t="s">
        <v>175</v>
      </c>
      <c r="B18" s="321"/>
      <c r="C18" s="8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R18" s="296"/>
      <c r="S18" s="296"/>
      <c r="T18" s="296"/>
      <c r="U18" s="296"/>
      <c r="AD18" s="295"/>
      <c r="AE18" s="295"/>
      <c r="AF18" s="296"/>
      <c r="AG18" s="296"/>
      <c r="AH18" s="296"/>
      <c r="AI18" s="296"/>
      <c r="AX18" s="159">
        <v>4</v>
      </c>
      <c r="AY18" s="159">
        <v>0</v>
      </c>
      <c r="AZ18" s="159">
        <v>4</v>
      </c>
      <c r="BA18" s="159">
        <v>0</v>
      </c>
      <c r="BD18" s="159">
        <v>4</v>
      </c>
      <c r="BE18" s="159">
        <v>0</v>
      </c>
      <c r="BF18" s="159">
        <v>4</v>
      </c>
      <c r="BG18" s="159">
        <v>0</v>
      </c>
    </row>
    <row r="19" spans="1:62 16309:16309" s="126" customFormat="1" x14ac:dyDescent="0.25">
      <c r="A19" s="321" t="s">
        <v>176</v>
      </c>
      <c r="B19" s="321"/>
      <c r="C19" s="8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R19" s="296"/>
      <c r="S19" s="296"/>
      <c r="T19" s="296"/>
      <c r="U19" s="296"/>
      <c r="AD19" s="295"/>
      <c r="AE19" s="295"/>
      <c r="AF19" s="296"/>
      <c r="AG19" s="296"/>
      <c r="AH19" s="296"/>
      <c r="AI19" s="296"/>
      <c r="AX19" s="159">
        <v>2</v>
      </c>
      <c r="AY19" s="159">
        <v>0</v>
      </c>
      <c r="AZ19" s="159">
        <v>2</v>
      </c>
      <c r="BA19" s="159">
        <v>0</v>
      </c>
      <c r="BD19" s="159">
        <v>2</v>
      </c>
      <c r="BE19" s="159">
        <v>0</v>
      </c>
      <c r="BF19" s="159">
        <v>2</v>
      </c>
      <c r="BG19" s="159">
        <v>0</v>
      </c>
    </row>
    <row r="20" spans="1:62 16309:16309" s="126" customFormat="1" x14ac:dyDescent="0.25">
      <c r="A20" s="294"/>
      <c r="B20" s="294"/>
      <c r="C20" s="8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R20" s="296"/>
      <c r="S20" s="296"/>
      <c r="T20" s="296"/>
      <c r="U20" s="296"/>
      <c r="AD20" s="295"/>
      <c r="AE20" s="295"/>
      <c r="AF20" s="296"/>
      <c r="AG20" s="296"/>
      <c r="AH20" s="296"/>
      <c r="AI20" s="296"/>
      <c r="AZ20" s="295"/>
      <c r="BA20" s="295"/>
      <c r="BF20" s="296"/>
      <c r="BG20" s="296"/>
    </row>
    <row r="21" spans="1:62 16309:16309" x14ac:dyDescent="0.25">
      <c r="A21" s="69" t="s">
        <v>73</v>
      </c>
      <c r="B21" s="70"/>
      <c r="C21" s="8"/>
      <c r="D21" s="137">
        <v>0</v>
      </c>
      <c r="E21" s="137">
        <v>0</v>
      </c>
      <c r="F21" s="138">
        <v>0</v>
      </c>
      <c r="G21" s="138">
        <v>0</v>
      </c>
      <c r="H21" s="159">
        <v>7</v>
      </c>
      <c r="I21" s="159">
        <v>0</v>
      </c>
      <c r="J21" s="159">
        <v>7</v>
      </c>
      <c r="K21" s="301">
        <v>0</v>
      </c>
      <c r="L21" s="159">
        <v>7</v>
      </c>
      <c r="M21" s="301">
        <v>0</v>
      </c>
      <c r="N21" s="270">
        <v>7</v>
      </c>
      <c r="O21" s="270">
        <v>0</v>
      </c>
      <c r="P21" s="270">
        <v>7</v>
      </c>
      <c r="Q21" s="270">
        <v>0</v>
      </c>
      <c r="R21" s="137">
        <v>0</v>
      </c>
      <c r="S21" s="137">
        <v>0</v>
      </c>
      <c r="T21" s="138">
        <v>0</v>
      </c>
      <c r="U21" s="138">
        <v>0</v>
      </c>
      <c r="V21" s="308">
        <v>5</v>
      </c>
      <c r="W21" s="308">
        <v>0</v>
      </c>
      <c r="X21" s="308">
        <v>7</v>
      </c>
      <c r="Y21" s="270">
        <v>0</v>
      </c>
      <c r="Z21" s="159">
        <v>7</v>
      </c>
      <c r="AA21" s="159">
        <v>0</v>
      </c>
      <c r="AB21" s="270">
        <v>7</v>
      </c>
      <c r="AC21" s="270">
        <v>0</v>
      </c>
      <c r="AD21" s="270">
        <v>7</v>
      </c>
      <c r="AE21" s="270">
        <v>0</v>
      </c>
      <c r="AF21" s="137">
        <v>0</v>
      </c>
      <c r="AG21" s="137">
        <v>0</v>
      </c>
      <c r="AH21" s="138">
        <v>0</v>
      </c>
      <c r="AI21" s="138">
        <v>0</v>
      </c>
      <c r="AJ21" s="270">
        <v>7</v>
      </c>
      <c r="AK21" s="270">
        <v>0</v>
      </c>
      <c r="AL21" s="308">
        <v>7</v>
      </c>
      <c r="AM21" s="308">
        <v>0</v>
      </c>
      <c r="AN21" s="308">
        <v>7</v>
      </c>
      <c r="AO21" s="308">
        <v>0</v>
      </c>
      <c r="AP21" s="308">
        <v>7</v>
      </c>
      <c r="AQ21" s="308">
        <v>0</v>
      </c>
      <c r="AR21" s="308">
        <v>7</v>
      </c>
      <c r="AS21" s="308">
        <v>0</v>
      </c>
      <c r="AT21" s="315">
        <v>0</v>
      </c>
      <c r="AU21" s="137">
        <v>0</v>
      </c>
      <c r="AV21" s="138">
        <v>0</v>
      </c>
      <c r="AW21" s="138">
        <v>0</v>
      </c>
      <c r="AX21" s="159">
        <v>7</v>
      </c>
      <c r="AY21" s="159">
        <v>0</v>
      </c>
      <c r="AZ21" s="159">
        <v>0</v>
      </c>
      <c r="BA21" s="159">
        <v>0</v>
      </c>
      <c r="BB21" s="159">
        <v>7</v>
      </c>
      <c r="BC21" s="159">
        <v>0</v>
      </c>
      <c r="BD21" s="159">
        <v>7</v>
      </c>
      <c r="BE21" s="159">
        <v>0</v>
      </c>
      <c r="BF21" s="159">
        <v>7</v>
      </c>
      <c r="BG21" s="159">
        <v>0</v>
      </c>
      <c r="BI21" s="126"/>
      <c r="BJ21" s="126"/>
    </row>
    <row r="22" spans="1:62 16309:16309" s="126" customFormat="1" x14ac:dyDescent="0.25">
      <c r="A22" s="69" t="s">
        <v>123</v>
      </c>
      <c r="B22" s="70"/>
      <c r="C22" s="8"/>
      <c r="D22" s="137">
        <v>0</v>
      </c>
      <c r="E22" s="137">
        <v>0</v>
      </c>
      <c r="F22" s="138">
        <v>0</v>
      </c>
      <c r="G22" s="138">
        <v>0</v>
      </c>
      <c r="H22" s="159">
        <v>0</v>
      </c>
      <c r="I22" s="159">
        <v>0</v>
      </c>
      <c r="J22" s="159">
        <v>0</v>
      </c>
      <c r="K22" s="301">
        <v>0</v>
      </c>
      <c r="L22" s="159">
        <v>0</v>
      </c>
      <c r="M22" s="301">
        <v>0</v>
      </c>
      <c r="N22" s="270">
        <v>0</v>
      </c>
      <c r="O22" s="270">
        <v>0</v>
      </c>
      <c r="P22" s="270">
        <v>0</v>
      </c>
      <c r="Q22" s="270">
        <v>0</v>
      </c>
      <c r="R22" s="137">
        <v>0</v>
      </c>
      <c r="S22" s="137">
        <v>0</v>
      </c>
      <c r="T22" s="138">
        <v>0</v>
      </c>
      <c r="U22" s="138">
        <v>0</v>
      </c>
      <c r="V22" s="308">
        <v>0</v>
      </c>
      <c r="W22" s="308">
        <v>0</v>
      </c>
      <c r="X22" s="308">
        <v>0</v>
      </c>
      <c r="Y22" s="270">
        <v>0</v>
      </c>
      <c r="Z22" s="159">
        <v>0</v>
      </c>
      <c r="AA22" s="159">
        <v>0</v>
      </c>
      <c r="AB22" s="270">
        <v>0</v>
      </c>
      <c r="AC22" s="270">
        <v>0</v>
      </c>
      <c r="AD22" s="270">
        <v>0</v>
      </c>
      <c r="AE22" s="270">
        <v>0</v>
      </c>
      <c r="AF22" s="137">
        <v>0</v>
      </c>
      <c r="AG22" s="137">
        <v>0</v>
      </c>
      <c r="AH22" s="138">
        <v>0</v>
      </c>
      <c r="AI22" s="138">
        <v>0</v>
      </c>
      <c r="AJ22" s="270">
        <v>0</v>
      </c>
      <c r="AK22" s="270">
        <v>0</v>
      </c>
      <c r="AL22" s="308">
        <v>0</v>
      </c>
      <c r="AM22" s="308">
        <v>0</v>
      </c>
      <c r="AN22" s="308">
        <v>0</v>
      </c>
      <c r="AO22" s="308">
        <v>0</v>
      </c>
      <c r="AP22" s="308">
        <v>0</v>
      </c>
      <c r="AQ22" s="308">
        <v>0</v>
      </c>
      <c r="AR22" s="308">
        <v>0</v>
      </c>
      <c r="AS22" s="308">
        <v>0</v>
      </c>
      <c r="AT22" s="315">
        <v>0</v>
      </c>
      <c r="AU22" s="137">
        <v>0</v>
      </c>
      <c r="AV22" s="138">
        <v>0</v>
      </c>
      <c r="AW22" s="138">
        <v>0</v>
      </c>
      <c r="AX22" s="159">
        <v>0</v>
      </c>
      <c r="AY22" s="159">
        <v>0</v>
      </c>
      <c r="AZ22" s="159">
        <v>0</v>
      </c>
      <c r="BA22" s="159">
        <v>0</v>
      </c>
      <c r="BB22" s="159">
        <v>0</v>
      </c>
      <c r="BC22" s="159">
        <v>0</v>
      </c>
      <c r="BD22" s="159">
        <v>0</v>
      </c>
      <c r="BE22" s="159">
        <v>0</v>
      </c>
      <c r="BF22" s="159">
        <v>0</v>
      </c>
      <c r="BG22" s="159">
        <v>0</v>
      </c>
    </row>
    <row r="23" spans="1:62 16309:16309" x14ac:dyDescent="0.25">
      <c r="A23" s="69" t="s">
        <v>74</v>
      </c>
      <c r="B23" s="70"/>
      <c r="C23" s="8"/>
      <c r="D23" s="137">
        <v>0</v>
      </c>
      <c r="E23" s="137">
        <v>0</v>
      </c>
      <c r="F23" s="138">
        <v>0</v>
      </c>
      <c r="G23" s="138">
        <v>0</v>
      </c>
      <c r="H23" s="159">
        <v>6</v>
      </c>
      <c r="I23" s="159">
        <v>2</v>
      </c>
      <c r="J23" s="159">
        <v>8</v>
      </c>
      <c r="K23" s="301">
        <v>0</v>
      </c>
      <c r="L23" s="159">
        <v>8</v>
      </c>
      <c r="M23" s="301">
        <v>0</v>
      </c>
      <c r="N23" s="270">
        <v>8</v>
      </c>
      <c r="O23" s="270">
        <v>0</v>
      </c>
      <c r="P23" s="270">
        <v>8</v>
      </c>
      <c r="Q23" s="270">
        <v>0</v>
      </c>
      <c r="R23" s="137">
        <v>0</v>
      </c>
      <c r="S23" s="137">
        <v>0</v>
      </c>
      <c r="T23" s="138">
        <v>0</v>
      </c>
      <c r="U23" s="138">
        <v>0</v>
      </c>
      <c r="V23" s="159">
        <v>9</v>
      </c>
      <c r="W23" s="159">
        <v>0</v>
      </c>
      <c r="X23" s="159">
        <v>8</v>
      </c>
      <c r="Y23" s="159">
        <v>0</v>
      </c>
      <c r="Z23" s="159">
        <v>8</v>
      </c>
      <c r="AA23" s="159">
        <v>0</v>
      </c>
      <c r="AB23" s="159">
        <v>8</v>
      </c>
      <c r="AC23" s="159">
        <v>0</v>
      </c>
      <c r="AD23" s="159">
        <v>8</v>
      </c>
      <c r="AE23" s="159">
        <v>0</v>
      </c>
      <c r="AF23" s="137">
        <v>0</v>
      </c>
      <c r="AG23" s="137">
        <v>0</v>
      </c>
      <c r="AH23" s="138">
        <v>0</v>
      </c>
      <c r="AI23" s="138">
        <v>0</v>
      </c>
      <c r="AJ23" s="159">
        <v>8</v>
      </c>
      <c r="AK23" s="159">
        <v>0</v>
      </c>
      <c r="AL23" s="159">
        <v>8</v>
      </c>
      <c r="AM23" s="159">
        <v>0</v>
      </c>
      <c r="AN23" s="159">
        <v>8</v>
      </c>
      <c r="AO23" s="159">
        <v>0</v>
      </c>
      <c r="AP23" s="159">
        <v>8</v>
      </c>
      <c r="AQ23" s="159">
        <v>0</v>
      </c>
      <c r="AR23" s="159">
        <v>8</v>
      </c>
      <c r="AS23" s="159">
        <v>0</v>
      </c>
      <c r="AT23" s="137">
        <v>0</v>
      </c>
      <c r="AU23" s="137">
        <v>0</v>
      </c>
      <c r="AV23" s="138">
        <v>0</v>
      </c>
      <c r="AW23" s="138">
        <v>0</v>
      </c>
      <c r="AX23" s="159">
        <v>0</v>
      </c>
      <c r="AY23" s="159">
        <v>8</v>
      </c>
      <c r="AZ23" s="159">
        <v>0</v>
      </c>
      <c r="BA23" s="159">
        <v>0</v>
      </c>
      <c r="BB23" s="159">
        <v>3</v>
      </c>
      <c r="BC23" s="159">
        <v>5</v>
      </c>
      <c r="BD23" s="159">
        <v>0</v>
      </c>
      <c r="BE23" s="159">
        <v>8</v>
      </c>
      <c r="BF23" s="159">
        <v>1</v>
      </c>
      <c r="BG23" s="159">
        <v>7</v>
      </c>
    </row>
    <row r="24" spans="1:62 16309:16309" x14ac:dyDescent="0.25">
      <c r="A24" s="69" t="s">
        <v>75</v>
      </c>
      <c r="B24" s="70"/>
      <c r="C24" s="8"/>
      <c r="D24" s="137">
        <v>0</v>
      </c>
      <c r="E24" s="137">
        <v>0</v>
      </c>
      <c r="F24" s="138">
        <v>0</v>
      </c>
      <c r="G24" s="138">
        <v>0</v>
      </c>
      <c r="H24" s="159">
        <v>6</v>
      </c>
      <c r="I24" s="159">
        <v>0</v>
      </c>
      <c r="J24" s="159">
        <v>6</v>
      </c>
      <c r="K24" s="301">
        <v>0</v>
      </c>
      <c r="L24" s="159">
        <v>6</v>
      </c>
      <c r="M24" s="301">
        <v>0</v>
      </c>
      <c r="N24" s="159">
        <v>6</v>
      </c>
      <c r="O24" s="159">
        <v>0</v>
      </c>
      <c r="P24" s="159">
        <v>6</v>
      </c>
      <c r="Q24" s="159">
        <v>0</v>
      </c>
      <c r="R24" s="137">
        <v>0</v>
      </c>
      <c r="S24" s="137">
        <v>0</v>
      </c>
      <c r="T24" s="138">
        <v>0</v>
      </c>
      <c r="U24" s="138">
        <v>0</v>
      </c>
      <c r="V24" s="159">
        <v>6</v>
      </c>
      <c r="W24" s="159">
        <v>0</v>
      </c>
      <c r="X24" s="159">
        <v>6</v>
      </c>
      <c r="Y24" s="159">
        <v>0</v>
      </c>
      <c r="Z24" s="270">
        <v>6</v>
      </c>
      <c r="AA24" s="270">
        <v>0</v>
      </c>
      <c r="AB24" s="159">
        <v>6</v>
      </c>
      <c r="AC24" s="159">
        <v>0</v>
      </c>
      <c r="AD24" s="159">
        <v>6</v>
      </c>
      <c r="AE24" s="159">
        <v>0</v>
      </c>
      <c r="AF24" s="137">
        <v>0</v>
      </c>
      <c r="AG24" s="137">
        <v>0</v>
      </c>
      <c r="AH24" s="138">
        <v>0</v>
      </c>
      <c r="AI24" s="138">
        <v>0</v>
      </c>
      <c r="AJ24" s="159">
        <v>6</v>
      </c>
      <c r="AK24" s="159">
        <v>0</v>
      </c>
      <c r="AL24" s="159">
        <v>6</v>
      </c>
      <c r="AM24" s="159">
        <v>0</v>
      </c>
      <c r="AN24" s="159">
        <v>6</v>
      </c>
      <c r="AO24" s="159">
        <v>0</v>
      </c>
      <c r="AP24" s="159">
        <v>6</v>
      </c>
      <c r="AQ24" s="159">
        <v>0</v>
      </c>
      <c r="AR24" s="159">
        <v>6</v>
      </c>
      <c r="AS24" s="159">
        <v>0</v>
      </c>
      <c r="AT24" s="137">
        <v>0</v>
      </c>
      <c r="AU24" s="137">
        <v>0</v>
      </c>
      <c r="AV24" s="138">
        <v>0</v>
      </c>
      <c r="AW24" s="138">
        <v>0</v>
      </c>
      <c r="AX24" s="159">
        <v>6</v>
      </c>
      <c r="AY24" s="159">
        <v>0</v>
      </c>
      <c r="AZ24" s="159">
        <v>0</v>
      </c>
      <c r="BA24" s="159">
        <v>0</v>
      </c>
      <c r="BB24" s="159">
        <v>6</v>
      </c>
      <c r="BC24" s="159">
        <v>0</v>
      </c>
      <c r="BD24" s="159">
        <v>6</v>
      </c>
      <c r="BE24" s="159">
        <v>0</v>
      </c>
      <c r="BF24" s="159">
        <v>6</v>
      </c>
      <c r="BG24" s="159">
        <v>0</v>
      </c>
    </row>
    <row r="25" spans="1:62 16309:16309" x14ac:dyDescent="0.25">
      <c r="A25" s="69" t="s">
        <v>76</v>
      </c>
      <c r="B25" s="70"/>
      <c r="C25" s="8"/>
      <c r="D25" s="137">
        <v>0</v>
      </c>
      <c r="E25" s="137">
        <v>0</v>
      </c>
      <c r="F25" s="138">
        <v>0</v>
      </c>
      <c r="G25" s="138">
        <v>0</v>
      </c>
      <c r="H25" s="159">
        <v>0</v>
      </c>
      <c r="I25" s="159">
        <v>0</v>
      </c>
      <c r="J25" s="159">
        <v>0</v>
      </c>
      <c r="K25" s="301">
        <v>0</v>
      </c>
      <c r="L25" s="159">
        <v>0</v>
      </c>
      <c r="M25" s="301">
        <v>0</v>
      </c>
      <c r="N25" s="159">
        <v>0</v>
      </c>
      <c r="O25" s="159">
        <v>0</v>
      </c>
      <c r="P25" s="159">
        <v>0</v>
      </c>
      <c r="Q25" s="159">
        <v>0</v>
      </c>
      <c r="R25" s="137">
        <v>0</v>
      </c>
      <c r="S25" s="137">
        <v>0</v>
      </c>
      <c r="T25" s="138">
        <v>0</v>
      </c>
      <c r="U25" s="138">
        <v>0</v>
      </c>
      <c r="V25" s="159">
        <v>0</v>
      </c>
      <c r="W25" s="159">
        <v>0</v>
      </c>
      <c r="X25" s="159">
        <v>0</v>
      </c>
      <c r="Y25" s="159">
        <v>0</v>
      </c>
      <c r="Z25" s="159">
        <v>0</v>
      </c>
      <c r="AA25" s="159">
        <v>0</v>
      </c>
      <c r="AB25" s="159">
        <v>0</v>
      </c>
      <c r="AC25" s="159">
        <v>0</v>
      </c>
      <c r="AD25" s="159">
        <v>0</v>
      </c>
      <c r="AE25" s="159">
        <v>0</v>
      </c>
      <c r="AF25" s="137">
        <v>0</v>
      </c>
      <c r="AG25" s="137">
        <v>0</v>
      </c>
      <c r="AH25" s="138">
        <v>0</v>
      </c>
      <c r="AI25" s="138">
        <v>0</v>
      </c>
      <c r="AJ25" s="159">
        <v>0</v>
      </c>
      <c r="AK25" s="159">
        <v>0</v>
      </c>
      <c r="AL25" s="159">
        <v>0</v>
      </c>
      <c r="AM25" s="159">
        <v>0</v>
      </c>
      <c r="AN25" s="159">
        <v>0</v>
      </c>
      <c r="AO25" s="159">
        <v>0</v>
      </c>
      <c r="AP25" s="159">
        <v>0</v>
      </c>
      <c r="AQ25" s="159">
        <v>0</v>
      </c>
      <c r="AR25" s="159">
        <v>0</v>
      </c>
      <c r="AS25" s="159">
        <v>0</v>
      </c>
      <c r="AT25" s="137">
        <v>0</v>
      </c>
      <c r="AU25" s="137">
        <v>0</v>
      </c>
      <c r="AV25" s="138">
        <v>0</v>
      </c>
      <c r="AW25" s="138">
        <v>0</v>
      </c>
      <c r="AX25" s="159">
        <v>0</v>
      </c>
      <c r="AY25" s="159">
        <v>0</v>
      </c>
      <c r="AZ25" s="159">
        <v>0</v>
      </c>
      <c r="BA25" s="159">
        <v>0</v>
      </c>
      <c r="BB25" s="159">
        <v>0</v>
      </c>
      <c r="BC25" s="159">
        <v>0</v>
      </c>
      <c r="BD25" s="270">
        <v>0</v>
      </c>
      <c r="BE25" s="270">
        <v>0</v>
      </c>
      <c r="BF25" s="159">
        <v>0</v>
      </c>
      <c r="BG25" s="159">
        <v>0</v>
      </c>
    </row>
    <row r="26" spans="1:62 16309:16309" ht="15.75" thickBot="1" x14ac:dyDescent="0.3">
      <c r="A26" s="69" t="s">
        <v>77</v>
      </c>
      <c r="B26" s="78"/>
      <c r="C26" s="8"/>
      <c r="D26" s="137">
        <v>0</v>
      </c>
      <c r="E26" s="137">
        <v>0</v>
      </c>
      <c r="F26" s="138">
        <v>0</v>
      </c>
      <c r="G26" s="138">
        <v>0</v>
      </c>
      <c r="H26" s="159">
        <v>7</v>
      </c>
      <c r="I26" s="159">
        <v>0</v>
      </c>
      <c r="J26" s="159">
        <v>7</v>
      </c>
      <c r="K26" s="301">
        <v>0</v>
      </c>
      <c r="L26" s="159">
        <v>7</v>
      </c>
      <c r="M26" s="301">
        <v>0</v>
      </c>
      <c r="N26" s="159">
        <v>7</v>
      </c>
      <c r="O26" s="159">
        <v>0</v>
      </c>
      <c r="P26" s="159">
        <v>7</v>
      </c>
      <c r="Q26" s="159">
        <v>0</v>
      </c>
      <c r="R26" s="137">
        <v>0</v>
      </c>
      <c r="S26" s="137">
        <v>0</v>
      </c>
      <c r="T26" s="138">
        <v>0</v>
      </c>
      <c r="U26" s="138">
        <v>0</v>
      </c>
      <c r="V26" s="159">
        <v>7</v>
      </c>
      <c r="W26" s="159">
        <v>0</v>
      </c>
      <c r="X26" s="159">
        <v>7</v>
      </c>
      <c r="Y26" s="159">
        <v>0</v>
      </c>
      <c r="Z26" s="159">
        <v>7</v>
      </c>
      <c r="AA26" s="159">
        <v>0</v>
      </c>
      <c r="AB26" s="159">
        <v>7</v>
      </c>
      <c r="AC26" s="159">
        <v>0</v>
      </c>
      <c r="AD26" s="159">
        <v>7</v>
      </c>
      <c r="AE26" s="159">
        <v>0</v>
      </c>
      <c r="AF26" s="137">
        <v>0</v>
      </c>
      <c r="AG26" s="137">
        <v>0</v>
      </c>
      <c r="AH26" s="138">
        <v>0</v>
      </c>
      <c r="AI26" s="138">
        <v>0</v>
      </c>
      <c r="AJ26" s="159">
        <v>7</v>
      </c>
      <c r="AK26" s="159">
        <v>0</v>
      </c>
      <c r="AL26" s="159">
        <v>7</v>
      </c>
      <c r="AM26" s="159">
        <v>0</v>
      </c>
      <c r="AN26" s="159">
        <v>7</v>
      </c>
      <c r="AO26" s="159">
        <v>0</v>
      </c>
      <c r="AP26" s="159">
        <v>7</v>
      </c>
      <c r="AQ26" s="159">
        <v>0</v>
      </c>
      <c r="AR26" s="159">
        <v>7</v>
      </c>
      <c r="AS26" s="159">
        <v>0</v>
      </c>
      <c r="AT26" s="137">
        <v>0</v>
      </c>
      <c r="AU26" s="137">
        <v>0</v>
      </c>
      <c r="AV26" s="138">
        <v>0</v>
      </c>
      <c r="AW26" s="138">
        <v>0</v>
      </c>
      <c r="AX26" s="159">
        <v>5</v>
      </c>
      <c r="AY26" s="159">
        <v>2</v>
      </c>
      <c r="AZ26" s="159">
        <v>0</v>
      </c>
      <c r="BA26" s="159">
        <v>0</v>
      </c>
      <c r="BB26" s="159">
        <v>5</v>
      </c>
      <c r="BC26" s="159">
        <v>2</v>
      </c>
      <c r="BD26" s="159">
        <v>5</v>
      </c>
      <c r="BE26" s="159">
        <v>2</v>
      </c>
      <c r="BF26" s="159">
        <v>5</v>
      </c>
      <c r="BG26" s="159">
        <v>2</v>
      </c>
    </row>
    <row r="27" spans="1:62 16309:16309" x14ac:dyDescent="0.25">
      <c r="A27" s="55"/>
      <c r="B27" s="55"/>
      <c r="C27" s="8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</row>
    <row r="28" spans="1:62 16309:16309" ht="15.75" thickBot="1" x14ac:dyDescent="0.3">
      <c r="C28" s="8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</row>
    <row r="29" spans="1:62 16309:16309" ht="15.75" thickBot="1" x14ac:dyDescent="0.3">
      <c r="C29" s="8"/>
      <c r="D29" s="176">
        <f t="shared" ref="D29:AI29" si="0">SUM(D3:D26)</f>
        <v>144</v>
      </c>
      <c r="E29" s="176">
        <f t="shared" si="0"/>
        <v>3</v>
      </c>
      <c r="F29" s="65">
        <f t="shared" si="0"/>
        <v>108</v>
      </c>
      <c r="G29" s="65">
        <f t="shared" si="0"/>
        <v>3</v>
      </c>
      <c r="H29" s="139">
        <f t="shared" si="0"/>
        <v>204</v>
      </c>
      <c r="I29" s="139">
        <f t="shared" si="0"/>
        <v>6</v>
      </c>
      <c r="J29" s="139">
        <f t="shared" si="0"/>
        <v>218</v>
      </c>
      <c r="K29" s="139">
        <f t="shared" si="0"/>
        <v>5</v>
      </c>
      <c r="L29" s="139">
        <f t="shared" si="0"/>
        <v>220</v>
      </c>
      <c r="M29" s="139">
        <f t="shared" si="0"/>
        <v>3</v>
      </c>
      <c r="N29" s="139">
        <f t="shared" si="0"/>
        <v>220</v>
      </c>
      <c r="O29" s="139">
        <f t="shared" si="0"/>
        <v>3</v>
      </c>
      <c r="P29" s="139">
        <f t="shared" si="0"/>
        <v>220</v>
      </c>
      <c r="Q29" s="139">
        <f t="shared" si="0"/>
        <v>3</v>
      </c>
      <c r="R29" s="176">
        <f t="shared" si="0"/>
        <v>130</v>
      </c>
      <c r="S29" s="176">
        <f t="shared" si="0"/>
        <v>8</v>
      </c>
      <c r="T29" s="65">
        <f t="shared" si="0"/>
        <v>2</v>
      </c>
      <c r="U29" s="65">
        <f t="shared" si="0"/>
        <v>50</v>
      </c>
      <c r="V29" s="139">
        <f t="shared" si="0"/>
        <v>219</v>
      </c>
      <c r="W29" s="139">
        <f t="shared" si="0"/>
        <v>3</v>
      </c>
      <c r="X29" s="139">
        <f t="shared" si="0"/>
        <v>220</v>
      </c>
      <c r="Y29" s="139">
        <f t="shared" si="0"/>
        <v>3</v>
      </c>
      <c r="Z29" s="139">
        <f t="shared" si="0"/>
        <v>220</v>
      </c>
      <c r="AA29" s="139">
        <f t="shared" si="0"/>
        <v>3</v>
      </c>
      <c r="AB29" s="139">
        <f t="shared" si="0"/>
        <v>220</v>
      </c>
      <c r="AC29" s="139">
        <f t="shared" si="0"/>
        <v>3</v>
      </c>
      <c r="AD29" s="139">
        <f t="shared" si="0"/>
        <v>220</v>
      </c>
      <c r="AE29" s="139">
        <f t="shared" si="0"/>
        <v>3</v>
      </c>
      <c r="AF29" s="176">
        <f t="shared" si="0"/>
        <v>144</v>
      </c>
      <c r="AG29" s="176">
        <f t="shared" si="0"/>
        <v>3</v>
      </c>
      <c r="AH29" s="65">
        <f t="shared" si="0"/>
        <v>108</v>
      </c>
      <c r="AI29" s="65">
        <f t="shared" si="0"/>
        <v>3</v>
      </c>
      <c r="AJ29" s="139">
        <f t="shared" ref="AJ29:BG29" si="1">SUM(AJ3:AJ26)</f>
        <v>220</v>
      </c>
      <c r="AK29" s="139">
        <f t="shared" si="1"/>
        <v>3</v>
      </c>
      <c r="AL29" s="139">
        <f t="shared" si="1"/>
        <v>220</v>
      </c>
      <c r="AM29" s="139">
        <f t="shared" si="1"/>
        <v>3</v>
      </c>
      <c r="AN29" s="139">
        <f t="shared" si="1"/>
        <v>220</v>
      </c>
      <c r="AO29" s="139">
        <f t="shared" si="1"/>
        <v>3</v>
      </c>
      <c r="AP29" s="139">
        <f t="shared" si="1"/>
        <v>220</v>
      </c>
      <c r="AQ29" s="139">
        <f t="shared" si="1"/>
        <v>3</v>
      </c>
      <c r="AR29" s="139">
        <f t="shared" si="1"/>
        <v>220</v>
      </c>
      <c r="AS29" s="139">
        <f t="shared" si="1"/>
        <v>3</v>
      </c>
      <c r="AT29" s="176">
        <f t="shared" si="1"/>
        <v>144</v>
      </c>
      <c r="AU29" s="176">
        <f t="shared" si="1"/>
        <v>3</v>
      </c>
      <c r="AV29" s="65">
        <f t="shared" si="1"/>
        <v>74</v>
      </c>
      <c r="AW29" s="65">
        <f t="shared" si="1"/>
        <v>37</v>
      </c>
      <c r="AX29" s="139">
        <f t="shared" si="1"/>
        <v>192</v>
      </c>
      <c r="AY29" s="139">
        <f t="shared" si="1"/>
        <v>37</v>
      </c>
      <c r="AZ29" s="139">
        <f t="shared" si="1"/>
        <v>123</v>
      </c>
      <c r="BA29" s="139">
        <f t="shared" si="1"/>
        <v>0</v>
      </c>
      <c r="BB29" s="139">
        <f t="shared" si="1"/>
        <v>195</v>
      </c>
      <c r="BC29" s="139">
        <f t="shared" si="1"/>
        <v>28</v>
      </c>
      <c r="BD29" s="139">
        <f t="shared" si="1"/>
        <v>194</v>
      </c>
      <c r="BE29" s="139">
        <f t="shared" si="1"/>
        <v>35</v>
      </c>
      <c r="BF29" s="139">
        <f t="shared" si="1"/>
        <v>194</v>
      </c>
      <c r="BG29" s="139">
        <f t="shared" si="1"/>
        <v>35</v>
      </c>
      <c r="XCG29" s="66"/>
    </row>
    <row r="30" spans="1:62 16309:16309" x14ac:dyDescent="0.25">
      <c r="C30" s="8"/>
      <c r="L30" s="126"/>
      <c r="Z30" s="126"/>
      <c r="AA30" s="126"/>
      <c r="AB30" s="126"/>
      <c r="AC30" s="126"/>
      <c r="AG30" s="126"/>
      <c r="AH30" s="126"/>
      <c r="AI30" s="12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62 16309:16309" ht="18" x14ac:dyDescent="0.25">
      <c r="C31" s="8"/>
      <c r="L31" s="126"/>
      <c r="Z31" s="57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62 16309:16309" x14ac:dyDescent="0.25">
      <c r="C32" s="8"/>
      <c r="F32" s="126"/>
      <c r="G32" s="126"/>
      <c r="H32" s="126"/>
      <c r="I32" s="126"/>
      <c r="J32" s="8"/>
      <c r="K32" s="8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Z32" s="126"/>
      <c r="BA32" s="126"/>
      <c r="BB32" s="126"/>
      <c r="BC32" s="126"/>
      <c r="BD32" s="126"/>
      <c r="BE32" s="126"/>
      <c r="BF32" s="126"/>
      <c r="BG32" s="126"/>
    </row>
    <row r="33" spans="1:59" x14ac:dyDescent="0.25">
      <c r="C33" s="8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Z33" s="126"/>
      <c r="BA33" s="126"/>
      <c r="BB33" s="126"/>
      <c r="BC33" s="126"/>
      <c r="BD33" s="126"/>
      <c r="BE33" s="126"/>
      <c r="BF33" s="126"/>
      <c r="BG33" s="126"/>
    </row>
    <row r="34" spans="1:59" x14ac:dyDescent="0.25">
      <c r="C34" s="8"/>
      <c r="L34" s="126"/>
      <c r="AZ34" s="126"/>
      <c r="BA34" s="126"/>
      <c r="BB34" s="126"/>
      <c r="BC34" s="126"/>
      <c r="BD34" s="126"/>
      <c r="BE34" s="126"/>
      <c r="BF34" s="126"/>
      <c r="BG34" s="126"/>
    </row>
    <row r="35" spans="1:59" x14ac:dyDescent="0.25">
      <c r="A35" s="58" t="s">
        <v>78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</row>
    <row r="36" spans="1:59" x14ac:dyDescent="0.25">
      <c r="A36" t="s">
        <v>79</v>
      </c>
      <c r="C36" s="8"/>
      <c r="D36" s="59">
        <f t="shared" ref="D36:AI36" si="2">D5+D12+D23</f>
        <v>69</v>
      </c>
      <c r="E36" s="59">
        <f t="shared" si="2"/>
        <v>3</v>
      </c>
      <c r="F36" s="59">
        <f t="shared" si="2"/>
        <v>51</v>
      </c>
      <c r="G36" s="59">
        <f t="shared" si="2"/>
        <v>3</v>
      </c>
      <c r="H36" s="59">
        <f t="shared" si="2"/>
        <v>66</v>
      </c>
      <c r="I36" s="59">
        <f t="shared" si="2"/>
        <v>3</v>
      </c>
      <c r="J36" s="59">
        <f t="shared" si="2"/>
        <v>77</v>
      </c>
      <c r="K36" s="59">
        <f t="shared" si="2"/>
        <v>2</v>
      </c>
      <c r="L36" s="153">
        <f t="shared" si="2"/>
        <v>78</v>
      </c>
      <c r="M36" s="59">
        <f t="shared" si="2"/>
        <v>1</v>
      </c>
      <c r="N36" s="304">
        <f t="shared" ref="N36:O36" si="3">N5+N12+N23</f>
        <v>78</v>
      </c>
      <c r="O36" s="304">
        <f t="shared" si="3"/>
        <v>1</v>
      </c>
      <c r="P36" s="305">
        <f t="shared" ref="P36:Q36" si="4">P5+P12+P23</f>
        <v>78</v>
      </c>
      <c r="Q36" s="305">
        <f t="shared" si="4"/>
        <v>1</v>
      </c>
      <c r="R36" s="290">
        <f t="shared" si="2"/>
        <v>61</v>
      </c>
      <c r="S36" s="290">
        <f t="shared" si="2"/>
        <v>6</v>
      </c>
      <c r="T36" s="59">
        <f t="shared" si="2"/>
        <v>0</v>
      </c>
      <c r="U36" s="59">
        <f t="shared" si="2"/>
        <v>25</v>
      </c>
      <c r="V36" s="306">
        <f t="shared" ref="V36:W36" si="5">V5+V12+V23</f>
        <v>79</v>
      </c>
      <c r="W36" s="306">
        <f t="shared" si="5"/>
        <v>1</v>
      </c>
      <c r="X36" s="307">
        <f t="shared" ref="X36:Y36" si="6">X5+X12+X23</f>
        <v>78</v>
      </c>
      <c r="Y36" s="307">
        <f t="shared" si="6"/>
        <v>1</v>
      </c>
      <c r="Z36" s="309">
        <f t="shared" ref="Z36:AA36" si="7">Z5+Z12+Z23</f>
        <v>78</v>
      </c>
      <c r="AA36" s="309">
        <f t="shared" si="7"/>
        <v>1</v>
      </c>
      <c r="AB36" s="310">
        <f t="shared" ref="AB36:AC36" si="8">AB5+AB12+AB23</f>
        <v>78</v>
      </c>
      <c r="AC36" s="310">
        <f t="shared" si="8"/>
        <v>1</v>
      </c>
      <c r="AD36" s="59">
        <f t="shared" si="2"/>
        <v>78</v>
      </c>
      <c r="AE36" s="59">
        <f t="shared" si="2"/>
        <v>1</v>
      </c>
      <c r="AF36" s="59">
        <f t="shared" si="2"/>
        <v>69</v>
      </c>
      <c r="AG36" s="271">
        <f t="shared" si="2"/>
        <v>3</v>
      </c>
      <c r="AH36" s="59">
        <f t="shared" si="2"/>
        <v>51</v>
      </c>
      <c r="AI36" s="59">
        <f t="shared" si="2"/>
        <v>3</v>
      </c>
      <c r="AJ36" s="297">
        <f t="shared" ref="AJ36:BG36" si="9">AJ5+AJ12+AJ23</f>
        <v>78</v>
      </c>
      <c r="AK36" s="297">
        <f t="shared" si="9"/>
        <v>1</v>
      </c>
      <c r="AL36" s="311">
        <f t="shared" ref="AL36:AM36" si="10">AL5+AL12+AL23</f>
        <v>78</v>
      </c>
      <c r="AM36" s="311">
        <f t="shared" si="10"/>
        <v>1</v>
      </c>
      <c r="AN36" s="312">
        <f t="shared" ref="AN36:AO36" si="11">AN5+AN12+AN23</f>
        <v>78</v>
      </c>
      <c r="AO36" s="312">
        <f t="shared" si="11"/>
        <v>1</v>
      </c>
      <c r="AP36" s="298">
        <f t="shared" si="9"/>
        <v>78</v>
      </c>
      <c r="AQ36" s="298">
        <f t="shared" si="9"/>
        <v>1</v>
      </c>
      <c r="AR36" s="313">
        <f t="shared" ref="AR36:AS36" si="12">AR5+AR12+AR23</f>
        <v>78</v>
      </c>
      <c r="AS36" s="313">
        <f t="shared" si="12"/>
        <v>1</v>
      </c>
      <c r="AT36" s="314">
        <f t="shared" ref="AT36:AU36" si="13">AT5+AT12+AT23</f>
        <v>69</v>
      </c>
      <c r="AU36" s="314">
        <f t="shared" si="13"/>
        <v>3</v>
      </c>
      <c r="AV36" s="322">
        <f t="shared" ref="AV36:AW36" si="14">AV5+AV12+AV23</f>
        <v>32</v>
      </c>
      <c r="AW36" s="322">
        <f t="shared" si="14"/>
        <v>22</v>
      </c>
      <c r="AX36" s="323">
        <f t="shared" ref="AX36:AY36" si="15">AX5+AX12+AX23</f>
        <v>61</v>
      </c>
      <c r="AY36" s="323">
        <f t="shared" si="15"/>
        <v>18</v>
      </c>
      <c r="AZ36" s="59">
        <f t="shared" si="9"/>
        <v>44</v>
      </c>
      <c r="BA36" s="274">
        <f t="shared" si="9"/>
        <v>0</v>
      </c>
      <c r="BB36" s="117">
        <f t="shared" si="9"/>
        <v>65</v>
      </c>
      <c r="BC36" s="275">
        <f t="shared" si="9"/>
        <v>14</v>
      </c>
      <c r="BD36" s="299">
        <f t="shared" si="9"/>
        <v>62</v>
      </c>
      <c r="BE36" s="299">
        <f t="shared" si="9"/>
        <v>17</v>
      </c>
      <c r="BF36" s="177">
        <f t="shared" si="9"/>
        <v>62</v>
      </c>
      <c r="BG36" s="177">
        <f t="shared" si="9"/>
        <v>17</v>
      </c>
    </row>
    <row r="37" spans="1:59" x14ac:dyDescent="0.25">
      <c r="A37" t="s">
        <v>80</v>
      </c>
      <c r="C37" s="8"/>
      <c r="D37" s="59">
        <f t="shared" ref="D37:AI37" si="16">D8+D15+D26</f>
        <v>75</v>
      </c>
      <c r="E37" s="59">
        <f t="shared" si="16"/>
        <v>0</v>
      </c>
      <c r="F37" s="59">
        <f t="shared" si="16"/>
        <v>57</v>
      </c>
      <c r="G37" s="59">
        <f t="shared" si="16"/>
        <v>0</v>
      </c>
      <c r="H37" s="59">
        <f t="shared" si="16"/>
        <v>68</v>
      </c>
      <c r="I37" s="59">
        <f t="shared" si="16"/>
        <v>3</v>
      </c>
      <c r="J37" s="59">
        <f t="shared" si="16"/>
        <v>75</v>
      </c>
      <c r="K37" s="59">
        <f t="shared" si="16"/>
        <v>3</v>
      </c>
      <c r="L37" s="153">
        <f t="shared" si="16"/>
        <v>76</v>
      </c>
      <c r="M37" s="59">
        <f t="shared" si="16"/>
        <v>2</v>
      </c>
      <c r="N37" s="304">
        <f t="shared" ref="N37:O37" si="17">N8+N15+N26</f>
        <v>76</v>
      </c>
      <c r="O37" s="304">
        <f t="shared" si="17"/>
        <v>2</v>
      </c>
      <c r="P37" s="305">
        <f t="shared" ref="P37:Q37" si="18">P8+P15+P26</f>
        <v>76</v>
      </c>
      <c r="Q37" s="305">
        <f t="shared" si="18"/>
        <v>2</v>
      </c>
      <c r="R37" s="290">
        <f t="shared" si="16"/>
        <v>69</v>
      </c>
      <c r="S37" s="290">
        <f t="shared" si="16"/>
        <v>2</v>
      </c>
      <c r="T37" s="59">
        <f t="shared" si="16"/>
        <v>2</v>
      </c>
      <c r="U37" s="59">
        <f t="shared" si="16"/>
        <v>25</v>
      </c>
      <c r="V37" s="306">
        <f t="shared" ref="V37:W37" si="19">V8+V15+V26</f>
        <v>76</v>
      </c>
      <c r="W37" s="306">
        <f t="shared" si="19"/>
        <v>2</v>
      </c>
      <c r="X37" s="307">
        <f t="shared" ref="X37:Y37" si="20">X8+X15+X26</f>
        <v>76</v>
      </c>
      <c r="Y37" s="307">
        <f t="shared" si="20"/>
        <v>2</v>
      </c>
      <c r="Z37" s="309">
        <f t="shared" ref="Z37:AA37" si="21">Z8+Z15+Z26</f>
        <v>76</v>
      </c>
      <c r="AA37" s="309">
        <f t="shared" si="21"/>
        <v>2</v>
      </c>
      <c r="AB37" s="310">
        <f t="shared" ref="AB37:AC37" si="22">AB8+AB15+AB26</f>
        <v>76</v>
      </c>
      <c r="AC37" s="310">
        <f t="shared" si="22"/>
        <v>2</v>
      </c>
      <c r="AD37" s="59">
        <f t="shared" si="16"/>
        <v>76</v>
      </c>
      <c r="AE37" s="269">
        <f t="shared" si="16"/>
        <v>2</v>
      </c>
      <c r="AF37" s="271">
        <f t="shared" si="16"/>
        <v>75</v>
      </c>
      <c r="AG37" s="271">
        <f t="shared" si="16"/>
        <v>0</v>
      </c>
      <c r="AH37" s="59">
        <f t="shared" si="16"/>
        <v>57</v>
      </c>
      <c r="AI37" s="59">
        <f t="shared" si="16"/>
        <v>0</v>
      </c>
      <c r="AJ37" s="297">
        <f t="shared" ref="AJ37:BG37" si="23">AJ8+AJ15+AJ26</f>
        <v>76</v>
      </c>
      <c r="AK37" s="297">
        <f t="shared" si="23"/>
        <v>2</v>
      </c>
      <c r="AL37" s="311">
        <f t="shared" ref="AL37:AM37" si="24">AL8+AL15+AL26</f>
        <v>76</v>
      </c>
      <c r="AM37" s="311">
        <f t="shared" si="24"/>
        <v>2</v>
      </c>
      <c r="AN37" s="312">
        <f t="shared" ref="AN37:AO37" si="25">AN8+AN15+AN26</f>
        <v>76</v>
      </c>
      <c r="AO37" s="312">
        <f t="shared" si="25"/>
        <v>2</v>
      </c>
      <c r="AP37" s="298">
        <f t="shared" si="23"/>
        <v>76</v>
      </c>
      <c r="AQ37" s="298">
        <f t="shared" si="23"/>
        <v>2</v>
      </c>
      <c r="AR37" s="313">
        <f t="shared" ref="AR37:AS37" si="26">AR8+AR15+AR26</f>
        <v>76</v>
      </c>
      <c r="AS37" s="313">
        <f t="shared" si="26"/>
        <v>2</v>
      </c>
      <c r="AT37" s="314">
        <f t="shared" ref="AT37:AU37" si="27">AT8+AT15+AT26</f>
        <v>75</v>
      </c>
      <c r="AU37" s="314">
        <f t="shared" si="27"/>
        <v>0</v>
      </c>
      <c r="AV37" s="322">
        <f t="shared" ref="AV37:AW37" si="28">AV8+AV15+AV26</f>
        <v>42</v>
      </c>
      <c r="AW37" s="322">
        <f t="shared" si="28"/>
        <v>15</v>
      </c>
      <c r="AX37" s="323">
        <f t="shared" ref="AX37:AY37" si="29">AX8+AX15+AX26</f>
        <v>59</v>
      </c>
      <c r="AY37" s="323">
        <f t="shared" si="29"/>
        <v>19</v>
      </c>
      <c r="AZ37" s="274">
        <f t="shared" si="23"/>
        <v>45</v>
      </c>
      <c r="BA37" s="274">
        <f t="shared" si="23"/>
        <v>0</v>
      </c>
      <c r="BB37" s="275">
        <f t="shared" si="23"/>
        <v>64</v>
      </c>
      <c r="BC37" s="275">
        <f t="shared" si="23"/>
        <v>14</v>
      </c>
      <c r="BD37" s="299">
        <f t="shared" si="23"/>
        <v>60</v>
      </c>
      <c r="BE37" s="299">
        <f t="shared" si="23"/>
        <v>18</v>
      </c>
      <c r="BF37" s="177">
        <f t="shared" si="23"/>
        <v>60</v>
      </c>
      <c r="BG37" s="177">
        <f t="shared" si="23"/>
        <v>18</v>
      </c>
    </row>
    <row r="38" spans="1:59" x14ac:dyDescent="0.25">
      <c r="A38" t="s">
        <v>81</v>
      </c>
      <c r="C38" s="8"/>
      <c r="D38" s="59">
        <f t="shared" ref="D38:AI38" si="30">D3+D10+D21</f>
        <v>0</v>
      </c>
      <c r="E38" s="59">
        <f t="shared" si="30"/>
        <v>0</v>
      </c>
      <c r="F38" s="59">
        <f t="shared" si="30"/>
        <v>0</v>
      </c>
      <c r="G38" s="59">
        <f t="shared" si="30"/>
        <v>0</v>
      </c>
      <c r="H38" s="59">
        <f t="shared" si="30"/>
        <v>30</v>
      </c>
      <c r="I38" s="59">
        <f t="shared" si="30"/>
        <v>0</v>
      </c>
      <c r="J38" s="59">
        <f t="shared" si="30"/>
        <v>33</v>
      </c>
      <c r="K38" s="59">
        <f t="shared" si="30"/>
        <v>0</v>
      </c>
      <c r="L38" s="153">
        <f t="shared" si="30"/>
        <v>33</v>
      </c>
      <c r="M38" s="59">
        <f t="shared" si="30"/>
        <v>0</v>
      </c>
      <c r="N38" s="304">
        <f t="shared" ref="N38:O38" si="31">N3+N10+N21</f>
        <v>33</v>
      </c>
      <c r="O38" s="304">
        <f t="shared" si="31"/>
        <v>0</v>
      </c>
      <c r="P38" s="305">
        <f t="shared" ref="P38:Q38" si="32">P3+P10+P21</f>
        <v>33</v>
      </c>
      <c r="Q38" s="305">
        <f t="shared" si="32"/>
        <v>0</v>
      </c>
      <c r="R38" s="290">
        <f t="shared" si="30"/>
        <v>0</v>
      </c>
      <c r="S38" s="290">
        <f t="shared" si="30"/>
        <v>0</v>
      </c>
      <c r="T38" s="59">
        <f t="shared" si="30"/>
        <v>0</v>
      </c>
      <c r="U38" s="59">
        <f t="shared" si="30"/>
        <v>0</v>
      </c>
      <c r="V38" s="306">
        <f t="shared" ref="V38:W38" si="33">V3+V10+V21</f>
        <v>31</v>
      </c>
      <c r="W38" s="306">
        <f t="shared" si="33"/>
        <v>0</v>
      </c>
      <c r="X38" s="307">
        <f t="shared" ref="X38:Y38" si="34">X3+X10+X21</f>
        <v>33</v>
      </c>
      <c r="Y38" s="307">
        <f t="shared" si="34"/>
        <v>0</v>
      </c>
      <c r="Z38" s="309">
        <f t="shared" ref="Z38:AA38" si="35">Z3+Z10+Z21</f>
        <v>33</v>
      </c>
      <c r="AA38" s="309">
        <f t="shared" si="35"/>
        <v>0</v>
      </c>
      <c r="AB38" s="310">
        <f t="shared" ref="AB38:AC38" si="36">AB3+AB10+AB21</f>
        <v>33</v>
      </c>
      <c r="AC38" s="310">
        <f t="shared" si="36"/>
        <v>0</v>
      </c>
      <c r="AD38" s="59">
        <f t="shared" si="30"/>
        <v>33</v>
      </c>
      <c r="AE38" s="269">
        <f t="shared" si="30"/>
        <v>0</v>
      </c>
      <c r="AF38" s="59">
        <f t="shared" si="30"/>
        <v>0</v>
      </c>
      <c r="AG38" s="271">
        <f t="shared" si="30"/>
        <v>0</v>
      </c>
      <c r="AH38" s="59">
        <f t="shared" si="30"/>
        <v>0</v>
      </c>
      <c r="AI38" s="59">
        <f t="shared" si="30"/>
        <v>0</v>
      </c>
      <c r="AJ38" s="297">
        <f t="shared" ref="AJ38:BG38" si="37">AJ3+AJ10+AJ21</f>
        <v>33</v>
      </c>
      <c r="AK38" s="297">
        <f t="shared" si="37"/>
        <v>0</v>
      </c>
      <c r="AL38" s="311">
        <f t="shared" ref="AL38:AM38" si="38">AL3+AL10+AL21</f>
        <v>33</v>
      </c>
      <c r="AM38" s="311">
        <f t="shared" si="38"/>
        <v>0</v>
      </c>
      <c r="AN38" s="312">
        <f t="shared" ref="AN38:AO38" si="39">AN3+AN10+AN21</f>
        <v>33</v>
      </c>
      <c r="AO38" s="312">
        <f t="shared" si="39"/>
        <v>0</v>
      </c>
      <c r="AP38" s="298">
        <f t="shared" si="37"/>
        <v>33</v>
      </c>
      <c r="AQ38" s="298">
        <f t="shared" si="37"/>
        <v>0</v>
      </c>
      <c r="AR38" s="313">
        <f t="shared" ref="AR38:AS38" si="40">AR3+AR10+AR21</f>
        <v>33</v>
      </c>
      <c r="AS38" s="313">
        <f t="shared" si="40"/>
        <v>0</v>
      </c>
      <c r="AT38" s="314">
        <f t="shared" ref="AT38:AU38" si="41">AT3+AT10+AT21</f>
        <v>0</v>
      </c>
      <c r="AU38" s="314">
        <f t="shared" si="41"/>
        <v>0</v>
      </c>
      <c r="AV38" s="322">
        <f t="shared" ref="AV38:AW38" si="42">AV3+AV10+AV21</f>
        <v>0</v>
      </c>
      <c r="AW38" s="322">
        <f t="shared" si="42"/>
        <v>0</v>
      </c>
      <c r="AX38" s="323">
        <f t="shared" ref="AX38:AY38" si="43">AX3+AX10+AX21</f>
        <v>33</v>
      </c>
      <c r="AY38" s="323">
        <f t="shared" si="43"/>
        <v>0</v>
      </c>
      <c r="AZ38" s="59">
        <f t="shared" si="37"/>
        <v>13</v>
      </c>
      <c r="BA38" s="274">
        <f t="shared" si="37"/>
        <v>0</v>
      </c>
      <c r="BB38" s="275">
        <f t="shared" si="37"/>
        <v>33</v>
      </c>
      <c r="BC38" s="275">
        <f t="shared" si="37"/>
        <v>0</v>
      </c>
      <c r="BD38" s="299">
        <f t="shared" si="37"/>
        <v>33</v>
      </c>
      <c r="BE38" s="299">
        <f t="shared" si="37"/>
        <v>0</v>
      </c>
      <c r="BF38" s="276">
        <f t="shared" si="37"/>
        <v>33</v>
      </c>
      <c r="BG38" s="177">
        <f t="shared" si="37"/>
        <v>0</v>
      </c>
    </row>
    <row r="39" spans="1:59" x14ac:dyDescent="0.25">
      <c r="A39" t="s">
        <v>82</v>
      </c>
      <c r="C39" s="8"/>
      <c r="D39" s="59">
        <f t="shared" ref="D39:AI39" si="44">D6+D13+D24</f>
        <v>0</v>
      </c>
      <c r="E39" s="59">
        <f t="shared" si="44"/>
        <v>0</v>
      </c>
      <c r="F39" s="59">
        <f t="shared" si="44"/>
        <v>0</v>
      </c>
      <c r="G39" s="59">
        <f t="shared" si="44"/>
        <v>0</v>
      </c>
      <c r="H39" s="59">
        <f t="shared" si="44"/>
        <v>29</v>
      </c>
      <c r="I39" s="59">
        <f t="shared" si="44"/>
        <v>0</v>
      </c>
      <c r="J39" s="59">
        <f t="shared" si="44"/>
        <v>32</v>
      </c>
      <c r="K39" s="59">
        <f t="shared" si="44"/>
        <v>0</v>
      </c>
      <c r="L39" s="153">
        <f t="shared" si="44"/>
        <v>32</v>
      </c>
      <c r="M39" s="59">
        <f t="shared" si="44"/>
        <v>0</v>
      </c>
      <c r="N39" s="304">
        <f t="shared" ref="N39:O39" si="45">N6+N13+N24</f>
        <v>32</v>
      </c>
      <c r="O39" s="304">
        <f t="shared" si="45"/>
        <v>0</v>
      </c>
      <c r="P39" s="305">
        <f t="shared" ref="P39:Q39" si="46">P6+P13+P24</f>
        <v>32</v>
      </c>
      <c r="Q39" s="305">
        <f t="shared" si="46"/>
        <v>0</v>
      </c>
      <c r="R39" s="290">
        <f t="shared" si="44"/>
        <v>0</v>
      </c>
      <c r="S39" s="290">
        <f t="shared" si="44"/>
        <v>0</v>
      </c>
      <c r="T39" s="59">
        <f t="shared" si="44"/>
        <v>0</v>
      </c>
      <c r="U39" s="59">
        <f t="shared" si="44"/>
        <v>0</v>
      </c>
      <c r="V39" s="306">
        <f t="shared" ref="V39:W39" si="47">V6+V13+V24</f>
        <v>32</v>
      </c>
      <c r="W39" s="306">
        <f t="shared" si="47"/>
        <v>0</v>
      </c>
      <c r="X39" s="307">
        <f t="shared" ref="X39:Y39" si="48">X6+X13+X24</f>
        <v>32</v>
      </c>
      <c r="Y39" s="307">
        <f t="shared" si="48"/>
        <v>0</v>
      </c>
      <c r="Z39" s="309">
        <f t="shared" ref="Z39:AA39" si="49">Z6+Z13+Z24</f>
        <v>32</v>
      </c>
      <c r="AA39" s="309">
        <f t="shared" si="49"/>
        <v>0</v>
      </c>
      <c r="AB39" s="310">
        <f t="shared" ref="AB39:AC39" si="50">AB6+AB13+AB24</f>
        <v>32</v>
      </c>
      <c r="AC39" s="310">
        <f t="shared" si="50"/>
        <v>0</v>
      </c>
      <c r="AD39" s="59">
        <f t="shared" si="44"/>
        <v>32</v>
      </c>
      <c r="AE39" s="269">
        <f t="shared" si="44"/>
        <v>0</v>
      </c>
      <c r="AF39" s="59">
        <f t="shared" si="44"/>
        <v>0</v>
      </c>
      <c r="AG39" s="271">
        <f t="shared" si="44"/>
        <v>0</v>
      </c>
      <c r="AH39" s="59">
        <f t="shared" si="44"/>
        <v>0</v>
      </c>
      <c r="AI39" s="59">
        <f t="shared" si="44"/>
        <v>0</v>
      </c>
      <c r="AJ39" s="297">
        <f t="shared" ref="AJ39:BG39" si="51">AJ6+AJ13+AJ24</f>
        <v>32</v>
      </c>
      <c r="AK39" s="297">
        <f t="shared" si="51"/>
        <v>0</v>
      </c>
      <c r="AL39" s="311">
        <f t="shared" ref="AL39:AM39" si="52">AL6+AL13+AL24</f>
        <v>32</v>
      </c>
      <c r="AM39" s="311">
        <f t="shared" si="52"/>
        <v>0</v>
      </c>
      <c r="AN39" s="312">
        <f t="shared" ref="AN39:AO39" si="53">AN6+AN13+AN24</f>
        <v>32</v>
      </c>
      <c r="AO39" s="312">
        <f t="shared" si="53"/>
        <v>0</v>
      </c>
      <c r="AP39" s="298">
        <f t="shared" si="51"/>
        <v>32</v>
      </c>
      <c r="AQ39" s="298">
        <f t="shared" si="51"/>
        <v>0</v>
      </c>
      <c r="AR39" s="313">
        <f t="shared" ref="AR39:AS39" si="54">AR6+AR13+AR24</f>
        <v>32</v>
      </c>
      <c r="AS39" s="313">
        <f t="shared" si="54"/>
        <v>0</v>
      </c>
      <c r="AT39" s="314">
        <f t="shared" ref="AT39:AU39" si="55">AT6+AT13+AT24</f>
        <v>0</v>
      </c>
      <c r="AU39" s="314">
        <f t="shared" si="55"/>
        <v>0</v>
      </c>
      <c r="AV39" s="322">
        <f t="shared" ref="AV39:AW39" si="56">AV6+AV13+AV24</f>
        <v>0</v>
      </c>
      <c r="AW39" s="322">
        <f t="shared" si="56"/>
        <v>0</v>
      </c>
      <c r="AX39" s="323">
        <f t="shared" ref="AX39:AY39" si="57">AX6+AX13+AX24</f>
        <v>32</v>
      </c>
      <c r="AY39" s="323">
        <f t="shared" si="57"/>
        <v>0</v>
      </c>
      <c r="AZ39" s="59">
        <f t="shared" si="51"/>
        <v>14</v>
      </c>
      <c r="BA39" s="274">
        <f t="shared" si="51"/>
        <v>0</v>
      </c>
      <c r="BB39" s="117">
        <f t="shared" si="51"/>
        <v>32</v>
      </c>
      <c r="BC39" s="275">
        <f t="shared" si="51"/>
        <v>0</v>
      </c>
      <c r="BD39" s="299">
        <f t="shared" si="51"/>
        <v>32</v>
      </c>
      <c r="BE39" s="299">
        <f t="shared" si="51"/>
        <v>0</v>
      </c>
      <c r="BF39" s="177">
        <f t="shared" si="51"/>
        <v>32</v>
      </c>
      <c r="BG39" s="177">
        <f t="shared" si="51"/>
        <v>0</v>
      </c>
    </row>
    <row r="40" spans="1:59" s="126" customFormat="1" x14ac:dyDescent="0.25">
      <c r="A40" s="126" t="s">
        <v>122</v>
      </c>
      <c r="C40" s="8"/>
      <c r="D40" s="157">
        <f t="shared" ref="D40:AI40" si="58">D4+D11+D22</f>
        <v>0</v>
      </c>
      <c r="E40" s="157">
        <f t="shared" si="58"/>
        <v>0</v>
      </c>
      <c r="F40" s="157">
        <f t="shared" si="58"/>
        <v>0</v>
      </c>
      <c r="G40" s="157">
        <f t="shared" si="58"/>
        <v>0</v>
      </c>
      <c r="H40" s="157">
        <f t="shared" si="58"/>
        <v>0</v>
      </c>
      <c r="I40" s="157">
        <f t="shared" si="58"/>
        <v>0</v>
      </c>
      <c r="J40" s="157">
        <f t="shared" si="58"/>
        <v>0</v>
      </c>
      <c r="K40" s="157">
        <f t="shared" si="58"/>
        <v>0</v>
      </c>
      <c r="L40" s="157">
        <f t="shared" si="58"/>
        <v>0</v>
      </c>
      <c r="M40" s="157">
        <f t="shared" si="58"/>
        <v>0</v>
      </c>
      <c r="N40" s="304">
        <f t="shared" ref="N40:O40" si="59">N4+N11+N22</f>
        <v>0</v>
      </c>
      <c r="O40" s="304">
        <f t="shared" si="59"/>
        <v>0</v>
      </c>
      <c r="P40" s="305">
        <f t="shared" ref="P40:Q40" si="60">P4+P11+P22</f>
        <v>0</v>
      </c>
      <c r="Q40" s="305">
        <f t="shared" si="60"/>
        <v>0</v>
      </c>
      <c r="R40" s="290">
        <f t="shared" si="58"/>
        <v>0</v>
      </c>
      <c r="S40" s="290">
        <f t="shared" si="58"/>
        <v>0</v>
      </c>
      <c r="T40" s="157">
        <f t="shared" si="58"/>
        <v>0</v>
      </c>
      <c r="U40" s="157">
        <f t="shared" si="58"/>
        <v>0</v>
      </c>
      <c r="V40" s="306">
        <f t="shared" ref="V40:W40" si="61">V4+V11+V22</f>
        <v>0</v>
      </c>
      <c r="W40" s="306">
        <f t="shared" si="61"/>
        <v>0</v>
      </c>
      <c r="X40" s="307">
        <f t="shared" ref="X40:Y40" si="62">X4+X11+X22</f>
        <v>0</v>
      </c>
      <c r="Y40" s="307">
        <f t="shared" si="62"/>
        <v>0</v>
      </c>
      <c r="Z40" s="309">
        <f t="shared" ref="Z40:AA40" si="63">Z4+Z11+Z22</f>
        <v>0</v>
      </c>
      <c r="AA40" s="309">
        <f t="shared" si="63"/>
        <v>0</v>
      </c>
      <c r="AB40" s="310">
        <f t="shared" ref="AB40:AC40" si="64">AB4+AB11+AB22</f>
        <v>0</v>
      </c>
      <c r="AC40" s="310">
        <f t="shared" si="64"/>
        <v>0</v>
      </c>
      <c r="AD40" s="157">
        <f t="shared" si="58"/>
        <v>0</v>
      </c>
      <c r="AE40" s="269">
        <f t="shared" si="58"/>
        <v>0</v>
      </c>
      <c r="AF40" s="157">
        <f t="shared" si="58"/>
        <v>0</v>
      </c>
      <c r="AG40" s="271">
        <f t="shared" si="58"/>
        <v>0</v>
      </c>
      <c r="AH40" s="157">
        <f t="shared" si="58"/>
        <v>0</v>
      </c>
      <c r="AI40" s="157">
        <f t="shared" si="58"/>
        <v>0</v>
      </c>
      <c r="AJ40" s="297">
        <f t="shared" ref="AJ40:BG40" si="65">AJ4+AJ11+AJ22</f>
        <v>0</v>
      </c>
      <c r="AK40" s="297">
        <f t="shared" si="65"/>
        <v>0</v>
      </c>
      <c r="AL40" s="311">
        <f t="shared" ref="AL40:AM40" si="66">AL4+AL11+AL22</f>
        <v>0</v>
      </c>
      <c r="AM40" s="311">
        <f t="shared" si="66"/>
        <v>0</v>
      </c>
      <c r="AN40" s="312">
        <f t="shared" ref="AN40:AO40" si="67">AN4+AN11+AN22</f>
        <v>0</v>
      </c>
      <c r="AO40" s="312">
        <f t="shared" si="67"/>
        <v>0</v>
      </c>
      <c r="AP40" s="298">
        <f t="shared" si="65"/>
        <v>0</v>
      </c>
      <c r="AQ40" s="298">
        <f t="shared" si="65"/>
        <v>0</v>
      </c>
      <c r="AR40" s="313">
        <f t="shared" ref="AR40:AS40" si="68">AR4+AR11+AR22</f>
        <v>0</v>
      </c>
      <c r="AS40" s="313">
        <f t="shared" si="68"/>
        <v>0</v>
      </c>
      <c r="AT40" s="314">
        <f t="shared" ref="AT40:AU40" si="69">AT4+AT11+AT22</f>
        <v>0</v>
      </c>
      <c r="AU40" s="314">
        <f t="shared" si="69"/>
        <v>0</v>
      </c>
      <c r="AV40" s="322">
        <f t="shared" ref="AV40:AW40" si="70">AV4+AV11+AV22</f>
        <v>0</v>
      </c>
      <c r="AW40" s="322">
        <f t="shared" si="70"/>
        <v>0</v>
      </c>
      <c r="AX40" s="323">
        <f t="shared" ref="AX40:AY40" si="71">AX4+AX11+AX22</f>
        <v>0</v>
      </c>
      <c r="AY40" s="323">
        <f t="shared" si="71"/>
        <v>0</v>
      </c>
      <c r="AZ40" s="157">
        <f t="shared" si="65"/>
        <v>0</v>
      </c>
      <c r="BA40" s="274">
        <f t="shared" si="65"/>
        <v>0</v>
      </c>
      <c r="BB40" s="157">
        <f t="shared" si="65"/>
        <v>0</v>
      </c>
      <c r="BC40" s="275">
        <f t="shared" si="65"/>
        <v>0</v>
      </c>
      <c r="BD40" s="299">
        <f t="shared" si="65"/>
        <v>0</v>
      </c>
      <c r="BE40" s="299">
        <f t="shared" si="65"/>
        <v>0</v>
      </c>
      <c r="BF40" s="177">
        <f t="shared" si="65"/>
        <v>0</v>
      </c>
      <c r="BG40" s="177">
        <f t="shared" si="65"/>
        <v>0</v>
      </c>
    </row>
    <row r="41" spans="1:59" x14ac:dyDescent="0.25">
      <c r="A41" t="s">
        <v>35</v>
      </c>
      <c r="C41" s="8"/>
      <c r="D41" s="59">
        <f t="shared" ref="D41:AI41" si="72">D7+D14+D25</f>
        <v>0</v>
      </c>
      <c r="E41" s="59">
        <f t="shared" si="72"/>
        <v>0</v>
      </c>
      <c r="F41" s="59">
        <f t="shared" si="72"/>
        <v>0</v>
      </c>
      <c r="G41" s="59">
        <f t="shared" si="72"/>
        <v>0</v>
      </c>
      <c r="H41" s="59">
        <f t="shared" si="72"/>
        <v>1</v>
      </c>
      <c r="I41" s="59">
        <f t="shared" si="72"/>
        <v>0</v>
      </c>
      <c r="J41" s="59">
        <f t="shared" si="72"/>
        <v>1</v>
      </c>
      <c r="K41" s="59">
        <f t="shared" si="72"/>
        <v>0</v>
      </c>
      <c r="L41" s="153">
        <f t="shared" si="72"/>
        <v>1</v>
      </c>
      <c r="M41" s="59">
        <f t="shared" si="72"/>
        <v>0</v>
      </c>
      <c r="N41" s="304">
        <f t="shared" ref="N41:O41" si="73">N7+N14+N25</f>
        <v>1</v>
      </c>
      <c r="O41" s="304">
        <f t="shared" si="73"/>
        <v>0</v>
      </c>
      <c r="P41" s="305">
        <f t="shared" ref="P41:Q41" si="74">P7+P14+P25</f>
        <v>1</v>
      </c>
      <c r="Q41" s="305">
        <f t="shared" si="74"/>
        <v>0</v>
      </c>
      <c r="R41" s="290">
        <f t="shared" si="72"/>
        <v>0</v>
      </c>
      <c r="S41" s="290">
        <f t="shared" si="72"/>
        <v>0</v>
      </c>
      <c r="T41" s="59">
        <f t="shared" si="72"/>
        <v>0</v>
      </c>
      <c r="U41" s="59">
        <f t="shared" si="72"/>
        <v>0</v>
      </c>
      <c r="V41" s="306">
        <f t="shared" ref="V41:W41" si="75">V7+V14+V25</f>
        <v>1</v>
      </c>
      <c r="W41" s="306">
        <f t="shared" si="75"/>
        <v>0</v>
      </c>
      <c r="X41" s="307">
        <f t="shared" ref="X41:Y41" si="76">X7+X14+X25</f>
        <v>1</v>
      </c>
      <c r="Y41" s="307">
        <f t="shared" si="76"/>
        <v>0</v>
      </c>
      <c r="Z41" s="309">
        <f t="shared" ref="Z41:AA41" si="77">Z7+Z14+Z25</f>
        <v>1</v>
      </c>
      <c r="AA41" s="309">
        <f t="shared" si="77"/>
        <v>0</v>
      </c>
      <c r="AB41" s="310">
        <f t="shared" ref="AB41:AC41" si="78">AB7+AB14+AB25</f>
        <v>1</v>
      </c>
      <c r="AC41" s="310">
        <f t="shared" si="78"/>
        <v>0</v>
      </c>
      <c r="AD41" s="59">
        <f t="shared" si="72"/>
        <v>1</v>
      </c>
      <c r="AE41" s="269">
        <f t="shared" si="72"/>
        <v>0</v>
      </c>
      <c r="AF41" s="271">
        <f t="shared" si="72"/>
        <v>0</v>
      </c>
      <c r="AG41" s="271">
        <f t="shared" si="72"/>
        <v>0</v>
      </c>
      <c r="AH41" s="59">
        <f t="shared" si="72"/>
        <v>0</v>
      </c>
      <c r="AI41" s="59">
        <f t="shared" si="72"/>
        <v>0</v>
      </c>
      <c r="AJ41" s="297">
        <f t="shared" ref="AJ41:BG41" si="79">AJ7+AJ14+AJ25</f>
        <v>1</v>
      </c>
      <c r="AK41" s="297">
        <f t="shared" si="79"/>
        <v>0</v>
      </c>
      <c r="AL41" s="311">
        <f t="shared" ref="AL41:AM41" si="80">AL7+AL14+AL25</f>
        <v>1</v>
      </c>
      <c r="AM41" s="311">
        <f t="shared" si="80"/>
        <v>0</v>
      </c>
      <c r="AN41" s="312">
        <f t="shared" ref="AN41:AO41" si="81">AN7+AN14+AN25</f>
        <v>1</v>
      </c>
      <c r="AO41" s="312">
        <f t="shared" si="81"/>
        <v>0</v>
      </c>
      <c r="AP41" s="298">
        <f t="shared" si="79"/>
        <v>1</v>
      </c>
      <c r="AQ41" s="298">
        <f t="shared" si="79"/>
        <v>0</v>
      </c>
      <c r="AR41" s="313">
        <f t="shared" ref="AR41:AS41" si="82">AR7+AR14+AR25</f>
        <v>1</v>
      </c>
      <c r="AS41" s="313">
        <f t="shared" si="82"/>
        <v>0</v>
      </c>
      <c r="AT41" s="314">
        <f t="shared" ref="AT41:AU41" si="83">AT7+AT14+AT25</f>
        <v>0</v>
      </c>
      <c r="AU41" s="314">
        <f t="shared" si="83"/>
        <v>0</v>
      </c>
      <c r="AV41" s="322">
        <f t="shared" ref="AV41:AW41" si="84">AV7+AV14+AV25</f>
        <v>0</v>
      </c>
      <c r="AW41" s="322">
        <f t="shared" si="84"/>
        <v>0</v>
      </c>
      <c r="AX41" s="323">
        <f t="shared" ref="AX41:AY41" si="85">AX7+AX14+AX25</f>
        <v>1</v>
      </c>
      <c r="AY41" s="323">
        <f t="shared" si="85"/>
        <v>0</v>
      </c>
      <c r="AZ41" s="274">
        <f t="shared" si="79"/>
        <v>1</v>
      </c>
      <c r="BA41" s="274">
        <f t="shared" si="79"/>
        <v>0</v>
      </c>
      <c r="BB41" s="275">
        <f t="shared" si="79"/>
        <v>1</v>
      </c>
      <c r="BC41" s="275">
        <f t="shared" si="79"/>
        <v>0</v>
      </c>
      <c r="BD41" s="299">
        <f t="shared" si="79"/>
        <v>1</v>
      </c>
      <c r="BE41" s="299">
        <f t="shared" si="79"/>
        <v>0</v>
      </c>
      <c r="BF41" s="177">
        <f t="shared" si="79"/>
        <v>1</v>
      </c>
      <c r="BG41" s="177">
        <f t="shared" si="79"/>
        <v>0</v>
      </c>
    </row>
    <row r="42" spans="1:59" s="126" customFormat="1" x14ac:dyDescent="0.25">
      <c r="A42" s="126" t="s">
        <v>164</v>
      </c>
      <c r="C42" s="8"/>
      <c r="D42" s="303"/>
      <c r="E42" s="303"/>
      <c r="F42" s="303"/>
      <c r="G42" s="303"/>
      <c r="H42" s="303">
        <f>H16</f>
        <v>6</v>
      </c>
      <c r="I42" s="303">
        <v>0</v>
      </c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Y42" s="303"/>
      <c r="Z42" s="303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</row>
    <row r="43" spans="1:59" s="126" customFormat="1" x14ac:dyDescent="0.25">
      <c r="A43" s="126" t="s">
        <v>165</v>
      </c>
      <c r="C43" s="8"/>
      <c r="D43" s="303"/>
      <c r="E43" s="303"/>
      <c r="F43" s="303"/>
      <c r="G43" s="303"/>
      <c r="H43" s="303">
        <f>H17</f>
        <v>4</v>
      </c>
      <c r="I43" s="303">
        <f>I17</f>
        <v>0</v>
      </c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Y43" s="303"/>
      <c r="Z43" s="303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</row>
    <row r="44" spans="1:59" s="126" customFormat="1" x14ac:dyDescent="0.25">
      <c r="A44" s="126" t="s">
        <v>158</v>
      </c>
      <c r="C44" s="8"/>
      <c r="D44" s="314"/>
      <c r="E44" s="314"/>
      <c r="F44" s="314"/>
      <c r="G44" s="314"/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  <c r="AA44" s="314"/>
      <c r="AB44" s="314"/>
      <c r="AC44" s="314"/>
      <c r="AD44" s="314"/>
      <c r="AE44" s="314"/>
      <c r="AF44" s="314"/>
      <c r="AG44" s="314"/>
      <c r="AH44" s="314"/>
      <c r="AI44" s="314"/>
      <c r="AJ44" s="314"/>
      <c r="AK44" s="314"/>
      <c r="AL44" s="314"/>
      <c r="AM44" s="314"/>
      <c r="AN44" s="314"/>
      <c r="AO44" s="314"/>
      <c r="AP44" s="314"/>
      <c r="AQ44" s="314"/>
      <c r="AR44" s="314"/>
      <c r="AS44" s="314"/>
      <c r="AT44" s="314"/>
      <c r="AU44" s="314"/>
      <c r="AV44" s="314"/>
      <c r="AW44" s="314"/>
      <c r="AX44" s="314">
        <f>AX18</f>
        <v>4</v>
      </c>
      <c r="AY44" s="323">
        <f>AY18</f>
        <v>0</v>
      </c>
      <c r="AZ44" s="314">
        <f t="shared" ref="AZ44:BG44" si="86">AZ18</f>
        <v>4</v>
      </c>
      <c r="BA44" s="314">
        <f t="shared" si="86"/>
        <v>0</v>
      </c>
      <c r="BB44" s="314">
        <f t="shared" si="86"/>
        <v>0</v>
      </c>
      <c r="BC44" s="314">
        <f t="shared" si="86"/>
        <v>0</v>
      </c>
      <c r="BD44" s="314">
        <f t="shared" si="86"/>
        <v>4</v>
      </c>
      <c r="BE44" s="314">
        <f t="shared" si="86"/>
        <v>0</v>
      </c>
      <c r="BF44" s="314">
        <f t="shared" si="86"/>
        <v>4</v>
      </c>
      <c r="BG44" s="314">
        <f t="shared" si="86"/>
        <v>0</v>
      </c>
    </row>
    <row r="45" spans="1:59" s="126" customFormat="1" x14ac:dyDescent="0.25">
      <c r="A45" s="126" t="s">
        <v>157</v>
      </c>
      <c r="C45" s="8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314"/>
      <c r="AB45" s="314"/>
      <c r="AC45" s="314"/>
      <c r="AD45" s="314"/>
      <c r="AE45" s="314"/>
      <c r="AF45" s="314"/>
      <c r="AG45" s="314"/>
      <c r="AH45" s="314"/>
      <c r="AI45" s="314"/>
      <c r="AJ45" s="314"/>
      <c r="AK45" s="314"/>
      <c r="AL45" s="314"/>
      <c r="AM45" s="314"/>
      <c r="AN45" s="314"/>
      <c r="AO45" s="314"/>
      <c r="AP45" s="314"/>
      <c r="AQ45" s="314"/>
      <c r="AR45" s="314"/>
      <c r="AS45" s="314"/>
      <c r="AT45" s="314"/>
      <c r="AU45" s="314"/>
      <c r="AV45" s="314"/>
      <c r="AW45" s="314"/>
      <c r="AX45" s="323">
        <f>AX19</f>
        <v>2</v>
      </c>
      <c r="AY45" s="323">
        <f>AY19</f>
        <v>0</v>
      </c>
      <c r="AZ45" s="314">
        <f t="shared" ref="AZ45:BG45" si="87">AZ19</f>
        <v>2</v>
      </c>
      <c r="BA45" s="314">
        <f t="shared" si="87"/>
        <v>0</v>
      </c>
      <c r="BB45" s="314">
        <f t="shared" si="87"/>
        <v>0</v>
      </c>
      <c r="BC45" s="314">
        <f t="shared" si="87"/>
        <v>0</v>
      </c>
      <c r="BD45" s="314">
        <f t="shared" si="87"/>
        <v>2</v>
      </c>
      <c r="BE45" s="314">
        <f t="shared" si="87"/>
        <v>0</v>
      </c>
      <c r="BF45" s="314">
        <f t="shared" si="87"/>
        <v>2</v>
      </c>
      <c r="BG45" s="314">
        <f t="shared" si="87"/>
        <v>0</v>
      </c>
    </row>
    <row r="46" spans="1:59" x14ac:dyDescent="0.25">
      <c r="A46" s="365" t="s">
        <v>83</v>
      </c>
      <c r="B46" s="365"/>
      <c r="C46" s="8"/>
      <c r="D46" s="152">
        <f>SUM(D36:D41)</f>
        <v>144</v>
      </c>
      <c r="E46" s="250">
        <f>SUM(E36:E41)</f>
        <v>3</v>
      </c>
      <c r="F46" s="250">
        <f t="shared" ref="F46:AI46" si="88">SUM(F36:F41)</f>
        <v>108</v>
      </c>
      <c r="G46" s="250">
        <f t="shared" si="88"/>
        <v>3</v>
      </c>
      <c r="H46" s="250">
        <f>SUM(H36:H43)</f>
        <v>204</v>
      </c>
      <c r="I46" s="250">
        <f>SUM(I36:I43)</f>
        <v>6</v>
      </c>
      <c r="J46" s="250">
        <f t="shared" si="88"/>
        <v>218</v>
      </c>
      <c r="K46" s="250">
        <f t="shared" si="88"/>
        <v>5</v>
      </c>
      <c r="L46" s="250">
        <f t="shared" si="88"/>
        <v>220</v>
      </c>
      <c r="M46" s="250">
        <f t="shared" si="88"/>
        <v>3</v>
      </c>
      <c r="N46" s="250">
        <f t="shared" si="88"/>
        <v>220</v>
      </c>
      <c r="O46" s="250">
        <f t="shared" si="88"/>
        <v>3</v>
      </c>
      <c r="P46" s="250">
        <f t="shared" si="88"/>
        <v>220</v>
      </c>
      <c r="Q46" s="250">
        <f t="shared" si="88"/>
        <v>3</v>
      </c>
      <c r="R46" s="250">
        <f t="shared" si="88"/>
        <v>130</v>
      </c>
      <c r="S46" s="250">
        <f t="shared" si="88"/>
        <v>8</v>
      </c>
      <c r="T46" s="250">
        <f t="shared" si="88"/>
        <v>2</v>
      </c>
      <c r="U46" s="250">
        <f>SUM(U36:U41)</f>
        <v>50</v>
      </c>
      <c r="V46" s="292">
        <f>SUM(V36:V41)</f>
        <v>219</v>
      </c>
      <c r="W46" s="292">
        <f>SUM(W36:W41)</f>
        <v>3</v>
      </c>
      <c r="X46" s="250">
        <f t="shared" si="88"/>
        <v>220</v>
      </c>
      <c r="Y46" s="250">
        <f t="shared" si="88"/>
        <v>3</v>
      </c>
      <c r="Z46" s="250">
        <f t="shared" si="88"/>
        <v>220</v>
      </c>
      <c r="AA46" s="250">
        <f t="shared" si="88"/>
        <v>3</v>
      </c>
      <c r="AB46" s="250">
        <f t="shared" si="88"/>
        <v>220</v>
      </c>
      <c r="AC46" s="250">
        <f t="shared" si="88"/>
        <v>3</v>
      </c>
      <c r="AD46" s="250">
        <f t="shared" si="88"/>
        <v>220</v>
      </c>
      <c r="AE46" s="250">
        <f t="shared" si="88"/>
        <v>3</v>
      </c>
      <c r="AF46" s="250">
        <f t="shared" si="88"/>
        <v>144</v>
      </c>
      <c r="AG46" s="250">
        <f t="shared" si="88"/>
        <v>3</v>
      </c>
      <c r="AH46" s="250">
        <f t="shared" si="88"/>
        <v>108</v>
      </c>
      <c r="AI46" s="250">
        <f t="shared" si="88"/>
        <v>3</v>
      </c>
      <c r="AJ46" s="250">
        <f t="shared" ref="AJ46:AW46" si="89">SUM(AJ36:AJ41)</f>
        <v>220</v>
      </c>
      <c r="AK46" s="250">
        <f t="shared" si="89"/>
        <v>3</v>
      </c>
      <c r="AL46" s="250">
        <f t="shared" si="89"/>
        <v>220</v>
      </c>
      <c r="AM46" s="250">
        <f t="shared" si="89"/>
        <v>3</v>
      </c>
      <c r="AN46" s="250">
        <f t="shared" si="89"/>
        <v>220</v>
      </c>
      <c r="AO46" s="250">
        <f t="shared" si="89"/>
        <v>3</v>
      </c>
      <c r="AP46" s="250">
        <f t="shared" si="89"/>
        <v>220</v>
      </c>
      <c r="AQ46" s="250">
        <f t="shared" si="89"/>
        <v>3</v>
      </c>
      <c r="AR46" s="250">
        <f t="shared" si="89"/>
        <v>220</v>
      </c>
      <c r="AS46" s="250">
        <f t="shared" si="89"/>
        <v>3</v>
      </c>
      <c r="AT46" s="250">
        <f t="shared" si="89"/>
        <v>144</v>
      </c>
      <c r="AU46" s="250">
        <f t="shared" si="89"/>
        <v>3</v>
      </c>
      <c r="AV46" s="250">
        <f t="shared" si="89"/>
        <v>74</v>
      </c>
      <c r="AW46" s="250">
        <f t="shared" si="89"/>
        <v>37</v>
      </c>
      <c r="AX46" s="250">
        <f>SUM(AX36:AX45)</f>
        <v>192</v>
      </c>
      <c r="AY46" s="314">
        <f t="shared" ref="AY46:BG46" si="90">SUM(AY36:AY45)</f>
        <v>37</v>
      </c>
      <c r="AZ46" s="314">
        <f t="shared" si="90"/>
        <v>123</v>
      </c>
      <c r="BA46" s="314">
        <f t="shared" si="90"/>
        <v>0</v>
      </c>
      <c r="BB46" s="314">
        <f t="shared" si="90"/>
        <v>195</v>
      </c>
      <c r="BC46" s="314">
        <f t="shared" si="90"/>
        <v>28</v>
      </c>
      <c r="BD46" s="314">
        <f t="shared" si="90"/>
        <v>194</v>
      </c>
      <c r="BE46" s="314">
        <f t="shared" si="90"/>
        <v>35</v>
      </c>
      <c r="BF46" s="314">
        <f t="shared" si="90"/>
        <v>194</v>
      </c>
      <c r="BG46" s="314">
        <f t="shared" si="90"/>
        <v>35</v>
      </c>
    </row>
    <row r="47" spans="1:59" x14ac:dyDescent="0.25">
      <c r="C47" s="8"/>
      <c r="L47" s="126"/>
      <c r="AR47" s="56"/>
      <c r="AS47" s="56"/>
      <c r="AT47" s="56"/>
      <c r="AU47" s="56"/>
      <c r="AV47" s="56"/>
      <c r="AW47" s="56"/>
      <c r="AX47" s="56"/>
      <c r="AY47" s="56"/>
      <c r="AZ47" s="56"/>
      <c r="BB47" s="56"/>
      <c r="BD47" s="56"/>
    </row>
    <row r="48" spans="1:59" x14ac:dyDescent="0.25">
      <c r="A48" s="58" t="s">
        <v>84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60"/>
      <c r="AS48" s="60"/>
      <c r="AT48" s="60"/>
      <c r="AU48" s="60"/>
      <c r="AV48" s="60"/>
      <c r="AW48" s="60"/>
      <c r="AX48" s="60"/>
      <c r="AY48" s="60"/>
      <c r="AZ48" s="60"/>
      <c r="BA48" s="58"/>
      <c r="BB48" s="60"/>
      <c r="BC48" s="58"/>
      <c r="BD48" s="60"/>
      <c r="BE48" s="58"/>
      <c r="BF48" s="58"/>
      <c r="BG48" s="58"/>
    </row>
    <row r="49" spans="1:59" x14ac:dyDescent="0.25">
      <c r="A49" t="s">
        <v>79</v>
      </c>
      <c r="C49" s="8"/>
      <c r="D49" s="59">
        <f>D5+E5+D12+E12+D23+E23</f>
        <v>72</v>
      </c>
      <c r="E49" s="59"/>
      <c r="F49" s="59">
        <f>F5+G5+F12+G12+F23+G23</f>
        <v>54</v>
      </c>
      <c r="G49" s="59"/>
      <c r="H49" s="59">
        <f>H5+I5+H12+I12+H23+I23</f>
        <v>69</v>
      </c>
      <c r="I49" s="59"/>
      <c r="J49" s="59">
        <f>J5+K5+J12+K12+J23+K23</f>
        <v>79</v>
      </c>
      <c r="K49" s="59"/>
      <c r="L49" s="153">
        <f>L5+M5+L12+M12+L23+M23</f>
        <v>79</v>
      </c>
      <c r="M49" s="304"/>
      <c r="N49" s="304">
        <f t="shared" ref="N49" si="91">N5+O5+N12+O12+N23+O23</f>
        <v>79</v>
      </c>
      <c r="O49" s="305"/>
      <c r="P49" s="305">
        <f t="shared" ref="P49" si="92">P5+Q5+P12+Q12+P23+Q23</f>
        <v>79</v>
      </c>
      <c r="Q49" s="290"/>
      <c r="R49" s="290">
        <f>R5+S5+R12+S12+R23+S23</f>
        <v>67</v>
      </c>
      <c r="S49" s="59"/>
      <c r="T49" s="59">
        <f>T5+U5+T12+U12+T23+U23</f>
        <v>25</v>
      </c>
      <c r="U49" s="306"/>
      <c r="V49" s="306">
        <f t="shared" ref="V49" si="93">V5+W5+V12+W12+V23+W23</f>
        <v>80</v>
      </c>
      <c r="W49" s="307"/>
      <c r="X49" s="307">
        <f t="shared" ref="X49" si="94">X5+Y5+X12+Y12+X23+Y23</f>
        <v>79</v>
      </c>
      <c r="Y49" s="309"/>
      <c r="Z49" s="309">
        <f t="shared" ref="Z49" si="95">Z5+AA5+Z12+AA12+Z23+AA23</f>
        <v>79</v>
      </c>
      <c r="AA49" s="310"/>
      <c r="AB49" s="310">
        <f t="shared" ref="AB49" si="96">AB5+AC5+AB12+AC12+AB23+AC23</f>
        <v>79</v>
      </c>
      <c r="AC49" s="59"/>
      <c r="AD49" s="59">
        <f>AD5+AE5+AD12+AE12+AD23+AE23</f>
        <v>79</v>
      </c>
      <c r="AE49" s="59"/>
      <c r="AF49" s="59">
        <f>AF5+AG5+AF12+AG12+AF23+AG23</f>
        <v>72</v>
      </c>
      <c r="AG49" s="59"/>
      <c r="AH49" s="59">
        <f>AH5+AI5+AH12+AI12+AH23+AI23</f>
        <v>54</v>
      </c>
      <c r="AI49" s="297"/>
      <c r="AJ49" s="297">
        <f>AJ5+AK5+AJ12+AK12+AJ23+AK23</f>
        <v>79</v>
      </c>
      <c r="AK49" s="311"/>
      <c r="AL49" s="311">
        <f t="shared" ref="AL49" si="97">AL5+AM5+AL12+AM12+AL23+AM23</f>
        <v>79</v>
      </c>
      <c r="AM49" s="312"/>
      <c r="AN49" s="312">
        <f t="shared" ref="AN49" si="98">AN5+AO5+AN12+AO12+AN23+AO23</f>
        <v>79</v>
      </c>
      <c r="AO49" s="298"/>
      <c r="AP49" s="298">
        <f>AP5+AQ5+AP12+AQ12+AP23+AQ23</f>
        <v>79</v>
      </c>
      <c r="AQ49" s="313"/>
      <c r="AR49" s="313">
        <f t="shared" ref="AR49" si="99">AR5+AS5+AR12+AS12+AR23+AS23</f>
        <v>79</v>
      </c>
      <c r="AS49" s="314"/>
      <c r="AT49" s="314">
        <f t="shared" ref="AT49" si="100">AT5+AU5+AT12+AU12+AT23+AU23</f>
        <v>72</v>
      </c>
      <c r="AU49" s="322"/>
      <c r="AV49" s="322">
        <f t="shared" ref="AV49" si="101">AV5+AW5+AV12+AW12+AV23+AW23</f>
        <v>54</v>
      </c>
      <c r="AW49" s="323"/>
      <c r="AX49" s="323">
        <f t="shared" ref="AX49" si="102">AX5+AY5+AX12+AY12+AX23+AY23</f>
        <v>79</v>
      </c>
      <c r="AY49" s="59"/>
      <c r="AZ49" s="59">
        <f>AZ5+BA5+AZ12+BA12+AZ23+BA23</f>
        <v>44</v>
      </c>
      <c r="BA49" s="59"/>
      <c r="BB49" s="117">
        <f>BB5+BC5+BB12+BC12+BB23+BC23</f>
        <v>79</v>
      </c>
      <c r="BC49" s="299"/>
      <c r="BD49" s="299">
        <f>BD5+BE5+BD12+BE12+BD23+BE23</f>
        <v>79</v>
      </c>
      <c r="BE49" s="117"/>
      <c r="BF49" s="59">
        <f>BF5+BG5+BF12+BG12+BF23+BG23</f>
        <v>79</v>
      </c>
      <c r="BG49" s="300"/>
    </row>
    <row r="50" spans="1:59" x14ac:dyDescent="0.25">
      <c r="A50" t="s">
        <v>80</v>
      </c>
      <c r="C50" s="8"/>
      <c r="D50" s="59">
        <f>D8+E8+D15+E15+D26+E26</f>
        <v>75</v>
      </c>
      <c r="E50" s="59"/>
      <c r="F50" s="59">
        <f>F8+G8+F15+G15+F26+G26</f>
        <v>57</v>
      </c>
      <c r="G50" s="59"/>
      <c r="H50" s="59">
        <f>H8+I8+H15+I15+H26+I26</f>
        <v>71</v>
      </c>
      <c r="I50" s="59"/>
      <c r="J50" s="59">
        <f>J8+K8+J15+K15+J26+K26</f>
        <v>78</v>
      </c>
      <c r="K50" s="59"/>
      <c r="L50" s="59">
        <f>L8+M8+L15+M15+L26+M26</f>
        <v>78</v>
      </c>
      <c r="M50" s="304"/>
      <c r="N50" s="304">
        <f t="shared" ref="N50" si="103">N8+O8+N15+O15+N26+O26</f>
        <v>78</v>
      </c>
      <c r="O50" s="305"/>
      <c r="P50" s="305">
        <f t="shared" ref="P50" si="104">P8+Q8+P15+Q15+P26+Q26</f>
        <v>78</v>
      </c>
      <c r="Q50" s="290"/>
      <c r="R50" s="290">
        <f>R8+S8+R15+S15+R26+S26</f>
        <v>71</v>
      </c>
      <c r="S50" s="59"/>
      <c r="T50" s="59">
        <f>T8+U8+T15+U15+T26+U26</f>
        <v>27</v>
      </c>
      <c r="U50" s="306"/>
      <c r="V50" s="306">
        <f t="shared" ref="V50" si="105">V8+W8+V15+W15+V26+W26</f>
        <v>78</v>
      </c>
      <c r="W50" s="307"/>
      <c r="X50" s="307">
        <f t="shared" ref="X50" si="106">X8+Y8+X15+Y15+X26+Y26</f>
        <v>78</v>
      </c>
      <c r="Y50" s="309"/>
      <c r="Z50" s="309">
        <f t="shared" ref="Z50" si="107">Z8+AA8+Z15+AA15+Z26+AA26</f>
        <v>78</v>
      </c>
      <c r="AA50" s="310"/>
      <c r="AB50" s="310">
        <f t="shared" ref="AB50" si="108">AB8+AC8+AB15+AC15+AB26+AC26</f>
        <v>78</v>
      </c>
      <c r="AC50" s="59"/>
      <c r="AD50" s="59">
        <f>AD8+AE8+AD15+AE15+AD26+AE26</f>
        <v>78</v>
      </c>
      <c r="AE50" s="59"/>
      <c r="AF50" s="271">
        <f>AF8+AG8+AF15+AG15+AF26+AG26</f>
        <v>75</v>
      </c>
      <c r="AG50" s="59"/>
      <c r="AH50" s="59">
        <f>AH8+AI8+AH15+AI15+AH26+AI26</f>
        <v>57</v>
      </c>
      <c r="AI50" s="297"/>
      <c r="AJ50" s="297">
        <f>AJ8+AK8+AJ15+AK15+AJ26+AK26</f>
        <v>78</v>
      </c>
      <c r="AK50" s="311"/>
      <c r="AL50" s="311">
        <f t="shared" ref="AL50" si="109">AL8+AM8+AL15+AM15+AL26+AM26</f>
        <v>78</v>
      </c>
      <c r="AM50" s="312"/>
      <c r="AN50" s="312">
        <f t="shared" ref="AN50" si="110">AN8+AO8+AN15+AO15+AN26+AO26</f>
        <v>78</v>
      </c>
      <c r="AO50" s="298"/>
      <c r="AP50" s="298">
        <f>AP8+AQ8+AP15+AQ15+AP26+AQ26</f>
        <v>78</v>
      </c>
      <c r="AQ50" s="313"/>
      <c r="AR50" s="313">
        <f t="shared" ref="AR50" si="111">AR8+AS8+AR15+AS15+AR26+AS26</f>
        <v>78</v>
      </c>
      <c r="AS50" s="314"/>
      <c r="AT50" s="314">
        <f t="shared" ref="AT50" si="112">AT8+AU8+AT15+AU15+AT26+AU26</f>
        <v>75</v>
      </c>
      <c r="AU50" s="322"/>
      <c r="AV50" s="322">
        <f t="shared" ref="AV50" si="113">AV8+AW8+AV15+AW15+AV26+AW26</f>
        <v>57</v>
      </c>
      <c r="AW50" s="323"/>
      <c r="AX50" s="323">
        <f t="shared" ref="AX50" si="114">AX8+AY8+AX15+AY15+AX26+AY26</f>
        <v>78</v>
      </c>
      <c r="AY50" s="59"/>
      <c r="AZ50" s="274">
        <f>AZ8+BA8+AZ15+BA15+AZ26+BA26</f>
        <v>45</v>
      </c>
      <c r="BA50" s="59"/>
      <c r="BB50" s="275">
        <f>BB8+BC8+BB15+BC15+BB26+BC26</f>
        <v>78</v>
      </c>
      <c r="BC50" s="299"/>
      <c r="BD50" s="299">
        <f>BD8+BE8+BD15+BE15+BD26+BE26</f>
        <v>78</v>
      </c>
      <c r="BE50" s="117"/>
      <c r="BF50" s="59">
        <f>BF8+BG8+BF15+BG15+BF26+BG26</f>
        <v>78</v>
      </c>
      <c r="BG50" s="300"/>
    </row>
    <row r="51" spans="1:59" x14ac:dyDescent="0.25">
      <c r="A51" t="s">
        <v>81</v>
      </c>
      <c r="C51" s="8"/>
      <c r="D51" s="59">
        <f>D3+E3+D10+E10+D21+E21</f>
        <v>0</v>
      </c>
      <c r="E51" s="59"/>
      <c r="F51" s="59">
        <f>F3+G3+F10+G10+F21+G21</f>
        <v>0</v>
      </c>
      <c r="G51" s="59"/>
      <c r="H51" s="59">
        <f>H3+I3+H10+I10+H21+I21</f>
        <v>30</v>
      </c>
      <c r="I51" s="59"/>
      <c r="J51" s="59">
        <f>J3+K3+J10+K10+J21+K21</f>
        <v>33</v>
      </c>
      <c r="K51" s="59"/>
      <c r="L51" s="59">
        <f>L3+M3+L10+M10+L21+M21</f>
        <v>33</v>
      </c>
      <c r="M51" s="304"/>
      <c r="N51" s="304">
        <f t="shared" ref="N51" si="115">N3+O3+N10+O10+N21+O21</f>
        <v>33</v>
      </c>
      <c r="O51" s="305"/>
      <c r="P51" s="305">
        <f t="shared" ref="P51" si="116">P3+Q3+P10+Q10+P21+Q21</f>
        <v>33</v>
      </c>
      <c r="Q51" s="290"/>
      <c r="R51" s="290">
        <f>R3+S3+R10+S10+R21+S21</f>
        <v>0</v>
      </c>
      <c r="S51" s="59"/>
      <c r="T51" s="59">
        <f>T3+U3+T10+U10+T21+U21</f>
        <v>0</v>
      </c>
      <c r="U51" s="306"/>
      <c r="V51" s="306">
        <f t="shared" ref="V51" si="117">V3+W3+V10+W10+V21+W21</f>
        <v>31</v>
      </c>
      <c r="W51" s="307"/>
      <c r="X51" s="307">
        <f t="shared" ref="X51" si="118">X3+Y3+X10+Y10+X21+Y21</f>
        <v>33</v>
      </c>
      <c r="Y51" s="309"/>
      <c r="Z51" s="309">
        <f t="shared" ref="Z51" si="119">Z3+AA3+Z10+AA10+Z21+AA21</f>
        <v>33</v>
      </c>
      <c r="AA51" s="310"/>
      <c r="AB51" s="310">
        <f t="shared" ref="AB51" si="120">AB3+AC3+AB10+AC10+AB21+AC21</f>
        <v>33</v>
      </c>
      <c r="AC51" s="59"/>
      <c r="AD51" s="59">
        <f>AD3+AE3+AD10+AE10+AD21+AE21</f>
        <v>33</v>
      </c>
      <c r="AE51" s="59"/>
      <c r="AF51" s="59">
        <f>AF3+AG3+AF10+AG10+AF21+AG21</f>
        <v>0</v>
      </c>
      <c r="AG51" s="59"/>
      <c r="AH51" s="59">
        <f>AH3+AI3+AH10+AI10+AH21+AI21</f>
        <v>0</v>
      </c>
      <c r="AI51" s="297"/>
      <c r="AJ51" s="297">
        <f>AJ3+AK3+AJ10+AK10+AJ21+AK21</f>
        <v>33</v>
      </c>
      <c r="AK51" s="311"/>
      <c r="AL51" s="311">
        <f t="shared" ref="AL51" si="121">AL3+AM3+AL10+AM10+AL21+AM21</f>
        <v>33</v>
      </c>
      <c r="AM51" s="312"/>
      <c r="AN51" s="312">
        <f t="shared" ref="AN51" si="122">AN3+AO3+AN10+AO10+AN21+AO21</f>
        <v>33</v>
      </c>
      <c r="AO51" s="298"/>
      <c r="AP51" s="298">
        <f>AP3+AQ3+AP10+AQ10+AP21+AQ21</f>
        <v>33</v>
      </c>
      <c r="AQ51" s="313"/>
      <c r="AR51" s="313">
        <f t="shared" ref="AR51" si="123">AR3+AS3+AR10+AS10+AR21+AS21</f>
        <v>33</v>
      </c>
      <c r="AS51" s="314"/>
      <c r="AT51" s="314">
        <f t="shared" ref="AT51" si="124">AT3+AU3+AT10+AU10+AT21+AU21</f>
        <v>0</v>
      </c>
      <c r="AU51" s="322"/>
      <c r="AV51" s="322">
        <f t="shared" ref="AV51" si="125">AV3+AW3+AV10+AW10+AV21+AW21</f>
        <v>0</v>
      </c>
      <c r="AW51" s="323"/>
      <c r="AX51" s="323">
        <f t="shared" ref="AX51" si="126">AX3+AY3+AX10+AY10+AX21+AY21</f>
        <v>33</v>
      </c>
      <c r="AY51" s="59"/>
      <c r="AZ51" s="59">
        <f>AZ3+BA3+AZ10+BA10+AZ21+BA21</f>
        <v>13</v>
      </c>
      <c r="BA51" s="59"/>
      <c r="BB51" s="117">
        <f>BB3+BC3+BB10+BC10+BB21+BC21</f>
        <v>33</v>
      </c>
      <c r="BC51" s="299"/>
      <c r="BD51" s="299">
        <f>BD3+BE3+BD10+BE10+BD21+BE21</f>
        <v>33</v>
      </c>
      <c r="BE51" s="117"/>
      <c r="BF51" s="59">
        <f>BF3+BG3+BF10+BG10+BF21+BG21</f>
        <v>33</v>
      </c>
      <c r="BG51" s="300"/>
    </row>
    <row r="52" spans="1:59" x14ac:dyDescent="0.25">
      <c r="A52" t="s">
        <v>82</v>
      </c>
      <c r="C52" s="8"/>
      <c r="D52" s="59">
        <f>D6+E6+D13+E13+D24+E24</f>
        <v>0</v>
      </c>
      <c r="E52" s="59"/>
      <c r="F52" s="59">
        <f>F6+G6+F13+G13+F24+G24</f>
        <v>0</v>
      </c>
      <c r="G52" s="59"/>
      <c r="H52" s="59">
        <f>H6+I6+H13+I13+H24+I24</f>
        <v>29</v>
      </c>
      <c r="I52" s="59"/>
      <c r="J52" s="59">
        <f>J6+K6+J13+K13+J24+K24</f>
        <v>32</v>
      </c>
      <c r="K52" s="59"/>
      <c r="L52" s="59">
        <f>L6+M6+L13+M13+L24+M24</f>
        <v>32</v>
      </c>
      <c r="M52" s="304"/>
      <c r="N52" s="304">
        <f t="shared" ref="N52" si="127">N6+O6+N13+O13+N24+O24</f>
        <v>32</v>
      </c>
      <c r="O52" s="305"/>
      <c r="P52" s="305">
        <f t="shared" ref="P52" si="128">P6+Q6+P13+Q13+P24+Q24</f>
        <v>32</v>
      </c>
      <c r="Q52" s="290"/>
      <c r="R52" s="290">
        <f>R6+S6+R13+S13+R24+S24</f>
        <v>0</v>
      </c>
      <c r="S52" s="59"/>
      <c r="T52" s="59">
        <f>T6+U6+T13+U13+T24+U24</f>
        <v>0</v>
      </c>
      <c r="U52" s="306"/>
      <c r="V52" s="306">
        <f t="shared" ref="V52" si="129">V6+W6+V13+W13+V24+W24</f>
        <v>32</v>
      </c>
      <c r="W52" s="307"/>
      <c r="X52" s="307">
        <f t="shared" ref="X52" si="130">X6+Y6+X13+Y13+X24+Y24</f>
        <v>32</v>
      </c>
      <c r="Y52" s="309"/>
      <c r="Z52" s="309">
        <f t="shared" ref="Z52" si="131">Z6+AA6+Z13+AA13+Z24+AA24</f>
        <v>32</v>
      </c>
      <c r="AA52" s="310"/>
      <c r="AB52" s="310">
        <f t="shared" ref="AB52" si="132">AB6+AC6+AB13+AC13+AB24+AC24</f>
        <v>32</v>
      </c>
      <c r="AC52" s="59"/>
      <c r="AD52" s="59">
        <f>AD6+AE6+AD13+AE13+AD24+AE24</f>
        <v>32</v>
      </c>
      <c r="AE52" s="59"/>
      <c r="AF52" s="59">
        <f>AF6+AG6+AF13+AG13+AF24+AG24</f>
        <v>0</v>
      </c>
      <c r="AG52" s="59"/>
      <c r="AH52" s="59">
        <f>AH6+AI6+AH13+AI13+AH24+AI24</f>
        <v>0</v>
      </c>
      <c r="AI52" s="297"/>
      <c r="AJ52" s="297">
        <f>AJ6+AK6+AJ13+AK13+AJ24+AK24</f>
        <v>32</v>
      </c>
      <c r="AK52" s="311"/>
      <c r="AL52" s="311">
        <f t="shared" ref="AL52" si="133">AL6+AM6+AL13+AM13+AL24+AM24</f>
        <v>32</v>
      </c>
      <c r="AM52" s="312"/>
      <c r="AN52" s="312">
        <f t="shared" ref="AN52" si="134">AN6+AO6+AN13+AO13+AN24+AO24</f>
        <v>32</v>
      </c>
      <c r="AO52" s="298"/>
      <c r="AP52" s="298">
        <f>AP6+AQ6+AP13+AQ13+AP24+AQ24</f>
        <v>32</v>
      </c>
      <c r="AQ52" s="313"/>
      <c r="AR52" s="313">
        <f t="shared" ref="AR52" si="135">AR6+AS6+AR13+AS13+AR24+AS24</f>
        <v>32</v>
      </c>
      <c r="AS52" s="314"/>
      <c r="AT52" s="314">
        <f t="shared" ref="AT52" si="136">AT6+AU6+AT13+AU13+AT24+AU24</f>
        <v>0</v>
      </c>
      <c r="AU52" s="322"/>
      <c r="AV52" s="322">
        <f t="shared" ref="AV52" si="137">AV6+AW6+AV13+AW13+AV24+AW24</f>
        <v>0</v>
      </c>
      <c r="AW52" s="323"/>
      <c r="AX52" s="323">
        <f t="shared" ref="AX52" si="138">AX6+AY6+AX13+AY13+AX24+AY24</f>
        <v>32</v>
      </c>
      <c r="AY52" s="59"/>
      <c r="AZ52" s="59">
        <f>AZ6+BA6+AZ13+BA13+AZ24+BA24</f>
        <v>14</v>
      </c>
      <c r="BA52" s="59"/>
      <c r="BB52" s="117">
        <f>BB6+BC6+BB13+BC13+BB24+BC24</f>
        <v>32</v>
      </c>
      <c r="BC52" s="299"/>
      <c r="BD52" s="299">
        <f>BD6+BE6+BD13+BE13+BD24+BE24</f>
        <v>32</v>
      </c>
      <c r="BE52" s="117"/>
      <c r="BF52" s="59">
        <f>BF6+BG6+BF13+BG13+BF24+BG24</f>
        <v>32</v>
      </c>
      <c r="BG52" s="300"/>
    </row>
    <row r="53" spans="1:59" s="126" customFormat="1" x14ac:dyDescent="0.25">
      <c r="A53" s="126" t="s">
        <v>122</v>
      </c>
      <c r="C53" s="8"/>
      <c r="D53" s="157">
        <f>D4+E4+D11+E11+D22+E22</f>
        <v>0</v>
      </c>
      <c r="E53" s="157"/>
      <c r="F53" s="157">
        <f>F4+G4+F11+G11+F22+G22</f>
        <v>0</v>
      </c>
      <c r="G53" s="157"/>
      <c r="H53" s="157">
        <f>H4+I4+H11+I11+H22+I22</f>
        <v>0</v>
      </c>
      <c r="I53" s="157"/>
      <c r="J53" s="157">
        <f>J4+K4+J11+K11+J22+K22</f>
        <v>0</v>
      </c>
      <c r="K53" s="157"/>
      <c r="L53" s="157">
        <f>L4+M4+L11+M11+L22+M22</f>
        <v>0</v>
      </c>
      <c r="M53" s="304"/>
      <c r="N53" s="304">
        <f t="shared" ref="N53" si="139">N4+O4+N11+O11+N22+O22</f>
        <v>0</v>
      </c>
      <c r="O53" s="305"/>
      <c r="P53" s="305">
        <f t="shared" ref="P53" si="140">P4+Q4+P11+Q11+P22+Q22</f>
        <v>0</v>
      </c>
      <c r="Q53" s="290"/>
      <c r="R53" s="290">
        <f>R4+S4+R11+S11+R22+S22</f>
        <v>0</v>
      </c>
      <c r="S53" s="157"/>
      <c r="T53" s="157">
        <f>T4+U4+T11+U11+T22+U22</f>
        <v>0</v>
      </c>
      <c r="U53" s="306"/>
      <c r="V53" s="306">
        <f t="shared" ref="V53" si="141">V4+W4+V11+W11+V22+W22</f>
        <v>0</v>
      </c>
      <c r="W53" s="307"/>
      <c r="X53" s="307">
        <f t="shared" ref="X53" si="142">X4+Y4+X11+Y11+X22+Y22</f>
        <v>0</v>
      </c>
      <c r="Y53" s="309"/>
      <c r="Z53" s="309">
        <f t="shared" ref="Z53" si="143">Z4+AA4+Z11+AA11+Z22+AA22</f>
        <v>0</v>
      </c>
      <c r="AA53" s="310"/>
      <c r="AB53" s="310">
        <f t="shared" ref="AB53" si="144">AB4+AC4+AB11+AC11+AB22+AC22</f>
        <v>0</v>
      </c>
      <c r="AC53" s="157"/>
      <c r="AD53" s="157">
        <f>AD4+AE4+AD11+AE11+AD22+AE22</f>
        <v>0</v>
      </c>
      <c r="AE53" s="157"/>
      <c r="AF53" s="157">
        <f>AF4+AG4+AF11+AG11+AF22+AG22</f>
        <v>0</v>
      </c>
      <c r="AG53" s="157"/>
      <c r="AH53" s="157">
        <f>AH4+AI4+AH11+AI11+AH22+AI22</f>
        <v>0</v>
      </c>
      <c r="AI53" s="297"/>
      <c r="AJ53" s="297">
        <f>AJ4+AK4+AJ11+AK11+AJ22+AK22</f>
        <v>0</v>
      </c>
      <c r="AK53" s="311"/>
      <c r="AL53" s="311">
        <f t="shared" ref="AL53" si="145">AL4+AM4+AL11+AM11+AL22+AM22</f>
        <v>0</v>
      </c>
      <c r="AM53" s="312"/>
      <c r="AN53" s="312">
        <f t="shared" ref="AN53" si="146">AN4+AO4+AN11+AO11+AN22+AO22</f>
        <v>0</v>
      </c>
      <c r="AO53" s="298"/>
      <c r="AP53" s="298">
        <f>AP4+AQ4+AP11+AQ11+AP22+AQ22</f>
        <v>0</v>
      </c>
      <c r="AQ53" s="313"/>
      <c r="AR53" s="313">
        <f t="shared" ref="AR53" si="147">AR4+AS4+AR11+AS11+AR22+AS22</f>
        <v>0</v>
      </c>
      <c r="AS53" s="314"/>
      <c r="AT53" s="314">
        <f t="shared" ref="AT53" si="148">AT4+AU4+AT11+AU11+AT22+AU22</f>
        <v>0</v>
      </c>
      <c r="AU53" s="322"/>
      <c r="AV53" s="322">
        <f t="shared" ref="AV53" si="149">AV4+AW4+AV11+AW11+AV22+AW22</f>
        <v>0</v>
      </c>
      <c r="AW53" s="323"/>
      <c r="AX53" s="323">
        <f t="shared" ref="AX53" si="150">AX4+AY4+AX11+AY11+AX22+AY22</f>
        <v>0</v>
      </c>
      <c r="AY53" s="157"/>
      <c r="AZ53" s="157">
        <f>AZ4+BA4+AZ11+BA11+AZ22+BA22</f>
        <v>0</v>
      </c>
      <c r="BA53" s="157"/>
      <c r="BB53" s="157">
        <f>BB4+BC4+BB11+BC11+BB22+BC22</f>
        <v>0</v>
      </c>
      <c r="BC53" s="299"/>
      <c r="BD53" s="299">
        <f>BD4+BE4+BD11+BE11+BD22+BE22</f>
        <v>0</v>
      </c>
      <c r="BE53" s="157"/>
      <c r="BF53" s="157">
        <f>BF4+BG4+BF11+BG11+BF22+BG22</f>
        <v>0</v>
      </c>
      <c r="BG53" s="300"/>
    </row>
    <row r="54" spans="1:59" x14ac:dyDescent="0.25">
      <c r="A54" t="s">
        <v>35</v>
      </c>
      <c r="C54" s="8"/>
      <c r="D54" s="59">
        <f>D7+E7+D14+E14+D25+E25</f>
        <v>0</v>
      </c>
      <c r="E54" s="59"/>
      <c r="F54" s="59">
        <f>F7+G7+F14+G14+F25+G25</f>
        <v>0</v>
      </c>
      <c r="G54" s="59"/>
      <c r="H54" s="59">
        <f>H7+I7+H14+I14+H25+I25</f>
        <v>1</v>
      </c>
      <c r="I54" s="59"/>
      <c r="J54" s="59">
        <f>J7+K7+J14+K14+J25+K25</f>
        <v>1</v>
      </c>
      <c r="K54" s="59"/>
      <c r="L54" s="59">
        <f>L7+M7+L14+M14+L25+M25</f>
        <v>1</v>
      </c>
      <c r="M54" s="304"/>
      <c r="N54" s="304">
        <f t="shared" ref="N54" si="151">N7+O7+N14+O14+N25+O25</f>
        <v>1</v>
      </c>
      <c r="O54" s="305"/>
      <c r="P54" s="305">
        <f t="shared" ref="P54" si="152">P7+Q7+P14+Q14+P25+Q25</f>
        <v>1</v>
      </c>
      <c r="Q54" s="290"/>
      <c r="R54" s="290">
        <f>R7+S7+R14+S14+R25+S25</f>
        <v>0</v>
      </c>
      <c r="S54" s="59"/>
      <c r="T54" s="59">
        <f>T7+U7+T14+U14+T25+U25</f>
        <v>0</v>
      </c>
      <c r="U54" s="306"/>
      <c r="V54" s="306">
        <f t="shared" ref="V54" si="153">V7+W7+V14+W14+V25+W25</f>
        <v>1</v>
      </c>
      <c r="W54" s="307"/>
      <c r="X54" s="307">
        <f t="shared" ref="X54" si="154">X7+Y7+X14+Y14+X25+Y25</f>
        <v>1</v>
      </c>
      <c r="Y54" s="309"/>
      <c r="Z54" s="309">
        <f t="shared" ref="Z54" si="155">Z7+AA7+Z14+AA14+Z25+AA25</f>
        <v>1</v>
      </c>
      <c r="AA54" s="310"/>
      <c r="AB54" s="310">
        <f t="shared" ref="AB54" si="156">AB7+AC7+AB14+AC14+AB25+AC25</f>
        <v>1</v>
      </c>
      <c r="AC54" s="59"/>
      <c r="AD54" s="59">
        <f>AD7+AE7+AD14+AE14+AD25+AE25</f>
        <v>1</v>
      </c>
      <c r="AE54" s="59"/>
      <c r="AF54" s="271">
        <f>AF7+AG7+AF14+AG14+AF25+AG25</f>
        <v>0</v>
      </c>
      <c r="AG54" s="59"/>
      <c r="AH54" s="59">
        <f>AH7+AI7+AH14+AI14+AH25+AI25</f>
        <v>0</v>
      </c>
      <c r="AI54" s="297"/>
      <c r="AJ54" s="297">
        <f>AJ7+AK7+AJ14+AK14+AJ25+AK25</f>
        <v>1</v>
      </c>
      <c r="AK54" s="311"/>
      <c r="AL54" s="311">
        <f t="shared" ref="AL54" si="157">AL7+AM7+AL14+AM14+AL25+AM25</f>
        <v>1</v>
      </c>
      <c r="AM54" s="312"/>
      <c r="AN54" s="312">
        <f t="shared" ref="AN54" si="158">AN7+AO7+AN14+AO14+AN25+AO25</f>
        <v>1</v>
      </c>
      <c r="AO54" s="298"/>
      <c r="AP54" s="298">
        <f>AP7+AQ7+AP14+AQ14+AP25+AQ25</f>
        <v>1</v>
      </c>
      <c r="AQ54" s="313"/>
      <c r="AR54" s="313">
        <f t="shared" ref="AR54" si="159">AR7+AS7+AR14+AS14+AR25+AS25</f>
        <v>1</v>
      </c>
      <c r="AS54" s="314"/>
      <c r="AT54" s="314">
        <f t="shared" ref="AT54" si="160">AT7+AU7+AT14+AU14+AT25+AU25</f>
        <v>0</v>
      </c>
      <c r="AU54" s="322"/>
      <c r="AV54" s="322">
        <f t="shared" ref="AV54" si="161">AV7+AW7+AV14+AW14+AV25+AW25</f>
        <v>0</v>
      </c>
      <c r="AW54" s="323"/>
      <c r="AX54" s="323">
        <f t="shared" ref="AX54" si="162">AX7+AY7+AX14+AY14+AX25+AY25</f>
        <v>1</v>
      </c>
      <c r="AY54" s="59"/>
      <c r="AZ54" s="274">
        <f>AZ7+BA7+AZ14+BA14+AZ25+BA25</f>
        <v>1</v>
      </c>
      <c r="BA54" s="59"/>
      <c r="BB54" s="275">
        <f>BB7+BC7+BB14+BC14+BB25+BC25</f>
        <v>1</v>
      </c>
      <c r="BC54" s="299"/>
      <c r="BD54" s="299">
        <f>BD7+BE7+BD14+BE14+BD25+BE25</f>
        <v>1</v>
      </c>
      <c r="BE54" s="117"/>
      <c r="BF54" s="59">
        <f>BF7+BG7+BF14+BG14+BF25+BG25</f>
        <v>1</v>
      </c>
      <c r="BG54" s="300"/>
    </row>
    <row r="55" spans="1:59" s="126" customFormat="1" x14ac:dyDescent="0.25">
      <c r="A55" s="126" t="s">
        <v>164</v>
      </c>
      <c r="C55" s="8"/>
      <c r="D55" s="303"/>
      <c r="E55" s="303"/>
      <c r="F55" s="303"/>
      <c r="G55" s="303"/>
      <c r="H55" s="303">
        <f>H16+I16</f>
        <v>6</v>
      </c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Y55" s="303"/>
      <c r="Z55" s="303"/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</row>
    <row r="56" spans="1:59" s="126" customFormat="1" x14ac:dyDescent="0.25">
      <c r="A56" s="126" t="s">
        <v>165</v>
      </c>
      <c r="C56" s="8"/>
      <c r="D56" s="303"/>
      <c r="E56" s="303"/>
      <c r="F56" s="303"/>
      <c r="G56" s="303"/>
      <c r="H56" s="303">
        <f>H17+I17</f>
        <v>4</v>
      </c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</row>
    <row r="57" spans="1:59" s="126" customFormat="1" x14ac:dyDescent="0.25">
      <c r="A57" s="126" t="s">
        <v>158</v>
      </c>
      <c r="C57" s="8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4"/>
      <c r="AA57" s="314"/>
      <c r="AB57" s="314"/>
      <c r="AC57" s="314"/>
      <c r="AD57" s="314"/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4"/>
      <c r="AS57" s="314"/>
      <c r="AT57" s="314"/>
      <c r="AU57" s="314"/>
      <c r="AV57" s="314"/>
      <c r="AW57" s="314"/>
      <c r="AX57" s="314">
        <f>AX18+AY18</f>
        <v>4</v>
      </c>
      <c r="AY57" s="314"/>
      <c r="AZ57" s="314">
        <f t="shared" ref="AZ57:BF57" si="163">AZ18+BA18</f>
        <v>4</v>
      </c>
      <c r="BA57" s="314"/>
      <c r="BB57" s="314">
        <f t="shared" si="163"/>
        <v>0</v>
      </c>
      <c r="BC57" s="314"/>
      <c r="BD57" s="314">
        <f t="shared" si="163"/>
        <v>4</v>
      </c>
      <c r="BE57" s="314"/>
      <c r="BF57" s="314">
        <f t="shared" si="163"/>
        <v>4</v>
      </c>
      <c r="BG57" s="314"/>
    </row>
    <row r="58" spans="1:59" s="126" customFormat="1" x14ac:dyDescent="0.25">
      <c r="A58" s="126" t="s">
        <v>157</v>
      </c>
      <c r="C58" s="8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4"/>
      <c r="AC58" s="314"/>
      <c r="AD58" s="314"/>
      <c r="AE58" s="314"/>
      <c r="AF58" s="314"/>
      <c r="AG58" s="314"/>
      <c r="AH58" s="314"/>
      <c r="AI58" s="314"/>
      <c r="AJ58" s="314"/>
      <c r="AK58" s="314"/>
      <c r="AL58" s="314"/>
      <c r="AM58" s="314"/>
      <c r="AN58" s="314"/>
      <c r="AO58" s="314"/>
      <c r="AP58" s="314"/>
      <c r="AQ58" s="314"/>
      <c r="AR58" s="314"/>
      <c r="AS58" s="314"/>
      <c r="AT58" s="314"/>
      <c r="AU58" s="314"/>
      <c r="AV58" s="314"/>
      <c r="AW58" s="314"/>
      <c r="AX58" s="323">
        <f>AX19+AY19</f>
        <v>2</v>
      </c>
      <c r="AY58" s="314"/>
      <c r="AZ58" s="314">
        <f t="shared" ref="AZ58:BF58" si="164">AZ19+BA19</f>
        <v>2</v>
      </c>
      <c r="BA58" s="314"/>
      <c r="BB58" s="314">
        <f t="shared" si="164"/>
        <v>0</v>
      </c>
      <c r="BC58" s="314"/>
      <c r="BD58" s="314">
        <f t="shared" si="164"/>
        <v>2</v>
      </c>
      <c r="BE58" s="314"/>
      <c r="BF58" s="314">
        <f t="shared" si="164"/>
        <v>2</v>
      </c>
      <c r="BG58" s="314"/>
    </row>
    <row r="59" spans="1:59" x14ac:dyDescent="0.25">
      <c r="C59" s="8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6"/>
      <c r="AS59" s="56"/>
      <c r="AT59" s="56"/>
      <c r="AU59" s="56"/>
      <c r="AV59" s="56"/>
      <c r="AW59" s="56"/>
      <c r="AX59" s="56"/>
      <c r="AY59" s="56"/>
      <c r="AZ59" s="56"/>
      <c r="BA59" s="59"/>
      <c r="BB59" s="56"/>
      <c r="BC59" s="117"/>
      <c r="BD59" s="56"/>
      <c r="BE59" s="117"/>
      <c r="BF59" s="59"/>
      <c r="BG59" s="59"/>
    </row>
    <row r="60" spans="1:59" x14ac:dyDescent="0.25">
      <c r="A60" s="58" t="s">
        <v>65</v>
      </c>
      <c r="B60" s="58"/>
      <c r="C60" s="58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0"/>
      <c r="AS60" s="60"/>
      <c r="AT60" s="60"/>
      <c r="AU60" s="60"/>
      <c r="AV60" s="60"/>
      <c r="AW60" s="60"/>
      <c r="AX60" s="60"/>
      <c r="AY60" s="60"/>
      <c r="AZ60" s="60"/>
      <c r="BA60" s="61"/>
      <c r="BB60" s="60"/>
      <c r="BC60" s="61"/>
      <c r="BD60" s="60"/>
      <c r="BE60" s="61"/>
      <c r="BF60" s="61"/>
      <c r="BG60" s="61"/>
    </row>
    <row r="61" spans="1:59" x14ac:dyDescent="0.25">
      <c r="A61" t="s">
        <v>79</v>
      </c>
      <c r="C61" s="8"/>
      <c r="D61" s="59">
        <f>(D5+D12+D23)+2*(E5+E12+E23)</f>
        <v>75</v>
      </c>
      <c r="E61" s="59"/>
      <c r="F61" s="59">
        <f>(F5+F12+F23)+2*(G5+G12+G23)</f>
        <v>57</v>
      </c>
      <c r="G61" s="59"/>
      <c r="H61" s="59">
        <f>(H5+H12+H23)+2*(I5+I12+I23)</f>
        <v>72</v>
      </c>
      <c r="I61" s="59"/>
      <c r="J61" s="59">
        <f>(J5+J12+J23)+2*(K5+K12+K23)</f>
        <v>81</v>
      </c>
      <c r="K61" s="59"/>
      <c r="L61" s="59">
        <f>(L5+L12+L23)+2*(M5+M12+M23)</f>
        <v>80</v>
      </c>
      <c r="M61" s="304"/>
      <c r="N61" s="304">
        <f t="shared" ref="N61" si="165">(N5+N12+N23)+2*(O5+O12+O23)</f>
        <v>80</v>
      </c>
      <c r="O61" s="305"/>
      <c r="P61" s="305">
        <f t="shared" ref="P61" si="166">(P5+P12+P23)+2*(Q5+Q12+Q23)</f>
        <v>80</v>
      </c>
      <c r="Q61" s="290"/>
      <c r="R61" s="290">
        <f>(R5+R12+R23)+2*(S5+S12+S23)</f>
        <v>73</v>
      </c>
      <c r="S61" s="59"/>
      <c r="T61" s="59">
        <f>(T5+T12+T23)+2*(U5+U12+U23)</f>
        <v>50</v>
      </c>
      <c r="U61" s="306"/>
      <c r="V61" s="306">
        <f t="shared" ref="V61" si="167">(V5+V12+V23)+2*(W5+W12+W23)</f>
        <v>81</v>
      </c>
      <c r="W61" s="307"/>
      <c r="X61" s="307">
        <f t="shared" ref="X61" si="168">(X5+X12+X23)+2*(Y5+Y12+Y23)</f>
        <v>80</v>
      </c>
      <c r="Y61" s="309"/>
      <c r="Z61" s="309">
        <f t="shared" ref="Z61" si="169">(Z5+Z12+Z23)+2*(AA5+AA12+AA23)</f>
        <v>80</v>
      </c>
      <c r="AA61" s="310"/>
      <c r="AB61" s="310">
        <f t="shared" ref="AB61" si="170">(AB5+AB12+AB23)+2*(AC5+AC12+AC23)</f>
        <v>80</v>
      </c>
      <c r="AC61" s="59"/>
      <c r="AD61" s="59">
        <f>(AD5+AD12+AD23)+2*(AE5+AE12+AE23)</f>
        <v>80</v>
      </c>
      <c r="AE61" s="59"/>
      <c r="AF61" s="59">
        <f>(AF5+AF12+AF23)+2*(AG5+AG12+AG23)</f>
        <v>75</v>
      </c>
      <c r="AG61" s="59"/>
      <c r="AH61" s="59">
        <f>(AH5+AH12+AH23)+2*(AI5+AI12+AI23)</f>
        <v>57</v>
      </c>
      <c r="AI61" s="297"/>
      <c r="AJ61" s="297">
        <f>(AJ5+AJ12+AJ23)+2*(AK5+AK12+AK23)</f>
        <v>80</v>
      </c>
      <c r="AK61" s="311"/>
      <c r="AL61" s="311">
        <f t="shared" ref="AL61" si="171">(AL5+AL12+AL23)+2*(AM5+AM12+AM23)</f>
        <v>80</v>
      </c>
      <c r="AM61" s="312"/>
      <c r="AN61" s="312">
        <f t="shared" ref="AN61" si="172">(AN5+AN12+AN23)+2*(AO5+AO12+AO23)</f>
        <v>80</v>
      </c>
      <c r="AO61" s="298"/>
      <c r="AP61" s="298">
        <f>(AP5+AP12+AP23)+2*(AQ5+AQ12+AQ23)</f>
        <v>80</v>
      </c>
      <c r="AQ61" s="313"/>
      <c r="AR61" s="313">
        <f t="shared" ref="AR61" si="173">(AR5+AR12+AR23)+2*(AS5+AS12+AS23)</f>
        <v>80</v>
      </c>
      <c r="AS61" s="314"/>
      <c r="AT61" s="314">
        <f t="shared" ref="AT61" si="174">(AT5+AT12+AT23)+2*(AU5+AU12+AU23)</f>
        <v>75</v>
      </c>
      <c r="AU61" s="322"/>
      <c r="AV61" s="322">
        <f t="shared" ref="AV61" si="175">(AV5+AV12+AV23)+2*(AW5+AW12+AW23)</f>
        <v>76</v>
      </c>
      <c r="AW61" s="323"/>
      <c r="AX61" s="323">
        <f t="shared" ref="AX61" si="176">(AX5+AX12+AX23)+2*(AY5+AY12+AY23)</f>
        <v>97</v>
      </c>
      <c r="AY61" s="59"/>
      <c r="AZ61" s="59">
        <f>(AZ5+AZ12+AZ23)+2*(BA5+BA12+BA23)</f>
        <v>44</v>
      </c>
      <c r="BA61" s="119"/>
      <c r="BB61" s="117">
        <f>(BB5+BB12+BB23)+2*(BC5+BC12+BC23)</f>
        <v>93</v>
      </c>
      <c r="BC61" s="299"/>
      <c r="BD61" s="299">
        <f>(BD5+BD12+BD23)+2*(BE5+BE12+BE23)</f>
        <v>96</v>
      </c>
      <c r="BE61" s="119"/>
      <c r="BF61" s="59">
        <f>(BF5+BF12+BF23)+2*(BG5+BG12+BG23)</f>
        <v>96</v>
      </c>
      <c r="BG61" s="300"/>
    </row>
    <row r="62" spans="1:59" x14ac:dyDescent="0.25">
      <c r="A62" t="s">
        <v>80</v>
      </c>
      <c r="C62" s="8"/>
      <c r="D62" s="59">
        <f>(D8+D15+D26)+2*(E8+E15+E26)</f>
        <v>75</v>
      </c>
      <c r="E62" s="59"/>
      <c r="F62" s="59">
        <f>(F8+F15+F26)+2*(G8+G15+G26)</f>
        <v>57</v>
      </c>
      <c r="G62" s="59"/>
      <c r="H62" s="59">
        <f>(H8+H15+H26)+2*(I8+I15+I26)</f>
        <v>74</v>
      </c>
      <c r="I62" s="59"/>
      <c r="J62" s="59">
        <f>(J8+J15+J26)+2*(K8+K15+K26)</f>
        <v>81</v>
      </c>
      <c r="K62" s="59"/>
      <c r="L62" s="59">
        <f>(L8+L15+L26)+2*(M8+M15+M26)</f>
        <v>80</v>
      </c>
      <c r="M62" s="304"/>
      <c r="N62" s="304">
        <f t="shared" ref="N62" si="177">(N8+N15+N26)+2*(O8+O15+O26)</f>
        <v>80</v>
      </c>
      <c r="O62" s="305"/>
      <c r="P62" s="305">
        <f t="shared" ref="P62" si="178">(P8+P15+P26)+2*(Q8+Q15+Q26)</f>
        <v>80</v>
      </c>
      <c r="Q62" s="290"/>
      <c r="R62" s="290">
        <f>(R8+R15+R26)+2*(S8+S15+S26)</f>
        <v>73</v>
      </c>
      <c r="S62" s="59"/>
      <c r="T62" s="59">
        <f>(T8+T15+T26)+2*(U8+U15+U26)</f>
        <v>52</v>
      </c>
      <c r="U62" s="306"/>
      <c r="V62" s="306">
        <f t="shared" ref="V62" si="179">(V8+V15+V26)+2*(W8+W15+W26)</f>
        <v>80</v>
      </c>
      <c r="W62" s="307"/>
      <c r="X62" s="307">
        <f t="shared" ref="X62" si="180">(X8+X15+X26)+2*(Y8+Y15+Y26)</f>
        <v>80</v>
      </c>
      <c r="Y62" s="309"/>
      <c r="Z62" s="309">
        <f t="shared" ref="Z62" si="181">(Z8+Z15+Z26)+2*(AA8+AA15+AA26)</f>
        <v>80</v>
      </c>
      <c r="AA62" s="310"/>
      <c r="AB62" s="310">
        <f t="shared" ref="AB62" si="182">(AB8+AB15+AB26)+2*(AC8+AC15+AC26)</f>
        <v>80</v>
      </c>
      <c r="AC62" s="59"/>
      <c r="AD62" s="59">
        <f>(AD8+AD15+AD26)+2*(AE8+AE15+AE26)</f>
        <v>80</v>
      </c>
      <c r="AE62" s="59"/>
      <c r="AF62" s="271">
        <f>(AF8+AF15+AF26)+2*(AG8+AG15+AG26)</f>
        <v>75</v>
      </c>
      <c r="AG62" s="59"/>
      <c r="AH62" s="59">
        <f>(AH8+AH15+AH26)+2*(AI8+AI15+AI26)</f>
        <v>57</v>
      </c>
      <c r="AI62" s="297"/>
      <c r="AJ62" s="297">
        <f>(AJ8+AJ15+AJ26)+2*(AK8+AK15+AK26)</f>
        <v>80</v>
      </c>
      <c r="AK62" s="311"/>
      <c r="AL62" s="311">
        <f t="shared" ref="AL62" si="183">(AL8+AL15+AL26)+2*(AM8+AM15+AM26)</f>
        <v>80</v>
      </c>
      <c r="AM62" s="312"/>
      <c r="AN62" s="312">
        <f t="shared" ref="AN62" si="184">(AN8+AN15+AN26)+2*(AO8+AO15+AO26)</f>
        <v>80</v>
      </c>
      <c r="AO62" s="298"/>
      <c r="AP62" s="298">
        <f>(AP8+AP15+AP26)+2*(AQ8+AQ15+AQ26)</f>
        <v>80</v>
      </c>
      <c r="AQ62" s="313"/>
      <c r="AR62" s="313">
        <f t="shared" ref="AR62" si="185">(AR8+AR15+AR26)+2*(AS8+AS15+AS26)</f>
        <v>80</v>
      </c>
      <c r="AS62" s="314"/>
      <c r="AT62" s="314">
        <f t="shared" ref="AT62" si="186">(AT8+AT15+AT26)+2*(AU8+AU15+AU26)</f>
        <v>75</v>
      </c>
      <c r="AU62" s="322"/>
      <c r="AV62" s="322">
        <f t="shared" ref="AV62" si="187">(AV8+AV15+AV26)+2*(AW8+AW15+AW26)</f>
        <v>72</v>
      </c>
      <c r="AW62" s="323"/>
      <c r="AX62" s="323">
        <f t="shared" ref="AX62" si="188">(AX8+AX15+AX26)+2*(AY8+AY15+AY26)</f>
        <v>97</v>
      </c>
      <c r="AY62" s="59"/>
      <c r="AZ62" s="274">
        <f>(AZ8+AZ15+AZ26)+2*(BA8+BA15+BA26)</f>
        <v>45</v>
      </c>
      <c r="BA62" s="119"/>
      <c r="BB62" s="275">
        <f>(BB8+BB15+BB26)+2*(BC8+BC15+BC26)</f>
        <v>92</v>
      </c>
      <c r="BC62" s="299"/>
      <c r="BD62" s="299">
        <f>(BD8+BD15+BD26)+2*(BE8+BE15+BE26)</f>
        <v>96</v>
      </c>
      <c r="BE62" s="119"/>
      <c r="BF62" s="59">
        <f>(BF8+BF15+BF26)+2*(BG8+BG15+BG26)</f>
        <v>96</v>
      </c>
      <c r="BG62" s="300"/>
    </row>
    <row r="63" spans="1:59" x14ac:dyDescent="0.25">
      <c r="A63" t="s">
        <v>81</v>
      </c>
      <c r="C63" s="8"/>
      <c r="D63" s="59">
        <f>(D3+D10+D21)+2*(E3+E10+E21)</f>
        <v>0</v>
      </c>
      <c r="E63" s="59"/>
      <c r="F63" s="59">
        <f>(F3+F10+F21)+2*(G3+G10+G21)</f>
        <v>0</v>
      </c>
      <c r="G63" s="59"/>
      <c r="H63" s="59">
        <f>(H3+H10+H21)+2*(I3+I10+I21)</f>
        <v>30</v>
      </c>
      <c r="I63" s="59"/>
      <c r="J63" s="59">
        <f>(J3+J10+J21)+2*(K3+K10+K21)</f>
        <v>33</v>
      </c>
      <c r="K63" s="59"/>
      <c r="L63" s="59">
        <f>(L3+L10+L21)+2*(M3+M10+M21)</f>
        <v>33</v>
      </c>
      <c r="M63" s="304"/>
      <c r="N63" s="304">
        <f t="shared" ref="N63" si="189">(N3+N10+N21)+2*(O3+O10+O21)</f>
        <v>33</v>
      </c>
      <c r="O63" s="305"/>
      <c r="P63" s="305">
        <f t="shared" ref="P63" si="190">(P3+P10+P21)+2*(Q3+Q10+Q21)</f>
        <v>33</v>
      </c>
      <c r="Q63" s="290"/>
      <c r="R63" s="290">
        <f>(R3+R10+R21)+2*(S3+S10+S21)</f>
        <v>0</v>
      </c>
      <c r="S63" s="59"/>
      <c r="T63" s="59">
        <f>(T3+T10+T21)+2*(U3+U10+U21)</f>
        <v>0</v>
      </c>
      <c r="U63" s="306"/>
      <c r="V63" s="306">
        <f t="shared" ref="V63" si="191">(V3+V10+V21)+2*(W3+W10+W21)</f>
        <v>31</v>
      </c>
      <c r="W63" s="307"/>
      <c r="X63" s="307">
        <f t="shared" ref="X63" si="192">(X3+X10+X21)+2*(Y3+Y10+Y21)</f>
        <v>33</v>
      </c>
      <c r="Y63" s="309"/>
      <c r="Z63" s="309">
        <f t="shared" ref="Z63" si="193">(Z3+Z10+Z21)+2*(AA3+AA10+AA21)</f>
        <v>33</v>
      </c>
      <c r="AA63" s="310"/>
      <c r="AB63" s="310">
        <f t="shared" ref="AB63" si="194">(AB3+AB10+AB21)+2*(AC3+AC10+AC21)</f>
        <v>33</v>
      </c>
      <c r="AC63" s="59"/>
      <c r="AD63" s="59">
        <f>(AD3+AD10+AD21)+2*(AE3+AE10+AE21)</f>
        <v>33</v>
      </c>
      <c r="AE63" s="59"/>
      <c r="AF63" s="59">
        <f>(AF3+AF10+AF21)+2*(AG3+AG10+AG21)</f>
        <v>0</v>
      </c>
      <c r="AG63" s="59"/>
      <c r="AH63" s="59">
        <f>(AH3+AH10+AH21)+2*(AI3+AI10+AI21)</f>
        <v>0</v>
      </c>
      <c r="AI63" s="297"/>
      <c r="AJ63" s="297">
        <f>(AJ3+AJ10+AJ21)+2*(AK3+AK10+AK21)</f>
        <v>33</v>
      </c>
      <c r="AK63" s="311"/>
      <c r="AL63" s="311">
        <f t="shared" ref="AL63" si="195">(AL3+AL10+AL21)+2*(AM3+AM10+AM21)</f>
        <v>33</v>
      </c>
      <c r="AM63" s="312"/>
      <c r="AN63" s="312">
        <f t="shared" ref="AN63" si="196">(AN3+AN10+AN21)+2*(AO3+AO10+AO21)</f>
        <v>33</v>
      </c>
      <c r="AO63" s="298"/>
      <c r="AP63" s="298">
        <f>(AP3+AP10+AP21)+2*(AQ3+AQ10+AQ21)</f>
        <v>33</v>
      </c>
      <c r="AQ63" s="313"/>
      <c r="AR63" s="313">
        <f t="shared" ref="AR63" si="197">(AR3+AR10+AR21)+2*(AS3+AS10+AS21)</f>
        <v>33</v>
      </c>
      <c r="AS63" s="314"/>
      <c r="AT63" s="314">
        <f t="shared" ref="AT63" si="198">(AT3+AT10+AT21)+2*(AU3+AU10+AU21)</f>
        <v>0</v>
      </c>
      <c r="AU63" s="322"/>
      <c r="AV63" s="322">
        <f t="shared" ref="AV63" si="199">(AV3+AV10+AV21)+2*(AW3+AW10+AW21)</f>
        <v>0</v>
      </c>
      <c r="AW63" s="323"/>
      <c r="AX63" s="323">
        <f t="shared" ref="AX63" si="200">(AX3+AX10+AX21)+2*(AY3+AY10+AY21)</f>
        <v>33</v>
      </c>
      <c r="AY63" s="59"/>
      <c r="AZ63" s="59">
        <f>(AZ3+AZ10+AZ21)+2*(BA3+BA10+BA21)</f>
        <v>13</v>
      </c>
      <c r="BA63" s="119"/>
      <c r="BB63" s="117">
        <f>(BB3+BB10+BB21)+2*(BC3+BC10+BC21)</f>
        <v>33</v>
      </c>
      <c r="BC63" s="299"/>
      <c r="BD63" s="299">
        <f>(BD3+BD10+BD21)+2*(BE3+BE10+BE21)</f>
        <v>33</v>
      </c>
      <c r="BE63" s="119"/>
      <c r="BF63" s="59">
        <f>(BF3+BF10+BF21)+2*(BG3+BG10+BG21)</f>
        <v>33</v>
      </c>
      <c r="BG63" s="300"/>
    </row>
    <row r="64" spans="1:59" x14ac:dyDescent="0.25">
      <c r="A64" t="s">
        <v>82</v>
      </c>
      <c r="C64" s="8"/>
      <c r="D64" s="59">
        <f>(D6+D13+D24)+2*(E6+E13+E24)</f>
        <v>0</v>
      </c>
      <c r="E64" s="59"/>
      <c r="F64" s="59">
        <f>(F6+F13+F24)+2*(G6+G13+G24)</f>
        <v>0</v>
      </c>
      <c r="G64" s="59"/>
      <c r="H64" s="59">
        <f>(H6+H13+H24)+2*(I6+I13+I24)</f>
        <v>29</v>
      </c>
      <c r="I64" s="59"/>
      <c r="J64" s="59">
        <f>(J6+J13+J24)+2*(K6+K13+K24)</f>
        <v>32</v>
      </c>
      <c r="K64" s="59"/>
      <c r="L64" s="59">
        <f>(L6+L13+L24)+2*(M6+M13+M24)</f>
        <v>32</v>
      </c>
      <c r="M64" s="304"/>
      <c r="N64" s="304">
        <f t="shared" ref="N64" si="201">(N6+N13+N24)+2*(O6+O13+O24)</f>
        <v>32</v>
      </c>
      <c r="O64" s="305"/>
      <c r="P64" s="305">
        <f t="shared" ref="P64" si="202">(P6+P13+P24)+2*(Q6+Q13+Q24)</f>
        <v>32</v>
      </c>
      <c r="Q64" s="290"/>
      <c r="R64" s="290">
        <f>(R6+R13+R24)+2*(S6+S13+S24)</f>
        <v>0</v>
      </c>
      <c r="S64" s="59"/>
      <c r="T64" s="59">
        <f>(T6+T13+T24)+2*(U6+U13+U24)</f>
        <v>0</v>
      </c>
      <c r="U64" s="306"/>
      <c r="V64" s="306">
        <f t="shared" ref="V64" si="203">(V6+V13+V24)+2*(W6+W13+W24)</f>
        <v>32</v>
      </c>
      <c r="W64" s="307"/>
      <c r="X64" s="307">
        <f t="shared" ref="X64" si="204">(X6+X13+X24)+2*(Y6+Y13+Y24)</f>
        <v>32</v>
      </c>
      <c r="Y64" s="309"/>
      <c r="Z64" s="309">
        <f t="shared" ref="Z64" si="205">(Z6+Z13+Z24)+2*(AA6+AA13+AA24)</f>
        <v>32</v>
      </c>
      <c r="AA64" s="310"/>
      <c r="AB64" s="310">
        <f t="shared" ref="AB64" si="206">(AB6+AB13+AB24)+2*(AC6+AC13+AC24)</f>
        <v>32</v>
      </c>
      <c r="AC64" s="59"/>
      <c r="AD64" s="59">
        <f>(AD6+AD13+AD24)+2*(AE6+AE13+AE24)</f>
        <v>32</v>
      </c>
      <c r="AE64" s="59"/>
      <c r="AF64" s="59">
        <f>(AF6+AF13+AF24)+2*(AG6+AG13+AG24)</f>
        <v>0</v>
      </c>
      <c r="AG64" s="59"/>
      <c r="AH64" s="59">
        <f>(AH6+AH13+AH24)+2*(AI6+AI13+AI24)</f>
        <v>0</v>
      </c>
      <c r="AI64" s="297"/>
      <c r="AJ64" s="297">
        <f>(AJ6+AJ13+AJ24)+2*(AK6+AK13+AK24)</f>
        <v>32</v>
      </c>
      <c r="AK64" s="311"/>
      <c r="AL64" s="311">
        <f t="shared" ref="AL64" si="207">(AL6+AL13+AL24)+2*(AM6+AM13+AM24)</f>
        <v>32</v>
      </c>
      <c r="AM64" s="312"/>
      <c r="AN64" s="312">
        <f t="shared" ref="AN64" si="208">(AN6+AN13+AN24)+2*(AO6+AO13+AO24)</f>
        <v>32</v>
      </c>
      <c r="AO64" s="298"/>
      <c r="AP64" s="298">
        <f>(AP6+AP13+AP24)+2*(AQ6+AQ13+AQ24)</f>
        <v>32</v>
      </c>
      <c r="AQ64" s="313"/>
      <c r="AR64" s="313">
        <f t="shared" ref="AR64" si="209">(AR6+AR13+AR24)+2*(AS6+AS13+AS24)</f>
        <v>32</v>
      </c>
      <c r="AS64" s="314"/>
      <c r="AT64" s="314">
        <f t="shared" ref="AT64" si="210">(AT6+AT13+AT24)+2*(AU6+AU13+AU24)</f>
        <v>0</v>
      </c>
      <c r="AU64" s="322"/>
      <c r="AV64" s="322">
        <f t="shared" ref="AV64" si="211">(AV6+AV13+AV24)+2*(AW6+AW13+AW24)</f>
        <v>0</v>
      </c>
      <c r="AW64" s="323"/>
      <c r="AX64" s="323">
        <f t="shared" ref="AX64" si="212">(AX6+AX13+AX24)+2*(AY6+AY13+AY24)</f>
        <v>32</v>
      </c>
      <c r="AY64" s="59"/>
      <c r="AZ64" s="59">
        <f>(AZ6+AZ13+AZ24)+2*(BA6+BA13+BA24)</f>
        <v>14</v>
      </c>
      <c r="BA64" s="119"/>
      <c r="BB64" s="117">
        <f>(BB6+BB13+BB24)+2*(BC6+BC13+BC24)</f>
        <v>32</v>
      </c>
      <c r="BC64" s="299"/>
      <c r="BD64" s="299">
        <f>(BD6+BD13+BD24)+2*(BE6+BE13+BE24)</f>
        <v>32</v>
      </c>
      <c r="BE64" s="119"/>
      <c r="BF64" s="59">
        <f>(BF6+BF13+BF24)+2*(BG6+BG13+BG24)</f>
        <v>32</v>
      </c>
      <c r="BG64" s="300"/>
    </row>
    <row r="65" spans="1:65" s="126" customFormat="1" x14ac:dyDescent="0.25">
      <c r="A65" s="126" t="s">
        <v>122</v>
      </c>
      <c r="C65" s="8"/>
      <c r="D65" s="157">
        <f>(D4+D11+D22)+2*(E4+E11+E22)</f>
        <v>0</v>
      </c>
      <c r="E65" s="157"/>
      <c r="F65" s="157">
        <f>(F4+F11+F22)+2*(G4+G11+G22)</f>
        <v>0</v>
      </c>
      <c r="G65" s="157"/>
      <c r="H65" s="157">
        <f>(H4+H11+H22)+2*(I4+I11+I22)</f>
        <v>0</v>
      </c>
      <c r="I65" s="157"/>
      <c r="J65" s="157">
        <f>(J4+J11+J22)+2*(K4+K11+K22)</f>
        <v>0</v>
      </c>
      <c r="K65" s="157"/>
      <c r="L65" s="157">
        <f>(L4+L11+L22)+2*(M4+M11+M22)</f>
        <v>0</v>
      </c>
      <c r="M65" s="304"/>
      <c r="N65" s="304">
        <f t="shared" ref="N65" si="213">(N4+N11+N22)+2*(O4+O11+O22)</f>
        <v>0</v>
      </c>
      <c r="O65" s="305"/>
      <c r="P65" s="305">
        <f t="shared" ref="P65" si="214">(P4+P11+P22)+2*(Q4+Q11+Q22)</f>
        <v>0</v>
      </c>
      <c r="Q65" s="290"/>
      <c r="R65" s="290">
        <f>(R4+R11+R22)+2*(S4+S11+S22)</f>
        <v>0</v>
      </c>
      <c r="S65" s="157"/>
      <c r="T65" s="157">
        <f>(T4+T11+T22)+2*(U4+U11+U22)</f>
        <v>0</v>
      </c>
      <c r="U65" s="306"/>
      <c r="V65" s="306">
        <f t="shared" ref="V65" si="215">(V4+V11+V22)+2*(W4+W11+W22)</f>
        <v>0</v>
      </c>
      <c r="W65" s="307"/>
      <c r="X65" s="307">
        <f t="shared" ref="X65" si="216">(X4+X11+X22)+2*(Y4+Y11+Y22)</f>
        <v>0</v>
      </c>
      <c r="Y65" s="309"/>
      <c r="Z65" s="309">
        <f t="shared" ref="Z65" si="217">(Z4+Z11+Z22)+2*(AA4+AA11+AA22)</f>
        <v>0</v>
      </c>
      <c r="AA65" s="310"/>
      <c r="AB65" s="310">
        <f t="shared" ref="AB65" si="218">(AB4+AB11+AB22)+2*(AC4+AC11+AC22)</f>
        <v>0</v>
      </c>
      <c r="AC65" s="157"/>
      <c r="AD65" s="157">
        <f>(AD4+AD11+AD22)+2*(AE4+AE11+AE22)</f>
        <v>0</v>
      </c>
      <c r="AE65" s="157"/>
      <c r="AF65" s="157">
        <f>(AF4+AF11+AF22)+2*(AG4+AG11+AG22)</f>
        <v>0</v>
      </c>
      <c r="AG65" s="157"/>
      <c r="AH65" s="157">
        <f>(AH4+AH11+AH22)+2*(AI4+AI11+AI22)</f>
        <v>0</v>
      </c>
      <c r="AI65" s="297"/>
      <c r="AJ65" s="297">
        <f>(AJ4+AJ11+AJ22)+2*(AK4+AK11+AK22)</f>
        <v>0</v>
      </c>
      <c r="AK65" s="311"/>
      <c r="AL65" s="311">
        <f t="shared" ref="AL65" si="219">(AL4+AL11+AL22)+2*(AM4+AM11+AM22)</f>
        <v>0</v>
      </c>
      <c r="AM65" s="312"/>
      <c r="AN65" s="312">
        <f t="shared" ref="AN65" si="220">(AN4+AN11+AN22)+2*(AO4+AO11+AO22)</f>
        <v>0</v>
      </c>
      <c r="AO65" s="298"/>
      <c r="AP65" s="298">
        <f>(AP4+AP11+AP22)+2*(AQ4+AQ11+AQ22)</f>
        <v>0</v>
      </c>
      <c r="AQ65" s="313"/>
      <c r="AR65" s="313">
        <f t="shared" ref="AR65" si="221">(AR4+AR11+AR22)+2*(AS4+AS11+AS22)</f>
        <v>0</v>
      </c>
      <c r="AS65" s="314"/>
      <c r="AT65" s="314">
        <f t="shared" ref="AT65" si="222">(AT4+AT11+AT22)+2*(AU4+AU11+AU22)</f>
        <v>0</v>
      </c>
      <c r="AU65" s="322"/>
      <c r="AV65" s="322">
        <f t="shared" ref="AV65" si="223">(AV4+AV11+AV22)+2*(AW4+AW11+AW22)</f>
        <v>0</v>
      </c>
      <c r="AW65" s="323"/>
      <c r="AX65" s="323">
        <f t="shared" ref="AX65" si="224">(AX4+AX11+AX22)+2*(AY4+AY11+AY22)</f>
        <v>0</v>
      </c>
      <c r="AY65" s="157"/>
      <c r="AZ65" s="157">
        <f>(AZ4+AZ11+AZ22)+2*(BA4+BA11+BA22)</f>
        <v>0</v>
      </c>
      <c r="BA65" s="157"/>
      <c r="BB65" s="157">
        <f>(BB4+BB11+BB22)+2*(BC4+BC11+BC22)</f>
        <v>0</v>
      </c>
      <c r="BC65" s="299"/>
      <c r="BD65" s="299">
        <f>(BD4+BD11+BD22)+2*(BE4+BE11+BE22)</f>
        <v>0</v>
      </c>
      <c r="BE65" s="157"/>
      <c r="BF65" s="157">
        <f>(BF4+BF11+BF22)+2*(BG4+BG11+BG22)</f>
        <v>0</v>
      </c>
      <c r="BG65" s="300"/>
    </row>
    <row r="66" spans="1:65" x14ac:dyDescent="0.25">
      <c r="A66" t="s">
        <v>35</v>
      </c>
      <c r="C66" s="8"/>
      <c r="D66" s="59">
        <f>(D7+D14+D25)+2*(E7+E14+E25)</f>
        <v>0</v>
      </c>
      <c r="E66" s="59"/>
      <c r="F66" s="59">
        <f>(F7+F14+F25)+2*(G7+G14+G25)</f>
        <v>0</v>
      </c>
      <c r="G66" s="59"/>
      <c r="H66" s="59">
        <f>(H7+H14+H25)+2*(I7+I14+I25)</f>
        <v>1</v>
      </c>
      <c r="I66" s="59"/>
      <c r="J66" s="59">
        <f>(J7+J14+J25)+2*(K7+K14+K25)</f>
        <v>1</v>
      </c>
      <c r="K66" s="59"/>
      <c r="L66" s="59">
        <f>(L7+L14+L25)+2*(M7+M14+M25)</f>
        <v>1</v>
      </c>
      <c r="M66" s="304"/>
      <c r="N66" s="304">
        <f t="shared" ref="N66" si="225">(N7+N14+N25)+2*(O7+O14+O25)</f>
        <v>1</v>
      </c>
      <c r="O66" s="305"/>
      <c r="P66" s="305">
        <f t="shared" ref="P66" si="226">(P7+P14+P25)+2*(Q7+Q14+Q25)</f>
        <v>1</v>
      </c>
      <c r="Q66" s="290"/>
      <c r="R66" s="290">
        <f>(R7+R14+R25)+2*(S7+S14+S25)</f>
        <v>0</v>
      </c>
      <c r="S66" s="59"/>
      <c r="T66" s="59">
        <f>(T7+T14+T25)+2*(U7+U14+U25)</f>
        <v>0</v>
      </c>
      <c r="U66" s="306"/>
      <c r="V66" s="306">
        <f t="shared" ref="V66" si="227">(V7+V14+V25)+2*(W7+W14+W25)</f>
        <v>1</v>
      </c>
      <c r="W66" s="307"/>
      <c r="X66" s="307">
        <f t="shared" ref="X66" si="228">(X7+X14+X25)+2*(Y7+Y14+Y25)</f>
        <v>1</v>
      </c>
      <c r="Y66" s="309"/>
      <c r="Z66" s="309">
        <f t="shared" ref="Z66" si="229">(Z7+Z14+Z25)+2*(AA7+AA14+AA25)</f>
        <v>1</v>
      </c>
      <c r="AA66" s="310"/>
      <c r="AB66" s="310">
        <f t="shared" ref="AB66" si="230">(AB7+AB14+AB25)+2*(AC7+AC14+AC25)</f>
        <v>1</v>
      </c>
      <c r="AC66" s="59"/>
      <c r="AD66" s="59">
        <f>(AD7+AD14+AD25)+2*(AE7+AE14+AE25)</f>
        <v>1</v>
      </c>
      <c r="AE66" s="59"/>
      <c r="AF66" s="271">
        <f>(AF7+AF14+AF25)+2*(AG7+AG14+AG25)</f>
        <v>0</v>
      </c>
      <c r="AG66" s="59"/>
      <c r="AH66" s="59">
        <f>(AH7+AH14+AH25)+2*(AI7+AI14+AI25)</f>
        <v>0</v>
      </c>
      <c r="AI66" s="297"/>
      <c r="AJ66" s="297">
        <f>(AJ7+AJ14+AJ25)+2*(AK7+AK14+AK25)</f>
        <v>1</v>
      </c>
      <c r="AK66" s="311"/>
      <c r="AL66" s="311">
        <f t="shared" ref="AL66" si="231">(AL7+AL14+AL25)+2*(AM7+AM14+AM25)</f>
        <v>1</v>
      </c>
      <c r="AM66" s="312"/>
      <c r="AN66" s="312">
        <f t="shared" ref="AN66" si="232">(AN7+AN14+AN25)+2*(AO7+AO14+AO25)</f>
        <v>1</v>
      </c>
      <c r="AO66" s="298"/>
      <c r="AP66" s="298">
        <f>(AP7+AP14+AP25)+2*(AQ7+AQ14+AQ25)</f>
        <v>1</v>
      </c>
      <c r="AQ66" s="313"/>
      <c r="AR66" s="313">
        <f t="shared" ref="AR66" si="233">(AR7+AR14+AR25)+2*(AS7+AS14+AS25)</f>
        <v>1</v>
      </c>
      <c r="AS66" s="314"/>
      <c r="AT66" s="314">
        <f t="shared" ref="AT66" si="234">(AT7+AT14+AT25)+2*(AU7+AU14+AU25)</f>
        <v>0</v>
      </c>
      <c r="AU66" s="322"/>
      <c r="AV66" s="322">
        <f t="shared" ref="AV66" si="235">(AV7+AV14+AV25)+2*(AW7+AW14+AW25)</f>
        <v>0</v>
      </c>
      <c r="AW66" s="323"/>
      <c r="AX66" s="323">
        <f t="shared" ref="AX66" si="236">(AX7+AX14+AX25)+2*(AY7+AY14+AY25)</f>
        <v>1</v>
      </c>
      <c r="AY66" s="59"/>
      <c r="AZ66" s="274">
        <f>(AZ7+AZ14+AZ25)+2*(BA7+BA14+BA25)</f>
        <v>1</v>
      </c>
      <c r="BA66" s="119"/>
      <c r="BB66" s="275">
        <f>(BB7+BB14+BB25)+2*(BC7+BC14+BC25)</f>
        <v>1</v>
      </c>
      <c r="BC66" s="299"/>
      <c r="BD66" s="299">
        <f>(BD7+BD14+BD25)+2*(BE7+BE14+BE25)</f>
        <v>1</v>
      </c>
      <c r="BE66" s="119"/>
      <c r="BF66" s="59">
        <f>(BF7+BF14+BF25)+2*(BG7+BG14+BG25)</f>
        <v>1</v>
      </c>
      <c r="BG66" s="300"/>
    </row>
    <row r="67" spans="1:65" s="126" customFormat="1" x14ac:dyDescent="0.25">
      <c r="A67" s="126" t="s">
        <v>164</v>
      </c>
      <c r="C67" s="8"/>
      <c r="D67" s="303"/>
      <c r="E67" s="303"/>
      <c r="F67" s="303"/>
      <c r="G67" s="303"/>
      <c r="H67" s="303">
        <v>6</v>
      </c>
      <c r="I67" s="303"/>
      <c r="J67" s="303"/>
      <c r="K67" s="303"/>
      <c r="L67" s="303"/>
      <c r="M67" s="303"/>
      <c r="N67" s="303"/>
      <c r="O67" s="303"/>
      <c r="P67" s="303"/>
      <c r="Q67" s="303"/>
      <c r="R67" s="303"/>
      <c r="S67" s="303"/>
      <c r="T67" s="303"/>
      <c r="U67" s="303"/>
      <c r="V67" s="303"/>
      <c r="W67" s="303"/>
      <c r="X67" s="303"/>
      <c r="Y67" s="303"/>
      <c r="Z67" s="303"/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14"/>
      <c r="AY67" s="303"/>
      <c r="AZ67" s="303"/>
      <c r="BA67" s="303"/>
      <c r="BB67" s="303"/>
      <c r="BC67" s="303"/>
      <c r="BD67" s="303"/>
      <c r="BE67" s="303"/>
      <c r="BF67" s="303"/>
      <c r="BG67" s="303"/>
    </row>
    <row r="68" spans="1:65" s="126" customFormat="1" x14ac:dyDescent="0.25">
      <c r="A68" s="126" t="s">
        <v>165</v>
      </c>
      <c r="C68" s="8"/>
      <c r="D68" s="303"/>
      <c r="E68" s="303"/>
      <c r="F68" s="303"/>
      <c r="G68" s="303"/>
      <c r="H68" s="303">
        <v>4</v>
      </c>
      <c r="I68" s="303"/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3"/>
      <c r="V68" s="303"/>
      <c r="W68" s="303"/>
      <c r="X68" s="303"/>
      <c r="Y68" s="303"/>
      <c r="Z68" s="303"/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14"/>
      <c r="AY68" s="303"/>
      <c r="AZ68" s="303"/>
      <c r="BA68" s="303"/>
      <c r="BB68" s="303"/>
      <c r="BC68" s="303"/>
      <c r="BD68" s="303"/>
      <c r="BE68" s="303"/>
      <c r="BF68" s="303"/>
      <c r="BG68" s="303"/>
    </row>
    <row r="69" spans="1:65" ht="15" customHeight="1" x14ac:dyDescent="0.25">
      <c r="A69" s="126" t="s">
        <v>158</v>
      </c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  <c r="AA69" s="279"/>
      <c r="AB69" s="279"/>
      <c r="AC69" s="279"/>
      <c r="AD69" s="279"/>
      <c r="AE69" s="279"/>
      <c r="AF69" s="279"/>
      <c r="AG69" s="279"/>
      <c r="AH69" s="279"/>
      <c r="AI69" s="279"/>
      <c r="AJ69" s="279"/>
      <c r="AK69" s="279"/>
      <c r="AL69" s="279"/>
      <c r="AM69" s="279"/>
      <c r="AN69" s="279"/>
      <c r="AO69" s="279"/>
      <c r="AP69" s="279"/>
      <c r="AQ69" s="279"/>
      <c r="AR69" s="279"/>
      <c r="AS69" s="279"/>
      <c r="AT69" s="279"/>
      <c r="AU69" s="279"/>
      <c r="AV69" s="279"/>
      <c r="AW69" s="126"/>
      <c r="AX69" s="314">
        <f>(AX18)+2*(AY18)</f>
        <v>4</v>
      </c>
      <c r="AY69" s="314"/>
      <c r="AZ69" s="314">
        <f t="shared" ref="AZ69:BF69" si="237">(AZ18)+2*(BA18)</f>
        <v>4</v>
      </c>
      <c r="BA69" s="314"/>
      <c r="BB69" s="314">
        <f t="shared" si="237"/>
        <v>0</v>
      </c>
      <c r="BC69" s="314"/>
      <c r="BD69" s="314">
        <f t="shared" si="237"/>
        <v>4</v>
      </c>
      <c r="BE69" s="314"/>
      <c r="BF69" s="314">
        <f t="shared" si="237"/>
        <v>4</v>
      </c>
      <c r="BG69" s="126"/>
      <c r="BH69" s="126"/>
      <c r="BI69" s="126"/>
      <c r="BJ69" s="126"/>
      <c r="BK69" s="126"/>
      <c r="BL69" s="126"/>
    </row>
    <row r="70" spans="1:65" x14ac:dyDescent="0.25">
      <c r="A70" s="126" t="s">
        <v>157</v>
      </c>
      <c r="AX70" s="323">
        <f>(AX19)+2*(AY19)</f>
        <v>2</v>
      </c>
      <c r="AY70" s="314"/>
      <c r="AZ70" s="314">
        <f t="shared" ref="AZ70:BF70" si="238">(AZ19)+2*(BA19)</f>
        <v>2</v>
      </c>
      <c r="BA70" s="314"/>
      <c r="BB70" s="314">
        <f t="shared" si="238"/>
        <v>0</v>
      </c>
      <c r="BC70" s="314"/>
      <c r="BD70" s="314">
        <f t="shared" si="238"/>
        <v>2</v>
      </c>
      <c r="BE70" s="314"/>
      <c r="BF70" s="314">
        <f t="shared" si="238"/>
        <v>2</v>
      </c>
    </row>
    <row r="71" spans="1:65" x14ac:dyDescent="0.25"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314"/>
      <c r="AY71" s="126"/>
    </row>
    <row r="72" spans="1:65" x14ac:dyDescent="0.25"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</row>
    <row r="73" spans="1:65" x14ac:dyDescent="0.25"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  <c r="AV73" s="328"/>
      <c r="AW73" s="328"/>
      <c r="AX73" s="328"/>
      <c r="AY73" s="328"/>
      <c r="AZ73" s="328"/>
      <c r="BA73" s="328"/>
      <c r="BB73" s="328"/>
      <c r="BC73" s="328"/>
      <c r="BD73" s="328"/>
      <c r="BE73" s="328"/>
      <c r="BF73" s="328"/>
      <c r="BG73" s="328"/>
      <c r="BH73" s="328"/>
      <c r="BI73" s="328"/>
      <c r="BJ73" s="328"/>
      <c r="BK73" s="328"/>
      <c r="BL73" s="328"/>
      <c r="BM73" s="328"/>
    </row>
    <row r="74" spans="1:65" x14ac:dyDescent="0.25">
      <c r="S74" s="328"/>
      <c r="T74" s="328"/>
      <c r="U74" s="328"/>
      <c r="V74" s="328"/>
      <c r="W74" s="328"/>
      <c r="X74" s="328"/>
      <c r="Y74" s="328"/>
      <c r="Z74" s="328"/>
      <c r="AA74" s="328"/>
      <c r="AB74" s="328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328"/>
      <c r="AV74" s="328"/>
      <c r="AW74" s="328"/>
      <c r="AX74" s="328"/>
      <c r="AY74" s="328"/>
      <c r="AZ74" s="328"/>
      <c r="BA74" s="328"/>
      <c r="BB74" s="328"/>
      <c r="BC74" s="328"/>
      <c r="BD74" s="328"/>
      <c r="BE74" s="328"/>
      <c r="BF74" s="328"/>
      <c r="BG74" s="328"/>
      <c r="BH74" s="328"/>
      <c r="BI74" s="328"/>
      <c r="BJ74" s="328"/>
      <c r="BK74" s="328"/>
      <c r="BL74" s="328"/>
      <c r="BM74" s="328"/>
    </row>
    <row r="75" spans="1:65" x14ac:dyDescent="0.25">
      <c r="S75" s="328"/>
      <c r="T75" s="328"/>
      <c r="U75" s="328"/>
      <c r="V75" s="328"/>
      <c r="W75" s="328"/>
      <c r="X75" s="328"/>
      <c r="Y75" s="328"/>
      <c r="Z75" s="328"/>
      <c r="AA75" s="328"/>
      <c r="AB75" s="328"/>
      <c r="AC75" s="328"/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8"/>
      <c r="AV75" s="328"/>
      <c r="AW75" s="328"/>
      <c r="AX75" s="328"/>
      <c r="AY75" s="328"/>
      <c r="AZ75" s="328"/>
      <c r="BA75" s="328"/>
      <c r="BB75" s="328"/>
      <c r="BC75" s="328"/>
      <c r="BD75" s="328"/>
      <c r="BE75" s="328"/>
      <c r="BF75" s="328"/>
      <c r="BG75" s="328"/>
      <c r="BH75" s="328"/>
      <c r="BI75" s="328"/>
      <c r="BJ75" s="328"/>
      <c r="BK75" s="328"/>
      <c r="BL75" s="328"/>
      <c r="BM75" s="328"/>
    </row>
    <row r="76" spans="1:65" x14ac:dyDescent="0.25">
      <c r="S76" s="328"/>
      <c r="T76" s="328"/>
      <c r="U76" s="328"/>
      <c r="V76" s="328"/>
      <c r="W76" s="328"/>
      <c r="X76" s="328"/>
      <c r="Y76" s="328"/>
      <c r="Z76" s="328"/>
      <c r="AA76" s="328"/>
      <c r="AB76" s="328"/>
      <c r="AC76" s="328"/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  <c r="AV76" s="328"/>
      <c r="AW76" s="328"/>
      <c r="AX76" s="328"/>
      <c r="AY76" s="328"/>
      <c r="AZ76" s="328"/>
      <c r="BA76" s="328"/>
      <c r="BB76" s="328"/>
      <c r="BC76" s="328"/>
      <c r="BD76" s="328"/>
      <c r="BE76" s="328"/>
      <c r="BF76" s="328"/>
      <c r="BG76" s="328"/>
      <c r="BH76" s="328"/>
      <c r="BI76" s="328"/>
      <c r="BJ76" s="328"/>
      <c r="BK76" s="328"/>
      <c r="BL76" s="328"/>
      <c r="BM76" s="328"/>
    </row>
    <row r="77" spans="1:65" x14ac:dyDescent="0.25">
      <c r="S77" s="328"/>
      <c r="T77" s="328"/>
      <c r="U77" s="328"/>
      <c r="V77" s="328"/>
      <c r="W77" s="328"/>
      <c r="X77" s="328"/>
      <c r="Y77" s="328"/>
      <c r="Z77" s="328"/>
      <c r="AA77" s="328"/>
      <c r="AB77" s="328"/>
      <c r="AC77" s="328"/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8"/>
      <c r="AP77" s="328"/>
      <c r="AQ77" s="328"/>
      <c r="AR77" s="328"/>
      <c r="AS77" s="328"/>
      <c r="AT77" s="328"/>
      <c r="AU77" s="328"/>
      <c r="AV77" s="328"/>
      <c r="AW77" s="328"/>
      <c r="AX77" s="328"/>
      <c r="AY77" s="328"/>
      <c r="AZ77" s="328"/>
      <c r="BA77" s="328"/>
      <c r="BB77" s="328"/>
      <c r="BC77" s="328"/>
      <c r="BD77" s="328"/>
      <c r="BE77" s="328"/>
      <c r="BF77" s="328"/>
      <c r="BG77" s="328"/>
      <c r="BH77" s="328"/>
      <c r="BI77" s="328"/>
      <c r="BJ77" s="328"/>
      <c r="BK77" s="328"/>
      <c r="BL77" s="328"/>
      <c r="BM77" s="328"/>
    </row>
    <row r="78" spans="1:65" x14ac:dyDescent="0.25">
      <c r="S78" s="328"/>
      <c r="T78" s="328"/>
      <c r="U78" s="328"/>
      <c r="V78" s="328"/>
      <c r="W78" s="328"/>
      <c r="X78" s="328"/>
      <c r="Y78" s="328"/>
      <c r="Z78" s="328"/>
      <c r="AA78" s="328"/>
      <c r="AB78" s="328"/>
      <c r="AC78" s="328"/>
      <c r="AD78" s="328"/>
      <c r="AE78" s="328"/>
      <c r="AF78" s="328"/>
      <c r="AG78" s="328"/>
      <c r="AH78" s="328"/>
      <c r="AI78" s="328"/>
      <c r="AJ78" s="328"/>
      <c r="AK78" s="328"/>
      <c r="AL78" s="328"/>
      <c r="AM78" s="328"/>
      <c r="AN78" s="328"/>
      <c r="AO78" s="328"/>
      <c r="AP78" s="328"/>
      <c r="AQ78" s="328"/>
      <c r="AR78" s="328"/>
      <c r="AS78" s="328"/>
      <c r="AT78" s="328"/>
      <c r="AU78" s="328"/>
      <c r="AV78" s="328"/>
      <c r="AW78" s="328"/>
      <c r="AX78" s="328"/>
      <c r="AY78" s="328"/>
      <c r="AZ78" s="328"/>
      <c r="BA78" s="328"/>
      <c r="BB78" s="328"/>
      <c r="BC78" s="328"/>
      <c r="BD78" s="328"/>
      <c r="BE78" s="328"/>
      <c r="BF78" s="328"/>
      <c r="BG78" s="328"/>
      <c r="BH78" s="328"/>
      <c r="BI78" s="328"/>
      <c r="BJ78" s="328"/>
      <c r="BK78" s="328"/>
      <c r="BL78" s="328"/>
      <c r="BM78" s="328"/>
    </row>
    <row r="79" spans="1:65" x14ac:dyDescent="0.25">
      <c r="S79" s="328"/>
      <c r="T79" s="328"/>
      <c r="U79" s="328"/>
      <c r="V79" s="328"/>
      <c r="W79" s="328"/>
      <c r="X79" s="328"/>
      <c r="Y79" s="328"/>
      <c r="Z79" s="328"/>
      <c r="AA79" s="328"/>
      <c r="AB79" s="328"/>
      <c r="AC79" s="328"/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  <c r="AV79" s="328"/>
      <c r="AW79" s="328"/>
      <c r="AX79" s="328"/>
      <c r="AY79" s="328"/>
      <c r="AZ79" s="328"/>
      <c r="BA79" s="328"/>
      <c r="BB79" s="328"/>
      <c r="BC79" s="328"/>
      <c r="BD79" s="328"/>
      <c r="BE79" s="328"/>
      <c r="BF79" s="328"/>
      <c r="BG79" s="328"/>
      <c r="BH79" s="328"/>
      <c r="BI79" s="328"/>
      <c r="BJ79" s="328"/>
      <c r="BK79" s="328"/>
      <c r="BL79" s="328"/>
      <c r="BM79" s="328"/>
    </row>
    <row r="80" spans="1:65" x14ac:dyDescent="0.25">
      <c r="S80" s="328"/>
      <c r="T80" s="328"/>
      <c r="U80" s="328"/>
      <c r="V80" s="328"/>
      <c r="W80" s="328"/>
      <c r="X80" s="328"/>
      <c r="Y80" s="328"/>
      <c r="Z80" s="328"/>
      <c r="AA80" s="328"/>
      <c r="AB80" s="328"/>
      <c r="AC80" s="328"/>
      <c r="AD80" s="328"/>
      <c r="AE80" s="328"/>
      <c r="AF80" s="328"/>
      <c r="AG80" s="328"/>
      <c r="AH80" s="328"/>
      <c r="AI80" s="328"/>
      <c r="AJ80" s="328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  <c r="AV80" s="328"/>
      <c r="AW80" s="328"/>
      <c r="AX80" s="328"/>
      <c r="AY80" s="328"/>
      <c r="AZ80" s="328"/>
      <c r="BA80" s="328"/>
      <c r="BB80" s="328"/>
      <c r="BC80" s="328"/>
      <c r="BD80" s="328"/>
      <c r="BE80" s="328"/>
      <c r="BF80" s="328"/>
      <c r="BG80" s="328"/>
      <c r="BH80" s="328"/>
      <c r="BI80" s="328"/>
      <c r="BJ80" s="328"/>
      <c r="BK80" s="328"/>
      <c r="BL80" s="328"/>
      <c r="BM80" s="328"/>
    </row>
    <row r="81" spans="19:65" x14ac:dyDescent="0.25">
      <c r="S81" s="328"/>
      <c r="T81" s="328"/>
      <c r="U81" s="328"/>
      <c r="V81" s="328"/>
      <c r="W81" s="328"/>
      <c r="X81" s="328"/>
      <c r="Y81" s="328"/>
      <c r="Z81" s="328"/>
      <c r="AA81" s="328"/>
      <c r="AB81" s="328"/>
      <c r="AC81" s="328"/>
      <c r="AD81" s="328"/>
      <c r="AE81" s="328"/>
      <c r="AF81" s="328"/>
      <c r="AG81" s="328"/>
      <c r="AH81" s="328"/>
      <c r="AI81" s="328"/>
      <c r="AJ81" s="328"/>
      <c r="AK81" s="328"/>
      <c r="AL81" s="328"/>
      <c r="AM81" s="328"/>
      <c r="AN81" s="328"/>
      <c r="AO81" s="328"/>
      <c r="AP81" s="328"/>
      <c r="AQ81" s="328"/>
      <c r="AR81" s="328"/>
      <c r="AS81" s="328"/>
      <c r="AT81" s="328"/>
      <c r="AU81" s="328"/>
      <c r="AV81" s="328"/>
      <c r="AW81" s="328"/>
      <c r="AX81" s="328"/>
      <c r="AY81" s="328"/>
      <c r="AZ81" s="328"/>
      <c r="BA81" s="328"/>
      <c r="BB81" s="328"/>
      <c r="BC81" s="328"/>
      <c r="BD81" s="328"/>
      <c r="BE81" s="328"/>
      <c r="BF81" s="328"/>
      <c r="BG81" s="328"/>
      <c r="BH81" s="328"/>
      <c r="BI81" s="328"/>
      <c r="BJ81" s="328"/>
      <c r="BK81" s="328"/>
      <c r="BL81" s="328"/>
      <c r="BM81" s="328"/>
    </row>
    <row r="82" spans="19:65" x14ac:dyDescent="0.25">
      <c r="S82" s="328"/>
      <c r="T82" s="328"/>
      <c r="U82" s="328"/>
      <c r="V82" s="328"/>
      <c r="W82" s="328"/>
      <c r="X82" s="328"/>
      <c r="Y82" s="328"/>
      <c r="Z82" s="328"/>
      <c r="AA82" s="328"/>
      <c r="AB82" s="328"/>
      <c r="AC82" s="328"/>
      <c r="AD82" s="328"/>
      <c r="AE82" s="328"/>
      <c r="AF82" s="328"/>
      <c r="AG82" s="328"/>
      <c r="AH82" s="328"/>
      <c r="AI82" s="328"/>
      <c r="AJ82" s="328"/>
      <c r="AK82" s="328"/>
      <c r="AL82" s="328"/>
      <c r="AM82" s="328"/>
      <c r="AN82" s="328"/>
      <c r="AO82" s="328"/>
      <c r="AP82" s="328"/>
      <c r="AQ82" s="328"/>
      <c r="AR82" s="328"/>
      <c r="AS82" s="328"/>
      <c r="AT82" s="328"/>
      <c r="AU82" s="328"/>
      <c r="AV82" s="328"/>
      <c r="AW82" s="328"/>
      <c r="AX82" s="328"/>
      <c r="AY82" s="328"/>
      <c r="AZ82" s="328"/>
      <c r="BA82" s="328"/>
      <c r="BB82" s="328"/>
      <c r="BC82" s="328"/>
      <c r="BD82" s="328"/>
      <c r="BE82" s="328"/>
      <c r="BF82" s="328"/>
      <c r="BG82" s="328"/>
      <c r="BH82" s="328"/>
      <c r="BI82" s="328"/>
      <c r="BJ82" s="328"/>
      <c r="BK82" s="328"/>
      <c r="BL82" s="328"/>
      <c r="BM82" s="328"/>
    </row>
    <row r="83" spans="19:65" x14ac:dyDescent="0.25">
      <c r="S83" s="328"/>
      <c r="T83" s="328"/>
      <c r="U83" s="328"/>
      <c r="V83" s="328"/>
      <c r="W83" s="328"/>
      <c r="X83" s="328"/>
      <c r="Y83" s="328"/>
      <c r="Z83" s="328"/>
      <c r="AA83" s="328"/>
      <c r="AB83" s="328"/>
      <c r="AC83" s="328"/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328"/>
      <c r="AV83" s="328"/>
      <c r="AW83" s="328"/>
      <c r="AX83" s="328"/>
      <c r="AY83" s="328"/>
      <c r="AZ83" s="328"/>
      <c r="BA83" s="328"/>
      <c r="BB83" s="328"/>
      <c r="BC83" s="328"/>
      <c r="BD83" s="328"/>
      <c r="BE83" s="328"/>
      <c r="BF83" s="328"/>
      <c r="BG83" s="328"/>
      <c r="BH83" s="328"/>
      <c r="BI83" s="328"/>
      <c r="BJ83" s="328"/>
      <c r="BK83" s="328"/>
      <c r="BL83" s="328"/>
      <c r="BM83" s="328"/>
    </row>
    <row r="84" spans="19:65" x14ac:dyDescent="0.25">
      <c r="S84" s="328"/>
      <c r="T84" s="328"/>
      <c r="U84" s="328"/>
      <c r="V84" s="328"/>
      <c r="W84" s="328"/>
      <c r="X84" s="328"/>
      <c r="Y84" s="328"/>
      <c r="Z84" s="328"/>
      <c r="AA84" s="328"/>
      <c r="AB84" s="328"/>
      <c r="AC84" s="328"/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328"/>
      <c r="AV84" s="328"/>
      <c r="AW84" s="328"/>
      <c r="AX84" s="328"/>
      <c r="AY84" s="328"/>
      <c r="AZ84" s="328"/>
      <c r="BA84" s="328"/>
      <c r="BB84" s="328"/>
      <c r="BC84" s="328"/>
      <c r="BD84" s="328"/>
      <c r="BE84" s="328"/>
      <c r="BF84" s="328"/>
      <c r="BG84" s="328"/>
      <c r="BH84" s="328"/>
      <c r="BI84" s="328"/>
      <c r="BJ84" s="328"/>
      <c r="BK84" s="328"/>
      <c r="BL84" s="328"/>
      <c r="BM84" s="328"/>
    </row>
    <row r="85" spans="19:65" x14ac:dyDescent="0.25">
      <c r="S85" s="328"/>
      <c r="T85" s="328"/>
      <c r="U85" s="328"/>
      <c r="V85" s="328"/>
      <c r="W85" s="328"/>
      <c r="X85" s="328"/>
      <c r="Y85" s="328"/>
      <c r="Z85" s="328"/>
      <c r="AA85" s="328"/>
      <c r="AB85" s="328"/>
      <c r="AC85" s="328"/>
      <c r="AD85" s="328"/>
      <c r="AE85" s="328"/>
      <c r="AF85" s="328"/>
      <c r="AG85" s="328"/>
      <c r="AH85" s="328"/>
      <c r="AI85" s="328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328"/>
      <c r="AV85" s="328"/>
      <c r="AW85" s="328"/>
      <c r="AX85" s="328"/>
      <c r="AY85" s="328"/>
      <c r="AZ85" s="328"/>
      <c r="BA85" s="328"/>
      <c r="BB85" s="328"/>
      <c r="BC85" s="328"/>
      <c r="BD85" s="328"/>
      <c r="BE85" s="328"/>
      <c r="BF85" s="328"/>
      <c r="BG85" s="328"/>
      <c r="BH85" s="328"/>
      <c r="BI85" s="328"/>
      <c r="BJ85" s="328"/>
      <c r="BK85" s="328"/>
      <c r="BL85" s="328"/>
      <c r="BM85" s="328"/>
    </row>
    <row r="86" spans="19:65" x14ac:dyDescent="0.25">
      <c r="S86" s="328"/>
      <c r="T86" s="328"/>
      <c r="U86" s="328"/>
      <c r="V86" s="328"/>
      <c r="W86" s="328"/>
      <c r="X86" s="328"/>
      <c r="Y86" s="328"/>
      <c r="Z86" s="328"/>
      <c r="AA86" s="328"/>
      <c r="AB86" s="328"/>
      <c r="AC86" s="328"/>
      <c r="AD86" s="328"/>
      <c r="AE86" s="328"/>
      <c r="AF86" s="328"/>
      <c r="AG86" s="328"/>
      <c r="AH86" s="328"/>
      <c r="AI86" s="328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  <c r="AV86" s="328"/>
      <c r="AW86" s="328"/>
      <c r="AX86" s="328"/>
      <c r="AY86" s="328"/>
      <c r="AZ86" s="328"/>
      <c r="BA86" s="328"/>
      <c r="BB86" s="328"/>
      <c r="BC86" s="328"/>
      <c r="BD86" s="328"/>
      <c r="BE86" s="328"/>
      <c r="BF86" s="328"/>
      <c r="BG86" s="328"/>
      <c r="BH86" s="328"/>
      <c r="BI86" s="328"/>
      <c r="BJ86" s="328"/>
      <c r="BK86" s="328"/>
      <c r="BL86" s="328"/>
      <c r="BM86" s="328"/>
    </row>
  </sheetData>
  <mergeCells count="29">
    <mergeCell ref="AH1:AI1"/>
    <mergeCell ref="AB1:AC1"/>
    <mergeCell ref="AD1:AE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A46:B46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D77"/>
  <sheetViews>
    <sheetView zoomScaleNormal="100" workbookViewId="0">
      <selection activeCell="C44" sqref="C44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</cols>
  <sheetData>
    <row r="1" spans="1:30" ht="24.75" x14ac:dyDescent="0.45">
      <c r="A1" s="129" t="s">
        <v>162</v>
      </c>
      <c r="B1" s="79"/>
    </row>
    <row r="3" spans="1:30" x14ac:dyDescent="0.25">
      <c r="A3" s="80"/>
      <c r="B3" s="80"/>
      <c r="C3" s="95">
        <v>45689</v>
      </c>
      <c r="D3" s="95">
        <v>45690</v>
      </c>
      <c r="E3" s="95">
        <v>45691</v>
      </c>
      <c r="F3" s="95">
        <v>45692</v>
      </c>
      <c r="G3" s="95">
        <v>45693</v>
      </c>
      <c r="H3" s="95">
        <v>45694</v>
      </c>
      <c r="I3" s="95">
        <v>45695</v>
      </c>
      <c r="J3" s="95">
        <v>45696</v>
      </c>
      <c r="K3" s="95">
        <v>45697</v>
      </c>
      <c r="L3" s="95">
        <v>45698</v>
      </c>
      <c r="M3" s="95">
        <v>45699</v>
      </c>
      <c r="N3" s="95">
        <v>45700</v>
      </c>
      <c r="O3" s="95">
        <v>45701</v>
      </c>
      <c r="P3" s="95">
        <v>45702</v>
      </c>
      <c r="Q3" s="95">
        <v>45703</v>
      </c>
      <c r="R3" s="95">
        <v>45704</v>
      </c>
      <c r="S3" s="95">
        <v>45705</v>
      </c>
      <c r="T3" s="95">
        <v>45706</v>
      </c>
      <c r="U3" s="95">
        <v>45707</v>
      </c>
      <c r="V3" s="95">
        <v>45708</v>
      </c>
      <c r="W3" s="95">
        <v>45709</v>
      </c>
      <c r="X3" s="95">
        <v>45710</v>
      </c>
      <c r="Y3" s="95">
        <v>45711</v>
      </c>
      <c r="Z3" s="95">
        <v>45712</v>
      </c>
      <c r="AA3" s="95">
        <v>45713</v>
      </c>
      <c r="AB3" s="95">
        <v>45714</v>
      </c>
      <c r="AC3" s="95">
        <v>45715</v>
      </c>
      <c r="AD3" s="95">
        <v>45716</v>
      </c>
    </row>
    <row r="4" spans="1:30" x14ac:dyDescent="0.25">
      <c r="A4" s="81" t="s">
        <v>85</v>
      </c>
      <c r="B4" s="82" t="s">
        <v>86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</row>
    <row r="5" spans="1:30" s="87" customFormat="1" ht="14.25" x14ac:dyDescent="0.2">
      <c r="A5" s="83" t="s">
        <v>74</v>
      </c>
      <c r="B5" s="84">
        <v>43.13</v>
      </c>
      <c r="C5" s="97">
        <f>'Data Ocupacion'!D49</f>
        <v>72</v>
      </c>
      <c r="D5" s="97">
        <f>'Data Ocupacion'!F49</f>
        <v>54</v>
      </c>
      <c r="E5" s="97">
        <f>'Data Ocupacion'!H49</f>
        <v>69</v>
      </c>
      <c r="F5" s="97">
        <f>'Data Ocupacion'!J49</f>
        <v>79</v>
      </c>
      <c r="G5" s="97">
        <f>'Data Ocupacion'!L49</f>
        <v>79</v>
      </c>
      <c r="H5" s="97">
        <f>'Data Ocupacion'!N49</f>
        <v>79</v>
      </c>
      <c r="I5" s="97">
        <f>'Data Ocupacion'!P49</f>
        <v>79</v>
      </c>
      <c r="J5" s="97">
        <f>'Data Ocupacion'!R49</f>
        <v>67</v>
      </c>
      <c r="K5" s="97">
        <f>'Data Ocupacion'!T49</f>
        <v>25</v>
      </c>
      <c r="L5" s="97">
        <f>'Data Ocupacion'!V49</f>
        <v>80</v>
      </c>
      <c r="M5" s="97">
        <f>'Data Ocupacion'!X49</f>
        <v>79</v>
      </c>
      <c r="N5" s="97">
        <f>'Data Ocupacion'!Z49</f>
        <v>79</v>
      </c>
      <c r="O5" s="97">
        <f>'Data Ocupacion'!AB49</f>
        <v>79</v>
      </c>
      <c r="P5" s="97">
        <f>'Data Ocupacion'!AD49</f>
        <v>79</v>
      </c>
      <c r="Q5" s="97">
        <f>'Data Ocupacion'!AF49</f>
        <v>72</v>
      </c>
      <c r="R5" s="97">
        <f>'Data Ocupacion'!AH49</f>
        <v>54</v>
      </c>
      <c r="S5" s="97">
        <f>'Data Ocupacion'!AJ49</f>
        <v>79</v>
      </c>
      <c r="T5" s="97">
        <f>'Data Ocupacion'!AL49</f>
        <v>79</v>
      </c>
      <c r="U5" s="97">
        <f>'Data Ocupacion'!AN49</f>
        <v>79</v>
      </c>
      <c r="V5" s="97">
        <f>'Data Ocupacion'!AP49</f>
        <v>79</v>
      </c>
      <c r="W5" s="97">
        <f>'Data Ocupacion'!AR49</f>
        <v>79</v>
      </c>
      <c r="X5" s="97">
        <f>'Data Ocupacion'!AT49</f>
        <v>72</v>
      </c>
      <c r="Y5" s="97">
        <f>'Data Ocupacion'!AV49</f>
        <v>54</v>
      </c>
      <c r="Z5" s="97">
        <f>'Data Ocupacion'!AX49</f>
        <v>79</v>
      </c>
      <c r="AA5" s="97">
        <f>'Data Ocupacion'!AZ49</f>
        <v>44</v>
      </c>
      <c r="AB5" s="97">
        <f>'Data Ocupacion'!BB49</f>
        <v>79</v>
      </c>
      <c r="AC5" s="97">
        <f>'Data Ocupacion'!BD49</f>
        <v>79</v>
      </c>
      <c r="AD5" s="97">
        <f>'Data Ocupacion'!BF49</f>
        <v>79</v>
      </c>
    </row>
    <row r="6" spans="1:30" s="87" customFormat="1" ht="14.25" x14ac:dyDescent="0.2">
      <c r="A6" s="83" t="s">
        <v>77</v>
      </c>
      <c r="B6" s="84">
        <v>43.13</v>
      </c>
      <c r="C6" s="97">
        <f>'Data Ocupacion'!D50</f>
        <v>75</v>
      </c>
      <c r="D6" s="97">
        <f>'Data Ocupacion'!F50</f>
        <v>57</v>
      </c>
      <c r="E6" s="97">
        <f>'Data Ocupacion'!H50</f>
        <v>71</v>
      </c>
      <c r="F6" s="97">
        <f>'Data Ocupacion'!J50</f>
        <v>78</v>
      </c>
      <c r="G6" s="97">
        <f>'Data Ocupacion'!L50</f>
        <v>78</v>
      </c>
      <c r="H6" s="97">
        <f>'Data Ocupacion'!N50</f>
        <v>78</v>
      </c>
      <c r="I6" s="97">
        <f>'Data Ocupacion'!P50</f>
        <v>78</v>
      </c>
      <c r="J6" s="97">
        <f>'Data Ocupacion'!R50</f>
        <v>71</v>
      </c>
      <c r="K6" s="97">
        <f>'Data Ocupacion'!T50</f>
        <v>27</v>
      </c>
      <c r="L6" s="97">
        <f>'Data Ocupacion'!V50</f>
        <v>78</v>
      </c>
      <c r="M6" s="97">
        <f>'Data Ocupacion'!X50</f>
        <v>78</v>
      </c>
      <c r="N6" s="97">
        <f>'Data Ocupacion'!Z50</f>
        <v>78</v>
      </c>
      <c r="O6" s="97">
        <f>'Data Ocupacion'!AB50</f>
        <v>78</v>
      </c>
      <c r="P6" s="97">
        <f>'Data Ocupacion'!AD50</f>
        <v>78</v>
      </c>
      <c r="Q6" s="97">
        <f>'Data Ocupacion'!AF50</f>
        <v>75</v>
      </c>
      <c r="R6" s="97">
        <f>'Data Ocupacion'!AH50</f>
        <v>57</v>
      </c>
      <c r="S6" s="97">
        <f>'Data Ocupacion'!AJ50</f>
        <v>78</v>
      </c>
      <c r="T6" s="97">
        <f>'Data Ocupacion'!AL50</f>
        <v>78</v>
      </c>
      <c r="U6" s="97">
        <f>'Data Ocupacion'!AN50</f>
        <v>78</v>
      </c>
      <c r="V6" s="97">
        <f>'Data Ocupacion'!AP50</f>
        <v>78</v>
      </c>
      <c r="W6" s="97">
        <f>'Data Ocupacion'!AR50</f>
        <v>78</v>
      </c>
      <c r="X6" s="97">
        <f>'Data Ocupacion'!AT50</f>
        <v>75</v>
      </c>
      <c r="Y6" s="97">
        <f>'Data Ocupacion'!AV50</f>
        <v>57</v>
      </c>
      <c r="Z6" s="97">
        <f>'Data Ocupacion'!AX50</f>
        <v>78</v>
      </c>
      <c r="AA6" s="97">
        <f>'Data Ocupacion'!AZ50</f>
        <v>45</v>
      </c>
      <c r="AB6" s="97">
        <f>'Data Ocupacion'!BB50</f>
        <v>78</v>
      </c>
      <c r="AC6" s="97">
        <f>'Data Ocupacion'!BD50</f>
        <v>78</v>
      </c>
      <c r="AD6" s="97">
        <f>'Data Ocupacion'!BF50</f>
        <v>78</v>
      </c>
    </row>
    <row r="7" spans="1:30" s="87" customFormat="1" ht="14.25" x14ac:dyDescent="0.2">
      <c r="A7" s="83" t="s">
        <v>73</v>
      </c>
      <c r="B7" s="84">
        <v>29.11</v>
      </c>
      <c r="C7" s="97">
        <f>'Data Ocupacion'!D51</f>
        <v>0</v>
      </c>
      <c r="D7" s="97">
        <f>'Data Ocupacion'!F51</f>
        <v>0</v>
      </c>
      <c r="E7" s="97">
        <f>'Data Ocupacion'!H51</f>
        <v>30</v>
      </c>
      <c r="F7" s="97">
        <f>'Data Ocupacion'!J51</f>
        <v>33</v>
      </c>
      <c r="G7" s="97">
        <f>'Data Ocupacion'!L51</f>
        <v>33</v>
      </c>
      <c r="H7" s="97">
        <f>'Data Ocupacion'!N51</f>
        <v>33</v>
      </c>
      <c r="I7" s="97">
        <f>'Data Ocupacion'!P51</f>
        <v>33</v>
      </c>
      <c r="J7" s="97">
        <f>'Data Ocupacion'!R51</f>
        <v>0</v>
      </c>
      <c r="K7" s="97">
        <f>'Data Ocupacion'!T51</f>
        <v>0</v>
      </c>
      <c r="L7" s="97">
        <f>'Data Ocupacion'!V51</f>
        <v>31</v>
      </c>
      <c r="M7" s="97">
        <f>'Data Ocupacion'!X51</f>
        <v>33</v>
      </c>
      <c r="N7" s="97">
        <f>'Data Ocupacion'!Z51</f>
        <v>33</v>
      </c>
      <c r="O7" s="97">
        <f>'Data Ocupacion'!AB51</f>
        <v>33</v>
      </c>
      <c r="P7" s="97">
        <f>'Data Ocupacion'!AD51</f>
        <v>33</v>
      </c>
      <c r="Q7" s="97">
        <f>'Data Ocupacion'!AF51</f>
        <v>0</v>
      </c>
      <c r="R7" s="97">
        <f>'Data Ocupacion'!AH51</f>
        <v>0</v>
      </c>
      <c r="S7" s="97">
        <f>'Data Ocupacion'!AJ51</f>
        <v>33</v>
      </c>
      <c r="T7" s="97">
        <f>'Data Ocupacion'!AL51</f>
        <v>33</v>
      </c>
      <c r="U7" s="97">
        <f>'Data Ocupacion'!AN51</f>
        <v>33</v>
      </c>
      <c r="V7" s="97">
        <f>'Data Ocupacion'!AP51</f>
        <v>33</v>
      </c>
      <c r="W7" s="97">
        <f>'Data Ocupacion'!AR51</f>
        <v>33</v>
      </c>
      <c r="X7" s="97">
        <f>'Data Ocupacion'!AT51</f>
        <v>0</v>
      </c>
      <c r="Y7" s="97">
        <f>'Data Ocupacion'!AV51</f>
        <v>0</v>
      </c>
      <c r="Z7" s="97">
        <f>'Data Ocupacion'!AX51</f>
        <v>33</v>
      </c>
      <c r="AA7" s="97">
        <f>'Data Ocupacion'!AZ51</f>
        <v>13</v>
      </c>
      <c r="AB7" s="97">
        <f>'Data Ocupacion'!BB51</f>
        <v>33</v>
      </c>
      <c r="AC7" s="97">
        <f>'Data Ocupacion'!BD51</f>
        <v>33</v>
      </c>
      <c r="AD7" s="97">
        <f>'Data Ocupacion'!BF51</f>
        <v>33</v>
      </c>
    </row>
    <row r="8" spans="1:30" s="87" customFormat="1" ht="14.25" x14ac:dyDescent="0.2">
      <c r="A8" s="83" t="s">
        <v>75</v>
      </c>
      <c r="B8" s="84">
        <v>29.11</v>
      </c>
      <c r="C8" s="97">
        <f>'Data Ocupacion'!D52</f>
        <v>0</v>
      </c>
      <c r="D8" s="97">
        <f>'Data Ocupacion'!F52</f>
        <v>0</v>
      </c>
      <c r="E8" s="97">
        <f>'Data Ocupacion'!H52</f>
        <v>29</v>
      </c>
      <c r="F8" s="97">
        <f>'Data Ocupacion'!J52</f>
        <v>32</v>
      </c>
      <c r="G8" s="97">
        <f>'Data Ocupacion'!L52</f>
        <v>32</v>
      </c>
      <c r="H8" s="97">
        <f>'Data Ocupacion'!N52</f>
        <v>32</v>
      </c>
      <c r="I8" s="97">
        <f>'Data Ocupacion'!P52</f>
        <v>32</v>
      </c>
      <c r="J8" s="97">
        <f>'Data Ocupacion'!R52</f>
        <v>0</v>
      </c>
      <c r="K8" s="97">
        <f>'Data Ocupacion'!T52</f>
        <v>0</v>
      </c>
      <c r="L8" s="97">
        <f>'Data Ocupacion'!V52</f>
        <v>32</v>
      </c>
      <c r="M8" s="97">
        <f>'Data Ocupacion'!X52</f>
        <v>32</v>
      </c>
      <c r="N8" s="97">
        <f>'Data Ocupacion'!Z52</f>
        <v>32</v>
      </c>
      <c r="O8" s="97">
        <f>'Data Ocupacion'!AB52</f>
        <v>32</v>
      </c>
      <c r="P8" s="97">
        <f>'Data Ocupacion'!AD52</f>
        <v>32</v>
      </c>
      <c r="Q8" s="97">
        <f>'Data Ocupacion'!AF52</f>
        <v>0</v>
      </c>
      <c r="R8" s="97">
        <f>'Data Ocupacion'!AH52</f>
        <v>0</v>
      </c>
      <c r="S8" s="97">
        <f>'Data Ocupacion'!AJ52</f>
        <v>32</v>
      </c>
      <c r="T8" s="97">
        <f>'Data Ocupacion'!AL52</f>
        <v>32</v>
      </c>
      <c r="U8" s="97">
        <f>'Data Ocupacion'!AN52</f>
        <v>32</v>
      </c>
      <c r="V8" s="97">
        <f>'Data Ocupacion'!AP52</f>
        <v>32</v>
      </c>
      <c r="W8" s="97">
        <f>'Data Ocupacion'!AR52</f>
        <v>32</v>
      </c>
      <c r="X8" s="97">
        <f>'Data Ocupacion'!AT52</f>
        <v>0</v>
      </c>
      <c r="Y8" s="97">
        <f>'Data Ocupacion'!AV52</f>
        <v>0</v>
      </c>
      <c r="Z8" s="97">
        <f>'Data Ocupacion'!AX52</f>
        <v>32</v>
      </c>
      <c r="AA8" s="97">
        <f>'Data Ocupacion'!AZ52</f>
        <v>14</v>
      </c>
      <c r="AB8" s="97">
        <f>'Data Ocupacion'!BB52</f>
        <v>32</v>
      </c>
      <c r="AC8" s="97">
        <f>'Data Ocupacion'!BD52</f>
        <v>32</v>
      </c>
      <c r="AD8" s="97">
        <f>'Data Ocupacion'!BF52</f>
        <v>32</v>
      </c>
    </row>
    <row r="9" spans="1:30" s="87" customFormat="1" ht="14.25" x14ac:dyDescent="0.2">
      <c r="A9" s="83" t="s">
        <v>123</v>
      </c>
      <c r="B9" s="84">
        <v>25.4</v>
      </c>
      <c r="C9" s="97">
        <f>'Data Ocupacion'!D53</f>
        <v>0</v>
      </c>
      <c r="D9" s="97">
        <f>'Data Ocupacion'!F53</f>
        <v>0</v>
      </c>
      <c r="E9" s="97">
        <f>'Data Ocupacion'!H53</f>
        <v>0</v>
      </c>
      <c r="F9" s="97">
        <f>'Data Ocupacion'!J53</f>
        <v>0</v>
      </c>
      <c r="G9" s="97">
        <f>'Data Ocupacion'!L53</f>
        <v>0</v>
      </c>
      <c r="H9" s="97">
        <f>'Data Ocupacion'!N53</f>
        <v>0</v>
      </c>
      <c r="I9" s="97">
        <f>'Data Ocupacion'!P53</f>
        <v>0</v>
      </c>
      <c r="J9" s="97">
        <f>'Data Ocupacion'!R53</f>
        <v>0</v>
      </c>
      <c r="K9" s="97">
        <f>'Data Ocupacion'!T53</f>
        <v>0</v>
      </c>
      <c r="L9" s="97">
        <f>'Data Ocupacion'!V53</f>
        <v>0</v>
      </c>
      <c r="M9" s="97">
        <f>'Data Ocupacion'!X53</f>
        <v>0</v>
      </c>
      <c r="N9" s="97">
        <f>'Data Ocupacion'!Z53</f>
        <v>0</v>
      </c>
      <c r="O9" s="97">
        <f>'Data Ocupacion'!AB53</f>
        <v>0</v>
      </c>
      <c r="P9" s="97">
        <f>'Data Ocupacion'!AD53</f>
        <v>0</v>
      </c>
      <c r="Q9" s="97">
        <f>'Data Ocupacion'!AF53</f>
        <v>0</v>
      </c>
      <c r="R9" s="97">
        <f>'Data Ocupacion'!AH53</f>
        <v>0</v>
      </c>
      <c r="S9" s="97">
        <f>'Data Ocupacion'!AJ53</f>
        <v>0</v>
      </c>
      <c r="T9" s="97">
        <f>'Data Ocupacion'!AL53</f>
        <v>0</v>
      </c>
      <c r="U9" s="97">
        <f>'Data Ocupacion'!AN53</f>
        <v>0</v>
      </c>
      <c r="V9" s="97">
        <f>'Data Ocupacion'!AP53</f>
        <v>0</v>
      </c>
      <c r="W9" s="97">
        <f>'Data Ocupacion'!AR53</f>
        <v>0</v>
      </c>
      <c r="X9" s="97">
        <f>'Data Ocupacion'!AT53</f>
        <v>0</v>
      </c>
      <c r="Y9" s="97">
        <f>'Data Ocupacion'!AV53</f>
        <v>0</v>
      </c>
      <c r="Z9" s="97">
        <f>'Data Ocupacion'!AX53</f>
        <v>0</v>
      </c>
      <c r="AA9" s="97">
        <f>'Data Ocupacion'!AZ53</f>
        <v>0</v>
      </c>
      <c r="AB9" s="97">
        <f>'Data Ocupacion'!BB53</f>
        <v>0</v>
      </c>
      <c r="AC9" s="97">
        <f>'Data Ocupacion'!BD53</f>
        <v>0</v>
      </c>
      <c r="AD9" s="97">
        <f>'Data Ocupacion'!BF53</f>
        <v>0</v>
      </c>
    </row>
    <row r="10" spans="1:30" s="87" customFormat="1" ht="14.25" x14ac:dyDescent="0.2">
      <c r="A10" s="221" t="s">
        <v>76</v>
      </c>
      <c r="B10" s="84">
        <v>25.4</v>
      </c>
      <c r="C10" s="97">
        <f>'Data Ocupacion'!D54</f>
        <v>0</v>
      </c>
      <c r="D10" s="97">
        <f>'Data Ocupacion'!F54</f>
        <v>0</v>
      </c>
      <c r="E10" s="97">
        <f>'Data Ocupacion'!H54</f>
        <v>1</v>
      </c>
      <c r="F10" s="97">
        <f>'Data Ocupacion'!J54</f>
        <v>1</v>
      </c>
      <c r="G10" s="97">
        <f>'Data Ocupacion'!L54</f>
        <v>1</v>
      </c>
      <c r="H10" s="97">
        <f>'Data Ocupacion'!N54</f>
        <v>1</v>
      </c>
      <c r="I10" s="97">
        <f>'Data Ocupacion'!P54</f>
        <v>1</v>
      </c>
      <c r="J10" s="97">
        <f>'Data Ocupacion'!R54</f>
        <v>0</v>
      </c>
      <c r="K10" s="97">
        <f>'Data Ocupacion'!T54</f>
        <v>0</v>
      </c>
      <c r="L10" s="97">
        <f>'Data Ocupacion'!V54</f>
        <v>1</v>
      </c>
      <c r="M10" s="97">
        <f>'Data Ocupacion'!X54</f>
        <v>1</v>
      </c>
      <c r="N10" s="97">
        <f>'Data Ocupacion'!Z54</f>
        <v>1</v>
      </c>
      <c r="O10" s="97">
        <f>'Data Ocupacion'!AB54</f>
        <v>1</v>
      </c>
      <c r="P10" s="97">
        <f>'Data Ocupacion'!AD54</f>
        <v>1</v>
      </c>
      <c r="Q10" s="97">
        <f>'Data Ocupacion'!AF54</f>
        <v>0</v>
      </c>
      <c r="R10" s="97">
        <f>'Data Ocupacion'!AH54</f>
        <v>0</v>
      </c>
      <c r="S10" s="97">
        <f>'Data Ocupacion'!AJ54</f>
        <v>1</v>
      </c>
      <c r="T10" s="97">
        <f>'Data Ocupacion'!AL54</f>
        <v>1</v>
      </c>
      <c r="U10" s="97">
        <f>'Data Ocupacion'!AN54</f>
        <v>1</v>
      </c>
      <c r="V10" s="97">
        <f>'Data Ocupacion'!AP54</f>
        <v>1</v>
      </c>
      <c r="W10" s="97">
        <f>'Data Ocupacion'!AR54</f>
        <v>1</v>
      </c>
      <c r="X10" s="97">
        <f>'Data Ocupacion'!AT54</f>
        <v>0</v>
      </c>
      <c r="Y10" s="97">
        <f>'Data Ocupacion'!AV54</f>
        <v>0</v>
      </c>
      <c r="Z10" s="97">
        <f>'Data Ocupacion'!AX54</f>
        <v>1</v>
      </c>
      <c r="AA10" s="97">
        <f>'Data Ocupacion'!AZ54</f>
        <v>1</v>
      </c>
      <c r="AB10" s="97">
        <f>'Data Ocupacion'!BB54</f>
        <v>1</v>
      </c>
      <c r="AC10" s="97">
        <f>'Data Ocupacion'!BD54</f>
        <v>1</v>
      </c>
      <c r="AD10" s="97">
        <f>'Data Ocupacion'!BF54</f>
        <v>1</v>
      </c>
    </row>
    <row r="11" spans="1:30" s="87" customFormat="1" ht="14.25" x14ac:dyDescent="0.2">
      <c r="A11" s="221" t="s">
        <v>167</v>
      </c>
      <c r="B11" s="84">
        <v>11.71</v>
      </c>
      <c r="C11" s="97"/>
      <c r="D11" s="97"/>
      <c r="E11" s="97">
        <v>6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</row>
    <row r="12" spans="1:30" s="87" customFormat="1" ht="14.25" x14ac:dyDescent="0.2">
      <c r="A12" s="221" t="s">
        <v>166</v>
      </c>
      <c r="B12" s="84">
        <v>11.71</v>
      </c>
      <c r="C12" s="97"/>
      <c r="D12" s="97"/>
      <c r="E12" s="97">
        <v>4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</row>
    <row r="13" spans="1:30" s="87" customFormat="1" ht="14.25" x14ac:dyDescent="0.2">
      <c r="A13" s="221" t="s">
        <v>175</v>
      </c>
      <c r="B13" s="84">
        <v>34.83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>
        <v>4</v>
      </c>
      <c r="AA13" s="97">
        <v>4</v>
      </c>
      <c r="AB13" s="97"/>
      <c r="AC13" s="97">
        <v>4</v>
      </c>
      <c r="AD13" s="97">
        <v>4</v>
      </c>
    </row>
    <row r="14" spans="1:30" s="87" customFormat="1" ht="14.25" x14ac:dyDescent="0.2">
      <c r="A14" s="221" t="s">
        <v>176</v>
      </c>
      <c r="B14" s="84">
        <v>8.3000000000000007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>
        <v>2</v>
      </c>
      <c r="AA14" s="97">
        <v>2</v>
      </c>
      <c r="AB14" s="97"/>
      <c r="AC14" s="97">
        <v>2</v>
      </c>
      <c r="AD14" s="97">
        <v>2</v>
      </c>
    </row>
    <row r="15" spans="1:30" s="87" customFormat="1" ht="14.25" x14ac:dyDescent="0.2">
      <c r="A15" s="302"/>
      <c r="B15" s="84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T15" s="97"/>
      <c r="V15" s="97"/>
      <c r="X15" s="97"/>
      <c r="Z15" s="97"/>
      <c r="AB15" s="97"/>
      <c r="AD15" s="97"/>
    </row>
    <row r="16" spans="1:30" s="87" customFormat="1" ht="14.25" x14ac:dyDescent="0.2">
      <c r="A16" s="83" t="s">
        <v>87</v>
      </c>
      <c r="B16" s="84">
        <v>43.13</v>
      </c>
      <c r="C16" s="97">
        <f>'Data Ocupacion'!D61</f>
        <v>75</v>
      </c>
      <c r="D16" s="97">
        <f>'Data Ocupacion'!F61</f>
        <v>57</v>
      </c>
      <c r="E16" s="97">
        <f>'Data Ocupacion'!H61</f>
        <v>72</v>
      </c>
      <c r="F16" s="97">
        <f>'Data Ocupacion'!J61</f>
        <v>81</v>
      </c>
      <c r="G16" s="97">
        <f>'Data Ocupacion'!L61</f>
        <v>80</v>
      </c>
      <c r="H16" s="97">
        <f>'Data Ocupacion'!N61</f>
        <v>80</v>
      </c>
      <c r="I16" s="97">
        <f>'Data Ocupacion'!P61</f>
        <v>80</v>
      </c>
      <c r="J16" s="97">
        <f>'Data Ocupacion'!R61</f>
        <v>73</v>
      </c>
      <c r="K16" s="97">
        <f>'Data Ocupacion'!T61</f>
        <v>50</v>
      </c>
      <c r="L16" s="97">
        <f>'Data Ocupacion'!V61</f>
        <v>81</v>
      </c>
      <c r="M16" s="97">
        <f>'Data Ocupacion'!X61</f>
        <v>80</v>
      </c>
      <c r="N16" s="97">
        <f>'Data Ocupacion'!Z61</f>
        <v>80</v>
      </c>
      <c r="O16" s="97">
        <f>'Data Ocupacion'!AB61</f>
        <v>80</v>
      </c>
      <c r="P16" s="97">
        <f>'Data Ocupacion'!AD61</f>
        <v>80</v>
      </c>
      <c r="Q16" s="97">
        <f>'Data Ocupacion'!AF61</f>
        <v>75</v>
      </c>
      <c r="R16" s="97">
        <f>'Data Ocupacion'!AH61</f>
        <v>57</v>
      </c>
      <c r="S16" s="97">
        <f>'Data Ocupacion'!AJ61</f>
        <v>80</v>
      </c>
      <c r="T16" s="97">
        <f>'Data Ocupacion'!AL61</f>
        <v>80</v>
      </c>
      <c r="U16" s="97">
        <f>'Data Ocupacion'!AN61</f>
        <v>80</v>
      </c>
      <c r="V16" s="97">
        <f>'Data Ocupacion'!AP61</f>
        <v>80</v>
      </c>
      <c r="W16" s="97">
        <f>'Data Ocupacion'!AR61</f>
        <v>80</v>
      </c>
      <c r="X16" s="97">
        <f>'Data Ocupacion'!AT61</f>
        <v>75</v>
      </c>
      <c r="Y16" s="97">
        <f>'Data Ocupacion'!AV61</f>
        <v>76</v>
      </c>
      <c r="Z16" s="97">
        <f>'Data Ocupacion'!AX61</f>
        <v>97</v>
      </c>
      <c r="AA16" s="97">
        <f>'Data Ocupacion'!AZ61</f>
        <v>44</v>
      </c>
      <c r="AB16" s="97">
        <f>'Data Ocupacion'!BB61</f>
        <v>93</v>
      </c>
      <c r="AC16" s="97">
        <f>'Data Ocupacion'!BD61</f>
        <v>96</v>
      </c>
      <c r="AD16" s="97">
        <f>'Data Ocupacion'!BF61</f>
        <v>96</v>
      </c>
    </row>
    <row r="17" spans="1:30" s="87" customFormat="1" ht="14.25" x14ac:dyDescent="0.2">
      <c r="A17" s="83" t="s">
        <v>88</v>
      </c>
      <c r="B17" s="84">
        <v>43.13</v>
      </c>
      <c r="C17" s="97">
        <f>'Data Ocupacion'!D62</f>
        <v>75</v>
      </c>
      <c r="D17" s="97">
        <f>'Data Ocupacion'!F62</f>
        <v>57</v>
      </c>
      <c r="E17" s="97">
        <f>'Data Ocupacion'!H62</f>
        <v>74</v>
      </c>
      <c r="F17" s="97">
        <f>'Data Ocupacion'!J62</f>
        <v>81</v>
      </c>
      <c r="G17" s="97">
        <f>'Data Ocupacion'!L62</f>
        <v>80</v>
      </c>
      <c r="H17" s="97">
        <f>'Data Ocupacion'!N62</f>
        <v>80</v>
      </c>
      <c r="I17" s="97">
        <f>'Data Ocupacion'!P62</f>
        <v>80</v>
      </c>
      <c r="J17" s="97">
        <f>'Data Ocupacion'!R62</f>
        <v>73</v>
      </c>
      <c r="K17" s="97">
        <f>'Data Ocupacion'!T62</f>
        <v>52</v>
      </c>
      <c r="L17" s="97">
        <f>'Data Ocupacion'!V62</f>
        <v>80</v>
      </c>
      <c r="M17" s="97">
        <f>'Data Ocupacion'!X62</f>
        <v>80</v>
      </c>
      <c r="N17" s="97">
        <f>'Data Ocupacion'!Z62</f>
        <v>80</v>
      </c>
      <c r="O17" s="97">
        <f>'Data Ocupacion'!AB62</f>
        <v>80</v>
      </c>
      <c r="P17" s="97">
        <f>'Data Ocupacion'!AD62</f>
        <v>80</v>
      </c>
      <c r="Q17" s="97">
        <f>'Data Ocupacion'!AF62</f>
        <v>75</v>
      </c>
      <c r="R17" s="97">
        <f>'Data Ocupacion'!AH62</f>
        <v>57</v>
      </c>
      <c r="S17" s="97">
        <f>'Data Ocupacion'!AJ62</f>
        <v>80</v>
      </c>
      <c r="T17" s="97">
        <f>'Data Ocupacion'!AL62</f>
        <v>80</v>
      </c>
      <c r="U17" s="97">
        <f>'Data Ocupacion'!AN62</f>
        <v>80</v>
      </c>
      <c r="V17" s="97">
        <f>'Data Ocupacion'!AP62</f>
        <v>80</v>
      </c>
      <c r="W17" s="97">
        <f>'Data Ocupacion'!AR62</f>
        <v>80</v>
      </c>
      <c r="X17" s="97">
        <f>'Data Ocupacion'!AT62</f>
        <v>75</v>
      </c>
      <c r="Y17" s="97">
        <f>'Data Ocupacion'!AV62</f>
        <v>72</v>
      </c>
      <c r="Z17" s="97">
        <f>'Data Ocupacion'!AX62</f>
        <v>97</v>
      </c>
      <c r="AA17" s="97">
        <f>'Data Ocupacion'!AZ62</f>
        <v>45</v>
      </c>
      <c r="AB17" s="97">
        <f>'Data Ocupacion'!BB62</f>
        <v>92</v>
      </c>
      <c r="AC17" s="97">
        <f>'Data Ocupacion'!BD62</f>
        <v>96</v>
      </c>
      <c r="AD17" s="97">
        <f>'Data Ocupacion'!BF62</f>
        <v>96</v>
      </c>
    </row>
    <row r="18" spans="1:30" s="87" customFormat="1" ht="14.25" x14ac:dyDescent="0.2">
      <c r="A18" s="83" t="s">
        <v>89</v>
      </c>
      <c r="B18" s="84">
        <v>29.11</v>
      </c>
      <c r="C18" s="97">
        <f>'Data Ocupacion'!D63</f>
        <v>0</v>
      </c>
      <c r="D18" s="97">
        <f>'Data Ocupacion'!F63</f>
        <v>0</v>
      </c>
      <c r="E18" s="97">
        <f>'Data Ocupacion'!H63</f>
        <v>30</v>
      </c>
      <c r="F18" s="97">
        <f>'Data Ocupacion'!J63</f>
        <v>33</v>
      </c>
      <c r="G18" s="97">
        <f>'Data Ocupacion'!L63</f>
        <v>33</v>
      </c>
      <c r="H18" s="97">
        <f>'Data Ocupacion'!N63</f>
        <v>33</v>
      </c>
      <c r="I18" s="97">
        <f>'Data Ocupacion'!P63</f>
        <v>33</v>
      </c>
      <c r="J18" s="97">
        <f>'Data Ocupacion'!R63</f>
        <v>0</v>
      </c>
      <c r="K18" s="97">
        <f>'Data Ocupacion'!T63</f>
        <v>0</v>
      </c>
      <c r="L18" s="97">
        <f>'Data Ocupacion'!V63</f>
        <v>31</v>
      </c>
      <c r="M18" s="97">
        <f>'Data Ocupacion'!X63</f>
        <v>33</v>
      </c>
      <c r="N18" s="97">
        <f>'Data Ocupacion'!Z63</f>
        <v>33</v>
      </c>
      <c r="O18" s="97">
        <f>'Data Ocupacion'!AB63</f>
        <v>33</v>
      </c>
      <c r="P18" s="97">
        <f>'Data Ocupacion'!AD63</f>
        <v>33</v>
      </c>
      <c r="Q18" s="97">
        <f>'Data Ocupacion'!AF63</f>
        <v>0</v>
      </c>
      <c r="R18" s="97">
        <f>'Data Ocupacion'!AH63</f>
        <v>0</v>
      </c>
      <c r="S18" s="97">
        <f>'Data Ocupacion'!AJ63</f>
        <v>33</v>
      </c>
      <c r="T18" s="97">
        <f>'Data Ocupacion'!AL63</f>
        <v>33</v>
      </c>
      <c r="U18" s="97">
        <f>'Data Ocupacion'!AN63</f>
        <v>33</v>
      </c>
      <c r="V18" s="97">
        <f>'Data Ocupacion'!AP63</f>
        <v>33</v>
      </c>
      <c r="W18" s="97">
        <f>'Data Ocupacion'!AR63</f>
        <v>33</v>
      </c>
      <c r="X18" s="97">
        <f>'Data Ocupacion'!AT63</f>
        <v>0</v>
      </c>
      <c r="Y18" s="97">
        <f>'Data Ocupacion'!AV63</f>
        <v>0</v>
      </c>
      <c r="Z18" s="97">
        <f>'Data Ocupacion'!AX63</f>
        <v>33</v>
      </c>
      <c r="AA18" s="97">
        <f>'Data Ocupacion'!AZ63</f>
        <v>13</v>
      </c>
      <c r="AB18" s="97">
        <f>'Data Ocupacion'!BB63</f>
        <v>33</v>
      </c>
      <c r="AC18" s="97">
        <f>'Data Ocupacion'!BD63</f>
        <v>33</v>
      </c>
      <c r="AD18" s="97">
        <f>'Data Ocupacion'!BF63</f>
        <v>33</v>
      </c>
    </row>
    <row r="19" spans="1:30" s="87" customFormat="1" ht="14.25" x14ac:dyDescent="0.2">
      <c r="A19" s="83" t="s">
        <v>90</v>
      </c>
      <c r="B19" s="84">
        <v>29.11</v>
      </c>
      <c r="C19" s="97">
        <f>'Data Ocupacion'!D64</f>
        <v>0</v>
      </c>
      <c r="D19" s="97">
        <f>'Data Ocupacion'!F64</f>
        <v>0</v>
      </c>
      <c r="E19" s="97">
        <f>'Data Ocupacion'!H64</f>
        <v>29</v>
      </c>
      <c r="F19" s="97">
        <f>'Data Ocupacion'!J64</f>
        <v>32</v>
      </c>
      <c r="G19" s="97">
        <f>'Data Ocupacion'!L64</f>
        <v>32</v>
      </c>
      <c r="H19" s="97">
        <f>'Data Ocupacion'!N64</f>
        <v>32</v>
      </c>
      <c r="I19" s="97">
        <f>'Data Ocupacion'!P64</f>
        <v>32</v>
      </c>
      <c r="J19" s="97">
        <f>'Data Ocupacion'!R64</f>
        <v>0</v>
      </c>
      <c r="K19" s="97">
        <f>'Data Ocupacion'!T64</f>
        <v>0</v>
      </c>
      <c r="L19" s="97">
        <f>'Data Ocupacion'!V64</f>
        <v>32</v>
      </c>
      <c r="M19" s="97">
        <f>'Data Ocupacion'!X64</f>
        <v>32</v>
      </c>
      <c r="N19" s="97">
        <f>'Data Ocupacion'!Z64</f>
        <v>32</v>
      </c>
      <c r="O19" s="97">
        <f>'Data Ocupacion'!AB64</f>
        <v>32</v>
      </c>
      <c r="P19" s="97">
        <f>'Data Ocupacion'!AD64</f>
        <v>32</v>
      </c>
      <c r="Q19" s="97">
        <f>'Data Ocupacion'!AF64</f>
        <v>0</v>
      </c>
      <c r="R19" s="97">
        <f>'Data Ocupacion'!AH64</f>
        <v>0</v>
      </c>
      <c r="S19" s="97">
        <f>'Data Ocupacion'!AJ64</f>
        <v>32</v>
      </c>
      <c r="T19" s="97">
        <f>'Data Ocupacion'!AL64</f>
        <v>32</v>
      </c>
      <c r="U19" s="97">
        <f>'Data Ocupacion'!AN64</f>
        <v>32</v>
      </c>
      <c r="V19" s="97">
        <f>'Data Ocupacion'!AP64</f>
        <v>32</v>
      </c>
      <c r="W19" s="97">
        <f>'Data Ocupacion'!AR64</f>
        <v>32</v>
      </c>
      <c r="X19" s="97">
        <f>'Data Ocupacion'!AT64</f>
        <v>0</v>
      </c>
      <c r="Y19" s="97">
        <f>'Data Ocupacion'!AV64</f>
        <v>0</v>
      </c>
      <c r="Z19" s="97">
        <f>'Data Ocupacion'!AX64</f>
        <v>32</v>
      </c>
      <c r="AA19" s="97">
        <f>'Data Ocupacion'!AZ64</f>
        <v>14</v>
      </c>
      <c r="AB19" s="97">
        <f>'Data Ocupacion'!BB64</f>
        <v>32</v>
      </c>
      <c r="AC19" s="97">
        <f>'Data Ocupacion'!BD64</f>
        <v>32</v>
      </c>
      <c r="AD19" s="97">
        <f>'Data Ocupacion'!BF64</f>
        <v>32</v>
      </c>
    </row>
    <row r="20" spans="1:30" s="87" customFormat="1" ht="14.25" x14ac:dyDescent="0.2">
      <c r="A20" s="83" t="s">
        <v>91</v>
      </c>
      <c r="B20" s="84">
        <v>25.4</v>
      </c>
      <c r="C20" s="97">
        <f>'Data Ocupacion'!D66</f>
        <v>0</v>
      </c>
      <c r="D20" s="97">
        <f>'Data Ocupacion'!F66</f>
        <v>0</v>
      </c>
      <c r="E20" s="97">
        <f>'Data Ocupacion'!H66</f>
        <v>1</v>
      </c>
      <c r="F20" s="97">
        <f>'Data Ocupacion'!J66</f>
        <v>1</v>
      </c>
      <c r="G20" s="97">
        <f>'Data Ocupacion'!L66</f>
        <v>1</v>
      </c>
      <c r="H20" s="97">
        <f>'Data Ocupacion'!N66</f>
        <v>1</v>
      </c>
      <c r="I20" s="97">
        <f>'Data Ocupacion'!P66</f>
        <v>1</v>
      </c>
      <c r="J20" s="97">
        <f>'Data Ocupacion'!R66</f>
        <v>0</v>
      </c>
      <c r="K20" s="97">
        <f>'Data Ocupacion'!T66</f>
        <v>0</v>
      </c>
      <c r="L20" s="97">
        <f>'Data Ocupacion'!V66</f>
        <v>1</v>
      </c>
      <c r="M20" s="97">
        <f>'Data Ocupacion'!X66</f>
        <v>1</v>
      </c>
      <c r="N20" s="97">
        <f>'Data Ocupacion'!Z66</f>
        <v>1</v>
      </c>
      <c r="O20" s="97">
        <f>'Data Ocupacion'!AB66</f>
        <v>1</v>
      </c>
      <c r="P20" s="97">
        <f>'Data Ocupacion'!AD66</f>
        <v>1</v>
      </c>
      <c r="Q20" s="97">
        <f>'Data Ocupacion'!AF66</f>
        <v>0</v>
      </c>
      <c r="R20" s="97">
        <f>'Data Ocupacion'!AH66</f>
        <v>0</v>
      </c>
      <c r="S20" s="97">
        <f>'Data Ocupacion'!AJ66</f>
        <v>1</v>
      </c>
      <c r="T20" s="97">
        <f>'Data Ocupacion'!AL66</f>
        <v>1</v>
      </c>
      <c r="U20" s="97">
        <f>'Data Ocupacion'!AN66</f>
        <v>1</v>
      </c>
      <c r="V20" s="97">
        <f>'Data Ocupacion'!AP66</f>
        <v>1</v>
      </c>
      <c r="W20" s="97">
        <f>'Data Ocupacion'!AR66</f>
        <v>1</v>
      </c>
      <c r="X20" s="97">
        <f>'Data Ocupacion'!AT66</f>
        <v>0</v>
      </c>
      <c r="Y20" s="97">
        <f>'Data Ocupacion'!AV66</f>
        <v>0</v>
      </c>
      <c r="Z20" s="97">
        <f>'Data Ocupacion'!AX66</f>
        <v>1</v>
      </c>
      <c r="AA20" s="97">
        <f>'Data Ocupacion'!AZ66</f>
        <v>1</v>
      </c>
      <c r="AB20" s="97">
        <f>'Data Ocupacion'!BB66</f>
        <v>1</v>
      </c>
      <c r="AC20" s="97">
        <f>'Data Ocupacion'!BD66</f>
        <v>1</v>
      </c>
      <c r="AD20" s="97">
        <f>'Data Ocupacion'!BF66</f>
        <v>1</v>
      </c>
    </row>
    <row r="21" spans="1:30" s="87" customFormat="1" ht="14.25" x14ac:dyDescent="0.2">
      <c r="A21" s="221" t="s">
        <v>124</v>
      </c>
      <c r="B21" s="84">
        <v>25.4</v>
      </c>
      <c r="C21" s="97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97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5">
        <v>0</v>
      </c>
      <c r="Y21" s="85">
        <v>0</v>
      </c>
      <c r="Z21" s="97">
        <v>0</v>
      </c>
      <c r="AA21" s="85">
        <v>0</v>
      </c>
      <c r="AB21" s="85">
        <v>0</v>
      </c>
      <c r="AC21" s="85">
        <v>0</v>
      </c>
      <c r="AD21" s="85">
        <v>0</v>
      </c>
    </row>
    <row r="22" spans="1:30" s="87" customFormat="1" ht="14.25" x14ac:dyDescent="0.2">
      <c r="A22" s="221" t="s">
        <v>168</v>
      </c>
      <c r="B22" s="84">
        <v>11.71</v>
      </c>
      <c r="C22" s="97"/>
      <c r="D22" s="85"/>
      <c r="E22" s="85">
        <v>6</v>
      </c>
      <c r="F22" s="85"/>
      <c r="G22" s="85"/>
      <c r="H22" s="85"/>
      <c r="I22" s="85"/>
      <c r="J22" s="85"/>
      <c r="K22" s="85"/>
      <c r="L22" s="97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97"/>
      <c r="AA22" s="85"/>
      <c r="AB22" s="85"/>
      <c r="AC22" s="85"/>
      <c r="AD22" s="85"/>
    </row>
    <row r="23" spans="1:30" s="87" customFormat="1" ht="14.25" x14ac:dyDescent="0.2">
      <c r="A23" s="221" t="s">
        <v>169</v>
      </c>
      <c r="B23" s="84">
        <v>11.71</v>
      </c>
      <c r="C23" s="97"/>
      <c r="D23" s="85"/>
      <c r="E23" s="85">
        <v>4</v>
      </c>
      <c r="F23" s="85"/>
      <c r="G23" s="85"/>
      <c r="H23" s="85"/>
      <c r="I23" s="85"/>
      <c r="J23" s="85"/>
      <c r="K23" s="85"/>
      <c r="L23" s="97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97"/>
      <c r="AA23" s="85"/>
      <c r="AB23" s="85"/>
      <c r="AC23" s="85"/>
      <c r="AD23" s="85"/>
    </row>
    <row r="24" spans="1:30" s="87" customFormat="1" ht="14.25" x14ac:dyDescent="0.2">
      <c r="A24" s="221" t="s">
        <v>173</v>
      </c>
      <c r="B24" s="84">
        <v>34.83</v>
      </c>
      <c r="C24" s="97"/>
      <c r="D24" s="85"/>
      <c r="E24" s="85"/>
      <c r="F24" s="85"/>
      <c r="G24" s="85"/>
      <c r="H24" s="85"/>
      <c r="I24" s="85"/>
      <c r="J24" s="85"/>
      <c r="K24" s="85"/>
      <c r="L24" s="97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97">
        <v>4</v>
      </c>
      <c r="AA24" s="97">
        <v>4</v>
      </c>
      <c r="AB24" s="97"/>
      <c r="AC24" s="97">
        <v>4</v>
      </c>
      <c r="AD24" s="97">
        <v>4</v>
      </c>
    </row>
    <row r="25" spans="1:30" s="87" customFormat="1" ht="14.25" x14ac:dyDescent="0.2">
      <c r="A25" s="221" t="s">
        <v>174</v>
      </c>
      <c r="B25" s="84">
        <v>8.3000000000000007</v>
      </c>
      <c r="C25" s="97"/>
      <c r="D25" s="85"/>
      <c r="E25" s="85"/>
      <c r="F25" s="85"/>
      <c r="G25" s="85"/>
      <c r="H25" s="85"/>
      <c r="I25" s="85"/>
      <c r="J25" s="85"/>
      <c r="K25" s="85"/>
      <c r="L25" s="97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97">
        <v>2</v>
      </c>
      <c r="AA25" s="97">
        <v>2</v>
      </c>
      <c r="AB25" s="97"/>
      <c r="AC25" s="97">
        <v>2</v>
      </c>
      <c r="AD25" s="97">
        <v>2</v>
      </c>
    </row>
    <row r="26" spans="1:30" s="87" customFormat="1" ht="14.25" x14ac:dyDescent="0.2">
      <c r="A26" s="302"/>
      <c r="B26" s="251"/>
      <c r="C26" s="85"/>
      <c r="D26" s="85"/>
      <c r="E26" s="85"/>
      <c r="F26" s="85"/>
      <c r="G26" s="85"/>
      <c r="H26" s="85"/>
      <c r="I26" s="85"/>
      <c r="J26" s="85"/>
      <c r="K26" s="85"/>
      <c r="L26" s="97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97"/>
      <c r="AA26" s="85"/>
      <c r="AB26" s="85"/>
      <c r="AC26" s="85"/>
      <c r="AD26" s="85"/>
    </row>
    <row r="27" spans="1:30" x14ac:dyDescent="0.25">
      <c r="A27" s="88" t="s">
        <v>152</v>
      </c>
      <c r="B27" s="84">
        <v>-17.73</v>
      </c>
      <c r="C27" s="85">
        <f>'KM-Servicio'!Q5</f>
        <v>0</v>
      </c>
      <c r="D27" s="85">
        <f>'KM-Servicio'!Q12</f>
        <v>0</v>
      </c>
      <c r="E27" s="85">
        <f>'KM-Servicio'!Q19</f>
        <v>0</v>
      </c>
      <c r="F27" s="85">
        <f>'KM-Servicio'!Q28</f>
        <v>0</v>
      </c>
      <c r="G27" s="85">
        <f>'KM-Servicio'!Q35</f>
        <v>0</v>
      </c>
      <c r="H27" s="85">
        <f>'KM-Servicio'!Q42</f>
        <v>0</v>
      </c>
      <c r="I27" s="85">
        <f>'KM-Servicio'!Q49</f>
        <v>0</v>
      </c>
      <c r="J27" s="85">
        <f>'KM-Servicio'!Q56</f>
        <v>0</v>
      </c>
      <c r="K27" s="85">
        <f>'KM-Servicio'!Q63</f>
        <v>0</v>
      </c>
      <c r="L27" s="85">
        <f>'KM-Servicio'!Q70</f>
        <v>0</v>
      </c>
      <c r="M27" s="85">
        <f>'KM-Servicio'!Q77</f>
        <v>0</v>
      </c>
      <c r="N27" s="85">
        <f>'KM-Servicio'!Q84</f>
        <v>0</v>
      </c>
      <c r="O27" s="85">
        <f>'KM-Servicio'!Q91</f>
        <v>0</v>
      </c>
      <c r="P27" s="85">
        <f>'KM-Servicio'!Q98</f>
        <v>0</v>
      </c>
      <c r="Q27" s="85">
        <f>'KM-Servicio'!Q105</f>
        <v>0</v>
      </c>
      <c r="R27" s="85">
        <f>'KM-Servicio'!Q112</f>
        <v>0</v>
      </c>
      <c r="S27" s="85">
        <f>'KM-Servicio'!Q119</f>
        <v>0</v>
      </c>
      <c r="T27" s="85">
        <f>'KM-Servicio'!Q126</f>
        <v>0</v>
      </c>
      <c r="U27" s="85">
        <f>'KM-Servicio'!Q133</f>
        <v>0</v>
      </c>
      <c r="V27" s="85">
        <f>'KM-Servicio'!Q140</f>
        <v>0</v>
      </c>
      <c r="W27" s="85">
        <f>'KM-Servicio'!Q147</f>
        <v>0</v>
      </c>
      <c r="X27" s="85">
        <f>'KM-Servicio'!Q154</f>
        <v>0</v>
      </c>
      <c r="Y27" s="85">
        <f>'KM-Servicio'!Q161</f>
        <v>0</v>
      </c>
      <c r="Z27" s="85">
        <f>'KM-Servicio'!Q168</f>
        <v>0</v>
      </c>
      <c r="AA27" s="85">
        <f>'KM-Servicio'!Q177</f>
        <v>0</v>
      </c>
      <c r="AB27" s="85">
        <f>'KM-Servicio'!Q186</f>
        <v>0</v>
      </c>
      <c r="AC27" s="85">
        <f>'KM-Servicio'!Q193</f>
        <v>0</v>
      </c>
      <c r="AD27" s="85">
        <f>'KM-Servicio'!Q202</f>
        <v>0</v>
      </c>
    </row>
    <row r="28" spans="1:30" x14ac:dyDescent="0.25">
      <c r="A28" s="88" t="s">
        <v>153</v>
      </c>
      <c r="B28" s="84">
        <v>-17.73</v>
      </c>
      <c r="C28" s="85">
        <f>'KM-Servicio'!T6</f>
        <v>0</v>
      </c>
      <c r="D28" s="85">
        <f>'KM-Servicio'!T13</f>
        <v>0</v>
      </c>
      <c r="E28" s="85">
        <f>'KM-Servicio'!T20</f>
        <v>0</v>
      </c>
      <c r="F28" s="85">
        <f>'KM-Servicio'!T29</f>
        <v>0</v>
      </c>
      <c r="G28" s="85">
        <f>'KM-Servicio'!T36</f>
        <v>0</v>
      </c>
      <c r="H28" s="85">
        <f>'KM-Servicio'!T43</f>
        <v>0</v>
      </c>
      <c r="I28" s="85">
        <f>'KM-Servicio'!T50</f>
        <v>0</v>
      </c>
      <c r="J28" s="85">
        <f>'KM-Servicio'!T57</f>
        <v>0</v>
      </c>
      <c r="K28" s="85">
        <f>'KM-Servicio'!T64</f>
        <v>0</v>
      </c>
      <c r="L28" s="85">
        <f>'KM-Servicio'!T71</f>
        <v>0</v>
      </c>
      <c r="M28" s="85">
        <f>'KM-Servicio'!T78</f>
        <v>0</v>
      </c>
      <c r="N28" s="85">
        <f>'KM-Servicio'!T85</f>
        <v>0</v>
      </c>
      <c r="O28" s="85">
        <f>'KM-Servicio'!T92</f>
        <v>0</v>
      </c>
      <c r="P28" s="85">
        <f>'KM-Servicio'!T99</f>
        <v>0</v>
      </c>
      <c r="Q28" s="85">
        <f>'KM-Servicio'!T106</f>
        <v>0</v>
      </c>
      <c r="R28" s="85">
        <f>'KM-Servicio'!T113</f>
        <v>0</v>
      </c>
      <c r="S28" s="85">
        <f>'KM-Servicio'!T120</f>
        <v>0</v>
      </c>
      <c r="T28" s="85">
        <f>'KM-Servicio'!T127</f>
        <v>0</v>
      </c>
      <c r="U28" s="85">
        <f>'KM-Servicio'!T134</f>
        <v>0</v>
      </c>
      <c r="V28" s="85">
        <f>'KM-Servicio'!T141</f>
        <v>0</v>
      </c>
      <c r="W28" s="85">
        <f>'KM-Servicio'!T148</f>
        <v>0</v>
      </c>
      <c r="X28" s="85">
        <f>'KM-Servicio'!T155</f>
        <v>0</v>
      </c>
      <c r="Y28" s="85">
        <f>'KM-Servicio'!T162</f>
        <v>0</v>
      </c>
      <c r="Z28" s="85">
        <f>'KM-Servicio'!T169</f>
        <v>0</v>
      </c>
      <c r="AA28" s="85">
        <f>'KM-Servicio'!T176</f>
        <v>0</v>
      </c>
      <c r="AB28" s="85">
        <f>'KM-Servicio'!T187</f>
        <v>1</v>
      </c>
      <c r="AC28" s="85">
        <f>'KM-Servicio'!T194</f>
        <v>1</v>
      </c>
      <c r="AD28" s="85">
        <f>'KM-Servicio'!T203</f>
        <v>1</v>
      </c>
    </row>
    <row r="29" spans="1:30" s="126" customFormat="1" x14ac:dyDescent="0.25">
      <c r="A29" s="88" t="s">
        <v>155</v>
      </c>
      <c r="B29" s="84">
        <v>-14.02</v>
      </c>
      <c r="C29" s="85">
        <f>'KM-Servicio'!U6</f>
        <v>0</v>
      </c>
      <c r="D29" s="85">
        <f>'KM-Servicio'!U13</f>
        <v>0</v>
      </c>
      <c r="E29" s="85">
        <f>'KM-Servicio'!U20</f>
        <v>0</v>
      </c>
      <c r="F29" s="85">
        <f>'KM-Servicio'!U29</f>
        <v>0</v>
      </c>
      <c r="G29" s="85">
        <f>'KM-Servicio'!U36</f>
        <v>0</v>
      </c>
      <c r="H29" s="85">
        <f>'KM-Servicio'!U43</f>
        <v>0</v>
      </c>
      <c r="I29" s="85">
        <f>'KM-Servicio'!U50</f>
        <v>0</v>
      </c>
      <c r="J29" s="85">
        <f>'KM-Servicio'!U57</f>
        <v>0</v>
      </c>
      <c r="K29" s="85">
        <f>'KM-Servicio'!U64</f>
        <v>0</v>
      </c>
      <c r="L29" s="85">
        <f>'KM-Servicio'!U71</f>
        <v>0</v>
      </c>
      <c r="M29" s="85">
        <f>'KM-Servicio'!U78</f>
        <v>0</v>
      </c>
      <c r="N29" s="85">
        <f>'KM-Servicio'!U85</f>
        <v>0</v>
      </c>
      <c r="O29" s="85">
        <f>'KM-Servicio'!U92</f>
        <v>0</v>
      </c>
      <c r="P29" s="85">
        <f>'KM-Servicio'!U99</f>
        <v>0</v>
      </c>
      <c r="Q29" s="85">
        <f>'KM-Servicio'!U106</f>
        <v>0</v>
      </c>
      <c r="R29" s="85">
        <f>'KM-Servicio'!U113</f>
        <v>0</v>
      </c>
      <c r="S29" s="85">
        <f>'KM-Servicio'!U120</f>
        <v>0</v>
      </c>
      <c r="T29" s="85">
        <f>'KM-Servicio'!U127</f>
        <v>0</v>
      </c>
      <c r="U29" s="85">
        <f>'KM-Servicio'!U134</f>
        <v>0</v>
      </c>
      <c r="V29" s="85">
        <f>'KM-Servicio'!U141</f>
        <v>0</v>
      </c>
      <c r="W29" s="85">
        <f>'KM-Servicio'!U148</f>
        <v>0</v>
      </c>
      <c r="X29" s="85">
        <f>'KM-Servicio'!U155</f>
        <v>0</v>
      </c>
      <c r="Y29" s="85">
        <f>'KM-Servicio'!U162</f>
        <v>0</v>
      </c>
      <c r="Z29" s="85">
        <f>'KM-Servicio'!U169</f>
        <v>0</v>
      </c>
      <c r="AA29" s="85">
        <f>'KM-Servicio'!U178</f>
        <v>0</v>
      </c>
      <c r="AB29" s="85">
        <f>'KM-Servicio'!U187</f>
        <v>0</v>
      </c>
      <c r="AC29" s="85">
        <f>'KM-Servicio'!U194</f>
        <v>0</v>
      </c>
      <c r="AD29" s="85">
        <f>'KM-Servicio'!U203</f>
        <v>0</v>
      </c>
    </row>
    <row r="30" spans="1:30" s="126" customFormat="1" x14ac:dyDescent="0.25">
      <c r="A30" s="220" t="s">
        <v>154</v>
      </c>
      <c r="B30" s="84">
        <v>-3.71</v>
      </c>
      <c r="C30" s="85"/>
      <c r="D30" s="85"/>
      <c r="E30" s="85">
        <f>'KM-Servicio'!Q21</f>
        <v>0</v>
      </c>
      <c r="F30" s="85"/>
      <c r="G30" s="85">
        <f>'KM-Servicio'!Q37</f>
        <v>0</v>
      </c>
      <c r="H30" s="85"/>
      <c r="I30" s="85"/>
      <c r="J30" s="85"/>
      <c r="K30" s="85"/>
      <c r="L30" s="85"/>
      <c r="M30" s="85"/>
      <c r="N30" s="85">
        <f>'KM-Servicio'!Q86</f>
        <v>0</v>
      </c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</row>
    <row r="31" spans="1:30" s="126" customFormat="1" x14ac:dyDescent="0.25">
      <c r="A31" s="226" t="s">
        <v>160</v>
      </c>
      <c r="B31" s="84">
        <v>-25.4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>
        <v>4</v>
      </c>
      <c r="Z31" s="85"/>
      <c r="AA31" s="85">
        <v>4</v>
      </c>
      <c r="AB31" s="85">
        <v>3</v>
      </c>
      <c r="AC31" s="85">
        <v>4</v>
      </c>
      <c r="AD31" s="85">
        <v>3</v>
      </c>
    </row>
    <row r="32" spans="1:30" x14ac:dyDescent="0.25">
      <c r="A32" s="89"/>
      <c r="B32" s="84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</row>
    <row r="33" spans="1:30" x14ac:dyDescent="0.25">
      <c r="A33" s="90" t="s">
        <v>84</v>
      </c>
      <c r="B33" s="243">
        <f t="shared" ref="B33:B40" si="0">SUM(C33:AD33)</f>
        <v>5328</v>
      </c>
      <c r="C33" s="93">
        <f t="shared" ref="C33:Y33" si="1">SUM(C5:C10)</f>
        <v>147</v>
      </c>
      <c r="D33" s="93">
        <f t="shared" si="1"/>
        <v>111</v>
      </c>
      <c r="E33" s="93">
        <f>SUM(E5:E12)</f>
        <v>210</v>
      </c>
      <c r="F33" s="93">
        <f t="shared" si="1"/>
        <v>223</v>
      </c>
      <c r="G33" s="93">
        <f t="shared" si="1"/>
        <v>223</v>
      </c>
      <c r="H33" s="93">
        <f t="shared" si="1"/>
        <v>223</v>
      </c>
      <c r="I33" s="93">
        <f t="shared" si="1"/>
        <v>223</v>
      </c>
      <c r="J33" s="93">
        <f t="shared" si="1"/>
        <v>138</v>
      </c>
      <c r="K33" s="93">
        <f t="shared" si="1"/>
        <v>52</v>
      </c>
      <c r="L33" s="93">
        <f t="shared" si="1"/>
        <v>222</v>
      </c>
      <c r="M33" s="93">
        <f t="shared" si="1"/>
        <v>223</v>
      </c>
      <c r="N33" s="93">
        <f t="shared" si="1"/>
        <v>223</v>
      </c>
      <c r="O33" s="93">
        <f t="shared" si="1"/>
        <v>223</v>
      </c>
      <c r="P33" s="93">
        <f t="shared" si="1"/>
        <v>223</v>
      </c>
      <c r="Q33" s="93">
        <f t="shared" si="1"/>
        <v>147</v>
      </c>
      <c r="R33" s="93">
        <f t="shared" si="1"/>
        <v>111</v>
      </c>
      <c r="S33" s="93">
        <f t="shared" si="1"/>
        <v>223</v>
      </c>
      <c r="T33" s="93">
        <f t="shared" si="1"/>
        <v>223</v>
      </c>
      <c r="U33" s="93">
        <f t="shared" si="1"/>
        <v>223</v>
      </c>
      <c r="V33" s="93">
        <f t="shared" si="1"/>
        <v>223</v>
      </c>
      <c r="W33" s="93">
        <f t="shared" si="1"/>
        <v>223</v>
      </c>
      <c r="X33" s="93">
        <f t="shared" si="1"/>
        <v>147</v>
      </c>
      <c r="Y33" s="93">
        <f t="shared" si="1"/>
        <v>111</v>
      </c>
      <c r="Z33" s="93">
        <f>SUM(Z5:Z14)</f>
        <v>229</v>
      </c>
      <c r="AA33" s="93">
        <f t="shared" ref="AA33:AD33" si="2">SUM(AA5:AA14)</f>
        <v>123</v>
      </c>
      <c r="AB33" s="93">
        <f t="shared" si="2"/>
        <v>223</v>
      </c>
      <c r="AC33" s="93">
        <f t="shared" si="2"/>
        <v>229</v>
      </c>
      <c r="AD33" s="93">
        <f t="shared" si="2"/>
        <v>229</v>
      </c>
    </row>
    <row r="34" spans="1:30" x14ac:dyDescent="0.25">
      <c r="A34" s="92" t="s">
        <v>65</v>
      </c>
      <c r="B34" s="243">
        <f t="shared" si="0"/>
        <v>5623</v>
      </c>
      <c r="C34" s="93">
        <f t="shared" ref="C34:Y34" si="3">SUM(C16:C21)</f>
        <v>150</v>
      </c>
      <c r="D34" s="93">
        <f t="shared" si="3"/>
        <v>114</v>
      </c>
      <c r="E34" s="93">
        <f>SUM(E16:E23)</f>
        <v>216</v>
      </c>
      <c r="F34" s="93">
        <f t="shared" si="3"/>
        <v>228</v>
      </c>
      <c r="G34" s="93">
        <f t="shared" si="3"/>
        <v>226</v>
      </c>
      <c r="H34" s="93">
        <f t="shared" si="3"/>
        <v>226</v>
      </c>
      <c r="I34" s="93">
        <f t="shared" si="3"/>
        <v>226</v>
      </c>
      <c r="J34" s="93">
        <f t="shared" si="3"/>
        <v>146</v>
      </c>
      <c r="K34" s="93">
        <f t="shared" si="3"/>
        <v>102</v>
      </c>
      <c r="L34" s="93">
        <f t="shared" si="3"/>
        <v>225</v>
      </c>
      <c r="M34" s="93">
        <f t="shared" si="3"/>
        <v>226</v>
      </c>
      <c r="N34" s="93">
        <f t="shared" si="3"/>
        <v>226</v>
      </c>
      <c r="O34" s="93">
        <f t="shared" si="3"/>
        <v>226</v>
      </c>
      <c r="P34" s="93">
        <f t="shared" si="3"/>
        <v>226</v>
      </c>
      <c r="Q34" s="93">
        <f t="shared" si="3"/>
        <v>150</v>
      </c>
      <c r="R34" s="93">
        <f t="shared" si="3"/>
        <v>114</v>
      </c>
      <c r="S34" s="93">
        <f t="shared" si="3"/>
        <v>226</v>
      </c>
      <c r="T34" s="93">
        <f t="shared" si="3"/>
        <v>226</v>
      </c>
      <c r="U34" s="93">
        <f t="shared" si="3"/>
        <v>226</v>
      </c>
      <c r="V34" s="93">
        <f t="shared" si="3"/>
        <v>226</v>
      </c>
      <c r="W34" s="93">
        <f t="shared" si="3"/>
        <v>226</v>
      </c>
      <c r="X34" s="93">
        <f t="shared" si="3"/>
        <v>150</v>
      </c>
      <c r="Y34" s="93">
        <f t="shared" si="3"/>
        <v>148</v>
      </c>
      <c r="Z34" s="93">
        <f>SUM(Z16:Z25)</f>
        <v>266</v>
      </c>
      <c r="AA34" s="93">
        <f t="shared" ref="AA34:AD34" si="4">SUM(AA16:AA25)</f>
        <v>123</v>
      </c>
      <c r="AB34" s="93">
        <f t="shared" si="4"/>
        <v>251</v>
      </c>
      <c r="AC34" s="93">
        <f t="shared" si="4"/>
        <v>264</v>
      </c>
      <c r="AD34" s="93">
        <f t="shared" si="4"/>
        <v>264</v>
      </c>
    </row>
    <row r="35" spans="1:30" x14ac:dyDescent="0.25">
      <c r="A35" s="92" t="s">
        <v>92</v>
      </c>
      <c r="B35" s="243">
        <f t="shared" si="0"/>
        <v>223348.28000000009</v>
      </c>
      <c r="C35" s="93">
        <f>(C16*$B$16+C17*$B$17+C18*$B$18+C19*$B$19+C21*$B$21+C28*$B$28+C20*$B$20+C27*$B$27+C29*$B$29+C30*$B$30)</f>
        <v>6469.5</v>
      </c>
      <c r="D35" s="93">
        <f>(D16*$B$16+D17*$B$17+D18*$B$18+D19*$B$19+D21*$B$21+D28*$B$28+D20*$B$20+D27*$B$27+D29*$B$29+D30*$B$30)</f>
        <v>4916.8200000000006</v>
      </c>
      <c r="E35" s="93">
        <f>(E16*$B$16+E17*$B$17+E18*$B$18+E19*$B$19+E21*$B$21+E28*$B$28+E20*$B$20+E27*$B$27+E29*$B$29+E30*$B$30+E22*B22+E23*B23)</f>
        <v>8156.97</v>
      </c>
      <c r="F35" s="93">
        <f t="shared" ref="F35:X35" si="5">(F16*$B$16+F17*$B$17+F18*$B$18+F19*$B$19+F21*$B$21+F28*$B$28+F20*$B$20+F27*$B$27+F29*$B$29+F30*$B$30)</f>
        <v>8904.61</v>
      </c>
      <c r="G35" s="93">
        <f t="shared" si="5"/>
        <v>8818.35</v>
      </c>
      <c r="H35" s="93">
        <f t="shared" si="5"/>
        <v>8818.35</v>
      </c>
      <c r="I35" s="93">
        <f t="shared" si="5"/>
        <v>8818.35</v>
      </c>
      <c r="J35" s="93">
        <f t="shared" si="5"/>
        <v>6296.9800000000005</v>
      </c>
      <c r="K35" s="93">
        <f t="shared" si="5"/>
        <v>4399.26</v>
      </c>
      <c r="L35" s="93">
        <f t="shared" si="5"/>
        <v>8803.26</v>
      </c>
      <c r="M35" s="93">
        <f t="shared" si="5"/>
        <v>8818.35</v>
      </c>
      <c r="N35" s="93">
        <f t="shared" si="5"/>
        <v>8818.35</v>
      </c>
      <c r="O35" s="93">
        <f t="shared" si="5"/>
        <v>8818.35</v>
      </c>
      <c r="P35" s="93">
        <f t="shared" si="5"/>
        <v>8818.35</v>
      </c>
      <c r="Q35" s="93">
        <f t="shared" si="5"/>
        <v>6469.5</v>
      </c>
      <c r="R35" s="93">
        <f t="shared" si="5"/>
        <v>4916.8200000000006</v>
      </c>
      <c r="S35" s="93">
        <f t="shared" si="5"/>
        <v>8818.35</v>
      </c>
      <c r="T35" s="93">
        <f t="shared" si="5"/>
        <v>8818.35</v>
      </c>
      <c r="U35" s="93">
        <f t="shared" si="5"/>
        <v>8818.35</v>
      </c>
      <c r="V35" s="93">
        <f t="shared" si="5"/>
        <v>8818.35</v>
      </c>
      <c r="W35" s="93">
        <f t="shared" si="5"/>
        <v>8818.35</v>
      </c>
      <c r="X35" s="93">
        <f t="shared" si="5"/>
        <v>6469.5</v>
      </c>
      <c r="Y35" s="93">
        <f>(Y16*$B$16+Y17*$B$17+Y18*$B$18+Y19*$B$19+Y21*$B$21+Y28*$B$28+Y20*$B$20+Y27*$B$27+Y29*$B$29+Y30*$B$30+Y31*$B$31)</f>
        <v>6281.6399999999994</v>
      </c>
      <c r="Z35" s="93">
        <f>(Z16*$B$16+Z17*$B$17+Z18*$B$18+Z19*$B$19+Z21*$B$21+Z28*$B$28+Z20*$B$20+Z27*$B$27+Z29*$B$29+Z30*$B$30+Z24*$B$24+Z25*$B$25)</f>
        <v>10440.69</v>
      </c>
      <c r="AA35" s="93">
        <f>(AA16*$B$16+AA17*$B$17+AA18*$B$18+AA19*$B$19+AA21*$B$21+AA28*$B$28+AA20*$B$20+AA27*$B$27+AA29*$B$29+AA31*$B$31+AA24*$B$24+AA25*$B$25)</f>
        <v>4704.2599999999993</v>
      </c>
      <c r="AB35" s="93">
        <f>(AB16*$B$16+AB17*$B$17+AB18*$B$18+AB19*$B$19+AB21*$B$21+AB28*$B$28+AB20*$B$20+AB27*$B$27+AB29*$B$29+AB31*$B$31+AB24*$B$24+AB25*$B$25)</f>
        <v>9802.67</v>
      </c>
      <c r="AC35" s="93">
        <f t="shared" ref="AC35:AD35" si="6">(AC16*$B$16+AC17*$B$17+AC18*$B$18+AC19*$B$19+AC21*$B$21+AC28*$B$28+AC20*$B$20+AC27*$B$27+AC29*$B$29+AC31*$B$31+AC24*$B$24+AC25*$B$25)</f>
        <v>10235.1</v>
      </c>
      <c r="AD35" s="93">
        <f t="shared" si="6"/>
        <v>10260.5</v>
      </c>
    </row>
    <row r="36" spans="1:30" x14ac:dyDescent="0.25">
      <c r="A36" s="92" t="s">
        <v>93</v>
      </c>
      <c r="B36" s="243">
        <f t="shared" si="0"/>
        <v>211135.31999999992</v>
      </c>
      <c r="C36" s="93">
        <f t="shared" ref="C36:Y36" si="7">$B$5*C5+$B$6*C6+$B$7*C7+$B$8*C8+$B$10*C10+$B$9*C9</f>
        <v>6340.1100000000006</v>
      </c>
      <c r="D36" s="93">
        <f t="shared" si="7"/>
        <v>4787.43</v>
      </c>
      <c r="E36" s="93">
        <f>$B$5*E5+$B$6*E6+$B$7*E7+$B$8*E8+$B$10*E10+$B$9*E9+E11*B11+E12*B12</f>
        <v>7898.1900000000005</v>
      </c>
      <c r="F36" s="93">
        <f t="shared" si="7"/>
        <v>8688.9599999999991</v>
      </c>
      <c r="G36" s="93">
        <f t="shared" si="7"/>
        <v>8688.9599999999991</v>
      </c>
      <c r="H36" s="93">
        <f t="shared" si="7"/>
        <v>8688.9599999999991</v>
      </c>
      <c r="I36" s="93">
        <f t="shared" si="7"/>
        <v>8688.9599999999991</v>
      </c>
      <c r="J36" s="93">
        <f t="shared" si="7"/>
        <v>5951.9400000000005</v>
      </c>
      <c r="K36" s="93">
        <f t="shared" si="7"/>
        <v>2242.7600000000002</v>
      </c>
      <c r="L36" s="93">
        <f t="shared" si="7"/>
        <v>8673.8700000000008</v>
      </c>
      <c r="M36" s="93">
        <f t="shared" si="7"/>
        <v>8688.9599999999991</v>
      </c>
      <c r="N36" s="93">
        <f t="shared" si="7"/>
        <v>8688.9599999999991</v>
      </c>
      <c r="O36" s="93">
        <f t="shared" si="7"/>
        <v>8688.9599999999991</v>
      </c>
      <c r="P36" s="93">
        <f t="shared" si="7"/>
        <v>8688.9599999999991</v>
      </c>
      <c r="Q36" s="93">
        <f t="shared" si="7"/>
        <v>6340.1100000000006</v>
      </c>
      <c r="R36" s="93">
        <f t="shared" si="7"/>
        <v>4787.43</v>
      </c>
      <c r="S36" s="93">
        <f t="shared" si="7"/>
        <v>8688.9599999999991</v>
      </c>
      <c r="T36" s="93">
        <f t="shared" si="7"/>
        <v>8688.9599999999991</v>
      </c>
      <c r="U36" s="93">
        <f t="shared" si="7"/>
        <v>8688.9599999999991</v>
      </c>
      <c r="V36" s="93">
        <f t="shared" si="7"/>
        <v>8688.9599999999991</v>
      </c>
      <c r="W36" s="93">
        <f t="shared" si="7"/>
        <v>8688.9599999999991</v>
      </c>
      <c r="X36" s="93">
        <f t="shared" si="7"/>
        <v>6340.1100000000006</v>
      </c>
      <c r="Y36" s="93">
        <f t="shared" si="7"/>
        <v>4787.43</v>
      </c>
      <c r="Z36" s="93">
        <f>$B$5*Z5+$B$6*Z6+$B$7*Z7+$B$8*Z8+$B$10*Z10+$B$9*Z9+Z13*$B$13+Z14*$B$14</f>
        <v>8844.8799999999992</v>
      </c>
      <c r="AA36" s="93">
        <f t="shared" ref="AA36:AD36" si="8">$B$5*AA5+$B$6*AA6+$B$7*AA7+$B$8*AA8+$B$10*AA10+$B$9*AA9+AA13*$B$13+AA14*$B$14</f>
        <v>4805.8599999999997</v>
      </c>
      <c r="AB36" s="93">
        <f t="shared" si="8"/>
        <v>8688.9599999999991</v>
      </c>
      <c r="AC36" s="93">
        <f t="shared" si="8"/>
        <v>8844.8799999999992</v>
      </c>
      <c r="AD36" s="93">
        <f t="shared" si="8"/>
        <v>8844.8799999999992</v>
      </c>
    </row>
    <row r="37" spans="1:30" x14ac:dyDescent="0.25">
      <c r="A37" s="92" t="s">
        <v>94</v>
      </c>
      <c r="B37" s="243">
        <f t="shared" si="0"/>
        <v>23228221.120000001</v>
      </c>
      <c r="C37" s="93">
        <f t="shared" ref="C37:AD37" si="9">C35*104</f>
        <v>672828</v>
      </c>
      <c r="D37" s="93">
        <f t="shared" si="9"/>
        <v>511349.28000000009</v>
      </c>
      <c r="E37" s="93">
        <f t="shared" si="9"/>
        <v>848324.88</v>
      </c>
      <c r="F37" s="93">
        <f t="shared" si="9"/>
        <v>926079.44000000006</v>
      </c>
      <c r="G37" s="93">
        <f t="shared" si="9"/>
        <v>917108.4</v>
      </c>
      <c r="H37" s="93">
        <f t="shared" si="9"/>
        <v>917108.4</v>
      </c>
      <c r="I37" s="93">
        <f t="shared" si="9"/>
        <v>917108.4</v>
      </c>
      <c r="J37" s="93">
        <f t="shared" si="9"/>
        <v>654885.92000000004</v>
      </c>
      <c r="K37" s="93">
        <f t="shared" si="9"/>
        <v>457523.04000000004</v>
      </c>
      <c r="L37" s="93">
        <f t="shared" si="9"/>
        <v>915539.04</v>
      </c>
      <c r="M37" s="93">
        <f t="shared" si="9"/>
        <v>917108.4</v>
      </c>
      <c r="N37" s="93">
        <f t="shared" si="9"/>
        <v>917108.4</v>
      </c>
      <c r="O37" s="93">
        <f t="shared" si="9"/>
        <v>917108.4</v>
      </c>
      <c r="P37" s="93">
        <f t="shared" si="9"/>
        <v>917108.4</v>
      </c>
      <c r="Q37" s="93">
        <f t="shared" si="9"/>
        <v>672828</v>
      </c>
      <c r="R37" s="93">
        <f t="shared" si="9"/>
        <v>511349.28000000009</v>
      </c>
      <c r="S37" s="93">
        <f t="shared" si="9"/>
        <v>917108.4</v>
      </c>
      <c r="T37" s="93">
        <f t="shared" si="9"/>
        <v>917108.4</v>
      </c>
      <c r="U37" s="93">
        <f t="shared" si="9"/>
        <v>917108.4</v>
      </c>
      <c r="V37" s="93">
        <f t="shared" si="9"/>
        <v>917108.4</v>
      </c>
      <c r="W37" s="93">
        <f t="shared" si="9"/>
        <v>917108.4</v>
      </c>
      <c r="X37" s="93">
        <f t="shared" si="9"/>
        <v>672828</v>
      </c>
      <c r="Y37" s="93">
        <f t="shared" si="9"/>
        <v>653290.55999999994</v>
      </c>
      <c r="Z37" s="93">
        <f t="shared" si="9"/>
        <v>1085831.76</v>
      </c>
      <c r="AA37" s="93">
        <f t="shared" si="9"/>
        <v>489243.03999999992</v>
      </c>
      <c r="AB37" s="93">
        <f t="shared" si="9"/>
        <v>1019477.68</v>
      </c>
      <c r="AC37" s="93">
        <f t="shared" si="9"/>
        <v>1064450.4000000001</v>
      </c>
      <c r="AD37" s="93">
        <f t="shared" si="9"/>
        <v>1067092</v>
      </c>
    </row>
    <row r="38" spans="1:30" x14ac:dyDescent="0.25">
      <c r="A38" s="92" t="s">
        <v>95</v>
      </c>
      <c r="B38" s="91">
        <f t="shared" si="0"/>
        <v>446696.56000000017</v>
      </c>
      <c r="C38" s="93">
        <f>C35*2</f>
        <v>12939</v>
      </c>
      <c r="D38" s="93">
        <f t="shared" ref="D38:AD38" si="10">D35*2</f>
        <v>9833.6400000000012</v>
      </c>
      <c r="E38" s="93">
        <f t="shared" si="10"/>
        <v>16313.94</v>
      </c>
      <c r="F38" s="93">
        <f t="shared" si="10"/>
        <v>17809.22</v>
      </c>
      <c r="G38" s="93">
        <f t="shared" si="10"/>
        <v>17636.7</v>
      </c>
      <c r="H38" s="93">
        <f t="shared" si="10"/>
        <v>17636.7</v>
      </c>
      <c r="I38" s="93">
        <f t="shared" si="10"/>
        <v>17636.7</v>
      </c>
      <c r="J38" s="93">
        <f t="shared" si="10"/>
        <v>12593.960000000001</v>
      </c>
      <c r="K38" s="93">
        <f t="shared" si="10"/>
        <v>8798.52</v>
      </c>
      <c r="L38" s="93">
        <f t="shared" si="10"/>
        <v>17606.52</v>
      </c>
      <c r="M38" s="93">
        <f t="shared" si="10"/>
        <v>17636.7</v>
      </c>
      <c r="N38" s="93">
        <f t="shared" si="10"/>
        <v>17636.7</v>
      </c>
      <c r="O38" s="93">
        <f t="shared" si="10"/>
        <v>17636.7</v>
      </c>
      <c r="P38" s="93">
        <f t="shared" si="10"/>
        <v>17636.7</v>
      </c>
      <c r="Q38" s="93">
        <f t="shared" si="10"/>
        <v>12939</v>
      </c>
      <c r="R38" s="93">
        <f t="shared" si="10"/>
        <v>9833.6400000000012</v>
      </c>
      <c r="S38" s="93">
        <f t="shared" si="10"/>
        <v>17636.7</v>
      </c>
      <c r="T38" s="93">
        <f t="shared" si="10"/>
        <v>17636.7</v>
      </c>
      <c r="U38" s="93">
        <f t="shared" si="10"/>
        <v>17636.7</v>
      </c>
      <c r="V38" s="93">
        <f t="shared" si="10"/>
        <v>17636.7</v>
      </c>
      <c r="W38" s="93">
        <f t="shared" si="10"/>
        <v>17636.7</v>
      </c>
      <c r="X38" s="93">
        <f t="shared" si="10"/>
        <v>12939</v>
      </c>
      <c r="Y38" s="93">
        <f t="shared" si="10"/>
        <v>12563.279999999999</v>
      </c>
      <c r="Z38" s="93">
        <f t="shared" si="10"/>
        <v>20881.38</v>
      </c>
      <c r="AA38" s="93">
        <f t="shared" si="10"/>
        <v>9408.5199999999986</v>
      </c>
      <c r="AB38" s="93">
        <f t="shared" si="10"/>
        <v>19605.34</v>
      </c>
      <c r="AC38" s="93">
        <f t="shared" si="10"/>
        <v>20470.2</v>
      </c>
      <c r="AD38" s="93">
        <f t="shared" si="10"/>
        <v>20521</v>
      </c>
    </row>
    <row r="39" spans="1:30" x14ac:dyDescent="0.25">
      <c r="A39" s="92" t="s">
        <v>96</v>
      </c>
      <c r="B39" s="91">
        <f t="shared" si="0"/>
        <v>2035526</v>
      </c>
      <c r="C39" s="93">
        <f>+C34*362</f>
        <v>54300</v>
      </c>
      <c r="D39" s="93">
        <f t="shared" ref="D39:AD39" si="11">+D34*362</f>
        <v>41268</v>
      </c>
      <c r="E39" s="93">
        <f t="shared" si="11"/>
        <v>78192</v>
      </c>
      <c r="F39" s="93">
        <f t="shared" si="11"/>
        <v>82536</v>
      </c>
      <c r="G39" s="93">
        <f t="shared" si="11"/>
        <v>81812</v>
      </c>
      <c r="H39" s="93">
        <f t="shared" si="11"/>
        <v>81812</v>
      </c>
      <c r="I39" s="93">
        <f t="shared" si="11"/>
        <v>81812</v>
      </c>
      <c r="J39" s="93">
        <f t="shared" si="11"/>
        <v>52852</v>
      </c>
      <c r="K39" s="93">
        <f t="shared" si="11"/>
        <v>36924</v>
      </c>
      <c r="L39" s="93">
        <f t="shared" si="11"/>
        <v>81450</v>
      </c>
      <c r="M39" s="93">
        <f t="shared" si="11"/>
        <v>81812</v>
      </c>
      <c r="N39" s="93">
        <f t="shared" si="11"/>
        <v>81812</v>
      </c>
      <c r="O39" s="93">
        <f t="shared" si="11"/>
        <v>81812</v>
      </c>
      <c r="P39" s="93">
        <f t="shared" si="11"/>
        <v>81812</v>
      </c>
      <c r="Q39" s="93">
        <f t="shared" si="11"/>
        <v>54300</v>
      </c>
      <c r="R39" s="93">
        <f t="shared" si="11"/>
        <v>41268</v>
      </c>
      <c r="S39" s="93">
        <f t="shared" si="11"/>
        <v>81812</v>
      </c>
      <c r="T39" s="93">
        <f t="shared" si="11"/>
        <v>81812</v>
      </c>
      <c r="U39" s="93">
        <f t="shared" si="11"/>
        <v>81812</v>
      </c>
      <c r="V39" s="93">
        <f t="shared" si="11"/>
        <v>81812</v>
      </c>
      <c r="W39" s="93">
        <f t="shared" si="11"/>
        <v>81812</v>
      </c>
      <c r="X39" s="93">
        <f t="shared" si="11"/>
        <v>54300</v>
      </c>
      <c r="Y39" s="93">
        <f t="shared" si="11"/>
        <v>53576</v>
      </c>
      <c r="Z39" s="93">
        <f t="shared" si="11"/>
        <v>96292</v>
      </c>
      <c r="AA39" s="93">
        <f t="shared" si="11"/>
        <v>44526</v>
      </c>
      <c r="AB39" s="93">
        <f t="shared" si="11"/>
        <v>90862</v>
      </c>
      <c r="AC39" s="93">
        <f t="shared" si="11"/>
        <v>95568</v>
      </c>
      <c r="AD39" s="93">
        <f t="shared" si="11"/>
        <v>95568</v>
      </c>
    </row>
    <row r="40" spans="1:30" ht="14.25" customHeight="1" x14ac:dyDescent="0.25">
      <c r="A40" s="94" t="s">
        <v>97</v>
      </c>
      <c r="B40" s="243">
        <f t="shared" si="0"/>
        <v>17711518.603999995</v>
      </c>
      <c r="C40" s="93">
        <f>C35*79.3</f>
        <v>513031.35</v>
      </c>
      <c r="D40" s="93">
        <f t="shared" ref="D40:AD40" si="12">D35*79.3</f>
        <v>389903.82600000006</v>
      </c>
      <c r="E40" s="93">
        <f t="shared" si="12"/>
        <v>646847.72100000002</v>
      </c>
      <c r="F40" s="93">
        <f t="shared" si="12"/>
        <v>706135.57299999997</v>
      </c>
      <c r="G40" s="93">
        <f t="shared" si="12"/>
        <v>699295.15500000003</v>
      </c>
      <c r="H40" s="93">
        <f t="shared" si="12"/>
        <v>699295.15500000003</v>
      </c>
      <c r="I40" s="93">
        <f t="shared" si="12"/>
        <v>699295.15500000003</v>
      </c>
      <c r="J40" s="93">
        <f t="shared" si="12"/>
        <v>499350.51400000002</v>
      </c>
      <c r="K40" s="93">
        <f t="shared" si="12"/>
        <v>348861.31800000003</v>
      </c>
      <c r="L40" s="93">
        <f t="shared" si="12"/>
        <v>698098.51800000004</v>
      </c>
      <c r="M40" s="93">
        <f t="shared" si="12"/>
        <v>699295.15500000003</v>
      </c>
      <c r="N40" s="93">
        <f t="shared" si="12"/>
        <v>699295.15500000003</v>
      </c>
      <c r="O40" s="93">
        <f t="shared" si="12"/>
        <v>699295.15500000003</v>
      </c>
      <c r="P40" s="93">
        <f t="shared" si="12"/>
        <v>699295.15500000003</v>
      </c>
      <c r="Q40" s="93">
        <f t="shared" si="12"/>
        <v>513031.35</v>
      </c>
      <c r="R40" s="93">
        <f t="shared" si="12"/>
        <v>389903.82600000006</v>
      </c>
      <c r="S40" s="93">
        <f t="shared" si="12"/>
        <v>699295.15500000003</v>
      </c>
      <c r="T40" s="93">
        <f t="shared" si="12"/>
        <v>699295.15500000003</v>
      </c>
      <c r="U40" s="93">
        <f t="shared" si="12"/>
        <v>699295.15500000003</v>
      </c>
      <c r="V40" s="93">
        <f t="shared" si="12"/>
        <v>699295.15500000003</v>
      </c>
      <c r="W40" s="93">
        <f t="shared" si="12"/>
        <v>699295.15500000003</v>
      </c>
      <c r="X40" s="93">
        <f t="shared" si="12"/>
        <v>513031.35</v>
      </c>
      <c r="Y40" s="93">
        <f t="shared" si="12"/>
        <v>498134.05199999991</v>
      </c>
      <c r="Z40" s="93">
        <f t="shared" si="12"/>
        <v>827946.71700000006</v>
      </c>
      <c r="AA40" s="93">
        <f t="shared" si="12"/>
        <v>373047.81799999991</v>
      </c>
      <c r="AB40" s="93">
        <f t="shared" si="12"/>
        <v>777351.73100000003</v>
      </c>
      <c r="AC40" s="93">
        <f>AC35*79.3</f>
        <v>811643.43</v>
      </c>
      <c r="AD40" s="93">
        <f t="shared" si="12"/>
        <v>813657.65</v>
      </c>
    </row>
    <row r="41" spans="1:30" x14ac:dyDescent="0.25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93"/>
      <c r="O41" s="8"/>
    </row>
    <row r="42" spans="1:30" x14ac:dyDescent="0.25"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</row>
    <row r="44" spans="1:30" x14ac:dyDescent="0.25">
      <c r="C44" s="206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</row>
    <row r="45" spans="1:30" x14ac:dyDescent="0.25">
      <c r="E45" s="44"/>
      <c r="F45" s="135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5"/>
      <c r="Y45" s="44"/>
      <c r="AB45" s="8"/>
    </row>
    <row r="46" spans="1:30" x14ac:dyDescent="0.25">
      <c r="E46" s="44"/>
      <c r="F46" s="44"/>
      <c r="G46" s="44"/>
      <c r="H46" s="126"/>
      <c r="I46" s="44"/>
      <c r="J46" s="44"/>
      <c r="K46" s="126"/>
      <c r="L46" s="44"/>
      <c r="M46" s="44"/>
      <c r="N46" s="44"/>
      <c r="O46" s="126"/>
      <c r="P46" s="44"/>
      <c r="Q46" s="44"/>
      <c r="R46" s="44"/>
      <c r="S46" s="126"/>
      <c r="T46" s="44"/>
      <c r="U46" s="44"/>
      <c r="V46" s="44"/>
      <c r="W46" s="126"/>
      <c r="X46" s="44"/>
      <c r="Y46" s="44"/>
      <c r="Z46" s="44"/>
      <c r="AA46" s="126"/>
      <c r="AB46" s="44"/>
      <c r="AD46" s="44"/>
    </row>
    <row r="47" spans="1:30" x14ac:dyDescent="0.25">
      <c r="P47" s="86"/>
      <c r="R47" s="175"/>
      <c r="AB47" s="8"/>
    </row>
    <row r="48" spans="1:30" x14ac:dyDescent="0.25">
      <c r="P48" s="86"/>
      <c r="R48" s="175"/>
      <c r="AB48" s="8"/>
    </row>
    <row r="49" spans="4:30" x14ac:dyDescent="0.25"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75"/>
      <c r="S49" s="126"/>
      <c r="T49" s="126"/>
      <c r="U49" s="126"/>
      <c r="V49" s="126"/>
      <c r="W49" s="126"/>
      <c r="X49" s="126"/>
      <c r="Y49" s="126"/>
      <c r="Z49" s="126"/>
      <c r="AA49" s="126"/>
      <c r="AB49" s="8"/>
      <c r="AD49" s="126"/>
    </row>
    <row r="50" spans="4:30" x14ac:dyDescent="0.25">
      <c r="P50" s="86"/>
      <c r="R50" s="175"/>
      <c r="AB50" s="8"/>
    </row>
    <row r="51" spans="4:30" x14ac:dyDescent="0.25">
      <c r="P51" s="86"/>
      <c r="R51" s="175"/>
      <c r="AB51" s="8"/>
    </row>
    <row r="52" spans="4:30" x14ac:dyDescent="0.25"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75"/>
      <c r="S52" s="126"/>
      <c r="T52" s="126"/>
      <c r="U52" s="126"/>
      <c r="V52" s="126"/>
      <c r="W52" s="126"/>
      <c r="X52" s="126"/>
      <c r="Y52" s="126"/>
      <c r="Z52" s="126"/>
      <c r="AA52" s="126"/>
      <c r="AB52" s="8"/>
      <c r="AD52" s="126"/>
    </row>
    <row r="53" spans="4:30" x14ac:dyDescent="0.25">
      <c r="Q53" s="86"/>
      <c r="R53" s="175"/>
      <c r="AB53" s="8"/>
    </row>
    <row r="54" spans="4:30" x14ac:dyDescent="0.25">
      <c r="Q54" s="86"/>
      <c r="R54" s="175"/>
    </row>
    <row r="55" spans="4:30" x14ac:dyDescent="0.25">
      <c r="Q55" s="86"/>
      <c r="R55" s="175"/>
    </row>
    <row r="56" spans="4:30" x14ac:dyDescent="0.25">
      <c r="Q56" s="86"/>
      <c r="R56" s="175"/>
    </row>
    <row r="57" spans="4:30" x14ac:dyDescent="0.25">
      <c r="Q57" s="8"/>
      <c r="R57" s="175"/>
    </row>
    <row r="58" spans="4:30" x14ac:dyDescent="0.25">
      <c r="Q58" s="8"/>
      <c r="R58" s="175"/>
    </row>
    <row r="59" spans="4:30" x14ac:dyDescent="0.25">
      <c r="R59" s="175"/>
    </row>
    <row r="60" spans="4:30" x14ac:dyDescent="0.25">
      <c r="R60" s="175"/>
    </row>
    <row r="61" spans="4:30" x14ac:dyDescent="0.25">
      <c r="R61" s="175"/>
    </row>
    <row r="62" spans="4:30" x14ac:dyDescent="0.25">
      <c r="R62" s="175"/>
    </row>
    <row r="63" spans="4:30" x14ac:dyDescent="0.25">
      <c r="R63" s="175"/>
    </row>
    <row r="64" spans="4:30" x14ac:dyDescent="0.25">
      <c r="R64" s="175"/>
    </row>
    <row r="65" spans="18:18" x14ac:dyDescent="0.25">
      <c r="R65" s="175"/>
    </row>
    <row r="66" spans="18:18" x14ac:dyDescent="0.25">
      <c r="R66" s="175"/>
    </row>
    <row r="67" spans="18:18" x14ac:dyDescent="0.25">
      <c r="R67" s="175"/>
    </row>
    <row r="68" spans="18:18" x14ac:dyDescent="0.25">
      <c r="R68" s="126"/>
    </row>
    <row r="69" spans="18:18" x14ac:dyDescent="0.25">
      <c r="R69" s="126"/>
    </row>
    <row r="70" spans="18:18" x14ac:dyDescent="0.25">
      <c r="R70" s="126"/>
    </row>
    <row r="71" spans="18:18" x14ac:dyDescent="0.25">
      <c r="R71" s="126"/>
    </row>
    <row r="72" spans="18:18" x14ac:dyDescent="0.25">
      <c r="R72" s="126"/>
    </row>
    <row r="73" spans="18:18" x14ac:dyDescent="0.25">
      <c r="R73" s="126"/>
    </row>
    <row r="74" spans="18:18" x14ac:dyDescent="0.25">
      <c r="R74" s="126"/>
    </row>
    <row r="75" spans="18:18" x14ac:dyDescent="0.25">
      <c r="R75" s="126"/>
    </row>
    <row r="76" spans="18:18" x14ac:dyDescent="0.25">
      <c r="R76" s="126"/>
    </row>
    <row r="77" spans="18:18" x14ac:dyDescent="0.25">
      <c r="R77" s="12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37" sqref="J37"/>
    </sheetView>
  </sheetViews>
  <sheetFormatPr baseColWidth="10" defaultColWidth="11.42578125" defaultRowHeight="15" x14ac:dyDescent="0.25"/>
  <cols>
    <col min="1" max="2" width="11.42578125" style="126"/>
    <col min="3" max="3" width="19.140625" style="126" customWidth="1"/>
    <col min="4" max="4" width="11.42578125" style="126"/>
    <col min="5" max="5" width="18.42578125" style="126" customWidth="1"/>
    <col min="6" max="6" width="14.140625" style="126" customWidth="1"/>
    <col min="7" max="7" width="23.85546875" style="126" customWidth="1"/>
    <col min="8" max="8" width="22.7109375" style="126" customWidth="1"/>
    <col min="9" max="9" width="11.42578125" style="126"/>
    <col min="10" max="10" width="50.85546875" style="126" customWidth="1"/>
    <col min="11" max="11" width="18.5703125" style="126" customWidth="1"/>
    <col min="12" max="12" width="14.28515625" style="126" customWidth="1"/>
    <col min="13" max="13" width="25.5703125" style="126" customWidth="1"/>
    <col min="14" max="16384" width="11.42578125" style="126"/>
  </cols>
  <sheetData>
    <row r="1" spans="1:14" ht="44.25" x14ac:dyDescent="0.25">
      <c r="A1" s="366" t="s">
        <v>163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</row>
    <row r="2" spans="1:14" x14ac:dyDescent="0.25">
      <c r="A2" s="161" t="s">
        <v>126</v>
      </c>
      <c r="B2" s="161" t="s">
        <v>3</v>
      </c>
      <c r="C2" s="161" t="s">
        <v>127</v>
      </c>
      <c r="D2" s="161" t="s">
        <v>128</v>
      </c>
      <c r="E2" s="162" t="s">
        <v>129</v>
      </c>
      <c r="F2" s="162" t="s">
        <v>130</v>
      </c>
      <c r="G2" s="162" t="s">
        <v>131</v>
      </c>
      <c r="H2" s="162" t="s">
        <v>132</v>
      </c>
      <c r="I2" s="162" t="s">
        <v>133</v>
      </c>
      <c r="J2" s="162" t="s">
        <v>134</v>
      </c>
      <c r="K2" s="162" t="s">
        <v>135</v>
      </c>
      <c r="L2" s="162" t="s">
        <v>136</v>
      </c>
      <c r="M2" s="162" t="s">
        <v>137</v>
      </c>
    </row>
    <row r="3" spans="1:14" x14ac:dyDescent="0.25">
      <c r="A3" s="163">
        <v>45689</v>
      </c>
      <c r="B3" s="12">
        <f>'KM-Servicio'!N11</f>
        <v>6503</v>
      </c>
      <c r="C3" s="12">
        <f>B3</f>
        <v>6503</v>
      </c>
      <c r="D3" s="12">
        <f>'KM-Servicio'!W11</f>
        <v>6469.5</v>
      </c>
      <c r="E3" s="12">
        <f>D3</f>
        <v>6469.5</v>
      </c>
      <c r="F3" s="169">
        <f>'KM-Servicio'!O11</f>
        <v>99.484853144702441</v>
      </c>
      <c r="G3" s="170">
        <f>SUM('KM-Servicio'!B11:C11)</f>
        <v>147</v>
      </c>
      <c r="H3" s="170">
        <f>SUM('KM-Servicio'!D11:E11)</f>
        <v>147</v>
      </c>
      <c r="I3" s="147"/>
      <c r="J3" s="147"/>
      <c r="K3" s="12">
        <f>'Oferta Diaria'!C40</f>
        <v>513031.35</v>
      </c>
      <c r="L3" s="178" t="s">
        <v>141</v>
      </c>
      <c r="M3" s="167"/>
      <c r="N3" s="165"/>
    </row>
    <row r="4" spans="1:14" x14ac:dyDescent="0.25">
      <c r="A4" s="163">
        <v>45690</v>
      </c>
      <c r="B4" s="12">
        <f>'KM-Servicio'!N18</f>
        <v>5048</v>
      </c>
      <c r="C4" s="12">
        <f>B4+C3</f>
        <v>11551</v>
      </c>
      <c r="D4" s="12">
        <f>'KM-Servicio'!W18</f>
        <v>4916.8200000000006</v>
      </c>
      <c r="E4" s="12">
        <f>D4+E3</f>
        <v>11386.32</v>
      </c>
      <c r="F4" s="169">
        <f>'KM-Servicio'!O18</f>
        <v>97.40134706814581</v>
      </c>
      <c r="G4" s="170">
        <f>SUM('KM-Servicio'!B18:C18)</f>
        <v>111</v>
      </c>
      <c r="H4" s="170">
        <f>SUM('KM-Servicio'!D18:E18)</f>
        <v>111</v>
      </c>
      <c r="I4" s="147"/>
      <c r="J4" s="147"/>
      <c r="K4" s="12">
        <f>'Oferta Diaria'!D40</f>
        <v>389903.82600000006</v>
      </c>
      <c r="L4" s="178" t="s">
        <v>139</v>
      </c>
      <c r="M4" s="167"/>
      <c r="N4" s="165"/>
    </row>
    <row r="5" spans="1:14" x14ac:dyDescent="0.25">
      <c r="A5" s="163">
        <v>45691</v>
      </c>
      <c r="B5" s="12">
        <f>'KM-Servicio'!N27</f>
        <v>8735</v>
      </c>
      <c r="C5" s="12">
        <f t="shared" ref="C5:C30" si="0">B5+C4</f>
        <v>20286</v>
      </c>
      <c r="D5" s="12">
        <f>'KM-Servicio'!W27</f>
        <v>8156.97</v>
      </c>
      <c r="E5" s="12">
        <f t="shared" ref="E5:E30" si="1">D5+E4</f>
        <v>19543.29</v>
      </c>
      <c r="F5" s="169">
        <f>'KM-Servicio'!O27</f>
        <v>93.382598740698342</v>
      </c>
      <c r="G5" s="170">
        <f>SUM('KM-Servicio'!B27:C27)</f>
        <v>223</v>
      </c>
      <c r="H5" s="170">
        <f>SUM('KM-Servicio'!D27:E27)</f>
        <v>210</v>
      </c>
      <c r="I5" s="147"/>
      <c r="J5" s="147"/>
      <c r="K5" s="12">
        <f>'Oferta Diaria'!E40</f>
        <v>646847.72100000002</v>
      </c>
      <c r="L5" s="164" t="s">
        <v>140</v>
      </c>
      <c r="M5" s="167"/>
      <c r="N5" s="165"/>
    </row>
    <row r="6" spans="1:14" x14ac:dyDescent="0.25">
      <c r="A6" s="163">
        <v>45692</v>
      </c>
      <c r="B6" s="12">
        <f>'KM-Servicio'!N34</f>
        <v>9144</v>
      </c>
      <c r="C6" s="12">
        <f t="shared" si="0"/>
        <v>29430</v>
      </c>
      <c r="D6" s="12">
        <f>'KM-Servicio'!W34</f>
        <v>8904.61</v>
      </c>
      <c r="E6" s="12">
        <f t="shared" si="1"/>
        <v>28447.9</v>
      </c>
      <c r="F6" s="169">
        <f>'KM-Servicio'!O34</f>
        <v>97.38199912510936</v>
      </c>
      <c r="G6" s="170">
        <f>SUM('KM-Servicio'!B34:C34)</f>
        <v>223</v>
      </c>
      <c r="H6" s="170">
        <f>SUM('KM-Servicio'!D34:E34)</f>
        <v>223</v>
      </c>
      <c r="I6" s="147"/>
      <c r="J6" s="147"/>
      <c r="K6" s="12">
        <f>'Oferta Diaria'!F40</f>
        <v>706135.57299999997</v>
      </c>
      <c r="L6" s="164" t="s">
        <v>140</v>
      </c>
      <c r="M6" s="167"/>
      <c r="N6" s="165"/>
    </row>
    <row r="7" spans="1:14" ht="16.5" customHeight="1" x14ac:dyDescent="0.25">
      <c r="A7" s="163">
        <v>45693</v>
      </c>
      <c r="B7" s="12">
        <f>'KM-Servicio'!N41</f>
        <v>9207</v>
      </c>
      <c r="C7" s="12">
        <f t="shared" si="0"/>
        <v>38637</v>
      </c>
      <c r="D7" s="12">
        <f>'KM-Servicio'!W41</f>
        <v>8818.35</v>
      </c>
      <c r="E7" s="12">
        <f t="shared" si="1"/>
        <v>37266.25</v>
      </c>
      <c r="F7" s="169">
        <f>'KM-Servicio'!O41</f>
        <v>95.778755294884334</v>
      </c>
      <c r="G7" s="170">
        <f>SUM('KM-Servicio'!B41:C41)</f>
        <v>223</v>
      </c>
      <c r="H7" s="170">
        <f>SUM('KM-Servicio'!D41:E41)</f>
        <v>223</v>
      </c>
      <c r="I7" s="147"/>
      <c r="J7" s="147"/>
      <c r="K7" s="12">
        <f>'Oferta Diaria'!G40</f>
        <v>699295.15500000003</v>
      </c>
      <c r="L7" s="164" t="s">
        <v>140</v>
      </c>
      <c r="M7" s="180"/>
      <c r="N7" s="165"/>
    </row>
    <row r="8" spans="1:14" x14ac:dyDescent="0.25">
      <c r="A8" s="163">
        <v>45694</v>
      </c>
      <c r="B8" s="12">
        <f>'KM-Servicio'!N48</f>
        <v>9301</v>
      </c>
      <c r="C8" s="12">
        <f t="shared" si="0"/>
        <v>47938</v>
      </c>
      <c r="D8" s="12">
        <f>'KM-Servicio'!W48</f>
        <v>8818.35</v>
      </c>
      <c r="E8" s="12">
        <f t="shared" si="1"/>
        <v>46084.6</v>
      </c>
      <c r="F8" s="169">
        <f>'KM-Servicio'!O48</f>
        <v>94.81077303515751</v>
      </c>
      <c r="G8" s="170">
        <f>SUM('KM-Servicio'!B48:C48)</f>
        <v>223</v>
      </c>
      <c r="H8" s="170">
        <f>SUM('KM-Servicio'!D48:E48)</f>
        <v>223</v>
      </c>
      <c r="I8" s="147"/>
      <c r="J8" s="147"/>
      <c r="K8" s="12">
        <f>'Oferta Diaria'!H40</f>
        <v>699295.15500000003</v>
      </c>
      <c r="L8" s="164" t="s">
        <v>140</v>
      </c>
      <c r="M8" s="167"/>
      <c r="N8" s="165"/>
    </row>
    <row r="9" spans="1:14" x14ac:dyDescent="0.25">
      <c r="A9" s="163">
        <v>45695</v>
      </c>
      <c r="B9" s="12">
        <f>'KM-Servicio'!N55</f>
        <v>9173</v>
      </c>
      <c r="C9" s="12">
        <f t="shared" si="0"/>
        <v>57111</v>
      </c>
      <c r="D9" s="12">
        <f>'KM-Servicio'!W55</f>
        <v>8818.35</v>
      </c>
      <c r="E9" s="12">
        <f t="shared" si="1"/>
        <v>54902.95</v>
      </c>
      <c r="F9" s="169">
        <f>'KM-Servicio'!O55</f>
        <v>96.133762127984298</v>
      </c>
      <c r="G9" s="170">
        <f>SUM('KM-Servicio'!B55:C55)</f>
        <v>223</v>
      </c>
      <c r="H9" s="170">
        <f>SUM('KM-Servicio'!D55:E55)</f>
        <v>223</v>
      </c>
      <c r="I9" s="147"/>
      <c r="J9" s="147"/>
      <c r="K9" s="12">
        <f>'Oferta Diaria'!I40</f>
        <v>699295.15500000003</v>
      </c>
      <c r="L9" s="164" t="s">
        <v>140</v>
      </c>
      <c r="M9" s="179"/>
      <c r="N9" s="165"/>
    </row>
    <row r="10" spans="1:14" x14ac:dyDescent="0.25">
      <c r="A10" s="163">
        <v>45696</v>
      </c>
      <c r="B10" s="12">
        <f>'KM-Servicio'!N62</f>
        <v>6414</v>
      </c>
      <c r="C10" s="12">
        <f t="shared" si="0"/>
        <v>63525</v>
      </c>
      <c r="D10" s="12">
        <f>'KM-Servicio'!W62</f>
        <v>6296.9800000000005</v>
      </c>
      <c r="E10" s="12">
        <f t="shared" si="1"/>
        <v>61199.93</v>
      </c>
      <c r="F10" s="169">
        <f>'KM-Servicio'!O62</f>
        <v>98.175553476769579</v>
      </c>
      <c r="G10" s="170">
        <f>SUM('KM-Servicio'!B62:C62)</f>
        <v>138</v>
      </c>
      <c r="H10" s="170">
        <f>SUM('KM-Servicio'!D62:E62)</f>
        <v>138</v>
      </c>
      <c r="I10" s="147"/>
      <c r="J10" s="147"/>
      <c r="K10" s="12">
        <f>'Oferta Diaria'!J40</f>
        <v>499350.51400000002</v>
      </c>
      <c r="L10" s="178" t="s">
        <v>141</v>
      </c>
      <c r="M10" s="167"/>
      <c r="N10" s="165"/>
    </row>
    <row r="11" spans="1:14" x14ac:dyDescent="0.25">
      <c r="A11" s="163">
        <v>45697</v>
      </c>
      <c r="B11" s="12">
        <f>'KM-Servicio'!N69</f>
        <v>4530</v>
      </c>
      <c r="C11" s="12">
        <f t="shared" si="0"/>
        <v>68055</v>
      </c>
      <c r="D11" s="12">
        <f>'KM-Servicio'!W69</f>
        <v>4399.26</v>
      </c>
      <c r="E11" s="12">
        <f t="shared" si="1"/>
        <v>65599.19</v>
      </c>
      <c r="F11" s="169">
        <f>'KM-Servicio'!O69</f>
        <v>97.113907284768217</v>
      </c>
      <c r="G11" s="170">
        <f>SUM('KM-Servicio'!B69:C69)</f>
        <v>52</v>
      </c>
      <c r="H11" s="170">
        <f>SUM('KM-Servicio'!D69:E69)</f>
        <v>52</v>
      </c>
      <c r="I11" s="147"/>
      <c r="J11" s="147"/>
      <c r="K11" s="12">
        <f>'Oferta Diaria'!K40</f>
        <v>348861.31800000003</v>
      </c>
      <c r="L11" s="178" t="s">
        <v>139</v>
      </c>
      <c r="M11" s="167"/>
      <c r="N11" s="165"/>
    </row>
    <row r="12" spans="1:14" x14ac:dyDescent="0.25">
      <c r="A12" s="163">
        <v>45698</v>
      </c>
      <c r="B12" s="12">
        <f>'KM-Servicio'!N76</f>
        <v>9244</v>
      </c>
      <c r="C12" s="12">
        <f t="shared" si="0"/>
        <v>77299</v>
      </c>
      <c r="D12" s="12">
        <f>'KM-Servicio'!W76</f>
        <v>8803.26</v>
      </c>
      <c r="E12" s="12">
        <f t="shared" si="1"/>
        <v>74402.45</v>
      </c>
      <c r="F12" s="169">
        <f>'KM-Servicio'!O76</f>
        <v>95.232150584162696</v>
      </c>
      <c r="G12" s="170">
        <f>SUM('KM-Servicio'!B76:C76)</f>
        <v>223</v>
      </c>
      <c r="H12" s="170">
        <f>SUM('KM-Servicio'!D76:E76)</f>
        <v>222</v>
      </c>
      <c r="I12" s="147"/>
      <c r="J12" s="147"/>
      <c r="K12" s="12">
        <f>'Oferta Diaria'!L40</f>
        <v>698098.51800000004</v>
      </c>
      <c r="L12" s="164" t="s">
        <v>140</v>
      </c>
      <c r="M12" s="167"/>
      <c r="N12" s="165"/>
    </row>
    <row r="13" spans="1:14" x14ac:dyDescent="0.25">
      <c r="A13" s="163">
        <v>45699</v>
      </c>
      <c r="B13" s="12">
        <f>'KM-Servicio'!N83</f>
        <v>9189</v>
      </c>
      <c r="C13" s="12">
        <f t="shared" si="0"/>
        <v>86488</v>
      </c>
      <c r="D13" s="12">
        <f>'KM-Servicio'!W83</f>
        <v>8818.35</v>
      </c>
      <c r="E13" s="12">
        <f t="shared" si="1"/>
        <v>83220.800000000003</v>
      </c>
      <c r="F13" s="169">
        <f>'KM-Servicio'!O83</f>
        <v>95.966372837087818</v>
      </c>
      <c r="G13" s="170">
        <f>SUM('KM-Servicio'!B83:C83)</f>
        <v>223</v>
      </c>
      <c r="H13" s="170">
        <f>SUM('KM-Servicio'!D83:E83)</f>
        <v>223</v>
      </c>
      <c r="I13" s="147"/>
      <c r="J13" s="147"/>
      <c r="K13" s="12">
        <f>'Oferta Diaria'!M40</f>
        <v>699295.15500000003</v>
      </c>
      <c r="L13" s="164" t="s">
        <v>140</v>
      </c>
      <c r="M13" s="167"/>
      <c r="N13" s="165"/>
    </row>
    <row r="14" spans="1:14" x14ac:dyDescent="0.25">
      <c r="A14" s="163">
        <v>45700</v>
      </c>
      <c r="B14" s="12">
        <f>'KM-Servicio'!N90</f>
        <v>9226</v>
      </c>
      <c r="C14" s="12">
        <f t="shared" si="0"/>
        <v>95714</v>
      </c>
      <c r="D14" s="12">
        <f>'KM-Servicio'!W90</f>
        <v>8818.35</v>
      </c>
      <c r="E14" s="12">
        <f t="shared" si="1"/>
        <v>92039.150000000009</v>
      </c>
      <c r="F14" s="169">
        <f>'KM-Servicio'!O90</f>
        <v>95.581508779536094</v>
      </c>
      <c r="G14" s="170">
        <f>SUM('KM-Servicio'!B90:C90)</f>
        <v>223</v>
      </c>
      <c r="H14" s="170">
        <f>SUM('KM-Servicio'!D90:E90)</f>
        <v>223</v>
      </c>
      <c r="I14" s="147"/>
      <c r="J14" s="147"/>
      <c r="K14" s="12">
        <f>'Oferta Diaria'!N40</f>
        <v>699295.15500000003</v>
      </c>
      <c r="L14" s="164" t="s">
        <v>140</v>
      </c>
      <c r="M14" s="167"/>
      <c r="N14" s="165"/>
    </row>
    <row r="15" spans="1:14" ht="16.5" customHeight="1" x14ac:dyDescent="0.25">
      <c r="A15" s="163">
        <v>45701</v>
      </c>
      <c r="B15" s="12">
        <f>'KM-Servicio'!N97</f>
        <v>9209</v>
      </c>
      <c r="C15" s="12">
        <f t="shared" si="0"/>
        <v>104923</v>
      </c>
      <c r="D15" s="12">
        <f>'KM-Servicio'!W97</f>
        <v>8818.35</v>
      </c>
      <c r="E15" s="12">
        <f t="shared" si="1"/>
        <v>100857.50000000001</v>
      </c>
      <c r="F15" s="169">
        <f>'KM-Servicio'!O97</f>
        <v>95.757954175263336</v>
      </c>
      <c r="G15" s="170">
        <f>SUM('KM-Servicio'!B97:C97)</f>
        <v>223</v>
      </c>
      <c r="H15" s="170">
        <f>SUM('KM-Servicio'!D97:E97)</f>
        <v>223</v>
      </c>
      <c r="I15" s="147"/>
      <c r="J15" s="147"/>
      <c r="K15" s="12">
        <f>'Oferta Diaria'!O40</f>
        <v>699295.15500000003</v>
      </c>
      <c r="L15" s="164" t="s">
        <v>140</v>
      </c>
      <c r="M15" s="167"/>
      <c r="N15" s="165"/>
    </row>
    <row r="16" spans="1:14" x14ac:dyDescent="0.25">
      <c r="A16" s="163">
        <v>45702</v>
      </c>
      <c r="B16" s="12">
        <f>'KM-Servicio'!N104</f>
        <v>9180</v>
      </c>
      <c r="C16" s="12">
        <f t="shared" si="0"/>
        <v>114103</v>
      </c>
      <c r="D16" s="12">
        <f>'KM-Servicio'!W104</f>
        <v>8818.35</v>
      </c>
      <c r="E16" s="12">
        <f t="shared" si="1"/>
        <v>109675.85000000002</v>
      </c>
      <c r="F16" s="169">
        <f>'KM-Servicio'!O104</f>
        <v>96.060457516339866</v>
      </c>
      <c r="G16" s="170">
        <f>SUM('KM-Servicio'!B104:C104)</f>
        <v>223</v>
      </c>
      <c r="H16" s="170">
        <f>SUM('KM-Servicio'!D104:E104)</f>
        <v>223</v>
      </c>
      <c r="I16" s="147"/>
      <c r="J16" s="147"/>
      <c r="K16" s="12">
        <f>'Oferta Diaria'!P40</f>
        <v>699295.15500000003</v>
      </c>
      <c r="L16" s="164" t="s">
        <v>140</v>
      </c>
      <c r="M16" s="167"/>
      <c r="N16" s="165"/>
    </row>
    <row r="17" spans="1:16" x14ac:dyDescent="0.25">
      <c r="A17" s="163">
        <v>45703</v>
      </c>
      <c r="B17" s="12">
        <f>'KM-Servicio'!N111</f>
        <v>6487</v>
      </c>
      <c r="C17" s="12">
        <f t="shared" si="0"/>
        <v>120590</v>
      </c>
      <c r="D17" s="12">
        <f>'KM-Servicio'!W111</f>
        <v>6469.5</v>
      </c>
      <c r="E17" s="12">
        <f t="shared" si="1"/>
        <v>116145.35000000002</v>
      </c>
      <c r="F17" s="169">
        <f>'KM-Servicio'!O111</f>
        <v>99.730229690149528</v>
      </c>
      <c r="G17" s="170">
        <f>SUM('KM-Servicio'!B111:C111)</f>
        <v>147</v>
      </c>
      <c r="H17" s="170">
        <f>SUM('KM-Servicio'!D111:E111)</f>
        <v>147</v>
      </c>
      <c r="I17" s="147"/>
      <c r="J17" s="147"/>
      <c r="K17" s="12">
        <f>'Oferta Diaria'!Q40</f>
        <v>513031.35</v>
      </c>
      <c r="L17" s="178" t="s">
        <v>141</v>
      </c>
      <c r="M17" s="167"/>
      <c r="N17" s="165"/>
    </row>
    <row r="18" spans="1:16" ht="14.25" customHeight="1" x14ac:dyDescent="0.25">
      <c r="A18" s="163">
        <v>45704</v>
      </c>
      <c r="B18" s="12">
        <f>'KM-Servicio'!$N$118</f>
        <v>5007</v>
      </c>
      <c r="C18" s="12">
        <f t="shared" si="0"/>
        <v>125597</v>
      </c>
      <c r="D18" s="12">
        <f>'KM-Servicio'!$W$118</f>
        <v>4916.8200000000006</v>
      </c>
      <c r="E18" s="12">
        <f t="shared" si="1"/>
        <v>121062.17000000003</v>
      </c>
      <c r="F18" s="169">
        <f>'KM-Servicio'!O118</f>
        <v>98.198921509886176</v>
      </c>
      <c r="G18" s="170">
        <f>SUM('KM-Servicio'!B118:C118)</f>
        <v>111</v>
      </c>
      <c r="H18" s="170">
        <f>SUM('KM-Servicio'!D118:E118)</f>
        <v>111</v>
      </c>
      <c r="I18" s="147"/>
      <c r="J18" s="147"/>
      <c r="K18" s="12">
        <f>'Oferta Diaria'!R40</f>
        <v>389903.82600000006</v>
      </c>
      <c r="L18" s="178" t="s">
        <v>139</v>
      </c>
      <c r="M18" s="147"/>
    </row>
    <row r="19" spans="1:16" x14ac:dyDescent="0.25">
      <c r="A19" s="163">
        <v>45705</v>
      </c>
      <c r="B19" s="12">
        <f>'KM-Servicio'!$N$125</f>
        <v>9289</v>
      </c>
      <c r="C19" s="12">
        <f t="shared" si="0"/>
        <v>134886</v>
      </c>
      <c r="D19" s="12">
        <f>'KM-Servicio'!$W$125</f>
        <v>8818.35</v>
      </c>
      <c r="E19" s="12">
        <f t="shared" si="1"/>
        <v>129880.52000000003</v>
      </c>
      <c r="F19" s="169">
        <f>'KM-Servicio'!O125</f>
        <v>94.933254386909255</v>
      </c>
      <c r="G19" s="170">
        <f>SUM('KM-Servicio'!B125:C125)</f>
        <v>223</v>
      </c>
      <c r="H19" s="170">
        <f>SUM('KM-Servicio'!D125:E125)</f>
        <v>223</v>
      </c>
      <c r="I19" s="147"/>
      <c r="J19" s="147"/>
      <c r="K19" s="12">
        <f>'Oferta Diaria'!S40</f>
        <v>699295.15500000003</v>
      </c>
      <c r="L19" s="164" t="s">
        <v>140</v>
      </c>
      <c r="M19" s="167"/>
      <c r="N19" s="165"/>
    </row>
    <row r="20" spans="1:16" x14ac:dyDescent="0.25">
      <c r="A20" s="163">
        <v>45706</v>
      </c>
      <c r="B20" s="12">
        <f>'KM-Servicio'!N132</f>
        <v>9240</v>
      </c>
      <c r="C20" s="12">
        <f t="shared" si="0"/>
        <v>144126</v>
      </c>
      <c r="D20" s="12">
        <f>'KM-Servicio'!$W$132</f>
        <v>8818.35</v>
      </c>
      <c r="E20" s="12">
        <f t="shared" si="1"/>
        <v>138698.87000000002</v>
      </c>
      <c r="F20" s="169">
        <f>'KM-Servicio'!O132</f>
        <v>95.436688311688314</v>
      </c>
      <c r="G20" s="170">
        <f>SUM('KM-Servicio'!B132:C132)</f>
        <v>223</v>
      </c>
      <c r="H20" s="170">
        <f>SUM('KM-Servicio'!D132:E132)</f>
        <v>223</v>
      </c>
      <c r="I20" s="147"/>
      <c r="J20" s="147"/>
      <c r="K20" s="12">
        <f>'Oferta Diaria'!T40</f>
        <v>699295.15500000003</v>
      </c>
      <c r="L20" s="178" t="s">
        <v>140</v>
      </c>
      <c r="M20" s="167"/>
      <c r="N20" s="165"/>
    </row>
    <row r="21" spans="1:16" x14ac:dyDescent="0.25">
      <c r="A21" s="163">
        <v>45707</v>
      </c>
      <c r="B21" s="12">
        <f>'KM-Servicio'!N139</f>
        <v>9150</v>
      </c>
      <c r="C21" s="12">
        <f t="shared" si="0"/>
        <v>153276</v>
      </c>
      <c r="D21" s="12">
        <f>'KM-Servicio'!$W$139</f>
        <v>8818.35</v>
      </c>
      <c r="E21" s="12">
        <f t="shared" si="1"/>
        <v>147517.22000000003</v>
      </c>
      <c r="F21" s="174">
        <f>'KM-Servicio'!O139</f>
        <v>96.375409836065572</v>
      </c>
      <c r="G21" s="170">
        <f>SUM('KM-Servicio'!B139:C139)</f>
        <v>223</v>
      </c>
      <c r="H21" s="170">
        <f>SUM('KM-Servicio'!D139:E139)</f>
        <v>223</v>
      </c>
      <c r="I21" s="147"/>
      <c r="J21" s="147"/>
      <c r="K21" s="12">
        <f>'Oferta Diaria'!U40</f>
        <v>699295.15500000003</v>
      </c>
      <c r="L21" s="178" t="s">
        <v>140</v>
      </c>
      <c r="M21" s="167"/>
      <c r="N21" s="165"/>
    </row>
    <row r="22" spans="1:16" x14ac:dyDescent="0.25">
      <c r="A22" s="163">
        <v>45708</v>
      </c>
      <c r="B22" s="12">
        <f>'KM-Servicio'!N146</f>
        <v>9264</v>
      </c>
      <c r="C22" s="12">
        <f t="shared" si="0"/>
        <v>162540</v>
      </c>
      <c r="D22" s="12">
        <f>'KM-Servicio'!$W$146</f>
        <v>8818.35</v>
      </c>
      <c r="E22" s="12">
        <f t="shared" si="1"/>
        <v>156335.57000000004</v>
      </c>
      <c r="F22" s="174">
        <f>'KM-Servicio'!O146</f>
        <v>95.189443005181346</v>
      </c>
      <c r="G22" s="170">
        <f>SUM('KM-Servicio'!B146:C146)</f>
        <v>223</v>
      </c>
      <c r="H22" s="170">
        <f>SUM('KM-Servicio'!D146:E146)</f>
        <v>223</v>
      </c>
      <c r="I22" s="147"/>
      <c r="J22" s="147"/>
      <c r="K22" s="12">
        <f>'Oferta Diaria'!V40</f>
        <v>699295.15500000003</v>
      </c>
      <c r="L22" s="178" t="s">
        <v>140</v>
      </c>
      <c r="M22" s="167"/>
      <c r="N22" s="165"/>
    </row>
    <row r="23" spans="1:16" x14ac:dyDescent="0.25">
      <c r="A23" s="163">
        <v>45709</v>
      </c>
      <c r="B23" s="12">
        <f>'KM-Servicio'!N153</f>
        <v>9168</v>
      </c>
      <c r="C23" s="12">
        <f t="shared" si="0"/>
        <v>171708</v>
      </c>
      <c r="D23" s="12">
        <f>'KM-Servicio'!$W$153</f>
        <v>8818.35</v>
      </c>
      <c r="E23" s="12">
        <f t="shared" si="1"/>
        <v>165153.92000000004</v>
      </c>
      <c r="F23" s="169">
        <f>'KM-Servicio'!O153</f>
        <v>96.186191099476446</v>
      </c>
      <c r="G23" s="170">
        <f>SUM('KM-Servicio'!B153:C153)</f>
        <v>223</v>
      </c>
      <c r="H23" s="170">
        <f>SUM('KM-Servicio'!D153:E153)</f>
        <v>223</v>
      </c>
      <c r="I23" s="147"/>
      <c r="J23" s="147"/>
      <c r="K23" s="12">
        <f>'Oferta Diaria'!W40</f>
        <v>699295.15500000003</v>
      </c>
      <c r="L23" s="164" t="s">
        <v>140</v>
      </c>
      <c r="M23" s="167"/>
      <c r="N23" s="165"/>
    </row>
    <row r="24" spans="1:16" x14ac:dyDescent="0.25">
      <c r="A24" s="163">
        <v>45710</v>
      </c>
      <c r="B24" s="12">
        <f>'KM-Servicio'!N160</f>
        <v>6491</v>
      </c>
      <c r="C24" s="12">
        <f t="shared" si="0"/>
        <v>178199</v>
      </c>
      <c r="D24" s="12">
        <f>'KM-Servicio'!$W$160</f>
        <v>6469.5</v>
      </c>
      <c r="E24" s="12">
        <f t="shared" si="1"/>
        <v>171623.42000000004</v>
      </c>
      <c r="F24" s="169">
        <f>'KM-Servicio'!O160</f>
        <v>99.668772146048383</v>
      </c>
      <c r="G24" s="170">
        <f>SUM('KM-Servicio'!B160:C160)</f>
        <v>147</v>
      </c>
      <c r="H24" s="170">
        <f>SUM('KM-Servicio'!D160:E160)</f>
        <v>147</v>
      </c>
      <c r="I24" s="147"/>
      <c r="J24" s="147"/>
      <c r="K24" s="12">
        <f>'Oferta Diaria'!X40</f>
        <v>513031.35</v>
      </c>
      <c r="L24" s="178" t="s">
        <v>141</v>
      </c>
      <c r="M24" s="167"/>
      <c r="N24" s="165"/>
    </row>
    <row r="25" spans="1:16" x14ac:dyDescent="0.25">
      <c r="A25" s="163">
        <v>45711</v>
      </c>
      <c r="B25" s="12">
        <f>'KM-Servicio'!N167</f>
        <v>6366</v>
      </c>
      <c r="C25" s="12">
        <f t="shared" si="0"/>
        <v>184565</v>
      </c>
      <c r="D25" s="12">
        <f>'KM-Servicio'!$W$167</f>
        <v>6281.64</v>
      </c>
      <c r="E25" s="12">
        <f t="shared" si="1"/>
        <v>177905.06000000006</v>
      </c>
      <c r="F25" s="169">
        <f>'KM-Servicio'!O167</f>
        <v>98.674835061262968</v>
      </c>
      <c r="G25" s="170">
        <f>SUM('KM-Servicio'!B167:C167)</f>
        <v>111</v>
      </c>
      <c r="H25" s="170">
        <f>SUM('KM-Servicio'!D167:E167)</f>
        <v>111</v>
      </c>
      <c r="I25" s="147"/>
      <c r="J25" s="147"/>
      <c r="K25" s="12">
        <f>'Oferta Diaria'!Y40</f>
        <v>498134.05199999991</v>
      </c>
      <c r="L25" s="178" t="s">
        <v>139</v>
      </c>
      <c r="M25" s="167"/>
      <c r="N25" s="165"/>
    </row>
    <row r="26" spans="1:16" x14ac:dyDescent="0.25">
      <c r="A26" s="163">
        <v>45712</v>
      </c>
      <c r="B26" s="12">
        <f>'KM-Servicio'!N176</f>
        <v>11161</v>
      </c>
      <c r="C26" s="12">
        <f t="shared" si="0"/>
        <v>195726</v>
      </c>
      <c r="D26" s="12">
        <f>'KM-Servicio'!$W$176</f>
        <v>10440.69</v>
      </c>
      <c r="E26" s="12">
        <f t="shared" si="1"/>
        <v>188345.75000000006</v>
      </c>
      <c r="F26" s="169">
        <f>'KM-Servicio'!O176</f>
        <v>93.546187617596999</v>
      </c>
      <c r="G26" s="170">
        <f>SUM('KM-Servicio'!B176:C176)</f>
        <v>229</v>
      </c>
      <c r="H26" s="170">
        <f>SUM('KM-Servicio'!D176:E176)</f>
        <v>229</v>
      </c>
      <c r="I26" s="147"/>
      <c r="J26" s="147"/>
      <c r="K26" s="12">
        <f>'Oferta Diaria'!Z40</f>
        <v>827946.71700000006</v>
      </c>
      <c r="L26" s="164" t="s">
        <v>140</v>
      </c>
      <c r="M26" s="167"/>
      <c r="N26" s="165"/>
    </row>
    <row r="27" spans="1:16" x14ac:dyDescent="0.25">
      <c r="A27" s="163">
        <v>45713</v>
      </c>
      <c r="B27" s="12">
        <f>'KM-Servicio'!N185</f>
        <v>5306</v>
      </c>
      <c r="C27" s="12">
        <f t="shared" si="0"/>
        <v>201032</v>
      </c>
      <c r="D27" s="12">
        <f>'KM-Servicio'!$W$185</f>
        <v>4704.26</v>
      </c>
      <c r="E27" s="12">
        <f t="shared" si="1"/>
        <v>193050.01000000007</v>
      </c>
      <c r="F27" s="169">
        <f>'KM-Servicio'!O185</f>
        <v>88.659253675084813</v>
      </c>
      <c r="G27" s="170">
        <f>SUM('KM-Servicio'!B185:C185)</f>
        <v>229</v>
      </c>
      <c r="H27" s="170">
        <f>SUM('KM-Servicio'!D185:E185)</f>
        <v>123</v>
      </c>
      <c r="I27" s="147"/>
      <c r="J27" s="147"/>
      <c r="K27" s="12">
        <f>'Oferta Diaria'!AA40</f>
        <v>373047.81799999991</v>
      </c>
      <c r="L27" s="178" t="s">
        <v>140</v>
      </c>
      <c r="M27" s="167"/>
      <c r="N27" s="165"/>
    </row>
    <row r="28" spans="1:16" x14ac:dyDescent="0.25">
      <c r="A28" s="163">
        <v>45714</v>
      </c>
      <c r="B28" s="12">
        <f>'KM-Servicio'!N192</f>
        <v>10347</v>
      </c>
      <c r="C28" s="12">
        <f t="shared" si="0"/>
        <v>211379</v>
      </c>
      <c r="D28" s="12">
        <f>'KM-Servicio'!$W$192</f>
        <v>9802.67</v>
      </c>
      <c r="E28" s="12">
        <f t="shared" si="1"/>
        <v>202852.68000000008</v>
      </c>
      <c r="F28" s="169">
        <f>'KM-Servicio'!O192</f>
        <v>94.739248091234174</v>
      </c>
      <c r="G28" s="170">
        <f>SUM('KM-Servicio'!B192:C192)</f>
        <v>223</v>
      </c>
      <c r="H28" s="170">
        <f>SUM('KM-Servicio'!D192:E192)</f>
        <v>223</v>
      </c>
      <c r="I28" s="147"/>
      <c r="J28" s="147"/>
      <c r="K28" s="12">
        <f>'Oferta Diaria'!AB40</f>
        <v>777351.73100000003</v>
      </c>
      <c r="L28" s="178" t="s">
        <v>140</v>
      </c>
      <c r="M28" s="167"/>
      <c r="N28" s="165"/>
    </row>
    <row r="29" spans="1:16" x14ac:dyDescent="0.25">
      <c r="A29" s="163">
        <v>45715</v>
      </c>
      <c r="B29" s="12">
        <f>'KM-Servicio'!N201</f>
        <v>11137</v>
      </c>
      <c r="C29" s="12">
        <f t="shared" si="0"/>
        <v>222516</v>
      </c>
      <c r="D29" s="12">
        <f>'KM-Servicio'!$W$201</f>
        <v>10235.1</v>
      </c>
      <c r="E29" s="12">
        <f t="shared" si="1"/>
        <v>213087.78000000009</v>
      </c>
      <c r="F29" s="169">
        <f>'KM-Servicio'!O201</f>
        <v>91.901768878513067</v>
      </c>
      <c r="G29" s="170">
        <f>SUM('KM-Servicio'!B201:C201)</f>
        <v>229</v>
      </c>
      <c r="H29" s="170">
        <f>SUM('KM-Servicio'!D201:E201)</f>
        <v>229</v>
      </c>
      <c r="I29" s="147"/>
      <c r="J29" s="147"/>
      <c r="K29" s="12">
        <f>'Oferta Diaria'!AC40</f>
        <v>811643.43</v>
      </c>
      <c r="L29" s="178" t="s">
        <v>140</v>
      </c>
      <c r="M29" s="167"/>
      <c r="N29" s="165"/>
    </row>
    <row r="30" spans="1:16" x14ac:dyDescent="0.25">
      <c r="A30" s="163">
        <v>45716</v>
      </c>
      <c r="B30" s="12">
        <f>'KM-Servicio'!N210</f>
        <v>11004</v>
      </c>
      <c r="C30" s="12">
        <f t="shared" si="0"/>
        <v>233520</v>
      </c>
      <c r="D30" s="12">
        <f>'KM-Servicio'!$W$210</f>
        <v>10260.500000000002</v>
      </c>
      <c r="E30" s="12">
        <f t="shared" si="1"/>
        <v>223348.28000000009</v>
      </c>
      <c r="F30" s="169">
        <f>'KM-Servicio'!O210</f>
        <v>93.243366048709575</v>
      </c>
      <c r="G30" s="170">
        <f>SUM('KM-Servicio'!B210:C210)</f>
        <v>229</v>
      </c>
      <c r="H30" s="170">
        <f>SUM('KM-Servicio'!D210:E210)</f>
        <v>229</v>
      </c>
      <c r="I30" s="147"/>
      <c r="J30" s="147"/>
      <c r="K30" s="12">
        <f>'Oferta Diaria'!AD40</f>
        <v>813657.65</v>
      </c>
      <c r="L30" s="178" t="s">
        <v>140</v>
      </c>
      <c r="M30" s="167"/>
      <c r="N30" s="166"/>
    </row>
    <row r="31" spans="1:16" x14ac:dyDescent="0.25">
      <c r="A31" s="163"/>
      <c r="B31" s="12"/>
      <c r="C31" s="12"/>
      <c r="D31" s="12"/>
      <c r="E31" s="12"/>
      <c r="F31" s="169"/>
      <c r="G31" s="170"/>
      <c r="H31" s="170"/>
      <c r="I31" s="147"/>
      <c r="J31" s="147"/>
      <c r="K31" s="12"/>
      <c r="L31" s="164"/>
      <c r="M31" s="167"/>
      <c r="N31" s="166"/>
    </row>
    <row r="32" spans="1:16" x14ac:dyDescent="0.25">
      <c r="A32" s="163"/>
      <c r="B32" s="12"/>
      <c r="C32" s="12"/>
      <c r="D32" s="12"/>
      <c r="E32" s="12"/>
      <c r="F32" s="169"/>
      <c r="G32" s="170"/>
      <c r="H32" s="170"/>
      <c r="I32" s="147"/>
      <c r="J32" s="147"/>
      <c r="K32" s="12"/>
      <c r="L32" s="178"/>
      <c r="M32" s="167"/>
      <c r="N32" s="166"/>
      <c r="O32" s="264"/>
      <c r="P32" s="264"/>
    </row>
    <row r="33" spans="1:16" x14ac:dyDescent="0.25">
      <c r="A33" s="163"/>
      <c r="B33" s="12"/>
      <c r="C33" s="12"/>
      <c r="D33" s="12"/>
      <c r="E33" s="12"/>
      <c r="F33" s="169"/>
      <c r="G33" s="170"/>
      <c r="H33" s="170"/>
      <c r="I33" s="147"/>
      <c r="J33" s="147"/>
      <c r="K33" s="12"/>
      <c r="L33" s="178"/>
      <c r="M33" s="167"/>
      <c r="N33" s="265"/>
      <c r="O33" s="266"/>
      <c r="P33" s="267"/>
    </row>
    <row r="34" spans="1:16" x14ac:dyDescent="0.25">
      <c r="A34" s="171" t="s">
        <v>138</v>
      </c>
      <c r="B34" s="172">
        <f>SUM(B3:B30)</f>
        <v>233520</v>
      </c>
      <c r="C34" s="172">
        <f>SUM(C3:C30)</f>
        <v>3261223</v>
      </c>
      <c r="D34" s="172">
        <f>SUM(D3:D30)</f>
        <v>223348.28000000009</v>
      </c>
      <c r="E34" s="172">
        <f>SUM(E3:E30)</f>
        <v>3136102.2800000012</v>
      </c>
      <c r="F34" s="173">
        <f>AVERAGE(F3:F30)</f>
        <v>95.883770091014853</v>
      </c>
      <c r="G34" s="172">
        <f>SUM(G3:G30)</f>
        <v>5448</v>
      </c>
      <c r="H34" s="172">
        <f>SUM(H3:H30)</f>
        <v>5328</v>
      </c>
      <c r="I34" s="172">
        <f>SUM(I3:I32)</f>
        <v>0</v>
      </c>
      <c r="J34" s="172">
        <f>SUM(J3:J32)</f>
        <v>0</v>
      </c>
      <c r="K34" s="172">
        <f>SUM(K3:K30)</f>
        <v>17711518.603999995</v>
      </c>
      <c r="L34" s="164"/>
      <c r="M34" s="171"/>
      <c r="N34" s="264"/>
      <c r="O34" s="264"/>
      <c r="P34" s="264"/>
    </row>
    <row r="35" spans="1:16" x14ac:dyDescent="0.25">
      <c r="L35" s="212"/>
    </row>
    <row r="38" spans="1:16" x14ac:dyDescent="0.25">
      <c r="F38" s="165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9" t="s">
        <v>98</v>
      </c>
      <c r="B3" s="370"/>
      <c r="C3" s="370"/>
      <c r="D3" s="371"/>
    </row>
    <row r="4" spans="1:15" x14ac:dyDescent="0.25">
      <c r="A4" s="98" t="s">
        <v>99</v>
      </c>
      <c r="B4" s="99" t="s">
        <v>100</v>
      </c>
      <c r="C4" s="100" t="s">
        <v>54</v>
      </c>
      <c r="D4" s="100" t="s">
        <v>101</v>
      </c>
    </row>
    <row r="5" spans="1:15" x14ac:dyDescent="0.25">
      <c r="A5" s="34" t="s">
        <v>102</v>
      </c>
      <c r="B5" s="131">
        <f>C5/30</f>
        <v>187.43333333333334</v>
      </c>
      <c r="C5" s="132">
        <f>'KM-Servicio'!J253</f>
        <v>5623</v>
      </c>
      <c r="D5" s="132">
        <f>'KM-Servicio'!C248</f>
        <v>5746</v>
      </c>
    </row>
    <row r="6" spans="1:15" x14ac:dyDescent="0.25">
      <c r="A6" s="34" t="s">
        <v>103</v>
      </c>
      <c r="B6" s="131">
        <f>C6/30</f>
        <v>177.6</v>
      </c>
      <c r="C6" s="132">
        <f>'KM-Servicio'!K246</f>
        <v>5328</v>
      </c>
      <c r="D6" s="132">
        <f>'KM-Servicio'!D246</f>
        <v>5448</v>
      </c>
    </row>
    <row r="7" spans="1:15" x14ac:dyDescent="0.25">
      <c r="A7" s="34" t="s">
        <v>66</v>
      </c>
      <c r="B7" s="131">
        <f>C7/30</f>
        <v>7461.9556666666667</v>
      </c>
      <c r="C7" s="132">
        <f>'KM-Servicio'!M246</f>
        <v>223858.67</v>
      </c>
      <c r="D7" s="132">
        <f>'KM-Servicio'!F246</f>
        <v>228832.94</v>
      </c>
    </row>
    <row r="8" spans="1:15" x14ac:dyDescent="0.25">
      <c r="A8" s="34" t="s">
        <v>104</v>
      </c>
      <c r="B8" s="131">
        <f>C8/30</f>
        <v>7037.8440000000001</v>
      </c>
      <c r="C8" s="132">
        <f>'KM-Servicio'!L246</f>
        <v>211135.32</v>
      </c>
      <c r="D8" s="132">
        <f>'KM-Servicio'!E246</f>
        <v>215980.2</v>
      </c>
    </row>
    <row r="9" spans="1:15" x14ac:dyDescent="0.25">
      <c r="A9" s="34" t="s">
        <v>105</v>
      </c>
      <c r="B9" s="131">
        <f>C9/30</f>
        <v>776043.38933333335</v>
      </c>
      <c r="C9" s="132">
        <f>'KM-Servicio'!N246</f>
        <v>23281301.68</v>
      </c>
      <c r="D9" s="132">
        <f>'KM-Servicio'!G246</f>
        <v>23798625.760000002</v>
      </c>
    </row>
    <row r="10" spans="1:15" x14ac:dyDescent="0.25">
      <c r="A10" s="34" t="s">
        <v>106</v>
      </c>
      <c r="B10" s="131"/>
      <c r="C10" s="133"/>
      <c r="J10" s="103"/>
    </row>
    <row r="11" spans="1:15" x14ac:dyDescent="0.25">
      <c r="A11" s="34" t="s">
        <v>107</v>
      </c>
      <c r="B11" s="131">
        <f>C11/30</f>
        <v>40531.73333333333</v>
      </c>
      <c r="C11" s="207">
        <v>1215952</v>
      </c>
      <c r="D11" s="134" t="s">
        <v>148</v>
      </c>
      <c r="E11" s="101"/>
      <c r="H11" s="103"/>
      <c r="I11" s="103"/>
      <c r="J11" s="103"/>
      <c r="K11" s="103"/>
      <c r="L11" s="106"/>
      <c r="M11" s="102"/>
      <c r="N11" s="102"/>
    </row>
    <row r="12" spans="1:15" ht="15.75" thickBot="1" x14ac:dyDescent="0.3">
      <c r="A12" s="34" t="s">
        <v>108</v>
      </c>
      <c r="B12" s="134"/>
      <c r="C12" s="131"/>
      <c r="D12" s="134"/>
      <c r="F12" s="102"/>
      <c r="G12" s="103"/>
      <c r="H12" s="103"/>
      <c r="I12" s="103"/>
      <c r="J12" s="103"/>
    </row>
    <row r="13" spans="1:15" ht="15.75" thickBot="1" x14ac:dyDescent="0.3">
      <c r="A13" s="372" t="s">
        <v>109</v>
      </c>
      <c r="B13" s="373"/>
      <c r="C13" s="373"/>
      <c r="D13" s="374"/>
      <c r="F13" s="143"/>
      <c r="G13" s="144"/>
      <c r="H13" s="144"/>
      <c r="I13" s="144"/>
      <c r="J13" s="144"/>
      <c r="K13" s="143"/>
      <c r="L13" s="144"/>
      <c r="M13" s="144"/>
      <c r="N13" s="44"/>
    </row>
    <row r="14" spans="1:15" x14ac:dyDescent="0.25">
      <c r="A14" s="104"/>
      <c r="B14" s="99"/>
      <c r="C14" s="100"/>
      <c r="D14" s="100"/>
      <c r="F14" s="145"/>
      <c r="G14" s="145"/>
      <c r="H14" s="143"/>
      <c r="I14" s="143"/>
      <c r="J14" s="143"/>
      <c r="K14" s="143"/>
      <c r="L14" s="143"/>
      <c r="M14" s="44"/>
      <c r="N14" s="44"/>
    </row>
    <row r="15" spans="1:15" x14ac:dyDescent="0.25">
      <c r="A15" s="107"/>
      <c r="B15" s="147"/>
      <c r="C15" s="147"/>
      <c r="D15" s="109"/>
      <c r="F15" s="143"/>
      <c r="G15" s="143"/>
      <c r="H15" s="143"/>
      <c r="I15" s="143"/>
      <c r="J15" s="143"/>
      <c r="K15" s="144"/>
      <c r="L15" s="144"/>
      <c r="M15" s="144"/>
      <c r="N15" s="144"/>
    </row>
    <row r="16" spans="1:15" x14ac:dyDescent="0.25">
      <c r="A16" s="107"/>
      <c r="B16" s="108"/>
      <c r="C16" s="108"/>
      <c r="D16" s="109"/>
      <c r="F16" s="143"/>
      <c r="G16" s="368"/>
      <c r="H16" s="368"/>
      <c r="I16" s="143"/>
      <c r="J16" s="143"/>
      <c r="K16" s="143"/>
      <c r="L16" s="144"/>
      <c r="M16" s="144"/>
      <c r="N16" s="144"/>
      <c r="O16" s="102"/>
    </row>
    <row r="17" spans="1:15" x14ac:dyDescent="0.25">
      <c r="A17" s="107"/>
      <c r="B17" s="108"/>
      <c r="C17" s="108"/>
      <c r="D17" s="109"/>
      <c r="F17" s="143"/>
      <c r="G17" s="368"/>
      <c r="H17" s="368"/>
      <c r="I17" s="143"/>
      <c r="J17" s="144"/>
      <c r="K17" s="144"/>
      <c r="L17" s="144"/>
      <c r="M17" s="144"/>
      <c r="N17" s="144"/>
      <c r="O17" s="103"/>
    </row>
    <row r="18" spans="1:15" x14ac:dyDescent="0.25">
      <c r="A18" s="107"/>
      <c r="B18" s="108"/>
      <c r="C18" s="108"/>
      <c r="D18" s="109"/>
      <c r="F18" s="143"/>
      <c r="G18" s="368"/>
      <c r="H18" s="368"/>
      <c r="I18" s="144"/>
      <c r="J18" s="144"/>
      <c r="K18" s="44"/>
      <c r="L18" s="44"/>
      <c r="M18" s="44"/>
      <c r="N18" s="44"/>
    </row>
    <row r="19" spans="1:15" x14ac:dyDescent="0.25">
      <c r="A19" s="107"/>
      <c r="B19" s="113"/>
      <c r="C19" s="113"/>
      <c r="D19" s="109"/>
      <c r="F19" s="143"/>
      <c r="G19" s="368"/>
      <c r="H19" s="368"/>
      <c r="I19" s="144"/>
      <c r="J19" s="144"/>
      <c r="K19" s="44"/>
      <c r="L19" s="44"/>
      <c r="M19" s="44"/>
      <c r="N19" s="44"/>
    </row>
    <row r="20" spans="1:15" x14ac:dyDescent="0.25">
      <c r="A20" s="107"/>
      <c r="B20" s="108"/>
      <c r="C20" s="108"/>
      <c r="D20" s="109"/>
      <c r="F20" s="143"/>
      <c r="G20" s="368"/>
      <c r="H20" s="368"/>
      <c r="I20" s="144"/>
      <c r="J20" s="144"/>
      <c r="K20" s="44"/>
      <c r="L20" s="44"/>
      <c r="M20" s="44"/>
      <c r="N20" s="44"/>
    </row>
    <row r="21" spans="1:15" x14ac:dyDescent="0.25">
      <c r="A21" s="107"/>
      <c r="B21" s="108"/>
      <c r="C21" s="108"/>
      <c r="D21" s="109"/>
      <c r="F21" s="143"/>
      <c r="G21" s="368"/>
      <c r="H21" s="368"/>
      <c r="I21" s="143"/>
      <c r="J21" s="44"/>
      <c r="K21" s="44"/>
      <c r="L21" s="44"/>
      <c r="M21" s="44"/>
      <c r="N21" s="44"/>
    </row>
    <row r="22" spans="1:15" x14ac:dyDescent="0.25">
      <c r="A22" s="107"/>
      <c r="B22" s="108"/>
      <c r="C22" s="108"/>
      <c r="D22" s="109"/>
      <c r="F22" s="143"/>
      <c r="G22" s="144"/>
      <c r="H22" s="144"/>
      <c r="I22" s="144"/>
      <c r="J22" s="144"/>
      <c r="K22" s="143"/>
      <c r="L22" s="145"/>
      <c r="M22" s="143"/>
      <c r="N22" s="44"/>
    </row>
    <row r="23" spans="1:15" ht="15.75" thickBot="1" x14ac:dyDescent="0.3">
      <c r="A23" s="110"/>
      <c r="B23" s="375"/>
      <c r="C23" s="376"/>
      <c r="D23" s="377"/>
      <c r="F23" s="146"/>
      <c r="G23" s="144"/>
      <c r="H23" s="144"/>
      <c r="I23" s="144"/>
      <c r="J23" s="44"/>
      <c r="K23" s="44"/>
      <c r="L23" s="44"/>
      <c r="M23" s="44"/>
      <c r="N23" s="44"/>
    </row>
    <row r="24" spans="1:15" ht="15.75" thickBot="1" x14ac:dyDescent="0.3">
      <c r="A24" s="372"/>
      <c r="B24" s="373"/>
      <c r="C24" s="373"/>
      <c r="D24" s="374"/>
      <c r="F24" s="144"/>
      <c r="G24" s="144"/>
      <c r="H24" s="144"/>
      <c r="I24" s="143"/>
      <c r="J24" s="145"/>
      <c r="K24" s="143"/>
      <c r="L24" s="144"/>
      <c r="M24" s="144"/>
      <c r="N24" s="44"/>
    </row>
    <row r="25" spans="1:15" x14ac:dyDescent="0.25">
      <c r="A25" s="104"/>
      <c r="B25" s="99"/>
      <c r="C25" s="100"/>
      <c r="D25" s="100"/>
      <c r="F25" s="143"/>
      <c r="G25" s="102"/>
      <c r="H25" s="102"/>
      <c r="I25" s="105"/>
      <c r="J25" s="102"/>
      <c r="K25" s="103"/>
      <c r="L25" s="103"/>
      <c r="M25" s="103"/>
    </row>
    <row r="26" spans="1:15" x14ac:dyDescent="0.25">
      <c r="A26" s="107"/>
      <c r="B26" s="30"/>
      <c r="C26" s="30"/>
      <c r="D26" s="109"/>
      <c r="F26" s="148"/>
      <c r="G26" s="105"/>
      <c r="H26" s="105"/>
      <c r="I26" s="102"/>
      <c r="J26" s="103"/>
      <c r="K26" s="103"/>
      <c r="L26" s="103"/>
      <c r="M26" s="103"/>
    </row>
    <row r="27" spans="1:15" x14ac:dyDescent="0.25">
      <c r="A27" s="107"/>
      <c r="B27" s="130"/>
      <c r="C27" s="130"/>
      <c r="D27" s="109"/>
      <c r="F27" s="148"/>
      <c r="G27" s="102"/>
      <c r="H27" s="102"/>
      <c r="I27" s="102"/>
      <c r="J27" s="102"/>
      <c r="K27" s="102"/>
      <c r="L27" s="102"/>
    </row>
    <row r="28" spans="1:15" x14ac:dyDescent="0.25">
      <c r="A28" s="107"/>
      <c r="B28" s="111"/>
      <c r="C28" s="111"/>
      <c r="D28" s="109"/>
      <c r="F28" s="148"/>
      <c r="G28" s="103"/>
      <c r="H28" s="103"/>
      <c r="I28" s="103"/>
      <c r="J28" s="103"/>
      <c r="K28" s="103"/>
      <c r="L28" s="103"/>
      <c r="M28" s="103"/>
    </row>
    <row r="29" spans="1:15" x14ac:dyDescent="0.25">
      <c r="A29" s="107"/>
      <c r="B29" s="111"/>
      <c r="C29" s="111"/>
      <c r="D29" s="109"/>
      <c r="F29" s="148"/>
      <c r="G29" s="103"/>
      <c r="I29" s="112"/>
    </row>
    <row r="30" spans="1:15" x14ac:dyDescent="0.25">
      <c r="A30" s="107"/>
      <c r="B30" s="113"/>
      <c r="C30" s="113"/>
      <c r="D30" s="109"/>
      <c r="F30" s="148"/>
      <c r="G30" s="103"/>
      <c r="I30" s="102"/>
    </row>
    <row r="31" spans="1:15" x14ac:dyDescent="0.25">
      <c r="A31" s="107"/>
      <c r="B31" s="130"/>
      <c r="C31" s="130"/>
      <c r="D31" s="109"/>
      <c r="F31" s="148"/>
      <c r="G31" s="103"/>
      <c r="I31" s="102"/>
    </row>
    <row r="32" spans="1:15" x14ac:dyDescent="0.25">
      <c r="A32" s="107"/>
      <c r="B32" s="111"/>
      <c r="C32" s="111"/>
      <c r="D32" s="109"/>
      <c r="F32" s="143"/>
      <c r="G32" s="103"/>
      <c r="I32" s="102"/>
    </row>
    <row r="33" spans="1:9" x14ac:dyDescent="0.25">
      <c r="A33" s="114"/>
      <c r="B33" s="111"/>
      <c r="C33" s="111"/>
      <c r="D33" s="115"/>
      <c r="F33" s="112"/>
      <c r="G33" s="103"/>
      <c r="I33" s="102"/>
    </row>
    <row r="34" spans="1:9" ht="15.75" thickBot="1" x14ac:dyDescent="0.3">
      <c r="A34" s="108"/>
      <c r="B34" s="375"/>
      <c r="C34" s="376"/>
      <c r="D34" s="377"/>
      <c r="F34" s="102"/>
      <c r="I34" s="112"/>
    </row>
    <row r="35" spans="1:9" x14ac:dyDescent="0.25">
      <c r="F35" s="102"/>
      <c r="I35" s="102"/>
    </row>
    <row r="36" spans="1:9" x14ac:dyDescent="0.25">
      <c r="F36" s="102"/>
      <c r="I36" s="102"/>
    </row>
    <row r="37" spans="1:9" x14ac:dyDescent="0.25">
      <c r="F37" s="59"/>
      <c r="I37" s="59"/>
    </row>
    <row r="38" spans="1:9" x14ac:dyDescent="0.25">
      <c r="F38" s="102"/>
      <c r="I38" s="102"/>
    </row>
    <row r="39" spans="1:9" x14ac:dyDescent="0.25">
      <c r="F39" s="102"/>
      <c r="I39" s="102"/>
    </row>
    <row r="40" spans="1:9" x14ac:dyDescent="0.25">
      <c r="F40" s="102"/>
      <c r="I40" s="112"/>
    </row>
    <row r="41" spans="1:9" x14ac:dyDescent="0.25">
      <c r="F41" s="102"/>
      <c r="I41" s="102"/>
    </row>
    <row r="42" spans="1:9" x14ac:dyDescent="0.25">
      <c r="F42" s="59"/>
      <c r="I42" s="102"/>
    </row>
    <row r="43" spans="1:9" x14ac:dyDescent="0.25">
      <c r="F43" s="59"/>
      <c r="I43" s="102"/>
    </row>
    <row r="44" spans="1:9" x14ac:dyDescent="0.25">
      <c r="F44" s="59"/>
      <c r="I44" s="102"/>
    </row>
    <row r="45" spans="1:9" x14ac:dyDescent="0.25">
      <c r="F45" s="112"/>
    </row>
    <row r="46" spans="1:9" x14ac:dyDescent="0.25">
      <c r="F46" s="102"/>
    </row>
    <row r="47" spans="1:9" x14ac:dyDescent="0.25">
      <c r="F47" s="102"/>
    </row>
    <row r="48" spans="1:9" x14ac:dyDescent="0.25">
      <c r="F48" s="102"/>
    </row>
    <row r="49" spans="6:6" x14ac:dyDescent="0.25">
      <c r="F49" s="102"/>
    </row>
    <row r="50" spans="6:6" x14ac:dyDescent="0.25">
      <c r="F50" s="102"/>
    </row>
    <row r="51" spans="6:6" x14ac:dyDescent="0.25">
      <c r="F51" s="102"/>
    </row>
    <row r="52" spans="6:6" x14ac:dyDescent="0.25">
      <c r="F52" s="112"/>
    </row>
    <row r="53" spans="6:6" x14ac:dyDescent="0.25">
      <c r="F53" s="102"/>
    </row>
    <row r="54" spans="6:6" x14ac:dyDescent="0.25">
      <c r="F54" s="102"/>
    </row>
    <row r="55" spans="6:6" x14ac:dyDescent="0.25">
      <c r="F55" s="102"/>
    </row>
    <row r="56" spans="6:6" x14ac:dyDescent="0.25">
      <c r="F56" s="59"/>
    </row>
    <row r="57" spans="6:6" x14ac:dyDescent="0.25">
      <c r="F57" s="102"/>
    </row>
    <row r="58" spans="6:6" x14ac:dyDescent="0.25">
      <c r="F58" s="102"/>
    </row>
    <row r="59" spans="6:6" x14ac:dyDescent="0.25">
      <c r="F59" s="102"/>
    </row>
    <row r="60" spans="6:6" x14ac:dyDescent="0.25">
      <c r="F60" s="102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2"/>
    </row>
    <row r="65" spans="6:6" x14ac:dyDescent="0.25">
      <c r="F65" s="102"/>
    </row>
    <row r="66" spans="6:6" x14ac:dyDescent="0.25">
      <c r="F66" s="102"/>
    </row>
    <row r="67" spans="6:6" x14ac:dyDescent="0.25">
      <c r="F67" s="102"/>
    </row>
    <row r="68" spans="6:6" x14ac:dyDescent="0.25">
      <c r="F68" s="102"/>
    </row>
    <row r="69" spans="6:6" x14ac:dyDescent="0.25">
      <c r="F69" s="102"/>
    </row>
    <row r="70" spans="6:6" x14ac:dyDescent="0.25">
      <c r="F70" s="102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A62409-071C-4646-B19B-E14317768E24}"/>
</file>

<file path=customXml/itemProps2.xml><?xml version="1.0" encoding="utf-8"?>
<ds:datastoreItem xmlns:ds="http://schemas.openxmlformats.org/officeDocument/2006/customXml" ds:itemID="{3EE33247-CE23-42F8-9E1D-778DDC1CA16A}"/>
</file>

<file path=customXml/itemProps3.xml><?xml version="1.0" encoding="utf-8"?>
<ds:datastoreItem xmlns:ds="http://schemas.openxmlformats.org/officeDocument/2006/customXml" ds:itemID="{B5780DD9-9051-4022-A0CB-7BE6EDC8F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2025-05-24T01:14:38Z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