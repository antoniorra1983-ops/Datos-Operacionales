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8FBAA2C2-FEAF-462C-A1B6-349A99102B7F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6" i="2" l="1"/>
  <c r="J227" i="2"/>
  <c r="J228" i="2"/>
  <c r="J229" i="2"/>
  <c r="J230" i="2"/>
  <c r="J225" i="2"/>
  <c r="I226" i="2"/>
  <c r="I227" i="2"/>
  <c r="I228" i="2"/>
  <c r="I229" i="2"/>
  <c r="I230" i="2"/>
  <c r="I225" i="2"/>
  <c r="AC29" i="4"/>
  <c r="Y187" i="2"/>
  <c r="X225" i="2"/>
  <c r="N221" i="2"/>
  <c r="B34" i="13" s="1"/>
  <c r="C34" i="13" s="1"/>
  <c r="D216" i="2"/>
  <c r="E216" i="2"/>
  <c r="D217" i="2"/>
  <c r="E217" i="2"/>
  <c r="D218" i="2"/>
  <c r="E218" i="2"/>
  <c r="D219" i="2"/>
  <c r="E219" i="2"/>
  <c r="D220" i="2"/>
  <c r="E220" i="2"/>
  <c r="E215" i="2"/>
  <c r="D215" i="2"/>
  <c r="G34" i="13"/>
  <c r="F34" i="13"/>
  <c r="I34" i="13"/>
  <c r="B33" i="4"/>
  <c r="B30" i="4"/>
  <c r="B28" i="4"/>
  <c r="B27" i="4"/>
  <c r="AG21" i="4"/>
  <c r="AG20" i="4"/>
  <c r="AG19" i="4"/>
  <c r="AG16" i="4"/>
  <c r="AG15" i="4"/>
  <c r="AG14" i="4"/>
  <c r="AG13" i="4"/>
  <c r="AG12" i="4"/>
  <c r="AG9" i="4"/>
  <c r="AG10" i="4"/>
  <c r="AG8" i="4"/>
  <c r="AG27" i="4" s="1"/>
  <c r="AG7" i="4"/>
  <c r="AG6" i="4"/>
  <c r="AG5" i="4"/>
  <c r="BL40" i="3"/>
  <c r="BL41" i="3"/>
  <c r="BL42" i="3"/>
  <c r="BL43" i="3"/>
  <c r="BL44" i="3"/>
  <c r="BL45" i="3"/>
  <c r="BL48" i="3"/>
  <c r="BL49" i="3"/>
  <c r="BL50" i="3"/>
  <c r="BL51" i="3"/>
  <c r="BL52" i="3"/>
  <c r="BL53" i="3"/>
  <c r="BL24" i="3"/>
  <c r="BM24" i="3"/>
  <c r="BL31" i="3"/>
  <c r="BM31" i="3"/>
  <c r="BL32" i="3"/>
  <c r="BM32" i="3"/>
  <c r="BL33" i="3"/>
  <c r="BM33" i="3"/>
  <c r="BL34" i="3"/>
  <c r="BM34" i="3"/>
  <c r="BL35" i="3"/>
  <c r="BM35" i="3"/>
  <c r="BL36" i="3"/>
  <c r="BM36" i="3"/>
  <c r="J188" i="2"/>
  <c r="J187" i="2"/>
  <c r="C221" i="2"/>
  <c r="B221" i="2"/>
  <c r="AF93" i="1"/>
  <c r="AF92" i="1"/>
  <c r="AF91" i="1"/>
  <c r="AF90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88" i="1" s="1"/>
  <c r="H29" i="4"/>
  <c r="S29" i="4"/>
  <c r="Y123" i="2"/>
  <c r="Z120" i="2"/>
  <c r="Y120" i="2" s="1"/>
  <c r="Z119" i="2"/>
  <c r="Y119" i="2" s="1"/>
  <c r="AB118" i="2"/>
  <c r="AA118" i="2"/>
  <c r="Y118" i="2" s="1"/>
  <c r="Z118" i="2"/>
  <c r="Y117" i="2"/>
  <c r="Z117" i="2"/>
  <c r="AA117" i="2"/>
  <c r="AB117" i="2"/>
  <c r="W41" i="4"/>
  <c r="J146" i="2"/>
  <c r="L146" i="2" s="1"/>
  <c r="J145" i="2"/>
  <c r="J151" i="2" s="1"/>
  <c r="M146" i="2"/>
  <c r="M147" i="2"/>
  <c r="M148" i="2"/>
  <c r="M149" i="2"/>
  <c r="M150" i="2"/>
  <c r="M145" i="2"/>
  <c r="M151" i="2" s="1"/>
  <c r="L147" i="2"/>
  <c r="L148" i="2"/>
  <c r="L149" i="2"/>
  <c r="L150" i="2"/>
  <c r="L145" i="2"/>
  <c r="K151" i="2"/>
  <c r="K150" i="2"/>
  <c r="K149" i="2"/>
  <c r="K148" i="2"/>
  <c r="K147" i="2"/>
  <c r="K146" i="2"/>
  <c r="K145" i="2"/>
  <c r="J150" i="2"/>
  <c r="J149" i="2"/>
  <c r="J148" i="2"/>
  <c r="J147" i="2"/>
  <c r="I151" i="2"/>
  <c r="I146" i="2"/>
  <c r="I147" i="2"/>
  <c r="I148" i="2"/>
  <c r="I149" i="2"/>
  <c r="I150" i="2"/>
  <c r="I145" i="2"/>
  <c r="AG29" i="4" l="1"/>
  <c r="AG28" i="4"/>
  <c r="AG33" i="4" s="1"/>
  <c r="AG30" i="4"/>
  <c r="BM37" i="3"/>
  <c r="BL37" i="3"/>
  <c r="L151" i="2"/>
  <c r="J139" i="2"/>
  <c r="J138" i="2"/>
  <c r="S30" i="4"/>
  <c r="AJ2" i="2"/>
  <c r="AJ1" i="2"/>
  <c r="C207" i="2"/>
  <c r="B207" i="2"/>
  <c r="C200" i="2"/>
  <c r="B200" i="2"/>
  <c r="C193" i="2"/>
  <c r="B193" i="2"/>
  <c r="C186" i="2"/>
  <c r="B186" i="2"/>
  <c r="C179" i="2"/>
  <c r="B179" i="2"/>
  <c r="Y20" i="4"/>
  <c r="C172" i="2"/>
  <c r="B172" i="2"/>
  <c r="C165" i="2"/>
  <c r="B165" i="2"/>
  <c r="C158" i="2"/>
  <c r="B158" i="2"/>
  <c r="AG34" i="4" l="1"/>
  <c r="B29" i="4"/>
  <c r="AG31" i="4"/>
  <c r="AG32" i="4"/>
  <c r="AT24" i="3"/>
  <c r="C151" i="2"/>
  <c r="B151" i="2"/>
  <c r="H150" i="2" l="1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S93" i="1"/>
  <c r="T93" i="1"/>
  <c r="T92" i="1"/>
  <c r="S92" i="1"/>
  <c r="S90" i="1"/>
  <c r="T90" i="1"/>
  <c r="C144" i="2"/>
  <c r="B144" i="2"/>
  <c r="C137" i="2"/>
  <c r="B137" i="2"/>
  <c r="C130" i="2"/>
  <c r="B130" i="2"/>
  <c r="C123" i="2"/>
  <c r="B123" i="2"/>
  <c r="C116" i="2"/>
  <c r="B116" i="2"/>
  <c r="C88" i="2"/>
  <c r="B88" i="2"/>
  <c r="C81" i="2"/>
  <c r="B81" i="2"/>
  <c r="C109" i="2"/>
  <c r="B109" i="2"/>
  <c r="C102" i="2"/>
  <c r="B102" i="2"/>
  <c r="C95" i="2"/>
  <c r="B95" i="2"/>
  <c r="H89" i="2"/>
  <c r="H90" i="2"/>
  <c r="H91" i="2"/>
  <c r="H92" i="2"/>
  <c r="H93" i="2"/>
  <c r="H94" i="2"/>
  <c r="H96" i="2"/>
  <c r="H97" i="2"/>
  <c r="H98" i="2"/>
  <c r="H99" i="2"/>
  <c r="H100" i="2"/>
  <c r="H101" i="2"/>
  <c r="B74" i="2"/>
  <c r="C74" i="2"/>
  <c r="H151" i="2" l="1"/>
  <c r="X151" i="2"/>
  <c r="H95" i="2"/>
  <c r="H102" i="2"/>
  <c r="H85" i="1"/>
  <c r="H86" i="1"/>
  <c r="E51" i="1" l="1"/>
  <c r="C53" i="2"/>
  <c r="B53" i="2"/>
  <c r="C46" i="2"/>
  <c r="B46" i="2"/>
  <c r="C39" i="2"/>
  <c r="B39" i="2"/>
  <c r="C32" i="2"/>
  <c r="B32" i="2"/>
  <c r="S86" i="1"/>
  <c r="K86" i="1"/>
  <c r="I86" i="1"/>
  <c r="J92" i="1"/>
  <c r="K92" i="1"/>
  <c r="T75" i="1"/>
  <c r="S75" i="1"/>
  <c r="N21" i="4"/>
  <c r="H91" i="1"/>
  <c r="F86" i="1"/>
  <c r="F85" i="1"/>
  <c r="G86" i="1"/>
  <c r="G90" i="1"/>
  <c r="G91" i="1"/>
  <c r="G92" i="1"/>
  <c r="G93" i="1"/>
  <c r="F90" i="1"/>
  <c r="F91" i="1"/>
  <c r="F92" i="1"/>
  <c r="F93" i="1"/>
  <c r="C11" i="2" l="1"/>
  <c r="B11" i="2"/>
  <c r="AE93" i="1"/>
  <c r="AE91" i="1"/>
  <c r="AC93" i="1"/>
  <c r="AC92" i="1"/>
  <c r="AC90" i="1"/>
  <c r="AC9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B86" i="1"/>
  <c r="AB93" i="1"/>
  <c r="AB92" i="1"/>
  <c r="AB91" i="1"/>
  <c r="AB90" i="1"/>
  <c r="AA86" i="1"/>
  <c r="Z93" i="1"/>
  <c r="AA93" i="1"/>
  <c r="AA92" i="1"/>
  <c r="Z91" i="1"/>
  <c r="AA91" i="1"/>
  <c r="Z92" i="1"/>
  <c r="AA90" i="1"/>
  <c r="Z90" i="1"/>
  <c r="Z86" i="1"/>
  <c r="H220" i="2"/>
  <c r="X220" i="2" s="1"/>
  <c r="H219" i="2"/>
  <c r="X219" i="2" s="1"/>
  <c r="H218" i="2"/>
  <c r="X218" i="2" s="1"/>
  <c r="H217" i="2"/>
  <c r="X217" i="2" s="1"/>
  <c r="H216" i="2"/>
  <c r="X216" i="2" s="1"/>
  <c r="H215" i="2"/>
  <c r="X215" i="2" s="1"/>
  <c r="AS24" i="3"/>
  <c r="AR24" i="3"/>
  <c r="AO24" i="3"/>
  <c r="AN24" i="3"/>
  <c r="AM24" i="3"/>
  <c r="AL24" i="3"/>
  <c r="AK24" i="3"/>
  <c r="AJ24" i="3"/>
  <c r="AI24" i="3"/>
  <c r="AH24" i="3"/>
  <c r="J86" i="1"/>
  <c r="H221" i="2" l="1"/>
  <c r="X221" i="2"/>
  <c r="B88" i="1"/>
  <c r="C60" i="2"/>
  <c r="B60" i="2"/>
  <c r="C67" i="2" l="1"/>
  <c r="B67" i="2"/>
  <c r="E93" i="1"/>
  <c r="E92" i="1"/>
  <c r="E86" i="1"/>
  <c r="E91" i="1"/>
  <c r="E90" i="1"/>
  <c r="D90" i="1"/>
  <c r="D91" i="1"/>
  <c r="D86" i="1"/>
  <c r="D92" i="1"/>
  <c r="C90" i="1"/>
  <c r="C91" i="1"/>
  <c r="C86" i="1"/>
  <c r="C92" i="1"/>
  <c r="D93" i="1"/>
  <c r="C93" i="1"/>
  <c r="N11" i="2"/>
  <c r="AF21" i="4"/>
  <c r="AF20" i="4"/>
  <c r="AF19" i="4"/>
  <c r="AE21" i="4"/>
  <c r="AE20" i="4"/>
  <c r="AE19" i="4"/>
  <c r="BJ24" i="3"/>
  <c r="BK24" i="3"/>
  <c r="AE90" i="1"/>
  <c r="AE86" i="1"/>
  <c r="AE92" i="1"/>
  <c r="I215" i="2" l="1"/>
  <c r="G215" i="2"/>
  <c r="D221" i="2"/>
  <c r="G216" i="2"/>
  <c r="J216" i="2" s="1"/>
  <c r="I216" i="2"/>
  <c r="I217" i="2"/>
  <c r="G217" i="2"/>
  <c r="J217" i="2" s="1"/>
  <c r="E221" i="2"/>
  <c r="G218" i="2"/>
  <c r="J218" i="2" s="1"/>
  <c r="I218" i="2"/>
  <c r="I219" i="2"/>
  <c r="G219" i="2"/>
  <c r="J219" i="2" s="1"/>
  <c r="I220" i="2"/>
  <c r="G220" i="2"/>
  <c r="J220" i="2" s="1"/>
  <c r="BI24" i="3"/>
  <c r="BH24" i="3"/>
  <c r="BG24" i="3"/>
  <c r="BF24" i="3"/>
  <c r="H34" i="13" l="1"/>
  <c r="L216" i="2"/>
  <c r="W216" i="2"/>
  <c r="L220" i="2"/>
  <c r="W220" i="2"/>
  <c r="M220" i="2"/>
  <c r="K220" i="2"/>
  <c r="M215" i="2"/>
  <c r="K215" i="2"/>
  <c r="L218" i="2"/>
  <c r="W218" i="2"/>
  <c r="L217" i="2"/>
  <c r="W217" i="2"/>
  <c r="I221" i="2"/>
  <c r="M217" i="2"/>
  <c r="K217" i="2"/>
  <c r="G221" i="2"/>
  <c r="J215" i="2"/>
  <c r="W219" i="2"/>
  <c r="L219" i="2"/>
  <c r="M219" i="2"/>
  <c r="K219" i="2"/>
  <c r="M218" i="2"/>
  <c r="K218" i="2"/>
  <c r="M216" i="2"/>
  <c r="K216" i="2"/>
  <c r="BE24" i="3"/>
  <c r="BD24" i="3"/>
  <c r="BC24" i="3"/>
  <c r="BB24" i="3"/>
  <c r="BA24" i="3"/>
  <c r="AZ24" i="3"/>
  <c r="AY24" i="3"/>
  <c r="AX24" i="3"/>
  <c r="K90" i="1"/>
  <c r="R90" i="1"/>
  <c r="W90" i="1"/>
  <c r="AW24" i="3"/>
  <c r="AV24" i="3"/>
  <c r="AU24" i="3"/>
  <c r="W91" i="1"/>
  <c r="V91" i="1"/>
  <c r="U91" i="1"/>
  <c r="T91" i="1"/>
  <c r="S91" i="1"/>
  <c r="R91" i="1"/>
  <c r="Q91" i="1"/>
  <c r="W86" i="1"/>
  <c r="V86" i="1"/>
  <c r="U86" i="1"/>
  <c r="T86" i="1"/>
  <c r="R86" i="1"/>
  <c r="Q86" i="1"/>
  <c r="W92" i="1"/>
  <c r="V92" i="1"/>
  <c r="U92" i="1"/>
  <c r="R92" i="1"/>
  <c r="Q92" i="1"/>
  <c r="W93" i="1"/>
  <c r="V93" i="1"/>
  <c r="U93" i="1"/>
  <c r="R93" i="1"/>
  <c r="AP24" i="3"/>
  <c r="AQ24" i="3"/>
  <c r="R21" i="4"/>
  <c r="AG24" i="3"/>
  <c r="AF24" i="3"/>
  <c r="AE24" i="3"/>
  <c r="AD24" i="3"/>
  <c r="O20" i="4"/>
  <c r="AC24" i="3"/>
  <c r="AB24" i="3"/>
  <c r="AA24" i="3"/>
  <c r="Z24" i="3"/>
  <c r="Y24" i="3"/>
  <c r="X24" i="3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W24" i="3"/>
  <c r="V24" i="3"/>
  <c r="I90" i="1"/>
  <c r="I92" i="1"/>
  <c r="I93" i="1"/>
  <c r="J93" i="1"/>
  <c r="K93" i="1"/>
  <c r="AD93" i="1"/>
  <c r="Y93" i="1"/>
  <c r="X93" i="1"/>
  <c r="Q93" i="1"/>
  <c r="P93" i="1"/>
  <c r="O93" i="1"/>
  <c r="N93" i="1"/>
  <c r="M93" i="1"/>
  <c r="L93" i="1"/>
  <c r="H93" i="1"/>
  <c r="AD92" i="1"/>
  <c r="Y92" i="1"/>
  <c r="X92" i="1"/>
  <c r="P92" i="1"/>
  <c r="O92" i="1"/>
  <c r="N92" i="1"/>
  <c r="M92" i="1"/>
  <c r="L92" i="1"/>
  <c r="H92" i="1"/>
  <c r="T24" i="3"/>
  <c r="U24" i="3"/>
  <c r="R24" i="3"/>
  <c r="S24" i="3"/>
  <c r="P24" i="3"/>
  <c r="Q24" i="3"/>
  <c r="N24" i="3"/>
  <c r="O24" i="3"/>
  <c r="M24" i="3"/>
  <c r="L24" i="3"/>
  <c r="K24" i="3"/>
  <c r="J24" i="3"/>
  <c r="I24" i="3"/>
  <c r="H24" i="3"/>
  <c r="G24" i="3"/>
  <c r="F24" i="3"/>
  <c r="E24" i="3"/>
  <c r="D24" i="3"/>
  <c r="C25" i="2"/>
  <c r="B25" i="2"/>
  <c r="C18" i="2"/>
  <c r="B18" i="2"/>
  <c r="K221" i="2" l="1"/>
  <c r="M221" i="2"/>
  <c r="L215" i="2"/>
  <c r="L221" i="2" s="1"/>
  <c r="J221" i="2"/>
  <c r="C214" i="2"/>
  <c r="B214" i="2"/>
  <c r="G32" i="13"/>
  <c r="G33" i="13" l="1"/>
  <c r="AD90" i="1"/>
  <c r="AD91" i="1"/>
  <c r="AD86" i="1"/>
  <c r="X91" i="1"/>
  <c r="X86" i="1"/>
  <c r="Y91" i="1"/>
  <c r="Y86" i="1"/>
  <c r="J90" i="1"/>
  <c r="L90" i="1"/>
  <c r="M90" i="1"/>
  <c r="N90" i="1"/>
  <c r="O90" i="1"/>
  <c r="P90" i="1"/>
  <c r="Q90" i="1"/>
  <c r="U90" i="1"/>
  <c r="V90" i="1"/>
  <c r="X90" i="1"/>
  <c r="Y90" i="1"/>
  <c r="L86" i="1"/>
  <c r="M86" i="1"/>
  <c r="N86" i="1"/>
  <c r="O86" i="1"/>
  <c r="P86" i="1"/>
  <c r="V20" i="4"/>
  <c r="H90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BJ53" i="3"/>
  <c r="AF16" i="4" s="1"/>
  <c r="BJ52" i="3"/>
  <c r="BJ51" i="3"/>
  <c r="AF15" i="4" s="1"/>
  <c r="BJ50" i="3"/>
  <c r="AF14" i="4" s="1"/>
  <c r="BJ49" i="3"/>
  <c r="AF13" i="4" s="1"/>
  <c r="BJ48" i="3"/>
  <c r="AF12" i="4" s="1"/>
  <c r="BJ45" i="3"/>
  <c r="AF10" i="4" s="1"/>
  <c r="BJ44" i="3"/>
  <c r="AF9" i="4" s="1"/>
  <c r="BJ43" i="3"/>
  <c r="AF8" i="4" s="1"/>
  <c r="BJ42" i="3"/>
  <c r="AF7" i="4" s="1"/>
  <c r="BJ41" i="3"/>
  <c r="AF6" i="4" s="1"/>
  <c r="BJ40" i="3"/>
  <c r="AF5" i="4" s="1"/>
  <c r="BK36" i="3"/>
  <c r="E213" i="2" s="1"/>
  <c r="BJ36" i="3"/>
  <c r="D213" i="2" s="1"/>
  <c r="BK35" i="3"/>
  <c r="E212" i="2" s="1"/>
  <c r="BJ35" i="3"/>
  <c r="D212" i="2" s="1"/>
  <c r="BK34" i="3"/>
  <c r="E211" i="2" s="1"/>
  <c r="BJ34" i="3"/>
  <c r="D211" i="2" s="1"/>
  <c r="BK33" i="3"/>
  <c r="E210" i="2" s="1"/>
  <c r="BJ33" i="3"/>
  <c r="D210" i="2" s="1"/>
  <c r="BK32" i="3"/>
  <c r="E209" i="2" s="1"/>
  <c r="BJ32" i="3"/>
  <c r="D209" i="2" s="1"/>
  <c r="BK31" i="3"/>
  <c r="E208" i="2" s="1"/>
  <c r="BJ31" i="3"/>
  <c r="D208" i="2" s="1"/>
  <c r="BH53" i="3"/>
  <c r="AE16" i="4" s="1"/>
  <c r="BH52" i="3"/>
  <c r="BH51" i="3"/>
  <c r="AE15" i="4" s="1"/>
  <c r="BH50" i="3"/>
  <c r="AE14" i="4" s="1"/>
  <c r="BH49" i="3"/>
  <c r="AE13" i="4" s="1"/>
  <c r="BH48" i="3"/>
  <c r="AE12" i="4" s="1"/>
  <c r="BH45" i="3"/>
  <c r="AE10" i="4" s="1"/>
  <c r="BH44" i="3"/>
  <c r="AE9" i="4" s="1"/>
  <c r="BH43" i="3"/>
  <c r="AE8" i="4" s="1"/>
  <c r="BH42" i="3"/>
  <c r="AE7" i="4" s="1"/>
  <c r="BH41" i="3"/>
  <c r="AE6" i="4" s="1"/>
  <c r="BH40" i="3"/>
  <c r="AE5" i="4" s="1"/>
  <c r="BI36" i="3"/>
  <c r="E206" i="2" s="1"/>
  <c r="BH36" i="3"/>
  <c r="D206" i="2" s="1"/>
  <c r="BI35" i="3"/>
  <c r="E205" i="2" s="1"/>
  <c r="BH35" i="3"/>
  <c r="D205" i="2" s="1"/>
  <c r="BI34" i="3"/>
  <c r="E204" i="2" s="1"/>
  <c r="BH34" i="3"/>
  <c r="D204" i="2" s="1"/>
  <c r="BI33" i="3"/>
  <c r="E203" i="2" s="1"/>
  <c r="BH33" i="3"/>
  <c r="D203" i="2" s="1"/>
  <c r="BI32" i="3"/>
  <c r="E202" i="2" s="1"/>
  <c r="BH32" i="3"/>
  <c r="D202" i="2" s="1"/>
  <c r="BI31" i="3"/>
  <c r="E201" i="2" s="1"/>
  <c r="BH31" i="3"/>
  <c r="D201" i="2" s="1"/>
  <c r="AE88" i="1" l="1"/>
  <c r="N214" i="2" s="1"/>
  <c r="B33" i="13" s="1"/>
  <c r="AD88" i="1"/>
  <c r="N207" i="2" s="1"/>
  <c r="B32" i="13" s="1"/>
  <c r="I208" i="2"/>
  <c r="K208" i="2" s="1"/>
  <c r="I211" i="2"/>
  <c r="K211" i="2" s="1"/>
  <c r="I209" i="2"/>
  <c r="I210" i="2"/>
  <c r="I212" i="2"/>
  <c r="I213" i="2"/>
  <c r="E214" i="2"/>
  <c r="AF30" i="4"/>
  <c r="D207" i="2"/>
  <c r="E207" i="2"/>
  <c r="AF27" i="4"/>
  <c r="AF28" i="4"/>
  <c r="AF33" i="4" s="1"/>
  <c r="BI37" i="3"/>
  <c r="BK37" i="3"/>
  <c r="AE28" i="4"/>
  <c r="AE33" i="4" s="1"/>
  <c r="BH37" i="3"/>
  <c r="BJ37" i="3"/>
  <c r="AE30" i="4"/>
  <c r="AE27" i="4"/>
  <c r="H206" i="2"/>
  <c r="X206" i="2" s="1"/>
  <c r="H205" i="2"/>
  <c r="X205" i="2" s="1"/>
  <c r="H204" i="2"/>
  <c r="X204" i="2" s="1"/>
  <c r="H203" i="2"/>
  <c r="X203" i="2" s="1"/>
  <c r="H202" i="2"/>
  <c r="X202" i="2" s="1"/>
  <c r="H201" i="2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E22" i="4"/>
  <c r="M208" i="2" l="1"/>
  <c r="M211" i="2"/>
  <c r="X201" i="2"/>
  <c r="X207" i="2" s="1"/>
  <c r="H207" i="2"/>
  <c r="H32" i="13"/>
  <c r="K210" i="2"/>
  <c r="M210" i="2"/>
  <c r="M209" i="2"/>
  <c r="K209" i="2"/>
  <c r="I214" i="2"/>
  <c r="K213" i="2"/>
  <c r="M213" i="2"/>
  <c r="M212" i="2"/>
  <c r="K212" i="2"/>
  <c r="X208" i="2"/>
  <c r="X214" i="2" s="1"/>
  <c r="H214" i="2"/>
  <c r="I205" i="2"/>
  <c r="M205" i="2" s="1"/>
  <c r="I202" i="2"/>
  <c r="M202" i="2" s="1"/>
  <c r="I206" i="2"/>
  <c r="K206" i="2" s="1"/>
  <c r="G204" i="2"/>
  <c r="J204" i="2" s="1"/>
  <c r="I203" i="2"/>
  <c r="K203" i="2" s="1"/>
  <c r="G212" i="2"/>
  <c r="J212" i="2" s="1"/>
  <c r="L212" i="2" s="1"/>
  <c r="I201" i="2"/>
  <c r="I204" i="2"/>
  <c r="K204" i="2" s="1"/>
  <c r="G203" i="2"/>
  <c r="J203" i="2" s="1"/>
  <c r="G202" i="2"/>
  <c r="J202" i="2" s="1"/>
  <c r="G201" i="2"/>
  <c r="G206" i="2"/>
  <c r="J206" i="2" s="1"/>
  <c r="G205" i="2"/>
  <c r="J205" i="2" s="1"/>
  <c r="G211" i="2"/>
  <c r="J211" i="2" s="1"/>
  <c r="L211" i="2" s="1"/>
  <c r="G210" i="2"/>
  <c r="J210" i="2" s="1"/>
  <c r="L210" i="2" s="1"/>
  <c r="G213" i="2"/>
  <c r="J213" i="2" s="1"/>
  <c r="L213" i="2" s="1"/>
  <c r="M214" i="2" l="1"/>
  <c r="K214" i="2"/>
  <c r="W210" i="2"/>
  <c r="L204" i="2"/>
  <c r="W204" i="2"/>
  <c r="L206" i="2"/>
  <c r="W206" i="2"/>
  <c r="J201" i="2"/>
  <c r="G207" i="2"/>
  <c r="L203" i="2"/>
  <c r="W203" i="2"/>
  <c r="L205" i="2"/>
  <c r="W205" i="2"/>
  <c r="L202" i="2"/>
  <c r="W202" i="2"/>
  <c r="W211" i="2"/>
  <c r="M201" i="2"/>
  <c r="I207" i="2"/>
  <c r="W212" i="2"/>
  <c r="K201" i="2"/>
  <c r="M206" i="2"/>
  <c r="K202" i="2"/>
  <c r="K205" i="2"/>
  <c r="M204" i="2"/>
  <c r="M203" i="2"/>
  <c r="X21" i="4"/>
  <c r="C21" i="4"/>
  <c r="M207" i="2" l="1"/>
  <c r="L201" i="2"/>
  <c r="L207" i="2" s="1"/>
  <c r="J207" i="2"/>
  <c r="K207" i="2"/>
  <c r="W213" i="2"/>
  <c r="G22" i="4"/>
  <c r="C22" i="4"/>
  <c r="D22" i="4"/>
  <c r="F22" i="4"/>
  <c r="U52" i="1" l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8" i="1" l="1"/>
  <c r="N144" i="2" s="1"/>
  <c r="C230" i="2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8" i="1" l="1"/>
  <c r="N102" i="2" s="1"/>
  <c r="P88" i="1"/>
  <c r="N109" i="2" s="1"/>
  <c r="T225" i="2"/>
  <c r="AB2" i="2" l="1"/>
  <c r="AD20" i="4" l="1"/>
  <c r="AC20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W201" i="2" l="1"/>
  <c r="W207" i="2" s="1"/>
  <c r="O207" i="2" s="1"/>
  <c r="F32" i="13" s="1"/>
  <c r="W215" i="2"/>
  <c r="W221" i="2" s="1"/>
  <c r="W225" i="2" s="1"/>
  <c r="H59" i="2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X101" i="2"/>
  <c r="X100" i="2"/>
  <c r="X99" i="2"/>
  <c r="X97" i="2"/>
  <c r="X96" i="2"/>
  <c r="X94" i="2"/>
  <c r="X93" i="2"/>
  <c r="X92" i="2"/>
  <c r="X91" i="2"/>
  <c r="X90" i="2"/>
  <c r="X89" i="2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O221" i="2" l="1"/>
  <c r="D34" i="13"/>
  <c r="E34" i="13" s="1"/>
  <c r="H123" i="2"/>
  <c r="X117" i="2"/>
  <c r="X123" i="2" s="1"/>
  <c r="D32" i="13"/>
  <c r="H200" i="2"/>
  <c r="H172" i="2"/>
  <c r="X187" i="2"/>
  <c r="X193" i="2" s="1"/>
  <c r="H193" i="2"/>
  <c r="X180" i="2"/>
  <c r="X186" i="2" s="1"/>
  <c r="H186" i="2"/>
  <c r="X173" i="2"/>
  <c r="X179" i="2" s="1"/>
  <c r="H179" i="2"/>
  <c r="H165" i="2"/>
  <c r="H158" i="2"/>
  <c r="H109" i="2"/>
  <c r="X5" i="2"/>
  <c r="X11" i="2" s="1"/>
  <c r="H11" i="2"/>
  <c r="X159" i="2"/>
  <c r="X165" i="2" s="1"/>
  <c r="X130" i="2"/>
  <c r="H88" i="2"/>
  <c r="X144" i="2"/>
  <c r="H67" i="2"/>
  <c r="H74" i="2"/>
  <c r="X39" i="2"/>
  <c r="X46" i="2"/>
  <c r="X53" i="2"/>
  <c r="X18" i="2"/>
  <c r="X116" i="2"/>
  <c r="X74" i="2"/>
  <c r="H18" i="2"/>
  <c r="X152" i="2"/>
  <c r="X158" i="2" s="1"/>
  <c r="H46" i="2"/>
  <c r="H137" i="2"/>
  <c r="X98" i="2"/>
  <c r="X102" i="2" s="1"/>
  <c r="H53" i="2"/>
  <c r="X166" i="2"/>
  <c r="X172" i="2" s="1"/>
  <c r="X85" i="2"/>
  <c r="X88" i="2" s="1"/>
  <c r="X32" i="2"/>
  <c r="H60" i="2"/>
  <c r="H39" i="2"/>
  <c r="H130" i="2"/>
  <c r="X103" i="2"/>
  <c r="X109" i="2" s="1"/>
  <c r="H144" i="2"/>
  <c r="H25" i="2"/>
  <c r="H81" i="2"/>
  <c r="X77" i="2"/>
  <c r="X81" i="2" s="1"/>
  <c r="H116" i="2"/>
  <c r="X22" i="2"/>
  <c r="X25" i="2" s="1"/>
  <c r="X95" i="2"/>
  <c r="X67" i="2"/>
  <c r="H32" i="2"/>
  <c r="X135" i="2"/>
  <c r="X137" i="2" s="1"/>
  <c r="X194" i="2"/>
  <c r="X200" i="2" s="1"/>
  <c r="X60" i="2"/>
  <c r="Y19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85" i="1" l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88" i="1" l="1"/>
  <c r="N123" i="2" s="1"/>
  <c r="P40" i="3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W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W49" i="2" s="1"/>
  <c r="E19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L50" i="2" l="1"/>
  <c r="L49" i="2"/>
  <c r="H10" i="13"/>
  <c r="M50" i="2"/>
  <c r="K47" i="2"/>
  <c r="M47" i="2"/>
  <c r="I53" i="2"/>
  <c r="K48" i="2"/>
  <c r="M48" i="2"/>
  <c r="G53" i="2"/>
  <c r="K52" i="2"/>
  <c r="M52" i="2"/>
  <c r="L47" i="2"/>
  <c r="J53" i="2"/>
  <c r="K51" i="2"/>
  <c r="M51" i="2"/>
  <c r="M49" i="2"/>
  <c r="K49" i="2"/>
  <c r="L53" i="2" l="1"/>
  <c r="M53" i="2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AY33" i="3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E168" i="2" l="1"/>
  <c r="E172" i="2" s="1"/>
  <c r="AY37" i="3"/>
  <c r="D168" i="2"/>
  <c r="D172" i="2" s="1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AV37" i="3"/>
  <c r="D161" i="2"/>
  <c r="E159" i="2"/>
  <c r="D159" i="2"/>
  <c r="D165" i="2" l="1"/>
  <c r="E165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H26" i="13" l="1"/>
  <c r="E152" i="2"/>
  <c r="E158" i="2" s="1"/>
  <c r="AU37" i="3"/>
  <c r="D152" i="2"/>
  <c r="D158" i="2" s="1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G148" i="2" l="1"/>
  <c r="G150" i="2"/>
  <c r="D151" i="2"/>
  <c r="G145" i="2"/>
  <c r="G147" i="2"/>
  <c r="E151" i="2"/>
  <c r="G146" i="2"/>
  <c r="G149" i="2"/>
  <c r="AN48" i="3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G151" i="2" l="1"/>
  <c r="AB48" i="3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D90" i="2" s="1"/>
  <c r="AC32" i="3"/>
  <c r="E90" i="2" s="1"/>
  <c r="AB33" i="3"/>
  <c r="D91" i="2" s="1"/>
  <c r="AC33" i="3"/>
  <c r="E91" i="2" s="1"/>
  <c r="AB34" i="3"/>
  <c r="D92" i="2" s="1"/>
  <c r="AC34" i="3"/>
  <c r="E92" i="2" s="1"/>
  <c r="AB35" i="3"/>
  <c r="D93" i="2" s="1"/>
  <c r="AC35" i="3"/>
  <c r="E93" i="2" s="1"/>
  <c r="AB36" i="3"/>
  <c r="D94" i="2" s="1"/>
  <c r="AC36" i="3"/>
  <c r="E94" i="2" s="1"/>
  <c r="G94" i="2" l="1"/>
  <c r="J94" i="2" s="1"/>
  <c r="L94" i="2" s="1"/>
  <c r="I94" i="2"/>
  <c r="G92" i="2"/>
  <c r="J92" i="2" s="1"/>
  <c r="L92" i="2" s="1"/>
  <c r="I92" i="2"/>
  <c r="G90" i="2"/>
  <c r="J90" i="2" s="1"/>
  <c r="L90" i="2" s="1"/>
  <c r="I90" i="2"/>
  <c r="I89" i="2"/>
  <c r="G89" i="2"/>
  <c r="J89" i="2" s="1"/>
  <c r="L89" i="2" s="1"/>
  <c r="I93" i="2"/>
  <c r="G93" i="2"/>
  <c r="J93" i="2" s="1"/>
  <c r="L93" i="2" s="1"/>
  <c r="E95" i="2"/>
  <c r="G91" i="2"/>
  <c r="D95" i="2"/>
  <c r="I91" i="2"/>
  <c r="Z48" i="3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K90" i="2" l="1"/>
  <c r="M90" i="2"/>
  <c r="M92" i="2"/>
  <c r="K92" i="2"/>
  <c r="M94" i="2"/>
  <c r="K94" i="2"/>
  <c r="K89" i="2"/>
  <c r="M89" i="2"/>
  <c r="J91" i="2"/>
  <c r="G95" i="2"/>
  <c r="M91" i="2"/>
  <c r="K91" i="2"/>
  <c r="I95" i="2"/>
  <c r="K93" i="2"/>
  <c r="M93" i="2"/>
  <c r="X48" i="3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K95" i="2" l="1"/>
  <c r="M95" i="2"/>
  <c r="L91" i="2"/>
  <c r="L95" i="2" s="1"/>
  <c r="J95" i="2"/>
  <c r="E76" i="2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D48" i="3" l="1"/>
  <c r="BD49" i="3"/>
  <c r="BD50" i="3"/>
  <c r="BD51" i="3"/>
  <c r="BD52" i="3"/>
  <c r="D214" i="2" s="1"/>
  <c r="H33" i="13" s="1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G209" i="2" l="1"/>
  <c r="J209" i="2" s="1"/>
  <c r="L209" i="2" s="1"/>
  <c r="G208" i="2"/>
  <c r="J208" i="2" s="1"/>
  <c r="BE37" i="3"/>
  <c r="BD37" i="3"/>
  <c r="U12" i="4"/>
  <c r="U13" i="4"/>
  <c r="U14" i="4"/>
  <c r="U15" i="4"/>
  <c r="U16" i="4"/>
  <c r="L208" i="2" l="1"/>
  <c r="L214" i="2" s="1"/>
  <c r="J214" i="2"/>
  <c r="G214" i="2"/>
  <c r="W209" i="2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W208" i="2" l="1"/>
  <c r="W214" i="2" s="1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O214" i="2" l="1"/>
  <c r="D33" i="13"/>
  <c r="S37" i="3"/>
  <c r="R37" i="3"/>
  <c r="G20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E192" i="2" l="1"/>
  <c r="D192" i="2"/>
  <c r="E191" i="2"/>
  <c r="D191" i="2"/>
  <c r="E190" i="2"/>
  <c r="D190" i="2"/>
  <c r="E189" i="2"/>
  <c r="D189" i="2"/>
  <c r="BF33" i="3"/>
  <c r="E188" i="2"/>
  <c r="D188" i="2"/>
  <c r="E187" i="2"/>
  <c r="D187" i="2"/>
  <c r="D193" i="2" l="1"/>
  <c r="E193" i="2"/>
  <c r="D196" i="2"/>
  <c r="I191" i="2"/>
  <c r="G191" i="2"/>
  <c r="J191" i="2" s="1"/>
  <c r="L191" i="2" s="1"/>
  <c r="I188" i="2"/>
  <c r="G188" i="2"/>
  <c r="I192" i="2"/>
  <c r="G192" i="2"/>
  <c r="J192" i="2" s="1"/>
  <c r="L192" i="2" s="1"/>
  <c r="G189" i="2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BB33" i="3"/>
  <c r="BC32" i="3"/>
  <c r="BB32" i="3"/>
  <c r="I193" i="2" l="1"/>
  <c r="E182" i="2"/>
  <c r="BC37" i="3"/>
  <c r="D182" i="2"/>
  <c r="BB37" i="3"/>
  <c r="J189" i="2"/>
  <c r="G193" i="2"/>
  <c r="H30" i="13"/>
  <c r="L188" i="2"/>
  <c r="W188" i="2"/>
  <c r="D181" i="2"/>
  <c r="E181" i="2"/>
  <c r="G183" i="2"/>
  <c r="J183" i="2" s="1"/>
  <c r="I183" i="2"/>
  <c r="I184" i="2"/>
  <c r="G184" i="2"/>
  <c r="J184" i="2" s="1"/>
  <c r="I185" i="2"/>
  <c r="G185" i="2"/>
  <c r="J185" i="2" s="1"/>
  <c r="W187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AZ33" i="3"/>
  <c r="BA32" i="3"/>
  <c r="E174" i="2" s="1"/>
  <c r="AZ32" i="3"/>
  <c r="D174" i="2" s="1"/>
  <c r="BA31" i="3"/>
  <c r="AZ31" i="3"/>
  <c r="I182" i="2" l="1"/>
  <c r="M182" i="2" s="1"/>
  <c r="G182" i="2"/>
  <c r="J182" i="2" s="1"/>
  <c r="W182" i="2" s="1"/>
  <c r="D186" i="2"/>
  <c r="E186" i="2"/>
  <c r="L189" i="2"/>
  <c r="J193" i="2"/>
  <c r="M193" i="2"/>
  <c r="K193" i="2"/>
  <c r="D175" i="2"/>
  <c r="AZ37" i="3"/>
  <c r="E175" i="2"/>
  <c r="BA37" i="3"/>
  <c r="L183" i="2"/>
  <c r="W183" i="2"/>
  <c r="M185" i="2"/>
  <c r="K185" i="2"/>
  <c r="M184" i="2"/>
  <c r="K184" i="2"/>
  <c r="K183" i="2"/>
  <c r="M183" i="2"/>
  <c r="I181" i="2"/>
  <c r="G181" i="2"/>
  <c r="L184" i="2"/>
  <c r="W184" i="2"/>
  <c r="L185" i="2"/>
  <c r="W185" i="2"/>
  <c r="D173" i="2"/>
  <c r="E173" i="2"/>
  <c r="L187" i="2"/>
  <c r="G174" i="2"/>
  <c r="J174" i="2" s="1"/>
  <c r="L174" i="2" s="1"/>
  <c r="I174" i="2"/>
  <c r="I176" i="2"/>
  <c r="G176" i="2"/>
  <c r="J176" i="2" s="1"/>
  <c r="L176" i="2" s="1"/>
  <c r="I177" i="2"/>
  <c r="G177" i="2"/>
  <c r="J177" i="2" s="1"/>
  <c r="L177" i="2" s="1"/>
  <c r="I178" i="2"/>
  <c r="G178" i="2"/>
  <c r="J178" i="2" s="1"/>
  <c r="L178" i="2" s="1"/>
  <c r="D179" i="2" l="1"/>
  <c r="K182" i="2"/>
  <c r="I186" i="2"/>
  <c r="G186" i="2"/>
  <c r="H29" i="13"/>
  <c r="L182" i="2"/>
  <c r="E179" i="2"/>
  <c r="L193" i="2"/>
  <c r="G175" i="2"/>
  <c r="I175" i="2"/>
  <c r="K175" i="2" s="1"/>
  <c r="G173" i="2"/>
  <c r="I173" i="2"/>
  <c r="M173" i="2" s="1"/>
  <c r="M181" i="2"/>
  <c r="M186" i="2" s="1"/>
  <c r="K181" i="2"/>
  <c r="J181" i="2"/>
  <c r="W181" i="2" s="1"/>
  <c r="W186" i="2" s="1"/>
  <c r="M176" i="2"/>
  <c r="K176" i="2"/>
  <c r="M174" i="2"/>
  <c r="K174" i="2"/>
  <c r="K177" i="2"/>
  <c r="M177" i="2"/>
  <c r="K178" i="2"/>
  <c r="M178" i="2"/>
  <c r="G168" i="2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M175" i="2" l="1"/>
  <c r="M179" i="2" s="1"/>
  <c r="K186" i="2"/>
  <c r="J186" i="2"/>
  <c r="I179" i="2"/>
  <c r="J168" i="2"/>
  <c r="J175" i="2"/>
  <c r="G179" i="2"/>
  <c r="H27" i="13"/>
  <c r="H28" i="13"/>
  <c r="J173" i="2"/>
  <c r="W173" i="2" s="1"/>
  <c r="K173" i="2"/>
  <c r="K179" i="2" s="1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G172" i="2" l="1"/>
  <c r="M172" i="2"/>
  <c r="I172" i="2"/>
  <c r="L175" i="2"/>
  <c r="J179" i="2"/>
  <c r="L168" i="2"/>
  <c r="J172" i="2"/>
  <c r="L173" i="2"/>
  <c r="K166" i="2"/>
  <c r="K172" i="2" s="1"/>
  <c r="L166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L179" i="2" l="1"/>
  <c r="L172" i="2"/>
  <c r="AF37" i="3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E102" i="2" l="1"/>
  <c r="G99" i="2"/>
  <c r="J99" i="2" s="1"/>
  <c r="L99" i="2" s="1"/>
  <c r="I99" i="2"/>
  <c r="G96" i="2"/>
  <c r="J96" i="2" s="1"/>
  <c r="L96" i="2" s="1"/>
  <c r="I96" i="2"/>
  <c r="G101" i="2"/>
  <c r="J101" i="2" s="1"/>
  <c r="L101" i="2" s="1"/>
  <c r="I101" i="2"/>
  <c r="G97" i="2"/>
  <c r="J97" i="2" s="1"/>
  <c r="L97" i="2" s="1"/>
  <c r="I97" i="2"/>
  <c r="D102" i="2"/>
  <c r="I98" i="2"/>
  <c r="G98" i="2"/>
  <c r="I100" i="2"/>
  <c r="G100" i="2"/>
  <c r="J100" i="2" s="1"/>
  <c r="L100" i="2" s="1"/>
  <c r="K97" i="2" l="1"/>
  <c r="M97" i="2"/>
  <c r="K101" i="2"/>
  <c r="M101" i="2"/>
  <c r="K96" i="2"/>
  <c r="M96" i="2"/>
  <c r="W96" i="2"/>
  <c r="K99" i="2"/>
  <c r="M99" i="2"/>
  <c r="K100" i="2"/>
  <c r="M100" i="2"/>
  <c r="K98" i="2"/>
  <c r="I102" i="2"/>
  <c r="M98" i="2"/>
  <c r="J98" i="2"/>
  <c r="G102" i="2"/>
  <c r="W101" i="2"/>
  <c r="W99" i="2"/>
  <c r="W97" i="2"/>
  <c r="W100" i="2"/>
  <c r="W98" i="2"/>
  <c r="M102" i="2" l="1"/>
  <c r="K102" i="2"/>
  <c r="L98" i="2"/>
  <c r="L102" i="2" s="1"/>
  <c r="J102" i="2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88" i="1" l="1"/>
  <c r="N193" i="2" s="1"/>
  <c r="AC88" i="1"/>
  <c r="N200" i="2" s="1"/>
  <c r="F227" i="2" l="1"/>
  <c r="F228" i="2"/>
  <c r="C232" i="2" l="1"/>
  <c r="B232" i="2"/>
  <c r="Z19" i="4" l="1"/>
  <c r="Z21" i="4"/>
  <c r="Z20" i="4"/>
  <c r="L82" i="1" l="1"/>
  <c r="L83" i="1"/>
  <c r="L84" i="1"/>
  <c r="L85" i="1"/>
  <c r="K82" i="1" l="1"/>
  <c r="K83" i="1"/>
  <c r="K84" i="1"/>
  <c r="K85" i="1"/>
  <c r="E52" i="1" l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8" i="1" l="1"/>
  <c r="G4" i="13"/>
  <c r="D21" i="4"/>
  <c r="B11" i="11" l="1"/>
  <c r="D20" i="4" l="1"/>
  <c r="D19" i="4" l="1"/>
  <c r="Q67" i="1" l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AD21" i="4" l="1"/>
  <c r="AC21" i="4"/>
  <c r="AB21" i="4"/>
  <c r="AA21" i="4"/>
  <c r="Y21" i="4"/>
  <c r="W21" i="4"/>
  <c r="V21" i="4"/>
  <c r="U21" i="4"/>
  <c r="T21" i="4"/>
  <c r="S21" i="4"/>
  <c r="Q21" i="4"/>
  <c r="P21" i="4"/>
  <c r="O21" i="4"/>
  <c r="M21" i="4"/>
  <c r="L21" i="4"/>
  <c r="J21" i="4"/>
  <c r="G21" i="4"/>
  <c r="F21" i="4"/>
  <c r="E21" i="4"/>
  <c r="I21" i="4"/>
  <c r="H21" i="4"/>
  <c r="T52" i="1" l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T84" i="1"/>
  <c r="V84" i="1"/>
  <c r="W84" i="1"/>
  <c r="X84" i="1"/>
  <c r="Y84" i="1"/>
  <c r="Z84" i="1"/>
  <c r="AA84" i="1"/>
  <c r="T85" i="1"/>
  <c r="V85" i="1"/>
  <c r="W85" i="1"/>
  <c r="X85" i="1"/>
  <c r="Y85" i="1"/>
  <c r="Z85" i="1"/>
  <c r="AA85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6" i="1"/>
  <c r="S77" i="1"/>
  <c r="S78" i="1"/>
  <c r="S79" i="1"/>
  <c r="S80" i="1"/>
  <c r="S81" i="1"/>
  <c r="S82" i="1"/>
  <c r="S83" i="1"/>
  <c r="S84" i="1"/>
  <c r="S85" i="1"/>
  <c r="S88" i="1" l="1"/>
  <c r="AA88" i="1"/>
  <c r="Z88" i="1"/>
  <c r="N179" i="2" s="1"/>
  <c r="Y88" i="1"/>
  <c r="X88" i="1"/>
  <c r="W88" i="1"/>
  <c r="V88" i="1"/>
  <c r="N151" i="2" s="1"/>
  <c r="T88" i="1"/>
  <c r="AD19" i="4"/>
  <c r="G11" i="13" l="1"/>
  <c r="G12" i="13" l="1"/>
  <c r="C52" i="1" l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Q65" i="1"/>
  <c r="C66" i="1"/>
  <c r="D66" i="1"/>
  <c r="F66" i="1"/>
  <c r="G66" i="1"/>
  <c r="H66" i="1"/>
  <c r="I66" i="1"/>
  <c r="J66" i="1"/>
  <c r="K66" i="1"/>
  <c r="L66" i="1"/>
  <c r="M66" i="1"/>
  <c r="N66" i="1"/>
  <c r="Q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K80" i="1"/>
  <c r="L80" i="1"/>
  <c r="M80" i="1"/>
  <c r="N80" i="1"/>
  <c r="C81" i="1"/>
  <c r="D81" i="1"/>
  <c r="F81" i="1"/>
  <c r="G81" i="1"/>
  <c r="H81" i="1"/>
  <c r="I81" i="1"/>
  <c r="J81" i="1"/>
  <c r="K81" i="1"/>
  <c r="L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C84" i="1"/>
  <c r="D84" i="1"/>
  <c r="F84" i="1"/>
  <c r="G84" i="1"/>
  <c r="H84" i="1"/>
  <c r="I84" i="1"/>
  <c r="J84" i="1"/>
  <c r="M84" i="1"/>
  <c r="N84" i="1"/>
  <c r="C85" i="1"/>
  <c r="D85" i="1"/>
  <c r="G85" i="1"/>
  <c r="I85" i="1"/>
  <c r="J85" i="1"/>
  <c r="M85" i="1"/>
  <c r="N85" i="1"/>
  <c r="Q88" i="1" l="1"/>
  <c r="M88" i="1"/>
  <c r="L88" i="1"/>
  <c r="K88" i="1"/>
  <c r="J88" i="1"/>
  <c r="N88" i="1"/>
  <c r="N95" i="2" s="1"/>
  <c r="I88" i="1"/>
  <c r="H88" i="1"/>
  <c r="G88" i="1"/>
  <c r="F88" i="1"/>
  <c r="D88" i="1"/>
  <c r="C88" i="1"/>
  <c r="N18" i="2" s="1"/>
  <c r="AC19" i="4"/>
  <c r="AB20" i="4" l="1"/>
  <c r="AB19" i="4"/>
  <c r="AA20" i="4" l="1"/>
  <c r="AA19" i="4"/>
  <c r="X20" i="4" l="1"/>
  <c r="W20" i="4"/>
  <c r="X19" i="4"/>
  <c r="W19" i="4"/>
  <c r="W29" i="4" l="1"/>
  <c r="V19" i="4"/>
  <c r="U20" i="4"/>
  <c r="T20" i="4"/>
  <c r="U19" i="4"/>
  <c r="T19" i="4"/>
  <c r="U29" i="4" l="1"/>
  <c r="S19" i="4"/>
  <c r="S20" i="4"/>
  <c r="R20" i="4"/>
  <c r="R19" i="4"/>
  <c r="Q20" i="4" l="1"/>
  <c r="Q19" i="4"/>
  <c r="P20" i="4" l="1"/>
  <c r="P19" i="4"/>
  <c r="O19" i="4" l="1"/>
  <c r="N20" i="4" l="1"/>
  <c r="N19" i="4"/>
  <c r="M19" i="4" l="1"/>
  <c r="L19" i="4"/>
  <c r="M20" i="4"/>
  <c r="L20" i="4"/>
  <c r="K20" i="4"/>
  <c r="K19" i="4"/>
  <c r="J20" i="4"/>
  <c r="I20" i="4" l="1"/>
  <c r="I19" i="4"/>
  <c r="H20" i="4" l="1"/>
  <c r="H19" i="4"/>
  <c r="G19" i="4"/>
  <c r="F20" i="4"/>
  <c r="F19" i="4"/>
  <c r="E20" i="4"/>
  <c r="C20" i="4"/>
  <c r="C19" i="4"/>
  <c r="N116" i="2" l="1"/>
  <c r="B19" i="13" s="1"/>
  <c r="B31" i="13"/>
  <c r="N39" i="2"/>
  <c r="B16" i="13"/>
  <c r="N67" i="2"/>
  <c r="N88" i="2"/>
  <c r="N60" i="2"/>
  <c r="B11" i="13" s="1"/>
  <c r="N32" i="2"/>
  <c r="N81" i="2"/>
  <c r="N53" i="2"/>
  <c r="N25" i="2"/>
  <c r="N186" i="2"/>
  <c r="N172" i="2"/>
  <c r="N165" i="2"/>
  <c r="N158" i="2"/>
  <c r="B20" i="13"/>
  <c r="N137" i="2"/>
  <c r="N130" i="2"/>
  <c r="O186" i="2" l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 s="1"/>
  <c r="O16" i="4"/>
  <c r="O15" i="4"/>
  <c r="O14" i="4"/>
  <c r="O13" i="4"/>
  <c r="O12" i="4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3" i="3"/>
  <c r="AA16" i="4"/>
  <c r="Z16" i="4"/>
  <c r="Y16" i="4"/>
  <c r="X16" i="4"/>
  <c r="W16" i="4"/>
  <c r="V16" i="4"/>
  <c r="T16" i="4"/>
  <c r="S16" i="4"/>
  <c r="AH53" i="3"/>
  <c r="R16" i="4" s="1"/>
  <c r="Q16" i="4"/>
  <c r="P16" i="4"/>
  <c r="M16" i="4"/>
  <c r="L16" i="4"/>
  <c r="T53" i="3"/>
  <c r="K16" i="4" s="1"/>
  <c r="J16" i="4"/>
  <c r="I16" i="4"/>
  <c r="H16" i="4"/>
  <c r="L53" i="3"/>
  <c r="G16" i="4" s="1"/>
  <c r="J53" i="3"/>
  <c r="F16" i="4" s="1"/>
  <c r="H53" i="3"/>
  <c r="E16" i="4" s="1"/>
  <c r="F53" i="3"/>
  <c r="D16" i="4" s="1"/>
  <c r="D53" i="3"/>
  <c r="C16" i="4" s="1"/>
  <c r="BF51" i="3"/>
  <c r="AA15" i="4"/>
  <c r="Z15" i="4"/>
  <c r="Y15" i="4"/>
  <c r="X15" i="4"/>
  <c r="W15" i="4"/>
  <c r="V15" i="4"/>
  <c r="T15" i="4"/>
  <c r="S15" i="4"/>
  <c r="AH51" i="3"/>
  <c r="R15" i="4" s="1"/>
  <c r="Q15" i="4"/>
  <c r="P15" i="4"/>
  <c r="M15" i="4"/>
  <c r="L15" i="4"/>
  <c r="T51" i="3"/>
  <c r="K15" i="4" s="1"/>
  <c r="J15" i="4"/>
  <c r="I15" i="4"/>
  <c r="H15" i="4"/>
  <c r="L51" i="3"/>
  <c r="G15" i="4" s="1"/>
  <c r="J51" i="3"/>
  <c r="F15" i="4" s="1"/>
  <c r="H51" i="3"/>
  <c r="E15" i="4" s="1"/>
  <c r="F51" i="3"/>
  <c r="D51" i="3"/>
  <c r="C15" i="4" s="1"/>
  <c r="BF50" i="3"/>
  <c r="AA14" i="4"/>
  <c r="Z14" i="4"/>
  <c r="Y14" i="4"/>
  <c r="X14" i="4"/>
  <c r="W14" i="4"/>
  <c r="V14" i="4"/>
  <c r="T14" i="4"/>
  <c r="S14" i="4"/>
  <c r="AH50" i="3"/>
  <c r="R14" i="4" s="1"/>
  <c r="Q14" i="4"/>
  <c r="P14" i="4"/>
  <c r="M14" i="4"/>
  <c r="L14" i="4"/>
  <c r="T50" i="3"/>
  <c r="K14" i="4" s="1"/>
  <c r="J14" i="4"/>
  <c r="I14" i="4"/>
  <c r="H14" i="4"/>
  <c r="L50" i="3"/>
  <c r="G14" i="4" s="1"/>
  <c r="J50" i="3"/>
  <c r="F14" i="4" s="1"/>
  <c r="H50" i="3"/>
  <c r="E14" i="4" s="1"/>
  <c r="F50" i="3"/>
  <c r="D50" i="3"/>
  <c r="C14" i="4" s="1"/>
  <c r="BF49" i="3"/>
  <c r="AD13" i="4" s="1"/>
  <c r="AA13" i="4"/>
  <c r="Z13" i="4"/>
  <c r="Y13" i="4"/>
  <c r="X13" i="4"/>
  <c r="W13" i="4"/>
  <c r="V13" i="4"/>
  <c r="T13" i="4"/>
  <c r="S13" i="4"/>
  <c r="AH49" i="3"/>
  <c r="R13" i="4" s="1"/>
  <c r="Q13" i="4"/>
  <c r="P13" i="4"/>
  <c r="M13" i="4"/>
  <c r="L13" i="4"/>
  <c r="T49" i="3"/>
  <c r="K13" i="4" s="1"/>
  <c r="J13" i="4"/>
  <c r="I13" i="4"/>
  <c r="H13" i="4"/>
  <c r="L49" i="3"/>
  <c r="G13" i="4" s="1"/>
  <c r="J49" i="3"/>
  <c r="F13" i="4" s="1"/>
  <c r="H49" i="3"/>
  <c r="E13" i="4" s="1"/>
  <c r="F49" i="3"/>
  <c r="D13" i="4" s="1"/>
  <c r="D49" i="3"/>
  <c r="C13" i="4" s="1"/>
  <c r="BF48" i="3"/>
  <c r="AA12" i="4"/>
  <c r="Z12" i="4"/>
  <c r="Y12" i="4"/>
  <c r="X12" i="4"/>
  <c r="W12" i="4"/>
  <c r="V12" i="4"/>
  <c r="T12" i="4"/>
  <c r="S12" i="4"/>
  <c r="AH48" i="3"/>
  <c r="R12" i="4" s="1"/>
  <c r="Q12" i="4"/>
  <c r="P12" i="4"/>
  <c r="M12" i="4"/>
  <c r="L12" i="4"/>
  <c r="J12" i="4"/>
  <c r="L48" i="3"/>
  <c r="J48" i="3"/>
  <c r="F12" i="4" s="1"/>
  <c r="H48" i="3"/>
  <c r="E12" i="4" s="1"/>
  <c r="F48" i="3"/>
  <c r="D12" i="4" s="1"/>
  <c r="D48" i="3"/>
  <c r="C12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E194" i="2" s="1"/>
  <c r="BF31" i="3"/>
  <c r="D194" i="2" s="1"/>
  <c r="E138" i="2"/>
  <c r="E124" i="2"/>
  <c r="D124" i="2"/>
  <c r="E117" i="2"/>
  <c r="E123" i="2" s="1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D123" i="2" l="1"/>
  <c r="K29" i="4"/>
  <c r="J29" i="4"/>
  <c r="Y29" i="4"/>
  <c r="V29" i="4"/>
  <c r="X29" i="4"/>
  <c r="X31" i="4" s="1"/>
  <c r="X30" i="4"/>
  <c r="Q29" i="4"/>
  <c r="Q31" i="4" s="1"/>
  <c r="AB29" i="4"/>
  <c r="AB31" i="4" s="1"/>
  <c r="AA30" i="4"/>
  <c r="Z29" i="4"/>
  <c r="AB30" i="4"/>
  <c r="AA29" i="4"/>
  <c r="AA31" i="4" s="1"/>
  <c r="Y30" i="4"/>
  <c r="Z30" i="4"/>
  <c r="Q30" i="4"/>
  <c r="AC30" i="4"/>
  <c r="Y28" i="4"/>
  <c r="Y33" i="4" s="1"/>
  <c r="Y27" i="4"/>
  <c r="AA27" i="4"/>
  <c r="AA28" i="4"/>
  <c r="AA33" i="4" s="1"/>
  <c r="AB27" i="4"/>
  <c r="AC28" i="4"/>
  <c r="AC33" i="4" s="1"/>
  <c r="AB28" i="4"/>
  <c r="AB33" i="4" s="1"/>
  <c r="E196" i="2"/>
  <c r="BG37" i="3"/>
  <c r="AC27" i="4"/>
  <c r="Z27" i="4"/>
  <c r="Z28" i="4"/>
  <c r="Z33" i="4" s="1"/>
  <c r="D198" i="2"/>
  <c r="D200" i="2" s="1"/>
  <c r="BF37" i="3"/>
  <c r="T29" i="4"/>
  <c r="T31" i="4" s="1"/>
  <c r="N29" i="4"/>
  <c r="N31" i="4" s="1"/>
  <c r="O29" i="4"/>
  <c r="M29" i="4"/>
  <c r="M31" i="4" s="1"/>
  <c r="R29" i="4"/>
  <c r="R31" i="4" s="1"/>
  <c r="S31" i="4"/>
  <c r="P29" i="4"/>
  <c r="L29" i="4"/>
  <c r="L31" i="4" s="1"/>
  <c r="C29" i="4"/>
  <c r="X27" i="4"/>
  <c r="X28" i="4"/>
  <c r="Q28" i="4"/>
  <c r="Q33" i="4" s="1"/>
  <c r="Q27" i="4"/>
  <c r="E109" i="2"/>
  <c r="E29" i="4"/>
  <c r="E31" i="4" s="1"/>
  <c r="F29" i="4"/>
  <c r="C28" i="4"/>
  <c r="C27" i="4"/>
  <c r="D7" i="2"/>
  <c r="D37" i="3"/>
  <c r="E30" i="4"/>
  <c r="D30" i="4"/>
  <c r="J30" i="4"/>
  <c r="C30" i="4"/>
  <c r="M30" i="4"/>
  <c r="J28" i="4"/>
  <c r="J33" i="4" s="1"/>
  <c r="J27" i="4"/>
  <c r="D60" i="2"/>
  <c r="M28" i="4"/>
  <c r="M33" i="4" s="1"/>
  <c r="M27" i="4"/>
  <c r="I24" i="2"/>
  <c r="K24" i="2" s="1"/>
  <c r="G24" i="2"/>
  <c r="J24" i="2" s="1"/>
  <c r="D12" i="2"/>
  <c r="F37" i="3"/>
  <c r="E12" i="2"/>
  <c r="E18" i="2" s="1"/>
  <c r="G37" i="3"/>
  <c r="D27" i="4"/>
  <c r="E5" i="2"/>
  <c r="E11" i="2" s="1"/>
  <c r="E37" i="3"/>
  <c r="D144" i="2"/>
  <c r="I37" i="3"/>
  <c r="E27" i="4"/>
  <c r="D19" i="2"/>
  <c r="H37" i="3"/>
  <c r="E28" i="4"/>
  <c r="E33" i="4" s="1"/>
  <c r="L30" i="4"/>
  <c r="E61" i="2"/>
  <c r="E67" i="2" s="1"/>
  <c r="U37" i="3"/>
  <c r="E70" i="2"/>
  <c r="E74" i="2" s="1"/>
  <c r="L27" i="4"/>
  <c r="L28" i="4"/>
  <c r="L33" i="4" s="1"/>
  <c r="V37" i="3"/>
  <c r="W37" i="3"/>
  <c r="D74" i="2"/>
  <c r="U30" i="4"/>
  <c r="T30" i="4"/>
  <c r="I197" i="2"/>
  <c r="G197" i="2"/>
  <c r="J197" i="2" s="1"/>
  <c r="L197" i="2" s="1"/>
  <c r="I195" i="2"/>
  <c r="G195" i="2"/>
  <c r="J195" i="2" s="1"/>
  <c r="L195" i="2" s="1"/>
  <c r="G199" i="2"/>
  <c r="J199" i="2" s="1"/>
  <c r="L199" i="2" s="1"/>
  <c r="I199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I141" i="2"/>
  <c r="G141" i="2"/>
  <c r="J141" i="2" s="1"/>
  <c r="L141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I162" i="2"/>
  <c r="G162" i="2"/>
  <c r="J162" i="2" s="1"/>
  <c r="L162" i="2" s="1"/>
  <c r="I138" i="2"/>
  <c r="G138" i="2"/>
  <c r="I122" i="2"/>
  <c r="G122" i="2"/>
  <c r="J122" i="2" s="1"/>
  <c r="L122" i="2" s="1"/>
  <c r="I120" i="2"/>
  <c r="G120" i="2"/>
  <c r="G121" i="2"/>
  <c r="J121" i="2" s="1"/>
  <c r="L121" i="2" s="1"/>
  <c r="I121" i="2"/>
  <c r="G119" i="2"/>
  <c r="J119" i="2" s="1"/>
  <c r="I119" i="2"/>
  <c r="G117" i="2"/>
  <c r="J117" i="2" s="1"/>
  <c r="I117" i="2"/>
  <c r="G118" i="2"/>
  <c r="J118" i="2" s="1"/>
  <c r="I118" i="2"/>
  <c r="I115" i="2"/>
  <c r="G115" i="2"/>
  <c r="J115" i="2" s="1"/>
  <c r="I114" i="2"/>
  <c r="G114" i="2"/>
  <c r="J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I113" i="2"/>
  <c r="G113" i="2"/>
  <c r="J113" i="2" s="1"/>
  <c r="W89" i="2"/>
  <c r="P30" i="4"/>
  <c r="O30" i="4"/>
  <c r="R30" i="4"/>
  <c r="V30" i="4"/>
  <c r="W30" i="4"/>
  <c r="N30" i="4"/>
  <c r="K30" i="4"/>
  <c r="F30" i="4"/>
  <c r="N28" i="4"/>
  <c r="N33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I54" i="2" s="1"/>
  <c r="D103" i="2"/>
  <c r="D109" i="2" s="1"/>
  <c r="AJ37" i="3"/>
  <c r="E144" i="2"/>
  <c r="AQ37" i="3"/>
  <c r="AC37" i="3"/>
  <c r="E131" i="2"/>
  <c r="E137" i="2" s="1"/>
  <c r="AO37" i="3"/>
  <c r="AD37" i="3"/>
  <c r="AL37" i="3"/>
  <c r="AS37" i="3"/>
  <c r="E19" i="2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28" i="4"/>
  <c r="K33" i="4" s="1"/>
  <c r="K27" i="4"/>
  <c r="U31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29" i="4" s="1"/>
  <c r="I66" i="2"/>
  <c r="M66" i="2" s="1"/>
  <c r="O28" i="4"/>
  <c r="U28" i="4"/>
  <c r="U33" i="4" s="1"/>
  <c r="W28" i="4"/>
  <c r="W33" i="4" s="1"/>
  <c r="S28" i="4"/>
  <c r="S33" i="4" s="1"/>
  <c r="F28" i="4"/>
  <c r="F33" i="4" s="1"/>
  <c r="T28" i="4"/>
  <c r="T33" i="4" s="1"/>
  <c r="V28" i="4"/>
  <c r="V33" i="4" s="1"/>
  <c r="P28" i="4"/>
  <c r="P33" i="4" s="1"/>
  <c r="R28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2" i="4"/>
  <c r="G6" i="4"/>
  <c r="G7" i="4"/>
  <c r="G8" i="4"/>
  <c r="G10" i="4"/>
  <c r="G12" i="4"/>
  <c r="G29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27" i="4"/>
  <c r="G8" i="2"/>
  <c r="J8" i="2" s="1"/>
  <c r="D227" i="2"/>
  <c r="E227" i="2" s="1"/>
  <c r="N27" i="4"/>
  <c r="I83" i="2"/>
  <c r="M83" i="2" s="1"/>
  <c r="G83" i="2"/>
  <c r="J83" i="2" s="1"/>
  <c r="F27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O27" i="4"/>
  <c r="I87" i="2"/>
  <c r="M87" i="2" s="1"/>
  <c r="G87" i="2"/>
  <c r="J87" i="2" s="1"/>
  <c r="L87" i="2" s="1"/>
  <c r="I85" i="2"/>
  <c r="M85" i="2" s="1"/>
  <c r="B22" i="13"/>
  <c r="B29" i="13"/>
  <c r="B15" i="13"/>
  <c r="B14" i="13"/>
  <c r="W27" i="4"/>
  <c r="V27" i="4"/>
  <c r="B23" i="13"/>
  <c r="F225" i="2"/>
  <c r="F229" i="2"/>
  <c r="G228" i="2"/>
  <c r="D228" i="2"/>
  <c r="E228" i="2" s="1"/>
  <c r="D229" i="2"/>
  <c r="I134" i="2"/>
  <c r="M134" i="2" s="1"/>
  <c r="G134" i="2"/>
  <c r="U27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27" i="4"/>
  <c r="S27" i="4"/>
  <c r="R27" i="4"/>
  <c r="W138" i="2" l="1"/>
  <c r="L139" i="2"/>
  <c r="J120" i="2"/>
  <c r="L120" i="2" s="1"/>
  <c r="L119" i="2"/>
  <c r="J41" i="2"/>
  <c r="W41" i="2" s="1"/>
  <c r="W148" i="2"/>
  <c r="W150" i="2"/>
  <c r="W146" i="2"/>
  <c r="W145" i="2"/>
  <c r="W147" i="2"/>
  <c r="W149" i="2"/>
  <c r="I123" i="2"/>
  <c r="L117" i="2"/>
  <c r="L64" i="2"/>
  <c r="W64" i="2"/>
  <c r="L84" i="2"/>
  <c r="W84" i="2"/>
  <c r="K229" i="2"/>
  <c r="E25" i="2"/>
  <c r="F31" i="4"/>
  <c r="K31" i="4"/>
  <c r="L114" i="2"/>
  <c r="W114" i="2"/>
  <c r="L115" i="2"/>
  <c r="W115" i="2"/>
  <c r="L113" i="2"/>
  <c r="W113" i="2"/>
  <c r="L112" i="2"/>
  <c r="W112" i="2"/>
  <c r="AD30" i="4"/>
  <c r="AD29" i="4"/>
  <c r="G198" i="2"/>
  <c r="J198" i="2" s="1"/>
  <c r="L198" i="2" s="1"/>
  <c r="E200" i="2"/>
  <c r="H31" i="13" s="1"/>
  <c r="G196" i="2"/>
  <c r="I196" i="2"/>
  <c r="M196" i="2" s="1"/>
  <c r="AD28" i="4"/>
  <c r="AD33" i="4" s="1"/>
  <c r="AD27" i="4"/>
  <c r="I198" i="2"/>
  <c r="K198" i="2" s="1"/>
  <c r="I165" i="2"/>
  <c r="G165" i="2"/>
  <c r="L105" i="2"/>
  <c r="L111" i="2"/>
  <c r="L106" i="2"/>
  <c r="G7" i="2"/>
  <c r="J7" i="2" s="1"/>
  <c r="L7" i="2" s="1"/>
  <c r="F232" i="2"/>
  <c r="D11" i="2"/>
  <c r="I7" i="2"/>
  <c r="K7" i="2" s="1"/>
  <c r="D29" i="4"/>
  <c r="D31" i="4" s="1"/>
  <c r="E225" i="2"/>
  <c r="D232" i="2"/>
  <c r="D6" i="11" s="1"/>
  <c r="L125" i="2"/>
  <c r="H7" i="13"/>
  <c r="H12" i="13"/>
  <c r="H19" i="13"/>
  <c r="H15" i="13"/>
  <c r="H18" i="13"/>
  <c r="H22" i="13"/>
  <c r="H13" i="13"/>
  <c r="H23" i="13"/>
  <c r="H21" i="13"/>
  <c r="L118" i="2"/>
  <c r="W118" i="2"/>
  <c r="K228" i="2"/>
  <c r="L228" i="2" s="1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G54" i="2"/>
  <c r="G60" i="2" s="1"/>
  <c r="E60" i="2"/>
  <c r="H11" i="13" s="1"/>
  <c r="L110" i="2"/>
  <c r="L10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I12" i="2"/>
  <c r="I18" i="2" s="1"/>
  <c r="G12" i="2"/>
  <c r="J12" i="2" s="1"/>
  <c r="W12" i="2" s="1"/>
  <c r="L138" i="2"/>
  <c r="G194" i="2"/>
  <c r="L24" i="2"/>
  <c r="W24" i="2"/>
  <c r="M24" i="2"/>
  <c r="I194" i="2"/>
  <c r="D28" i="4"/>
  <c r="D33" i="4" s="1"/>
  <c r="G225" i="2"/>
  <c r="G70" i="2"/>
  <c r="J70" i="2" s="1"/>
  <c r="W70" i="2" s="1"/>
  <c r="I70" i="2"/>
  <c r="K70" i="2" s="1"/>
  <c r="J159" i="2"/>
  <c r="I28" i="4"/>
  <c r="I33" i="4" s="1"/>
  <c r="W195" i="2"/>
  <c r="AF29" i="4" s="1"/>
  <c r="L20" i="2"/>
  <c r="W20" i="2"/>
  <c r="M199" i="2"/>
  <c r="K199" i="2"/>
  <c r="K195" i="2"/>
  <c r="M195" i="2"/>
  <c r="M197" i="2"/>
  <c r="K197" i="2"/>
  <c r="K138" i="2"/>
  <c r="M138" i="2"/>
  <c r="M143" i="2"/>
  <c r="K143" i="2"/>
  <c r="M162" i="2"/>
  <c r="K162" i="2"/>
  <c r="M139" i="2"/>
  <c r="K139" i="2"/>
  <c r="M159" i="2"/>
  <c r="K159" i="2"/>
  <c r="M140" i="2"/>
  <c r="K140" i="2"/>
  <c r="M161" i="2"/>
  <c r="K161" i="2"/>
  <c r="M142" i="2"/>
  <c r="K142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L55" i="2"/>
  <c r="W139" i="2"/>
  <c r="H30" i="4"/>
  <c r="G30" i="4"/>
  <c r="I30" i="4"/>
  <c r="W142" i="2"/>
  <c r="O31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I60" i="2"/>
  <c r="G19" i="2"/>
  <c r="J19" i="2" s="1"/>
  <c r="W19" i="2" s="1"/>
  <c r="G154" i="2"/>
  <c r="J154" i="2" s="1"/>
  <c r="W154" i="2" s="1"/>
  <c r="C31" i="4"/>
  <c r="W176" i="2"/>
  <c r="P34" i="4"/>
  <c r="I17" i="13" s="1"/>
  <c r="P31" i="4"/>
  <c r="W127" i="2"/>
  <c r="W168" i="2"/>
  <c r="W91" i="2"/>
  <c r="W157" i="2"/>
  <c r="L157" i="2"/>
  <c r="W155" i="2"/>
  <c r="L155" i="2"/>
  <c r="W94" i="2"/>
  <c r="W177" i="2"/>
  <c r="W178" i="2"/>
  <c r="K73" i="2"/>
  <c r="M73" i="2"/>
  <c r="K8" i="2"/>
  <c r="M8" i="2"/>
  <c r="W140" i="2"/>
  <c r="W143" i="2"/>
  <c r="Z34" i="4"/>
  <c r="I27" i="13" s="1"/>
  <c r="Z31" i="4"/>
  <c r="Y32" i="4"/>
  <c r="Y31" i="4"/>
  <c r="W128" i="2"/>
  <c r="W126" i="2"/>
  <c r="W190" i="2"/>
  <c r="W129" i="2"/>
  <c r="W93" i="2"/>
  <c r="W192" i="2"/>
  <c r="K71" i="2"/>
  <c r="M71" i="2"/>
  <c r="J32" i="4"/>
  <c r="J31" i="4"/>
  <c r="W32" i="4"/>
  <c r="W31" i="4"/>
  <c r="W90" i="2"/>
  <c r="W83" i="2"/>
  <c r="L83" i="2"/>
  <c r="W164" i="2"/>
  <c r="L27" i="2"/>
  <c r="W191" i="2"/>
  <c r="W92" i="2"/>
  <c r="L69" i="2"/>
  <c r="W156" i="2"/>
  <c r="L156" i="2"/>
  <c r="L153" i="2"/>
  <c r="W199" i="2"/>
  <c r="K10" i="2"/>
  <c r="M10" i="2"/>
  <c r="W141" i="2"/>
  <c r="W48" i="2"/>
  <c r="V32" i="4"/>
  <c r="V31" i="4"/>
  <c r="AC34" i="4"/>
  <c r="AC31" i="4"/>
  <c r="B31" i="4" s="1"/>
  <c r="E229" i="2"/>
  <c r="G229" i="2"/>
  <c r="X33" i="4"/>
  <c r="X34" i="4"/>
  <c r="O33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28" i="4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G33" i="2"/>
  <c r="I27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28" i="4"/>
  <c r="H33" i="4" s="1"/>
  <c r="K106" i="2"/>
  <c r="K105" i="2"/>
  <c r="K108" i="2"/>
  <c r="K107" i="2"/>
  <c r="K104" i="2"/>
  <c r="B17" i="13"/>
  <c r="W135" i="2"/>
  <c r="C234" i="2"/>
  <c r="D5" i="11" s="1"/>
  <c r="W63" i="2"/>
  <c r="W38" i="2"/>
  <c r="W28" i="2"/>
  <c r="W87" i="2"/>
  <c r="W108" i="2"/>
  <c r="W73" i="2"/>
  <c r="W30" i="2"/>
  <c r="W31" i="2"/>
  <c r="W37" i="2"/>
  <c r="W65" i="2"/>
  <c r="W72" i="2"/>
  <c r="W29" i="2"/>
  <c r="W107" i="2"/>
  <c r="W86" i="2"/>
  <c r="W85" i="2"/>
  <c r="W71" i="2"/>
  <c r="W16" i="2"/>
  <c r="W14" i="2"/>
  <c r="W17" i="2"/>
  <c r="W15" i="2"/>
  <c r="W9" i="2"/>
  <c r="W8" i="2"/>
  <c r="W10" i="2"/>
  <c r="H27" i="4"/>
  <c r="K27" i="2"/>
  <c r="K28" i="2"/>
  <c r="K29" i="2"/>
  <c r="K30" i="2"/>
  <c r="K31" i="2"/>
  <c r="G27" i="4"/>
  <c r="C33" i="4"/>
  <c r="C32" i="4"/>
  <c r="C34" i="4"/>
  <c r="P32" i="4"/>
  <c r="G6" i="2"/>
  <c r="J6" i="2" s="1"/>
  <c r="R34" i="4"/>
  <c r="I19" i="13" s="1"/>
  <c r="R32" i="4"/>
  <c r="Q32" i="4"/>
  <c r="Q34" i="4"/>
  <c r="I18" i="13" s="1"/>
  <c r="N32" i="4"/>
  <c r="N34" i="4"/>
  <c r="I15" i="13" s="1"/>
  <c r="M34" i="4"/>
  <c r="I14" i="13" s="1"/>
  <c r="M32" i="4"/>
  <c r="K69" i="2"/>
  <c r="K32" i="4"/>
  <c r="K34" i="4"/>
  <c r="J34" i="4"/>
  <c r="I11" i="13" s="1"/>
  <c r="Z32" i="4"/>
  <c r="K83" i="2"/>
  <c r="I136" i="2"/>
  <c r="I68" i="2"/>
  <c r="M68" i="2" s="1"/>
  <c r="E34" i="4"/>
  <c r="I6" i="13" s="1"/>
  <c r="E32" i="4"/>
  <c r="K157" i="2"/>
  <c r="K153" i="2"/>
  <c r="X32" i="4"/>
  <c r="K156" i="2"/>
  <c r="K155" i="2"/>
  <c r="L34" i="4"/>
  <c r="I13" i="13" s="1"/>
  <c r="L32" i="4"/>
  <c r="K72" i="2"/>
  <c r="K87" i="2"/>
  <c r="I6" i="2"/>
  <c r="Y34" i="4"/>
  <c r="I26" i="13" s="1"/>
  <c r="F34" i="4"/>
  <c r="F32" i="4"/>
  <c r="K9" i="2"/>
  <c r="H17" i="13"/>
  <c r="O34" i="4"/>
  <c r="O32" i="4"/>
  <c r="G5" i="2"/>
  <c r="I5" i="2"/>
  <c r="G136" i="2"/>
  <c r="K85" i="2"/>
  <c r="K84" i="2"/>
  <c r="G68" i="2"/>
  <c r="K86" i="2"/>
  <c r="W34" i="4"/>
  <c r="I24" i="13" s="1"/>
  <c r="V34" i="4"/>
  <c r="I23" i="13" s="1"/>
  <c r="AC32" i="4"/>
  <c r="B32" i="4" s="1"/>
  <c r="AB34" i="4"/>
  <c r="I29" i="13" s="1"/>
  <c r="AB32" i="4"/>
  <c r="H24" i="13"/>
  <c r="AA34" i="4"/>
  <c r="I28" i="13" s="1"/>
  <c r="AA32" i="4"/>
  <c r="C4" i="13"/>
  <c r="U34" i="4"/>
  <c r="I22" i="13" s="1"/>
  <c r="U32" i="4"/>
  <c r="K133" i="2"/>
  <c r="K132" i="2"/>
  <c r="K135" i="2"/>
  <c r="K134" i="2"/>
  <c r="T34" i="4"/>
  <c r="I21" i="13" s="1"/>
  <c r="T32" i="4"/>
  <c r="S34" i="4"/>
  <c r="I20" i="13" s="1"/>
  <c r="S32" i="4"/>
  <c r="R33" i="4"/>
  <c r="I30" i="13" l="1"/>
  <c r="B34" i="4"/>
  <c r="L41" i="2"/>
  <c r="L123" i="2"/>
  <c r="J165" i="2"/>
  <c r="W159" i="2"/>
  <c r="A145" i="2"/>
  <c r="A152" i="2" s="1"/>
  <c r="A159" i="2" s="1"/>
  <c r="A166" i="2" s="1"/>
  <c r="A173" i="2" s="1"/>
  <c r="A180" i="2" s="1"/>
  <c r="W151" i="2"/>
  <c r="O151" i="2" s="1"/>
  <c r="J123" i="2"/>
  <c r="G123" i="2"/>
  <c r="H6" i="13"/>
  <c r="W117" i="2"/>
  <c r="M123" i="2"/>
  <c r="K123" i="2"/>
  <c r="I7" i="13"/>
  <c r="W116" i="2"/>
  <c r="I12" i="13"/>
  <c r="AF32" i="4"/>
  <c r="AF31" i="4"/>
  <c r="AF34" i="4"/>
  <c r="I33" i="13" s="1"/>
  <c r="B36" i="13"/>
  <c r="W198" i="2"/>
  <c r="K196" i="2"/>
  <c r="AE29" i="4"/>
  <c r="H9" i="13"/>
  <c r="G33" i="4"/>
  <c r="H8" i="13"/>
  <c r="M229" i="2"/>
  <c r="N229" i="2" s="1"/>
  <c r="I232" i="2"/>
  <c r="M198" i="2"/>
  <c r="I200" i="2"/>
  <c r="J196" i="2"/>
  <c r="W196" i="2" s="1"/>
  <c r="G200" i="2"/>
  <c r="M7" i="2"/>
  <c r="W7" i="2"/>
  <c r="K165" i="2"/>
  <c r="M165" i="2"/>
  <c r="W25" i="2"/>
  <c r="G232" i="2"/>
  <c r="I237" i="2" s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29" i="2"/>
  <c r="I11" i="2"/>
  <c r="H16" i="13"/>
  <c r="H20" i="13"/>
  <c r="J54" i="2"/>
  <c r="J60" i="2" s="1"/>
  <c r="K227" i="2"/>
  <c r="L227" i="2" s="1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K194" i="2"/>
  <c r="G11" i="2"/>
  <c r="G74" i="2"/>
  <c r="M70" i="2"/>
  <c r="M74" i="2" s="1"/>
  <c r="L159" i="2"/>
  <c r="L165" i="2" s="1"/>
  <c r="L19" i="2"/>
  <c r="L25" i="2" s="1"/>
  <c r="I74" i="2"/>
  <c r="L70" i="2"/>
  <c r="M5" i="2"/>
  <c r="L131" i="2"/>
  <c r="M82" i="2"/>
  <c r="M88" i="2" s="1"/>
  <c r="I88" i="2"/>
  <c r="W102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K82" i="2"/>
  <c r="K88" i="2" s="1"/>
  <c r="K131" i="2"/>
  <c r="G116" i="2"/>
  <c r="G144" i="2"/>
  <c r="K40" i="2"/>
  <c r="K46" i="2" s="1"/>
  <c r="G32" i="2"/>
  <c r="K19" i="2"/>
  <c r="K25" i="2" s="1"/>
  <c r="L62" i="2"/>
  <c r="I32" i="2"/>
  <c r="G67" i="2"/>
  <c r="I116" i="2"/>
  <c r="K15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4" i="4"/>
  <c r="G31" i="4"/>
  <c r="W6" i="2"/>
  <c r="L6" i="2"/>
  <c r="W144" i="2"/>
  <c r="D23" i="13" s="1"/>
  <c r="L144" i="2"/>
  <c r="W169" i="2"/>
  <c r="W170" i="2"/>
  <c r="I32" i="4"/>
  <c r="I31" i="4"/>
  <c r="L40" i="2"/>
  <c r="L46" i="2" s="1"/>
  <c r="W133" i="2"/>
  <c r="L133" i="2"/>
  <c r="W160" i="2"/>
  <c r="W171" i="2"/>
  <c r="AD32" i="4"/>
  <c r="AD31" i="4"/>
  <c r="W175" i="2"/>
  <c r="W13" i="2"/>
  <c r="W95" i="2"/>
  <c r="I137" i="2"/>
  <c r="M136" i="2"/>
  <c r="M137" i="2" s="1"/>
  <c r="W197" i="2"/>
  <c r="W163" i="2"/>
  <c r="W32" i="2"/>
  <c r="D7" i="13" s="1"/>
  <c r="L26" i="2"/>
  <c r="L32" i="2" s="1"/>
  <c r="W167" i="2"/>
  <c r="H34" i="4"/>
  <c r="I9" i="13" s="1"/>
  <c r="H31" i="4"/>
  <c r="L116" i="2"/>
  <c r="I25" i="13"/>
  <c r="I16" i="13"/>
  <c r="AD34" i="4"/>
  <c r="I31" i="13" s="1"/>
  <c r="C5" i="13"/>
  <c r="W122" i="2"/>
  <c r="W119" i="2"/>
  <c r="W120" i="2"/>
  <c r="J136" i="2"/>
  <c r="W134" i="2"/>
  <c r="W132" i="2"/>
  <c r="W121" i="2"/>
  <c r="D34" i="4"/>
  <c r="D32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4" i="4"/>
  <c r="I10" i="13" s="1"/>
  <c r="W66" i="2"/>
  <c r="K61" i="2"/>
  <c r="K67" i="2" s="1"/>
  <c r="H32" i="4"/>
  <c r="G32" i="4"/>
  <c r="J144" i="2"/>
  <c r="W45" i="2"/>
  <c r="W51" i="2"/>
  <c r="W59" i="2"/>
  <c r="W43" i="2"/>
  <c r="W52" i="2"/>
  <c r="J32" i="2"/>
  <c r="M32" i="2"/>
  <c r="B238" i="2"/>
  <c r="C238" i="2"/>
  <c r="H4" i="13"/>
  <c r="I4" i="13"/>
  <c r="J25" i="2"/>
  <c r="I25" i="2"/>
  <c r="M25" i="2"/>
  <c r="K136" i="2"/>
  <c r="G25" i="2"/>
  <c r="K68" i="2"/>
  <c r="K74" i="2" s="1"/>
  <c r="G137" i="2"/>
  <c r="K6" i="2"/>
  <c r="J68" i="2"/>
  <c r="J5" i="2"/>
  <c r="W5" i="2" s="1"/>
  <c r="M144" i="2"/>
  <c r="K5" i="2"/>
  <c r="J18" i="2"/>
  <c r="D7" i="11"/>
  <c r="G237" i="2"/>
  <c r="W123" i="2" l="1"/>
  <c r="D17" i="13"/>
  <c r="O102" i="2"/>
  <c r="F17" i="13" s="1"/>
  <c r="D16" i="13"/>
  <c r="O95" i="2"/>
  <c r="D19" i="13"/>
  <c r="O116" i="2"/>
  <c r="F19" i="13" s="1"/>
  <c r="K200" i="2"/>
  <c r="W179" i="2"/>
  <c r="W172" i="2"/>
  <c r="O172" i="2" s="1"/>
  <c r="F27" i="13" s="1"/>
  <c r="AE34" i="4"/>
  <c r="I32" i="13" s="1"/>
  <c r="AE32" i="4"/>
  <c r="AE31" i="4"/>
  <c r="I8" i="13"/>
  <c r="W200" i="2"/>
  <c r="D31" i="13" s="1"/>
  <c r="M200" i="2"/>
  <c r="L196" i="2"/>
  <c r="J200" i="2"/>
  <c r="W165" i="2"/>
  <c r="O165" i="2" s="1"/>
  <c r="F26" i="13" s="1"/>
  <c r="K158" i="2"/>
  <c r="W68" i="2"/>
  <c r="J74" i="2"/>
  <c r="H36" i="13"/>
  <c r="K232" i="2"/>
  <c r="M232" i="2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W54" i="2"/>
  <c r="L54" i="2"/>
  <c r="L60" i="2" s="1"/>
  <c r="N225" i="2"/>
  <c r="N232" i="2" s="1"/>
  <c r="L225" i="2"/>
  <c r="L232" i="2" s="1"/>
  <c r="I5" i="13"/>
  <c r="M11" i="2"/>
  <c r="J11" i="2"/>
  <c r="W18" i="2"/>
  <c r="L194" i="2"/>
  <c r="A187" i="2"/>
  <c r="A194" i="2" s="1"/>
  <c r="A201" i="2" s="1"/>
  <c r="A208" i="2" s="1"/>
  <c r="A215" i="2" s="1"/>
  <c r="J88" i="2"/>
  <c r="K11" i="2"/>
  <c r="D30" i="13"/>
  <c r="D9" i="11"/>
  <c r="D8" i="1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L61" i="2"/>
  <c r="L67" i="2" s="1"/>
  <c r="J67" i="2"/>
  <c r="O193" i="2"/>
  <c r="F30" i="13" s="1"/>
  <c r="W130" i="2"/>
  <c r="L68" i="2"/>
  <c r="L74" i="2" s="1"/>
  <c r="J137" i="2"/>
  <c r="L136" i="2"/>
  <c r="L137" i="2" s="1"/>
  <c r="L5" i="2"/>
  <c r="L11" i="2" s="1"/>
  <c r="W39" i="2"/>
  <c r="L33" i="2"/>
  <c r="L39" i="2" s="1"/>
  <c r="D6" i="13"/>
  <c r="W136" i="2"/>
  <c r="W137" i="2" s="1"/>
  <c r="M39" i="2"/>
  <c r="J39" i="2"/>
  <c r="K39" i="2"/>
  <c r="W56" i="2"/>
  <c r="O32" i="2"/>
  <c r="F7" i="13" s="1"/>
  <c r="O144" i="2"/>
  <c r="F23" i="13" s="1"/>
  <c r="W53" i="2"/>
  <c r="W42" i="2"/>
  <c r="W46" i="2" s="1"/>
  <c r="O25" i="2"/>
  <c r="F6" i="13" s="1"/>
  <c r="D238" i="2"/>
  <c r="D28" i="13" l="1"/>
  <c r="D22" i="13"/>
  <c r="I36" i="13"/>
  <c r="D9" i="13"/>
  <c r="O53" i="2"/>
  <c r="D8" i="13"/>
  <c r="C32" i="13"/>
  <c r="C33" i="13" s="1"/>
  <c r="L200" i="2"/>
  <c r="D25" i="13"/>
  <c r="W60" i="2"/>
  <c r="D11" i="13" s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D4" i="13"/>
  <c r="D20" i="13"/>
  <c r="O123" i="2"/>
  <c r="F20" i="13" s="1"/>
  <c r="O39" i="2"/>
  <c r="F8" i="13" s="1"/>
  <c r="O137" i="2"/>
  <c r="F22" i="13" s="1"/>
  <c r="O46" i="2"/>
  <c r="O109" i="2"/>
  <c r="F18" i="13" s="1"/>
  <c r="O11" i="2"/>
  <c r="F4" i="13" s="1"/>
  <c r="G238" i="2"/>
  <c r="F238" i="2"/>
  <c r="I238" i="2"/>
  <c r="F10" i="13" l="1"/>
  <c r="F9" i="13"/>
  <c r="F33" i="13"/>
  <c r="C36" i="13"/>
  <c r="F29" i="13"/>
  <c r="O74" i="2"/>
  <c r="F13" i="13" s="1"/>
  <c r="O88" i="2"/>
  <c r="F15" i="13" s="1"/>
  <c r="D12" i="13"/>
  <c r="D24" i="13"/>
  <c r="F24" i="13"/>
  <c r="O60" i="2"/>
  <c r="F11" i="13" s="1"/>
  <c r="E4" i="13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l="1"/>
  <c r="J239" i="2"/>
  <c r="C5" i="11" s="1"/>
  <c r="B5" i="11" s="1"/>
  <c r="G234" i="2"/>
  <c r="E33" i="13" l="1"/>
  <c r="C6" i="11"/>
  <c r="B6" i="11" s="1"/>
  <c r="C7" i="11"/>
  <c r="B7" i="11" s="1"/>
  <c r="E36" i="13" l="1"/>
  <c r="C9" i="1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41075</t>
        </r>
      </text>
    </comment>
    <comment ref="T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41133</t>
        </r>
      </text>
    </comment>
    <comment ref="Q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41075</t>
        </r>
      </text>
    </comment>
    <comment ref="Q4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41359
Estación El Belloto, vía 1. Servicio 473 XT-22-17 (viaje 22), 474 XT-24-08 (viaje 28), 655 XT-35-29 (viaje 30), 652 XT-01-14 (viaje 70) y 654 XT-26-21 (viaje 74) son desacoplados.</t>
        </r>
      </text>
    </comment>
    <comment ref="J41" authorId="0" shapeId="0" xr:uid="{B4ADED74-A5D6-453A-A7BF-5C70A519C68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Se resta el KM  de un viaje PU-AM</t>
        </r>
      </text>
    </comment>
    <comment ref="T4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41400 Estación El Belloto, vía 2. Servicio 656 XT-29-30 (viaje 121), 651 XT-17-24 (viaje 141) y 652 XT-04-22 (viaje 145) son acoplados para cumplir con oferta de equipos en unidad múltiple</t>
        </r>
      </text>
    </comment>
    <comment ref="Q4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41359
Estación El Belloto, vía 1. Servicio 473 XT-22-17 (viaje 22), 474 XT-24-08 (viaje 28), 655 XT-35-29 (viaje 30), 652 XT-01-14 (viaje 70) y 654 XT-26-21 (viaje 74) son desacoplados.</t>
        </r>
      </text>
    </comment>
    <comment ref="Q54" authorId="0" shapeId="0" xr:uid="{ED03C550-20E8-4758-B42D-A6A5E8406EF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41611
Estación El Belloto, vía 2. Servicio 656 XT-33-31 (viaje 121), 660 XT-23-13 (viaje 129) y 652 XT-09-18 (viaje 145) son acoplados para cumplir con oferta de equipos en unidad múltiple</t>
        </r>
      </text>
    </comment>
    <comment ref="T55" authorId="0" shapeId="0" xr:uid="{81510EC5-9493-49E4-9EFD-3F82BE348F9C}">
      <text>
        <r>
          <rPr>
            <b/>
            <sz val="9"/>
            <color indexed="81"/>
            <rFont val="Tahoma"/>
            <family val="2"/>
          </rPr>
          <t xml:space="preserve">Autor:
Incidente 41664 </t>
        </r>
        <r>
          <rPr>
            <sz val="9"/>
            <color indexed="81"/>
            <rFont val="Tahoma"/>
            <family val="2"/>
          </rPr>
          <t xml:space="preserve">
Estación El Belloto, vía 2. Servicio 656 XT-33-31 (viaje 121), 660 XT-23-13 (viaje 129) y 652 XT-09-18 (viaje 145) son acoplados para cumplir con oferta de equipos en unidad múltiple</t>
        </r>
      </text>
    </comment>
    <comment ref="Q56" authorId="0" shapeId="0" xr:uid="{746A533F-798D-411F-AB3B-22CA2618094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41611
Estación El Belloto, vía 2. Servicio 656 XT-33-31 (viaje 121), 660 XT-23-13 (viaje 129) y 652 XT-09-18 (viaje 145) son deacoplados para cumplir con oferta de equipos en unidad múltiple</t>
        </r>
      </text>
    </comment>
    <comment ref="Q61" authorId="0" shapeId="0" xr:uid="{21A804E0-AEC2-48DA-9C2F-6D4F8D491E2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41741 Estación El Belloto, vía 1. Servicio 655 XT-31-33 (viaje 30), 656 XT-26-03 (viaje 36), 658 XT-22-12 (viaje 46) y 657 XT-30-29 (viaje 80) son desacoplados.
</t>
        </r>
      </text>
    </comment>
    <comment ref="T62" authorId="0" shapeId="0" xr:uid="{CEBD3D02-A266-41E7-8407-4D50EF0D55C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41766 Estación El Belloto, vía 2. Servicio 657 XT-30-33 (viaje 123), 659 XT-07-03 (viaje 127) y 652 XT-20-12 (viaje 145) son acoplados para cumplir con oferta de equipos en unidad múltiple
</t>
        </r>
      </text>
    </comment>
    <comment ref="U64" authorId="0" shapeId="0" xr:uid="{2EC7869D-6F73-4B5F-B70F-4C460706552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41736 
Estación Sgto. Aldea, anden 2. Servicio 652 XT-09-23 (viaje 61) es acoplado para cumplir con oferta de equipos en unidad múltiple.
</t>
        </r>
      </text>
    </comment>
    <comment ref="Q68" authorId="0" shapeId="0" xr:uid="{00FBF7EE-88AC-44FF-81D2-1220B89767D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41807 Estación El Belloto, vía 1. Servicio 652 XT-24-01 (viaje 16), 656 XT-05-22 (viaje 36) y 660 XT-31-35 (viaje 54) son desacoplados
</t>
        </r>
      </text>
    </comment>
    <comment ref="T69" authorId="0" shapeId="0" xr:uid="{13E19D51-7640-45A7-B95D-210FA80C489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41847 
Estación El Belloto, vía 2. Servicio 651 XT-18-25 (viaje 141), 652 XT-12-16 (viaje 145) y 659 XT-27-08 (viaje 173) son acoplados para cumplir con oferta de equipos en unidad múltiple</t>
        </r>
      </text>
    </comment>
    <comment ref="Q89" authorId="0" shapeId="0" xr:uid="{9358CD64-554A-46DC-B82E-8FE35594FB4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42032 
Estación El Belloto, vía 1. Servicio 653 XT-26-12 (viaje 20), 656 XT-17-25 (viaje 36) y 657 XT-30-31 (viaje 42) son desacoplados.</t>
        </r>
      </text>
    </comment>
    <comment ref="T90" authorId="0" shapeId="0" xr:uid="{81FFDC27-AFAD-4DBA-82DC-2C64A44B0F1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Incidnete 42091 Estación El Belloto, vía 2. Servicio 651 XT-23-26 (viaje 141), 652 XT-19-17 (viaje 145), 653 XT-20-24 (viaje 149), 654 XT-34-30 (viaje 153) y 655 XT-03-10 (viaje 157) son acoplados para cumplir con oferta de equipos en unidad múltiple</t>
        </r>
      </text>
    </comment>
    <comment ref="Q103" authorId="0" shapeId="0" xr:uid="{EC0FDAF9-D287-4B01-B680-871936C5976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42362 Estación El Belloto, vía 2. Servicio 651 XT-25-06 (viaje 141), 652 XT-11-02 (viaje 145), 653 XT-08-03 (viaje 149 y 654 XT-04-27 (viaje 153) son acoplados para cumplir con oferta de equipos en unidad múltiple.</t>
        </r>
      </text>
    </comment>
    <comment ref="T104" authorId="0" shapeId="0" xr:uid="{3F1F2D48-F656-45A4-B090-FD3A7B386A1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42221 Estación El Belloto, vía 1. Servicio 655 XT-27-26 (viaje 30), 658 XT-12-13 (viaje 46), 660 XT-02-10</t>
        </r>
      </text>
    </comment>
    <comment ref="Q187" authorId="0" shapeId="0" xr:uid="{DCEF3B35-D064-4A2A-A965-CDE8A31F2E2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43071 Estación El Belloto, vía 1. Servicio 654 XT-29-32 (viaje 24), 656 XT-04-20 (viaje 36), 660 XT-26-21 (viaje 54) y 658 XT-34-33 (viaje 82) son desacoplados.</t>
        </r>
      </text>
    </comment>
    <comment ref="Q194" authorId="0" shapeId="0" xr:uid="{C0A5809C-15A8-459B-8E1B-A8F25F6A8F6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43160 Estación El Belloto, vía 1. Servicio 654 XT-18-17 (viaje 24) es desacoplado.</t>
        </r>
      </text>
    </comment>
    <comment ref="Q201" authorId="0" shapeId="0" xr:uid="{CB7D6C98-117E-4383-992E-6F50D9F6A57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43335 Estación El Belloto, vía 1. Servicio 653 XT-20-08 (viaje 20), 654 XT-03-04 (viaje 24), 655 XT-19-07 (viaje 30) y 658 XT-28-35 (viaje 46) son desacoplados.</t>
        </r>
      </text>
    </comment>
    <comment ref="T202" authorId="0" shapeId="0" xr:uid="{D0655D1A-CF62-46DE-B035-B1B2F731471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43435</t>
        </r>
      </text>
    </comment>
    <comment ref="Q208" authorId="0" shapeId="0" xr:uid="{F7F39DA5-71AC-47F9-89A7-511FF53188B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43492
07:36 Estación El Belloto, vía 1. Servicio 652 XT-17-26 (viaje 16), 653 XT-12-01 (viaje 20), 655 XT-06-09 (viaje 30), 658 XT-02-20 (viaje 46) y 658 XT-08-25 (viaje 82) son desacoplados. 43492</t>
        </r>
      </text>
    </comment>
    <comment ref="T209" authorId="0" shapeId="0" xr:uid="{AC73A45C-9FB6-4F1B-96CE-B94DA35B8E1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43565 
15:42 Estación El Belloto, vía 2. Servicio 662 XT-14-27 (viaje 137), 651 XT-31-35 (viaje 141) y 652 XT-26-17 (viaje 145) son acoplados para cumplir con oferta de equipos en unidad múltiple. 43565
</t>
        </r>
      </text>
    </comment>
  </commentList>
</comments>
</file>

<file path=xl/sharedStrings.xml><?xml version="1.0" encoding="utf-8"?>
<sst xmlns="http://schemas.openxmlformats.org/spreadsheetml/2006/main" count="705" uniqueCount="194">
  <si>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</si>
  <si>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</si>
  <si>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</si>
  <si>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</si>
  <si>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</si>
  <si>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</si>
  <si>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</si>
  <si>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</si>
  <si>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</si>
  <si>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</si>
  <si>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</si>
  <si>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</si>
  <si>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</si>
  <si>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</si>
  <si>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</si>
  <si>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</si>
  <si>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</si>
  <si>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</si>
  <si>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</si>
  <si>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</si>
  <si>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</si>
  <si>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</si>
  <si>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</si>
  <si>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</si>
  <si>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</si>
  <si>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</si>
  <si>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</si>
  <si>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</si>
  <si>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</si>
  <si>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</si>
  <si>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</si>
  <si>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</si>
  <si>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</si>
  <si>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</si>
  <si>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</si>
  <si>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</si>
  <si>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</si>
  <si>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</si>
  <si>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</si>
  <si>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</si>
  <si>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</si>
  <si>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</si>
  <si>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</si>
  <si>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</si>
  <si>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</si>
  <si>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</si>
  <si>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</si>
  <si>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</si>
  <si>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</si>
  <si>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</si>
  <si>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</si>
  <si>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</si>
  <si>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</si>
  <si>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</si>
  <si>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</si>
  <si>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</si>
  <si>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</si>
  <si>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</si>
  <si>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</si>
  <si>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</si>
  <si>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</si>
  <si>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</si>
  <si>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</si>
  <si>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</si>
  <si>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</si>
  <si>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</si>
  <si>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</si>
  <si>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</si>
  <si>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</si>
  <si>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</si>
  <si>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</si>
  <si>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</si>
  <si>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</si>
  <si>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</si>
  <si>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</si>
  <si>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</si>
  <si>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</si>
  <si>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</si>
  <si>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</si>
  <si>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</si>
  <si>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</si>
  <si>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</si>
  <si>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</si>
  <si>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</si>
  <si>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</si>
  <si>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</si>
  <si>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</si>
  <si>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</si>
  <si>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</si>
  <si>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</si>
  <si>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</si>
  <si>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</si>
  <si>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</si>
  <si>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</si>
  <si>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</si>
  <si>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</si>
  <si>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</si>
  <si>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</si>
  <si>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</si>
  <si>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</si>
  <si>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</si>
  <si>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</si>
  <si>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</si>
  <si>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</si>
  <si>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</si>
  <si>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</si>
  <si>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</si>
  <si>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</si>
  <si>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</si>
  <si>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</si>
  <si>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</si>
  <si>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</si>
  <si>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</si>
  <si>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</si>
  <si>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</si>
  <si>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</si>
  <si>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</si>
  <si>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</si>
  <si>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</si>
  <si>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</si>
  <si>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</si>
  <si>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</si>
  <si>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</si>
  <si>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</si>
  <si>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</si>
  <si>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</si>
  <si>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</si>
  <si>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</si>
  <si>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</si>
  <si>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</si>
  <si>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</si>
  <si>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</si>
  <si>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</si>
  <si>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</si>
  <si>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</si>
  <si>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</si>
  <si>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</si>
  <si>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</si>
  <si>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</si>
  <si>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</si>
  <si>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</si>
  <si>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</si>
  <si>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</si>
  <si>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</si>
  <si>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</si>
  <si>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</si>
  <si>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</si>
  <si>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</si>
  <si>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</si>
  <si>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</si>
  <si>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</si>
  <si>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</si>
  <si>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</si>
  <si>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</si>
  <si>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</si>
  <si>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</si>
  <si>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</si>
  <si>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</si>
  <si>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</si>
  <si>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</si>
  <si>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</si>
  <si>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</si>
  <si>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</si>
  <si>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</si>
  <si>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</si>
  <si>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</si>
  <si>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</si>
  <si>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</si>
  <si>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</si>
  <si>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</si>
  <si>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</si>
  <si>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</si>
  <si>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</si>
  <si>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</si>
  <si>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</si>
  <si>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</si>
  <si>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SFE-410</t>
  </si>
  <si>
    <t>SFE-412</t>
  </si>
  <si>
    <t>SFE-411</t>
  </si>
  <si>
    <t>SFE-413</t>
  </si>
  <si>
    <t>SFE-414</t>
  </si>
  <si>
    <t>PU-VL</t>
  </si>
  <si>
    <t>PU-BE</t>
  </si>
  <si>
    <t>Oferta Julio 2026</t>
  </si>
  <si>
    <t>Julio 2026</t>
  </si>
  <si>
    <t>Cambio  026 planilla ver 10 actulizada</t>
  </si>
  <si>
    <t>PLANILLA PO INCIDENCIAS POR LLUVIA INTENSA BUCLE LI-MI Y MI-LI</t>
  </si>
  <si>
    <t>PLANILLA PO INCIDENCIAS POR MANTENIMIENTO SECTOR COSTERO  BUCLE LI-MI Y MI-LI</t>
  </si>
  <si>
    <t>PU-AM</t>
  </si>
  <si>
    <t>ES-LI</t>
  </si>
  <si>
    <t>RE-LI</t>
  </si>
  <si>
    <t>ES-SA</t>
  </si>
  <si>
    <t>CO-PU</t>
  </si>
  <si>
    <t>PU-FR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</si>
</sst>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6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8.8000000000000007"/>
      <color theme="1"/>
      <name val="Arial"/>
      <family val="2"/>
    </font>
    <font>
      <b/>
      <sz val="8.8000000000000007"/>
      <color theme="1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0.59999389629810485"/>
        <bgColor indexed="4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6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60"/>
      </patternFill>
    </fill>
    <fill>
      <patternFill patternType="solid">
        <fgColor rgb="FF00B0F0"/>
        <bgColor indexed="60"/>
      </patternFill>
    </fill>
    <fill>
      <patternFill patternType="solid">
        <fgColor rgb="FFFFFFFF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402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3" fontId="53" fillId="0" borderId="2" xfId="0" applyNumberFormat="1" applyFont="1" applyBorder="1" applyAlignment="1">
      <alignment horizontal="center" vertical="center" wrapText="1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3" fontId="3" fillId="38" borderId="1" xfId="4" applyNumberFormat="1" applyFill="1" applyBorder="1" applyAlignment="1">
      <alignment horizontal="center" wrapText="1"/>
    </xf>
    <xf numFmtId="3" fontId="7" fillId="38" borderId="1" xfId="4" applyNumberFormat="1" applyFont="1" applyFill="1" applyBorder="1" applyAlignment="1">
      <alignment horizontal="center" wrapText="1"/>
    </xf>
    <xf numFmtId="0" fontId="13" fillId="6" borderId="5" xfId="2" applyFont="1" applyFill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5" fillId="40" borderId="2" xfId="0" applyFont="1" applyFill="1" applyBorder="1" applyAlignment="1">
      <alignment horizontal="center"/>
    </xf>
    <xf numFmtId="0" fontId="3" fillId="38" borderId="1" xfId="6" applyFont="1" applyFill="1" applyBorder="1" applyAlignment="1" applyProtection="1">
      <alignment horizontal="center"/>
      <protection locked="0"/>
    </xf>
    <xf numFmtId="0" fontId="51" fillId="40" borderId="2" xfId="0" applyFont="1" applyFill="1" applyBorder="1" applyAlignment="1">
      <alignment horizontal="center"/>
    </xf>
    <xf numFmtId="0" fontId="7" fillId="43" borderId="2" xfId="0" applyFont="1" applyFill="1" applyBorder="1" applyAlignment="1" applyProtection="1">
      <alignment horizontal="center"/>
      <protection locked="0"/>
    </xf>
    <xf numFmtId="0" fontId="5" fillId="12" borderId="0" xfId="2" applyFont="1" applyFill="1" applyAlignment="1">
      <alignment horizontal="center"/>
    </xf>
    <xf numFmtId="0" fontId="0" fillId="43" borderId="2" xfId="0" applyFill="1" applyBorder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0" fillId="38" borderId="2" xfId="0" applyFill="1" applyBorder="1" applyAlignment="1">
      <alignment horizontal="center"/>
    </xf>
    <xf numFmtId="0" fontId="7" fillId="38" borderId="2" xfId="0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5" fillId="59" borderId="0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48" fillId="60" borderId="2" xfId="0" applyFont="1" applyFill="1" applyBorder="1"/>
    <xf numFmtId="0" fontId="13" fillId="61" borderId="5" xfId="2" applyFont="1" applyFill="1" applyBorder="1" applyAlignment="1">
      <alignment horizontal="center"/>
    </xf>
    <xf numFmtId="0" fontId="5" fillId="59" borderId="65" xfId="0" applyFont="1" applyFill="1" applyBorder="1" applyAlignment="1">
      <alignment horizontal="center"/>
    </xf>
    <xf numFmtId="0" fontId="48" fillId="62" borderId="2" xfId="0" applyFont="1" applyFill="1" applyBorder="1"/>
    <xf numFmtId="0" fontId="13" fillId="63" borderId="5" xfId="2" applyFont="1" applyFill="1" applyBorder="1" applyAlignment="1">
      <alignment horizontal="center"/>
    </xf>
    <xf numFmtId="0" fontId="48" fillId="52" borderId="2" xfId="0" applyFont="1" applyFill="1" applyBorder="1"/>
    <xf numFmtId="0" fontId="13" fillId="64" borderId="5" xfId="2" applyFont="1" applyFill="1" applyBorder="1" applyAlignment="1">
      <alignment horizontal="center"/>
    </xf>
    <xf numFmtId="0" fontId="59" fillId="66" borderId="85" xfId="0" applyFont="1" applyFill="1" applyBorder="1" applyAlignment="1">
      <alignment vertical="center" wrapText="1"/>
    </xf>
    <xf numFmtId="0" fontId="60" fillId="65" borderId="8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49" fillId="38" borderId="0" xfId="2" applyFont="1" applyFill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0" xfId="2" applyFont="1" applyFill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66" borderId="86" xfId="0" applyFill="1" applyBorder="1" applyAlignment="1">
      <alignment vertical="center" wrapText="1"/>
    </xf>
    <xf numFmtId="0" fontId="0" fillId="67" borderId="86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7000000}"/>
    <cellStyle name="Énfasis1 2" xfId="32" xr:uid="{00000000-0005-0000-0000-000018000000}"/>
    <cellStyle name="Énfasis2 2" xfId="33" xr:uid="{00000000-0005-0000-0000-000019000000}"/>
    <cellStyle name="Énfasis3 2" xfId="34" xr:uid="{00000000-0005-0000-0000-00001A000000}"/>
    <cellStyle name="Énfasis4 2" xfId="35" xr:uid="{00000000-0005-0000-0000-00001B000000}"/>
    <cellStyle name="Énfasis5 2" xfId="36" xr:uid="{00000000-0005-0000-0000-00001C000000}"/>
    <cellStyle name="Énfasis6 2" xfId="37" xr:uid="{00000000-0005-0000-0000-00001D000000}"/>
    <cellStyle name="Entrada 2" xfId="38" xr:uid="{00000000-0005-0000-0000-00001E000000}"/>
    <cellStyle name="Incorrecto 2" xfId="39" xr:uid="{00000000-0005-0000-0000-00001F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5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66CCFF"/>
      <color rgb="FFCCE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H93"/>
  <sheetViews>
    <sheetView topLeftCell="A52" zoomScaleNormal="100" workbookViewId="0">
      <selection activeCell="AF85" sqref="AF85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</cols>
  <sheetData>
    <row r="1" spans="1:34" ht="18" x14ac:dyDescent="0.25">
      <c r="A1" s="358" t="s">
        <v>0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</row>
    <row r="2" spans="1:34" x14ac:dyDescent="0.25">
      <c r="A2" s="1"/>
      <c r="B2" s="61">
        <v>46204</v>
      </c>
      <c r="C2" s="61">
        <v>46205</v>
      </c>
      <c r="D2" s="61">
        <v>46206</v>
      </c>
      <c r="E2" s="61">
        <v>46207</v>
      </c>
      <c r="F2" s="61">
        <v>46208</v>
      </c>
      <c r="G2" s="61">
        <v>46209</v>
      </c>
      <c r="H2" s="61">
        <v>46210</v>
      </c>
      <c r="I2" s="61">
        <v>46211</v>
      </c>
      <c r="J2" s="61">
        <v>46212</v>
      </c>
      <c r="K2" s="61">
        <v>46213</v>
      </c>
      <c r="L2" s="61">
        <v>46214</v>
      </c>
      <c r="M2" s="61">
        <v>46215</v>
      </c>
      <c r="N2" s="61">
        <v>46216</v>
      </c>
      <c r="O2" s="61">
        <v>46217</v>
      </c>
      <c r="P2" s="61">
        <v>46218</v>
      </c>
      <c r="Q2" s="61">
        <v>46219</v>
      </c>
      <c r="R2" s="61">
        <v>46220</v>
      </c>
      <c r="S2" s="61">
        <v>46221</v>
      </c>
      <c r="T2" s="61">
        <v>46222</v>
      </c>
      <c r="U2" s="61">
        <v>46223</v>
      </c>
      <c r="V2" s="61">
        <v>46224</v>
      </c>
      <c r="W2" s="61">
        <v>46225</v>
      </c>
      <c r="X2" s="61">
        <v>46226</v>
      </c>
      <c r="Y2" s="61">
        <v>46227</v>
      </c>
      <c r="Z2" s="61">
        <v>46228</v>
      </c>
      <c r="AA2" s="61">
        <v>46229</v>
      </c>
      <c r="AB2" s="61">
        <v>46230</v>
      </c>
      <c r="AC2" s="61">
        <v>46231</v>
      </c>
      <c r="AD2" s="61">
        <v>46232</v>
      </c>
      <c r="AE2" s="61">
        <v>46233</v>
      </c>
      <c r="AF2" s="61">
        <v>46234</v>
      </c>
    </row>
    <row r="3" spans="1:34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4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4" x14ac:dyDescent="0.25">
      <c r="A5" s="5" t="s">
        <v>4</v>
      </c>
      <c r="B5" s="308">
        <v>2140832</v>
      </c>
      <c r="C5" s="308">
        <v>2141376</v>
      </c>
      <c r="D5" s="308">
        <v>2141936</v>
      </c>
      <c r="E5" s="308">
        <v>2142453</v>
      </c>
      <c r="F5" s="308">
        <v>2142887</v>
      </c>
      <c r="G5" s="308">
        <v>2143174</v>
      </c>
      <c r="H5" s="308">
        <v>2143471</v>
      </c>
      <c r="I5" s="308">
        <v>2144032</v>
      </c>
      <c r="J5" s="308">
        <v>2144634</v>
      </c>
      <c r="K5" s="308">
        <v>2144835</v>
      </c>
      <c r="L5" s="308">
        <v>2144835</v>
      </c>
      <c r="M5" s="308">
        <v>2144835</v>
      </c>
      <c r="N5" s="308">
        <v>2145082</v>
      </c>
      <c r="O5" s="308">
        <v>2145422</v>
      </c>
      <c r="P5" s="308">
        <v>2145769</v>
      </c>
      <c r="Q5" s="308">
        <v>2145899</v>
      </c>
      <c r="R5" s="308">
        <v>2146252</v>
      </c>
      <c r="S5" s="308">
        <v>2146252</v>
      </c>
      <c r="T5" s="308">
        <v>2146252</v>
      </c>
      <c r="U5" s="308">
        <v>2146305</v>
      </c>
      <c r="V5" s="308">
        <v>2146678</v>
      </c>
      <c r="W5" s="308">
        <v>2147043</v>
      </c>
      <c r="X5" s="308">
        <v>2147275</v>
      </c>
      <c r="Y5" s="308">
        <v>2147552</v>
      </c>
      <c r="Z5" s="308">
        <v>2147552</v>
      </c>
      <c r="AA5" s="308">
        <v>2147552</v>
      </c>
      <c r="AB5" s="308">
        <v>2147682</v>
      </c>
      <c r="AC5" s="308">
        <v>2147812</v>
      </c>
      <c r="AD5" s="308">
        <v>2148395</v>
      </c>
      <c r="AE5" s="308">
        <v>2149001</v>
      </c>
      <c r="AF5" s="224">
        <v>2149604</v>
      </c>
      <c r="AG5" s="124"/>
      <c r="AH5" s="124"/>
    </row>
    <row r="6" spans="1:34" x14ac:dyDescent="0.25">
      <c r="A6" s="5" t="s">
        <v>5</v>
      </c>
      <c r="B6" s="308">
        <v>2104854</v>
      </c>
      <c r="C6" s="308">
        <v>2105339</v>
      </c>
      <c r="D6" s="308">
        <v>2105669</v>
      </c>
      <c r="E6" s="308">
        <v>2105669</v>
      </c>
      <c r="F6" s="308">
        <v>2105669</v>
      </c>
      <c r="G6" s="308">
        <v>2106171</v>
      </c>
      <c r="H6" s="308">
        <v>2106521</v>
      </c>
      <c r="I6" s="308">
        <v>2106891</v>
      </c>
      <c r="J6" s="308">
        <v>2107023</v>
      </c>
      <c r="K6" s="308">
        <v>2107206</v>
      </c>
      <c r="L6" s="308">
        <v>2107206</v>
      </c>
      <c r="M6" s="308">
        <v>2107224</v>
      </c>
      <c r="N6" s="308">
        <v>2107590</v>
      </c>
      <c r="O6" s="308">
        <v>2107727</v>
      </c>
      <c r="P6" s="308">
        <v>2107999</v>
      </c>
      <c r="Q6" s="308">
        <v>2108476</v>
      </c>
      <c r="R6" s="308">
        <v>2108653</v>
      </c>
      <c r="S6" s="308">
        <v>2108655</v>
      </c>
      <c r="T6" s="308">
        <v>2108657</v>
      </c>
      <c r="U6" s="308">
        <v>2109177</v>
      </c>
      <c r="V6" s="308">
        <v>2109681</v>
      </c>
      <c r="W6" s="308">
        <v>2110287</v>
      </c>
      <c r="X6" s="308">
        <v>2110895</v>
      </c>
      <c r="Y6" s="308">
        <v>2111099</v>
      </c>
      <c r="Z6" s="308">
        <v>2111099</v>
      </c>
      <c r="AA6" s="308">
        <v>2111099</v>
      </c>
      <c r="AB6" s="308">
        <v>2111345</v>
      </c>
      <c r="AC6" s="308">
        <v>2111596</v>
      </c>
      <c r="AD6" s="308">
        <v>2111788</v>
      </c>
      <c r="AE6" s="308">
        <v>2111958</v>
      </c>
      <c r="AF6" s="224">
        <v>2112244</v>
      </c>
      <c r="AG6" s="124"/>
      <c r="AH6" s="124"/>
    </row>
    <row r="7" spans="1:34" x14ac:dyDescent="0.25">
      <c r="A7" s="5" t="s">
        <v>6</v>
      </c>
      <c r="B7" s="308">
        <v>2183884</v>
      </c>
      <c r="C7" s="308">
        <v>2184253</v>
      </c>
      <c r="D7" s="308">
        <v>2184448</v>
      </c>
      <c r="E7" s="308">
        <v>2184448</v>
      </c>
      <c r="F7" s="308">
        <v>2184448</v>
      </c>
      <c r="G7" s="308">
        <v>2184657</v>
      </c>
      <c r="H7" s="308">
        <v>2185093</v>
      </c>
      <c r="I7" s="308">
        <v>2185351</v>
      </c>
      <c r="J7" s="308">
        <v>2185666</v>
      </c>
      <c r="K7" s="308">
        <v>2185990</v>
      </c>
      <c r="L7" s="308">
        <v>2186335</v>
      </c>
      <c r="M7" s="308">
        <v>2186767</v>
      </c>
      <c r="N7" s="308">
        <v>2187287</v>
      </c>
      <c r="O7" s="308">
        <v>2187737</v>
      </c>
      <c r="P7" s="308">
        <v>2187827</v>
      </c>
      <c r="Q7" s="308">
        <v>2187827</v>
      </c>
      <c r="R7" s="308">
        <v>2187827</v>
      </c>
      <c r="S7" s="308">
        <v>2187827</v>
      </c>
      <c r="T7" s="308">
        <v>2187846</v>
      </c>
      <c r="U7" s="308">
        <v>2187846</v>
      </c>
      <c r="V7" s="308">
        <v>2187980</v>
      </c>
      <c r="W7" s="308">
        <v>2188541</v>
      </c>
      <c r="X7" s="308">
        <v>2188741</v>
      </c>
      <c r="Y7" s="308">
        <v>2188992</v>
      </c>
      <c r="Z7" s="308">
        <v>2188992</v>
      </c>
      <c r="AA7" s="308">
        <v>2188992</v>
      </c>
      <c r="AB7" s="308">
        <v>2189503</v>
      </c>
      <c r="AC7" s="308">
        <v>2189765</v>
      </c>
      <c r="AD7" s="308">
        <v>2189964</v>
      </c>
      <c r="AE7" s="308">
        <v>2190465</v>
      </c>
      <c r="AF7" s="224">
        <v>2191029</v>
      </c>
      <c r="AG7" s="124"/>
      <c r="AH7" s="124"/>
    </row>
    <row r="8" spans="1:34" x14ac:dyDescent="0.25">
      <c r="A8" s="6" t="s">
        <v>7</v>
      </c>
      <c r="B8" s="308">
        <v>2186922</v>
      </c>
      <c r="C8" s="308">
        <v>2187176</v>
      </c>
      <c r="D8" s="308">
        <v>2187737</v>
      </c>
      <c r="E8" s="308">
        <v>2188254</v>
      </c>
      <c r="F8" s="308">
        <v>2188297</v>
      </c>
      <c r="G8" s="308">
        <v>2188749</v>
      </c>
      <c r="H8" s="308">
        <v>2188943</v>
      </c>
      <c r="I8" s="308">
        <v>2189193</v>
      </c>
      <c r="J8" s="308">
        <v>2189679</v>
      </c>
      <c r="K8" s="308">
        <v>2190200</v>
      </c>
      <c r="L8" s="308">
        <v>2190719</v>
      </c>
      <c r="M8" s="308">
        <v>2191238</v>
      </c>
      <c r="N8" s="308">
        <v>2191510</v>
      </c>
      <c r="O8" s="308">
        <v>2191761</v>
      </c>
      <c r="P8" s="308">
        <v>2192109</v>
      </c>
      <c r="Q8" s="308">
        <v>2192109</v>
      </c>
      <c r="R8" s="308">
        <v>2192109</v>
      </c>
      <c r="S8" s="308">
        <v>2192678</v>
      </c>
      <c r="T8" s="308">
        <v>2193105</v>
      </c>
      <c r="U8" s="308">
        <v>2193686</v>
      </c>
      <c r="V8" s="308">
        <v>2194103</v>
      </c>
      <c r="W8" s="308">
        <v>2194352</v>
      </c>
      <c r="X8" s="308">
        <v>2194726</v>
      </c>
      <c r="Y8" s="308">
        <v>2195080</v>
      </c>
      <c r="Z8" s="308">
        <v>2195599</v>
      </c>
      <c r="AA8" s="308">
        <v>2196075</v>
      </c>
      <c r="AB8" s="308">
        <v>2196188</v>
      </c>
      <c r="AC8" s="308">
        <v>2196699</v>
      </c>
      <c r="AD8" s="308">
        <v>2197150</v>
      </c>
      <c r="AE8" s="308">
        <v>2197316</v>
      </c>
      <c r="AF8" s="224">
        <v>2197519</v>
      </c>
      <c r="AG8" s="124"/>
      <c r="AH8" s="124"/>
    </row>
    <row r="9" spans="1:34" x14ac:dyDescent="0.25">
      <c r="A9" s="6" t="s">
        <v>8</v>
      </c>
      <c r="B9" s="308">
        <v>2102988</v>
      </c>
      <c r="C9" s="308">
        <v>2103548</v>
      </c>
      <c r="D9" s="308">
        <v>2104152</v>
      </c>
      <c r="E9" s="308">
        <v>2104713</v>
      </c>
      <c r="F9" s="308">
        <v>2105101</v>
      </c>
      <c r="G9" s="308">
        <v>2105470</v>
      </c>
      <c r="H9" s="308">
        <v>2105888</v>
      </c>
      <c r="I9" s="308">
        <v>2106208</v>
      </c>
      <c r="J9" s="308">
        <v>2106718</v>
      </c>
      <c r="K9" s="308">
        <v>2107279</v>
      </c>
      <c r="L9" s="308">
        <v>2107586</v>
      </c>
      <c r="M9" s="308">
        <v>2108017</v>
      </c>
      <c r="N9" s="308">
        <v>2108105</v>
      </c>
      <c r="O9" s="308">
        <v>2108420</v>
      </c>
      <c r="P9" s="308">
        <v>2108851</v>
      </c>
      <c r="Q9" s="308">
        <v>2108851</v>
      </c>
      <c r="R9" s="308">
        <v>2109045</v>
      </c>
      <c r="S9" s="308">
        <v>2109512</v>
      </c>
      <c r="T9" s="308">
        <v>2109987</v>
      </c>
      <c r="U9" s="308">
        <v>2110299</v>
      </c>
      <c r="V9" s="308">
        <v>2110319</v>
      </c>
      <c r="W9" s="308">
        <v>2110451</v>
      </c>
      <c r="X9" s="308">
        <v>2110713</v>
      </c>
      <c r="Y9" s="308">
        <v>2111025</v>
      </c>
      <c r="Z9" s="308">
        <v>2111586</v>
      </c>
      <c r="AA9" s="308">
        <v>2112061</v>
      </c>
      <c r="AB9" s="308">
        <v>2112234</v>
      </c>
      <c r="AC9" s="308">
        <v>2112754</v>
      </c>
      <c r="AD9" s="308">
        <v>2113024</v>
      </c>
      <c r="AE9" s="308">
        <v>2113275</v>
      </c>
      <c r="AF9" s="224">
        <v>2113677</v>
      </c>
      <c r="AG9" s="124"/>
      <c r="AH9" s="124"/>
    </row>
    <row r="10" spans="1:34" x14ac:dyDescent="0.25">
      <c r="A10" s="6" t="s">
        <v>9</v>
      </c>
      <c r="B10" s="308">
        <v>2211410</v>
      </c>
      <c r="C10" s="308">
        <v>2211929</v>
      </c>
      <c r="D10" s="308">
        <v>2212347</v>
      </c>
      <c r="E10" s="308">
        <v>2212390</v>
      </c>
      <c r="F10" s="308">
        <v>2212865</v>
      </c>
      <c r="G10" s="308">
        <v>2213123</v>
      </c>
      <c r="H10" s="308">
        <v>2213646</v>
      </c>
      <c r="I10" s="308">
        <v>2213826</v>
      </c>
      <c r="J10" s="308">
        <v>2213959</v>
      </c>
      <c r="K10" s="308">
        <v>2214126</v>
      </c>
      <c r="L10" s="308">
        <v>2214126</v>
      </c>
      <c r="M10" s="308">
        <v>2214346</v>
      </c>
      <c r="N10" s="308">
        <v>2214907</v>
      </c>
      <c r="O10" s="308">
        <v>2215428</v>
      </c>
      <c r="P10" s="308">
        <v>2215826</v>
      </c>
      <c r="Q10" s="308">
        <v>2216260</v>
      </c>
      <c r="R10" s="308">
        <v>2216260</v>
      </c>
      <c r="S10" s="308">
        <v>2216260</v>
      </c>
      <c r="T10" s="308">
        <v>2216260</v>
      </c>
      <c r="U10" s="308">
        <v>2216260</v>
      </c>
      <c r="V10" s="308">
        <v>2216260</v>
      </c>
      <c r="W10" s="308">
        <v>2216281</v>
      </c>
      <c r="X10" s="308">
        <v>2216485</v>
      </c>
      <c r="Y10" s="308">
        <v>2216751</v>
      </c>
      <c r="Z10" s="308">
        <v>2216865</v>
      </c>
      <c r="AA10" s="308">
        <v>2217129</v>
      </c>
      <c r="AB10" s="308">
        <v>2217392</v>
      </c>
      <c r="AC10" s="308">
        <v>2217913</v>
      </c>
      <c r="AD10" s="308">
        <v>2218518</v>
      </c>
      <c r="AE10" s="308">
        <v>2218722</v>
      </c>
      <c r="AF10" s="224">
        <v>2219259</v>
      </c>
      <c r="AG10" s="124"/>
      <c r="AH10" s="124"/>
    </row>
    <row r="11" spans="1:34" x14ac:dyDescent="0.25">
      <c r="A11" s="6" t="s">
        <v>10</v>
      </c>
      <c r="B11" s="308">
        <v>2248115</v>
      </c>
      <c r="C11" s="308">
        <v>2248272</v>
      </c>
      <c r="D11" s="308">
        <v>2248793</v>
      </c>
      <c r="E11" s="308">
        <v>2249314</v>
      </c>
      <c r="F11" s="308">
        <v>2249790</v>
      </c>
      <c r="G11" s="308">
        <v>2250284</v>
      </c>
      <c r="H11" s="308">
        <v>2250659</v>
      </c>
      <c r="I11" s="308">
        <v>2251221</v>
      </c>
      <c r="J11" s="308">
        <v>2251722</v>
      </c>
      <c r="K11" s="308">
        <v>2251905</v>
      </c>
      <c r="L11" s="308">
        <v>2251905</v>
      </c>
      <c r="M11" s="308">
        <v>2251905</v>
      </c>
      <c r="N11" s="308">
        <v>2252108</v>
      </c>
      <c r="O11" s="308">
        <v>2252291</v>
      </c>
      <c r="P11" s="308">
        <v>2252881</v>
      </c>
      <c r="Q11" s="308">
        <v>2253143</v>
      </c>
      <c r="R11" s="308">
        <v>2253143</v>
      </c>
      <c r="S11" s="308">
        <v>2253231</v>
      </c>
      <c r="T11" s="308">
        <v>2253231</v>
      </c>
      <c r="U11" s="308">
        <v>2253318</v>
      </c>
      <c r="V11" s="308">
        <v>2253743</v>
      </c>
      <c r="W11" s="308">
        <v>2254067</v>
      </c>
      <c r="X11" s="308">
        <v>2254317</v>
      </c>
      <c r="Y11" s="308">
        <v>2254580</v>
      </c>
      <c r="Z11" s="308">
        <v>2254580</v>
      </c>
      <c r="AA11" s="308">
        <v>2254580</v>
      </c>
      <c r="AB11" s="308">
        <v>2254710</v>
      </c>
      <c r="AC11" s="308">
        <v>2255067</v>
      </c>
      <c r="AD11" s="308">
        <v>2255392</v>
      </c>
      <c r="AE11" s="308">
        <v>2255689</v>
      </c>
      <c r="AF11" s="224">
        <v>2256183</v>
      </c>
      <c r="AG11" s="124"/>
      <c r="AH11" s="124"/>
    </row>
    <row r="12" spans="1:34" x14ac:dyDescent="0.25">
      <c r="A12" s="5" t="s">
        <v>11</v>
      </c>
      <c r="B12" s="308">
        <v>2146385</v>
      </c>
      <c r="C12" s="308">
        <v>2146664</v>
      </c>
      <c r="D12" s="308">
        <v>2146858</v>
      </c>
      <c r="E12" s="308">
        <v>2146858</v>
      </c>
      <c r="F12" s="308">
        <v>2146858</v>
      </c>
      <c r="G12" s="308">
        <v>2147089</v>
      </c>
      <c r="H12" s="308">
        <v>2147677</v>
      </c>
      <c r="I12" s="308">
        <v>2148197</v>
      </c>
      <c r="J12" s="308">
        <v>2148647</v>
      </c>
      <c r="K12" s="308">
        <v>2148868</v>
      </c>
      <c r="L12" s="308">
        <v>2148868</v>
      </c>
      <c r="M12" s="308">
        <v>2148868</v>
      </c>
      <c r="N12" s="308">
        <v>2149119</v>
      </c>
      <c r="O12" s="308">
        <v>2149337</v>
      </c>
      <c r="P12" s="308">
        <v>2149695</v>
      </c>
      <c r="Q12" s="308">
        <v>2149695</v>
      </c>
      <c r="R12" s="308">
        <v>2149695</v>
      </c>
      <c r="S12" s="308">
        <v>2149695</v>
      </c>
      <c r="T12" s="308">
        <v>2149695</v>
      </c>
      <c r="U12" s="308">
        <v>2149888</v>
      </c>
      <c r="V12" s="308">
        <v>2149891</v>
      </c>
      <c r="W12" s="308">
        <v>2149896</v>
      </c>
      <c r="X12" s="308">
        <v>2150089</v>
      </c>
      <c r="Y12" s="308">
        <v>2150351</v>
      </c>
      <c r="Z12" s="308">
        <v>2150351</v>
      </c>
      <c r="AA12" s="308">
        <v>2150351</v>
      </c>
      <c r="AB12" s="308">
        <v>2150423</v>
      </c>
      <c r="AC12" s="308">
        <v>2150617</v>
      </c>
      <c r="AD12" s="308">
        <v>2151178</v>
      </c>
      <c r="AE12" s="308">
        <v>2151458</v>
      </c>
      <c r="AF12" s="224">
        <v>2151744</v>
      </c>
      <c r="AG12" s="124"/>
      <c r="AH12" s="124"/>
    </row>
    <row r="13" spans="1:34" x14ac:dyDescent="0.25">
      <c r="A13" s="5" t="s">
        <v>12</v>
      </c>
      <c r="B13" s="308">
        <v>2131811</v>
      </c>
      <c r="C13" s="308">
        <v>2132261</v>
      </c>
      <c r="D13" s="308">
        <v>2132428</v>
      </c>
      <c r="E13" s="308">
        <v>2132428</v>
      </c>
      <c r="F13" s="308">
        <v>2132470</v>
      </c>
      <c r="G13" s="308">
        <v>2132794</v>
      </c>
      <c r="H13" s="308">
        <v>2133080</v>
      </c>
      <c r="I13" s="308">
        <v>2133682</v>
      </c>
      <c r="J13" s="308">
        <v>2134027</v>
      </c>
      <c r="K13" s="308">
        <v>2134225</v>
      </c>
      <c r="L13" s="308">
        <v>2134225</v>
      </c>
      <c r="M13" s="308">
        <v>2134225</v>
      </c>
      <c r="N13" s="308">
        <v>2134429</v>
      </c>
      <c r="O13" s="308">
        <v>2134679</v>
      </c>
      <c r="P13" s="308">
        <v>2134819</v>
      </c>
      <c r="Q13" s="308">
        <v>2134819</v>
      </c>
      <c r="R13" s="308">
        <v>2135004</v>
      </c>
      <c r="S13" s="308">
        <v>2135004</v>
      </c>
      <c r="T13" s="308">
        <v>2135004</v>
      </c>
      <c r="U13" s="308">
        <v>2135004</v>
      </c>
      <c r="V13" s="308">
        <v>2135056</v>
      </c>
      <c r="W13" s="308">
        <v>2135334</v>
      </c>
      <c r="X13" s="308">
        <v>2135583</v>
      </c>
      <c r="Y13" s="308">
        <v>2136100</v>
      </c>
      <c r="Z13" s="308">
        <v>2136100</v>
      </c>
      <c r="AA13" s="308">
        <v>2136100</v>
      </c>
      <c r="AB13" s="308">
        <v>2136347</v>
      </c>
      <c r="AC13" s="308">
        <v>2136610</v>
      </c>
      <c r="AD13" s="308">
        <v>2136922</v>
      </c>
      <c r="AE13" s="308">
        <v>2137439</v>
      </c>
      <c r="AF13" s="224">
        <v>2137673</v>
      </c>
      <c r="AG13" s="124"/>
      <c r="AH13" s="124"/>
    </row>
    <row r="14" spans="1:34" x14ac:dyDescent="0.25">
      <c r="A14" s="5" t="s">
        <v>13</v>
      </c>
      <c r="B14" s="308">
        <v>2199907</v>
      </c>
      <c r="C14" s="308">
        <v>2199977</v>
      </c>
      <c r="D14" s="308">
        <v>2200066</v>
      </c>
      <c r="E14" s="308">
        <v>2200066</v>
      </c>
      <c r="F14" s="308">
        <v>2200066</v>
      </c>
      <c r="G14" s="308">
        <v>2200427</v>
      </c>
      <c r="H14" s="308">
        <v>2200577</v>
      </c>
      <c r="I14" s="308">
        <v>2201096</v>
      </c>
      <c r="J14" s="308">
        <v>2201355</v>
      </c>
      <c r="K14" s="308">
        <v>2201547</v>
      </c>
      <c r="L14" s="308">
        <v>2201547</v>
      </c>
      <c r="M14" s="308">
        <v>2201547</v>
      </c>
      <c r="N14" s="308">
        <v>2201776</v>
      </c>
      <c r="O14" s="308">
        <v>2202326</v>
      </c>
      <c r="P14" s="308">
        <v>2202743</v>
      </c>
      <c r="Q14" s="308">
        <v>2202743</v>
      </c>
      <c r="R14" s="308">
        <v>2202982</v>
      </c>
      <c r="S14" s="308">
        <v>2203500</v>
      </c>
      <c r="T14" s="308">
        <v>2204017</v>
      </c>
      <c r="U14" s="308">
        <v>2204386</v>
      </c>
      <c r="V14" s="308">
        <v>2204478</v>
      </c>
      <c r="W14" s="308">
        <v>2204478</v>
      </c>
      <c r="X14" s="308">
        <v>2204478</v>
      </c>
      <c r="Y14" s="308">
        <v>2204478</v>
      </c>
      <c r="Z14" s="308">
        <v>2204478</v>
      </c>
      <c r="AA14" s="308">
        <v>2204478</v>
      </c>
      <c r="AB14" s="308">
        <v>2204478</v>
      </c>
      <c r="AC14" s="308">
        <v>2204478</v>
      </c>
      <c r="AD14" s="308">
        <v>2204478</v>
      </c>
      <c r="AE14" s="308">
        <v>2204478</v>
      </c>
      <c r="AF14" s="224">
        <v>2204478</v>
      </c>
      <c r="AG14" s="124"/>
      <c r="AH14" s="124"/>
    </row>
    <row r="15" spans="1:34" x14ac:dyDescent="0.25">
      <c r="A15" s="6" t="s">
        <v>14</v>
      </c>
      <c r="B15" s="308">
        <v>2226695</v>
      </c>
      <c r="C15" s="308">
        <v>2227299</v>
      </c>
      <c r="D15" s="308">
        <v>2227859</v>
      </c>
      <c r="E15" s="308">
        <v>2228420</v>
      </c>
      <c r="F15" s="308">
        <v>2228809</v>
      </c>
      <c r="G15" s="308">
        <v>2229259</v>
      </c>
      <c r="H15" s="308">
        <v>2229337</v>
      </c>
      <c r="I15" s="308">
        <v>2229549</v>
      </c>
      <c r="J15" s="308">
        <v>2229800</v>
      </c>
      <c r="K15" s="308">
        <v>2230041</v>
      </c>
      <c r="L15" s="308">
        <v>2230041</v>
      </c>
      <c r="M15" s="308">
        <v>2230041</v>
      </c>
      <c r="N15" s="308">
        <v>2230600</v>
      </c>
      <c r="O15" s="308">
        <v>2230866</v>
      </c>
      <c r="P15" s="308">
        <v>2231470</v>
      </c>
      <c r="Q15" s="308">
        <v>2231947</v>
      </c>
      <c r="R15" s="308">
        <v>2231947</v>
      </c>
      <c r="S15" s="308">
        <v>2231947</v>
      </c>
      <c r="T15" s="308">
        <v>2231947</v>
      </c>
      <c r="U15" s="308">
        <v>2231947</v>
      </c>
      <c r="V15" s="308">
        <v>2231967</v>
      </c>
      <c r="W15" s="308">
        <v>2232247</v>
      </c>
      <c r="X15" s="308">
        <v>2232441</v>
      </c>
      <c r="Y15" s="308">
        <v>2232698</v>
      </c>
      <c r="Z15" s="308">
        <v>2232698</v>
      </c>
      <c r="AA15" s="308">
        <v>2232698</v>
      </c>
      <c r="AB15" s="308">
        <v>2233027</v>
      </c>
      <c r="AC15" s="308">
        <v>2233477</v>
      </c>
      <c r="AD15" s="308">
        <v>2233895</v>
      </c>
      <c r="AE15" s="308">
        <v>2234244</v>
      </c>
      <c r="AF15" s="224">
        <v>2234804</v>
      </c>
      <c r="AG15" s="124"/>
      <c r="AH15" s="124" t="s">
        <v>144</v>
      </c>
    </row>
    <row r="16" spans="1:34" x14ac:dyDescent="0.25">
      <c r="A16" s="6" t="s">
        <v>15</v>
      </c>
      <c r="B16" s="308">
        <v>2072121</v>
      </c>
      <c r="C16" s="308">
        <v>2072315</v>
      </c>
      <c r="D16" s="308">
        <v>2072490</v>
      </c>
      <c r="E16" s="308">
        <v>2072490</v>
      </c>
      <c r="F16" s="308">
        <v>2072490</v>
      </c>
      <c r="G16" s="308">
        <v>2072990</v>
      </c>
      <c r="H16" s="308">
        <v>2073551</v>
      </c>
      <c r="I16" s="308">
        <v>2074154</v>
      </c>
      <c r="J16" s="308">
        <v>2074509</v>
      </c>
      <c r="K16" s="308">
        <v>2075113</v>
      </c>
      <c r="L16" s="308">
        <v>2075630</v>
      </c>
      <c r="M16" s="308">
        <v>2075890</v>
      </c>
      <c r="N16" s="308">
        <v>2076195</v>
      </c>
      <c r="O16" s="308">
        <v>2076801</v>
      </c>
      <c r="P16" s="308">
        <v>2077044</v>
      </c>
      <c r="Q16" s="308">
        <v>2077044</v>
      </c>
      <c r="R16" s="308">
        <v>2077045</v>
      </c>
      <c r="S16" s="308">
        <v>2077045</v>
      </c>
      <c r="T16" s="308">
        <v>2077045</v>
      </c>
      <c r="U16" s="308">
        <v>2077065</v>
      </c>
      <c r="V16" s="308">
        <v>2077046</v>
      </c>
      <c r="W16" s="308">
        <v>2077177</v>
      </c>
      <c r="X16" s="308">
        <v>2077689</v>
      </c>
      <c r="Y16" s="308">
        <v>2077927</v>
      </c>
      <c r="Z16" s="308">
        <v>2077927</v>
      </c>
      <c r="AA16" s="308">
        <v>2077927</v>
      </c>
      <c r="AB16" s="308">
        <v>2078146</v>
      </c>
      <c r="AC16" s="308">
        <v>2078571</v>
      </c>
      <c r="AD16" s="308">
        <v>2079174</v>
      </c>
      <c r="AE16" s="308">
        <v>2079324</v>
      </c>
      <c r="AF16" s="224">
        <v>2079325</v>
      </c>
      <c r="AG16" s="124"/>
      <c r="AH16" s="124"/>
    </row>
    <row r="17" spans="1:32" x14ac:dyDescent="0.25">
      <c r="A17" s="6" t="s">
        <v>16</v>
      </c>
      <c r="B17" s="308">
        <v>2177207</v>
      </c>
      <c r="C17" s="308">
        <v>2177456</v>
      </c>
      <c r="D17" s="308">
        <v>2177707</v>
      </c>
      <c r="E17" s="308">
        <v>2177707</v>
      </c>
      <c r="F17" s="308">
        <v>2177707</v>
      </c>
      <c r="G17" s="308">
        <v>2177785</v>
      </c>
      <c r="H17" s="308">
        <v>2178303</v>
      </c>
      <c r="I17" s="308">
        <v>2178700</v>
      </c>
      <c r="J17" s="308">
        <v>2179134</v>
      </c>
      <c r="K17" s="308">
        <v>2179584</v>
      </c>
      <c r="L17" s="308">
        <v>2179584</v>
      </c>
      <c r="M17" s="308">
        <v>2179584</v>
      </c>
      <c r="N17" s="308">
        <v>2179759</v>
      </c>
      <c r="O17" s="308">
        <v>2180027</v>
      </c>
      <c r="P17" s="308">
        <v>2180586</v>
      </c>
      <c r="Q17" s="308">
        <v>2181103</v>
      </c>
      <c r="R17" s="308">
        <v>2181103</v>
      </c>
      <c r="S17" s="308">
        <v>2181527</v>
      </c>
      <c r="T17" s="308">
        <v>2181527</v>
      </c>
      <c r="U17" s="308">
        <v>2181549</v>
      </c>
      <c r="V17" s="308">
        <v>2181549</v>
      </c>
      <c r="W17" s="308">
        <v>2181593</v>
      </c>
      <c r="X17" s="308">
        <v>2181594</v>
      </c>
      <c r="Y17" s="308">
        <v>2181594</v>
      </c>
      <c r="Z17" s="308">
        <v>2181594</v>
      </c>
      <c r="AA17" s="308">
        <v>2181594</v>
      </c>
      <c r="AB17" s="308">
        <v>2181594</v>
      </c>
      <c r="AC17" s="308">
        <v>2181594</v>
      </c>
      <c r="AD17" s="308">
        <v>2181594</v>
      </c>
      <c r="AE17" s="308">
        <v>2181594</v>
      </c>
      <c r="AF17" s="224">
        <v>2181594</v>
      </c>
    </row>
    <row r="18" spans="1:32" x14ac:dyDescent="0.25">
      <c r="A18" s="6" t="s">
        <v>17</v>
      </c>
      <c r="B18" s="308">
        <v>2149301</v>
      </c>
      <c r="C18" s="308">
        <v>2149861</v>
      </c>
      <c r="D18" s="308">
        <v>2150464</v>
      </c>
      <c r="E18" s="308">
        <v>2150508</v>
      </c>
      <c r="F18" s="308">
        <v>2150982</v>
      </c>
      <c r="G18" s="308">
        <v>2151392</v>
      </c>
      <c r="H18" s="308">
        <v>2151827</v>
      </c>
      <c r="I18" s="308">
        <v>2152020</v>
      </c>
      <c r="J18" s="308">
        <v>2152271</v>
      </c>
      <c r="K18" s="308">
        <v>2152789</v>
      </c>
      <c r="L18" s="308">
        <v>2152789</v>
      </c>
      <c r="M18" s="308">
        <v>2152789</v>
      </c>
      <c r="N18" s="308">
        <v>2153106</v>
      </c>
      <c r="O18" s="308">
        <v>2153375</v>
      </c>
      <c r="P18" s="308">
        <v>2153851</v>
      </c>
      <c r="Q18" s="308">
        <v>2154368</v>
      </c>
      <c r="R18" s="308">
        <v>2154368</v>
      </c>
      <c r="S18" s="308">
        <v>2155050</v>
      </c>
      <c r="T18" s="308">
        <v>2155310</v>
      </c>
      <c r="U18" s="308">
        <v>2155310</v>
      </c>
      <c r="V18" s="308">
        <v>2155634</v>
      </c>
      <c r="W18" s="308">
        <v>2155884</v>
      </c>
      <c r="X18" s="308">
        <v>2156471</v>
      </c>
      <c r="Y18" s="308">
        <v>2156819</v>
      </c>
      <c r="Z18" s="308">
        <v>2157336</v>
      </c>
      <c r="AA18" s="308">
        <v>2157854</v>
      </c>
      <c r="AB18" s="308">
        <v>2158457</v>
      </c>
      <c r="AC18" s="308">
        <v>2158728</v>
      </c>
      <c r="AD18" s="308">
        <v>2158921</v>
      </c>
      <c r="AE18" s="308">
        <v>2159525</v>
      </c>
      <c r="AF18" s="224">
        <v>2159633</v>
      </c>
    </row>
    <row r="19" spans="1:32" x14ac:dyDescent="0.25">
      <c r="A19" s="6" t="s">
        <v>18</v>
      </c>
      <c r="B19" s="308">
        <v>2236752</v>
      </c>
      <c r="C19" s="308">
        <v>2236752</v>
      </c>
      <c r="D19" s="308">
        <v>2236752</v>
      </c>
      <c r="E19" s="308">
        <v>2236752</v>
      </c>
      <c r="F19" s="308">
        <v>2236752</v>
      </c>
      <c r="G19" s="308">
        <v>2236752</v>
      </c>
      <c r="H19" s="308">
        <v>2236752</v>
      </c>
      <c r="I19" s="308">
        <v>2236752</v>
      </c>
      <c r="J19" s="308">
        <v>2236752</v>
      </c>
      <c r="K19" s="308">
        <v>2236752</v>
      </c>
      <c r="L19" s="308">
        <v>2236752</v>
      </c>
      <c r="M19" s="308">
        <v>2236752</v>
      </c>
      <c r="N19" s="308">
        <v>2236752</v>
      </c>
      <c r="O19" s="308">
        <v>2236752</v>
      </c>
      <c r="P19" s="308">
        <v>2236752</v>
      </c>
      <c r="Q19" s="308">
        <v>2236752</v>
      </c>
      <c r="R19" s="308">
        <v>2236752</v>
      </c>
      <c r="S19" s="308">
        <v>2236752</v>
      </c>
      <c r="T19" s="308">
        <v>2236752</v>
      </c>
      <c r="U19" s="308">
        <v>2236752</v>
      </c>
      <c r="V19" s="308">
        <v>2236752</v>
      </c>
      <c r="W19" s="308">
        <v>2236752</v>
      </c>
      <c r="X19" s="308">
        <v>2236752</v>
      </c>
      <c r="Y19" s="308">
        <v>2236752</v>
      </c>
      <c r="Z19" s="308">
        <v>2236752</v>
      </c>
      <c r="AA19" s="308">
        <v>2236752</v>
      </c>
      <c r="AB19" s="308">
        <v>2236752</v>
      </c>
      <c r="AC19" s="308">
        <v>2236752</v>
      </c>
      <c r="AD19" s="308">
        <v>2236752</v>
      </c>
      <c r="AE19" s="308">
        <v>2236752</v>
      </c>
      <c r="AF19" s="224">
        <v>2236752</v>
      </c>
    </row>
    <row r="20" spans="1:32" x14ac:dyDescent="0.25">
      <c r="A20" s="6" t="s">
        <v>19</v>
      </c>
      <c r="B20" s="308">
        <v>2206606</v>
      </c>
      <c r="C20" s="308">
        <v>2207099</v>
      </c>
      <c r="D20" s="308">
        <v>2207302</v>
      </c>
      <c r="E20" s="308">
        <v>2207302</v>
      </c>
      <c r="F20" s="308">
        <v>2207302</v>
      </c>
      <c r="G20" s="308">
        <v>2207559</v>
      </c>
      <c r="H20" s="308">
        <v>2208077</v>
      </c>
      <c r="I20" s="308">
        <v>2208501</v>
      </c>
      <c r="J20" s="308">
        <v>2208753</v>
      </c>
      <c r="K20" s="308">
        <v>2209082</v>
      </c>
      <c r="L20" s="308">
        <v>2209383</v>
      </c>
      <c r="M20" s="308">
        <v>2209771</v>
      </c>
      <c r="N20" s="308">
        <v>2210288</v>
      </c>
      <c r="O20" s="308">
        <v>2210854</v>
      </c>
      <c r="P20" s="308">
        <v>2211415</v>
      </c>
      <c r="Q20" s="308">
        <v>2211681</v>
      </c>
      <c r="R20" s="308">
        <v>2211953</v>
      </c>
      <c r="S20" s="308">
        <v>2212470</v>
      </c>
      <c r="T20" s="308">
        <v>2212556</v>
      </c>
      <c r="U20" s="308">
        <v>2212560</v>
      </c>
      <c r="V20" s="308">
        <v>2212583</v>
      </c>
      <c r="W20" s="308">
        <v>2212583</v>
      </c>
      <c r="X20" s="308">
        <v>2212584</v>
      </c>
      <c r="Y20" s="308">
        <v>2212584</v>
      </c>
      <c r="Z20" s="308">
        <v>2212584</v>
      </c>
      <c r="AA20" s="308">
        <v>2212584</v>
      </c>
      <c r="AB20" s="308">
        <v>2212584</v>
      </c>
      <c r="AC20" s="308">
        <v>2212584</v>
      </c>
      <c r="AD20" s="308">
        <v>2212584</v>
      </c>
      <c r="AE20" s="308">
        <v>2212584</v>
      </c>
      <c r="AF20" s="224">
        <v>2212584</v>
      </c>
    </row>
    <row r="21" spans="1:32" x14ac:dyDescent="0.25">
      <c r="A21" s="6" t="s">
        <v>20</v>
      </c>
      <c r="B21" s="308">
        <v>2211208</v>
      </c>
      <c r="C21" s="308">
        <v>2211767</v>
      </c>
      <c r="D21" s="308">
        <v>2212216</v>
      </c>
      <c r="E21" s="308">
        <v>2212216</v>
      </c>
      <c r="F21" s="308">
        <v>2212216</v>
      </c>
      <c r="G21" s="308">
        <v>2212630</v>
      </c>
      <c r="H21" s="308">
        <v>2212935</v>
      </c>
      <c r="I21" s="308">
        <v>2213368</v>
      </c>
      <c r="J21" s="308">
        <v>2213714</v>
      </c>
      <c r="K21" s="308">
        <v>2214277</v>
      </c>
      <c r="L21" s="308">
        <v>2214751</v>
      </c>
      <c r="M21" s="308">
        <v>2215225</v>
      </c>
      <c r="N21" s="308">
        <v>2215425</v>
      </c>
      <c r="O21" s="308">
        <v>2215963</v>
      </c>
      <c r="P21" s="308">
        <v>2216481</v>
      </c>
      <c r="Q21" s="308">
        <v>2216697</v>
      </c>
      <c r="R21" s="308">
        <v>2216948</v>
      </c>
      <c r="S21" s="308">
        <v>2216948</v>
      </c>
      <c r="T21" s="308">
        <v>2216948</v>
      </c>
      <c r="U21" s="308">
        <v>2217095</v>
      </c>
      <c r="V21" s="308">
        <v>2217635</v>
      </c>
      <c r="W21" s="308">
        <v>2217766</v>
      </c>
      <c r="X21" s="308">
        <v>2218258</v>
      </c>
      <c r="Y21" s="308">
        <v>2218487</v>
      </c>
      <c r="Z21" s="308">
        <v>2218487</v>
      </c>
      <c r="AA21" s="308">
        <v>2218487</v>
      </c>
      <c r="AB21" s="308">
        <v>2219055</v>
      </c>
      <c r="AC21" s="308">
        <v>2219488</v>
      </c>
      <c r="AD21" s="308">
        <v>2219755</v>
      </c>
      <c r="AE21" s="308">
        <v>2220066</v>
      </c>
      <c r="AF21" s="224">
        <v>2220587</v>
      </c>
    </row>
    <row r="22" spans="1:32" x14ac:dyDescent="0.25">
      <c r="A22" s="6" t="s">
        <v>21</v>
      </c>
      <c r="B22" s="308">
        <v>2139923</v>
      </c>
      <c r="C22" s="308">
        <v>2140117</v>
      </c>
      <c r="D22" s="308">
        <v>2140365</v>
      </c>
      <c r="E22" s="308">
        <v>2140365</v>
      </c>
      <c r="F22" s="308">
        <v>2140365</v>
      </c>
      <c r="G22" s="308">
        <v>2140936</v>
      </c>
      <c r="H22" s="308">
        <v>2141214</v>
      </c>
      <c r="I22" s="308">
        <v>2141519</v>
      </c>
      <c r="J22" s="308">
        <v>2141950</v>
      </c>
      <c r="K22" s="308">
        <v>2142469</v>
      </c>
      <c r="L22" s="308">
        <v>2142987</v>
      </c>
      <c r="M22" s="308">
        <v>2143461</v>
      </c>
      <c r="N22" s="308">
        <v>2144064</v>
      </c>
      <c r="O22" s="308">
        <v>2144424</v>
      </c>
      <c r="P22" s="308">
        <v>2144682</v>
      </c>
      <c r="Q22" s="308">
        <v>2144751</v>
      </c>
      <c r="R22" s="308">
        <v>2145021</v>
      </c>
      <c r="S22" s="308">
        <v>2145472</v>
      </c>
      <c r="T22" s="308">
        <v>2145736</v>
      </c>
      <c r="U22" s="308">
        <v>2146298</v>
      </c>
      <c r="V22" s="308">
        <v>2146860</v>
      </c>
      <c r="W22" s="308">
        <v>2147464</v>
      </c>
      <c r="X22" s="308">
        <v>2148068</v>
      </c>
      <c r="Y22" s="308">
        <v>2148673</v>
      </c>
      <c r="Z22" s="308">
        <v>2148763</v>
      </c>
      <c r="AA22" s="308">
        <v>2148765</v>
      </c>
      <c r="AB22" s="308">
        <v>2149285</v>
      </c>
      <c r="AC22" s="308">
        <v>2149488</v>
      </c>
      <c r="AD22" s="308">
        <v>2149655</v>
      </c>
      <c r="AE22" s="308">
        <v>2150003</v>
      </c>
      <c r="AF22" s="224">
        <v>2150545</v>
      </c>
    </row>
    <row r="23" spans="1:32" x14ac:dyDescent="0.25">
      <c r="A23" s="6" t="s">
        <v>22</v>
      </c>
      <c r="B23" s="308">
        <v>2171504</v>
      </c>
      <c r="C23" s="308">
        <v>2171875</v>
      </c>
      <c r="D23" s="308">
        <v>2172127</v>
      </c>
      <c r="E23" s="308">
        <v>2172320</v>
      </c>
      <c r="F23" s="308">
        <v>2172841</v>
      </c>
      <c r="G23" s="308">
        <v>2173359</v>
      </c>
      <c r="H23" s="308">
        <v>2173646</v>
      </c>
      <c r="I23" s="308">
        <v>2173897</v>
      </c>
      <c r="J23" s="308">
        <v>2174485</v>
      </c>
      <c r="K23" s="308">
        <v>2174920</v>
      </c>
      <c r="L23" s="308">
        <v>2175223</v>
      </c>
      <c r="M23" s="308">
        <v>2175266</v>
      </c>
      <c r="N23" s="308">
        <v>2175716</v>
      </c>
      <c r="O23" s="308">
        <v>2175910</v>
      </c>
      <c r="P23" s="308">
        <v>2176154</v>
      </c>
      <c r="Q23" s="308">
        <v>2176154</v>
      </c>
      <c r="R23" s="308">
        <v>2176291</v>
      </c>
      <c r="S23" s="308">
        <v>2176291</v>
      </c>
      <c r="T23" s="308">
        <v>2176291</v>
      </c>
      <c r="U23" s="308">
        <v>2176291</v>
      </c>
      <c r="V23" s="308">
        <v>2176413</v>
      </c>
      <c r="W23" s="308">
        <v>2176616</v>
      </c>
      <c r="X23" s="308">
        <v>2177040</v>
      </c>
      <c r="Y23" s="308">
        <v>2177646</v>
      </c>
      <c r="Z23" s="308">
        <v>2177736</v>
      </c>
      <c r="AA23" s="308">
        <v>2178255</v>
      </c>
      <c r="AB23" s="308">
        <v>2178816</v>
      </c>
      <c r="AC23" s="308">
        <v>2179204</v>
      </c>
      <c r="AD23" s="308">
        <v>2179408</v>
      </c>
      <c r="AE23" s="308">
        <v>2179659</v>
      </c>
      <c r="AF23" s="224">
        <v>2179956</v>
      </c>
    </row>
    <row r="24" spans="1:32" x14ac:dyDescent="0.25">
      <c r="A24" s="5" t="s">
        <v>23</v>
      </c>
      <c r="B24" s="308">
        <v>2210668</v>
      </c>
      <c r="C24" s="308">
        <v>2210919</v>
      </c>
      <c r="D24" s="308">
        <v>2211504</v>
      </c>
      <c r="E24" s="308">
        <v>2212022</v>
      </c>
      <c r="F24" s="308">
        <v>2212497</v>
      </c>
      <c r="G24" s="308">
        <v>2213056</v>
      </c>
      <c r="H24" s="308">
        <v>2213580</v>
      </c>
      <c r="I24" s="308">
        <v>2213868</v>
      </c>
      <c r="J24" s="308">
        <v>2214198</v>
      </c>
      <c r="K24" s="308">
        <v>2214547</v>
      </c>
      <c r="L24" s="308">
        <v>2215106</v>
      </c>
      <c r="M24" s="308">
        <v>2215149</v>
      </c>
      <c r="N24" s="308">
        <v>2215753</v>
      </c>
      <c r="O24" s="308">
        <v>2216206</v>
      </c>
      <c r="P24" s="308">
        <v>2216400</v>
      </c>
      <c r="Q24" s="308">
        <v>2216400</v>
      </c>
      <c r="R24" s="308">
        <v>2216401</v>
      </c>
      <c r="S24" s="308">
        <v>2216401</v>
      </c>
      <c r="T24" s="308">
        <v>2216401</v>
      </c>
      <c r="U24" s="308">
        <v>2216401</v>
      </c>
      <c r="V24" s="308">
        <v>2216521</v>
      </c>
      <c r="W24" s="308">
        <v>2217108</v>
      </c>
      <c r="X24" s="308">
        <v>2217285</v>
      </c>
      <c r="Y24" s="308">
        <v>2217580</v>
      </c>
      <c r="Z24" s="308">
        <v>2218143</v>
      </c>
      <c r="AA24" s="308">
        <v>2218622</v>
      </c>
      <c r="AB24" s="308">
        <v>2218846</v>
      </c>
      <c r="AC24" s="308">
        <v>2219039</v>
      </c>
      <c r="AD24" s="308">
        <v>2219239</v>
      </c>
      <c r="AE24" s="308">
        <v>2219775</v>
      </c>
      <c r="AF24" s="224">
        <v>2220377</v>
      </c>
    </row>
    <row r="25" spans="1:32" x14ac:dyDescent="0.25">
      <c r="A25" s="6" t="s">
        <v>24</v>
      </c>
      <c r="B25" s="308">
        <v>2225305</v>
      </c>
      <c r="C25" s="308">
        <v>2225757</v>
      </c>
      <c r="D25" s="308">
        <v>2226097</v>
      </c>
      <c r="E25" s="308">
        <v>2226657</v>
      </c>
      <c r="F25" s="308">
        <v>2226705</v>
      </c>
      <c r="G25" s="308">
        <v>2227266</v>
      </c>
      <c r="H25" s="308">
        <v>2227512</v>
      </c>
      <c r="I25" s="308">
        <v>2228029</v>
      </c>
      <c r="J25" s="308">
        <v>2228274</v>
      </c>
      <c r="K25" s="308">
        <v>2228551</v>
      </c>
      <c r="L25" s="308">
        <v>2228551</v>
      </c>
      <c r="M25" s="308">
        <v>2228551</v>
      </c>
      <c r="N25" s="308">
        <v>2228733</v>
      </c>
      <c r="O25" s="308">
        <v>2228866</v>
      </c>
      <c r="P25" s="308">
        <v>2229125</v>
      </c>
      <c r="Q25" s="308">
        <v>2229125</v>
      </c>
      <c r="R25" s="308">
        <v>2229125</v>
      </c>
      <c r="S25" s="308">
        <v>2229125</v>
      </c>
      <c r="T25" s="308">
        <v>2229125</v>
      </c>
      <c r="U25" s="308">
        <v>2229561</v>
      </c>
      <c r="V25" s="308">
        <v>2230151</v>
      </c>
      <c r="W25" s="308">
        <v>2230670</v>
      </c>
      <c r="X25" s="308">
        <v>2231102</v>
      </c>
      <c r="Y25" s="308">
        <v>2231623</v>
      </c>
      <c r="Z25" s="308">
        <v>2232141</v>
      </c>
      <c r="AA25" s="308">
        <v>2232615</v>
      </c>
      <c r="AB25" s="308">
        <v>2233084</v>
      </c>
      <c r="AC25" s="308">
        <v>2233344</v>
      </c>
      <c r="AD25" s="308">
        <v>2233795</v>
      </c>
      <c r="AE25" s="308">
        <v>2234355</v>
      </c>
      <c r="AF25" s="224">
        <v>2234874</v>
      </c>
    </row>
    <row r="26" spans="1:32" x14ac:dyDescent="0.25">
      <c r="A26" s="6" t="s">
        <v>25</v>
      </c>
      <c r="B26" s="308">
        <v>2225619</v>
      </c>
      <c r="C26" s="308">
        <v>2226179</v>
      </c>
      <c r="D26" s="308">
        <v>2226451</v>
      </c>
      <c r="E26" s="308">
        <v>2226451</v>
      </c>
      <c r="F26" s="308">
        <v>2226451</v>
      </c>
      <c r="G26" s="308">
        <v>2226755</v>
      </c>
      <c r="H26" s="308">
        <v>2227037</v>
      </c>
      <c r="I26" s="308">
        <v>2227117</v>
      </c>
      <c r="J26" s="308">
        <v>2227681</v>
      </c>
      <c r="K26" s="308">
        <v>2227925</v>
      </c>
      <c r="L26" s="308">
        <v>2227925</v>
      </c>
      <c r="M26" s="308">
        <v>2227925</v>
      </c>
      <c r="N26" s="308">
        <v>2228174</v>
      </c>
      <c r="O26" s="308">
        <v>2228618</v>
      </c>
      <c r="P26" s="308">
        <v>2228699</v>
      </c>
      <c r="Q26" s="308">
        <v>2228699</v>
      </c>
      <c r="R26" s="308">
        <v>2228701</v>
      </c>
      <c r="S26" s="308">
        <v>2228704</v>
      </c>
      <c r="T26" s="308">
        <v>2229137</v>
      </c>
      <c r="U26" s="308">
        <v>2229656</v>
      </c>
      <c r="V26" s="308">
        <v>2229676</v>
      </c>
      <c r="W26" s="308">
        <v>2229807</v>
      </c>
      <c r="X26" s="308">
        <v>2230065</v>
      </c>
      <c r="Y26" s="308">
        <v>2230584</v>
      </c>
      <c r="Z26" s="308">
        <v>2231147</v>
      </c>
      <c r="AA26" s="308">
        <v>2231190</v>
      </c>
      <c r="AB26" s="308">
        <v>2231330</v>
      </c>
      <c r="AC26" s="308">
        <v>2231348</v>
      </c>
      <c r="AD26" s="308">
        <v>2231910</v>
      </c>
      <c r="AE26" s="308">
        <v>2232403</v>
      </c>
      <c r="AF26" s="224">
        <v>2232956</v>
      </c>
    </row>
    <row r="27" spans="1:32" x14ac:dyDescent="0.25">
      <c r="A27" s="6" t="s">
        <v>26</v>
      </c>
      <c r="B27" s="308">
        <v>2192625</v>
      </c>
      <c r="C27" s="308">
        <v>2192888</v>
      </c>
      <c r="D27" s="308">
        <v>2193392</v>
      </c>
      <c r="E27" s="308">
        <v>2193912</v>
      </c>
      <c r="F27" s="308">
        <v>2194344</v>
      </c>
      <c r="G27" s="308">
        <v>2194794</v>
      </c>
      <c r="H27" s="308">
        <v>2195292</v>
      </c>
      <c r="I27" s="308">
        <v>2195481</v>
      </c>
      <c r="J27" s="308">
        <v>2195786</v>
      </c>
      <c r="K27" s="308">
        <v>2196176</v>
      </c>
      <c r="L27" s="308">
        <v>2196652</v>
      </c>
      <c r="M27" s="308">
        <v>2197170</v>
      </c>
      <c r="N27" s="308">
        <v>2197774</v>
      </c>
      <c r="O27" s="308">
        <v>2198037</v>
      </c>
      <c r="P27" s="308">
        <v>2198231</v>
      </c>
      <c r="Q27" s="308">
        <v>2198231</v>
      </c>
      <c r="R27" s="308">
        <v>2198232</v>
      </c>
      <c r="S27" s="308">
        <v>2198232</v>
      </c>
      <c r="T27" s="308">
        <v>2198232</v>
      </c>
      <c r="U27" s="308">
        <v>2198232</v>
      </c>
      <c r="V27" s="308">
        <v>2198232</v>
      </c>
      <c r="W27" s="308">
        <v>2198432</v>
      </c>
      <c r="X27" s="308">
        <v>2198761</v>
      </c>
      <c r="Y27" s="308">
        <v>2198928</v>
      </c>
      <c r="Z27" s="308">
        <v>2199445</v>
      </c>
      <c r="AA27" s="308">
        <v>2199921</v>
      </c>
      <c r="AB27" s="308">
        <v>2200140</v>
      </c>
      <c r="AC27" s="308">
        <v>2200589</v>
      </c>
      <c r="AD27" s="308">
        <v>2200963</v>
      </c>
      <c r="AE27" s="308">
        <v>2201523</v>
      </c>
      <c r="AF27" s="224">
        <v>2201671</v>
      </c>
    </row>
    <row r="28" spans="1:32" x14ac:dyDescent="0.25">
      <c r="A28" s="6" t="s">
        <v>27</v>
      </c>
      <c r="B28" s="308">
        <v>2157752</v>
      </c>
      <c r="C28" s="308">
        <v>2158273</v>
      </c>
      <c r="D28" s="308">
        <v>2158724</v>
      </c>
      <c r="E28" s="308">
        <v>2158724</v>
      </c>
      <c r="F28" s="308">
        <v>2158724</v>
      </c>
      <c r="G28" s="308">
        <v>2158875</v>
      </c>
      <c r="H28" s="308">
        <v>2158975</v>
      </c>
      <c r="I28" s="308">
        <v>2159043</v>
      </c>
      <c r="J28" s="308">
        <v>2159391</v>
      </c>
      <c r="K28" s="308">
        <v>2159839</v>
      </c>
      <c r="L28" s="308">
        <v>2159839</v>
      </c>
      <c r="M28" s="308">
        <v>2159839</v>
      </c>
      <c r="N28" s="308">
        <v>2160100</v>
      </c>
      <c r="O28" s="308">
        <v>2160372</v>
      </c>
      <c r="P28" s="308">
        <v>2160622</v>
      </c>
      <c r="Q28" s="308">
        <v>2160622</v>
      </c>
      <c r="R28" s="308">
        <v>2160624</v>
      </c>
      <c r="S28" s="308">
        <v>2160624</v>
      </c>
      <c r="T28" s="308">
        <v>2160624</v>
      </c>
      <c r="U28" s="308">
        <v>2161209</v>
      </c>
      <c r="V28" s="308">
        <v>2161682</v>
      </c>
      <c r="W28" s="308">
        <v>2162241</v>
      </c>
      <c r="X28" s="308">
        <v>2162800</v>
      </c>
      <c r="Y28" s="308">
        <v>2163111</v>
      </c>
      <c r="Z28" s="308">
        <v>2163584</v>
      </c>
      <c r="AA28" s="308">
        <v>2163585</v>
      </c>
      <c r="AB28" s="308">
        <v>2164103</v>
      </c>
      <c r="AC28" s="308">
        <v>2164662</v>
      </c>
      <c r="AD28" s="308">
        <v>2165221</v>
      </c>
      <c r="AE28" s="308">
        <v>2165321</v>
      </c>
      <c r="AF28" s="224">
        <v>2165655</v>
      </c>
    </row>
    <row r="29" spans="1:32" x14ac:dyDescent="0.25">
      <c r="A29" s="5" t="s">
        <v>28</v>
      </c>
      <c r="B29" s="308">
        <v>2109291</v>
      </c>
      <c r="C29" s="308">
        <v>2109641</v>
      </c>
      <c r="D29" s="308">
        <v>2110092</v>
      </c>
      <c r="E29" s="308">
        <v>2110092</v>
      </c>
      <c r="F29" s="308">
        <v>2110092</v>
      </c>
      <c r="G29" s="308">
        <v>2110297</v>
      </c>
      <c r="H29" s="308">
        <v>2110574</v>
      </c>
      <c r="I29" s="308">
        <v>2111075</v>
      </c>
      <c r="J29" s="308">
        <v>2111525</v>
      </c>
      <c r="K29" s="308">
        <v>2111898</v>
      </c>
      <c r="L29" s="308">
        <v>2112416</v>
      </c>
      <c r="M29" s="308">
        <v>2112504</v>
      </c>
      <c r="N29" s="308">
        <v>2112937</v>
      </c>
      <c r="O29" s="308">
        <v>2113028</v>
      </c>
      <c r="P29" s="308">
        <v>2113547</v>
      </c>
      <c r="Q29" s="308">
        <v>2113977</v>
      </c>
      <c r="R29" s="308">
        <v>2113977</v>
      </c>
      <c r="S29" s="308">
        <v>2113977</v>
      </c>
      <c r="T29" s="308">
        <v>2114143</v>
      </c>
      <c r="U29" s="308">
        <v>2114143</v>
      </c>
      <c r="V29" s="308">
        <v>2114143</v>
      </c>
      <c r="W29" s="308">
        <v>2114320</v>
      </c>
      <c r="X29" s="308">
        <v>2114752</v>
      </c>
      <c r="Y29" s="308">
        <v>2115230</v>
      </c>
      <c r="Z29" s="308">
        <v>2115751</v>
      </c>
      <c r="AA29" s="308">
        <v>2115794</v>
      </c>
      <c r="AB29" s="308">
        <v>2116107</v>
      </c>
      <c r="AC29" s="308">
        <v>2116692</v>
      </c>
      <c r="AD29" s="308">
        <v>2117082</v>
      </c>
      <c r="AE29" s="308">
        <v>2117555</v>
      </c>
      <c r="AF29" s="224">
        <v>2117631</v>
      </c>
    </row>
    <row r="30" spans="1:32" x14ac:dyDescent="0.25">
      <c r="A30" s="6" t="s">
        <v>29</v>
      </c>
      <c r="B30" s="308">
        <v>1855827</v>
      </c>
      <c r="C30" s="308">
        <v>1856187</v>
      </c>
      <c r="D30" s="308">
        <v>1856789</v>
      </c>
      <c r="E30" s="308">
        <v>1857268</v>
      </c>
      <c r="F30" s="308">
        <v>1857700</v>
      </c>
      <c r="G30" s="308">
        <v>1857997</v>
      </c>
      <c r="H30" s="308">
        <v>1858519</v>
      </c>
      <c r="I30" s="308">
        <v>1858951</v>
      </c>
      <c r="J30" s="308">
        <v>1859041</v>
      </c>
      <c r="K30" s="308">
        <v>1859560</v>
      </c>
      <c r="L30" s="308">
        <v>1860078</v>
      </c>
      <c r="M30" s="308">
        <v>1860166</v>
      </c>
      <c r="N30" s="308">
        <v>1860392</v>
      </c>
      <c r="O30" s="308">
        <v>1860912</v>
      </c>
      <c r="P30" s="308">
        <v>1861173</v>
      </c>
      <c r="Q30" s="308">
        <v>1861520</v>
      </c>
      <c r="R30" s="308">
        <v>1861520</v>
      </c>
      <c r="S30" s="308">
        <v>1861994</v>
      </c>
      <c r="T30" s="308">
        <v>1862382</v>
      </c>
      <c r="U30" s="308">
        <v>1862859</v>
      </c>
      <c r="V30" s="308">
        <v>1863419</v>
      </c>
      <c r="W30" s="308">
        <v>1863982</v>
      </c>
      <c r="X30" s="308">
        <v>1864542</v>
      </c>
      <c r="Y30" s="308">
        <v>1865059</v>
      </c>
      <c r="Z30" s="308">
        <v>1865581</v>
      </c>
      <c r="AA30" s="308">
        <v>1866055</v>
      </c>
      <c r="AB30" s="308">
        <v>1866186</v>
      </c>
      <c r="AC30" s="308">
        <v>1866707</v>
      </c>
      <c r="AD30" s="308">
        <v>1867225</v>
      </c>
      <c r="AE30" s="308">
        <v>1867829</v>
      </c>
      <c r="AF30" s="224">
        <v>1868031</v>
      </c>
    </row>
    <row r="31" spans="1:32" x14ac:dyDescent="0.25">
      <c r="A31" s="7" t="s">
        <v>30</v>
      </c>
      <c r="B31" s="308">
        <v>2158061</v>
      </c>
      <c r="C31" s="308">
        <v>2158263</v>
      </c>
      <c r="D31" s="308">
        <v>2158514</v>
      </c>
      <c r="E31" s="308">
        <v>2158514</v>
      </c>
      <c r="F31" s="308">
        <v>2158514</v>
      </c>
      <c r="G31" s="308">
        <v>2158765</v>
      </c>
      <c r="H31" s="308">
        <v>2159051</v>
      </c>
      <c r="I31" s="308">
        <v>2159534</v>
      </c>
      <c r="J31" s="308">
        <v>2160094</v>
      </c>
      <c r="K31" s="308">
        <v>2160485</v>
      </c>
      <c r="L31" s="308">
        <v>2160485</v>
      </c>
      <c r="M31" s="308">
        <v>2160489</v>
      </c>
      <c r="N31" s="308">
        <v>2161007</v>
      </c>
      <c r="O31" s="308">
        <v>2161526</v>
      </c>
      <c r="P31" s="308">
        <v>2161685</v>
      </c>
      <c r="Q31" s="308">
        <v>2161685</v>
      </c>
      <c r="R31" s="308">
        <v>2161894</v>
      </c>
      <c r="S31" s="308">
        <v>2162368</v>
      </c>
      <c r="T31" s="308">
        <v>2162755</v>
      </c>
      <c r="U31" s="308">
        <v>2163291</v>
      </c>
      <c r="V31" s="308">
        <v>2163800</v>
      </c>
      <c r="W31" s="308">
        <v>2164276</v>
      </c>
      <c r="X31" s="308">
        <v>2164632</v>
      </c>
      <c r="Y31" s="308">
        <v>2165082</v>
      </c>
      <c r="Z31" s="308">
        <v>2165082</v>
      </c>
      <c r="AA31" s="308">
        <v>2165082</v>
      </c>
      <c r="AB31" s="308">
        <v>2165600</v>
      </c>
      <c r="AC31" s="308">
        <v>2165851</v>
      </c>
      <c r="AD31" s="308">
        <v>2166101</v>
      </c>
      <c r="AE31" s="308">
        <v>2166415</v>
      </c>
      <c r="AF31" s="224">
        <v>2166608</v>
      </c>
    </row>
    <row r="32" spans="1:32" s="124" customFormat="1" x14ac:dyDescent="0.25">
      <c r="A32" s="6" t="s">
        <v>111</v>
      </c>
      <c r="B32" s="308">
        <v>753985</v>
      </c>
      <c r="C32" s="308">
        <v>754506</v>
      </c>
      <c r="D32" s="308">
        <v>755027</v>
      </c>
      <c r="E32" s="308">
        <v>755288</v>
      </c>
      <c r="F32" s="308">
        <v>755290</v>
      </c>
      <c r="G32" s="308">
        <v>755810</v>
      </c>
      <c r="H32" s="308">
        <v>756016</v>
      </c>
      <c r="I32" s="308">
        <v>756267</v>
      </c>
      <c r="J32" s="308">
        <v>756459</v>
      </c>
      <c r="K32" s="308">
        <v>756710</v>
      </c>
      <c r="L32" s="308">
        <v>756710</v>
      </c>
      <c r="M32" s="308">
        <v>756710</v>
      </c>
      <c r="N32" s="308">
        <v>756962</v>
      </c>
      <c r="O32" s="308">
        <v>757274</v>
      </c>
      <c r="P32" s="308">
        <v>757717</v>
      </c>
      <c r="Q32" s="308">
        <v>757761</v>
      </c>
      <c r="R32" s="308">
        <v>757765</v>
      </c>
      <c r="S32" s="308">
        <v>757765</v>
      </c>
      <c r="T32" s="308">
        <v>757984</v>
      </c>
      <c r="U32" s="308">
        <v>758546</v>
      </c>
      <c r="V32" s="308">
        <v>759050</v>
      </c>
      <c r="W32" s="308">
        <v>759572</v>
      </c>
      <c r="X32" s="308">
        <v>759840</v>
      </c>
      <c r="Y32" s="308">
        <v>760214</v>
      </c>
      <c r="Z32" s="308">
        <v>760689</v>
      </c>
      <c r="AA32" s="308">
        <v>761121</v>
      </c>
      <c r="AB32" s="308">
        <v>761640</v>
      </c>
      <c r="AC32" s="308">
        <v>762203</v>
      </c>
      <c r="AD32" s="308">
        <v>762448</v>
      </c>
      <c r="AE32" s="308">
        <v>762700</v>
      </c>
      <c r="AF32" s="224">
        <v>762831</v>
      </c>
    </row>
    <row r="33" spans="1:32" s="124" customFormat="1" x14ac:dyDescent="0.25">
      <c r="A33" s="5" t="s">
        <v>112</v>
      </c>
      <c r="B33" s="308">
        <v>687745</v>
      </c>
      <c r="C33" s="308">
        <v>687955</v>
      </c>
      <c r="D33" s="308">
        <v>688476</v>
      </c>
      <c r="E33" s="308">
        <v>688994</v>
      </c>
      <c r="F33" s="308">
        <v>688994</v>
      </c>
      <c r="G33" s="308">
        <v>689472</v>
      </c>
      <c r="H33" s="308">
        <v>689947</v>
      </c>
      <c r="I33" s="308">
        <v>690509</v>
      </c>
      <c r="J33" s="308">
        <v>690839</v>
      </c>
      <c r="K33" s="308">
        <v>691089</v>
      </c>
      <c r="L33" s="308">
        <v>691653</v>
      </c>
      <c r="M33" s="308">
        <v>692043</v>
      </c>
      <c r="N33" s="308">
        <v>692476</v>
      </c>
      <c r="O33" s="308">
        <v>692994</v>
      </c>
      <c r="P33" s="308">
        <v>693280</v>
      </c>
      <c r="Q33" s="308">
        <v>693280</v>
      </c>
      <c r="R33" s="308">
        <v>693350</v>
      </c>
      <c r="S33" s="308">
        <v>693804</v>
      </c>
      <c r="T33" s="308">
        <v>693800</v>
      </c>
      <c r="U33" s="308">
        <v>693882</v>
      </c>
      <c r="V33" s="308">
        <v>694310</v>
      </c>
      <c r="W33" s="308">
        <v>694873</v>
      </c>
      <c r="X33" s="308">
        <v>695477</v>
      </c>
      <c r="Y33" s="308">
        <v>696038</v>
      </c>
      <c r="Z33" s="308">
        <v>696065</v>
      </c>
      <c r="AA33" s="308">
        <v>696065</v>
      </c>
      <c r="AB33" s="308">
        <v>696265</v>
      </c>
      <c r="AC33" s="308">
        <v>696699</v>
      </c>
      <c r="AD33" s="308">
        <v>697134</v>
      </c>
      <c r="AE33" s="308">
        <v>697653</v>
      </c>
      <c r="AF33" s="224">
        <v>697744</v>
      </c>
    </row>
    <row r="34" spans="1:32" s="124" customFormat="1" x14ac:dyDescent="0.25">
      <c r="A34" s="6" t="s">
        <v>113</v>
      </c>
      <c r="B34" s="308">
        <v>730381</v>
      </c>
      <c r="C34" s="308">
        <v>730899</v>
      </c>
      <c r="D34" s="308">
        <v>731349</v>
      </c>
      <c r="E34" s="308">
        <v>731349</v>
      </c>
      <c r="F34" s="308">
        <v>731349</v>
      </c>
      <c r="G34" s="308">
        <v>731698</v>
      </c>
      <c r="H34" s="308">
        <v>732173</v>
      </c>
      <c r="I34" s="308">
        <v>732563</v>
      </c>
      <c r="J34" s="308">
        <v>733038</v>
      </c>
      <c r="K34" s="308">
        <v>733386</v>
      </c>
      <c r="L34" s="308">
        <v>733386</v>
      </c>
      <c r="M34" s="308">
        <v>733386</v>
      </c>
      <c r="N34" s="308">
        <v>733529</v>
      </c>
      <c r="O34" s="308">
        <v>733980</v>
      </c>
      <c r="P34" s="308">
        <v>734061</v>
      </c>
      <c r="Q34" s="308">
        <v>734150</v>
      </c>
      <c r="R34" s="308">
        <v>734250</v>
      </c>
      <c r="S34" s="308">
        <v>734330</v>
      </c>
      <c r="T34" s="308">
        <v>734884</v>
      </c>
      <c r="U34" s="308">
        <v>735377</v>
      </c>
      <c r="V34" s="308">
        <v>735501</v>
      </c>
      <c r="W34" s="308">
        <v>735753</v>
      </c>
      <c r="X34" s="308">
        <v>735753</v>
      </c>
      <c r="Y34" s="308">
        <v>735753</v>
      </c>
      <c r="Z34" s="308">
        <v>735753</v>
      </c>
      <c r="AA34" s="308">
        <v>735753</v>
      </c>
      <c r="AB34" s="308">
        <v>735753</v>
      </c>
      <c r="AC34" s="308">
        <v>735753</v>
      </c>
      <c r="AD34" s="308">
        <v>735753</v>
      </c>
      <c r="AE34" s="308">
        <v>735753</v>
      </c>
      <c r="AF34" s="224">
        <v>735753</v>
      </c>
    </row>
    <row r="35" spans="1:32" s="124" customFormat="1" x14ac:dyDescent="0.25">
      <c r="A35" s="7" t="s">
        <v>114</v>
      </c>
      <c r="B35" s="308">
        <v>749769</v>
      </c>
      <c r="C35" s="308">
        <v>750287</v>
      </c>
      <c r="D35" s="308">
        <v>750719</v>
      </c>
      <c r="E35" s="308">
        <v>751065</v>
      </c>
      <c r="F35" s="308">
        <v>751067</v>
      </c>
      <c r="G35" s="308">
        <v>751570</v>
      </c>
      <c r="H35" s="308">
        <v>752007</v>
      </c>
      <c r="I35" s="308">
        <v>752318</v>
      </c>
      <c r="J35" s="308">
        <v>752622</v>
      </c>
      <c r="K35" s="308">
        <v>753012</v>
      </c>
      <c r="L35" s="308">
        <v>753012</v>
      </c>
      <c r="M35" s="308">
        <v>753012</v>
      </c>
      <c r="N35" s="308">
        <v>753463</v>
      </c>
      <c r="O35" s="308">
        <v>753708</v>
      </c>
      <c r="P35" s="308">
        <v>753959</v>
      </c>
      <c r="Q35" s="308">
        <v>753959</v>
      </c>
      <c r="R35" s="308">
        <v>754031</v>
      </c>
      <c r="S35" s="308">
        <v>754031</v>
      </c>
      <c r="T35" s="308">
        <v>754031</v>
      </c>
      <c r="U35" s="308">
        <v>754112</v>
      </c>
      <c r="V35" s="308">
        <v>754623</v>
      </c>
      <c r="W35" s="308">
        <v>754972</v>
      </c>
      <c r="X35" s="308">
        <v>755493</v>
      </c>
      <c r="Y35" s="308">
        <v>755647</v>
      </c>
      <c r="Z35" s="308">
        <v>755647</v>
      </c>
      <c r="AA35" s="308">
        <v>755647</v>
      </c>
      <c r="AB35" s="308">
        <v>756123</v>
      </c>
      <c r="AC35" s="308">
        <v>756598</v>
      </c>
      <c r="AD35" s="308">
        <v>757031</v>
      </c>
      <c r="AE35" s="308">
        <v>757397</v>
      </c>
      <c r="AF35" s="224">
        <v>757551</v>
      </c>
    </row>
    <row r="36" spans="1:32" s="124" customFormat="1" x14ac:dyDescent="0.25">
      <c r="A36" s="5" t="s">
        <v>115</v>
      </c>
      <c r="B36" s="308">
        <v>722526</v>
      </c>
      <c r="C36" s="308">
        <v>722719</v>
      </c>
      <c r="D36" s="308">
        <v>723049</v>
      </c>
      <c r="E36" s="308">
        <v>723139</v>
      </c>
      <c r="F36" s="308">
        <v>723310</v>
      </c>
      <c r="G36" s="308">
        <v>723832</v>
      </c>
      <c r="H36" s="308">
        <v>724394</v>
      </c>
      <c r="I36" s="308">
        <v>724801</v>
      </c>
      <c r="J36" s="308">
        <v>725046</v>
      </c>
      <c r="K36" s="308">
        <v>725240</v>
      </c>
      <c r="L36" s="308">
        <v>725240</v>
      </c>
      <c r="M36" s="308">
        <v>725240</v>
      </c>
      <c r="N36" s="308">
        <v>725606</v>
      </c>
      <c r="O36" s="308">
        <v>726056</v>
      </c>
      <c r="P36" s="308">
        <v>726594</v>
      </c>
      <c r="Q36" s="308">
        <v>726854</v>
      </c>
      <c r="R36" s="308">
        <v>726854</v>
      </c>
      <c r="S36" s="308">
        <v>727117</v>
      </c>
      <c r="T36" s="308">
        <v>727291</v>
      </c>
      <c r="U36" s="308">
        <v>727728</v>
      </c>
      <c r="V36" s="308">
        <v>728232</v>
      </c>
      <c r="W36" s="308">
        <v>728666</v>
      </c>
      <c r="X36" s="308">
        <v>729059</v>
      </c>
      <c r="Y36" s="308">
        <v>729534</v>
      </c>
      <c r="Z36" s="308">
        <v>729562</v>
      </c>
      <c r="AA36" s="308">
        <v>729562</v>
      </c>
      <c r="AB36" s="308">
        <v>730043</v>
      </c>
      <c r="AC36" s="308">
        <v>730295</v>
      </c>
      <c r="AD36" s="308">
        <v>730499</v>
      </c>
      <c r="AE36" s="308">
        <v>730751</v>
      </c>
      <c r="AF36" s="224">
        <v>731203</v>
      </c>
    </row>
    <row r="37" spans="1:32" s="124" customFormat="1" x14ac:dyDescent="0.25">
      <c r="A37" s="6" t="s">
        <v>116</v>
      </c>
      <c r="B37" s="308">
        <v>764272</v>
      </c>
      <c r="C37" s="308">
        <v>764886</v>
      </c>
      <c r="D37" s="308">
        <v>765088</v>
      </c>
      <c r="E37" s="308">
        <v>765366</v>
      </c>
      <c r="F37" s="308">
        <v>765539</v>
      </c>
      <c r="G37" s="308">
        <v>766060</v>
      </c>
      <c r="H37" s="308">
        <v>766665</v>
      </c>
      <c r="I37" s="308">
        <v>767185</v>
      </c>
      <c r="J37" s="308">
        <v>767412</v>
      </c>
      <c r="K37" s="308">
        <v>767931</v>
      </c>
      <c r="L37" s="308">
        <v>768493</v>
      </c>
      <c r="M37" s="308">
        <v>768888</v>
      </c>
      <c r="N37" s="308">
        <v>769340</v>
      </c>
      <c r="O37" s="308">
        <v>769670</v>
      </c>
      <c r="P37" s="308">
        <v>769963</v>
      </c>
      <c r="Q37" s="308">
        <v>769963</v>
      </c>
      <c r="R37" s="308">
        <v>770155</v>
      </c>
      <c r="S37" s="308">
        <v>770273</v>
      </c>
      <c r="T37" s="308">
        <v>770755</v>
      </c>
      <c r="U37" s="308">
        <v>771317</v>
      </c>
      <c r="V37" s="308">
        <v>771778</v>
      </c>
      <c r="W37" s="308">
        <v>772302</v>
      </c>
      <c r="X37" s="308">
        <v>772393</v>
      </c>
      <c r="Y37" s="308">
        <v>772873</v>
      </c>
      <c r="Z37" s="308">
        <v>773348</v>
      </c>
      <c r="AA37" s="308">
        <v>773522</v>
      </c>
      <c r="AB37" s="308">
        <v>773999</v>
      </c>
      <c r="AC37" s="308">
        <v>774280</v>
      </c>
      <c r="AD37" s="308">
        <v>774531</v>
      </c>
      <c r="AE37" s="308">
        <v>774783</v>
      </c>
      <c r="AF37" s="224">
        <v>774978</v>
      </c>
    </row>
    <row r="38" spans="1:32" x14ac:dyDescent="0.25">
      <c r="A38" s="7" t="s">
        <v>117</v>
      </c>
      <c r="B38" s="308">
        <v>414392</v>
      </c>
      <c r="C38" s="308">
        <v>414532</v>
      </c>
      <c r="D38" s="308">
        <v>414554</v>
      </c>
      <c r="E38" s="308">
        <v>414554</v>
      </c>
      <c r="F38" s="308">
        <v>414554</v>
      </c>
      <c r="G38" s="308">
        <v>414558</v>
      </c>
      <c r="H38" s="308">
        <v>414558</v>
      </c>
      <c r="I38" s="308">
        <v>414558</v>
      </c>
      <c r="J38" s="308">
        <v>414558</v>
      </c>
      <c r="K38" s="308">
        <v>414558</v>
      </c>
      <c r="L38" s="308">
        <v>414558</v>
      </c>
      <c r="M38" s="308">
        <v>414654</v>
      </c>
      <c r="N38" s="308">
        <v>415090</v>
      </c>
      <c r="O38" s="308">
        <v>415438</v>
      </c>
      <c r="P38" s="308">
        <v>416000</v>
      </c>
      <c r="Q38" s="308">
        <v>416043</v>
      </c>
      <c r="R38" s="308">
        <v>416046</v>
      </c>
      <c r="S38" s="308">
        <v>416048</v>
      </c>
      <c r="T38" s="308">
        <v>416051</v>
      </c>
      <c r="U38" s="308">
        <v>416051</v>
      </c>
      <c r="V38" s="308">
        <v>416051</v>
      </c>
      <c r="W38" s="308">
        <v>416226</v>
      </c>
      <c r="X38" s="308">
        <v>416400</v>
      </c>
      <c r="Y38" s="308">
        <v>416749</v>
      </c>
      <c r="Z38" s="308">
        <v>416749</v>
      </c>
      <c r="AA38" s="308">
        <v>416751</v>
      </c>
      <c r="AB38" s="308">
        <v>417036</v>
      </c>
      <c r="AC38" s="308">
        <v>417473</v>
      </c>
      <c r="AD38" s="308">
        <v>417821</v>
      </c>
      <c r="AE38" s="308">
        <v>418256</v>
      </c>
      <c r="AF38" s="224">
        <v>418520</v>
      </c>
    </row>
    <row r="39" spans="1:32" x14ac:dyDescent="0.25">
      <c r="A39" s="5" t="s">
        <v>118</v>
      </c>
      <c r="B39" s="308">
        <v>741720</v>
      </c>
      <c r="C39" s="308">
        <v>742154</v>
      </c>
      <c r="D39" s="308">
        <v>742500</v>
      </c>
      <c r="E39" s="308">
        <v>742500</v>
      </c>
      <c r="F39" s="308">
        <v>742500</v>
      </c>
      <c r="G39" s="308">
        <v>742704</v>
      </c>
      <c r="H39" s="308">
        <v>743120</v>
      </c>
      <c r="I39" s="308">
        <v>743317</v>
      </c>
      <c r="J39" s="308">
        <v>743612</v>
      </c>
      <c r="K39" s="308">
        <v>743857</v>
      </c>
      <c r="L39" s="308">
        <v>743857</v>
      </c>
      <c r="M39" s="308">
        <v>743857</v>
      </c>
      <c r="N39" s="308">
        <v>743967</v>
      </c>
      <c r="O39" s="308">
        <v>744056</v>
      </c>
      <c r="P39" s="308">
        <v>744578</v>
      </c>
      <c r="Q39" s="308">
        <v>745053</v>
      </c>
      <c r="R39" s="308">
        <v>745357</v>
      </c>
      <c r="S39" s="308">
        <v>745731</v>
      </c>
      <c r="T39" s="308">
        <v>746120</v>
      </c>
      <c r="U39" s="308">
        <v>746679</v>
      </c>
      <c r="V39" s="308">
        <v>747159</v>
      </c>
      <c r="W39" s="308">
        <v>747593</v>
      </c>
      <c r="X39" s="308">
        <v>747947</v>
      </c>
      <c r="Y39" s="308">
        <v>748381</v>
      </c>
      <c r="Z39" s="308">
        <v>748408</v>
      </c>
      <c r="AA39" s="308">
        <v>748499</v>
      </c>
      <c r="AB39" s="308">
        <v>749061</v>
      </c>
      <c r="AC39" s="308">
        <v>749665</v>
      </c>
      <c r="AD39" s="308">
        <v>750054</v>
      </c>
      <c r="AE39" s="308">
        <v>750163</v>
      </c>
      <c r="AF39" s="224">
        <v>750186</v>
      </c>
    </row>
    <row r="40" spans="1:32" s="124" customFormat="1" ht="18" x14ac:dyDescent="0.25">
      <c r="A40" s="211"/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25"/>
      <c r="S40" s="308"/>
      <c r="T40" s="325"/>
      <c r="U40" s="308"/>
      <c r="V40" s="308"/>
      <c r="W40" s="308"/>
      <c r="X40" s="308"/>
      <c r="Y40" s="308"/>
      <c r="Z40" s="308"/>
      <c r="AA40" s="308"/>
      <c r="AB40" s="308"/>
      <c r="AC40" s="308"/>
      <c r="AD40" s="308"/>
      <c r="AE40" s="308"/>
      <c r="AF40" s="401"/>
    </row>
    <row r="41" spans="1:32" s="124" customFormat="1" x14ac:dyDescent="0.25">
      <c r="A41" s="331" t="s">
        <v>176</v>
      </c>
      <c r="B41" s="308">
        <v>3675</v>
      </c>
      <c r="C41" s="308">
        <v>3675</v>
      </c>
      <c r="D41" s="308">
        <v>3675</v>
      </c>
      <c r="E41" s="308">
        <v>3675</v>
      </c>
      <c r="F41" s="308">
        <v>3675</v>
      </c>
      <c r="G41" s="308">
        <v>3675</v>
      </c>
      <c r="H41" s="308">
        <v>3675</v>
      </c>
      <c r="I41" s="308">
        <v>3675</v>
      </c>
      <c r="J41" s="308">
        <v>3675</v>
      </c>
      <c r="K41" s="308">
        <v>3675</v>
      </c>
      <c r="L41" s="308">
        <v>3675</v>
      </c>
      <c r="M41" s="308">
        <v>3675</v>
      </c>
      <c r="N41" s="308">
        <v>3675</v>
      </c>
      <c r="O41" s="308">
        <v>3675</v>
      </c>
      <c r="P41" s="308">
        <v>3675</v>
      </c>
      <c r="Q41" s="308">
        <v>3675</v>
      </c>
      <c r="R41" s="308">
        <v>3675</v>
      </c>
      <c r="S41" s="308">
        <v>3675</v>
      </c>
      <c r="T41" s="308">
        <v>3675</v>
      </c>
      <c r="U41" s="308">
        <v>3675</v>
      </c>
      <c r="V41" s="308">
        <v>3675</v>
      </c>
      <c r="W41" s="308">
        <v>3675</v>
      </c>
      <c r="X41" s="308">
        <v>3675</v>
      </c>
      <c r="Y41" s="308">
        <v>3675</v>
      </c>
      <c r="Z41" s="308">
        <v>3675</v>
      </c>
      <c r="AA41" s="308">
        <v>3675</v>
      </c>
      <c r="AB41" s="308">
        <v>3675</v>
      </c>
      <c r="AC41" s="308">
        <v>3675</v>
      </c>
      <c r="AD41" s="308">
        <v>3675</v>
      </c>
      <c r="AE41" s="308">
        <v>3675</v>
      </c>
      <c r="AF41" s="224">
        <v>3675</v>
      </c>
    </row>
    <row r="42" spans="1:32" s="124" customFormat="1" x14ac:dyDescent="0.25">
      <c r="A42" s="331" t="s">
        <v>178</v>
      </c>
      <c r="B42" s="308">
        <v>2001</v>
      </c>
      <c r="C42" s="308">
        <v>2001</v>
      </c>
      <c r="D42" s="308">
        <v>2001</v>
      </c>
      <c r="E42" s="308">
        <v>2001</v>
      </c>
      <c r="F42" s="308">
        <v>2001</v>
      </c>
      <c r="G42" s="308">
        <v>2001</v>
      </c>
      <c r="H42" s="308">
        <v>2001</v>
      </c>
      <c r="I42" s="308">
        <v>2001</v>
      </c>
      <c r="J42" s="308">
        <v>2001</v>
      </c>
      <c r="K42" s="308">
        <v>2001</v>
      </c>
      <c r="L42" s="308">
        <v>2001</v>
      </c>
      <c r="M42" s="308">
        <v>2001</v>
      </c>
      <c r="N42" s="308">
        <v>2001</v>
      </c>
      <c r="O42" s="308">
        <v>2001</v>
      </c>
      <c r="P42" s="308">
        <v>2001</v>
      </c>
      <c r="Q42" s="308">
        <v>2001</v>
      </c>
      <c r="R42" s="308">
        <v>2001</v>
      </c>
      <c r="S42" s="308">
        <v>2001</v>
      </c>
      <c r="T42" s="308">
        <v>2001</v>
      </c>
      <c r="U42" s="308">
        <v>2001</v>
      </c>
      <c r="V42" s="308">
        <v>2001</v>
      </c>
      <c r="W42" s="308">
        <v>2001</v>
      </c>
      <c r="X42" s="308">
        <v>2001</v>
      </c>
      <c r="Y42" s="308">
        <v>2001</v>
      </c>
      <c r="Z42" s="308">
        <v>2001</v>
      </c>
      <c r="AA42" s="308">
        <v>2001</v>
      </c>
      <c r="AB42" s="308">
        <v>2001</v>
      </c>
      <c r="AC42" s="308">
        <v>2001</v>
      </c>
      <c r="AD42" s="308">
        <v>2001</v>
      </c>
      <c r="AE42" s="308">
        <v>2001</v>
      </c>
      <c r="AF42" s="224">
        <v>2001</v>
      </c>
    </row>
    <row r="43" spans="1:32" s="124" customFormat="1" x14ac:dyDescent="0.25">
      <c r="A43" s="332" t="s">
        <v>177</v>
      </c>
      <c r="B43" s="308">
        <v>14374</v>
      </c>
      <c r="C43" s="308">
        <v>14502</v>
      </c>
      <c r="D43" s="308">
        <v>14589</v>
      </c>
      <c r="E43" s="308">
        <v>14589</v>
      </c>
      <c r="F43" s="308">
        <v>14589</v>
      </c>
      <c r="G43" s="308">
        <v>14764</v>
      </c>
      <c r="H43" s="308">
        <v>14938</v>
      </c>
      <c r="I43" s="308">
        <v>15286</v>
      </c>
      <c r="J43" s="308">
        <v>15410</v>
      </c>
      <c r="K43" s="308">
        <v>15613</v>
      </c>
      <c r="L43" s="308">
        <v>15642</v>
      </c>
      <c r="M43" s="308">
        <v>15729</v>
      </c>
      <c r="N43" s="308">
        <v>15757</v>
      </c>
      <c r="O43" s="308">
        <v>15757</v>
      </c>
      <c r="P43" s="308">
        <v>15757</v>
      </c>
      <c r="Q43" s="308">
        <v>15757</v>
      </c>
      <c r="R43" s="308">
        <v>15757</v>
      </c>
      <c r="S43" s="308">
        <v>15757</v>
      </c>
      <c r="T43" s="308">
        <v>15757</v>
      </c>
      <c r="U43" s="308">
        <v>16018</v>
      </c>
      <c r="V43" s="308">
        <v>16191</v>
      </c>
      <c r="W43" s="308">
        <v>16453</v>
      </c>
      <c r="X43" s="308">
        <v>16662</v>
      </c>
      <c r="Y43" s="308">
        <v>16921</v>
      </c>
      <c r="Z43" s="308">
        <v>16921</v>
      </c>
      <c r="AA43" s="308">
        <v>16921</v>
      </c>
      <c r="AB43" s="308">
        <v>17267</v>
      </c>
      <c r="AC43" s="308">
        <v>17529</v>
      </c>
      <c r="AD43" s="308">
        <v>17789</v>
      </c>
      <c r="AE43" s="308">
        <v>17876</v>
      </c>
      <c r="AF43" s="224">
        <v>18087</v>
      </c>
    </row>
    <row r="44" spans="1:32" s="124" customFormat="1" x14ac:dyDescent="0.25">
      <c r="A44" s="331" t="s">
        <v>179</v>
      </c>
      <c r="B44" s="308">
        <v>1802</v>
      </c>
      <c r="C44" s="308">
        <v>1802</v>
      </c>
      <c r="D44" s="308">
        <v>1802</v>
      </c>
      <c r="E44" s="308">
        <v>1802</v>
      </c>
      <c r="F44" s="308">
        <v>1802</v>
      </c>
      <c r="G44" s="308">
        <v>1802</v>
      </c>
      <c r="H44" s="308">
        <v>1802</v>
      </c>
      <c r="I44" s="308">
        <v>1802</v>
      </c>
      <c r="J44" s="308">
        <v>1802</v>
      </c>
      <c r="K44" s="308">
        <v>1802</v>
      </c>
      <c r="L44" s="308">
        <v>1802</v>
      </c>
      <c r="M44" s="308">
        <v>1802</v>
      </c>
      <c r="N44" s="308">
        <v>1802</v>
      </c>
      <c r="O44" s="308">
        <v>1802</v>
      </c>
      <c r="P44" s="308">
        <v>1802</v>
      </c>
      <c r="Q44" s="308">
        <v>1802</v>
      </c>
      <c r="R44" s="308">
        <v>1802</v>
      </c>
      <c r="S44" s="308">
        <v>1802</v>
      </c>
      <c r="T44" s="308">
        <v>1802</v>
      </c>
      <c r="U44" s="308">
        <v>1802</v>
      </c>
      <c r="V44" s="308">
        <v>1802</v>
      </c>
      <c r="W44" s="308">
        <v>1802</v>
      </c>
      <c r="X44" s="308">
        <v>1802</v>
      </c>
      <c r="Y44" s="308">
        <v>1802</v>
      </c>
      <c r="Z44" s="308">
        <v>1802</v>
      </c>
      <c r="AA44" s="308">
        <v>1802</v>
      </c>
      <c r="AB44" s="308">
        <v>1802</v>
      </c>
      <c r="AC44" s="308">
        <v>1802</v>
      </c>
      <c r="AD44" s="308">
        <v>1802</v>
      </c>
      <c r="AE44" s="308">
        <v>1802</v>
      </c>
      <c r="AF44" s="224">
        <v>1802</v>
      </c>
    </row>
    <row r="45" spans="1:32" s="124" customFormat="1" x14ac:dyDescent="0.25">
      <c r="A45" s="332" t="s">
        <v>180</v>
      </c>
      <c r="B45" s="308">
        <v>2123</v>
      </c>
      <c r="C45" s="308">
        <v>2123</v>
      </c>
      <c r="D45" s="308">
        <v>2123</v>
      </c>
      <c r="E45" s="308">
        <v>2123</v>
      </c>
      <c r="F45" s="308">
        <v>2123</v>
      </c>
      <c r="G45" s="308">
        <v>2123</v>
      </c>
      <c r="H45" s="308">
        <v>2123</v>
      </c>
      <c r="I45" s="308">
        <v>2123</v>
      </c>
      <c r="J45" s="308">
        <v>2123</v>
      </c>
      <c r="K45" s="308">
        <v>2123</v>
      </c>
      <c r="L45" s="308">
        <v>2123</v>
      </c>
      <c r="M45" s="308">
        <v>2123</v>
      </c>
      <c r="N45" s="308">
        <v>2123</v>
      </c>
      <c r="O45" s="308">
        <v>2123</v>
      </c>
      <c r="P45" s="308">
        <v>2123</v>
      </c>
      <c r="Q45" s="308">
        <v>2123</v>
      </c>
      <c r="R45" s="308">
        <v>2123</v>
      </c>
      <c r="S45" s="308">
        <v>2123</v>
      </c>
      <c r="T45" s="308">
        <v>2123</v>
      </c>
      <c r="U45" s="308">
        <v>2123</v>
      </c>
      <c r="V45" s="308">
        <v>2123</v>
      </c>
      <c r="W45" s="308">
        <v>2123</v>
      </c>
      <c r="X45" s="308">
        <v>2123</v>
      </c>
      <c r="Y45" s="308">
        <v>2123</v>
      </c>
      <c r="Z45" s="308">
        <v>2123</v>
      </c>
      <c r="AA45" s="308">
        <v>2123</v>
      </c>
      <c r="AB45" s="308">
        <v>2123</v>
      </c>
      <c r="AC45" s="308">
        <v>2123</v>
      </c>
      <c r="AD45" s="308">
        <v>2123</v>
      </c>
      <c r="AE45" s="308">
        <v>2123</v>
      </c>
      <c r="AF45" s="224">
        <v>2123</v>
      </c>
    </row>
    <row r="46" spans="1:32" s="124" customFormat="1" ht="18" x14ac:dyDescent="0.25">
      <c r="A46" s="211"/>
      <c r="B46" s="211"/>
      <c r="C46" s="211"/>
      <c r="D46" s="211"/>
      <c r="E46" s="211"/>
      <c r="F46" s="211"/>
      <c r="G46" s="211"/>
      <c r="H46" s="211"/>
      <c r="I46" s="211"/>
      <c r="J46" s="325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325"/>
      <c r="AC46" s="211"/>
    </row>
    <row r="47" spans="1:32" ht="18" x14ac:dyDescent="0.25">
      <c r="A47" s="358" t="s">
        <v>31</v>
      </c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</row>
    <row r="48" spans="1:32" x14ac:dyDescent="0.25">
      <c r="A48" s="9"/>
      <c r="B48" s="62">
        <v>46204</v>
      </c>
      <c r="C48" s="62">
        <v>46205</v>
      </c>
      <c r="D48" s="62">
        <v>46206</v>
      </c>
      <c r="E48" s="62">
        <v>46207</v>
      </c>
      <c r="F48" s="62">
        <v>46208</v>
      </c>
      <c r="G48" s="62">
        <v>46209</v>
      </c>
      <c r="H48" s="62">
        <v>46210</v>
      </c>
      <c r="I48" s="62">
        <v>46211</v>
      </c>
      <c r="J48" s="62">
        <v>46212</v>
      </c>
      <c r="K48" s="62">
        <v>46213</v>
      </c>
      <c r="L48" s="62">
        <v>46214</v>
      </c>
      <c r="M48" s="62">
        <v>46215</v>
      </c>
      <c r="N48" s="62">
        <v>46216</v>
      </c>
      <c r="O48" s="62">
        <v>46217</v>
      </c>
      <c r="P48" s="62">
        <v>46218</v>
      </c>
      <c r="Q48" s="62">
        <v>46219</v>
      </c>
      <c r="R48" s="62">
        <v>46220</v>
      </c>
      <c r="S48" s="62">
        <v>46221</v>
      </c>
      <c r="T48" s="62">
        <v>46222</v>
      </c>
      <c r="U48" s="62">
        <v>46223</v>
      </c>
      <c r="V48" s="62">
        <v>46224</v>
      </c>
      <c r="W48" s="62">
        <v>46225</v>
      </c>
      <c r="X48" s="62">
        <v>46226</v>
      </c>
      <c r="Y48" s="62">
        <v>46227</v>
      </c>
      <c r="Z48" s="62">
        <v>46228</v>
      </c>
      <c r="AA48" s="62">
        <v>46229</v>
      </c>
      <c r="AB48" s="62">
        <v>46230</v>
      </c>
      <c r="AC48" s="62">
        <v>46231</v>
      </c>
      <c r="AD48" s="62">
        <v>46232</v>
      </c>
      <c r="AE48" s="62">
        <v>46233</v>
      </c>
      <c r="AF48" s="62">
        <v>46234</v>
      </c>
    </row>
    <row r="49" spans="1:32" x14ac:dyDescent="0.25">
      <c r="A49" s="9"/>
      <c r="B49" s="10" t="s">
        <v>32</v>
      </c>
      <c r="C49" s="10" t="s">
        <v>32</v>
      </c>
      <c r="D49" s="10" t="s">
        <v>32</v>
      </c>
      <c r="E49" s="10" t="s">
        <v>32</v>
      </c>
      <c r="F49" s="10" t="s">
        <v>32</v>
      </c>
      <c r="G49" s="10" t="s">
        <v>32</v>
      </c>
      <c r="H49" s="10" t="s">
        <v>32</v>
      </c>
      <c r="I49" s="10" t="s">
        <v>32</v>
      </c>
      <c r="J49" s="10" t="s">
        <v>32</v>
      </c>
      <c r="K49" s="10" t="s">
        <v>32</v>
      </c>
      <c r="L49" s="10" t="s">
        <v>32</v>
      </c>
      <c r="M49" s="10" t="s">
        <v>32</v>
      </c>
      <c r="N49" s="10" t="s">
        <v>32</v>
      </c>
      <c r="O49" s="10" t="s">
        <v>32</v>
      </c>
      <c r="P49" s="10" t="s">
        <v>32</v>
      </c>
      <c r="Q49" s="10" t="s">
        <v>32</v>
      </c>
      <c r="R49" s="10" t="s">
        <v>32</v>
      </c>
      <c r="S49" s="10" t="s">
        <v>32</v>
      </c>
      <c r="T49" s="10" t="s">
        <v>32</v>
      </c>
      <c r="U49" s="10" t="s">
        <v>32</v>
      </c>
      <c r="V49" s="10" t="s">
        <v>32</v>
      </c>
      <c r="W49" s="10" t="s">
        <v>32</v>
      </c>
      <c r="X49" s="10" t="s">
        <v>32</v>
      </c>
      <c r="Y49" s="10" t="s">
        <v>32</v>
      </c>
      <c r="Z49" s="10" t="s">
        <v>32</v>
      </c>
      <c r="AA49" s="10" t="s">
        <v>32</v>
      </c>
      <c r="AB49" s="10" t="s">
        <v>32</v>
      </c>
      <c r="AC49" s="10" t="s">
        <v>32</v>
      </c>
      <c r="AD49" s="10" t="s">
        <v>32</v>
      </c>
      <c r="AE49" s="10" t="s">
        <v>32</v>
      </c>
      <c r="AF49" s="10" t="s">
        <v>32</v>
      </c>
    </row>
    <row r="50" spans="1:32" x14ac:dyDescent="0.25">
      <c r="A50" s="9" t="s">
        <v>2</v>
      </c>
      <c r="B50" s="10" t="s">
        <v>33</v>
      </c>
      <c r="C50" s="10" t="s">
        <v>33</v>
      </c>
      <c r="D50" s="10" t="s">
        <v>33</v>
      </c>
      <c r="E50" s="10" t="s">
        <v>33</v>
      </c>
      <c r="F50" s="10" t="s">
        <v>33</v>
      </c>
      <c r="G50" s="10" t="s">
        <v>33</v>
      </c>
      <c r="H50" s="10" t="s">
        <v>33</v>
      </c>
      <c r="I50" s="10" t="s">
        <v>33</v>
      </c>
      <c r="J50" s="10" t="s">
        <v>33</v>
      </c>
      <c r="K50" s="10" t="s">
        <v>33</v>
      </c>
      <c r="L50" s="10" t="s">
        <v>33</v>
      </c>
      <c r="M50" s="10" t="s">
        <v>33</v>
      </c>
      <c r="N50" s="10" t="s">
        <v>33</v>
      </c>
      <c r="O50" s="10" t="s">
        <v>33</v>
      </c>
      <c r="P50" s="10" t="s">
        <v>33</v>
      </c>
      <c r="Q50" s="10" t="s">
        <v>33</v>
      </c>
      <c r="R50" s="10" t="s">
        <v>33</v>
      </c>
      <c r="S50" s="10" t="s">
        <v>33</v>
      </c>
      <c r="T50" s="10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10" t="s">
        <v>33</v>
      </c>
      <c r="Z50" s="10" t="s">
        <v>33</v>
      </c>
      <c r="AA50" s="10" t="s">
        <v>33</v>
      </c>
      <c r="AB50" s="10" t="s">
        <v>33</v>
      </c>
      <c r="AC50" s="10" t="s">
        <v>33</v>
      </c>
      <c r="AD50" s="10" t="s">
        <v>33</v>
      </c>
      <c r="AE50" s="10" t="s">
        <v>33</v>
      </c>
      <c r="AF50" s="10" t="s">
        <v>33</v>
      </c>
    </row>
    <row r="51" spans="1:32" x14ac:dyDescent="0.25">
      <c r="A51" s="11" t="s">
        <v>4</v>
      </c>
      <c r="B51" s="224">
        <v>249</v>
      </c>
      <c r="C51" s="12">
        <f t="shared" ref="C51:S51" si="0">C5-B5</f>
        <v>544</v>
      </c>
      <c r="D51" s="12">
        <f t="shared" si="0"/>
        <v>560</v>
      </c>
      <c r="E51" s="12">
        <f>E5-D5</f>
        <v>517</v>
      </c>
      <c r="F51" s="12">
        <f t="shared" si="0"/>
        <v>434</v>
      </c>
      <c r="G51" s="12">
        <f t="shared" si="0"/>
        <v>287</v>
      </c>
      <c r="H51" s="12">
        <f t="shared" si="0"/>
        <v>297</v>
      </c>
      <c r="I51" s="12">
        <f t="shared" si="0"/>
        <v>561</v>
      </c>
      <c r="J51" s="12">
        <f t="shared" si="0"/>
        <v>602</v>
      </c>
      <c r="K51" s="12">
        <f t="shared" si="0"/>
        <v>201</v>
      </c>
      <c r="L51" s="12">
        <f t="shared" si="0"/>
        <v>0</v>
      </c>
      <c r="M51" s="12">
        <f t="shared" si="0"/>
        <v>0</v>
      </c>
      <c r="N51" s="12">
        <f t="shared" si="0"/>
        <v>247</v>
      </c>
      <c r="O51" s="12">
        <f t="shared" si="0"/>
        <v>340</v>
      </c>
      <c r="P51" s="12">
        <f t="shared" si="0"/>
        <v>347</v>
      </c>
      <c r="Q51" s="12">
        <f t="shared" si="0"/>
        <v>130</v>
      </c>
      <c r="R51" s="12">
        <f t="shared" si="0"/>
        <v>353</v>
      </c>
      <c r="S51" s="12">
        <f t="shared" si="0"/>
        <v>0</v>
      </c>
      <c r="T51" s="12">
        <f t="shared" ref="T51:AF66" si="1">T5-S5</f>
        <v>0</v>
      </c>
      <c r="U51" s="12">
        <f t="shared" si="1"/>
        <v>53</v>
      </c>
      <c r="V51" s="12">
        <f>V5-U5</f>
        <v>373</v>
      </c>
      <c r="W51" s="12">
        <f t="shared" si="1"/>
        <v>365</v>
      </c>
      <c r="X51" s="12">
        <f t="shared" si="1"/>
        <v>232</v>
      </c>
      <c r="Y51" s="12">
        <f t="shared" si="1"/>
        <v>277</v>
      </c>
      <c r="Z51" s="12">
        <f t="shared" si="1"/>
        <v>0</v>
      </c>
      <c r="AA51" s="12">
        <f t="shared" si="1"/>
        <v>0</v>
      </c>
      <c r="AB51" s="12">
        <f t="shared" si="1"/>
        <v>130</v>
      </c>
      <c r="AC51" s="12">
        <f t="shared" si="1"/>
        <v>130</v>
      </c>
      <c r="AD51" s="12">
        <f t="shared" si="1"/>
        <v>583</v>
      </c>
      <c r="AE51" s="12">
        <f t="shared" si="1"/>
        <v>606</v>
      </c>
      <c r="AF51" s="12">
        <f t="shared" si="1"/>
        <v>603</v>
      </c>
    </row>
    <row r="52" spans="1:32" x14ac:dyDescent="0.25">
      <c r="A52" s="11" t="s">
        <v>5</v>
      </c>
      <c r="B52" s="224">
        <v>192</v>
      </c>
      <c r="C52" s="12">
        <f t="shared" ref="C52:S52" si="2">C6-B6</f>
        <v>485</v>
      </c>
      <c r="D52" s="12">
        <f t="shared" si="2"/>
        <v>330</v>
      </c>
      <c r="E52" s="12">
        <f t="shared" si="2"/>
        <v>0</v>
      </c>
      <c r="F52" s="12">
        <f t="shared" si="2"/>
        <v>0</v>
      </c>
      <c r="G52" s="12">
        <f t="shared" si="2"/>
        <v>502</v>
      </c>
      <c r="H52" s="12">
        <f t="shared" si="2"/>
        <v>350</v>
      </c>
      <c r="I52" s="12">
        <f t="shared" si="2"/>
        <v>370</v>
      </c>
      <c r="J52" s="12">
        <f t="shared" si="2"/>
        <v>132</v>
      </c>
      <c r="K52" s="12">
        <f t="shared" si="2"/>
        <v>183</v>
      </c>
      <c r="L52" s="12">
        <f t="shared" si="2"/>
        <v>0</v>
      </c>
      <c r="M52" s="12">
        <f t="shared" si="2"/>
        <v>18</v>
      </c>
      <c r="N52" s="12">
        <f t="shared" si="2"/>
        <v>366</v>
      </c>
      <c r="O52" s="12">
        <f t="shared" si="2"/>
        <v>137</v>
      </c>
      <c r="P52" s="12">
        <f t="shared" si="2"/>
        <v>272</v>
      </c>
      <c r="Q52" s="12">
        <f t="shared" si="2"/>
        <v>477</v>
      </c>
      <c r="R52" s="12">
        <f t="shared" si="2"/>
        <v>177</v>
      </c>
      <c r="S52" s="12">
        <f t="shared" si="2"/>
        <v>2</v>
      </c>
      <c r="T52" s="12">
        <f t="shared" ref="T52:AF52" si="3">T6-S6</f>
        <v>2</v>
      </c>
      <c r="U52" s="12">
        <f t="shared" si="3"/>
        <v>520</v>
      </c>
      <c r="V52" s="12">
        <f t="shared" si="3"/>
        <v>504</v>
      </c>
      <c r="W52" s="12">
        <f t="shared" si="3"/>
        <v>606</v>
      </c>
      <c r="X52" s="12">
        <f t="shared" si="3"/>
        <v>608</v>
      </c>
      <c r="Y52" s="12">
        <f t="shared" si="3"/>
        <v>204</v>
      </c>
      <c r="Z52" s="12">
        <f t="shared" si="3"/>
        <v>0</v>
      </c>
      <c r="AA52" s="12">
        <f t="shared" si="3"/>
        <v>0</v>
      </c>
      <c r="AB52" s="12">
        <f t="shared" si="3"/>
        <v>246</v>
      </c>
      <c r="AC52" s="12">
        <f t="shared" si="1"/>
        <v>251</v>
      </c>
      <c r="AD52" s="12">
        <f t="shared" si="3"/>
        <v>192</v>
      </c>
      <c r="AE52" s="12">
        <f t="shared" si="3"/>
        <v>170</v>
      </c>
      <c r="AF52" s="12">
        <f t="shared" si="3"/>
        <v>286</v>
      </c>
    </row>
    <row r="53" spans="1:32" x14ac:dyDescent="0.25">
      <c r="A53" s="11" t="s">
        <v>6</v>
      </c>
      <c r="B53" s="224">
        <v>435</v>
      </c>
      <c r="C53" s="12">
        <f t="shared" ref="C53:S53" si="4">C7-B7</f>
        <v>369</v>
      </c>
      <c r="D53" s="12">
        <f t="shared" si="4"/>
        <v>195</v>
      </c>
      <c r="E53" s="12">
        <f t="shared" si="4"/>
        <v>0</v>
      </c>
      <c r="F53" s="12">
        <f t="shared" si="4"/>
        <v>0</v>
      </c>
      <c r="G53" s="12">
        <f t="shared" si="4"/>
        <v>209</v>
      </c>
      <c r="H53" s="12">
        <f t="shared" si="4"/>
        <v>436</v>
      </c>
      <c r="I53" s="12">
        <f t="shared" si="4"/>
        <v>258</v>
      </c>
      <c r="J53" s="12">
        <f t="shared" si="4"/>
        <v>315</v>
      </c>
      <c r="K53" s="12">
        <f t="shared" si="4"/>
        <v>324</v>
      </c>
      <c r="L53" s="12">
        <f t="shared" si="4"/>
        <v>345</v>
      </c>
      <c r="M53" s="12">
        <f t="shared" si="4"/>
        <v>432</v>
      </c>
      <c r="N53" s="12">
        <f t="shared" si="4"/>
        <v>520</v>
      </c>
      <c r="O53" s="12">
        <f t="shared" si="4"/>
        <v>450</v>
      </c>
      <c r="P53" s="12">
        <f t="shared" si="4"/>
        <v>90</v>
      </c>
      <c r="Q53" s="12">
        <f t="shared" si="4"/>
        <v>0</v>
      </c>
      <c r="R53" s="12">
        <f t="shared" si="4"/>
        <v>0</v>
      </c>
      <c r="S53" s="12">
        <f t="shared" si="4"/>
        <v>0</v>
      </c>
      <c r="T53" s="12">
        <f t="shared" ref="T53:AF53" si="5">T7-S7</f>
        <v>19</v>
      </c>
      <c r="U53" s="12">
        <f t="shared" si="5"/>
        <v>0</v>
      </c>
      <c r="V53" s="12">
        <f t="shared" si="5"/>
        <v>134</v>
      </c>
      <c r="W53" s="12">
        <f t="shared" si="5"/>
        <v>561</v>
      </c>
      <c r="X53" s="12">
        <f t="shared" si="5"/>
        <v>200</v>
      </c>
      <c r="Y53" s="12">
        <f t="shared" si="5"/>
        <v>251</v>
      </c>
      <c r="Z53" s="12">
        <f t="shared" si="5"/>
        <v>0</v>
      </c>
      <c r="AA53" s="12">
        <f t="shared" si="5"/>
        <v>0</v>
      </c>
      <c r="AB53" s="12">
        <f t="shared" si="5"/>
        <v>511</v>
      </c>
      <c r="AC53" s="12">
        <f t="shared" si="1"/>
        <v>262</v>
      </c>
      <c r="AD53" s="12">
        <f t="shared" si="5"/>
        <v>199</v>
      </c>
      <c r="AE53" s="12">
        <f t="shared" si="5"/>
        <v>501</v>
      </c>
      <c r="AF53" s="12">
        <f t="shared" si="5"/>
        <v>564</v>
      </c>
    </row>
    <row r="54" spans="1:32" x14ac:dyDescent="0.25">
      <c r="A54" s="13" t="s">
        <v>7</v>
      </c>
      <c r="B54" s="224">
        <v>194</v>
      </c>
      <c r="C54" s="12">
        <f t="shared" ref="C54:S54" si="6">C8-B8</f>
        <v>254</v>
      </c>
      <c r="D54" s="12">
        <f t="shared" si="6"/>
        <v>561</v>
      </c>
      <c r="E54" s="12">
        <f t="shared" si="6"/>
        <v>517</v>
      </c>
      <c r="F54" s="12">
        <f t="shared" si="6"/>
        <v>43</v>
      </c>
      <c r="G54" s="12">
        <f t="shared" si="6"/>
        <v>452</v>
      </c>
      <c r="H54" s="12">
        <f t="shared" si="6"/>
        <v>194</v>
      </c>
      <c r="I54" s="12">
        <f t="shared" si="6"/>
        <v>250</v>
      </c>
      <c r="J54" s="12">
        <f t="shared" si="6"/>
        <v>486</v>
      </c>
      <c r="K54" s="12">
        <f t="shared" si="6"/>
        <v>521</v>
      </c>
      <c r="L54" s="12">
        <f t="shared" si="6"/>
        <v>519</v>
      </c>
      <c r="M54" s="12">
        <f t="shared" si="6"/>
        <v>519</v>
      </c>
      <c r="N54" s="12">
        <f t="shared" si="6"/>
        <v>272</v>
      </c>
      <c r="O54" s="12">
        <f t="shared" si="6"/>
        <v>251</v>
      </c>
      <c r="P54" s="12">
        <f t="shared" si="6"/>
        <v>348</v>
      </c>
      <c r="Q54" s="12">
        <f t="shared" si="6"/>
        <v>0</v>
      </c>
      <c r="R54" s="12">
        <f t="shared" si="6"/>
        <v>0</v>
      </c>
      <c r="S54" s="12">
        <f t="shared" si="6"/>
        <v>569</v>
      </c>
      <c r="T54" s="12">
        <f t="shared" ref="T54:AF54" si="7">T8-S8</f>
        <v>427</v>
      </c>
      <c r="U54" s="12">
        <f t="shared" si="7"/>
        <v>581</v>
      </c>
      <c r="V54" s="12">
        <f t="shared" si="7"/>
        <v>417</v>
      </c>
      <c r="W54" s="12">
        <f t="shared" si="7"/>
        <v>249</v>
      </c>
      <c r="X54" s="12">
        <f t="shared" si="7"/>
        <v>374</v>
      </c>
      <c r="Y54" s="12">
        <f t="shared" si="7"/>
        <v>354</v>
      </c>
      <c r="Z54" s="12">
        <f t="shared" si="7"/>
        <v>519</v>
      </c>
      <c r="AA54" s="12">
        <f t="shared" si="7"/>
        <v>476</v>
      </c>
      <c r="AB54" s="12">
        <f t="shared" si="7"/>
        <v>113</v>
      </c>
      <c r="AC54" s="12">
        <f t="shared" si="1"/>
        <v>511</v>
      </c>
      <c r="AD54" s="12">
        <f t="shared" si="7"/>
        <v>451</v>
      </c>
      <c r="AE54" s="12">
        <f t="shared" si="7"/>
        <v>166</v>
      </c>
      <c r="AF54" s="12">
        <f t="shared" si="7"/>
        <v>203</v>
      </c>
    </row>
    <row r="55" spans="1:32" x14ac:dyDescent="0.25">
      <c r="A55" s="13" t="s">
        <v>8</v>
      </c>
      <c r="B55" s="224">
        <v>417</v>
      </c>
      <c r="C55" s="12">
        <f t="shared" ref="C55:S55" si="8">C9-B9</f>
        <v>560</v>
      </c>
      <c r="D55" s="12">
        <f t="shared" si="8"/>
        <v>604</v>
      </c>
      <c r="E55" s="12">
        <f t="shared" si="8"/>
        <v>561</v>
      </c>
      <c r="F55" s="12">
        <f t="shared" si="8"/>
        <v>388</v>
      </c>
      <c r="G55" s="12">
        <f t="shared" si="8"/>
        <v>369</v>
      </c>
      <c r="H55" s="12">
        <f t="shared" si="8"/>
        <v>418</v>
      </c>
      <c r="I55" s="12">
        <f t="shared" si="8"/>
        <v>320</v>
      </c>
      <c r="J55" s="12">
        <f t="shared" si="8"/>
        <v>510</v>
      </c>
      <c r="K55" s="12">
        <f t="shared" si="8"/>
        <v>561</v>
      </c>
      <c r="L55" s="12">
        <f t="shared" si="8"/>
        <v>307</v>
      </c>
      <c r="M55" s="12">
        <f t="shared" si="8"/>
        <v>431</v>
      </c>
      <c r="N55" s="12">
        <f t="shared" si="8"/>
        <v>88</v>
      </c>
      <c r="O55" s="12">
        <f t="shared" si="8"/>
        <v>315</v>
      </c>
      <c r="P55" s="12">
        <f t="shared" si="8"/>
        <v>431</v>
      </c>
      <c r="Q55" s="12">
        <f t="shared" si="8"/>
        <v>0</v>
      </c>
      <c r="R55" s="12">
        <f t="shared" si="8"/>
        <v>194</v>
      </c>
      <c r="S55" s="12">
        <f t="shared" si="8"/>
        <v>467</v>
      </c>
      <c r="T55" s="12">
        <f t="shared" ref="T55:AF55" si="9">T9-S9</f>
        <v>475</v>
      </c>
      <c r="U55" s="12">
        <f t="shared" si="9"/>
        <v>312</v>
      </c>
      <c r="V55" s="12">
        <f t="shared" si="9"/>
        <v>20</v>
      </c>
      <c r="W55" s="12">
        <f t="shared" si="9"/>
        <v>132</v>
      </c>
      <c r="X55" s="12">
        <f t="shared" si="9"/>
        <v>262</v>
      </c>
      <c r="Y55" s="12">
        <f t="shared" si="9"/>
        <v>312</v>
      </c>
      <c r="Z55" s="12">
        <f t="shared" si="9"/>
        <v>561</v>
      </c>
      <c r="AA55" s="12">
        <f t="shared" si="9"/>
        <v>475</v>
      </c>
      <c r="AB55" s="12">
        <f t="shared" si="9"/>
        <v>173</v>
      </c>
      <c r="AC55" s="12">
        <f t="shared" si="1"/>
        <v>520</v>
      </c>
      <c r="AD55" s="12">
        <f t="shared" si="9"/>
        <v>270</v>
      </c>
      <c r="AE55" s="12">
        <f t="shared" si="9"/>
        <v>251</v>
      </c>
      <c r="AF55" s="12">
        <f t="shared" si="9"/>
        <v>402</v>
      </c>
    </row>
    <row r="56" spans="1:32" x14ac:dyDescent="0.25">
      <c r="A56" s="13" t="s">
        <v>9</v>
      </c>
      <c r="B56" s="224">
        <v>181</v>
      </c>
      <c r="C56" s="12">
        <f t="shared" ref="C56:S56" si="10">C10-B10</f>
        <v>519</v>
      </c>
      <c r="D56" s="12">
        <f t="shared" si="10"/>
        <v>418</v>
      </c>
      <c r="E56" s="12">
        <f t="shared" si="10"/>
        <v>43</v>
      </c>
      <c r="F56" s="12">
        <f t="shared" si="10"/>
        <v>475</v>
      </c>
      <c r="G56" s="12">
        <f t="shared" si="10"/>
        <v>258</v>
      </c>
      <c r="H56" s="12">
        <f t="shared" si="10"/>
        <v>523</v>
      </c>
      <c r="I56" s="12">
        <f t="shared" si="10"/>
        <v>180</v>
      </c>
      <c r="J56" s="12">
        <f t="shared" si="10"/>
        <v>133</v>
      </c>
      <c r="K56" s="12">
        <f t="shared" si="10"/>
        <v>167</v>
      </c>
      <c r="L56" s="12">
        <f t="shared" si="10"/>
        <v>0</v>
      </c>
      <c r="M56" s="12">
        <f t="shared" si="10"/>
        <v>220</v>
      </c>
      <c r="N56" s="12">
        <f t="shared" si="10"/>
        <v>561</v>
      </c>
      <c r="O56" s="12">
        <f t="shared" si="10"/>
        <v>521</v>
      </c>
      <c r="P56" s="12">
        <f t="shared" si="10"/>
        <v>398</v>
      </c>
      <c r="Q56" s="12">
        <f t="shared" si="10"/>
        <v>434</v>
      </c>
      <c r="R56" s="12">
        <f t="shared" si="10"/>
        <v>0</v>
      </c>
      <c r="S56" s="12">
        <f t="shared" si="10"/>
        <v>0</v>
      </c>
      <c r="T56" s="12">
        <f t="shared" ref="T56:AF56" si="11">T10-S10</f>
        <v>0</v>
      </c>
      <c r="U56" s="12">
        <f t="shared" si="11"/>
        <v>0</v>
      </c>
      <c r="V56" s="12">
        <f t="shared" si="11"/>
        <v>0</v>
      </c>
      <c r="W56" s="12">
        <f t="shared" si="11"/>
        <v>21</v>
      </c>
      <c r="X56" s="12">
        <f t="shared" si="11"/>
        <v>204</v>
      </c>
      <c r="Y56" s="12">
        <f t="shared" si="11"/>
        <v>266</v>
      </c>
      <c r="Z56" s="12">
        <f t="shared" si="11"/>
        <v>114</v>
      </c>
      <c r="AA56" s="12">
        <f t="shared" si="11"/>
        <v>264</v>
      </c>
      <c r="AB56" s="12">
        <f t="shared" si="11"/>
        <v>263</v>
      </c>
      <c r="AC56" s="12">
        <f t="shared" si="1"/>
        <v>521</v>
      </c>
      <c r="AD56" s="12">
        <f t="shared" si="11"/>
        <v>605</v>
      </c>
      <c r="AE56" s="12">
        <f t="shared" si="11"/>
        <v>204</v>
      </c>
      <c r="AF56" s="12">
        <f t="shared" si="11"/>
        <v>537</v>
      </c>
    </row>
    <row r="57" spans="1:32" x14ac:dyDescent="0.25">
      <c r="A57" s="13" t="s">
        <v>10</v>
      </c>
      <c r="B57" s="224">
        <v>499</v>
      </c>
      <c r="C57" s="12">
        <f t="shared" ref="C57:S57" si="12">C11-B11</f>
        <v>157</v>
      </c>
      <c r="D57" s="12">
        <f t="shared" si="12"/>
        <v>521</v>
      </c>
      <c r="E57" s="12">
        <f t="shared" si="12"/>
        <v>521</v>
      </c>
      <c r="F57" s="12">
        <f t="shared" si="12"/>
        <v>476</v>
      </c>
      <c r="G57" s="12">
        <f t="shared" si="12"/>
        <v>494</v>
      </c>
      <c r="H57" s="12">
        <f t="shared" si="12"/>
        <v>375</v>
      </c>
      <c r="I57" s="12">
        <f t="shared" si="12"/>
        <v>562</v>
      </c>
      <c r="J57" s="12">
        <f t="shared" si="12"/>
        <v>501</v>
      </c>
      <c r="K57" s="12">
        <f t="shared" si="12"/>
        <v>183</v>
      </c>
      <c r="L57" s="12">
        <f t="shared" si="12"/>
        <v>0</v>
      </c>
      <c r="M57" s="12">
        <f t="shared" si="12"/>
        <v>0</v>
      </c>
      <c r="N57" s="12">
        <f t="shared" si="12"/>
        <v>203</v>
      </c>
      <c r="O57" s="12">
        <f t="shared" si="12"/>
        <v>183</v>
      </c>
      <c r="P57" s="12">
        <f t="shared" si="12"/>
        <v>590</v>
      </c>
      <c r="Q57" s="12">
        <f t="shared" si="12"/>
        <v>262</v>
      </c>
      <c r="R57" s="12">
        <f t="shared" si="12"/>
        <v>0</v>
      </c>
      <c r="S57" s="12">
        <f t="shared" si="12"/>
        <v>88</v>
      </c>
      <c r="T57" s="12">
        <f t="shared" ref="T57:AF57" si="13">T11-S11</f>
        <v>0</v>
      </c>
      <c r="U57" s="12">
        <f t="shared" si="13"/>
        <v>87</v>
      </c>
      <c r="V57" s="12">
        <f t="shared" si="13"/>
        <v>425</v>
      </c>
      <c r="W57" s="12">
        <f t="shared" si="13"/>
        <v>324</v>
      </c>
      <c r="X57" s="12">
        <f t="shared" si="13"/>
        <v>250</v>
      </c>
      <c r="Y57" s="12">
        <f t="shared" si="13"/>
        <v>263</v>
      </c>
      <c r="Z57" s="12">
        <f t="shared" si="13"/>
        <v>0</v>
      </c>
      <c r="AA57" s="12">
        <f t="shared" si="13"/>
        <v>0</v>
      </c>
      <c r="AB57" s="12">
        <f t="shared" si="13"/>
        <v>130</v>
      </c>
      <c r="AC57" s="12">
        <f t="shared" si="1"/>
        <v>357</v>
      </c>
      <c r="AD57" s="12">
        <f t="shared" si="13"/>
        <v>325</v>
      </c>
      <c r="AE57" s="12">
        <f t="shared" si="13"/>
        <v>297</v>
      </c>
      <c r="AF57" s="12">
        <f t="shared" si="13"/>
        <v>494</v>
      </c>
    </row>
    <row r="58" spans="1:32" x14ac:dyDescent="0.25">
      <c r="A58" s="11" t="s">
        <v>11</v>
      </c>
      <c r="B58" s="224">
        <v>519</v>
      </c>
      <c r="C58" s="12">
        <f t="shared" ref="C58:S58" si="14">C12-B12</f>
        <v>279</v>
      </c>
      <c r="D58" s="12">
        <f t="shared" si="14"/>
        <v>194</v>
      </c>
      <c r="E58" s="12">
        <f t="shared" si="14"/>
        <v>0</v>
      </c>
      <c r="F58" s="12">
        <f t="shared" si="14"/>
        <v>0</v>
      </c>
      <c r="G58" s="12">
        <f t="shared" si="14"/>
        <v>231</v>
      </c>
      <c r="H58" s="12">
        <f t="shared" si="14"/>
        <v>588</v>
      </c>
      <c r="I58" s="12">
        <f t="shared" si="14"/>
        <v>520</v>
      </c>
      <c r="J58" s="12">
        <f t="shared" si="14"/>
        <v>450</v>
      </c>
      <c r="K58" s="12">
        <f t="shared" si="14"/>
        <v>221</v>
      </c>
      <c r="L58" s="12">
        <f t="shared" si="14"/>
        <v>0</v>
      </c>
      <c r="M58" s="12">
        <f t="shared" si="14"/>
        <v>0</v>
      </c>
      <c r="N58" s="12">
        <f t="shared" si="14"/>
        <v>251</v>
      </c>
      <c r="O58" s="12">
        <f t="shared" si="14"/>
        <v>218</v>
      </c>
      <c r="P58" s="12">
        <f t="shared" si="14"/>
        <v>358</v>
      </c>
      <c r="Q58" s="12">
        <f t="shared" si="14"/>
        <v>0</v>
      </c>
      <c r="R58" s="12">
        <f t="shared" si="14"/>
        <v>0</v>
      </c>
      <c r="S58" s="12">
        <f t="shared" si="14"/>
        <v>0</v>
      </c>
      <c r="T58" s="12">
        <f t="shared" ref="T58:AF58" si="15">T12-S12</f>
        <v>0</v>
      </c>
      <c r="U58" s="12">
        <f t="shared" si="15"/>
        <v>193</v>
      </c>
      <c r="V58" s="12">
        <f t="shared" si="15"/>
        <v>3</v>
      </c>
      <c r="W58" s="12">
        <f t="shared" si="15"/>
        <v>5</v>
      </c>
      <c r="X58" s="12">
        <f t="shared" si="15"/>
        <v>193</v>
      </c>
      <c r="Y58" s="12">
        <f t="shared" si="15"/>
        <v>262</v>
      </c>
      <c r="Z58" s="12">
        <f t="shared" si="15"/>
        <v>0</v>
      </c>
      <c r="AA58" s="12">
        <f t="shared" si="15"/>
        <v>0</v>
      </c>
      <c r="AB58" s="12">
        <f t="shared" si="15"/>
        <v>72</v>
      </c>
      <c r="AC58" s="12">
        <f t="shared" si="1"/>
        <v>194</v>
      </c>
      <c r="AD58" s="12">
        <f t="shared" si="15"/>
        <v>561</v>
      </c>
      <c r="AE58" s="12">
        <f t="shared" si="15"/>
        <v>280</v>
      </c>
      <c r="AF58" s="12">
        <f t="shared" si="15"/>
        <v>286</v>
      </c>
    </row>
    <row r="59" spans="1:32" x14ac:dyDescent="0.25">
      <c r="A59" s="11" t="s">
        <v>12</v>
      </c>
      <c r="B59" s="224">
        <v>560</v>
      </c>
      <c r="C59" s="12">
        <f t="shared" ref="C59:S59" si="16">C13-B13</f>
        <v>450</v>
      </c>
      <c r="D59" s="12">
        <f t="shared" si="16"/>
        <v>167</v>
      </c>
      <c r="E59" s="12">
        <f t="shared" si="16"/>
        <v>0</v>
      </c>
      <c r="F59" s="12">
        <f t="shared" si="16"/>
        <v>42</v>
      </c>
      <c r="G59" s="12">
        <f t="shared" si="16"/>
        <v>324</v>
      </c>
      <c r="H59" s="12">
        <f t="shared" si="16"/>
        <v>286</v>
      </c>
      <c r="I59" s="12">
        <f t="shared" si="16"/>
        <v>602</v>
      </c>
      <c r="J59" s="12">
        <f t="shared" si="16"/>
        <v>345</v>
      </c>
      <c r="K59" s="12">
        <f t="shared" si="16"/>
        <v>198</v>
      </c>
      <c r="L59" s="12">
        <f t="shared" si="16"/>
        <v>0</v>
      </c>
      <c r="M59" s="12">
        <f t="shared" si="16"/>
        <v>0</v>
      </c>
      <c r="N59" s="12">
        <f t="shared" si="16"/>
        <v>204</v>
      </c>
      <c r="O59" s="12">
        <f t="shared" si="16"/>
        <v>250</v>
      </c>
      <c r="P59" s="12">
        <f t="shared" si="16"/>
        <v>140</v>
      </c>
      <c r="Q59" s="12">
        <f t="shared" si="16"/>
        <v>0</v>
      </c>
      <c r="R59" s="12">
        <f t="shared" si="16"/>
        <v>185</v>
      </c>
      <c r="S59" s="12">
        <f t="shared" si="16"/>
        <v>0</v>
      </c>
      <c r="T59" s="12">
        <f t="shared" ref="T59:AF59" si="17">T13-S13</f>
        <v>0</v>
      </c>
      <c r="U59" s="12">
        <f t="shared" si="17"/>
        <v>0</v>
      </c>
      <c r="V59" s="12">
        <f t="shared" si="17"/>
        <v>52</v>
      </c>
      <c r="W59" s="12">
        <f t="shared" si="17"/>
        <v>278</v>
      </c>
      <c r="X59" s="12">
        <f t="shared" si="17"/>
        <v>249</v>
      </c>
      <c r="Y59" s="12">
        <f t="shared" si="17"/>
        <v>517</v>
      </c>
      <c r="Z59" s="12">
        <f t="shared" si="17"/>
        <v>0</v>
      </c>
      <c r="AA59" s="12">
        <f t="shared" si="17"/>
        <v>0</v>
      </c>
      <c r="AB59" s="12">
        <f t="shared" si="17"/>
        <v>247</v>
      </c>
      <c r="AC59" s="12">
        <f t="shared" si="1"/>
        <v>263</v>
      </c>
      <c r="AD59" s="12">
        <f t="shared" si="17"/>
        <v>312</v>
      </c>
      <c r="AE59" s="12">
        <f t="shared" si="17"/>
        <v>517</v>
      </c>
      <c r="AF59" s="12">
        <f t="shared" si="17"/>
        <v>234</v>
      </c>
    </row>
    <row r="60" spans="1:32" x14ac:dyDescent="0.25">
      <c r="A60" s="11" t="s">
        <v>13</v>
      </c>
      <c r="B60" s="224">
        <v>194</v>
      </c>
      <c r="C60" s="12">
        <f t="shared" ref="C60:S60" si="18">C14-B14</f>
        <v>70</v>
      </c>
      <c r="D60" s="12">
        <f t="shared" si="18"/>
        <v>89</v>
      </c>
      <c r="E60" s="12">
        <f t="shared" si="18"/>
        <v>0</v>
      </c>
      <c r="F60" s="12">
        <f t="shared" si="18"/>
        <v>0</v>
      </c>
      <c r="G60" s="12">
        <f t="shared" si="18"/>
        <v>361</v>
      </c>
      <c r="H60" s="12">
        <f t="shared" si="18"/>
        <v>150</v>
      </c>
      <c r="I60" s="12">
        <f t="shared" si="18"/>
        <v>519</v>
      </c>
      <c r="J60" s="12">
        <f t="shared" si="18"/>
        <v>259</v>
      </c>
      <c r="K60" s="12">
        <f t="shared" si="18"/>
        <v>192</v>
      </c>
      <c r="L60" s="12">
        <f t="shared" si="18"/>
        <v>0</v>
      </c>
      <c r="M60" s="12">
        <f t="shared" si="18"/>
        <v>0</v>
      </c>
      <c r="N60" s="12">
        <f t="shared" si="18"/>
        <v>229</v>
      </c>
      <c r="O60" s="12">
        <f t="shared" si="18"/>
        <v>550</v>
      </c>
      <c r="P60" s="12">
        <f t="shared" si="18"/>
        <v>417</v>
      </c>
      <c r="Q60" s="12">
        <f t="shared" si="18"/>
        <v>0</v>
      </c>
      <c r="R60" s="12">
        <f t="shared" si="18"/>
        <v>239</v>
      </c>
      <c r="S60" s="12">
        <f t="shared" si="18"/>
        <v>518</v>
      </c>
      <c r="T60" s="12">
        <f t="shared" ref="T60:AF60" si="19">T14-S14</f>
        <v>517</v>
      </c>
      <c r="U60" s="12">
        <f t="shared" si="19"/>
        <v>369</v>
      </c>
      <c r="V60" s="12">
        <f t="shared" si="19"/>
        <v>92</v>
      </c>
      <c r="W60" s="12">
        <f t="shared" si="19"/>
        <v>0</v>
      </c>
      <c r="X60" s="12">
        <f t="shared" si="19"/>
        <v>0</v>
      </c>
      <c r="Y60" s="12">
        <f t="shared" si="19"/>
        <v>0</v>
      </c>
      <c r="Z60" s="12">
        <f t="shared" si="19"/>
        <v>0</v>
      </c>
      <c r="AA60" s="12">
        <f t="shared" si="19"/>
        <v>0</v>
      </c>
      <c r="AB60" s="12">
        <f t="shared" si="19"/>
        <v>0</v>
      </c>
      <c r="AC60" s="12">
        <f t="shared" si="1"/>
        <v>0</v>
      </c>
      <c r="AD60" s="12">
        <f t="shared" si="19"/>
        <v>0</v>
      </c>
      <c r="AE60" s="12">
        <f t="shared" si="19"/>
        <v>0</v>
      </c>
      <c r="AF60" s="12">
        <f t="shared" si="19"/>
        <v>0</v>
      </c>
    </row>
    <row r="61" spans="1:32" x14ac:dyDescent="0.25">
      <c r="A61" s="13" t="s">
        <v>14</v>
      </c>
      <c r="B61" s="224">
        <v>476</v>
      </c>
      <c r="C61" s="12">
        <f t="shared" ref="C61:S61" si="20">C15-B15</f>
        <v>604</v>
      </c>
      <c r="D61" s="12">
        <f t="shared" si="20"/>
        <v>560</v>
      </c>
      <c r="E61" s="12">
        <f t="shared" si="20"/>
        <v>561</v>
      </c>
      <c r="F61" s="12">
        <f t="shared" si="20"/>
        <v>389</v>
      </c>
      <c r="G61" s="12">
        <f t="shared" si="20"/>
        <v>450</v>
      </c>
      <c r="H61" s="12">
        <f t="shared" si="20"/>
        <v>78</v>
      </c>
      <c r="I61" s="12">
        <f t="shared" si="20"/>
        <v>212</v>
      </c>
      <c r="J61" s="12">
        <f t="shared" si="20"/>
        <v>251</v>
      </c>
      <c r="K61" s="12">
        <f t="shared" si="20"/>
        <v>241</v>
      </c>
      <c r="L61" s="12">
        <f t="shared" si="20"/>
        <v>0</v>
      </c>
      <c r="M61" s="12">
        <f t="shared" si="20"/>
        <v>0</v>
      </c>
      <c r="N61" s="12">
        <f t="shared" si="20"/>
        <v>559</v>
      </c>
      <c r="O61" s="12">
        <f t="shared" si="20"/>
        <v>266</v>
      </c>
      <c r="P61" s="12">
        <f t="shared" si="20"/>
        <v>604</v>
      </c>
      <c r="Q61" s="12">
        <f t="shared" si="20"/>
        <v>477</v>
      </c>
      <c r="R61" s="12">
        <f t="shared" si="20"/>
        <v>0</v>
      </c>
      <c r="S61" s="12">
        <f t="shared" si="20"/>
        <v>0</v>
      </c>
      <c r="T61" s="12">
        <f t="shared" ref="T61:AF61" si="21">T15-S15</f>
        <v>0</v>
      </c>
      <c r="U61" s="12">
        <f t="shared" si="21"/>
        <v>0</v>
      </c>
      <c r="V61" s="12">
        <f t="shared" si="21"/>
        <v>20</v>
      </c>
      <c r="W61" s="12">
        <f t="shared" si="21"/>
        <v>280</v>
      </c>
      <c r="X61" s="12">
        <f t="shared" si="21"/>
        <v>194</v>
      </c>
      <c r="Y61" s="12">
        <f t="shared" si="21"/>
        <v>257</v>
      </c>
      <c r="Z61" s="12">
        <f t="shared" si="21"/>
        <v>0</v>
      </c>
      <c r="AA61" s="12">
        <f t="shared" si="21"/>
        <v>0</v>
      </c>
      <c r="AB61" s="12">
        <f t="shared" si="21"/>
        <v>329</v>
      </c>
      <c r="AC61" s="12">
        <f t="shared" si="1"/>
        <v>450</v>
      </c>
      <c r="AD61" s="12">
        <f t="shared" si="21"/>
        <v>418</v>
      </c>
      <c r="AE61" s="12">
        <f t="shared" si="21"/>
        <v>349</v>
      </c>
      <c r="AF61" s="12">
        <f t="shared" si="21"/>
        <v>560</v>
      </c>
    </row>
    <row r="62" spans="1:32" x14ac:dyDescent="0.25">
      <c r="A62" s="13" t="s">
        <v>15</v>
      </c>
      <c r="B62" s="224">
        <v>451</v>
      </c>
      <c r="C62" s="12">
        <f t="shared" ref="C62:S62" si="22">C16-B16</f>
        <v>194</v>
      </c>
      <c r="D62" s="12">
        <f t="shared" si="22"/>
        <v>175</v>
      </c>
      <c r="E62" s="12">
        <f t="shared" si="22"/>
        <v>0</v>
      </c>
      <c r="F62" s="12">
        <f t="shared" si="22"/>
        <v>0</v>
      </c>
      <c r="G62" s="12">
        <f t="shared" si="22"/>
        <v>500</v>
      </c>
      <c r="H62" s="12">
        <f t="shared" si="22"/>
        <v>561</v>
      </c>
      <c r="I62" s="12">
        <f t="shared" si="22"/>
        <v>603</v>
      </c>
      <c r="J62" s="12">
        <f t="shared" si="22"/>
        <v>355</v>
      </c>
      <c r="K62" s="12">
        <f t="shared" si="22"/>
        <v>604</v>
      </c>
      <c r="L62" s="12">
        <f t="shared" si="22"/>
        <v>517</v>
      </c>
      <c r="M62" s="12">
        <f t="shared" si="22"/>
        <v>260</v>
      </c>
      <c r="N62" s="12">
        <f t="shared" si="22"/>
        <v>305</v>
      </c>
      <c r="O62" s="12">
        <f t="shared" si="22"/>
        <v>606</v>
      </c>
      <c r="P62" s="12">
        <f t="shared" si="22"/>
        <v>243</v>
      </c>
      <c r="Q62" s="12">
        <f t="shared" si="22"/>
        <v>0</v>
      </c>
      <c r="R62" s="12">
        <f t="shared" si="22"/>
        <v>1</v>
      </c>
      <c r="S62" s="12">
        <f t="shared" si="22"/>
        <v>0</v>
      </c>
      <c r="T62" s="12">
        <f t="shared" ref="T62:AF62" si="23">T16-S16</f>
        <v>0</v>
      </c>
      <c r="U62" s="12">
        <f t="shared" si="23"/>
        <v>20</v>
      </c>
      <c r="V62" s="12">
        <f t="shared" si="23"/>
        <v>-19</v>
      </c>
      <c r="W62" s="12">
        <f t="shared" si="23"/>
        <v>131</v>
      </c>
      <c r="X62" s="12">
        <f t="shared" si="23"/>
        <v>512</v>
      </c>
      <c r="Y62" s="12">
        <f t="shared" si="23"/>
        <v>238</v>
      </c>
      <c r="Z62" s="12">
        <f t="shared" si="23"/>
        <v>0</v>
      </c>
      <c r="AA62" s="12">
        <f t="shared" si="23"/>
        <v>0</v>
      </c>
      <c r="AB62" s="12">
        <f t="shared" si="23"/>
        <v>219</v>
      </c>
      <c r="AC62" s="12">
        <f t="shared" si="1"/>
        <v>425</v>
      </c>
      <c r="AD62" s="12">
        <f t="shared" si="23"/>
        <v>603</v>
      </c>
      <c r="AE62" s="12">
        <f t="shared" si="23"/>
        <v>150</v>
      </c>
      <c r="AF62" s="12">
        <f t="shared" si="23"/>
        <v>1</v>
      </c>
    </row>
    <row r="63" spans="1:32" x14ac:dyDescent="0.25">
      <c r="A63" s="13" t="s">
        <v>16</v>
      </c>
      <c r="B63" s="224">
        <v>194</v>
      </c>
      <c r="C63" s="12">
        <f t="shared" ref="C63:S63" si="24">C17-B17</f>
        <v>249</v>
      </c>
      <c r="D63" s="12">
        <f t="shared" si="24"/>
        <v>251</v>
      </c>
      <c r="E63" s="12">
        <f t="shared" si="24"/>
        <v>0</v>
      </c>
      <c r="F63" s="12">
        <f t="shared" si="24"/>
        <v>0</v>
      </c>
      <c r="G63" s="12">
        <f t="shared" si="24"/>
        <v>78</v>
      </c>
      <c r="H63" s="12">
        <f t="shared" si="24"/>
        <v>518</v>
      </c>
      <c r="I63" s="12">
        <f t="shared" si="24"/>
        <v>397</v>
      </c>
      <c r="J63" s="12">
        <f t="shared" si="24"/>
        <v>434</v>
      </c>
      <c r="K63" s="12">
        <f t="shared" si="24"/>
        <v>450</v>
      </c>
      <c r="L63" s="12">
        <f t="shared" si="24"/>
        <v>0</v>
      </c>
      <c r="M63" s="12">
        <f t="shared" si="24"/>
        <v>0</v>
      </c>
      <c r="N63" s="12">
        <f t="shared" si="24"/>
        <v>175</v>
      </c>
      <c r="O63" s="12">
        <f t="shared" si="24"/>
        <v>268</v>
      </c>
      <c r="P63" s="12">
        <f t="shared" si="24"/>
        <v>559</v>
      </c>
      <c r="Q63" s="12">
        <f t="shared" si="24"/>
        <v>517</v>
      </c>
      <c r="R63" s="12">
        <f t="shared" si="24"/>
        <v>0</v>
      </c>
      <c r="S63" s="12">
        <f t="shared" si="24"/>
        <v>424</v>
      </c>
      <c r="T63" s="12">
        <f t="shared" ref="T63:AF63" si="25">T17-S17</f>
        <v>0</v>
      </c>
      <c r="U63" s="12">
        <f t="shared" si="25"/>
        <v>22</v>
      </c>
      <c r="V63" s="12">
        <f t="shared" si="25"/>
        <v>0</v>
      </c>
      <c r="W63" s="12">
        <f t="shared" si="25"/>
        <v>44</v>
      </c>
      <c r="X63" s="12">
        <f t="shared" si="25"/>
        <v>1</v>
      </c>
      <c r="Y63" s="12">
        <f t="shared" si="25"/>
        <v>0</v>
      </c>
      <c r="Z63" s="12">
        <f t="shared" si="25"/>
        <v>0</v>
      </c>
      <c r="AA63" s="12">
        <f t="shared" si="25"/>
        <v>0</v>
      </c>
      <c r="AB63" s="12">
        <f t="shared" si="25"/>
        <v>0</v>
      </c>
      <c r="AC63" s="12">
        <f t="shared" si="1"/>
        <v>0</v>
      </c>
      <c r="AD63" s="12">
        <f t="shared" si="25"/>
        <v>0</v>
      </c>
      <c r="AE63" s="12">
        <f t="shared" si="25"/>
        <v>0</v>
      </c>
      <c r="AF63" s="12">
        <f t="shared" si="25"/>
        <v>0</v>
      </c>
    </row>
    <row r="64" spans="1:32" x14ac:dyDescent="0.25">
      <c r="A64" s="13" t="s">
        <v>17</v>
      </c>
      <c r="B64" s="224">
        <v>374</v>
      </c>
      <c r="C64" s="12">
        <f t="shared" ref="C64:S64" si="26">C18-B18</f>
        <v>560</v>
      </c>
      <c r="D64" s="12">
        <f t="shared" si="26"/>
        <v>603</v>
      </c>
      <c r="E64" s="12">
        <f t="shared" si="26"/>
        <v>44</v>
      </c>
      <c r="F64" s="12">
        <f t="shared" si="26"/>
        <v>474</v>
      </c>
      <c r="G64" s="12">
        <f t="shared" si="26"/>
        <v>410</v>
      </c>
      <c r="H64" s="12">
        <f t="shared" si="26"/>
        <v>435</v>
      </c>
      <c r="I64" s="12">
        <f t="shared" si="26"/>
        <v>193</v>
      </c>
      <c r="J64" s="12">
        <f t="shared" si="26"/>
        <v>251</v>
      </c>
      <c r="K64" s="12">
        <f t="shared" si="26"/>
        <v>518</v>
      </c>
      <c r="L64" s="12">
        <f t="shared" si="26"/>
        <v>0</v>
      </c>
      <c r="M64" s="12">
        <f t="shared" si="26"/>
        <v>0</v>
      </c>
      <c r="N64" s="12">
        <f t="shared" si="26"/>
        <v>317</v>
      </c>
      <c r="O64" s="12">
        <f t="shared" si="26"/>
        <v>269</v>
      </c>
      <c r="P64" s="12">
        <f t="shared" si="26"/>
        <v>476</v>
      </c>
      <c r="Q64" s="12">
        <f t="shared" si="26"/>
        <v>517</v>
      </c>
      <c r="R64" s="12">
        <f t="shared" si="26"/>
        <v>0</v>
      </c>
      <c r="S64" s="12">
        <f t="shared" si="26"/>
        <v>682</v>
      </c>
      <c r="T64" s="12">
        <f t="shared" ref="T64:AF64" si="27">T18-S18</f>
        <v>260</v>
      </c>
      <c r="U64" s="12">
        <f t="shared" si="27"/>
        <v>0</v>
      </c>
      <c r="V64" s="12">
        <f t="shared" si="27"/>
        <v>324</v>
      </c>
      <c r="W64" s="12">
        <f t="shared" si="27"/>
        <v>250</v>
      </c>
      <c r="X64" s="12">
        <f t="shared" si="27"/>
        <v>587</v>
      </c>
      <c r="Y64" s="12">
        <f t="shared" si="27"/>
        <v>348</v>
      </c>
      <c r="Z64" s="12">
        <f t="shared" si="27"/>
        <v>517</v>
      </c>
      <c r="AA64" s="12">
        <f t="shared" si="27"/>
        <v>518</v>
      </c>
      <c r="AB64" s="12">
        <f t="shared" si="27"/>
        <v>603</v>
      </c>
      <c r="AC64" s="12">
        <f t="shared" si="1"/>
        <v>271</v>
      </c>
      <c r="AD64" s="12">
        <f t="shared" si="27"/>
        <v>193</v>
      </c>
      <c r="AE64" s="12">
        <f t="shared" si="27"/>
        <v>604</v>
      </c>
      <c r="AF64" s="12">
        <f t="shared" si="27"/>
        <v>108</v>
      </c>
    </row>
    <row r="65" spans="1:32" x14ac:dyDescent="0.25">
      <c r="A65" s="13" t="s">
        <v>18</v>
      </c>
      <c r="B65" s="224">
        <v>0</v>
      </c>
      <c r="C65" s="12">
        <f t="shared" ref="C65:S65" si="28">C19-B19</f>
        <v>0</v>
      </c>
      <c r="D65" s="12">
        <f t="shared" si="28"/>
        <v>0</v>
      </c>
      <c r="E65" s="12">
        <f t="shared" si="28"/>
        <v>0</v>
      </c>
      <c r="F65" s="12">
        <f t="shared" si="28"/>
        <v>0</v>
      </c>
      <c r="G65" s="12">
        <f t="shared" si="28"/>
        <v>0</v>
      </c>
      <c r="H65" s="12">
        <f t="shared" si="28"/>
        <v>0</v>
      </c>
      <c r="I65" s="12">
        <f t="shared" si="28"/>
        <v>0</v>
      </c>
      <c r="J65" s="12">
        <f t="shared" si="28"/>
        <v>0</v>
      </c>
      <c r="K65" s="12">
        <f t="shared" si="28"/>
        <v>0</v>
      </c>
      <c r="L65" s="12">
        <f t="shared" si="28"/>
        <v>0</v>
      </c>
      <c r="M65" s="12">
        <f t="shared" si="28"/>
        <v>0</v>
      </c>
      <c r="N65" s="12">
        <f t="shared" si="28"/>
        <v>0</v>
      </c>
      <c r="O65" s="12">
        <f t="shared" si="28"/>
        <v>0</v>
      </c>
      <c r="P65" s="12">
        <f t="shared" si="28"/>
        <v>0</v>
      </c>
      <c r="Q65" s="12">
        <f t="shared" si="28"/>
        <v>0</v>
      </c>
      <c r="R65" s="12">
        <f t="shared" si="28"/>
        <v>0</v>
      </c>
      <c r="S65" s="12">
        <f t="shared" si="28"/>
        <v>0</v>
      </c>
      <c r="T65" s="12">
        <f t="shared" ref="T65:AF65" si="29">T19-S19</f>
        <v>0</v>
      </c>
      <c r="U65" s="12">
        <f t="shared" si="29"/>
        <v>0</v>
      </c>
      <c r="V65" s="12">
        <f t="shared" si="29"/>
        <v>0</v>
      </c>
      <c r="W65" s="12">
        <f t="shared" si="29"/>
        <v>0</v>
      </c>
      <c r="X65" s="12">
        <f t="shared" si="29"/>
        <v>0</v>
      </c>
      <c r="Y65" s="12">
        <f t="shared" si="29"/>
        <v>0</v>
      </c>
      <c r="Z65" s="12">
        <f t="shared" si="29"/>
        <v>0</v>
      </c>
      <c r="AA65" s="12">
        <f t="shared" si="29"/>
        <v>0</v>
      </c>
      <c r="AB65" s="12">
        <f t="shared" si="29"/>
        <v>0</v>
      </c>
      <c r="AC65" s="12">
        <f t="shared" si="1"/>
        <v>0</v>
      </c>
      <c r="AD65" s="12">
        <f t="shared" si="29"/>
        <v>0</v>
      </c>
      <c r="AE65" s="12">
        <f t="shared" si="29"/>
        <v>0</v>
      </c>
      <c r="AF65" s="12">
        <f t="shared" si="29"/>
        <v>0</v>
      </c>
    </row>
    <row r="66" spans="1:32" x14ac:dyDescent="0.25">
      <c r="A66" s="13" t="s">
        <v>19</v>
      </c>
      <c r="B66" s="224">
        <v>542</v>
      </c>
      <c r="C66" s="12">
        <f t="shared" ref="C66:S66" si="30">C20-B20</f>
        <v>493</v>
      </c>
      <c r="D66" s="12">
        <f t="shared" si="30"/>
        <v>203</v>
      </c>
      <c r="E66" s="12">
        <f t="shared" si="30"/>
        <v>0</v>
      </c>
      <c r="F66" s="12">
        <f t="shared" si="30"/>
        <v>0</v>
      </c>
      <c r="G66" s="12">
        <f t="shared" si="30"/>
        <v>257</v>
      </c>
      <c r="H66" s="12">
        <f t="shared" si="30"/>
        <v>518</v>
      </c>
      <c r="I66" s="12">
        <f t="shared" si="30"/>
        <v>424</v>
      </c>
      <c r="J66" s="12">
        <f t="shared" si="30"/>
        <v>252</v>
      </c>
      <c r="K66" s="12">
        <f t="shared" si="30"/>
        <v>329</v>
      </c>
      <c r="L66" s="12">
        <f t="shared" si="30"/>
        <v>301</v>
      </c>
      <c r="M66" s="12">
        <f t="shared" si="30"/>
        <v>388</v>
      </c>
      <c r="N66" s="12">
        <f t="shared" si="30"/>
        <v>517</v>
      </c>
      <c r="O66" s="12">
        <f t="shared" si="30"/>
        <v>566</v>
      </c>
      <c r="P66" s="12">
        <f t="shared" si="30"/>
        <v>561</v>
      </c>
      <c r="Q66" s="12">
        <f t="shared" si="30"/>
        <v>266</v>
      </c>
      <c r="R66" s="12">
        <f t="shared" si="30"/>
        <v>272</v>
      </c>
      <c r="S66" s="12">
        <f t="shared" si="30"/>
        <v>517</v>
      </c>
      <c r="T66" s="12">
        <f t="shared" ref="T66:AF66" si="31">T20-S20</f>
        <v>86</v>
      </c>
      <c r="U66" s="12">
        <f t="shared" si="31"/>
        <v>4</v>
      </c>
      <c r="V66" s="12">
        <f t="shared" si="31"/>
        <v>23</v>
      </c>
      <c r="W66" s="12">
        <f t="shared" si="31"/>
        <v>0</v>
      </c>
      <c r="X66" s="12">
        <f t="shared" si="31"/>
        <v>1</v>
      </c>
      <c r="Y66" s="12">
        <f t="shared" si="31"/>
        <v>0</v>
      </c>
      <c r="Z66" s="12">
        <f t="shared" si="31"/>
        <v>0</v>
      </c>
      <c r="AA66" s="12">
        <f t="shared" si="31"/>
        <v>0</v>
      </c>
      <c r="AB66" s="12">
        <f t="shared" si="31"/>
        <v>0</v>
      </c>
      <c r="AC66" s="12">
        <f t="shared" si="1"/>
        <v>0</v>
      </c>
      <c r="AD66" s="12">
        <f t="shared" si="31"/>
        <v>0</v>
      </c>
      <c r="AE66" s="12">
        <f t="shared" si="31"/>
        <v>0</v>
      </c>
      <c r="AF66" s="12">
        <f t="shared" si="31"/>
        <v>0</v>
      </c>
    </row>
    <row r="67" spans="1:32" x14ac:dyDescent="0.25">
      <c r="A67" s="13" t="s">
        <v>20</v>
      </c>
      <c r="B67" s="224">
        <v>219</v>
      </c>
      <c r="C67" s="12">
        <f t="shared" ref="C67:S67" si="32">C21-B21</f>
        <v>559</v>
      </c>
      <c r="D67" s="12">
        <f t="shared" si="32"/>
        <v>449</v>
      </c>
      <c r="E67" s="12">
        <f t="shared" si="32"/>
        <v>0</v>
      </c>
      <c r="F67" s="12">
        <f t="shared" si="32"/>
        <v>0</v>
      </c>
      <c r="G67" s="12">
        <f t="shared" si="32"/>
        <v>414</v>
      </c>
      <c r="H67" s="12">
        <f t="shared" si="32"/>
        <v>305</v>
      </c>
      <c r="I67" s="12">
        <f t="shared" si="32"/>
        <v>433</v>
      </c>
      <c r="J67" s="12">
        <f t="shared" si="32"/>
        <v>346</v>
      </c>
      <c r="K67" s="12">
        <f t="shared" si="32"/>
        <v>563</v>
      </c>
      <c r="L67" s="12">
        <f t="shared" si="32"/>
        <v>474</v>
      </c>
      <c r="M67" s="12">
        <f t="shared" si="32"/>
        <v>474</v>
      </c>
      <c r="N67" s="12">
        <f t="shared" si="32"/>
        <v>200</v>
      </c>
      <c r="O67" s="12">
        <f t="shared" si="32"/>
        <v>538</v>
      </c>
      <c r="P67" s="12">
        <f t="shared" si="32"/>
        <v>518</v>
      </c>
      <c r="Q67" s="12">
        <f t="shared" si="32"/>
        <v>216</v>
      </c>
      <c r="R67" s="12">
        <f t="shared" si="32"/>
        <v>251</v>
      </c>
      <c r="S67" s="12">
        <f t="shared" si="32"/>
        <v>0</v>
      </c>
      <c r="T67" s="12">
        <f t="shared" ref="T67:AF82" si="33">T21-S21</f>
        <v>0</v>
      </c>
      <c r="U67" s="12">
        <f t="shared" si="33"/>
        <v>147</v>
      </c>
      <c r="V67" s="12">
        <f t="shared" si="33"/>
        <v>540</v>
      </c>
      <c r="W67" s="12">
        <f t="shared" si="33"/>
        <v>131</v>
      </c>
      <c r="X67" s="12">
        <f t="shared" si="33"/>
        <v>492</v>
      </c>
      <c r="Y67" s="12">
        <f t="shared" si="33"/>
        <v>229</v>
      </c>
      <c r="Z67" s="12">
        <f t="shared" si="33"/>
        <v>0</v>
      </c>
      <c r="AA67" s="12">
        <f t="shared" si="33"/>
        <v>0</v>
      </c>
      <c r="AB67" s="12">
        <f t="shared" si="33"/>
        <v>568</v>
      </c>
      <c r="AC67" s="12">
        <f t="shared" si="33"/>
        <v>433</v>
      </c>
      <c r="AD67" s="12">
        <f t="shared" si="33"/>
        <v>267</v>
      </c>
      <c r="AE67" s="12">
        <f t="shared" si="33"/>
        <v>311</v>
      </c>
      <c r="AF67" s="12">
        <f t="shared" si="33"/>
        <v>521</v>
      </c>
    </row>
    <row r="68" spans="1:32" x14ac:dyDescent="0.25">
      <c r="A68" s="13" t="s">
        <v>21</v>
      </c>
      <c r="B68" s="224">
        <v>449</v>
      </c>
      <c r="C68" s="12">
        <f t="shared" ref="C68:S68" si="34">C22-B22</f>
        <v>194</v>
      </c>
      <c r="D68" s="12">
        <f t="shared" si="34"/>
        <v>248</v>
      </c>
      <c r="E68" s="12">
        <f t="shared" si="34"/>
        <v>0</v>
      </c>
      <c r="F68" s="12">
        <f t="shared" si="34"/>
        <v>0</v>
      </c>
      <c r="G68" s="12">
        <f t="shared" si="34"/>
        <v>571</v>
      </c>
      <c r="H68" s="12">
        <f t="shared" si="34"/>
        <v>278</v>
      </c>
      <c r="I68" s="12">
        <f t="shared" si="34"/>
        <v>305</v>
      </c>
      <c r="J68" s="12">
        <f t="shared" si="34"/>
        <v>431</v>
      </c>
      <c r="K68" s="12">
        <f t="shared" si="34"/>
        <v>519</v>
      </c>
      <c r="L68" s="12">
        <f t="shared" si="34"/>
        <v>518</v>
      </c>
      <c r="M68" s="12">
        <f t="shared" si="34"/>
        <v>474</v>
      </c>
      <c r="N68" s="12">
        <f t="shared" si="34"/>
        <v>603</v>
      </c>
      <c r="O68" s="12">
        <f t="shared" si="34"/>
        <v>360</v>
      </c>
      <c r="P68" s="12">
        <f t="shared" si="34"/>
        <v>258</v>
      </c>
      <c r="Q68" s="12">
        <f t="shared" si="34"/>
        <v>69</v>
      </c>
      <c r="R68" s="12">
        <f t="shared" si="34"/>
        <v>270</v>
      </c>
      <c r="S68" s="12">
        <f t="shared" si="34"/>
        <v>451</v>
      </c>
      <c r="T68" s="12">
        <f t="shared" ref="T68:AF68" si="35">T22-S22</f>
        <v>264</v>
      </c>
      <c r="U68" s="12">
        <f t="shared" si="35"/>
        <v>562</v>
      </c>
      <c r="V68" s="12">
        <f t="shared" si="35"/>
        <v>562</v>
      </c>
      <c r="W68" s="12">
        <f t="shared" si="35"/>
        <v>604</v>
      </c>
      <c r="X68" s="12">
        <f t="shared" si="35"/>
        <v>604</v>
      </c>
      <c r="Y68" s="12">
        <f t="shared" si="35"/>
        <v>605</v>
      </c>
      <c r="Z68" s="12">
        <f t="shared" si="35"/>
        <v>90</v>
      </c>
      <c r="AA68" s="12">
        <f t="shared" si="35"/>
        <v>2</v>
      </c>
      <c r="AB68" s="12">
        <f t="shared" si="35"/>
        <v>520</v>
      </c>
      <c r="AC68" s="12">
        <f t="shared" si="33"/>
        <v>203</v>
      </c>
      <c r="AD68" s="12">
        <f t="shared" si="35"/>
        <v>167</v>
      </c>
      <c r="AE68" s="12">
        <f t="shared" si="35"/>
        <v>348</v>
      </c>
      <c r="AF68" s="12">
        <f t="shared" si="35"/>
        <v>542</v>
      </c>
    </row>
    <row r="69" spans="1:32" x14ac:dyDescent="0.25">
      <c r="A69" s="13" t="s">
        <v>22</v>
      </c>
      <c r="B69" s="224">
        <v>304</v>
      </c>
      <c r="C69" s="12">
        <f t="shared" ref="C69:S69" si="36">C23-B23</f>
        <v>371</v>
      </c>
      <c r="D69" s="12">
        <f t="shared" si="36"/>
        <v>252</v>
      </c>
      <c r="E69" s="12">
        <f t="shared" si="36"/>
        <v>193</v>
      </c>
      <c r="F69" s="12">
        <f t="shared" si="36"/>
        <v>521</v>
      </c>
      <c r="G69" s="12">
        <f t="shared" si="36"/>
        <v>518</v>
      </c>
      <c r="H69" s="12">
        <f t="shared" si="36"/>
        <v>287</v>
      </c>
      <c r="I69" s="12">
        <f t="shared" si="36"/>
        <v>251</v>
      </c>
      <c r="J69" s="12">
        <f t="shared" si="36"/>
        <v>588</v>
      </c>
      <c r="K69" s="12">
        <f t="shared" si="36"/>
        <v>435</v>
      </c>
      <c r="L69" s="12">
        <f t="shared" si="36"/>
        <v>303</v>
      </c>
      <c r="M69" s="12">
        <f t="shared" si="36"/>
        <v>43</v>
      </c>
      <c r="N69" s="12">
        <f t="shared" si="36"/>
        <v>450</v>
      </c>
      <c r="O69" s="12">
        <f t="shared" si="36"/>
        <v>194</v>
      </c>
      <c r="P69" s="12">
        <f t="shared" si="36"/>
        <v>244</v>
      </c>
      <c r="Q69" s="12">
        <f t="shared" si="36"/>
        <v>0</v>
      </c>
      <c r="R69" s="12">
        <f t="shared" si="36"/>
        <v>137</v>
      </c>
      <c r="S69" s="12">
        <f t="shared" si="36"/>
        <v>0</v>
      </c>
      <c r="T69" s="12">
        <f t="shared" ref="T69:AF69" si="37">T23-S23</f>
        <v>0</v>
      </c>
      <c r="U69" s="12">
        <f t="shared" si="37"/>
        <v>0</v>
      </c>
      <c r="V69" s="12">
        <f t="shared" si="37"/>
        <v>122</v>
      </c>
      <c r="W69" s="12">
        <f t="shared" si="37"/>
        <v>203</v>
      </c>
      <c r="X69" s="12">
        <f t="shared" si="37"/>
        <v>424</v>
      </c>
      <c r="Y69" s="12">
        <f t="shared" si="37"/>
        <v>606</v>
      </c>
      <c r="Z69" s="12">
        <f t="shared" si="37"/>
        <v>90</v>
      </c>
      <c r="AA69" s="12">
        <f t="shared" si="37"/>
        <v>519</v>
      </c>
      <c r="AB69" s="12">
        <f t="shared" si="37"/>
        <v>561</v>
      </c>
      <c r="AC69" s="12">
        <f t="shared" si="33"/>
        <v>388</v>
      </c>
      <c r="AD69" s="12">
        <f t="shared" si="37"/>
        <v>204</v>
      </c>
      <c r="AE69" s="12">
        <f t="shared" si="37"/>
        <v>251</v>
      </c>
      <c r="AF69" s="12">
        <f t="shared" si="37"/>
        <v>297</v>
      </c>
    </row>
    <row r="70" spans="1:32" x14ac:dyDescent="0.25">
      <c r="A70" s="11" t="s">
        <v>23</v>
      </c>
      <c r="B70" s="224">
        <v>267</v>
      </c>
      <c r="C70" s="12">
        <f t="shared" ref="C70:S70" si="38">C24-B24</f>
        <v>251</v>
      </c>
      <c r="D70" s="12">
        <f t="shared" si="38"/>
        <v>585</v>
      </c>
      <c r="E70" s="12">
        <f t="shared" si="38"/>
        <v>518</v>
      </c>
      <c r="F70" s="12">
        <f t="shared" si="38"/>
        <v>475</v>
      </c>
      <c r="G70" s="12">
        <f t="shared" si="38"/>
        <v>559</v>
      </c>
      <c r="H70" s="12">
        <f t="shared" si="38"/>
        <v>524</v>
      </c>
      <c r="I70" s="12">
        <f t="shared" si="38"/>
        <v>288</v>
      </c>
      <c r="J70" s="12">
        <f t="shared" si="38"/>
        <v>330</v>
      </c>
      <c r="K70" s="12">
        <f t="shared" si="38"/>
        <v>349</v>
      </c>
      <c r="L70" s="12">
        <f t="shared" si="38"/>
        <v>559</v>
      </c>
      <c r="M70" s="12">
        <f t="shared" si="38"/>
        <v>43</v>
      </c>
      <c r="N70" s="12">
        <f t="shared" si="38"/>
        <v>604</v>
      </c>
      <c r="O70" s="12">
        <f t="shared" si="38"/>
        <v>453</v>
      </c>
      <c r="P70" s="12">
        <f t="shared" si="38"/>
        <v>194</v>
      </c>
      <c r="Q70" s="12">
        <f t="shared" si="38"/>
        <v>0</v>
      </c>
      <c r="R70" s="12">
        <f t="shared" si="38"/>
        <v>1</v>
      </c>
      <c r="S70" s="12">
        <f t="shared" si="38"/>
        <v>0</v>
      </c>
      <c r="T70" s="12">
        <f t="shared" ref="T70:AF70" si="39">T24-S24</f>
        <v>0</v>
      </c>
      <c r="U70" s="12">
        <f t="shared" si="39"/>
        <v>0</v>
      </c>
      <c r="V70" s="12">
        <f t="shared" si="39"/>
        <v>120</v>
      </c>
      <c r="W70" s="12">
        <f t="shared" si="39"/>
        <v>587</v>
      </c>
      <c r="X70" s="12">
        <f t="shared" si="39"/>
        <v>177</v>
      </c>
      <c r="Y70" s="12">
        <f t="shared" si="39"/>
        <v>295</v>
      </c>
      <c r="Z70" s="12">
        <f t="shared" si="39"/>
        <v>563</v>
      </c>
      <c r="AA70" s="12">
        <f t="shared" si="39"/>
        <v>479</v>
      </c>
      <c r="AB70" s="12">
        <f t="shared" si="39"/>
        <v>224</v>
      </c>
      <c r="AC70" s="12">
        <f t="shared" si="33"/>
        <v>193</v>
      </c>
      <c r="AD70" s="12">
        <f t="shared" si="39"/>
        <v>200</v>
      </c>
      <c r="AE70" s="12">
        <f t="shared" si="39"/>
        <v>536</v>
      </c>
      <c r="AF70" s="12">
        <f t="shared" si="39"/>
        <v>602</v>
      </c>
    </row>
    <row r="71" spans="1:32" x14ac:dyDescent="0.25">
      <c r="A71" s="13" t="s">
        <v>24</v>
      </c>
      <c r="B71" s="224">
        <v>79</v>
      </c>
      <c r="C71" s="12">
        <f t="shared" ref="C71:S71" si="40">C25-B25</f>
        <v>452</v>
      </c>
      <c r="D71" s="12">
        <f t="shared" si="40"/>
        <v>340</v>
      </c>
      <c r="E71" s="12">
        <f t="shared" si="40"/>
        <v>560</v>
      </c>
      <c r="F71" s="12">
        <f t="shared" si="40"/>
        <v>48</v>
      </c>
      <c r="G71" s="12">
        <f t="shared" si="40"/>
        <v>561</v>
      </c>
      <c r="H71" s="12">
        <f t="shared" si="40"/>
        <v>246</v>
      </c>
      <c r="I71" s="12">
        <f t="shared" si="40"/>
        <v>517</v>
      </c>
      <c r="J71" s="12">
        <f t="shared" si="40"/>
        <v>245</v>
      </c>
      <c r="K71" s="12">
        <f t="shared" si="40"/>
        <v>277</v>
      </c>
      <c r="L71" s="12">
        <f t="shared" si="40"/>
        <v>0</v>
      </c>
      <c r="M71" s="12">
        <f t="shared" si="40"/>
        <v>0</v>
      </c>
      <c r="N71" s="12">
        <f t="shared" si="40"/>
        <v>182</v>
      </c>
      <c r="O71" s="12">
        <f t="shared" si="40"/>
        <v>133</v>
      </c>
      <c r="P71" s="12">
        <f t="shared" si="40"/>
        <v>259</v>
      </c>
      <c r="Q71" s="12">
        <f t="shared" si="40"/>
        <v>0</v>
      </c>
      <c r="R71" s="12">
        <f t="shared" si="40"/>
        <v>0</v>
      </c>
      <c r="S71" s="12">
        <f t="shared" si="40"/>
        <v>0</v>
      </c>
      <c r="T71" s="12">
        <f t="shared" ref="T71:AF71" si="41">T25-S25</f>
        <v>0</v>
      </c>
      <c r="U71" s="12">
        <f t="shared" si="41"/>
        <v>436</v>
      </c>
      <c r="V71" s="12">
        <f t="shared" si="41"/>
        <v>590</v>
      </c>
      <c r="W71" s="12">
        <f t="shared" si="41"/>
        <v>519</v>
      </c>
      <c r="X71" s="12">
        <f t="shared" si="41"/>
        <v>432</v>
      </c>
      <c r="Y71" s="12">
        <f t="shared" si="41"/>
        <v>521</v>
      </c>
      <c r="Z71" s="12">
        <f t="shared" si="41"/>
        <v>518</v>
      </c>
      <c r="AA71" s="12">
        <f t="shared" si="41"/>
        <v>474</v>
      </c>
      <c r="AB71" s="12">
        <f t="shared" si="41"/>
        <v>469</v>
      </c>
      <c r="AC71" s="12">
        <f t="shared" si="33"/>
        <v>260</v>
      </c>
      <c r="AD71" s="12">
        <f t="shared" si="41"/>
        <v>451</v>
      </c>
      <c r="AE71" s="12">
        <f t="shared" si="41"/>
        <v>560</v>
      </c>
      <c r="AF71" s="12">
        <f t="shared" si="41"/>
        <v>519</v>
      </c>
    </row>
    <row r="72" spans="1:32" x14ac:dyDescent="0.25">
      <c r="A72" s="13" t="s">
        <v>25</v>
      </c>
      <c r="B72" s="224">
        <v>603</v>
      </c>
      <c r="C72" s="12">
        <f t="shared" ref="C72:S72" si="42">C26-B26</f>
        <v>560</v>
      </c>
      <c r="D72" s="12">
        <f t="shared" si="42"/>
        <v>272</v>
      </c>
      <c r="E72" s="12">
        <f t="shared" si="42"/>
        <v>0</v>
      </c>
      <c r="F72" s="12">
        <f t="shared" si="42"/>
        <v>0</v>
      </c>
      <c r="G72" s="12">
        <f t="shared" si="42"/>
        <v>304</v>
      </c>
      <c r="H72" s="12">
        <f t="shared" si="42"/>
        <v>282</v>
      </c>
      <c r="I72" s="12">
        <f t="shared" si="42"/>
        <v>80</v>
      </c>
      <c r="J72" s="12">
        <f t="shared" si="42"/>
        <v>564</v>
      </c>
      <c r="K72" s="12">
        <f t="shared" si="42"/>
        <v>244</v>
      </c>
      <c r="L72" s="12">
        <f t="shared" si="42"/>
        <v>0</v>
      </c>
      <c r="M72" s="12">
        <f t="shared" si="42"/>
        <v>0</v>
      </c>
      <c r="N72" s="12">
        <f t="shared" si="42"/>
        <v>249</v>
      </c>
      <c r="O72" s="12">
        <f t="shared" si="42"/>
        <v>444</v>
      </c>
      <c r="P72" s="12">
        <f t="shared" si="42"/>
        <v>81</v>
      </c>
      <c r="Q72" s="12">
        <f t="shared" si="42"/>
        <v>0</v>
      </c>
      <c r="R72" s="12">
        <f t="shared" si="42"/>
        <v>2</v>
      </c>
      <c r="S72" s="12">
        <f t="shared" si="42"/>
        <v>3</v>
      </c>
      <c r="T72" s="12">
        <f t="shared" ref="T72:AF72" si="43">T26-S26</f>
        <v>433</v>
      </c>
      <c r="U72" s="12">
        <f t="shared" si="43"/>
        <v>519</v>
      </c>
      <c r="V72" s="12">
        <f t="shared" si="43"/>
        <v>20</v>
      </c>
      <c r="W72" s="12">
        <f t="shared" si="43"/>
        <v>131</v>
      </c>
      <c r="X72" s="12">
        <f t="shared" si="43"/>
        <v>258</v>
      </c>
      <c r="Y72" s="12">
        <f t="shared" si="43"/>
        <v>519</v>
      </c>
      <c r="Z72" s="12">
        <f t="shared" si="43"/>
        <v>563</v>
      </c>
      <c r="AA72" s="12">
        <f t="shared" si="43"/>
        <v>43</v>
      </c>
      <c r="AB72" s="12">
        <f t="shared" si="43"/>
        <v>140</v>
      </c>
      <c r="AC72" s="12">
        <f t="shared" si="33"/>
        <v>18</v>
      </c>
      <c r="AD72" s="12">
        <f t="shared" si="43"/>
        <v>562</v>
      </c>
      <c r="AE72" s="12">
        <f t="shared" si="43"/>
        <v>493</v>
      </c>
      <c r="AF72" s="12">
        <f t="shared" si="43"/>
        <v>553</v>
      </c>
    </row>
    <row r="73" spans="1:32" x14ac:dyDescent="0.25">
      <c r="A73" s="13" t="s">
        <v>26</v>
      </c>
      <c r="B73" s="224">
        <v>540</v>
      </c>
      <c r="C73" s="12">
        <f t="shared" ref="C73:S73" si="44">C27-B27</f>
        <v>263</v>
      </c>
      <c r="D73" s="12">
        <f t="shared" si="44"/>
        <v>504</v>
      </c>
      <c r="E73" s="12">
        <f t="shared" si="44"/>
        <v>520</v>
      </c>
      <c r="F73" s="12">
        <f t="shared" si="44"/>
        <v>432</v>
      </c>
      <c r="G73" s="12">
        <f t="shared" si="44"/>
        <v>450</v>
      </c>
      <c r="H73" s="12">
        <f t="shared" si="44"/>
        <v>498</v>
      </c>
      <c r="I73" s="12">
        <f t="shared" si="44"/>
        <v>189</v>
      </c>
      <c r="J73" s="12">
        <f t="shared" si="44"/>
        <v>305</v>
      </c>
      <c r="K73" s="12">
        <f t="shared" si="44"/>
        <v>390</v>
      </c>
      <c r="L73" s="12">
        <f t="shared" si="44"/>
        <v>476</v>
      </c>
      <c r="M73" s="12">
        <f t="shared" si="44"/>
        <v>518</v>
      </c>
      <c r="N73" s="12">
        <f t="shared" si="44"/>
        <v>604</v>
      </c>
      <c r="O73" s="12">
        <f t="shared" si="44"/>
        <v>263</v>
      </c>
      <c r="P73" s="12">
        <f t="shared" si="44"/>
        <v>194</v>
      </c>
      <c r="Q73" s="12">
        <f t="shared" si="44"/>
        <v>0</v>
      </c>
      <c r="R73" s="12">
        <f t="shared" si="44"/>
        <v>1</v>
      </c>
      <c r="S73" s="12">
        <f t="shared" si="44"/>
        <v>0</v>
      </c>
      <c r="T73" s="12">
        <f t="shared" ref="T73:AF73" si="45">T27-S27</f>
        <v>0</v>
      </c>
      <c r="U73" s="12">
        <f t="shared" si="45"/>
        <v>0</v>
      </c>
      <c r="V73" s="12">
        <f t="shared" si="45"/>
        <v>0</v>
      </c>
      <c r="W73" s="12">
        <f t="shared" si="45"/>
        <v>200</v>
      </c>
      <c r="X73" s="12">
        <f t="shared" si="45"/>
        <v>329</v>
      </c>
      <c r="Y73" s="12">
        <f t="shared" si="45"/>
        <v>167</v>
      </c>
      <c r="Z73" s="12">
        <f t="shared" si="45"/>
        <v>517</v>
      </c>
      <c r="AA73" s="12">
        <f t="shared" si="45"/>
        <v>476</v>
      </c>
      <c r="AB73" s="12">
        <f t="shared" si="45"/>
        <v>219</v>
      </c>
      <c r="AC73" s="12">
        <f t="shared" si="33"/>
        <v>449</v>
      </c>
      <c r="AD73" s="12">
        <f t="shared" si="45"/>
        <v>374</v>
      </c>
      <c r="AE73" s="12">
        <f t="shared" si="45"/>
        <v>560</v>
      </c>
      <c r="AF73" s="12">
        <f t="shared" si="45"/>
        <v>148</v>
      </c>
    </row>
    <row r="74" spans="1:32" x14ac:dyDescent="0.25">
      <c r="A74" s="13" t="s">
        <v>27</v>
      </c>
      <c r="B74" s="224">
        <v>560</v>
      </c>
      <c r="C74" s="12">
        <f t="shared" ref="C74:S74" si="46">C28-B28</f>
        <v>521</v>
      </c>
      <c r="D74" s="12">
        <f t="shared" si="46"/>
        <v>451</v>
      </c>
      <c r="E74" s="12">
        <f t="shared" si="46"/>
        <v>0</v>
      </c>
      <c r="F74" s="12">
        <f t="shared" si="46"/>
        <v>0</v>
      </c>
      <c r="G74" s="12">
        <f t="shared" si="46"/>
        <v>151</v>
      </c>
      <c r="H74" s="12">
        <f t="shared" si="46"/>
        <v>100</v>
      </c>
      <c r="I74" s="12">
        <f t="shared" si="46"/>
        <v>68</v>
      </c>
      <c r="J74" s="12">
        <f t="shared" si="46"/>
        <v>348</v>
      </c>
      <c r="K74" s="12">
        <f t="shared" si="46"/>
        <v>448</v>
      </c>
      <c r="L74" s="12">
        <f t="shared" si="46"/>
        <v>0</v>
      </c>
      <c r="M74" s="12">
        <f t="shared" si="46"/>
        <v>0</v>
      </c>
      <c r="N74" s="12">
        <f t="shared" si="46"/>
        <v>261</v>
      </c>
      <c r="O74" s="12">
        <f t="shared" si="46"/>
        <v>272</v>
      </c>
      <c r="P74" s="12">
        <f t="shared" si="46"/>
        <v>250</v>
      </c>
      <c r="Q74" s="12">
        <f t="shared" si="46"/>
        <v>0</v>
      </c>
      <c r="R74" s="12">
        <f t="shared" si="46"/>
        <v>2</v>
      </c>
      <c r="S74" s="12">
        <f t="shared" si="46"/>
        <v>0</v>
      </c>
      <c r="T74" s="12">
        <f t="shared" ref="T74:AF74" si="47">T28-S28</f>
        <v>0</v>
      </c>
      <c r="U74" s="12">
        <f t="shared" si="47"/>
        <v>585</v>
      </c>
      <c r="V74" s="12">
        <f t="shared" si="47"/>
        <v>473</v>
      </c>
      <c r="W74" s="12">
        <f t="shared" si="47"/>
        <v>559</v>
      </c>
      <c r="X74" s="12">
        <f t="shared" si="47"/>
        <v>559</v>
      </c>
      <c r="Y74" s="12">
        <f t="shared" si="47"/>
        <v>311</v>
      </c>
      <c r="Z74" s="12">
        <f t="shared" si="47"/>
        <v>473</v>
      </c>
      <c r="AA74" s="12">
        <f t="shared" si="47"/>
        <v>1</v>
      </c>
      <c r="AB74" s="12">
        <f t="shared" si="47"/>
        <v>518</v>
      </c>
      <c r="AC74" s="12">
        <f t="shared" si="33"/>
        <v>559</v>
      </c>
      <c r="AD74" s="12">
        <f t="shared" si="47"/>
        <v>559</v>
      </c>
      <c r="AE74" s="12">
        <f t="shared" si="47"/>
        <v>100</v>
      </c>
      <c r="AF74" s="12">
        <f t="shared" si="47"/>
        <v>334</v>
      </c>
    </row>
    <row r="75" spans="1:32" x14ac:dyDescent="0.25">
      <c r="A75" s="11" t="s">
        <v>28</v>
      </c>
      <c r="B75" s="224">
        <v>257</v>
      </c>
      <c r="C75" s="12">
        <f t="shared" ref="C75:T75" si="48">C29-B29</f>
        <v>350</v>
      </c>
      <c r="D75" s="12">
        <f t="shared" si="48"/>
        <v>451</v>
      </c>
      <c r="E75" s="12">
        <f t="shared" si="48"/>
        <v>0</v>
      </c>
      <c r="F75" s="12">
        <f t="shared" si="48"/>
        <v>0</v>
      </c>
      <c r="G75" s="12">
        <f t="shared" si="48"/>
        <v>205</v>
      </c>
      <c r="H75" s="12">
        <f t="shared" si="48"/>
        <v>277</v>
      </c>
      <c r="I75" s="12">
        <f t="shared" si="48"/>
        <v>501</v>
      </c>
      <c r="J75" s="12">
        <f t="shared" si="48"/>
        <v>450</v>
      </c>
      <c r="K75" s="12">
        <f t="shared" si="48"/>
        <v>373</v>
      </c>
      <c r="L75" s="12">
        <f t="shared" si="48"/>
        <v>518</v>
      </c>
      <c r="M75" s="12">
        <f t="shared" si="48"/>
        <v>88</v>
      </c>
      <c r="N75" s="12">
        <f t="shared" si="48"/>
        <v>433</v>
      </c>
      <c r="O75" s="12">
        <f t="shared" si="48"/>
        <v>91</v>
      </c>
      <c r="P75" s="12">
        <f t="shared" si="48"/>
        <v>519</v>
      </c>
      <c r="Q75" s="12">
        <f t="shared" si="48"/>
        <v>430</v>
      </c>
      <c r="R75" s="12">
        <f t="shared" si="48"/>
        <v>0</v>
      </c>
      <c r="S75" s="12">
        <f t="shared" si="48"/>
        <v>0</v>
      </c>
      <c r="T75" s="12">
        <f t="shared" si="48"/>
        <v>166</v>
      </c>
      <c r="U75" s="12">
        <f t="shared" ref="U75:AF75" si="49">U29-T29</f>
        <v>0</v>
      </c>
      <c r="V75" s="12">
        <f t="shared" si="49"/>
        <v>0</v>
      </c>
      <c r="W75" s="12">
        <f t="shared" si="49"/>
        <v>177</v>
      </c>
      <c r="X75" s="12">
        <f t="shared" si="49"/>
        <v>432</v>
      </c>
      <c r="Y75" s="12">
        <f t="shared" si="49"/>
        <v>478</v>
      </c>
      <c r="Z75" s="12">
        <f t="shared" si="49"/>
        <v>521</v>
      </c>
      <c r="AA75" s="12">
        <f t="shared" si="49"/>
        <v>43</v>
      </c>
      <c r="AB75" s="12">
        <f t="shared" si="49"/>
        <v>313</v>
      </c>
      <c r="AC75" s="12">
        <f t="shared" si="33"/>
        <v>585</v>
      </c>
      <c r="AD75" s="12">
        <f t="shared" si="49"/>
        <v>390</v>
      </c>
      <c r="AE75" s="12">
        <f t="shared" si="49"/>
        <v>473</v>
      </c>
      <c r="AF75" s="12">
        <f t="shared" si="49"/>
        <v>76</v>
      </c>
    </row>
    <row r="76" spans="1:32" x14ac:dyDescent="0.25">
      <c r="A76" s="13" t="s">
        <v>29</v>
      </c>
      <c r="B76" s="224">
        <v>251</v>
      </c>
      <c r="C76" s="12">
        <f t="shared" ref="C76:S76" si="50">C30-B30</f>
        <v>360</v>
      </c>
      <c r="D76" s="12">
        <f t="shared" si="50"/>
        <v>602</v>
      </c>
      <c r="E76" s="12">
        <f t="shared" si="50"/>
        <v>479</v>
      </c>
      <c r="F76" s="12">
        <f t="shared" si="50"/>
        <v>432</v>
      </c>
      <c r="G76" s="12">
        <f t="shared" si="50"/>
        <v>297</v>
      </c>
      <c r="H76" s="12">
        <f t="shared" si="50"/>
        <v>522</v>
      </c>
      <c r="I76" s="12">
        <f t="shared" si="50"/>
        <v>432</v>
      </c>
      <c r="J76" s="12">
        <f t="shared" si="50"/>
        <v>90</v>
      </c>
      <c r="K76" s="12">
        <f t="shared" si="50"/>
        <v>519</v>
      </c>
      <c r="L76" s="12">
        <f t="shared" si="50"/>
        <v>518</v>
      </c>
      <c r="M76" s="12">
        <f t="shared" si="50"/>
        <v>88</v>
      </c>
      <c r="N76" s="12">
        <f t="shared" si="50"/>
        <v>226</v>
      </c>
      <c r="O76" s="12">
        <f t="shared" si="50"/>
        <v>520</v>
      </c>
      <c r="P76" s="12">
        <f t="shared" si="50"/>
        <v>261</v>
      </c>
      <c r="Q76" s="12">
        <f t="shared" si="50"/>
        <v>347</v>
      </c>
      <c r="R76" s="12">
        <f t="shared" si="50"/>
        <v>0</v>
      </c>
      <c r="S76" s="12">
        <f t="shared" si="50"/>
        <v>474</v>
      </c>
      <c r="T76" s="12">
        <f t="shared" ref="T76:AF76" si="51">T30-S30</f>
        <v>388</v>
      </c>
      <c r="U76" s="12">
        <f t="shared" si="51"/>
        <v>477</v>
      </c>
      <c r="V76" s="12">
        <f t="shared" si="51"/>
        <v>560</v>
      </c>
      <c r="W76" s="12">
        <f t="shared" si="51"/>
        <v>563</v>
      </c>
      <c r="X76" s="12">
        <f t="shared" si="51"/>
        <v>560</v>
      </c>
      <c r="Y76" s="12">
        <f t="shared" si="51"/>
        <v>517</v>
      </c>
      <c r="Z76" s="12">
        <f t="shared" si="51"/>
        <v>522</v>
      </c>
      <c r="AA76" s="12">
        <f t="shared" si="51"/>
        <v>474</v>
      </c>
      <c r="AB76" s="12">
        <f t="shared" si="51"/>
        <v>131</v>
      </c>
      <c r="AC76" s="12">
        <f t="shared" si="33"/>
        <v>521</v>
      </c>
      <c r="AD76" s="12">
        <f t="shared" si="51"/>
        <v>518</v>
      </c>
      <c r="AE76" s="12">
        <f t="shared" si="51"/>
        <v>604</v>
      </c>
      <c r="AF76" s="12">
        <f t="shared" si="51"/>
        <v>202</v>
      </c>
    </row>
    <row r="77" spans="1:32" x14ac:dyDescent="0.25">
      <c r="A77" s="11" t="s">
        <v>30</v>
      </c>
      <c r="B77" s="224">
        <v>560</v>
      </c>
      <c r="C77" s="12">
        <f t="shared" ref="C77:S77" si="52">C31-B31</f>
        <v>202</v>
      </c>
      <c r="D77" s="12">
        <f t="shared" si="52"/>
        <v>251</v>
      </c>
      <c r="E77" s="12">
        <f t="shared" si="52"/>
        <v>0</v>
      </c>
      <c r="F77" s="12">
        <f t="shared" si="52"/>
        <v>0</v>
      </c>
      <c r="G77" s="12">
        <f t="shared" si="52"/>
        <v>251</v>
      </c>
      <c r="H77" s="12">
        <f t="shared" si="52"/>
        <v>286</v>
      </c>
      <c r="I77" s="12">
        <f t="shared" si="52"/>
        <v>483</v>
      </c>
      <c r="J77" s="12">
        <f t="shared" si="52"/>
        <v>560</v>
      </c>
      <c r="K77" s="12">
        <f t="shared" si="52"/>
        <v>391</v>
      </c>
      <c r="L77" s="12">
        <f t="shared" si="52"/>
        <v>0</v>
      </c>
      <c r="M77" s="12">
        <f t="shared" si="52"/>
        <v>4</v>
      </c>
      <c r="N77" s="12">
        <f t="shared" si="52"/>
        <v>518</v>
      </c>
      <c r="O77" s="12">
        <f t="shared" si="52"/>
        <v>519</v>
      </c>
      <c r="P77" s="12">
        <f t="shared" si="52"/>
        <v>159</v>
      </c>
      <c r="Q77" s="12">
        <f t="shared" si="52"/>
        <v>0</v>
      </c>
      <c r="R77" s="12">
        <f t="shared" si="52"/>
        <v>209</v>
      </c>
      <c r="S77" s="12">
        <f t="shared" si="52"/>
        <v>474</v>
      </c>
      <c r="T77" s="12">
        <f t="shared" ref="T77:AF77" si="53">T31-S31</f>
        <v>387</v>
      </c>
      <c r="U77" s="12">
        <f t="shared" si="53"/>
        <v>536</v>
      </c>
      <c r="V77" s="12">
        <f t="shared" si="53"/>
        <v>509</v>
      </c>
      <c r="W77" s="12">
        <f t="shared" si="53"/>
        <v>476</v>
      </c>
      <c r="X77" s="12">
        <f t="shared" si="53"/>
        <v>356</v>
      </c>
      <c r="Y77" s="12">
        <f t="shared" si="53"/>
        <v>450</v>
      </c>
      <c r="Z77" s="12">
        <f t="shared" si="53"/>
        <v>0</v>
      </c>
      <c r="AA77" s="12">
        <f t="shared" si="53"/>
        <v>0</v>
      </c>
      <c r="AB77" s="12">
        <f t="shared" si="53"/>
        <v>518</v>
      </c>
      <c r="AC77" s="12">
        <f t="shared" si="33"/>
        <v>251</v>
      </c>
      <c r="AD77" s="12">
        <f t="shared" si="53"/>
        <v>250</v>
      </c>
      <c r="AE77" s="12">
        <f t="shared" si="53"/>
        <v>314</v>
      </c>
      <c r="AF77" s="12">
        <f t="shared" si="53"/>
        <v>193</v>
      </c>
    </row>
    <row r="78" spans="1:32" s="124" customFormat="1" x14ac:dyDescent="0.25">
      <c r="A78" s="13" t="s">
        <v>111</v>
      </c>
      <c r="B78" s="224">
        <v>432</v>
      </c>
      <c r="C78" s="12">
        <f t="shared" ref="C78:S78" si="54">C32-B32</f>
        <v>521</v>
      </c>
      <c r="D78" s="12">
        <f t="shared" si="54"/>
        <v>521</v>
      </c>
      <c r="E78" s="12">
        <f t="shared" si="54"/>
        <v>261</v>
      </c>
      <c r="F78" s="12">
        <f t="shared" si="54"/>
        <v>2</v>
      </c>
      <c r="G78" s="12">
        <f t="shared" si="54"/>
        <v>520</v>
      </c>
      <c r="H78" s="12">
        <f t="shared" si="54"/>
        <v>206</v>
      </c>
      <c r="I78" s="12">
        <f t="shared" si="54"/>
        <v>251</v>
      </c>
      <c r="J78" s="12">
        <f t="shared" si="54"/>
        <v>192</v>
      </c>
      <c r="K78" s="12">
        <f t="shared" si="54"/>
        <v>251</v>
      </c>
      <c r="L78" s="12">
        <f t="shared" si="54"/>
        <v>0</v>
      </c>
      <c r="M78" s="12">
        <f t="shared" si="54"/>
        <v>0</v>
      </c>
      <c r="N78" s="12">
        <f t="shared" si="54"/>
        <v>252</v>
      </c>
      <c r="O78" s="12">
        <f t="shared" si="54"/>
        <v>312</v>
      </c>
      <c r="P78" s="12">
        <f t="shared" si="54"/>
        <v>443</v>
      </c>
      <c r="Q78" s="12">
        <f t="shared" si="54"/>
        <v>44</v>
      </c>
      <c r="R78" s="12">
        <f t="shared" si="54"/>
        <v>4</v>
      </c>
      <c r="S78" s="12">
        <f t="shared" si="54"/>
        <v>0</v>
      </c>
      <c r="T78" s="12">
        <f t="shared" ref="T78:AF78" si="55">T32-S32</f>
        <v>219</v>
      </c>
      <c r="U78" s="12">
        <f t="shared" si="55"/>
        <v>562</v>
      </c>
      <c r="V78" s="12">
        <f t="shared" si="55"/>
        <v>504</v>
      </c>
      <c r="W78" s="12">
        <f t="shared" si="55"/>
        <v>522</v>
      </c>
      <c r="X78" s="12">
        <f t="shared" si="55"/>
        <v>268</v>
      </c>
      <c r="Y78" s="12">
        <f t="shared" si="55"/>
        <v>374</v>
      </c>
      <c r="Z78" s="12">
        <f t="shared" si="55"/>
        <v>475</v>
      </c>
      <c r="AA78" s="12">
        <f t="shared" si="55"/>
        <v>432</v>
      </c>
      <c r="AB78" s="12">
        <f t="shared" si="55"/>
        <v>519</v>
      </c>
      <c r="AC78" s="12">
        <f t="shared" si="33"/>
        <v>563</v>
      </c>
      <c r="AD78" s="12">
        <f t="shared" si="55"/>
        <v>245</v>
      </c>
      <c r="AE78" s="12">
        <f t="shared" si="55"/>
        <v>252</v>
      </c>
      <c r="AF78" s="12">
        <f t="shared" si="55"/>
        <v>131</v>
      </c>
    </row>
    <row r="79" spans="1:32" s="124" customFormat="1" x14ac:dyDescent="0.25">
      <c r="A79" s="11" t="s">
        <v>112</v>
      </c>
      <c r="B79" s="224">
        <v>452</v>
      </c>
      <c r="C79" s="12">
        <f t="shared" ref="C79:S79" si="56">C33-B33</f>
        <v>210</v>
      </c>
      <c r="D79" s="12">
        <f t="shared" si="56"/>
        <v>521</v>
      </c>
      <c r="E79" s="12">
        <f t="shared" si="56"/>
        <v>518</v>
      </c>
      <c r="F79" s="12">
        <f t="shared" si="56"/>
        <v>0</v>
      </c>
      <c r="G79" s="12">
        <f t="shared" si="56"/>
        <v>478</v>
      </c>
      <c r="H79" s="12">
        <f t="shared" si="56"/>
        <v>475</v>
      </c>
      <c r="I79" s="12">
        <f t="shared" si="56"/>
        <v>562</v>
      </c>
      <c r="J79" s="12">
        <f t="shared" si="56"/>
        <v>330</v>
      </c>
      <c r="K79" s="12">
        <f t="shared" si="56"/>
        <v>250</v>
      </c>
      <c r="L79" s="12">
        <f t="shared" si="56"/>
        <v>564</v>
      </c>
      <c r="M79" s="12">
        <f t="shared" si="56"/>
        <v>390</v>
      </c>
      <c r="N79" s="12">
        <f t="shared" si="56"/>
        <v>433</v>
      </c>
      <c r="O79" s="12">
        <f t="shared" si="56"/>
        <v>518</v>
      </c>
      <c r="P79" s="12">
        <f t="shared" si="56"/>
        <v>286</v>
      </c>
      <c r="Q79" s="12">
        <f t="shared" si="56"/>
        <v>0</v>
      </c>
      <c r="R79" s="12">
        <f t="shared" si="56"/>
        <v>70</v>
      </c>
      <c r="S79" s="12">
        <f t="shared" si="56"/>
        <v>454</v>
      </c>
      <c r="T79" s="12">
        <f t="shared" ref="T79:AF79" si="57">T33-S33</f>
        <v>-4</v>
      </c>
      <c r="U79" s="12">
        <f t="shared" si="57"/>
        <v>82</v>
      </c>
      <c r="V79" s="12">
        <f t="shared" si="57"/>
        <v>428</v>
      </c>
      <c r="W79" s="12">
        <f t="shared" si="57"/>
        <v>563</v>
      </c>
      <c r="X79" s="12">
        <f t="shared" si="57"/>
        <v>604</v>
      </c>
      <c r="Y79" s="12">
        <f t="shared" si="57"/>
        <v>561</v>
      </c>
      <c r="Z79" s="12">
        <f t="shared" si="57"/>
        <v>27</v>
      </c>
      <c r="AA79" s="12">
        <f t="shared" si="57"/>
        <v>0</v>
      </c>
      <c r="AB79" s="12">
        <f t="shared" si="57"/>
        <v>200</v>
      </c>
      <c r="AC79" s="12">
        <f t="shared" si="33"/>
        <v>434</v>
      </c>
      <c r="AD79" s="12">
        <f t="shared" si="57"/>
        <v>435</v>
      </c>
      <c r="AE79" s="12">
        <f t="shared" si="57"/>
        <v>519</v>
      </c>
      <c r="AF79" s="12">
        <f t="shared" si="57"/>
        <v>91</v>
      </c>
    </row>
    <row r="80" spans="1:32" s="124" customFormat="1" x14ac:dyDescent="0.25">
      <c r="A80" s="13" t="s">
        <v>113</v>
      </c>
      <c r="B80" s="224">
        <v>432</v>
      </c>
      <c r="C80" s="12">
        <f t="shared" ref="C80:S80" si="58">C34-B34</f>
        <v>518</v>
      </c>
      <c r="D80" s="12">
        <f t="shared" si="58"/>
        <v>450</v>
      </c>
      <c r="E80" s="12">
        <f t="shared" si="58"/>
        <v>0</v>
      </c>
      <c r="F80" s="12">
        <f t="shared" si="58"/>
        <v>0</v>
      </c>
      <c r="G80" s="12">
        <f t="shared" si="58"/>
        <v>349</v>
      </c>
      <c r="H80" s="12">
        <f t="shared" si="58"/>
        <v>475</v>
      </c>
      <c r="I80" s="12">
        <f t="shared" si="58"/>
        <v>390</v>
      </c>
      <c r="J80" s="12">
        <f t="shared" si="58"/>
        <v>475</v>
      </c>
      <c r="K80" s="12">
        <f t="shared" si="58"/>
        <v>348</v>
      </c>
      <c r="L80" s="12">
        <f t="shared" si="58"/>
        <v>0</v>
      </c>
      <c r="M80" s="12">
        <f t="shared" si="58"/>
        <v>0</v>
      </c>
      <c r="N80" s="12">
        <f t="shared" si="58"/>
        <v>143</v>
      </c>
      <c r="O80" s="12">
        <f t="shared" si="58"/>
        <v>451</v>
      </c>
      <c r="P80" s="12">
        <f t="shared" si="58"/>
        <v>81</v>
      </c>
      <c r="Q80" s="12">
        <f t="shared" si="58"/>
        <v>89</v>
      </c>
      <c r="R80" s="12">
        <f t="shared" si="58"/>
        <v>100</v>
      </c>
      <c r="S80" s="12">
        <f t="shared" si="58"/>
        <v>80</v>
      </c>
      <c r="T80" s="12">
        <f t="shared" ref="T80:AF80" si="59">T34-S34</f>
        <v>554</v>
      </c>
      <c r="U80" s="12">
        <f t="shared" si="59"/>
        <v>493</v>
      </c>
      <c r="V80" s="12">
        <f t="shared" si="59"/>
        <v>124</v>
      </c>
      <c r="W80" s="12">
        <f t="shared" si="59"/>
        <v>252</v>
      </c>
      <c r="X80" s="12">
        <f t="shared" si="59"/>
        <v>0</v>
      </c>
      <c r="Y80" s="12">
        <f t="shared" si="59"/>
        <v>0</v>
      </c>
      <c r="Z80" s="12">
        <f t="shared" si="59"/>
        <v>0</v>
      </c>
      <c r="AA80" s="12">
        <f t="shared" si="59"/>
        <v>0</v>
      </c>
      <c r="AB80" s="12">
        <f t="shared" si="59"/>
        <v>0</v>
      </c>
      <c r="AC80" s="12">
        <f t="shared" si="33"/>
        <v>0</v>
      </c>
      <c r="AD80" s="12">
        <f t="shared" si="59"/>
        <v>0</v>
      </c>
      <c r="AE80" s="12">
        <f t="shared" si="59"/>
        <v>0</v>
      </c>
      <c r="AF80" s="12">
        <f t="shared" si="59"/>
        <v>0</v>
      </c>
    </row>
    <row r="81" spans="1:32" s="124" customFormat="1" x14ac:dyDescent="0.25">
      <c r="A81" s="11" t="s">
        <v>114</v>
      </c>
      <c r="B81" s="224">
        <v>143</v>
      </c>
      <c r="C81" s="12">
        <f t="shared" ref="C81:S81" si="60">C35-B35</f>
        <v>518</v>
      </c>
      <c r="D81" s="12">
        <f t="shared" si="60"/>
        <v>432</v>
      </c>
      <c r="E81" s="12">
        <f t="shared" si="60"/>
        <v>346</v>
      </c>
      <c r="F81" s="12">
        <f t="shared" si="60"/>
        <v>2</v>
      </c>
      <c r="G81" s="12">
        <f t="shared" si="60"/>
        <v>503</v>
      </c>
      <c r="H81" s="12">
        <f t="shared" si="60"/>
        <v>437</v>
      </c>
      <c r="I81" s="12">
        <f t="shared" si="60"/>
        <v>311</v>
      </c>
      <c r="J81" s="12">
        <f t="shared" si="60"/>
        <v>304</v>
      </c>
      <c r="K81" s="12">
        <f t="shared" si="60"/>
        <v>390</v>
      </c>
      <c r="L81" s="12">
        <f t="shared" si="60"/>
        <v>0</v>
      </c>
      <c r="M81" s="12">
        <f t="shared" si="60"/>
        <v>0</v>
      </c>
      <c r="N81" s="12">
        <f t="shared" si="60"/>
        <v>451</v>
      </c>
      <c r="O81" s="12">
        <f t="shared" si="60"/>
        <v>245</v>
      </c>
      <c r="P81" s="12">
        <f t="shared" si="60"/>
        <v>251</v>
      </c>
      <c r="Q81" s="12">
        <f t="shared" si="60"/>
        <v>0</v>
      </c>
      <c r="R81" s="12">
        <f t="shared" si="60"/>
        <v>72</v>
      </c>
      <c r="S81" s="12">
        <f t="shared" si="60"/>
        <v>0</v>
      </c>
      <c r="T81" s="12">
        <f t="shared" ref="T81:AF81" si="61">T35-S35</f>
        <v>0</v>
      </c>
      <c r="U81" s="12">
        <f t="shared" si="61"/>
        <v>81</v>
      </c>
      <c r="V81" s="12">
        <f t="shared" si="61"/>
        <v>511</v>
      </c>
      <c r="W81" s="12">
        <f t="shared" si="61"/>
        <v>349</v>
      </c>
      <c r="X81" s="12">
        <f t="shared" si="61"/>
        <v>521</v>
      </c>
      <c r="Y81" s="12">
        <f t="shared" si="61"/>
        <v>154</v>
      </c>
      <c r="Z81" s="12">
        <f t="shared" si="61"/>
        <v>0</v>
      </c>
      <c r="AA81" s="12">
        <f t="shared" si="61"/>
        <v>0</v>
      </c>
      <c r="AB81" s="12">
        <f t="shared" si="61"/>
        <v>476</v>
      </c>
      <c r="AC81" s="12">
        <f t="shared" si="33"/>
        <v>475</v>
      </c>
      <c r="AD81" s="12">
        <f t="shared" si="61"/>
        <v>433</v>
      </c>
      <c r="AE81" s="12">
        <f t="shared" si="61"/>
        <v>366</v>
      </c>
      <c r="AF81" s="12">
        <f t="shared" si="61"/>
        <v>154</v>
      </c>
    </row>
    <row r="82" spans="1:32" s="124" customFormat="1" x14ac:dyDescent="0.25">
      <c r="A82" s="13" t="s">
        <v>115</v>
      </c>
      <c r="B82" s="224">
        <v>178</v>
      </c>
      <c r="C82" s="12">
        <f t="shared" ref="C82:S82" si="62">C36-B36</f>
        <v>193</v>
      </c>
      <c r="D82" s="12">
        <f t="shared" si="62"/>
        <v>330</v>
      </c>
      <c r="E82" s="12">
        <f t="shared" si="62"/>
        <v>90</v>
      </c>
      <c r="F82" s="12">
        <f t="shared" si="62"/>
        <v>171</v>
      </c>
      <c r="G82" s="12">
        <f t="shared" si="62"/>
        <v>522</v>
      </c>
      <c r="H82" s="12">
        <f t="shared" si="62"/>
        <v>562</v>
      </c>
      <c r="I82" s="12">
        <f t="shared" si="62"/>
        <v>407</v>
      </c>
      <c r="J82" s="12">
        <f t="shared" si="62"/>
        <v>245</v>
      </c>
      <c r="K82" s="12">
        <f t="shared" si="62"/>
        <v>194</v>
      </c>
      <c r="L82" s="12">
        <f t="shared" si="62"/>
        <v>0</v>
      </c>
      <c r="M82" s="12">
        <f t="shared" si="62"/>
        <v>0</v>
      </c>
      <c r="N82" s="12">
        <f t="shared" si="62"/>
        <v>366</v>
      </c>
      <c r="O82" s="12">
        <f t="shared" si="62"/>
        <v>450</v>
      </c>
      <c r="P82" s="12">
        <f t="shared" si="62"/>
        <v>538</v>
      </c>
      <c r="Q82" s="12">
        <f t="shared" si="62"/>
        <v>260</v>
      </c>
      <c r="R82" s="12">
        <f t="shared" si="62"/>
        <v>0</v>
      </c>
      <c r="S82" s="12">
        <f t="shared" si="62"/>
        <v>263</v>
      </c>
      <c r="T82" s="12">
        <f t="shared" ref="T82:AF82" si="63">T36-S36</f>
        <v>174</v>
      </c>
      <c r="U82" s="12">
        <f t="shared" si="63"/>
        <v>437</v>
      </c>
      <c r="V82" s="12">
        <f t="shared" si="63"/>
        <v>504</v>
      </c>
      <c r="W82" s="12">
        <f t="shared" si="63"/>
        <v>434</v>
      </c>
      <c r="X82" s="12">
        <f t="shared" si="63"/>
        <v>393</v>
      </c>
      <c r="Y82" s="12">
        <f t="shared" si="63"/>
        <v>475</v>
      </c>
      <c r="Z82" s="12">
        <f t="shared" si="63"/>
        <v>28</v>
      </c>
      <c r="AA82" s="12">
        <f t="shared" si="63"/>
        <v>0</v>
      </c>
      <c r="AB82" s="12">
        <f t="shared" si="63"/>
        <v>481</v>
      </c>
      <c r="AC82" s="12">
        <f t="shared" si="33"/>
        <v>252</v>
      </c>
      <c r="AD82" s="12">
        <f t="shared" si="63"/>
        <v>204</v>
      </c>
      <c r="AE82" s="12">
        <f t="shared" si="63"/>
        <v>252</v>
      </c>
      <c r="AF82" s="12">
        <f t="shared" si="63"/>
        <v>452</v>
      </c>
    </row>
    <row r="83" spans="1:32" s="124" customFormat="1" x14ac:dyDescent="0.25">
      <c r="A83" s="11" t="s">
        <v>116</v>
      </c>
      <c r="B83" s="224">
        <v>516</v>
      </c>
      <c r="C83" s="12">
        <f t="shared" ref="C83:S83" si="64">C37-B37</f>
        <v>614</v>
      </c>
      <c r="D83" s="12">
        <f t="shared" si="64"/>
        <v>202</v>
      </c>
      <c r="E83" s="12">
        <f t="shared" si="64"/>
        <v>278</v>
      </c>
      <c r="F83" s="12">
        <f t="shared" si="64"/>
        <v>173</v>
      </c>
      <c r="G83" s="12">
        <f t="shared" si="64"/>
        <v>521</v>
      </c>
      <c r="H83" s="12">
        <f t="shared" si="64"/>
        <v>605</v>
      </c>
      <c r="I83" s="12">
        <f t="shared" si="64"/>
        <v>520</v>
      </c>
      <c r="J83" s="12">
        <f t="shared" si="64"/>
        <v>227</v>
      </c>
      <c r="K83" s="12">
        <f t="shared" si="64"/>
        <v>519</v>
      </c>
      <c r="L83" s="12">
        <f t="shared" si="64"/>
        <v>562</v>
      </c>
      <c r="M83" s="12">
        <f t="shared" si="64"/>
        <v>395</v>
      </c>
      <c r="N83" s="12">
        <f t="shared" si="64"/>
        <v>452</v>
      </c>
      <c r="O83" s="12">
        <f t="shared" si="64"/>
        <v>330</v>
      </c>
      <c r="P83" s="12">
        <f t="shared" si="64"/>
        <v>293</v>
      </c>
      <c r="Q83" s="12">
        <f t="shared" si="64"/>
        <v>0</v>
      </c>
      <c r="R83" s="12">
        <f t="shared" si="64"/>
        <v>192</v>
      </c>
      <c r="S83" s="12">
        <f t="shared" si="64"/>
        <v>118</v>
      </c>
      <c r="T83" s="12">
        <f t="shared" ref="T83:AF85" si="65">T37-S37</f>
        <v>482</v>
      </c>
      <c r="U83" s="12">
        <f t="shared" si="65"/>
        <v>562</v>
      </c>
      <c r="V83" s="12">
        <f t="shared" si="65"/>
        <v>461</v>
      </c>
      <c r="W83" s="12">
        <f t="shared" si="65"/>
        <v>524</v>
      </c>
      <c r="X83" s="12">
        <f t="shared" si="65"/>
        <v>91</v>
      </c>
      <c r="Y83" s="12">
        <f t="shared" si="65"/>
        <v>480</v>
      </c>
      <c r="Z83" s="12">
        <f t="shared" si="65"/>
        <v>475</v>
      </c>
      <c r="AA83" s="12">
        <f t="shared" si="65"/>
        <v>174</v>
      </c>
      <c r="AB83" s="12">
        <f t="shared" si="65"/>
        <v>477</v>
      </c>
      <c r="AC83" s="12">
        <f t="shared" si="65"/>
        <v>281</v>
      </c>
      <c r="AD83" s="12">
        <f t="shared" si="65"/>
        <v>251</v>
      </c>
      <c r="AE83" s="12">
        <f t="shared" si="65"/>
        <v>252</v>
      </c>
      <c r="AF83" s="12">
        <f t="shared" si="65"/>
        <v>195</v>
      </c>
    </row>
    <row r="84" spans="1:32" s="124" customFormat="1" x14ac:dyDescent="0.25">
      <c r="A84" s="13" t="s">
        <v>117</v>
      </c>
      <c r="B84" s="224">
        <v>518</v>
      </c>
      <c r="C84" s="12">
        <f t="shared" ref="C84:S84" si="66">C38-B38</f>
        <v>140</v>
      </c>
      <c r="D84" s="12">
        <f t="shared" si="66"/>
        <v>22</v>
      </c>
      <c r="E84" s="12">
        <f t="shared" si="66"/>
        <v>0</v>
      </c>
      <c r="F84" s="12">
        <f t="shared" si="66"/>
        <v>0</v>
      </c>
      <c r="G84" s="12">
        <f t="shared" si="66"/>
        <v>4</v>
      </c>
      <c r="H84" s="12">
        <f t="shared" si="66"/>
        <v>0</v>
      </c>
      <c r="I84" s="12">
        <f t="shared" si="66"/>
        <v>0</v>
      </c>
      <c r="J84" s="12">
        <f t="shared" si="66"/>
        <v>0</v>
      </c>
      <c r="K84" s="12">
        <f t="shared" si="66"/>
        <v>0</v>
      </c>
      <c r="L84" s="12">
        <f t="shared" si="66"/>
        <v>0</v>
      </c>
      <c r="M84" s="12">
        <f t="shared" si="66"/>
        <v>96</v>
      </c>
      <c r="N84" s="12">
        <f t="shared" si="66"/>
        <v>436</v>
      </c>
      <c r="O84" s="12">
        <f t="shared" si="66"/>
        <v>348</v>
      </c>
      <c r="P84" s="12">
        <f t="shared" si="66"/>
        <v>562</v>
      </c>
      <c r="Q84" s="12">
        <f t="shared" si="66"/>
        <v>43</v>
      </c>
      <c r="R84" s="12">
        <f t="shared" si="66"/>
        <v>3</v>
      </c>
      <c r="S84" s="12">
        <f t="shared" si="66"/>
        <v>2</v>
      </c>
      <c r="T84" s="12">
        <f t="shared" ref="T84:AF84" si="67">T38-S38</f>
        <v>3</v>
      </c>
      <c r="U84" s="12">
        <f t="shared" si="67"/>
        <v>0</v>
      </c>
      <c r="V84" s="12">
        <f t="shared" si="67"/>
        <v>0</v>
      </c>
      <c r="W84" s="12">
        <f t="shared" si="67"/>
        <v>175</v>
      </c>
      <c r="X84" s="12">
        <f t="shared" si="67"/>
        <v>174</v>
      </c>
      <c r="Y84" s="12">
        <f t="shared" si="67"/>
        <v>349</v>
      </c>
      <c r="Z84" s="12">
        <f t="shared" si="67"/>
        <v>0</v>
      </c>
      <c r="AA84" s="12">
        <f t="shared" si="67"/>
        <v>2</v>
      </c>
      <c r="AB84" s="12">
        <f t="shared" si="67"/>
        <v>285</v>
      </c>
      <c r="AC84" s="12">
        <f t="shared" si="65"/>
        <v>437</v>
      </c>
      <c r="AD84" s="12">
        <f t="shared" si="67"/>
        <v>348</v>
      </c>
      <c r="AE84" s="12">
        <f t="shared" si="67"/>
        <v>435</v>
      </c>
      <c r="AF84" s="12">
        <f t="shared" si="67"/>
        <v>264</v>
      </c>
    </row>
    <row r="85" spans="1:32" s="124" customFormat="1" x14ac:dyDescent="0.25">
      <c r="A85" s="11" t="s">
        <v>118</v>
      </c>
      <c r="B85" s="224">
        <v>520</v>
      </c>
      <c r="C85" s="12">
        <f t="shared" ref="C85:S85" si="68">C39-B39</f>
        <v>434</v>
      </c>
      <c r="D85" s="12">
        <f t="shared" si="68"/>
        <v>346</v>
      </c>
      <c r="E85" s="12">
        <f t="shared" si="68"/>
        <v>0</v>
      </c>
      <c r="F85" s="12">
        <f>F39-E39</f>
        <v>0</v>
      </c>
      <c r="G85" s="12">
        <f t="shared" si="68"/>
        <v>204</v>
      </c>
      <c r="H85" s="12">
        <f>H39-G39</f>
        <v>416</v>
      </c>
      <c r="I85" s="12">
        <f t="shared" si="68"/>
        <v>197</v>
      </c>
      <c r="J85" s="12">
        <f t="shared" si="68"/>
        <v>295</v>
      </c>
      <c r="K85" s="12">
        <f t="shared" si="68"/>
        <v>245</v>
      </c>
      <c r="L85" s="12">
        <f t="shared" si="68"/>
        <v>0</v>
      </c>
      <c r="M85" s="12">
        <f t="shared" si="68"/>
        <v>0</v>
      </c>
      <c r="N85" s="12">
        <f t="shared" si="68"/>
        <v>110</v>
      </c>
      <c r="O85" s="12">
        <f t="shared" si="68"/>
        <v>89</v>
      </c>
      <c r="P85" s="12">
        <f t="shared" si="68"/>
        <v>522</v>
      </c>
      <c r="Q85" s="12">
        <f t="shared" si="68"/>
        <v>475</v>
      </c>
      <c r="R85" s="12">
        <f t="shared" si="68"/>
        <v>304</v>
      </c>
      <c r="S85" s="12">
        <f t="shared" si="68"/>
        <v>374</v>
      </c>
      <c r="T85" s="12">
        <f t="shared" ref="T85:AF85" si="69">T39-S39</f>
        <v>389</v>
      </c>
      <c r="U85" s="12">
        <f t="shared" si="69"/>
        <v>559</v>
      </c>
      <c r="V85" s="12">
        <f t="shared" si="69"/>
        <v>480</v>
      </c>
      <c r="W85" s="12">
        <f t="shared" si="69"/>
        <v>434</v>
      </c>
      <c r="X85" s="12">
        <f t="shared" si="69"/>
        <v>354</v>
      </c>
      <c r="Y85" s="12">
        <f t="shared" si="69"/>
        <v>434</v>
      </c>
      <c r="Z85" s="12">
        <f t="shared" si="69"/>
        <v>27</v>
      </c>
      <c r="AA85" s="12">
        <f t="shared" si="69"/>
        <v>91</v>
      </c>
      <c r="AB85" s="12">
        <f t="shared" si="69"/>
        <v>562</v>
      </c>
      <c r="AC85" s="12">
        <f t="shared" si="65"/>
        <v>604</v>
      </c>
      <c r="AD85" s="12">
        <f t="shared" si="69"/>
        <v>389</v>
      </c>
      <c r="AE85" s="12">
        <f t="shared" si="69"/>
        <v>109</v>
      </c>
      <c r="AF85" s="12">
        <f t="shared" si="69"/>
        <v>23</v>
      </c>
    </row>
    <row r="86" spans="1:32" s="124" customFormat="1" x14ac:dyDescent="0.25">
      <c r="A86" s="324" t="s">
        <v>177</v>
      </c>
      <c r="B86" s="224">
        <v>172</v>
      </c>
      <c r="C86" s="323">
        <f t="shared" ref="C86:E86" si="70">C43-B43</f>
        <v>128</v>
      </c>
      <c r="D86" s="323">
        <f t="shared" si="70"/>
        <v>87</v>
      </c>
      <c r="E86" s="323">
        <f t="shared" si="70"/>
        <v>0</v>
      </c>
      <c r="F86" s="323">
        <f t="shared" ref="F86:K86" si="71">F43-E43</f>
        <v>0</v>
      </c>
      <c r="G86" s="323">
        <f t="shared" si="71"/>
        <v>175</v>
      </c>
      <c r="H86" s="323">
        <f t="shared" si="71"/>
        <v>174</v>
      </c>
      <c r="I86" s="12">
        <f t="shared" si="71"/>
        <v>348</v>
      </c>
      <c r="J86" s="323">
        <f t="shared" si="71"/>
        <v>124</v>
      </c>
      <c r="K86" s="323">
        <f t="shared" si="71"/>
        <v>203</v>
      </c>
      <c r="L86" s="323">
        <f t="shared" ref="L86:AF86" si="72">L43-K43</f>
        <v>29</v>
      </c>
      <c r="M86" s="323">
        <f t="shared" si="72"/>
        <v>87</v>
      </c>
      <c r="N86" s="323">
        <f t="shared" si="72"/>
        <v>28</v>
      </c>
      <c r="O86" s="323">
        <f t="shared" si="72"/>
        <v>0</v>
      </c>
      <c r="P86" s="323">
        <f t="shared" si="72"/>
        <v>0</v>
      </c>
      <c r="Q86" s="323">
        <f t="shared" si="72"/>
        <v>0</v>
      </c>
      <c r="R86" s="323">
        <f t="shared" si="72"/>
        <v>0</v>
      </c>
      <c r="S86" s="323">
        <f>S43-R43</f>
        <v>0</v>
      </c>
      <c r="T86" s="323">
        <f t="shared" si="72"/>
        <v>0</v>
      </c>
      <c r="U86" s="323">
        <f t="shared" si="72"/>
        <v>261</v>
      </c>
      <c r="V86" s="323">
        <f t="shared" si="72"/>
        <v>173</v>
      </c>
      <c r="W86" s="323">
        <f t="shared" si="72"/>
        <v>262</v>
      </c>
      <c r="X86" s="323">
        <f t="shared" si="72"/>
        <v>209</v>
      </c>
      <c r="Y86" s="323">
        <f t="shared" si="72"/>
        <v>259</v>
      </c>
      <c r="Z86" s="12">
        <f>Z43-Y43</f>
        <v>0</v>
      </c>
      <c r="AA86" s="12">
        <f>AA43-Z43</f>
        <v>0</v>
      </c>
      <c r="AB86" s="323">
        <f>AB43-AA43</f>
        <v>346</v>
      </c>
      <c r="AC86" s="323">
        <f>AC43-AB43</f>
        <v>262</v>
      </c>
      <c r="AD86" s="323">
        <f t="shared" si="72"/>
        <v>260</v>
      </c>
      <c r="AE86" s="323">
        <f t="shared" si="72"/>
        <v>87</v>
      </c>
      <c r="AF86" s="323">
        <f t="shared" si="72"/>
        <v>211</v>
      </c>
    </row>
    <row r="87" spans="1:32" ht="15.75" thickBot="1" x14ac:dyDescent="0.3">
      <c r="A87" s="14"/>
      <c r="B87" s="172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F87" s="124"/>
    </row>
    <row r="88" spans="1:32" ht="15.75" thickBot="1" x14ac:dyDescent="0.3">
      <c r="A88" s="15" t="s">
        <v>34</v>
      </c>
      <c r="B88" s="16">
        <f t="shared" ref="B88:F88" si="73">SUM(B51:B86)</f>
        <v>12929</v>
      </c>
      <c r="C88" s="16">
        <f t="shared" si="73"/>
        <v>13146</v>
      </c>
      <c r="D88" s="16">
        <f t="shared" si="73"/>
        <v>12747</v>
      </c>
      <c r="E88" s="16">
        <f t="shared" si="73"/>
        <v>6527</v>
      </c>
      <c r="F88" s="16">
        <f t="shared" si="73"/>
        <v>4977</v>
      </c>
      <c r="G88" s="16">
        <f>SUM(G51:G86)</f>
        <v>12739</v>
      </c>
      <c r="H88" s="16">
        <f t="shared" ref="H88:AE88" si="74">SUM(H51:H86)</f>
        <v>12682</v>
      </c>
      <c r="I88" s="16">
        <f t="shared" si="74"/>
        <v>12504</v>
      </c>
      <c r="J88" s="16">
        <f t="shared" si="74"/>
        <v>11725</v>
      </c>
      <c r="K88" s="16">
        <f t="shared" si="74"/>
        <v>11801</v>
      </c>
      <c r="L88" s="16">
        <f t="shared" si="74"/>
        <v>6510</v>
      </c>
      <c r="M88" s="16">
        <f t="shared" si="74"/>
        <v>4968</v>
      </c>
      <c r="N88" s="16">
        <f t="shared" si="74"/>
        <v>11815</v>
      </c>
      <c r="O88" s="16">
        <f t="shared" si="74"/>
        <v>11720</v>
      </c>
      <c r="P88" s="16">
        <f t="shared" si="74"/>
        <v>11747</v>
      </c>
      <c r="Q88" s="16">
        <f t="shared" si="74"/>
        <v>5053</v>
      </c>
      <c r="R88" s="16">
        <f t="shared" si="74"/>
        <v>3039</v>
      </c>
      <c r="S88" s="16">
        <f t="shared" si="74"/>
        <v>5960</v>
      </c>
      <c r="T88" s="16">
        <f t="shared" si="74"/>
        <v>5241</v>
      </c>
      <c r="U88" s="16">
        <f t="shared" si="74"/>
        <v>8460</v>
      </c>
      <c r="V88" s="16">
        <f t="shared" si="74"/>
        <v>9049</v>
      </c>
      <c r="W88" s="16">
        <f t="shared" si="74"/>
        <v>10911</v>
      </c>
      <c r="X88" s="16">
        <f t="shared" si="74"/>
        <v>11104</v>
      </c>
      <c r="Y88" s="16">
        <f t="shared" si="74"/>
        <v>11333</v>
      </c>
      <c r="Z88" s="16">
        <f t="shared" si="74"/>
        <v>6600</v>
      </c>
      <c r="AA88" s="16">
        <f t="shared" si="74"/>
        <v>4943</v>
      </c>
      <c r="AB88" s="16">
        <f t="shared" si="74"/>
        <v>10563</v>
      </c>
      <c r="AC88" s="16">
        <f t="shared" si="74"/>
        <v>11323</v>
      </c>
      <c r="AD88" s="16">
        <f t="shared" si="74"/>
        <v>11219</v>
      </c>
      <c r="AE88" s="16">
        <f t="shared" si="74"/>
        <v>10917</v>
      </c>
      <c r="AF88" s="16">
        <f t="shared" ref="AF88" si="75">SUM(AF51:AF86)</f>
        <v>9786</v>
      </c>
    </row>
    <row r="89" spans="1:32" s="124" customFormat="1" x14ac:dyDescent="0.25">
      <c r="A89" s="239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  <c r="AC89" s="240"/>
    </row>
    <row r="90" spans="1:32" x14ac:dyDescent="0.25">
      <c r="A90" s="322" t="s">
        <v>176</v>
      </c>
      <c r="B90" s="224">
        <v>0</v>
      </c>
      <c r="C90" s="323">
        <f t="shared" ref="C90:H91" si="76">C41-B41</f>
        <v>0</v>
      </c>
      <c r="D90" s="323">
        <f t="shared" si="76"/>
        <v>0</v>
      </c>
      <c r="E90" s="323">
        <f t="shared" si="76"/>
        <v>0</v>
      </c>
      <c r="F90" s="323">
        <f t="shared" si="76"/>
        <v>0</v>
      </c>
      <c r="G90" s="323">
        <f t="shared" si="76"/>
        <v>0</v>
      </c>
      <c r="H90" s="323">
        <f t="shared" ref="H90" si="77">H41-G41</f>
        <v>0</v>
      </c>
      <c r="I90" s="323">
        <f>I41-H41</f>
        <v>0</v>
      </c>
      <c r="J90" s="323">
        <f>J42-I42</f>
        <v>0</v>
      </c>
      <c r="K90" s="323">
        <f>K41-J41</f>
        <v>0</v>
      </c>
      <c r="L90" s="323">
        <f t="shared" ref="L90:Y91" si="78">L41-K41</f>
        <v>0</v>
      </c>
      <c r="M90" s="323">
        <f t="shared" si="78"/>
        <v>0</v>
      </c>
      <c r="N90" s="323">
        <f t="shared" si="78"/>
        <v>0</v>
      </c>
      <c r="O90" s="323">
        <f t="shared" si="78"/>
        <v>0</v>
      </c>
      <c r="P90" s="323">
        <f t="shared" si="78"/>
        <v>0</v>
      </c>
      <c r="Q90" s="323">
        <f t="shared" si="78"/>
        <v>0</v>
      </c>
      <c r="R90" s="323">
        <f>R41-Q41</f>
        <v>0</v>
      </c>
      <c r="S90" s="323">
        <f t="shared" ref="S90:T90" si="79">S41-R41</f>
        <v>0</v>
      </c>
      <c r="T90" s="323">
        <f t="shared" si="79"/>
        <v>0</v>
      </c>
      <c r="U90" s="323">
        <f>U42-T42</f>
        <v>0</v>
      </c>
      <c r="V90" s="323">
        <f>V42-U42</f>
        <v>0</v>
      </c>
      <c r="W90" s="323">
        <f>W41-V41</f>
        <v>0</v>
      </c>
      <c r="X90" s="323">
        <f t="shared" si="78"/>
        <v>0</v>
      </c>
      <c r="Y90" s="323">
        <f t="shared" si="78"/>
        <v>0</v>
      </c>
      <c r="Z90" s="323">
        <f t="shared" ref="Z90:AB91" si="80">Z41-Y41</f>
        <v>0</v>
      </c>
      <c r="AA90" s="323">
        <f t="shared" si="80"/>
        <v>0</v>
      </c>
      <c r="AB90" s="323">
        <f t="shared" si="80"/>
        <v>0</v>
      </c>
      <c r="AC90" s="323">
        <f>AC41-AB41</f>
        <v>0</v>
      </c>
      <c r="AD90" s="323">
        <f t="shared" ref="AD90:AF91" si="81">AD41-AC41</f>
        <v>0</v>
      </c>
      <c r="AE90" s="323">
        <f t="shared" si="81"/>
        <v>0</v>
      </c>
      <c r="AF90" s="323">
        <f t="shared" si="81"/>
        <v>0</v>
      </c>
    </row>
    <row r="91" spans="1:32" s="124" customFormat="1" x14ac:dyDescent="0.25">
      <c r="A91" s="322" t="s">
        <v>178</v>
      </c>
      <c r="B91" s="224">
        <v>0</v>
      </c>
      <c r="C91" s="323">
        <f t="shared" si="76"/>
        <v>0</v>
      </c>
      <c r="D91" s="323">
        <f t="shared" si="76"/>
        <v>0</v>
      </c>
      <c r="E91" s="323">
        <f t="shared" si="76"/>
        <v>0</v>
      </c>
      <c r="F91" s="323">
        <f t="shared" si="76"/>
        <v>0</v>
      </c>
      <c r="G91" s="323">
        <f t="shared" si="76"/>
        <v>0</v>
      </c>
      <c r="H91" s="323">
        <f t="shared" si="76"/>
        <v>0</v>
      </c>
      <c r="I91" s="323">
        <v>0</v>
      </c>
      <c r="J91" s="323">
        <v>0</v>
      </c>
      <c r="K91" s="323">
        <v>0</v>
      </c>
      <c r="L91" s="323">
        <v>0</v>
      </c>
      <c r="M91" s="323">
        <v>0</v>
      </c>
      <c r="N91" s="323">
        <v>0</v>
      </c>
      <c r="O91" s="323">
        <v>0</v>
      </c>
      <c r="P91" s="323">
        <v>0</v>
      </c>
      <c r="Q91" s="323">
        <f t="shared" si="78"/>
        <v>0</v>
      </c>
      <c r="R91" s="323">
        <f t="shared" ref="R91" si="82">R42-Q42</f>
        <v>0</v>
      </c>
      <c r="S91" s="323">
        <f t="shared" ref="S91" si="83">S42-R42</f>
        <v>0</v>
      </c>
      <c r="T91" s="323">
        <f t="shared" ref="T91" si="84">T42-S42</f>
        <v>0</v>
      </c>
      <c r="U91" s="323">
        <f t="shared" ref="U91" si="85">U42-T42</f>
        <v>0</v>
      </c>
      <c r="V91" s="323">
        <f t="shared" ref="V91" si="86">V42-U42</f>
        <v>0</v>
      </c>
      <c r="W91" s="323">
        <f t="shared" ref="W91" si="87">W42-V42</f>
        <v>0</v>
      </c>
      <c r="X91" s="323">
        <f t="shared" ref="X91" si="88">X42-W42</f>
        <v>0</v>
      </c>
      <c r="Y91" s="323">
        <f t="shared" ref="Y91" si="89">Y42-X42</f>
        <v>0</v>
      </c>
      <c r="Z91" s="323">
        <f t="shared" si="80"/>
        <v>0</v>
      </c>
      <c r="AA91" s="323">
        <f t="shared" si="80"/>
        <v>0</v>
      </c>
      <c r="AB91" s="323">
        <f t="shared" si="80"/>
        <v>0</v>
      </c>
      <c r="AC91" s="323">
        <f>AC42-AB42</f>
        <v>0</v>
      </c>
      <c r="AD91" s="323">
        <f t="shared" si="81"/>
        <v>0</v>
      </c>
      <c r="AE91" s="323">
        <f t="shared" ref="AE91:AF91" si="90">AE42-AD42</f>
        <v>0</v>
      </c>
      <c r="AF91" s="323">
        <f t="shared" si="90"/>
        <v>0</v>
      </c>
    </row>
    <row r="92" spans="1:32" s="124" customFormat="1" x14ac:dyDescent="0.25">
      <c r="A92" s="322" t="s">
        <v>179</v>
      </c>
      <c r="B92" s="224">
        <v>0</v>
      </c>
      <c r="C92" s="323">
        <f t="shared" ref="C92:G93" si="91">C44-B44</f>
        <v>0</v>
      </c>
      <c r="D92" s="323">
        <f t="shared" si="91"/>
        <v>0</v>
      </c>
      <c r="E92" s="323">
        <f t="shared" si="91"/>
        <v>0</v>
      </c>
      <c r="F92" s="323">
        <f t="shared" si="91"/>
        <v>0</v>
      </c>
      <c r="G92" s="323">
        <f t="shared" si="91"/>
        <v>0</v>
      </c>
      <c r="H92" s="323">
        <f t="shared" ref="H92:H93" si="92">H44-G44</f>
        <v>0</v>
      </c>
      <c r="I92" s="323">
        <f t="shared" ref="I92:I93" si="93">H44-G44</f>
        <v>0</v>
      </c>
      <c r="J92" s="323">
        <f>J44-I44</f>
        <v>0</v>
      </c>
      <c r="K92" s="323">
        <f>K44-J44</f>
        <v>0</v>
      </c>
      <c r="L92" s="323">
        <f t="shared" ref="L92:L93" si="94">L44-K44</f>
        <v>0</v>
      </c>
      <c r="M92" s="323">
        <f t="shared" ref="M92:M93" si="95">M44-L44</f>
        <v>0</v>
      </c>
      <c r="N92" s="323">
        <f t="shared" ref="N92:N93" si="96">N44-M44</f>
        <v>0</v>
      </c>
      <c r="O92" s="323">
        <f t="shared" ref="O92:O93" si="97">O44-N44</f>
        <v>0</v>
      </c>
      <c r="P92" s="323">
        <f t="shared" ref="P92:P93" si="98">P44-O44</f>
        <v>0</v>
      </c>
      <c r="Q92" s="323">
        <f t="shared" ref="Q92" si="99">Q44-P44</f>
        <v>0</v>
      </c>
      <c r="R92" s="323">
        <f t="shared" ref="R92" si="100">R44-Q44</f>
        <v>0</v>
      </c>
      <c r="S92" s="323">
        <f>S44-R44</f>
        <v>0</v>
      </c>
      <c r="T92" s="323">
        <f>T44-S44</f>
        <v>0</v>
      </c>
      <c r="U92" s="323">
        <f t="shared" ref="U92" si="101">U44-T44</f>
        <v>0</v>
      </c>
      <c r="V92" s="323">
        <f t="shared" ref="V92" si="102">V44-U44</f>
        <v>0</v>
      </c>
      <c r="W92" s="323">
        <f t="shared" ref="W92" si="103">W44-V44</f>
        <v>0</v>
      </c>
      <c r="X92" s="323">
        <f t="shared" ref="X92:X93" si="104">X44-W44</f>
        <v>0</v>
      </c>
      <c r="Y92" s="323">
        <f t="shared" ref="Y92:Y93" si="105">Y44-X44</f>
        <v>0</v>
      </c>
      <c r="Z92" s="323">
        <f t="shared" ref="Z92:AB93" si="106">Z44-Y44</f>
        <v>0</v>
      </c>
      <c r="AA92" s="323">
        <f t="shared" si="106"/>
        <v>0</v>
      </c>
      <c r="AB92" s="323">
        <f t="shared" si="106"/>
        <v>0</v>
      </c>
      <c r="AC92" s="323">
        <f>AC44-AB44</f>
        <v>0</v>
      </c>
      <c r="AD92" s="323">
        <f t="shared" ref="AD92:AF93" si="107">AD44-AC44</f>
        <v>0</v>
      </c>
      <c r="AE92" s="323">
        <f t="shared" si="107"/>
        <v>0</v>
      </c>
      <c r="AF92" s="323">
        <f t="shared" si="107"/>
        <v>0</v>
      </c>
    </row>
    <row r="93" spans="1:32" s="124" customFormat="1" x14ac:dyDescent="0.25">
      <c r="A93" s="324" t="s">
        <v>180</v>
      </c>
      <c r="B93" s="224">
        <v>0</v>
      </c>
      <c r="C93" s="323">
        <f t="shared" si="91"/>
        <v>0</v>
      </c>
      <c r="D93" s="323">
        <f t="shared" si="91"/>
        <v>0</v>
      </c>
      <c r="E93" s="323">
        <f t="shared" si="91"/>
        <v>0</v>
      </c>
      <c r="F93" s="323">
        <f t="shared" si="91"/>
        <v>0</v>
      </c>
      <c r="G93" s="323">
        <f t="shared" si="91"/>
        <v>0</v>
      </c>
      <c r="H93" s="323">
        <f t="shared" si="92"/>
        <v>0</v>
      </c>
      <c r="I93" s="323">
        <f t="shared" si="93"/>
        <v>0</v>
      </c>
      <c r="J93" s="323">
        <f t="shared" ref="J93" si="108">I45-H45</f>
        <v>0</v>
      </c>
      <c r="K93" s="323">
        <f t="shared" ref="K93" si="109">J45-I45</f>
        <v>0</v>
      </c>
      <c r="L93" s="323">
        <f t="shared" si="94"/>
        <v>0</v>
      </c>
      <c r="M93" s="323">
        <f t="shared" si="95"/>
        <v>0</v>
      </c>
      <c r="N93" s="323">
        <f t="shared" si="96"/>
        <v>0</v>
      </c>
      <c r="O93" s="323">
        <f t="shared" si="97"/>
        <v>0</v>
      </c>
      <c r="P93" s="323">
        <f t="shared" si="98"/>
        <v>0</v>
      </c>
      <c r="Q93" s="323">
        <f t="shared" ref="Q93" si="110">Q45-P45</f>
        <v>0</v>
      </c>
      <c r="R93" s="323">
        <f t="shared" ref="R93" si="111">R45-Q45</f>
        <v>0</v>
      </c>
      <c r="S93" s="323">
        <f>S45-R45</f>
        <v>0</v>
      </c>
      <c r="T93" s="323">
        <f>T45-S45</f>
        <v>0</v>
      </c>
      <c r="U93" s="323">
        <f t="shared" ref="U93" si="112">U45-T45</f>
        <v>0</v>
      </c>
      <c r="V93" s="323">
        <f t="shared" ref="V93" si="113">V45-U45</f>
        <v>0</v>
      </c>
      <c r="W93" s="323">
        <f t="shared" ref="W93" si="114">W45-V45</f>
        <v>0</v>
      </c>
      <c r="X93" s="323">
        <f t="shared" si="104"/>
        <v>0</v>
      </c>
      <c r="Y93" s="323">
        <f t="shared" si="105"/>
        <v>0</v>
      </c>
      <c r="Z93" s="323">
        <f t="shared" si="106"/>
        <v>0</v>
      </c>
      <c r="AA93" s="323">
        <f t="shared" si="106"/>
        <v>0</v>
      </c>
      <c r="AB93" s="323">
        <f t="shared" si="106"/>
        <v>0</v>
      </c>
      <c r="AC93" s="323">
        <f>AC45-AB45</f>
        <v>0</v>
      </c>
      <c r="AD93" s="323">
        <f t="shared" si="107"/>
        <v>0</v>
      </c>
      <c r="AE93" s="323">
        <f t="shared" ref="AE93:AF93" si="115">AE45-AD45</f>
        <v>0</v>
      </c>
      <c r="AF93" s="323">
        <f t="shared" si="115"/>
        <v>0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7:AC47"/>
  </mergeCells>
  <phoneticPr fontId="54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Normal="100" workbookViewId="0">
      <pane ySplit="4" topLeftCell="A131" activePane="bottomLeft" state="frozen"/>
      <selection pane="bottomLeft" activeCell="W215" sqref="W215:W221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8" x14ac:dyDescent="0.25">
      <c r="A1" s="17"/>
      <c r="B1" s="18"/>
      <c r="C1" s="18"/>
      <c r="D1" s="18"/>
      <c r="E1" s="287" t="s">
        <v>160</v>
      </c>
      <c r="F1" s="287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1" t="s">
        <v>151</v>
      </c>
      <c r="Q1" s="245">
        <v>8.3000000000000007</v>
      </c>
      <c r="R1" s="231" t="s">
        <v>152</v>
      </c>
      <c r="S1" s="245">
        <v>34.83</v>
      </c>
      <c r="T1" s="231" t="s">
        <v>157</v>
      </c>
      <c r="U1" s="279">
        <v>39.19</v>
      </c>
      <c r="V1" s="231" t="s">
        <v>188</v>
      </c>
      <c r="W1" s="231" t="s">
        <v>155</v>
      </c>
      <c r="X1" s="257">
        <v>11.71</v>
      </c>
      <c r="Y1" s="351" t="s">
        <v>164</v>
      </c>
      <c r="Z1" s="352">
        <v>6</v>
      </c>
      <c r="AA1" s="231" t="s">
        <v>166</v>
      </c>
      <c r="AB1" s="292">
        <v>2.2000000000000002</v>
      </c>
      <c r="AC1" s="231" t="s">
        <v>169</v>
      </c>
      <c r="AD1" s="295">
        <v>20.81</v>
      </c>
      <c r="AE1" s="231" t="s">
        <v>175</v>
      </c>
      <c r="AF1" s="305">
        <v>21.43</v>
      </c>
      <c r="AG1" s="231" t="s">
        <v>182</v>
      </c>
      <c r="AH1" s="333">
        <v>0.72</v>
      </c>
      <c r="AI1" s="231" t="s">
        <v>190</v>
      </c>
      <c r="AJ1" s="347">
        <f>M2-Z1</f>
        <v>37.130000000000003</v>
      </c>
      <c r="AK1" s="348" t="s">
        <v>192</v>
      </c>
      <c r="AL1" s="349">
        <v>27</v>
      </c>
    </row>
    <row r="2" spans="1:38" ht="15.75" thickBot="1" x14ac:dyDescent="0.3">
      <c r="A2" s="17"/>
      <c r="B2" s="359" t="s">
        <v>37</v>
      </c>
      <c r="C2" s="359"/>
      <c r="D2" s="360" t="s">
        <v>37</v>
      </c>
      <c r="E2" s="360"/>
      <c r="F2" s="231" t="s">
        <v>163</v>
      </c>
      <c r="G2" s="291">
        <f>M2-K1</f>
        <v>17.730000000000004</v>
      </c>
      <c r="H2" s="204" t="s">
        <v>147</v>
      </c>
      <c r="I2" s="204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349" t="s">
        <v>110</v>
      </c>
      <c r="O2" s="349">
        <v>35.729999999999997</v>
      </c>
      <c r="P2" s="231" t="s">
        <v>150</v>
      </c>
      <c r="Q2" s="229">
        <v>33.97</v>
      </c>
      <c r="R2" s="348" t="s">
        <v>153</v>
      </c>
      <c r="S2" s="349">
        <v>7.4</v>
      </c>
      <c r="T2" s="231" t="s">
        <v>158</v>
      </c>
      <c r="U2" s="280">
        <v>12.72</v>
      </c>
      <c r="V2" s="345">
        <v>26.5</v>
      </c>
      <c r="W2" s="231" t="s">
        <v>156</v>
      </c>
      <c r="X2" s="281">
        <v>21.7</v>
      </c>
      <c r="Y2" s="353" t="s">
        <v>165</v>
      </c>
      <c r="Z2" s="354">
        <v>3.9</v>
      </c>
      <c r="AA2" s="231" t="s">
        <v>168</v>
      </c>
      <c r="AB2" s="294">
        <f>(26.4-21.43)</f>
        <v>4.9699999999999989</v>
      </c>
      <c r="AC2" s="231" t="s">
        <v>170</v>
      </c>
      <c r="AD2" s="297">
        <v>10.55</v>
      </c>
      <c r="AE2" s="231" t="s">
        <v>181</v>
      </c>
      <c r="AF2" s="333">
        <v>19</v>
      </c>
      <c r="AG2" s="348" t="s">
        <v>189</v>
      </c>
      <c r="AH2" s="349">
        <v>31.42</v>
      </c>
      <c r="AI2" s="231" t="s">
        <v>191</v>
      </c>
      <c r="AJ2" s="347">
        <f>M1-X1</f>
        <v>17.399999999999999</v>
      </c>
      <c r="AK2" s="348" t="s">
        <v>157</v>
      </c>
      <c r="AL2" s="349">
        <v>39.230000000000004</v>
      </c>
    </row>
    <row r="3" spans="1:38" ht="14.1" customHeight="1" x14ac:dyDescent="0.25">
      <c r="A3" s="17"/>
      <c r="B3" s="359" t="s">
        <v>39</v>
      </c>
      <c r="C3" s="359"/>
      <c r="D3" s="360" t="s">
        <v>40</v>
      </c>
      <c r="E3" s="360"/>
      <c r="F3" s="366" t="s">
        <v>41</v>
      </c>
      <c r="G3" s="366" t="s">
        <v>42</v>
      </c>
      <c r="H3" s="366" t="s">
        <v>161</v>
      </c>
      <c r="I3" s="366" t="s">
        <v>43</v>
      </c>
      <c r="J3" s="366" t="s">
        <v>44</v>
      </c>
      <c r="K3" s="366" t="s">
        <v>45</v>
      </c>
      <c r="L3" s="366" t="s">
        <v>46</v>
      </c>
      <c r="M3" s="366" t="s">
        <v>47</v>
      </c>
      <c r="N3" s="369" t="s">
        <v>48</v>
      </c>
      <c r="O3" s="369" t="s">
        <v>49</v>
      </c>
      <c r="P3" s="376"/>
      <c r="Q3" s="377" t="s">
        <v>139</v>
      </c>
      <c r="R3" s="378"/>
      <c r="S3" s="379"/>
      <c r="T3" s="380" t="s">
        <v>142</v>
      </c>
      <c r="U3" s="381"/>
      <c r="V3" s="382"/>
      <c r="W3" s="374" t="s">
        <v>143</v>
      </c>
      <c r="X3" s="374" t="s">
        <v>162</v>
      </c>
      <c r="Y3" s="351" t="s">
        <v>193</v>
      </c>
      <c r="Z3" s="352">
        <v>1.56</v>
      </c>
    </row>
    <row r="4" spans="1:38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66"/>
      <c r="G4" s="367"/>
      <c r="H4" s="367"/>
      <c r="I4" s="366"/>
      <c r="J4" s="366"/>
      <c r="K4" s="366"/>
      <c r="L4" s="366"/>
      <c r="M4" s="366"/>
      <c r="N4" s="369"/>
      <c r="O4" s="369"/>
      <c r="P4" s="376"/>
      <c r="Q4" s="194" t="s">
        <v>140</v>
      </c>
      <c r="R4" s="195" t="s">
        <v>141</v>
      </c>
      <c r="S4" s="195" t="s">
        <v>146</v>
      </c>
      <c r="T4" s="196" t="s">
        <v>140</v>
      </c>
      <c r="U4" s="234" t="s">
        <v>141</v>
      </c>
      <c r="V4" s="235" t="s">
        <v>146</v>
      </c>
      <c r="W4" s="375"/>
      <c r="X4" s="375"/>
    </row>
    <row r="5" spans="1:38" x14ac:dyDescent="0.25">
      <c r="A5" s="60">
        <v>46204</v>
      </c>
      <c r="B5" s="293">
        <v>38</v>
      </c>
      <c r="C5" s="293">
        <v>41</v>
      </c>
      <c r="D5" s="126">
        <f>'Data Ocupacion'!D31</f>
        <v>38</v>
      </c>
      <c r="E5" s="126">
        <f>'Data Ocupacion'!E31</f>
        <v>41</v>
      </c>
      <c r="F5" s="125" t="s">
        <v>38</v>
      </c>
      <c r="G5" s="125">
        <f t="shared" ref="G5:G10" si="0">D5+E5*2</f>
        <v>120</v>
      </c>
      <c r="H5" s="125">
        <f t="shared" ref="H5:H10" si="1">B5+C5*2</f>
        <v>120</v>
      </c>
      <c r="I5" s="125">
        <f t="shared" ref="I5:I10" si="2">D5+E5</f>
        <v>79</v>
      </c>
      <c r="J5" s="125">
        <f>G5*M$2</f>
        <v>5175.6000000000004</v>
      </c>
      <c r="K5" s="153">
        <f>I5*M$2</f>
        <v>3407.27</v>
      </c>
      <c r="L5" s="125">
        <f t="shared" ref="L5:L10" si="3">J5*104</f>
        <v>538262.4</v>
      </c>
      <c r="M5" s="125">
        <f t="shared" ref="M5:M10" si="4">I5*104</f>
        <v>8216</v>
      </c>
      <c r="N5" s="19"/>
      <c r="O5" s="19"/>
      <c r="P5" s="146"/>
      <c r="Q5" s="183"/>
      <c r="R5" s="183"/>
      <c r="S5" s="205"/>
      <c r="T5" s="283"/>
      <c r="U5" s="191"/>
      <c r="V5" s="227"/>
      <c r="W5" s="182">
        <f>J5-(Q5*($M$2-$K$1))-(R5*($M$2-$M$1))- (S5*($M$2-$I$2))+ (T5*($G$2))</f>
        <v>5175.6000000000004</v>
      </c>
      <c r="X5" s="182">
        <f>H5*$M$2</f>
        <v>5175.6000000000004</v>
      </c>
    </row>
    <row r="6" spans="1:38" ht="15" customHeight="1" x14ac:dyDescent="0.25">
      <c r="A6" s="201"/>
      <c r="B6" s="293">
        <v>36</v>
      </c>
      <c r="C6" s="293">
        <v>42</v>
      </c>
      <c r="D6" s="126">
        <f>'Data Ocupacion'!D32</f>
        <v>36</v>
      </c>
      <c r="E6" s="126">
        <f>'Data Ocupacion'!E32</f>
        <v>42</v>
      </c>
      <c r="F6" s="125" t="s">
        <v>52</v>
      </c>
      <c r="G6" s="125">
        <f t="shared" si="0"/>
        <v>120</v>
      </c>
      <c r="H6" s="125">
        <f t="shared" si="1"/>
        <v>120</v>
      </c>
      <c r="I6" s="125">
        <f t="shared" si="2"/>
        <v>78</v>
      </c>
      <c r="J6" s="125">
        <f>G6*M$2</f>
        <v>5175.6000000000004</v>
      </c>
      <c r="K6" s="153">
        <f>I6*M$2</f>
        <v>3364.1400000000003</v>
      </c>
      <c r="L6" s="125">
        <f t="shared" si="3"/>
        <v>538262.4</v>
      </c>
      <c r="M6" s="125">
        <f t="shared" si="4"/>
        <v>8112</v>
      </c>
      <c r="N6" s="19"/>
      <c r="O6" s="19"/>
      <c r="P6" s="146"/>
      <c r="Q6" s="186"/>
      <c r="R6" s="186"/>
      <c r="S6" s="216"/>
      <c r="T6" s="183">
        <v>4</v>
      </c>
      <c r="U6" s="216"/>
      <c r="V6" s="228"/>
      <c r="W6" s="185">
        <f>J6-(T6*($M$2-$K$1)+(U6*($M$2-$M$1)))</f>
        <v>5104.68</v>
      </c>
      <c r="X6" s="182">
        <f>H6*$M$2</f>
        <v>5175.6000000000004</v>
      </c>
    </row>
    <row r="7" spans="1:38" ht="15" customHeight="1" x14ac:dyDescent="0.25">
      <c r="A7" s="201"/>
      <c r="B7" s="293">
        <v>33</v>
      </c>
      <c r="C7" s="293">
        <v>3</v>
      </c>
      <c r="D7" s="126">
        <f>'Data Ocupacion'!D33</f>
        <v>33</v>
      </c>
      <c r="E7" s="126">
        <f>'Data Ocupacion'!E33</f>
        <v>3</v>
      </c>
      <c r="F7" s="125" t="s">
        <v>36</v>
      </c>
      <c r="G7" s="125">
        <f t="shared" si="0"/>
        <v>39</v>
      </c>
      <c r="H7" s="125">
        <f t="shared" si="1"/>
        <v>39</v>
      </c>
      <c r="I7" s="125">
        <f t="shared" si="2"/>
        <v>36</v>
      </c>
      <c r="J7" s="125">
        <f>G7*M$1</f>
        <v>1135.29</v>
      </c>
      <c r="K7" s="153">
        <f>I7*M$1</f>
        <v>1047.96</v>
      </c>
      <c r="L7" s="125">
        <f t="shared" si="3"/>
        <v>118070.16</v>
      </c>
      <c r="M7" s="125">
        <f t="shared" si="4"/>
        <v>3744</v>
      </c>
      <c r="N7" s="19"/>
      <c r="O7" s="19"/>
      <c r="P7" s="146"/>
      <c r="Q7" s="183">
        <v>3</v>
      </c>
      <c r="R7" s="190"/>
      <c r="S7" s="227"/>
      <c r="T7" s="186"/>
      <c r="U7" s="189"/>
      <c r="V7" s="189"/>
      <c r="W7" s="182">
        <f>J7-(Q7*($M$1-$K$1))</f>
        <v>1124.1599999999999</v>
      </c>
      <c r="X7" s="182">
        <f>H7*$M$1</f>
        <v>1135.29</v>
      </c>
    </row>
    <row r="8" spans="1:38" ht="15" customHeight="1" x14ac:dyDescent="0.25">
      <c r="A8" s="201"/>
      <c r="B8" s="293">
        <v>29</v>
      </c>
      <c r="C8" s="293">
        <v>3</v>
      </c>
      <c r="D8" s="126">
        <f>'Data Ocupacion'!D34</f>
        <v>29</v>
      </c>
      <c r="E8" s="126">
        <f>'Data Ocupacion'!E34</f>
        <v>3</v>
      </c>
      <c r="F8" s="125" t="s">
        <v>53</v>
      </c>
      <c r="G8" s="125">
        <f t="shared" si="0"/>
        <v>35</v>
      </c>
      <c r="H8" s="125">
        <f t="shared" si="1"/>
        <v>35</v>
      </c>
      <c r="I8" s="125">
        <f t="shared" si="2"/>
        <v>32</v>
      </c>
      <c r="J8" s="125">
        <f>G8*M$1</f>
        <v>1018.85</v>
      </c>
      <c r="K8" s="153">
        <f>I8*M$1</f>
        <v>931.52</v>
      </c>
      <c r="L8" s="125">
        <f t="shared" si="3"/>
        <v>105960.40000000001</v>
      </c>
      <c r="M8" s="125">
        <f t="shared" si="4"/>
        <v>3328</v>
      </c>
      <c r="N8" s="19"/>
      <c r="O8" s="19"/>
      <c r="P8" s="146"/>
      <c r="Q8" s="189"/>
      <c r="R8" s="189"/>
      <c r="S8" s="189"/>
      <c r="T8" s="189"/>
      <c r="U8" s="189"/>
      <c r="V8" s="189"/>
      <c r="W8" s="182">
        <f>J8</f>
        <v>1018.85</v>
      </c>
      <c r="X8" s="182">
        <f>H8*$M$1</f>
        <v>1018.85</v>
      </c>
    </row>
    <row r="9" spans="1:38" s="124" customFormat="1" ht="15" customHeight="1" x14ac:dyDescent="0.25">
      <c r="A9" s="201"/>
      <c r="B9" s="293">
        <v>0</v>
      </c>
      <c r="C9" s="293">
        <v>0</v>
      </c>
      <c r="D9" s="126">
        <f>'Data Ocupacion'!D35</f>
        <v>0</v>
      </c>
      <c r="E9" s="126">
        <f>'Data Ocupacion'!E35</f>
        <v>0</v>
      </c>
      <c r="F9" s="125" t="s">
        <v>122</v>
      </c>
      <c r="G9" s="125">
        <f t="shared" si="0"/>
        <v>0</v>
      </c>
      <c r="H9" s="125">
        <f t="shared" si="1"/>
        <v>0</v>
      </c>
      <c r="I9" s="125">
        <f t="shared" si="2"/>
        <v>0</v>
      </c>
      <c r="J9" s="125">
        <f>G9*K$1</f>
        <v>0</v>
      </c>
      <c r="K9" s="153">
        <f>I9*K$1</f>
        <v>0</v>
      </c>
      <c r="L9" s="125">
        <f t="shared" si="3"/>
        <v>0</v>
      </c>
      <c r="M9" s="125">
        <f t="shared" si="4"/>
        <v>0</v>
      </c>
      <c r="N9" s="19"/>
      <c r="O9" s="19"/>
      <c r="P9" s="146"/>
      <c r="Q9" s="189"/>
      <c r="R9" s="189"/>
      <c r="S9" s="189"/>
      <c r="T9" s="189"/>
      <c r="U9" s="189"/>
      <c r="V9" s="189"/>
      <c r="W9" s="182">
        <f>J9</f>
        <v>0</v>
      </c>
      <c r="X9" s="182">
        <f>H9*$K$1</f>
        <v>0</v>
      </c>
    </row>
    <row r="10" spans="1:38" ht="16.149999999999999" customHeight="1" thickBot="1" x14ac:dyDescent="0.3">
      <c r="A10" s="201"/>
      <c r="B10" s="293">
        <v>4</v>
      </c>
      <c r="C10" s="293">
        <v>0</v>
      </c>
      <c r="D10" s="126">
        <f>'Data Ocupacion'!D36</f>
        <v>4</v>
      </c>
      <c r="E10" s="126">
        <f>'Data Ocupacion'!E36</f>
        <v>0</v>
      </c>
      <c r="F10" s="125" t="s">
        <v>35</v>
      </c>
      <c r="G10" s="125">
        <f t="shared" si="0"/>
        <v>4</v>
      </c>
      <c r="H10" s="125">
        <f t="shared" si="1"/>
        <v>4</v>
      </c>
      <c r="I10" s="125">
        <f t="shared" si="2"/>
        <v>4</v>
      </c>
      <c r="J10" s="125">
        <f>G10*K$1</f>
        <v>101.6</v>
      </c>
      <c r="K10" s="153">
        <f>I10*K$1</f>
        <v>101.6</v>
      </c>
      <c r="L10" s="125">
        <f t="shared" si="3"/>
        <v>10566.4</v>
      </c>
      <c r="M10" s="125">
        <f t="shared" si="4"/>
        <v>416</v>
      </c>
      <c r="N10" s="19"/>
      <c r="O10" s="19"/>
      <c r="P10" s="146"/>
      <c r="Q10" s="189"/>
      <c r="R10" s="189"/>
      <c r="S10" s="189"/>
      <c r="T10" s="189"/>
      <c r="U10" s="189"/>
      <c r="V10" s="189"/>
      <c r="W10" s="182">
        <f>J10</f>
        <v>101.6</v>
      </c>
      <c r="X10" s="182">
        <f>H10*$K$1</f>
        <v>101.6</v>
      </c>
    </row>
    <row r="11" spans="1:38" ht="15.75" thickBot="1" x14ac:dyDescent="0.3">
      <c r="A11" s="20"/>
      <c r="B11" s="119">
        <f>SUM(B5:B10)</f>
        <v>140</v>
      </c>
      <c r="C11" s="119">
        <f>SUM(C5:C10)</f>
        <v>89</v>
      </c>
      <c r="D11" s="148">
        <f>SUM(D5:D10)</f>
        <v>140</v>
      </c>
      <c r="E11" s="148">
        <f>SUM(E5:E10)</f>
        <v>89</v>
      </c>
      <c r="F11" s="119"/>
      <c r="G11" s="119">
        <f t="shared" ref="G11:M11" si="5">SUM(G5:G10)</f>
        <v>318</v>
      </c>
      <c r="H11" s="119">
        <f t="shared" si="5"/>
        <v>318</v>
      </c>
      <c r="I11" s="119">
        <f t="shared" si="5"/>
        <v>229</v>
      </c>
      <c r="J11" s="119">
        <f t="shared" si="5"/>
        <v>12606.940000000002</v>
      </c>
      <c r="K11" s="119">
        <f t="shared" si="5"/>
        <v>8852.49</v>
      </c>
      <c r="L11" s="119">
        <f t="shared" si="5"/>
        <v>1311121.7599999998</v>
      </c>
      <c r="M11" s="119">
        <f t="shared" si="5"/>
        <v>23816</v>
      </c>
      <c r="N11" s="123">
        <f>'Odometro-Kilometraje'!B88</f>
        <v>12929</v>
      </c>
      <c r="O11" s="21">
        <f>(W11/N11)*100</f>
        <v>96.874390904168934</v>
      </c>
      <c r="P11" s="192"/>
      <c r="Q11" s="181"/>
      <c r="R11" s="181"/>
      <c r="S11" s="181"/>
      <c r="T11" s="181"/>
      <c r="U11" s="181"/>
      <c r="V11" s="181"/>
      <c r="W11" s="193">
        <f>SUM(W5:W10)</f>
        <v>12524.890000000001</v>
      </c>
      <c r="X11" s="193">
        <f>SUM(X5:X10)</f>
        <v>12606.940000000002</v>
      </c>
      <c r="AA11" s="172"/>
    </row>
    <row r="12" spans="1:38" x14ac:dyDescent="0.25">
      <c r="A12" s="60">
        <f>A5+1</f>
        <v>46205</v>
      </c>
      <c r="B12" s="293">
        <v>38</v>
      </c>
      <c r="C12" s="293">
        <v>41</v>
      </c>
      <c r="D12" s="147">
        <f>'Data Ocupacion'!F31</f>
        <v>39</v>
      </c>
      <c r="E12" s="147">
        <f>'Data Ocupacion'!G31</f>
        <v>40</v>
      </c>
      <c r="F12" s="125" t="s">
        <v>38</v>
      </c>
      <c r="G12" s="125">
        <f t="shared" ref="G12:G17" si="6">D12+E12*2</f>
        <v>119</v>
      </c>
      <c r="H12" s="125">
        <f t="shared" ref="H12:H17" si="7">B12+C12*2</f>
        <v>120</v>
      </c>
      <c r="I12" s="125">
        <f t="shared" ref="I12:I17" si="8">D12+E12</f>
        <v>79</v>
      </c>
      <c r="J12" s="125">
        <f>G12*M$2</f>
        <v>5132.47</v>
      </c>
      <c r="K12" s="153">
        <f>I12*M$2</f>
        <v>3407.27</v>
      </c>
      <c r="L12" s="125">
        <f t="shared" ref="L12:L17" si="9">J12*104</f>
        <v>533776.88</v>
      </c>
      <c r="M12" s="125">
        <f t="shared" ref="M12:M17" si="10">I12*104</f>
        <v>8216</v>
      </c>
      <c r="N12" s="19"/>
      <c r="O12" s="19"/>
      <c r="P12" s="146"/>
      <c r="Q12" s="183">
        <v>1</v>
      </c>
      <c r="R12" s="183"/>
      <c r="S12" s="205"/>
      <c r="T12" s="283"/>
      <c r="U12" s="191"/>
      <c r="V12" s="227"/>
      <c r="W12" s="182">
        <f>J12-(Q12*($M$2-$K$1))-(R12*($M$2-$M$1))- (S12*($M$2-$I$2))+ (T12*($G$2))</f>
        <v>5114.7400000000007</v>
      </c>
      <c r="X12" s="182">
        <f>H12*$M$2</f>
        <v>5175.6000000000004</v>
      </c>
      <c r="Z12" s="124"/>
    </row>
    <row r="13" spans="1:38" ht="15" customHeight="1" x14ac:dyDescent="0.25">
      <c r="A13" s="201"/>
      <c r="B13" s="293">
        <v>36</v>
      </c>
      <c r="C13" s="293">
        <v>42</v>
      </c>
      <c r="D13" s="147">
        <f>'Data Ocupacion'!F32</f>
        <v>37</v>
      </c>
      <c r="E13" s="147">
        <f>'Data Ocupacion'!G32</f>
        <v>41</v>
      </c>
      <c r="F13" s="125" t="s">
        <v>52</v>
      </c>
      <c r="G13" s="125">
        <f t="shared" si="6"/>
        <v>119</v>
      </c>
      <c r="H13" s="125">
        <f t="shared" si="7"/>
        <v>120</v>
      </c>
      <c r="I13" s="125">
        <f t="shared" si="8"/>
        <v>78</v>
      </c>
      <c r="J13" s="125">
        <f>G13*M$2</f>
        <v>5132.47</v>
      </c>
      <c r="K13" s="153">
        <f>I13*M$2</f>
        <v>3364.1400000000003</v>
      </c>
      <c r="L13" s="125">
        <f t="shared" si="9"/>
        <v>533776.88</v>
      </c>
      <c r="M13" s="125">
        <f t="shared" si="10"/>
        <v>8112</v>
      </c>
      <c r="N13" s="19"/>
      <c r="O13" s="19"/>
      <c r="P13" s="146"/>
      <c r="Q13" s="186"/>
      <c r="R13" s="186"/>
      <c r="S13" s="216"/>
      <c r="T13" s="183"/>
      <c r="U13" s="216"/>
      <c r="V13" s="228"/>
      <c r="W13" s="185">
        <f>J13-(T13*($M$2-$K$1)+(U13*($M$2-$M$1)))</f>
        <v>5132.47</v>
      </c>
      <c r="X13" s="182">
        <f>H13*$M$2</f>
        <v>5175.6000000000004</v>
      </c>
      <c r="Z13" s="124"/>
    </row>
    <row r="14" spans="1:38" ht="16.149999999999999" customHeight="1" x14ac:dyDescent="0.25">
      <c r="A14" s="201"/>
      <c r="B14" s="293">
        <v>33</v>
      </c>
      <c r="C14" s="293">
        <v>3</v>
      </c>
      <c r="D14" s="147">
        <f>'Data Ocupacion'!F33</f>
        <v>34</v>
      </c>
      <c r="E14" s="147">
        <f>'Data Ocupacion'!G33</f>
        <v>2</v>
      </c>
      <c r="F14" s="125" t="s">
        <v>36</v>
      </c>
      <c r="G14" s="125">
        <f t="shared" si="6"/>
        <v>38</v>
      </c>
      <c r="H14" s="125">
        <f t="shared" si="7"/>
        <v>39</v>
      </c>
      <c r="I14" s="125">
        <f t="shared" si="8"/>
        <v>36</v>
      </c>
      <c r="J14" s="125">
        <f>G14*M$1</f>
        <v>1106.18</v>
      </c>
      <c r="K14" s="153">
        <f>I14*M$1</f>
        <v>1047.96</v>
      </c>
      <c r="L14" s="125">
        <f t="shared" si="9"/>
        <v>115042.72</v>
      </c>
      <c r="M14" s="125">
        <f t="shared" si="10"/>
        <v>3744</v>
      </c>
      <c r="N14" s="19"/>
      <c r="O14" s="19"/>
      <c r="P14" s="146"/>
      <c r="Q14" s="243">
        <v>2</v>
      </c>
      <c r="R14" s="190"/>
      <c r="S14" s="227"/>
      <c r="T14" s="186"/>
      <c r="U14" s="189"/>
      <c r="V14" s="189"/>
      <c r="W14" s="182">
        <f>J14-(Q14*($M$1-$K$1))</f>
        <v>1098.76</v>
      </c>
      <c r="X14" s="182">
        <f>H14*$M$1</f>
        <v>1135.29</v>
      </c>
      <c r="Z14" s="124"/>
    </row>
    <row r="15" spans="1:38" ht="15" customHeight="1" x14ac:dyDescent="0.25">
      <c r="A15" s="201"/>
      <c r="B15" s="293">
        <v>29</v>
      </c>
      <c r="C15" s="293">
        <v>3</v>
      </c>
      <c r="D15" s="147">
        <f>'Data Ocupacion'!F34</f>
        <v>30</v>
      </c>
      <c r="E15" s="147">
        <f>'Data Ocupacion'!G34</f>
        <v>2</v>
      </c>
      <c r="F15" s="125" t="s">
        <v>53</v>
      </c>
      <c r="G15" s="125">
        <f t="shared" si="6"/>
        <v>34</v>
      </c>
      <c r="H15" s="125">
        <f t="shared" si="7"/>
        <v>35</v>
      </c>
      <c r="I15" s="125">
        <f t="shared" si="8"/>
        <v>32</v>
      </c>
      <c r="J15" s="125">
        <f>G15*M$1</f>
        <v>989.74</v>
      </c>
      <c r="K15" s="153">
        <f>I15*M$1</f>
        <v>931.52</v>
      </c>
      <c r="L15" s="125">
        <f t="shared" si="9"/>
        <v>102932.96</v>
      </c>
      <c r="M15" s="125">
        <f t="shared" si="10"/>
        <v>3328</v>
      </c>
      <c r="N15" s="165"/>
      <c r="O15" s="19"/>
      <c r="P15" s="146"/>
      <c r="Q15" s="189"/>
      <c r="R15" s="189"/>
      <c r="S15" s="189"/>
      <c r="T15" s="189"/>
      <c r="U15" s="189"/>
      <c r="V15" s="189"/>
      <c r="W15" s="182">
        <f>J15</f>
        <v>989.74</v>
      </c>
      <c r="X15" s="182">
        <f>H15*$M$1</f>
        <v>1018.85</v>
      </c>
    </row>
    <row r="16" spans="1:38" s="124" customFormat="1" ht="15" customHeight="1" x14ac:dyDescent="0.25">
      <c r="A16" s="201"/>
      <c r="B16" s="293">
        <v>0</v>
      </c>
      <c r="C16" s="293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7"/>
        <v>0</v>
      </c>
      <c r="I16" s="125">
        <f t="shared" si="8"/>
        <v>0</v>
      </c>
      <c r="J16" s="125">
        <f>G16*K$1</f>
        <v>0</v>
      </c>
      <c r="K16" s="153">
        <f>I16*K$1</f>
        <v>0</v>
      </c>
      <c r="L16" s="125">
        <f t="shared" si="9"/>
        <v>0</v>
      </c>
      <c r="M16" s="125">
        <f t="shared" si="10"/>
        <v>0</v>
      </c>
      <c r="N16" s="165"/>
      <c r="O16" s="19"/>
      <c r="P16" s="146"/>
      <c r="Q16" s="189"/>
      <c r="R16" s="189"/>
      <c r="S16" s="189"/>
      <c r="T16" s="189"/>
      <c r="U16" s="189"/>
      <c r="V16" s="189"/>
      <c r="W16" s="182">
        <f>J16</f>
        <v>0</v>
      </c>
      <c r="X16" s="182">
        <f>H16*$K$1</f>
        <v>0</v>
      </c>
    </row>
    <row r="17" spans="1:24" s="124" customFormat="1" ht="15" customHeight="1" thickBot="1" x14ac:dyDescent="0.3">
      <c r="A17" s="201"/>
      <c r="B17" s="293">
        <v>4</v>
      </c>
      <c r="C17" s="293">
        <v>0</v>
      </c>
      <c r="D17" s="126">
        <f>'Data Ocupacion'!F36</f>
        <v>4</v>
      </c>
      <c r="E17" s="126">
        <f>'Data Ocupacion'!G36</f>
        <v>0</v>
      </c>
      <c r="F17" s="125" t="s">
        <v>35</v>
      </c>
      <c r="G17" s="125">
        <f t="shared" si="6"/>
        <v>4</v>
      </c>
      <c r="H17" s="125">
        <f t="shared" si="7"/>
        <v>4</v>
      </c>
      <c r="I17" s="125">
        <f t="shared" si="8"/>
        <v>4</v>
      </c>
      <c r="J17" s="125">
        <f>G17*K$1</f>
        <v>101.6</v>
      </c>
      <c r="K17" s="153">
        <f>I17*K$1</f>
        <v>101.6</v>
      </c>
      <c r="L17" s="125">
        <f t="shared" si="9"/>
        <v>10566.4</v>
      </c>
      <c r="M17" s="125">
        <f t="shared" si="10"/>
        <v>416</v>
      </c>
      <c r="N17" s="19"/>
      <c r="O17" s="19"/>
      <c r="P17" s="146"/>
      <c r="Q17" s="189"/>
      <c r="R17" s="189"/>
      <c r="S17" s="189"/>
      <c r="T17" s="189"/>
      <c r="U17" s="189"/>
      <c r="V17" s="189"/>
      <c r="W17" s="182">
        <f>J17</f>
        <v>101.6</v>
      </c>
      <c r="X17" s="182">
        <f>H17*$K$1</f>
        <v>101.6</v>
      </c>
    </row>
    <row r="18" spans="1:24" ht="15.75" thickBot="1" x14ac:dyDescent="0.3">
      <c r="A18" s="20"/>
      <c r="B18" s="119">
        <f>SUM(B12:B17)</f>
        <v>140</v>
      </c>
      <c r="C18" s="119">
        <f>SUM(C12:C17)</f>
        <v>89</v>
      </c>
      <c r="D18" s="148">
        <f>SUM(D12:D17)</f>
        <v>144</v>
      </c>
      <c r="E18" s="148">
        <f>SUM(E12:E17)</f>
        <v>85</v>
      </c>
      <c r="F18" s="119"/>
      <c r="G18" s="119">
        <f t="shared" ref="G18:M18" si="11">SUM(G12:G17)</f>
        <v>314</v>
      </c>
      <c r="H18" s="119">
        <f t="shared" si="11"/>
        <v>318</v>
      </c>
      <c r="I18" s="119">
        <f t="shared" si="11"/>
        <v>229</v>
      </c>
      <c r="J18" s="119">
        <f t="shared" si="11"/>
        <v>12462.460000000001</v>
      </c>
      <c r="K18" s="119">
        <f t="shared" si="11"/>
        <v>8852.49</v>
      </c>
      <c r="L18" s="119">
        <f t="shared" si="11"/>
        <v>1296095.8399999999</v>
      </c>
      <c r="M18" s="119">
        <f t="shared" si="11"/>
        <v>23816</v>
      </c>
      <c r="N18" s="123">
        <f>'Odometro-Kilometraje'!C88</f>
        <v>13146</v>
      </c>
      <c r="O18" s="21">
        <f>(W18/N18)*100</f>
        <v>94.609082610680062</v>
      </c>
      <c r="P18" s="192"/>
      <c r="Q18" s="181"/>
      <c r="R18" s="181"/>
      <c r="S18" s="181"/>
      <c r="T18" s="181"/>
      <c r="U18" s="181"/>
      <c r="V18" s="181"/>
      <c r="W18" s="193">
        <f>SUM(W12:W17)</f>
        <v>12437.310000000001</v>
      </c>
      <c r="X18" s="193">
        <f>SUM(X12:X17)</f>
        <v>12606.940000000002</v>
      </c>
    </row>
    <row r="19" spans="1:24" x14ac:dyDescent="0.25">
      <c r="A19" s="60">
        <f>A12+1</f>
        <v>46206</v>
      </c>
      <c r="B19" s="293">
        <v>38</v>
      </c>
      <c r="C19" s="293">
        <v>41</v>
      </c>
      <c r="D19" s="138">
        <f>'Data Ocupacion'!H31</f>
        <v>40</v>
      </c>
      <c r="E19" s="138">
        <f>'Data Ocupacion'!I31</f>
        <v>39</v>
      </c>
      <c r="F19" s="125" t="s">
        <v>38</v>
      </c>
      <c r="G19" s="125">
        <f t="shared" ref="G19:G24" si="12">D19+E19*2</f>
        <v>118</v>
      </c>
      <c r="H19" s="125">
        <f t="shared" ref="H19:H24" si="13">B19+C19*2</f>
        <v>120</v>
      </c>
      <c r="I19" s="125">
        <f t="shared" ref="I19:I24" si="14">D19+E19</f>
        <v>79</v>
      </c>
      <c r="J19" s="125">
        <f>G19*M$2</f>
        <v>5089.34</v>
      </c>
      <c r="K19" s="153">
        <f>I19*M$2</f>
        <v>3407.27</v>
      </c>
      <c r="L19" s="125">
        <f t="shared" ref="L19:L24" si="15">J19*104</f>
        <v>529291.36</v>
      </c>
      <c r="M19" s="125">
        <f t="shared" ref="M19:M24" si="16">I19*104</f>
        <v>8216</v>
      </c>
      <c r="N19" s="19"/>
      <c r="O19" s="19"/>
      <c r="P19" s="146"/>
      <c r="Q19" s="183">
        <v>2</v>
      </c>
      <c r="R19" s="183"/>
      <c r="S19" s="205"/>
      <c r="T19" s="283"/>
      <c r="U19" s="191"/>
      <c r="V19" s="227"/>
      <c r="W19" s="182">
        <f>J19-(Q19*($M$2-$K$1))-(R19*($M$2-$M$1))- (S19*($M$2-$I$2))+ (T19*($G$2))</f>
        <v>5053.88</v>
      </c>
      <c r="X19" s="182">
        <f>H19*$M$2</f>
        <v>5175.6000000000004</v>
      </c>
    </row>
    <row r="20" spans="1:24" ht="16.149999999999999" customHeight="1" x14ac:dyDescent="0.25">
      <c r="A20" s="201"/>
      <c r="B20" s="293">
        <v>36</v>
      </c>
      <c r="C20" s="293">
        <v>42</v>
      </c>
      <c r="D20" s="138">
        <f>'Data Ocupacion'!H32</f>
        <v>38</v>
      </c>
      <c r="E20" s="138">
        <f>'Data Ocupacion'!I32</f>
        <v>40</v>
      </c>
      <c r="F20" s="125" t="s">
        <v>52</v>
      </c>
      <c r="G20" s="125">
        <f t="shared" si="12"/>
        <v>118</v>
      </c>
      <c r="H20" s="125">
        <f t="shared" si="13"/>
        <v>120</v>
      </c>
      <c r="I20" s="125">
        <f t="shared" si="14"/>
        <v>78</v>
      </c>
      <c r="J20" s="125">
        <f>G20*M$2</f>
        <v>5089.34</v>
      </c>
      <c r="K20" s="153">
        <f>I20*M$2</f>
        <v>3364.1400000000003</v>
      </c>
      <c r="L20" s="125">
        <f t="shared" si="15"/>
        <v>529291.36</v>
      </c>
      <c r="M20" s="125">
        <f t="shared" si="16"/>
        <v>8112</v>
      </c>
      <c r="N20" s="19"/>
      <c r="O20" s="19"/>
      <c r="P20" s="146"/>
      <c r="Q20" s="186"/>
      <c r="R20" s="186"/>
      <c r="S20" s="216"/>
      <c r="T20" s="183">
        <v>2</v>
      </c>
      <c r="U20" s="216"/>
      <c r="V20" s="228"/>
      <c r="W20" s="185">
        <f>J20-(T20*($M$2-$K$1)+(U20*($M$2-$M$1)))</f>
        <v>5053.88</v>
      </c>
      <c r="X20" s="182">
        <f>H20*$M$2</f>
        <v>5175.6000000000004</v>
      </c>
    </row>
    <row r="21" spans="1:24" ht="15" customHeight="1" x14ac:dyDescent="0.25">
      <c r="A21" s="201"/>
      <c r="B21" s="293">
        <v>33</v>
      </c>
      <c r="C21" s="293">
        <v>3</v>
      </c>
      <c r="D21" s="126">
        <f>'Data Ocupacion'!H33</f>
        <v>34</v>
      </c>
      <c r="E21" s="126">
        <f>'Data Ocupacion'!I33</f>
        <v>2</v>
      </c>
      <c r="F21" s="125" t="s">
        <v>36</v>
      </c>
      <c r="G21" s="125">
        <f t="shared" si="12"/>
        <v>38</v>
      </c>
      <c r="H21" s="125">
        <f t="shared" si="13"/>
        <v>39</v>
      </c>
      <c r="I21" s="125">
        <f t="shared" si="14"/>
        <v>36</v>
      </c>
      <c r="J21" s="125">
        <f>G21*M$1</f>
        <v>1106.18</v>
      </c>
      <c r="K21" s="153">
        <f>I21*M$1</f>
        <v>1047.96</v>
      </c>
      <c r="L21" s="125">
        <f t="shared" si="15"/>
        <v>115042.72</v>
      </c>
      <c r="M21" s="125">
        <f t="shared" si="16"/>
        <v>3744</v>
      </c>
      <c r="N21" s="19"/>
      <c r="O21" s="19"/>
      <c r="P21" s="146"/>
      <c r="Q21" s="243">
        <v>2</v>
      </c>
      <c r="R21" s="190"/>
      <c r="S21" s="227"/>
      <c r="T21" s="186"/>
      <c r="U21" s="189"/>
      <c r="V21" s="189"/>
      <c r="W21" s="182">
        <f>J21-(Q21*($M$1-$K$1))</f>
        <v>1098.76</v>
      </c>
      <c r="X21" s="182">
        <f>H21*$M$1</f>
        <v>1135.29</v>
      </c>
    </row>
    <row r="22" spans="1:24" ht="15" customHeight="1" x14ac:dyDescent="0.25">
      <c r="A22" s="201"/>
      <c r="B22" s="293">
        <v>29</v>
      </c>
      <c r="C22" s="293">
        <v>3</v>
      </c>
      <c r="D22" s="138">
        <f>'Data Ocupacion'!H34</f>
        <v>30</v>
      </c>
      <c r="E22" s="138">
        <f>'Data Ocupacion'!I34</f>
        <v>2</v>
      </c>
      <c r="F22" s="125" t="s">
        <v>53</v>
      </c>
      <c r="G22" s="125">
        <f t="shared" si="12"/>
        <v>34</v>
      </c>
      <c r="H22" s="125">
        <f t="shared" si="13"/>
        <v>35</v>
      </c>
      <c r="I22" s="125">
        <f t="shared" si="14"/>
        <v>32</v>
      </c>
      <c r="J22" s="125">
        <f>G22*M$1</f>
        <v>989.74</v>
      </c>
      <c r="K22" s="153">
        <f>I22*M$1</f>
        <v>931.52</v>
      </c>
      <c r="L22" s="125">
        <f t="shared" si="15"/>
        <v>102932.96</v>
      </c>
      <c r="M22" s="125">
        <f t="shared" si="16"/>
        <v>3328</v>
      </c>
      <c r="N22" s="19"/>
      <c r="O22" s="19"/>
      <c r="P22" s="146"/>
      <c r="Q22" s="189"/>
      <c r="R22" s="189"/>
      <c r="S22" s="189"/>
      <c r="T22" s="189"/>
      <c r="U22" s="189"/>
      <c r="V22" s="189"/>
      <c r="W22" s="182">
        <f>J22</f>
        <v>989.74</v>
      </c>
      <c r="X22" s="182">
        <f>H22*$M$1</f>
        <v>1018.85</v>
      </c>
    </row>
    <row r="23" spans="1:24" s="124" customFormat="1" ht="15" customHeight="1" x14ac:dyDescent="0.25">
      <c r="A23" s="201"/>
      <c r="B23" s="293">
        <v>0</v>
      </c>
      <c r="C23" s="293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3"/>
        <v>0</v>
      </c>
      <c r="I23" s="125">
        <f t="shared" si="14"/>
        <v>0</v>
      </c>
      <c r="J23" s="125">
        <f>G23*K$1</f>
        <v>0</v>
      </c>
      <c r="K23" s="153">
        <f>I23*K$1</f>
        <v>0</v>
      </c>
      <c r="L23" s="125">
        <f t="shared" si="15"/>
        <v>0</v>
      </c>
      <c r="M23" s="125">
        <f t="shared" si="16"/>
        <v>0</v>
      </c>
      <c r="N23" s="19"/>
      <c r="O23" s="19"/>
      <c r="P23" s="146"/>
      <c r="Q23" s="189"/>
      <c r="R23" s="189"/>
      <c r="S23" s="189"/>
      <c r="T23" s="189"/>
      <c r="U23" s="189"/>
      <c r="V23" s="189"/>
      <c r="W23" s="182">
        <f>J23</f>
        <v>0</v>
      </c>
      <c r="X23" s="182">
        <f>H23*$K$1</f>
        <v>0</v>
      </c>
    </row>
    <row r="24" spans="1:24" s="124" customFormat="1" ht="15" customHeight="1" thickBot="1" x14ac:dyDescent="0.3">
      <c r="A24" s="201"/>
      <c r="B24" s="293">
        <v>4</v>
      </c>
      <c r="C24" s="293">
        <v>0</v>
      </c>
      <c r="D24" s="126">
        <f>'Data Ocupacion'!H36</f>
        <v>4</v>
      </c>
      <c r="E24" s="126">
        <f>'Data Ocupacion'!I36</f>
        <v>0</v>
      </c>
      <c r="F24" s="125" t="s">
        <v>35</v>
      </c>
      <c r="G24" s="125">
        <f t="shared" si="12"/>
        <v>4</v>
      </c>
      <c r="H24" s="125">
        <f t="shared" si="13"/>
        <v>4</v>
      </c>
      <c r="I24" s="125">
        <f t="shared" si="14"/>
        <v>4</v>
      </c>
      <c r="J24" s="125">
        <f>G24*K$1</f>
        <v>101.6</v>
      </c>
      <c r="K24" s="153">
        <f>I24*K$1</f>
        <v>101.6</v>
      </c>
      <c r="L24" s="125">
        <f t="shared" si="15"/>
        <v>10566.4</v>
      </c>
      <c r="M24" s="125">
        <f t="shared" si="16"/>
        <v>416</v>
      </c>
      <c r="N24" s="19"/>
      <c r="O24" s="19"/>
      <c r="P24" s="146"/>
      <c r="Q24" s="189"/>
      <c r="R24" s="189"/>
      <c r="S24" s="189"/>
      <c r="T24" s="189"/>
      <c r="U24" s="189"/>
      <c r="V24" s="189"/>
      <c r="W24" s="182">
        <f>J24</f>
        <v>101.6</v>
      </c>
      <c r="X24" s="182">
        <f>H24*$K$1</f>
        <v>101.6</v>
      </c>
    </row>
    <row r="25" spans="1:24" ht="16.149999999999999" customHeight="1" thickBot="1" x14ac:dyDescent="0.3">
      <c r="A25" s="20"/>
      <c r="B25" s="119">
        <f>SUM(B19:B24)</f>
        <v>140</v>
      </c>
      <c r="C25" s="119">
        <f>SUM(C19:C24)</f>
        <v>89</v>
      </c>
      <c r="D25" s="148">
        <f>SUM(D19:D24)</f>
        <v>146</v>
      </c>
      <c r="E25" s="148">
        <f>SUM(E19:E24)</f>
        <v>83</v>
      </c>
      <c r="F25" s="119"/>
      <c r="G25" s="119">
        <f t="shared" ref="G25:M25" si="17">SUM(G19:G24)</f>
        <v>312</v>
      </c>
      <c r="H25" s="119">
        <f t="shared" si="17"/>
        <v>318</v>
      </c>
      <c r="I25" s="119">
        <f t="shared" si="17"/>
        <v>229</v>
      </c>
      <c r="J25" s="119">
        <f t="shared" si="17"/>
        <v>12376.2</v>
      </c>
      <c r="K25" s="119">
        <f t="shared" si="17"/>
        <v>8852.49</v>
      </c>
      <c r="L25" s="119">
        <f t="shared" si="17"/>
        <v>1287124.7999999998</v>
      </c>
      <c r="M25" s="119">
        <f t="shared" si="17"/>
        <v>23816</v>
      </c>
      <c r="N25" s="180">
        <f>'Odometro-Kilometraje'!D88</f>
        <v>12747</v>
      </c>
      <c r="O25" s="21">
        <f>(W25/N25)*100</f>
        <v>96.476504275515822</v>
      </c>
      <c r="P25" s="192"/>
      <c r="Q25" s="181"/>
      <c r="R25" s="181"/>
      <c r="S25" s="181"/>
      <c r="T25" s="181"/>
      <c r="U25" s="181"/>
      <c r="V25" s="181"/>
      <c r="W25" s="193">
        <f>SUM(W19:W24)</f>
        <v>12297.86</v>
      </c>
      <c r="X25" s="193">
        <f>SUM(X19:X24)</f>
        <v>12606.940000000002</v>
      </c>
    </row>
    <row r="26" spans="1:24" x14ac:dyDescent="0.25">
      <c r="A26" s="60">
        <f>A19+1</f>
        <v>46207</v>
      </c>
      <c r="B26" s="116">
        <v>69</v>
      </c>
      <c r="C26" s="116">
        <v>3</v>
      </c>
      <c r="D26" s="147">
        <f>'Data Ocupacion'!J31</f>
        <v>69</v>
      </c>
      <c r="E26" s="147">
        <f>'Data Ocupacion'!K31</f>
        <v>3</v>
      </c>
      <c r="F26" s="116" t="s">
        <v>38</v>
      </c>
      <c r="G26" s="116">
        <f t="shared" ref="G26:G31" si="18">D26+E26*2</f>
        <v>75</v>
      </c>
      <c r="H26" s="116">
        <f t="shared" ref="H26:H31" si="19">B26+C26*2</f>
        <v>75</v>
      </c>
      <c r="I26" s="116">
        <f t="shared" ref="I26:I31" si="20">D26+E26</f>
        <v>72</v>
      </c>
      <c r="J26" s="116">
        <f>G26*M$2</f>
        <v>3234.75</v>
      </c>
      <c r="K26" s="153">
        <f>I26*M$2</f>
        <v>3105.36</v>
      </c>
      <c r="L26" s="116">
        <f t="shared" ref="L26:L31" si="21">J26*104</f>
        <v>336414</v>
      </c>
      <c r="M26" s="116">
        <f t="shared" ref="M26:M31" si="22">I26*104</f>
        <v>7488</v>
      </c>
      <c r="N26" s="19"/>
      <c r="O26" s="19"/>
      <c r="P26" s="146"/>
      <c r="Q26" s="183"/>
      <c r="R26" s="183"/>
      <c r="S26" s="205"/>
      <c r="T26" s="283"/>
      <c r="U26" s="191"/>
      <c r="V26" s="227"/>
      <c r="W26" s="182">
        <f>J26-(Q26*($M$2-$K$1))-(R26*($M$2-$M$1))- (S26*($M$2-$I$2))+ (T26*($G$2))</f>
        <v>3234.75</v>
      </c>
      <c r="X26" s="182">
        <f>H26*$M$2</f>
        <v>3234.75</v>
      </c>
    </row>
    <row r="27" spans="1:24" ht="17.25" customHeight="1" x14ac:dyDescent="0.25">
      <c r="A27" s="201"/>
      <c r="B27" s="116">
        <v>75</v>
      </c>
      <c r="C27" s="116">
        <v>0</v>
      </c>
      <c r="D27" s="147">
        <f>'Data Ocupacion'!J32</f>
        <v>75</v>
      </c>
      <c r="E27" s="147">
        <f>'Data Ocupacion'!K32</f>
        <v>0</v>
      </c>
      <c r="F27" s="116" t="s">
        <v>52</v>
      </c>
      <c r="G27" s="116">
        <f t="shared" si="18"/>
        <v>75</v>
      </c>
      <c r="H27" s="116">
        <f t="shared" si="19"/>
        <v>75</v>
      </c>
      <c r="I27" s="116">
        <f t="shared" si="20"/>
        <v>75</v>
      </c>
      <c r="J27" s="116">
        <f>G27*M$2</f>
        <v>3234.75</v>
      </c>
      <c r="K27" s="153">
        <f>I27*M$2</f>
        <v>3234.75</v>
      </c>
      <c r="L27" s="116">
        <f t="shared" si="21"/>
        <v>336414</v>
      </c>
      <c r="M27" s="116">
        <f t="shared" si="22"/>
        <v>7800</v>
      </c>
      <c r="N27" s="19"/>
      <c r="O27" s="19"/>
      <c r="P27" s="146"/>
      <c r="Q27" s="186"/>
      <c r="R27" s="186"/>
      <c r="S27" s="216"/>
      <c r="T27" s="183"/>
      <c r="U27" s="216"/>
      <c r="V27" s="228"/>
      <c r="W27" s="185">
        <f>J27-(T27*($M$2-$K$1)+(U27*($M$2-$M$1))+(V27*($M$2-$I$2)))</f>
        <v>3234.75</v>
      </c>
      <c r="X27" s="182">
        <f>H27*$M$2</f>
        <v>3234.75</v>
      </c>
    </row>
    <row r="28" spans="1:24" ht="15" customHeight="1" x14ac:dyDescent="0.25">
      <c r="A28" s="201"/>
      <c r="B28" s="116">
        <v>0</v>
      </c>
      <c r="C28" s="116">
        <v>0</v>
      </c>
      <c r="D28" s="147">
        <f>'Data Ocupacion'!J33</f>
        <v>0</v>
      </c>
      <c r="E28" s="147">
        <f>'Data Ocupacion'!K33</f>
        <v>0</v>
      </c>
      <c r="F28" s="116" t="s">
        <v>36</v>
      </c>
      <c r="G28" s="116">
        <f t="shared" si="18"/>
        <v>0</v>
      </c>
      <c r="H28" s="116">
        <f t="shared" si="19"/>
        <v>0</v>
      </c>
      <c r="I28" s="116">
        <f t="shared" si="20"/>
        <v>0</v>
      </c>
      <c r="J28" s="116">
        <f>G28*M$1</f>
        <v>0</v>
      </c>
      <c r="K28" s="153">
        <f>I28*M$1</f>
        <v>0</v>
      </c>
      <c r="L28" s="116">
        <f t="shared" si="21"/>
        <v>0</v>
      </c>
      <c r="M28" s="116">
        <f t="shared" si="22"/>
        <v>0</v>
      </c>
      <c r="N28" s="19"/>
      <c r="O28" s="19"/>
      <c r="P28" s="146"/>
      <c r="Q28" s="243"/>
      <c r="R28" s="190"/>
      <c r="S28" s="227"/>
      <c r="T28" s="186"/>
      <c r="U28" s="189"/>
      <c r="V28" s="189"/>
      <c r="W28" s="182">
        <f>J28-(Q28*($M$1-$K$1))</f>
        <v>0</v>
      </c>
      <c r="X28" s="182">
        <f>H28*$M$1</f>
        <v>0</v>
      </c>
    </row>
    <row r="29" spans="1:24" ht="15" customHeight="1" x14ac:dyDescent="0.25">
      <c r="A29" s="201"/>
      <c r="B29" s="116">
        <v>0</v>
      </c>
      <c r="C29" s="116">
        <v>0</v>
      </c>
      <c r="D29" s="147">
        <f>'Data Ocupacion'!J34</f>
        <v>0</v>
      </c>
      <c r="E29" s="147">
        <f>'Data Ocupacion'!K34</f>
        <v>0</v>
      </c>
      <c r="F29" s="116" t="s">
        <v>53</v>
      </c>
      <c r="G29" s="116">
        <f t="shared" si="18"/>
        <v>0</v>
      </c>
      <c r="H29" s="116">
        <f t="shared" si="19"/>
        <v>0</v>
      </c>
      <c r="I29" s="116">
        <f t="shared" si="20"/>
        <v>0</v>
      </c>
      <c r="J29" s="116">
        <f>G29*M$1</f>
        <v>0</v>
      </c>
      <c r="K29" s="153">
        <f>I29*M$1</f>
        <v>0</v>
      </c>
      <c r="L29" s="116">
        <f t="shared" si="21"/>
        <v>0</v>
      </c>
      <c r="M29" s="116">
        <f t="shared" si="22"/>
        <v>0</v>
      </c>
      <c r="N29" s="19"/>
      <c r="O29" s="19"/>
      <c r="P29" s="146"/>
      <c r="Q29" s="189"/>
      <c r="R29" s="189"/>
      <c r="S29" s="189"/>
      <c r="T29" s="189"/>
      <c r="U29" s="189"/>
      <c r="V29" s="189"/>
      <c r="W29" s="182">
        <f>J29</f>
        <v>0</v>
      </c>
      <c r="X29" s="182">
        <f>H29*$M$1</f>
        <v>0</v>
      </c>
    </row>
    <row r="30" spans="1:24" s="124" customFormat="1" ht="15" customHeight="1" x14ac:dyDescent="0.25">
      <c r="A30" s="201"/>
      <c r="B30" s="116">
        <v>0</v>
      </c>
      <c r="C30" s="116">
        <v>0</v>
      </c>
      <c r="D30" s="147">
        <f>'Data Ocupacion'!J35</f>
        <v>0</v>
      </c>
      <c r="E30" s="147">
        <f>'Data Ocupacion'!K35</f>
        <v>0</v>
      </c>
      <c r="F30" s="116" t="s">
        <v>122</v>
      </c>
      <c r="G30" s="116">
        <f t="shared" si="18"/>
        <v>0</v>
      </c>
      <c r="H30" s="116">
        <f t="shared" si="19"/>
        <v>0</v>
      </c>
      <c r="I30" s="116">
        <f t="shared" si="20"/>
        <v>0</v>
      </c>
      <c r="J30" s="116">
        <f>G30*K$1</f>
        <v>0</v>
      </c>
      <c r="K30" s="153">
        <f>I30*K$1</f>
        <v>0</v>
      </c>
      <c r="L30" s="116">
        <f t="shared" si="21"/>
        <v>0</v>
      </c>
      <c r="M30" s="116">
        <f t="shared" si="22"/>
        <v>0</v>
      </c>
      <c r="N30" s="19"/>
      <c r="O30" s="19"/>
      <c r="P30" s="146"/>
      <c r="Q30" s="189"/>
      <c r="R30" s="189"/>
      <c r="S30" s="189"/>
      <c r="T30" s="189"/>
      <c r="U30" s="189"/>
      <c r="V30" s="189"/>
      <c r="W30" s="182">
        <f>J30</f>
        <v>0</v>
      </c>
      <c r="X30" s="182">
        <f>H30*$K$1</f>
        <v>0</v>
      </c>
    </row>
    <row r="31" spans="1:24" ht="16.149999999999999" customHeight="1" thickBot="1" x14ac:dyDescent="0.3">
      <c r="A31" s="201"/>
      <c r="B31" s="116">
        <v>0</v>
      </c>
      <c r="C31" s="116">
        <v>0</v>
      </c>
      <c r="D31" s="334">
        <f>'Data Ocupacion'!J36</f>
        <v>0</v>
      </c>
      <c r="E31" s="147">
        <f>'Data Ocupacion'!K36</f>
        <v>0</v>
      </c>
      <c r="F31" s="116" t="s">
        <v>35</v>
      </c>
      <c r="G31" s="116">
        <f t="shared" si="18"/>
        <v>0</v>
      </c>
      <c r="H31" s="116">
        <f t="shared" si="19"/>
        <v>0</v>
      </c>
      <c r="I31" s="116">
        <f t="shared" si="20"/>
        <v>0</v>
      </c>
      <c r="J31" s="116">
        <f>G31*K$1</f>
        <v>0</v>
      </c>
      <c r="K31" s="153">
        <f>I31*K$1</f>
        <v>0</v>
      </c>
      <c r="L31" s="116">
        <f t="shared" si="21"/>
        <v>0</v>
      </c>
      <c r="M31" s="116">
        <f t="shared" si="22"/>
        <v>0</v>
      </c>
      <c r="N31" s="19"/>
      <c r="O31" s="19"/>
      <c r="P31" s="146"/>
      <c r="Q31" s="189"/>
      <c r="R31" s="189"/>
      <c r="S31" s="189"/>
      <c r="T31" s="189"/>
      <c r="U31" s="189"/>
      <c r="V31" s="189"/>
      <c r="W31" s="182">
        <f>J31</f>
        <v>0</v>
      </c>
      <c r="X31" s="182">
        <f>H31*$K$1</f>
        <v>0</v>
      </c>
    </row>
    <row r="32" spans="1:24" ht="15.75" thickBot="1" x14ac:dyDescent="0.3">
      <c r="A32" s="20"/>
      <c r="B32" s="119">
        <f>SUM(B26:B31)</f>
        <v>144</v>
      </c>
      <c r="C32" s="119">
        <f>SUM(C26:C31)</f>
        <v>3</v>
      </c>
      <c r="D32" s="152">
        <f>SUM(D26:D31)</f>
        <v>144</v>
      </c>
      <c r="E32" s="152">
        <f>SUM(E26:E31)</f>
        <v>3</v>
      </c>
      <c r="F32" s="119"/>
      <c r="G32" s="119">
        <f t="shared" ref="G32:M32" si="23">SUM(G26:G31)</f>
        <v>150</v>
      </c>
      <c r="H32" s="119">
        <f t="shared" si="23"/>
        <v>150</v>
      </c>
      <c r="I32" s="119">
        <f t="shared" si="23"/>
        <v>147</v>
      </c>
      <c r="J32" s="120">
        <f t="shared" si="23"/>
        <v>6469.5</v>
      </c>
      <c r="K32" s="119">
        <f t="shared" si="23"/>
        <v>6340.1100000000006</v>
      </c>
      <c r="L32" s="118">
        <f t="shared" si="23"/>
        <v>672828</v>
      </c>
      <c r="M32" s="151">
        <f t="shared" si="23"/>
        <v>15288</v>
      </c>
      <c r="N32" s="123">
        <f>'Odometro-Kilometraje'!E88</f>
        <v>6527</v>
      </c>
      <c r="O32" s="21">
        <f>(W32/N32)*100</f>
        <v>99.119043971196561</v>
      </c>
      <c r="P32" s="192"/>
      <c r="Q32" s="181"/>
      <c r="R32" s="181"/>
      <c r="S32" s="181"/>
      <c r="T32" s="181"/>
      <c r="U32" s="181"/>
      <c r="V32" s="181"/>
      <c r="W32" s="193">
        <f>SUM(W26:W31)</f>
        <v>6469.5</v>
      </c>
      <c r="X32" s="193">
        <f>SUM(X26:X31)</f>
        <v>6469.5</v>
      </c>
    </row>
    <row r="33" spans="1:32" x14ac:dyDescent="0.25">
      <c r="A33" s="60">
        <f>A26+1</f>
        <v>46208</v>
      </c>
      <c r="B33" s="217">
        <v>51</v>
      </c>
      <c r="C33" s="217">
        <v>3</v>
      </c>
      <c r="D33" s="138">
        <f>'Data Ocupacion'!L31</f>
        <v>51</v>
      </c>
      <c r="E33" s="138">
        <f>'Data Ocupacion'!M31</f>
        <v>3</v>
      </c>
      <c r="F33" s="217" t="s">
        <v>38</v>
      </c>
      <c r="G33" s="217">
        <f t="shared" ref="G33:G38" si="24">D33+E33*2</f>
        <v>57</v>
      </c>
      <c r="H33" s="217">
        <f t="shared" ref="H33:H38" si="25">B33+C33*2</f>
        <v>57</v>
      </c>
      <c r="I33" s="217">
        <f t="shared" ref="I33:I38" si="26">D33+E33</f>
        <v>54</v>
      </c>
      <c r="J33" s="217">
        <f>G33*M$2</f>
        <v>2458.4100000000003</v>
      </c>
      <c r="K33" s="153">
        <f>I33*M$2</f>
        <v>2329.02</v>
      </c>
      <c r="L33" s="217">
        <f t="shared" ref="L33:L38" si="27">J33*104</f>
        <v>255674.64000000004</v>
      </c>
      <c r="M33" s="217">
        <f t="shared" ref="M33:M38" si="28">I33*104</f>
        <v>5616</v>
      </c>
      <c r="N33" s="19"/>
      <c r="O33" s="19"/>
      <c r="P33" s="146"/>
      <c r="Q33" s="183"/>
      <c r="R33" s="183"/>
      <c r="S33" s="205"/>
      <c r="T33" s="283"/>
      <c r="U33" s="191"/>
      <c r="V33" s="227"/>
      <c r="W33" s="182">
        <f>J33-(Q33*($M$2-$K$1))-(R33*($M$2-$M$1))- (S33*($M$2-$I$2))+ (T33*($G$2))</f>
        <v>2458.4100000000003</v>
      </c>
      <c r="X33" s="182">
        <f>H33*$M$2</f>
        <v>2458.4100000000003</v>
      </c>
    </row>
    <row r="34" spans="1:32" ht="15" customHeight="1" x14ac:dyDescent="0.25">
      <c r="A34" s="252"/>
      <c r="B34" s="217">
        <v>57</v>
      </c>
      <c r="C34" s="217">
        <v>0</v>
      </c>
      <c r="D34" s="138">
        <f>'Data Ocupacion'!L32</f>
        <v>57</v>
      </c>
      <c r="E34" s="138">
        <f>'Data Ocupacion'!M32</f>
        <v>0</v>
      </c>
      <c r="F34" s="217" t="s">
        <v>52</v>
      </c>
      <c r="G34" s="217">
        <f t="shared" si="24"/>
        <v>57</v>
      </c>
      <c r="H34" s="217">
        <f t="shared" si="25"/>
        <v>57</v>
      </c>
      <c r="I34" s="217">
        <f t="shared" si="26"/>
        <v>57</v>
      </c>
      <c r="J34" s="217">
        <f>G34*M$2</f>
        <v>2458.4100000000003</v>
      </c>
      <c r="K34" s="153">
        <f>I34*M$2</f>
        <v>2458.4100000000003</v>
      </c>
      <c r="L34" s="217">
        <f t="shared" si="27"/>
        <v>255674.64000000004</v>
      </c>
      <c r="M34" s="217">
        <f t="shared" si="28"/>
        <v>5928</v>
      </c>
      <c r="N34" s="19"/>
      <c r="O34" s="19"/>
      <c r="P34" s="146"/>
      <c r="Q34" s="186"/>
      <c r="R34" s="186"/>
      <c r="S34" s="216"/>
      <c r="T34" s="183"/>
      <c r="U34" s="216"/>
      <c r="V34" s="228"/>
      <c r="W34" s="185">
        <f>J34-(T34*($M$2-$K$1)+(U34*($M$2-$M$1))+(V34*($M$2-$I$2)))</f>
        <v>2458.4100000000003</v>
      </c>
      <c r="X34" s="182">
        <f>H34*$M$2</f>
        <v>2458.4100000000003</v>
      </c>
    </row>
    <row r="35" spans="1:32" ht="15" customHeight="1" x14ac:dyDescent="0.25">
      <c r="A35" s="252"/>
      <c r="B35" s="217">
        <v>0</v>
      </c>
      <c r="C35" s="217">
        <v>0</v>
      </c>
      <c r="D35" s="138">
        <f>'Data Ocupacion'!L33</f>
        <v>0</v>
      </c>
      <c r="E35" s="138">
        <f>'Data Ocupacion'!M33</f>
        <v>0</v>
      </c>
      <c r="F35" s="217" t="s">
        <v>36</v>
      </c>
      <c r="G35" s="217">
        <f t="shared" si="24"/>
        <v>0</v>
      </c>
      <c r="H35" s="217">
        <f t="shared" si="25"/>
        <v>0</v>
      </c>
      <c r="I35" s="217">
        <f t="shared" si="26"/>
        <v>0</v>
      </c>
      <c r="J35" s="217">
        <f>G35*M$1</f>
        <v>0</v>
      </c>
      <c r="K35" s="153">
        <f>I35*M$1</f>
        <v>0</v>
      </c>
      <c r="L35" s="217">
        <f t="shared" si="27"/>
        <v>0</v>
      </c>
      <c r="M35" s="217">
        <f t="shared" si="28"/>
        <v>0</v>
      </c>
      <c r="N35" s="19"/>
      <c r="O35" s="19"/>
      <c r="P35" s="146"/>
      <c r="Q35" s="243"/>
      <c r="R35" s="243"/>
      <c r="S35" s="227"/>
      <c r="T35" s="186"/>
      <c r="U35" s="189"/>
      <c r="V35" s="189"/>
      <c r="W35" s="182">
        <f>J35-(Q35*($M$1-$K$1))</f>
        <v>0</v>
      </c>
      <c r="X35" s="182">
        <f>H35*$M$1</f>
        <v>0</v>
      </c>
    </row>
    <row r="36" spans="1:32" ht="15" customHeight="1" x14ac:dyDescent="0.25">
      <c r="A36" s="252"/>
      <c r="B36" s="217">
        <v>0</v>
      </c>
      <c r="C36" s="217">
        <v>0</v>
      </c>
      <c r="D36" s="138">
        <f>'Data Ocupacion'!L34</f>
        <v>0</v>
      </c>
      <c r="E36" s="138">
        <f>'Data Ocupacion'!M34</f>
        <v>0</v>
      </c>
      <c r="F36" s="217" t="s">
        <v>53</v>
      </c>
      <c r="G36" s="217">
        <f t="shared" si="24"/>
        <v>0</v>
      </c>
      <c r="H36" s="217">
        <f t="shared" si="25"/>
        <v>0</v>
      </c>
      <c r="I36" s="217">
        <f t="shared" si="26"/>
        <v>0</v>
      </c>
      <c r="J36" s="217">
        <f>G36*M$1</f>
        <v>0</v>
      </c>
      <c r="K36" s="153">
        <f>I36*M$1</f>
        <v>0</v>
      </c>
      <c r="L36" s="217">
        <f t="shared" si="27"/>
        <v>0</v>
      </c>
      <c r="M36" s="217">
        <f t="shared" si="28"/>
        <v>0</v>
      </c>
      <c r="N36" s="19"/>
      <c r="O36" s="19"/>
      <c r="P36" s="146"/>
      <c r="Q36" s="189"/>
      <c r="R36" s="189"/>
      <c r="S36" s="189"/>
      <c r="T36" s="189"/>
      <c r="U36" s="189"/>
      <c r="V36" s="189"/>
      <c r="W36" s="182">
        <f>J36</f>
        <v>0</v>
      </c>
      <c r="X36" s="182">
        <f>H36*$M$1</f>
        <v>0</v>
      </c>
    </row>
    <row r="37" spans="1:32" s="124" customFormat="1" ht="15" customHeight="1" x14ac:dyDescent="0.25">
      <c r="A37" s="252"/>
      <c r="B37" s="217">
        <v>0</v>
      </c>
      <c r="C37" s="217">
        <v>0</v>
      </c>
      <c r="D37" s="138">
        <f>'Data Ocupacion'!L35</f>
        <v>0</v>
      </c>
      <c r="E37" s="138">
        <f>'Data Ocupacion'!M35</f>
        <v>0</v>
      </c>
      <c r="F37" s="217" t="s">
        <v>122</v>
      </c>
      <c r="G37" s="217">
        <f t="shared" si="24"/>
        <v>0</v>
      </c>
      <c r="H37" s="217">
        <f t="shared" si="25"/>
        <v>0</v>
      </c>
      <c r="I37" s="217">
        <f t="shared" si="26"/>
        <v>0</v>
      </c>
      <c r="J37" s="217">
        <f>G37*K$1</f>
        <v>0</v>
      </c>
      <c r="K37" s="153">
        <f>I37*K$1</f>
        <v>0</v>
      </c>
      <c r="L37" s="217">
        <f t="shared" si="27"/>
        <v>0</v>
      </c>
      <c r="M37" s="217">
        <f t="shared" si="28"/>
        <v>0</v>
      </c>
      <c r="N37" s="19"/>
      <c r="O37" s="19"/>
      <c r="P37" s="146"/>
      <c r="Q37" s="189"/>
      <c r="R37" s="189"/>
      <c r="S37" s="189"/>
      <c r="T37" s="189"/>
      <c r="U37" s="189"/>
      <c r="V37" s="189"/>
      <c r="W37" s="182">
        <f>J37</f>
        <v>0</v>
      </c>
      <c r="X37" s="182">
        <f>H37*$K$1</f>
        <v>0</v>
      </c>
    </row>
    <row r="38" spans="1:32" ht="16.149999999999999" customHeight="1" thickBot="1" x14ac:dyDescent="0.3">
      <c r="A38" s="252"/>
      <c r="B38" s="217">
        <v>0</v>
      </c>
      <c r="C38" s="217">
        <v>0</v>
      </c>
      <c r="D38" s="335">
        <f>'Data Ocupacion'!L36</f>
        <v>0</v>
      </c>
      <c r="E38" s="138">
        <f>'Data Ocupacion'!M36</f>
        <v>0</v>
      </c>
      <c r="F38" s="217" t="s">
        <v>35</v>
      </c>
      <c r="G38" s="217">
        <f t="shared" si="24"/>
        <v>0</v>
      </c>
      <c r="H38" s="217">
        <f t="shared" si="25"/>
        <v>0</v>
      </c>
      <c r="I38" s="217">
        <f t="shared" si="26"/>
        <v>0</v>
      </c>
      <c r="J38" s="217">
        <f>G38*K$1</f>
        <v>0</v>
      </c>
      <c r="K38" s="153">
        <f>I38*K$1</f>
        <v>0</v>
      </c>
      <c r="L38" s="217">
        <f t="shared" si="27"/>
        <v>0</v>
      </c>
      <c r="M38" s="217">
        <f t="shared" si="28"/>
        <v>0</v>
      </c>
      <c r="N38" s="19"/>
      <c r="O38" s="19"/>
      <c r="P38" s="146"/>
      <c r="Q38" s="189"/>
      <c r="R38" s="189"/>
      <c r="S38" s="189"/>
      <c r="T38" s="189"/>
      <c r="U38" s="189"/>
      <c r="V38" s="189"/>
      <c r="W38" s="182">
        <f>J38</f>
        <v>0</v>
      </c>
      <c r="X38" s="182">
        <f>H38*$K$1</f>
        <v>0</v>
      </c>
    </row>
    <row r="39" spans="1:32" ht="15.75" thickBot="1" x14ac:dyDescent="0.3">
      <c r="A39" s="20"/>
      <c r="B39" s="119">
        <f>SUM(B33:B38)</f>
        <v>108</v>
      </c>
      <c r="C39" s="119">
        <f>SUM(C33:C38)</f>
        <v>3</v>
      </c>
      <c r="D39" s="152">
        <f>SUM(D33:D38)</f>
        <v>108</v>
      </c>
      <c r="E39" s="152">
        <f>SUM(E33:E38)</f>
        <v>3</v>
      </c>
      <c r="F39" s="119"/>
      <c r="G39" s="119">
        <f t="shared" ref="G39:M39" si="29">SUM(G33:G38)</f>
        <v>114</v>
      </c>
      <c r="H39" s="119">
        <f t="shared" si="29"/>
        <v>114</v>
      </c>
      <c r="I39" s="119">
        <f t="shared" si="29"/>
        <v>111</v>
      </c>
      <c r="J39" s="120">
        <f t="shared" si="29"/>
        <v>4916.8200000000006</v>
      </c>
      <c r="K39" s="119">
        <f t="shared" si="29"/>
        <v>4787.43</v>
      </c>
      <c r="L39" s="118">
        <f t="shared" si="29"/>
        <v>511349.28000000009</v>
      </c>
      <c r="M39" s="151">
        <f t="shared" si="29"/>
        <v>11544</v>
      </c>
      <c r="N39" s="123">
        <f>'Odometro-Kilometraje'!F88</f>
        <v>4977</v>
      </c>
      <c r="O39" s="21">
        <f>(W39/N39)*100</f>
        <v>98.790837854129009</v>
      </c>
      <c r="P39" s="192"/>
      <c r="Q39" s="181"/>
      <c r="R39" s="181"/>
      <c r="S39" s="181"/>
      <c r="T39" s="181"/>
      <c r="U39" s="181"/>
      <c r="V39" s="181"/>
      <c r="W39" s="193">
        <f>SUM(W33:W38)</f>
        <v>4916.8200000000006</v>
      </c>
      <c r="X39" s="193">
        <f>SUM(X33:X38)</f>
        <v>4916.8200000000006</v>
      </c>
      <c r="Z39" s="124"/>
      <c r="AA39" s="124"/>
      <c r="AB39" s="124"/>
    </row>
    <row r="40" spans="1:32" x14ac:dyDescent="0.25">
      <c r="A40" s="60">
        <f>A33+1</f>
        <v>46209</v>
      </c>
      <c r="B40" s="293">
        <v>38</v>
      </c>
      <c r="C40" s="293">
        <v>41</v>
      </c>
      <c r="D40" s="126">
        <f>'Data Ocupacion'!N31</f>
        <v>40</v>
      </c>
      <c r="E40" s="126">
        <f>'Data Ocupacion'!O31</f>
        <v>39</v>
      </c>
      <c r="F40" s="125" t="s">
        <v>38</v>
      </c>
      <c r="G40" s="125">
        <f t="shared" ref="G40:G45" si="30">D40+E40*2</f>
        <v>118</v>
      </c>
      <c r="H40" s="125">
        <f t="shared" ref="H40:H45" si="31">B40+C40*2</f>
        <v>120</v>
      </c>
      <c r="I40" s="125">
        <f t="shared" ref="I40:I45" si="32">D40+E40</f>
        <v>79</v>
      </c>
      <c r="J40" s="125">
        <f>G40*M$2</f>
        <v>5089.34</v>
      </c>
      <c r="K40" s="153">
        <f>I40*M$2</f>
        <v>3407.27</v>
      </c>
      <c r="L40" s="125">
        <f t="shared" ref="L40:L45" si="33">J40*104</f>
        <v>529291.36</v>
      </c>
      <c r="M40" s="125">
        <f t="shared" ref="M40:M45" si="34">I40*104</f>
        <v>8216</v>
      </c>
      <c r="N40" s="19"/>
      <c r="O40" s="19"/>
      <c r="P40" s="146"/>
      <c r="Q40" s="183">
        <v>3</v>
      </c>
      <c r="R40" s="183"/>
      <c r="S40" s="205"/>
      <c r="T40" s="283"/>
      <c r="U40" s="191"/>
      <c r="V40" s="227"/>
      <c r="W40" s="182">
        <f>J40-(Q40*($M$2-$K$1))-(R40*($M$2-$M$1))- (S40*($M$2-$I$2))+ (T40*($G$2))</f>
        <v>5036.1500000000005</v>
      </c>
      <c r="X40" s="182">
        <f>H40*$M$2</f>
        <v>5175.6000000000004</v>
      </c>
      <c r="Z40" s="124"/>
      <c r="AA40" s="124"/>
      <c r="AB40" s="124"/>
    </row>
    <row r="41" spans="1:32" ht="15" customHeight="1" x14ac:dyDescent="0.25">
      <c r="A41" s="201"/>
      <c r="B41" s="293">
        <v>36</v>
      </c>
      <c r="C41" s="293">
        <v>42</v>
      </c>
      <c r="D41" s="126">
        <f>'Data Ocupacion'!N32</f>
        <v>38</v>
      </c>
      <c r="E41" s="126">
        <f>'Data Ocupacion'!O32</f>
        <v>40</v>
      </c>
      <c r="F41" s="125" t="s">
        <v>52</v>
      </c>
      <c r="G41" s="125">
        <f t="shared" si="30"/>
        <v>118</v>
      </c>
      <c r="H41" s="125">
        <f t="shared" si="31"/>
        <v>120</v>
      </c>
      <c r="I41" s="125">
        <f t="shared" si="32"/>
        <v>78</v>
      </c>
      <c r="J41" s="346">
        <f>(G41*M$2)-(1*V$2)</f>
        <v>5062.84</v>
      </c>
      <c r="K41" s="153">
        <f>I41*M$2</f>
        <v>3364.1400000000003</v>
      </c>
      <c r="L41" s="125">
        <f t="shared" si="33"/>
        <v>526535.36</v>
      </c>
      <c r="M41" s="125">
        <f t="shared" si="34"/>
        <v>8112</v>
      </c>
      <c r="N41" s="19"/>
      <c r="O41" s="19"/>
      <c r="P41" s="146"/>
      <c r="Q41" s="186"/>
      <c r="R41" s="186"/>
      <c r="S41" s="216"/>
      <c r="T41" s="183">
        <v>3</v>
      </c>
      <c r="U41" s="216"/>
      <c r="V41" s="228"/>
      <c r="W41" s="185">
        <f>J41-(T41*($M$2-$K$1)+(U41*($M$2-$M$1)))</f>
        <v>5009.6500000000005</v>
      </c>
      <c r="X41" s="182">
        <f>H41*$M$2</f>
        <v>5175.6000000000004</v>
      </c>
      <c r="Z41" s="124"/>
      <c r="AA41" s="124"/>
      <c r="AB41" s="124"/>
    </row>
    <row r="42" spans="1:32" ht="15" customHeight="1" x14ac:dyDescent="0.25">
      <c r="A42" s="201"/>
      <c r="B42" s="293">
        <v>33</v>
      </c>
      <c r="C42" s="293">
        <v>3</v>
      </c>
      <c r="D42" s="126">
        <f>'Data Ocupacion'!N33</f>
        <v>32</v>
      </c>
      <c r="E42" s="126">
        <f>'Data Ocupacion'!O33</f>
        <v>2</v>
      </c>
      <c r="F42" s="125" t="s">
        <v>36</v>
      </c>
      <c r="G42" s="125">
        <f t="shared" si="30"/>
        <v>36</v>
      </c>
      <c r="H42" s="125">
        <f t="shared" si="31"/>
        <v>39</v>
      </c>
      <c r="I42" s="125">
        <f t="shared" si="32"/>
        <v>34</v>
      </c>
      <c r="J42" s="125">
        <f>G42*M$1</f>
        <v>1047.96</v>
      </c>
      <c r="K42" s="153">
        <f>I42*M$1</f>
        <v>989.74</v>
      </c>
      <c r="L42" s="125">
        <f t="shared" si="33"/>
        <v>108987.84</v>
      </c>
      <c r="M42" s="125">
        <f t="shared" si="34"/>
        <v>3536</v>
      </c>
      <c r="N42" s="19"/>
      <c r="O42" s="19"/>
      <c r="P42" s="146"/>
      <c r="Q42" s="183">
        <v>2</v>
      </c>
      <c r="R42" s="190"/>
      <c r="S42" s="227"/>
      <c r="T42" s="186"/>
      <c r="U42" s="189"/>
      <c r="V42" s="189"/>
      <c r="W42" s="182">
        <f>J42-(Q42*($M$1-$K$1))</f>
        <v>1040.54</v>
      </c>
      <c r="X42" s="182">
        <f>H42*$M$1</f>
        <v>1135.29</v>
      </c>
      <c r="Z42" s="254"/>
      <c r="AA42" s="254"/>
      <c r="AB42" s="254"/>
      <c r="AC42" s="254"/>
      <c r="AD42" s="254"/>
      <c r="AE42" s="254"/>
      <c r="AF42" s="254"/>
    </row>
    <row r="43" spans="1:32" x14ac:dyDescent="0.25">
      <c r="A43" s="201"/>
      <c r="B43" s="293">
        <v>29</v>
      </c>
      <c r="C43" s="293">
        <v>3</v>
      </c>
      <c r="D43" s="126">
        <f>'Data Ocupacion'!N34</f>
        <v>29</v>
      </c>
      <c r="E43" s="126">
        <f>'Data Ocupacion'!O34</f>
        <v>2</v>
      </c>
      <c r="F43" s="125" t="s">
        <v>53</v>
      </c>
      <c r="G43" s="125">
        <f t="shared" si="30"/>
        <v>33</v>
      </c>
      <c r="H43" s="125">
        <f t="shared" si="31"/>
        <v>35</v>
      </c>
      <c r="I43" s="125">
        <f t="shared" si="32"/>
        <v>31</v>
      </c>
      <c r="J43" s="125">
        <f>G43*M$1</f>
        <v>960.63</v>
      </c>
      <c r="K43" s="153">
        <f>I43*M$1</f>
        <v>902.41</v>
      </c>
      <c r="L43" s="125">
        <f t="shared" si="33"/>
        <v>99905.52</v>
      </c>
      <c r="M43" s="125">
        <f t="shared" si="34"/>
        <v>3224</v>
      </c>
      <c r="N43" s="19"/>
      <c r="O43" s="19"/>
      <c r="P43" s="146"/>
      <c r="Q43" s="189"/>
      <c r="R43" s="189"/>
      <c r="S43" s="189"/>
      <c r="T43" s="189"/>
      <c r="U43" s="189"/>
      <c r="V43" s="189"/>
      <c r="W43" s="182">
        <f>J43</f>
        <v>960.63</v>
      </c>
      <c r="X43" s="182">
        <f>H43*$M$1</f>
        <v>1018.85</v>
      </c>
      <c r="Z43" s="254"/>
      <c r="AA43" s="254"/>
      <c r="AB43" s="254"/>
      <c r="AC43" s="254"/>
      <c r="AD43" s="254"/>
      <c r="AE43" s="254"/>
      <c r="AF43" s="254"/>
    </row>
    <row r="44" spans="1:32" s="124" customFormat="1" x14ac:dyDescent="0.25">
      <c r="A44" s="201"/>
      <c r="B44" s="293">
        <v>0</v>
      </c>
      <c r="C44" s="293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1"/>
        <v>0</v>
      </c>
      <c r="I44" s="125">
        <f t="shared" si="32"/>
        <v>0</v>
      </c>
      <c r="J44" s="125">
        <f>G44*K$1</f>
        <v>0</v>
      </c>
      <c r="K44" s="153">
        <f>I44*K$1</f>
        <v>0</v>
      </c>
      <c r="L44" s="125">
        <f t="shared" si="33"/>
        <v>0</v>
      </c>
      <c r="M44" s="125">
        <f t="shared" si="34"/>
        <v>0</v>
      </c>
      <c r="N44" s="19"/>
      <c r="O44" s="19"/>
      <c r="P44" s="146"/>
      <c r="Q44" s="189"/>
      <c r="R44" s="189"/>
      <c r="S44" s="189"/>
      <c r="T44" s="189"/>
      <c r="U44" s="189"/>
      <c r="V44" s="189"/>
      <c r="W44" s="182">
        <f>J44</f>
        <v>0</v>
      </c>
      <c r="X44" s="182">
        <f>H44*$K$1</f>
        <v>0</v>
      </c>
      <c r="Z44" s="254"/>
      <c r="AA44" s="254"/>
      <c r="AB44" s="254"/>
      <c r="AC44" s="254"/>
      <c r="AD44" s="254"/>
      <c r="AE44" s="254"/>
      <c r="AF44" s="254"/>
    </row>
    <row r="45" spans="1:32" ht="15.75" thickBot="1" x14ac:dyDescent="0.3">
      <c r="A45" s="201"/>
      <c r="B45" s="293">
        <v>4</v>
      </c>
      <c r="C45" s="293">
        <v>0</v>
      </c>
      <c r="D45" s="253">
        <f>'Data Ocupacion'!N36</f>
        <v>4</v>
      </c>
      <c r="E45" s="126">
        <f>'Data Ocupacion'!O36</f>
        <v>0</v>
      </c>
      <c r="F45" s="125" t="s">
        <v>35</v>
      </c>
      <c r="G45" s="125">
        <f t="shared" si="30"/>
        <v>4</v>
      </c>
      <c r="H45" s="125">
        <f t="shared" si="31"/>
        <v>4</v>
      </c>
      <c r="I45" s="125">
        <f t="shared" si="32"/>
        <v>4</v>
      </c>
      <c r="J45" s="125">
        <f>G45*K$1</f>
        <v>101.6</v>
      </c>
      <c r="K45" s="153">
        <f>I45*K$1</f>
        <v>101.6</v>
      </c>
      <c r="L45" s="125">
        <f t="shared" si="33"/>
        <v>10566.4</v>
      </c>
      <c r="M45" s="125">
        <f t="shared" si="34"/>
        <v>416</v>
      </c>
      <c r="N45" s="19"/>
      <c r="O45" s="19"/>
      <c r="P45" s="146"/>
      <c r="Q45" s="189"/>
      <c r="R45" s="189"/>
      <c r="S45" s="189"/>
      <c r="T45" s="189"/>
      <c r="U45" s="189"/>
      <c r="V45" s="189"/>
      <c r="W45" s="182">
        <f>J45</f>
        <v>101.6</v>
      </c>
      <c r="X45" s="182">
        <f>H45*$K$1</f>
        <v>101.6</v>
      </c>
      <c r="Z45" s="254"/>
      <c r="AA45" s="124"/>
      <c r="AB45" s="124"/>
      <c r="AC45" s="124"/>
      <c r="AD45" s="254"/>
      <c r="AE45" s="254"/>
      <c r="AF45" s="254"/>
    </row>
    <row r="46" spans="1:32" ht="15.75" thickBot="1" x14ac:dyDescent="0.3">
      <c r="A46" s="20"/>
      <c r="B46" s="119">
        <f>SUM(B40:B45)</f>
        <v>140</v>
      </c>
      <c r="C46" s="119">
        <f>SUM(C40:C45)</f>
        <v>89</v>
      </c>
      <c r="D46" s="152">
        <f>SUM(D40:D45)</f>
        <v>143</v>
      </c>
      <c r="E46" s="152">
        <f>SUM(E40:E45)</f>
        <v>83</v>
      </c>
      <c r="F46" s="119"/>
      <c r="G46" s="119">
        <f t="shared" ref="G46:M46" si="35">SUM(G40:G45)</f>
        <v>309</v>
      </c>
      <c r="H46" s="119">
        <f t="shared" si="35"/>
        <v>318</v>
      </c>
      <c r="I46" s="119">
        <f t="shared" si="35"/>
        <v>226</v>
      </c>
      <c r="J46" s="120">
        <f t="shared" si="35"/>
        <v>12262.369999999999</v>
      </c>
      <c r="K46" s="119">
        <f t="shared" si="35"/>
        <v>8765.16</v>
      </c>
      <c r="L46" s="118">
        <f t="shared" si="35"/>
        <v>1275286.48</v>
      </c>
      <c r="M46" s="151">
        <f t="shared" si="35"/>
        <v>23504</v>
      </c>
      <c r="N46" s="123">
        <f>'Odometro-Kilometraje'!G88</f>
        <v>12739</v>
      </c>
      <c r="O46" s="21">
        <f>(W46/N46)*100</f>
        <v>95.365177800455285</v>
      </c>
      <c r="P46" s="192"/>
      <c r="Q46" s="181"/>
      <c r="R46" s="181"/>
      <c r="S46" s="181"/>
      <c r="T46" s="181"/>
      <c r="U46" s="181"/>
      <c r="V46" s="181"/>
      <c r="W46" s="193">
        <f>SUM(W40:W45)</f>
        <v>12148.57</v>
      </c>
      <c r="X46" s="193">
        <f>SUM(X40:X45)</f>
        <v>12606.940000000002</v>
      </c>
      <c r="Z46" s="254"/>
      <c r="AA46" s="124"/>
      <c r="AB46" s="124"/>
      <c r="AC46" s="124"/>
      <c r="AD46" s="254"/>
      <c r="AE46" s="254"/>
      <c r="AF46" s="254"/>
    </row>
    <row r="47" spans="1:32" x14ac:dyDescent="0.25">
      <c r="A47" s="60">
        <f>A40+1</f>
        <v>46210</v>
      </c>
      <c r="B47" s="293">
        <v>38</v>
      </c>
      <c r="C47" s="293">
        <v>41</v>
      </c>
      <c r="D47" s="126">
        <f>'Data Ocupacion'!P31</f>
        <v>42</v>
      </c>
      <c r="E47" s="126">
        <f>'Data Ocupacion'!Q31</f>
        <v>40</v>
      </c>
      <c r="F47" s="125" t="s">
        <v>38</v>
      </c>
      <c r="G47" s="125">
        <f t="shared" ref="G47:G52" si="36">D47+E47*2</f>
        <v>122</v>
      </c>
      <c r="H47" s="125">
        <f t="shared" ref="H47:H52" si="37">B47+C47*2</f>
        <v>120</v>
      </c>
      <c r="I47" s="125">
        <f t="shared" ref="I47:I52" si="38">D47+E47</f>
        <v>82</v>
      </c>
      <c r="J47" s="125">
        <f>G47*M$2</f>
        <v>5261.8600000000006</v>
      </c>
      <c r="K47" s="153">
        <f>I47*M$2</f>
        <v>3536.6600000000003</v>
      </c>
      <c r="L47" s="125">
        <f t="shared" ref="L47:L52" si="39">J47*104</f>
        <v>547233.44000000006</v>
      </c>
      <c r="M47" s="125">
        <f t="shared" ref="M47:M52" si="40">I47*104</f>
        <v>8528</v>
      </c>
      <c r="N47" s="19"/>
      <c r="O47" s="19"/>
      <c r="P47" s="146"/>
      <c r="Q47" s="183">
        <v>4</v>
      </c>
      <c r="R47" s="183"/>
      <c r="S47" s="205"/>
      <c r="T47" s="283"/>
      <c r="U47" s="191"/>
      <c r="V47" s="227"/>
      <c r="W47" s="182">
        <f>J47-(Q47*($M$2-$K$1))-(R47*($M$2-$M$1))- (S47*($M$2-$I$2))+ (T47*($G$2))</f>
        <v>5190.9400000000005</v>
      </c>
      <c r="X47" s="182">
        <f>H47*$M$2</f>
        <v>5175.6000000000004</v>
      </c>
      <c r="Z47" s="254"/>
      <c r="AA47" s="124"/>
      <c r="AB47" s="124"/>
      <c r="AC47" s="124"/>
      <c r="AD47" s="254"/>
      <c r="AE47" s="254"/>
      <c r="AF47" s="254"/>
    </row>
    <row r="48" spans="1:32" ht="15" customHeight="1" x14ac:dyDescent="0.25">
      <c r="A48" s="201"/>
      <c r="B48" s="293">
        <v>36</v>
      </c>
      <c r="C48" s="293">
        <v>42</v>
      </c>
      <c r="D48" s="126">
        <f>'Data Ocupacion'!P32</f>
        <v>38</v>
      </c>
      <c r="E48" s="126">
        <f>'Data Ocupacion'!Q32</f>
        <v>40</v>
      </c>
      <c r="F48" s="125" t="s">
        <v>52</v>
      </c>
      <c r="G48" s="125">
        <f t="shared" si="36"/>
        <v>118</v>
      </c>
      <c r="H48" s="125">
        <f t="shared" si="37"/>
        <v>120</v>
      </c>
      <c r="I48" s="125">
        <f t="shared" si="38"/>
        <v>78</v>
      </c>
      <c r="J48" s="125">
        <f>G48*M$2</f>
        <v>5089.34</v>
      </c>
      <c r="K48" s="153">
        <f>I48*M$2</f>
        <v>3364.1400000000003</v>
      </c>
      <c r="L48" s="125">
        <f t="shared" si="39"/>
        <v>529291.36</v>
      </c>
      <c r="M48" s="125">
        <f t="shared" si="40"/>
        <v>8112</v>
      </c>
      <c r="N48" s="19"/>
      <c r="O48" s="19"/>
      <c r="P48" s="146"/>
      <c r="Q48" s="186"/>
      <c r="R48" s="186"/>
      <c r="S48" s="216"/>
      <c r="T48" s="183">
        <v>3</v>
      </c>
      <c r="U48" s="216"/>
      <c r="V48" s="228"/>
      <c r="W48" s="185">
        <f>J48-(T48*($M$2-$K$1)+(U48*($M$2-$M$1)))</f>
        <v>5036.1500000000005</v>
      </c>
      <c r="X48" s="182">
        <f>H48*$M$2</f>
        <v>5175.6000000000004</v>
      </c>
      <c r="AA48" s="254"/>
      <c r="AB48" s="254"/>
      <c r="AC48" s="254"/>
    </row>
    <row r="49" spans="1:65" ht="16.5" customHeight="1" x14ac:dyDescent="0.25">
      <c r="A49" s="201"/>
      <c r="B49" s="293">
        <v>33</v>
      </c>
      <c r="C49" s="293">
        <v>3</v>
      </c>
      <c r="D49" s="126">
        <f>'Data Ocupacion'!P33</f>
        <v>27</v>
      </c>
      <c r="E49" s="126">
        <f>'Data Ocupacion'!Q33</f>
        <v>2</v>
      </c>
      <c r="F49" s="125" t="s">
        <v>36</v>
      </c>
      <c r="G49" s="125">
        <f t="shared" si="36"/>
        <v>31</v>
      </c>
      <c r="H49" s="125">
        <f t="shared" si="37"/>
        <v>39</v>
      </c>
      <c r="I49" s="125">
        <f t="shared" si="38"/>
        <v>29</v>
      </c>
      <c r="J49" s="125">
        <f>G49*M$1</f>
        <v>902.41</v>
      </c>
      <c r="K49" s="153">
        <f>I49*M$1</f>
        <v>844.18999999999994</v>
      </c>
      <c r="L49" s="125">
        <f t="shared" si="39"/>
        <v>93850.64</v>
      </c>
      <c r="M49" s="125">
        <f t="shared" si="40"/>
        <v>3016</v>
      </c>
      <c r="N49" s="19"/>
      <c r="O49" s="19"/>
      <c r="P49" s="146"/>
      <c r="Q49" s="183">
        <v>2</v>
      </c>
      <c r="R49" s="190"/>
      <c r="S49" s="227"/>
      <c r="T49" s="186"/>
      <c r="U49" s="189"/>
      <c r="V49" s="189"/>
      <c r="W49" s="182">
        <f>J49-(Q49*($M$1-$K$1))</f>
        <v>894.99</v>
      </c>
      <c r="X49" s="182">
        <f>H49*$M$1</f>
        <v>1135.29</v>
      </c>
    </row>
    <row r="50" spans="1:65" x14ac:dyDescent="0.25">
      <c r="A50" s="201"/>
      <c r="B50" s="293">
        <v>29</v>
      </c>
      <c r="C50" s="293">
        <v>3</v>
      </c>
      <c r="D50" s="126">
        <f>'Data Ocupacion'!P34</f>
        <v>27</v>
      </c>
      <c r="E50" s="126">
        <f>'Data Ocupacion'!Q34</f>
        <v>2</v>
      </c>
      <c r="F50" s="125" t="s">
        <v>53</v>
      </c>
      <c r="G50" s="125">
        <f t="shared" si="36"/>
        <v>31</v>
      </c>
      <c r="H50" s="125">
        <f t="shared" si="37"/>
        <v>35</v>
      </c>
      <c r="I50" s="125">
        <f t="shared" si="38"/>
        <v>29</v>
      </c>
      <c r="J50" s="125">
        <f>G50*M$1</f>
        <v>902.41</v>
      </c>
      <c r="K50" s="153">
        <f>I50*M$1</f>
        <v>844.18999999999994</v>
      </c>
      <c r="L50" s="125">
        <f t="shared" si="39"/>
        <v>93850.64</v>
      </c>
      <c r="M50" s="125">
        <f t="shared" si="40"/>
        <v>3016</v>
      </c>
      <c r="N50" s="19"/>
      <c r="O50" s="19"/>
      <c r="P50" s="146"/>
      <c r="Q50" s="189"/>
      <c r="R50" s="189"/>
      <c r="S50" s="189"/>
      <c r="T50" s="189"/>
      <c r="U50" s="189"/>
      <c r="V50" s="189"/>
      <c r="W50" s="182">
        <f>J50</f>
        <v>902.41</v>
      </c>
      <c r="X50" s="182">
        <f>H50*$M$1</f>
        <v>1018.85</v>
      </c>
    </row>
    <row r="51" spans="1:65" s="124" customFormat="1" x14ac:dyDescent="0.25">
      <c r="A51" s="201"/>
      <c r="B51" s="293">
        <v>0</v>
      </c>
      <c r="C51" s="293">
        <v>0</v>
      </c>
      <c r="D51" s="126">
        <f>'Data Ocupacion'!P35</f>
        <v>0</v>
      </c>
      <c r="E51" s="126">
        <f>'Data Ocupacion'!Q35</f>
        <v>0</v>
      </c>
      <c r="F51" s="125" t="s">
        <v>122</v>
      </c>
      <c r="G51" s="125">
        <f t="shared" si="36"/>
        <v>0</v>
      </c>
      <c r="H51" s="125">
        <f t="shared" si="37"/>
        <v>0</v>
      </c>
      <c r="I51" s="125">
        <f t="shared" si="38"/>
        <v>0</v>
      </c>
      <c r="J51" s="125">
        <f>G51*K$1</f>
        <v>0</v>
      </c>
      <c r="K51" s="153">
        <f>I51*K$1</f>
        <v>0</v>
      </c>
      <c r="L51" s="125">
        <f t="shared" si="39"/>
        <v>0</v>
      </c>
      <c r="M51" s="125">
        <f t="shared" si="40"/>
        <v>0</v>
      </c>
      <c r="N51" s="19"/>
      <c r="O51" s="19"/>
      <c r="P51" s="146"/>
      <c r="Q51" s="189"/>
      <c r="R51" s="189"/>
      <c r="S51" s="189"/>
      <c r="T51" s="189"/>
      <c r="U51" s="189"/>
      <c r="V51" s="189"/>
      <c r="W51" s="182">
        <f>J51</f>
        <v>0</v>
      </c>
      <c r="X51" s="182">
        <f>H51*$K$1</f>
        <v>0</v>
      </c>
    </row>
    <row r="52" spans="1:65" ht="15.75" thickBot="1" x14ac:dyDescent="0.3">
      <c r="A52" s="201"/>
      <c r="B52" s="293">
        <v>4</v>
      </c>
      <c r="C52" s="293">
        <v>0</v>
      </c>
      <c r="D52" s="253">
        <f>'Data Ocupacion'!P36</f>
        <v>4</v>
      </c>
      <c r="E52" s="126">
        <f>'Data Ocupacion'!Q36</f>
        <v>0</v>
      </c>
      <c r="F52" s="125" t="s">
        <v>35</v>
      </c>
      <c r="G52" s="125">
        <f t="shared" si="36"/>
        <v>4</v>
      </c>
      <c r="H52" s="125">
        <f t="shared" si="37"/>
        <v>4</v>
      </c>
      <c r="I52" s="125">
        <f t="shared" si="38"/>
        <v>4</v>
      </c>
      <c r="J52" s="125">
        <f>G52*K$1</f>
        <v>101.6</v>
      </c>
      <c r="K52" s="153">
        <f>I52*K$1</f>
        <v>101.6</v>
      </c>
      <c r="L52" s="125">
        <f t="shared" si="39"/>
        <v>10566.4</v>
      </c>
      <c r="M52" s="125">
        <f t="shared" si="40"/>
        <v>416</v>
      </c>
      <c r="N52" s="19"/>
      <c r="O52" s="19"/>
      <c r="P52" s="146"/>
      <c r="Q52" s="189"/>
      <c r="R52" s="189"/>
      <c r="S52" s="189"/>
      <c r="T52" s="189"/>
      <c r="U52" s="189"/>
      <c r="V52" s="189"/>
      <c r="W52" s="182">
        <f>J52</f>
        <v>101.6</v>
      </c>
      <c r="X52" s="182">
        <f>H52*$K$1</f>
        <v>101.6</v>
      </c>
    </row>
    <row r="53" spans="1:65" ht="18" customHeight="1" thickBot="1" x14ac:dyDescent="0.3">
      <c r="A53" s="20"/>
      <c r="B53" s="119">
        <f>SUM(B47:B52)</f>
        <v>140</v>
      </c>
      <c r="C53" s="119">
        <f>SUM(C47:C52)</f>
        <v>89</v>
      </c>
      <c r="D53" s="152">
        <f>SUM(D47:D52)</f>
        <v>138</v>
      </c>
      <c r="E53" s="152">
        <f>SUM(E47:E52)</f>
        <v>84</v>
      </c>
      <c r="F53" s="119"/>
      <c r="G53" s="119">
        <f t="shared" ref="G53:M53" si="41">SUM(G47:G52)</f>
        <v>306</v>
      </c>
      <c r="H53" s="119">
        <f t="shared" si="41"/>
        <v>318</v>
      </c>
      <c r="I53" s="119">
        <f t="shared" si="41"/>
        <v>222</v>
      </c>
      <c r="J53" s="120">
        <f t="shared" si="41"/>
        <v>12257.62</v>
      </c>
      <c r="K53" s="119">
        <f t="shared" si="41"/>
        <v>8690.7800000000007</v>
      </c>
      <c r="L53" s="118">
        <f t="shared" si="41"/>
        <v>1274792.4799999997</v>
      </c>
      <c r="M53" s="151">
        <f t="shared" si="41"/>
        <v>23088</v>
      </c>
      <c r="N53" s="123">
        <f>'Odometro-Kilometraje'!H88</f>
        <v>12682</v>
      </c>
      <c r="O53" s="21">
        <f>(W53/N53)*100</f>
        <v>95.616543131998114</v>
      </c>
      <c r="P53" s="192"/>
      <c r="Q53" s="181"/>
      <c r="R53" s="181"/>
      <c r="S53" s="181"/>
      <c r="T53" s="181"/>
      <c r="U53" s="181"/>
      <c r="V53" s="181"/>
      <c r="W53" s="193">
        <f>SUM(W47:W52)</f>
        <v>12126.09</v>
      </c>
      <c r="X53" s="193">
        <f>SUM(X47:X52)</f>
        <v>12606.940000000002</v>
      </c>
    </row>
    <row r="54" spans="1:65" x14ac:dyDescent="0.25">
      <c r="A54" s="60">
        <f>A47+1</f>
        <v>46211</v>
      </c>
      <c r="B54" s="293">
        <v>38</v>
      </c>
      <c r="C54" s="293">
        <v>41</v>
      </c>
      <c r="D54" s="126">
        <f>'Data Ocupacion'!R31</f>
        <v>41</v>
      </c>
      <c r="E54" s="126">
        <f>'Data Ocupacion'!S31</f>
        <v>38</v>
      </c>
      <c r="F54" s="125" t="s">
        <v>38</v>
      </c>
      <c r="G54" s="125">
        <f t="shared" ref="G54:G59" si="42">D54+E54*2</f>
        <v>117</v>
      </c>
      <c r="H54" s="125">
        <f t="shared" ref="H54:H59" si="43">B54+C54*2</f>
        <v>120</v>
      </c>
      <c r="I54" s="125">
        <f t="shared" ref="I54:I59" si="44">D54+E54</f>
        <v>79</v>
      </c>
      <c r="J54" s="125">
        <f>G54*M$2</f>
        <v>5046.21</v>
      </c>
      <c r="K54" s="153">
        <f>I54*M$2</f>
        <v>3407.27</v>
      </c>
      <c r="L54" s="125">
        <f t="shared" ref="L54:L59" si="45">J54*104</f>
        <v>524805.84</v>
      </c>
      <c r="M54" s="125">
        <f t="shared" ref="M54:M59" si="46">I54*104</f>
        <v>8216</v>
      </c>
      <c r="N54" s="19"/>
      <c r="O54" s="19"/>
      <c r="P54" s="146"/>
      <c r="Q54" s="183">
        <v>4</v>
      </c>
      <c r="R54" s="183"/>
      <c r="S54" s="205"/>
      <c r="T54" s="183"/>
      <c r="U54" s="191"/>
      <c r="V54" s="227"/>
      <c r="W54" s="182">
        <f>J54-(Q54*($M$2-$K$1))-(R54*($M$2-$M$1))- (S54*($M$2-$I$2))+ (T54*($G$2))</f>
        <v>4975.29</v>
      </c>
      <c r="X54" s="182">
        <f>H54*$M$2</f>
        <v>5175.6000000000004</v>
      </c>
    </row>
    <row r="55" spans="1:65" ht="15" customHeight="1" x14ac:dyDescent="0.25">
      <c r="A55" s="201"/>
      <c r="B55" s="293">
        <v>36</v>
      </c>
      <c r="C55" s="293">
        <v>42</v>
      </c>
      <c r="D55" s="126">
        <f>'Data Ocupacion'!R32</f>
        <v>39</v>
      </c>
      <c r="E55" s="126">
        <f>'Data Ocupacion'!S32</f>
        <v>39</v>
      </c>
      <c r="F55" s="125" t="s">
        <v>52</v>
      </c>
      <c r="G55" s="125">
        <f t="shared" si="42"/>
        <v>117</v>
      </c>
      <c r="H55" s="125">
        <f t="shared" si="43"/>
        <v>120</v>
      </c>
      <c r="I55" s="125">
        <f t="shared" si="44"/>
        <v>78</v>
      </c>
      <c r="J55" s="125">
        <f>G55*M$2</f>
        <v>5046.21</v>
      </c>
      <c r="K55" s="153">
        <f>I55*M$2</f>
        <v>3364.1400000000003</v>
      </c>
      <c r="L55" s="125">
        <f t="shared" si="45"/>
        <v>524805.84</v>
      </c>
      <c r="M55" s="125">
        <f t="shared" si="46"/>
        <v>8112</v>
      </c>
      <c r="N55" s="19"/>
      <c r="O55" s="19"/>
      <c r="P55" s="146"/>
      <c r="Q55" s="186"/>
      <c r="R55" s="186"/>
      <c r="S55" s="186"/>
      <c r="T55" s="202">
        <v>3</v>
      </c>
      <c r="U55" s="184"/>
      <c r="V55" s="228"/>
      <c r="W55" s="185">
        <f>J55-(T55*($M$2-$K$1)+(U55*($M$2-$M$1)))</f>
        <v>4993.0200000000004</v>
      </c>
      <c r="X55" s="182">
        <f>H55*$M$2</f>
        <v>5175.6000000000004</v>
      </c>
    </row>
    <row r="56" spans="1:65" ht="15" customHeight="1" x14ac:dyDescent="0.25">
      <c r="A56" s="201"/>
      <c r="B56" s="293">
        <v>33</v>
      </c>
      <c r="C56" s="293">
        <v>3</v>
      </c>
      <c r="D56" s="126">
        <f>'Data Ocupacion'!R33</f>
        <v>34</v>
      </c>
      <c r="E56" s="126">
        <f>'Data Ocupacion'!S33</f>
        <v>2</v>
      </c>
      <c r="F56" s="125" t="s">
        <v>36</v>
      </c>
      <c r="G56" s="125">
        <f t="shared" si="42"/>
        <v>38</v>
      </c>
      <c r="H56" s="125">
        <f t="shared" si="43"/>
        <v>39</v>
      </c>
      <c r="I56" s="125">
        <f t="shared" si="44"/>
        <v>36</v>
      </c>
      <c r="J56" s="125">
        <f>G56*M$1</f>
        <v>1106.18</v>
      </c>
      <c r="K56" s="153">
        <f>I56*M$1</f>
        <v>1047.96</v>
      </c>
      <c r="L56" s="125">
        <f t="shared" si="45"/>
        <v>115042.72</v>
      </c>
      <c r="M56" s="125">
        <f t="shared" si="46"/>
        <v>3744</v>
      </c>
      <c r="N56" s="19"/>
      <c r="O56" s="19"/>
      <c r="P56" s="146"/>
      <c r="Q56" s="183">
        <v>2</v>
      </c>
      <c r="R56" s="187"/>
      <c r="S56" s="206"/>
      <c r="T56" s="188"/>
      <c r="U56" s="189"/>
      <c r="V56" s="189"/>
      <c r="W56" s="182">
        <f>J56-(Q56*($M$1-$K$1))</f>
        <v>1098.76</v>
      </c>
      <c r="X56" s="182">
        <f>H56*$M$1</f>
        <v>1135.29</v>
      </c>
    </row>
    <row r="57" spans="1:65" ht="15" customHeight="1" x14ac:dyDescent="0.25">
      <c r="A57" s="201"/>
      <c r="B57" s="293">
        <v>29</v>
      </c>
      <c r="C57" s="293">
        <v>3</v>
      </c>
      <c r="D57" s="126">
        <f>'Data Ocupacion'!R34</f>
        <v>30</v>
      </c>
      <c r="E57" s="126">
        <f>'Data Ocupacion'!S34</f>
        <v>2</v>
      </c>
      <c r="F57" s="125" t="s">
        <v>53</v>
      </c>
      <c r="G57" s="125">
        <f t="shared" si="42"/>
        <v>34</v>
      </c>
      <c r="H57" s="125">
        <f t="shared" si="43"/>
        <v>35</v>
      </c>
      <c r="I57" s="125">
        <f t="shared" si="44"/>
        <v>32</v>
      </c>
      <c r="J57" s="125">
        <f>G57*M$1</f>
        <v>989.74</v>
      </c>
      <c r="K57" s="153">
        <f>I57*M$1</f>
        <v>931.52</v>
      </c>
      <c r="L57" s="125">
        <f t="shared" si="45"/>
        <v>102932.96</v>
      </c>
      <c r="M57" s="125">
        <f t="shared" si="46"/>
        <v>3328</v>
      </c>
      <c r="N57" s="19"/>
      <c r="O57" s="19"/>
      <c r="P57" s="146"/>
      <c r="Q57" s="189"/>
      <c r="R57" s="189"/>
      <c r="S57" s="189"/>
      <c r="T57" s="189"/>
      <c r="U57" s="189"/>
      <c r="V57" s="189"/>
      <c r="W57" s="182">
        <f>J57</f>
        <v>989.74</v>
      </c>
      <c r="X57" s="182">
        <f>H57*$M$1</f>
        <v>1018.85</v>
      </c>
      <c r="BM57" t="s">
        <v>120</v>
      </c>
    </row>
    <row r="58" spans="1:65" s="124" customFormat="1" ht="15" customHeight="1" x14ac:dyDescent="0.25">
      <c r="A58" s="201"/>
      <c r="B58" s="293">
        <v>0</v>
      </c>
      <c r="C58" s="293">
        <v>0</v>
      </c>
      <c r="D58" s="126">
        <f>'Data Ocupacion'!R35</f>
        <v>0</v>
      </c>
      <c r="E58" s="126">
        <f>'Data Ocupacion'!S35</f>
        <v>0</v>
      </c>
      <c r="F58" s="125" t="s">
        <v>122</v>
      </c>
      <c r="G58" s="125">
        <f t="shared" si="42"/>
        <v>0</v>
      </c>
      <c r="H58" s="125">
        <f t="shared" si="43"/>
        <v>0</v>
      </c>
      <c r="I58" s="125">
        <f t="shared" si="44"/>
        <v>0</v>
      </c>
      <c r="J58" s="125">
        <f>G58*K$1</f>
        <v>0</v>
      </c>
      <c r="K58" s="153">
        <f>I58*K$1</f>
        <v>0</v>
      </c>
      <c r="L58" s="125">
        <f t="shared" si="45"/>
        <v>0</v>
      </c>
      <c r="M58" s="125">
        <f t="shared" si="46"/>
        <v>0</v>
      </c>
      <c r="N58" s="19"/>
      <c r="O58" s="19"/>
      <c r="P58" s="146"/>
      <c r="Q58" s="189"/>
      <c r="R58" s="189"/>
      <c r="S58" s="189"/>
      <c r="T58" s="189"/>
      <c r="U58" s="189"/>
      <c r="V58" s="189"/>
      <c r="W58" s="182">
        <f>J58</f>
        <v>0</v>
      </c>
      <c r="X58" s="182">
        <f>H58*$K$1</f>
        <v>0</v>
      </c>
    </row>
    <row r="59" spans="1:65" ht="16.149999999999999" customHeight="1" thickBot="1" x14ac:dyDescent="0.3">
      <c r="A59" s="201"/>
      <c r="B59" s="293">
        <v>4</v>
      </c>
      <c r="C59" s="293">
        <v>0</v>
      </c>
      <c r="D59" s="253">
        <f>'Data Ocupacion'!R36</f>
        <v>4</v>
      </c>
      <c r="E59" s="126">
        <f>'Data Ocupacion'!S36</f>
        <v>0</v>
      </c>
      <c r="F59" s="125" t="s">
        <v>35</v>
      </c>
      <c r="G59" s="125">
        <f t="shared" si="42"/>
        <v>4</v>
      </c>
      <c r="H59" s="125">
        <f t="shared" si="43"/>
        <v>4</v>
      </c>
      <c r="I59" s="125">
        <f t="shared" si="44"/>
        <v>4</v>
      </c>
      <c r="J59" s="125">
        <f>G59*K$1</f>
        <v>101.6</v>
      </c>
      <c r="K59" s="153">
        <f>I59*K$1</f>
        <v>101.6</v>
      </c>
      <c r="L59" s="125">
        <f t="shared" si="45"/>
        <v>10566.4</v>
      </c>
      <c r="M59" s="125">
        <f t="shared" si="46"/>
        <v>416</v>
      </c>
      <c r="N59" s="19"/>
      <c r="O59" s="19"/>
      <c r="P59" s="146"/>
      <c r="Q59" s="189"/>
      <c r="R59" s="189"/>
      <c r="S59" s="189"/>
      <c r="T59" s="189"/>
      <c r="U59" s="189"/>
      <c r="V59" s="189"/>
      <c r="W59" s="182">
        <f>J59</f>
        <v>101.6</v>
      </c>
      <c r="X59" s="182">
        <f>H59*$K$1</f>
        <v>101.6</v>
      </c>
    </row>
    <row r="60" spans="1:65" ht="15.75" thickBot="1" x14ac:dyDescent="0.3">
      <c r="A60" s="20"/>
      <c r="B60" s="119">
        <f>SUM(B54:B59)</f>
        <v>140</v>
      </c>
      <c r="C60" s="119">
        <f>SUM(C54:C59)</f>
        <v>89</v>
      </c>
      <c r="D60" s="152">
        <f>SUM(D54:D59)</f>
        <v>148</v>
      </c>
      <c r="E60" s="152">
        <f>SUM(E54:E59)</f>
        <v>81</v>
      </c>
      <c r="F60" s="119"/>
      <c r="G60" s="119">
        <f t="shared" ref="G60:M60" si="47">SUM(G54:G59)</f>
        <v>310</v>
      </c>
      <c r="H60" s="119">
        <f t="shared" si="47"/>
        <v>318</v>
      </c>
      <c r="I60" s="119">
        <f t="shared" si="47"/>
        <v>229</v>
      </c>
      <c r="J60" s="120">
        <f t="shared" si="47"/>
        <v>12289.94</v>
      </c>
      <c r="K60" s="119">
        <f t="shared" si="47"/>
        <v>8852.49</v>
      </c>
      <c r="L60" s="118">
        <f t="shared" si="47"/>
        <v>1278153.7599999998</v>
      </c>
      <c r="M60" s="151">
        <f t="shared" si="47"/>
        <v>23816</v>
      </c>
      <c r="N60" s="123">
        <f>'Odometro-Kilometraje'!I88</f>
        <v>12504</v>
      </c>
      <c r="O60" s="21">
        <f>(W60/N60)*100</f>
        <v>97.236164427383258</v>
      </c>
      <c r="P60" s="192"/>
      <c r="Q60" s="181"/>
      <c r="R60" s="181"/>
      <c r="S60" s="181"/>
      <c r="T60" s="181"/>
      <c r="U60" s="181"/>
      <c r="V60" s="181"/>
      <c r="W60" s="193">
        <f>SUM(W54:W59)</f>
        <v>12158.410000000002</v>
      </c>
      <c r="X60" s="193">
        <f>SUM(X54:X59)</f>
        <v>12606.940000000002</v>
      </c>
    </row>
    <row r="61" spans="1:65" x14ac:dyDescent="0.25">
      <c r="A61" s="60">
        <f>A54+1</f>
        <v>46212</v>
      </c>
      <c r="B61" s="293">
        <v>49</v>
      </c>
      <c r="C61" s="293">
        <v>30</v>
      </c>
      <c r="D61" s="126">
        <f>'Data Ocupacion'!T31</f>
        <v>49</v>
      </c>
      <c r="E61" s="126">
        <f>'Data Ocupacion'!U31</f>
        <v>30</v>
      </c>
      <c r="F61" s="125" t="s">
        <v>38</v>
      </c>
      <c r="G61" s="125">
        <f t="shared" ref="G61:G66" si="48">D61+E61*2</f>
        <v>109</v>
      </c>
      <c r="H61" s="125">
        <f t="shared" ref="H61:H66" si="49">B61+C61*2</f>
        <v>109</v>
      </c>
      <c r="I61" s="125">
        <f t="shared" ref="I61:I66" si="50">D61+E61</f>
        <v>79</v>
      </c>
      <c r="J61" s="125">
        <f>G61*M$2</f>
        <v>4701.17</v>
      </c>
      <c r="K61" s="153">
        <f>I61*M$2</f>
        <v>3407.27</v>
      </c>
      <c r="L61" s="125">
        <f t="shared" ref="L61:L66" si="51">J61*104</f>
        <v>488921.68</v>
      </c>
      <c r="M61" s="125">
        <f t="shared" ref="M61:M66" si="52">I61*104</f>
        <v>8216</v>
      </c>
      <c r="N61" s="19"/>
      <c r="O61" s="19"/>
      <c r="P61" s="146"/>
      <c r="Q61" s="183">
        <v>4</v>
      </c>
      <c r="R61" s="183"/>
      <c r="S61" s="205"/>
      <c r="T61" s="202"/>
      <c r="U61" s="191"/>
      <c r="V61" s="227"/>
      <c r="W61" s="182">
        <f>J61-(Q61*($M$2-$K$1))-(R61*($M$2-$M$1))- (S61*($M$2-$I$2))+ (T61*($G$2))</f>
        <v>4630.25</v>
      </c>
      <c r="X61" s="182">
        <f>H61*$M$2</f>
        <v>4701.17</v>
      </c>
    </row>
    <row r="62" spans="1:65" ht="15" customHeight="1" x14ac:dyDescent="0.25">
      <c r="A62" s="368" t="s">
        <v>185</v>
      </c>
      <c r="B62" s="293">
        <v>47</v>
      </c>
      <c r="C62" s="293">
        <v>31</v>
      </c>
      <c r="D62" s="126">
        <f>'Data Ocupacion'!T32</f>
        <v>47</v>
      </c>
      <c r="E62" s="126">
        <f>'Data Ocupacion'!U32</f>
        <v>31</v>
      </c>
      <c r="F62" s="125" t="s">
        <v>52</v>
      </c>
      <c r="G62" s="125">
        <f t="shared" si="48"/>
        <v>109</v>
      </c>
      <c r="H62" s="125">
        <f t="shared" si="49"/>
        <v>109</v>
      </c>
      <c r="I62" s="125">
        <f t="shared" si="50"/>
        <v>78</v>
      </c>
      <c r="J62" s="125">
        <f>G62*M$2</f>
        <v>4701.17</v>
      </c>
      <c r="K62" s="153">
        <f>I62*M$2</f>
        <v>3364.1400000000003</v>
      </c>
      <c r="L62" s="125">
        <f t="shared" si="51"/>
        <v>488921.68</v>
      </c>
      <c r="M62" s="125">
        <f t="shared" si="52"/>
        <v>8112</v>
      </c>
      <c r="N62" s="19"/>
      <c r="O62" s="19"/>
      <c r="P62" s="146"/>
      <c r="Q62" s="186"/>
      <c r="R62" s="186"/>
      <c r="S62" s="186"/>
      <c r="T62" s="202">
        <v>3</v>
      </c>
      <c r="U62" s="183"/>
      <c r="V62" s="228"/>
      <c r="W62" s="185">
        <f>J62-(T62*($M$2-$K$1)+(U62*($M$2-$M$1)))</f>
        <v>4647.9800000000005</v>
      </c>
      <c r="X62" s="182">
        <f>H62*$M$2</f>
        <v>4701.17</v>
      </c>
      <c r="Y62" s="236"/>
      <c r="AA62" s="124"/>
      <c r="AB62" s="124"/>
    </row>
    <row r="63" spans="1:65" x14ac:dyDescent="0.25">
      <c r="A63" s="368"/>
      <c r="B63" s="293">
        <v>36</v>
      </c>
      <c r="C63" s="293">
        <v>0</v>
      </c>
      <c r="D63" s="126">
        <f>'Data Ocupacion'!T33</f>
        <v>36</v>
      </c>
      <c r="E63" s="126">
        <f>'Data Ocupacion'!U33</f>
        <v>0</v>
      </c>
      <c r="F63" s="125" t="s">
        <v>36</v>
      </c>
      <c r="G63" s="125">
        <f t="shared" si="48"/>
        <v>36</v>
      </c>
      <c r="H63" s="125">
        <f t="shared" si="49"/>
        <v>36</v>
      </c>
      <c r="I63" s="125">
        <f t="shared" si="50"/>
        <v>36</v>
      </c>
      <c r="J63" s="125">
        <f>G63*M$1</f>
        <v>1047.96</v>
      </c>
      <c r="K63" s="153">
        <f>I63*M$1</f>
        <v>1047.96</v>
      </c>
      <c r="L63" s="125">
        <f t="shared" si="51"/>
        <v>108987.84</v>
      </c>
      <c r="M63" s="125">
        <f t="shared" si="52"/>
        <v>3744</v>
      </c>
      <c r="N63" s="19"/>
      <c r="O63" s="19"/>
      <c r="P63" s="146"/>
      <c r="Q63" s="183"/>
      <c r="R63" s="187"/>
      <c r="S63" s="206"/>
      <c r="T63" s="188"/>
      <c r="U63" s="189"/>
      <c r="V63" s="189"/>
      <c r="W63" s="182">
        <f>J63-(Q63*($M$1-$K$1))</f>
        <v>1047.96</v>
      </c>
      <c r="X63" s="182">
        <f>H63*$M$1</f>
        <v>1047.96</v>
      </c>
      <c r="Y63" s="236"/>
    </row>
    <row r="64" spans="1:65" x14ac:dyDescent="0.25">
      <c r="A64" s="368"/>
      <c r="B64" s="293">
        <v>32</v>
      </c>
      <c r="C64" s="293">
        <v>0</v>
      </c>
      <c r="D64" s="126">
        <f>'Data Ocupacion'!T34</f>
        <v>32</v>
      </c>
      <c r="E64" s="126">
        <f>'Data Ocupacion'!U34</f>
        <v>0</v>
      </c>
      <c r="F64" s="125" t="s">
        <v>53</v>
      </c>
      <c r="G64" s="125">
        <f t="shared" si="48"/>
        <v>32</v>
      </c>
      <c r="H64" s="125">
        <f t="shared" si="49"/>
        <v>32</v>
      </c>
      <c r="I64" s="125">
        <f t="shared" si="50"/>
        <v>32</v>
      </c>
      <c r="J64" s="125">
        <f>G64*M$1</f>
        <v>931.52</v>
      </c>
      <c r="K64" s="153">
        <f>I64*M$1</f>
        <v>931.52</v>
      </c>
      <c r="L64" s="125">
        <f t="shared" si="51"/>
        <v>96878.080000000002</v>
      </c>
      <c r="M64" s="125">
        <f t="shared" si="52"/>
        <v>3328</v>
      </c>
      <c r="N64" s="165"/>
      <c r="O64" s="19"/>
      <c r="P64" s="146"/>
      <c r="Q64" s="189"/>
      <c r="R64" s="189"/>
      <c r="S64" s="189"/>
      <c r="T64" s="202"/>
      <c r="U64" s="202">
        <v>1</v>
      </c>
      <c r="V64" s="189"/>
      <c r="W64" s="185">
        <f>J64-(T64*($M$2-$K$1)+(U64*($M$2-$M$1)))</f>
        <v>917.5</v>
      </c>
      <c r="X64" s="182">
        <f>H64*$M$1</f>
        <v>931.52</v>
      </c>
    </row>
    <row r="65" spans="1:27" s="124" customFormat="1" x14ac:dyDescent="0.25">
      <c r="A65" s="368"/>
      <c r="B65" s="293">
        <v>0</v>
      </c>
      <c r="C65" s="293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49"/>
        <v>0</v>
      </c>
      <c r="I65" s="125">
        <f t="shared" si="50"/>
        <v>0</v>
      </c>
      <c r="J65" s="125">
        <f>G65*K$1</f>
        <v>0</v>
      </c>
      <c r="K65" s="153">
        <f>I65*K$1</f>
        <v>0</v>
      </c>
      <c r="L65" s="125">
        <f t="shared" si="51"/>
        <v>0</v>
      </c>
      <c r="M65" s="125">
        <f t="shared" si="52"/>
        <v>0</v>
      </c>
      <c r="N65" s="165"/>
      <c r="O65" s="19"/>
      <c r="P65" s="146"/>
      <c r="Q65" s="189"/>
      <c r="R65" s="189"/>
      <c r="S65" s="189"/>
      <c r="T65" s="189"/>
      <c r="U65" s="189"/>
      <c r="V65" s="189"/>
      <c r="W65" s="182">
        <f>J65</f>
        <v>0</v>
      </c>
      <c r="X65" s="182">
        <f>H65*$K$1</f>
        <v>0</v>
      </c>
    </row>
    <row r="66" spans="1:27" ht="15.75" thickBot="1" x14ac:dyDescent="0.3">
      <c r="A66" s="368"/>
      <c r="B66" s="293">
        <v>4</v>
      </c>
      <c r="C66" s="293">
        <v>0</v>
      </c>
      <c r="D66" s="253">
        <f>'Data Ocupacion'!T36</f>
        <v>4</v>
      </c>
      <c r="E66" s="126">
        <f>'Data Ocupacion'!U36</f>
        <v>0</v>
      </c>
      <c r="F66" s="125" t="s">
        <v>35</v>
      </c>
      <c r="G66" s="125">
        <f t="shared" si="48"/>
        <v>4</v>
      </c>
      <c r="H66" s="125">
        <f t="shared" si="49"/>
        <v>4</v>
      </c>
      <c r="I66" s="125">
        <f t="shared" si="50"/>
        <v>4</v>
      </c>
      <c r="J66" s="125">
        <f>G66*K$1</f>
        <v>101.6</v>
      </c>
      <c r="K66" s="153">
        <f>I66*K$1</f>
        <v>101.6</v>
      </c>
      <c r="L66" s="125">
        <f t="shared" si="51"/>
        <v>10566.4</v>
      </c>
      <c r="M66" s="125">
        <f t="shared" si="52"/>
        <v>416</v>
      </c>
      <c r="N66" s="19"/>
      <c r="O66" s="19"/>
      <c r="P66" s="146"/>
      <c r="Q66" s="189"/>
      <c r="R66" s="189"/>
      <c r="S66" s="189"/>
      <c r="T66" s="189"/>
      <c r="U66" s="189"/>
      <c r="V66" s="189"/>
      <c r="W66" s="182">
        <f>J66</f>
        <v>101.6</v>
      </c>
      <c r="X66" s="182">
        <f>H66*$K$1</f>
        <v>101.6</v>
      </c>
    </row>
    <row r="67" spans="1:27" s="124" customFormat="1" ht="18.75" customHeight="1" thickBot="1" x14ac:dyDescent="0.3">
      <c r="A67" s="20"/>
      <c r="B67" s="119">
        <f>SUM(B61:B66)</f>
        <v>168</v>
      </c>
      <c r="C67" s="119">
        <f>SUM(C61:C66)</f>
        <v>61</v>
      </c>
      <c r="D67" s="152">
        <f>SUM(D61:D66)</f>
        <v>168</v>
      </c>
      <c r="E67" s="152">
        <f>SUM(E61:E66)</f>
        <v>61</v>
      </c>
      <c r="F67" s="119"/>
      <c r="G67" s="119">
        <f t="shared" ref="G67:M67" si="53">SUM(G61:G66)</f>
        <v>290</v>
      </c>
      <c r="H67" s="119">
        <f t="shared" si="53"/>
        <v>290</v>
      </c>
      <c r="I67" s="119">
        <f t="shared" si="53"/>
        <v>229</v>
      </c>
      <c r="J67" s="119">
        <f t="shared" si="53"/>
        <v>11483.42</v>
      </c>
      <c r="K67" s="119">
        <f t="shared" si="53"/>
        <v>8852.49</v>
      </c>
      <c r="L67" s="119">
        <f t="shared" si="53"/>
        <v>1194275.68</v>
      </c>
      <c r="M67" s="119">
        <f t="shared" si="53"/>
        <v>23816</v>
      </c>
      <c r="N67" s="123">
        <f>'Odometro-Kilometraje'!J88</f>
        <v>11725</v>
      </c>
      <c r="O67" s="21">
        <f>(W67/N67)*100</f>
        <v>96.761535181236667</v>
      </c>
      <c r="P67" s="192"/>
      <c r="Q67" s="181"/>
      <c r="R67" s="181"/>
      <c r="S67" s="181"/>
      <c r="T67" s="181"/>
      <c r="U67" s="181"/>
      <c r="V67" s="181"/>
      <c r="W67" s="193">
        <f>SUM(W61:W66)</f>
        <v>11345.289999999999</v>
      </c>
      <c r="X67" s="193">
        <f>SUM(X61:X66)</f>
        <v>11483.42</v>
      </c>
      <c r="Y67" s="237"/>
    </row>
    <row r="68" spans="1:27" s="124" customFormat="1" x14ac:dyDescent="0.25">
      <c r="A68" s="60">
        <f>A61+1</f>
        <v>46213</v>
      </c>
      <c r="B68" s="293">
        <v>49</v>
      </c>
      <c r="C68" s="293">
        <v>30</v>
      </c>
      <c r="D68" s="126">
        <f>'Data Ocupacion'!V31</f>
        <v>49</v>
      </c>
      <c r="E68" s="126">
        <f>'Data Ocupacion'!W31</f>
        <v>30</v>
      </c>
      <c r="F68" s="125" t="s">
        <v>38</v>
      </c>
      <c r="G68" s="125">
        <f t="shared" ref="G68:G73" si="54">D68+E68*2</f>
        <v>109</v>
      </c>
      <c r="H68" s="125">
        <f t="shared" ref="H68:H73" si="55">B68+C68*2</f>
        <v>109</v>
      </c>
      <c r="I68" s="125">
        <f t="shared" ref="I68:I73" si="56">D68+E68</f>
        <v>79</v>
      </c>
      <c r="J68" s="125">
        <f>G68*M$2</f>
        <v>4701.17</v>
      </c>
      <c r="K68" s="153">
        <f>I68*M$2</f>
        <v>3407.27</v>
      </c>
      <c r="L68" s="125">
        <f t="shared" ref="L68:L73" si="57">J68*104</f>
        <v>488921.68</v>
      </c>
      <c r="M68" s="125">
        <f t="shared" ref="M68:M73" si="58">I68*104</f>
        <v>8216</v>
      </c>
      <c r="N68" s="19"/>
      <c r="O68" s="19"/>
      <c r="P68" s="146"/>
      <c r="Q68" s="183">
        <v>3</v>
      </c>
      <c r="R68" s="183"/>
      <c r="S68" s="205"/>
      <c r="T68" s="283"/>
      <c r="U68" s="191"/>
      <c r="V68" s="227"/>
      <c r="W68" s="182">
        <f>J68-(Q68*($M$2-$K$1))-(R68*($M$2-$M$1))- (S68*($M$2-$I$2))+ (T68*($G$2))</f>
        <v>4647.9800000000005</v>
      </c>
      <c r="X68" s="182">
        <f>H68*$M$2</f>
        <v>4701.17</v>
      </c>
    </row>
    <row r="69" spans="1:27" ht="14.45" customHeight="1" x14ac:dyDescent="0.25">
      <c r="A69" s="252"/>
      <c r="B69" s="293">
        <v>47</v>
      </c>
      <c r="C69" s="293">
        <v>31</v>
      </c>
      <c r="D69" s="126">
        <f>'Data Ocupacion'!V32</f>
        <v>47</v>
      </c>
      <c r="E69" s="126">
        <f>'Data Ocupacion'!W32</f>
        <v>31</v>
      </c>
      <c r="F69" s="125" t="s">
        <v>52</v>
      </c>
      <c r="G69" s="125">
        <f t="shared" si="54"/>
        <v>109</v>
      </c>
      <c r="H69" s="125">
        <f t="shared" si="55"/>
        <v>109</v>
      </c>
      <c r="I69" s="125">
        <f t="shared" si="56"/>
        <v>78</v>
      </c>
      <c r="J69" s="125">
        <f>G69*M$2</f>
        <v>4701.17</v>
      </c>
      <c r="K69" s="153">
        <f>I69*M$2</f>
        <v>3364.1400000000003</v>
      </c>
      <c r="L69" s="125">
        <f t="shared" si="57"/>
        <v>488921.68</v>
      </c>
      <c r="M69" s="125">
        <f t="shared" si="58"/>
        <v>8112</v>
      </c>
      <c r="N69" s="19"/>
      <c r="O69" s="19"/>
      <c r="P69" s="146"/>
      <c r="Q69" s="186"/>
      <c r="R69" s="186"/>
      <c r="S69" s="216"/>
      <c r="T69" s="183">
        <v>3</v>
      </c>
      <c r="U69" s="216"/>
      <c r="V69" s="228"/>
      <c r="W69" s="185">
        <f>J69-(T69*($M$2-$K$1)+(U69*($M$2-$M$1))+(V69*($U$2)))</f>
        <v>4647.9800000000005</v>
      </c>
      <c r="X69" s="182">
        <f>H69*$M$2</f>
        <v>4701.17</v>
      </c>
    </row>
    <row r="70" spans="1:27" ht="15" customHeight="1" x14ac:dyDescent="0.25">
      <c r="A70" s="252"/>
      <c r="B70" s="293">
        <v>36</v>
      </c>
      <c r="C70" s="293">
        <v>0</v>
      </c>
      <c r="D70" s="126">
        <f>'Data Ocupacion'!V33</f>
        <v>36</v>
      </c>
      <c r="E70" s="126">
        <f>'Data Ocupacion'!W33</f>
        <v>0</v>
      </c>
      <c r="F70" s="125" t="s">
        <v>36</v>
      </c>
      <c r="G70" s="125">
        <f t="shared" si="54"/>
        <v>36</v>
      </c>
      <c r="H70" s="125">
        <f t="shared" si="55"/>
        <v>36</v>
      </c>
      <c r="I70" s="125">
        <f t="shared" si="56"/>
        <v>36</v>
      </c>
      <c r="J70" s="125">
        <f>G70*M$1</f>
        <v>1047.96</v>
      </c>
      <c r="K70" s="153">
        <f>I70*M$1</f>
        <v>1047.96</v>
      </c>
      <c r="L70" s="125">
        <f t="shared" si="57"/>
        <v>108987.84</v>
      </c>
      <c r="M70" s="125">
        <f t="shared" si="58"/>
        <v>3744</v>
      </c>
      <c r="N70" s="19"/>
      <c r="O70" s="19"/>
      <c r="P70" s="146"/>
      <c r="Q70" s="243"/>
      <c r="R70" s="190"/>
      <c r="S70" s="227"/>
      <c r="T70" s="186"/>
      <c r="U70" s="189"/>
      <c r="V70" s="189"/>
      <c r="W70" s="182">
        <f>J70-(Q70*($M$1-$K$1))</f>
        <v>1047.96</v>
      </c>
      <c r="X70" s="182">
        <f>H70*$M$1</f>
        <v>1047.96</v>
      </c>
    </row>
    <row r="71" spans="1:27" ht="15" customHeight="1" x14ac:dyDescent="0.25">
      <c r="A71" s="252"/>
      <c r="B71" s="293">
        <v>32</v>
      </c>
      <c r="C71" s="293">
        <v>0</v>
      </c>
      <c r="D71" s="126">
        <f>'Data Ocupacion'!V34</f>
        <v>32</v>
      </c>
      <c r="E71" s="126">
        <f>'Data Ocupacion'!W34</f>
        <v>0</v>
      </c>
      <c r="F71" s="125" t="s">
        <v>53</v>
      </c>
      <c r="G71" s="125">
        <f t="shared" si="54"/>
        <v>32</v>
      </c>
      <c r="H71" s="125">
        <f t="shared" si="55"/>
        <v>32</v>
      </c>
      <c r="I71" s="125">
        <f t="shared" si="56"/>
        <v>32</v>
      </c>
      <c r="J71" s="125">
        <f>G71*M$1</f>
        <v>931.52</v>
      </c>
      <c r="K71" s="153">
        <f>I71*M$1</f>
        <v>931.52</v>
      </c>
      <c r="L71" s="125">
        <f t="shared" si="57"/>
        <v>96878.080000000002</v>
      </c>
      <c r="M71" s="125">
        <f t="shared" si="58"/>
        <v>3328</v>
      </c>
      <c r="N71" s="19"/>
      <c r="O71" s="19"/>
      <c r="P71" s="146"/>
      <c r="Q71" s="189"/>
      <c r="R71" s="189"/>
      <c r="S71" s="189"/>
      <c r="T71" s="189"/>
      <c r="U71" s="189"/>
      <c r="V71" s="189"/>
      <c r="W71" s="182">
        <f>J71</f>
        <v>931.52</v>
      </c>
      <c r="X71" s="182">
        <f>H71*$M$1</f>
        <v>931.52</v>
      </c>
    </row>
    <row r="72" spans="1:27" ht="15" customHeight="1" x14ac:dyDescent="0.25">
      <c r="A72" s="252"/>
      <c r="B72" s="293">
        <v>0</v>
      </c>
      <c r="C72" s="293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5"/>
        <v>0</v>
      </c>
      <c r="I72" s="125">
        <f t="shared" si="56"/>
        <v>0</v>
      </c>
      <c r="J72" s="125">
        <f>G72*K$1</f>
        <v>0</v>
      </c>
      <c r="K72" s="153">
        <f>I72*K$1</f>
        <v>0</v>
      </c>
      <c r="L72" s="125">
        <f t="shared" si="57"/>
        <v>0</v>
      </c>
      <c r="M72" s="125">
        <f t="shared" si="58"/>
        <v>0</v>
      </c>
      <c r="N72" s="19"/>
      <c r="O72" s="19"/>
      <c r="P72" s="146"/>
      <c r="Q72" s="189"/>
      <c r="R72" s="189"/>
      <c r="S72" s="189"/>
      <c r="T72" s="189"/>
      <c r="U72" s="189"/>
      <c r="V72" s="189"/>
      <c r="W72" s="182">
        <f>J72</f>
        <v>0</v>
      </c>
      <c r="X72" s="182">
        <f>H72*$K$1</f>
        <v>0</v>
      </c>
    </row>
    <row r="73" spans="1:27" ht="14.25" customHeight="1" thickBot="1" x14ac:dyDescent="0.3">
      <c r="A73" s="252"/>
      <c r="B73" s="293">
        <v>4</v>
      </c>
      <c r="C73" s="293">
        <v>0</v>
      </c>
      <c r="D73" s="253">
        <f>'Data Ocupacion'!V36</f>
        <v>4</v>
      </c>
      <c r="E73" s="126">
        <f>'Data Ocupacion'!W36</f>
        <v>0</v>
      </c>
      <c r="F73" s="125" t="s">
        <v>35</v>
      </c>
      <c r="G73" s="125">
        <f t="shared" si="54"/>
        <v>4</v>
      </c>
      <c r="H73" s="125">
        <f t="shared" si="55"/>
        <v>4</v>
      </c>
      <c r="I73" s="125">
        <f t="shared" si="56"/>
        <v>4</v>
      </c>
      <c r="J73" s="125">
        <f>G73*K$1</f>
        <v>101.6</v>
      </c>
      <c r="K73" s="153">
        <f>I73*K$1</f>
        <v>101.6</v>
      </c>
      <c r="L73" s="125">
        <f t="shared" si="57"/>
        <v>10566.4</v>
      </c>
      <c r="M73" s="125">
        <f t="shared" si="58"/>
        <v>416</v>
      </c>
      <c r="N73" s="19"/>
      <c r="O73" s="19"/>
      <c r="P73" s="146"/>
      <c r="Q73" s="189"/>
      <c r="R73" s="189"/>
      <c r="S73" s="189"/>
      <c r="T73" s="189"/>
      <c r="U73" s="189"/>
      <c r="V73" s="189"/>
      <c r="W73" s="182">
        <f>J73</f>
        <v>101.6</v>
      </c>
      <c r="X73" s="182">
        <f>H73*$K$1</f>
        <v>101.6</v>
      </c>
      <c r="Y73" s="254"/>
      <c r="Z73" s="254"/>
      <c r="AA73" s="254"/>
    </row>
    <row r="74" spans="1:27" s="124" customFormat="1" ht="15.75" thickBot="1" x14ac:dyDescent="0.3">
      <c r="A74" s="20"/>
      <c r="B74" s="119">
        <f>SUM(B68:B73)</f>
        <v>168</v>
      </c>
      <c r="C74" s="119">
        <f>SUM(C68:C73)</f>
        <v>61</v>
      </c>
      <c r="D74" s="152">
        <f>SUM(D68:D73)</f>
        <v>168</v>
      </c>
      <c r="E74" s="152">
        <f>SUM(E68:E73)</f>
        <v>61</v>
      </c>
      <c r="F74" s="119"/>
      <c r="G74" s="119">
        <f t="shared" ref="G74:M74" si="59">SUM(G68:G73)</f>
        <v>290</v>
      </c>
      <c r="H74" s="119">
        <f t="shared" si="59"/>
        <v>290</v>
      </c>
      <c r="I74" s="119">
        <f t="shared" si="59"/>
        <v>229</v>
      </c>
      <c r="J74" s="119">
        <f t="shared" si="59"/>
        <v>11483.42</v>
      </c>
      <c r="K74" s="119">
        <f t="shared" si="59"/>
        <v>8852.49</v>
      </c>
      <c r="L74" s="119">
        <f t="shared" si="59"/>
        <v>1194275.68</v>
      </c>
      <c r="M74" s="119">
        <f t="shared" si="59"/>
        <v>23816</v>
      </c>
      <c r="N74" s="180">
        <f>'Odometro-Kilometraje'!K88</f>
        <v>11801</v>
      </c>
      <c r="O74" s="21">
        <f>(W74/N74)*100</f>
        <v>96.407423099737329</v>
      </c>
      <c r="P74" s="192"/>
      <c r="Q74" s="181"/>
      <c r="R74" s="181"/>
      <c r="S74" s="181"/>
      <c r="T74" s="181"/>
      <c r="U74" s="181"/>
      <c r="V74" s="181"/>
      <c r="W74" s="193">
        <f>SUM(W68:W73)</f>
        <v>11377.040000000003</v>
      </c>
      <c r="X74" s="193">
        <f>SUM(X68:X73)</f>
        <v>11483.42</v>
      </c>
      <c r="Y74" s="254"/>
      <c r="Z74" s="254"/>
      <c r="AA74" s="254"/>
    </row>
    <row r="75" spans="1:27" x14ac:dyDescent="0.25">
      <c r="A75" s="60">
        <f>A68+1</f>
        <v>46214</v>
      </c>
      <c r="B75" s="116">
        <v>69</v>
      </c>
      <c r="C75" s="116">
        <v>3</v>
      </c>
      <c r="D75" s="147">
        <f>'Data Ocupacion'!X31</f>
        <v>69</v>
      </c>
      <c r="E75" s="147">
        <f>'Data Ocupacion'!Y31</f>
        <v>3</v>
      </c>
      <c r="F75" s="116" t="s">
        <v>38</v>
      </c>
      <c r="G75" s="116">
        <f t="shared" ref="G75:G80" si="60">D75+E75*2</f>
        <v>75</v>
      </c>
      <c r="H75" s="116">
        <f t="shared" ref="H75:H80" si="61">B75+C75*2</f>
        <v>75</v>
      </c>
      <c r="I75" s="116">
        <f t="shared" ref="I75:I80" si="62">D75+E75</f>
        <v>72</v>
      </c>
      <c r="J75" s="116">
        <f>G75*M$2</f>
        <v>3234.75</v>
      </c>
      <c r="K75" s="153">
        <f>I75*M$2</f>
        <v>3105.36</v>
      </c>
      <c r="L75" s="116">
        <f t="shared" ref="L75:L80" si="63">J75*104</f>
        <v>336414</v>
      </c>
      <c r="M75" s="116">
        <f t="shared" ref="M75:M80" si="64">I75*104</f>
        <v>7488</v>
      </c>
      <c r="N75" s="19"/>
      <c r="O75" s="19"/>
      <c r="P75" s="146"/>
      <c r="Q75" s="183"/>
      <c r="R75" s="183"/>
      <c r="S75" s="205"/>
      <c r="T75" s="283"/>
      <c r="U75" s="191"/>
      <c r="V75" s="227"/>
      <c r="W75" s="182">
        <f>J75-(Q75*($M$2-$K$1))-(R75*($M$2-$M$1))- (S75*($M$2-$I$2))+ (T75*($G$2))</f>
        <v>3234.75</v>
      </c>
      <c r="X75" s="182">
        <f>H75*$M$2</f>
        <v>3234.75</v>
      </c>
      <c r="Y75" s="254"/>
      <c r="Z75" s="254"/>
      <c r="AA75" s="254"/>
    </row>
    <row r="76" spans="1:27" ht="15" customHeight="1" x14ac:dyDescent="0.25">
      <c r="A76" s="274"/>
      <c r="B76" s="116">
        <v>75</v>
      </c>
      <c r="C76" s="116">
        <v>0</v>
      </c>
      <c r="D76" s="147">
        <f>'Data Ocupacion'!X32</f>
        <v>75</v>
      </c>
      <c r="E76" s="147">
        <f>'Data Ocupacion'!Y32</f>
        <v>0</v>
      </c>
      <c r="F76" s="116" t="s">
        <v>52</v>
      </c>
      <c r="G76" s="116">
        <f t="shared" si="60"/>
        <v>75</v>
      </c>
      <c r="H76" s="116">
        <f t="shared" si="61"/>
        <v>75</v>
      </c>
      <c r="I76" s="116">
        <f t="shared" si="62"/>
        <v>75</v>
      </c>
      <c r="J76" s="116">
        <f>G76*M$2</f>
        <v>3234.75</v>
      </c>
      <c r="K76" s="153">
        <f>I76*M$2</f>
        <v>3234.75</v>
      </c>
      <c r="L76" s="116">
        <f t="shared" si="63"/>
        <v>336414</v>
      </c>
      <c r="M76" s="116">
        <f t="shared" si="64"/>
        <v>7800</v>
      </c>
      <c r="N76" s="19"/>
      <c r="O76" s="19"/>
      <c r="P76" s="146"/>
      <c r="Q76" s="186"/>
      <c r="R76" s="186"/>
      <c r="S76" s="216"/>
      <c r="T76" s="183"/>
      <c r="U76" s="216"/>
      <c r="V76" s="228"/>
      <c r="W76" s="185">
        <f>J76-(T76*($M$2-$K$1)+(U76*($M$2-$M$1)))</f>
        <v>3234.75</v>
      </c>
      <c r="X76" s="182">
        <f>H76*$M$2</f>
        <v>3234.75</v>
      </c>
      <c r="Y76" s="254"/>
      <c r="Z76" s="254"/>
      <c r="AA76" s="254"/>
    </row>
    <row r="77" spans="1:27" ht="15" customHeight="1" x14ac:dyDescent="0.25">
      <c r="A77" s="252"/>
      <c r="B77" s="116">
        <v>0</v>
      </c>
      <c r="C77" s="116">
        <v>0</v>
      </c>
      <c r="D77" s="147">
        <f>'Data Ocupacion'!X33</f>
        <v>0</v>
      </c>
      <c r="E77" s="147">
        <f>'Data Ocupacion'!Y33</f>
        <v>0</v>
      </c>
      <c r="F77" s="116" t="s">
        <v>36</v>
      </c>
      <c r="G77" s="116">
        <f t="shared" si="60"/>
        <v>0</v>
      </c>
      <c r="H77" s="116">
        <f t="shared" si="61"/>
        <v>0</v>
      </c>
      <c r="I77" s="116">
        <f t="shared" si="62"/>
        <v>0</v>
      </c>
      <c r="J77" s="116">
        <f>G77*M$1</f>
        <v>0</v>
      </c>
      <c r="K77" s="153">
        <f>I77*M$1</f>
        <v>0</v>
      </c>
      <c r="L77" s="116">
        <f t="shared" si="63"/>
        <v>0</v>
      </c>
      <c r="M77" s="116">
        <f t="shared" si="64"/>
        <v>0</v>
      </c>
      <c r="N77" s="19"/>
      <c r="O77" s="19" t="s">
        <v>144</v>
      </c>
      <c r="P77" s="146"/>
      <c r="Q77" s="183"/>
      <c r="R77" s="190"/>
      <c r="S77" s="227"/>
      <c r="T77" s="186"/>
      <c r="U77" s="189"/>
      <c r="V77" s="189"/>
      <c r="W77" s="182">
        <f>J77-(Q77*($M$1-$K$1))</f>
        <v>0</v>
      </c>
      <c r="X77" s="182">
        <f>H77*$M$1</f>
        <v>0</v>
      </c>
      <c r="Y77" s="254"/>
      <c r="Z77" s="254"/>
      <c r="AA77" s="254"/>
    </row>
    <row r="78" spans="1:27" ht="13.5" customHeight="1" x14ac:dyDescent="0.25">
      <c r="A78" s="252"/>
      <c r="B78" s="116">
        <v>0</v>
      </c>
      <c r="C78" s="116">
        <v>0</v>
      </c>
      <c r="D78" s="147">
        <f>'Data Ocupacion'!X34</f>
        <v>0</v>
      </c>
      <c r="E78" s="147">
        <f>'Data Ocupacion'!Y34</f>
        <v>0</v>
      </c>
      <c r="F78" s="116" t="s">
        <v>53</v>
      </c>
      <c r="G78" s="116">
        <f t="shared" si="60"/>
        <v>0</v>
      </c>
      <c r="H78" s="116">
        <f t="shared" si="61"/>
        <v>0</v>
      </c>
      <c r="I78" s="116">
        <f t="shared" si="62"/>
        <v>0</v>
      </c>
      <c r="J78" s="116">
        <f>G78*M$1</f>
        <v>0</v>
      </c>
      <c r="K78" s="153">
        <f>I78*M$1</f>
        <v>0</v>
      </c>
      <c r="L78" s="116">
        <f t="shared" si="63"/>
        <v>0</v>
      </c>
      <c r="M78" s="116">
        <f t="shared" si="64"/>
        <v>0</v>
      </c>
      <c r="N78" s="19"/>
      <c r="O78" s="19" t="s">
        <v>144</v>
      </c>
      <c r="P78" s="146"/>
      <c r="Q78" s="189"/>
      <c r="R78" s="189"/>
      <c r="S78" s="189"/>
      <c r="T78" s="189"/>
      <c r="U78" s="189"/>
      <c r="V78" s="189"/>
      <c r="W78" s="182">
        <f>J78</f>
        <v>0</v>
      </c>
      <c r="X78" s="182">
        <f>H78*$M$1</f>
        <v>0</v>
      </c>
      <c r="Y78" s="254"/>
      <c r="Z78" s="254"/>
      <c r="AA78" s="254"/>
    </row>
    <row r="79" spans="1:27" s="124" customFormat="1" ht="13.5" customHeight="1" x14ac:dyDescent="0.25">
      <c r="A79" s="252"/>
      <c r="B79" s="116">
        <v>0</v>
      </c>
      <c r="C79" s="116">
        <v>0</v>
      </c>
      <c r="D79" s="147">
        <f>'Data Ocupacion'!X35</f>
        <v>0</v>
      </c>
      <c r="E79" s="147">
        <f>'Data Ocupacion'!Y35</f>
        <v>0</v>
      </c>
      <c r="F79" s="116" t="s">
        <v>122</v>
      </c>
      <c r="G79" s="116">
        <f t="shared" si="60"/>
        <v>0</v>
      </c>
      <c r="H79" s="116">
        <f t="shared" si="61"/>
        <v>0</v>
      </c>
      <c r="I79" s="116">
        <f t="shared" si="62"/>
        <v>0</v>
      </c>
      <c r="J79" s="116">
        <f>G79*K$1</f>
        <v>0</v>
      </c>
      <c r="K79" s="153">
        <f>I79*K$1</f>
        <v>0</v>
      </c>
      <c r="L79" s="116">
        <f t="shared" si="63"/>
        <v>0</v>
      </c>
      <c r="M79" s="116">
        <f t="shared" si="64"/>
        <v>0</v>
      </c>
      <c r="N79" s="19"/>
      <c r="O79" s="19"/>
      <c r="P79" s="146"/>
      <c r="Q79" s="189"/>
      <c r="R79" s="189"/>
      <c r="S79" s="189"/>
      <c r="T79" s="189"/>
      <c r="U79" s="189"/>
      <c r="V79" s="189"/>
      <c r="W79" s="182">
        <f>J79</f>
        <v>0</v>
      </c>
      <c r="X79" s="182">
        <f>H79*$K$1</f>
        <v>0</v>
      </c>
      <c r="Y79" s="254"/>
      <c r="Z79" s="254"/>
      <c r="AA79" s="254"/>
    </row>
    <row r="80" spans="1:27" s="124" customFormat="1" ht="15" customHeight="1" thickBot="1" x14ac:dyDescent="0.3">
      <c r="A80" s="252"/>
      <c r="B80" s="116">
        <v>0</v>
      </c>
      <c r="C80" s="116">
        <v>0</v>
      </c>
      <c r="D80" s="334">
        <f>'Data Ocupacion'!X36</f>
        <v>0</v>
      </c>
      <c r="E80" s="147">
        <f>'Data Ocupacion'!Y36</f>
        <v>0</v>
      </c>
      <c r="F80" s="116" t="s">
        <v>35</v>
      </c>
      <c r="G80" s="116">
        <f t="shared" si="60"/>
        <v>0</v>
      </c>
      <c r="H80" s="116">
        <f t="shared" si="61"/>
        <v>0</v>
      </c>
      <c r="I80" s="116">
        <f t="shared" si="62"/>
        <v>0</v>
      </c>
      <c r="J80" s="116">
        <f>G80*K$1</f>
        <v>0</v>
      </c>
      <c r="K80" s="153">
        <f>I80*K$1</f>
        <v>0</v>
      </c>
      <c r="L80" s="116">
        <f t="shared" si="63"/>
        <v>0</v>
      </c>
      <c r="M80" s="116">
        <f t="shared" si="64"/>
        <v>0</v>
      </c>
      <c r="N80" s="19"/>
      <c r="O80" s="19"/>
      <c r="P80" s="146"/>
      <c r="Q80" s="189"/>
      <c r="R80" s="189"/>
      <c r="S80" s="189"/>
      <c r="T80" s="189"/>
      <c r="U80" s="189"/>
      <c r="V80" s="189"/>
      <c r="W80" s="182">
        <f>J80</f>
        <v>0</v>
      </c>
      <c r="X80" s="182">
        <f>H80*$K$1</f>
        <v>0</v>
      </c>
      <c r="Y80" s="254"/>
      <c r="Z80" s="254"/>
      <c r="AA80" s="254"/>
    </row>
    <row r="81" spans="1:30" ht="15" customHeight="1" thickBot="1" x14ac:dyDescent="0.3">
      <c r="A81" s="20"/>
      <c r="B81" s="119">
        <f>SUM(B75:B80)</f>
        <v>144</v>
      </c>
      <c r="C81" s="119">
        <f>SUM(C75:C80)</f>
        <v>3</v>
      </c>
      <c r="D81" s="152">
        <f>SUM(D75:D80)</f>
        <v>144</v>
      </c>
      <c r="E81" s="152">
        <f>SUM(E75:E80)</f>
        <v>3</v>
      </c>
      <c r="F81" s="119"/>
      <c r="G81" s="119">
        <f t="shared" ref="G81:M81" si="65">SUM(G75:G80)</f>
        <v>150</v>
      </c>
      <c r="H81" s="119">
        <f t="shared" si="65"/>
        <v>150</v>
      </c>
      <c r="I81" s="119">
        <f t="shared" si="65"/>
        <v>147</v>
      </c>
      <c r="J81" s="120">
        <f t="shared" si="65"/>
        <v>6469.5</v>
      </c>
      <c r="K81" s="119">
        <f t="shared" si="65"/>
        <v>6340.1100000000006</v>
      </c>
      <c r="L81" s="118">
        <f t="shared" si="65"/>
        <v>672828</v>
      </c>
      <c r="M81" s="151">
        <f t="shared" si="65"/>
        <v>15288</v>
      </c>
      <c r="N81" s="123">
        <f>'Odometro-Kilometraje'!L88</f>
        <v>6510</v>
      </c>
      <c r="O81" s="21">
        <f>(W81/N81)*100</f>
        <v>99.377880184331801</v>
      </c>
      <c r="P81" s="192"/>
      <c r="Q81" s="181"/>
      <c r="R81" s="181"/>
      <c r="S81" s="181"/>
      <c r="T81" s="181"/>
      <c r="U81" s="181"/>
      <c r="V81" s="181"/>
      <c r="W81" s="193">
        <f>SUM(W75:W80)</f>
        <v>6469.5</v>
      </c>
      <c r="X81" s="193">
        <f>SUM(X75:X80)</f>
        <v>6469.5</v>
      </c>
      <c r="Y81" s="254"/>
      <c r="Z81" s="254"/>
      <c r="AA81" s="254"/>
      <c r="AD81" s="172"/>
    </row>
    <row r="82" spans="1:30" ht="16.149999999999999" customHeight="1" x14ac:dyDescent="0.25">
      <c r="A82" s="60">
        <f>A75+1</f>
        <v>46215</v>
      </c>
      <c r="B82" s="217">
        <v>51</v>
      </c>
      <c r="C82" s="217">
        <v>3</v>
      </c>
      <c r="D82" s="138">
        <f>'Data Ocupacion'!Z31</f>
        <v>51</v>
      </c>
      <c r="E82" s="138">
        <f>'Data Ocupacion'!AA31</f>
        <v>3</v>
      </c>
      <c r="F82" s="217" t="s">
        <v>38</v>
      </c>
      <c r="G82" s="217">
        <f t="shared" ref="G82:G87" si="66">D82+E82*2</f>
        <v>57</v>
      </c>
      <c r="H82" s="217">
        <f t="shared" ref="H82:H87" si="67">B82+C82*2</f>
        <v>57</v>
      </c>
      <c r="I82" s="217">
        <f t="shared" ref="I82:I87" si="68">D82+E82</f>
        <v>54</v>
      </c>
      <c r="J82" s="217">
        <f>G82*M$2</f>
        <v>2458.4100000000003</v>
      </c>
      <c r="K82" s="153">
        <f>I82*M$2</f>
        <v>2329.02</v>
      </c>
      <c r="L82" s="217">
        <f t="shared" ref="L82:L87" si="69">J82*104</f>
        <v>255674.64000000004</v>
      </c>
      <c r="M82" s="217">
        <f t="shared" ref="M82:M87" si="70">I82*104</f>
        <v>5616</v>
      </c>
      <c r="N82" s="19"/>
      <c r="O82" s="19"/>
      <c r="P82" s="146"/>
      <c r="Q82" s="243"/>
      <c r="R82" s="183"/>
      <c r="S82" s="205"/>
      <c r="T82" s="283"/>
      <c r="U82" s="191"/>
      <c r="V82" s="227"/>
      <c r="W82" s="182">
        <f>J82-(Q82*($M$2-$K$1))-(R82*($M$2-$M$1))- (S82*($M$2-$I$2))+ (T82*($G$2))</f>
        <v>2458.4100000000003</v>
      </c>
      <c r="X82" s="182">
        <f>H82*$M$2</f>
        <v>2458.4100000000003</v>
      </c>
      <c r="Y82" s="254"/>
      <c r="Z82" s="254"/>
      <c r="AA82" s="254"/>
    </row>
    <row r="83" spans="1:30" ht="15" customHeight="1" x14ac:dyDescent="0.25">
      <c r="A83" s="201"/>
      <c r="B83" s="217">
        <v>57</v>
      </c>
      <c r="C83" s="217">
        <v>0</v>
      </c>
      <c r="D83" s="138">
        <f>'Data Ocupacion'!Z32</f>
        <v>57</v>
      </c>
      <c r="E83" s="138">
        <f>'Data Ocupacion'!AA32</f>
        <v>0</v>
      </c>
      <c r="F83" s="217" t="s">
        <v>52</v>
      </c>
      <c r="G83" s="217">
        <f t="shared" si="66"/>
        <v>57</v>
      </c>
      <c r="H83" s="217">
        <f t="shared" si="67"/>
        <v>57</v>
      </c>
      <c r="I83" s="217">
        <f t="shared" si="68"/>
        <v>57</v>
      </c>
      <c r="J83" s="217">
        <f>G83*M$2</f>
        <v>2458.4100000000003</v>
      </c>
      <c r="K83" s="153">
        <f>I83*M$2</f>
        <v>2458.4100000000003</v>
      </c>
      <c r="L83" s="217">
        <f t="shared" si="69"/>
        <v>255674.64000000004</v>
      </c>
      <c r="M83" s="217">
        <f t="shared" si="70"/>
        <v>5928</v>
      </c>
      <c r="N83" s="19"/>
      <c r="O83" s="19"/>
      <c r="P83" s="146"/>
      <c r="Q83" s="186"/>
      <c r="R83" s="186"/>
      <c r="S83" s="216"/>
      <c r="T83" s="183"/>
      <c r="U83" s="216"/>
      <c r="V83" s="205"/>
      <c r="W83" s="185">
        <f>J83-(T83*($M$2-$K$1)+(U83*($M$2-$M$1)))</f>
        <v>2458.4100000000003</v>
      </c>
      <c r="X83" s="182">
        <f>H83*$M$2</f>
        <v>2458.4100000000003</v>
      </c>
      <c r="Y83" s="254"/>
      <c r="Z83" s="254"/>
      <c r="AA83" s="254"/>
    </row>
    <row r="84" spans="1:30" ht="15" customHeight="1" x14ac:dyDescent="0.25">
      <c r="A84" s="201"/>
      <c r="B84" s="217">
        <v>0</v>
      </c>
      <c r="C84" s="217">
        <v>0</v>
      </c>
      <c r="D84" s="138">
        <f>'Data Ocupacion'!Z33</f>
        <v>0</v>
      </c>
      <c r="E84" s="138">
        <f>'Data Ocupacion'!AA33</f>
        <v>0</v>
      </c>
      <c r="F84" s="217" t="s">
        <v>36</v>
      </c>
      <c r="G84" s="217">
        <f t="shared" si="66"/>
        <v>0</v>
      </c>
      <c r="H84" s="217">
        <f t="shared" si="67"/>
        <v>0</v>
      </c>
      <c r="I84" s="217">
        <f t="shared" si="68"/>
        <v>0</v>
      </c>
      <c r="J84" s="217">
        <f>G84*M$1</f>
        <v>0</v>
      </c>
      <c r="K84" s="153">
        <f>I84*M$1</f>
        <v>0</v>
      </c>
      <c r="L84" s="217">
        <f t="shared" si="69"/>
        <v>0</v>
      </c>
      <c r="M84" s="217">
        <f t="shared" si="70"/>
        <v>0</v>
      </c>
      <c r="N84" s="19"/>
      <c r="O84" s="19"/>
      <c r="P84" s="146"/>
      <c r="Q84" s="243"/>
      <c r="R84" s="243"/>
      <c r="S84" s="227"/>
      <c r="T84" s="186"/>
      <c r="U84" s="189"/>
      <c r="V84" s="189"/>
      <c r="W84" s="182">
        <f>J84-(Q84*($M$1-$K$1))</f>
        <v>0</v>
      </c>
      <c r="X84" s="182">
        <f>H84*$M$1</f>
        <v>0</v>
      </c>
      <c r="Y84" s="254"/>
      <c r="Z84" s="254"/>
      <c r="AA84" s="254"/>
    </row>
    <row r="85" spans="1:30" ht="15" customHeight="1" x14ac:dyDescent="0.25">
      <c r="A85" s="201"/>
      <c r="B85" s="217">
        <v>0</v>
      </c>
      <c r="C85" s="217">
        <v>0</v>
      </c>
      <c r="D85" s="138">
        <f>'Data Ocupacion'!Z34</f>
        <v>0</v>
      </c>
      <c r="E85" s="138">
        <f>'Data Ocupacion'!AA34</f>
        <v>0</v>
      </c>
      <c r="F85" s="217" t="s">
        <v>53</v>
      </c>
      <c r="G85" s="217">
        <f t="shared" si="66"/>
        <v>0</v>
      </c>
      <c r="H85" s="217">
        <f t="shared" si="67"/>
        <v>0</v>
      </c>
      <c r="I85" s="217">
        <f t="shared" si="68"/>
        <v>0</v>
      </c>
      <c r="J85" s="217">
        <f>G85*M$1</f>
        <v>0</v>
      </c>
      <c r="K85" s="153">
        <f>I85*M$1</f>
        <v>0</v>
      </c>
      <c r="L85" s="217">
        <f t="shared" si="69"/>
        <v>0</v>
      </c>
      <c r="M85" s="217">
        <f t="shared" si="70"/>
        <v>0</v>
      </c>
      <c r="N85" s="19"/>
      <c r="O85" s="19"/>
      <c r="P85" s="146"/>
      <c r="Q85" s="189"/>
      <c r="R85" s="189"/>
      <c r="S85" s="189"/>
      <c r="T85" s="189"/>
      <c r="U85" s="189"/>
      <c r="V85" s="189"/>
      <c r="W85" s="182">
        <f>J85</f>
        <v>0</v>
      </c>
      <c r="X85" s="182">
        <f>H85*$M$1</f>
        <v>0</v>
      </c>
      <c r="Y85" s="254"/>
      <c r="Z85" s="254"/>
      <c r="AA85" s="254"/>
    </row>
    <row r="86" spans="1:30" ht="15" customHeight="1" x14ac:dyDescent="0.25">
      <c r="A86" s="201"/>
      <c r="B86" s="217">
        <v>0</v>
      </c>
      <c r="C86" s="217">
        <v>0</v>
      </c>
      <c r="D86" s="138">
        <f>'Data Ocupacion'!Z35</f>
        <v>0</v>
      </c>
      <c r="E86" s="138">
        <f>'Data Ocupacion'!AA35</f>
        <v>0</v>
      </c>
      <c r="F86" s="217" t="s">
        <v>122</v>
      </c>
      <c r="G86" s="217">
        <f t="shared" si="66"/>
        <v>0</v>
      </c>
      <c r="H86" s="217">
        <f t="shared" si="67"/>
        <v>0</v>
      </c>
      <c r="I86" s="217">
        <f t="shared" si="68"/>
        <v>0</v>
      </c>
      <c r="J86" s="217">
        <f>G86*K$1</f>
        <v>0</v>
      </c>
      <c r="K86" s="153">
        <f>I86*K$1</f>
        <v>0</v>
      </c>
      <c r="L86" s="217">
        <f t="shared" si="69"/>
        <v>0</v>
      </c>
      <c r="M86" s="217">
        <f t="shared" si="70"/>
        <v>0</v>
      </c>
      <c r="N86" s="19"/>
      <c r="O86" s="19"/>
      <c r="P86" s="146"/>
      <c r="Q86" s="189"/>
      <c r="R86" s="189"/>
      <c r="S86" s="189"/>
      <c r="T86" s="189"/>
      <c r="U86" s="189"/>
      <c r="V86" s="189"/>
      <c r="W86" s="182">
        <f>J86</f>
        <v>0</v>
      </c>
      <c r="X86" s="182">
        <f>H86*$K$1</f>
        <v>0</v>
      </c>
      <c r="Y86" s="254"/>
      <c r="Z86" s="254"/>
      <c r="AA86" s="254"/>
    </row>
    <row r="87" spans="1:30" ht="15.75" thickBot="1" x14ac:dyDescent="0.3">
      <c r="A87" s="201"/>
      <c r="B87" s="217">
        <v>0</v>
      </c>
      <c r="C87" s="217">
        <v>0</v>
      </c>
      <c r="D87" s="138">
        <f>'Data Ocupacion'!Z36</f>
        <v>0</v>
      </c>
      <c r="E87" s="138">
        <f>'Data Ocupacion'!AA36</f>
        <v>0</v>
      </c>
      <c r="F87" s="217" t="s">
        <v>35</v>
      </c>
      <c r="G87" s="217">
        <f t="shared" si="66"/>
        <v>0</v>
      </c>
      <c r="H87" s="217">
        <f t="shared" si="67"/>
        <v>0</v>
      </c>
      <c r="I87" s="217">
        <f t="shared" si="68"/>
        <v>0</v>
      </c>
      <c r="J87" s="217">
        <f>G87*K$1</f>
        <v>0</v>
      </c>
      <c r="K87" s="153">
        <f>I87*K$1</f>
        <v>0</v>
      </c>
      <c r="L87" s="217">
        <f t="shared" si="69"/>
        <v>0</v>
      </c>
      <c r="M87" s="217">
        <f t="shared" si="70"/>
        <v>0</v>
      </c>
      <c r="N87" s="19"/>
      <c r="O87" s="19"/>
      <c r="P87" s="146"/>
      <c r="Q87" s="189"/>
      <c r="R87" s="189"/>
      <c r="S87" s="189"/>
      <c r="T87" s="189"/>
      <c r="U87" s="189"/>
      <c r="V87" s="189"/>
      <c r="W87" s="182">
        <f>J87</f>
        <v>0</v>
      </c>
      <c r="X87" s="182">
        <f>H87*$K$1</f>
        <v>0</v>
      </c>
    </row>
    <row r="88" spans="1:30" s="124" customFormat="1" ht="15.75" thickBot="1" x14ac:dyDescent="0.3">
      <c r="A88" s="122"/>
      <c r="B88" s="119">
        <f>SUM(B82:B87)</f>
        <v>108</v>
      </c>
      <c r="C88" s="119">
        <f>SUM(C82:C87)</f>
        <v>3</v>
      </c>
      <c r="D88" s="152">
        <f>SUM(D82:D87)</f>
        <v>108</v>
      </c>
      <c r="E88" s="152">
        <f>SUM(E82:E87)</f>
        <v>3</v>
      </c>
      <c r="F88" s="119"/>
      <c r="G88" s="119">
        <f t="shared" ref="G88:M88" si="71">SUM(G82:G87)</f>
        <v>114</v>
      </c>
      <c r="H88" s="119">
        <f t="shared" si="71"/>
        <v>114</v>
      </c>
      <c r="I88" s="119">
        <f t="shared" si="71"/>
        <v>111</v>
      </c>
      <c r="J88" s="120">
        <f t="shared" si="71"/>
        <v>4916.8200000000006</v>
      </c>
      <c r="K88" s="119">
        <f t="shared" si="71"/>
        <v>4787.43</v>
      </c>
      <c r="L88" s="118">
        <f t="shared" si="71"/>
        <v>511349.28000000009</v>
      </c>
      <c r="M88" s="151">
        <f t="shared" si="71"/>
        <v>11544</v>
      </c>
      <c r="N88" s="123">
        <f>'Odometro-Kilometraje'!M88</f>
        <v>4968</v>
      </c>
      <c r="O88" s="21">
        <f>(W88/N88)*100</f>
        <v>98.969806763285035</v>
      </c>
      <c r="P88" s="192"/>
      <c r="Q88" s="181"/>
      <c r="R88" s="181"/>
      <c r="S88" s="181"/>
      <c r="T88" s="181"/>
      <c r="U88" s="181"/>
      <c r="V88" s="181"/>
      <c r="W88" s="193">
        <f>SUM(W82:W87)</f>
        <v>4916.8200000000006</v>
      </c>
      <c r="X88" s="193">
        <f>SUM(X82:X87)</f>
        <v>4916.8200000000006</v>
      </c>
      <c r="AA88" s="172"/>
    </row>
    <row r="89" spans="1:30" x14ac:dyDescent="0.25">
      <c r="A89" s="121">
        <f>A82+1</f>
        <v>46216</v>
      </c>
      <c r="B89" s="293">
        <v>49</v>
      </c>
      <c r="C89" s="293">
        <v>30</v>
      </c>
      <c r="D89" s="138">
        <f>'Data Ocupacion'!AB31</f>
        <v>48</v>
      </c>
      <c r="E89" s="138">
        <f>'Data Ocupacion'!AC31</f>
        <v>31</v>
      </c>
      <c r="F89" s="125" t="s">
        <v>38</v>
      </c>
      <c r="G89" s="125">
        <f t="shared" ref="G89:G94" si="72">D89+E89*2</f>
        <v>110</v>
      </c>
      <c r="H89" s="125">
        <f t="shared" ref="H89:H94" si="73">B89+C89*2</f>
        <v>109</v>
      </c>
      <c r="I89" s="125">
        <f t="shared" ref="I89:I94" si="74">D89+E89</f>
        <v>79</v>
      </c>
      <c r="J89" s="125">
        <f>G89*M$2</f>
        <v>4744.3</v>
      </c>
      <c r="K89" s="153">
        <f>I89*M$2</f>
        <v>3407.27</v>
      </c>
      <c r="L89" s="125">
        <f t="shared" ref="L89:L94" si="75">J89*104</f>
        <v>493407.2</v>
      </c>
      <c r="M89" s="125">
        <f t="shared" ref="M89:M94" si="76">I89*104</f>
        <v>8216</v>
      </c>
      <c r="N89" s="19"/>
      <c r="O89" s="19"/>
      <c r="P89" s="146"/>
      <c r="Q89" s="183">
        <v>3</v>
      </c>
      <c r="R89" s="183"/>
      <c r="S89" s="205"/>
      <c r="T89" s="283"/>
      <c r="U89" s="191"/>
      <c r="V89" s="227"/>
      <c r="W89" s="182">
        <f>J89-(Q89*($M$2-$K$1))-(R89*($M$2-$M$1))- (S89*($M$2-$I$2))+ (T89*($G$2))</f>
        <v>4691.1100000000006</v>
      </c>
      <c r="X89" s="182">
        <f>H89*$M$2</f>
        <v>4701.17</v>
      </c>
    </row>
    <row r="90" spans="1:30" ht="17.25" customHeight="1" x14ac:dyDescent="0.25">
      <c r="A90" s="201"/>
      <c r="B90" s="293">
        <v>47</v>
      </c>
      <c r="C90" s="293">
        <v>31</v>
      </c>
      <c r="D90" s="138">
        <f>'Data Ocupacion'!AB32</f>
        <v>46</v>
      </c>
      <c r="E90" s="138">
        <f>'Data Ocupacion'!AC32</f>
        <v>32</v>
      </c>
      <c r="F90" s="125" t="s">
        <v>52</v>
      </c>
      <c r="G90" s="125">
        <f t="shared" si="72"/>
        <v>110</v>
      </c>
      <c r="H90" s="125">
        <f t="shared" si="73"/>
        <v>109</v>
      </c>
      <c r="I90" s="125">
        <f t="shared" si="74"/>
        <v>78</v>
      </c>
      <c r="J90" s="125">
        <f>G90*M$2</f>
        <v>4744.3</v>
      </c>
      <c r="K90" s="153">
        <f>I90*M$2</f>
        <v>3364.1400000000003</v>
      </c>
      <c r="L90" s="125">
        <f t="shared" si="75"/>
        <v>493407.2</v>
      </c>
      <c r="M90" s="125">
        <f t="shared" si="76"/>
        <v>8112</v>
      </c>
      <c r="N90" s="19"/>
      <c r="O90" s="19"/>
      <c r="P90" s="146"/>
      <c r="Q90" s="186"/>
      <c r="R90" s="186"/>
      <c r="S90" s="216"/>
      <c r="T90" s="183">
        <v>5</v>
      </c>
      <c r="U90" s="216"/>
      <c r="V90" s="228"/>
      <c r="W90" s="185">
        <f>J90-(T90*($M$2-$K$1)+(U90*($M$2-$M$1)))</f>
        <v>4655.6500000000005</v>
      </c>
      <c r="X90" s="182">
        <f>H90*$M$2</f>
        <v>4701.17</v>
      </c>
    </row>
    <row r="91" spans="1:30" ht="14.45" customHeight="1" x14ac:dyDescent="0.25">
      <c r="A91" s="201"/>
      <c r="B91" s="293">
        <v>36</v>
      </c>
      <c r="C91" s="293">
        <v>0</v>
      </c>
      <c r="D91" s="126">
        <f>'Data Ocupacion'!AB33</f>
        <v>36</v>
      </c>
      <c r="E91" s="126">
        <f>'Data Ocupacion'!AC33</f>
        <v>0</v>
      </c>
      <c r="F91" s="125" t="s">
        <v>36</v>
      </c>
      <c r="G91" s="125">
        <f t="shared" si="72"/>
        <v>36</v>
      </c>
      <c r="H91" s="125">
        <f t="shared" si="73"/>
        <v>36</v>
      </c>
      <c r="I91" s="125">
        <f t="shared" si="74"/>
        <v>36</v>
      </c>
      <c r="J91" s="125">
        <f>G91*M$1</f>
        <v>1047.96</v>
      </c>
      <c r="K91" s="153">
        <f>I91*M$1</f>
        <v>1047.96</v>
      </c>
      <c r="L91" s="125">
        <f t="shared" si="75"/>
        <v>108987.84</v>
      </c>
      <c r="M91" s="125">
        <f t="shared" si="76"/>
        <v>3744</v>
      </c>
      <c r="N91" s="19"/>
      <c r="O91" s="19"/>
      <c r="P91" s="146"/>
      <c r="Q91" s="183"/>
      <c r="R91" s="190"/>
      <c r="S91" s="227"/>
      <c r="T91" s="186"/>
      <c r="U91" s="189"/>
      <c r="V91" s="189"/>
      <c r="W91" s="182">
        <f>J91-(Q91*($M$1-$K$1))</f>
        <v>1047.96</v>
      </c>
      <c r="X91" s="182">
        <f>H91*$M$1</f>
        <v>1047.96</v>
      </c>
    </row>
    <row r="92" spans="1:30" ht="15" customHeight="1" x14ac:dyDescent="0.25">
      <c r="A92" s="201"/>
      <c r="B92" s="293">
        <v>32</v>
      </c>
      <c r="C92" s="293">
        <v>0</v>
      </c>
      <c r="D92" s="126">
        <f>'Data Ocupacion'!AB34</f>
        <v>32</v>
      </c>
      <c r="E92" s="126">
        <f>'Data Ocupacion'!AC34</f>
        <v>0</v>
      </c>
      <c r="F92" s="125" t="s">
        <v>53</v>
      </c>
      <c r="G92" s="125">
        <f t="shared" si="72"/>
        <v>32</v>
      </c>
      <c r="H92" s="125">
        <f t="shared" si="73"/>
        <v>32</v>
      </c>
      <c r="I92" s="125">
        <f t="shared" si="74"/>
        <v>32</v>
      </c>
      <c r="J92" s="125">
        <f>G92*M$1</f>
        <v>931.52</v>
      </c>
      <c r="K92" s="153">
        <f>I92*M$1</f>
        <v>931.52</v>
      </c>
      <c r="L92" s="125">
        <f t="shared" si="75"/>
        <v>96878.080000000002</v>
      </c>
      <c r="M92" s="125">
        <f t="shared" si="76"/>
        <v>3328</v>
      </c>
      <c r="N92" s="19"/>
      <c r="O92" s="19"/>
      <c r="P92" s="146"/>
      <c r="Q92" s="189"/>
      <c r="R92" s="189"/>
      <c r="S92" s="189"/>
      <c r="T92" s="189"/>
      <c r="U92" s="189"/>
      <c r="V92" s="189"/>
      <c r="W92" s="182">
        <f>J92</f>
        <v>931.52</v>
      </c>
      <c r="X92" s="182">
        <f>H92*$M$1</f>
        <v>931.52</v>
      </c>
    </row>
    <row r="93" spans="1:30" ht="15" customHeight="1" x14ac:dyDescent="0.25">
      <c r="A93" s="201"/>
      <c r="B93" s="293">
        <v>0</v>
      </c>
      <c r="C93" s="293">
        <v>0</v>
      </c>
      <c r="D93" s="126">
        <f>'Data Ocupacion'!AB35</f>
        <v>0</v>
      </c>
      <c r="E93" s="126">
        <f>'Data Ocupacion'!AC35</f>
        <v>0</v>
      </c>
      <c r="F93" s="125" t="s">
        <v>122</v>
      </c>
      <c r="G93" s="125">
        <f t="shared" si="72"/>
        <v>0</v>
      </c>
      <c r="H93" s="125">
        <f t="shared" si="73"/>
        <v>0</v>
      </c>
      <c r="I93" s="125">
        <f t="shared" si="74"/>
        <v>0</v>
      </c>
      <c r="J93" s="125">
        <f>G93*K$1</f>
        <v>0</v>
      </c>
      <c r="K93" s="153">
        <f>I93*K$1</f>
        <v>0</v>
      </c>
      <c r="L93" s="125">
        <f t="shared" si="75"/>
        <v>0</v>
      </c>
      <c r="M93" s="125">
        <f t="shared" si="76"/>
        <v>0</v>
      </c>
      <c r="N93" s="19"/>
      <c r="O93" s="19"/>
      <c r="P93" s="146"/>
      <c r="Q93" s="189"/>
      <c r="R93" s="189"/>
      <c r="S93" s="189"/>
      <c r="T93" s="189"/>
      <c r="U93" s="189"/>
      <c r="V93" s="189"/>
      <c r="W93" s="182">
        <f>J93</f>
        <v>0</v>
      </c>
      <c r="X93" s="182">
        <f>H93*$K$1</f>
        <v>0</v>
      </c>
    </row>
    <row r="94" spans="1:30" ht="15.75" thickBot="1" x14ac:dyDescent="0.3">
      <c r="A94" s="201"/>
      <c r="B94" s="293">
        <v>4</v>
      </c>
      <c r="C94" s="293">
        <v>0</v>
      </c>
      <c r="D94" s="293">
        <f>'Data Ocupacion'!AB36</f>
        <v>4</v>
      </c>
      <c r="E94" s="293">
        <f>'Data Ocupacion'!AC36</f>
        <v>0</v>
      </c>
      <c r="F94" s="125" t="s">
        <v>35</v>
      </c>
      <c r="G94" s="125">
        <f t="shared" si="72"/>
        <v>4</v>
      </c>
      <c r="H94" s="125">
        <f t="shared" si="73"/>
        <v>4</v>
      </c>
      <c r="I94" s="125">
        <f t="shared" si="74"/>
        <v>4</v>
      </c>
      <c r="J94" s="125">
        <f>G94*K$1</f>
        <v>101.6</v>
      </c>
      <c r="K94" s="153">
        <f>I94*K$1</f>
        <v>101.6</v>
      </c>
      <c r="L94" s="125">
        <f t="shared" si="75"/>
        <v>10566.4</v>
      </c>
      <c r="M94" s="125">
        <f t="shared" si="76"/>
        <v>416</v>
      </c>
      <c r="N94" s="19"/>
      <c r="O94" s="19"/>
      <c r="P94" s="146"/>
      <c r="Q94" s="189"/>
      <c r="R94" s="189"/>
      <c r="S94" s="189"/>
      <c r="T94" s="189"/>
      <c r="U94" s="189"/>
      <c r="V94" s="189"/>
      <c r="W94" s="182">
        <f>J94</f>
        <v>101.6</v>
      </c>
      <c r="X94" s="182">
        <f>H94*$K$1</f>
        <v>101.6</v>
      </c>
    </row>
    <row r="95" spans="1:30" s="124" customFormat="1" ht="15.75" thickBot="1" x14ac:dyDescent="0.3">
      <c r="A95" s="20"/>
      <c r="B95" s="119">
        <f>SUM(B89:B94)</f>
        <v>168</v>
      </c>
      <c r="C95" s="119">
        <f>SUM(C89:C94)</f>
        <v>61</v>
      </c>
      <c r="D95" s="152">
        <f>SUM(D89:D94)</f>
        <v>166</v>
      </c>
      <c r="E95" s="152">
        <f>SUM(E89:E94)</f>
        <v>63</v>
      </c>
      <c r="F95" s="119"/>
      <c r="G95" s="119">
        <f t="shared" ref="G95:M95" si="77">SUM(G89:G94)</f>
        <v>292</v>
      </c>
      <c r="H95" s="119">
        <f t="shared" si="77"/>
        <v>290</v>
      </c>
      <c r="I95" s="119">
        <f t="shared" si="77"/>
        <v>229</v>
      </c>
      <c r="J95" s="120">
        <f t="shared" si="77"/>
        <v>11569.680000000002</v>
      </c>
      <c r="K95" s="119">
        <f t="shared" si="77"/>
        <v>8852.49</v>
      </c>
      <c r="L95" s="118">
        <f t="shared" si="77"/>
        <v>1203246.72</v>
      </c>
      <c r="M95" s="151">
        <f t="shared" si="77"/>
        <v>23816</v>
      </c>
      <c r="N95" s="123">
        <f>'Odometro-Kilometraje'!N88</f>
        <v>11815</v>
      </c>
      <c r="O95" s="21">
        <f>(W95/N95)*100</f>
        <v>96.723148539991556</v>
      </c>
      <c r="P95" s="192"/>
      <c r="Q95" s="248"/>
      <c r="R95" s="248"/>
      <c r="S95" s="248"/>
      <c r="T95" s="248"/>
      <c r="U95" s="181"/>
      <c r="V95" s="181"/>
      <c r="W95" s="193">
        <f>SUM(W89:W94)</f>
        <v>11427.840000000002</v>
      </c>
      <c r="X95" s="193">
        <f>SUM(X89:X94)</f>
        <v>11483.42</v>
      </c>
    </row>
    <row r="96" spans="1:30" ht="17.25" customHeight="1" x14ac:dyDescent="0.25">
      <c r="A96" s="60">
        <f>A89+1</f>
        <v>46217</v>
      </c>
      <c r="B96" s="293">
        <v>49</v>
      </c>
      <c r="C96" s="293">
        <v>30</v>
      </c>
      <c r="D96" s="126">
        <f>'Data Ocupacion'!AD31</f>
        <v>48</v>
      </c>
      <c r="E96" s="126">
        <f>'Data Ocupacion'!AE31</f>
        <v>32</v>
      </c>
      <c r="F96" s="125" t="s">
        <v>38</v>
      </c>
      <c r="G96" s="125">
        <f t="shared" ref="G96:G101" si="78">D96+E96*2</f>
        <v>112</v>
      </c>
      <c r="H96" s="125">
        <f t="shared" ref="H96:H101" si="79">B96+C96*2</f>
        <v>109</v>
      </c>
      <c r="I96" s="125">
        <f t="shared" ref="I96:I101" si="80">D96+E96</f>
        <v>80</v>
      </c>
      <c r="J96" s="125">
        <f>G96*M$2</f>
        <v>4830.5600000000004</v>
      </c>
      <c r="K96" s="153">
        <f>I96*M$2</f>
        <v>3450.4</v>
      </c>
      <c r="L96" s="125">
        <f t="shared" ref="L96:L101" si="81">J96*104</f>
        <v>502378.24000000005</v>
      </c>
      <c r="M96" s="125">
        <f t="shared" ref="M96:M101" si="82">I96*104</f>
        <v>8320</v>
      </c>
      <c r="N96" s="19"/>
      <c r="O96" s="19"/>
      <c r="P96" s="146"/>
      <c r="Q96" s="183">
        <v>4</v>
      </c>
      <c r="R96" s="183"/>
      <c r="S96" s="205"/>
      <c r="T96" s="283"/>
      <c r="U96" s="191"/>
      <c r="V96" s="227"/>
      <c r="W96" s="182">
        <f>J96-(Q96*($M$2-$K$1))-(R96*($M$2-$M$1))- (S96*($M$2-$I$2))+ (T96*($G$2))</f>
        <v>4759.6400000000003</v>
      </c>
      <c r="X96" s="182">
        <f>H96*$M$2</f>
        <v>4701.17</v>
      </c>
    </row>
    <row r="97" spans="1:30" ht="15" customHeight="1" x14ac:dyDescent="0.25">
      <c r="A97" s="274"/>
      <c r="B97" s="293">
        <v>47</v>
      </c>
      <c r="C97" s="293">
        <v>31</v>
      </c>
      <c r="D97" s="126">
        <f>'Data Ocupacion'!AD32</f>
        <v>47</v>
      </c>
      <c r="E97" s="126">
        <f>'Data Ocupacion'!AE32</f>
        <v>31</v>
      </c>
      <c r="F97" s="125" t="s">
        <v>52</v>
      </c>
      <c r="G97" s="125">
        <f t="shared" si="78"/>
        <v>109</v>
      </c>
      <c r="H97" s="125">
        <f t="shared" si="79"/>
        <v>109</v>
      </c>
      <c r="I97" s="125">
        <f t="shared" si="80"/>
        <v>78</v>
      </c>
      <c r="J97" s="125">
        <f>G97*M$2</f>
        <v>4701.17</v>
      </c>
      <c r="K97" s="153">
        <f>I97*M$2</f>
        <v>3364.1400000000003</v>
      </c>
      <c r="L97" s="125">
        <f t="shared" si="81"/>
        <v>488921.68</v>
      </c>
      <c r="M97" s="125">
        <f t="shared" si="82"/>
        <v>8112</v>
      </c>
      <c r="N97" s="19"/>
      <c r="O97" s="19"/>
      <c r="P97" s="146"/>
      <c r="Q97" s="186"/>
      <c r="R97" s="186"/>
      <c r="S97" s="216"/>
      <c r="T97" s="183">
        <v>5</v>
      </c>
      <c r="U97" s="216"/>
      <c r="V97" s="205"/>
      <c r="W97" s="185">
        <f>J97-(T97*($M$2-$K$1)+(U97*($M$2-$M$1)))</f>
        <v>4612.5200000000004</v>
      </c>
      <c r="X97" s="182">
        <f>H97*$M$2</f>
        <v>4701.17</v>
      </c>
    </row>
    <row r="98" spans="1:30" ht="15" customHeight="1" x14ac:dyDescent="0.25">
      <c r="A98" s="252"/>
      <c r="B98" s="293">
        <v>36</v>
      </c>
      <c r="C98" s="293">
        <v>0</v>
      </c>
      <c r="D98" s="126">
        <f>'Data Ocupacion'!AD33</f>
        <v>32</v>
      </c>
      <c r="E98" s="126">
        <f>'Data Ocupacion'!AE33</f>
        <v>0</v>
      </c>
      <c r="F98" s="125" t="s">
        <v>36</v>
      </c>
      <c r="G98" s="125">
        <f t="shared" si="78"/>
        <v>32</v>
      </c>
      <c r="H98" s="125">
        <f t="shared" si="79"/>
        <v>36</v>
      </c>
      <c r="I98" s="125">
        <f t="shared" si="80"/>
        <v>32</v>
      </c>
      <c r="J98" s="125">
        <f>G98*M$1</f>
        <v>931.52</v>
      </c>
      <c r="K98" s="153">
        <f>I98*M$1</f>
        <v>931.52</v>
      </c>
      <c r="L98" s="125">
        <f t="shared" si="81"/>
        <v>96878.080000000002</v>
      </c>
      <c r="M98" s="125">
        <f t="shared" si="82"/>
        <v>3328</v>
      </c>
      <c r="N98" s="19"/>
      <c r="O98" s="19"/>
      <c r="P98" s="146"/>
      <c r="Q98" s="243"/>
      <c r="R98" s="190"/>
      <c r="S98" s="227"/>
      <c r="T98" s="186"/>
      <c r="U98" s="189"/>
      <c r="V98" s="189"/>
      <c r="W98" s="182">
        <f>J98-(Q98*($M$1-$K$1))</f>
        <v>931.52</v>
      </c>
      <c r="X98" s="182">
        <f>H98*$M$1</f>
        <v>1047.96</v>
      </c>
    </row>
    <row r="99" spans="1:30" ht="15" customHeight="1" x14ac:dyDescent="0.25">
      <c r="A99" s="252"/>
      <c r="B99" s="293">
        <v>32</v>
      </c>
      <c r="C99" s="293">
        <v>0</v>
      </c>
      <c r="D99" s="126">
        <f>'Data Ocupacion'!AD34</f>
        <v>30</v>
      </c>
      <c r="E99" s="126">
        <f>'Data Ocupacion'!AE34</f>
        <v>0</v>
      </c>
      <c r="F99" s="125" t="s">
        <v>53</v>
      </c>
      <c r="G99" s="125">
        <f t="shared" si="78"/>
        <v>30</v>
      </c>
      <c r="H99" s="125">
        <f t="shared" si="79"/>
        <v>32</v>
      </c>
      <c r="I99" s="125">
        <f t="shared" si="80"/>
        <v>30</v>
      </c>
      <c r="J99" s="125">
        <f>G99*M$1</f>
        <v>873.3</v>
      </c>
      <c r="K99" s="153">
        <f>I99*M$1</f>
        <v>873.3</v>
      </c>
      <c r="L99" s="125">
        <f t="shared" si="81"/>
        <v>90823.2</v>
      </c>
      <c r="M99" s="125">
        <f t="shared" si="82"/>
        <v>3120</v>
      </c>
      <c r="N99" s="19"/>
      <c r="O99" s="19"/>
      <c r="P99" s="146"/>
      <c r="Q99" s="189"/>
      <c r="R99" s="189"/>
      <c r="S99" s="189"/>
      <c r="T99" s="189"/>
      <c r="U99" s="189"/>
      <c r="V99" s="189"/>
      <c r="W99" s="182">
        <f>J99</f>
        <v>873.3</v>
      </c>
      <c r="X99" s="182">
        <f>H99*$M$1</f>
        <v>931.52</v>
      </c>
    </row>
    <row r="100" spans="1:30" ht="15" customHeight="1" x14ac:dyDescent="0.25">
      <c r="A100" s="252"/>
      <c r="B100" s="293">
        <v>0</v>
      </c>
      <c r="C100" s="293">
        <v>0</v>
      </c>
      <c r="D100" s="126">
        <f>'Data Ocupacion'!AD35</f>
        <v>0</v>
      </c>
      <c r="E100" s="126">
        <f>'Data Ocupacion'!AE35</f>
        <v>0</v>
      </c>
      <c r="F100" s="125" t="s">
        <v>122</v>
      </c>
      <c r="G100" s="125">
        <f t="shared" si="78"/>
        <v>0</v>
      </c>
      <c r="H100" s="125">
        <f t="shared" si="79"/>
        <v>0</v>
      </c>
      <c r="I100" s="125">
        <f t="shared" si="80"/>
        <v>0</v>
      </c>
      <c r="J100" s="125">
        <f>G100*K$1</f>
        <v>0</v>
      </c>
      <c r="K100" s="153">
        <f>I100*K$1</f>
        <v>0</v>
      </c>
      <c r="L100" s="125">
        <f t="shared" si="81"/>
        <v>0</v>
      </c>
      <c r="M100" s="125">
        <f t="shared" si="82"/>
        <v>0</v>
      </c>
      <c r="N100" s="19"/>
      <c r="O100" s="19"/>
      <c r="P100" s="146"/>
      <c r="Q100" s="189"/>
      <c r="R100" s="189"/>
      <c r="S100" s="189"/>
      <c r="T100" s="189"/>
      <c r="U100" s="189"/>
      <c r="V100" s="189"/>
      <c r="W100" s="182">
        <f>J100</f>
        <v>0</v>
      </c>
      <c r="X100" s="182">
        <f>H100*$K$1</f>
        <v>0</v>
      </c>
    </row>
    <row r="101" spans="1:30" ht="15" customHeight="1" thickBot="1" x14ac:dyDescent="0.3">
      <c r="A101" s="252"/>
      <c r="B101" s="293">
        <v>4</v>
      </c>
      <c r="C101" s="293">
        <v>0</v>
      </c>
      <c r="D101" s="253">
        <f>'Data Ocupacion'!AD36</f>
        <v>5</v>
      </c>
      <c r="E101" s="126">
        <f>'Data Ocupacion'!AE36</f>
        <v>0</v>
      </c>
      <c r="F101" s="125" t="s">
        <v>35</v>
      </c>
      <c r="G101" s="125">
        <f t="shared" si="78"/>
        <v>5</v>
      </c>
      <c r="H101" s="125">
        <f t="shared" si="79"/>
        <v>4</v>
      </c>
      <c r="I101" s="125">
        <f t="shared" si="80"/>
        <v>5</v>
      </c>
      <c r="J101" s="125">
        <f>G101*K$1</f>
        <v>127</v>
      </c>
      <c r="K101" s="153">
        <f>I101*K$1</f>
        <v>127</v>
      </c>
      <c r="L101" s="125">
        <f t="shared" si="81"/>
        <v>13208</v>
      </c>
      <c r="M101" s="125">
        <f t="shared" si="82"/>
        <v>520</v>
      </c>
      <c r="N101" s="19"/>
      <c r="O101" s="19"/>
      <c r="P101" s="146"/>
      <c r="Q101" s="189"/>
      <c r="R101" s="189"/>
      <c r="S101" s="189"/>
      <c r="T101" s="189"/>
      <c r="U101" s="189"/>
      <c r="V101" s="189"/>
      <c r="W101" s="182">
        <f>J101</f>
        <v>127</v>
      </c>
      <c r="X101" s="182">
        <f>H101*$K$1</f>
        <v>101.6</v>
      </c>
    </row>
    <row r="102" spans="1:30" s="124" customFormat="1" ht="15" customHeight="1" thickBot="1" x14ac:dyDescent="0.3">
      <c r="A102" s="20"/>
      <c r="B102" s="119">
        <f>SUM(B96:B101)</f>
        <v>168</v>
      </c>
      <c r="C102" s="119">
        <f>SUM(C96:C101)</f>
        <v>61</v>
      </c>
      <c r="D102" s="152">
        <f>SUM(D96:D101)</f>
        <v>162</v>
      </c>
      <c r="E102" s="152">
        <f>SUM(E96:E101)</f>
        <v>63</v>
      </c>
      <c r="F102" s="119"/>
      <c r="G102" s="119">
        <f t="shared" ref="G102:M102" si="83">SUM(G96:G101)</f>
        <v>288</v>
      </c>
      <c r="H102" s="119">
        <f t="shared" si="83"/>
        <v>290</v>
      </c>
      <c r="I102" s="119">
        <f t="shared" si="83"/>
        <v>225</v>
      </c>
      <c r="J102" s="120">
        <f t="shared" si="83"/>
        <v>11463.55</v>
      </c>
      <c r="K102" s="119">
        <f t="shared" si="83"/>
        <v>8746.36</v>
      </c>
      <c r="L102" s="118">
        <f t="shared" si="83"/>
        <v>1192209.2</v>
      </c>
      <c r="M102" s="151">
        <f t="shared" si="83"/>
        <v>23400</v>
      </c>
      <c r="N102" s="123">
        <f>'Odometro-Kilometraje'!O88</f>
        <v>11720</v>
      </c>
      <c r="O102" s="21">
        <f>(W102/N102)*100</f>
        <v>96.450341296928315</v>
      </c>
      <c r="P102" s="192"/>
      <c r="Q102" s="181"/>
      <c r="R102" s="181"/>
      <c r="S102" s="181"/>
      <c r="T102" s="181"/>
      <c r="U102" s="181"/>
      <c r="V102" s="181"/>
      <c r="W102" s="193">
        <f>SUM(W96:W101)</f>
        <v>11303.98</v>
      </c>
      <c r="X102" s="193">
        <f>SUM(X96:X101)</f>
        <v>11483.42</v>
      </c>
      <c r="AA102" s="172"/>
      <c r="AD102"/>
    </row>
    <row r="103" spans="1:30" ht="16.149999999999999" customHeight="1" x14ac:dyDescent="0.25">
      <c r="A103" s="60">
        <f>A96+1</f>
        <v>46218</v>
      </c>
      <c r="B103" s="293">
        <v>49</v>
      </c>
      <c r="C103" s="293">
        <v>30</v>
      </c>
      <c r="D103" s="126">
        <f>'Data Ocupacion'!AF31</f>
        <v>49</v>
      </c>
      <c r="E103" s="126">
        <f>'Data Ocupacion'!AG31</f>
        <v>30</v>
      </c>
      <c r="F103" s="125" t="s">
        <v>38</v>
      </c>
      <c r="G103" s="125">
        <f t="shared" ref="G103:G108" si="84">D103+E103*2</f>
        <v>109</v>
      </c>
      <c r="H103" s="125">
        <f t="shared" ref="H103:H108" si="85">B103+C103*2</f>
        <v>109</v>
      </c>
      <c r="I103" s="125">
        <f t="shared" ref="I103:I108" si="86">D103+E103</f>
        <v>79</v>
      </c>
      <c r="J103" s="125">
        <f>G103*M$2</f>
        <v>4701.17</v>
      </c>
      <c r="K103" s="153">
        <f>I103*M$2</f>
        <v>3407.27</v>
      </c>
      <c r="L103" s="125">
        <f t="shared" ref="L103:L108" si="87">J103*104</f>
        <v>488921.68</v>
      </c>
      <c r="M103" s="125">
        <f t="shared" ref="M103:M108" si="88">I103*104</f>
        <v>8216</v>
      </c>
      <c r="N103" s="19"/>
      <c r="O103" s="19"/>
      <c r="P103" s="146"/>
      <c r="Q103" s="243">
        <v>4</v>
      </c>
      <c r="R103" s="183"/>
      <c r="S103" s="205"/>
      <c r="T103" s="190"/>
      <c r="U103" s="191"/>
      <c r="V103" s="227"/>
      <c r="W103" s="182">
        <f>J103-(Q103*($M$2-$K$1))-(R103*($M$2-$M$1))- (S103*($M$2-$I$2))+ (T103*($G$2))</f>
        <v>4630.25</v>
      </c>
      <c r="X103" s="182">
        <f>H103*$M$2</f>
        <v>4701.17</v>
      </c>
    </row>
    <row r="104" spans="1:30" ht="15" customHeight="1" x14ac:dyDescent="0.25">
      <c r="A104" s="274"/>
      <c r="B104" s="293">
        <v>47</v>
      </c>
      <c r="C104" s="293">
        <v>31</v>
      </c>
      <c r="D104" s="126">
        <f>'Data Ocupacion'!AF32</f>
        <v>47</v>
      </c>
      <c r="E104" s="126">
        <f>'Data Ocupacion'!AG32</f>
        <v>31</v>
      </c>
      <c r="F104" s="125" t="s">
        <v>52</v>
      </c>
      <c r="G104" s="125">
        <f t="shared" si="84"/>
        <v>109</v>
      </c>
      <c r="H104" s="125">
        <f t="shared" si="85"/>
        <v>109</v>
      </c>
      <c r="I104" s="125">
        <f t="shared" si="86"/>
        <v>78</v>
      </c>
      <c r="J104" s="125">
        <f>G104*M$2</f>
        <v>4701.17</v>
      </c>
      <c r="K104" s="153">
        <f>I104*M$2</f>
        <v>3364.1400000000003</v>
      </c>
      <c r="L104" s="125">
        <f t="shared" si="87"/>
        <v>488921.68</v>
      </c>
      <c r="M104" s="125">
        <f t="shared" si="88"/>
        <v>8112</v>
      </c>
      <c r="N104" s="19"/>
      <c r="O104" s="19"/>
      <c r="P104" s="146"/>
      <c r="Q104" s="186"/>
      <c r="R104" s="186"/>
      <c r="S104" s="186"/>
      <c r="T104" s="238">
        <v>5</v>
      </c>
      <c r="U104" s="184"/>
      <c r="V104" s="228"/>
      <c r="W104" s="185">
        <f>J104-(T104*($M$2-$K$1)+(U104*($M$2-$M$1)))</f>
        <v>4612.5200000000004</v>
      </c>
      <c r="X104" s="182">
        <f>H104*$M$2</f>
        <v>4701.17</v>
      </c>
    </row>
    <row r="105" spans="1:30" ht="14.25" customHeight="1" x14ac:dyDescent="0.25">
      <c r="A105" s="252"/>
      <c r="B105" s="293">
        <v>36</v>
      </c>
      <c r="C105" s="293">
        <v>0</v>
      </c>
      <c r="D105" s="126">
        <f>'Data Ocupacion'!AF33</f>
        <v>36</v>
      </c>
      <c r="E105" s="126">
        <f>'Data Ocupacion'!AG33</f>
        <v>0</v>
      </c>
      <c r="F105" s="125" t="s">
        <v>36</v>
      </c>
      <c r="G105" s="125">
        <f t="shared" si="84"/>
        <v>36</v>
      </c>
      <c r="H105" s="125">
        <f t="shared" si="85"/>
        <v>36</v>
      </c>
      <c r="I105" s="125">
        <f t="shared" si="86"/>
        <v>36</v>
      </c>
      <c r="J105" s="125">
        <f>G105*M$1</f>
        <v>1047.96</v>
      </c>
      <c r="K105" s="153">
        <f>I105*M$1</f>
        <v>1047.96</v>
      </c>
      <c r="L105" s="125">
        <f t="shared" si="87"/>
        <v>108987.84</v>
      </c>
      <c r="M105" s="125">
        <f t="shared" si="88"/>
        <v>3744</v>
      </c>
      <c r="N105" s="19"/>
      <c r="O105" s="19"/>
      <c r="P105" s="146"/>
      <c r="Q105" s="243"/>
      <c r="R105" s="187"/>
      <c r="S105" s="206"/>
      <c r="T105" s="188"/>
      <c r="U105" s="189"/>
      <c r="V105" s="189"/>
      <c r="W105" s="182">
        <f>J105-(Q105*($M$1-$K$1))</f>
        <v>1047.96</v>
      </c>
      <c r="X105" s="182">
        <f>H105*$M$1</f>
        <v>1047.96</v>
      </c>
    </row>
    <row r="106" spans="1:30" ht="15" customHeight="1" x14ac:dyDescent="0.25">
      <c r="A106" s="252"/>
      <c r="B106" s="293">
        <v>32</v>
      </c>
      <c r="C106" s="293">
        <v>0</v>
      </c>
      <c r="D106" s="126">
        <f>'Data Ocupacion'!AF34</f>
        <v>32</v>
      </c>
      <c r="E106" s="126">
        <f>'Data Ocupacion'!AG34</f>
        <v>0</v>
      </c>
      <c r="F106" s="125" t="s">
        <v>53</v>
      </c>
      <c r="G106" s="125">
        <f t="shared" si="84"/>
        <v>32</v>
      </c>
      <c r="H106" s="125">
        <f t="shared" si="85"/>
        <v>32</v>
      </c>
      <c r="I106" s="125">
        <f t="shared" si="86"/>
        <v>32</v>
      </c>
      <c r="J106" s="125">
        <f>G106*M$1</f>
        <v>931.52</v>
      </c>
      <c r="K106" s="153">
        <f>I106*M$1</f>
        <v>931.52</v>
      </c>
      <c r="L106" s="125">
        <f t="shared" si="87"/>
        <v>96878.080000000002</v>
      </c>
      <c r="M106" s="125">
        <f t="shared" si="88"/>
        <v>3328</v>
      </c>
      <c r="N106" s="19"/>
      <c r="O106" s="19"/>
      <c r="P106" s="146"/>
      <c r="Q106" s="189"/>
      <c r="R106" s="189"/>
      <c r="S106" s="189"/>
      <c r="T106" s="189"/>
      <c r="U106" s="189"/>
      <c r="V106" s="189"/>
      <c r="W106" s="182">
        <f>J106</f>
        <v>931.52</v>
      </c>
      <c r="X106" s="182">
        <f>H106*$M$1</f>
        <v>931.52</v>
      </c>
    </row>
    <row r="107" spans="1:30" ht="15" customHeight="1" x14ac:dyDescent="0.25">
      <c r="A107" s="252"/>
      <c r="B107" s="293">
        <v>0</v>
      </c>
      <c r="C107" s="293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5"/>
        <v>0</v>
      </c>
      <c r="I107" s="125">
        <f t="shared" si="86"/>
        <v>0</v>
      </c>
      <c r="J107" s="125">
        <f>G107*K$1</f>
        <v>0</v>
      </c>
      <c r="K107" s="153">
        <f>I107*K$1</f>
        <v>0</v>
      </c>
      <c r="L107" s="125">
        <f t="shared" si="87"/>
        <v>0</v>
      </c>
      <c r="M107" s="125">
        <f t="shared" si="88"/>
        <v>0</v>
      </c>
      <c r="N107" s="19"/>
      <c r="O107" s="19"/>
      <c r="P107" s="146"/>
      <c r="Q107" s="189"/>
      <c r="R107" s="189"/>
      <c r="S107" s="189"/>
      <c r="T107" s="189"/>
      <c r="U107" s="189"/>
      <c r="V107" s="189"/>
      <c r="W107" s="182">
        <f>J107</f>
        <v>0</v>
      </c>
      <c r="X107" s="182">
        <f>H107*$K$1</f>
        <v>0</v>
      </c>
    </row>
    <row r="108" spans="1:30" ht="15" customHeight="1" thickBot="1" x14ac:dyDescent="0.3">
      <c r="A108" s="252"/>
      <c r="B108" s="293">
        <v>4</v>
      </c>
      <c r="C108" s="293">
        <v>0</v>
      </c>
      <c r="D108" s="253">
        <f>'Data Ocupacion'!AF36</f>
        <v>4</v>
      </c>
      <c r="E108" s="126">
        <f>'Data Ocupacion'!AG36</f>
        <v>0</v>
      </c>
      <c r="F108" s="125" t="s">
        <v>35</v>
      </c>
      <c r="G108" s="125">
        <f t="shared" si="84"/>
        <v>4</v>
      </c>
      <c r="H108" s="125">
        <f t="shared" si="85"/>
        <v>4</v>
      </c>
      <c r="I108" s="125">
        <f t="shared" si="86"/>
        <v>4</v>
      </c>
      <c r="J108" s="125">
        <f>G108*K$1</f>
        <v>101.6</v>
      </c>
      <c r="K108" s="153">
        <f>I108*K$1</f>
        <v>101.6</v>
      </c>
      <c r="L108" s="125">
        <f t="shared" si="87"/>
        <v>10566.4</v>
      </c>
      <c r="M108" s="125">
        <f t="shared" si="88"/>
        <v>416</v>
      </c>
      <c r="N108" s="19"/>
      <c r="O108" s="19"/>
      <c r="P108" s="146"/>
      <c r="Q108" s="189"/>
      <c r="R108" s="189"/>
      <c r="S108" s="189"/>
      <c r="T108" s="189"/>
      <c r="U108" s="189"/>
      <c r="V108" s="189"/>
      <c r="W108" s="182">
        <f>J108</f>
        <v>101.6</v>
      </c>
      <c r="X108" s="182">
        <f>H108*$K$1</f>
        <v>101.6</v>
      </c>
    </row>
    <row r="109" spans="1:30" s="124" customFormat="1" ht="15" customHeight="1" thickBot="1" x14ac:dyDescent="0.3">
      <c r="A109" s="20"/>
      <c r="B109" s="119">
        <f>SUM(B103:B108)</f>
        <v>168</v>
      </c>
      <c r="C109" s="119">
        <f>SUM(C103:C108)</f>
        <v>61</v>
      </c>
      <c r="D109" s="152">
        <f>SUM(D103:D108)</f>
        <v>168</v>
      </c>
      <c r="E109" s="152">
        <f>SUM(E103:E108)</f>
        <v>61</v>
      </c>
      <c r="F109" s="119"/>
      <c r="G109" s="119">
        <f t="shared" ref="G109:M109" si="89">SUM(G103:G108)</f>
        <v>290</v>
      </c>
      <c r="H109" s="119">
        <f t="shared" si="89"/>
        <v>290</v>
      </c>
      <c r="I109" s="119">
        <f t="shared" si="89"/>
        <v>229</v>
      </c>
      <c r="J109" s="120">
        <f t="shared" si="89"/>
        <v>11483.42</v>
      </c>
      <c r="K109" s="119">
        <f t="shared" si="89"/>
        <v>8852.49</v>
      </c>
      <c r="L109" s="118">
        <f t="shared" si="89"/>
        <v>1194275.68</v>
      </c>
      <c r="M109" s="151">
        <f t="shared" si="89"/>
        <v>23816</v>
      </c>
      <c r="N109" s="123">
        <f>'Odometro-Kilometraje'!P88</f>
        <v>11747</v>
      </c>
      <c r="O109" s="21">
        <f>(W109/N109)*100</f>
        <v>96.397803694560309</v>
      </c>
      <c r="P109" s="192"/>
      <c r="Q109" s="181"/>
      <c r="R109" s="181"/>
      <c r="S109" s="181"/>
      <c r="T109" s="181"/>
      <c r="U109" s="181"/>
      <c r="V109" s="181"/>
      <c r="W109" s="193">
        <f>SUM(W103:W108)</f>
        <v>11323.85</v>
      </c>
      <c r="X109" s="193">
        <f>SUM(X103:X108)</f>
        <v>11483.42</v>
      </c>
    </row>
    <row r="110" spans="1:30" ht="16.149999999999999" customHeight="1" x14ac:dyDescent="0.25">
      <c r="A110" s="60">
        <f>A103+1</f>
        <v>46219</v>
      </c>
      <c r="B110" s="217">
        <v>51</v>
      </c>
      <c r="C110" s="217">
        <v>3</v>
      </c>
      <c r="D110" s="138">
        <f>'Data Ocupacion'!AH31</f>
        <v>51</v>
      </c>
      <c r="E110" s="138">
        <f>'Data Ocupacion'!AI31</f>
        <v>3</v>
      </c>
      <c r="F110" s="217" t="s">
        <v>38</v>
      </c>
      <c r="G110" s="217">
        <f t="shared" ref="G110:G115" si="90">D110+E110*2</f>
        <v>57</v>
      </c>
      <c r="H110" s="217">
        <f t="shared" ref="H110:H115" si="91">B110+C110*2</f>
        <v>57</v>
      </c>
      <c r="I110" s="217">
        <f t="shared" ref="I110:I115" si="92">D110+E110</f>
        <v>54</v>
      </c>
      <c r="J110" s="217">
        <f>G110*M$2</f>
        <v>2458.4100000000003</v>
      </c>
      <c r="K110" s="153">
        <f>I110*M$2</f>
        <v>2329.02</v>
      </c>
      <c r="L110" s="217">
        <f t="shared" ref="L110:L115" si="93">J110*104</f>
        <v>255674.64000000004</v>
      </c>
      <c r="M110" s="217">
        <f t="shared" ref="M110:M115" si="94">I110*104</f>
        <v>5616</v>
      </c>
      <c r="N110" s="19"/>
      <c r="O110" s="19"/>
      <c r="P110" s="146"/>
      <c r="Q110" s="183"/>
      <c r="R110" s="183"/>
      <c r="S110" s="205"/>
      <c r="T110" s="243"/>
      <c r="U110" s="191"/>
      <c r="V110" s="227"/>
      <c r="W110" s="182">
        <f>J110-(Q110*($M$2-$K$1))-(R110*($M$2-$M$1))- (S110*($M$2-$I$2))+ (T110*($G$2))</f>
        <v>2458.4100000000003</v>
      </c>
      <c r="X110" s="182">
        <f>H110*$M$2</f>
        <v>2458.4100000000003</v>
      </c>
    </row>
    <row r="111" spans="1:30" ht="15" customHeight="1" x14ac:dyDescent="0.25">
      <c r="A111" s="201"/>
      <c r="B111" s="217">
        <v>57</v>
      </c>
      <c r="C111" s="217">
        <v>0</v>
      </c>
      <c r="D111" s="138">
        <f>'Data Ocupacion'!AH32</f>
        <v>57</v>
      </c>
      <c r="E111" s="138">
        <f>'Data Ocupacion'!AI32</f>
        <v>0</v>
      </c>
      <c r="F111" s="217" t="s">
        <v>52</v>
      </c>
      <c r="G111" s="217">
        <f t="shared" si="90"/>
        <v>57</v>
      </c>
      <c r="H111" s="217">
        <f t="shared" si="91"/>
        <v>57</v>
      </c>
      <c r="I111" s="217">
        <f t="shared" si="92"/>
        <v>57</v>
      </c>
      <c r="J111" s="217">
        <f>G111*M$2</f>
        <v>2458.4100000000003</v>
      </c>
      <c r="K111" s="153">
        <f>I111*M$2</f>
        <v>2458.4100000000003</v>
      </c>
      <c r="L111" s="217">
        <f t="shared" si="93"/>
        <v>255674.64000000004</v>
      </c>
      <c r="M111" s="217">
        <f t="shared" si="94"/>
        <v>5928</v>
      </c>
      <c r="N111" s="19"/>
      <c r="O111" s="19"/>
      <c r="P111" s="146"/>
      <c r="Q111" s="186"/>
      <c r="R111" s="186"/>
      <c r="S111" s="186"/>
      <c r="T111" s="183"/>
      <c r="U111" s="203"/>
      <c r="V111" s="228"/>
      <c r="W111" s="185">
        <f>J111-(T111*($M$2-$K$1)+(U111*($M$2-$M$1)))</f>
        <v>2458.4100000000003</v>
      </c>
      <c r="X111" s="182">
        <f>H111*$M$2</f>
        <v>2458.4100000000003</v>
      </c>
      <c r="Y111" s="172"/>
    </row>
    <row r="112" spans="1:30" ht="18" customHeight="1" x14ac:dyDescent="0.25">
      <c r="A112" s="201"/>
      <c r="B112" s="217">
        <v>0</v>
      </c>
      <c r="C112" s="217">
        <v>0</v>
      </c>
      <c r="D112" s="138">
        <f>'Data Ocupacion'!AH33</f>
        <v>0</v>
      </c>
      <c r="E112" s="138">
        <f>'Data Ocupacion'!AI33</f>
        <v>0</v>
      </c>
      <c r="F112" s="217" t="s">
        <v>36</v>
      </c>
      <c r="G112" s="217">
        <f t="shared" si="90"/>
        <v>0</v>
      </c>
      <c r="H112" s="217">
        <f t="shared" si="91"/>
        <v>0</v>
      </c>
      <c r="I112" s="217">
        <f t="shared" si="92"/>
        <v>0</v>
      </c>
      <c r="J112" s="217">
        <f>G112*M$1</f>
        <v>0</v>
      </c>
      <c r="K112" s="153">
        <f>I112*M$1</f>
        <v>0</v>
      </c>
      <c r="L112" s="217">
        <f t="shared" si="93"/>
        <v>0</v>
      </c>
      <c r="M112" s="217">
        <f t="shared" si="94"/>
        <v>0</v>
      </c>
      <c r="N112" s="19"/>
      <c r="O112" s="19"/>
      <c r="P112" s="146"/>
      <c r="Q112" s="183"/>
      <c r="R112" s="187"/>
      <c r="S112" s="206"/>
      <c r="T112" s="188"/>
      <c r="U112" s="189"/>
      <c r="V112" s="189"/>
      <c r="W112" s="182">
        <f>J112-(Q112*($M$1-$K$1))</f>
        <v>0</v>
      </c>
      <c r="X112" s="182">
        <f>H112*$M$1</f>
        <v>0</v>
      </c>
    </row>
    <row r="113" spans="1:28" ht="16.149999999999999" customHeight="1" x14ac:dyDescent="0.25">
      <c r="A113" s="201"/>
      <c r="B113" s="217">
        <v>0</v>
      </c>
      <c r="C113" s="217">
        <v>0</v>
      </c>
      <c r="D113" s="138">
        <f>'Data Ocupacion'!AH34</f>
        <v>0</v>
      </c>
      <c r="E113" s="138">
        <f>'Data Ocupacion'!AI34</f>
        <v>0</v>
      </c>
      <c r="F113" s="217" t="s">
        <v>53</v>
      </c>
      <c r="G113" s="217">
        <f t="shared" si="90"/>
        <v>0</v>
      </c>
      <c r="H113" s="217">
        <f t="shared" si="91"/>
        <v>0</v>
      </c>
      <c r="I113" s="217">
        <f t="shared" si="92"/>
        <v>0</v>
      </c>
      <c r="J113" s="217">
        <f>G113*M$1</f>
        <v>0</v>
      </c>
      <c r="K113" s="153">
        <f>I113*M$1</f>
        <v>0</v>
      </c>
      <c r="L113" s="217">
        <f t="shared" si="93"/>
        <v>0</v>
      </c>
      <c r="M113" s="217">
        <f t="shared" si="94"/>
        <v>0</v>
      </c>
      <c r="N113" s="19"/>
      <c r="O113" s="19"/>
      <c r="P113" s="146"/>
      <c r="Q113" s="189"/>
      <c r="R113" s="189"/>
      <c r="S113" s="189"/>
      <c r="T113" s="189"/>
      <c r="U113" s="189"/>
      <c r="V113" s="189"/>
      <c r="W113" s="182">
        <f>J113</f>
        <v>0</v>
      </c>
      <c r="X113" s="182">
        <f>H113*$M$1</f>
        <v>0</v>
      </c>
    </row>
    <row r="114" spans="1:28" ht="15" customHeight="1" x14ac:dyDescent="0.25">
      <c r="A114" s="201"/>
      <c r="B114" s="217">
        <v>0</v>
      </c>
      <c r="C114" s="217">
        <v>0</v>
      </c>
      <c r="D114" s="138">
        <f>'Data Ocupacion'!AH35</f>
        <v>0</v>
      </c>
      <c r="E114" s="138">
        <f>'Data Ocupacion'!AI35</f>
        <v>0</v>
      </c>
      <c r="F114" s="217" t="s">
        <v>122</v>
      </c>
      <c r="G114" s="217">
        <f t="shared" si="90"/>
        <v>0</v>
      </c>
      <c r="H114" s="217">
        <f t="shared" si="91"/>
        <v>0</v>
      </c>
      <c r="I114" s="217">
        <f t="shared" si="92"/>
        <v>0</v>
      </c>
      <c r="J114" s="217">
        <f>G114*K$1</f>
        <v>0</v>
      </c>
      <c r="K114" s="153">
        <f>I114*K$1</f>
        <v>0</v>
      </c>
      <c r="L114" s="217">
        <f t="shared" si="93"/>
        <v>0</v>
      </c>
      <c r="M114" s="217">
        <f t="shared" si="94"/>
        <v>0</v>
      </c>
      <c r="N114" s="19"/>
      <c r="O114" s="19"/>
      <c r="P114" s="146"/>
      <c r="Q114" s="189"/>
      <c r="R114" s="189"/>
      <c r="S114" s="189"/>
      <c r="T114" s="189"/>
      <c r="U114" s="189"/>
      <c r="V114" s="189"/>
      <c r="W114" s="182">
        <f>J114</f>
        <v>0</v>
      </c>
      <c r="X114" s="182">
        <f>H114*$K$1</f>
        <v>0</v>
      </c>
    </row>
    <row r="115" spans="1:28" ht="15" customHeight="1" thickBot="1" x14ac:dyDescent="0.3">
      <c r="A115" s="201"/>
      <c r="B115" s="217">
        <v>0</v>
      </c>
      <c r="C115" s="217">
        <v>0</v>
      </c>
      <c r="D115" s="138">
        <f>'Data Ocupacion'!AH36</f>
        <v>0</v>
      </c>
      <c r="E115" s="138">
        <f>'Data Ocupacion'!AI36</f>
        <v>0</v>
      </c>
      <c r="F115" s="217" t="s">
        <v>35</v>
      </c>
      <c r="G115" s="217">
        <f t="shared" si="90"/>
        <v>0</v>
      </c>
      <c r="H115" s="217">
        <f t="shared" si="91"/>
        <v>0</v>
      </c>
      <c r="I115" s="217">
        <f t="shared" si="92"/>
        <v>0</v>
      </c>
      <c r="J115" s="217">
        <f>G115*K$1</f>
        <v>0</v>
      </c>
      <c r="K115" s="153">
        <f>I115*K$1</f>
        <v>0</v>
      </c>
      <c r="L115" s="217">
        <f t="shared" si="93"/>
        <v>0</v>
      </c>
      <c r="M115" s="217">
        <f t="shared" si="94"/>
        <v>0</v>
      </c>
      <c r="N115" s="19"/>
      <c r="O115" s="19"/>
      <c r="P115" s="146"/>
      <c r="Q115" s="189"/>
      <c r="R115" s="189"/>
      <c r="S115" s="189"/>
      <c r="T115" s="189"/>
      <c r="U115" s="189"/>
      <c r="V115" s="189"/>
      <c r="W115" s="182">
        <f>J115</f>
        <v>0</v>
      </c>
      <c r="X115" s="182">
        <f>H115*$K$1</f>
        <v>0</v>
      </c>
    </row>
    <row r="116" spans="1:28" s="124" customFormat="1" ht="15" customHeight="1" thickBot="1" x14ac:dyDescent="0.3">
      <c r="A116" s="20"/>
      <c r="B116" s="119">
        <f>SUM(B110:B115)</f>
        <v>108</v>
      </c>
      <c r="C116" s="119">
        <f>SUM(C110:C115)</f>
        <v>3</v>
      </c>
      <c r="D116" s="152">
        <f>SUM(D110:D115)</f>
        <v>108</v>
      </c>
      <c r="E116" s="152">
        <f>SUM(E110:E115)</f>
        <v>3</v>
      </c>
      <c r="F116" s="119"/>
      <c r="G116" s="119">
        <f t="shared" ref="G116:M116" si="95">SUM(G110:G115)</f>
        <v>114</v>
      </c>
      <c r="H116" s="119">
        <f t="shared" si="95"/>
        <v>114</v>
      </c>
      <c r="I116" s="119">
        <f t="shared" si="95"/>
        <v>111</v>
      </c>
      <c r="J116" s="120">
        <f t="shared" si="95"/>
        <v>4916.8200000000006</v>
      </c>
      <c r="K116" s="119">
        <f t="shared" si="95"/>
        <v>4787.43</v>
      </c>
      <c r="L116" s="118">
        <f t="shared" si="95"/>
        <v>511349.28000000009</v>
      </c>
      <c r="M116" s="151">
        <f t="shared" si="95"/>
        <v>11544</v>
      </c>
      <c r="N116" s="123">
        <f>'Odometro-Kilometraje'!Q88</f>
        <v>5053</v>
      </c>
      <c r="O116" s="21">
        <f>(W116/N116)*100</f>
        <v>97.304967346131022</v>
      </c>
      <c r="P116" s="192"/>
      <c r="Q116" s="181"/>
      <c r="R116" s="181"/>
      <c r="S116" s="181"/>
      <c r="T116" s="181"/>
      <c r="U116" s="181"/>
      <c r="V116" s="181"/>
      <c r="W116" s="193">
        <f>SUM(W110:W115)</f>
        <v>4916.8200000000006</v>
      </c>
      <c r="X116" s="193">
        <f>SUM(X110:X115)</f>
        <v>4916.8200000000006</v>
      </c>
    </row>
    <row r="117" spans="1:28" ht="16.149999999999999" customHeight="1" x14ac:dyDescent="0.25">
      <c r="A117" s="60">
        <f>A110+1</f>
        <v>46220</v>
      </c>
      <c r="B117" s="293">
        <v>38</v>
      </c>
      <c r="C117" s="293">
        <v>41</v>
      </c>
      <c r="D117" s="138">
        <f>'Data Ocupacion'!AJ31</f>
        <v>29</v>
      </c>
      <c r="E117" s="138">
        <f>'Data Ocupacion'!AK31</f>
        <v>1</v>
      </c>
      <c r="F117" s="219" t="s">
        <v>38</v>
      </c>
      <c r="G117" s="220">
        <f t="shared" ref="G117:G122" si="96">D117+E117*2</f>
        <v>31</v>
      </c>
      <c r="H117" s="125">
        <f t="shared" ref="H117:H122" si="97">B117+C117*2</f>
        <v>120</v>
      </c>
      <c r="I117" s="221">
        <f t="shared" ref="I117:I122" si="98">D117+E117</f>
        <v>30</v>
      </c>
      <c r="J117" s="350">
        <f>G117*M$2-((2*AH2)+(1*AJ1)+(12*S2))</f>
        <v>1148.26</v>
      </c>
      <c r="K117" s="153">
        <f>I117*M$2</f>
        <v>1293.9000000000001</v>
      </c>
      <c r="L117" s="125">
        <f t="shared" ref="L117:L122" si="99">J117*104</f>
        <v>119419.04</v>
      </c>
      <c r="M117" s="125">
        <f t="shared" ref="M117:M122" si="100">I117*104</f>
        <v>3120</v>
      </c>
      <c r="N117" s="19"/>
      <c r="O117" s="19"/>
      <c r="P117" s="146"/>
      <c r="Q117" s="183"/>
      <c r="R117" s="183"/>
      <c r="S117" s="205"/>
      <c r="T117" s="283"/>
      <c r="U117" s="191"/>
      <c r="V117" s="227"/>
      <c r="W117" s="182">
        <f>J117-(Q117*($M$2-$K$1))-(R117*($M$2-$M$1))- (S117*($M$2-$I$2))+ (T117*($G$2))</f>
        <v>1148.26</v>
      </c>
      <c r="X117" s="182">
        <f>H117*$M$2</f>
        <v>5175.6000000000004</v>
      </c>
      <c r="Y117">
        <f>SUM(Z117:AB117)</f>
        <v>188.77</v>
      </c>
      <c r="Z117" s="124">
        <f>2*AH2</f>
        <v>62.84</v>
      </c>
      <c r="AA117" s="124">
        <f>1*AJ1</f>
        <v>37.130000000000003</v>
      </c>
      <c r="AB117">
        <f>12*S2</f>
        <v>88.800000000000011</v>
      </c>
    </row>
    <row r="118" spans="1:28" ht="15" customHeight="1" x14ac:dyDescent="0.25">
      <c r="A118" s="371" t="s">
        <v>186</v>
      </c>
      <c r="B118" s="293">
        <v>36</v>
      </c>
      <c r="C118" s="293">
        <v>42</v>
      </c>
      <c r="D118" s="126">
        <f>'Data Ocupacion'!AJ32</f>
        <v>28</v>
      </c>
      <c r="E118" s="126">
        <f>'Data Ocupacion'!AK32</f>
        <v>0</v>
      </c>
      <c r="F118" s="219" t="s">
        <v>52</v>
      </c>
      <c r="G118" s="220">
        <f t="shared" si="96"/>
        <v>28</v>
      </c>
      <c r="H118" s="125">
        <f t="shared" si="97"/>
        <v>120</v>
      </c>
      <c r="I118" s="125">
        <f t="shared" si="98"/>
        <v>28</v>
      </c>
      <c r="J118" s="350">
        <f>G118*M$2-((9*S2)+(1*AL1)+(2*Z1))</f>
        <v>1102.0400000000002</v>
      </c>
      <c r="K118" s="153">
        <f>I118*M$2</f>
        <v>1207.6400000000001</v>
      </c>
      <c r="L118" s="125">
        <f t="shared" si="99"/>
        <v>114612.16000000002</v>
      </c>
      <c r="M118" s="125">
        <f t="shared" si="100"/>
        <v>2912</v>
      </c>
      <c r="N118" s="19"/>
      <c r="O118" s="19"/>
      <c r="P118" s="146"/>
      <c r="Q118" s="186"/>
      <c r="R118" s="186"/>
      <c r="S118" s="216"/>
      <c r="T118" s="183"/>
      <c r="U118" s="216"/>
      <c r="V118" s="228"/>
      <c r="W118" s="185">
        <f>J118-(T118*($M$2-$K$1)+(U118*($M$2-$M$1)))</f>
        <v>1102.0400000000002</v>
      </c>
      <c r="X118" s="182">
        <f>H118*$M$2</f>
        <v>5175.6000000000004</v>
      </c>
      <c r="Y118" s="124">
        <f>SUM(Z118:AB118)</f>
        <v>105.60000000000001</v>
      </c>
      <c r="Z118" s="124">
        <f>9*S2</f>
        <v>66.600000000000009</v>
      </c>
      <c r="AA118" s="124">
        <f>1*AL1</f>
        <v>27</v>
      </c>
      <c r="AB118" s="124">
        <f>2*Z1</f>
        <v>12</v>
      </c>
    </row>
    <row r="119" spans="1:28" ht="15" customHeight="1" x14ac:dyDescent="0.25">
      <c r="A119" s="371"/>
      <c r="B119" s="293">
        <v>33</v>
      </c>
      <c r="C119" s="293">
        <v>3</v>
      </c>
      <c r="D119" s="126">
        <f>'Data Ocupacion'!AJ33</f>
        <v>9</v>
      </c>
      <c r="E119" s="126">
        <f>'Data Ocupacion'!AK33</f>
        <v>0</v>
      </c>
      <c r="F119" s="219" t="s">
        <v>36</v>
      </c>
      <c r="G119" s="220">
        <f t="shared" si="96"/>
        <v>9</v>
      </c>
      <c r="H119" s="125">
        <f t="shared" si="97"/>
        <v>39</v>
      </c>
      <c r="I119" s="125">
        <f t="shared" si="98"/>
        <v>9</v>
      </c>
      <c r="J119" s="350">
        <f>(G119*M$1)-(3*AJ2)</f>
        <v>209.79000000000002</v>
      </c>
      <c r="K119" s="153">
        <f>I119*M$1</f>
        <v>261.99</v>
      </c>
      <c r="L119" s="125">
        <f t="shared" si="99"/>
        <v>21818.160000000003</v>
      </c>
      <c r="M119" s="125">
        <f t="shared" si="100"/>
        <v>936</v>
      </c>
      <c r="N119" s="19"/>
      <c r="O119" s="19"/>
      <c r="P119" s="146"/>
      <c r="Q119" s="243"/>
      <c r="R119" s="190"/>
      <c r="S119" s="227"/>
      <c r="T119" s="186"/>
      <c r="U119" s="189"/>
      <c r="V119" s="189"/>
      <c r="W119" s="182">
        <f>J119-(Q119*($M$1-$K$1))</f>
        <v>209.79000000000002</v>
      </c>
      <c r="X119" s="182">
        <f>H119*$M$1</f>
        <v>1135.29</v>
      </c>
      <c r="Y119" s="124">
        <f>SUM(Z119:AB119)</f>
        <v>52.199999999999996</v>
      </c>
      <c r="Z119" s="124">
        <f>3*AJ2</f>
        <v>52.199999999999996</v>
      </c>
    </row>
    <row r="120" spans="1:28" ht="15" customHeight="1" x14ac:dyDescent="0.25">
      <c r="A120" s="371"/>
      <c r="B120" s="293">
        <v>29</v>
      </c>
      <c r="C120" s="293">
        <v>3</v>
      </c>
      <c r="D120" s="126">
        <f>'Data Ocupacion'!AJ34</f>
        <v>11</v>
      </c>
      <c r="E120" s="126">
        <f>'Data Ocupacion'!AK34</f>
        <v>0</v>
      </c>
      <c r="F120" s="219" t="s">
        <v>53</v>
      </c>
      <c r="G120" s="220">
        <f t="shared" si="96"/>
        <v>11</v>
      </c>
      <c r="H120" s="125">
        <f t="shared" si="97"/>
        <v>35</v>
      </c>
      <c r="I120" s="125">
        <f t="shared" si="98"/>
        <v>11</v>
      </c>
      <c r="J120" s="350">
        <f>G120*M$1-(1*S2)</f>
        <v>312.81</v>
      </c>
      <c r="K120" s="153">
        <f>I120*M$1</f>
        <v>320.20999999999998</v>
      </c>
      <c r="L120" s="125">
        <f t="shared" si="99"/>
        <v>32532.240000000002</v>
      </c>
      <c r="M120" s="125">
        <f t="shared" si="100"/>
        <v>1144</v>
      </c>
      <c r="N120" s="19"/>
      <c r="O120" s="19"/>
      <c r="P120" s="146"/>
      <c r="Q120" s="189"/>
      <c r="R120" s="189"/>
      <c r="S120" s="189"/>
      <c r="T120" s="189"/>
      <c r="U120" s="189"/>
      <c r="V120" s="189"/>
      <c r="W120" s="182">
        <f>J120</f>
        <v>312.81</v>
      </c>
      <c r="X120" s="182">
        <f>H120*$M$1</f>
        <v>1018.85</v>
      </c>
      <c r="Y120" s="124">
        <f>SUM(Z120:AB120)</f>
        <v>7.4</v>
      </c>
      <c r="Z120" s="124">
        <f>1*S2</f>
        <v>7.4</v>
      </c>
    </row>
    <row r="121" spans="1:28" ht="15" customHeight="1" x14ac:dyDescent="0.25">
      <c r="A121" s="371"/>
      <c r="B121" s="293">
        <v>0</v>
      </c>
      <c r="C121" s="293">
        <v>0</v>
      </c>
      <c r="D121" s="126">
        <f>'Data Ocupacion'!AJ35</f>
        <v>0</v>
      </c>
      <c r="E121" s="126">
        <f>'Data Ocupacion'!AK35</f>
        <v>0</v>
      </c>
      <c r="F121" s="219" t="s">
        <v>122</v>
      </c>
      <c r="G121" s="220">
        <f t="shared" si="96"/>
        <v>0</v>
      </c>
      <c r="H121" s="125">
        <f t="shared" si="97"/>
        <v>0</v>
      </c>
      <c r="I121" s="125">
        <f t="shared" si="98"/>
        <v>0</v>
      </c>
      <c r="J121" s="222">
        <f>G121*K$1</f>
        <v>0</v>
      </c>
      <c r="K121" s="153">
        <f>I121*K$1</f>
        <v>0</v>
      </c>
      <c r="L121" s="125">
        <f t="shared" si="99"/>
        <v>0</v>
      </c>
      <c r="M121" s="125">
        <f t="shared" si="100"/>
        <v>0</v>
      </c>
      <c r="N121" s="19"/>
      <c r="O121" s="19"/>
      <c r="P121" s="146"/>
      <c r="Q121" s="189"/>
      <c r="R121" s="189"/>
      <c r="S121" s="189"/>
      <c r="T121" s="189"/>
      <c r="U121" s="189"/>
      <c r="V121" s="189"/>
      <c r="W121" s="182">
        <f>J121</f>
        <v>0</v>
      </c>
      <c r="X121" s="182">
        <f>H121*$K$1</f>
        <v>0</v>
      </c>
    </row>
    <row r="122" spans="1:28" ht="14.25" customHeight="1" thickBot="1" x14ac:dyDescent="0.3">
      <c r="A122" s="371"/>
      <c r="B122" s="293">
        <v>4</v>
      </c>
      <c r="C122" s="293">
        <v>0</v>
      </c>
      <c r="D122" s="126">
        <f>'Data Ocupacion'!AJ36</f>
        <v>1</v>
      </c>
      <c r="E122" s="126">
        <f>'Data Ocupacion'!AK36</f>
        <v>0</v>
      </c>
      <c r="F122" s="219" t="s">
        <v>35</v>
      </c>
      <c r="G122" s="220">
        <f t="shared" si="96"/>
        <v>1</v>
      </c>
      <c r="H122" s="125">
        <f t="shared" si="97"/>
        <v>4</v>
      </c>
      <c r="I122" s="223">
        <f t="shared" si="98"/>
        <v>1</v>
      </c>
      <c r="J122" s="223">
        <f>G122*K$1</f>
        <v>25.4</v>
      </c>
      <c r="K122" s="153">
        <f>I122*K$1</f>
        <v>25.4</v>
      </c>
      <c r="L122" s="125">
        <f t="shared" si="99"/>
        <v>2641.6</v>
      </c>
      <c r="M122" s="125">
        <f t="shared" si="100"/>
        <v>104</v>
      </c>
      <c r="N122" s="19"/>
      <c r="O122" s="19"/>
      <c r="P122" s="146"/>
      <c r="Q122" s="189"/>
      <c r="R122" s="189"/>
      <c r="S122" s="189"/>
      <c r="T122" s="189"/>
      <c r="U122" s="189"/>
      <c r="V122" s="189"/>
      <c r="W122" s="182">
        <f>J122</f>
        <v>25.4</v>
      </c>
      <c r="X122" s="182">
        <f>H122*$K$1</f>
        <v>101.6</v>
      </c>
    </row>
    <row r="123" spans="1:28" s="124" customFormat="1" ht="15" customHeight="1" thickBot="1" x14ac:dyDescent="0.3">
      <c r="A123" s="20"/>
      <c r="B123" s="119">
        <f>SUM(B117:B122)</f>
        <v>140</v>
      </c>
      <c r="C123" s="119">
        <f>SUM(C117:C122)</f>
        <v>89</v>
      </c>
      <c r="D123" s="148">
        <f>SUM(D117:D122)</f>
        <v>78</v>
      </c>
      <c r="E123" s="148">
        <f>SUM(E117:E122)</f>
        <v>1</v>
      </c>
      <c r="F123" s="119"/>
      <c r="G123" s="119">
        <f t="shared" ref="G123:M123" si="101">SUM(G117:G122)</f>
        <v>80</v>
      </c>
      <c r="H123" s="119">
        <f t="shared" si="101"/>
        <v>318</v>
      </c>
      <c r="I123" s="119">
        <f t="shared" si="101"/>
        <v>79</v>
      </c>
      <c r="J123" s="120">
        <f t="shared" si="101"/>
        <v>2798.3</v>
      </c>
      <c r="K123" s="119">
        <f t="shared" si="101"/>
        <v>3109.14</v>
      </c>
      <c r="L123" s="119">
        <f t="shared" si="101"/>
        <v>291023.2</v>
      </c>
      <c r="M123" s="119">
        <f t="shared" si="101"/>
        <v>8216</v>
      </c>
      <c r="N123" s="123">
        <f>'Odometro-Kilometraje'!R88</f>
        <v>3039</v>
      </c>
      <c r="O123" s="21">
        <f>(W123/N123)*100</f>
        <v>92.07963145771636</v>
      </c>
      <c r="P123" s="192"/>
      <c r="Q123" s="181"/>
      <c r="R123" s="181"/>
      <c r="S123" s="181"/>
      <c r="T123" s="181"/>
      <c r="U123" s="181"/>
      <c r="V123" s="181"/>
      <c r="W123" s="193">
        <f>SUM(W117:W122)</f>
        <v>2798.3</v>
      </c>
      <c r="X123" s="193">
        <f>SUM(X117:X122)</f>
        <v>12606.940000000002</v>
      </c>
      <c r="Y123" s="124">
        <f>SUM(Y117:Y120)</f>
        <v>353.96999999999997</v>
      </c>
      <c r="AB123" s="172"/>
    </row>
    <row r="124" spans="1:28" ht="16.149999999999999" customHeight="1" x14ac:dyDescent="0.25">
      <c r="A124" s="60">
        <f>A117+1</f>
        <v>46221</v>
      </c>
      <c r="B124" s="116">
        <v>69</v>
      </c>
      <c r="C124" s="116">
        <v>3</v>
      </c>
      <c r="D124" s="147">
        <f>'Data Ocupacion'!AL31</f>
        <v>59</v>
      </c>
      <c r="E124" s="147">
        <f>'Data Ocupacion'!AM31</f>
        <v>0</v>
      </c>
      <c r="F124" s="116" t="s">
        <v>38</v>
      </c>
      <c r="G124" s="116">
        <f t="shared" ref="G124:G129" si="102">D124+E124*2</f>
        <v>59</v>
      </c>
      <c r="H124" s="116">
        <f t="shared" ref="H124:H129" si="103">B124+C124*2</f>
        <v>75</v>
      </c>
      <c r="I124" s="116">
        <f t="shared" ref="I124:I129" si="104">D124+E124</f>
        <v>59</v>
      </c>
      <c r="J124" s="116">
        <f>G124*M$2</f>
        <v>2544.67</v>
      </c>
      <c r="K124" s="153">
        <f>I124*M$2</f>
        <v>2544.67</v>
      </c>
      <c r="L124" s="116">
        <f t="shared" ref="L124:L129" si="105">J124*104</f>
        <v>264645.68</v>
      </c>
      <c r="M124" s="116">
        <f t="shared" ref="M124:M129" si="106">I124*104</f>
        <v>6136</v>
      </c>
      <c r="N124" s="19"/>
      <c r="O124" s="19"/>
      <c r="P124" s="146"/>
      <c r="Q124" s="243"/>
      <c r="R124" s="183"/>
      <c r="S124" s="205"/>
      <c r="T124" s="283"/>
      <c r="U124" s="191"/>
      <c r="V124" s="227"/>
      <c r="W124" s="182">
        <f>J124-(Q124*($M$2-$K$1))-(R124*($M$2-$M$1))- (S124*($M$2-$I$2))+ (T124*($G$2))</f>
        <v>2544.67</v>
      </c>
      <c r="X124" s="182">
        <f>H124*$M$2</f>
        <v>3234.75</v>
      </c>
    </row>
    <row r="125" spans="1:28" ht="15" customHeight="1" x14ac:dyDescent="0.25">
      <c r="A125" s="201"/>
      <c r="B125" s="116">
        <v>75</v>
      </c>
      <c r="C125" s="116">
        <v>0</v>
      </c>
      <c r="D125" s="147">
        <f>'Data Ocupacion'!AL32</f>
        <v>62</v>
      </c>
      <c r="E125" s="147">
        <f>'Data Ocupacion'!AM32</f>
        <v>0</v>
      </c>
      <c r="F125" s="116" t="s">
        <v>52</v>
      </c>
      <c r="G125" s="116">
        <f t="shared" si="102"/>
        <v>62</v>
      </c>
      <c r="H125" s="116">
        <f t="shared" si="103"/>
        <v>75</v>
      </c>
      <c r="I125" s="116">
        <f t="shared" si="104"/>
        <v>62</v>
      </c>
      <c r="J125" s="116">
        <f>G125*M$2</f>
        <v>2674.06</v>
      </c>
      <c r="K125" s="153">
        <f>I125*M$2</f>
        <v>2674.06</v>
      </c>
      <c r="L125" s="116">
        <f t="shared" si="105"/>
        <v>278102.24</v>
      </c>
      <c r="M125" s="116">
        <f t="shared" si="106"/>
        <v>6448</v>
      </c>
      <c r="N125" s="19"/>
      <c r="O125" s="19"/>
      <c r="P125" s="146"/>
      <c r="Q125" s="186"/>
      <c r="R125" s="186"/>
      <c r="S125" s="216"/>
      <c r="T125" s="183"/>
      <c r="U125" s="216"/>
      <c r="V125" s="228"/>
      <c r="W125" s="182">
        <f>J125-(Q125*($K$1)+(T125*($M$2-$K$1))+(U125*($M$2-$M$1)))</f>
        <v>2674.06</v>
      </c>
      <c r="X125" s="182">
        <f>H125*$M$2</f>
        <v>3234.75</v>
      </c>
    </row>
    <row r="126" spans="1:28" ht="15" customHeight="1" x14ac:dyDescent="0.25">
      <c r="A126" s="201"/>
      <c r="B126" s="116">
        <v>0</v>
      </c>
      <c r="C126" s="116">
        <v>0</v>
      </c>
      <c r="D126" s="147">
        <f>'Data Ocupacion'!AL33</f>
        <v>0</v>
      </c>
      <c r="E126" s="147">
        <f>'Data Ocupacion'!AM33</f>
        <v>0</v>
      </c>
      <c r="F126" s="116" t="s">
        <v>36</v>
      </c>
      <c r="G126" s="116">
        <f t="shared" si="102"/>
        <v>0</v>
      </c>
      <c r="H126" s="116">
        <f t="shared" si="103"/>
        <v>0</v>
      </c>
      <c r="I126" s="116">
        <f t="shared" si="104"/>
        <v>0</v>
      </c>
      <c r="J126" s="116">
        <f>G126*M$1</f>
        <v>0</v>
      </c>
      <c r="K126" s="153">
        <f>I126*M$1</f>
        <v>0</v>
      </c>
      <c r="L126" s="116">
        <f t="shared" si="105"/>
        <v>0</v>
      </c>
      <c r="M126" s="116">
        <f t="shared" si="106"/>
        <v>0</v>
      </c>
      <c r="N126" s="19"/>
      <c r="O126" s="19"/>
      <c r="P126" s="146"/>
      <c r="Q126" s="243"/>
      <c r="R126" s="190"/>
      <c r="S126" s="227"/>
      <c r="T126" s="186"/>
      <c r="U126" s="189"/>
      <c r="V126" s="189"/>
      <c r="W126" s="182">
        <f>J126-(Q126*($M$1-$K$1))</f>
        <v>0</v>
      </c>
      <c r="X126" s="182">
        <f>H126*$M$1</f>
        <v>0</v>
      </c>
    </row>
    <row r="127" spans="1:28" ht="15" customHeight="1" x14ac:dyDescent="0.25">
      <c r="A127" s="201"/>
      <c r="B127" s="116">
        <v>0</v>
      </c>
      <c r="C127" s="116">
        <v>0</v>
      </c>
      <c r="D127" s="147">
        <f>'Data Ocupacion'!AL34</f>
        <v>0</v>
      </c>
      <c r="E127" s="147">
        <f>'Data Ocupacion'!AM34</f>
        <v>0</v>
      </c>
      <c r="F127" s="116" t="s">
        <v>53</v>
      </c>
      <c r="G127" s="116">
        <f t="shared" si="102"/>
        <v>0</v>
      </c>
      <c r="H127" s="116">
        <f t="shared" si="103"/>
        <v>0</v>
      </c>
      <c r="I127" s="116">
        <f t="shared" si="104"/>
        <v>0</v>
      </c>
      <c r="J127" s="116">
        <f>G127*M$1</f>
        <v>0</v>
      </c>
      <c r="K127" s="153">
        <f>I127*M$1</f>
        <v>0</v>
      </c>
      <c r="L127" s="116">
        <f t="shared" si="105"/>
        <v>0</v>
      </c>
      <c r="M127" s="116">
        <f t="shared" si="106"/>
        <v>0</v>
      </c>
      <c r="N127" s="19"/>
      <c r="O127" s="19"/>
      <c r="P127" s="146"/>
      <c r="Q127" s="189"/>
      <c r="R127" s="189"/>
      <c r="S127" s="189"/>
      <c r="T127" s="189"/>
      <c r="U127" s="189"/>
      <c r="V127" s="189"/>
      <c r="W127" s="182">
        <f>J127</f>
        <v>0</v>
      </c>
      <c r="X127" s="182">
        <f>H127*$M$1</f>
        <v>0</v>
      </c>
    </row>
    <row r="128" spans="1:28" s="124" customFormat="1" ht="15" customHeight="1" x14ac:dyDescent="0.25">
      <c r="A128" s="201"/>
      <c r="B128" s="116">
        <v>0</v>
      </c>
      <c r="C128" s="116">
        <v>0</v>
      </c>
      <c r="D128" s="147">
        <f>'Data Ocupacion'!AL35</f>
        <v>0</v>
      </c>
      <c r="E128" s="147">
        <f>'Data Ocupacion'!AM35</f>
        <v>0</v>
      </c>
      <c r="F128" s="116" t="s">
        <v>122</v>
      </c>
      <c r="G128" s="116">
        <f t="shared" si="102"/>
        <v>0</v>
      </c>
      <c r="H128" s="116">
        <f t="shared" si="103"/>
        <v>0</v>
      </c>
      <c r="I128" s="116">
        <f t="shared" si="104"/>
        <v>0</v>
      </c>
      <c r="J128" s="116">
        <f>G128*K$1</f>
        <v>0</v>
      </c>
      <c r="K128" s="153">
        <f>I128*K$1</f>
        <v>0</v>
      </c>
      <c r="L128" s="116">
        <f t="shared" si="105"/>
        <v>0</v>
      </c>
      <c r="M128" s="116">
        <f t="shared" si="106"/>
        <v>0</v>
      </c>
      <c r="N128" s="19"/>
      <c r="O128" s="19"/>
      <c r="P128" s="146"/>
      <c r="Q128" s="189"/>
      <c r="R128" s="189"/>
      <c r="S128" s="189"/>
      <c r="T128" s="189"/>
      <c r="U128" s="189"/>
      <c r="V128" s="189"/>
      <c r="W128" s="182">
        <f>J128</f>
        <v>0</v>
      </c>
      <c r="X128" s="182">
        <f>H128*$K$1</f>
        <v>0</v>
      </c>
    </row>
    <row r="129" spans="1:27" s="124" customFormat="1" ht="15" customHeight="1" thickBot="1" x14ac:dyDescent="0.3">
      <c r="A129" s="201"/>
      <c r="B129" s="116">
        <v>0</v>
      </c>
      <c r="C129" s="116">
        <v>0</v>
      </c>
      <c r="D129" s="334">
        <f>'Data Ocupacion'!AL36</f>
        <v>0</v>
      </c>
      <c r="E129" s="147">
        <f>'Data Ocupacion'!AM36</f>
        <v>0</v>
      </c>
      <c r="F129" s="116" t="s">
        <v>35</v>
      </c>
      <c r="G129" s="116">
        <f t="shared" si="102"/>
        <v>0</v>
      </c>
      <c r="H129" s="116">
        <f t="shared" si="103"/>
        <v>0</v>
      </c>
      <c r="I129" s="116">
        <f t="shared" si="104"/>
        <v>0</v>
      </c>
      <c r="J129" s="116">
        <f>G129*K$1</f>
        <v>0</v>
      </c>
      <c r="K129" s="153">
        <f>I129*K$1</f>
        <v>0</v>
      </c>
      <c r="L129" s="116">
        <f t="shared" si="105"/>
        <v>0</v>
      </c>
      <c r="M129" s="116">
        <f t="shared" si="106"/>
        <v>0</v>
      </c>
      <c r="N129" s="19"/>
      <c r="O129" s="19"/>
      <c r="P129" s="146"/>
      <c r="Q129" s="189"/>
      <c r="R129" s="189"/>
      <c r="S129" s="189"/>
      <c r="T129" s="189"/>
      <c r="U129" s="189"/>
      <c r="V129" s="189"/>
      <c r="W129" s="182">
        <f>J129</f>
        <v>0</v>
      </c>
      <c r="X129" s="182">
        <f>H129*$K$1</f>
        <v>0</v>
      </c>
    </row>
    <row r="130" spans="1:27" s="124" customFormat="1" ht="15" customHeight="1" thickBot="1" x14ac:dyDescent="0.3">
      <c r="A130" s="20"/>
      <c r="B130" s="119">
        <f>SUM(B124:B129)</f>
        <v>144</v>
      </c>
      <c r="C130" s="119">
        <f>SUM(C124:C129)</f>
        <v>3</v>
      </c>
      <c r="D130" s="152">
        <f>SUM(D124:D129)</f>
        <v>121</v>
      </c>
      <c r="E130" s="152">
        <f>SUM(E124:E129)</f>
        <v>0</v>
      </c>
      <c r="F130" s="119"/>
      <c r="G130" s="119">
        <f t="shared" ref="G130:M130" si="107">SUM(G124:G129)</f>
        <v>121</v>
      </c>
      <c r="H130" s="119">
        <f t="shared" si="107"/>
        <v>150</v>
      </c>
      <c r="I130" s="119">
        <f t="shared" si="107"/>
        <v>121</v>
      </c>
      <c r="J130" s="120">
        <f t="shared" si="107"/>
        <v>5218.7299999999996</v>
      </c>
      <c r="K130" s="119">
        <f t="shared" si="107"/>
        <v>5218.7299999999996</v>
      </c>
      <c r="L130" s="118">
        <f t="shared" si="107"/>
        <v>542747.91999999993</v>
      </c>
      <c r="M130" s="151">
        <f t="shared" si="107"/>
        <v>12584</v>
      </c>
      <c r="N130" s="123">
        <f>'Odometro-Kilometraje'!S88</f>
        <v>5960</v>
      </c>
      <c r="O130" s="21">
        <f>(W130/N130)*100</f>
        <v>87.56258389261744</v>
      </c>
      <c r="P130" s="192"/>
      <c r="Q130" s="181"/>
      <c r="R130" s="181"/>
      <c r="S130" s="181"/>
      <c r="T130" s="181"/>
      <c r="U130" s="181"/>
      <c r="V130" s="181"/>
      <c r="W130" s="193">
        <f>SUM(W124:W129)</f>
        <v>5218.7299999999996</v>
      </c>
      <c r="X130" s="193">
        <f>SUM(X124:X129)</f>
        <v>6469.5</v>
      </c>
    </row>
    <row r="131" spans="1:27" ht="15" customHeight="1" x14ac:dyDescent="0.25">
      <c r="A131" s="60">
        <f>A124+1</f>
        <v>46222</v>
      </c>
      <c r="B131" s="217">
        <v>51</v>
      </c>
      <c r="C131" s="217">
        <v>3</v>
      </c>
      <c r="D131" s="138">
        <f>'Data Ocupacion'!AN31</f>
        <v>50</v>
      </c>
      <c r="E131" s="138">
        <f>'Data Ocupacion'!AO31</f>
        <v>4</v>
      </c>
      <c r="F131" s="217" t="s">
        <v>38</v>
      </c>
      <c r="G131" s="217">
        <f t="shared" ref="G131:G136" si="108">D131+E131*2</f>
        <v>58</v>
      </c>
      <c r="H131" s="217">
        <f t="shared" ref="H131:H136" si="109">B131+C131*2</f>
        <v>57</v>
      </c>
      <c r="I131" s="217">
        <f t="shared" ref="I131:I136" si="110">D131+E131</f>
        <v>54</v>
      </c>
      <c r="J131" s="217">
        <f>G131*M$2</f>
        <v>2501.54</v>
      </c>
      <c r="K131" s="153">
        <f>I131*M$2</f>
        <v>2329.02</v>
      </c>
      <c r="L131" s="217">
        <f t="shared" ref="L131:L136" si="111">J131*104</f>
        <v>260160.16</v>
      </c>
      <c r="M131" s="217">
        <f t="shared" ref="M131:M136" si="112">I131*104</f>
        <v>5616</v>
      </c>
      <c r="N131" s="19"/>
      <c r="O131" s="19"/>
      <c r="P131" s="146"/>
      <c r="Q131" s="183"/>
      <c r="R131" s="183"/>
      <c r="S131" s="205"/>
      <c r="T131" s="283"/>
      <c r="U131" s="191"/>
      <c r="V131" s="227"/>
      <c r="W131" s="182">
        <f>J131-(Q131*($M$2-$K$1))-(R131*($M$2-$M$1))- (S131*($M$2-$I$2))+ (T131*($G$2))</f>
        <v>2501.54</v>
      </c>
      <c r="X131" s="182">
        <f>H131*$M$2</f>
        <v>2458.4100000000003</v>
      </c>
    </row>
    <row r="132" spans="1:27" ht="15" customHeight="1" x14ac:dyDescent="0.25">
      <c r="A132" s="201"/>
      <c r="B132" s="217">
        <v>57</v>
      </c>
      <c r="C132" s="217">
        <v>0</v>
      </c>
      <c r="D132" s="138">
        <f>'Data Ocupacion'!AN32</f>
        <v>56</v>
      </c>
      <c r="E132" s="138">
        <f>'Data Ocupacion'!AO32</f>
        <v>1</v>
      </c>
      <c r="F132" s="217" t="s">
        <v>52</v>
      </c>
      <c r="G132" s="217">
        <f t="shared" si="108"/>
        <v>58</v>
      </c>
      <c r="H132" s="217">
        <f t="shared" si="109"/>
        <v>57</v>
      </c>
      <c r="I132" s="217">
        <f t="shared" si="110"/>
        <v>57</v>
      </c>
      <c r="J132" s="217">
        <f>G132*M$2</f>
        <v>2501.54</v>
      </c>
      <c r="K132" s="153">
        <f>I132*M$2</f>
        <v>2458.4100000000003</v>
      </c>
      <c r="L132" s="217">
        <f t="shared" si="111"/>
        <v>260160.16</v>
      </c>
      <c r="M132" s="217">
        <f t="shared" si="112"/>
        <v>5928</v>
      </c>
      <c r="N132" s="19"/>
      <c r="O132" s="19"/>
      <c r="P132" s="146"/>
      <c r="Q132" s="186"/>
      <c r="R132" s="186"/>
      <c r="S132" s="216"/>
      <c r="T132" s="183"/>
      <c r="U132" s="216"/>
      <c r="V132" s="228"/>
      <c r="W132" s="185">
        <f>J132-(T132*($M$2-$K$1)+(U132*($M$2-$M$1)))</f>
        <v>2501.54</v>
      </c>
      <c r="X132" s="182">
        <f>H132*$M$2</f>
        <v>2458.4100000000003</v>
      </c>
    </row>
    <row r="133" spans="1:27" ht="15" customHeight="1" x14ac:dyDescent="0.25">
      <c r="A133" s="201"/>
      <c r="B133" s="217">
        <v>0</v>
      </c>
      <c r="C133" s="217">
        <v>0</v>
      </c>
      <c r="D133" s="138">
        <f>'Data Ocupacion'!AN33</f>
        <v>0</v>
      </c>
      <c r="E133" s="138">
        <f>'Data Ocupacion'!AO33</f>
        <v>0</v>
      </c>
      <c r="F133" s="217" t="s">
        <v>36</v>
      </c>
      <c r="G133" s="217">
        <f t="shared" si="108"/>
        <v>0</v>
      </c>
      <c r="H133" s="217">
        <f t="shared" si="109"/>
        <v>0</v>
      </c>
      <c r="I133" s="217">
        <f t="shared" si="110"/>
        <v>0</v>
      </c>
      <c r="J133" s="217">
        <f>G133*M$1</f>
        <v>0</v>
      </c>
      <c r="K133" s="153">
        <f>I133*M$1</f>
        <v>0</v>
      </c>
      <c r="L133" s="217">
        <f t="shared" si="111"/>
        <v>0</v>
      </c>
      <c r="M133" s="217">
        <f t="shared" si="112"/>
        <v>0</v>
      </c>
      <c r="N133" s="19"/>
      <c r="O133" s="19"/>
      <c r="P133" s="146"/>
      <c r="Q133" s="183"/>
      <c r="R133" s="190"/>
      <c r="S133" s="227"/>
      <c r="T133" s="186"/>
      <c r="U133" s="189"/>
      <c r="V133" s="189"/>
      <c r="W133" s="182">
        <f>J133-(Q133*($M$1-$K$1))</f>
        <v>0</v>
      </c>
      <c r="X133" s="182">
        <f>H133*$M$1</f>
        <v>0</v>
      </c>
    </row>
    <row r="134" spans="1:27" ht="15" customHeight="1" x14ac:dyDescent="0.25">
      <c r="A134" s="201"/>
      <c r="B134" s="217">
        <v>0</v>
      </c>
      <c r="C134" s="217">
        <v>0</v>
      </c>
      <c r="D134" s="138">
        <f>'Data Ocupacion'!AN34</f>
        <v>0</v>
      </c>
      <c r="E134" s="138">
        <f>'Data Ocupacion'!AO34</f>
        <v>0</v>
      </c>
      <c r="F134" s="217" t="s">
        <v>53</v>
      </c>
      <c r="G134" s="217">
        <f t="shared" si="108"/>
        <v>0</v>
      </c>
      <c r="H134" s="217">
        <f t="shared" si="109"/>
        <v>0</v>
      </c>
      <c r="I134" s="217">
        <f t="shared" si="110"/>
        <v>0</v>
      </c>
      <c r="J134" s="217">
        <f>G134*M$1</f>
        <v>0</v>
      </c>
      <c r="K134" s="153">
        <f>I134*M$1</f>
        <v>0</v>
      </c>
      <c r="L134" s="217">
        <f t="shared" si="111"/>
        <v>0</v>
      </c>
      <c r="M134" s="217">
        <f t="shared" si="112"/>
        <v>0</v>
      </c>
      <c r="N134" s="19"/>
      <c r="O134" s="19"/>
      <c r="P134" s="146"/>
      <c r="Q134" s="189"/>
      <c r="R134" s="189"/>
      <c r="S134" s="189"/>
      <c r="T134" s="189"/>
      <c r="U134" s="189"/>
      <c r="V134" s="189"/>
      <c r="W134" s="182">
        <f>J134</f>
        <v>0</v>
      </c>
      <c r="X134" s="182">
        <f>H134*$M$1</f>
        <v>0</v>
      </c>
    </row>
    <row r="135" spans="1:27" ht="15" customHeight="1" x14ac:dyDescent="0.25">
      <c r="A135" s="201"/>
      <c r="B135" s="217">
        <v>0</v>
      </c>
      <c r="C135" s="217">
        <v>0</v>
      </c>
      <c r="D135" s="138">
        <f>'Data Ocupacion'!AN35</f>
        <v>0</v>
      </c>
      <c r="E135" s="138">
        <f>'Data Ocupacion'!AO35</f>
        <v>0</v>
      </c>
      <c r="F135" s="217" t="s">
        <v>122</v>
      </c>
      <c r="G135" s="217">
        <f t="shared" si="108"/>
        <v>0</v>
      </c>
      <c r="H135" s="217">
        <f t="shared" si="109"/>
        <v>0</v>
      </c>
      <c r="I135" s="217">
        <f t="shared" si="110"/>
        <v>0</v>
      </c>
      <c r="J135" s="217">
        <f>G135*K$1</f>
        <v>0</v>
      </c>
      <c r="K135" s="153">
        <f>I135*K$1</f>
        <v>0</v>
      </c>
      <c r="L135" s="217">
        <f t="shared" si="111"/>
        <v>0</v>
      </c>
      <c r="M135" s="217">
        <f t="shared" si="112"/>
        <v>0</v>
      </c>
      <c r="N135" s="19"/>
      <c r="O135" s="19"/>
      <c r="P135" s="146"/>
      <c r="Q135" s="189"/>
      <c r="R135" s="189"/>
      <c r="S135" s="189"/>
      <c r="T135" s="189"/>
      <c r="U135" s="189"/>
      <c r="V135" s="189"/>
      <c r="W135" s="182">
        <f>J135</f>
        <v>0</v>
      </c>
      <c r="X135" s="182">
        <f>H135*$K$1</f>
        <v>0</v>
      </c>
    </row>
    <row r="136" spans="1:27" ht="15" customHeight="1" thickBot="1" x14ac:dyDescent="0.3">
      <c r="A136" s="201"/>
      <c r="B136" s="217">
        <v>0</v>
      </c>
      <c r="C136" s="217">
        <v>0</v>
      </c>
      <c r="D136" s="138">
        <f>'Data Ocupacion'!AN36</f>
        <v>0</v>
      </c>
      <c r="E136" s="138">
        <f>'Data Ocupacion'!AO36</f>
        <v>0</v>
      </c>
      <c r="F136" s="217" t="s">
        <v>35</v>
      </c>
      <c r="G136" s="217">
        <f t="shared" si="108"/>
        <v>0</v>
      </c>
      <c r="H136" s="217">
        <f t="shared" si="109"/>
        <v>0</v>
      </c>
      <c r="I136" s="217">
        <f t="shared" si="110"/>
        <v>0</v>
      </c>
      <c r="J136" s="217">
        <f>G136*K$1</f>
        <v>0</v>
      </c>
      <c r="K136" s="153">
        <f>I136*K$1</f>
        <v>0</v>
      </c>
      <c r="L136" s="217">
        <f t="shared" si="111"/>
        <v>0</v>
      </c>
      <c r="M136" s="217">
        <f t="shared" si="112"/>
        <v>0</v>
      </c>
      <c r="N136" s="19"/>
      <c r="O136" s="19"/>
      <c r="P136" s="146"/>
      <c r="Q136" s="189"/>
      <c r="R136" s="189"/>
      <c r="S136" s="189"/>
      <c r="T136" s="189"/>
      <c r="U136" s="189"/>
      <c r="V136" s="189"/>
      <c r="W136" s="182">
        <f>J136</f>
        <v>0</v>
      </c>
      <c r="X136" s="182">
        <f>H136*$K$1</f>
        <v>0</v>
      </c>
    </row>
    <row r="137" spans="1:27" s="124" customFormat="1" ht="15" customHeight="1" thickBot="1" x14ac:dyDescent="0.3">
      <c r="A137" s="20"/>
      <c r="B137" s="119">
        <f>SUM(B131:B136)</f>
        <v>108</v>
      </c>
      <c r="C137" s="119">
        <f>SUM(C131:C136)</f>
        <v>3</v>
      </c>
      <c r="D137" s="152">
        <f>SUM(D131:D136)</f>
        <v>106</v>
      </c>
      <c r="E137" s="152">
        <f>SUM(E131:E136)</f>
        <v>5</v>
      </c>
      <c r="F137" s="119"/>
      <c r="G137" s="119">
        <f t="shared" ref="G137:M137" si="113">SUM(G131:G136)</f>
        <v>116</v>
      </c>
      <c r="H137" s="119">
        <f t="shared" si="113"/>
        <v>114</v>
      </c>
      <c r="I137" s="119">
        <f t="shared" si="113"/>
        <v>111</v>
      </c>
      <c r="J137" s="120">
        <f t="shared" si="113"/>
        <v>5003.08</v>
      </c>
      <c r="K137" s="119">
        <f t="shared" si="113"/>
        <v>4787.43</v>
      </c>
      <c r="L137" s="118">
        <f t="shared" si="113"/>
        <v>520320.32</v>
      </c>
      <c r="M137" s="151">
        <f t="shared" si="113"/>
        <v>11544</v>
      </c>
      <c r="N137" s="123">
        <f>'Odometro-Kilometraje'!T88</f>
        <v>5241</v>
      </c>
      <c r="O137" s="21">
        <f>(W137/N137)*100</f>
        <v>95.460408319023088</v>
      </c>
      <c r="P137" s="192"/>
      <c r="Q137" s="181"/>
      <c r="R137" s="181"/>
      <c r="S137" s="181"/>
      <c r="T137" s="181"/>
      <c r="U137" s="181"/>
      <c r="V137" s="181"/>
      <c r="W137" s="193">
        <f>SUM(W131:W136)</f>
        <v>5003.08</v>
      </c>
      <c r="X137" s="193">
        <f>SUM(X131:X136)</f>
        <v>4916.8200000000006</v>
      </c>
    </row>
    <row r="138" spans="1:27" ht="16.149999999999999" customHeight="1" x14ac:dyDescent="0.25">
      <c r="A138" s="60">
        <f>A131+1</f>
        <v>46223</v>
      </c>
      <c r="B138" s="293">
        <v>38</v>
      </c>
      <c r="C138" s="293">
        <v>41</v>
      </c>
      <c r="D138" s="126">
        <f>'Data Ocupacion'!AP31</f>
        <v>64</v>
      </c>
      <c r="E138" s="126">
        <f>'Data Ocupacion'!AQ31</f>
        <v>14</v>
      </c>
      <c r="F138" s="125" t="s">
        <v>38</v>
      </c>
      <c r="G138" s="125">
        <f t="shared" ref="G138:G143" si="114">D138+E138*2</f>
        <v>92</v>
      </c>
      <c r="H138" s="125">
        <f t="shared" ref="H138:H143" si="115">B138+C138*2</f>
        <v>120</v>
      </c>
      <c r="I138" s="125">
        <f t="shared" ref="I138:I150" si="116">D138+E138</f>
        <v>78</v>
      </c>
      <c r="J138" s="125">
        <f>G138*M$2</f>
        <v>3967.96</v>
      </c>
      <c r="K138" s="153">
        <f>I138*M$2</f>
        <v>3364.1400000000003</v>
      </c>
      <c r="L138" s="125">
        <f t="shared" ref="L138:L150" si="117">J138*104</f>
        <v>412667.84</v>
      </c>
      <c r="M138" s="125">
        <f t="shared" ref="M138:M150" si="118">I138*104</f>
        <v>8112</v>
      </c>
      <c r="N138" s="19"/>
      <c r="O138" s="19"/>
      <c r="P138" s="146"/>
      <c r="Q138" s="183"/>
      <c r="R138" s="183"/>
      <c r="S138" s="205"/>
      <c r="T138" s="283"/>
      <c r="U138" s="191"/>
      <c r="V138" s="227"/>
      <c r="W138" s="182">
        <f>J138-(Q138*($M$2-$K$1))-(R138*($M$2-$M$1))- (S138*($M$2-$I$2))+ (T138*($G$2))</f>
        <v>3967.96</v>
      </c>
      <c r="X138" s="182">
        <f>H138*$M$2</f>
        <v>5175.6000000000004</v>
      </c>
    </row>
    <row r="139" spans="1:27" ht="15" customHeight="1" x14ac:dyDescent="0.25">
      <c r="A139" s="252"/>
      <c r="B139" s="293">
        <v>36</v>
      </c>
      <c r="C139" s="293">
        <v>42</v>
      </c>
      <c r="D139" s="126">
        <f>'Data Ocupacion'!AP32</f>
        <v>66</v>
      </c>
      <c r="E139" s="126">
        <f>'Data Ocupacion'!AQ32</f>
        <v>12</v>
      </c>
      <c r="F139" s="125" t="s">
        <v>52</v>
      </c>
      <c r="G139" s="125">
        <f t="shared" si="114"/>
        <v>90</v>
      </c>
      <c r="H139" s="125">
        <f t="shared" si="115"/>
        <v>120</v>
      </c>
      <c r="I139" s="125">
        <f t="shared" si="116"/>
        <v>78</v>
      </c>
      <c r="J139" s="125">
        <f>G139*M$2</f>
        <v>3881.7000000000003</v>
      </c>
      <c r="K139" s="153">
        <f>I139*M$2</f>
        <v>3364.1400000000003</v>
      </c>
      <c r="L139" s="125">
        <f t="shared" si="117"/>
        <v>403696.80000000005</v>
      </c>
      <c r="M139" s="125">
        <f t="shared" si="118"/>
        <v>8112</v>
      </c>
      <c r="N139" s="19"/>
      <c r="O139" s="19"/>
      <c r="P139" s="146"/>
      <c r="Q139" s="186"/>
      <c r="R139" s="186"/>
      <c r="S139" s="216"/>
      <c r="T139" s="183"/>
      <c r="U139" s="216"/>
      <c r="V139" s="228"/>
      <c r="W139" s="185">
        <f>J139-(T139*($M$2-$K$1)+(U139*($M$2-$M$1)))</f>
        <v>3881.7000000000003</v>
      </c>
      <c r="X139" s="182">
        <f>H139*$M$2</f>
        <v>5175.6000000000004</v>
      </c>
    </row>
    <row r="140" spans="1:27" ht="15" customHeight="1" x14ac:dyDescent="0.25">
      <c r="A140" s="252"/>
      <c r="B140" s="293">
        <v>33</v>
      </c>
      <c r="C140" s="293">
        <v>3</v>
      </c>
      <c r="D140" s="126">
        <f>'Data Ocupacion'!AP33</f>
        <v>8</v>
      </c>
      <c r="E140" s="126">
        <f>'Data Ocupacion'!AQ33</f>
        <v>0</v>
      </c>
      <c r="F140" s="125" t="s">
        <v>36</v>
      </c>
      <c r="G140" s="125">
        <f t="shared" si="114"/>
        <v>8</v>
      </c>
      <c r="H140" s="125">
        <f t="shared" si="115"/>
        <v>39</v>
      </c>
      <c r="I140" s="125">
        <f t="shared" si="116"/>
        <v>8</v>
      </c>
      <c r="J140" s="125">
        <f>G140*M$1</f>
        <v>232.88</v>
      </c>
      <c r="K140" s="153">
        <f>I140*M$1</f>
        <v>232.88</v>
      </c>
      <c r="L140" s="125">
        <f t="shared" si="117"/>
        <v>24219.52</v>
      </c>
      <c r="M140" s="125">
        <f t="shared" si="118"/>
        <v>832</v>
      </c>
      <c r="N140" s="19"/>
      <c r="O140" s="19"/>
      <c r="P140" s="146"/>
      <c r="Q140" s="183"/>
      <c r="R140" s="190"/>
      <c r="S140" s="227"/>
      <c r="T140" s="186"/>
      <c r="U140" s="189"/>
      <c r="V140" s="189"/>
      <c r="W140" s="182">
        <f>J140-(Q140*($M$1-$K$1))</f>
        <v>232.88</v>
      </c>
      <c r="X140" s="182">
        <f>H140*$M$1</f>
        <v>1135.29</v>
      </c>
    </row>
    <row r="141" spans="1:27" ht="15" customHeight="1" x14ac:dyDescent="0.25">
      <c r="A141" s="252"/>
      <c r="B141" s="293">
        <v>29</v>
      </c>
      <c r="C141" s="293">
        <v>3</v>
      </c>
      <c r="D141" s="126">
        <f>'Data Ocupacion'!AP34</f>
        <v>7</v>
      </c>
      <c r="E141" s="126">
        <f>'Data Ocupacion'!AQ34</f>
        <v>1</v>
      </c>
      <c r="F141" s="125" t="s">
        <v>53</v>
      </c>
      <c r="G141" s="125">
        <f t="shared" si="114"/>
        <v>9</v>
      </c>
      <c r="H141" s="125">
        <f t="shared" si="115"/>
        <v>35</v>
      </c>
      <c r="I141" s="125">
        <f t="shared" si="116"/>
        <v>8</v>
      </c>
      <c r="J141" s="125">
        <f>G141*M$1</f>
        <v>261.99</v>
      </c>
      <c r="K141" s="153">
        <f>I141*M$1</f>
        <v>232.88</v>
      </c>
      <c r="L141" s="125">
        <f t="shared" si="117"/>
        <v>27246.959999999999</v>
      </c>
      <c r="M141" s="125">
        <f t="shared" si="118"/>
        <v>832</v>
      </c>
      <c r="N141" s="19"/>
      <c r="O141" s="19"/>
      <c r="P141" s="146"/>
      <c r="Q141" s="189"/>
      <c r="R141" s="189"/>
      <c r="S141" s="189"/>
      <c r="T141" s="189"/>
      <c r="U141" s="189"/>
      <c r="V141" s="189"/>
      <c r="W141" s="182">
        <f>J141</f>
        <v>261.99</v>
      </c>
      <c r="X141" s="182">
        <f>H141*$M$1</f>
        <v>1018.85</v>
      </c>
    </row>
    <row r="142" spans="1:27" ht="15" customHeight="1" x14ac:dyDescent="0.25">
      <c r="A142" s="252"/>
      <c r="B142" s="293">
        <v>0</v>
      </c>
      <c r="C142" s="293">
        <v>0</v>
      </c>
      <c r="D142" s="126">
        <f>'Data Ocupacion'!AP35</f>
        <v>0</v>
      </c>
      <c r="E142" s="126">
        <f>'Data Ocupacion'!AQ35</f>
        <v>0</v>
      </c>
      <c r="F142" s="125" t="s">
        <v>122</v>
      </c>
      <c r="G142" s="125">
        <f t="shared" si="114"/>
        <v>0</v>
      </c>
      <c r="H142" s="125">
        <f t="shared" si="115"/>
        <v>0</v>
      </c>
      <c r="I142" s="125">
        <f t="shared" si="116"/>
        <v>0</v>
      </c>
      <c r="J142" s="125">
        <f>G142*K$1</f>
        <v>0</v>
      </c>
      <c r="K142" s="153">
        <f>I142*K$1</f>
        <v>0</v>
      </c>
      <c r="L142" s="125">
        <f t="shared" si="117"/>
        <v>0</v>
      </c>
      <c r="M142" s="125">
        <f t="shared" si="118"/>
        <v>0</v>
      </c>
      <c r="N142" s="19"/>
      <c r="O142" s="19"/>
      <c r="P142" s="146"/>
      <c r="Q142" s="189"/>
      <c r="R142" s="189"/>
      <c r="S142" s="189"/>
      <c r="T142" s="189"/>
      <c r="U142" s="189"/>
      <c r="V142" s="189"/>
      <c r="W142" s="182">
        <f>J142</f>
        <v>0</v>
      </c>
      <c r="X142" s="182">
        <f>H142*$K$1</f>
        <v>0</v>
      </c>
    </row>
    <row r="143" spans="1:27" ht="15" customHeight="1" thickBot="1" x14ac:dyDescent="0.3">
      <c r="A143" s="252"/>
      <c r="B143" s="293">
        <v>4</v>
      </c>
      <c r="C143" s="293">
        <v>0</v>
      </c>
      <c r="D143" s="253">
        <f>'Data Ocupacion'!AP36</f>
        <v>1</v>
      </c>
      <c r="E143" s="126">
        <f>'Data Ocupacion'!AQ36</f>
        <v>0</v>
      </c>
      <c r="F143" s="125" t="s">
        <v>35</v>
      </c>
      <c r="G143" s="125">
        <f t="shared" si="114"/>
        <v>1</v>
      </c>
      <c r="H143" s="125">
        <f t="shared" si="115"/>
        <v>4</v>
      </c>
      <c r="I143" s="125">
        <f t="shared" si="116"/>
        <v>1</v>
      </c>
      <c r="J143" s="125">
        <f>G143*K$1</f>
        <v>25.4</v>
      </c>
      <c r="K143" s="153">
        <f>I143*K$1</f>
        <v>25.4</v>
      </c>
      <c r="L143" s="125">
        <f t="shared" si="117"/>
        <v>2641.6</v>
      </c>
      <c r="M143" s="125">
        <f t="shared" si="118"/>
        <v>104</v>
      </c>
      <c r="N143" s="19"/>
      <c r="O143" s="19"/>
      <c r="P143" s="146"/>
      <c r="Q143" s="189"/>
      <c r="R143" s="189"/>
      <c r="S143" s="189"/>
      <c r="T143" s="189"/>
      <c r="U143" s="189"/>
      <c r="V143" s="189"/>
      <c r="W143" s="182">
        <f>J143</f>
        <v>25.4</v>
      </c>
      <c r="X143" s="182">
        <f>H143*$K$1</f>
        <v>101.6</v>
      </c>
    </row>
    <row r="144" spans="1:27" s="124" customFormat="1" ht="15" customHeight="1" thickBot="1" x14ac:dyDescent="0.3">
      <c r="A144" s="20"/>
      <c r="B144" s="119">
        <f>SUM(B138:B143)</f>
        <v>140</v>
      </c>
      <c r="C144" s="119">
        <f>SUM(C138:C143)</f>
        <v>89</v>
      </c>
      <c r="D144" s="152">
        <f>SUM(D138:D143)</f>
        <v>146</v>
      </c>
      <c r="E144" s="152">
        <f>SUM(E138:E143)</f>
        <v>27</v>
      </c>
      <c r="F144" s="119"/>
      <c r="G144" s="119">
        <f t="shared" ref="G144:M144" si="119">SUM(G138:G143)</f>
        <v>200</v>
      </c>
      <c r="H144" s="119">
        <f t="shared" si="119"/>
        <v>318</v>
      </c>
      <c r="I144" s="119">
        <f t="shared" si="119"/>
        <v>173</v>
      </c>
      <c r="J144" s="120">
        <f t="shared" si="119"/>
        <v>8369.93</v>
      </c>
      <c r="K144" s="119">
        <f t="shared" si="119"/>
        <v>7219.4400000000005</v>
      </c>
      <c r="L144" s="118">
        <f t="shared" si="119"/>
        <v>870472.72000000009</v>
      </c>
      <c r="M144" s="151">
        <f t="shared" si="119"/>
        <v>17992</v>
      </c>
      <c r="N144" s="123">
        <f>'Odometro-Kilometraje'!U88</f>
        <v>8460</v>
      </c>
      <c r="O144" s="21">
        <f>(W144/N144)*100</f>
        <v>98.93534278959811</v>
      </c>
      <c r="P144" s="192"/>
      <c r="Q144" s="181"/>
      <c r="R144" s="181"/>
      <c r="S144" s="181"/>
      <c r="T144" s="181"/>
      <c r="U144" s="181"/>
      <c r="V144" s="181"/>
      <c r="W144" s="193">
        <f>SUM(W138:W143)</f>
        <v>8369.93</v>
      </c>
      <c r="X144" s="193">
        <f>SUM(X138:X143)</f>
        <v>12606.940000000002</v>
      </c>
      <c r="AA144" s="172"/>
    </row>
    <row r="145" spans="1:26" x14ac:dyDescent="0.25">
      <c r="A145" s="60">
        <f>A138+1</f>
        <v>46224</v>
      </c>
      <c r="B145" s="293">
        <v>38</v>
      </c>
      <c r="C145" s="293">
        <v>41</v>
      </c>
      <c r="D145" s="126">
        <f>'Data Ocupacion'!AR31</f>
        <v>60</v>
      </c>
      <c r="E145" s="126">
        <f>'Data Ocupacion'!AS31</f>
        <v>15</v>
      </c>
      <c r="F145" s="293" t="s">
        <v>38</v>
      </c>
      <c r="G145" s="293">
        <f t="shared" ref="G145:G150" si="120">D145+E145*2</f>
        <v>90</v>
      </c>
      <c r="H145" s="125">
        <f t="shared" ref="H145:H150" si="121">B145+C145*2</f>
        <v>120</v>
      </c>
      <c r="I145" s="125">
        <f t="shared" si="116"/>
        <v>75</v>
      </c>
      <c r="J145" s="350">
        <f>G145*M$2-(6*S2)</f>
        <v>3837.3</v>
      </c>
      <c r="K145" s="153">
        <f>I145*M$2</f>
        <v>3234.75</v>
      </c>
      <c r="L145" s="125">
        <f t="shared" si="117"/>
        <v>399079.2</v>
      </c>
      <c r="M145" s="125">
        <f t="shared" si="118"/>
        <v>7800</v>
      </c>
      <c r="N145" s="19"/>
      <c r="O145" s="19"/>
      <c r="P145" s="146"/>
      <c r="Q145" s="183"/>
      <c r="R145" s="183"/>
      <c r="S145" s="205"/>
      <c r="T145" s="283"/>
      <c r="U145" s="191"/>
      <c r="V145" s="227"/>
      <c r="W145" s="182">
        <f>J145-(Q145*($M$2-$K$1))-(R145*($M$2-$M$1))- (S145*($M$2-$I$2))+ (T145*($G$2))</f>
        <v>3837.3</v>
      </c>
      <c r="X145" s="182">
        <f>H145*$M$2</f>
        <v>5175.6000000000004</v>
      </c>
    </row>
    <row r="146" spans="1:26" ht="15" customHeight="1" x14ac:dyDescent="0.25">
      <c r="A146" s="370" t="s">
        <v>187</v>
      </c>
      <c r="B146" s="293">
        <v>36</v>
      </c>
      <c r="C146" s="293">
        <v>42</v>
      </c>
      <c r="D146" s="126">
        <f>'Data Ocupacion'!AR32</f>
        <v>60</v>
      </c>
      <c r="E146" s="126">
        <f>'Data Ocupacion'!AS32</f>
        <v>13</v>
      </c>
      <c r="F146" s="293" t="s">
        <v>52</v>
      </c>
      <c r="G146" s="293">
        <f t="shared" si="120"/>
        <v>86</v>
      </c>
      <c r="H146" s="125">
        <f t="shared" si="121"/>
        <v>120</v>
      </c>
      <c r="I146" s="125">
        <f t="shared" si="116"/>
        <v>73</v>
      </c>
      <c r="J146" s="350">
        <f>G146*M$2-(5*S2)</f>
        <v>3672.1800000000003</v>
      </c>
      <c r="K146" s="153">
        <f>I146*M$2</f>
        <v>3148.4900000000002</v>
      </c>
      <c r="L146" s="125">
        <f t="shared" si="117"/>
        <v>381906.72000000003</v>
      </c>
      <c r="M146" s="125">
        <f t="shared" si="118"/>
        <v>7592</v>
      </c>
      <c r="N146" s="19"/>
      <c r="O146" s="19"/>
      <c r="P146" s="146"/>
      <c r="Q146" s="186"/>
      <c r="R146" s="186"/>
      <c r="S146" s="216"/>
      <c r="T146" s="183"/>
      <c r="U146" s="216"/>
      <c r="V146" s="228"/>
      <c r="W146" s="185">
        <f>J146-(T146*($M$2-$K$1)+(U146*($M$2-$M$1)))</f>
        <v>3672.1800000000003</v>
      </c>
      <c r="X146" s="182">
        <f>H146*$M$2</f>
        <v>5175.6000000000004</v>
      </c>
    </row>
    <row r="147" spans="1:26" x14ac:dyDescent="0.25">
      <c r="A147" s="370"/>
      <c r="B147" s="293">
        <v>33</v>
      </c>
      <c r="C147" s="293">
        <v>3</v>
      </c>
      <c r="D147" s="126">
        <f>'Data Ocupacion'!AR33</f>
        <v>12</v>
      </c>
      <c r="E147" s="126">
        <f>'Data Ocupacion'!AS33</f>
        <v>1</v>
      </c>
      <c r="F147" s="293" t="s">
        <v>36</v>
      </c>
      <c r="G147" s="293">
        <f t="shared" si="120"/>
        <v>14</v>
      </c>
      <c r="H147" s="125">
        <f t="shared" si="121"/>
        <v>39</v>
      </c>
      <c r="I147" s="125">
        <f t="shared" si="116"/>
        <v>13</v>
      </c>
      <c r="J147" s="125">
        <f>G147*M$1</f>
        <v>407.53999999999996</v>
      </c>
      <c r="K147" s="153">
        <f>I147*M$1</f>
        <v>378.43</v>
      </c>
      <c r="L147" s="125">
        <f t="shared" si="117"/>
        <v>42384.159999999996</v>
      </c>
      <c r="M147" s="125">
        <f t="shared" si="118"/>
        <v>1352</v>
      </c>
      <c r="N147" s="19"/>
      <c r="O147" s="19"/>
      <c r="P147" s="146"/>
      <c r="Q147" s="243"/>
      <c r="R147" s="190"/>
      <c r="S147" s="227"/>
      <c r="T147" s="186"/>
      <c r="U147" s="189"/>
      <c r="V147" s="189"/>
      <c r="W147" s="182">
        <f>J147-(Q147*($M$1-$K$1))</f>
        <v>407.53999999999996</v>
      </c>
      <c r="X147" s="182">
        <f>H147*$M$1</f>
        <v>1135.29</v>
      </c>
    </row>
    <row r="148" spans="1:26" x14ac:dyDescent="0.25">
      <c r="A148" s="370"/>
      <c r="B148" s="293">
        <v>29</v>
      </c>
      <c r="C148" s="293">
        <v>3</v>
      </c>
      <c r="D148" s="126">
        <f>'Data Ocupacion'!AR34</f>
        <v>14</v>
      </c>
      <c r="E148" s="126">
        <f>'Data Ocupacion'!AS34</f>
        <v>1</v>
      </c>
      <c r="F148" s="293" t="s">
        <v>53</v>
      </c>
      <c r="G148" s="293">
        <f t="shared" si="120"/>
        <v>16</v>
      </c>
      <c r="H148" s="125">
        <f t="shared" si="121"/>
        <v>35</v>
      </c>
      <c r="I148" s="125">
        <f t="shared" si="116"/>
        <v>15</v>
      </c>
      <c r="J148" s="125">
        <f>G148*M$1</f>
        <v>465.76</v>
      </c>
      <c r="K148" s="153">
        <f>I148*M$1</f>
        <v>436.65</v>
      </c>
      <c r="L148" s="125">
        <f t="shared" si="117"/>
        <v>48439.040000000001</v>
      </c>
      <c r="M148" s="125">
        <f t="shared" si="118"/>
        <v>1560</v>
      </c>
      <c r="N148" s="19"/>
      <c r="O148" s="19"/>
      <c r="P148" s="241"/>
      <c r="Q148" s="189"/>
      <c r="R148" s="189"/>
      <c r="S148" s="189"/>
      <c r="T148" s="189"/>
      <c r="U148" s="189"/>
      <c r="V148" s="189"/>
      <c r="W148" s="182">
        <f>J148</f>
        <v>465.76</v>
      </c>
      <c r="X148" s="182">
        <f>H148*$M$1</f>
        <v>1018.85</v>
      </c>
    </row>
    <row r="149" spans="1:26" ht="15" customHeight="1" x14ac:dyDescent="0.25">
      <c r="A149" s="370"/>
      <c r="B149" s="293">
        <v>0</v>
      </c>
      <c r="C149" s="293">
        <v>0</v>
      </c>
      <c r="D149" s="126">
        <f>'Data Ocupacion'!AR35</f>
        <v>0</v>
      </c>
      <c r="E149" s="126">
        <f>'Data Ocupacion'!AS35</f>
        <v>0</v>
      </c>
      <c r="F149" s="293" t="s">
        <v>122</v>
      </c>
      <c r="G149" s="293">
        <f t="shared" si="120"/>
        <v>0</v>
      </c>
      <c r="H149" s="125">
        <f t="shared" si="121"/>
        <v>0</v>
      </c>
      <c r="I149" s="125">
        <f t="shared" si="116"/>
        <v>0</v>
      </c>
      <c r="J149" s="125">
        <f>G149*K$1</f>
        <v>0</v>
      </c>
      <c r="K149" s="153">
        <f>I149*K$1</f>
        <v>0</v>
      </c>
      <c r="L149" s="125">
        <f t="shared" si="117"/>
        <v>0</v>
      </c>
      <c r="M149" s="125">
        <f t="shared" si="118"/>
        <v>0</v>
      </c>
      <c r="N149" s="19"/>
      <c r="O149" s="19"/>
      <c r="P149" s="146"/>
      <c r="Q149" s="189"/>
      <c r="R149" s="189"/>
      <c r="S149" s="189"/>
      <c r="T149" s="189"/>
      <c r="U149" s="189"/>
      <c r="V149" s="189"/>
      <c r="W149" s="182">
        <f>J149</f>
        <v>0</v>
      </c>
      <c r="X149" s="182">
        <f>H149*$K$1</f>
        <v>0</v>
      </c>
    </row>
    <row r="150" spans="1:26" ht="15.75" thickBot="1" x14ac:dyDescent="0.3">
      <c r="A150" s="370"/>
      <c r="B150" s="293">
        <v>4</v>
      </c>
      <c r="C150" s="293">
        <v>0</v>
      </c>
      <c r="D150" s="253">
        <f>'Data Ocupacion'!AR36</f>
        <v>1</v>
      </c>
      <c r="E150" s="126">
        <f>'Data Ocupacion'!AS36</f>
        <v>0</v>
      </c>
      <c r="F150" s="293" t="s">
        <v>35</v>
      </c>
      <c r="G150" s="293">
        <f t="shared" si="120"/>
        <v>1</v>
      </c>
      <c r="H150" s="125">
        <f t="shared" si="121"/>
        <v>4</v>
      </c>
      <c r="I150" s="125">
        <f t="shared" si="116"/>
        <v>1</v>
      </c>
      <c r="J150" s="125">
        <f>G150*K$1</f>
        <v>25.4</v>
      </c>
      <c r="K150" s="153">
        <f>I150*K$1</f>
        <v>25.4</v>
      </c>
      <c r="L150" s="125">
        <f t="shared" si="117"/>
        <v>2641.6</v>
      </c>
      <c r="M150" s="125">
        <f t="shared" si="118"/>
        <v>104</v>
      </c>
      <c r="N150" s="19"/>
      <c r="O150" s="19"/>
      <c r="P150" s="146"/>
      <c r="Q150" s="189"/>
      <c r="R150" s="189"/>
      <c r="S150" s="189"/>
      <c r="T150" s="189"/>
      <c r="U150" s="189"/>
      <c r="V150" s="189"/>
      <c r="W150" s="182">
        <f>J150</f>
        <v>25.4</v>
      </c>
      <c r="X150" s="182">
        <f>H150*$K$1</f>
        <v>101.6</v>
      </c>
    </row>
    <row r="151" spans="1:26" s="124" customFormat="1" ht="15.75" thickBot="1" x14ac:dyDescent="0.3">
      <c r="A151" s="20"/>
      <c r="B151" s="119">
        <f>SUM(B145:B150)</f>
        <v>140</v>
      </c>
      <c r="C151" s="119">
        <f>SUM(C145:C150)</f>
        <v>89</v>
      </c>
      <c r="D151" s="339">
        <f>SUM(D145:D150)</f>
        <v>147</v>
      </c>
      <c r="E151" s="339">
        <f>SUM(E145:E150)</f>
        <v>30</v>
      </c>
      <c r="F151" s="119"/>
      <c r="G151" s="119">
        <f>SUM(G145:G150)</f>
        <v>207</v>
      </c>
      <c r="H151" s="119">
        <f>SUM(H145:H150)</f>
        <v>318</v>
      </c>
      <c r="I151" s="119">
        <f t="shared" ref="I151:M151" si="122">SUM(I145:I150)</f>
        <v>177</v>
      </c>
      <c r="J151" s="120">
        <f t="shared" si="122"/>
        <v>8408.18</v>
      </c>
      <c r="K151" s="119">
        <f t="shared" si="122"/>
        <v>7223.7199999999993</v>
      </c>
      <c r="L151" s="118">
        <f t="shared" si="122"/>
        <v>874450.72000000009</v>
      </c>
      <c r="M151" s="151">
        <f t="shared" si="122"/>
        <v>18408</v>
      </c>
      <c r="N151" s="123">
        <f>'Odometro-Kilometraje'!V88</f>
        <v>9049</v>
      </c>
      <c r="O151" s="21">
        <f>(W151/N151)*100</f>
        <v>92.918333517515748</v>
      </c>
      <c r="P151" s="192"/>
      <c r="Q151" s="181"/>
      <c r="R151" s="181"/>
      <c r="S151" s="181"/>
      <c r="T151" s="181"/>
      <c r="U151" s="181"/>
      <c r="V151" s="181"/>
      <c r="W151" s="193">
        <f>SUM(W145:W150)</f>
        <v>8408.18</v>
      </c>
      <c r="X151" s="193">
        <f>SUM(X145:X150)</f>
        <v>12606.940000000002</v>
      </c>
    </row>
    <row r="152" spans="1:26" x14ac:dyDescent="0.25">
      <c r="A152" s="60">
        <f>A145+1</f>
        <v>46225</v>
      </c>
      <c r="B152" s="293">
        <v>49</v>
      </c>
      <c r="C152" s="293">
        <v>30</v>
      </c>
      <c r="D152" s="126">
        <f>'Data Ocupacion'!AT31</f>
        <v>55</v>
      </c>
      <c r="E152" s="126">
        <f>'Data Ocupacion'!AU31</f>
        <v>25</v>
      </c>
      <c r="F152" s="125" t="s">
        <v>38</v>
      </c>
      <c r="G152" s="125">
        <f t="shared" ref="G152:G157" si="123">D152+E152*2</f>
        <v>105</v>
      </c>
      <c r="H152" s="125">
        <f t="shared" ref="H152:H157" si="124">B152+C152*2</f>
        <v>109</v>
      </c>
      <c r="I152" s="125">
        <f t="shared" ref="I152:I157" si="125">D152+E152</f>
        <v>80</v>
      </c>
      <c r="J152" s="125">
        <f>G152*M$2</f>
        <v>4528.6500000000005</v>
      </c>
      <c r="K152" s="153">
        <f>I152*M$2</f>
        <v>3450.4</v>
      </c>
      <c r="L152" s="125">
        <f t="shared" ref="L152:L157" si="126">J152*104</f>
        <v>470979.60000000003</v>
      </c>
      <c r="M152" s="125">
        <f t="shared" ref="M152:M157" si="127">I152*104</f>
        <v>8320</v>
      </c>
      <c r="N152" s="19"/>
      <c r="O152" s="19"/>
      <c r="P152" s="146"/>
      <c r="Q152" s="183"/>
      <c r="R152" s="183"/>
      <c r="S152" s="205"/>
      <c r="T152" s="243"/>
      <c r="U152" s="191"/>
      <c r="V152" s="227"/>
      <c r="W152" s="182">
        <f>J152-(Q152*($M$2-$K$1))-(R152*($M$2-$M$1))- (S152*($M$2-$I$2))+ (T152*($G$2))</f>
        <v>4528.6500000000005</v>
      </c>
      <c r="X152" s="182">
        <f>H152*$M$2</f>
        <v>4701.17</v>
      </c>
    </row>
    <row r="153" spans="1:26" ht="15" customHeight="1" x14ac:dyDescent="0.25">
      <c r="A153" s="201"/>
      <c r="B153" s="293">
        <v>47</v>
      </c>
      <c r="C153" s="293">
        <v>31</v>
      </c>
      <c r="D153" s="126">
        <f>'Data Ocupacion'!AT32</f>
        <v>52</v>
      </c>
      <c r="E153" s="126">
        <f>'Data Ocupacion'!AU32</f>
        <v>26</v>
      </c>
      <c r="F153" s="125" t="s">
        <v>52</v>
      </c>
      <c r="G153" s="125">
        <f t="shared" si="123"/>
        <v>104</v>
      </c>
      <c r="H153" s="125">
        <f t="shared" si="124"/>
        <v>109</v>
      </c>
      <c r="I153" s="125">
        <f t="shared" si="125"/>
        <v>78</v>
      </c>
      <c r="J153" s="125">
        <f>G153*M$2</f>
        <v>4485.5200000000004</v>
      </c>
      <c r="K153" s="153">
        <f>I153*M$2</f>
        <v>3364.1400000000003</v>
      </c>
      <c r="L153" s="125">
        <f t="shared" si="126"/>
        <v>466494.08000000007</v>
      </c>
      <c r="M153" s="125">
        <f t="shared" si="127"/>
        <v>8112</v>
      </c>
      <c r="N153" s="19"/>
      <c r="O153" s="19"/>
      <c r="P153" s="146"/>
      <c r="Q153" s="186"/>
      <c r="R153" s="186"/>
      <c r="S153" s="186"/>
      <c r="T153" s="183"/>
      <c r="U153" s="203"/>
      <c r="V153" s="228"/>
      <c r="W153" s="185">
        <f>J153-(T153*($M$2-$K$1)+(U153*($M$2-$M$1)))</f>
        <v>4485.5200000000004</v>
      </c>
      <c r="X153" s="182">
        <f>H153*$M$2</f>
        <v>4701.17</v>
      </c>
      <c r="Y153" s="124"/>
      <c r="Z153" s="124"/>
    </row>
    <row r="154" spans="1:26" ht="14.45" customHeight="1" x14ac:dyDescent="0.25">
      <c r="A154" s="201"/>
      <c r="B154" s="293">
        <v>36</v>
      </c>
      <c r="C154" s="293">
        <v>0</v>
      </c>
      <c r="D154" s="126">
        <f>'Data Ocupacion'!AT33</f>
        <v>26</v>
      </c>
      <c r="E154" s="126">
        <f>'Data Ocupacion'!AU33</f>
        <v>0</v>
      </c>
      <c r="F154" s="125" t="s">
        <v>36</v>
      </c>
      <c r="G154" s="125">
        <f t="shared" si="123"/>
        <v>26</v>
      </c>
      <c r="H154" s="125">
        <f t="shared" si="124"/>
        <v>36</v>
      </c>
      <c r="I154" s="125">
        <f t="shared" si="125"/>
        <v>26</v>
      </c>
      <c r="J154" s="125">
        <f>G154*M$1</f>
        <v>756.86</v>
      </c>
      <c r="K154" s="153">
        <f>I154*M$1</f>
        <v>756.86</v>
      </c>
      <c r="L154" s="125">
        <f t="shared" si="126"/>
        <v>78713.440000000002</v>
      </c>
      <c r="M154" s="125">
        <f t="shared" si="127"/>
        <v>2704</v>
      </c>
      <c r="N154" s="19"/>
      <c r="O154" s="19"/>
      <c r="P154" s="146"/>
      <c r="Q154" s="243"/>
      <c r="R154" s="187"/>
      <c r="S154" s="206"/>
      <c r="T154" s="188"/>
      <c r="U154" s="189"/>
      <c r="V154" s="189"/>
      <c r="W154" s="182">
        <f>J154-(Q154*($M$1-$K$1))</f>
        <v>756.86</v>
      </c>
      <c r="X154" s="182">
        <f>H154*$M$1</f>
        <v>1047.96</v>
      </c>
      <c r="Y154" s="124"/>
      <c r="Z154" s="124"/>
    </row>
    <row r="155" spans="1:26" ht="15" customHeight="1" x14ac:dyDescent="0.25">
      <c r="A155" s="201"/>
      <c r="B155" s="293">
        <v>32</v>
      </c>
      <c r="C155" s="293">
        <v>0</v>
      </c>
      <c r="D155" s="126">
        <f>'Data Ocupacion'!AT34</f>
        <v>26</v>
      </c>
      <c r="E155" s="126">
        <f>'Data Ocupacion'!AU34</f>
        <v>0</v>
      </c>
      <c r="F155" s="125" t="s">
        <v>53</v>
      </c>
      <c r="G155" s="125">
        <f t="shared" si="123"/>
        <v>26</v>
      </c>
      <c r="H155" s="125">
        <f t="shared" si="124"/>
        <v>32</v>
      </c>
      <c r="I155" s="125">
        <f t="shared" si="125"/>
        <v>26</v>
      </c>
      <c r="J155" s="125">
        <f>G155*M$1</f>
        <v>756.86</v>
      </c>
      <c r="K155" s="153">
        <f>I155*M$1</f>
        <v>756.86</v>
      </c>
      <c r="L155" s="125">
        <f t="shared" si="126"/>
        <v>78713.440000000002</v>
      </c>
      <c r="M155" s="125">
        <f t="shared" si="127"/>
        <v>2704</v>
      </c>
      <c r="N155" s="19"/>
      <c r="O155" s="19"/>
      <c r="P155" s="146"/>
      <c r="Q155" s="189"/>
      <c r="R155" s="189"/>
      <c r="S155" s="189"/>
      <c r="T155" s="189"/>
      <c r="U155" s="189"/>
      <c r="V155" s="189"/>
      <c r="W155" s="182">
        <f>J155</f>
        <v>756.86</v>
      </c>
      <c r="X155" s="182">
        <f>H155*$M$1</f>
        <v>931.52</v>
      </c>
      <c r="Y155" s="124"/>
      <c r="Z155" s="124"/>
    </row>
    <row r="156" spans="1:26" ht="13.5" customHeight="1" x14ac:dyDescent="0.25">
      <c r="A156" s="201"/>
      <c r="B156" s="293">
        <v>0</v>
      </c>
      <c r="C156" s="293">
        <v>0</v>
      </c>
      <c r="D156" s="126">
        <f>'Data Ocupacion'!AT35</f>
        <v>0</v>
      </c>
      <c r="E156" s="126">
        <f>'Data Ocupacion'!AU35</f>
        <v>0</v>
      </c>
      <c r="F156" s="125" t="s">
        <v>122</v>
      </c>
      <c r="G156" s="125">
        <f t="shared" si="123"/>
        <v>0</v>
      </c>
      <c r="H156" s="125">
        <f t="shared" si="124"/>
        <v>0</v>
      </c>
      <c r="I156" s="125">
        <f t="shared" si="125"/>
        <v>0</v>
      </c>
      <c r="J156" s="125">
        <f>G156*K$1</f>
        <v>0</v>
      </c>
      <c r="K156" s="153">
        <f>I156*M$1</f>
        <v>0</v>
      </c>
      <c r="L156" s="125">
        <f t="shared" si="126"/>
        <v>0</v>
      </c>
      <c r="M156" s="125">
        <f t="shared" si="127"/>
        <v>0</v>
      </c>
      <c r="N156" s="19"/>
      <c r="O156" s="19"/>
      <c r="P156" s="146"/>
      <c r="Q156" s="189"/>
      <c r="R156" s="189"/>
      <c r="S156" s="189"/>
      <c r="T156" s="189"/>
      <c r="U156" s="189"/>
      <c r="V156" s="189"/>
      <c r="W156" s="182">
        <f>J156</f>
        <v>0</v>
      </c>
      <c r="X156" s="182">
        <f>H156*$K$1</f>
        <v>0</v>
      </c>
      <c r="Y156" s="124"/>
      <c r="Z156" s="124"/>
    </row>
    <row r="157" spans="1:26" ht="15.75" thickBot="1" x14ac:dyDescent="0.3">
      <c r="A157" s="201"/>
      <c r="B157" s="293">
        <v>4</v>
      </c>
      <c r="C157" s="293">
        <v>0</v>
      </c>
      <c r="D157" s="253">
        <f>'Data Ocupacion'!AT36</f>
        <v>1</v>
      </c>
      <c r="E157" s="126">
        <f>'Data Ocupacion'!AU36</f>
        <v>0</v>
      </c>
      <c r="F157" s="125" t="s">
        <v>35</v>
      </c>
      <c r="G157" s="125">
        <f t="shared" si="123"/>
        <v>1</v>
      </c>
      <c r="H157" s="125">
        <f t="shared" si="124"/>
        <v>4</v>
      </c>
      <c r="I157" s="125">
        <f t="shared" si="125"/>
        <v>1</v>
      </c>
      <c r="J157" s="125">
        <f>G157*K$1</f>
        <v>25.4</v>
      </c>
      <c r="K157" s="153">
        <f>I157*K$1</f>
        <v>25.4</v>
      </c>
      <c r="L157" s="125">
        <f t="shared" si="126"/>
        <v>2641.6</v>
      </c>
      <c r="M157" s="125">
        <f t="shared" si="127"/>
        <v>104</v>
      </c>
      <c r="N157" s="19"/>
      <c r="O157" s="19"/>
      <c r="P157" s="146"/>
      <c r="Q157" s="189"/>
      <c r="R157" s="189"/>
      <c r="S157" s="189"/>
      <c r="T157" s="189"/>
      <c r="U157" s="189"/>
      <c r="V157" s="189"/>
      <c r="W157" s="182">
        <f>J157</f>
        <v>25.4</v>
      </c>
      <c r="X157" s="182">
        <f>H157*$K$1</f>
        <v>101.6</v>
      </c>
    </row>
    <row r="158" spans="1:26" s="124" customFormat="1" ht="15.75" thickBot="1" x14ac:dyDescent="0.3">
      <c r="A158" s="20"/>
      <c r="B158" s="119">
        <f>SUM(B152:B157)</f>
        <v>168</v>
      </c>
      <c r="C158" s="119">
        <f>SUM(C152:C157)</f>
        <v>61</v>
      </c>
      <c r="D158" s="152">
        <f>SUM(D152:D157)</f>
        <v>160</v>
      </c>
      <c r="E158" s="152">
        <f>SUM(E152:E157)</f>
        <v>51</v>
      </c>
      <c r="F158" s="119"/>
      <c r="G158" s="119">
        <f t="shared" ref="G158:M158" si="128">SUM(G152:G157)</f>
        <v>262</v>
      </c>
      <c r="H158" s="119">
        <f t="shared" si="128"/>
        <v>290</v>
      </c>
      <c r="I158" s="119">
        <f t="shared" si="128"/>
        <v>211</v>
      </c>
      <c r="J158" s="120">
        <f t="shared" si="128"/>
        <v>10553.290000000003</v>
      </c>
      <c r="K158" s="119">
        <f t="shared" si="128"/>
        <v>8353.66</v>
      </c>
      <c r="L158" s="118">
        <f t="shared" si="128"/>
        <v>1097542.1600000001</v>
      </c>
      <c r="M158" s="151">
        <f t="shared" si="128"/>
        <v>21944</v>
      </c>
      <c r="N158" s="123">
        <f>'Odometro-Kilometraje'!W88</f>
        <v>10911</v>
      </c>
      <c r="O158" s="21">
        <f>(W158/N158)*100</f>
        <v>96.721565392722965</v>
      </c>
      <c r="P158" s="192"/>
      <c r="Q158" s="181"/>
      <c r="R158" s="181"/>
      <c r="S158" s="181"/>
      <c r="T158" s="181"/>
      <c r="U158" s="181"/>
      <c r="V158" s="181"/>
      <c r="W158" s="193">
        <f>SUM(W152:W157)</f>
        <v>10553.290000000003</v>
      </c>
      <c r="X158" s="193">
        <f>SUM(X152:X157)</f>
        <v>11483.42</v>
      </c>
    </row>
    <row r="159" spans="1:26" s="124" customFormat="1" x14ac:dyDescent="0.25">
      <c r="A159" s="60">
        <f>A152+1</f>
        <v>46226</v>
      </c>
      <c r="B159" s="293">
        <v>49</v>
      </c>
      <c r="C159" s="293">
        <v>30</v>
      </c>
      <c r="D159" s="126">
        <f>'Data Ocupacion'!AV31</f>
        <v>55</v>
      </c>
      <c r="E159" s="126">
        <f>'Data Ocupacion'!AW31</f>
        <v>24</v>
      </c>
      <c r="F159" s="219" t="s">
        <v>38</v>
      </c>
      <c r="G159" s="220">
        <f t="shared" ref="G159:G164" si="129">D159+E159*2</f>
        <v>103</v>
      </c>
      <c r="H159" s="125">
        <f t="shared" ref="H159:H164" si="130">B159+C159*2</f>
        <v>109</v>
      </c>
      <c r="I159" s="221">
        <f t="shared" ref="I159:I164" si="131">D159+E159</f>
        <v>79</v>
      </c>
      <c r="J159" s="221">
        <f>G159*M$2</f>
        <v>4442.3900000000003</v>
      </c>
      <c r="K159" s="153">
        <f>I159*M$2</f>
        <v>3407.27</v>
      </c>
      <c r="L159" s="125">
        <f t="shared" ref="L159:L164" si="132">J159*104</f>
        <v>462008.56000000006</v>
      </c>
      <c r="M159" s="125">
        <f t="shared" ref="M159:M164" si="133">I159*104</f>
        <v>8216</v>
      </c>
      <c r="N159" s="19"/>
      <c r="O159" s="19"/>
      <c r="P159" s="146"/>
      <c r="Q159" s="183">
        <v>4</v>
      </c>
      <c r="R159" s="183"/>
      <c r="S159" s="205"/>
      <c r="T159" s="243"/>
      <c r="U159" s="191"/>
      <c r="V159" s="227"/>
      <c r="W159" s="182">
        <f>J159-(Q159*($M$2-$K$1))-(R159*($M$2-$M$1))- (S159*($M$2-$I$2))+ (T159*($G$2))</f>
        <v>4371.47</v>
      </c>
      <c r="X159" s="182">
        <f>H159*$M$2</f>
        <v>4701.17</v>
      </c>
    </row>
    <row r="160" spans="1:26" ht="15" customHeight="1" x14ac:dyDescent="0.25">
      <c r="A160" s="274"/>
      <c r="B160" s="293">
        <v>47</v>
      </c>
      <c r="C160" s="293">
        <v>31</v>
      </c>
      <c r="D160" s="126">
        <f>'Data Ocupacion'!AV32</f>
        <v>53</v>
      </c>
      <c r="E160" s="126">
        <f>'Data Ocupacion'!AW32</f>
        <v>25</v>
      </c>
      <c r="F160" s="219" t="s">
        <v>52</v>
      </c>
      <c r="G160" s="220">
        <f t="shared" si="129"/>
        <v>103</v>
      </c>
      <c r="H160" s="125">
        <f t="shared" si="130"/>
        <v>109</v>
      </c>
      <c r="I160" s="125">
        <f t="shared" si="131"/>
        <v>78</v>
      </c>
      <c r="J160" s="125">
        <f>G160*M$2</f>
        <v>4442.3900000000003</v>
      </c>
      <c r="K160" s="153">
        <f>I160*M$2</f>
        <v>3364.1400000000003</v>
      </c>
      <c r="L160" s="125">
        <f t="shared" si="132"/>
        <v>462008.56000000006</v>
      </c>
      <c r="M160" s="125">
        <f t="shared" si="133"/>
        <v>8112</v>
      </c>
      <c r="N160" s="19"/>
      <c r="O160" s="19"/>
      <c r="P160" s="146"/>
      <c r="Q160" s="186"/>
      <c r="R160" s="186"/>
      <c r="S160" s="216"/>
      <c r="T160" s="183">
        <v>1</v>
      </c>
      <c r="U160" s="216"/>
      <c r="V160" s="228"/>
      <c r="W160" s="185">
        <f>J160-(T160*($M$2-$K$1)+(U160*($M$2-$M$1)))</f>
        <v>4424.6600000000008</v>
      </c>
      <c r="X160" s="182">
        <f>H160*$M$2</f>
        <v>4701.17</v>
      </c>
      <c r="Y160" s="172"/>
    </row>
    <row r="161" spans="1:25" ht="15" customHeight="1" x14ac:dyDescent="0.25">
      <c r="A161" s="274"/>
      <c r="B161" s="293">
        <v>36</v>
      </c>
      <c r="C161" s="293">
        <v>0</v>
      </c>
      <c r="D161" s="126">
        <f>'Data Ocupacion'!AV33</f>
        <v>34</v>
      </c>
      <c r="E161" s="126">
        <f>'Data Ocupacion'!AW33</f>
        <v>0</v>
      </c>
      <c r="F161" s="219" t="s">
        <v>36</v>
      </c>
      <c r="G161" s="220">
        <f t="shared" si="129"/>
        <v>34</v>
      </c>
      <c r="H161" s="125">
        <f t="shared" si="130"/>
        <v>36</v>
      </c>
      <c r="I161" s="125">
        <f t="shared" si="131"/>
        <v>34</v>
      </c>
      <c r="J161" s="125">
        <f>G161*M$1</f>
        <v>989.74</v>
      </c>
      <c r="K161" s="153">
        <f>I161*M$1</f>
        <v>989.74</v>
      </c>
      <c r="L161" s="125">
        <f t="shared" si="132"/>
        <v>102932.96</v>
      </c>
      <c r="M161" s="125">
        <f t="shared" si="133"/>
        <v>3536</v>
      </c>
      <c r="N161" s="19"/>
      <c r="O161" s="19"/>
      <c r="P161" s="146"/>
      <c r="Q161" s="183"/>
      <c r="R161" s="187"/>
      <c r="S161" s="206"/>
      <c r="T161" s="188"/>
      <c r="U161" s="189"/>
      <c r="V161" s="189"/>
      <c r="W161" s="182">
        <f>J161-(Q161*($M$1-$K$1))</f>
        <v>989.74</v>
      </c>
      <c r="X161" s="182">
        <f>H161*$M$1</f>
        <v>1047.96</v>
      </c>
    </row>
    <row r="162" spans="1:25" ht="15" customHeight="1" x14ac:dyDescent="0.25">
      <c r="A162" s="274"/>
      <c r="B162" s="293">
        <v>32</v>
      </c>
      <c r="C162" s="293">
        <v>0</v>
      </c>
      <c r="D162" s="126">
        <f>'Data Ocupacion'!AV34</f>
        <v>32</v>
      </c>
      <c r="E162" s="126">
        <f>'Data Ocupacion'!AW34</f>
        <v>0</v>
      </c>
      <c r="F162" s="219" t="s">
        <v>53</v>
      </c>
      <c r="G162" s="220">
        <f t="shared" si="129"/>
        <v>32</v>
      </c>
      <c r="H162" s="125">
        <f t="shared" si="130"/>
        <v>32</v>
      </c>
      <c r="I162" s="125">
        <f t="shared" si="131"/>
        <v>32</v>
      </c>
      <c r="J162" s="125">
        <f>G162*M$1</f>
        <v>931.52</v>
      </c>
      <c r="K162" s="153">
        <f>I162*M$1</f>
        <v>931.52</v>
      </c>
      <c r="L162" s="125">
        <f t="shared" si="132"/>
        <v>96878.080000000002</v>
      </c>
      <c r="M162" s="125">
        <f t="shared" si="133"/>
        <v>3328</v>
      </c>
      <c r="N162" s="19"/>
      <c r="O162" s="19"/>
      <c r="P162" s="146"/>
      <c r="Q162" s="189"/>
      <c r="R162" s="189"/>
      <c r="S162" s="189"/>
      <c r="T162" s="189"/>
      <c r="U162" s="189"/>
      <c r="V162" s="189"/>
      <c r="W162" s="182">
        <f>J162</f>
        <v>931.52</v>
      </c>
      <c r="X162" s="182">
        <f>H162*$M$1</f>
        <v>931.52</v>
      </c>
    </row>
    <row r="163" spans="1:25" ht="13.5" customHeight="1" x14ac:dyDescent="0.25">
      <c r="A163" s="274"/>
      <c r="B163" s="293">
        <v>0</v>
      </c>
      <c r="C163" s="293">
        <v>0</v>
      </c>
      <c r="D163" s="126">
        <f>'Data Ocupacion'!AV35</f>
        <v>0</v>
      </c>
      <c r="E163" s="126">
        <f>'Data Ocupacion'!AW35</f>
        <v>0</v>
      </c>
      <c r="F163" s="219" t="s">
        <v>122</v>
      </c>
      <c r="G163" s="220">
        <f t="shared" si="129"/>
        <v>0</v>
      </c>
      <c r="H163" s="125">
        <f t="shared" si="130"/>
        <v>0</v>
      </c>
      <c r="I163" s="125">
        <f t="shared" si="131"/>
        <v>0</v>
      </c>
      <c r="J163" s="222">
        <f>G163*K$1</f>
        <v>0</v>
      </c>
      <c r="K163" s="153">
        <f>I163*K$1</f>
        <v>0</v>
      </c>
      <c r="L163" s="125">
        <f t="shared" si="132"/>
        <v>0</v>
      </c>
      <c r="M163" s="125">
        <f t="shared" si="133"/>
        <v>0</v>
      </c>
      <c r="N163" s="19"/>
      <c r="O163" s="19"/>
      <c r="P163" s="146"/>
      <c r="Q163" s="189"/>
      <c r="R163" s="189"/>
      <c r="S163" s="189"/>
      <c r="T163" s="189"/>
      <c r="U163" s="189"/>
      <c r="V163" s="189"/>
      <c r="W163" s="182">
        <f>J163</f>
        <v>0</v>
      </c>
      <c r="X163" s="182">
        <f>H163*$K$1</f>
        <v>0</v>
      </c>
    </row>
    <row r="164" spans="1:25" ht="12.75" customHeight="1" thickBot="1" x14ac:dyDescent="0.3">
      <c r="A164" s="274"/>
      <c r="B164" s="293">
        <v>4</v>
      </c>
      <c r="C164" s="293">
        <v>0</v>
      </c>
      <c r="D164" s="253">
        <f>'Data Ocupacion'!AV36</f>
        <v>2</v>
      </c>
      <c r="E164" s="126">
        <f>'Data Ocupacion'!AW36</f>
        <v>0</v>
      </c>
      <c r="F164" s="219" t="s">
        <v>35</v>
      </c>
      <c r="G164" s="220">
        <f t="shared" si="129"/>
        <v>2</v>
      </c>
      <c r="H164" s="125">
        <f t="shared" si="130"/>
        <v>4</v>
      </c>
      <c r="I164" s="223">
        <f t="shared" si="131"/>
        <v>2</v>
      </c>
      <c r="J164" s="223">
        <f>G164*K$1</f>
        <v>50.8</v>
      </c>
      <c r="K164" s="153">
        <f>I164*K$1</f>
        <v>50.8</v>
      </c>
      <c r="L164" s="125">
        <f t="shared" si="132"/>
        <v>5283.2</v>
      </c>
      <c r="M164" s="125">
        <f t="shared" si="133"/>
        <v>208</v>
      </c>
      <c r="N164" s="19"/>
      <c r="O164" s="19"/>
      <c r="P164" s="146"/>
      <c r="Q164" s="189"/>
      <c r="R164" s="189"/>
      <c r="S164" s="189"/>
      <c r="T164" s="189"/>
      <c r="U164" s="189"/>
      <c r="V164" s="189"/>
      <c r="W164" s="182">
        <f>J164</f>
        <v>50.8</v>
      </c>
      <c r="X164" s="182">
        <f>H164*$K$1</f>
        <v>101.6</v>
      </c>
    </row>
    <row r="165" spans="1:25" s="124" customFormat="1" ht="15" customHeight="1" thickBot="1" x14ac:dyDescent="0.3">
      <c r="A165" s="20"/>
      <c r="B165" s="119">
        <f>SUM(B159:B164)</f>
        <v>168</v>
      </c>
      <c r="C165" s="119">
        <f>SUM(C159:C164)</f>
        <v>61</v>
      </c>
      <c r="D165" s="148">
        <f>SUM(D159:D164)</f>
        <v>176</v>
      </c>
      <c r="E165" s="148">
        <f>SUM(E159:E164)</f>
        <v>49</v>
      </c>
      <c r="F165" s="119"/>
      <c r="G165" s="119">
        <f t="shared" ref="G165:M165" si="134">SUM(G159:G164)</f>
        <v>274</v>
      </c>
      <c r="H165" s="119">
        <f t="shared" si="134"/>
        <v>290</v>
      </c>
      <c r="I165" s="119">
        <f t="shared" si="134"/>
        <v>225</v>
      </c>
      <c r="J165" s="120">
        <f t="shared" si="134"/>
        <v>10856.84</v>
      </c>
      <c r="K165" s="119">
        <f t="shared" si="134"/>
        <v>8743.4699999999993</v>
      </c>
      <c r="L165" s="119">
        <f t="shared" si="134"/>
        <v>1129111.3600000001</v>
      </c>
      <c r="M165" s="119">
        <f t="shared" si="134"/>
        <v>23400</v>
      </c>
      <c r="N165" s="123">
        <f>'Odometro-Kilometraje'!X88</f>
        <v>11104</v>
      </c>
      <c r="O165" s="21">
        <f>(W165/N165)*100</f>
        <v>96.975774495677243</v>
      </c>
      <c r="P165" s="192"/>
      <c r="Q165" s="181"/>
      <c r="R165" s="181"/>
      <c r="S165" s="181"/>
      <c r="T165" s="181"/>
      <c r="U165" s="181"/>
      <c r="V165" s="181"/>
      <c r="W165" s="193">
        <f>SUM(W159:W164)</f>
        <v>10768.19</v>
      </c>
      <c r="X165" s="193">
        <f>SUM(X159:X164)</f>
        <v>11483.42</v>
      </c>
    </row>
    <row r="166" spans="1:25" x14ac:dyDescent="0.25">
      <c r="A166" s="60">
        <f>A159+1</f>
        <v>46227</v>
      </c>
      <c r="B166" s="293">
        <v>49</v>
      </c>
      <c r="C166" s="293">
        <v>30</v>
      </c>
      <c r="D166" s="126">
        <f>'Data Ocupacion'!AX31</f>
        <v>53</v>
      </c>
      <c r="E166" s="126">
        <f>'Data Ocupacion'!AY31</f>
        <v>26</v>
      </c>
      <c r="F166" s="219" t="s">
        <v>38</v>
      </c>
      <c r="G166" s="220">
        <f t="shared" ref="G166:G171" si="135">D166+E166*2</f>
        <v>105</v>
      </c>
      <c r="H166" s="125">
        <f t="shared" ref="H166:H171" si="136">B166+C166*2</f>
        <v>109</v>
      </c>
      <c r="I166" s="221">
        <f t="shared" ref="I166:I171" si="137">D166+E166</f>
        <v>79</v>
      </c>
      <c r="J166" s="221">
        <f>G166*M$2</f>
        <v>4528.6500000000005</v>
      </c>
      <c r="K166" s="153">
        <f>I166*M$2</f>
        <v>3407.27</v>
      </c>
      <c r="L166" s="125">
        <f t="shared" ref="L166:L171" si="138">J166*104</f>
        <v>470979.60000000003</v>
      </c>
      <c r="M166" s="125">
        <f t="shared" ref="M166:M171" si="139">I166*104</f>
        <v>8216</v>
      </c>
      <c r="N166" s="19"/>
      <c r="O166" s="19"/>
      <c r="P166" s="146"/>
      <c r="Q166" s="183">
        <v>5</v>
      </c>
      <c r="R166" s="183"/>
      <c r="S166" s="205"/>
      <c r="T166" s="205"/>
      <c r="U166" s="191"/>
      <c r="V166" s="227"/>
      <c r="W166" s="182">
        <f>J166-(Q166*($M$2-$K$1))-(R166*($M$2-$M$1))- (S166*($M$2-$I$2))+ (T166*($G$2))</f>
        <v>4440.0000000000009</v>
      </c>
      <c r="X166" s="182">
        <f>H166*$M$2</f>
        <v>4701.17</v>
      </c>
    </row>
    <row r="167" spans="1:25" ht="15" customHeight="1" x14ac:dyDescent="0.25">
      <c r="A167" s="274"/>
      <c r="B167" s="293">
        <v>47</v>
      </c>
      <c r="C167" s="293">
        <v>31</v>
      </c>
      <c r="D167" s="126">
        <f>'Data Ocupacion'!AX32</f>
        <v>51</v>
      </c>
      <c r="E167" s="126">
        <f>'Data Ocupacion'!AY32</f>
        <v>27</v>
      </c>
      <c r="F167" s="219" t="s">
        <v>52</v>
      </c>
      <c r="G167" s="220">
        <f t="shared" si="135"/>
        <v>105</v>
      </c>
      <c r="H167" s="125">
        <f t="shared" si="136"/>
        <v>109</v>
      </c>
      <c r="I167" s="125">
        <f t="shared" si="137"/>
        <v>78</v>
      </c>
      <c r="J167" s="125">
        <f>G167*M$2</f>
        <v>4528.6500000000005</v>
      </c>
      <c r="K167" s="153">
        <f>I167*M$2</f>
        <v>3364.1400000000003</v>
      </c>
      <c r="L167" s="125">
        <f t="shared" si="138"/>
        <v>470979.60000000003</v>
      </c>
      <c r="M167" s="125">
        <f t="shared" si="139"/>
        <v>8112</v>
      </c>
      <c r="N167" s="19"/>
      <c r="O167" s="19"/>
      <c r="P167" s="146"/>
      <c r="Q167" s="186"/>
      <c r="R167" s="186"/>
      <c r="S167" s="216"/>
      <c r="T167" s="216">
        <v>3</v>
      </c>
      <c r="U167" s="216"/>
      <c r="V167" s="228"/>
      <c r="W167" s="185">
        <f>J167-(T167*($M$2-$K$1)+(U167*($M$2-$M$1)))</f>
        <v>4475.4600000000009</v>
      </c>
      <c r="X167" s="182">
        <f>H167*$M$2</f>
        <v>4701.17</v>
      </c>
      <c r="Y167" s="172"/>
    </row>
    <row r="168" spans="1:25" ht="15" customHeight="1" x14ac:dyDescent="0.25">
      <c r="A168" s="274"/>
      <c r="B168" s="293">
        <v>36</v>
      </c>
      <c r="C168" s="293">
        <v>0</v>
      </c>
      <c r="D168" s="126">
        <f>'Data Ocupacion'!AX33</f>
        <v>34</v>
      </c>
      <c r="E168" s="126">
        <f>'Data Ocupacion'!AY33</f>
        <v>0</v>
      </c>
      <c r="F168" s="219" t="s">
        <v>36</v>
      </c>
      <c r="G168" s="220">
        <f t="shared" si="135"/>
        <v>34</v>
      </c>
      <c r="H168" s="125">
        <f t="shared" si="136"/>
        <v>36</v>
      </c>
      <c r="I168" s="125">
        <f t="shared" si="137"/>
        <v>34</v>
      </c>
      <c r="J168" s="125">
        <f>G168*M$1</f>
        <v>989.74</v>
      </c>
      <c r="K168" s="153">
        <f>I168*M$1</f>
        <v>989.74</v>
      </c>
      <c r="L168" s="125">
        <f t="shared" si="138"/>
        <v>102932.96</v>
      </c>
      <c r="M168" s="125">
        <f t="shared" si="139"/>
        <v>3536</v>
      </c>
      <c r="N168" s="19"/>
      <c r="O168" s="19"/>
      <c r="P168" s="146"/>
      <c r="Q168" s="183"/>
      <c r="R168" s="190"/>
      <c r="S168" s="227"/>
      <c r="T168" s="186"/>
      <c r="U168" s="189"/>
      <c r="V168" s="189"/>
      <c r="W168" s="182">
        <f>J168-(Q168*($M$1-$K$1))</f>
        <v>989.74</v>
      </c>
      <c r="X168" s="182">
        <f>H168*$M$1</f>
        <v>1047.96</v>
      </c>
    </row>
    <row r="169" spans="1:25" ht="15" customHeight="1" x14ac:dyDescent="0.25">
      <c r="A169" s="274"/>
      <c r="B169" s="293">
        <v>32</v>
      </c>
      <c r="C169" s="293">
        <v>0</v>
      </c>
      <c r="D169" s="126">
        <f>'Data Ocupacion'!AX34</f>
        <v>32</v>
      </c>
      <c r="E169" s="126">
        <f>'Data Ocupacion'!AY34</f>
        <v>0</v>
      </c>
      <c r="F169" s="219" t="s">
        <v>53</v>
      </c>
      <c r="G169" s="220">
        <f t="shared" si="135"/>
        <v>32</v>
      </c>
      <c r="H169" s="125">
        <f t="shared" si="136"/>
        <v>32</v>
      </c>
      <c r="I169" s="125">
        <f t="shared" si="137"/>
        <v>32</v>
      </c>
      <c r="J169" s="125">
        <f>G169*M$1</f>
        <v>931.52</v>
      </c>
      <c r="K169" s="153">
        <f>I169*M$1</f>
        <v>931.52</v>
      </c>
      <c r="L169" s="125">
        <f t="shared" si="138"/>
        <v>96878.080000000002</v>
      </c>
      <c r="M169" s="125">
        <f t="shared" si="139"/>
        <v>3328</v>
      </c>
      <c r="N169" s="19"/>
      <c r="O169" s="19"/>
      <c r="P169" s="146"/>
      <c r="Q169" s="189"/>
      <c r="R169" s="189"/>
      <c r="S169" s="189"/>
      <c r="T169" s="189"/>
      <c r="U169" s="189"/>
      <c r="V169" s="189"/>
      <c r="W169" s="182">
        <f>J169</f>
        <v>931.52</v>
      </c>
      <c r="X169" s="182">
        <f>H169*$M$1</f>
        <v>931.52</v>
      </c>
    </row>
    <row r="170" spans="1:25" ht="15" customHeight="1" x14ac:dyDescent="0.25">
      <c r="A170" s="274"/>
      <c r="B170" s="293">
        <v>0</v>
      </c>
      <c r="C170" s="293">
        <v>0</v>
      </c>
      <c r="D170" s="126">
        <f>'Data Ocupacion'!AX35</f>
        <v>0</v>
      </c>
      <c r="E170" s="126">
        <f>'Data Ocupacion'!AY35</f>
        <v>0</v>
      </c>
      <c r="F170" s="219" t="s">
        <v>122</v>
      </c>
      <c r="G170" s="220">
        <f t="shared" si="135"/>
        <v>0</v>
      </c>
      <c r="H170" s="125">
        <f t="shared" si="136"/>
        <v>0</v>
      </c>
      <c r="I170" s="125">
        <f t="shared" si="137"/>
        <v>0</v>
      </c>
      <c r="J170" s="222">
        <f>G170*K$1</f>
        <v>0</v>
      </c>
      <c r="K170" s="153">
        <f>I170*K$1</f>
        <v>0</v>
      </c>
      <c r="L170" s="125">
        <f t="shared" si="138"/>
        <v>0</v>
      </c>
      <c r="M170" s="125">
        <f t="shared" si="139"/>
        <v>0</v>
      </c>
      <c r="N170" s="19"/>
      <c r="O170" s="19"/>
      <c r="P170" s="146"/>
      <c r="Q170" s="189"/>
      <c r="R170" s="189"/>
      <c r="S170" s="189"/>
      <c r="T170" s="189"/>
      <c r="U170" s="189"/>
      <c r="V170" s="189"/>
      <c r="W170" s="182">
        <f>J170</f>
        <v>0</v>
      </c>
      <c r="X170" s="182">
        <f>H170*$K$1</f>
        <v>0</v>
      </c>
    </row>
    <row r="171" spans="1:25" ht="15.75" thickBot="1" x14ac:dyDescent="0.3">
      <c r="A171" s="274"/>
      <c r="B171" s="293">
        <v>4</v>
      </c>
      <c r="C171" s="293">
        <v>0</v>
      </c>
      <c r="D171" s="253">
        <f>'Data Ocupacion'!AX36</f>
        <v>2</v>
      </c>
      <c r="E171" s="126">
        <f>'Data Ocupacion'!AY36</f>
        <v>0</v>
      </c>
      <c r="F171" s="219" t="s">
        <v>35</v>
      </c>
      <c r="G171" s="220">
        <f t="shared" si="135"/>
        <v>2</v>
      </c>
      <c r="H171" s="125">
        <f t="shared" si="136"/>
        <v>4</v>
      </c>
      <c r="I171" s="223">
        <f t="shared" si="137"/>
        <v>2</v>
      </c>
      <c r="J171" s="223">
        <f>G171*K$1</f>
        <v>50.8</v>
      </c>
      <c r="K171" s="153">
        <f>I171*K$1</f>
        <v>50.8</v>
      </c>
      <c r="L171" s="125">
        <f t="shared" si="138"/>
        <v>5283.2</v>
      </c>
      <c r="M171" s="125">
        <f t="shared" si="139"/>
        <v>208</v>
      </c>
      <c r="N171" s="19"/>
      <c r="O171" s="19"/>
      <c r="P171" s="146"/>
      <c r="Q171" s="189"/>
      <c r="R171" s="189"/>
      <c r="S171" s="189"/>
      <c r="T171" s="189"/>
      <c r="U171" s="189"/>
      <c r="V171" s="189"/>
      <c r="W171" s="182">
        <f>J171</f>
        <v>50.8</v>
      </c>
      <c r="X171" s="182">
        <f>H171*$K$1</f>
        <v>101.6</v>
      </c>
    </row>
    <row r="172" spans="1:25" s="124" customFormat="1" ht="15.75" thickBot="1" x14ac:dyDescent="0.3">
      <c r="A172" s="20"/>
      <c r="B172" s="119">
        <f>SUM(B166:B171)</f>
        <v>168</v>
      </c>
      <c r="C172" s="119">
        <f>SUM(C166:C171)</f>
        <v>61</v>
      </c>
      <c r="D172" s="148">
        <f>SUM(D166:D171)</f>
        <v>172</v>
      </c>
      <c r="E172" s="148">
        <f>SUM(E166:E171)</f>
        <v>53</v>
      </c>
      <c r="F172" s="119"/>
      <c r="G172" s="119">
        <f t="shared" ref="G172:M172" si="140">SUM(G166:G171)</f>
        <v>278</v>
      </c>
      <c r="H172" s="119">
        <f t="shared" si="140"/>
        <v>290</v>
      </c>
      <c r="I172" s="119">
        <f t="shared" si="140"/>
        <v>225</v>
      </c>
      <c r="J172" s="120">
        <f t="shared" si="140"/>
        <v>11029.36</v>
      </c>
      <c r="K172" s="119">
        <f t="shared" si="140"/>
        <v>8743.4699999999993</v>
      </c>
      <c r="L172" s="119">
        <f t="shared" si="140"/>
        <v>1147053.44</v>
      </c>
      <c r="M172" s="119">
        <f t="shared" si="140"/>
        <v>23400</v>
      </c>
      <c r="N172" s="123">
        <f>'Odometro-Kilometraje'!Y88</f>
        <v>11333</v>
      </c>
      <c r="O172" s="21">
        <f>(W172/N172)*100</f>
        <v>96.069178505250179</v>
      </c>
      <c r="P172" s="192"/>
      <c r="Q172" s="181"/>
      <c r="R172" s="181"/>
      <c r="S172" s="181"/>
      <c r="T172" s="181"/>
      <c r="U172" s="181"/>
      <c r="V172" s="181"/>
      <c r="W172" s="193">
        <f>SUM(W166:W171)</f>
        <v>10887.520000000002</v>
      </c>
      <c r="X172" s="193">
        <f>SUM(X166:X171)</f>
        <v>11483.42</v>
      </c>
    </row>
    <row r="173" spans="1:25" x14ac:dyDescent="0.25">
      <c r="A173" s="60">
        <f>A166+1</f>
        <v>46228</v>
      </c>
      <c r="B173" s="116">
        <v>69</v>
      </c>
      <c r="C173" s="116">
        <v>3</v>
      </c>
      <c r="D173" s="147">
        <f>'Data Ocupacion'!AZ31</f>
        <v>69</v>
      </c>
      <c r="E173" s="147">
        <f>'Data Ocupacion'!BA31</f>
        <v>3</v>
      </c>
      <c r="F173" s="316" t="s">
        <v>38</v>
      </c>
      <c r="G173" s="317">
        <f t="shared" ref="G173:G178" si="141">D173+E173*2</f>
        <v>75</v>
      </c>
      <c r="H173" s="116">
        <f t="shared" ref="H173:H178" si="142">B173+C173*2</f>
        <v>75</v>
      </c>
      <c r="I173" s="318">
        <f t="shared" ref="I173:I178" si="143">D173+E173</f>
        <v>72</v>
      </c>
      <c r="J173" s="318">
        <f>G173*M$2</f>
        <v>3234.75</v>
      </c>
      <c r="K173" s="153">
        <f>I173*M$2</f>
        <v>3105.36</v>
      </c>
      <c r="L173" s="116">
        <f t="shared" ref="L173:L178" si="144">J173*104</f>
        <v>336414</v>
      </c>
      <c r="M173" s="116">
        <f t="shared" ref="M173:M178" si="145">I173*104</f>
        <v>7488</v>
      </c>
      <c r="N173" s="19"/>
      <c r="O173" s="19"/>
      <c r="P173" s="146"/>
      <c r="Q173" s="183"/>
      <c r="R173" s="183"/>
      <c r="S173" s="205"/>
      <c r="T173" s="283"/>
      <c r="U173" s="191"/>
      <c r="V173" s="227"/>
      <c r="W173" s="182">
        <f>J173-(Q173*($M$2-$K$1))-(R173*($M$2-$M$1))- (S173*($M$2-$I$2))+ (T173*($G$2))</f>
        <v>3234.75</v>
      </c>
      <c r="X173" s="182">
        <f>H173*$M$2</f>
        <v>3234.75</v>
      </c>
    </row>
    <row r="174" spans="1:25" ht="18" customHeight="1" x14ac:dyDescent="0.25">
      <c r="A174" s="274"/>
      <c r="B174" s="116">
        <v>75</v>
      </c>
      <c r="C174" s="116">
        <v>0</v>
      </c>
      <c r="D174" s="147">
        <f>'Data Ocupacion'!AZ32</f>
        <v>75</v>
      </c>
      <c r="E174" s="147">
        <f>'Data Ocupacion'!BA32</f>
        <v>0</v>
      </c>
      <c r="F174" s="316" t="s">
        <v>52</v>
      </c>
      <c r="G174" s="317">
        <f t="shared" si="141"/>
        <v>75</v>
      </c>
      <c r="H174" s="116">
        <f t="shared" si="142"/>
        <v>75</v>
      </c>
      <c r="I174" s="116">
        <f t="shared" si="143"/>
        <v>75</v>
      </c>
      <c r="J174" s="116">
        <f>G174*M$2</f>
        <v>3234.75</v>
      </c>
      <c r="K174" s="153">
        <f>I174*M$2</f>
        <v>3234.75</v>
      </c>
      <c r="L174" s="116">
        <f t="shared" si="144"/>
        <v>336414</v>
      </c>
      <c r="M174" s="116">
        <f t="shared" si="145"/>
        <v>7800</v>
      </c>
      <c r="N174" s="19"/>
      <c r="O174" s="19"/>
      <c r="P174" s="146"/>
      <c r="Q174" s="186"/>
      <c r="R174" s="186"/>
      <c r="S174" s="216"/>
      <c r="T174" s="183"/>
      <c r="U174" s="216"/>
      <c r="V174" s="228"/>
      <c r="W174" s="185">
        <f>J174-(T174*($M$2-$K$1)+(U174*($M$2-$M$1)))</f>
        <v>3234.75</v>
      </c>
      <c r="X174" s="182">
        <f>H174*$M$2</f>
        <v>3234.75</v>
      </c>
      <c r="Y174" s="172"/>
    </row>
    <row r="175" spans="1:25" x14ac:dyDescent="0.25">
      <c r="A175" s="274"/>
      <c r="B175" s="116">
        <v>0</v>
      </c>
      <c r="C175" s="116">
        <v>0</v>
      </c>
      <c r="D175" s="147">
        <f>'Data Ocupacion'!AZ33</f>
        <v>0</v>
      </c>
      <c r="E175" s="147">
        <f>'Data Ocupacion'!BA33</f>
        <v>0</v>
      </c>
      <c r="F175" s="316" t="s">
        <v>36</v>
      </c>
      <c r="G175" s="317">
        <f t="shared" si="141"/>
        <v>0</v>
      </c>
      <c r="H175" s="116">
        <f t="shared" si="142"/>
        <v>0</v>
      </c>
      <c r="I175" s="116">
        <f t="shared" si="143"/>
        <v>0</v>
      </c>
      <c r="J175" s="116">
        <f>G175*M$1</f>
        <v>0</v>
      </c>
      <c r="K175" s="153">
        <f>I175*M$1</f>
        <v>0</v>
      </c>
      <c r="L175" s="116">
        <f t="shared" si="144"/>
        <v>0</v>
      </c>
      <c r="M175" s="116">
        <f t="shared" si="145"/>
        <v>0</v>
      </c>
      <c r="N175" s="19"/>
      <c r="O175" s="19"/>
      <c r="P175" s="146"/>
      <c r="Q175" s="243"/>
      <c r="R175" s="190"/>
      <c r="S175" s="227"/>
      <c r="T175" s="186"/>
      <c r="U175" s="189"/>
      <c r="V175" s="189"/>
      <c r="W175" s="182">
        <f>J175-(Q175*($M$1-$K$1))</f>
        <v>0</v>
      </c>
      <c r="X175" s="182">
        <f>H175*$M$1</f>
        <v>0</v>
      </c>
    </row>
    <row r="176" spans="1:25" ht="15" customHeight="1" x14ac:dyDescent="0.25">
      <c r="A176" s="274"/>
      <c r="B176" s="116">
        <v>0</v>
      </c>
      <c r="C176" s="116">
        <v>0</v>
      </c>
      <c r="D176" s="147">
        <f>'Data Ocupacion'!AZ34</f>
        <v>0</v>
      </c>
      <c r="E176" s="147">
        <f>'Data Ocupacion'!BA34</f>
        <v>0</v>
      </c>
      <c r="F176" s="316" t="s">
        <v>53</v>
      </c>
      <c r="G176" s="317">
        <f t="shared" si="141"/>
        <v>0</v>
      </c>
      <c r="H176" s="116">
        <f t="shared" si="142"/>
        <v>0</v>
      </c>
      <c r="I176" s="116">
        <f t="shared" si="143"/>
        <v>0</v>
      </c>
      <c r="J176" s="116">
        <f>G176*M$1</f>
        <v>0</v>
      </c>
      <c r="K176" s="153">
        <f>I176*M$1</f>
        <v>0</v>
      </c>
      <c r="L176" s="116">
        <f t="shared" si="144"/>
        <v>0</v>
      </c>
      <c r="M176" s="116">
        <f t="shared" si="145"/>
        <v>0</v>
      </c>
      <c r="N176" s="19"/>
      <c r="O176" s="19"/>
      <c r="P176" s="146"/>
      <c r="Q176" s="189"/>
      <c r="R176" s="189"/>
      <c r="S176" s="189"/>
      <c r="T176" s="189"/>
      <c r="U176" s="189"/>
      <c r="V176" s="189"/>
      <c r="W176" s="182">
        <f>J176</f>
        <v>0</v>
      </c>
      <c r="X176" s="182">
        <f>H176*$M$1</f>
        <v>0</v>
      </c>
    </row>
    <row r="177" spans="1:30" ht="16.149999999999999" customHeight="1" x14ac:dyDescent="0.25">
      <c r="A177" s="274"/>
      <c r="B177" s="116">
        <v>0</v>
      </c>
      <c r="C177" s="116">
        <v>0</v>
      </c>
      <c r="D177" s="147">
        <f>'Data Ocupacion'!AZ35</f>
        <v>0</v>
      </c>
      <c r="E177" s="147">
        <f>'Data Ocupacion'!BA35</f>
        <v>0</v>
      </c>
      <c r="F177" s="316" t="s">
        <v>122</v>
      </c>
      <c r="G177" s="317">
        <f t="shared" si="141"/>
        <v>0</v>
      </c>
      <c r="H177" s="116">
        <f t="shared" si="142"/>
        <v>0</v>
      </c>
      <c r="I177" s="116">
        <f t="shared" si="143"/>
        <v>0</v>
      </c>
      <c r="J177" s="319">
        <f>G177*K$1</f>
        <v>0</v>
      </c>
      <c r="K177" s="153">
        <f>I177*K$1</f>
        <v>0</v>
      </c>
      <c r="L177" s="116">
        <f t="shared" si="144"/>
        <v>0</v>
      </c>
      <c r="M177" s="116">
        <f t="shared" si="145"/>
        <v>0</v>
      </c>
      <c r="N177" s="19"/>
      <c r="O177" s="19"/>
      <c r="P177" s="146"/>
      <c r="Q177" s="189"/>
      <c r="R177" s="189"/>
      <c r="S177" s="189"/>
      <c r="T177" s="189"/>
      <c r="U177" s="189"/>
      <c r="V177" s="189"/>
      <c r="W177" s="182">
        <f>J177</f>
        <v>0</v>
      </c>
      <c r="X177" s="182">
        <f>H177*$K$1</f>
        <v>0</v>
      </c>
    </row>
    <row r="178" spans="1:30" ht="15.75" thickBot="1" x14ac:dyDescent="0.3">
      <c r="A178" s="274"/>
      <c r="B178" s="116">
        <v>0</v>
      </c>
      <c r="C178" s="116">
        <v>0</v>
      </c>
      <c r="D178" s="147">
        <f>'Data Ocupacion'!AZ36</f>
        <v>0</v>
      </c>
      <c r="E178" s="147">
        <f>'Data Ocupacion'!BA36</f>
        <v>0</v>
      </c>
      <c r="F178" s="316" t="s">
        <v>35</v>
      </c>
      <c r="G178" s="317">
        <f t="shared" si="141"/>
        <v>0</v>
      </c>
      <c r="H178" s="116">
        <f t="shared" si="142"/>
        <v>0</v>
      </c>
      <c r="I178" s="320">
        <f t="shared" si="143"/>
        <v>0</v>
      </c>
      <c r="J178" s="320">
        <f>G178*K$1</f>
        <v>0</v>
      </c>
      <c r="K178" s="153">
        <f>I178*K$1</f>
        <v>0</v>
      </c>
      <c r="L178" s="116">
        <f t="shared" si="144"/>
        <v>0</v>
      </c>
      <c r="M178" s="116">
        <f t="shared" si="145"/>
        <v>0</v>
      </c>
      <c r="N178" s="19"/>
      <c r="O178" s="19"/>
      <c r="P178" s="146"/>
      <c r="Q178" s="189"/>
      <c r="R178" s="189"/>
      <c r="S178" s="189"/>
      <c r="T178" s="189"/>
      <c r="U178" s="189"/>
      <c r="V178" s="189"/>
      <c r="W178" s="182">
        <f>J178</f>
        <v>0</v>
      </c>
      <c r="X178" s="182">
        <f>H178*$K$1</f>
        <v>0</v>
      </c>
    </row>
    <row r="179" spans="1:30" s="124" customFormat="1" ht="15.75" thickBot="1" x14ac:dyDescent="0.3">
      <c r="A179" s="200"/>
      <c r="B179" s="119">
        <f>SUM(B173:B178)</f>
        <v>144</v>
      </c>
      <c r="C179" s="119">
        <f>SUM(C173:C178)</f>
        <v>3</v>
      </c>
      <c r="D179" s="148">
        <f>SUM(D173:D178)</f>
        <v>144</v>
      </c>
      <c r="E179" s="148">
        <f>SUM(E173:E178)</f>
        <v>3</v>
      </c>
      <c r="F179" s="119"/>
      <c r="G179" s="119">
        <f t="shared" ref="G179:M179" si="146">SUM(G173:G178)</f>
        <v>150</v>
      </c>
      <c r="H179" s="119">
        <f t="shared" si="146"/>
        <v>150</v>
      </c>
      <c r="I179" s="119">
        <f t="shared" si="146"/>
        <v>147</v>
      </c>
      <c r="J179" s="119">
        <f t="shared" si="146"/>
        <v>6469.5</v>
      </c>
      <c r="K179" s="119">
        <f t="shared" si="146"/>
        <v>6340.1100000000006</v>
      </c>
      <c r="L179" s="119">
        <f t="shared" si="146"/>
        <v>672828</v>
      </c>
      <c r="M179" s="119">
        <f t="shared" si="146"/>
        <v>15288</v>
      </c>
      <c r="N179" s="123">
        <f>'Odometro-Kilometraje'!Z88</f>
        <v>6600</v>
      </c>
      <c r="O179" s="21">
        <f>(W179/N179)*100</f>
        <v>98.022727272727266</v>
      </c>
      <c r="P179" s="192"/>
      <c r="Q179" s="181"/>
      <c r="R179" s="181"/>
      <c r="S179" s="181"/>
      <c r="T179" s="181"/>
      <c r="U179" s="181"/>
      <c r="V179" s="181"/>
      <c r="W179" s="193">
        <f>SUM(W173:W178)</f>
        <v>6469.5</v>
      </c>
      <c r="X179" s="193">
        <f>SUM(X173:X178)</f>
        <v>6469.5</v>
      </c>
      <c r="AB179" s="172"/>
    </row>
    <row r="180" spans="1:30" x14ac:dyDescent="0.25">
      <c r="A180" s="60">
        <f>A173+1</f>
        <v>46229</v>
      </c>
      <c r="B180" s="217">
        <v>51</v>
      </c>
      <c r="C180" s="217">
        <v>3</v>
      </c>
      <c r="D180" s="138">
        <f>'Data Ocupacion'!BB31</f>
        <v>51</v>
      </c>
      <c r="E180" s="138">
        <f>'Data Ocupacion'!BC31</f>
        <v>3</v>
      </c>
      <c r="F180" s="326" t="s">
        <v>38</v>
      </c>
      <c r="G180" s="327">
        <f t="shared" ref="G180:G185" si="147">D180+E180*2</f>
        <v>57</v>
      </c>
      <c r="H180" s="217">
        <f t="shared" ref="H180:H185" si="148">B180+C180*2</f>
        <v>57</v>
      </c>
      <c r="I180" s="328">
        <f t="shared" ref="I180:I185" si="149">D180+E180</f>
        <v>54</v>
      </c>
      <c r="J180" s="328">
        <f>G180*M$2</f>
        <v>2458.4100000000003</v>
      </c>
      <c r="K180" s="153">
        <f>I180*M$2</f>
        <v>2329.02</v>
      </c>
      <c r="L180" s="217">
        <f t="shared" ref="L180:L185" si="150">J180*104</f>
        <v>255674.64000000004</v>
      </c>
      <c r="M180" s="217">
        <f t="shared" ref="M180:M185" si="151">I180*104</f>
        <v>5616</v>
      </c>
      <c r="N180" s="19"/>
      <c r="O180" s="19"/>
      <c r="P180" s="146"/>
      <c r="Q180" s="183"/>
      <c r="R180" s="183"/>
      <c r="S180" s="205"/>
      <c r="T180" s="283"/>
      <c r="U180" s="191"/>
      <c r="V180" s="227"/>
      <c r="W180" s="182">
        <f>J180-(Q180*($M$2-$K$1))-(R180*($M$2-$M$1))- (S180*($M$2-$I$2))+ (T180*($G$2))</f>
        <v>2458.4100000000003</v>
      </c>
      <c r="X180" s="182">
        <f>H180*$M$2</f>
        <v>2458.4100000000003</v>
      </c>
      <c r="Z180" s="124"/>
      <c r="AA180" s="124"/>
      <c r="AB180" s="124"/>
      <c r="AC180" s="124"/>
      <c r="AD180" s="124"/>
    </row>
    <row r="181" spans="1:30" ht="15" customHeight="1" x14ac:dyDescent="0.25">
      <c r="A181" s="274"/>
      <c r="B181" s="217">
        <v>57</v>
      </c>
      <c r="C181" s="217">
        <v>0</v>
      </c>
      <c r="D181" s="138">
        <f>'Data Ocupacion'!BB32</f>
        <v>57</v>
      </c>
      <c r="E181" s="138">
        <f>'Data Ocupacion'!BC32</f>
        <v>0</v>
      </c>
      <c r="F181" s="326" t="s">
        <v>52</v>
      </c>
      <c r="G181" s="327">
        <f t="shared" si="147"/>
        <v>57</v>
      </c>
      <c r="H181" s="217">
        <f t="shared" si="148"/>
        <v>57</v>
      </c>
      <c r="I181" s="217">
        <f t="shared" si="149"/>
        <v>57</v>
      </c>
      <c r="J181" s="217">
        <f>G181*M$2</f>
        <v>2458.4100000000003</v>
      </c>
      <c r="K181" s="153">
        <f>I181*M$2</f>
        <v>2458.4100000000003</v>
      </c>
      <c r="L181" s="217">
        <f t="shared" si="150"/>
        <v>255674.64000000004</v>
      </c>
      <c r="M181" s="217">
        <f t="shared" si="151"/>
        <v>5928</v>
      </c>
      <c r="N181" s="19"/>
      <c r="O181" s="19"/>
      <c r="P181" s="146"/>
      <c r="Q181" s="186"/>
      <c r="R181" s="186"/>
      <c r="S181" s="216"/>
      <c r="T181" s="283"/>
      <c r="U181" s="216"/>
      <c r="V181" s="205"/>
      <c r="W181" s="182">
        <f>J181-(Q181*($K$1)+(T181*($M$2-$K$1))+(U181*($M$2-$M$1)))</f>
        <v>2458.4100000000003</v>
      </c>
      <c r="X181" s="182">
        <f>H181*$M$2</f>
        <v>2458.4100000000003</v>
      </c>
      <c r="Z181" s="124"/>
      <c r="AA181" s="124"/>
      <c r="AB181" s="124"/>
      <c r="AC181" s="124"/>
      <c r="AD181" s="124"/>
    </row>
    <row r="182" spans="1:30" x14ac:dyDescent="0.25">
      <c r="A182" s="274"/>
      <c r="B182" s="217">
        <v>0</v>
      </c>
      <c r="C182" s="217">
        <v>0</v>
      </c>
      <c r="D182" s="138">
        <f>'Data Ocupacion'!BB33</f>
        <v>0</v>
      </c>
      <c r="E182" s="138">
        <f>'Data Ocupacion'!BC33</f>
        <v>0</v>
      </c>
      <c r="F182" s="326" t="s">
        <v>36</v>
      </c>
      <c r="G182" s="327">
        <f t="shared" si="147"/>
        <v>0</v>
      </c>
      <c r="H182" s="217">
        <f t="shared" si="148"/>
        <v>0</v>
      </c>
      <c r="I182" s="217">
        <f t="shared" si="149"/>
        <v>0</v>
      </c>
      <c r="J182" s="217">
        <f>G182*M$1</f>
        <v>0</v>
      </c>
      <c r="K182" s="153">
        <f>I182*M$1</f>
        <v>0</v>
      </c>
      <c r="L182" s="217">
        <f t="shared" si="150"/>
        <v>0</v>
      </c>
      <c r="M182" s="217">
        <f t="shared" si="151"/>
        <v>0</v>
      </c>
      <c r="N182" s="19"/>
      <c r="O182" s="19" t="s">
        <v>144</v>
      </c>
      <c r="P182" s="146"/>
      <c r="Q182" s="183"/>
      <c r="R182" s="190"/>
      <c r="S182" s="227"/>
      <c r="T182" s="186"/>
      <c r="U182" s="189"/>
      <c r="V182" s="189"/>
      <c r="W182" s="182">
        <f>J182-(Q182*($M$1-$K$1))</f>
        <v>0</v>
      </c>
      <c r="X182" s="182">
        <f>H182*$M$1</f>
        <v>0</v>
      </c>
    </row>
    <row r="183" spans="1:30" ht="15" customHeight="1" x14ac:dyDescent="0.25">
      <c r="A183" s="274"/>
      <c r="B183" s="217">
        <v>0</v>
      </c>
      <c r="C183" s="217">
        <v>0</v>
      </c>
      <c r="D183" s="138">
        <f>'Data Ocupacion'!BB34</f>
        <v>0</v>
      </c>
      <c r="E183" s="138">
        <f>'Data Ocupacion'!BC34</f>
        <v>0</v>
      </c>
      <c r="F183" s="326" t="s">
        <v>53</v>
      </c>
      <c r="G183" s="327">
        <f t="shared" si="147"/>
        <v>0</v>
      </c>
      <c r="H183" s="217">
        <f t="shared" si="148"/>
        <v>0</v>
      </c>
      <c r="I183" s="217">
        <f t="shared" si="149"/>
        <v>0</v>
      </c>
      <c r="J183" s="217">
        <f>G183*M$1</f>
        <v>0</v>
      </c>
      <c r="K183" s="153">
        <f>I183*M$1</f>
        <v>0</v>
      </c>
      <c r="L183" s="217">
        <f t="shared" si="150"/>
        <v>0</v>
      </c>
      <c r="M183" s="217">
        <f t="shared" si="151"/>
        <v>0</v>
      </c>
      <c r="N183" s="19"/>
      <c r="O183" s="19"/>
      <c r="P183" s="146"/>
      <c r="Q183" s="189"/>
      <c r="R183" s="189"/>
      <c r="S183" s="189"/>
      <c r="T183" s="189"/>
      <c r="U183" s="189"/>
      <c r="V183" s="189"/>
      <c r="W183" s="182">
        <f>J183</f>
        <v>0</v>
      </c>
      <c r="X183" s="182">
        <f>H183*$M$1</f>
        <v>0</v>
      </c>
    </row>
    <row r="184" spans="1:30" ht="15" customHeight="1" x14ac:dyDescent="0.25">
      <c r="A184" s="274"/>
      <c r="B184" s="217">
        <v>0</v>
      </c>
      <c r="C184" s="217">
        <v>0</v>
      </c>
      <c r="D184" s="138">
        <f>'Data Ocupacion'!BB35</f>
        <v>0</v>
      </c>
      <c r="E184" s="138">
        <f>'Data Ocupacion'!BC35</f>
        <v>0</v>
      </c>
      <c r="F184" s="326" t="s">
        <v>122</v>
      </c>
      <c r="G184" s="327">
        <f t="shared" si="147"/>
        <v>0</v>
      </c>
      <c r="H184" s="217">
        <f t="shared" si="148"/>
        <v>0</v>
      </c>
      <c r="I184" s="217">
        <f t="shared" si="149"/>
        <v>0</v>
      </c>
      <c r="J184" s="329">
        <f>G184*K$1</f>
        <v>0</v>
      </c>
      <c r="K184" s="153">
        <f>I184*K$1</f>
        <v>0</v>
      </c>
      <c r="L184" s="217">
        <f t="shared" si="150"/>
        <v>0</v>
      </c>
      <c r="M184" s="217">
        <f t="shared" si="151"/>
        <v>0</v>
      </c>
      <c r="N184" s="19"/>
      <c r="O184" s="19"/>
      <c r="P184" s="146"/>
      <c r="Q184" s="189"/>
      <c r="R184" s="189"/>
      <c r="S184" s="189"/>
      <c r="T184" s="189"/>
      <c r="U184" s="189"/>
      <c r="V184" s="189"/>
      <c r="W184" s="182">
        <f>J184</f>
        <v>0</v>
      </c>
      <c r="X184" s="182">
        <f>H184*$K$1</f>
        <v>0</v>
      </c>
    </row>
    <row r="185" spans="1:30" ht="15" customHeight="1" thickBot="1" x14ac:dyDescent="0.3">
      <c r="A185" s="274"/>
      <c r="B185" s="217">
        <v>0</v>
      </c>
      <c r="C185" s="217">
        <v>0</v>
      </c>
      <c r="D185" s="138">
        <f>'Data Ocupacion'!BB36</f>
        <v>0</v>
      </c>
      <c r="E185" s="138">
        <f>'Data Ocupacion'!BC36</f>
        <v>0</v>
      </c>
      <c r="F185" s="326" t="s">
        <v>35</v>
      </c>
      <c r="G185" s="327">
        <f t="shared" si="147"/>
        <v>0</v>
      </c>
      <c r="H185" s="217">
        <f t="shared" si="148"/>
        <v>0</v>
      </c>
      <c r="I185" s="330">
        <f t="shared" si="149"/>
        <v>0</v>
      </c>
      <c r="J185" s="330">
        <f>G185*K$1</f>
        <v>0</v>
      </c>
      <c r="K185" s="153">
        <f>I185*K$1</f>
        <v>0</v>
      </c>
      <c r="L185" s="217">
        <f t="shared" si="150"/>
        <v>0</v>
      </c>
      <c r="M185" s="217">
        <f t="shared" si="151"/>
        <v>0</v>
      </c>
      <c r="N185" s="19"/>
      <c r="O185" s="19"/>
      <c r="P185" s="146"/>
      <c r="Q185" s="189"/>
      <c r="R185" s="189"/>
      <c r="S185" s="189"/>
      <c r="T185" s="189"/>
      <c r="U185" s="189"/>
      <c r="V185" s="189"/>
      <c r="W185" s="182">
        <f>J185</f>
        <v>0</v>
      </c>
      <c r="X185" s="182">
        <f>H185*$K$1</f>
        <v>0</v>
      </c>
    </row>
    <row r="186" spans="1:30" s="124" customFormat="1" ht="15.75" thickBot="1" x14ac:dyDescent="0.3">
      <c r="A186" s="20"/>
      <c r="B186" s="119">
        <f>SUM(B180:B185)</f>
        <v>108</v>
      </c>
      <c r="C186" s="119">
        <f>SUM(C180:C185)</f>
        <v>3</v>
      </c>
      <c r="D186" s="148">
        <f>SUM(D180:D185)</f>
        <v>108</v>
      </c>
      <c r="E186" s="148">
        <f>SUM(E180:E185)</f>
        <v>3</v>
      </c>
      <c r="F186" s="119"/>
      <c r="G186" s="119">
        <f t="shared" ref="G186:M186" si="152">SUM(G180:G185)</f>
        <v>114</v>
      </c>
      <c r="H186" s="119">
        <f t="shared" si="152"/>
        <v>114</v>
      </c>
      <c r="I186" s="119">
        <f t="shared" si="152"/>
        <v>111</v>
      </c>
      <c r="J186" s="119">
        <f t="shared" si="152"/>
        <v>4916.8200000000006</v>
      </c>
      <c r="K186" s="119">
        <f t="shared" si="152"/>
        <v>4787.43</v>
      </c>
      <c r="L186" s="119">
        <f t="shared" si="152"/>
        <v>511349.28000000009</v>
      </c>
      <c r="M186" s="119">
        <f t="shared" si="152"/>
        <v>11544</v>
      </c>
      <c r="N186" s="123">
        <f>'Odometro-Kilometraje'!AA88</f>
        <v>4943</v>
      </c>
      <c r="O186" s="21">
        <f>(W186/N186)*100</f>
        <v>99.470362128262195</v>
      </c>
      <c r="P186" s="192"/>
      <c r="Q186" s="181"/>
      <c r="R186" s="181"/>
      <c r="S186" s="181"/>
      <c r="T186" s="181"/>
      <c r="U186" s="181"/>
      <c r="V186" s="181"/>
      <c r="W186" s="193">
        <f>SUM(W180:W185)</f>
        <v>4916.8200000000006</v>
      </c>
      <c r="X186" s="193">
        <f>SUM(X180:X185)</f>
        <v>4916.8200000000006</v>
      </c>
    </row>
    <row r="187" spans="1:30" x14ac:dyDescent="0.25">
      <c r="A187" s="60">
        <f>A180+1</f>
        <v>46230</v>
      </c>
      <c r="B187" s="293">
        <v>49</v>
      </c>
      <c r="C187" s="293">
        <v>30</v>
      </c>
      <c r="D187" s="126">
        <f>'Data Ocupacion'!BD31</f>
        <v>61</v>
      </c>
      <c r="E187" s="126">
        <f>'Data Ocupacion'!BE31</f>
        <v>18</v>
      </c>
      <c r="F187" s="219" t="s">
        <v>38</v>
      </c>
      <c r="G187" s="220">
        <f t="shared" ref="G187:G192" si="153">D187+E187*2</f>
        <v>97</v>
      </c>
      <c r="H187" s="125">
        <f t="shared" ref="H187:H192" si="154">B187+C187*2</f>
        <v>109</v>
      </c>
      <c r="I187" s="221">
        <f t="shared" ref="I187:I192" si="155">D187+E187</f>
        <v>79</v>
      </c>
      <c r="J187" s="350">
        <f>G187*M$2-(1*Z3)</f>
        <v>4182.05</v>
      </c>
      <c r="K187" s="153">
        <f>I187*M$2</f>
        <v>3407.27</v>
      </c>
      <c r="L187" s="125">
        <f t="shared" ref="L187:L192" si="156">J187*104</f>
        <v>434933.2</v>
      </c>
      <c r="M187" s="125">
        <f t="shared" ref="M187:M192" si="157">I187*104</f>
        <v>8216</v>
      </c>
      <c r="N187" s="19"/>
      <c r="O187" s="19"/>
      <c r="P187" s="146"/>
      <c r="Q187" s="183">
        <v>4</v>
      </c>
      <c r="R187" s="183"/>
      <c r="S187" s="205"/>
      <c r="T187" s="283"/>
      <c r="U187" s="191"/>
      <c r="V187" s="227"/>
      <c r="W187" s="182">
        <f>J187-(Q187*($M$2-$K$1))-(R187*($M$2-$M$1))- (S187*($M$2-$I$2))+ (T187*($G$2))</f>
        <v>4111.13</v>
      </c>
      <c r="X187" s="182">
        <f>H187*$M$2</f>
        <v>4701.17</v>
      </c>
      <c r="Y187">
        <f>Z3+Z2</f>
        <v>5.46</v>
      </c>
    </row>
    <row r="188" spans="1:30" ht="18" customHeight="1" x14ac:dyDescent="0.25">
      <c r="A188" s="274"/>
      <c r="B188" s="293">
        <v>47</v>
      </c>
      <c r="C188" s="293">
        <v>31</v>
      </c>
      <c r="D188" s="126">
        <f>'Data Ocupacion'!BD32</f>
        <v>59</v>
      </c>
      <c r="E188" s="126">
        <f>'Data Ocupacion'!BE32</f>
        <v>19</v>
      </c>
      <c r="F188" s="219" t="s">
        <v>52</v>
      </c>
      <c r="G188" s="220">
        <f t="shared" si="153"/>
        <v>97</v>
      </c>
      <c r="H188" s="125">
        <f t="shared" si="154"/>
        <v>109</v>
      </c>
      <c r="I188" s="125">
        <f t="shared" si="155"/>
        <v>78</v>
      </c>
      <c r="J188" s="350">
        <f>G188*M$2-(1*Z2)</f>
        <v>4179.7100000000009</v>
      </c>
      <c r="K188" s="153">
        <f>I188*M$2</f>
        <v>3364.1400000000003</v>
      </c>
      <c r="L188" s="125">
        <f t="shared" si="156"/>
        <v>434689.84000000008</v>
      </c>
      <c r="M188" s="125">
        <f t="shared" si="157"/>
        <v>8112</v>
      </c>
      <c r="N188" s="19"/>
      <c r="O188" s="19"/>
      <c r="P188" s="146"/>
      <c r="Q188" s="186"/>
      <c r="R188" s="186"/>
      <c r="S188" s="216"/>
      <c r="T188" s="183"/>
      <c r="U188" s="216"/>
      <c r="V188" s="228"/>
      <c r="W188" s="185">
        <f>J188-(T188*($M$2-$K$1)+(U188*($M$2-$M$1)))</f>
        <v>4179.7100000000009</v>
      </c>
      <c r="X188" s="182">
        <f>H188*$M$2</f>
        <v>4701.17</v>
      </c>
    </row>
    <row r="189" spans="1:30" ht="15" customHeight="1" x14ac:dyDescent="0.25">
      <c r="A189" s="274"/>
      <c r="B189" s="293">
        <v>36</v>
      </c>
      <c r="C189" s="293">
        <v>0</v>
      </c>
      <c r="D189" s="126">
        <f>'Data Ocupacion'!BD33</f>
        <v>33</v>
      </c>
      <c r="E189" s="126">
        <f>'Data Ocupacion'!BE33</f>
        <v>0</v>
      </c>
      <c r="F189" s="219" t="s">
        <v>36</v>
      </c>
      <c r="G189" s="220">
        <f t="shared" si="153"/>
        <v>33</v>
      </c>
      <c r="H189" s="125">
        <f t="shared" si="154"/>
        <v>36</v>
      </c>
      <c r="I189" s="125">
        <f t="shared" si="155"/>
        <v>33</v>
      </c>
      <c r="J189" s="125">
        <f>G189*M$1</f>
        <v>960.63</v>
      </c>
      <c r="K189" s="153">
        <f>I189*M$1</f>
        <v>960.63</v>
      </c>
      <c r="L189" s="125">
        <f t="shared" si="156"/>
        <v>99905.52</v>
      </c>
      <c r="M189" s="125">
        <f t="shared" si="157"/>
        <v>3432</v>
      </c>
      <c r="N189" s="19"/>
      <c r="O189" s="19"/>
      <c r="P189" s="146"/>
      <c r="Q189" s="243"/>
      <c r="R189" s="190"/>
      <c r="S189" s="227"/>
      <c r="T189" s="186"/>
      <c r="U189" s="189"/>
      <c r="V189" s="189"/>
      <c r="W189" s="182">
        <f>J189-(Q189*($M$1-$K$1))</f>
        <v>960.63</v>
      </c>
      <c r="X189" s="182">
        <f>H189*$M$1</f>
        <v>1047.96</v>
      </c>
    </row>
    <row r="190" spans="1:30" ht="15" customHeight="1" x14ac:dyDescent="0.25">
      <c r="A190" s="274"/>
      <c r="B190" s="293">
        <v>32</v>
      </c>
      <c r="C190" s="293">
        <v>0</v>
      </c>
      <c r="D190" s="126">
        <f>'Data Ocupacion'!BD34</f>
        <v>31</v>
      </c>
      <c r="E190" s="126">
        <f>'Data Ocupacion'!BE34</f>
        <v>0</v>
      </c>
      <c r="F190" s="219" t="s">
        <v>53</v>
      </c>
      <c r="G190" s="220">
        <f t="shared" si="153"/>
        <v>31</v>
      </c>
      <c r="H190" s="125">
        <f t="shared" si="154"/>
        <v>32</v>
      </c>
      <c r="I190" s="125">
        <f t="shared" si="155"/>
        <v>31</v>
      </c>
      <c r="J190" s="125">
        <f>G190*M$1</f>
        <v>902.41</v>
      </c>
      <c r="K190" s="153">
        <f>I190*M$1</f>
        <v>902.41</v>
      </c>
      <c r="L190" s="125">
        <f t="shared" si="156"/>
        <v>93850.64</v>
      </c>
      <c r="M190" s="125">
        <f t="shared" si="157"/>
        <v>3224</v>
      </c>
      <c r="N190" s="19"/>
      <c r="O190" s="19"/>
      <c r="P190" s="146"/>
      <c r="Q190" s="189"/>
      <c r="R190" s="189"/>
      <c r="S190" s="189"/>
      <c r="T190" s="189"/>
      <c r="U190" s="189"/>
      <c r="V190" s="189"/>
      <c r="W190" s="182">
        <f>J190</f>
        <v>902.41</v>
      </c>
      <c r="X190" s="182">
        <f>H190*$M$1</f>
        <v>931.52</v>
      </c>
    </row>
    <row r="191" spans="1:30" ht="15" customHeight="1" x14ac:dyDescent="0.25">
      <c r="A191" s="274"/>
      <c r="B191" s="293">
        <v>0</v>
      </c>
      <c r="C191" s="293">
        <v>0</v>
      </c>
      <c r="D191" s="126">
        <f>'Data Ocupacion'!BD35</f>
        <v>0</v>
      </c>
      <c r="E191" s="126">
        <f>'Data Ocupacion'!BE35</f>
        <v>0</v>
      </c>
      <c r="F191" s="219" t="s">
        <v>122</v>
      </c>
      <c r="G191" s="220">
        <f t="shared" si="153"/>
        <v>0</v>
      </c>
      <c r="H191" s="125">
        <f t="shared" si="154"/>
        <v>0</v>
      </c>
      <c r="I191" s="125">
        <f t="shared" si="155"/>
        <v>0</v>
      </c>
      <c r="J191" s="222">
        <f>G191*K$1</f>
        <v>0</v>
      </c>
      <c r="K191" s="153">
        <f>I191*K$1</f>
        <v>0</v>
      </c>
      <c r="L191" s="125">
        <f t="shared" si="156"/>
        <v>0</v>
      </c>
      <c r="M191" s="125">
        <f t="shared" si="157"/>
        <v>0</v>
      </c>
      <c r="N191" s="19"/>
      <c r="O191" s="19"/>
      <c r="P191" s="146"/>
      <c r="Q191" s="189"/>
      <c r="R191" s="189"/>
      <c r="S191" s="189"/>
      <c r="T191" s="189"/>
      <c r="U191" s="189"/>
      <c r="V191" s="189"/>
      <c r="W191" s="182">
        <f>J191</f>
        <v>0</v>
      </c>
      <c r="X191" s="182">
        <f>H191*$K$1</f>
        <v>0</v>
      </c>
    </row>
    <row r="192" spans="1:30" ht="16.149999999999999" customHeight="1" thickBot="1" x14ac:dyDescent="0.3">
      <c r="A192" s="274"/>
      <c r="B192" s="293">
        <v>4</v>
      </c>
      <c r="C192" s="293">
        <v>0</v>
      </c>
      <c r="D192" s="253">
        <f>'Data Ocupacion'!BD36</f>
        <v>2</v>
      </c>
      <c r="E192" s="126">
        <f>'Data Ocupacion'!BE36</f>
        <v>0</v>
      </c>
      <c r="F192" s="219" t="s">
        <v>35</v>
      </c>
      <c r="G192" s="220">
        <f t="shared" si="153"/>
        <v>2</v>
      </c>
      <c r="H192" s="125">
        <f t="shared" si="154"/>
        <v>4</v>
      </c>
      <c r="I192" s="223">
        <f t="shared" si="155"/>
        <v>2</v>
      </c>
      <c r="J192" s="223">
        <f>G192*K$1</f>
        <v>50.8</v>
      </c>
      <c r="K192" s="153">
        <f>I192*K$1</f>
        <v>50.8</v>
      </c>
      <c r="L192" s="125">
        <f t="shared" si="156"/>
        <v>5283.2</v>
      </c>
      <c r="M192" s="125">
        <f t="shared" si="157"/>
        <v>208</v>
      </c>
      <c r="N192" s="19"/>
      <c r="O192" s="19"/>
      <c r="P192" s="146"/>
      <c r="Q192" s="189"/>
      <c r="R192" s="189"/>
      <c r="S192" s="189"/>
      <c r="T192" s="189"/>
      <c r="U192" s="189"/>
      <c r="V192" s="189"/>
      <c r="W192" s="182">
        <f>J192</f>
        <v>50.8</v>
      </c>
      <c r="X192" s="182">
        <f>H192*$K$1</f>
        <v>101.6</v>
      </c>
    </row>
    <row r="193" spans="1:25" s="124" customFormat="1" ht="15.75" thickBot="1" x14ac:dyDescent="0.3">
      <c r="A193" s="20"/>
      <c r="B193" s="119">
        <f>SUM(B187:B192)</f>
        <v>168</v>
      </c>
      <c r="C193" s="119">
        <f>SUM(C187:C192)</f>
        <v>61</v>
      </c>
      <c r="D193" s="148">
        <f>SUM(D187:D192)</f>
        <v>186</v>
      </c>
      <c r="E193" s="148">
        <f>SUM(E187:E192)</f>
        <v>37</v>
      </c>
      <c r="F193" s="119"/>
      <c r="G193" s="119">
        <f t="shared" ref="G193:M193" si="158">SUM(G187:G192)</f>
        <v>260</v>
      </c>
      <c r="H193" s="119">
        <f t="shared" si="158"/>
        <v>290</v>
      </c>
      <c r="I193" s="119">
        <f t="shared" si="158"/>
        <v>223</v>
      </c>
      <c r="J193" s="120">
        <f t="shared" si="158"/>
        <v>10275.6</v>
      </c>
      <c r="K193" s="119">
        <f t="shared" si="158"/>
        <v>8685.25</v>
      </c>
      <c r="L193" s="119">
        <f t="shared" si="158"/>
        <v>1068662.3999999999</v>
      </c>
      <c r="M193" s="119">
        <f t="shared" si="158"/>
        <v>23192</v>
      </c>
      <c r="N193" s="123">
        <f>'Odometro-Kilometraje'!AB88</f>
        <v>10563</v>
      </c>
      <c r="O193" s="21">
        <f>(W193/N193)*100</f>
        <v>96.60778188014767</v>
      </c>
      <c r="P193" s="192"/>
      <c r="Q193" s="181"/>
      <c r="R193" s="181"/>
      <c r="S193" s="181"/>
      <c r="T193" s="181"/>
      <c r="U193" s="181"/>
      <c r="V193" s="181"/>
      <c r="W193" s="193">
        <f>SUM(W187:W192)</f>
        <v>10204.679999999998</v>
      </c>
      <c r="X193" s="193">
        <f>SUM(X187:X192)</f>
        <v>11483.42</v>
      </c>
    </row>
    <row r="194" spans="1:25" x14ac:dyDescent="0.25">
      <c r="A194" s="60">
        <f>A187+1</f>
        <v>46231</v>
      </c>
      <c r="B194" s="293">
        <v>49</v>
      </c>
      <c r="C194" s="293">
        <v>30</v>
      </c>
      <c r="D194" s="126">
        <f>'Data Ocupacion'!BF31</f>
        <v>53</v>
      </c>
      <c r="E194" s="126">
        <f>'Data Ocupacion'!BG31</f>
        <v>26</v>
      </c>
      <c r="F194" s="219" t="s">
        <v>38</v>
      </c>
      <c r="G194" s="220">
        <f t="shared" ref="G194:G199" si="159">D194+E194*2</f>
        <v>105</v>
      </c>
      <c r="H194" s="125">
        <f t="shared" ref="H194:H199" si="160">B194+C194*2</f>
        <v>109</v>
      </c>
      <c r="I194" s="221">
        <f t="shared" ref="I194:I199" si="161">D194+E194</f>
        <v>79</v>
      </c>
      <c r="J194" s="221">
        <f>G194*M$2</f>
        <v>4528.6500000000005</v>
      </c>
      <c r="K194" s="153">
        <f>I194*M$2</f>
        <v>3407.27</v>
      </c>
      <c r="L194" s="125">
        <f t="shared" ref="L194:L199" si="162">J194*104</f>
        <v>470979.60000000003</v>
      </c>
      <c r="M194" s="125">
        <f t="shared" ref="M194:M199" si="163">I194*104</f>
        <v>8216</v>
      </c>
      <c r="N194" s="19"/>
      <c r="O194" s="19"/>
      <c r="P194" s="146"/>
      <c r="Q194" s="183">
        <v>1</v>
      </c>
      <c r="R194" s="183"/>
      <c r="S194" s="205"/>
      <c r="T194" s="283"/>
      <c r="U194" s="191"/>
      <c r="V194" s="227"/>
      <c r="W194" s="182">
        <f>J194-(Q194*($M$2-$K$1))-(R194*($M$2-$M$1))- (S194*($M$2-$I$2))+ (T194*($G$2))</f>
        <v>4510.920000000001</v>
      </c>
      <c r="X194" s="182">
        <f>H194*$M$2</f>
        <v>4701.17</v>
      </c>
    </row>
    <row r="195" spans="1:25" ht="15" customHeight="1" x14ac:dyDescent="0.25">
      <c r="A195" s="201"/>
      <c r="B195" s="293">
        <v>47</v>
      </c>
      <c r="C195" s="293">
        <v>31</v>
      </c>
      <c r="D195" s="126">
        <f>'Data Ocupacion'!BF32</f>
        <v>51</v>
      </c>
      <c r="E195" s="126">
        <f>'Data Ocupacion'!BG32</f>
        <v>27</v>
      </c>
      <c r="F195" s="219" t="s">
        <v>52</v>
      </c>
      <c r="G195" s="220">
        <f t="shared" si="159"/>
        <v>105</v>
      </c>
      <c r="H195" s="125">
        <f t="shared" si="160"/>
        <v>109</v>
      </c>
      <c r="I195" s="125">
        <f t="shared" si="161"/>
        <v>78</v>
      </c>
      <c r="J195" s="125">
        <f>G195*M$2</f>
        <v>4528.6500000000005</v>
      </c>
      <c r="K195" s="153">
        <f>I195*M$2</f>
        <v>3364.1400000000003</v>
      </c>
      <c r="L195" s="125">
        <f t="shared" si="162"/>
        <v>470979.60000000003</v>
      </c>
      <c r="M195" s="125">
        <f t="shared" si="163"/>
        <v>8112</v>
      </c>
      <c r="N195" s="19"/>
      <c r="O195" s="19"/>
      <c r="P195" s="146"/>
      <c r="Q195" s="186"/>
      <c r="R195" s="186"/>
      <c r="S195" s="216"/>
      <c r="T195" s="183"/>
      <c r="U195" s="216"/>
      <c r="V195" s="228"/>
      <c r="W195" s="185">
        <f>J195-(T195*($M$2-$K$1)+(U195*($M$2-$M$1)))</f>
        <v>4528.6500000000005</v>
      </c>
      <c r="X195" s="182">
        <f>H195*$M$2</f>
        <v>4701.17</v>
      </c>
    </row>
    <row r="196" spans="1:25" ht="15" customHeight="1" x14ac:dyDescent="0.25">
      <c r="A196" s="201"/>
      <c r="B196" s="293">
        <v>36</v>
      </c>
      <c r="C196" s="293">
        <v>0</v>
      </c>
      <c r="D196" s="126">
        <f>'Data Ocupacion'!BF33</f>
        <v>33</v>
      </c>
      <c r="E196" s="126">
        <f>'Data Ocupacion'!BG33</f>
        <v>0</v>
      </c>
      <c r="F196" s="219" t="s">
        <v>36</v>
      </c>
      <c r="G196" s="220">
        <f t="shared" si="159"/>
        <v>33</v>
      </c>
      <c r="H196" s="125">
        <f t="shared" si="160"/>
        <v>36</v>
      </c>
      <c r="I196" s="125">
        <f t="shared" si="161"/>
        <v>33</v>
      </c>
      <c r="J196" s="125">
        <f>G196*M$1</f>
        <v>960.63</v>
      </c>
      <c r="K196" s="153">
        <f>I196*M$1</f>
        <v>960.63</v>
      </c>
      <c r="L196" s="125">
        <f t="shared" si="162"/>
        <v>99905.52</v>
      </c>
      <c r="M196" s="125">
        <f t="shared" si="163"/>
        <v>3432</v>
      </c>
      <c r="N196" s="19"/>
      <c r="O196" s="19" t="s">
        <v>144</v>
      </c>
      <c r="P196" s="146"/>
      <c r="Q196" s="243"/>
      <c r="R196" s="190"/>
      <c r="S196" s="227"/>
      <c r="T196" s="186"/>
      <c r="U196" s="189"/>
      <c r="V196" s="189"/>
      <c r="W196" s="182">
        <f>J196-(Q196*($M$1-$K$1))</f>
        <v>960.63</v>
      </c>
      <c r="X196" s="182">
        <f>H196*$M$1</f>
        <v>1047.96</v>
      </c>
    </row>
    <row r="197" spans="1:25" ht="15" customHeight="1" x14ac:dyDescent="0.25">
      <c r="A197" s="201"/>
      <c r="B197" s="293">
        <v>32</v>
      </c>
      <c r="C197" s="293">
        <v>0</v>
      </c>
      <c r="D197" s="126">
        <f>'Data Ocupacion'!BF34</f>
        <v>32</v>
      </c>
      <c r="E197" s="126">
        <f>'Data Ocupacion'!BG34</f>
        <v>0</v>
      </c>
      <c r="F197" s="219" t="s">
        <v>53</v>
      </c>
      <c r="G197" s="220">
        <f t="shared" si="159"/>
        <v>32</v>
      </c>
      <c r="H197" s="125">
        <f t="shared" si="160"/>
        <v>32</v>
      </c>
      <c r="I197" s="125">
        <f t="shared" si="161"/>
        <v>32</v>
      </c>
      <c r="J197" s="125">
        <f>G197*M$1</f>
        <v>931.52</v>
      </c>
      <c r="K197" s="153">
        <f>I197*M$1</f>
        <v>931.52</v>
      </c>
      <c r="L197" s="125">
        <f t="shared" si="162"/>
        <v>96878.080000000002</v>
      </c>
      <c r="M197" s="125">
        <f t="shared" si="163"/>
        <v>3328</v>
      </c>
      <c r="N197" s="19"/>
      <c r="O197" s="19" t="s">
        <v>144</v>
      </c>
      <c r="P197" s="146"/>
      <c r="Q197" s="189"/>
      <c r="R197" s="189"/>
      <c r="S197" s="189"/>
      <c r="T197" s="189"/>
      <c r="U197" s="189"/>
      <c r="V197" s="189"/>
      <c r="W197" s="182">
        <f>J197</f>
        <v>931.52</v>
      </c>
      <c r="X197" s="182">
        <f>H197*$M$1</f>
        <v>931.52</v>
      </c>
    </row>
    <row r="198" spans="1:25" ht="15" customHeight="1" x14ac:dyDescent="0.25">
      <c r="A198" s="201"/>
      <c r="B198" s="293">
        <v>0</v>
      </c>
      <c r="C198" s="293">
        <v>0</v>
      </c>
      <c r="D198" s="126">
        <f>'Data Ocupacion'!BF35</f>
        <v>0</v>
      </c>
      <c r="E198" s="126">
        <f>'Data Ocupacion'!BG35</f>
        <v>0</v>
      </c>
      <c r="F198" s="219" t="s">
        <v>122</v>
      </c>
      <c r="G198" s="220">
        <f t="shared" si="159"/>
        <v>0</v>
      </c>
      <c r="H198" s="125">
        <f t="shared" si="160"/>
        <v>0</v>
      </c>
      <c r="I198" s="125">
        <f t="shared" si="161"/>
        <v>0</v>
      </c>
      <c r="J198" s="222">
        <f>G198*K$1</f>
        <v>0</v>
      </c>
      <c r="K198" s="153">
        <f>I198*K$1</f>
        <v>0</v>
      </c>
      <c r="L198" s="125">
        <f t="shared" si="162"/>
        <v>0</v>
      </c>
      <c r="M198" s="125">
        <f t="shared" si="163"/>
        <v>0</v>
      </c>
      <c r="N198" s="19"/>
      <c r="O198" s="19"/>
      <c r="P198" s="146"/>
      <c r="Q198" s="189"/>
      <c r="R198" s="189"/>
      <c r="S198" s="189"/>
      <c r="T198" s="189"/>
      <c r="U198" s="189"/>
      <c r="V198" s="189"/>
      <c r="W198" s="182">
        <f>J198</f>
        <v>0</v>
      </c>
      <c r="X198" s="182">
        <f>H198*$K$1</f>
        <v>0</v>
      </c>
    </row>
    <row r="199" spans="1:25" ht="16.149999999999999" customHeight="1" thickBot="1" x14ac:dyDescent="0.3">
      <c r="A199" s="201"/>
      <c r="B199" s="293">
        <v>4</v>
      </c>
      <c r="C199" s="293">
        <v>0</v>
      </c>
      <c r="D199" s="253">
        <f>'Data Ocupacion'!BF36</f>
        <v>1</v>
      </c>
      <c r="E199" s="126">
        <f>'Data Ocupacion'!BG36</f>
        <v>0</v>
      </c>
      <c r="F199" s="219" t="s">
        <v>35</v>
      </c>
      <c r="G199" s="220">
        <f t="shared" si="159"/>
        <v>1</v>
      </c>
      <c r="H199" s="125">
        <f t="shared" si="160"/>
        <v>4</v>
      </c>
      <c r="I199" s="223">
        <f t="shared" si="161"/>
        <v>1</v>
      </c>
      <c r="J199" s="223">
        <f>G199*K$1</f>
        <v>25.4</v>
      </c>
      <c r="K199" s="153">
        <f>I199*K$1</f>
        <v>25.4</v>
      </c>
      <c r="L199" s="125">
        <f t="shared" si="162"/>
        <v>2641.6</v>
      </c>
      <c r="M199" s="125">
        <f t="shared" si="163"/>
        <v>104</v>
      </c>
      <c r="N199" s="19"/>
      <c r="O199" s="19"/>
      <c r="P199" s="146"/>
      <c r="Q199" s="189"/>
      <c r="R199" s="189"/>
      <c r="S199" s="189"/>
      <c r="T199" s="189"/>
      <c r="U199" s="189"/>
      <c r="V199" s="189"/>
      <c r="W199" s="182">
        <f>J199</f>
        <v>25.4</v>
      </c>
      <c r="X199" s="182">
        <f>H199*$K$1</f>
        <v>101.6</v>
      </c>
    </row>
    <row r="200" spans="1:25" s="124" customFormat="1" ht="12.75" customHeight="1" thickBot="1" x14ac:dyDescent="0.3">
      <c r="A200" s="20"/>
      <c r="B200" s="119">
        <f>SUM(B194:B199)</f>
        <v>168</v>
      </c>
      <c r="C200" s="119">
        <f>SUM(C194:C199)</f>
        <v>61</v>
      </c>
      <c r="D200" s="148">
        <f>SUM(D194:D199)</f>
        <v>170</v>
      </c>
      <c r="E200" s="148">
        <f>SUM(E194:E199)</f>
        <v>53</v>
      </c>
      <c r="F200" s="119"/>
      <c r="G200" s="119">
        <f t="shared" ref="G200:M200" si="164">SUM(G194:G199)</f>
        <v>276</v>
      </c>
      <c r="H200" s="119">
        <f t="shared" si="164"/>
        <v>290</v>
      </c>
      <c r="I200" s="119">
        <f t="shared" si="164"/>
        <v>223</v>
      </c>
      <c r="J200" s="120">
        <f t="shared" si="164"/>
        <v>10974.85</v>
      </c>
      <c r="K200" s="119">
        <f t="shared" si="164"/>
        <v>8688.9599999999991</v>
      </c>
      <c r="L200" s="119">
        <f t="shared" si="164"/>
        <v>1141384.4000000001</v>
      </c>
      <c r="M200" s="119">
        <f t="shared" si="164"/>
        <v>23192</v>
      </c>
      <c r="N200" s="123">
        <f>'Odometro-Kilometraje'!AC88</f>
        <v>11323</v>
      </c>
      <c r="O200" s="21">
        <f>(W200/N200)*100</f>
        <v>96.768700874326598</v>
      </c>
      <c r="P200" s="192"/>
      <c r="Q200" s="181"/>
      <c r="R200" s="181"/>
      <c r="S200" s="181"/>
      <c r="T200" s="181"/>
      <c r="U200" s="181"/>
      <c r="V200" s="181"/>
      <c r="W200" s="193">
        <f>SUM(W194:W199)</f>
        <v>10957.12</v>
      </c>
      <c r="X200" s="193">
        <f>SUM(X194:X199)</f>
        <v>11483.42</v>
      </c>
    </row>
    <row r="201" spans="1:25" x14ac:dyDescent="0.25">
      <c r="A201" s="60">
        <f>A194+1</f>
        <v>46232</v>
      </c>
      <c r="B201" s="293">
        <v>49</v>
      </c>
      <c r="C201" s="293">
        <v>30</v>
      </c>
      <c r="D201" s="126">
        <f>'Data Ocupacion'!BH31</f>
        <v>53</v>
      </c>
      <c r="E201" s="126">
        <f>'Data Ocupacion'!BI31</f>
        <v>26</v>
      </c>
      <c r="F201" s="219" t="s">
        <v>38</v>
      </c>
      <c r="G201" s="220">
        <f t="shared" ref="G201:G206" si="165">D201+E201*2</f>
        <v>105</v>
      </c>
      <c r="H201" s="125">
        <f t="shared" ref="H201:H206" si="166">B201+C201*2</f>
        <v>109</v>
      </c>
      <c r="I201" s="221">
        <f t="shared" ref="I201:I206" si="167">D201+E201</f>
        <v>79</v>
      </c>
      <c r="J201" s="221">
        <f>G201*M$2</f>
        <v>4528.6500000000005</v>
      </c>
      <c r="K201" s="153">
        <f>I201*M$2</f>
        <v>3407.27</v>
      </c>
      <c r="L201" s="125">
        <f t="shared" ref="L201:L206" si="168">J201*104</f>
        <v>470979.60000000003</v>
      </c>
      <c r="M201" s="125">
        <f t="shared" ref="M201:M206" si="169">I201*104</f>
        <v>8216</v>
      </c>
      <c r="N201" s="19"/>
      <c r="O201" s="19"/>
      <c r="P201" s="146"/>
      <c r="Q201" s="183">
        <v>4</v>
      </c>
      <c r="R201" s="183"/>
      <c r="S201" s="205"/>
      <c r="T201" s="243"/>
      <c r="U201" s="191"/>
      <c r="V201" s="227"/>
      <c r="W201" s="182">
        <f>J201-(Q201*($M$2-$K$1))-(R201*($M$2-$M$1))- (S201*($M$2-$I$2))+ (T201*($G$2))</f>
        <v>4457.7300000000005</v>
      </c>
      <c r="X201" s="182">
        <f>H201*$M$2</f>
        <v>4701.17</v>
      </c>
    </row>
    <row r="202" spans="1:25" x14ac:dyDescent="0.25">
      <c r="A202" s="201"/>
      <c r="B202" s="293">
        <v>47</v>
      </c>
      <c r="C202" s="293">
        <v>31</v>
      </c>
      <c r="D202" s="126">
        <f>'Data Ocupacion'!BH32</f>
        <v>51</v>
      </c>
      <c r="E202" s="126">
        <f>'Data Ocupacion'!BI32</f>
        <v>27</v>
      </c>
      <c r="F202" s="219" t="s">
        <v>52</v>
      </c>
      <c r="G202" s="220">
        <f t="shared" si="165"/>
        <v>105</v>
      </c>
      <c r="H202" s="125">
        <f t="shared" si="166"/>
        <v>109</v>
      </c>
      <c r="I202" s="125">
        <f t="shared" si="167"/>
        <v>78</v>
      </c>
      <c r="J202" s="125">
        <f>G202*M$2</f>
        <v>4528.6500000000005</v>
      </c>
      <c r="K202" s="153">
        <f>I202*M$2</f>
        <v>3364.1400000000003</v>
      </c>
      <c r="L202" s="125">
        <f t="shared" si="168"/>
        <v>470979.60000000003</v>
      </c>
      <c r="M202" s="125">
        <f t="shared" si="169"/>
        <v>8112</v>
      </c>
      <c r="N202" s="19"/>
      <c r="O202" s="19"/>
      <c r="P202" s="146"/>
      <c r="Q202" s="186"/>
      <c r="R202" s="186"/>
      <c r="S202" s="216"/>
      <c r="T202" s="183">
        <v>2</v>
      </c>
      <c r="U202" s="216"/>
      <c r="V202" s="228"/>
      <c r="W202" s="185">
        <f>J202-(T202*($M$2-$K$1)+(U202*($M$2-$M$1)))</f>
        <v>4493.1900000000005</v>
      </c>
      <c r="X202" s="182">
        <f>H202*$M$2</f>
        <v>4701.17</v>
      </c>
    </row>
    <row r="203" spans="1:25" s="124" customFormat="1" x14ac:dyDescent="0.25">
      <c r="A203" s="201"/>
      <c r="B203" s="293">
        <v>36</v>
      </c>
      <c r="C203" s="293">
        <v>0</v>
      </c>
      <c r="D203" s="126">
        <f>'Data Ocupacion'!BH33</f>
        <v>33</v>
      </c>
      <c r="E203" s="126">
        <f>'Data Ocupacion'!BI33</f>
        <v>0</v>
      </c>
      <c r="F203" s="219" t="s">
        <v>36</v>
      </c>
      <c r="G203" s="220">
        <f t="shared" si="165"/>
        <v>33</v>
      </c>
      <c r="H203" s="125">
        <f t="shared" si="166"/>
        <v>36</v>
      </c>
      <c r="I203" s="125">
        <f t="shared" si="167"/>
        <v>33</v>
      </c>
      <c r="J203" s="125">
        <f>G203*M$1</f>
        <v>960.63</v>
      </c>
      <c r="K203" s="153">
        <f>I203*M$1</f>
        <v>960.63</v>
      </c>
      <c r="L203" s="125">
        <f t="shared" si="168"/>
        <v>99905.52</v>
      </c>
      <c r="M203" s="125">
        <f t="shared" si="169"/>
        <v>3432</v>
      </c>
      <c r="N203" s="19"/>
      <c r="O203" s="19"/>
      <c r="P203" s="146"/>
      <c r="Q203" s="183"/>
      <c r="R203" s="187"/>
      <c r="S203" s="206"/>
      <c r="T203" s="188"/>
      <c r="U203" s="189"/>
      <c r="V203" s="189"/>
      <c r="W203" s="182">
        <f>J203-(Q203*($M$1-$K$1))</f>
        <v>960.63</v>
      </c>
      <c r="X203" s="182">
        <f>H203*$M$1</f>
        <v>1047.96</v>
      </c>
    </row>
    <row r="204" spans="1:25" s="124" customFormat="1" x14ac:dyDescent="0.25">
      <c r="A204" s="201"/>
      <c r="B204" s="293">
        <v>32</v>
      </c>
      <c r="C204" s="293">
        <v>0</v>
      </c>
      <c r="D204" s="126">
        <f>'Data Ocupacion'!BH34</f>
        <v>32</v>
      </c>
      <c r="E204" s="126">
        <f>'Data Ocupacion'!BI34</f>
        <v>0</v>
      </c>
      <c r="F204" s="219" t="s">
        <v>53</v>
      </c>
      <c r="G204" s="220">
        <f t="shared" si="165"/>
        <v>32</v>
      </c>
      <c r="H204" s="125">
        <f t="shared" si="166"/>
        <v>32</v>
      </c>
      <c r="I204" s="125">
        <f t="shared" si="167"/>
        <v>32</v>
      </c>
      <c r="J204" s="125">
        <f>G204*M$1</f>
        <v>931.52</v>
      </c>
      <c r="K204" s="153">
        <f>I204*M$1</f>
        <v>931.52</v>
      </c>
      <c r="L204" s="125">
        <f t="shared" si="168"/>
        <v>96878.080000000002</v>
      </c>
      <c r="M204" s="125">
        <f t="shared" si="169"/>
        <v>3328</v>
      </c>
      <c r="N204" s="19"/>
      <c r="O204" s="19"/>
      <c r="P204" s="146"/>
      <c r="Q204" s="189"/>
      <c r="R204" s="189"/>
      <c r="S204" s="189"/>
      <c r="T204" s="189"/>
      <c r="U204" s="189"/>
      <c r="V204" s="189"/>
      <c r="W204" s="182">
        <f>J204</f>
        <v>931.52</v>
      </c>
      <c r="X204" s="182">
        <f>H204*$M$1</f>
        <v>931.52</v>
      </c>
    </row>
    <row r="205" spans="1:25" s="124" customFormat="1" x14ac:dyDescent="0.25">
      <c r="A205" s="201"/>
      <c r="B205" s="293">
        <v>0</v>
      </c>
      <c r="C205" s="293">
        <v>0</v>
      </c>
      <c r="D205" s="126">
        <f>'Data Ocupacion'!BH35</f>
        <v>0</v>
      </c>
      <c r="E205" s="126">
        <f>'Data Ocupacion'!BI35</f>
        <v>0</v>
      </c>
      <c r="F205" s="219" t="s">
        <v>122</v>
      </c>
      <c r="G205" s="220">
        <f t="shared" si="165"/>
        <v>0</v>
      </c>
      <c r="H205" s="125">
        <f t="shared" si="166"/>
        <v>0</v>
      </c>
      <c r="I205" s="125">
        <f t="shared" si="167"/>
        <v>0</v>
      </c>
      <c r="J205" s="222">
        <f>G205*K$1</f>
        <v>0</v>
      </c>
      <c r="K205" s="153">
        <f>I205*M$1</f>
        <v>0</v>
      </c>
      <c r="L205" s="125">
        <f t="shared" si="168"/>
        <v>0</v>
      </c>
      <c r="M205" s="125">
        <f t="shared" si="169"/>
        <v>0</v>
      </c>
      <c r="N205" s="19"/>
      <c r="O205" s="19"/>
      <c r="P205" s="146"/>
      <c r="Q205" s="189"/>
      <c r="R205" s="189"/>
      <c r="S205" s="189"/>
      <c r="T205" s="189"/>
      <c r="U205" s="189"/>
      <c r="V205" s="189"/>
      <c r="W205" s="182">
        <f>J205</f>
        <v>0</v>
      </c>
      <c r="X205" s="182">
        <f>H205*$K$1</f>
        <v>0</v>
      </c>
    </row>
    <row r="206" spans="1:25" s="124" customFormat="1" ht="15.75" thickBot="1" x14ac:dyDescent="0.3">
      <c r="A206" s="201"/>
      <c r="B206" s="293">
        <v>4</v>
      </c>
      <c r="C206" s="293">
        <v>0</v>
      </c>
      <c r="D206" s="253">
        <f>'Data Ocupacion'!BH36</f>
        <v>1</v>
      </c>
      <c r="E206" s="126">
        <f>'Data Ocupacion'!BI36</f>
        <v>0</v>
      </c>
      <c r="F206" s="219" t="s">
        <v>35</v>
      </c>
      <c r="G206" s="220">
        <f t="shared" si="165"/>
        <v>1</v>
      </c>
      <c r="H206" s="125">
        <f t="shared" si="166"/>
        <v>4</v>
      </c>
      <c r="I206" s="223">
        <f t="shared" si="167"/>
        <v>1</v>
      </c>
      <c r="J206" s="223">
        <f>G206*K$1</f>
        <v>25.4</v>
      </c>
      <c r="K206" s="153">
        <f>I206*K$1</f>
        <v>25.4</v>
      </c>
      <c r="L206" s="125">
        <f t="shared" si="168"/>
        <v>2641.6</v>
      </c>
      <c r="M206" s="125">
        <f t="shared" si="169"/>
        <v>104</v>
      </c>
      <c r="N206" s="19"/>
      <c r="O206" s="19"/>
      <c r="P206" s="146"/>
      <c r="Q206" s="189"/>
      <c r="R206" s="189"/>
      <c r="S206" s="189"/>
      <c r="T206" s="189"/>
      <c r="U206" s="189"/>
      <c r="V206" s="189"/>
      <c r="W206" s="182">
        <f>J206</f>
        <v>25.4</v>
      </c>
      <c r="X206" s="182">
        <f>H206*$K$1</f>
        <v>101.6</v>
      </c>
    </row>
    <row r="207" spans="1:25" s="124" customFormat="1" ht="15.75" thickBot="1" x14ac:dyDescent="0.3">
      <c r="A207" s="119"/>
      <c r="B207" s="119">
        <f>SUM(B201:B206)</f>
        <v>168</v>
      </c>
      <c r="C207" s="119">
        <f>SUM(C201:C206)</f>
        <v>61</v>
      </c>
      <c r="D207" s="148">
        <f>SUM(D201:D206)</f>
        <v>170</v>
      </c>
      <c r="E207" s="148">
        <f>SUM(E201:E206)</f>
        <v>53</v>
      </c>
      <c r="F207" s="119"/>
      <c r="G207" s="119">
        <f t="shared" ref="G207:M207" si="170">SUM(G201:G206)</f>
        <v>276</v>
      </c>
      <c r="H207" s="119">
        <f t="shared" si="170"/>
        <v>290</v>
      </c>
      <c r="I207" s="119">
        <f t="shared" si="170"/>
        <v>223</v>
      </c>
      <c r="J207" s="120">
        <f t="shared" si="170"/>
        <v>10974.85</v>
      </c>
      <c r="K207" s="119">
        <f t="shared" si="170"/>
        <v>8688.9599999999991</v>
      </c>
      <c r="L207" s="119">
        <f t="shared" si="170"/>
        <v>1141384.4000000001</v>
      </c>
      <c r="M207" s="119">
        <f t="shared" si="170"/>
        <v>23192</v>
      </c>
      <c r="N207" s="123">
        <f>'Odometro-Kilometraje'!AD88</f>
        <v>11219</v>
      </c>
      <c r="O207" s="21">
        <f>(W207/N207)*100</f>
        <v>96.875568232462797</v>
      </c>
      <c r="P207" s="192"/>
      <c r="Q207" s="181"/>
      <c r="R207" s="181"/>
      <c r="S207" s="181"/>
      <c r="T207" s="181"/>
      <c r="U207" s="181"/>
      <c r="V207" s="181"/>
      <c r="W207" s="193">
        <f>SUM(W201:W206)</f>
        <v>10868.470000000001</v>
      </c>
      <c r="X207" s="193">
        <f>SUM(X201:X206)</f>
        <v>11483.42</v>
      </c>
      <c r="Y207" s="242"/>
    </row>
    <row r="208" spans="1:25" s="124" customFormat="1" x14ac:dyDescent="0.25">
      <c r="A208" s="60">
        <f>A201+1</f>
        <v>46233</v>
      </c>
      <c r="B208" s="293">
        <v>38</v>
      </c>
      <c r="C208" s="293">
        <v>41</v>
      </c>
      <c r="D208" s="126">
        <f>'Data Ocupacion'!BJ31</f>
        <v>54</v>
      </c>
      <c r="E208" s="126">
        <f>'Data Ocupacion'!BK31</f>
        <v>25</v>
      </c>
      <c r="F208" s="219" t="s">
        <v>38</v>
      </c>
      <c r="G208" s="220">
        <f t="shared" ref="G208:G213" si="171">D208+E208*2</f>
        <v>104</v>
      </c>
      <c r="H208" s="125">
        <f t="shared" ref="H208:H213" si="172">B208+C208*2</f>
        <v>120</v>
      </c>
      <c r="I208" s="221">
        <f t="shared" ref="I208:I213" si="173">D208+E208</f>
        <v>79</v>
      </c>
      <c r="J208" s="221">
        <f>G208*M$2</f>
        <v>4485.5200000000004</v>
      </c>
      <c r="K208" s="153">
        <f>I208*M$2</f>
        <v>3407.27</v>
      </c>
      <c r="L208" s="125">
        <f t="shared" ref="L208:L213" si="174">J208*104</f>
        <v>466494.08000000007</v>
      </c>
      <c r="M208" s="125">
        <f t="shared" ref="M208:M213" si="175">I208*104</f>
        <v>8216</v>
      </c>
      <c r="N208" s="19"/>
      <c r="O208" s="19"/>
      <c r="P208" s="146"/>
      <c r="Q208" s="243">
        <v>5</v>
      </c>
      <c r="R208" s="183"/>
      <c r="S208" s="205"/>
      <c r="T208" s="243"/>
      <c r="U208" s="191"/>
      <c r="V208" s="227"/>
      <c r="W208" s="182">
        <f>J208-(Q208*($M$2-$K$1))-(R208*($M$2-$M$1))- (S208*($M$2-$I$2))+ (T208*($G$2))</f>
        <v>4396.8700000000008</v>
      </c>
      <c r="X208" s="182">
        <f>H208*$M$2</f>
        <v>5175.6000000000004</v>
      </c>
    </row>
    <row r="209" spans="1:28" s="124" customFormat="1" x14ac:dyDescent="0.25">
      <c r="A209" s="201"/>
      <c r="B209" s="293">
        <v>36</v>
      </c>
      <c r="C209" s="293">
        <v>42</v>
      </c>
      <c r="D209" s="126">
        <f>'Data Ocupacion'!BJ32</f>
        <v>53</v>
      </c>
      <c r="E209" s="126">
        <f>'Data Ocupacion'!BK32</f>
        <v>25</v>
      </c>
      <c r="F209" s="219" t="s">
        <v>52</v>
      </c>
      <c r="G209" s="220">
        <f t="shared" si="171"/>
        <v>103</v>
      </c>
      <c r="H209" s="125">
        <f t="shared" si="172"/>
        <v>120</v>
      </c>
      <c r="I209" s="125">
        <f t="shared" si="173"/>
        <v>78</v>
      </c>
      <c r="J209" s="125">
        <f>G209*M$2</f>
        <v>4442.3900000000003</v>
      </c>
      <c r="K209" s="153">
        <f>I209*M$2</f>
        <v>3364.1400000000003</v>
      </c>
      <c r="L209" s="125">
        <f t="shared" si="174"/>
        <v>462008.56000000006</v>
      </c>
      <c r="M209" s="125">
        <f t="shared" si="175"/>
        <v>8112</v>
      </c>
      <c r="N209" s="19"/>
      <c r="O209" s="19"/>
      <c r="P209" s="146"/>
      <c r="Q209" s="186"/>
      <c r="R209" s="186"/>
      <c r="S209" s="186"/>
      <c r="T209" s="183">
        <v>3</v>
      </c>
      <c r="U209" s="183"/>
      <c r="V209" s="205"/>
      <c r="W209" s="185">
        <f>J209-(T209*($M$2-$K$1)+(U209*($M$2-$M$1)))</f>
        <v>4389.2000000000007</v>
      </c>
      <c r="X209" s="182">
        <f>H209*$M$2</f>
        <v>5175.6000000000004</v>
      </c>
    </row>
    <row r="210" spans="1:28" s="124" customFormat="1" x14ac:dyDescent="0.25">
      <c r="A210" s="201"/>
      <c r="B210" s="293">
        <v>33</v>
      </c>
      <c r="C210" s="293">
        <v>3</v>
      </c>
      <c r="D210" s="147">
        <f>'Data Ocupacion'!BJ33</f>
        <v>30</v>
      </c>
      <c r="E210" s="147">
        <f>'Data Ocupacion'!BK33</f>
        <v>1</v>
      </c>
      <c r="F210" s="219" t="s">
        <v>36</v>
      </c>
      <c r="G210" s="220">
        <f t="shared" si="171"/>
        <v>32</v>
      </c>
      <c r="H210" s="125">
        <f t="shared" si="172"/>
        <v>39</v>
      </c>
      <c r="I210" s="125">
        <f t="shared" si="173"/>
        <v>31</v>
      </c>
      <c r="J210" s="125">
        <f>G210*M$1</f>
        <v>931.52</v>
      </c>
      <c r="K210" s="153">
        <f>I210*M$1</f>
        <v>902.41</v>
      </c>
      <c r="L210" s="125">
        <f t="shared" si="174"/>
        <v>96878.080000000002</v>
      </c>
      <c r="M210" s="125">
        <f t="shared" si="175"/>
        <v>3224</v>
      </c>
      <c r="N210" s="19"/>
      <c r="O210" s="19"/>
      <c r="P210" s="146"/>
      <c r="Q210" s="243"/>
      <c r="R210" s="187"/>
      <c r="S210" s="206"/>
      <c r="T210" s="188"/>
      <c r="U210" s="189"/>
      <c r="V210" s="189"/>
      <c r="W210" s="182">
        <f>J210-(Q210*($M$1-$K$1))</f>
        <v>931.52</v>
      </c>
      <c r="X210" s="182">
        <f>H210*$M$1</f>
        <v>1135.29</v>
      </c>
    </row>
    <row r="211" spans="1:28" s="124" customFormat="1" x14ac:dyDescent="0.25">
      <c r="A211" s="201"/>
      <c r="B211" s="293">
        <v>29</v>
      </c>
      <c r="C211" s="293">
        <v>3</v>
      </c>
      <c r="D211" s="147">
        <f>'Data Ocupacion'!BJ34</f>
        <v>30</v>
      </c>
      <c r="E211" s="147">
        <f>'Data Ocupacion'!BK34</f>
        <v>0</v>
      </c>
      <c r="F211" s="219" t="s">
        <v>53</v>
      </c>
      <c r="G211" s="220">
        <f t="shared" si="171"/>
        <v>30</v>
      </c>
      <c r="H211" s="125">
        <f t="shared" si="172"/>
        <v>35</v>
      </c>
      <c r="I211" s="125">
        <f t="shared" si="173"/>
        <v>30</v>
      </c>
      <c r="J211" s="125">
        <f>G211*M$1</f>
        <v>873.3</v>
      </c>
      <c r="K211" s="153">
        <f>I211*M$1</f>
        <v>873.3</v>
      </c>
      <c r="L211" s="125">
        <f t="shared" si="174"/>
        <v>90823.2</v>
      </c>
      <c r="M211" s="125">
        <f t="shared" si="175"/>
        <v>3120</v>
      </c>
      <c r="N211" s="19"/>
      <c r="O211" s="19"/>
      <c r="P211" s="146"/>
      <c r="Q211" s="189"/>
      <c r="R211" s="189"/>
      <c r="S211" s="189"/>
      <c r="T211" s="189"/>
      <c r="U211" s="189"/>
      <c r="V211" s="189"/>
      <c r="W211" s="182">
        <f>J211</f>
        <v>873.3</v>
      </c>
      <c r="X211" s="182">
        <f>H211*$M$1</f>
        <v>1018.85</v>
      </c>
    </row>
    <row r="212" spans="1:28" s="124" customFormat="1" x14ac:dyDescent="0.25">
      <c r="A212" s="201"/>
      <c r="B212" s="293">
        <v>0</v>
      </c>
      <c r="C212" s="293">
        <v>0</v>
      </c>
      <c r="D212" s="126">
        <f>'Data Ocupacion'!BJ35</f>
        <v>0</v>
      </c>
      <c r="E212" s="126">
        <f>'Data Ocupacion'!BK35</f>
        <v>0</v>
      </c>
      <c r="F212" s="219" t="s">
        <v>122</v>
      </c>
      <c r="G212" s="220">
        <f t="shared" si="171"/>
        <v>0</v>
      </c>
      <c r="H212" s="125">
        <f t="shared" si="172"/>
        <v>0</v>
      </c>
      <c r="I212" s="125">
        <f t="shared" si="173"/>
        <v>0</v>
      </c>
      <c r="J212" s="222">
        <f>G212*K$1</f>
        <v>0</v>
      </c>
      <c r="K212" s="153">
        <f>I212*K$1</f>
        <v>0</v>
      </c>
      <c r="L212" s="125">
        <f t="shared" si="174"/>
        <v>0</v>
      </c>
      <c r="M212" s="125">
        <f t="shared" si="175"/>
        <v>0</v>
      </c>
      <c r="N212" s="19"/>
      <c r="O212" s="19"/>
      <c r="P212" s="146"/>
      <c r="Q212" s="189"/>
      <c r="R212" s="189"/>
      <c r="S212" s="189"/>
      <c r="T212" s="189"/>
      <c r="U212" s="189"/>
      <c r="V212" s="189"/>
      <c r="W212" s="182">
        <f>J212</f>
        <v>0</v>
      </c>
      <c r="X212" s="182">
        <f>H212*$K$1</f>
        <v>0</v>
      </c>
    </row>
    <row r="213" spans="1:28" s="124" customFormat="1" ht="15.75" thickBot="1" x14ac:dyDescent="0.3">
      <c r="A213" s="201"/>
      <c r="B213" s="293">
        <v>4</v>
      </c>
      <c r="C213" s="293">
        <v>0</v>
      </c>
      <c r="D213" s="126">
        <f>'Data Ocupacion'!BJ36</f>
        <v>2</v>
      </c>
      <c r="E213" s="126">
        <f>'Data Ocupacion'!BK36</f>
        <v>0</v>
      </c>
      <c r="F213" s="219" t="s">
        <v>35</v>
      </c>
      <c r="G213" s="220">
        <f t="shared" si="171"/>
        <v>2</v>
      </c>
      <c r="H213" s="125">
        <f t="shared" si="172"/>
        <v>4</v>
      </c>
      <c r="I213" s="223">
        <f t="shared" si="173"/>
        <v>2</v>
      </c>
      <c r="J213" s="223">
        <f>G213*K$1</f>
        <v>50.8</v>
      </c>
      <c r="K213" s="153">
        <f>I213*K$1</f>
        <v>50.8</v>
      </c>
      <c r="L213" s="125">
        <f t="shared" si="174"/>
        <v>5283.2</v>
      </c>
      <c r="M213" s="125">
        <f t="shared" si="175"/>
        <v>208</v>
      </c>
      <c r="N213" s="19"/>
      <c r="O213" s="19"/>
      <c r="P213" s="146"/>
      <c r="Q213" s="189"/>
      <c r="R213" s="189"/>
      <c r="S213" s="189"/>
      <c r="T213" s="189"/>
      <c r="U213" s="189"/>
      <c r="V213" s="189"/>
      <c r="W213" s="182">
        <f>J213</f>
        <v>50.8</v>
      </c>
      <c r="X213" s="182">
        <f>H213*$K$1</f>
        <v>101.6</v>
      </c>
    </row>
    <row r="214" spans="1:28" s="124" customFormat="1" ht="15.75" thickBot="1" x14ac:dyDescent="0.3">
      <c r="A214" s="119"/>
      <c r="B214" s="119">
        <f>SUM(B208:B213)</f>
        <v>140</v>
      </c>
      <c r="C214" s="119">
        <f>SUM(C208:C213)</f>
        <v>89</v>
      </c>
      <c r="D214" s="148">
        <f>SUM(D208:D213)</f>
        <v>169</v>
      </c>
      <c r="E214" s="148">
        <f>SUM(E208:E213)</f>
        <v>51</v>
      </c>
      <c r="F214" s="119"/>
      <c r="G214" s="119">
        <f t="shared" ref="G214:M214" si="176">SUM(G208:G213)</f>
        <v>271</v>
      </c>
      <c r="H214" s="119">
        <f t="shared" si="176"/>
        <v>318</v>
      </c>
      <c r="I214" s="119">
        <f t="shared" si="176"/>
        <v>220</v>
      </c>
      <c r="J214" s="119">
        <f t="shared" si="176"/>
        <v>10783.529999999999</v>
      </c>
      <c r="K214" s="119">
        <f t="shared" si="176"/>
        <v>8597.9199999999983</v>
      </c>
      <c r="L214" s="119">
        <f t="shared" si="176"/>
        <v>1121487.1200000001</v>
      </c>
      <c r="M214" s="119">
        <f t="shared" si="176"/>
        <v>22880</v>
      </c>
      <c r="N214" s="123">
        <f>'Odometro-Kilometraje'!AE88</f>
        <v>10917</v>
      </c>
      <c r="O214" s="21">
        <f>(W214/N214)*100</f>
        <v>97.478153338829358</v>
      </c>
      <c r="P214" s="192"/>
      <c r="Q214" s="181"/>
      <c r="R214" s="181"/>
      <c r="S214" s="181"/>
      <c r="T214" s="181"/>
      <c r="U214" s="181"/>
      <c r="V214" s="181"/>
      <c r="W214" s="193">
        <f>SUM(W208:W213)</f>
        <v>10641.69</v>
      </c>
      <c r="X214" s="193">
        <f>SUM(X208:X213)</f>
        <v>12606.940000000002</v>
      </c>
      <c r="Y214" s="255"/>
    </row>
    <row r="215" spans="1:28" s="124" customFormat="1" x14ac:dyDescent="0.25">
      <c r="A215" s="60">
        <f>A208+1</f>
        <v>46234</v>
      </c>
      <c r="B215" s="293">
        <v>38</v>
      </c>
      <c r="C215" s="293">
        <v>41</v>
      </c>
      <c r="D215" s="126">
        <f>'Data Ocupacion'!BL31</f>
        <v>62</v>
      </c>
      <c r="E215" s="126">
        <f>'Data Ocupacion'!BM31</f>
        <v>16</v>
      </c>
      <c r="F215" s="219" t="s">
        <v>38</v>
      </c>
      <c r="G215" s="220">
        <f t="shared" ref="G215:G220" si="177">D215+E215*2</f>
        <v>94</v>
      </c>
      <c r="H215" s="125">
        <f t="shared" ref="H215:H220" si="178">B215+C215*2</f>
        <v>120</v>
      </c>
      <c r="I215" s="221">
        <f t="shared" ref="I215:I220" si="179">D215+E215</f>
        <v>78</v>
      </c>
      <c r="J215" s="221">
        <f>G215*M$2</f>
        <v>4054.2200000000003</v>
      </c>
      <c r="K215" s="153">
        <f>I215*M$2</f>
        <v>3364.1400000000003</v>
      </c>
      <c r="L215" s="125">
        <f t="shared" ref="L215:L220" si="180">J215*104</f>
        <v>421638.88</v>
      </c>
      <c r="M215" s="125">
        <f t="shared" ref="M215:M220" si="181">I215*104</f>
        <v>8112</v>
      </c>
      <c r="N215" s="19"/>
      <c r="O215" s="19"/>
      <c r="P215" s="146"/>
      <c r="Q215" s="183">
        <v>2</v>
      </c>
      <c r="R215" s="183"/>
      <c r="S215" s="205"/>
      <c r="T215" s="243"/>
      <c r="U215" s="191"/>
      <c r="V215" s="227"/>
      <c r="W215" s="182">
        <f>J215-(Q215*($M$2-$K$1))-(R215*($M$2-$M$1))- (S215*($M$2-$I$2))+ (T215*($G$2))</f>
        <v>4018.76</v>
      </c>
      <c r="X215" s="182">
        <f>H215*$M$2</f>
        <v>5175.6000000000004</v>
      </c>
      <c r="Y215" s="285"/>
    </row>
    <row r="216" spans="1:28" s="124" customFormat="1" x14ac:dyDescent="0.25">
      <c r="A216" s="201"/>
      <c r="B216" s="293">
        <v>36</v>
      </c>
      <c r="C216" s="293">
        <v>42</v>
      </c>
      <c r="D216" s="126">
        <f>'Data Ocupacion'!BL32</f>
        <v>60</v>
      </c>
      <c r="E216" s="126">
        <f>'Data Ocupacion'!BM32</f>
        <v>19</v>
      </c>
      <c r="F216" s="219" t="s">
        <v>52</v>
      </c>
      <c r="G216" s="220">
        <f t="shared" si="177"/>
        <v>98</v>
      </c>
      <c r="H216" s="125">
        <f t="shared" si="178"/>
        <v>120</v>
      </c>
      <c r="I216" s="125">
        <f t="shared" si="179"/>
        <v>79</v>
      </c>
      <c r="J216" s="125">
        <f>G216*M$2</f>
        <v>4226.7400000000007</v>
      </c>
      <c r="K216" s="153">
        <f>I216*M$2</f>
        <v>3407.27</v>
      </c>
      <c r="L216" s="125">
        <f t="shared" si="180"/>
        <v>439580.96000000008</v>
      </c>
      <c r="M216" s="125">
        <f t="shared" si="181"/>
        <v>8216</v>
      </c>
      <c r="N216" s="19"/>
      <c r="O216" s="19"/>
      <c r="P216" s="146"/>
      <c r="Q216" s="186"/>
      <c r="R216" s="186"/>
      <c r="S216" s="186"/>
      <c r="T216" s="183"/>
      <c r="U216" s="183"/>
      <c r="V216" s="205"/>
      <c r="W216" s="185">
        <f>J216-(T216*($M$2-$K$1)+(U216*($M$2-$M$1)))</f>
        <v>4226.7400000000007</v>
      </c>
      <c r="X216" s="182">
        <f>H216*$M$2</f>
        <v>5175.6000000000004</v>
      </c>
      <c r="Y216" s="285"/>
    </row>
    <row r="217" spans="1:28" s="124" customFormat="1" x14ac:dyDescent="0.25">
      <c r="A217" s="201"/>
      <c r="B217" s="293">
        <v>33</v>
      </c>
      <c r="C217" s="293">
        <v>3</v>
      </c>
      <c r="D217" s="126">
        <f>'Data Ocupacion'!BL33</f>
        <v>12</v>
      </c>
      <c r="E217" s="126">
        <f>'Data Ocupacion'!BM33</f>
        <v>2</v>
      </c>
      <c r="F217" s="219" t="s">
        <v>36</v>
      </c>
      <c r="G217" s="220">
        <f t="shared" si="177"/>
        <v>16</v>
      </c>
      <c r="H217" s="125">
        <f t="shared" si="178"/>
        <v>39</v>
      </c>
      <c r="I217" s="125">
        <f t="shared" si="179"/>
        <v>14</v>
      </c>
      <c r="J217" s="125">
        <f>G217*M$1</f>
        <v>465.76</v>
      </c>
      <c r="K217" s="153">
        <f>I217*M$1</f>
        <v>407.53999999999996</v>
      </c>
      <c r="L217" s="125">
        <f t="shared" si="180"/>
        <v>48439.040000000001</v>
      </c>
      <c r="M217" s="125">
        <f t="shared" si="181"/>
        <v>1456</v>
      </c>
      <c r="N217" s="19"/>
      <c r="O217" s="19"/>
      <c r="P217" s="146"/>
      <c r="Q217" s="243"/>
      <c r="R217" s="187"/>
      <c r="S217" s="206"/>
      <c r="T217" s="188"/>
      <c r="U217" s="189"/>
      <c r="V217" s="189"/>
      <c r="W217" s="182">
        <f>J217-(Q217*($M$1-$K$1))</f>
        <v>465.76</v>
      </c>
      <c r="X217" s="182">
        <f>H217*$M$1</f>
        <v>1135.29</v>
      </c>
      <c r="Y217" s="285"/>
    </row>
    <row r="218" spans="1:28" s="124" customFormat="1" x14ac:dyDescent="0.25">
      <c r="A218" s="201"/>
      <c r="B218" s="293">
        <v>29</v>
      </c>
      <c r="C218" s="293">
        <v>3</v>
      </c>
      <c r="D218" s="126">
        <f>'Data Ocupacion'!BL34</f>
        <v>15</v>
      </c>
      <c r="E218" s="126">
        <f>'Data Ocupacion'!BM34</f>
        <v>1</v>
      </c>
      <c r="F218" s="219" t="s">
        <v>53</v>
      </c>
      <c r="G218" s="220">
        <f t="shared" si="177"/>
        <v>17</v>
      </c>
      <c r="H218" s="125">
        <f t="shared" si="178"/>
        <v>35</v>
      </c>
      <c r="I218" s="125">
        <f t="shared" si="179"/>
        <v>16</v>
      </c>
      <c r="J218" s="125">
        <f>G218*M$1</f>
        <v>494.87</v>
      </c>
      <c r="K218" s="153">
        <f>I218*M$1</f>
        <v>465.76</v>
      </c>
      <c r="L218" s="125">
        <f t="shared" si="180"/>
        <v>51466.48</v>
      </c>
      <c r="M218" s="125">
        <f t="shared" si="181"/>
        <v>1664</v>
      </c>
      <c r="N218" s="19"/>
      <c r="O218" s="19"/>
      <c r="P218" s="146"/>
      <c r="Q218" s="189"/>
      <c r="R218" s="189"/>
      <c r="S218" s="189"/>
      <c r="T218" s="189"/>
      <c r="U218" s="189"/>
      <c r="V218" s="189"/>
      <c r="W218" s="182">
        <f>J218</f>
        <v>494.87</v>
      </c>
      <c r="X218" s="182">
        <f>H218*$M$1</f>
        <v>1018.85</v>
      </c>
      <c r="Y218" s="285"/>
    </row>
    <row r="219" spans="1:28" s="124" customFormat="1" x14ac:dyDescent="0.25">
      <c r="A219" s="201"/>
      <c r="B219" s="293">
        <v>0</v>
      </c>
      <c r="C219" s="293">
        <v>0</v>
      </c>
      <c r="D219" s="126">
        <f>'Data Ocupacion'!BL35</f>
        <v>0</v>
      </c>
      <c r="E219" s="126">
        <f>'Data Ocupacion'!BM35</f>
        <v>0</v>
      </c>
      <c r="F219" s="219" t="s">
        <v>122</v>
      </c>
      <c r="G219" s="220">
        <f t="shared" si="177"/>
        <v>0</v>
      </c>
      <c r="H219" s="125">
        <f t="shared" si="178"/>
        <v>0</v>
      </c>
      <c r="I219" s="125">
        <f t="shared" si="179"/>
        <v>0</v>
      </c>
      <c r="J219" s="222">
        <f>G219*K$1</f>
        <v>0</v>
      </c>
      <c r="K219" s="153">
        <f>I219*K$1</f>
        <v>0</v>
      </c>
      <c r="L219" s="125">
        <f t="shared" si="180"/>
        <v>0</v>
      </c>
      <c r="M219" s="125">
        <f t="shared" si="181"/>
        <v>0</v>
      </c>
      <c r="N219" s="19"/>
      <c r="O219" s="19"/>
      <c r="P219" s="146"/>
      <c r="Q219" s="189"/>
      <c r="R219" s="189"/>
      <c r="S219" s="189"/>
      <c r="T219" s="189"/>
      <c r="U219" s="189"/>
      <c r="V219" s="189"/>
      <c r="W219" s="182">
        <f>J219</f>
        <v>0</v>
      </c>
      <c r="X219" s="182">
        <f>H219*$K$1</f>
        <v>0</v>
      </c>
      <c r="Y219" s="285"/>
    </row>
    <row r="220" spans="1:28" s="124" customFormat="1" ht="15.75" thickBot="1" x14ac:dyDescent="0.3">
      <c r="A220" s="201"/>
      <c r="B220" s="293">
        <v>4</v>
      </c>
      <c r="C220" s="293">
        <v>0</v>
      </c>
      <c r="D220" s="126">
        <f>'Data Ocupacion'!BL36</f>
        <v>1</v>
      </c>
      <c r="E220" s="126">
        <f>'Data Ocupacion'!BM36</f>
        <v>0</v>
      </c>
      <c r="F220" s="219" t="s">
        <v>35</v>
      </c>
      <c r="G220" s="220">
        <f t="shared" si="177"/>
        <v>1</v>
      </c>
      <c r="H220" s="125">
        <f t="shared" si="178"/>
        <v>4</v>
      </c>
      <c r="I220" s="223">
        <f t="shared" si="179"/>
        <v>1</v>
      </c>
      <c r="J220" s="223">
        <f>G220*K$1</f>
        <v>25.4</v>
      </c>
      <c r="K220" s="153">
        <f>I220*K$1</f>
        <v>25.4</v>
      </c>
      <c r="L220" s="125">
        <f t="shared" si="180"/>
        <v>2641.6</v>
      </c>
      <c r="M220" s="125">
        <f t="shared" si="181"/>
        <v>104</v>
      </c>
      <c r="N220" s="19"/>
      <c r="O220" s="19"/>
      <c r="P220" s="146"/>
      <c r="Q220" s="189"/>
      <c r="R220" s="189"/>
      <c r="S220" s="189"/>
      <c r="T220" s="189"/>
      <c r="U220" s="189"/>
      <c r="V220" s="189"/>
      <c r="W220" s="182">
        <f>J220</f>
        <v>25.4</v>
      </c>
      <c r="X220" s="182">
        <f>H220*$K$1</f>
        <v>101.6</v>
      </c>
      <c r="Y220" s="285"/>
    </row>
    <row r="221" spans="1:28" s="124" customFormat="1" ht="15.75" thickBot="1" x14ac:dyDescent="0.3">
      <c r="A221" s="20"/>
      <c r="B221" s="119">
        <f>SUM(B215:B220)</f>
        <v>140</v>
      </c>
      <c r="C221" s="119">
        <f>SUM(C215:C220)</f>
        <v>89</v>
      </c>
      <c r="D221" s="148">
        <f>SUM(D215:D220)</f>
        <v>150</v>
      </c>
      <c r="E221" s="148">
        <f>SUM(E215:E220)</f>
        <v>38</v>
      </c>
      <c r="F221" s="119"/>
      <c r="G221" s="119">
        <f t="shared" ref="G221:M221" si="182">SUM(G215:G220)</f>
        <v>226</v>
      </c>
      <c r="H221" s="119">
        <f t="shared" si="182"/>
        <v>318</v>
      </c>
      <c r="I221" s="119">
        <f t="shared" si="182"/>
        <v>188</v>
      </c>
      <c r="J221" s="119">
        <f t="shared" si="182"/>
        <v>9266.9900000000016</v>
      </c>
      <c r="K221" s="119">
        <f t="shared" si="182"/>
        <v>7670.11</v>
      </c>
      <c r="L221" s="119">
        <f t="shared" si="182"/>
        <v>963766.96000000008</v>
      </c>
      <c r="M221" s="119">
        <f t="shared" si="182"/>
        <v>19552</v>
      </c>
      <c r="N221" s="123">
        <f>'Odometro-Kilometraje'!AF88</f>
        <v>9786</v>
      </c>
      <c r="O221" s="21">
        <f>(W221/N221)*100</f>
        <v>94.334048640915597</v>
      </c>
      <c r="P221" s="192"/>
      <c r="Q221" s="181"/>
      <c r="R221" s="181"/>
      <c r="S221" s="181"/>
      <c r="T221" s="181"/>
      <c r="U221" s="181"/>
      <c r="V221" s="181"/>
      <c r="W221" s="193">
        <f>SUM(W215:W220)</f>
        <v>9231.5300000000007</v>
      </c>
      <c r="X221" s="193">
        <f>SUM(X215:X220)</f>
        <v>12606.940000000002</v>
      </c>
      <c r="Y221" s="285"/>
      <c r="AB221" s="172"/>
    </row>
    <row r="222" spans="1:28" s="124" customFormat="1" ht="15.75" thickBot="1" x14ac:dyDescent="0.3"/>
    <row r="223" spans="1:28" s="124" customFormat="1" ht="15.75" thickBot="1" x14ac:dyDescent="0.3">
      <c r="A223"/>
      <c r="B223" s="363" t="s">
        <v>56</v>
      </c>
      <c r="C223" s="364"/>
      <c r="D223" s="364"/>
      <c r="E223" s="364"/>
      <c r="F223" s="364"/>
      <c r="G223" s="365"/>
      <c r="H223" s="288"/>
      <c r="I223" s="363" t="s">
        <v>57</v>
      </c>
      <c r="J223" s="364"/>
      <c r="K223" s="364"/>
      <c r="L223" s="364"/>
      <c r="M223" s="364"/>
      <c r="N223" s="365"/>
      <c r="P223" s="383" t="s">
        <v>139</v>
      </c>
      <c r="Q223" s="383"/>
      <c r="R223" s="383"/>
      <c r="S223" s="384"/>
      <c r="T223" s="380" t="s">
        <v>142</v>
      </c>
      <c r="U223" s="381"/>
      <c r="V223" s="382"/>
      <c r="W223" s="372" t="s">
        <v>143</v>
      </c>
      <c r="X223" s="372" t="s">
        <v>162</v>
      </c>
    </row>
    <row r="224" spans="1:28" s="124" customFormat="1" ht="24.75" thickBot="1" x14ac:dyDescent="0.3">
      <c r="A224" s="22" t="s">
        <v>56</v>
      </c>
      <c r="B224" s="179" t="s">
        <v>58</v>
      </c>
      <c r="C224" s="179" t="s">
        <v>59</v>
      </c>
      <c r="D224" s="179" t="s">
        <v>60</v>
      </c>
      <c r="E224" s="179" t="s">
        <v>61</v>
      </c>
      <c r="F224" s="179" t="s">
        <v>62</v>
      </c>
      <c r="G224" s="179" t="s">
        <v>63</v>
      </c>
      <c r="H224" s="179"/>
      <c r="I224" s="179" t="s">
        <v>58</v>
      </c>
      <c r="J224" s="179" t="s">
        <v>59</v>
      </c>
      <c r="K224" s="179" t="s">
        <v>60</v>
      </c>
      <c r="L224" s="179" t="s">
        <v>61</v>
      </c>
      <c r="M224" s="179" t="s">
        <v>62</v>
      </c>
      <c r="N224" s="179" t="s">
        <v>63</v>
      </c>
      <c r="P224" s="213" t="s">
        <v>140</v>
      </c>
      <c r="Q224" s="195" t="s">
        <v>141</v>
      </c>
      <c r="R224" s="212" t="s">
        <v>148</v>
      </c>
      <c r="S224" s="214" t="s">
        <v>146</v>
      </c>
      <c r="T224" s="196" t="s">
        <v>140</v>
      </c>
      <c r="U224" s="197" t="s">
        <v>141</v>
      </c>
      <c r="V224" s="226" t="s">
        <v>146</v>
      </c>
      <c r="W224" s="373"/>
      <c r="X224" s="373"/>
    </row>
    <row r="225" spans="1:29" ht="16.149999999999999" customHeight="1" x14ac:dyDescent="0.25">
      <c r="A225" s="23" t="s">
        <v>38</v>
      </c>
      <c r="B225" s="114">
        <f t="shared" ref="B225:C227" si="183">B5+B12+B19+B26+B33+B40+B47+B54+B61+B68+B75+B82+B89+B96+B103+B110+B117+B124+B131+B138+B145+B152+B159+B166+B173+B180+B187+B194+B201+B208+B215</f>
        <v>1488</v>
      </c>
      <c r="C225" s="114">
        <f t="shared" si="183"/>
        <v>808</v>
      </c>
      <c r="D225" s="114">
        <f t="shared" ref="D225:D230" si="184">B225+C225</f>
        <v>2296</v>
      </c>
      <c r="E225" s="139">
        <f>D225*43.13</f>
        <v>99026.48000000001</v>
      </c>
      <c r="F225" s="139">
        <f>B225*43.13+C225*86.26</f>
        <v>133875.52000000002</v>
      </c>
      <c r="G225" s="139">
        <f t="shared" ref="G225:G230" si="185">F225*104</f>
        <v>13923054.080000002</v>
      </c>
      <c r="H225" s="139"/>
      <c r="I225" s="114">
        <f>D5+D12+D26+D33+D40+D47+D54+D61+D68+D75+D82+D89+D96+D103+D110+D117+D124+D131+D138+D145+D152+D159+D166+D173+D180+D187+D194+D201+D208+D19+D215</f>
        <v>1602</v>
      </c>
      <c r="J225" s="114">
        <f>E5+E12+E26+E33+E40+E47+E54+E61+E68+E75+E82+E89+E96+E103+E110+E117+E124+E131+E138+E145+E152+E159+E166+E173+E180+E187+E194+E201+E208+E19+E215</f>
        <v>631</v>
      </c>
      <c r="K225" s="114">
        <f t="shared" ref="K225:K230" si="186">I225+J225</f>
        <v>2233</v>
      </c>
      <c r="L225" s="139">
        <f>K225*43.13</f>
        <v>96309.290000000008</v>
      </c>
      <c r="M225" s="139">
        <f>I225*43.13+J225*86.26</f>
        <v>123524.32</v>
      </c>
      <c r="N225" s="139">
        <f t="shared" ref="N225:N230" si="187">M225*104</f>
        <v>12846529.280000001</v>
      </c>
      <c r="O225" s="124"/>
      <c r="P225" s="208">
        <f>SUM(Q194,Q187,Q180,Q173,Q166,Q159,Q152,Q145,Q138,Q131,Q124,Q117,Q110,Q103,Q96,Q89,Q82,Q75,Q68,Q61,Q54,Q47,Q40,Q33,Q26,Q19,Q12,Q5,Q201,Q208,Q215)</f>
        <v>57</v>
      </c>
      <c r="Q225" s="208">
        <f>SUM(R194,R187,R180,R173,R166,R159,R152,R145,R138,R131,R124,R117,R110,R103,R96,R89,R82,R75,R68,R61,R54,R47,R40,R33,R26,R19,R12,R5,R201,R208,R215)</f>
        <v>0</v>
      </c>
      <c r="R225" s="208">
        <f>SUM(S194,S187,S180,S173,S166,S159,S152,S145,S138,S131,S124,S117,S110,S103,S96,S89,S82,S75,S68,S61,S54,S47,S40,S33,S26,S19,S12,S5,S201,S208,S215)</f>
        <v>0</v>
      </c>
      <c r="S225" s="208">
        <f>SUM(S194,S187,S180,S173,S166,S159,S152,S145,S138,S131,S124,S117,S110,S103,S96,S89,S82,S75,S68,S61,S54,S47,S40,S33,S26,S19,S12,S5,S201,S208,S215)</f>
        <v>0</v>
      </c>
      <c r="T225" s="208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45</v>
      </c>
      <c r="U225" s="208">
        <f>SUM(U194,U187,U180,U173,U166,U159,U152,U145,U138,U131,U124,U117,U110,U103,U96,U89,U82,U75,U68,U61,U54,U47,U40,U33,U26,U19,U12,U5,U201,U208,U216)</f>
        <v>0</v>
      </c>
      <c r="V225" s="208">
        <f>SUM(V194,V187,V180,V173,V166,V159,V152,V145,V138,V131,V124,V117,V110,V103,V96,V89,V82,V75,V68,V61,V54,V47,V40,V33,V26,V19,V12,V5,V201,V208,V216)</f>
        <v>0</v>
      </c>
      <c r="W225" s="230">
        <f>W11+W18+W25+W32+W39+W46+W53+W60+W67+W74+W81+W88+W95+W102+W109+W116+W123+W130+W137+W144+W151+W158+W165+W172+W179+W186+W193+W200+W207+W214+W221</f>
        <v>283457.62000000005</v>
      </c>
      <c r="X225" s="230">
        <f>X11+X18+X25+X32+X39+X46+X53+X60+X67+X74+X81+X88+X95+X102+X109+X116+X123+X130+X137+X144+X151+X158+X165+X172+X179+X186+X193+X200+X207+X214+X221</f>
        <v>315456.06000000011</v>
      </c>
    </row>
    <row r="226" spans="1:29" ht="17.25" customHeight="1" x14ac:dyDescent="0.25">
      <c r="A226" s="23" t="s">
        <v>52</v>
      </c>
      <c r="B226" s="114">
        <f t="shared" si="183"/>
        <v>1498</v>
      </c>
      <c r="C226" s="114">
        <f t="shared" si="183"/>
        <v>803</v>
      </c>
      <c r="D226" s="114">
        <f t="shared" si="184"/>
        <v>2301</v>
      </c>
      <c r="E226" s="139">
        <f>D226*43.13</f>
        <v>99242.13</v>
      </c>
      <c r="F226" s="139">
        <f>B226*43.13+C226*86.26</f>
        <v>133875.52000000002</v>
      </c>
      <c r="G226" s="139">
        <f t="shared" si="185"/>
        <v>13923054.080000002</v>
      </c>
      <c r="H226" s="139"/>
      <c r="I226" s="114">
        <f t="shared" ref="I226:I230" si="188">D6+D13+D27+D34+D41+D48+D55+D62+D69+D76+D83+D90+D97+D104+D111+D118+D125+D132+D139+D146+D153+D160+D167+D174+D181+D188+D195+D202+D209+D20+D216</f>
        <v>1615</v>
      </c>
      <c r="J226" s="114">
        <f t="shared" ref="J226:J230" si="189">E6+E13+E27+E34+E41+E48+E55+E62+E69+E76+E83+E90+E97+E104+E111+E118+E125+E132+E139+E146+E153+E160+E167+E174+E181+E188+E195+E202+E209+E20+E216</f>
        <v>619</v>
      </c>
      <c r="K226" s="114">
        <f t="shared" si="186"/>
        <v>2234</v>
      </c>
      <c r="L226" s="139">
        <f t="shared" ref="L226" si="190">K226*43.13</f>
        <v>96352.420000000013</v>
      </c>
      <c r="M226" s="139">
        <f>I226*43.13+J226*86.26</f>
        <v>123049.89</v>
      </c>
      <c r="N226" s="139">
        <f t="shared" si="187"/>
        <v>12797188.560000001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3"/>
        <v>759</v>
      </c>
      <c r="C227" s="114">
        <f t="shared" si="183"/>
        <v>33</v>
      </c>
      <c r="D227" s="114">
        <f t="shared" si="184"/>
        <v>792</v>
      </c>
      <c r="E227" s="139">
        <f>D227*29.11</f>
        <v>23055.119999999999</v>
      </c>
      <c r="F227" s="139">
        <f>B227*29.11+C227*58.22</f>
        <v>24015.749999999996</v>
      </c>
      <c r="G227" s="139">
        <f t="shared" si="185"/>
        <v>2497637.9999999995</v>
      </c>
      <c r="H227" s="139"/>
      <c r="I227" s="114">
        <f t="shared" si="188"/>
        <v>634</v>
      </c>
      <c r="J227" s="114">
        <f t="shared" si="189"/>
        <v>17</v>
      </c>
      <c r="K227" s="114">
        <f t="shared" si="186"/>
        <v>651</v>
      </c>
      <c r="L227" s="139">
        <f>K227*29.11</f>
        <v>18950.61</v>
      </c>
      <c r="M227" s="139">
        <f>I227*29.11+J227*58.22</f>
        <v>19445.48</v>
      </c>
      <c r="N227" s="139">
        <f t="shared" si="187"/>
        <v>2022329.92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671</v>
      </c>
      <c r="C228" s="114">
        <f>C8+C15+C22+C29+C36+C43+C50+C57+C64+C71+C78+C85+C92+C99+C106+C113+C120+C127+C134+C141+C148+C155+C162+C169+C176+C183+C190+C197+C204+C211+C219</f>
        <v>30</v>
      </c>
      <c r="D228" s="114">
        <f t="shared" si="184"/>
        <v>701</v>
      </c>
      <c r="E228" s="139">
        <f>D228*29.11</f>
        <v>20406.11</v>
      </c>
      <c r="F228" s="139">
        <f>B228*29.11+C228*58.22</f>
        <v>21279.41</v>
      </c>
      <c r="G228" s="139">
        <f t="shared" si="185"/>
        <v>2213058.64</v>
      </c>
      <c r="H228" s="139"/>
      <c r="I228" s="114">
        <f t="shared" si="188"/>
        <v>595</v>
      </c>
      <c r="J228" s="114">
        <f t="shared" si="189"/>
        <v>16</v>
      </c>
      <c r="K228" s="114">
        <f t="shared" si="186"/>
        <v>611</v>
      </c>
      <c r="L228" s="139">
        <f>K228*29.11</f>
        <v>17786.21</v>
      </c>
      <c r="M228" s="139">
        <f>I228*29.11+J228*58.22</f>
        <v>18251.97</v>
      </c>
      <c r="N228" s="139">
        <f t="shared" si="187"/>
        <v>1898204.8800000001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4"/>
        <v>0</v>
      </c>
      <c r="E229" s="139">
        <f>D229*25.4</f>
        <v>0</v>
      </c>
      <c r="F229" s="139">
        <f>B229*25.4+C229*50.8</f>
        <v>0</v>
      </c>
      <c r="G229" s="139">
        <f t="shared" si="185"/>
        <v>0</v>
      </c>
      <c r="H229" s="139"/>
      <c r="I229" s="114">
        <f t="shared" si="188"/>
        <v>0</v>
      </c>
      <c r="J229" s="114">
        <f t="shared" si="189"/>
        <v>0</v>
      </c>
      <c r="K229" s="114">
        <f t="shared" si="186"/>
        <v>0</v>
      </c>
      <c r="L229" s="139">
        <f>K229*25.4</f>
        <v>0</v>
      </c>
      <c r="M229" s="139">
        <f>I229*25.4+J229*50.8</f>
        <v>0</v>
      </c>
      <c r="N229" s="139">
        <f t="shared" si="187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88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4"/>
        <v>88</v>
      </c>
      <c r="E230" s="139">
        <f>D230*25.4</f>
        <v>2235.1999999999998</v>
      </c>
      <c r="F230" s="139">
        <f>B230*25.4+C230*50.8</f>
        <v>2235.1999999999998</v>
      </c>
      <c r="G230" s="139">
        <f t="shared" si="185"/>
        <v>232460.79999999999</v>
      </c>
      <c r="H230" s="139"/>
      <c r="I230" s="114">
        <f t="shared" si="188"/>
        <v>60</v>
      </c>
      <c r="J230" s="114">
        <f t="shared" si="189"/>
        <v>0</v>
      </c>
      <c r="K230" s="114">
        <f t="shared" si="186"/>
        <v>60</v>
      </c>
      <c r="L230" s="139">
        <f>K230*25.4</f>
        <v>1524</v>
      </c>
      <c r="M230" s="139">
        <f>I230*25.4+J230*50.8</f>
        <v>1524</v>
      </c>
      <c r="N230" s="139">
        <f t="shared" si="187"/>
        <v>158496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8" t="s">
        <v>64</v>
      </c>
      <c r="B232" s="282">
        <f>SUM(B225:B231)</f>
        <v>4504</v>
      </c>
      <c r="C232" s="282">
        <f>SUM(C225:C231)</f>
        <v>1674</v>
      </c>
      <c r="D232" s="282">
        <f>SUM(D225:D231)</f>
        <v>6178</v>
      </c>
      <c r="E232" s="282">
        <f>SUM(E225:E230)</f>
        <v>243965.04000000004</v>
      </c>
      <c r="F232" s="282">
        <f>SUM(F225:F230)</f>
        <v>315281.40000000002</v>
      </c>
      <c r="G232" s="282">
        <f>SUM(G225:G230)</f>
        <v>32789265.600000005</v>
      </c>
      <c r="H232" s="282"/>
      <c r="I232" s="282">
        <f>SUM(I225:I230)</f>
        <v>4506</v>
      </c>
      <c r="J232" s="282">
        <f>SUM(J225:J230)</f>
        <v>1283</v>
      </c>
      <c r="K232" s="282">
        <f>SUM(K225:K231)</f>
        <v>5789</v>
      </c>
      <c r="L232" s="282">
        <f>SUM(L225:L231)</f>
        <v>230922.53</v>
      </c>
      <c r="M232" s="282">
        <f>SUM(M225:M231)</f>
        <v>285795.66000000003</v>
      </c>
      <c r="N232" s="282">
        <f>SUM(N225:N231)</f>
        <v>29722748.640000004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08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7852</v>
      </c>
      <c r="D234" s="124"/>
      <c r="E234" s="124"/>
      <c r="F234" s="124" t="s">
        <v>65</v>
      </c>
      <c r="G234" s="124">
        <f>(I232)+(J232*2)</f>
        <v>7072</v>
      </c>
      <c r="I234" s="124"/>
      <c r="J234" s="198"/>
      <c r="K234" s="124"/>
      <c r="L234" s="124"/>
      <c r="M234" s="208"/>
      <c r="N234" s="124"/>
      <c r="O234" s="124"/>
      <c r="W234" s="124"/>
    </row>
    <row r="235" spans="1:29" x14ac:dyDescent="0.25">
      <c r="A235" s="24"/>
      <c r="B235" s="361" t="s">
        <v>55</v>
      </c>
      <c r="C235" s="362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243965.04000000004</v>
      </c>
      <c r="G237" s="36">
        <f>+F232</f>
        <v>315281.40000000002</v>
      </c>
      <c r="H237" s="289"/>
      <c r="I237" s="37">
        <f>+G232</f>
        <v>32789265.600000005</v>
      </c>
      <c r="J237" s="124"/>
      <c r="K237" s="124"/>
      <c r="L237" s="124"/>
      <c r="M237" s="124"/>
      <c r="N237" s="124"/>
      <c r="O237" s="124"/>
      <c r="W237" s="207"/>
    </row>
    <row r="238" spans="1:29" ht="16.149999999999999" hidden="1" customHeight="1" thickBot="1" x14ac:dyDescent="0.3">
      <c r="A238" s="38" t="s">
        <v>70</v>
      </c>
      <c r="B238" s="177" t="e">
        <f>+#REF!</f>
        <v>#REF!</v>
      </c>
      <c r="C238" s="177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290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07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18">
        <f>(I232)+(J232*2)</f>
        <v>7072</v>
      </c>
      <c r="K239" s="124"/>
      <c r="L239" s="124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25">
      <c r="C241" s="124"/>
    </row>
  </sheetData>
  <dataConsolidate>
    <dataRefs count="1">
      <dataRef name="=suma($G$5:$G$9)" r:id="rId1"/>
    </dataRefs>
  </dataConsolidate>
  <mergeCells count="29">
    <mergeCell ref="X223:X224"/>
    <mergeCell ref="W223:W224"/>
    <mergeCell ref="W3:W4"/>
    <mergeCell ref="P3:P4"/>
    <mergeCell ref="O3:O4"/>
    <mergeCell ref="Q3:S3"/>
    <mergeCell ref="T223:V223"/>
    <mergeCell ref="T3:V3"/>
    <mergeCell ref="X3:X4"/>
    <mergeCell ref="P223:S223"/>
    <mergeCell ref="A62:A66"/>
    <mergeCell ref="M3:M4"/>
    <mergeCell ref="N3:N4"/>
    <mergeCell ref="I223:N223"/>
    <mergeCell ref="I3:I4"/>
    <mergeCell ref="K3:K4"/>
    <mergeCell ref="A146:A150"/>
    <mergeCell ref="A118:A122"/>
    <mergeCell ref="L3:L4"/>
    <mergeCell ref="J3:J4"/>
    <mergeCell ref="H3:H4"/>
    <mergeCell ref="B2:C2"/>
    <mergeCell ref="D2:E2"/>
    <mergeCell ref="B3:C3"/>
    <mergeCell ref="D3:E3"/>
    <mergeCell ref="B235:C235"/>
    <mergeCell ref="B223:G223"/>
    <mergeCell ref="F3:F4"/>
    <mergeCell ref="G3:G4"/>
  </mergeCells>
  <conditionalFormatting sqref="D19:E24 D117:E122">
    <cfRule type="expression" dxfId="52" priority="171">
      <formula>AND($B19&lt;&gt;$D19)</formula>
    </cfRule>
  </conditionalFormatting>
  <conditionalFormatting sqref="D12:E17">
    <cfRule type="expression" dxfId="51" priority="137">
      <formula>AND($B12&lt;&gt;$D12)</formula>
    </cfRule>
  </conditionalFormatting>
  <conditionalFormatting sqref="D54:D59">
    <cfRule type="expression" dxfId="50" priority="132">
      <formula>AND($B54&lt;&gt;$D54)</formula>
    </cfRule>
  </conditionalFormatting>
  <conditionalFormatting sqref="E54:E59">
    <cfRule type="expression" dxfId="49" priority="131">
      <formula>AND($C54&lt;&gt;$E54)</formula>
    </cfRule>
  </conditionalFormatting>
  <conditionalFormatting sqref="D152:D157">
    <cfRule type="expression" dxfId="48" priority="102">
      <formula>AND($B152&lt;&gt;$D152)</formula>
    </cfRule>
  </conditionalFormatting>
  <conditionalFormatting sqref="E152:E157">
    <cfRule type="expression" dxfId="47" priority="101">
      <formula>AND($C152&lt;&gt;$E152)</formula>
    </cfRule>
  </conditionalFormatting>
  <conditionalFormatting sqref="D208:E213">
    <cfRule type="expression" dxfId="46" priority="95">
      <formula>AND($B208&lt;&gt;$D208)</formula>
    </cfRule>
  </conditionalFormatting>
  <conditionalFormatting sqref="D5:E10">
    <cfRule type="expression" dxfId="45" priority="92">
      <formula>AND($B5&lt;&gt;$D5)</formula>
    </cfRule>
  </conditionalFormatting>
  <conditionalFormatting sqref="D61:D66">
    <cfRule type="expression" dxfId="44" priority="57">
      <formula>AND($B61&lt;&gt;$D61)</formula>
    </cfRule>
  </conditionalFormatting>
  <conditionalFormatting sqref="E61:E66">
    <cfRule type="expression" dxfId="43" priority="56">
      <formula>AND($C61&lt;&gt;$E61)</formula>
    </cfRule>
  </conditionalFormatting>
  <conditionalFormatting sqref="D68:D73">
    <cfRule type="expression" dxfId="42" priority="55">
      <formula>AND($B68&lt;&gt;$D68)</formula>
    </cfRule>
  </conditionalFormatting>
  <conditionalFormatting sqref="E68:E73">
    <cfRule type="expression" dxfId="41" priority="54">
      <formula>AND($C68&lt;&gt;$E68)</formula>
    </cfRule>
  </conditionalFormatting>
  <conditionalFormatting sqref="D159:D164">
    <cfRule type="expression" dxfId="40" priority="49">
      <formula>AND($B159&lt;&gt;$D159)</formula>
    </cfRule>
  </conditionalFormatting>
  <conditionalFormatting sqref="E159:E164">
    <cfRule type="expression" dxfId="39" priority="48">
      <formula>AND($C159&lt;&gt;$E159)</formula>
    </cfRule>
  </conditionalFormatting>
  <conditionalFormatting sqref="D166:D171">
    <cfRule type="expression" dxfId="38" priority="47">
      <formula>AND($B166&lt;&gt;$D166)</formula>
    </cfRule>
  </conditionalFormatting>
  <conditionalFormatting sqref="E166:E171">
    <cfRule type="expression" dxfId="37" priority="46">
      <formula>AND($C166&lt;&gt;$E166)</formula>
    </cfRule>
  </conditionalFormatting>
  <conditionalFormatting sqref="D26:D31">
    <cfRule type="expression" dxfId="36" priority="45">
      <formula>AND($B26&lt;&gt;$D26)</formula>
    </cfRule>
  </conditionalFormatting>
  <conditionalFormatting sqref="E26:E31">
    <cfRule type="expression" dxfId="35" priority="44">
      <formula>AND($C26&lt;&gt;$E26)</formula>
    </cfRule>
  </conditionalFormatting>
  <conditionalFormatting sqref="D33:D38">
    <cfRule type="expression" dxfId="34" priority="43">
      <formula>AND($B33&lt;&gt;$D33)</formula>
    </cfRule>
  </conditionalFormatting>
  <conditionalFormatting sqref="E33:E38">
    <cfRule type="expression" dxfId="33" priority="42">
      <formula>AND($C33&lt;&gt;$E33)</formula>
    </cfRule>
  </conditionalFormatting>
  <conditionalFormatting sqref="D40:D45">
    <cfRule type="expression" dxfId="32" priority="41">
      <formula>AND($B40&lt;&gt;$D40)</formula>
    </cfRule>
  </conditionalFormatting>
  <conditionalFormatting sqref="E40:E45">
    <cfRule type="expression" dxfId="31" priority="40">
      <formula>AND($C40&lt;&gt;$E40)</formula>
    </cfRule>
  </conditionalFormatting>
  <conditionalFormatting sqref="D47:D52">
    <cfRule type="expression" dxfId="30" priority="39">
      <formula>AND($B47&lt;&gt;$D47)</formula>
    </cfRule>
  </conditionalFormatting>
  <conditionalFormatting sqref="E47:E52">
    <cfRule type="expression" dxfId="29" priority="38">
      <formula>AND($C47&lt;&gt;$E47)</formula>
    </cfRule>
  </conditionalFormatting>
  <conditionalFormatting sqref="D82:E87">
    <cfRule type="expression" dxfId="28" priority="37">
      <formula>AND($B82&lt;&gt;$D82)</formula>
    </cfRule>
  </conditionalFormatting>
  <conditionalFormatting sqref="D82:E87">
    <cfRule type="expression" dxfId="27" priority="36">
      <formula>AND($B82&lt;&gt;$D82)</formula>
    </cfRule>
  </conditionalFormatting>
  <conditionalFormatting sqref="D75:D80">
    <cfRule type="expression" dxfId="26" priority="35">
      <formula>AND($B75&lt;&gt;$D75)</formula>
    </cfRule>
  </conditionalFormatting>
  <conditionalFormatting sqref="E75:E80">
    <cfRule type="expression" dxfId="25" priority="34">
      <formula>AND($C75&lt;&gt;$E75)</formula>
    </cfRule>
  </conditionalFormatting>
  <conditionalFormatting sqref="D89:E93">
    <cfRule type="expression" dxfId="24" priority="33">
      <formula>AND($B89&lt;&gt;$D89)</formula>
    </cfRule>
  </conditionalFormatting>
  <conditionalFormatting sqref="D89:E93">
    <cfRule type="expression" dxfId="23" priority="32">
      <formula>AND($B89&lt;&gt;$D89)</formula>
    </cfRule>
  </conditionalFormatting>
  <conditionalFormatting sqref="D103:D108">
    <cfRule type="expression" dxfId="22" priority="25">
      <formula>AND($B103&lt;&gt;$D103)</formula>
    </cfRule>
  </conditionalFormatting>
  <conditionalFormatting sqref="E103:E108">
    <cfRule type="expression" dxfId="21" priority="24">
      <formula>AND($C103&lt;&gt;$E103)</formula>
    </cfRule>
  </conditionalFormatting>
  <conditionalFormatting sqref="D96:D101">
    <cfRule type="expression" dxfId="20" priority="23">
      <formula>AND($B96&lt;&gt;$D96)</formula>
    </cfRule>
  </conditionalFormatting>
  <conditionalFormatting sqref="E96:E101">
    <cfRule type="expression" dxfId="19" priority="22">
      <formula>AND($C96&lt;&gt;$E96)</formula>
    </cfRule>
  </conditionalFormatting>
  <conditionalFormatting sqref="D110:E115">
    <cfRule type="expression" dxfId="18" priority="21">
      <formula>AND($B110&lt;&gt;$D110)</formula>
    </cfRule>
  </conditionalFormatting>
  <conditionalFormatting sqref="D110:E115">
    <cfRule type="expression" dxfId="17" priority="20">
      <formula>AND($B110&lt;&gt;$D110)</formula>
    </cfRule>
  </conditionalFormatting>
  <conditionalFormatting sqref="D131:E136">
    <cfRule type="expression" dxfId="16" priority="19">
      <formula>AND($B131&lt;&gt;$D131)</formula>
    </cfRule>
  </conditionalFormatting>
  <conditionalFormatting sqref="D131:E136">
    <cfRule type="expression" dxfId="15" priority="18">
      <formula>AND($B131&lt;&gt;$D131)</formula>
    </cfRule>
  </conditionalFormatting>
  <conditionalFormatting sqref="D124:D129">
    <cfRule type="expression" dxfId="14" priority="17">
      <formula>AND($B124&lt;&gt;$D124)</formula>
    </cfRule>
  </conditionalFormatting>
  <conditionalFormatting sqref="E124:E129">
    <cfRule type="expression" dxfId="13" priority="16">
      <formula>AND($C124&lt;&gt;$E124)</formula>
    </cfRule>
  </conditionalFormatting>
  <conditionalFormatting sqref="D138:D143">
    <cfRule type="expression" dxfId="12" priority="15">
      <formula>AND($B138&lt;&gt;$D138)</formula>
    </cfRule>
  </conditionalFormatting>
  <conditionalFormatting sqref="E138:E143">
    <cfRule type="expression" dxfId="11" priority="14">
      <formula>AND($C138&lt;&gt;$E138)</formula>
    </cfRule>
  </conditionalFormatting>
  <conditionalFormatting sqref="D145:D150">
    <cfRule type="expression" dxfId="10" priority="13">
      <formula>AND($B145&lt;&gt;$D145)</formula>
    </cfRule>
  </conditionalFormatting>
  <conditionalFormatting sqref="E145:E150">
    <cfRule type="expression" dxfId="9" priority="12">
      <formula>AND($C145&lt;&gt;$E145)</formula>
    </cfRule>
  </conditionalFormatting>
  <conditionalFormatting sqref="D173:E178 D180:E185">
    <cfRule type="expression" dxfId="8" priority="9">
      <formula>AND($B173&lt;&gt;$D173)</formula>
    </cfRule>
  </conditionalFormatting>
  <conditionalFormatting sqref="D187:D192">
    <cfRule type="expression" dxfId="7" priority="8">
      <formula>AND($B187&lt;&gt;$D187)</formula>
    </cfRule>
  </conditionalFormatting>
  <conditionalFormatting sqref="E187:E192">
    <cfRule type="expression" dxfId="6" priority="7">
      <formula>AND($C187&lt;&gt;$E187)</formula>
    </cfRule>
  </conditionalFormatting>
  <conditionalFormatting sqref="D194:D199">
    <cfRule type="expression" dxfId="5" priority="6">
      <formula>AND($B194&lt;&gt;$D194)</formula>
    </cfRule>
  </conditionalFormatting>
  <conditionalFormatting sqref="E194:E199">
    <cfRule type="expression" dxfId="4" priority="5">
      <formula>AND($C194&lt;&gt;$E194)</formula>
    </cfRule>
  </conditionalFormatting>
  <conditionalFormatting sqref="D201:D206">
    <cfRule type="expression" dxfId="3" priority="4">
      <formula>AND($B201&lt;&gt;$D201)</formula>
    </cfRule>
  </conditionalFormatting>
  <conditionalFormatting sqref="E201:E206">
    <cfRule type="expression" dxfId="2" priority="3">
      <formula>AND($C201&lt;&gt;$E201)</formula>
    </cfRule>
  </conditionalFormatting>
  <conditionalFormatting sqref="D215:E220">
    <cfRule type="expression" dxfId="0" priority="1">
      <formula>AND($B215&lt;&gt;$D215)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S58"/>
  <sheetViews>
    <sheetView zoomScaleNormal="10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N56" sqref="AN56:BI59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  <col min="64" max="65" width="5.140625" style="124"/>
  </cols>
  <sheetData>
    <row r="1" spans="1:65" x14ac:dyDescent="0.25">
      <c r="C1" s="8"/>
      <c r="D1" s="385">
        <v>46204</v>
      </c>
      <c r="E1" s="385"/>
      <c r="F1" s="385">
        <v>46205</v>
      </c>
      <c r="G1" s="385"/>
      <c r="H1" s="385">
        <v>46206</v>
      </c>
      <c r="I1" s="385"/>
      <c r="J1" s="385">
        <v>46207</v>
      </c>
      <c r="K1" s="385"/>
      <c r="L1" s="385">
        <v>46208</v>
      </c>
      <c r="M1" s="385"/>
      <c r="N1" s="385">
        <v>46209</v>
      </c>
      <c r="O1" s="385"/>
      <c r="P1" s="385">
        <v>46210</v>
      </c>
      <c r="Q1" s="385"/>
      <c r="R1" s="385">
        <v>46211</v>
      </c>
      <c r="S1" s="385"/>
      <c r="T1" s="385">
        <v>46212</v>
      </c>
      <c r="U1" s="385"/>
      <c r="V1" s="385">
        <v>46213</v>
      </c>
      <c r="W1" s="385"/>
      <c r="X1" s="385">
        <v>46214</v>
      </c>
      <c r="Y1" s="385"/>
      <c r="Z1" s="385">
        <v>46215</v>
      </c>
      <c r="AA1" s="385"/>
      <c r="AB1" s="385">
        <v>46216</v>
      </c>
      <c r="AC1" s="385"/>
      <c r="AD1" s="385">
        <v>46217</v>
      </c>
      <c r="AE1" s="385"/>
      <c r="AF1" s="385">
        <v>46218</v>
      </c>
      <c r="AG1" s="385"/>
      <c r="AH1" s="385">
        <v>46219</v>
      </c>
      <c r="AI1" s="385"/>
      <c r="AJ1" s="385">
        <v>46220</v>
      </c>
      <c r="AK1" s="385"/>
      <c r="AL1" s="385">
        <v>46221</v>
      </c>
      <c r="AM1" s="385"/>
      <c r="AN1" s="385">
        <v>46222</v>
      </c>
      <c r="AO1" s="385"/>
      <c r="AP1" s="385">
        <v>46223</v>
      </c>
      <c r="AQ1" s="385"/>
      <c r="AR1" s="385">
        <v>46224</v>
      </c>
      <c r="AS1" s="385"/>
      <c r="AT1" s="385">
        <v>46225</v>
      </c>
      <c r="AU1" s="385"/>
      <c r="AV1" s="385">
        <v>46226</v>
      </c>
      <c r="AW1" s="385"/>
      <c r="AX1" s="385">
        <v>46227</v>
      </c>
      <c r="AY1" s="385"/>
      <c r="AZ1" s="385">
        <v>46228</v>
      </c>
      <c r="BA1" s="385"/>
      <c r="BB1" s="385">
        <v>46229</v>
      </c>
      <c r="BC1" s="385"/>
      <c r="BD1" s="385">
        <v>46230</v>
      </c>
      <c r="BE1" s="385"/>
      <c r="BF1" s="385">
        <v>46231</v>
      </c>
      <c r="BG1" s="385"/>
      <c r="BH1" s="385">
        <v>46232</v>
      </c>
      <c r="BI1" s="385"/>
      <c r="BJ1" s="385">
        <v>46233</v>
      </c>
      <c r="BK1" s="385"/>
      <c r="BL1" s="385">
        <v>46234</v>
      </c>
      <c r="BM1" s="385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52" t="s">
        <v>71</v>
      </c>
      <c r="BK2" s="52" t="s">
        <v>72</v>
      </c>
      <c r="BL2" s="52" t="s">
        <v>71</v>
      </c>
      <c r="BM2" s="52" t="s">
        <v>72</v>
      </c>
    </row>
    <row r="3" spans="1:65" ht="15.75" thickBot="1" x14ac:dyDescent="0.3">
      <c r="A3" s="65" t="s">
        <v>73</v>
      </c>
      <c r="B3" s="66"/>
      <c r="C3" s="8"/>
      <c r="D3" s="156">
        <v>9</v>
      </c>
      <c r="E3" s="156">
        <v>3</v>
      </c>
      <c r="F3" s="156">
        <v>10</v>
      </c>
      <c r="G3" s="156">
        <v>2</v>
      </c>
      <c r="H3" s="156">
        <v>10</v>
      </c>
      <c r="I3" s="156">
        <v>2</v>
      </c>
      <c r="J3" s="135">
        <v>0</v>
      </c>
      <c r="K3" s="135">
        <v>0</v>
      </c>
      <c r="L3" s="136">
        <v>0</v>
      </c>
      <c r="M3" s="136">
        <v>0</v>
      </c>
      <c r="N3" s="156">
        <v>10</v>
      </c>
      <c r="O3" s="156">
        <v>2</v>
      </c>
      <c r="P3" s="156">
        <v>10</v>
      </c>
      <c r="Q3" s="156">
        <v>2</v>
      </c>
      <c r="R3" s="156">
        <v>10</v>
      </c>
      <c r="S3" s="156">
        <v>2</v>
      </c>
      <c r="T3" s="156">
        <v>12</v>
      </c>
      <c r="U3" s="156">
        <v>0</v>
      </c>
      <c r="V3" s="156">
        <v>12</v>
      </c>
      <c r="W3" s="156">
        <v>0</v>
      </c>
      <c r="X3" s="156">
        <v>0</v>
      </c>
      <c r="Y3" s="156">
        <v>0</v>
      </c>
      <c r="Z3" s="156">
        <v>0</v>
      </c>
      <c r="AA3" s="156">
        <v>0</v>
      </c>
      <c r="AB3" s="156">
        <v>12</v>
      </c>
      <c r="AC3" s="156">
        <v>0</v>
      </c>
      <c r="AD3" s="156">
        <v>9</v>
      </c>
      <c r="AE3" s="156">
        <v>0</v>
      </c>
      <c r="AF3" s="156">
        <v>12</v>
      </c>
      <c r="AG3" s="156">
        <v>0</v>
      </c>
      <c r="AH3" s="136">
        <v>0</v>
      </c>
      <c r="AI3" s="307">
        <v>0</v>
      </c>
      <c r="AJ3" s="156">
        <v>6</v>
      </c>
      <c r="AK3" s="299">
        <v>0</v>
      </c>
      <c r="AL3" s="135">
        <v>0</v>
      </c>
      <c r="AM3" s="135">
        <v>0</v>
      </c>
      <c r="AN3" s="136">
        <v>0</v>
      </c>
      <c r="AO3" s="307">
        <v>0</v>
      </c>
      <c r="AP3" s="156">
        <v>2</v>
      </c>
      <c r="AQ3" s="299">
        <v>0</v>
      </c>
      <c r="AR3" s="156">
        <v>0</v>
      </c>
      <c r="AS3" s="299">
        <v>0</v>
      </c>
      <c r="AT3" s="156">
        <v>5</v>
      </c>
      <c r="AU3" s="299">
        <v>0</v>
      </c>
      <c r="AV3" s="156">
        <v>10</v>
      </c>
      <c r="AW3" s="299">
        <v>0</v>
      </c>
      <c r="AX3" s="156">
        <v>10</v>
      </c>
      <c r="AY3" s="299">
        <v>0</v>
      </c>
      <c r="AZ3" s="135">
        <v>0</v>
      </c>
      <c r="BA3" s="341">
        <v>0</v>
      </c>
      <c r="BB3" s="136">
        <v>0</v>
      </c>
      <c r="BC3" s="136">
        <v>0</v>
      </c>
      <c r="BD3" s="156">
        <v>10</v>
      </c>
      <c r="BE3" s="156">
        <v>0</v>
      </c>
      <c r="BF3" s="156">
        <v>9</v>
      </c>
      <c r="BG3" s="299">
        <v>0</v>
      </c>
      <c r="BH3" s="156">
        <v>9</v>
      </c>
      <c r="BI3" s="299">
        <v>0</v>
      </c>
      <c r="BJ3" s="156">
        <v>9</v>
      </c>
      <c r="BK3" s="156">
        <v>0</v>
      </c>
      <c r="BL3" s="156">
        <v>2</v>
      </c>
      <c r="BM3" s="156">
        <v>0</v>
      </c>
    </row>
    <row r="4" spans="1:65" s="124" customFormat="1" x14ac:dyDescent="0.25">
      <c r="A4" s="65" t="s">
        <v>123</v>
      </c>
      <c r="B4" s="155"/>
      <c r="C4" s="8"/>
      <c r="D4" s="156">
        <v>0</v>
      </c>
      <c r="E4" s="156">
        <v>0</v>
      </c>
      <c r="F4" s="156">
        <v>0</v>
      </c>
      <c r="G4" s="156">
        <v>0</v>
      </c>
      <c r="H4" s="156">
        <v>0</v>
      </c>
      <c r="I4" s="156">
        <v>0</v>
      </c>
      <c r="J4" s="135">
        <v>0</v>
      </c>
      <c r="K4" s="135">
        <v>0</v>
      </c>
      <c r="L4" s="136">
        <v>0</v>
      </c>
      <c r="M4" s="136">
        <v>0</v>
      </c>
      <c r="N4" s="156">
        <v>0</v>
      </c>
      <c r="O4" s="156">
        <v>0</v>
      </c>
      <c r="P4" s="156">
        <v>0</v>
      </c>
      <c r="Q4" s="156">
        <v>0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0</v>
      </c>
      <c r="Z4" s="156">
        <v>0</v>
      </c>
      <c r="AA4" s="156">
        <v>0</v>
      </c>
      <c r="AB4" s="156">
        <v>0</v>
      </c>
      <c r="AC4" s="156">
        <v>0</v>
      </c>
      <c r="AD4" s="156">
        <v>0</v>
      </c>
      <c r="AE4" s="156">
        <v>0</v>
      </c>
      <c r="AF4" s="156">
        <v>0</v>
      </c>
      <c r="AG4" s="156">
        <v>0</v>
      </c>
      <c r="AH4" s="136">
        <v>0</v>
      </c>
      <c r="AI4" s="307">
        <v>0</v>
      </c>
      <c r="AJ4" s="156">
        <v>0</v>
      </c>
      <c r="AK4" s="299">
        <v>0</v>
      </c>
      <c r="AL4" s="135">
        <v>0</v>
      </c>
      <c r="AM4" s="135">
        <v>0</v>
      </c>
      <c r="AN4" s="136">
        <v>0</v>
      </c>
      <c r="AO4" s="307">
        <v>0</v>
      </c>
      <c r="AP4" s="156">
        <v>0</v>
      </c>
      <c r="AQ4" s="299">
        <v>0</v>
      </c>
      <c r="AR4" s="156">
        <v>0</v>
      </c>
      <c r="AS4" s="299">
        <v>0</v>
      </c>
      <c r="AT4" s="156">
        <v>0</v>
      </c>
      <c r="AU4" s="299">
        <v>0</v>
      </c>
      <c r="AV4" s="156">
        <v>0</v>
      </c>
      <c r="AW4" s="299">
        <v>0</v>
      </c>
      <c r="AX4" s="156">
        <v>0</v>
      </c>
      <c r="AY4" s="299">
        <v>0</v>
      </c>
      <c r="AZ4" s="135">
        <v>0</v>
      </c>
      <c r="BA4" s="341">
        <v>0</v>
      </c>
      <c r="BB4" s="136">
        <v>0</v>
      </c>
      <c r="BC4" s="136">
        <v>0</v>
      </c>
      <c r="BD4" s="156">
        <v>0</v>
      </c>
      <c r="BE4" s="156">
        <v>0</v>
      </c>
      <c r="BF4" s="156">
        <v>0</v>
      </c>
      <c r="BG4" s="299">
        <v>0</v>
      </c>
      <c r="BH4" s="156">
        <v>0</v>
      </c>
      <c r="BI4" s="299">
        <v>0</v>
      </c>
      <c r="BJ4" s="156">
        <v>0</v>
      </c>
      <c r="BK4" s="156">
        <v>0</v>
      </c>
      <c r="BL4" s="156">
        <v>0</v>
      </c>
      <c r="BM4" s="156">
        <v>0</v>
      </c>
    </row>
    <row r="5" spans="1:65" x14ac:dyDescent="0.25">
      <c r="A5" s="67" t="s">
        <v>74</v>
      </c>
      <c r="B5" s="68"/>
      <c r="C5" s="8"/>
      <c r="D5" s="156">
        <v>2</v>
      </c>
      <c r="E5" s="156">
        <v>8</v>
      </c>
      <c r="F5" s="156">
        <v>2</v>
      </c>
      <c r="G5" s="156">
        <v>8</v>
      </c>
      <c r="H5" s="156">
        <v>3</v>
      </c>
      <c r="I5" s="156">
        <v>7</v>
      </c>
      <c r="J5" s="135">
        <v>0</v>
      </c>
      <c r="K5" s="135">
        <v>0</v>
      </c>
      <c r="L5" s="136">
        <v>0</v>
      </c>
      <c r="M5" s="136">
        <v>0</v>
      </c>
      <c r="N5" s="156">
        <v>2</v>
      </c>
      <c r="O5" s="156">
        <v>8</v>
      </c>
      <c r="P5" s="156">
        <v>2</v>
      </c>
      <c r="Q5" s="156">
        <v>8</v>
      </c>
      <c r="R5" s="156">
        <v>2</v>
      </c>
      <c r="S5" s="156">
        <v>8</v>
      </c>
      <c r="T5" s="156">
        <v>2</v>
      </c>
      <c r="U5" s="156">
        <v>8</v>
      </c>
      <c r="V5" s="156">
        <v>2</v>
      </c>
      <c r="W5" s="156">
        <v>8</v>
      </c>
      <c r="X5" s="156">
        <v>0</v>
      </c>
      <c r="Y5" s="156">
        <v>0</v>
      </c>
      <c r="Z5" s="156">
        <v>0</v>
      </c>
      <c r="AA5" s="156">
        <v>0</v>
      </c>
      <c r="AB5" s="156">
        <v>1</v>
      </c>
      <c r="AC5" s="156">
        <v>9</v>
      </c>
      <c r="AD5" s="156">
        <v>2</v>
      </c>
      <c r="AE5" s="156">
        <v>8</v>
      </c>
      <c r="AF5" s="156">
        <v>1</v>
      </c>
      <c r="AG5" s="156">
        <v>9</v>
      </c>
      <c r="AH5" s="136">
        <v>0</v>
      </c>
      <c r="AI5" s="307">
        <v>0</v>
      </c>
      <c r="AJ5" s="156">
        <v>10</v>
      </c>
      <c r="AK5" s="299">
        <v>0</v>
      </c>
      <c r="AL5" s="135">
        <v>0</v>
      </c>
      <c r="AM5" s="135">
        <v>0</v>
      </c>
      <c r="AN5" s="136">
        <v>0</v>
      </c>
      <c r="AO5" s="307">
        <v>0</v>
      </c>
      <c r="AP5" s="156">
        <v>8</v>
      </c>
      <c r="AQ5" s="299">
        <v>2</v>
      </c>
      <c r="AR5" s="156">
        <v>6</v>
      </c>
      <c r="AS5" s="299">
        <v>4</v>
      </c>
      <c r="AT5" s="156">
        <v>2</v>
      </c>
      <c r="AU5" s="299">
        <v>8</v>
      </c>
      <c r="AV5" s="156">
        <v>2</v>
      </c>
      <c r="AW5" s="299">
        <v>8</v>
      </c>
      <c r="AX5" s="156">
        <v>2</v>
      </c>
      <c r="AY5" s="299">
        <v>8</v>
      </c>
      <c r="AZ5" s="135">
        <v>0</v>
      </c>
      <c r="BA5" s="341">
        <v>0</v>
      </c>
      <c r="BB5" s="136">
        <v>0</v>
      </c>
      <c r="BC5" s="136">
        <v>0</v>
      </c>
      <c r="BD5" s="156">
        <v>2</v>
      </c>
      <c r="BE5" s="156">
        <v>8</v>
      </c>
      <c r="BF5" s="156">
        <v>4</v>
      </c>
      <c r="BG5" s="299">
        <v>6</v>
      </c>
      <c r="BH5" s="156">
        <v>2</v>
      </c>
      <c r="BI5" s="299">
        <v>8</v>
      </c>
      <c r="BJ5" s="156">
        <v>2</v>
      </c>
      <c r="BK5" s="156">
        <v>8</v>
      </c>
      <c r="BL5" s="156">
        <v>2</v>
      </c>
      <c r="BM5" s="156">
        <v>7</v>
      </c>
    </row>
    <row r="6" spans="1:65" x14ac:dyDescent="0.25">
      <c r="A6" s="67" t="s">
        <v>75</v>
      </c>
      <c r="B6" s="68"/>
      <c r="C6" s="8"/>
      <c r="D6" s="156">
        <v>10</v>
      </c>
      <c r="E6" s="156">
        <v>0</v>
      </c>
      <c r="F6" s="156">
        <v>10</v>
      </c>
      <c r="G6" s="156">
        <v>0</v>
      </c>
      <c r="H6" s="156">
        <v>10</v>
      </c>
      <c r="I6" s="156">
        <v>0</v>
      </c>
      <c r="J6" s="135">
        <v>0</v>
      </c>
      <c r="K6" s="135">
        <v>0</v>
      </c>
      <c r="L6" s="136">
        <v>0</v>
      </c>
      <c r="M6" s="136">
        <v>0</v>
      </c>
      <c r="N6" s="156">
        <v>9</v>
      </c>
      <c r="O6" s="156">
        <v>0</v>
      </c>
      <c r="P6" s="156">
        <v>10</v>
      </c>
      <c r="Q6" s="156">
        <v>0</v>
      </c>
      <c r="R6" s="156">
        <v>10</v>
      </c>
      <c r="S6" s="156">
        <v>0</v>
      </c>
      <c r="T6" s="156">
        <v>10</v>
      </c>
      <c r="U6" s="156">
        <v>0</v>
      </c>
      <c r="V6" s="156">
        <v>10</v>
      </c>
      <c r="W6" s="156">
        <v>0</v>
      </c>
      <c r="X6" s="156">
        <v>0</v>
      </c>
      <c r="Y6" s="156">
        <v>0</v>
      </c>
      <c r="Z6" s="156">
        <v>0</v>
      </c>
      <c r="AA6" s="156">
        <v>0</v>
      </c>
      <c r="AB6" s="156">
        <v>10</v>
      </c>
      <c r="AC6" s="156">
        <v>0</v>
      </c>
      <c r="AD6" s="156">
        <v>8</v>
      </c>
      <c r="AE6" s="156">
        <v>0</v>
      </c>
      <c r="AF6" s="156">
        <v>10</v>
      </c>
      <c r="AG6" s="156">
        <v>0</v>
      </c>
      <c r="AH6" s="136">
        <v>0</v>
      </c>
      <c r="AI6" s="307">
        <v>0</v>
      </c>
      <c r="AJ6" s="156">
        <v>7</v>
      </c>
      <c r="AK6" s="299">
        <v>0</v>
      </c>
      <c r="AL6" s="135">
        <v>0</v>
      </c>
      <c r="AM6" s="135">
        <v>0</v>
      </c>
      <c r="AN6" s="136">
        <v>0</v>
      </c>
      <c r="AO6" s="307">
        <v>0</v>
      </c>
      <c r="AP6" s="156">
        <v>3</v>
      </c>
      <c r="AQ6" s="299">
        <v>0</v>
      </c>
      <c r="AR6" s="156">
        <v>2</v>
      </c>
      <c r="AS6" s="299">
        <v>0</v>
      </c>
      <c r="AT6" s="156">
        <v>6</v>
      </c>
      <c r="AU6" s="299">
        <v>0</v>
      </c>
      <c r="AV6" s="156">
        <v>10</v>
      </c>
      <c r="AW6" s="299">
        <v>0</v>
      </c>
      <c r="AX6" s="156">
        <v>10</v>
      </c>
      <c r="AY6" s="299">
        <v>0</v>
      </c>
      <c r="AZ6" s="135">
        <v>0</v>
      </c>
      <c r="BA6" s="341">
        <v>0</v>
      </c>
      <c r="BB6" s="136">
        <v>0</v>
      </c>
      <c r="BC6" s="136">
        <v>0</v>
      </c>
      <c r="BD6" s="156">
        <v>10</v>
      </c>
      <c r="BE6" s="156">
        <v>0</v>
      </c>
      <c r="BF6" s="156">
        <v>10</v>
      </c>
      <c r="BG6" s="299">
        <v>0</v>
      </c>
      <c r="BH6" s="156">
        <v>10</v>
      </c>
      <c r="BI6" s="299">
        <v>0</v>
      </c>
      <c r="BJ6" s="156">
        <v>10</v>
      </c>
      <c r="BK6" s="156">
        <v>0</v>
      </c>
      <c r="BL6" s="156">
        <v>0</v>
      </c>
      <c r="BM6" s="156">
        <v>0</v>
      </c>
    </row>
    <row r="7" spans="1:65" x14ac:dyDescent="0.25">
      <c r="A7" s="67" t="s">
        <v>76</v>
      </c>
      <c r="B7" s="68"/>
      <c r="C7" s="8"/>
      <c r="D7" s="156">
        <v>1</v>
      </c>
      <c r="E7" s="156">
        <v>0</v>
      </c>
      <c r="F7" s="156">
        <v>1</v>
      </c>
      <c r="G7" s="156">
        <v>0</v>
      </c>
      <c r="H7" s="156">
        <v>1</v>
      </c>
      <c r="I7" s="156">
        <v>0</v>
      </c>
      <c r="J7" s="135">
        <v>0</v>
      </c>
      <c r="K7" s="135">
        <v>0</v>
      </c>
      <c r="L7" s="136">
        <v>0</v>
      </c>
      <c r="M7" s="136">
        <v>0</v>
      </c>
      <c r="N7" s="156">
        <v>1</v>
      </c>
      <c r="O7" s="156">
        <v>0</v>
      </c>
      <c r="P7" s="156">
        <v>1</v>
      </c>
      <c r="Q7" s="156">
        <v>0</v>
      </c>
      <c r="R7" s="156">
        <v>1</v>
      </c>
      <c r="S7" s="156">
        <v>0</v>
      </c>
      <c r="T7" s="156">
        <v>1</v>
      </c>
      <c r="U7" s="156">
        <v>0</v>
      </c>
      <c r="V7" s="156">
        <v>1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56">
        <v>1</v>
      </c>
      <c r="AC7" s="156">
        <v>0</v>
      </c>
      <c r="AD7" s="156">
        <v>3</v>
      </c>
      <c r="AE7" s="156">
        <v>0</v>
      </c>
      <c r="AF7" s="156">
        <v>1</v>
      </c>
      <c r="AG7" s="156">
        <v>0</v>
      </c>
      <c r="AH7" s="136">
        <v>0</v>
      </c>
      <c r="AI7" s="307">
        <v>0</v>
      </c>
      <c r="AJ7" s="156">
        <v>0</v>
      </c>
      <c r="AK7" s="299">
        <v>0</v>
      </c>
      <c r="AL7" s="135">
        <v>0</v>
      </c>
      <c r="AM7" s="135">
        <v>0</v>
      </c>
      <c r="AN7" s="136">
        <v>0</v>
      </c>
      <c r="AO7" s="307">
        <v>0</v>
      </c>
      <c r="AP7" s="156">
        <v>0</v>
      </c>
      <c r="AQ7" s="299">
        <v>0</v>
      </c>
      <c r="AR7" s="156">
        <v>0</v>
      </c>
      <c r="AS7" s="299">
        <v>0</v>
      </c>
      <c r="AT7" s="156">
        <v>0</v>
      </c>
      <c r="AU7" s="299">
        <v>0</v>
      </c>
      <c r="AV7" s="156">
        <v>0</v>
      </c>
      <c r="AW7" s="299">
        <v>0</v>
      </c>
      <c r="AX7" s="156">
        <v>0</v>
      </c>
      <c r="AY7" s="299">
        <v>0</v>
      </c>
      <c r="AZ7" s="135">
        <v>0</v>
      </c>
      <c r="BA7" s="341">
        <v>0</v>
      </c>
      <c r="BB7" s="136">
        <v>0</v>
      </c>
      <c r="BC7" s="136">
        <v>0</v>
      </c>
      <c r="BD7" s="156">
        <v>0</v>
      </c>
      <c r="BE7" s="156">
        <v>0</v>
      </c>
      <c r="BF7" s="156">
        <v>0</v>
      </c>
      <c r="BG7" s="299">
        <v>0</v>
      </c>
      <c r="BH7" s="156">
        <v>0</v>
      </c>
      <c r="BI7" s="299">
        <v>0</v>
      </c>
      <c r="BJ7" s="156">
        <v>0</v>
      </c>
      <c r="BK7" s="156">
        <v>0</v>
      </c>
      <c r="BL7" s="156">
        <v>0</v>
      </c>
      <c r="BM7" s="156">
        <v>0</v>
      </c>
    </row>
    <row r="8" spans="1:65" ht="15.75" thickBot="1" x14ac:dyDescent="0.3">
      <c r="A8" s="67" t="s">
        <v>77</v>
      </c>
      <c r="B8" s="69"/>
      <c r="C8" s="8"/>
      <c r="D8" s="156">
        <v>4</v>
      </c>
      <c r="E8" s="156">
        <v>6</v>
      </c>
      <c r="F8" s="156">
        <v>4</v>
      </c>
      <c r="G8" s="156">
        <v>6</v>
      </c>
      <c r="H8" s="156">
        <v>5</v>
      </c>
      <c r="I8" s="156">
        <v>5</v>
      </c>
      <c r="J8" s="135">
        <v>0</v>
      </c>
      <c r="K8" s="135">
        <v>0</v>
      </c>
      <c r="L8" s="136">
        <v>0</v>
      </c>
      <c r="M8" s="136">
        <v>0</v>
      </c>
      <c r="N8" s="156">
        <v>4</v>
      </c>
      <c r="O8" s="156">
        <v>6</v>
      </c>
      <c r="P8" s="156">
        <v>4</v>
      </c>
      <c r="Q8" s="156">
        <v>6</v>
      </c>
      <c r="R8" s="156">
        <v>4</v>
      </c>
      <c r="S8" s="156">
        <v>6</v>
      </c>
      <c r="T8" s="156">
        <v>6</v>
      </c>
      <c r="U8" s="156">
        <v>4</v>
      </c>
      <c r="V8" s="156">
        <v>6</v>
      </c>
      <c r="W8" s="156">
        <v>4</v>
      </c>
      <c r="X8" s="156">
        <v>0</v>
      </c>
      <c r="Y8" s="156">
        <v>0</v>
      </c>
      <c r="Z8" s="156">
        <v>0</v>
      </c>
      <c r="AA8" s="156">
        <v>0</v>
      </c>
      <c r="AB8" s="156">
        <v>5</v>
      </c>
      <c r="AC8" s="156">
        <v>5</v>
      </c>
      <c r="AD8" s="156">
        <v>5</v>
      </c>
      <c r="AE8" s="156">
        <v>5</v>
      </c>
      <c r="AF8" s="156">
        <v>5</v>
      </c>
      <c r="AG8" s="156">
        <v>5</v>
      </c>
      <c r="AH8" s="136">
        <v>0</v>
      </c>
      <c r="AI8" s="307">
        <v>0</v>
      </c>
      <c r="AJ8" s="156">
        <v>10</v>
      </c>
      <c r="AK8" s="299">
        <v>0</v>
      </c>
      <c r="AL8" s="135">
        <v>0</v>
      </c>
      <c r="AM8" s="135">
        <v>0</v>
      </c>
      <c r="AN8" s="136">
        <v>0</v>
      </c>
      <c r="AO8" s="307">
        <v>0</v>
      </c>
      <c r="AP8" s="156">
        <v>10</v>
      </c>
      <c r="AQ8" s="299">
        <v>0</v>
      </c>
      <c r="AR8" s="156">
        <v>8</v>
      </c>
      <c r="AS8" s="299">
        <v>2</v>
      </c>
      <c r="AT8" s="156">
        <v>7</v>
      </c>
      <c r="AU8" s="299">
        <v>3</v>
      </c>
      <c r="AV8" s="156">
        <v>6</v>
      </c>
      <c r="AW8" s="299">
        <v>4</v>
      </c>
      <c r="AX8" s="156">
        <v>6</v>
      </c>
      <c r="AY8" s="299">
        <v>4</v>
      </c>
      <c r="AZ8" s="135">
        <v>0</v>
      </c>
      <c r="BA8" s="341">
        <v>0</v>
      </c>
      <c r="BB8" s="136">
        <v>0</v>
      </c>
      <c r="BC8" s="136">
        <v>0</v>
      </c>
      <c r="BD8" s="156">
        <v>6</v>
      </c>
      <c r="BE8" s="156">
        <v>4</v>
      </c>
      <c r="BF8" s="156">
        <v>8</v>
      </c>
      <c r="BG8" s="299">
        <v>2</v>
      </c>
      <c r="BH8" s="156">
        <v>6</v>
      </c>
      <c r="BI8" s="299">
        <v>4</v>
      </c>
      <c r="BJ8" s="156">
        <v>6</v>
      </c>
      <c r="BK8" s="156">
        <v>4</v>
      </c>
      <c r="BL8" s="156">
        <v>7</v>
      </c>
      <c r="BM8" s="156">
        <v>4</v>
      </c>
    </row>
    <row r="9" spans="1:65" x14ac:dyDescent="0.25">
      <c r="A9" s="53"/>
      <c r="B9" s="53"/>
      <c r="C9" s="8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/>
      <c r="BE9" s="301"/>
      <c r="BF9" s="301"/>
      <c r="BG9" s="301"/>
      <c r="BH9" s="301"/>
      <c r="BI9" s="301"/>
      <c r="BJ9" s="301"/>
      <c r="BK9" s="301"/>
      <c r="BL9" s="301"/>
      <c r="BM9" s="301"/>
    </row>
    <row r="10" spans="1:65" x14ac:dyDescent="0.25">
      <c r="A10" s="70" t="s">
        <v>73</v>
      </c>
      <c r="B10" s="71"/>
      <c r="C10" s="8"/>
      <c r="D10" s="156">
        <v>17</v>
      </c>
      <c r="E10" s="156">
        <v>0</v>
      </c>
      <c r="F10" s="156">
        <v>17</v>
      </c>
      <c r="G10" s="156">
        <v>0</v>
      </c>
      <c r="H10" s="156">
        <v>17</v>
      </c>
      <c r="I10" s="156">
        <v>0</v>
      </c>
      <c r="J10" s="135">
        <v>0</v>
      </c>
      <c r="K10" s="135">
        <v>0</v>
      </c>
      <c r="L10" s="136">
        <v>0</v>
      </c>
      <c r="M10" s="136">
        <v>0</v>
      </c>
      <c r="N10" s="156">
        <v>15</v>
      </c>
      <c r="O10" s="156">
        <v>0</v>
      </c>
      <c r="P10" s="156">
        <v>15</v>
      </c>
      <c r="Q10" s="156">
        <v>0</v>
      </c>
      <c r="R10" s="156">
        <v>17</v>
      </c>
      <c r="S10" s="156">
        <v>0</v>
      </c>
      <c r="T10" s="156">
        <v>17</v>
      </c>
      <c r="U10" s="156">
        <v>0</v>
      </c>
      <c r="V10" s="156">
        <v>17</v>
      </c>
      <c r="W10" s="156">
        <v>0</v>
      </c>
      <c r="X10" s="156">
        <v>0</v>
      </c>
      <c r="Y10" s="156">
        <v>0</v>
      </c>
      <c r="Z10" s="156">
        <v>0</v>
      </c>
      <c r="AA10" s="156">
        <v>0</v>
      </c>
      <c r="AB10" s="156">
        <v>17</v>
      </c>
      <c r="AC10" s="156">
        <v>0</v>
      </c>
      <c r="AD10" s="156">
        <v>16</v>
      </c>
      <c r="AE10" s="156">
        <v>0</v>
      </c>
      <c r="AF10" s="156">
        <v>17</v>
      </c>
      <c r="AG10" s="156">
        <v>0</v>
      </c>
      <c r="AH10" s="136">
        <v>0</v>
      </c>
      <c r="AI10" s="307">
        <v>0</v>
      </c>
      <c r="AJ10" s="156">
        <v>3</v>
      </c>
      <c r="AK10" s="299">
        <v>0</v>
      </c>
      <c r="AL10" s="135">
        <v>0</v>
      </c>
      <c r="AM10" s="135">
        <v>0</v>
      </c>
      <c r="AN10" s="136">
        <v>0</v>
      </c>
      <c r="AO10" s="307">
        <v>0</v>
      </c>
      <c r="AP10" s="156">
        <v>2</v>
      </c>
      <c r="AQ10" s="299">
        <v>0</v>
      </c>
      <c r="AR10" s="156">
        <v>6</v>
      </c>
      <c r="AS10" s="299">
        <v>1</v>
      </c>
      <c r="AT10" s="156">
        <v>14</v>
      </c>
      <c r="AU10" s="299">
        <v>0</v>
      </c>
      <c r="AV10" s="156">
        <v>17</v>
      </c>
      <c r="AW10" s="299">
        <v>0</v>
      </c>
      <c r="AX10" s="156">
        <v>17</v>
      </c>
      <c r="AY10" s="299">
        <v>0</v>
      </c>
      <c r="AZ10" s="135">
        <v>0</v>
      </c>
      <c r="BA10" s="341">
        <v>0</v>
      </c>
      <c r="BB10" s="136">
        <v>0</v>
      </c>
      <c r="BC10" s="136">
        <v>0</v>
      </c>
      <c r="BD10" s="156">
        <v>16</v>
      </c>
      <c r="BE10" s="156">
        <v>0</v>
      </c>
      <c r="BF10" s="156">
        <v>17</v>
      </c>
      <c r="BG10" s="299">
        <v>0</v>
      </c>
      <c r="BH10" s="156">
        <v>17</v>
      </c>
      <c r="BI10" s="299">
        <v>0</v>
      </c>
      <c r="BJ10" s="156">
        <v>15</v>
      </c>
      <c r="BK10" s="156">
        <v>1</v>
      </c>
      <c r="BL10" s="156">
        <v>8</v>
      </c>
      <c r="BM10" s="156">
        <v>2</v>
      </c>
    </row>
    <row r="11" spans="1:65" s="124" customFormat="1" x14ac:dyDescent="0.25">
      <c r="A11" s="70" t="s">
        <v>123</v>
      </c>
      <c r="B11" s="71"/>
      <c r="C11" s="8"/>
      <c r="D11" s="156">
        <v>0</v>
      </c>
      <c r="E11" s="156">
        <v>0</v>
      </c>
      <c r="F11" s="156">
        <v>0</v>
      </c>
      <c r="G11" s="156">
        <v>0</v>
      </c>
      <c r="H11" s="156">
        <v>0</v>
      </c>
      <c r="I11" s="156">
        <v>0</v>
      </c>
      <c r="J11" s="135">
        <v>0</v>
      </c>
      <c r="K11" s="135">
        <v>0</v>
      </c>
      <c r="L11" s="136">
        <v>0</v>
      </c>
      <c r="M11" s="136">
        <v>0</v>
      </c>
      <c r="N11" s="156">
        <v>0</v>
      </c>
      <c r="O11" s="156">
        <v>0</v>
      </c>
      <c r="P11" s="156">
        <v>0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56">
        <v>0</v>
      </c>
      <c r="AC11" s="156">
        <v>0</v>
      </c>
      <c r="AD11" s="156">
        <v>0</v>
      </c>
      <c r="AE11" s="156">
        <v>0</v>
      </c>
      <c r="AF11" s="156">
        <v>0</v>
      </c>
      <c r="AG11" s="156">
        <v>0</v>
      </c>
      <c r="AH11" s="136">
        <v>0</v>
      </c>
      <c r="AI11" s="307">
        <v>0</v>
      </c>
      <c r="AJ11" s="156">
        <v>0</v>
      </c>
      <c r="AK11" s="299">
        <v>0</v>
      </c>
      <c r="AL11" s="135">
        <v>0</v>
      </c>
      <c r="AM11" s="135">
        <v>0</v>
      </c>
      <c r="AN11" s="136">
        <v>0</v>
      </c>
      <c r="AO11" s="307">
        <v>0</v>
      </c>
      <c r="AP11" s="156">
        <v>0</v>
      </c>
      <c r="AQ11" s="299">
        <v>0</v>
      </c>
      <c r="AR11" s="156">
        <v>0</v>
      </c>
      <c r="AS11" s="299">
        <v>0</v>
      </c>
      <c r="AT11" s="156">
        <v>0</v>
      </c>
      <c r="AU11" s="299">
        <v>0</v>
      </c>
      <c r="AV11" s="156">
        <v>0</v>
      </c>
      <c r="AW11" s="299">
        <v>0</v>
      </c>
      <c r="AX11" s="156">
        <v>0</v>
      </c>
      <c r="AY11" s="299">
        <v>0</v>
      </c>
      <c r="AZ11" s="135">
        <v>0</v>
      </c>
      <c r="BA11" s="341">
        <v>0</v>
      </c>
      <c r="BB11" s="136">
        <v>0</v>
      </c>
      <c r="BC11" s="136">
        <v>0</v>
      </c>
      <c r="BD11" s="156">
        <v>0</v>
      </c>
      <c r="BE11" s="156">
        <v>0</v>
      </c>
      <c r="BF11" s="156">
        <v>0</v>
      </c>
      <c r="BG11" s="299">
        <v>0</v>
      </c>
      <c r="BH11" s="156">
        <v>0</v>
      </c>
      <c r="BI11" s="299">
        <v>0</v>
      </c>
      <c r="BJ11" s="156">
        <v>0</v>
      </c>
      <c r="BK11" s="156">
        <v>0</v>
      </c>
      <c r="BL11" s="156">
        <v>0</v>
      </c>
      <c r="BM11" s="156">
        <v>0</v>
      </c>
    </row>
    <row r="12" spans="1:65" x14ac:dyDescent="0.25">
      <c r="A12" s="72" t="s">
        <v>74</v>
      </c>
      <c r="B12" s="73"/>
      <c r="C12" s="8"/>
      <c r="D12" s="156">
        <v>35</v>
      </c>
      <c r="E12" s="156">
        <v>26</v>
      </c>
      <c r="F12" s="156">
        <v>36</v>
      </c>
      <c r="G12" s="156">
        <v>25</v>
      </c>
      <c r="H12" s="156">
        <v>36</v>
      </c>
      <c r="I12" s="156">
        <v>25</v>
      </c>
      <c r="J12" s="135">
        <v>69</v>
      </c>
      <c r="K12" s="135">
        <v>3</v>
      </c>
      <c r="L12" s="136">
        <v>51</v>
      </c>
      <c r="M12" s="136">
        <v>3</v>
      </c>
      <c r="N12" s="156">
        <v>37</v>
      </c>
      <c r="O12" s="156">
        <v>24</v>
      </c>
      <c r="P12" s="156">
        <v>38</v>
      </c>
      <c r="Q12" s="156">
        <v>26</v>
      </c>
      <c r="R12" s="156">
        <v>37</v>
      </c>
      <c r="S12" s="156">
        <v>24</v>
      </c>
      <c r="T12" s="156">
        <v>44</v>
      </c>
      <c r="U12" s="156">
        <v>17</v>
      </c>
      <c r="V12" s="156">
        <v>44</v>
      </c>
      <c r="W12" s="156">
        <v>17</v>
      </c>
      <c r="X12" s="156">
        <v>69</v>
      </c>
      <c r="Y12" s="156">
        <v>3</v>
      </c>
      <c r="Z12" s="156">
        <v>51</v>
      </c>
      <c r="AA12" s="156">
        <v>3</v>
      </c>
      <c r="AB12" s="156">
        <v>44</v>
      </c>
      <c r="AC12" s="156">
        <v>17</v>
      </c>
      <c r="AD12" s="156">
        <v>43</v>
      </c>
      <c r="AE12" s="156">
        <v>19</v>
      </c>
      <c r="AF12" s="156">
        <v>44</v>
      </c>
      <c r="AG12" s="156">
        <v>17</v>
      </c>
      <c r="AH12" s="136">
        <v>51</v>
      </c>
      <c r="AI12" s="307">
        <v>3</v>
      </c>
      <c r="AJ12" s="156">
        <v>16</v>
      </c>
      <c r="AK12" s="299">
        <v>1</v>
      </c>
      <c r="AL12" s="135">
        <v>59</v>
      </c>
      <c r="AM12" s="135">
        <v>0</v>
      </c>
      <c r="AN12" s="136">
        <v>50</v>
      </c>
      <c r="AO12" s="307">
        <v>4</v>
      </c>
      <c r="AP12" s="156">
        <v>52</v>
      </c>
      <c r="AQ12" s="299">
        <v>9</v>
      </c>
      <c r="AR12" s="156">
        <v>48</v>
      </c>
      <c r="AS12" s="299">
        <v>9</v>
      </c>
      <c r="AT12" s="156">
        <v>48</v>
      </c>
      <c r="AU12" s="299">
        <v>14</v>
      </c>
      <c r="AV12" s="156">
        <v>50</v>
      </c>
      <c r="AW12" s="299">
        <v>11</v>
      </c>
      <c r="AX12" s="156">
        <v>48</v>
      </c>
      <c r="AY12" s="299">
        <v>13</v>
      </c>
      <c r="AZ12" s="135">
        <v>69</v>
      </c>
      <c r="BA12" s="341">
        <v>3</v>
      </c>
      <c r="BB12" s="136">
        <v>51</v>
      </c>
      <c r="BC12" s="136">
        <v>3</v>
      </c>
      <c r="BD12" s="156">
        <v>54</v>
      </c>
      <c r="BE12" s="156">
        <v>7</v>
      </c>
      <c r="BF12" s="156">
        <v>46</v>
      </c>
      <c r="BG12" s="299">
        <v>15</v>
      </c>
      <c r="BH12" s="156">
        <v>48</v>
      </c>
      <c r="BI12" s="299">
        <v>13</v>
      </c>
      <c r="BJ12" s="156">
        <v>47</v>
      </c>
      <c r="BK12" s="156">
        <v>14</v>
      </c>
      <c r="BL12" s="156">
        <v>55</v>
      </c>
      <c r="BM12" s="156">
        <v>6</v>
      </c>
    </row>
    <row r="13" spans="1:65" x14ac:dyDescent="0.25">
      <c r="A13" s="72" t="s">
        <v>75</v>
      </c>
      <c r="B13" s="73"/>
      <c r="C13" s="8"/>
      <c r="D13" s="156">
        <v>13</v>
      </c>
      <c r="E13" s="156">
        <v>3</v>
      </c>
      <c r="F13" s="156">
        <v>14</v>
      </c>
      <c r="G13" s="156">
        <v>2</v>
      </c>
      <c r="H13" s="156">
        <v>14</v>
      </c>
      <c r="I13" s="156">
        <v>2</v>
      </c>
      <c r="J13" s="135">
        <v>0</v>
      </c>
      <c r="K13" s="135">
        <v>0</v>
      </c>
      <c r="L13" s="136">
        <v>0</v>
      </c>
      <c r="M13" s="136">
        <v>0</v>
      </c>
      <c r="N13" s="156">
        <v>14</v>
      </c>
      <c r="O13" s="156">
        <v>2</v>
      </c>
      <c r="P13" s="156">
        <v>14</v>
      </c>
      <c r="Q13" s="156">
        <v>2</v>
      </c>
      <c r="R13" s="156">
        <v>14</v>
      </c>
      <c r="S13" s="156">
        <v>2</v>
      </c>
      <c r="T13" s="156">
        <v>16</v>
      </c>
      <c r="U13" s="156">
        <v>0</v>
      </c>
      <c r="V13" s="156">
        <v>16</v>
      </c>
      <c r="W13" s="156">
        <v>0</v>
      </c>
      <c r="X13" s="156">
        <v>0</v>
      </c>
      <c r="Y13" s="156">
        <v>0</v>
      </c>
      <c r="Z13" s="156">
        <v>0</v>
      </c>
      <c r="AA13" s="156">
        <v>0</v>
      </c>
      <c r="AB13" s="156">
        <v>16</v>
      </c>
      <c r="AC13" s="156">
        <v>0</v>
      </c>
      <c r="AD13" s="156">
        <v>16</v>
      </c>
      <c r="AE13" s="156">
        <v>0</v>
      </c>
      <c r="AF13" s="156">
        <v>16</v>
      </c>
      <c r="AG13" s="156">
        <v>0</v>
      </c>
      <c r="AH13" s="136">
        <v>0</v>
      </c>
      <c r="AI13" s="307">
        <v>0</v>
      </c>
      <c r="AJ13" s="156">
        <v>4</v>
      </c>
      <c r="AK13" s="299">
        <v>0</v>
      </c>
      <c r="AL13" s="135">
        <v>0</v>
      </c>
      <c r="AM13" s="135">
        <v>0</v>
      </c>
      <c r="AN13" s="136">
        <v>0</v>
      </c>
      <c r="AO13" s="307">
        <v>0</v>
      </c>
      <c r="AP13" s="156">
        <v>3</v>
      </c>
      <c r="AQ13" s="299">
        <v>0</v>
      </c>
      <c r="AR13" s="156">
        <v>8</v>
      </c>
      <c r="AS13" s="299">
        <v>1</v>
      </c>
      <c r="AT13" s="156">
        <v>14</v>
      </c>
      <c r="AU13" s="299">
        <v>0</v>
      </c>
      <c r="AV13" s="156">
        <v>16</v>
      </c>
      <c r="AW13" s="299">
        <v>0</v>
      </c>
      <c r="AX13" s="156">
        <v>16</v>
      </c>
      <c r="AY13" s="299">
        <v>0</v>
      </c>
      <c r="AZ13" s="135">
        <v>0</v>
      </c>
      <c r="BA13" s="341">
        <v>0</v>
      </c>
      <c r="BB13" s="136">
        <v>0</v>
      </c>
      <c r="BC13" s="136">
        <v>0</v>
      </c>
      <c r="BD13" s="156">
        <v>15</v>
      </c>
      <c r="BE13" s="156">
        <v>0</v>
      </c>
      <c r="BF13" s="156">
        <v>16</v>
      </c>
      <c r="BG13" s="299">
        <v>0</v>
      </c>
      <c r="BH13" s="156">
        <v>16</v>
      </c>
      <c r="BI13" s="299">
        <v>0</v>
      </c>
      <c r="BJ13" s="156">
        <v>15</v>
      </c>
      <c r="BK13" s="156">
        <v>0</v>
      </c>
      <c r="BL13" s="156">
        <v>13</v>
      </c>
      <c r="BM13" s="156">
        <v>0</v>
      </c>
    </row>
    <row r="14" spans="1:65" ht="15.75" thickBot="1" x14ac:dyDescent="0.3">
      <c r="A14" s="74" t="s">
        <v>76</v>
      </c>
      <c r="B14" s="75"/>
      <c r="C14" s="8"/>
      <c r="D14" s="156">
        <v>3</v>
      </c>
      <c r="E14" s="156">
        <v>0</v>
      </c>
      <c r="F14" s="156">
        <v>3</v>
      </c>
      <c r="G14" s="156">
        <v>0</v>
      </c>
      <c r="H14" s="156">
        <v>3</v>
      </c>
      <c r="I14" s="156">
        <v>0</v>
      </c>
      <c r="J14" s="135">
        <v>0</v>
      </c>
      <c r="K14" s="135">
        <v>0</v>
      </c>
      <c r="L14" s="136">
        <v>0</v>
      </c>
      <c r="M14" s="136">
        <v>0</v>
      </c>
      <c r="N14" s="156">
        <v>3</v>
      </c>
      <c r="O14" s="156">
        <v>0</v>
      </c>
      <c r="P14" s="156">
        <v>3</v>
      </c>
      <c r="Q14" s="156">
        <v>0</v>
      </c>
      <c r="R14" s="156">
        <v>3</v>
      </c>
      <c r="S14" s="156">
        <v>0</v>
      </c>
      <c r="T14" s="156">
        <v>3</v>
      </c>
      <c r="U14" s="156">
        <v>0</v>
      </c>
      <c r="V14" s="156">
        <v>3</v>
      </c>
      <c r="W14" s="156">
        <v>0</v>
      </c>
      <c r="X14" s="156">
        <v>0</v>
      </c>
      <c r="Y14" s="156">
        <v>0</v>
      </c>
      <c r="Z14" s="156">
        <v>0</v>
      </c>
      <c r="AA14" s="156">
        <v>0</v>
      </c>
      <c r="AB14" s="156">
        <v>3</v>
      </c>
      <c r="AC14" s="156">
        <v>0</v>
      </c>
      <c r="AD14" s="156">
        <v>2</v>
      </c>
      <c r="AE14" s="156">
        <v>0</v>
      </c>
      <c r="AF14" s="156">
        <v>3</v>
      </c>
      <c r="AG14" s="156">
        <v>0</v>
      </c>
      <c r="AH14" s="136">
        <v>0</v>
      </c>
      <c r="AI14" s="307">
        <v>0</v>
      </c>
      <c r="AJ14" s="156">
        <v>1</v>
      </c>
      <c r="AK14" s="299">
        <v>0</v>
      </c>
      <c r="AL14" s="135">
        <v>0</v>
      </c>
      <c r="AM14" s="135">
        <v>0</v>
      </c>
      <c r="AN14" s="136">
        <v>0</v>
      </c>
      <c r="AO14" s="307">
        <v>0</v>
      </c>
      <c r="AP14" s="156">
        <v>1</v>
      </c>
      <c r="AQ14" s="299">
        <v>0</v>
      </c>
      <c r="AR14" s="156">
        <v>1</v>
      </c>
      <c r="AS14" s="299">
        <v>0</v>
      </c>
      <c r="AT14" s="156">
        <v>1</v>
      </c>
      <c r="AU14" s="299">
        <v>0</v>
      </c>
      <c r="AV14" s="156">
        <v>2</v>
      </c>
      <c r="AW14" s="299">
        <v>0</v>
      </c>
      <c r="AX14" s="156">
        <v>2</v>
      </c>
      <c r="AY14" s="299">
        <v>0</v>
      </c>
      <c r="AZ14" s="135">
        <v>0</v>
      </c>
      <c r="BA14" s="341">
        <v>0</v>
      </c>
      <c r="BB14" s="136">
        <v>0</v>
      </c>
      <c r="BC14" s="136">
        <v>0</v>
      </c>
      <c r="BD14" s="156">
        <v>2</v>
      </c>
      <c r="BE14" s="156">
        <v>0</v>
      </c>
      <c r="BF14" s="156">
        <v>1</v>
      </c>
      <c r="BG14" s="299">
        <v>0</v>
      </c>
      <c r="BH14" s="156">
        <v>1</v>
      </c>
      <c r="BI14" s="299">
        <v>0</v>
      </c>
      <c r="BJ14" s="156">
        <v>2</v>
      </c>
      <c r="BK14" s="156">
        <v>0</v>
      </c>
      <c r="BL14" s="156">
        <v>1</v>
      </c>
      <c r="BM14" s="156">
        <v>0</v>
      </c>
    </row>
    <row r="15" spans="1:65" x14ac:dyDescent="0.25">
      <c r="A15" s="259" t="s">
        <v>77</v>
      </c>
      <c r="B15" s="259"/>
      <c r="C15" s="8"/>
      <c r="D15" s="156">
        <v>28</v>
      </c>
      <c r="E15" s="156">
        <v>33</v>
      </c>
      <c r="F15" s="156">
        <v>29</v>
      </c>
      <c r="G15" s="156">
        <v>32</v>
      </c>
      <c r="H15" s="156">
        <v>29</v>
      </c>
      <c r="I15" s="156">
        <v>32</v>
      </c>
      <c r="J15" s="135">
        <v>75</v>
      </c>
      <c r="K15" s="135">
        <v>0</v>
      </c>
      <c r="L15" s="136">
        <v>57</v>
      </c>
      <c r="M15" s="136">
        <v>0</v>
      </c>
      <c r="N15" s="156">
        <v>30</v>
      </c>
      <c r="O15" s="156">
        <v>31</v>
      </c>
      <c r="P15" s="156">
        <v>30</v>
      </c>
      <c r="Q15" s="156">
        <v>31</v>
      </c>
      <c r="R15" s="156">
        <v>30</v>
      </c>
      <c r="S15" s="156">
        <v>31</v>
      </c>
      <c r="T15" s="156">
        <v>36</v>
      </c>
      <c r="U15" s="156">
        <v>25</v>
      </c>
      <c r="V15" s="156">
        <v>36</v>
      </c>
      <c r="W15" s="156">
        <v>25</v>
      </c>
      <c r="X15" s="156">
        <v>75</v>
      </c>
      <c r="Y15" s="156">
        <v>0</v>
      </c>
      <c r="Z15" s="156">
        <v>57</v>
      </c>
      <c r="AA15" s="156">
        <v>0</v>
      </c>
      <c r="AB15" s="156">
        <v>36</v>
      </c>
      <c r="AC15" s="156">
        <v>25</v>
      </c>
      <c r="AD15" s="156">
        <v>37</v>
      </c>
      <c r="AE15" s="156">
        <v>24</v>
      </c>
      <c r="AF15" s="156">
        <v>37</v>
      </c>
      <c r="AG15" s="156">
        <v>24</v>
      </c>
      <c r="AH15" s="136">
        <v>57</v>
      </c>
      <c r="AI15" s="307">
        <v>0</v>
      </c>
      <c r="AJ15" s="156">
        <v>16</v>
      </c>
      <c r="AK15" s="299">
        <v>0</v>
      </c>
      <c r="AL15" s="135">
        <v>62</v>
      </c>
      <c r="AM15" s="135">
        <v>0</v>
      </c>
      <c r="AN15" s="136">
        <v>56</v>
      </c>
      <c r="AO15" s="307">
        <v>1</v>
      </c>
      <c r="AP15" s="156">
        <v>51</v>
      </c>
      <c r="AQ15" s="299">
        <v>10</v>
      </c>
      <c r="AR15" s="156">
        <v>48</v>
      </c>
      <c r="AS15" s="299">
        <v>8</v>
      </c>
      <c r="AT15" s="156">
        <v>40</v>
      </c>
      <c r="AU15" s="299">
        <v>21</v>
      </c>
      <c r="AV15" s="156">
        <v>42</v>
      </c>
      <c r="AW15" s="299">
        <v>19</v>
      </c>
      <c r="AX15" s="156">
        <v>40</v>
      </c>
      <c r="AY15" s="299">
        <v>21</v>
      </c>
      <c r="AZ15" s="135">
        <v>75</v>
      </c>
      <c r="BA15" s="341">
        <v>0</v>
      </c>
      <c r="BB15" s="136">
        <v>57</v>
      </c>
      <c r="BC15" s="136">
        <v>0</v>
      </c>
      <c r="BD15" s="156">
        <v>47</v>
      </c>
      <c r="BE15" s="156">
        <v>14</v>
      </c>
      <c r="BF15" s="156">
        <v>38</v>
      </c>
      <c r="BG15" s="299">
        <v>23</v>
      </c>
      <c r="BH15" s="156">
        <v>40</v>
      </c>
      <c r="BI15" s="299">
        <v>21</v>
      </c>
      <c r="BJ15" s="156">
        <v>42</v>
      </c>
      <c r="BK15" s="156">
        <v>19</v>
      </c>
      <c r="BL15" s="156">
        <v>47</v>
      </c>
      <c r="BM15" s="156">
        <v>14</v>
      </c>
    </row>
    <row r="16" spans="1:65" s="124" customFormat="1" x14ac:dyDescent="0.25">
      <c r="A16" s="304"/>
      <c r="B16" s="304"/>
      <c r="C16" s="8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/>
      <c r="BA16" s="301"/>
      <c r="BB16" s="301"/>
      <c r="BC16" s="301"/>
      <c r="BD16" s="301"/>
      <c r="BE16" s="301"/>
      <c r="BF16" s="301"/>
      <c r="BG16" s="301"/>
      <c r="BH16" s="301"/>
      <c r="BI16" s="301"/>
      <c r="BJ16" s="301"/>
      <c r="BK16" s="301"/>
      <c r="BL16" s="301"/>
      <c r="BM16" s="301"/>
    </row>
    <row r="17" spans="1:65 16295:16295" x14ac:dyDescent="0.25">
      <c r="A17" s="67" t="s">
        <v>73</v>
      </c>
      <c r="B17" s="68"/>
      <c r="C17" s="8"/>
      <c r="D17" s="284">
        <v>7</v>
      </c>
      <c r="E17" s="284">
        <v>0</v>
      </c>
      <c r="F17" s="284">
        <v>7</v>
      </c>
      <c r="G17" s="284">
        <v>0</v>
      </c>
      <c r="H17" s="284">
        <v>7</v>
      </c>
      <c r="I17" s="284">
        <v>0</v>
      </c>
      <c r="J17" s="306">
        <v>0</v>
      </c>
      <c r="K17" s="306">
        <v>0</v>
      </c>
      <c r="L17" s="337">
        <v>0</v>
      </c>
      <c r="M17" s="337">
        <v>0</v>
      </c>
      <c r="N17" s="284">
        <v>7</v>
      </c>
      <c r="O17" s="284">
        <v>0</v>
      </c>
      <c r="P17" s="284">
        <v>2</v>
      </c>
      <c r="Q17" s="284">
        <v>0</v>
      </c>
      <c r="R17" s="156">
        <v>7</v>
      </c>
      <c r="S17" s="156">
        <v>0</v>
      </c>
      <c r="T17" s="156">
        <v>7</v>
      </c>
      <c r="U17" s="156">
        <v>0</v>
      </c>
      <c r="V17" s="284">
        <v>7</v>
      </c>
      <c r="W17" s="284">
        <v>0</v>
      </c>
      <c r="X17" s="284">
        <v>0</v>
      </c>
      <c r="Y17" s="284">
        <v>0</v>
      </c>
      <c r="Z17" s="284">
        <v>0</v>
      </c>
      <c r="AA17" s="284">
        <v>0</v>
      </c>
      <c r="AB17" s="284">
        <v>7</v>
      </c>
      <c r="AC17" s="284">
        <v>0</v>
      </c>
      <c r="AD17" s="284">
        <v>7</v>
      </c>
      <c r="AE17" s="284">
        <v>0</v>
      </c>
      <c r="AF17" s="300">
        <v>7</v>
      </c>
      <c r="AG17" s="300">
        <v>0</v>
      </c>
      <c r="AH17" s="136">
        <v>0</v>
      </c>
      <c r="AI17" s="307">
        <v>0</v>
      </c>
      <c r="AJ17" s="156">
        <v>0</v>
      </c>
      <c r="AK17" s="299">
        <v>0</v>
      </c>
      <c r="AL17" s="306">
        <v>0</v>
      </c>
      <c r="AM17" s="336">
        <v>0</v>
      </c>
      <c r="AN17" s="136">
        <v>0</v>
      </c>
      <c r="AO17" s="307">
        <v>0</v>
      </c>
      <c r="AP17" s="156">
        <v>4</v>
      </c>
      <c r="AQ17" s="299">
        <v>0</v>
      </c>
      <c r="AR17" s="156">
        <v>6</v>
      </c>
      <c r="AS17" s="299">
        <v>0</v>
      </c>
      <c r="AT17" s="156">
        <v>7</v>
      </c>
      <c r="AU17" s="299">
        <v>0</v>
      </c>
      <c r="AV17" s="340">
        <v>7</v>
      </c>
      <c r="AW17" s="340">
        <v>0</v>
      </c>
      <c r="AX17" s="340">
        <v>7</v>
      </c>
      <c r="AY17" s="340">
        <v>0</v>
      </c>
      <c r="AZ17" s="135">
        <v>0</v>
      </c>
      <c r="BA17" s="135">
        <v>0</v>
      </c>
      <c r="BB17" s="302">
        <v>0</v>
      </c>
      <c r="BC17" s="302">
        <v>0</v>
      </c>
      <c r="BD17" s="284">
        <v>7</v>
      </c>
      <c r="BE17" s="344">
        <v>0</v>
      </c>
      <c r="BF17" s="284">
        <v>7</v>
      </c>
      <c r="BG17" s="344">
        <v>0</v>
      </c>
      <c r="BH17" s="156">
        <v>7</v>
      </c>
      <c r="BI17" s="299">
        <v>0</v>
      </c>
      <c r="BJ17" s="284">
        <v>6</v>
      </c>
      <c r="BK17" s="284">
        <v>0</v>
      </c>
      <c r="BL17" s="284">
        <v>2</v>
      </c>
      <c r="BM17" s="284">
        <v>0</v>
      </c>
    </row>
    <row r="18" spans="1:65 16295:16295" s="124" customFormat="1" x14ac:dyDescent="0.25">
      <c r="A18" s="67" t="s">
        <v>123</v>
      </c>
      <c r="B18" s="68"/>
      <c r="C18" s="8"/>
      <c r="D18" s="284">
        <v>0</v>
      </c>
      <c r="E18" s="284">
        <v>0</v>
      </c>
      <c r="F18" s="284">
        <v>0</v>
      </c>
      <c r="G18" s="284">
        <v>0</v>
      </c>
      <c r="H18" s="284">
        <v>0</v>
      </c>
      <c r="I18" s="284">
        <v>0</v>
      </c>
      <c r="J18" s="306">
        <v>0</v>
      </c>
      <c r="K18" s="306">
        <v>0</v>
      </c>
      <c r="L18" s="337">
        <v>0</v>
      </c>
      <c r="M18" s="337">
        <v>0</v>
      </c>
      <c r="N18" s="284">
        <v>0</v>
      </c>
      <c r="O18" s="284">
        <v>0</v>
      </c>
      <c r="P18" s="284">
        <v>0</v>
      </c>
      <c r="Q18" s="284">
        <v>0</v>
      </c>
      <c r="R18" s="156">
        <v>0</v>
      </c>
      <c r="S18" s="156">
        <v>0</v>
      </c>
      <c r="T18" s="156">
        <v>0</v>
      </c>
      <c r="U18" s="156">
        <v>0</v>
      </c>
      <c r="V18" s="284">
        <v>0</v>
      </c>
      <c r="W18" s="284">
        <v>0</v>
      </c>
      <c r="X18" s="284">
        <v>0</v>
      </c>
      <c r="Y18" s="284">
        <v>0</v>
      </c>
      <c r="Z18" s="284">
        <v>0</v>
      </c>
      <c r="AA18" s="284">
        <v>0</v>
      </c>
      <c r="AB18" s="284">
        <v>0</v>
      </c>
      <c r="AC18" s="284">
        <v>0</v>
      </c>
      <c r="AD18" s="284">
        <v>0</v>
      </c>
      <c r="AE18" s="284">
        <v>0</v>
      </c>
      <c r="AF18" s="300">
        <v>0</v>
      </c>
      <c r="AG18" s="300">
        <v>0</v>
      </c>
      <c r="AH18" s="136">
        <v>0</v>
      </c>
      <c r="AI18" s="307">
        <v>0</v>
      </c>
      <c r="AJ18" s="156">
        <v>0</v>
      </c>
      <c r="AK18" s="299">
        <v>0</v>
      </c>
      <c r="AL18" s="306">
        <v>0</v>
      </c>
      <c r="AM18" s="336">
        <v>0</v>
      </c>
      <c r="AN18" s="136">
        <v>0</v>
      </c>
      <c r="AO18" s="307">
        <v>0</v>
      </c>
      <c r="AP18" s="156">
        <v>0</v>
      </c>
      <c r="AQ18" s="299">
        <v>0</v>
      </c>
      <c r="AR18" s="156">
        <v>0</v>
      </c>
      <c r="AS18" s="299">
        <v>0</v>
      </c>
      <c r="AT18" s="156">
        <v>0</v>
      </c>
      <c r="AU18" s="299">
        <v>0</v>
      </c>
      <c r="AV18" s="338">
        <v>0</v>
      </c>
      <c r="AW18" s="338">
        <v>0</v>
      </c>
      <c r="AX18" s="338">
        <v>0</v>
      </c>
      <c r="AY18" s="338">
        <v>0</v>
      </c>
      <c r="AZ18" s="135">
        <v>0</v>
      </c>
      <c r="BA18" s="135">
        <v>0</v>
      </c>
      <c r="BB18" s="302">
        <v>0</v>
      </c>
      <c r="BC18" s="302">
        <v>0</v>
      </c>
      <c r="BD18" s="284">
        <v>0</v>
      </c>
      <c r="BE18" s="344">
        <v>0</v>
      </c>
      <c r="BF18" s="284">
        <v>0</v>
      </c>
      <c r="BG18" s="344">
        <v>0</v>
      </c>
      <c r="BH18" s="156">
        <v>0</v>
      </c>
      <c r="BI18" s="299">
        <v>0</v>
      </c>
      <c r="BJ18" s="284">
        <v>0</v>
      </c>
      <c r="BK18" s="284">
        <v>0</v>
      </c>
      <c r="BL18" s="284">
        <v>0</v>
      </c>
      <c r="BM18" s="284">
        <v>0</v>
      </c>
    </row>
    <row r="19" spans="1:65 16295:16295" x14ac:dyDescent="0.25">
      <c r="A19" s="67" t="s">
        <v>74</v>
      </c>
      <c r="B19" s="68"/>
      <c r="C19" s="8"/>
      <c r="D19" s="284">
        <v>1</v>
      </c>
      <c r="E19" s="284">
        <v>7</v>
      </c>
      <c r="F19" s="284">
        <v>1</v>
      </c>
      <c r="G19" s="284">
        <v>7</v>
      </c>
      <c r="H19" s="284">
        <v>1</v>
      </c>
      <c r="I19" s="284">
        <v>7</v>
      </c>
      <c r="J19" s="306">
        <v>0</v>
      </c>
      <c r="K19" s="306">
        <v>0</v>
      </c>
      <c r="L19" s="337">
        <v>0</v>
      </c>
      <c r="M19" s="337">
        <v>0</v>
      </c>
      <c r="N19" s="284">
        <v>1</v>
      </c>
      <c r="O19" s="284">
        <v>7</v>
      </c>
      <c r="P19" s="284">
        <v>2</v>
      </c>
      <c r="Q19" s="284">
        <v>6</v>
      </c>
      <c r="R19" s="156">
        <v>2</v>
      </c>
      <c r="S19" s="156">
        <v>6</v>
      </c>
      <c r="T19" s="156">
        <v>3</v>
      </c>
      <c r="U19" s="156">
        <v>5</v>
      </c>
      <c r="V19" s="284">
        <v>3</v>
      </c>
      <c r="W19" s="284">
        <v>5</v>
      </c>
      <c r="X19" s="284">
        <v>0</v>
      </c>
      <c r="Y19" s="284">
        <v>0</v>
      </c>
      <c r="Z19" s="284">
        <v>0</v>
      </c>
      <c r="AA19" s="284">
        <v>0</v>
      </c>
      <c r="AB19" s="284">
        <v>3</v>
      </c>
      <c r="AC19" s="284">
        <v>5</v>
      </c>
      <c r="AD19" s="284">
        <v>3</v>
      </c>
      <c r="AE19" s="284">
        <v>5</v>
      </c>
      <c r="AF19" s="300">
        <v>4</v>
      </c>
      <c r="AG19" s="300">
        <v>4</v>
      </c>
      <c r="AH19" s="136">
        <v>0</v>
      </c>
      <c r="AI19" s="307">
        <v>0</v>
      </c>
      <c r="AJ19" s="156">
        <v>3</v>
      </c>
      <c r="AK19" s="299">
        <v>0</v>
      </c>
      <c r="AL19" s="306">
        <v>0</v>
      </c>
      <c r="AM19" s="336">
        <v>0</v>
      </c>
      <c r="AN19" s="136">
        <v>0</v>
      </c>
      <c r="AO19" s="307">
        <v>0</v>
      </c>
      <c r="AP19" s="156">
        <v>4</v>
      </c>
      <c r="AQ19" s="299">
        <v>3</v>
      </c>
      <c r="AR19" s="156">
        <v>6</v>
      </c>
      <c r="AS19" s="299">
        <v>2</v>
      </c>
      <c r="AT19" s="156">
        <v>5</v>
      </c>
      <c r="AU19" s="299">
        <v>3</v>
      </c>
      <c r="AV19" s="338">
        <v>3</v>
      </c>
      <c r="AW19" s="338">
        <v>5</v>
      </c>
      <c r="AX19" s="338">
        <v>3</v>
      </c>
      <c r="AY19" s="338">
        <v>5</v>
      </c>
      <c r="AZ19" s="135">
        <v>0</v>
      </c>
      <c r="BA19" s="135">
        <v>0</v>
      </c>
      <c r="BB19" s="302">
        <v>0</v>
      </c>
      <c r="BC19" s="302">
        <v>0</v>
      </c>
      <c r="BD19" s="284">
        <v>5</v>
      </c>
      <c r="BE19" s="344">
        <v>3</v>
      </c>
      <c r="BF19" s="284">
        <v>3</v>
      </c>
      <c r="BG19" s="344">
        <v>5</v>
      </c>
      <c r="BH19" s="156">
        <v>3</v>
      </c>
      <c r="BI19" s="299">
        <v>5</v>
      </c>
      <c r="BJ19" s="284">
        <v>5</v>
      </c>
      <c r="BK19" s="284">
        <v>3</v>
      </c>
      <c r="BL19" s="284">
        <v>5</v>
      </c>
      <c r="BM19" s="284">
        <v>3</v>
      </c>
    </row>
    <row r="20" spans="1:65 16295:16295" x14ac:dyDescent="0.25">
      <c r="A20" s="67" t="s">
        <v>75</v>
      </c>
      <c r="B20" s="68"/>
      <c r="C20" s="8"/>
      <c r="D20" s="284">
        <v>6</v>
      </c>
      <c r="E20" s="284">
        <v>0</v>
      </c>
      <c r="F20" s="284">
        <v>6</v>
      </c>
      <c r="G20" s="284">
        <v>0</v>
      </c>
      <c r="H20" s="284">
        <v>6</v>
      </c>
      <c r="I20" s="284">
        <v>0</v>
      </c>
      <c r="J20" s="306">
        <v>0</v>
      </c>
      <c r="K20" s="306">
        <v>0</v>
      </c>
      <c r="L20" s="337">
        <v>0</v>
      </c>
      <c r="M20" s="337">
        <v>0</v>
      </c>
      <c r="N20" s="284">
        <v>6</v>
      </c>
      <c r="O20" s="284">
        <v>0</v>
      </c>
      <c r="P20" s="284">
        <v>3</v>
      </c>
      <c r="Q20" s="284">
        <v>0</v>
      </c>
      <c r="R20" s="156">
        <v>6</v>
      </c>
      <c r="S20" s="156">
        <v>0</v>
      </c>
      <c r="T20" s="156">
        <v>6</v>
      </c>
      <c r="U20" s="156">
        <v>0</v>
      </c>
      <c r="V20" s="284">
        <v>6</v>
      </c>
      <c r="W20" s="284">
        <v>0</v>
      </c>
      <c r="X20" s="284">
        <v>0</v>
      </c>
      <c r="Y20" s="284">
        <v>0</v>
      </c>
      <c r="Z20" s="284">
        <v>0</v>
      </c>
      <c r="AA20" s="284">
        <v>0</v>
      </c>
      <c r="AB20" s="284">
        <v>6</v>
      </c>
      <c r="AC20" s="284">
        <v>0</v>
      </c>
      <c r="AD20" s="284">
        <v>6</v>
      </c>
      <c r="AE20" s="284">
        <v>0</v>
      </c>
      <c r="AF20" s="300">
        <v>6</v>
      </c>
      <c r="AG20" s="300">
        <v>0</v>
      </c>
      <c r="AH20" s="136">
        <v>0</v>
      </c>
      <c r="AI20" s="307">
        <v>0</v>
      </c>
      <c r="AJ20" s="156">
        <v>0</v>
      </c>
      <c r="AK20" s="299">
        <v>0</v>
      </c>
      <c r="AL20" s="306">
        <v>0</v>
      </c>
      <c r="AM20" s="336">
        <v>0</v>
      </c>
      <c r="AN20" s="136">
        <v>0</v>
      </c>
      <c r="AO20" s="307">
        <v>0</v>
      </c>
      <c r="AP20" s="156">
        <v>1</v>
      </c>
      <c r="AQ20" s="299">
        <v>1</v>
      </c>
      <c r="AR20" s="156">
        <v>4</v>
      </c>
      <c r="AS20" s="299">
        <v>0</v>
      </c>
      <c r="AT20" s="156">
        <v>6</v>
      </c>
      <c r="AU20" s="299">
        <v>0</v>
      </c>
      <c r="AV20" s="156">
        <v>6</v>
      </c>
      <c r="AW20" s="299">
        <v>0</v>
      </c>
      <c r="AX20" s="156">
        <v>6</v>
      </c>
      <c r="AY20" s="156">
        <v>0</v>
      </c>
      <c r="AZ20" s="342">
        <v>0</v>
      </c>
      <c r="BA20" s="342">
        <v>0</v>
      </c>
      <c r="BB20" s="302">
        <v>0</v>
      </c>
      <c r="BC20" s="302">
        <v>0</v>
      </c>
      <c r="BD20" s="284">
        <v>6</v>
      </c>
      <c r="BE20" s="344">
        <v>0</v>
      </c>
      <c r="BF20" s="284">
        <v>6</v>
      </c>
      <c r="BG20" s="344">
        <v>0</v>
      </c>
      <c r="BH20" s="156">
        <v>6</v>
      </c>
      <c r="BI20" s="299">
        <v>0</v>
      </c>
      <c r="BJ20" s="284">
        <v>5</v>
      </c>
      <c r="BK20" s="284">
        <v>0</v>
      </c>
      <c r="BL20" s="284">
        <v>2</v>
      </c>
      <c r="BM20" s="284">
        <v>1</v>
      </c>
    </row>
    <row r="21" spans="1:65 16295:16295" x14ac:dyDescent="0.25">
      <c r="A21" s="67" t="s">
        <v>76</v>
      </c>
      <c r="B21" s="68"/>
      <c r="C21" s="8"/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306">
        <v>0</v>
      </c>
      <c r="K21" s="306">
        <v>0</v>
      </c>
      <c r="L21" s="337">
        <v>0</v>
      </c>
      <c r="M21" s="337">
        <v>0</v>
      </c>
      <c r="N21" s="284">
        <v>0</v>
      </c>
      <c r="O21" s="284">
        <v>0</v>
      </c>
      <c r="P21" s="284">
        <v>0</v>
      </c>
      <c r="Q21" s="284">
        <v>0</v>
      </c>
      <c r="R21" s="156">
        <v>0</v>
      </c>
      <c r="S21" s="156">
        <v>0</v>
      </c>
      <c r="T21" s="156">
        <v>0</v>
      </c>
      <c r="U21" s="156">
        <v>0</v>
      </c>
      <c r="V21" s="284">
        <v>0</v>
      </c>
      <c r="W21" s="284">
        <v>0</v>
      </c>
      <c r="X21" s="284">
        <v>0</v>
      </c>
      <c r="Y21" s="284">
        <v>0</v>
      </c>
      <c r="Z21" s="284">
        <v>0</v>
      </c>
      <c r="AA21" s="284">
        <v>0</v>
      </c>
      <c r="AB21" s="284">
        <v>0</v>
      </c>
      <c r="AC21" s="284">
        <v>0</v>
      </c>
      <c r="AD21" s="284">
        <v>0</v>
      </c>
      <c r="AE21" s="284">
        <v>0</v>
      </c>
      <c r="AF21" s="300">
        <v>0</v>
      </c>
      <c r="AG21" s="300">
        <v>0</v>
      </c>
      <c r="AH21" s="136">
        <v>0</v>
      </c>
      <c r="AI21" s="307">
        <v>0</v>
      </c>
      <c r="AJ21" s="156">
        <v>0</v>
      </c>
      <c r="AK21" s="299">
        <v>0</v>
      </c>
      <c r="AL21" s="306">
        <v>0</v>
      </c>
      <c r="AM21" s="336">
        <v>0</v>
      </c>
      <c r="AN21" s="136">
        <v>0</v>
      </c>
      <c r="AO21" s="307">
        <v>0</v>
      </c>
      <c r="AP21" s="156">
        <v>0</v>
      </c>
      <c r="AQ21" s="299">
        <v>0</v>
      </c>
      <c r="AR21" s="156">
        <v>0</v>
      </c>
      <c r="AS21" s="299">
        <v>0</v>
      </c>
      <c r="AT21" s="156">
        <v>0</v>
      </c>
      <c r="AU21" s="299">
        <v>0</v>
      </c>
      <c r="AV21" s="156">
        <v>0</v>
      </c>
      <c r="AW21" s="299">
        <v>0</v>
      </c>
      <c r="AX21" s="156">
        <v>0</v>
      </c>
      <c r="AY21" s="156">
        <v>0</v>
      </c>
      <c r="AZ21" s="343">
        <v>0</v>
      </c>
      <c r="BA21" s="343">
        <v>0</v>
      </c>
      <c r="BB21" s="302">
        <v>0</v>
      </c>
      <c r="BC21" s="302">
        <v>0</v>
      </c>
      <c r="BD21" s="284">
        <v>0</v>
      </c>
      <c r="BE21" s="344">
        <v>0</v>
      </c>
      <c r="BF21" s="284">
        <v>0</v>
      </c>
      <c r="BG21" s="344">
        <v>0</v>
      </c>
      <c r="BH21" s="156">
        <v>0</v>
      </c>
      <c r="BI21" s="299">
        <v>0</v>
      </c>
      <c r="BJ21" s="284">
        <v>0</v>
      </c>
      <c r="BK21" s="284">
        <v>0</v>
      </c>
      <c r="BL21" s="284">
        <v>0</v>
      </c>
      <c r="BM21" s="284">
        <v>0</v>
      </c>
    </row>
    <row r="22" spans="1:65 16295:16295" x14ac:dyDescent="0.25">
      <c r="A22" s="67" t="s">
        <v>77</v>
      </c>
      <c r="B22" s="76"/>
      <c r="C22" s="8"/>
      <c r="D22" s="284">
        <v>4</v>
      </c>
      <c r="E22" s="284">
        <v>3</v>
      </c>
      <c r="F22" s="284">
        <v>4</v>
      </c>
      <c r="G22" s="284">
        <v>3</v>
      </c>
      <c r="H22" s="284">
        <v>4</v>
      </c>
      <c r="I22" s="284">
        <v>3</v>
      </c>
      <c r="J22" s="306">
        <v>0</v>
      </c>
      <c r="K22" s="306">
        <v>0</v>
      </c>
      <c r="L22" s="337">
        <v>0</v>
      </c>
      <c r="M22" s="337">
        <v>0</v>
      </c>
      <c r="N22" s="284">
        <v>4</v>
      </c>
      <c r="O22" s="284">
        <v>3</v>
      </c>
      <c r="P22" s="284">
        <v>4</v>
      </c>
      <c r="Q22" s="284">
        <v>3</v>
      </c>
      <c r="R22" s="156">
        <v>5</v>
      </c>
      <c r="S22" s="156">
        <v>2</v>
      </c>
      <c r="T22" s="156">
        <v>5</v>
      </c>
      <c r="U22" s="156">
        <v>2</v>
      </c>
      <c r="V22" s="284">
        <v>5</v>
      </c>
      <c r="W22" s="284">
        <v>2</v>
      </c>
      <c r="X22" s="284">
        <v>0</v>
      </c>
      <c r="Y22" s="284">
        <v>0</v>
      </c>
      <c r="Z22" s="284">
        <v>0</v>
      </c>
      <c r="AA22" s="284">
        <v>0</v>
      </c>
      <c r="AB22" s="284">
        <v>5</v>
      </c>
      <c r="AC22" s="284">
        <v>2</v>
      </c>
      <c r="AD22" s="284">
        <v>5</v>
      </c>
      <c r="AE22" s="284">
        <v>2</v>
      </c>
      <c r="AF22" s="300">
        <v>5</v>
      </c>
      <c r="AG22" s="300">
        <v>2</v>
      </c>
      <c r="AH22" s="136">
        <v>0</v>
      </c>
      <c r="AI22" s="307">
        <v>0</v>
      </c>
      <c r="AJ22" s="156">
        <v>2</v>
      </c>
      <c r="AK22" s="299">
        <v>0</v>
      </c>
      <c r="AL22" s="306">
        <v>0</v>
      </c>
      <c r="AM22" s="336">
        <v>0</v>
      </c>
      <c r="AN22" s="136">
        <v>0</v>
      </c>
      <c r="AO22" s="307">
        <v>0</v>
      </c>
      <c r="AP22" s="156">
        <v>5</v>
      </c>
      <c r="AQ22" s="299">
        <v>2</v>
      </c>
      <c r="AR22" s="156">
        <v>4</v>
      </c>
      <c r="AS22" s="299">
        <v>3</v>
      </c>
      <c r="AT22" s="156">
        <v>5</v>
      </c>
      <c r="AU22" s="299">
        <v>2</v>
      </c>
      <c r="AV22" s="156">
        <v>5</v>
      </c>
      <c r="AW22" s="299">
        <v>2</v>
      </c>
      <c r="AX22" s="156">
        <v>5</v>
      </c>
      <c r="AY22" s="156">
        <v>2</v>
      </c>
      <c r="AZ22" s="343">
        <v>0</v>
      </c>
      <c r="BA22" s="343">
        <v>0</v>
      </c>
      <c r="BB22" s="302">
        <v>0</v>
      </c>
      <c r="BC22" s="302">
        <v>0</v>
      </c>
      <c r="BD22" s="284">
        <v>6</v>
      </c>
      <c r="BE22" s="344">
        <v>1</v>
      </c>
      <c r="BF22" s="284">
        <v>5</v>
      </c>
      <c r="BG22" s="344">
        <v>2</v>
      </c>
      <c r="BH22" s="156">
        <v>5</v>
      </c>
      <c r="BI22" s="299">
        <v>2</v>
      </c>
      <c r="BJ22" s="284">
        <v>5</v>
      </c>
      <c r="BK22" s="284">
        <v>2</v>
      </c>
      <c r="BL22" s="284">
        <v>6</v>
      </c>
      <c r="BM22" s="284">
        <v>1</v>
      </c>
    </row>
    <row r="23" spans="1:65 16295:16295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</row>
    <row r="24" spans="1:65 16295:16295" ht="15.75" thickBot="1" x14ac:dyDescent="0.3">
      <c r="C24" s="8"/>
      <c r="D24" s="137">
        <f>SUM(D3:D22)</f>
        <v>140</v>
      </c>
      <c r="E24" s="137">
        <f>SUM(E3:E22)</f>
        <v>89</v>
      </c>
      <c r="F24" s="137">
        <f>SUM(F3:F22)</f>
        <v>144</v>
      </c>
      <c r="G24" s="137">
        <f>SUM(G3:G22)</f>
        <v>85</v>
      </c>
      <c r="H24" s="137">
        <f>SUM(H3:H22)</f>
        <v>146</v>
      </c>
      <c r="I24" s="137">
        <f>SUM(I3:I22)</f>
        <v>83</v>
      </c>
      <c r="J24" s="173">
        <f>SUM(J3:J22)</f>
        <v>144</v>
      </c>
      <c r="K24" s="173">
        <f>SUM(K3:K22)</f>
        <v>3</v>
      </c>
      <c r="L24" s="63">
        <f>SUM(L3:L22)</f>
        <v>108</v>
      </c>
      <c r="M24" s="63">
        <f>SUM(M3:M22)</f>
        <v>3</v>
      </c>
      <c r="N24" s="137">
        <f>SUM(N3:N22)</f>
        <v>143</v>
      </c>
      <c r="O24" s="137">
        <f>SUM(O3:O22)</f>
        <v>83</v>
      </c>
      <c r="P24" s="137">
        <f>SUM(P3:P22)</f>
        <v>138</v>
      </c>
      <c r="Q24" s="137">
        <f>SUM(Q3:Q22)</f>
        <v>84</v>
      </c>
      <c r="R24" s="137">
        <f>SUM(R3:R22)</f>
        <v>148</v>
      </c>
      <c r="S24" s="137">
        <f>SUM(S3:S22)</f>
        <v>81</v>
      </c>
      <c r="T24" s="137">
        <f>SUM(T3:T22)</f>
        <v>168</v>
      </c>
      <c r="U24" s="137">
        <f>SUM(U3:U22)</f>
        <v>61</v>
      </c>
      <c r="V24" s="137">
        <f>SUM(V3:V22)</f>
        <v>168</v>
      </c>
      <c r="W24" s="137">
        <f>SUM(W3:W22)</f>
        <v>61</v>
      </c>
      <c r="X24" s="137">
        <f>SUM(X3:X22)</f>
        <v>144</v>
      </c>
      <c r="Y24" s="137">
        <f>SUM(Y3:Y22)</f>
        <v>3</v>
      </c>
      <c r="Z24" s="137">
        <f>SUM(Z3:Z22)</f>
        <v>108</v>
      </c>
      <c r="AA24" s="137">
        <f>SUM(AA3:AA22)</f>
        <v>3</v>
      </c>
      <c r="AB24" s="137">
        <f>SUM(AB3:AB22)</f>
        <v>166</v>
      </c>
      <c r="AC24" s="137">
        <f>SUM(AC3:AC22)</f>
        <v>63</v>
      </c>
      <c r="AD24" s="137">
        <f>SUM(AD3:AD22)</f>
        <v>162</v>
      </c>
      <c r="AE24" s="137">
        <f>SUM(AE3:AE22)</f>
        <v>63</v>
      </c>
      <c r="AF24" s="137">
        <f>SUM(AF3:AF22)</f>
        <v>168</v>
      </c>
      <c r="AG24" s="137">
        <f>SUM(AG3:AG22)</f>
        <v>61</v>
      </c>
      <c r="AH24" s="63">
        <f>SUM(AH3:AH22)</f>
        <v>108</v>
      </c>
      <c r="AI24" s="63">
        <f>SUM(AI3:AI22)</f>
        <v>3</v>
      </c>
      <c r="AJ24" s="137">
        <f>SUM(AJ3:AJ22)</f>
        <v>78</v>
      </c>
      <c r="AK24" s="137">
        <f>SUM(AK3:AK22)</f>
        <v>1</v>
      </c>
      <c r="AL24" s="173">
        <f>SUM(AL3:AL22)</f>
        <v>121</v>
      </c>
      <c r="AM24" s="173">
        <f>SUM(AM3:AM22)</f>
        <v>0</v>
      </c>
      <c r="AN24" s="63">
        <f>SUM(AN3:AN22)</f>
        <v>106</v>
      </c>
      <c r="AO24" s="63">
        <f>SUM(AO3:AO22)</f>
        <v>5</v>
      </c>
      <c r="AP24" s="137">
        <f>SUM(AP3:AP22)</f>
        <v>146</v>
      </c>
      <c r="AQ24" s="137">
        <f>SUM(AQ3:AQ22)</f>
        <v>27</v>
      </c>
      <c r="AR24" s="137">
        <f>SUM(AR3:AR22)</f>
        <v>147</v>
      </c>
      <c r="AS24" s="137">
        <f>SUM(AS3:AS22)</f>
        <v>30</v>
      </c>
      <c r="AT24" s="137">
        <f>SUM(AT3:AT22)</f>
        <v>160</v>
      </c>
      <c r="AU24" s="137">
        <f>SUM(AU3:AU22)</f>
        <v>51</v>
      </c>
      <c r="AV24" s="137">
        <f>SUM(AV3:AV22)</f>
        <v>176</v>
      </c>
      <c r="AW24" s="137">
        <f>SUM(AW3:AW22)</f>
        <v>49</v>
      </c>
      <c r="AX24" s="137">
        <f>SUM(AX3:AX22)</f>
        <v>172</v>
      </c>
      <c r="AY24" s="137">
        <f>SUM(AY3:AY22)</f>
        <v>53</v>
      </c>
      <c r="AZ24" s="173">
        <f>SUM(AZ3:AZ22)</f>
        <v>144</v>
      </c>
      <c r="BA24" s="173">
        <f>SUM(BA3:BA22)</f>
        <v>3</v>
      </c>
      <c r="BB24" s="63">
        <f>SUM(BB3:BB22)</f>
        <v>108</v>
      </c>
      <c r="BC24" s="63">
        <f>SUM(BC3:BC22)</f>
        <v>3</v>
      </c>
      <c r="BD24" s="137">
        <f>SUM(BD3:BD22)</f>
        <v>186</v>
      </c>
      <c r="BE24" s="137">
        <f>SUM(BE3:BE22)</f>
        <v>37</v>
      </c>
      <c r="BF24" s="137">
        <f>SUM(BF3:BF22)</f>
        <v>170</v>
      </c>
      <c r="BG24" s="137">
        <f>SUM(BG3:BG22)</f>
        <v>53</v>
      </c>
      <c r="BH24" s="137">
        <f>SUM(BH3:BH22)</f>
        <v>170</v>
      </c>
      <c r="BI24" s="137">
        <f>SUM(BI3:BI22)</f>
        <v>53</v>
      </c>
      <c r="BJ24" s="137">
        <f>SUM(BJ3:BJ22)</f>
        <v>169</v>
      </c>
      <c r="BK24" s="137">
        <f>SUM(BK3:BK22)</f>
        <v>51</v>
      </c>
      <c r="BL24" s="137">
        <f t="shared" ref="BL24:BM24" si="0">SUM(BL3:BL22)</f>
        <v>150</v>
      </c>
      <c r="BM24" s="137">
        <f t="shared" si="0"/>
        <v>38</v>
      </c>
      <c r="XBS24" s="64"/>
    </row>
    <row r="25" spans="1:65 16295:16295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124"/>
      <c r="BK25" s="124"/>
    </row>
    <row r="26" spans="1:65 16295:16295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124"/>
      <c r="BK26" s="124"/>
    </row>
    <row r="27" spans="1:65 16295:16295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5 16295:16295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5 16295:16295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5 16295:16295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</row>
    <row r="31" spans="1:65 16295:16295" x14ac:dyDescent="0.25">
      <c r="A31" t="s">
        <v>79</v>
      </c>
      <c r="C31" s="8"/>
      <c r="D31" s="57">
        <f>D5+D12+D19</f>
        <v>38</v>
      </c>
      <c r="E31" s="57">
        <f>E5+E12+E19</f>
        <v>41</v>
      </c>
      <c r="F31" s="57">
        <f>F5+F12+F19</f>
        <v>39</v>
      </c>
      <c r="G31" s="57">
        <f>G5+G12+G19</f>
        <v>40</v>
      </c>
      <c r="H31" s="57">
        <f>H5+H12+H19</f>
        <v>40</v>
      </c>
      <c r="I31" s="57">
        <f>I5+I12+I19</f>
        <v>39</v>
      </c>
      <c r="J31" s="57">
        <f>J5+J12+J19</f>
        <v>69</v>
      </c>
      <c r="K31" s="57">
        <f>K5+K12+K19</f>
        <v>3</v>
      </c>
      <c r="L31" s="150">
        <f>L5+L12+L19</f>
        <v>51</v>
      </c>
      <c r="M31" s="57">
        <f>M5+M12+M19</f>
        <v>3</v>
      </c>
      <c r="N31" s="275">
        <f>N5+N12+N19</f>
        <v>40</v>
      </c>
      <c r="O31" s="275">
        <f>O5+O12+O19</f>
        <v>39</v>
      </c>
      <c r="P31" s="276">
        <f>P5+P12+P19</f>
        <v>42</v>
      </c>
      <c r="Q31" s="276">
        <f>Q5+Q12+Q19</f>
        <v>40</v>
      </c>
      <c r="R31" s="256">
        <f>R5+R12+R19</f>
        <v>41</v>
      </c>
      <c r="S31" s="256">
        <f>S5+S12+S19</f>
        <v>38</v>
      </c>
      <c r="T31" s="57">
        <f>T5+T12+T19</f>
        <v>49</v>
      </c>
      <c r="U31" s="57">
        <f>U5+U12+U19</f>
        <v>30</v>
      </c>
      <c r="V31" s="264">
        <f>V5+V12+V19</f>
        <v>49</v>
      </c>
      <c r="W31" s="264">
        <f>W5+W12+W19</f>
        <v>30</v>
      </c>
      <c r="X31" s="265">
        <f>X5+X12+X19</f>
        <v>69</v>
      </c>
      <c r="Y31" s="265">
        <f>Y5+Y12+Y19</f>
        <v>3</v>
      </c>
      <c r="Z31" s="266">
        <f>Z5+Z12+Z19</f>
        <v>51</v>
      </c>
      <c r="AA31" s="266">
        <f>AA5+AA12+AA19</f>
        <v>3</v>
      </c>
      <c r="AB31" s="267">
        <f>AB5+AB12+AB19</f>
        <v>48</v>
      </c>
      <c r="AC31" s="267">
        <f>AC5+AC12+AC19</f>
        <v>31</v>
      </c>
      <c r="AD31" s="57">
        <f>AD5+AD12+AD19</f>
        <v>48</v>
      </c>
      <c r="AE31" s="57">
        <f>AE5+AE12+AE19</f>
        <v>32</v>
      </c>
      <c r="AF31" s="57">
        <f>AF5+AF12+AF19</f>
        <v>49</v>
      </c>
      <c r="AG31" s="247">
        <f>AG5+AG12+AG19</f>
        <v>30</v>
      </c>
      <c r="AH31" s="57">
        <f>AH5+AH12+AH19</f>
        <v>51</v>
      </c>
      <c r="AI31" s="57">
        <f>AI5+AI12+AI19</f>
        <v>3</v>
      </c>
      <c r="AJ31" s="260">
        <f>AJ5+AJ12+AJ19</f>
        <v>29</v>
      </c>
      <c r="AK31" s="260">
        <f>AK5+AK12+AK19</f>
        <v>1</v>
      </c>
      <c r="AL31" s="278">
        <f>AL5+AL12+AL19</f>
        <v>59</v>
      </c>
      <c r="AM31" s="278">
        <f>AM5+AM12+AM19</f>
        <v>0</v>
      </c>
      <c r="AN31" s="269">
        <f>AN5+AN12+AN19</f>
        <v>50</v>
      </c>
      <c r="AO31" s="269">
        <f>AO5+AO12+AO19</f>
        <v>4</v>
      </c>
      <c r="AP31" s="278">
        <f>AP5+AP12+AP19</f>
        <v>64</v>
      </c>
      <c r="AQ31" s="278">
        <f>AQ5+AQ12+AQ19</f>
        <v>14</v>
      </c>
      <c r="AR31" s="270">
        <f>AR5+AR12+AR19</f>
        <v>60</v>
      </c>
      <c r="AS31" s="270">
        <f>AS5+AS12+AS19</f>
        <v>15</v>
      </c>
      <c r="AT31" s="271">
        <f>AT5+AT12+AT19</f>
        <v>55</v>
      </c>
      <c r="AU31" s="271">
        <f>AU5+AU12+AU19</f>
        <v>25</v>
      </c>
      <c r="AV31" s="272">
        <f>AV5+AV12+AV19</f>
        <v>55</v>
      </c>
      <c r="AW31" s="272">
        <f>AW5+AW12+AW19</f>
        <v>24</v>
      </c>
      <c r="AX31" s="273">
        <f>AX5+AX12+AX19</f>
        <v>53</v>
      </c>
      <c r="AY31" s="273">
        <f>AY5+AY12+AY19</f>
        <v>26</v>
      </c>
      <c r="AZ31" s="57">
        <f>AZ5+AZ12+AZ19</f>
        <v>69</v>
      </c>
      <c r="BA31" s="249">
        <f>BA5+BA12+BA19</f>
        <v>3</v>
      </c>
      <c r="BB31" s="115">
        <f>BB5+BB12+BB19</f>
        <v>51</v>
      </c>
      <c r="BC31" s="250">
        <f>BC5+BC12+BC19</f>
        <v>3</v>
      </c>
      <c r="BD31" s="261">
        <f>BD5+BD12+BD19</f>
        <v>61</v>
      </c>
      <c r="BE31" s="261">
        <f>BE5+BE12+BE19</f>
        <v>18</v>
      </c>
      <c r="BF31" s="174">
        <f>BF5+BF12+BF19</f>
        <v>53</v>
      </c>
      <c r="BG31" s="174">
        <f>BG5+BG12+BG19</f>
        <v>26</v>
      </c>
      <c r="BH31" s="321">
        <f>BH5+BH12+BH19</f>
        <v>53</v>
      </c>
      <c r="BI31" s="321">
        <f>BI5+BI12+BI19</f>
        <v>26</v>
      </c>
      <c r="BJ31" s="321">
        <f>BJ5+BJ12+BJ19</f>
        <v>54</v>
      </c>
      <c r="BK31" s="321">
        <f>BK5+BK12+BK19</f>
        <v>25</v>
      </c>
      <c r="BL31" s="357">
        <f t="shared" ref="BL31:BM31" si="1">BL5+BL12+BL19</f>
        <v>62</v>
      </c>
      <c r="BM31" s="357">
        <f t="shared" si="1"/>
        <v>16</v>
      </c>
    </row>
    <row r="32" spans="1:65 16295:16295" x14ac:dyDescent="0.25">
      <c r="A32" t="s">
        <v>80</v>
      </c>
      <c r="C32" s="8"/>
      <c r="D32" s="57">
        <f>D8+D15+D22</f>
        <v>36</v>
      </c>
      <c r="E32" s="57">
        <f>E8+E15+E22</f>
        <v>42</v>
      </c>
      <c r="F32" s="57">
        <f>F8+F15+F22</f>
        <v>37</v>
      </c>
      <c r="G32" s="57">
        <f>G8+G15+G22</f>
        <v>41</v>
      </c>
      <c r="H32" s="57">
        <f>H8+H15+H22</f>
        <v>38</v>
      </c>
      <c r="I32" s="57">
        <f>I8+I15+I22</f>
        <v>40</v>
      </c>
      <c r="J32" s="57">
        <f>J8+J15+J22</f>
        <v>75</v>
      </c>
      <c r="K32" s="57">
        <f>K8+K15+K22</f>
        <v>0</v>
      </c>
      <c r="L32" s="150">
        <f>L8+L15+L22</f>
        <v>57</v>
      </c>
      <c r="M32" s="57">
        <f>M8+M15+M22</f>
        <v>0</v>
      </c>
      <c r="N32" s="275">
        <f>N8+N15+N22</f>
        <v>38</v>
      </c>
      <c r="O32" s="275">
        <f>O8+O15+O22</f>
        <v>40</v>
      </c>
      <c r="P32" s="276">
        <f>P8+P15+P22</f>
        <v>38</v>
      </c>
      <c r="Q32" s="276">
        <f>Q8+Q15+Q22</f>
        <v>40</v>
      </c>
      <c r="R32" s="256">
        <f>R8+R15+R22</f>
        <v>39</v>
      </c>
      <c r="S32" s="256">
        <f>S8+S15+S22</f>
        <v>39</v>
      </c>
      <c r="T32" s="57">
        <f>T8+T15+T22</f>
        <v>47</v>
      </c>
      <c r="U32" s="57">
        <f>U8+U15+U22</f>
        <v>31</v>
      </c>
      <c r="V32" s="264">
        <f>V8+V15+V22</f>
        <v>47</v>
      </c>
      <c r="W32" s="264">
        <f>W8+W15+W22</f>
        <v>31</v>
      </c>
      <c r="X32" s="265">
        <f>X8+X15+X22</f>
        <v>75</v>
      </c>
      <c r="Y32" s="265">
        <f>Y8+Y15+Y22</f>
        <v>0</v>
      </c>
      <c r="Z32" s="266">
        <f>Z8+Z15+Z22</f>
        <v>57</v>
      </c>
      <c r="AA32" s="266">
        <f>AA8+AA15+AA22</f>
        <v>0</v>
      </c>
      <c r="AB32" s="267">
        <f>AB8+AB15+AB22</f>
        <v>46</v>
      </c>
      <c r="AC32" s="267">
        <f>AC8+AC15+AC22</f>
        <v>32</v>
      </c>
      <c r="AD32" s="57">
        <f>AD8+AD15+AD22</f>
        <v>47</v>
      </c>
      <c r="AE32" s="246">
        <f>AE8+AE15+AE22</f>
        <v>31</v>
      </c>
      <c r="AF32" s="247">
        <f>AF8+AF15+AF22</f>
        <v>47</v>
      </c>
      <c r="AG32" s="247">
        <f>AG8+AG15+AG22</f>
        <v>31</v>
      </c>
      <c r="AH32" s="57">
        <f>AH8+AH15+AH22</f>
        <v>57</v>
      </c>
      <c r="AI32" s="57">
        <f>AI8+AI15+AI22</f>
        <v>0</v>
      </c>
      <c r="AJ32" s="260">
        <f>AJ8+AJ15+AJ22</f>
        <v>28</v>
      </c>
      <c r="AK32" s="260">
        <f>AK8+AK15+AK22</f>
        <v>0</v>
      </c>
      <c r="AL32" s="278">
        <f>AL8+AL15+AL22</f>
        <v>62</v>
      </c>
      <c r="AM32" s="278">
        <f>AM8+AM15+AM22</f>
        <v>0</v>
      </c>
      <c r="AN32" s="269">
        <f>AN8+AN15+AN22</f>
        <v>56</v>
      </c>
      <c r="AO32" s="269">
        <f>AO8+AO15+AO22</f>
        <v>1</v>
      </c>
      <c r="AP32" s="278">
        <f>AP8+AP15+AP22</f>
        <v>66</v>
      </c>
      <c r="AQ32" s="278">
        <f>AQ8+AQ15+AQ22</f>
        <v>12</v>
      </c>
      <c r="AR32" s="270">
        <f>AR8+AR15+AR22</f>
        <v>60</v>
      </c>
      <c r="AS32" s="270">
        <f>AS8+AS15+AS22</f>
        <v>13</v>
      </c>
      <c r="AT32" s="271">
        <f>AT8+AT15+AT22</f>
        <v>52</v>
      </c>
      <c r="AU32" s="271">
        <f>AU8+AU15+AU22</f>
        <v>26</v>
      </c>
      <c r="AV32" s="272">
        <f>AV8+AV15+AV22</f>
        <v>53</v>
      </c>
      <c r="AW32" s="272">
        <f>AW8+AW15+AW22</f>
        <v>25</v>
      </c>
      <c r="AX32" s="273">
        <f>AX8+AX15+AX22</f>
        <v>51</v>
      </c>
      <c r="AY32" s="273">
        <f>AY8+AY15+AY22</f>
        <v>27</v>
      </c>
      <c r="AZ32" s="249">
        <f>AZ8+AZ15+AZ22</f>
        <v>75</v>
      </c>
      <c r="BA32" s="249">
        <f>BA8+BA15+BA22</f>
        <v>0</v>
      </c>
      <c r="BB32" s="250">
        <f>BB8+BB15+BB22</f>
        <v>57</v>
      </c>
      <c r="BC32" s="250">
        <f>BC8+BC15+BC22</f>
        <v>0</v>
      </c>
      <c r="BD32" s="261">
        <f>BD8+BD15+BD22</f>
        <v>59</v>
      </c>
      <c r="BE32" s="261">
        <f>BE8+BE15+BE22</f>
        <v>19</v>
      </c>
      <c r="BF32" s="174">
        <f>BF8+BF15+BF22</f>
        <v>51</v>
      </c>
      <c r="BG32" s="174">
        <f>BG8+BG15+BG22</f>
        <v>27</v>
      </c>
      <c r="BH32" s="321">
        <f>BH8+BH15+BH22</f>
        <v>51</v>
      </c>
      <c r="BI32" s="321">
        <f>BI8+BI15+BI22</f>
        <v>27</v>
      </c>
      <c r="BJ32" s="321">
        <f>BJ8+BJ15+BJ22</f>
        <v>53</v>
      </c>
      <c r="BK32" s="321">
        <f>BK8+BK15+BK22</f>
        <v>25</v>
      </c>
      <c r="BL32" s="357">
        <f t="shared" ref="BL32:BM32" si="2">BL8+BL15+BL22</f>
        <v>60</v>
      </c>
      <c r="BM32" s="357">
        <f t="shared" si="2"/>
        <v>19</v>
      </c>
    </row>
    <row r="33" spans="1:65" x14ac:dyDescent="0.25">
      <c r="A33" t="s">
        <v>81</v>
      </c>
      <c r="C33" s="8"/>
      <c r="D33" s="57">
        <f t="shared" ref="D33:AI33" si="3">D3+D10+D17</f>
        <v>33</v>
      </c>
      <c r="E33" s="57">
        <f t="shared" si="3"/>
        <v>3</v>
      </c>
      <c r="F33" s="57">
        <f t="shared" si="3"/>
        <v>34</v>
      </c>
      <c r="G33" s="57">
        <f t="shared" si="3"/>
        <v>2</v>
      </c>
      <c r="H33" s="57">
        <f t="shared" si="3"/>
        <v>34</v>
      </c>
      <c r="I33" s="57">
        <f t="shared" si="3"/>
        <v>2</v>
      </c>
      <c r="J33" s="57">
        <f t="shared" si="3"/>
        <v>0</v>
      </c>
      <c r="K33" s="57">
        <f t="shared" si="3"/>
        <v>0</v>
      </c>
      <c r="L33" s="150">
        <f t="shared" si="3"/>
        <v>0</v>
      </c>
      <c r="M33" s="57">
        <f t="shared" si="3"/>
        <v>0</v>
      </c>
      <c r="N33" s="275">
        <f t="shared" si="3"/>
        <v>32</v>
      </c>
      <c r="O33" s="275">
        <f t="shared" si="3"/>
        <v>2</v>
      </c>
      <c r="P33" s="276">
        <f t="shared" si="3"/>
        <v>27</v>
      </c>
      <c r="Q33" s="276">
        <f t="shared" si="3"/>
        <v>2</v>
      </c>
      <c r="R33" s="256">
        <f t="shared" si="3"/>
        <v>34</v>
      </c>
      <c r="S33" s="256">
        <f t="shared" si="3"/>
        <v>2</v>
      </c>
      <c r="T33" s="57">
        <f t="shared" si="3"/>
        <v>36</v>
      </c>
      <c r="U33" s="57">
        <f t="shared" si="3"/>
        <v>0</v>
      </c>
      <c r="V33" s="264">
        <f t="shared" si="3"/>
        <v>36</v>
      </c>
      <c r="W33" s="264">
        <f t="shared" si="3"/>
        <v>0</v>
      </c>
      <c r="X33" s="265">
        <f t="shared" si="3"/>
        <v>0</v>
      </c>
      <c r="Y33" s="265">
        <f t="shared" si="3"/>
        <v>0</v>
      </c>
      <c r="Z33" s="266">
        <f t="shared" si="3"/>
        <v>0</v>
      </c>
      <c r="AA33" s="266">
        <f t="shared" si="3"/>
        <v>0</v>
      </c>
      <c r="AB33" s="267">
        <f t="shared" si="3"/>
        <v>36</v>
      </c>
      <c r="AC33" s="267">
        <f t="shared" si="3"/>
        <v>0</v>
      </c>
      <c r="AD33" s="57">
        <f t="shared" si="3"/>
        <v>32</v>
      </c>
      <c r="AE33" s="246">
        <f t="shared" si="3"/>
        <v>0</v>
      </c>
      <c r="AF33" s="57">
        <f t="shared" si="3"/>
        <v>36</v>
      </c>
      <c r="AG33" s="247">
        <f t="shared" si="3"/>
        <v>0</v>
      </c>
      <c r="AH33" s="57">
        <f t="shared" si="3"/>
        <v>0</v>
      </c>
      <c r="AI33" s="57">
        <f t="shared" si="3"/>
        <v>0</v>
      </c>
      <c r="AJ33" s="260">
        <f t="shared" ref="AJ33:BK33" si="4">AJ3+AJ10+AJ17</f>
        <v>9</v>
      </c>
      <c r="AK33" s="260">
        <f t="shared" si="4"/>
        <v>0</v>
      </c>
      <c r="AL33" s="278">
        <f t="shared" si="4"/>
        <v>0</v>
      </c>
      <c r="AM33" s="278">
        <f t="shared" si="4"/>
        <v>0</v>
      </c>
      <c r="AN33" s="269">
        <f t="shared" si="4"/>
        <v>0</v>
      </c>
      <c r="AO33" s="269">
        <f t="shared" si="4"/>
        <v>0</v>
      </c>
      <c r="AP33" s="278">
        <f t="shared" si="4"/>
        <v>8</v>
      </c>
      <c r="AQ33" s="278">
        <f t="shared" si="4"/>
        <v>0</v>
      </c>
      <c r="AR33" s="270">
        <f t="shared" si="4"/>
        <v>12</v>
      </c>
      <c r="AS33" s="270">
        <f t="shared" si="4"/>
        <v>1</v>
      </c>
      <c r="AT33" s="271">
        <f t="shared" si="4"/>
        <v>26</v>
      </c>
      <c r="AU33" s="271">
        <f t="shared" si="4"/>
        <v>0</v>
      </c>
      <c r="AV33" s="272">
        <f t="shared" si="4"/>
        <v>34</v>
      </c>
      <c r="AW33" s="272">
        <f t="shared" si="4"/>
        <v>0</v>
      </c>
      <c r="AX33" s="273">
        <f t="shared" si="4"/>
        <v>34</v>
      </c>
      <c r="AY33" s="273">
        <f t="shared" si="4"/>
        <v>0</v>
      </c>
      <c r="AZ33" s="57">
        <f t="shared" si="4"/>
        <v>0</v>
      </c>
      <c r="BA33" s="249">
        <f t="shared" si="4"/>
        <v>0</v>
      </c>
      <c r="BB33" s="250">
        <f t="shared" si="4"/>
        <v>0</v>
      </c>
      <c r="BC33" s="250">
        <f t="shared" si="4"/>
        <v>0</v>
      </c>
      <c r="BD33" s="261">
        <f t="shared" si="4"/>
        <v>33</v>
      </c>
      <c r="BE33" s="261">
        <f t="shared" si="4"/>
        <v>0</v>
      </c>
      <c r="BF33" s="251">
        <f t="shared" si="4"/>
        <v>33</v>
      </c>
      <c r="BG33" s="174">
        <f t="shared" si="4"/>
        <v>0</v>
      </c>
      <c r="BH33" s="321">
        <f t="shared" si="4"/>
        <v>33</v>
      </c>
      <c r="BI33" s="321">
        <f t="shared" si="4"/>
        <v>0</v>
      </c>
      <c r="BJ33" s="321">
        <f t="shared" si="4"/>
        <v>30</v>
      </c>
      <c r="BK33" s="321">
        <f t="shared" si="4"/>
        <v>1</v>
      </c>
      <c r="BL33" s="357">
        <f t="shared" ref="BL33:BM33" si="5">BL3+BL10+BL17</f>
        <v>12</v>
      </c>
      <c r="BM33" s="357">
        <f t="shared" si="5"/>
        <v>2</v>
      </c>
    </row>
    <row r="34" spans="1:65" x14ac:dyDescent="0.25">
      <c r="A34" t="s">
        <v>82</v>
      </c>
      <c r="C34" s="8"/>
      <c r="D34" s="57">
        <f t="shared" ref="D34:AI34" si="6">D6+D13+D20</f>
        <v>29</v>
      </c>
      <c r="E34" s="57">
        <f t="shared" si="6"/>
        <v>3</v>
      </c>
      <c r="F34" s="57">
        <f t="shared" si="6"/>
        <v>30</v>
      </c>
      <c r="G34" s="57">
        <f t="shared" si="6"/>
        <v>2</v>
      </c>
      <c r="H34" s="57">
        <f t="shared" si="6"/>
        <v>30</v>
      </c>
      <c r="I34" s="57">
        <f t="shared" si="6"/>
        <v>2</v>
      </c>
      <c r="J34" s="57">
        <f t="shared" si="6"/>
        <v>0</v>
      </c>
      <c r="K34" s="57">
        <f t="shared" si="6"/>
        <v>0</v>
      </c>
      <c r="L34" s="150">
        <f t="shared" si="6"/>
        <v>0</v>
      </c>
      <c r="M34" s="57">
        <f t="shared" si="6"/>
        <v>0</v>
      </c>
      <c r="N34" s="275">
        <f t="shared" si="6"/>
        <v>29</v>
      </c>
      <c r="O34" s="275">
        <f t="shared" si="6"/>
        <v>2</v>
      </c>
      <c r="P34" s="276">
        <f t="shared" si="6"/>
        <v>27</v>
      </c>
      <c r="Q34" s="276">
        <f t="shared" si="6"/>
        <v>2</v>
      </c>
      <c r="R34" s="256">
        <f t="shared" si="6"/>
        <v>30</v>
      </c>
      <c r="S34" s="256">
        <f t="shared" si="6"/>
        <v>2</v>
      </c>
      <c r="T34" s="57">
        <f t="shared" si="6"/>
        <v>32</v>
      </c>
      <c r="U34" s="57">
        <f t="shared" si="6"/>
        <v>0</v>
      </c>
      <c r="V34" s="264">
        <f t="shared" si="6"/>
        <v>32</v>
      </c>
      <c r="W34" s="264">
        <f t="shared" si="6"/>
        <v>0</v>
      </c>
      <c r="X34" s="265">
        <f t="shared" si="6"/>
        <v>0</v>
      </c>
      <c r="Y34" s="265">
        <f t="shared" si="6"/>
        <v>0</v>
      </c>
      <c r="Z34" s="266">
        <f t="shared" si="6"/>
        <v>0</v>
      </c>
      <c r="AA34" s="266">
        <f t="shared" si="6"/>
        <v>0</v>
      </c>
      <c r="AB34" s="267">
        <f t="shared" si="6"/>
        <v>32</v>
      </c>
      <c r="AC34" s="267">
        <f t="shared" si="6"/>
        <v>0</v>
      </c>
      <c r="AD34" s="57">
        <f t="shared" si="6"/>
        <v>30</v>
      </c>
      <c r="AE34" s="246">
        <f t="shared" si="6"/>
        <v>0</v>
      </c>
      <c r="AF34" s="57">
        <f t="shared" si="6"/>
        <v>32</v>
      </c>
      <c r="AG34" s="247">
        <f t="shared" si="6"/>
        <v>0</v>
      </c>
      <c r="AH34" s="57">
        <f t="shared" si="6"/>
        <v>0</v>
      </c>
      <c r="AI34" s="57">
        <f t="shared" si="6"/>
        <v>0</v>
      </c>
      <c r="AJ34" s="260">
        <f t="shared" ref="AJ34:BK34" si="7">AJ6+AJ13+AJ20</f>
        <v>11</v>
      </c>
      <c r="AK34" s="260">
        <f t="shared" si="7"/>
        <v>0</v>
      </c>
      <c r="AL34" s="278">
        <f t="shared" si="7"/>
        <v>0</v>
      </c>
      <c r="AM34" s="278">
        <f t="shared" si="7"/>
        <v>0</v>
      </c>
      <c r="AN34" s="269">
        <f t="shared" si="7"/>
        <v>0</v>
      </c>
      <c r="AO34" s="269">
        <f t="shared" si="7"/>
        <v>0</v>
      </c>
      <c r="AP34" s="278">
        <f t="shared" si="7"/>
        <v>7</v>
      </c>
      <c r="AQ34" s="278">
        <f t="shared" si="7"/>
        <v>1</v>
      </c>
      <c r="AR34" s="270">
        <f t="shared" si="7"/>
        <v>14</v>
      </c>
      <c r="AS34" s="270">
        <f t="shared" si="7"/>
        <v>1</v>
      </c>
      <c r="AT34" s="271">
        <f t="shared" si="7"/>
        <v>26</v>
      </c>
      <c r="AU34" s="271">
        <f t="shared" si="7"/>
        <v>0</v>
      </c>
      <c r="AV34" s="272">
        <f t="shared" si="7"/>
        <v>32</v>
      </c>
      <c r="AW34" s="272">
        <f t="shared" si="7"/>
        <v>0</v>
      </c>
      <c r="AX34" s="273">
        <f t="shared" si="7"/>
        <v>32</v>
      </c>
      <c r="AY34" s="273">
        <f t="shared" si="7"/>
        <v>0</v>
      </c>
      <c r="AZ34" s="57">
        <f t="shared" si="7"/>
        <v>0</v>
      </c>
      <c r="BA34" s="249">
        <f t="shared" si="7"/>
        <v>0</v>
      </c>
      <c r="BB34" s="115">
        <f t="shared" si="7"/>
        <v>0</v>
      </c>
      <c r="BC34" s="250">
        <f t="shared" si="7"/>
        <v>0</v>
      </c>
      <c r="BD34" s="261">
        <f t="shared" si="7"/>
        <v>31</v>
      </c>
      <c r="BE34" s="261">
        <f t="shared" si="7"/>
        <v>0</v>
      </c>
      <c r="BF34" s="174">
        <f t="shared" si="7"/>
        <v>32</v>
      </c>
      <c r="BG34" s="174">
        <f t="shared" si="7"/>
        <v>0</v>
      </c>
      <c r="BH34" s="321">
        <f t="shared" si="7"/>
        <v>32</v>
      </c>
      <c r="BI34" s="321">
        <f t="shared" si="7"/>
        <v>0</v>
      </c>
      <c r="BJ34" s="321">
        <f t="shared" si="7"/>
        <v>30</v>
      </c>
      <c r="BK34" s="321">
        <f t="shared" si="7"/>
        <v>0</v>
      </c>
      <c r="BL34" s="357">
        <f t="shared" ref="BL34:BM34" si="8">BL6+BL13+BL20</f>
        <v>15</v>
      </c>
      <c r="BM34" s="357">
        <f t="shared" si="8"/>
        <v>1</v>
      </c>
    </row>
    <row r="35" spans="1:65" s="124" customFormat="1" x14ac:dyDescent="0.25">
      <c r="A35" s="124" t="s">
        <v>122</v>
      </c>
      <c r="C35" s="8"/>
      <c r="D35" s="154">
        <f t="shared" ref="D35:AI35" si="9">D4+D11+D18</f>
        <v>0</v>
      </c>
      <c r="E35" s="154">
        <f t="shared" si="9"/>
        <v>0</v>
      </c>
      <c r="F35" s="154">
        <f t="shared" si="9"/>
        <v>0</v>
      </c>
      <c r="G35" s="154">
        <f t="shared" si="9"/>
        <v>0</v>
      </c>
      <c r="H35" s="154">
        <f t="shared" si="9"/>
        <v>0</v>
      </c>
      <c r="I35" s="154">
        <f t="shared" si="9"/>
        <v>0</v>
      </c>
      <c r="J35" s="154">
        <f t="shared" si="9"/>
        <v>0</v>
      </c>
      <c r="K35" s="154">
        <f t="shared" si="9"/>
        <v>0</v>
      </c>
      <c r="L35" s="154">
        <f t="shared" si="9"/>
        <v>0</v>
      </c>
      <c r="M35" s="154">
        <f t="shared" si="9"/>
        <v>0</v>
      </c>
      <c r="N35" s="275">
        <f t="shared" si="9"/>
        <v>0</v>
      </c>
      <c r="O35" s="275">
        <f t="shared" si="9"/>
        <v>0</v>
      </c>
      <c r="P35" s="276">
        <f t="shared" si="9"/>
        <v>0</v>
      </c>
      <c r="Q35" s="276">
        <f t="shared" si="9"/>
        <v>0</v>
      </c>
      <c r="R35" s="256">
        <f t="shared" si="9"/>
        <v>0</v>
      </c>
      <c r="S35" s="256">
        <f t="shared" si="9"/>
        <v>0</v>
      </c>
      <c r="T35" s="154">
        <f t="shared" si="9"/>
        <v>0</v>
      </c>
      <c r="U35" s="154">
        <f t="shared" si="9"/>
        <v>0</v>
      </c>
      <c r="V35" s="264">
        <f t="shared" si="9"/>
        <v>0</v>
      </c>
      <c r="W35" s="264">
        <f t="shared" si="9"/>
        <v>0</v>
      </c>
      <c r="X35" s="265">
        <f t="shared" si="9"/>
        <v>0</v>
      </c>
      <c r="Y35" s="265">
        <f t="shared" si="9"/>
        <v>0</v>
      </c>
      <c r="Z35" s="266">
        <f t="shared" si="9"/>
        <v>0</v>
      </c>
      <c r="AA35" s="266">
        <f t="shared" si="9"/>
        <v>0</v>
      </c>
      <c r="AB35" s="267">
        <f t="shared" si="9"/>
        <v>0</v>
      </c>
      <c r="AC35" s="267">
        <f t="shared" si="9"/>
        <v>0</v>
      </c>
      <c r="AD35" s="154">
        <f t="shared" si="9"/>
        <v>0</v>
      </c>
      <c r="AE35" s="246">
        <f t="shared" si="9"/>
        <v>0</v>
      </c>
      <c r="AF35" s="154">
        <f t="shared" si="9"/>
        <v>0</v>
      </c>
      <c r="AG35" s="247">
        <f t="shared" si="9"/>
        <v>0</v>
      </c>
      <c r="AH35" s="154">
        <f t="shared" si="9"/>
        <v>0</v>
      </c>
      <c r="AI35" s="154">
        <f t="shared" si="9"/>
        <v>0</v>
      </c>
      <c r="AJ35" s="260">
        <f t="shared" ref="AJ35:BK35" si="10">AJ4+AJ11+AJ18</f>
        <v>0</v>
      </c>
      <c r="AK35" s="260">
        <f t="shared" si="10"/>
        <v>0</v>
      </c>
      <c r="AL35" s="278">
        <f t="shared" si="10"/>
        <v>0</v>
      </c>
      <c r="AM35" s="278">
        <f t="shared" si="10"/>
        <v>0</v>
      </c>
      <c r="AN35" s="269">
        <f t="shared" si="10"/>
        <v>0</v>
      </c>
      <c r="AO35" s="269">
        <f t="shared" si="10"/>
        <v>0</v>
      </c>
      <c r="AP35" s="278">
        <f t="shared" si="10"/>
        <v>0</v>
      </c>
      <c r="AQ35" s="278">
        <f t="shared" si="10"/>
        <v>0</v>
      </c>
      <c r="AR35" s="270">
        <f t="shared" si="10"/>
        <v>0</v>
      </c>
      <c r="AS35" s="270">
        <f t="shared" si="10"/>
        <v>0</v>
      </c>
      <c r="AT35" s="271">
        <f t="shared" si="10"/>
        <v>0</v>
      </c>
      <c r="AU35" s="271">
        <f t="shared" si="10"/>
        <v>0</v>
      </c>
      <c r="AV35" s="272">
        <f t="shared" si="10"/>
        <v>0</v>
      </c>
      <c r="AW35" s="272">
        <f t="shared" si="10"/>
        <v>0</v>
      </c>
      <c r="AX35" s="273">
        <f t="shared" si="10"/>
        <v>0</v>
      </c>
      <c r="AY35" s="273">
        <f t="shared" si="10"/>
        <v>0</v>
      </c>
      <c r="AZ35" s="154">
        <f t="shared" si="10"/>
        <v>0</v>
      </c>
      <c r="BA35" s="249">
        <f t="shared" si="10"/>
        <v>0</v>
      </c>
      <c r="BB35" s="154">
        <f t="shared" si="10"/>
        <v>0</v>
      </c>
      <c r="BC35" s="250">
        <f t="shared" si="10"/>
        <v>0</v>
      </c>
      <c r="BD35" s="261">
        <f t="shared" si="10"/>
        <v>0</v>
      </c>
      <c r="BE35" s="261">
        <f t="shared" si="10"/>
        <v>0</v>
      </c>
      <c r="BF35" s="174">
        <f t="shared" si="10"/>
        <v>0</v>
      </c>
      <c r="BG35" s="174">
        <f t="shared" si="10"/>
        <v>0</v>
      </c>
      <c r="BH35" s="321">
        <f t="shared" si="10"/>
        <v>0</v>
      </c>
      <c r="BI35" s="321">
        <f t="shared" si="10"/>
        <v>0</v>
      </c>
      <c r="BJ35" s="321">
        <f t="shared" si="10"/>
        <v>0</v>
      </c>
      <c r="BK35" s="321">
        <f t="shared" si="10"/>
        <v>0</v>
      </c>
      <c r="BL35" s="357">
        <f t="shared" ref="BL35:BM35" si="11">BL4+BL11+BL18</f>
        <v>0</v>
      </c>
      <c r="BM35" s="357">
        <f t="shared" si="11"/>
        <v>0</v>
      </c>
    </row>
    <row r="36" spans="1:65" x14ac:dyDescent="0.25">
      <c r="A36" t="s">
        <v>35</v>
      </c>
      <c r="C36" s="8"/>
      <c r="D36" s="57">
        <f t="shared" ref="D36:AI36" si="12">D7+D14+D21</f>
        <v>4</v>
      </c>
      <c r="E36" s="57">
        <f t="shared" si="12"/>
        <v>0</v>
      </c>
      <c r="F36" s="57">
        <f t="shared" si="12"/>
        <v>4</v>
      </c>
      <c r="G36" s="57">
        <f t="shared" si="12"/>
        <v>0</v>
      </c>
      <c r="H36" s="57">
        <f t="shared" si="12"/>
        <v>4</v>
      </c>
      <c r="I36" s="57">
        <f t="shared" si="12"/>
        <v>0</v>
      </c>
      <c r="J36" s="57">
        <f t="shared" si="12"/>
        <v>0</v>
      </c>
      <c r="K36" s="57">
        <f t="shared" si="12"/>
        <v>0</v>
      </c>
      <c r="L36" s="150">
        <f t="shared" si="12"/>
        <v>0</v>
      </c>
      <c r="M36" s="57">
        <f t="shared" si="12"/>
        <v>0</v>
      </c>
      <c r="N36" s="275">
        <f t="shared" si="12"/>
        <v>4</v>
      </c>
      <c r="O36" s="275">
        <f t="shared" si="12"/>
        <v>0</v>
      </c>
      <c r="P36" s="276">
        <f t="shared" si="12"/>
        <v>4</v>
      </c>
      <c r="Q36" s="276">
        <f t="shared" si="12"/>
        <v>0</v>
      </c>
      <c r="R36" s="256">
        <f t="shared" si="12"/>
        <v>4</v>
      </c>
      <c r="S36" s="256">
        <f t="shared" si="12"/>
        <v>0</v>
      </c>
      <c r="T36" s="57">
        <f t="shared" si="12"/>
        <v>4</v>
      </c>
      <c r="U36" s="57">
        <f t="shared" si="12"/>
        <v>0</v>
      </c>
      <c r="V36" s="264">
        <f t="shared" si="12"/>
        <v>4</v>
      </c>
      <c r="W36" s="264">
        <f t="shared" si="12"/>
        <v>0</v>
      </c>
      <c r="X36" s="265">
        <f t="shared" si="12"/>
        <v>0</v>
      </c>
      <c r="Y36" s="265">
        <f t="shared" si="12"/>
        <v>0</v>
      </c>
      <c r="Z36" s="266">
        <f t="shared" si="12"/>
        <v>0</v>
      </c>
      <c r="AA36" s="266">
        <f t="shared" si="12"/>
        <v>0</v>
      </c>
      <c r="AB36" s="267">
        <f t="shared" si="12"/>
        <v>4</v>
      </c>
      <c r="AC36" s="267">
        <f t="shared" si="12"/>
        <v>0</v>
      </c>
      <c r="AD36" s="57">
        <f t="shared" si="12"/>
        <v>5</v>
      </c>
      <c r="AE36" s="246">
        <f t="shared" si="12"/>
        <v>0</v>
      </c>
      <c r="AF36" s="247">
        <f t="shared" si="12"/>
        <v>4</v>
      </c>
      <c r="AG36" s="247">
        <f t="shared" si="12"/>
        <v>0</v>
      </c>
      <c r="AH36" s="57">
        <f t="shared" si="12"/>
        <v>0</v>
      </c>
      <c r="AI36" s="57">
        <f t="shared" si="12"/>
        <v>0</v>
      </c>
      <c r="AJ36" s="260">
        <f t="shared" ref="AJ36:BK36" si="13">AJ7+AJ14+AJ21</f>
        <v>1</v>
      </c>
      <c r="AK36" s="260">
        <f t="shared" si="13"/>
        <v>0</v>
      </c>
      <c r="AL36" s="278">
        <f t="shared" si="13"/>
        <v>0</v>
      </c>
      <c r="AM36" s="278">
        <f t="shared" si="13"/>
        <v>0</v>
      </c>
      <c r="AN36" s="269">
        <f t="shared" si="13"/>
        <v>0</v>
      </c>
      <c r="AO36" s="269">
        <f t="shared" si="13"/>
        <v>0</v>
      </c>
      <c r="AP36" s="278">
        <f t="shared" si="13"/>
        <v>1</v>
      </c>
      <c r="AQ36" s="278">
        <f t="shared" si="13"/>
        <v>0</v>
      </c>
      <c r="AR36" s="270">
        <f t="shared" si="13"/>
        <v>1</v>
      </c>
      <c r="AS36" s="270">
        <f t="shared" si="13"/>
        <v>0</v>
      </c>
      <c r="AT36" s="271">
        <f t="shared" si="13"/>
        <v>1</v>
      </c>
      <c r="AU36" s="271">
        <f t="shared" si="13"/>
        <v>0</v>
      </c>
      <c r="AV36" s="272">
        <f t="shared" si="13"/>
        <v>2</v>
      </c>
      <c r="AW36" s="272">
        <f t="shared" si="13"/>
        <v>0</v>
      </c>
      <c r="AX36" s="273">
        <f t="shared" si="13"/>
        <v>2</v>
      </c>
      <c r="AY36" s="273">
        <f t="shared" si="13"/>
        <v>0</v>
      </c>
      <c r="AZ36" s="249">
        <f t="shared" si="13"/>
        <v>0</v>
      </c>
      <c r="BA36" s="249">
        <f t="shared" si="13"/>
        <v>0</v>
      </c>
      <c r="BB36" s="250">
        <f t="shared" si="13"/>
        <v>0</v>
      </c>
      <c r="BC36" s="250">
        <f t="shared" si="13"/>
        <v>0</v>
      </c>
      <c r="BD36" s="261">
        <f t="shared" si="13"/>
        <v>2</v>
      </c>
      <c r="BE36" s="261">
        <f t="shared" si="13"/>
        <v>0</v>
      </c>
      <c r="BF36" s="174">
        <f t="shared" si="13"/>
        <v>1</v>
      </c>
      <c r="BG36" s="174">
        <f t="shared" si="13"/>
        <v>0</v>
      </c>
      <c r="BH36" s="321">
        <f t="shared" si="13"/>
        <v>1</v>
      </c>
      <c r="BI36" s="321">
        <f t="shared" si="13"/>
        <v>0</v>
      </c>
      <c r="BJ36" s="321">
        <f t="shared" si="13"/>
        <v>2</v>
      </c>
      <c r="BK36" s="321">
        <f t="shared" si="13"/>
        <v>0</v>
      </c>
      <c r="BL36" s="357">
        <f t="shared" ref="BL36:BM36" si="14">BL7+BL14+BL21</f>
        <v>1</v>
      </c>
      <c r="BM36" s="357">
        <f t="shared" si="14"/>
        <v>0</v>
      </c>
    </row>
    <row r="37" spans="1:65" x14ac:dyDescent="0.25">
      <c r="A37" s="386" t="s">
        <v>83</v>
      </c>
      <c r="B37" s="386"/>
      <c r="C37" s="8"/>
      <c r="D37" s="149">
        <f t="shared" ref="D37:AI37" si="15">SUM(D31:D36)</f>
        <v>140</v>
      </c>
      <c r="E37" s="232">
        <f t="shared" si="15"/>
        <v>89</v>
      </c>
      <c r="F37" s="232">
        <f t="shared" si="15"/>
        <v>144</v>
      </c>
      <c r="G37" s="232">
        <f t="shared" si="15"/>
        <v>85</v>
      </c>
      <c r="H37" s="232">
        <f t="shared" si="15"/>
        <v>146</v>
      </c>
      <c r="I37" s="232">
        <f t="shared" si="15"/>
        <v>83</v>
      </c>
      <c r="J37" s="232">
        <f t="shared" si="15"/>
        <v>144</v>
      </c>
      <c r="K37" s="232">
        <f t="shared" si="15"/>
        <v>3</v>
      </c>
      <c r="L37" s="232">
        <f t="shared" si="15"/>
        <v>108</v>
      </c>
      <c r="M37" s="232">
        <f t="shared" si="15"/>
        <v>3</v>
      </c>
      <c r="N37" s="232">
        <f t="shared" si="15"/>
        <v>143</v>
      </c>
      <c r="O37" s="232">
        <f t="shared" si="15"/>
        <v>83</v>
      </c>
      <c r="P37" s="232">
        <f t="shared" si="15"/>
        <v>138</v>
      </c>
      <c r="Q37" s="232">
        <f t="shared" si="15"/>
        <v>84</v>
      </c>
      <c r="R37" s="232">
        <f t="shared" si="15"/>
        <v>148</v>
      </c>
      <c r="S37" s="286">
        <f t="shared" si="15"/>
        <v>81</v>
      </c>
      <c r="T37" s="232">
        <f t="shared" si="15"/>
        <v>168</v>
      </c>
      <c r="U37" s="232">
        <f t="shared" si="15"/>
        <v>61</v>
      </c>
      <c r="V37" s="258">
        <f t="shared" si="15"/>
        <v>168</v>
      </c>
      <c r="W37" s="258">
        <f t="shared" si="15"/>
        <v>61</v>
      </c>
      <c r="X37" s="232">
        <f t="shared" si="15"/>
        <v>144</v>
      </c>
      <c r="Y37" s="232">
        <f t="shared" si="15"/>
        <v>3</v>
      </c>
      <c r="Z37" s="232">
        <f t="shared" si="15"/>
        <v>108</v>
      </c>
      <c r="AA37" s="232">
        <f t="shared" si="15"/>
        <v>3</v>
      </c>
      <c r="AB37" s="232">
        <f t="shared" si="15"/>
        <v>166</v>
      </c>
      <c r="AC37" s="232">
        <f t="shared" si="15"/>
        <v>63</v>
      </c>
      <c r="AD37" s="232">
        <f t="shared" si="15"/>
        <v>162</v>
      </c>
      <c r="AE37" s="232">
        <f t="shared" si="15"/>
        <v>63</v>
      </c>
      <c r="AF37" s="232">
        <f t="shared" si="15"/>
        <v>168</v>
      </c>
      <c r="AG37" s="232">
        <f t="shared" si="15"/>
        <v>61</v>
      </c>
      <c r="AH37" s="232">
        <f t="shared" si="15"/>
        <v>108</v>
      </c>
      <c r="AI37" s="232">
        <f t="shared" si="15"/>
        <v>3</v>
      </c>
      <c r="AJ37" s="232">
        <f t="shared" ref="AJ37:BG37" si="16">SUM(AJ31:AJ36)</f>
        <v>78</v>
      </c>
      <c r="AK37" s="232">
        <f t="shared" si="16"/>
        <v>1</v>
      </c>
      <c r="AL37" s="232">
        <f t="shared" si="16"/>
        <v>121</v>
      </c>
      <c r="AM37" s="232">
        <f t="shared" si="16"/>
        <v>0</v>
      </c>
      <c r="AN37" s="232">
        <f t="shared" si="16"/>
        <v>106</v>
      </c>
      <c r="AO37" s="232">
        <f t="shared" si="16"/>
        <v>5</v>
      </c>
      <c r="AP37" s="232">
        <f t="shared" si="16"/>
        <v>146</v>
      </c>
      <c r="AQ37" s="232">
        <f t="shared" si="16"/>
        <v>27</v>
      </c>
      <c r="AR37" s="232">
        <f t="shared" si="16"/>
        <v>147</v>
      </c>
      <c r="AS37" s="232">
        <f t="shared" si="16"/>
        <v>30</v>
      </c>
      <c r="AT37" s="232">
        <f t="shared" si="16"/>
        <v>160</v>
      </c>
      <c r="AU37" s="232">
        <f t="shared" si="16"/>
        <v>51</v>
      </c>
      <c r="AV37" s="232">
        <f t="shared" si="16"/>
        <v>176</v>
      </c>
      <c r="AW37" s="232">
        <f t="shared" si="16"/>
        <v>49</v>
      </c>
      <c r="AX37" s="315">
        <f t="shared" si="16"/>
        <v>172</v>
      </c>
      <c r="AY37" s="315">
        <f t="shared" si="16"/>
        <v>53</v>
      </c>
      <c r="AZ37" s="315">
        <f t="shared" si="16"/>
        <v>144</v>
      </c>
      <c r="BA37" s="315">
        <f t="shared" si="16"/>
        <v>3</v>
      </c>
      <c r="BB37" s="315">
        <f t="shared" si="16"/>
        <v>108</v>
      </c>
      <c r="BC37" s="315">
        <f t="shared" si="16"/>
        <v>3</v>
      </c>
      <c r="BD37" s="315">
        <f t="shared" si="16"/>
        <v>186</v>
      </c>
      <c r="BE37" s="315">
        <f t="shared" si="16"/>
        <v>37</v>
      </c>
      <c r="BF37" s="315">
        <f t="shared" si="16"/>
        <v>170</v>
      </c>
      <c r="BG37" s="315">
        <f t="shared" si="16"/>
        <v>53</v>
      </c>
      <c r="BH37" s="321">
        <f t="shared" ref="BH37:BK37" si="17">SUM(BH31:BH36)</f>
        <v>170</v>
      </c>
      <c r="BI37" s="321">
        <f t="shared" si="17"/>
        <v>53</v>
      </c>
      <c r="BJ37" s="321">
        <f t="shared" si="17"/>
        <v>169</v>
      </c>
      <c r="BK37" s="321">
        <f t="shared" si="17"/>
        <v>51</v>
      </c>
      <c r="BL37" s="357">
        <f t="shared" ref="BL37:BM37" si="18">SUM(BL31:BL36)</f>
        <v>150</v>
      </c>
      <c r="BM37" s="357">
        <f t="shared" si="18"/>
        <v>38</v>
      </c>
    </row>
    <row r="38" spans="1:65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124"/>
    </row>
    <row r="39" spans="1:65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6"/>
      <c r="BL39" s="56"/>
      <c r="BM39" s="56"/>
    </row>
    <row r="40" spans="1:65" x14ac:dyDescent="0.25">
      <c r="A40" t="s">
        <v>79</v>
      </c>
      <c r="C40" s="8"/>
      <c r="D40" s="57">
        <f>D5+E5+D12+E12+D19+E19</f>
        <v>79</v>
      </c>
      <c r="E40" s="57"/>
      <c r="F40" s="57">
        <f>F5+G5+F12+G12+F19+G19</f>
        <v>79</v>
      </c>
      <c r="G40" s="57"/>
      <c r="H40" s="57">
        <f>H5+I5+H12+I12+H19+I19</f>
        <v>79</v>
      </c>
      <c r="I40" s="57"/>
      <c r="J40" s="57">
        <f>J5+K5+J12+K12+J19+K19</f>
        <v>72</v>
      </c>
      <c r="K40" s="57"/>
      <c r="L40" s="150">
        <f>L5+M5+L12+M12+L19+M19</f>
        <v>54</v>
      </c>
      <c r="M40" s="275"/>
      <c r="N40" s="275">
        <f>N5+O5+N12+O12+N19+O19</f>
        <v>79</v>
      </c>
      <c r="O40" s="276"/>
      <c r="P40" s="276">
        <f>P5+Q5+P12+Q12+P19+Q19</f>
        <v>82</v>
      </c>
      <c r="Q40" s="256"/>
      <c r="R40" s="256">
        <f>R5+S5+R12+S12+R19+S19</f>
        <v>79</v>
      </c>
      <c r="S40" s="57"/>
      <c r="T40" s="57">
        <f>T5+U5+T12+U12+T19+U19</f>
        <v>79</v>
      </c>
      <c r="U40" s="264"/>
      <c r="V40" s="264">
        <f>V5+W5+V12+W12+V19+W19</f>
        <v>79</v>
      </c>
      <c r="W40" s="265"/>
      <c r="X40" s="265">
        <f>X5+Y5+X12+Y12+X19+Y19</f>
        <v>72</v>
      </c>
      <c r="Y40" s="266"/>
      <c r="Z40" s="266">
        <f>Z5+AA5+Z12+AA12+Z19+AA19</f>
        <v>54</v>
      </c>
      <c r="AA40" s="267"/>
      <c r="AB40" s="267">
        <f>AB5+AC5+AB12+AC12+AB19+AC19</f>
        <v>79</v>
      </c>
      <c r="AC40" s="57"/>
      <c r="AD40" s="57">
        <f>AD5+AE5+AD12+AE12+AD19+AE19</f>
        <v>80</v>
      </c>
      <c r="AE40" s="57"/>
      <c r="AF40" s="57">
        <f>AF5+AG5+AF12+AG12+AF19+AG19</f>
        <v>79</v>
      </c>
      <c r="AG40" s="57"/>
      <c r="AH40" s="57">
        <f>AH5+AI5+AH12+AI12+AH19+AI19</f>
        <v>54</v>
      </c>
      <c r="AI40" s="260"/>
      <c r="AJ40" s="260">
        <f>AJ5+AK5+AJ12+AK12+AJ19+AK19</f>
        <v>30</v>
      </c>
      <c r="AK40" s="268"/>
      <c r="AL40" s="277">
        <f>AL5+AM5+AL12+AM12+AL19+AM19</f>
        <v>59</v>
      </c>
      <c r="AM40" s="269"/>
      <c r="AN40" s="269">
        <f>AN5+AO5+AN12+AO12+AN19+AO19</f>
        <v>54</v>
      </c>
      <c r="AO40" s="278"/>
      <c r="AP40" s="278">
        <f>AP5+AQ5+AP12+AQ12+AP19+AQ19</f>
        <v>78</v>
      </c>
      <c r="AQ40" s="270"/>
      <c r="AR40" s="270">
        <f>AR5+AS5+AR12+AS12+AR19+AS19</f>
        <v>75</v>
      </c>
      <c r="AS40" s="271"/>
      <c r="AT40" s="271">
        <f>AT5+AU5+AT12+AU12+AT19+AU19</f>
        <v>80</v>
      </c>
      <c r="AU40" s="272"/>
      <c r="AV40" s="272">
        <f>AV5+AW5+AV12+AW12+AV19+AW19</f>
        <v>79</v>
      </c>
      <c r="AW40" s="273"/>
      <c r="AX40" s="273">
        <f>AX5+AY5+AX12+AY12+AX19+AY19</f>
        <v>79</v>
      </c>
      <c r="AY40" s="57"/>
      <c r="AZ40" s="57">
        <f>AZ5+BA5+AZ12+BA12+AZ19+BA19</f>
        <v>72</v>
      </c>
      <c r="BA40" s="57"/>
      <c r="BB40" s="115">
        <f>BB5+BC5+BB12+BC12+BB19+BC19</f>
        <v>54</v>
      </c>
      <c r="BC40" s="261"/>
      <c r="BD40" s="261">
        <f>BD5+BE5+BD12+BE12+BD19+BE19</f>
        <v>79</v>
      </c>
      <c r="BE40" s="115"/>
      <c r="BF40" s="57">
        <f>BF5+BG5+BF12+BG12+BF19+BG19</f>
        <v>79</v>
      </c>
      <c r="BG40" s="262"/>
      <c r="BH40" s="321">
        <f>BH5+BI5+BH12+BI12+BH19+BI19</f>
        <v>79</v>
      </c>
      <c r="BI40" s="321"/>
      <c r="BJ40" s="321">
        <f>BJ5+BK5+BJ12+BK12+BJ19+BK19</f>
        <v>79</v>
      </c>
      <c r="BK40" s="357"/>
      <c r="BL40" s="357">
        <f t="shared" ref="BK40:BL40" si="19">BL5+BM5+BL12+BM12+BL19+BM19</f>
        <v>78</v>
      </c>
      <c r="BM40" s="357"/>
    </row>
    <row r="41" spans="1:65" x14ac:dyDescent="0.25">
      <c r="A41" t="s">
        <v>80</v>
      </c>
      <c r="C41" s="8"/>
      <c r="D41" s="57">
        <f>D8+E8+D15+E15+D22+E22</f>
        <v>78</v>
      </c>
      <c r="E41" s="57"/>
      <c r="F41" s="57">
        <f>F8+G8+F15+G15+F22+G22</f>
        <v>78</v>
      </c>
      <c r="G41" s="57"/>
      <c r="H41" s="57">
        <f>H8+I8+H15+I15+H22+I22</f>
        <v>78</v>
      </c>
      <c r="I41" s="57"/>
      <c r="J41" s="57">
        <f>J8+K8+J15+K15+J22+K22</f>
        <v>75</v>
      </c>
      <c r="K41" s="57"/>
      <c r="L41" s="57">
        <f>L8+M8+L15+M15+L22+M22</f>
        <v>57</v>
      </c>
      <c r="M41" s="275"/>
      <c r="N41" s="275">
        <f>N8+O8+N15+O15+N22+O22</f>
        <v>78</v>
      </c>
      <c r="O41" s="276"/>
      <c r="P41" s="276">
        <f>P8+Q8+P15+Q15+P22+Q22</f>
        <v>78</v>
      </c>
      <c r="Q41" s="256"/>
      <c r="R41" s="256">
        <f>R8+S8+R15+S15+R22+S22</f>
        <v>78</v>
      </c>
      <c r="S41" s="57"/>
      <c r="T41" s="57">
        <f>T8+U8+T15+U15+T22+U22</f>
        <v>78</v>
      </c>
      <c r="U41" s="264"/>
      <c r="V41" s="264">
        <f>V8+W8+V15+W15+V22+W22</f>
        <v>78</v>
      </c>
      <c r="W41" s="265"/>
      <c r="X41" s="265">
        <f>X8+Y8+X15+Y15+X22+Y22</f>
        <v>75</v>
      </c>
      <c r="Y41" s="266"/>
      <c r="Z41" s="266">
        <f>Z8+AA8+Z15+AA15+Z22+AA22</f>
        <v>57</v>
      </c>
      <c r="AA41" s="267"/>
      <c r="AB41" s="267">
        <f>AB8+AC8+AB15+AC15+AB22+AC22</f>
        <v>78</v>
      </c>
      <c r="AC41" s="57"/>
      <c r="AD41" s="57">
        <f>AD8+AE8+AD15+AE15+AD22+AE22</f>
        <v>78</v>
      </c>
      <c r="AE41" s="57"/>
      <c r="AF41" s="247">
        <f>AF8+AG8+AF15+AG15+AF22+AG22</f>
        <v>78</v>
      </c>
      <c r="AG41" s="57"/>
      <c r="AH41" s="57">
        <f>AH8+AI8+AH15+AI15+AH22+AI22</f>
        <v>57</v>
      </c>
      <c r="AI41" s="260"/>
      <c r="AJ41" s="260">
        <f>AJ8+AK8+AJ15+AK15+AJ22+AK22</f>
        <v>28</v>
      </c>
      <c r="AK41" s="268"/>
      <c r="AL41" s="277">
        <f>AL8+AM8+AL15+AM15+AL22+AM22</f>
        <v>62</v>
      </c>
      <c r="AM41" s="269"/>
      <c r="AN41" s="269">
        <f>AN8+AO8+AN15+AO15+AN22+AO22</f>
        <v>57</v>
      </c>
      <c r="AO41" s="278"/>
      <c r="AP41" s="278">
        <f>AP8+AQ8+AP15+AQ15+AP22+AQ22</f>
        <v>78</v>
      </c>
      <c r="AQ41" s="270"/>
      <c r="AR41" s="270">
        <f>AR8+AS8+AR15+AS15+AR22+AS22</f>
        <v>73</v>
      </c>
      <c r="AS41" s="271"/>
      <c r="AT41" s="271">
        <f>AT8+AU8+AT15+AU15+AT22+AU22</f>
        <v>78</v>
      </c>
      <c r="AU41" s="272"/>
      <c r="AV41" s="272">
        <f>AV8+AW8+AV15+AW15+AV22+AW22</f>
        <v>78</v>
      </c>
      <c r="AW41" s="273"/>
      <c r="AX41" s="273">
        <f>AX8+AY8+AX15+AY15+AX22+AY22</f>
        <v>78</v>
      </c>
      <c r="AY41" s="57"/>
      <c r="AZ41" s="249">
        <f>AZ8+BA8+AZ15+BA15+AZ22+BA22</f>
        <v>75</v>
      </c>
      <c r="BA41" s="57"/>
      <c r="BB41" s="250">
        <f>BB8+BC8+BB15+BC15+BB22+BC22</f>
        <v>57</v>
      </c>
      <c r="BC41" s="261"/>
      <c r="BD41" s="261">
        <f>BD8+BE8+BD15+BE15+BD22+BE22</f>
        <v>78</v>
      </c>
      <c r="BE41" s="115"/>
      <c r="BF41" s="57">
        <f>BF8+BG8+BF15+BG15+BF22+BG22</f>
        <v>78</v>
      </c>
      <c r="BG41" s="262"/>
      <c r="BH41" s="321">
        <f>BH8+BI8+BH15+BI15+BH22+BI22</f>
        <v>78</v>
      </c>
      <c r="BI41" s="321"/>
      <c r="BJ41" s="321">
        <f>BJ8+BK8+BJ15+BK15+BJ22+BK22</f>
        <v>78</v>
      </c>
      <c r="BK41" s="357"/>
      <c r="BL41" s="357">
        <f t="shared" ref="BK41:BL41" si="20">BL8+BM8+BL15+BM15+BL22+BM22</f>
        <v>79</v>
      </c>
      <c r="BM41" s="357"/>
    </row>
    <row r="42" spans="1:65" x14ac:dyDescent="0.25">
      <c r="A42" t="s">
        <v>81</v>
      </c>
      <c r="C42" s="8"/>
      <c r="D42" s="57">
        <f>D3+E3+D10+E10+D17+E17</f>
        <v>36</v>
      </c>
      <c r="E42" s="57"/>
      <c r="F42" s="57">
        <f>F3+G3+F10+G10+F17+G17</f>
        <v>36</v>
      </c>
      <c r="G42" s="57"/>
      <c r="H42" s="57">
        <f>H3+I3+H10+I10+H17+I17</f>
        <v>36</v>
      </c>
      <c r="I42" s="57"/>
      <c r="J42" s="57">
        <f>J3+K3+J10+K10+J17+K17</f>
        <v>0</v>
      </c>
      <c r="K42" s="57"/>
      <c r="L42" s="57">
        <f>L3+M3+L10+M10+L17+M17</f>
        <v>0</v>
      </c>
      <c r="M42" s="275"/>
      <c r="N42" s="275">
        <f>N3+O3+N10+O10+N17+O17</f>
        <v>34</v>
      </c>
      <c r="O42" s="276"/>
      <c r="P42" s="276">
        <f>P3+Q3+P10+Q10+P17+Q17</f>
        <v>29</v>
      </c>
      <c r="Q42" s="256"/>
      <c r="R42" s="256">
        <f>R3+S3+R10+S10+R17+S17</f>
        <v>36</v>
      </c>
      <c r="S42" s="57"/>
      <c r="T42" s="57">
        <f>T3+U3+T10+U10+T17+U17</f>
        <v>36</v>
      </c>
      <c r="U42" s="264"/>
      <c r="V42" s="264">
        <f>V3+W3+V10+W10+V17+W17</f>
        <v>36</v>
      </c>
      <c r="W42" s="265"/>
      <c r="X42" s="265">
        <f>X3+Y3+X10+Y10+X17+Y17</f>
        <v>0</v>
      </c>
      <c r="Y42" s="266"/>
      <c r="Z42" s="266">
        <f>Z3+AA3+Z10+AA10+Z17+AA17</f>
        <v>0</v>
      </c>
      <c r="AA42" s="267"/>
      <c r="AB42" s="267">
        <f>AB3+AC3+AB10+AC10+AB17+AC17</f>
        <v>36</v>
      </c>
      <c r="AC42" s="57"/>
      <c r="AD42" s="57">
        <f>AD3+AE3+AD10+AE10+AD17+AE17</f>
        <v>32</v>
      </c>
      <c r="AE42" s="57"/>
      <c r="AF42" s="57">
        <f>AF3+AG3+AF10+AG10+AF17+AG17</f>
        <v>36</v>
      </c>
      <c r="AG42" s="57"/>
      <c r="AH42" s="57">
        <f>AH3+AI3+AH10+AI10+AH17+AI17</f>
        <v>0</v>
      </c>
      <c r="AI42" s="260"/>
      <c r="AJ42" s="260">
        <f>AJ3+AK3+AJ10+AK10+AJ17+AK17</f>
        <v>9</v>
      </c>
      <c r="AK42" s="268"/>
      <c r="AL42" s="277">
        <f>AL3+AM3+AL10+AM10+AL17+AM17</f>
        <v>0</v>
      </c>
      <c r="AM42" s="269"/>
      <c r="AN42" s="269">
        <f>AN3+AO3+AN10+AO10+AN17+AO17</f>
        <v>0</v>
      </c>
      <c r="AO42" s="278"/>
      <c r="AP42" s="278">
        <f>AP3+AQ3+AP10+AQ10+AP17+AQ17</f>
        <v>8</v>
      </c>
      <c r="AQ42" s="270"/>
      <c r="AR42" s="270">
        <f>AR3+AS3+AR10+AS10+AR17+AS17</f>
        <v>13</v>
      </c>
      <c r="AS42" s="271"/>
      <c r="AT42" s="271">
        <f>AT3+AU3+AT10+AU10+AT17+AU17</f>
        <v>26</v>
      </c>
      <c r="AU42" s="272"/>
      <c r="AV42" s="272">
        <f>AV3+AW3+AV10+AW10+AV17+AW17</f>
        <v>34</v>
      </c>
      <c r="AW42" s="273"/>
      <c r="AX42" s="273">
        <f>AX3+AY3+AX10+AY10+AX17+AY17</f>
        <v>34</v>
      </c>
      <c r="AY42" s="57"/>
      <c r="AZ42" s="57">
        <f>AZ3+BA3+AZ10+BA10+AZ17+BA17</f>
        <v>0</v>
      </c>
      <c r="BA42" s="57"/>
      <c r="BB42" s="115">
        <f>BB3+BC3+BB10+BC10+BB17+BC17</f>
        <v>0</v>
      </c>
      <c r="BC42" s="261"/>
      <c r="BD42" s="261">
        <f>BD3+BE3+BD10+BE10+BD17+BE17</f>
        <v>33</v>
      </c>
      <c r="BE42" s="115"/>
      <c r="BF42" s="57">
        <f>BF3+BG3+BF10+BG10+BF17+BG17</f>
        <v>33</v>
      </c>
      <c r="BG42" s="262"/>
      <c r="BH42" s="321">
        <f>BH3+BI3+BH10+BI10+BH17+BI17</f>
        <v>33</v>
      </c>
      <c r="BI42" s="321"/>
      <c r="BJ42" s="321">
        <f>BJ3+BK3+BJ10+BK10+BJ17+BK17</f>
        <v>31</v>
      </c>
      <c r="BK42" s="357"/>
      <c r="BL42" s="357">
        <f t="shared" ref="BK42:BL42" si="21">BL3+BM3+BL10+BM10+BL17+BM17</f>
        <v>14</v>
      </c>
      <c r="BM42" s="357"/>
    </row>
    <row r="43" spans="1:65" x14ac:dyDescent="0.25">
      <c r="A43" t="s">
        <v>82</v>
      </c>
      <c r="C43" s="8"/>
      <c r="D43" s="57">
        <f>D6+E6+D13+E13+D20+E20</f>
        <v>32</v>
      </c>
      <c r="E43" s="57"/>
      <c r="F43" s="57">
        <f>F6+G6+F13+G13+F20+G20</f>
        <v>32</v>
      </c>
      <c r="G43" s="57"/>
      <c r="H43" s="57">
        <f>H6+I6+H13+I13+H20+I20</f>
        <v>32</v>
      </c>
      <c r="I43" s="57"/>
      <c r="J43" s="57">
        <f>J6+K6+J13+K13+J20+K20</f>
        <v>0</v>
      </c>
      <c r="K43" s="57"/>
      <c r="L43" s="57">
        <f>L6+M6+L13+M13+L20+M20</f>
        <v>0</v>
      </c>
      <c r="M43" s="275"/>
      <c r="N43" s="275">
        <f>N6+O6+N13+O13+N20+O20</f>
        <v>31</v>
      </c>
      <c r="O43" s="276"/>
      <c r="P43" s="276">
        <f>P6+Q6+P13+Q13+P20+Q20</f>
        <v>29</v>
      </c>
      <c r="Q43" s="256"/>
      <c r="R43" s="256">
        <f>R6+S6+R13+S13+R20+S20</f>
        <v>32</v>
      </c>
      <c r="S43" s="57"/>
      <c r="T43" s="57">
        <f>T6+U6+T13+U13+T20+U20</f>
        <v>32</v>
      </c>
      <c r="U43" s="264"/>
      <c r="V43" s="264">
        <f>V6+W6+V13+W13+V20+W20</f>
        <v>32</v>
      </c>
      <c r="W43" s="265"/>
      <c r="X43" s="265">
        <f>X6+Y6+X13+Y13+X20+Y20</f>
        <v>0</v>
      </c>
      <c r="Y43" s="266"/>
      <c r="Z43" s="266">
        <f>Z6+AA6+Z13+AA13+Z20+AA20</f>
        <v>0</v>
      </c>
      <c r="AA43" s="267"/>
      <c r="AB43" s="267">
        <f>AB6+AC6+AB13+AC13+AB20+AC20</f>
        <v>32</v>
      </c>
      <c r="AC43" s="57"/>
      <c r="AD43" s="57">
        <f>AD6+AE6+AD13+AE13+AD20+AE20</f>
        <v>30</v>
      </c>
      <c r="AE43" s="57"/>
      <c r="AF43" s="57">
        <f>AF6+AG6+AF13+AG13+AF20+AG20</f>
        <v>32</v>
      </c>
      <c r="AG43" s="57"/>
      <c r="AH43" s="57">
        <f>AH6+AI6+AH13+AI13+AH20+AI20</f>
        <v>0</v>
      </c>
      <c r="AI43" s="260"/>
      <c r="AJ43" s="260">
        <f>AJ6+AK6+AJ13+AK13+AJ20+AK20</f>
        <v>11</v>
      </c>
      <c r="AK43" s="268"/>
      <c r="AL43" s="277">
        <f>AL6+AM6+AL13+AM13+AL20+AM20</f>
        <v>0</v>
      </c>
      <c r="AM43" s="269"/>
      <c r="AN43" s="269">
        <f>AN6+AO6+AN13+AO13+AN20+AO20</f>
        <v>0</v>
      </c>
      <c r="AO43" s="278"/>
      <c r="AP43" s="278">
        <f>AP6+AQ6+AP13+AQ13+AP20+AQ20</f>
        <v>8</v>
      </c>
      <c r="AQ43" s="270"/>
      <c r="AR43" s="270">
        <f>AR6+AS6+AR13+AS13+AR20+AS20</f>
        <v>15</v>
      </c>
      <c r="AS43" s="271"/>
      <c r="AT43" s="271">
        <f>AT6+AU6+AT13+AU13+AT20+AU20</f>
        <v>26</v>
      </c>
      <c r="AU43" s="272"/>
      <c r="AV43" s="272">
        <f>AV6+AW6+AV13+AW13+AV20+AW20</f>
        <v>32</v>
      </c>
      <c r="AW43" s="273"/>
      <c r="AX43" s="273">
        <f>AX6+AY6+AX13+AY13+AX20+AY20</f>
        <v>32</v>
      </c>
      <c r="AY43" s="57"/>
      <c r="AZ43" s="57">
        <f>AZ6+BA6+AZ13+BA13+AZ20+BA20</f>
        <v>0</v>
      </c>
      <c r="BA43" s="57"/>
      <c r="BB43" s="115">
        <f>BB6+BC6+BB13+BC13+BB20+BC20</f>
        <v>0</v>
      </c>
      <c r="BC43" s="261"/>
      <c r="BD43" s="261">
        <f>BD6+BE6+BD13+BE13+BD20+BE20</f>
        <v>31</v>
      </c>
      <c r="BE43" s="115"/>
      <c r="BF43" s="57">
        <f>BF6+BG6+BF13+BG13+BF20+BG20</f>
        <v>32</v>
      </c>
      <c r="BG43" s="262"/>
      <c r="BH43" s="321">
        <f>BH6+BI6+BH13+BI13+BH20+BI20</f>
        <v>32</v>
      </c>
      <c r="BI43" s="321"/>
      <c r="BJ43" s="321">
        <f>BJ6+BK6+BJ13+BK13+BJ20+BK20</f>
        <v>30</v>
      </c>
      <c r="BK43" s="357"/>
      <c r="BL43" s="357">
        <f t="shared" ref="BK43:BL43" si="22">BL6+BM6+BL13+BM13+BL20+BM20</f>
        <v>16</v>
      </c>
      <c r="BM43" s="357"/>
    </row>
    <row r="44" spans="1:65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75"/>
      <c r="N44" s="275">
        <f>N4+O4+N11+O11+N18+O18</f>
        <v>0</v>
      </c>
      <c r="O44" s="276"/>
      <c r="P44" s="276">
        <f>P4+Q4+P11+Q11+P18+Q18</f>
        <v>0</v>
      </c>
      <c r="Q44" s="256"/>
      <c r="R44" s="256">
        <f>R4+S4+R11+S11+R18+S18</f>
        <v>0</v>
      </c>
      <c r="S44" s="154"/>
      <c r="T44" s="154">
        <f>T4+U4+T11+U11+T18+U18</f>
        <v>0</v>
      </c>
      <c r="U44" s="264"/>
      <c r="V44" s="264">
        <f>V4+W4+V11+W11+V18+W18</f>
        <v>0</v>
      </c>
      <c r="W44" s="265"/>
      <c r="X44" s="265">
        <f>X4+Y4+X11+Y11+X18+Y18</f>
        <v>0</v>
      </c>
      <c r="Y44" s="266"/>
      <c r="Z44" s="266">
        <f>Z4+AA4+Z11+AA11+Z18+AA18</f>
        <v>0</v>
      </c>
      <c r="AA44" s="267"/>
      <c r="AB44" s="267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0"/>
      <c r="AJ44" s="260">
        <f>AJ4+AK4+AJ11+AK11+AJ18+AK18</f>
        <v>0</v>
      </c>
      <c r="AK44" s="268"/>
      <c r="AL44" s="277">
        <f>AL4+AM4+AL11+AM11+AL18+AM18</f>
        <v>0</v>
      </c>
      <c r="AM44" s="269"/>
      <c r="AN44" s="269">
        <f>AN4+AO4+AN11+AO11+AN18+AO18</f>
        <v>0</v>
      </c>
      <c r="AO44" s="278"/>
      <c r="AP44" s="278">
        <f>AP4+AQ4+AP11+AQ11+AP18+AQ18</f>
        <v>0</v>
      </c>
      <c r="AQ44" s="270"/>
      <c r="AR44" s="270">
        <f>AR4+AS4+AR11+AS11+AR18+AS18</f>
        <v>0</v>
      </c>
      <c r="AS44" s="271"/>
      <c r="AT44" s="271">
        <f>AT4+AU4+AT11+AU11+AT18+AU18</f>
        <v>0</v>
      </c>
      <c r="AU44" s="272"/>
      <c r="AV44" s="272">
        <f>AV4+AW4+AV11+AW11+AV18+AW18</f>
        <v>0</v>
      </c>
      <c r="AW44" s="315"/>
      <c r="AX44" s="273">
        <f>AX4+AY4+AX11+AY11+AX18+AY18</f>
        <v>0</v>
      </c>
      <c r="AY44" s="154"/>
      <c r="AZ44" s="154">
        <f>AZ4+BA4+AZ11+BA11+AZ18+BA18</f>
        <v>0</v>
      </c>
      <c r="BA44" s="315"/>
      <c r="BB44" s="154">
        <f>BB4+BC4+BB11+BC11+BB18+BC18</f>
        <v>0</v>
      </c>
      <c r="BC44" s="315"/>
      <c r="BD44" s="261">
        <f>BD4+BE4+BD11+BE11+BD18+BE18</f>
        <v>0</v>
      </c>
      <c r="BE44" s="315"/>
      <c r="BF44" s="154">
        <f>BF4+BG4+BF11+BG11+BF18+BG18</f>
        <v>0</v>
      </c>
      <c r="BG44" s="262"/>
      <c r="BH44" s="321">
        <f>BH4+BI4+BH11+BI11+BH18+BI18</f>
        <v>0</v>
      </c>
      <c r="BI44" s="321"/>
      <c r="BJ44" s="321">
        <f>BJ4+BK4+BJ11+BK11+BJ18+BK18</f>
        <v>0</v>
      </c>
      <c r="BK44" s="357"/>
      <c r="BL44" s="357">
        <f t="shared" ref="BK44:BL44" si="23">BL4+BM4+BL11+BM11+BL18+BM18</f>
        <v>0</v>
      </c>
      <c r="BM44" s="357"/>
    </row>
    <row r="45" spans="1:65" x14ac:dyDescent="0.25">
      <c r="A45" t="s">
        <v>35</v>
      </c>
      <c r="C45" s="8"/>
      <c r="D45" s="57">
        <f>D7+E7+D14+E14+D21+E21</f>
        <v>4</v>
      </c>
      <c r="E45" s="57"/>
      <c r="F45" s="57">
        <f>F7+G7+F14+G14+F21+G21</f>
        <v>4</v>
      </c>
      <c r="G45" s="57"/>
      <c r="H45" s="57">
        <f>H7+I7+H14+I14+H21+I21</f>
        <v>4</v>
      </c>
      <c r="I45" s="57"/>
      <c r="J45" s="57">
        <f>J7+K7+J14+K14+J21+K21</f>
        <v>0</v>
      </c>
      <c r="K45" s="57"/>
      <c r="L45" s="57">
        <f>L7+M7+L14+M14+L21+M21</f>
        <v>0</v>
      </c>
      <c r="M45" s="275"/>
      <c r="N45" s="275">
        <f>N7+O7+N14+O14+N21+O21</f>
        <v>4</v>
      </c>
      <c r="O45" s="276"/>
      <c r="P45" s="276">
        <f>P7+Q7+P14+Q14+P21+Q21</f>
        <v>4</v>
      </c>
      <c r="Q45" s="256"/>
      <c r="R45" s="256">
        <f>R7+S7+R14+S14+R21+S21</f>
        <v>4</v>
      </c>
      <c r="S45" s="57"/>
      <c r="T45" s="57">
        <f>T7+U7+T14+U14+T21+U21</f>
        <v>4</v>
      </c>
      <c r="U45" s="264"/>
      <c r="V45" s="264">
        <f>V7+W7+V14+W14+V21+W21</f>
        <v>4</v>
      </c>
      <c r="W45" s="265"/>
      <c r="X45" s="265">
        <f>X7+Y7+X14+Y14+X21+Y21</f>
        <v>0</v>
      </c>
      <c r="Y45" s="266"/>
      <c r="Z45" s="266">
        <f>Z7+AA7+Z14+AA14+Z21+AA21</f>
        <v>0</v>
      </c>
      <c r="AA45" s="267"/>
      <c r="AB45" s="267">
        <f>AB7+AC7+AB14+AC14+AB21+AC21</f>
        <v>4</v>
      </c>
      <c r="AC45" s="57"/>
      <c r="AD45" s="57">
        <f>AD7+AE7+AD14+AE14+AD21+AE21</f>
        <v>5</v>
      </c>
      <c r="AE45" s="57"/>
      <c r="AF45" s="247">
        <f>AF7+AG7+AF14+AG14+AF21+AG21</f>
        <v>4</v>
      </c>
      <c r="AG45" s="57"/>
      <c r="AH45" s="57">
        <f>AH7+AI7+AH14+AI14+AH21+AI21</f>
        <v>0</v>
      </c>
      <c r="AI45" s="260"/>
      <c r="AJ45" s="260">
        <f>AJ7+AK7+AJ14+AK14+AJ21+AK21</f>
        <v>1</v>
      </c>
      <c r="AK45" s="268"/>
      <c r="AL45" s="277">
        <f>AL7+AM7+AL14+AM14+AL21+AM21</f>
        <v>0</v>
      </c>
      <c r="AM45" s="269"/>
      <c r="AN45" s="269">
        <f>AN7+AO7+AN14+AO14+AN21+AO21</f>
        <v>0</v>
      </c>
      <c r="AO45" s="278"/>
      <c r="AP45" s="278">
        <f>AP7+AQ7+AP14+AQ14+AP21+AQ21</f>
        <v>1</v>
      </c>
      <c r="AQ45" s="270"/>
      <c r="AR45" s="270">
        <f>AR7+AS7+AR14+AS14+AR21+AS21</f>
        <v>1</v>
      </c>
      <c r="AS45" s="271"/>
      <c r="AT45" s="271">
        <f>AT7+AU7+AT14+AU14+AT21+AU21</f>
        <v>1</v>
      </c>
      <c r="AU45" s="272"/>
      <c r="AV45" s="272">
        <f>AV7+AW7+AV14+AW14+AV21+AW21</f>
        <v>2</v>
      </c>
      <c r="AW45" s="315"/>
      <c r="AX45" s="273">
        <f>AX7+AY7+AX14+AY14+AX21+AY21</f>
        <v>2</v>
      </c>
      <c r="AY45" s="315"/>
      <c r="AZ45" s="249">
        <f>AZ7+BA7+AZ14+BA14+AZ21+BA21</f>
        <v>0</v>
      </c>
      <c r="BA45" s="315"/>
      <c r="BB45" s="250">
        <f>BB7+BC7+BB14+BC14+BB21+BC21</f>
        <v>0</v>
      </c>
      <c r="BC45" s="315"/>
      <c r="BD45" s="261">
        <f>BD7+BE7+BD14+BE14+BD21+BE21</f>
        <v>2</v>
      </c>
      <c r="BE45" s="315"/>
      <c r="BF45" s="57">
        <f>BF7+BG7+BF14+BG14+BF21+BG21</f>
        <v>1</v>
      </c>
      <c r="BG45" s="262"/>
      <c r="BH45" s="321">
        <f>BH7+BI7+BH14+BI14+BH21+BI21</f>
        <v>1</v>
      </c>
      <c r="BI45" s="321"/>
      <c r="BJ45" s="321">
        <f>BJ7+BK7+BJ14+BK14+BJ21+BK21</f>
        <v>2</v>
      </c>
      <c r="BK45" s="357"/>
      <c r="BL45" s="357">
        <f t="shared" ref="BK45:BL45" si="24">BL7+BM7+BL14+BM14+BL21+BM21</f>
        <v>1</v>
      </c>
      <c r="BM45" s="357"/>
    </row>
    <row r="46" spans="1:65" s="124" customFormat="1" x14ac:dyDescent="0.25">
      <c r="C46" s="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8"/>
      <c r="AR46" s="298"/>
      <c r="AS46" s="298"/>
      <c r="AT46" s="298"/>
      <c r="AU46" s="298"/>
      <c r="AV46" s="298"/>
      <c r="AW46" s="298"/>
      <c r="AX46" s="298"/>
      <c r="AY46" s="298"/>
      <c r="AZ46" s="298"/>
      <c r="BA46" s="298"/>
      <c r="BB46" s="298"/>
      <c r="BC46" s="298"/>
      <c r="BD46" s="298"/>
      <c r="BE46" s="298"/>
      <c r="BF46" s="298"/>
      <c r="BG46" s="298"/>
      <c r="BH46" s="321"/>
      <c r="BI46" s="321"/>
      <c r="BJ46" s="321"/>
      <c r="BK46" s="357"/>
      <c r="BL46" s="357"/>
      <c r="BM46" s="357"/>
    </row>
    <row r="47" spans="1:65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8"/>
      <c r="BL47" s="58"/>
      <c r="BM47" s="59"/>
    </row>
    <row r="48" spans="1:65" x14ac:dyDescent="0.25">
      <c r="A48" t="s">
        <v>79</v>
      </c>
      <c r="C48" s="8"/>
      <c r="D48" s="57">
        <f>(D5+D12+D19)+2*(E5+E12+E19)</f>
        <v>120</v>
      </c>
      <c r="E48" s="57"/>
      <c r="F48" s="57">
        <f>(F5+F12+F19)+2*(G5+G12+G19)</f>
        <v>119</v>
      </c>
      <c r="G48" s="57"/>
      <c r="H48" s="57">
        <f>(H5+H12+H19)+2*(I5+I12+I19)</f>
        <v>118</v>
      </c>
      <c r="I48" s="57"/>
      <c r="J48" s="57">
        <f>(J5+J12+J19)+2*(K5+K12+K19)</f>
        <v>75</v>
      </c>
      <c r="K48" s="57"/>
      <c r="L48" s="57">
        <f>(L5+L12+L19)+2*(M5+M12+M19)</f>
        <v>57</v>
      </c>
      <c r="M48" s="275"/>
      <c r="N48" s="275">
        <f>(N5+N12+N19)+2*(O5+O12+O19)</f>
        <v>118</v>
      </c>
      <c r="O48" s="276"/>
      <c r="P48" s="276">
        <f>(P5+P12+P19)+2*(Q5+Q12+Q19)</f>
        <v>122</v>
      </c>
      <c r="Q48" s="256"/>
      <c r="R48" s="256">
        <f>(R5+R12+R19)+2*(S5+S12+S19)</f>
        <v>117</v>
      </c>
      <c r="S48" s="57"/>
      <c r="T48" s="57">
        <f>(T5+T12+T19)+2*(U5+U12+U19)</f>
        <v>109</v>
      </c>
      <c r="U48" s="264"/>
      <c r="V48" s="264">
        <f>(V5+V12+V19)+2*(W5+W12+W19)</f>
        <v>109</v>
      </c>
      <c r="W48" s="265"/>
      <c r="X48" s="265">
        <f>(X5+X12+X19)+2*(Y5+Y12+Y19)</f>
        <v>75</v>
      </c>
      <c r="Y48" s="266"/>
      <c r="Z48" s="266">
        <f>(Z5+Z12+Z19)+2*(AA5+AA12+AA19)</f>
        <v>57</v>
      </c>
      <c r="AA48" s="267"/>
      <c r="AB48" s="267">
        <f>(AB5+AB12+AB19)+2*(AC5+AC12+AC19)</f>
        <v>110</v>
      </c>
      <c r="AC48" s="57"/>
      <c r="AD48" s="57">
        <f>(AD5+AD12+AD19)+2*(AE5+AE12+AE19)</f>
        <v>112</v>
      </c>
      <c r="AE48" s="57"/>
      <c r="AF48" s="57">
        <f>(AF5+AF12+AF19)+2*(AG5+AG12+AG19)</f>
        <v>109</v>
      </c>
      <c r="AG48" s="57"/>
      <c r="AH48" s="57">
        <f>(AH5+AH12+AH19)+2*(AI5+AI12+AI19)</f>
        <v>57</v>
      </c>
      <c r="AI48" s="260"/>
      <c r="AJ48" s="260">
        <f>(AJ5+AJ12+AJ19)+2*(AK5+AK12+AK19)</f>
        <v>31</v>
      </c>
      <c r="AK48" s="268"/>
      <c r="AL48" s="277">
        <f>(AL5+AL12+AL19)+2*(AM5+AM12+AM19)</f>
        <v>59</v>
      </c>
      <c r="AM48" s="269"/>
      <c r="AN48" s="269">
        <f>(AN5+AN12+AN19)+2*(AO5+AO12+AO19)</f>
        <v>58</v>
      </c>
      <c r="AO48" s="278"/>
      <c r="AP48" s="278">
        <f>(AP5+AP12+AP19)+2*(AQ5+AQ12+AQ19)</f>
        <v>92</v>
      </c>
      <c r="AQ48" s="270"/>
      <c r="AR48" s="270">
        <f>(AR5+AR12+AR19)+2*(AS5+AS12+AS19)</f>
        <v>90</v>
      </c>
      <c r="AS48" s="271"/>
      <c r="AT48" s="271">
        <f>(AT5+AT12+AT19)+2*(AU5+AU12+AU19)</f>
        <v>105</v>
      </c>
      <c r="AU48" s="272"/>
      <c r="AV48" s="272">
        <f>(AV5+AV12+AV19)+2*(AW5+AW12+AW19)</f>
        <v>103</v>
      </c>
      <c r="AW48" s="273"/>
      <c r="AX48" s="273">
        <f>(AX5+AX12+AX19)+2*(AY5+AY12+AY19)</f>
        <v>105</v>
      </c>
      <c r="AY48" s="57"/>
      <c r="AZ48" s="57">
        <f>(AZ5+AZ12+AZ19)+2*(BA5+BA12+BA19)</f>
        <v>75</v>
      </c>
      <c r="BA48" s="117"/>
      <c r="BB48" s="115">
        <f>(BB5+BB12+BB19)+2*(BC5+BC12+BC19)</f>
        <v>57</v>
      </c>
      <c r="BC48" s="261"/>
      <c r="BD48" s="261">
        <f>(BD5+BD12+BD19)+2*(BE5+BE12+BE19)</f>
        <v>97</v>
      </c>
      <c r="BE48" s="117"/>
      <c r="BF48" s="57">
        <f>(BF5+BF12+BF19)+2*(BG5+BG12+BG19)</f>
        <v>105</v>
      </c>
      <c r="BG48" s="262"/>
      <c r="BH48" s="321">
        <f>(BH5+BH12+BH19)+2*(BI5+BI12+BI19)</f>
        <v>105</v>
      </c>
      <c r="BI48" s="321"/>
      <c r="BJ48" s="321">
        <f>(BJ5+BJ12+BJ19)+2*(BK5+BK12+BK19)</f>
        <v>104</v>
      </c>
      <c r="BK48" s="357"/>
      <c r="BL48" s="357">
        <f t="shared" ref="BK48:BL48" si="25">(BL5+BL12+BL19)+2*(BM5+BM12+BM19)</f>
        <v>94</v>
      </c>
      <c r="BM48" s="357"/>
    </row>
    <row r="49" spans="1:65" x14ac:dyDescent="0.25">
      <c r="A49" t="s">
        <v>80</v>
      </c>
      <c r="C49" s="8"/>
      <c r="D49" s="57">
        <f>(D8+D15+D22)+2*(E8+E15+E22)</f>
        <v>120</v>
      </c>
      <c r="E49" s="57"/>
      <c r="F49" s="57">
        <f>(F8+F15+F22)+2*(G8+G15+G22)</f>
        <v>119</v>
      </c>
      <c r="G49" s="57"/>
      <c r="H49" s="57">
        <f>(H8+H15+H22)+2*(I8+I15+I22)</f>
        <v>118</v>
      </c>
      <c r="I49" s="57"/>
      <c r="J49" s="57">
        <f>(J8+J15+J22)+2*(K8+K15+K22)</f>
        <v>75</v>
      </c>
      <c r="K49" s="57"/>
      <c r="L49" s="57">
        <f>(L8+L15+L22)+2*(M8+M15+M22)</f>
        <v>57</v>
      </c>
      <c r="M49" s="275"/>
      <c r="N49" s="275">
        <f>(N8+N15+N22)+2*(O8+O15+O22)</f>
        <v>118</v>
      </c>
      <c r="O49" s="276"/>
      <c r="P49" s="276">
        <f>(P8+P15+P22)+2*(Q8+Q15+Q22)</f>
        <v>118</v>
      </c>
      <c r="Q49" s="256"/>
      <c r="R49" s="256">
        <f>(R8+R15+R22)+2*(S8+S15+S22)</f>
        <v>117</v>
      </c>
      <c r="S49" s="57"/>
      <c r="T49" s="57">
        <f>(T8+T15+T22)+2*(U8+U15+U22)</f>
        <v>109</v>
      </c>
      <c r="U49" s="264"/>
      <c r="V49" s="264">
        <f>(V8+V15+V22)+2*(W8+W15+W22)</f>
        <v>109</v>
      </c>
      <c r="W49" s="265"/>
      <c r="X49" s="265">
        <f>(X8+X15+X22)+2*(Y8+Y15+Y22)</f>
        <v>75</v>
      </c>
      <c r="Y49" s="266"/>
      <c r="Z49" s="266">
        <f>(Z8+Z15+Z22)+2*(AA8+AA15+AA22)</f>
        <v>57</v>
      </c>
      <c r="AA49" s="267"/>
      <c r="AB49" s="267">
        <f>(AB8+AB15+AB22)+2*(AC8+AC15+AC22)</f>
        <v>110</v>
      </c>
      <c r="AC49" s="57"/>
      <c r="AD49" s="57">
        <f>(AD8+AD15+AD22)+2*(AE8+AE15+AE22)</f>
        <v>109</v>
      </c>
      <c r="AE49" s="57"/>
      <c r="AF49" s="247">
        <f>(AF8+AF15+AF22)+2*(AG8+AG15+AG22)</f>
        <v>109</v>
      </c>
      <c r="AG49" s="57"/>
      <c r="AH49" s="57">
        <f>(AH8+AH15+AH22)+2*(AI8+AI15+AI22)</f>
        <v>57</v>
      </c>
      <c r="AI49" s="260"/>
      <c r="AJ49" s="260">
        <f>(AJ8+AJ15+AJ22)+2*(AK8+AK15+AK22)</f>
        <v>28</v>
      </c>
      <c r="AK49" s="268"/>
      <c r="AL49" s="277">
        <f>(AL8+AL15+AL22)+2*(AM8+AM15+AM22)</f>
        <v>62</v>
      </c>
      <c r="AM49" s="269"/>
      <c r="AN49" s="269">
        <f>(AN8+AN15+AN22)+2*(AO8+AO15+AO22)</f>
        <v>58</v>
      </c>
      <c r="AO49" s="278"/>
      <c r="AP49" s="278">
        <f>(AP8+AP15+AP22)+2*(AQ8+AQ15+AQ22)</f>
        <v>90</v>
      </c>
      <c r="AQ49" s="270"/>
      <c r="AR49" s="270">
        <f>(AR8+AR15+AR22)+2*(AS8+AS15+AS22)</f>
        <v>86</v>
      </c>
      <c r="AS49" s="271"/>
      <c r="AT49" s="271">
        <f>(AT8+AT15+AT22)+2*(AU8+AU15+AU22)</f>
        <v>104</v>
      </c>
      <c r="AU49" s="272"/>
      <c r="AV49" s="272">
        <f>(AV8+AV15+AV22)+2*(AW8+AW15+AW22)</f>
        <v>103</v>
      </c>
      <c r="AW49" s="273"/>
      <c r="AX49" s="273">
        <f>(AX8+AX15+AX22)+2*(AY8+AY15+AY22)</f>
        <v>105</v>
      </c>
      <c r="AY49" s="57"/>
      <c r="AZ49" s="249">
        <f>(AZ8+AZ15+AZ22)+2*(BA8+BA15+BA22)</f>
        <v>75</v>
      </c>
      <c r="BA49" s="117"/>
      <c r="BB49" s="250">
        <f>(BB8+BB15+BB22)+2*(BC8+BC15+BC22)</f>
        <v>57</v>
      </c>
      <c r="BC49" s="261"/>
      <c r="BD49" s="261">
        <f>(BD8+BD15+BD22)+2*(BE8+BE15+BE22)</f>
        <v>97</v>
      </c>
      <c r="BE49" s="117"/>
      <c r="BF49" s="57">
        <f>(BF8+BF15+BF22)+2*(BG8+BG15+BG22)</f>
        <v>105</v>
      </c>
      <c r="BG49" s="262"/>
      <c r="BH49" s="321">
        <f>(BH8+BH15+BH22)+2*(BI8+BI15+BI22)</f>
        <v>105</v>
      </c>
      <c r="BI49" s="321"/>
      <c r="BJ49" s="321">
        <f>(BJ8+BJ15+BJ22)+2*(BK8+BK15+BK22)</f>
        <v>103</v>
      </c>
      <c r="BK49" s="357"/>
      <c r="BL49" s="357">
        <f t="shared" ref="BK49:BL49" si="26">(BL8+BL15+BL22)+2*(BM8+BM15+BM22)</f>
        <v>98</v>
      </c>
      <c r="BM49" s="357"/>
    </row>
    <row r="50" spans="1:65" x14ac:dyDescent="0.25">
      <c r="A50" t="s">
        <v>81</v>
      </c>
      <c r="C50" s="8"/>
      <c r="D50" s="57">
        <f>(D3+D10+D17)+2*(E3+E10+E17)</f>
        <v>39</v>
      </c>
      <c r="E50" s="57"/>
      <c r="F50" s="57">
        <f>(F3+F10+F17)+2*(G3+G10+G17)</f>
        <v>38</v>
      </c>
      <c r="G50" s="57"/>
      <c r="H50" s="57">
        <f>(H3+H10+H17)+2*(I3+I10+I17)</f>
        <v>38</v>
      </c>
      <c r="I50" s="57"/>
      <c r="J50" s="57">
        <f>(J3+J10+J17)+2*(K3+K10+K17)</f>
        <v>0</v>
      </c>
      <c r="K50" s="57"/>
      <c r="L50" s="57">
        <f>(L3+L10+L17)+2*(M3+M10+M17)</f>
        <v>0</v>
      </c>
      <c r="M50" s="275"/>
      <c r="N50" s="275">
        <f>(N3+N10+N17)+2*(O3+O10+O17)</f>
        <v>36</v>
      </c>
      <c r="O50" s="276"/>
      <c r="P50" s="276">
        <f>(P3+P10+P17)+2*(Q3+Q10+Q17)</f>
        <v>31</v>
      </c>
      <c r="Q50" s="256"/>
      <c r="R50" s="256">
        <f>(R3+R10+R17)+2*(S3+S10+S17)</f>
        <v>38</v>
      </c>
      <c r="S50" s="57"/>
      <c r="T50" s="57">
        <f>(T3+T10+T17)+2*(U3+U10+U17)</f>
        <v>36</v>
      </c>
      <c r="U50" s="264"/>
      <c r="V50" s="264">
        <f>(V3+V10+V17)+2*(W3+W10+W17)</f>
        <v>36</v>
      </c>
      <c r="W50" s="265"/>
      <c r="X50" s="265">
        <f>(X3+X10+X17)+2*(Y3+Y10+Y17)</f>
        <v>0</v>
      </c>
      <c r="Y50" s="266"/>
      <c r="Z50" s="266">
        <f>(Z3+Z10+Z17)+2*(AA3+AA10+AA17)</f>
        <v>0</v>
      </c>
      <c r="AA50" s="267"/>
      <c r="AB50" s="267">
        <f>(AB3+AB10+AB17)+2*(AC3+AC10+AC17)</f>
        <v>36</v>
      </c>
      <c r="AC50" s="57"/>
      <c r="AD50" s="57">
        <f>(AD3+AD10+AD17)+2*(AE3+AE10+AE17)</f>
        <v>32</v>
      </c>
      <c r="AE50" s="57"/>
      <c r="AF50" s="57">
        <f>(AF3+AF10+AF17)+2*(AG3+AG10+AG17)</f>
        <v>36</v>
      </c>
      <c r="AG50" s="57"/>
      <c r="AH50" s="57">
        <f>(AH3+AH10+AH17)+2*(AI3+AI10+AI17)</f>
        <v>0</v>
      </c>
      <c r="AI50" s="260"/>
      <c r="AJ50" s="260">
        <f>(AJ3+AJ10+AJ17)+2*(AK3+AK10+AK17)</f>
        <v>9</v>
      </c>
      <c r="AK50" s="268"/>
      <c r="AL50" s="277">
        <f>(AL3+AL10+AL17)+2*(AM3+AM10+AM17)</f>
        <v>0</v>
      </c>
      <c r="AM50" s="269"/>
      <c r="AN50" s="269">
        <f>(AN3+AN10+AN17)+2*(AO3+AO10+AO17)</f>
        <v>0</v>
      </c>
      <c r="AO50" s="278"/>
      <c r="AP50" s="278">
        <f>(AP3+AP10+AP17)+2*(AQ3+AQ10+AQ17)</f>
        <v>8</v>
      </c>
      <c r="AQ50" s="270"/>
      <c r="AR50" s="270">
        <f>(AR3+AR10+AR17)+2*(AS3+AS10+AS17)</f>
        <v>14</v>
      </c>
      <c r="AS50" s="271"/>
      <c r="AT50" s="271">
        <f>(AT3+AT10+AT17)+2*(AU3+AU10+AU17)</f>
        <v>26</v>
      </c>
      <c r="AU50" s="272"/>
      <c r="AV50" s="272">
        <f>(AV3+AV10+AV17)+2*(AW3+AW10+AW17)</f>
        <v>34</v>
      </c>
      <c r="AW50" s="273"/>
      <c r="AX50" s="273">
        <f>(AX3+AX10+AX17)+2*(AY3+AY10+AY17)</f>
        <v>34</v>
      </c>
      <c r="AY50" s="57"/>
      <c r="AZ50" s="57">
        <f>(AZ3+AZ10+AZ17)+2*(BA3+BA10+BA17)</f>
        <v>0</v>
      </c>
      <c r="BA50" s="117"/>
      <c r="BB50" s="115">
        <f>(BB3+BB10+BB17)+2*(BC3+BC10+BC17)</f>
        <v>0</v>
      </c>
      <c r="BC50" s="261"/>
      <c r="BD50" s="261">
        <f>(BD3+BD10+BD17)+2*(BE3+BE10+BE17)</f>
        <v>33</v>
      </c>
      <c r="BE50" s="117"/>
      <c r="BF50" s="57">
        <f>(BF3+BF10+BF17)+2*(BG3+BG10+BG17)</f>
        <v>33</v>
      </c>
      <c r="BG50" s="262"/>
      <c r="BH50" s="321">
        <f>(BH3+BH10+BH17)+2*(BI3+BI10+BI17)</f>
        <v>33</v>
      </c>
      <c r="BI50" s="321"/>
      <c r="BJ50" s="321">
        <f>(BJ3+BJ10+BJ17)+2*(BK3+BK10+BK17)</f>
        <v>32</v>
      </c>
      <c r="BK50" s="357"/>
      <c r="BL50" s="357">
        <f t="shared" ref="BK50:BL50" si="27">(BL3+BL10+BL17)+2*(BM3+BM10+BM17)</f>
        <v>16</v>
      </c>
      <c r="BM50" s="357"/>
    </row>
    <row r="51" spans="1:65" x14ac:dyDescent="0.25">
      <c r="A51" t="s">
        <v>82</v>
      </c>
      <c r="C51" s="8"/>
      <c r="D51" s="57">
        <f>(D6+D13+D20)+2*(E6+E13+E20)</f>
        <v>35</v>
      </c>
      <c r="E51" s="57"/>
      <c r="F51" s="57">
        <f>(F6+F13+F20)+2*(G6+G13+G20)</f>
        <v>34</v>
      </c>
      <c r="G51" s="57"/>
      <c r="H51" s="57">
        <f>(H6+H13+H20)+2*(I6+I13+I20)</f>
        <v>34</v>
      </c>
      <c r="I51" s="57"/>
      <c r="J51" s="57">
        <f>(J6+J13+J20)+2*(K6+K13+K20)</f>
        <v>0</v>
      </c>
      <c r="K51" s="57"/>
      <c r="L51" s="57">
        <f>(L6+L13+L20)+2*(M6+M13+M20)</f>
        <v>0</v>
      </c>
      <c r="M51" s="275"/>
      <c r="N51" s="275">
        <f>(N6+N13+N20)+2*(O6+O13+O20)</f>
        <v>33</v>
      </c>
      <c r="O51" s="276"/>
      <c r="P51" s="276">
        <f>(P6+P13+P20)+2*(Q6+Q13+Q20)</f>
        <v>31</v>
      </c>
      <c r="Q51" s="256"/>
      <c r="R51" s="256">
        <f>(R6+R13+R20)+2*(S6+S13+S20)</f>
        <v>34</v>
      </c>
      <c r="S51" s="57"/>
      <c r="T51" s="57">
        <f>(T6+T13+T20)+2*(U6+U13+U20)</f>
        <v>32</v>
      </c>
      <c r="U51" s="264"/>
      <c r="V51" s="264">
        <f>(V6+V13+V20)+2*(W6+W13+W20)</f>
        <v>32</v>
      </c>
      <c r="W51" s="265"/>
      <c r="X51" s="265">
        <f>(X6+X13+X20)+2*(Y6+Y13+Y20)</f>
        <v>0</v>
      </c>
      <c r="Y51" s="266"/>
      <c r="Z51" s="266">
        <f>(Z6+Z13+Z20)+2*(AA6+AA13+AA20)</f>
        <v>0</v>
      </c>
      <c r="AA51" s="267"/>
      <c r="AB51" s="267">
        <f>(AB6+AB13+AB20)+2*(AC6+AC13+AC20)</f>
        <v>32</v>
      </c>
      <c r="AC51" s="57"/>
      <c r="AD51" s="57">
        <f>(AD6+AD13+AD20)+2*(AE6+AE13+AE20)</f>
        <v>30</v>
      </c>
      <c r="AE51" s="57"/>
      <c r="AF51" s="57">
        <f>(AF6+AF13+AF20)+2*(AG6+AG13+AG20)</f>
        <v>32</v>
      </c>
      <c r="AG51" s="57"/>
      <c r="AH51" s="57">
        <f>(AH6+AH13+AH20)+2*(AI6+AI13+AI20)</f>
        <v>0</v>
      </c>
      <c r="AI51" s="260"/>
      <c r="AJ51" s="260">
        <f>(AJ6+AJ13+AJ20)+2*(AK6+AK13+AK20)</f>
        <v>11</v>
      </c>
      <c r="AK51" s="268"/>
      <c r="AL51" s="277">
        <f>(AL6+AL13+AL20)+2*(AM6+AM13+AM20)</f>
        <v>0</v>
      </c>
      <c r="AM51" s="269"/>
      <c r="AN51" s="269">
        <f>(AN6+AN13+AN20)+2*(AO6+AO13+AO20)</f>
        <v>0</v>
      </c>
      <c r="AO51" s="278"/>
      <c r="AP51" s="278">
        <f>(AP6+AP13+AP20)+2*(AQ6+AQ13+AQ20)</f>
        <v>9</v>
      </c>
      <c r="AQ51" s="270"/>
      <c r="AR51" s="270">
        <f>(AR6+AR13+AR20)+2*(AS6+AS13+AS20)</f>
        <v>16</v>
      </c>
      <c r="AS51" s="271"/>
      <c r="AT51" s="271">
        <f>(AT6+AT13+AT20)+2*(AU6+AU13+AU20)</f>
        <v>26</v>
      </c>
      <c r="AU51" s="272"/>
      <c r="AV51" s="272">
        <f>(AV6+AV13+AV20)+2*(AW6+AW13+AW20)</f>
        <v>32</v>
      </c>
      <c r="AW51" s="273"/>
      <c r="AX51" s="273">
        <f>(AX6+AX13+AX20)+2*(AY6+AY13+AY20)</f>
        <v>32</v>
      </c>
      <c r="AY51" s="57"/>
      <c r="AZ51" s="57">
        <f>(AZ6+AZ13+AZ20)+2*(BA6+BA13+BA20)</f>
        <v>0</v>
      </c>
      <c r="BA51" s="117"/>
      <c r="BB51" s="115">
        <f>(BB6+BB13+BB20)+2*(BC6+BC13+BC20)</f>
        <v>0</v>
      </c>
      <c r="BC51" s="261"/>
      <c r="BD51" s="261">
        <f>(BD6+BD13+BD20)+2*(BE6+BE13+BE20)</f>
        <v>31</v>
      </c>
      <c r="BE51" s="117"/>
      <c r="BF51" s="57">
        <f>(BF6+BF13+BF20)+2*(BG6+BG13+BG20)</f>
        <v>32</v>
      </c>
      <c r="BG51" s="262"/>
      <c r="BH51" s="321">
        <f>(BH6+BH13+BH20)+2*(BI6+BI13+BI20)</f>
        <v>32</v>
      </c>
      <c r="BI51" s="321"/>
      <c r="BJ51" s="321">
        <f>(BJ6+BJ13+BJ20)+2*(BK6+BK13+BK20)</f>
        <v>30</v>
      </c>
      <c r="BK51" s="357"/>
      <c r="BL51" s="357">
        <f t="shared" ref="BK51:BL51" si="28">(BL6+BL13+BL20)+2*(BM6+BM13+BM20)</f>
        <v>17</v>
      </c>
      <c r="BM51" s="357"/>
    </row>
    <row r="52" spans="1:65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75"/>
      <c r="N52" s="275">
        <f>(N4+N11+N18)+2*(O4+O11+O18)</f>
        <v>0</v>
      </c>
      <c r="O52" s="276"/>
      <c r="P52" s="276">
        <f>(P4+P11+P18)+2*(Q4+Q11+Q18)</f>
        <v>0</v>
      </c>
      <c r="Q52" s="256"/>
      <c r="R52" s="256">
        <f>(R4+R11+R18)+2*(S4+S11+S18)</f>
        <v>0</v>
      </c>
      <c r="S52" s="154"/>
      <c r="T52" s="154">
        <f>(T4+T11+T18)+2*(U4+U11+U18)</f>
        <v>0</v>
      </c>
      <c r="U52" s="264"/>
      <c r="V52" s="264">
        <f>(V4+V11+V18)+2*(W4+W11+W18)</f>
        <v>0</v>
      </c>
      <c r="W52" s="265"/>
      <c r="X52" s="265">
        <f>(X4+X11+X18)+2*(Y4+Y11+Y18)</f>
        <v>0</v>
      </c>
      <c r="Y52" s="266"/>
      <c r="Z52" s="266">
        <f>(Z4+Z11+Z18)+2*(AA4+AA11+AA18)</f>
        <v>0</v>
      </c>
      <c r="AA52" s="267"/>
      <c r="AB52" s="267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0"/>
      <c r="AJ52" s="260">
        <f>(AJ4+AJ11+AJ18)+2*(AK4+AK11+AK18)</f>
        <v>0</v>
      </c>
      <c r="AK52" s="268"/>
      <c r="AL52" s="277">
        <f>(AL4+AL11+AL18)+2*(AM4+AM11+AM18)</f>
        <v>0</v>
      </c>
      <c r="AM52" s="269"/>
      <c r="AN52" s="269">
        <f>(AN4+AN11+AN18)+2*(AO4+AO11+AO18)</f>
        <v>0</v>
      </c>
      <c r="AO52" s="278"/>
      <c r="AP52" s="278">
        <f>(AP4+AP11+AP18)+2*(AQ4+AQ11+AQ18)</f>
        <v>0</v>
      </c>
      <c r="AQ52" s="270"/>
      <c r="AR52" s="270">
        <f>(AR4+AR11+AR18)+2*(AS4+AS11+AS18)</f>
        <v>0</v>
      </c>
      <c r="AS52" s="271"/>
      <c r="AT52" s="271">
        <f>(AT4+AT11+AT18)+2*(AU4+AU11+AU18)</f>
        <v>0</v>
      </c>
      <c r="AU52" s="272"/>
      <c r="AV52" s="272">
        <f>(AV4+AV11+AV18)+2*(AW4+AW11+AW18)</f>
        <v>0</v>
      </c>
      <c r="AW52" s="315"/>
      <c r="AX52" s="273">
        <f>(AX4+AX11+AX18)+2*(AY4+AY11+AY18)</f>
        <v>0</v>
      </c>
      <c r="AY52" s="315"/>
      <c r="AZ52" s="154">
        <f>(AZ4+AZ11+AZ18)+2*(BA4+BA11+BA18)</f>
        <v>0</v>
      </c>
      <c r="BA52" s="315"/>
      <c r="BB52" s="154">
        <f>(BB4+BB11+BB18)+2*(BC4+BC11+BC18)</f>
        <v>0</v>
      </c>
      <c r="BC52" s="261"/>
      <c r="BD52" s="261">
        <f>(BD4+BD11+BD18)+2*(BE4+BE11+BE18)</f>
        <v>0</v>
      </c>
      <c r="BE52" s="154"/>
      <c r="BF52" s="154">
        <f>(BF4+BF11+BF18)+2*(BG4+BG11+BG18)</f>
        <v>0</v>
      </c>
      <c r="BG52" s="262"/>
      <c r="BH52" s="321">
        <f>(BH4+BH11+BH18)+2*(BI4+BI11+BI18)</f>
        <v>0</v>
      </c>
      <c r="BI52" s="321"/>
      <c r="BJ52" s="321">
        <f>(BJ4+BJ11+BJ18)+2*(BK4+BK11+BK18)</f>
        <v>0</v>
      </c>
      <c r="BK52" s="357"/>
      <c r="BL52" s="357">
        <f t="shared" ref="BK52:BL52" si="29">(BL4+BL11+BL18)+2*(BM4+BM11+BM18)</f>
        <v>0</v>
      </c>
      <c r="BM52" s="357"/>
    </row>
    <row r="53" spans="1:65" x14ac:dyDescent="0.25">
      <c r="A53" t="s">
        <v>35</v>
      </c>
      <c r="C53" s="8"/>
      <c r="D53" s="57">
        <f>(D7+D14+D21)+2*(E7+E14+E21)</f>
        <v>4</v>
      </c>
      <c r="E53" s="57"/>
      <c r="F53" s="57">
        <f>(F7+F14+F21)+2*(G7+G14+G21)</f>
        <v>4</v>
      </c>
      <c r="G53" s="57"/>
      <c r="H53" s="57">
        <f>(H7+H14+H21)+2*(I7+I14+I21)</f>
        <v>4</v>
      </c>
      <c r="I53" s="57"/>
      <c r="J53" s="57">
        <f>(J7+J14+J21)+2*(K7+K14+K21)</f>
        <v>0</v>
      </c>
      <c r="K53" s="57"/>
      <c r="L53" s="57">
        <f>(L7+L14+L21)+2*(M7+M14+M21)</f>
        <v>0</v>
      </c>
      <c r="M53" s="275"/>
      <c r="N53" s="275">
        <f>(N7+N14+N21)+2*(O7+O14+O21)</f>
        <v>4</v>
      </c>
      <c r="O53" s="276"/>
      <c r="P53" s="276">
        <f>(P7+P14+P21)+2*(Q7+Q14+Q21)</f>
        <v>4</v>
      </c>
      <c r="Q53" s="256"/>
      <c r="R53" s="256">
        <f>(R7+R14+R21)+2*(S7+S14+S21)</f>
        <v>4</v>
      </c>
      <c r="S53" s="57"/>
      <c r="T53" s="57">
        <f>(T7+T14+T21)+2*(U7+U14+U21)</f>
        <v>4</v>
      </c>
      <c r="U53" s="264"/>
      <c r="V53" s="264">
        <f>(V7+V14+V21)+2*(W7+W14+W21)</f>
        <v>4</v>
      </c>
      <c r="W53" s="265"/>
      <c r="X53" s="265">
        <f>(X7+X14+X21)+2*(Y7+Y14+Y21)</f>
        <v>0</v>
      </c>
      <c r="Y53" s="266"/>
      <c r="Z53" s="266">
        <f>(Z7+Z14+Z21)+2*(AA7+AA14+AA21)</f>
        <v>0</v>
      </c>
      <c r="AA53" s="267"/>
      <c r="AB53" s="267">
        <f>(AB7+AB14+AB21)+2*(AC7+AC14+AC21)</f>
        <v>4</v>
      </c>
      <c r="AC53" s="57"/>
      <c r="AD53" s="57">
        <f>(AD7+AD14+AD21)+2*(AE7+AE14+AE21)</f>
        <v>5</v>
      </c>
      <c r="AE53" s="57"/>
      <c r="AF53" s="247">
        <f>(AF7+AF14+AF21)+2*(AG7+AG14+AG21)</f>
        <v>4</v>
      </c>
      <c r="AG53" s="57"/>
      <c r="AH53" s="57">
        <f>(AH7+AH14+AH21)+2*(AI7+AI14+AI21)</f>
        <v>0</v>
      </c>
      <c r="AI53" s="260"/>
      <c r="AJ53" s="260">
        <f>(AJ7+AJ14+AJ21)+2*(AK7+AK14+AK21)</f>
        <v>1</v>
      </c>
      <c r="AK53" s="268"/>
      <c r="AL53" s="277">
        <f>(AL7+AL14+AL21)+2*(AM7+AM14+AM21)</f>
        <v>0</v>
      </c>
      <c r="AM53" s="269"/>
      <c r="AN53" s="269">
        <f>(AN7+AN14+AN21)+2*(AO7+AO14+AO21)</f>
        <v>0</v>
      </c>
      <c r="AO53" s="278"/>
      <c r="AP53" s="278">
        <f>(AP7+AP14+AP21)+2*(AQ7+AQ14+AQ21)</f>
        <v>1</v>
      </c>
      <c r="AQ53" s="270"/>
      <c r="AR53" s="270">
        <f>(AR7+AR14+AR21)+2*(AS7+AS14+AS21)</f>
        <v>1</v>
      </c>
      <c r="AS53" s="271"/>
      <c r="AT53" s="271">
        <f>(AT7+AT14+AT21)+2*(AU7+AU14+AU21)</f>
        <v>1</v>
      </c>
      <c r="AU53" s="272"/>
      <c r="AV53" s="272">
        <f>(AV7+AV14+AV21)+2*(AW7+AW14+AW21)</f>
        <v>2</v>
      </c>
      <c r="AW53" s="315"/>
      <c r="AX53" s="273">
        <f>(AX7+AX14+AX21)+2*(AY7+AY14+AY21)</f>
        <v>2</v>
      </c>
      <c r="AY53" s="315"/>
      <c r="AZ53" s="249">
        <f>(AZ7+AZ14+AZ21)+2*(BA7+BA14+BA21)</f>
        <v>0</v>
      </c>
      <c r="BA53" s="315"/>
      <c r="BB53" s="250">
        <f>(BB7+BB14+BB21)+2*(BC7+BC14+BC21)</f>
        <v>0</v>
      </c>
      <c r="BC53" s="315"/>
      <c r="BD53" s="261">
        <f>(BD7+BD14+BD21)+2*(BE7+BE14+BE21)</f>
        <v>2</v>
      </c>
      <c r="BE53" s="315"/>
      <c r="BF53" s="57">
        <f>(BF7+BF14+BF21)+2*(BG7+BG14+BG21)</f>
        <v>1</v>
      </c>
      <c r="BG53" s="262"/>
      <c r="BH53" s="321">
        <f>(BH7+BH14+BH21)+2*(BI7+BI14+BI21)</f>
        <v>1</v>
      </c>
      <c r="BI53" s="321"/>
      <c r="BJ53" s="321">
        <f>(BJ7+BJ14+BJ21)+2*(BK7+BK14+BK21)</f>
        <v>2</v>
      </c>
      <c r="BK53" s="357"/>
      <c r="BL53" s="357">
        <f t="shared" ref="BK53:BL53" si="30">(BL7+BL14+BL21)+2*(BM7+BM14+BM21)</f>
        <v>1</v>
      </c>
      <c r="BM53" s="357"/>
    </row>
    <row r="56" spans="1:65" ht="15.75" thickBot="1" x14ac:dyDescent="0.3"/>
    <row r="57" spans="1:65" ht="15.75" thickBot="1" x14ac:dyDescent="0.3">
      <c r="AN57" s="399"/>
      <c r="AO57" s="399"/>
      <c r="AP57" s="399"/>
      <c r="AQ57" s="399"/>
      <c r="AR57" s="399"/>
      <c r="AS57" s="399"/>
      <c r="AT57" s="400"/>
      <c r="AU57" s="400"/>
      <c r="AV57" s="400"/>
      <c r="AW57" s="400"/>
      <c r="AX57" s="400"/>
      <c r="AY57" s="400"/>
      <c r="AZ57" s="400"/>
      <c r="BA57" s="400"/>
      <c r="BB57" s="399"/>
      <c r="BC57" s="399"/>
      <c r="BD57" s="399"/>
      <c r="BE57" s="399"/>
      <c r="BF57" s="399"/>
      <c r="BG57" s="399"/>
      <c r="BH57" s="355"/>
      <c r="BI57" s="356"/>
    </row>
    <row r="58" spans="1:65" ht="15.75" thickBot="1" x14ac:dyDescent="0.3">
      <c r="AN58" s="399"/>
      <c r="AO58" s="399"/>
      <c r="AP58" s="399"/>
      <c r="AQ58" s="399"/>
      <c r="AR58" s="399"/>
      <c r="AS58" s="399"/>
      <c r="AT58" s="400"/>
      <c r="AU58" s="400"/>
      <c r="AV58" s="400"/>
      <c r="AW58" s="400"/>
      <c r="AX58" s="400"/>
      <c r="AY58" s="400"/>
      <c r="AZ58" s="400"/>
      <c r="BA58" s="400"/>
      <c r="BB58" s="399"/>
      <c r="BC58" s="399"/>
      <c r="BD58" s="399"/>
      <c r="BE58" s="399"/>
      <c r="BF58" s="399"/>
      <c r="BG58" s="399"/>
      <c r="BH58" s="355"/>
      <c r="BI58" s="356"/>
    </row>
  </sheetData>
  <mergeCells count="32">
    <mergeCell ref="BL1:BM1"/>
    <mergeCell ref="BH1:BI1"/>
    <mergeCell ref="BJ1:BK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1"/>
  <sheetViews>
    <sheetView zoomScale="85" zoomScaleNormal="85" workbookViewId="0">
      <selection activeCell="AC30" sqref="AC30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2" width="10.5703125" bestFit="1" customWidth="1"/>
    <col min="33" max="33" width="10.5703125" style="124" bestFit="1" customWidth="1"/>
  </cols>
  <sheetData>
    <row r="1" spans="1:33" ht="24.75" x14ac:dyDescent="0.45">
      <c r="A1" s="127" t="s">
        <v>183</v>
      </c>
      <c r="B1" s="77"/>
    </row>
    <row r="3" spans="1:33" x14ac:dyDescent="0.25">
      <c r="A3" s="78"/>
      <c r="B3" s="78"/>
      <c r="C3" s="93">
        <v>46204</v>
      </c>
      <c r="D3" s="93">
        <v>46205</v>
      </c>
      <c r="E3" s="93">
        <v>46206</v>
      </c>
      <c r="F3" s="93">
        <v>46207</v>
      </c>
      <c r="G3" s="93">
        <v>46208</v>
      </c>
      <c r="H3" s="93">
        <v>46209</v>
      </c>
      <c r="I3" s="93">
        <v>46210</v>
      </c>
      <c r="J3" s="93">
        <v>46211</v>
      </c>
      <c r="K3" s="93">
        <v>46212</v>
      </c>
      <c r="L3" s="93">
        <v>46213</v>
      </c>
      <c r="M3" s="93">
        <v>46214</v>
      </c>
      <c r="N3" s="93">
        <v>46215</v>
      </c>
      <c r="O3" s="93">
        <v>46216</v>
      </c>
      <c r="P3" s="93">
        <v>46217</v>
      </c>
      <c r="Q3" s="93">
        <v>46218</v>
      </c>
      <c r="R3" s="93">
        <v>46219</v>
      </c>
      <c r="S3" s="93">
        <v>46220</v>
      </c>
      <c r="T3" s="93">
        <v>46221</v>
      </c>
      <c r="U3" s="93">
        <v>46222</v>
      </c>
      <c r="V3" s="93">
        <v>46223</v>
      </c>
      <c r="W3" s="93">
        <v>46224</v>
      </c>
      <c r="X3" s="93">
        <v>46225</v>
      </c>
      <c r="Y3" s="93">
        <v>46226</v>
      </c>
      <c r="Z3" s="93">
        <v>46227</v>
      </c>
      <c r="AA3" s="93">
        <v>46228</v>
      </c>
      <c r="AB3" s="93">
        <v>46229</v>
      </c>
      <c r="AC3" s="93">
        <v>46230</v>
      </c>
      <c r="AD3" s="93">
        <v>46231</v>
      </c>
      <c r="AE3" s="93">
        <v>46232</v>
      </c>
      <c r="AF3" s="93">
        <v>46233</v>
      </c>
      <c r="AG3" s="93">
        <v>46234</v>
      </c>
    </row>
    <row r="4" spans="1:33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</row>
    <row r="5" spans="1:33" s="85" customFormat="1" ht="14.25" x14ac:dyDescent="0.2">
      <c r="A5" s="81" t="s">
        <v>74</v>
      </c>
      <c r="B5" s="82">
        <v>43.13</v>
      </c>
      <c r="C5" s="95">
        <f>'Data Ocupacion'!D40</f>
        <v>79</v>
      </c>
      <c r="D5" s="95">
        <f>'Data Ocupacion'!F40</f>
        <v>79</v>
      </c>
      <c r="E5" s="95">
        <f>'Data Ocupacion'!H40</f>
        <v>79</v>
      </c>
      <c r="F5" s="95">
        <f>'Data Ocupacion'!J40</f>
        <v>72</v>
      </c>
      <c r="G5" s="95">
        <f>'Data Ocupacion'!L40</f>
        <v>54</v>
      </c>
      <c r="H5" s="95">
        <f>'Data Ocupacion'!N40</f>
        <v>79</v>
      </c>
      <c r="I5" s="95">
        <f>'Data Ocupacion'!P40</f>
        <v>82</v>
      </c>
      <c r="J5" s="95">
        <f>'Data Ocupacion'!R40</f>
        <v>79</v>
      </c>
      <c r="K5" s="95">
        <f>'Data Ocupacion'!T40</f>
        <v>79</v>
      </c>
      <c r="L5" s="95">
        <f>'Data Ocupacion'!V40</f>
        <v>79</v>
      </c>
      <c r="M5" s="95">
        <f>'Data Ocupacion'!X40</f>
        <v>72</v>
      </c>
      <c r="N5" s="95">
        <f>'Data Ocupacion'!Z40</f>
        <v>54</v>
      </c>
      <c r="O5" s="95">
        <f>'Data Ocupacion'!AB40</f>
        <v>79</v>
      </c>
      <c r="P5" s="95">
        <f>'Data Ocupacion'!AD40</f>
        <v>80</v>
      </c>
      <c r="Q5" s="95">
        <f>'Data Ocupacion'!AF40</f>
        <v>79</v>
      </c>
      <c r="R5" s="95">
        <f>'Data Ocupacion'!AH40</f>
        <v>54</v>
      </c>
      <c r="S5" s="95">
        <f>'Data Ocupacion'!AJ40</f>
        <v>30</v>
      </c>
      <c r="T5" s="95">
        <f>'Data Ocupacion'!AL40</f>
        <v>59</v>
      </c>
      <c r="U5" s="95">
        <f>'Data Ocupacion'!AN40</f>
        <v>54</v>
      </c>
      <c r="V5" s="95">
        <f>'Data Ocupacion'!AP40</f>
        <v>78</v>
      </c>
      <c r="W5" s="95">
        <f>'Data Ocupacion'!AR40</f>
        <v>75</v>
      </c>
      <c r="X5" s="95">
        <f>'Data Ocupacion'!AT40</f>
        <v>80</v>
      </c>
      <c r="Y5" s="95">
        <f>'Data Ocupacion'!AV40</f>
        <v>79</v>
      </c>
      <c r="Z5" s="95">
        <f>'Data Ocupacion'!AX40</f>
        <v>79</v>
      </c>
      <c r="AA5" s="95">
        <f>'Data Ocupacion'!AZ40</f>
        <v>72</v>
      </c>
      <c r="AB5" s="95">
        <f>'Data Ocupacion'!BB40</f>
        <v>54</v>
      </c>
      <c r="AC5" s="95">
        <f>'Data Ocupacion'!BD40</f>
        <v>79</v>
      </c>
      <c r="AD5" s="95">
        <f>'Data Ocupacion'!BF40</f>
        <v>79</v>
      </c>
      <c r="AE5" s="95">
        <f>'Data Ocupacion'!BH40</f>
        <v>79</v>
      </c>
      <c r="AF5" s="95">
        <f>'Data Ocupacion'!BJ40</f>
        <v>79</v>
      </c>
      <c r="AG5" s="95">
        <f>'Data Ocupacion'!BL40</f>
        <v>78</v>
      </c>
    </row>
    <row r="6" spans="1:33" s="85" customFormat="1" ht="14.25" x14ac:dyDescent="0.2">
      <c r="A6" s="81" t="s">
        <v>77</v>
      </c>
      <c r="B6" s="82">
        <v>43.13</v>
      </c>
      <c r="C6" s="95">
        <f>'Data Ocupacion'!D41</f>
        <v>78</v>
      </c>
      <c r="D6" s="95">
        <f>'Data Ocupacion'!F41</f>
        <v>78</v>
      </c>
      <c r="E6" s="95">
        <f>'Data Ocupacion'!H41</f>
        <v>78</v>
      </c>
      <c r="F6" s="95">
        <f>'Data Ocupacion'!J41</f>
        <v>75</v>
      </c>
      <c r="G6" s="95">
        <f>'Data Ocupacion'!L41</f>
        <v>57</v>
      </c>
      <c r="H6" s="95">
        <f>'Data Ocupacion'!N41</f>
        <v>78</v>
      </c>
      <c r="I6" s="95">
        <f>'Data Ocupacion'!P41</f>
        <v>78</v>
      </c>
      <c r="J6" s="95">
        <f>'Data Ocupacion'!R41</f>
        <v>78</v>
      </c>
      <c r="K6" s="95">
        <f>'Data Ocupacion'!T41</f>
        <v>78</v>
      </c>
      <c r="L6" s="95">
        <f>'Data Ocupacion'!V41</f>
        <v>78</v>
      </c>
      <c r="M6" s="95">
        <f>'Data Ocupacion'!X41</f>
        <v>75</v>
      </c>
      <c r="N6" s="95">
        <f>'Data Ocupacion'!Z41</f>
        <v>57</v>
      </c>
      <c r="O6" s="95">
        <f>'Data Ocupacion'!AB41</f>
        <v>78</v>
      </c>
      <c r="P6" s="95">
        <f>'Data Ocupacion'!AD41</f>
        <v>78</v>
      </c>
      <c r="Q6" s="95">
        <f>'Data Ocupacion'!AF41</f>
        <v>78</v>
      </c>
      <c r="R6" s="95">
        <f>'Data Ocupacion'!AH41</f>
        <v>57</v>
      </c>
      <c r="S6" s="95">
        <f>'Data Ocupacion'!AJ41</f>
        <v>28</v>
      </c>
      <c r="T6" s="95">
        <f>'Data Ocupacion'!AL41</f>
        <v>62</v>
      </c>
      <c r="U6" s="95">
        <f>'Data Ocupacion'!AN41</f>
        <v>57</v>
      </c>
      <c r="V6" s="95">
        <f>'Data Ocupacion'!AP41</f>
        <v>78</v>
      </c>
      <c r="W6" s="95">
        <f>'Data Ocupacion'!AR41</f>
        <v>73</v>
      </c>
      <c r="X6" s="95">
        <f>'Data Ocupacion'!AT41</f>
        <v>78</v>
      </c>
      <c r="Y6" s="95">
        <f>'Data Ocupacion'!AV41</f>
        <v>78</v>
      </c>
      <c r="Z6" s="95">
        <f>'Data Ocupacion'!AX41</f>
        <v>78</v>
      </c>
      <c r="AA6" s="95">
        <f>'Data Ocupacion'!AZ41</f>
        <v>75</v>
      </c>
      <c r="AB6" s="95">
        <f>'Data Ocupacion'!BB41</f>
        <v>57</v>
      </c>
      <c r="AC6" s="95">
        <f>'Data Ocupacion'!BD41</f>
        <v>78</v>
      </c>
      <c r="AD6" s="95">
        <f>'Data Ocupacion'!BF41</f>
        <v>78</v>
      </c>
      <c r="AE6" s="95">
        <f>'Data Ocupacion'!BH41</f>
        <v>78</v>
      </c>
      <c r="AF6" s="95">
        <f>'Data Ocupacion'!BJ41</f>
        <v>78</v>
      </c>
      <c r="AG6" s="95">
        <f>'Data Ocupacion'!BL41</f>
        <v>79</v>
      </c>
    </row>
    <row r="7" spans="1:33" s="85" customFormat="1" ht="14.25" x14ac:dyDescent="0.2">
      <c r="A7" s="81" t="s">
        <v>73</v>
      </c>
      <c r="B7" s="82">
        <v>29.11</v>
      </c>
      <c r="C7" s="95">
        <f>'Data Ocupacion'!D42</f>
        <v>36</v>
      </c>
      <c r="D7" s="95">
        <f>'Data Ocupacion'!F42</f>
        <v>36</v>
      </c>
      <c r="E7" s="95">
        <f>'Data Ocupacion'!H42</f>
        <v>36</v>
      </c>
      <c r="F7" s="95">
        <f>'Data Ocupacion'!J42</f>
        <v>0</v>
      </c>
      <c r="G7" s="95">
        <f>'Data Ocupacion'!L42</f>
        <v>0</v>
      </c>
      <c r="H7" s="95">
        <f>'Data Ocupacion'!N42</f>
        <v>34</v>
      </c>
      <c r="I7" s="95">
        <f>'Data Ocupacion'!P42</f>
        <v>29</v>
      </c>
      <c r="J7" s="95">
        <f>'Data Ocupacion'!R42</f>
        <v>36</v>
      </c>
      <c r="K7" s="95">
        <f>'Data Ocupacion'!T42</f>
        <v>36</v>
      </c>
      <c r="L7" s="95">
        <f>'Data Ocupacion'!V42</f>
        <v>36</v>
      </c>
      <c r="M7" s="95">
        <f>'Data Ocupacion'!X42</f>
        <v>0</v>
      </c>
      <c r="N7" s="95">
        <f>'Data Ocupacion'!Z42</f>
        <v>0</v>
      </c>
      <c r="O7" s="95">
        <f>'Data Ocupacion'!AB42</f>
        <v>36</v>
      </c>
      <c r="P7" s="95">
        <f>'Data Ocupacion'!AD42</f>
        <v>32</v>
      </c>
      <c r="Q7" s="95">
        <f>'Data Ocupacion'!AF42</f>
        <v>36</v>
      </c>
      <c r="R7" s="95">
        <f>'Data Ocupacion'!AH42</f>
        <v>0</v>
      </c>
      <c r="S7" s="95">
        <f>'Data Ocupacion'!AJ42</f>
        <v>9</v>
      </c>
      <c r="T7" s="95">
        <f>'Data Ocupacion'!AL42</f>
        <v>0</v>
      </c>
      <c r="U7" s="95">
        <f>'Data Ocupacion'!AN42</f>
        <v>0</v>
      </c>
      <c r="V7" s="95">
        <f>'Data Ocupacion'!AP42</f>
        <v>8</v>
      </c>
      <c r="W7" s="95">
        <f>'Data Ocupacion'!AR42</f>
        <v>13</v>
      </c>
      <c r="X7" s="95">
        <f>'Data Ocupacion'!AT42</f>
        <v>26</v>
      </c>
      <c r="Y7" s="95">
        <f>'Data Ocupacion'!AV42</f>
        <v>34</v>
      </c>
      <c r="Z7" s="95">
        <f>'Data Ocupacion'!AX42</f>
        <v>34</v>
      </c>
      <c r="AA7" s="95">
        <f>'Data Ocupacion'!AZ42</f>
        <v>0</v>
      </c>
      <c r="AB7" s="95">
        <f>'Data Ocupacion'!BB42</f>
        <v>0</v>
      </c>
      <c r="AC7" s="95">
        <f>'Data Ocupacion'!BD42</f>
        <v>33</v>
      </c>
      <c r="AD7" s="95">
        <f>'Data Ocupacion'!BF42</f>
        <v>33</v>
      </c>
      <c r="AE7" s="95">
        <f>'Data Ocupacion'!BH42</f>
        <v>33</v>
      </c>
      <c r="AF7" s="95">
        <f>'Data Ocupacion'!BJ42</f>
        <v>31</v>
      </c>
      <c r="AG7" s="95">
        <f>'Data Ocupacion'!BL42</f>
        <v>14</v>
      </c>
    </row>
    <row r="8" spans="1:33" s="85" customFormat="1" ht="14.25" x14ac:dyDescent="0.2">
      <c r="A8" s="81" t="s">
        <v>75</v>
      </c>
      <c r="B8" s="82">
        <v>29.11</v>
      </c>
      <c r="C8" s="95">
        <f>'Data Ocupacion'!D43</f>
        <v>32</v>
      </c>
      <c r="D8" s="95">
        <f>'Data Ocupacion'!F43</f>
        <v>32</v>
      </c>
      <c r="E8" s="95">
        <f>'Data Ocupacion'!H43</f>
        <v>32</v>
      </c>
      <c r="F8" s="95">
        <f>'Data Ocupacion'!J43</f>
        <v>0</v>
      </c>
      <c r="G8" s="95">
        <f>'Data Ocupacion'!L43</f>
        <v>0</v>
      </c>
      <c r="H8" s="95">
        <f>'Data Ocupacion'!N43</f>
        <v>31</v>
      </c>
      <c r="I8" s="95">
        <f>'Data Ocupacion'!P43</f>
        <v>29</v>
      </c>
      <c r="J8" s="95">
        <f>'Data Ocupacion'!R43</f>
        <v>32</v>
      </c>
      <c r="K8" s="95">
        <f>'Data Ocupacion'!T43</f>
        <v>32</v>
      </c>
      <c r="L8" s="95">
        <f>'Data Ocupacion'!V43</f>
        <v>32</v>
      </c>
      <c r="M8" s="95">
        <f>'Data Ocupacion'!X43</f>
        <v>0</v>
      </c>
      <c r="N8" s="95">
        <f>'Data Ocupacion'!Z43</f>
        <v>0</v>
      </c>
      <c r="O8" s="95">
        <f>'Data Ocupacion'!AB43</f>
        <v>32</v>
      </c>
      <c r="P8" s="95">
        <f>'Data Ocupacion'!AD43</f>
        <v>30</v>
      </c>
      <c r="Q8" s="95">
        <f>'Data Ocupacion'!AF43</f>
        <v>32</v>
      </c>
      <c r="R8" s="95">
        <f>'Data Ocupacion'!AH43</f>
        <v>0</v>
      </c>
      <c r="S8" s="95">
        <f>'Data Ocupacion'!AJ43</f>
        <v>11</v>
      </c>
      <c r="T8" s="95">
        <f>'Data Ocupacion'!AL43</f>
        <v>0</v>
      </c>
      <c r="U8" s="95">
        <f>'Data Ocupacion'!AN43</f>
        <v>0</v>
      </c>
      <c r="V8" s="95">
        <f>'Data Ocupacion'!AP43</f>
        <v>8</v>
      </c>
      <c r="W8" s="95">
        <f>'Data Ocupacion'!AR43</f>
        <v>15</v>
      </c>
      <c r="X8" s="95">
        <f>'Data Ocupacion'!AT43</f>
        <v>26</v>
      </c>
      <c r="Y8" s="95">
        <f>'Data Ocupacion'!AV43</f>
        <v>32</v>
      </c>
      <c r="Z8" s="95">
        <f>'Data Ocupacion'!AX43</f>
        <v>32</v>
      </c>
      <c r="AA8" s="95">
        <f>'Data Ocupacion'!AZ43</f>
        <v>0</v>
      </c>
      <c r="AB8" s="95">
        <f>'Data Ocupacion'!BB43</f>
        <v>0</v>
      </c>
      <c r="AC8" s="95">
        <f>'Data Ocupacion'!BD43</f>
        <v>31</v>
      </c>
      <c r="AD8" s="95">
        <f>'Data Ocupacion'!BF43</f>
        <v>32</v>
      </c>
      <c r="AE8" s="95">
        <f>'Data Ocupacion'!BH43</f>
        <v>32</v>
      </c>
      <c r="AF8" s="95">
        <f>'Data Ocupacion'!BJ43</f>
        <v>30</v>
      </c>
      <c r="AG8" s="95">
        <f>'Data Ocupacion'!BL43</f>
        <v>16</v>
      </c>
    </row>
    <row r="9" spans="1:33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  <c r="AG9" s="95">
        <f>'Data Ocupacion'!BL44</f>
        <v>0</v>
      </c>
    </row>
    <row r="10" spans="1:33" s="85" customFormat="1" ht="14.25" x14ac:dyDescent="0.2">
      <c r="A10" s="210" t="s">
        <v>76</v>
      </c>
      <c r="B10" s="82">
        <v>25.4</v>
      </c>
      <c r="C10" s="95">
        <f>'Data Ocupacion'!D45</f>
        <v>4</v>
      </c>
      <c r="D10" s="95">
        <f>'Data Ocupacion'!F45</f>
        <v>4</v>
      </c>
      <c r="E10" s="95">
        <f>'Data Ocupacion'!H45</f>
        <v>4</v>
      </c>
      <c r="F10" s="95">
        <f>'Data Ocupacion'!J45</f>
        <v>0</v>
      </c>
      <c r="G10" s="95">
        <f>'Data Ocupacion'!L45</f>
        <v>0</v>
      </c>
      <c r="H10" s="95">
        <f>'Data Ocupacion'!N45</f>
        <v>4</v>
      </c>
      <c r="I10" s="95">
        <f>'Data Ocupacion'!P45</f>
        <v>4</v>
      </c>
      <c r="J10" s="95">
        <f>'Data Ocupacion'!R45</f>
        <v>4</v>
      </c>
      <c r="K10" s="95">
        <f>'Data Ocupacion'!T45</f>
        <v>4</v>
      </c>
      <c r="L10" s="95">
        <f>'Data Ocupacion'!V45</f>
        <v>4</v>
      </c>
      <c r="M10" s="95">
        <f>'Data Ocupacion'!X45</f>
        <v>0</v>
      </c>
      <c r="N10" s="95">
        <f>'Data Ocupacion'!Z45</f>
        <v>0</v>
      </c>
      <c r="O10" s="95">
        <f>'Data Ocupacion'!AB45</f>
        <v>4</v>
      </c>
      <c r="P10" s="95">
        <f>'Data Ocupacion'!AD45</f>
        <v>5</v>
      </c>
      <c r="Q10" s="95">
        <f>'Data Ocupacion'!AF45</f>
        <v>4</v>
      </c>
      <c r="R10" s="95">
        <f>'Data Ocupacion'!AH45</f>
        <v>0</v>
      </c>
      <c r="S10" s="95">
        <f>'Data Ocupacion'!AJ45</f>
        <v>1</v>
      </c>
      <c r="T10" s="95">
        <f>'Data Ocupacion'!AL45</f>
        <v>0</v>
      </c>
      <c r="U10" s="95">
        <f>'Data Ocupacion'!AN45</f>
        <v>0</v>
      </c>
      <c r="V10" s="95">
        <f>'Data Ocupacion'!AP45</f>
        <v>1</v>
      </c>
      <c r="W10" s="95">
        <f>'Data Ocupacion'!AR45</f>
        <v>1</v>
      </c>
      <c r="X10" s="95">
        <f>'Data Ocupacion'!AT45</f>
        <v>1</v>
      </c>
      <c r="Y10" s="95">
        <f>'Data Ocupacion'!AV45</f>
        <v>2</v>
      </c>
      <c r="Z10" s="95">
        <f>'Data Ocupacion'!AX45</f>
        <v>2</v>
      </c>
      <c r="AA10" s="95">
        <f>'Data Ocupacion'!AZ45</f>
        <v>0</v>
      </c>
      <c r="AB10" s="95">
        <f>'Data Ocupacion'!BB45</f>
        <v>0</v>
      </c>
      <c r="AC10" s="95">
        <f>'Data Ocupacion'!BD45</f>
        <v>2</v>
      </c>
      <c r="AD10" s="95">
        <f>'Data Ocupacion'!BF45</f>
        <v>1</v>
      </c>
      <c r="AE10" s="95">
        <f>'Data Ocupacion'!BH45</f>
        <v>1</v>
      </c>
      <c r="AF10" s="95">
        <f>'Data Ocupacion'!BJ45</f>
        <v>2</v>
      </c>
      <c r="AG10" s="95">
        <f>'Data Ocupacion'!BL45</f>
        <v>1</v>
      </c>
    </row>
    <row r="11" spans="1:33" s="85" customFormat="1" ht="14.25" x14ac:dyDescent="0.2">
      <c r="A11" s="263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T11" s="95"/>
      <c r="V11" s="95"/>
      <c r="X11" s="95"/>
      <c r="Z11" s="95"/>
      <c r="AB11" s="95"/>
      <c r="AD11" s="95"/>
      <c r="AE11" s="95"/>
      <c r="AF11" s="95"/>
      <c r="AG11" s="95"/>
    </row>
    <row r="12" spans="1:33" s="85" customFormat="1" ht="14.25" x14ac:dyDescent="0.2">
      <c r="A12" s="81" t="s">
        <v>87</v>
      </c>
      <c r="B12" s="82">
        <v>43.13</v>
      </c>
      <c r="C12" s="95">
        <f>'Data Ocupacion'!D48</f>
        <v>120</v>
      </c>
      <c r="D12" s="95">
        <f>'Data Ocupacion'!F48</f>
        <v>119</v>
      </c>
      <c r="E12" s="95">
        <f>'Data Ocupacion'!H48</f>
        <v>118</v>
      </c>
      <c r="F12" s="95">
        <f>'Data Ocupacion'!J48</f>
        <v>75</v>
      </c>
      <c r="G12" s="95">
        <f>'Data Ocupacion'!L48</f>
        <v>57</v>
      </c>
      <c r="H12" s="95">
        <f>'Data Ocupacion'!N48</f>
        <v>118</v>
      </c>
      <c r="I12" s="95">
        <f>'Data Ocupacion'!P48</f>
        <v>122</v>
      </c>
      <c r="J12" s="95">
        <f>'Data Ocupacion'!R48</f>
        <v>117</v>
      </c>
      <c r="K12" s="95">
        <f>'Data Ocupacion'!T48</f>
        <v>109</v>
      </c>
      <c r="L12" s="95">
        <f>'Data Ocupacion'!V48</f>
        <v>109</v>
      </c>
      <c r="M12" s="95">
        <f>'Data Ocupacion'!X48</f>
        <v>75</v>
      </c>
      <c r="N12" s="95">
        <f>'Data Ocupacion'!Z48</f>
        <v>57</v>
      </c>
      <c r="O12" s="95">
        <f>'Data Ocupacion'!AB48</f>
        <v>110</v>
      </c>
      <c r="P12" s="95">
        <f>'Data Ocupacion'!AD48</f>
        <v>112</v>
      </c>
      <c r="Q12" s="95">
        <f>'Data Ocupacion'!AF48</f>
        <v>109</v>
      </c>
      <c r="R12" s="95">
        <f>'Data Ocupacion'!AH48</f>
        <v>57</v>
      </c>
      <c r="S12" s="95">
        <f>'Data Ocupacion'!AJ48</f>
        <v>31</v>
      </c>
      <c r="T12" s="95">
        <f>'Data Ocupacion'!AL48</f>
        <v>59</v>
      </c>
      <c r="U12" s="95">
        <f>'Data Ocupacion'!AN48</f>
        <v>58</v>
      </c>
      <c r="V12" s="95">
        <f>'Data Ocupacion'!AP48</f>
        <v>92</v>
      </c>
      <c r="W12" s="95">
        <f>'Data Ocupacion'!AR48</f>
        <v>90</v>
      </c>
      <c r="X12" s="95">
        <f>'Data Ocupacion'!AT48</f>
        <v>105</v>
      </c>
      <c r="Y12" s="95">
        <f>'Data Ocupacion'!AV48</f>
        <v>103</v>
      </c>
      <c r="Z12" s="95">
        <f>'Data Ocupacion'!AX48</f>
        <v>105</v>
      </c>
      <c r="AA12" s="95">
        <f>'Data Ocupacion'!AZ48</f>
        <v>75</v>
      </c>
      <c r="AB12" s="95">
        <f>'Data Ocupacion'!BB48</f>
        <v>57</v>
      </c>
      <c r="AC12" s="95">
        <f>'Data Ocupacion'!BD48</f>
        <v>97</v>
      </c>
      <c r="AD12" s="95">
        <f>'Data Ocupacion'!BF48</f>
        <v>105</v>
      </c>
      <c r="AE12" s="95">
        <f>'Data Ocupacion'!BH48</f>
        <v>105</v>
      </c>
      <c r="AF12" s="95">
        <f>'Data Ocupacion'!BJ48</f>
        <v>104</v>
      </c>
      <c r="AG12" s="95">
        <f>'Data Ocupacion'!BL48</f>
        <v>94</v>
      </c>
    </row>
    <row r="13" spans="1:33" s="85" customFormat="1" ht="14.25" x14ac:dyDescent="0.2">
      <c r="A13" s="81" t="s">
        <v>88</v>
      </c>
      <c r="B13" s="82">
        <v>43.13</v>
      </c>
      <c r="C13" s="95">
        <f>'Data Ocupacion'!D49</f>
        <v>120</v>
      </c>
      <c r="D13" s="95">
        <f>'Data Ocupacion'!F49</f>
        <v>119</v>
      </c>
      <c r="E13" s="95">
        <f>'Data Ocupacion'!H49</f>
        <v>118</v>
      </c>
      <c r="F13" s="95">
        <f>'Data Ocupacion'!J49</f>
        <v>75</v>
      </c>
      <c r="G13" s="95">
        <f>'Data Ocupacion'!L49</f>
        <v>57</v>
      </c>
      <c r="H13" s="95">
        <f>'Data Ocupacion'!N49</f>
        <v>118</v>
      </c>
      <c r="I13" s="95">
        <f>'Data Ocupacion'!P49</f>
        <v>118</v>
      </c>
      <c r="J13" s="95">
        <f>'Data Ocupacion'!R49</f>
        <v>117</v>
      </c>
      <c r="K13" s="95">
        <f>'Data Ocupacion'!T49</f>
        <v>109</v>
      </c>
      <c r="L13" s="95">
        <f>'Data Ocupacion'!V49</f>
        <v>109</v>
      </c>
      <c r="M13" s="95">
        <f>'Data Ocupacion'!X49</f>
        <v>75</v>
      </c>
      <c r="N13" s="95">
        <f>'Data Ocupacion'!Z49</f>
        <v>57</v>
      </c>
      <c r="O13" s="95">
        <f>'Data Ocupacion'!AB49</f>
        <v>110</v>
      </c>
      <c r="P13" s="95">
        <f>'Data Ocupacion'!AD49</f>
        <v>109</v>
      </c>
      <c r="Q13" s="95">
        <f>'Data Ocupacion'!AF49</f>
        <v>109</v>
      </c>
      <c r="R13" s="95">
        <f>'Data Ocupacion'!AH49</f>
        <v>57</v>
      </c>
      <c r="S13" s="95">
        <f>'Data Ocupacion'!AJ49</f>
        <v>28</v>
      </c>
      <c r="T13" s="95">
        <f>'Data Ocupacion'!AL49</f>
        <v>62</v>
      </c>
      <c r="U13" s="95">
        <f>'Data Ocupacion'!AN49</f>
        <v>58</v>
      </c>
      <c r="V13" s="95">
        <f>'Data Ocupacion'!AP49</f>
        <v>90</v>
      </c>
      <c r="W13" s="95">
        <f>'Data Ocupacion'!AR49</f>
        <v>86</v>
      </c>
      <c r="X13" s="95">
        <f>'Data Ocupacion'!AT49</f>
        <v>104</v>
      </c>
      <c r="Y13" s="95">
        <f>'Data Ocupacion'!AV49</f>
        <v>103</v>
      </c>
      <c r="Z13" s="95">
        <f>'Data Ocupacion'!AX49</f>
        <v>105</v>
      </c>
      <c r="AA13" s="95">
        <f>'Data Ocupacion'!AZ49</f>
        <v>75</v>
      </c>
      <c r="AB13" s="95">
        <f>'Data Ocupacion'!BB49</f>
        <v>57</v>
      </c>
      <c r="AC13" s="95">
        <f>'Data Ocupacion'!BD49</f>
        <v>97</v>
      </c>
      <c r="AD13" s="95">
        <f>'Data Ocupacion'!BF49</f>
        <v>105</v>
      </c>
      <c r="AE13" s="95">
        <f>'Data Ocupacion'!BH49</f>
        <v>105</v>
      </c>
      <c r="AF13" s="95">
        <f>'Data Ocupacion'!BJ49</f>
        <v>103</v>
      </c>
      <c r="AG13" s="95">
        <f>'Data Ocupacion'!BL49</f>
        <v>98</v>
      </c>
    </row>
    <row r="14" spans="1:33" s="85" customFormat="1" ht="14.25" x14ac:dyDescent="0.2">
      <c r="A14" s="81" t="s">
        <v>89</v>
      </c>
      <c r="B14" s="82">
        <v>29.11</v>
      </c>
      <c r="C14" s="95">
        <f>'Data Ocupacion'!D50</f>
        <v>39</v>
      </c>
      <c r="D14" s="95">
        <f>'Data Ocupacion'!F50</f>
        <v>38</v>
      </c>
      <c r="E14" s="95">
        <f>'Data Ocupacion'!H50</f>
        <v>38</v>
      </c>
      <c r="F14" s="95">
        <f>'Data Ocupacion'!J50</f>
        <v>0</v>
      </c>
      <c r="G14" s="95">
        <f>'Data Ocupacion'!L50</f>
        <v>0</v>
      </c>
      <c r="H14" s="95">
        <f>'Data Ocupacion'!N50</f>
        <v>36</v>
      </c>
      <c r="I14" s="95">
        <f>'Data Ocupacion'!P50</f>
        <v>31</v>
      </c>
      <c r="J14" s="95">
        <f>'Data Ocupacion'!R50</f>
        <v>38</v>
      </c>
      <c r="K14" s="95">
        <f>'Data Ocupacion'!T50</f>
        <v>36</v>
      </c>
      <c r="L14" s="95">
        <f>'Data Ocupacion'!V50</f>
        <v>36</v>
      </c>
      <c r="M14" s="95">
        <f>'Data Ocupacion'!X50</f>
        <v>0</v>
      </c>
      <c r="N14" s="95">
        <f>'Data Ocupacion'!Z50</f>
        <v>0</v>
      </c>
      <c r="O14" s="95">
        <f>'Data Ocupacion'!AB50</f>
        <v>36</v>
      </c>
      <c r="P14" s="95">
        <f>'Data Ocupacion'!AD50</f>
        <v>32</v>
      </c>
      <c r="Q14" s="95">
        <f>'Data Ocupacion'!AF50</f>
        <v>36</v>
      </c>
      <c r="R14" s="95">
        <f>'Data Ocupacion'!AH50</f>
        <v>0</v>
      </c>
      <c r="S14" s="95">
        <f>'Data Ocupacion'!AJ50</f>
        <v>9</v>
      </c>
      <c r="T14" s="95">
        <f>'Data Ocupacion'!AL50</f>
        <v>0</v>
      </c>
      <c r="U14" s="95">
        <f>'Data Ocupacion'!AN50</f>
        <v>0</v>
      </c>
      <c r="V14" s="95">
        <f>'Data Ocupacion'!AP50</f>
        <v>8</v>
      </c>
      <c r="W14" s="95">
        <f>'Data Ocupacion'!AR50</f>
        <v>14</v>
      </c>
      <c r="X14" s="95">
        <f>'Data Ocupacion'!AT50</f>
        <v>26</v>
      </c>
      <c r="Y14" s="95">
        <f>'Data Ocupacion'!AV50</f>
        <v>34</v>
      </c>
      <c r="Z14" s="95">
        <f>'Data Ocupacion'!AX50</f>
        <v>34</v>
      </c>
      <c r="AA14" s="95">
        <f>'Data Ocupacion'!AZ50</f>
        <v>0</v>
      </c>
      <c r="AB14" s="95">
        <f>'Data Ocupacion'!BB50</f>
        <v>0</v>
      </c>
      <c r="AC14" s="95">
        <f>'Data Ocupacion'!BD50</f>
        <v>33</v>
      </c>
      <c r="AD14" s="95">
        <f>'Data Ocupacion'!BF50</f>
        <v>33</v>
      </c>
      <c r="AE14" s="95">
        <f>'Data Ocupacion'!BH50</f>
        <v>33</v>
      </c>
      <c r="AF14" s="95">
        <f>'Data Ocupacion'!BJ50</f>
        <v>32</v>
      </c>
      <c r="AG14" s="95">
        <f>'Data Ocupacion'!BL50</f>
        <v>16</v>
      </c>
    </row>
    <row r="15" spans="1:33" s="85" customFormat="1" ht="14.25" x14ac:dyDescent="0.2">
      <c r="A15" s="81" t="s">
        <v>90</v>
      </c>
      <c r="B15" s="82">
        <v>29.11</v>
      </c>
      <c r="C15" s="95">
        <f>'Data Ocupacion'!D51</f>
        <v>35</v>
      </c>
      <c r="D15" s="95">
        <f>'Data Ocupacion'!F51</f>
        <v>34</v>
      </c>
      <c r="E15" s="95">
        <f>'Data Ocupacion'!H51</f>
        <v>34</v>
      </c>
      <c r="F15" s="95">
        <f>'Data Ocupacion'!J51</f>
        <v>0</v>
      </c>
      <c r="G15" s="95">
        <f>'Data Ocupacion'!L51</f>
        <v>0</v>
      </c>
      <c r="H15" s="95">
        <f>'Data Ocupacion'!N51</f>
        <v>33</v>
      </c>
      <c r="I15" s="95">
        <f>'Data Ocupacion'!P51</f>
        <v>31</v>
      </c>
      <c r="J15" s="95">
        <f>'Data Ocupacion'!R51</f>
        <v>34</v>
      </c>
      <c r="K15" s="95">
        <f>'Data Ocupacion'!T51</f>
        <v>32</v>
      </c>
      <c r="L15" s="95">
        <f>'Data Ocupacion'!V51</f>
        <v>32</v>
      </c>
      <c r="M15" s="95">
        <f>'Data Ocupacion'!X51</f>
        <v>0</v>
      </c>
      <c r="N15" s="95">
        <f>'Data Ocupacion'!Z51</f>
        <v>0</v>
      </c>
      <c r="O15" s="95">
        <f>'Data Ocupacion'!AB51</f>
        <v>32</v>
      </c>
      <c r="P15" s="95">
        <f>'Data Ocupacion'!AD51</f>
        <v>30</v>
      </c>
      <c r="Q15" s="95">
        <f>'Data Ocupacion'!AF51</f>
        <v>32</v>
      </c>
      <c r="R15" s="95">
        <f>'Data Ocupacion'!AH51</f>
        <v>0</v>
      </c>
      <c r="S15" s="95">
        <f>'Data Ocupacion'!AJ51</f>
        <v>11</v>
      </c>
      <c r="T15" s="95">
        <f>'Data Ocupacion'!AL51</f>
        <v>0</v>
      </c>
      <c r="U15" s="95">
        <f>'Data Ocupacion'!AN51</f>
        <v>0</v>
      </c>
      <c r="V15" s="95">
        <f>'Data Ocupacion'!AP51</f>
        <v>9</v>
      </c>
      <c r="W15" s="95">
        <f>'Data Ocupacion'!AR51</f>
        <v>16</v>
      </c>
      <c r="X15" s="95">
        <f>'Data Ocupacion'!AT51</f>
        <v>26</v>
      </c>
      <c r="Y15" s="95">
        <f>'Data Ocupacion'!AV51</f>
        <v>32</v>
      </c>
      <c r="Z15" s="95">
        <f>'Data Ocupacion'!AX51</f>
        <v>32</v>
      </c>
      <c r="AA15" s="95">
        <f>'Data Ocupacion'!AZ51</f>
        <v>0</v>
      </c>
      <c r="AB15" s="95">
        <f>'Data Ocupacion'!BB51</f>
        <v>0</v>
      </c>
      <c r="AC15" s="95">
        <f>'Data Ocupacion'!BD51</f>
        <v>31</v>
      </c>
      <c r="AD15" s="95">
        <f>'Data Ocupacion'!BF51</f>
        <v>32</v>
      </c>
      <c r="AE15" s="95">
        <f>'Data Ocupacion'!BH51</f>
        <v>32</v>
      </c>
      <c r="AF15" s="95">
        <f>'Data Ocupacion'!BJ51</f>
        <v>30</v>
      </c>
      <c r="AG15" s="95">
        <f>'Data Ocupacion'!BL51</f>
        <v>17</v>
      </c>
    </row>
    <row r="16" spans="1:33" s="85" customFormat="1" ht="14.25" x14ac:dyDescent="0.2">
      <c r="A16" s="81" t="s">
        <v>91</v>
      </c>
      <c r="B16" s="82">
        <v>25.4</v>
      </c>
      <c r="C16" s="95">
        <f>'Data Ocupacion'!D53</f>
        <v>4</v>
      </c>
      <c r="D16" s="95">
        <f>'Data Ocupacion'!F53</f>
        <v>4</v>
      </c>
      <c r="E16" s="95">
        <f>'Data Ocupacion'!H53</f>
        <v>4</v>
      </c>
      <c r="F16" s="95">
        <f>'Data Ocupacion'!J53</f>
        <v>0</v>
      </c>
      <c r="G16" s="95">
        <f>'Data Ocupacion'!L53</f>
        <v>0</v>
      </c>
      <c r="H16" s="95">
        <f>'Data Ocupacion'!N53</f>
        <v>4</v>
      </c>
      <c r="I16" s="95">
        <f>'Data Ocupacion'!P53</f>
        <v>4</v>
      </c>
      <c r="J16" s="95">
        <f>'Data Ocupacion'!R53</f>
        <v>4</v>
      </c>
      <c r="K16" s="95">
        <f>'Data Ocupacion'!T53</f>
        <v>4</v>
      </c>
      <c r="L16" s="95">
        <f>'Data Ocupacion'!V53</f>
        <v>4</v>
      </c>
      <c r="M16" s="95">
        <f>'Data Ocupacion'!X53</f>
        <v>0</v>
      </c>
      <c r="N16" s="95">
        <f>'Data Ocupacion'!Z53</f>
        <v>0</v>
      </c>
      <c r="O16" s="95">
        <f>'Data Ocupacion'!AB53</f>
        <v>4</v>
      </c>
      <c r="P16" s="95">
        <f>'Data Ocupacion'!AD53</f>
        <v>5</v>
      </c>
      <c r="Q16" s="95">
        <f>'Data Ocupacion'!AF53</f>
        <v>4</v>
      </c>
      <c r="R16" s="95">
        <f>'Data Ocupacion'!AH53</f>
        <v>0</v>
      </c>
      <c r="S16" s="95">
        <f>'Data Ocupacion'!AJ53</f>
        <v>1</v>
      </c>
      <c r="T16" s="95">
        <f>'Data Ocupacion'!AL53</f>
        <v>0</v>
      </c>
      <c r="U16" s="95">
        <f>'Data Ocupacion'!AN53</f>
        <v>0</v>
      </c>
      <c r="V16" s="95">
        <f>'Data Ocupacion'!AP53</f>
        <v>1</v>
      </c>
      <c r="W16" s="95">
        <f>'Data Ocupacion'!AR53</f>
        <v>1</v>
      </c>
      <c r="X16" s="95">
        <f>'Data Ocupacion'!AT53</f>
        <v>1</v>
      </c>
      <c r="Y16" s="95">
        <f>'Data Ocupacion'!AV53</f>
        <v>2</v>
      </c>
      <c r="Z16" s="95">
        <f>'Data Ocupacion'!AX53</f>
        <v>2</v>
      </c>
      <c r="AA16" s="95">
        <f>'Data Ocupacion'!AZ53</f>
        <v>0</v>
      </c>
      <c r="AB16" s="95">
        <f>'Data Ocupacion'!BB53</f>
        <v>0</v>
      </c>
      <c r="AC16" s="95">
        <f>'Data Ocupacion'!BD53</f>
        <v>2</v>
      </c>
      <c r="AD16" s="95">
        <f>'Data Ocupacion'!BF53</f>
        <v>1</v>
      </c>
      <c r="AE16" s="95">
        <f>'Data Ocupacion'!BH53</f>
        <v>1</v>
      </c>
      <c r="AF16" s="95">
        <f>'Data Ocupacion'!BJ53</f>
        <v>2</v>
      </c>
      <c r="AG16" s="95">
        <f>'Data Ocupacion'!BL53</f>
        <v>1</v>
      </c>
    </row>
    <row r="17" spans="1:33" s="85" customFormat="1" ht="14.25" x14ac:dyDescent="0.2">
      <c r="A17" s="210" t="s">
        <v>124</v>
      </c>
      <c r="B17" s="82">
        <v>25.4</v>
      </c>
      <c r="C17" s="95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5"/>
      <c r="K17" s="83">
        <v>0</v>
      </c>
      <c r="L17" s="95">
        <v>0</v>
      </c>
      <c r="M17" s="83">
        <v>0</v>
      </c>
      <c r="N17" s="83">
        <v>0</v>
      </c>
      <c r="O17" s="83">
        <v>0</v>
      </c>
      <c r="P17" s="83">
        <v>0</v>
      </c>
      <c r="Q17" s="95">
        <v>0</v>
      </c>
      <c r="R17" s="83">
        <v>0</v>
      </c>
      <c r="S17" s="95">
        <v>0</v>
      </c>
      <c r="T17" s="83">
        <v>0</v>
      </c>
      <c r="U17" s="83">
        <v>0</v>
      </c>
      <c r="V17" s="83">
        <v>0</v>
      </c>
      <c r="W17" s="83">
        <v>0</v>
      </c>
      <c r="X17" s="95">
        <v>0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0</v>
      </c>
      <c r="AE17" s="95">
        <v>0</v>
      </c>
      <c r="AF17" s="95">
        <v>0</v>
      </c>
      <c r="AG17" s="95">
        <v>0</v>
      </c>
    </row>
    <row r="18" spans="1:33" s="85" customFormat="1" ht="14.25" x14ac:dyDescent="0.2">
      <c r="A18" s="263"/>
      <c r="B18" s="233"/>
      <c r="C18" s="83"/>
      <c r="D18" s="83"/>
      <c r="E18" s="83"/>
      <c r="F18" s="83"/>
      <c r="G18" s="83"/>
      <c r="H18" s="83"/>
      <c r="I18" s="83"/>
      <c r="J18" s="83"/>
      <c r="K18" s="83"/>
      <c r="L18" s="95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5"/>
      <c r="AA18" s="83"/>
      <c r="AB18" s="83"/>
      <c r="AC18" s="83"/>
      <c r="AD18" s="83"/>
      <c r="AE18" s="83"/>
      <c r="AF18" s="83"/>
      <c r="AG18" s="83"/>
    </row>
    <row r="19" spans="1:33" x14ac:dyDescent="0.25">
      <c r="A19" s="86" t="s">
        <v>173</v>
      </c>
      <c r="B19" s="82">
        <v>-17.73</v>
      </c>
      <c r="C19" s="83">
        <f>'KM-Servicio'!Q5</f>
        <v>0</v>
      </c>
      <c r="D19" s="83">
        <f>'KM-Servicio'!Q12</f>
        <v>1</v>
      </c>
      <c r="E19" s="83">
        <f>'KM-Servicio'!Q19</f>
        <v>2</v>
      </c>
      <c r="F19" s="83">
        <f>'KM-Servicio'!Q26</f>
        <v>0</v>
      </c>
      <c r="G19" s="83">
        <f>'KM-Servicio'!Q33</f>
        <v>0</v>
      </c>
      <c r="H19" s="83">
        <f>'KM-Servicio'!Q40</f>
        <v>3</v>
      </c>
      <c r="I19" s="83">
        <f>'KM-Servicio'!Q47</f>
        <v>4</v>
      </c>
      <c r="J19" s="83">
        <f>'KM-Servicio'!Q54</f>
        <v>4</v>
      </c>
      <c r="K19" s="83">
        <f>'KM-Servicio'!Q61</f>
        <v>4</v>
      </c>
      <c r="L19" s="83">
        <f>'KM-Servicio'!Q68</f>
        <v>3</v>
      </c>
      <c r="M19" s="83">
        <f>'KM-Servicio'!Q75</f>
        <v>0</v>
      </c>
      <c r="N19" s="83">
        <f>'KM-Servicio'!Q82</f>
        <v>0</v>
      </c>
      <c r="O19" s="83">
        <f>'KM-Servicio'!Q89</f>
        <v>3</v>
      </c>
      <c r="P19" s="83">
        <f>'KM-Servicio'!Q96</f>
        <v>4</v>
      </c>
      <c r="Q19" s="83">
        <f>'KM-Servicio'!Q103</f>
        <v>4</v>
      </c>
      <c r="R19" s="83">
        <f>'KM-Servicio'!Q110</f>
        <v>0</v>
      </c>
      <c r="S19" s="83">
        <f>'KM-Servicio'!Q117</f>
        <v>0</v>
      </c>
      <c r="T19" s="83">
        <f>'KM-Servicio'!Q124</f>
        <v>0</v>
      </c>
      <c r="U19" s="83">
        <f>'KM-Servicio'!Q131</f>
        <v>0</v>
      </c>
      <c r="V19" s="83">
        <f>'KM-Servicio'!Q138</f>
        <v>0</v>
      </c>
      <c r="W19" s="83">
        <f>'KM-Servicio'!Q145</f>
        <v>0</v>
      </c>
      <c r="X19" s="83">
        <f>'KM-Servicio'!Q152</f>
        <v>0</v>
      </c>
      <c r="Y19" s="83">
        <f>'KM-Servicio'!Q159</f>
        <v>4</v>
      </c>
      <c r="Z19" s="83">
        <f>'KM-Servicio'!Q166</f>
        <v>5</v>
      </c>
      <c r="AA19" s="83">
        <f>'KM-Servicio'!Q173</f>
        <v>0</v>
      </c>
      <c r="AB19" s="83">
        <f>'KM-Servicio'!Q180</f>
        <v>0</v>
      </c>
      <c r="AC19" s="83">
        <f>'KM-Servicio'!Q187</f>
        <v>4</v>
      </c>
      <c r="AD19" s="83">
        <f>'KM-Servicio'!Q194</f>
        <v>1</v>
      </c>
      <c r="AE19" s="83">
        <f>'KM-Servicio'!Q201</f>
        <v>4</v>
      </c>
      <c r="AF19" s="83">
        <f>'KM-Servicio'!Q208</f>
        <v>5</v>
      </c>
      <c r="AG19" s="83">
        <f>'KM-Servicio'!Q215</f>
        <v>2</v>
      </c>
    </row>
    <row r="20" spans="1:33" x14ac:dyDescent="0.25">
      <c r="A20" s="86" t="s">
        <v>174</v>
      </c>
      <c r="B20" s="82">
        <v>-17.73</v>
      </c>
      <c r="C20" s="83">
        <f>'KM-Servicio'!T6</f>
        <v>4</v>
      </c>
      <c r="D20" s="83">
        <f>'KM-Servicio'!T13</f>
        <v>0</v>
      </c>
      <c r="E20" s="83">
        <f>'KM-Servicio'!T20</f>
        <v>2</v>
      </c>
      <c r="F20" s="83">
        <f>'KM-Servicio'!T27</f>
        <v>0</v>
      </c>
      <c r="G20" s="83">
        <f>'KM-Servicio'!T34</f>
        <v>0</v>
      </c>
      <c r="H20" s="83">
        <f>'KM-Servicio'!T41</f>
        <v>3</v>
      </c>
      <c r="I20" s="83">
        <f>'KM-Servicio'!T48</f>
        <v>3</v>
      </c>
      <c r="J20" s="83">
        <f>'KM-Servicio'!T55</f>
        <v>3</v>
      </c>
      <c r="K20" s="83">
        <f>'KM-Servicio'!T62</f>
        <v>3</v>
      </c>
      <c r="L20" s="83">
        <f>'KM-Servicio'!T69</f>
        <v>3</v>
      </c>
      <c r="M20" s="83">
        <f>'KM-Servicio'!T76</f>
        <v>0</v>
      </c>
      <c r="N20" s="83">
        <f>'KM-Servicio'!T83</f>
        <v>0</v>
      </c>
      <c r="O20" s="83">
        <f>'KM-Servicio'!T90</f>
        <v>5</v>
      </c>
      <c r="P20" s="83">
        <f>'KM-Servicio'!T97</f>
        <v>5</v>
      </c>
      <c r="Q20" s="83">
        <f>'KM-Servicio'!T104</f>
        <v>5</v>
      </c>
      <c r="R20" s="83">
        <f>'KM-Servicio'!T111</f>
        <v>0</v>
      </c>
      <c r="S20" s="83">
        <f>'KM-Servicio'!T118</f>
        <v>0</v>
      </c>
      <c r="T20" s="83">
        <f>'KM-Servicio'!T125</f>
        <v>0</v>
      </c>
      <c r="U20" s="83">
        <f>'KM-Servicio'!T132</f>
        <v>0</v>
      </c>
      <c r="V20" s="83">
        <f>'KM-Servicio'!T139</f>
        <v>0</v>
      </c>
      <c r="W20" s="83">
        <f>'KM-Servicio'!T146</f>
        <v>0</v>
      </c>
      <c r="X20" s="83">
        <f>'KM-Servicio'!T153</f>
        <v>0</v>
      </c>
      <c r="Y20" s="83">
        <f>'KM-Servicio'!T160</f>
        <v>1</v>
      </c>
      <c r="Z20" s="83">
        <f>'KM-Servicio'!T167</f>
        <v>3</v>
      </c>
      <c r="AA20" s="83">
        <f>'KM-Servicio'!T174</f>
        <v>0</v>
      </c>
      <c r="AB20" s="83">
        <f>'KM-Servicio'!T181</f>
        <v>0</v>
      </c>
      <c r="AC20" s="83">
        <f>'KM-Servicio'!T188</f>
        <v>0</v>
      </c>
      <c r="AD20" s="83">
        <f>'KM-Servicio'!T195</f>
        <v>0</v>
      </c>
      <c r="AE20" s="83">
        <f>'KM-Servicio'!T202</f>
        <v>2</v>
      </c>
      <c r="AF20" s="83">
        <f>'KM-Servicio'!T209</f>
        <v>3</v>
      </c>
      <c r="AG20" s="83">
        <f>'KM-Servicio'!T216</f>
        <v>0</v>
      </c>
    </row>
    <row r="21" spans="1:33" s="124" customFormat="1" x14ac:dyDescent="0.25">
      <c r="A21" s="303" t="s">
        <v>149</v>
      </c>
      <c r="B21" s="82">
        <v>-14.02</v>
      </c>
      <c r="C21" s="83">
        <f>'KM-Servicio'!U6</f>
        <v>0</v>
      </c>
      <c r="D21" s="83">
        <f>'KM-Servicio'!U13</f>
        <v>0</v>
      </c>
      <c r="E21" s="83">
        <f>'KM-Servicio'!U20</f>
        <v>0</v>
      </c>
      <c r="F21" s="83">
        <f>'KM-Servicio'!U27</f>
        <v>0</v>
      </c>
      <c r="G21" s="83">
        <f>'KM-Servicio'!U34</f>
        <v>0</v>
      </c>
      <c r="H21" s="83">
        <f>'KM-Servicio'!U41</f>
        <v>0</v>
      </c>
      <c r="I21" s="83">
        <f>'KM-Servicio'!U48</f>
        <v>0</v>
      </c>
      <c r="J21" s="83">
        <f>'KM-Servicio'!U55</f>
        <v>0</v>
      </c>
      <c r="K21" s="83">
        <v>1</v>
      </c>
      <c r="L21" s="83">
        <f>'KM-Servicio'!U69</f>
        <v>0</v>
      </c>
      <c r="M21" s="83">
        <f>'KM-Servicio'!U76</f>
        <v>0</v>
      </c>
      <c r="N21" s="83">
        <f>'KM-Servicio'!U83</f>
        <v>0</v>
      </c>
      <c r="O21" s="83">
        <f>'KM-Servicio'!U90</f>
        <v>0</v>
      </c>
      <c r="P21" s="83">
        <f>'KM-Servicio'!U97</f>
        <v>0</v>
      </c>
      <c r="Q21" s="83">
        <f>'KM-Servicio'!U104</f>
        <v>0</v>
      </c>
      <c r="R21" s="83">
        <f>'KM-Servicio'!U111</f>
        <v>0</v>
      </c>
      <c r="S21" s="83">
        <f>'KM-Servicio'!U118</f>
        <v>0</v>
      </c>
      <c r="T21" s="83">
        <f>'KM-Servicio'!U125</f>
        <v>0</v>
      </c>
      <c r="U21" s="83">
        <f>'KM-Servicio'!U132</f>
        <v>0</v>
      </c>
      <c r="V21" s="83">
        <f>'KM-Servicio'!U139</f>
        <v>0</v>
      </c>
      <c r="W21" s="83">
        <f>'KM-Servicio'!U146</f>
        <v>0</v>
      </c>
      <c r="X21" s="83">
        <f>'KM-Servicio'!U153</f>
        <v>0</v>
      </c>
      <c r="Y21" s="83">
        <f>'KM-Servicio'!U160</f>
        <v>0</v>
      </c>
      <c r="Z21" s="83">
        <f>'KM-Servicio'!U167</f>
        <v>0</v>
      </c>
      <c r="AA21" s="83">
        <f>'KM-Servicio'!U174</f>
        <v>0</v>
      </c>
      <c r="AB21" s="83">
        <f>'KM-Servicio'!U181</f>
        <v>0</v>
      </c>
      <c r="AC21" s="83">
        <f>'KM-Servicio'!U188</f>
        <v>0</v>
      </c>
      <c r="AD21" s="83">
        <f>'KM-Servicio'!U195</f>
        <v>0</v>
      </c>
      <c r="AE21" s="83">
        <f>'KM-Servicio'!U202</f>
        <v>0</v>
      </c>
      <c r="AF21" s="83">
        <f>'KM-Servicio'!U209</f>
        <v>0</v>
      </c>
      <c r="AG21" s="83">
        <f>'KM-Servicio'!U216</f>
        <v>0</v>
      </c>
    </row>
    <row r="22" spans="1:33" s="124" customFormat="1" x14ac:dyDescent="0.25">
      <c r="A22" s="215" t="s">
        <v>172</v>
      </c>
      <c r="B22" s="82">
        <v>-3.71</v>
      </c>
      <c r="C22" s="83">
        <f>'KM-Servicio'!Q7</f>
        <v>3</v>
      </c>
      <c r="D22" s="83">
        <f>'KM-Servicio'!Q14</f>
        <v>2</v>
      </c>
      <c r="E22" s="83">
        <f>'KM-Servicio'!Q21</f>
        <v>2</v>
      </c>
      <c r="F22" s="83">
        <f>'KM-Servicio'!Q28</f>
        <v>0</v>
      </c>
      <c r="G22" s="83">
        <f>'KM-Servicio'!Q35</f>
        <v>0</v>
      </c>
      <c r="H22" s="83">
        <v>2</v>
      </c>
      <c r="I22" s="83">
        <v>2</v>
      </c>
      <c r="J22" s="83">
        <v>2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3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</row>
    <row r="23" spans="1:33" s="124" customFormat="1" x14ac:dyDescent="0.25">
      <c r="A23" s="209" t="s">
        <v>171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</row>
    <row r="24" spans="1:33" s="124" customFormat="1" x14ac:dyDescent="0.25">
      <c r="A24" s="215" t="s">
        <v>154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</row>
    <row r="25" spans="1:33" s="124" customFormat="1" x14ac:dyDescent="0.25">
      <c r="A25" s="215" t="s">
        <v>159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</row>
    <row r="26" spans="1:33" x14ac:dyDescent="0.25">
      <c r="A26" s="87"/>
      <c r="B26" s="82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3" x14ac:dyDescent="0.25">
      <c r="A27" s="88" t="s">
        <v>84</v>
      </c>
      <c r="B27" s="225">
        <f>SUM(C27:AG27)</f>
        <v>5789</v>
      </c>
      <c r="C27" s="91">
        <f t="shared" ref="C27:AF27" si="0">SUM(C5:C10)</f>
        <v>229</v>
      </c>
      <c r="D27" s="91">
        <f t="shared" si="0"/>
        <v>229</v>
      </c>
      <c r="E27" s="91">
        <f t="shared" si="0"/>
        <v>229</v>
      </c>
      <c r="F27" s="91">
        <f t="shared" si="0"/>
        <v>147</v>
      </c>
      <c r="G27" s="91">
        <f t="shared" si="0"/>
        <v>111</v>
      </c>
      <c r="H27" s="91">
        <f t="shared" si="0"/>
        <v>226</v>
      </c>
      <c r="I27" s="91">
        <f t="shared" si="0"/>
        <v>222</v>
      </c>
      <c r="J27" s="91">
        <f t="shared" si="0"/>
        <v>229</v>
      </c>
      <c r="K27" s="91">
        <f t="shared" si="0"/>
        <v>229</v>
      </c>
      <c r="L27" s="91">
        <f t="shared" si="0"/>
        <v>229</v>
      </c>
      <c r="M27" s="91">
        <f t="shared" si="0"/>
        <v>147</v>
      </c>
      <c r="N27" s="91">
        <f t="shared" si="0"/>
        <v>111</v>
      </c>
      <c r="O27" s="91">
        <f t="shared" si="0"/>
        <v>229</v>
      </c>
      <c r="P27" s="91">
        <f t="shared" si="0"/>
        <v>225</v>
      </c>
      <c r="Q27" s="91">
        <f t="shared" si="0"/>
        <v>229</v>
      </c>
      <c r="R27" s="91">
        <f t="shared" si="0"/>
        <v>111</v>
      </c>
      <c r="S27" s="91">
        <f t="shared" si="0"/>
        <v>79</v>
      </c>
      <c r="T27" s="91">
        <f t="shared" si="0"/>
        <v>121</v>
      </c>
      <c r="U27" s="91">
        <f t="shared" si="0"/>
        <v>111</v>
      </c>
      <c r="V27" s="91">
        <f t="shared" si="0"/>
        <v>173</v>
      </c>
      <c r="W27" s="91">
        <f t="shared" si="0"/>
        <v>177</v>
      </c>
      <c r="X27" s="91">
        <f t="shared" si="0"/>
        <v>211</v>
      </c>
      <c r="Y27" s="91">
        <f t="shared" si="0"/>
        <v>225</v>
      </c>
      <c r="Z27" s="91">
        <f t="shared" si="0"/>
        <v>225</v>
      </c>
      <c r="AA27" s="91">
        <f t="shared" si="0"/>
        <v>147</v>
      </c>
      <c r="AB27" s="91">
        <f t="shared" si="0"/>
        <v>111</v>
      </c>
      <c r="AC27" s="91">
        <f t="shared" si="0"/>
        <v>223</v>
      </c>
      <c r="AD27" s="91">
        <f t="shared" si="0"/>
        <v>223</v>
      </c>
      <c r="AE27" s="91">
        <f t="shared" si="0"/>
        <v>223</v>
      </c>
      <c r="AF27" s="91">
        <f t="shared" si="0"/>
        <v>220</v>
      </c>
      <c r="AG27" s="91">
        <f t="shared" ref="AG27" si="1">SUM(AG5:AG10)</f>
        <v>188</v>
      </c>
    </row>
    <row r="28" spans="1:33" x14ac:dyDescent="0.25">
      <c r="A28" s="90" t="s">
        <v>65</v>
      </c>
      <c r="B28" s="225">
        <f>SUM(C28:AG28)</f>
        <v>7072</v>
      </c>
      <c r="C28" s="91">
        <f t="shared" ref="C28:AF28" si="2">SUM(C12:C17)</f>
        <v>318</v>
      </c>
      <c r="D28" s="91">
        <f t="shared" si="2"/>
        <v>314</v>
      </c>
      <c r="E28" s="91">
        <f t="shared" si="2"/>
        <v>312</v>
      </c>
      <c r="F28" s="91">
        <f t="shared" si="2"/>
        <v>150</v>
      </c>
      <c r="G28" s="91">
        <f t="shared" si="2"/>
        <v>114</v>
      </c>
      <c r="H28" s="91">
        <f t="shared" si="2"/>
        <v>309</v>
      </c>
      <c r="I28" s="91">
        <f t="shared" si="2"/>
        <v>306</v>
      </c>
      <c r="J28" s="91">
        <f t="shared" si="2"/>
        <v>310</v>
      </c>
      <c r="K28" s="91">
        <f t="shared" si="2"/>
        <v>290</v>
      </c>
      <c r="L28" s="91">
        <f t="shared" si="2"/>
        <v>290</v>
      </c>
      <c r="M28" s="91">
        <f t="shared" si="2"/>
        <v>150</v>
      </c>
      <c r="N28" s="91">
        <f t="shared" si="2"/>
        <v>114</v>
      </c>
      <c r="O28" s="91">
        <f t="shared" si="2"/>
        <v>292</v>
      </c>
      <c r="P28" s="91">
        <f t="shared" si="2"/>
        <v>288</v>
      </c>
      <c r="Q28" s="91">
        <f t="shared" si="2"/>
        <v>290</v>
      </c>
      <c r="R28" s="91">
        <f t="shared" si="2"/>
        <v>114</v>
      </c>
      <c r="S28" s="91">
        <f t="shared" si="2"/>
        <v>80</v>
      </c>
      <c r="T28" s="91">
        <f t="shared" si="2"/>
        <v>121</v>
      </c>
      <c r="U28" s="91">
        <f t="shared" si="2"/>
        <v>116</v>
      </c>
      <c r="V28" s="91">
        <f t="shared" si="2"/>
        <v>200</v>
      </c>
      <c r="W28" s="91">
        <f t="shared" si="2"/>
        <v>207</v>
      </c>
      <c r="X28" s="91">
        <f t="shared" si="2"/>
        <v>262</v>
      </c>
      <c r="Y28" s="91">
        <f t="shared" si="2"/>
        <v>274</v>
      </c>
      <c r="Z28" s="91">
        <f t="shared" si="2"/>
        <v>278</v>
      </c>
      <c r="AA28" s="91">
        <f t="shared" si="2"/>
        <v>150</v>
      </c>
      <c r="AB28" s="91">
        <f t="shared" si="2"/>
        <v>114</v>
      </c>
      <c r="AC28" s="91">
        <f t="shared" si="2"/>
        <v>260</v>
      </c>
      <c r="AD28" s="91">
        <f t="shared" si="2"/>
        <v>276</v>
      </c>
      <c r="AE28" s="91">
        <f t="shared" si="2"/>
        <v>276</v>
      </c>
      <c r="AF28" s="91">
        <f t="shared" si="2"/>
        <v>271</v>
      </c>
      <c r="AG28" s="91">
        <f t="shared" ref="AG28" si="3">SUM(AG12:AG17)</f>
        <v>226</v>
      </c>
    </row>
    <row r="29" spans="1:33" x14ac:dyDescent="0.25">
      <c r="A29" s="90" t="s">
        <v>92</v>
      </c>
      <c r="B29" s="225">
        <f>SUM(C29:AG29)</f>
        <v>283457.62000000005</v>
      </c>
      <c r="C29" s="91">
        <f>(C12*$B$12+C13*$B$13+C14*$B$14+C15*$B$15+C17*$B$17+C20*$B$20+C16*$B$16+C19*$B$19+C22*$B$22+C23*$B$23+C21*B21)</f>
        <v>12524.890000000003</v>
      </c>
      <c r="D29" s="91">
        <f>(D12*$B$12+D13*$B$13+D14*$B$14+D15*$B$15+D17*$B$17+D20*$B$20+D16*$B$16+D19*$B$19+D21*$B$21+D23*$B$23+D24*B24+D22*B22)</f>
        <v>12437.310000000001</v>
      </c>
      <c r="E29" s="91">
        <f>(E12*$B$12+E13*$B$13+E14*$B$14+E15*$B$15+E17*$B$17+E20*$B$20+E16*$B$16+E19*$B$19+E21*$B$21+E23*$B$23+E24*B24+E22*B22)</f>
        <v>12297.860000000002</v>
      </c>
      <c r="F29" s="91">
        <f>(F12*$B$12+F13*$B$13+F14*$B$14+F15*$B$15+F17*$B$17+F20*$B$20+F16*$B$16+F19*$B$19+F21*$B$21+F22*$B$22+F24*B24)</f>
        <v>6469.5</v>
      </c>
      <c r="G29" s="91">
        <f>(G12*$B$12+G13*$B$13+G14*$B$14+G15*$B$15+G17*$B$17+G20*$B$20+G16*$B$16+G19*$B$19+G21*$B$21+G22*$B$22+G24*B24)</f>
        <v>4916.8200000000006</v>
      </c>
      <c r="H29" s="91">
        <f>(H12*$B$12+H13*$B$13+H14*$B$14+H15*$B$15+H17*$B$17+H20*$B$20+H16*$B$16+H19*$B$19+H21*$B$21+H22*$B$22+H23*B23+H25*B25)-26.5</f>
        <v>12148.569999999998</v>
      </c>
      <c r="I29" s="91">
        <f>(I12*$B$12+I13*$B$13+I14*$B$14+I15*$B$15+I17*$B$17+I20*$B$20+I16*$B$16+I19*$B$19+I21*$B$21+I22*$B$22+I24*B24)</f>
        <v>12126.09</v>
      </c>
      <c r="J29" s="91">
        <f>(J12*$B$12+J13*$B$13+J14*$B$14+J15*$B$15+J17*$B$17+J20*$B$20+J16*$B$16+J19*$B$19+J21*$B$21+J22*$B$22+J24*B24)</f>
        <v>12158.41</v>
      </c>
      <c r="K29" s="91">
        <f>(K12*$B$12+K13*$B$13+K14*$B$14+K15*$B$15+K17*$B$17+K20*$B$20+K16*$B$16+K19*$B$19+K21*$B$21+K22*$B$22+K23*B23)</f>
        <v>11345.289999999999</v>
      </c>
      <c r="L29" s="91">
        <f>(L12*$B$12+L13*$B$13+L14*$B$14+L15*$B$15+L17*$B$17+L20*$B$20+L16*$B$16+L19*$B$19+L21*$B$21+L22*$B$22+L24*B24)</f>
        <v>11377.039999999999</v>
      </c>
      <c r="M29" s="91">
        <f>(M12*$B$12+M13*$B$13+M14*$B$14+M15*$B$15+M17*$B$17+M20*$B$20+M16*$B$16+M19*$B$19+M21*$B$21+M22*$B$22+M24*B24)</f>
        <v>6469.5</v>
      </c>
      <c r="N29" s="91">
        <f>(N12*$B$12+N13*$B$13+N14*$B$14+N15*$B$15+N17*$B$17+N20*$B$20+N16*$B$16+N19*$B$19+N21*$B$21+N22*$B$22+N24*B24)</f>
        <v>4916.8200000000006</v>
      </c>
      <c r="O29" s="91">
        <f>(O12*$B$12+O13*$B$13+O14*$B$14+O15*$B$15+O17*$B$17+O20*$B$20+O16*$B$16+O19*$B$19+O21*$B$21+O22*$B$22+O23*B23)</f>
        <v>11427.840000000002</v>
      </c>
      <c r="P29" s="91">
        <f>(P12*$B$12+P13*$B$13+P14*$B$14+P15*$B$15+P17*$B$17+P20*$B$20+P16*$B$16+P19*$B$19+P21*$B$21+P22*$B$22+P24*B24)</f>
        <v>11303.98</v>
      </c>
      <c r="Q29" s="91">
        <f>(Q12*$B$12+Q13*$B$13+Q14*$B$14+Q15*$B$15+Q17*$B$17+Q20*$B$20+Q16*$B$16+Q19*$B$19+Q21*$B$21+Q22*$B$22)</f>
        <v>11323.85</v>
      </c>
      <c r="R29" s="91">
        <f>(R12*$B$12+R13*$B$13+R14*$B$14+R15*$B$15+R17*$B$17+R20*$B$20+R16*$B$16+R19*$B$19+R21*$B$21+R22*$B$22)</f>
        <v>4916.8200000000006</v>
      </c>
      <c r="S29" s="91">
        <f>(S12*$B$12+S13*$B$13+S14*$B$14+S15*$B$15+S17*$B$17+S20*$B$20+S16*$B$16+S19*$B$19+S21*$B$21+S22*$B$22)-353.97</f>
        <v>2798.3</v>
      </c>
      <c r="T29" s="91">
        <f>(T12*$B$12+T13*$B$13+T14*$B$14+T15*$B$15+T17*$B$17+T20*$B$20+T16*$B$16+T19*$B$19+T21*$B$21+T22*$B$22)</f>
        <v>5218.7299999999996</v>
      </c>
      <c r="U29" s="91">
        <f>(U12*$B$12+U13*$B$13+U14*$B$14+U15*$B$15+U17*$B$17+U20*$B$20+U16*$B$16+U19*$B$19+U21*$B$21+U22*$B$22+U24*B24)</f>
        <v>5003.08</v>
      </c>
      <c r="V29" s="91">
        <f t="shared" ref="V29:AF29" si="4">(V12*$B$12+V13*$B$13+V14*$B$14+V15*$B$15+V17*$B$17+V20*$B$20+V16*$B$16+V19*$B$19+V21*$B$21+V22*$B$22)</f>
        <v>8369.93</v>
      </c>
      <c r="W29" s="91">
        <f>(W12*$B$12+W13*$B$13+W14*$B$14+W15*$B$15+W17*$B$17+W20*$B$20+W16*$B$16+W19*$B$19+W21*$B$21+W22*$B$22)-81.4</f>
        <v>8408.18</v>
      </c>
      <c r="X29" s="91">
        <f t="shared" si="4"/>
        <v>10553.290000000003</v>
      </c>
      <c r="Y29" s="91">
        <f t="shared" si="4"/>
        <v>10768.19</v>
      </c>
      <c r="Z29" s="91">
        <f t="shared" si="4"/>
        <v>10887.52</v>
      </c>
      <c r="AA29" s="91">
        <f t="shared" si="4"/>
        <v>6469.5</v>
      </c>
      <c r="AB29" s="91">
        <f t="shared" si="4"/>
        <v>4916.8200000000006</v>
      </c>
      <c r="AC29" s="91">
        <f>(AC12*$B$12+AC13*$B$13+AC14*$B$14+AC15*$B$15+AC17*$B$17+AC20*$B$20+AC16*$B$16+AC19*$B$19+AC21*$B$21+AC22*$B$22)-5.46</f>
        <v>10204.68</v>
      </c>
      <c r="AD29" s="91">
        <f t="shared" si="4"/>
        <v>10957.12</v>
      </c>
      <c r="AE29" s="91">
        <f t="shared" si="4"/>
        <v>10868.470000000001</v>
      </c>
      <c r="AF29" s="91">
        <f t="shared" si="4"/>
        <v>10641.689999999999</v>
      </c>
      <c r="AG29" s="91">
        <f t="shared" ref="AG29" si="5">(AG12*$B$12+AG13*$B$13+AG14*$B$14+AG15*$B$15+AG17*$B$17+AG20*$B$20+AG16*$B$16+AG19*$B$19+AG21*$B$21+AG22*$B$22)</f>
        <v>9231.5300000000025</v>
      </c>
    </row>
    <row r="30" spans="1:33" x14ac:dyDescent="0.25">
      <c r="A30" s="90" t="s">
        <v>93</v>
      </c>
      <c r="B30" s="225">
        <f>SUM(C30:AG30)</f>
        <v>230922.52999999997</v>
      </c>
      <c r="C30" s="91">
        <f t="shared" ref="C30:AF30" si="6">$B$5*C5+$B$6*C6+$B$7*C7+$B$8*C8+$B$10*C10+$B$9*C9</f>
        <v>8852.49</v>
      </c>
      <c r="D30" s="91">
        <f t="shared" si="6"/>
        <v>8852.49</v>
      </c>
      <c r="E30" s="91">
        <f t="shared" si="6"/>
        <v>8852.49</v>
      </c>
      <c r="F30" s="91">
        <f t="shared" si="6"/>
        <v>6340.1100000000006</v>
      </c>
      <c r="G30" s="91">
        <f t="shared" si="6"/>
        <v>4787.43</v>
      </c>
      <c r="H30" s="91">
        <f t="shared" si="6"/>
        <v>8765.16</v>
      </c>
      <c r="I30" s="91">
        <f t="shared" si="6"/>
        <v>8690.7800000000007</v>
      </c>
      <c r="J30" s="91">
        <f t="shared" si="6"/>
        <v>8852.49</v>
      </c>
      <c r="K30" s="91">
        <f t="shared" si="6"/>
        <v>8852.49</v>
      </c>
      <c r="L30" s="91">
        <f t="shared" si="6"/>
        <v>8852.49</v>
      </c>
      <c r="M30" s="91">
        <f t="shared" si="6"/>
        <v>6340.1100000000006</v>
      </c>
      <c r="N30" s="91">
        <f t="shared" si="6"/>
        <v>4787.43</v>
      </c>
      <c r="O30" s="91">
        <f t="shared" si="6"/>
        <v>8852.49</v>
      </c>
      <c r="P30" s="91">
        <f t="shared" si="6"/>
        <v>8746.36</v>
      </c>
      <c r="Q30" s="91">
        <f t="shared" si="6"/>
        <v>8852.49</v>
      </c>
      <c r="R30" s="91">
        <f t="shared" si="6"/>
        <v>4787.43</v>
      </c>
      <c r="S30" s="91">
        <f t="shared" si="6"/>
        <v>3109.14</v>
      </c>
      <c r="T30" s="91">
        <f t="shared" si="6"/>
        <v>5218.7299999999996</v>
      </c>
      <c r="U30" s="91">
        <f t="shared" si="6"/>
        <v>4787.43</v>
      </c>
      <c r="V30" s="91">
        <f t="shared" si="6"/>
        <v>7219.4400000000005</v>
      </c>
      <c r="W30" s="91">
        <f t="shared" si="6"/>
        <v>7223.7199999999993</v>
      </c>
      <c r="X30" s="91">
        <f t="shared" si="6"/>
        <v>8353.66</v>
      </c>
      <c r="Y30" s="91">
        <f t="shared" si="6"/>
        <v>8743.4699999999993</v>
      </c>
      <c r="Z30" s="91">
        <f t="shared" si="6"/>
        <v>8743.4699999999993</v>
      </c>
      <c r="AA30" s="91">
        <f t="shared" si="6"/>
        <v>6340.1100000000006</v>
      </c>
      <c r="AB30" s="91">
        <f t="shared" si="6"/>
        <v>4787.43</v>
      </c>
      <c r="AC30" s="91">
        <f t="shared" si="6"/>
        <v>8685.25</v>
      </c>
      <c r="AD30" s="91">
        <f t="shared" si="6"/>
        <v>8688.9599999999991</v>
      </c>
      <c r="AE30" s="91">
        <f t="shared" si="6"/>
        <v>8688.9599999999991</v>
      </c>
      <c r="AF30" s="91">
        <f t="shared" si="6"/>
        <v>8597.9199999999983</v>
      </c>
      <c r="AG30" s="91">
        <f t="shared" ref="AG30" si="7">$B$5*AG5+$B$6*AG6+$B$7*AG7+$B$8*AG8+$B$10*AG10+$B$9*AG9</f>
        <v>7670.11</v>
      </c>
    </row>
    <row r="31" spans="1:33" x14ac:dyDescent="0.25">
      <c r="A31" s="90" t="s">
        <v>94</v>
      </c>
      <c r="B31" s="225">
        <f>SUM(C31:AG31)</f>
        <v>29479592.479999993</v>
      </c>
      <c r="C31" s="91">
        <f t="shared" ref="C31:AD31" si="8">C29*104</f>
        <v>1302588.5600000003</v>
      </c>
      <c r="D31" s="91">
        <f t="shared" si="8"/>
        <v>1293480.2400000002</v>
      </c>
      <c r="E31" s="91">
        <f t="shared" si="8"/>
        <v>1278977.4400000002</v>
      </c>
      <c r="F31" s="91">
        <f t="shared" si="8"/>
        <v>672828</v>
      </c>
      <c r="G31" s="91">
        <f t="shared" si="8"/>
        <v>511349.28000000009</v>
      </c>
      <c r="H31" s="91">
        <f t="shared" si="8"/>
        <v>1263451.2799999998</v>
      </c>
      <c r="I31" s="91">
        <f t="shared" si="8"/>
        <v>1261113.3600000001</v>
      </c>
      <c r="J31" s="91">
        <f t="shared" si="8"/>
        <v>1264474.6399999999</v>
      </c>
      <c r="K31" s="91">
        <f t="shared" si="8"/>
        <v>1179910.1599999999</v>
      </c>
      <c r="L31" s="91">
        <f t="shared" si="8"/>
        <v>1183212.1599999999</v>
      </c>
      <c r="M31" s="91">
        <f t="shared" si="8"/>
        <v>672828</v>
      </c>
      <c r="N31" s="91">
        <f t="shared" si="8"/>
        <v>511349.28000000009</v>
      </c>
      <c r="O31" s="91">
        <f t="shared" si="8"/>
        <v>1188495.3600000001</v>
      </c>
      <c r="P31" s="91">
        <f t="shared" si="8"/>
        <v>1175613.92</v>
      </c>
      <c r="Q31" s="91">
        <f t="shared" si="8"/>
        <v>1177680.4000000001</v>
      </c>
      <c r="R31" s="91">
        <f t="shared" si="8"/>
        <v>511349.28000000009</v>
      </c>
      <c r="S31" s="91">
        <f t="shared" si="8"/>
        <v>291023.2</v>
      </c>
      <c r="T31" s="91">
        <f t="shared" si="8"/>
        <v>542747.91999999993</v>
      </c>
      <c r="U31" s="91">
        <f t="shared" si="8"/>
        <v>520320.32</v>
      </c>
      <c r="V31" s="91">
        <f t="shared" si="8"/>
        <v>870472.72</v>
      </c>
      <c r="W31" s="91">
        <f t="shared" si="8"/>
        <v>874450.72</v>
      </c>
      <c r="X31" s="91">
        <f t="shared" si="8"/>
        <v>1097542.1600000004</v>
      </c>
      <c r="Y31" s="91">
        <f t="shared" si="8"/>
        <v>1119891.76</v>
      </c>
      <c r="Z31" s="91">
        <f t="shared" si="8"/>
        <v>1132302.08</v>
      </c>
      <c r="AA31" s="91">
        <f t="shared" si="8"/>
        <v>672828</v>
      </c>
      <c r="AB31" s="91">
        <f t="shared" si="8"/>
        <v>511349.28000000009</v>
      </c>
      <c r="AC31" s="91">
        <f t="shared" si="8"/>
        <v>1061286.72</v>
      </c>
      <c r="AD31" s="91">
        <f t="shared" si="8"/>
        <v>1139540.48</v>
      </c>
      <c r="AE31" s="91">
        <f t="shared" ref="AE31" si="9">AE29*104</f>
        <v>1130320.8800000001</v>
      </c>
      <c r="AF31" s="91">
        <f t="shared" ref="AF31:AG31" si="10">AF29*104</f>
        <v>1106735.7599999998</v>
      </c>
      <c r="AG31" s="91">
        <f t="shared" si="10"/>
        <v>960079.12000000023</v>
      </c>
    </row>
    <row r="32" spans="1:33" x14ac:dyDescent="0.25">
      <c r="A32" s="90" t="s">
        <v>95</v>
      </c>
      <c r="B32" s="89">
        <f>SUM(C32:AG32)</f>
        <v>566915.24000000011</v>
      </c>
      <c r="C32" s="91">
        <f>C29*2</f>
        <v>25049.780000000006</v>
      </c>
      <c r="D32" s="91">
        <f t="shared" ref="D32:AD32" si="11">D29*2</f>
        <v>24874.620000000003</v>
      </c>
      <c r="E32" s="91">
        <f t="shared" si="11"/>
        <v>24595.720000000005</v>
      </c>
      <c r="F32" s="91">
        <f t="shared" si="11"/>
        <v>12939</v>
      </c>
      <c r="G32" s="91">
        <f t="shared" si="11"/>
        <v>9833.6400000000012</v>
      </c>
      <c r="H32" s="91">
        <f t="shared" si="11"/>
        <v>24297.139999999996</v>
      </c>
      <c r="I32" s="91">
        <f t="shared" si="11"/>
        <v>24252.18</v>
      </c>
      <c r="J32" s="91">
        <f t="shared" si="11"/>
        <v>24316.82</v>
      </c>
      <c r="K32" s="91">
        <f t="shared" si="11"/>
        <v>22690.579999999998</v>
      </c>
      <c r="L32" s="91">
        <f t="shared" si="11"/>
        <v>22754.079999999998</v>
      </c>
      <c r="M32" s="91">
        <f t="shared" si="11"/>
        <v>12939</v>
      </c>
      <c r="N32" s="91">
        <f t="shared" si="11"/>
        <v>9833.6400000000012</v>
      </c>
      <c r="O32" s="91">
        <f t="shared" si="11"/>
        <v>22855.680000000004</v>
      </c>
      <c r="P32" s="91">
        <f t="shared" si="11"/>
        <v>22607.96</v>
      </c>
      <c r="Q32" s="91">
        <f t="shared" si="11"/>
        <v>22647.7</v>
      </c>
      <c r="R32" s="91">
        <f t="shared" si="11"/>
        <v>9833.6400000000012</v>
      </c>
      <c r="S32" s="91">
        <f t="shared" si="11"/>
        <v>5596.6</v>
      </c>
      <c r="T32" s="91">
        <f t="shared" si="11"/>
        <v>10437.459999999999</v>
      </c>
      <c r="U32" s="91">
        <f t="shared" si="11"/>
        <v>10006.16</v>
      </c>
      <c r="V32" s="91">
        <f t="shared" si="11"/>
        <v>16739.86</v>
      </c>
      <c r="W32" s="91">
        <f t="shared" si="11"/>
        <v>16816.36</v>
      </c>
      <c r="X32" s="91">
        <f t="shared" si="11"/>
        <v>21106.580000000005</v>
      </c>
      <c r="Y32" s="91">
        <f t="shared" si="11"/>
        <v>21536.38</v>
      </c>
      <c r="Z32" s="91">
        <f t="shared" si="11"/>
        <v>21775.040000000001</v>
      </c>
      <c r="AA32" s="91">
        <f t="shared" si="11"/>
        <v>12939</v>
      </c>
      <c r="AB32" s="91">
        <f t="shared" si="11"/>
        <v>9833.6400000000012</v>
      </c>
      <c r="AC32" s="91">
        <f t="shared" si="11"/>
        <v>20409.36</v>
      </c>
      <c r="AD32" s="91">
        <f t="shared" si="11"/>
        <v>21914.240000000002</v>
      </c>
      <c r="AE32" s="91">
        <f t="shared" ref="AE32" si="12">AE29*2</f>
        <v>21736.940000000002</v>
      </c>
      <c r="AF32" s="91">
        <f t="shared" ref="AF32:AG32" si="13">AF29*2</f>
        <v>21283.379999999997</v>
      </c>
      <c r="AG32" s="91">
        <f t="shared" si="13"/>
        <v>18463.060000000005</v>
      </c>
    </row>
    <row r="33" spans="1:33" x14ac:dyDescent="0.25">
      <c r="A33" s="90" t="s">
        <v>96</v>
      </c>
      <c r="B33" s="89">
        <f>SUM(C33:AG33)</f>
        <v>2560064</v>
      </c>
      <c r="C33" s="91">
        <f>+C28*362</f>
        <v>115116</v>
      </c>
      <c r="D33" s="91">
        <f t="shared" ref="D33:AD33" si="14">+D28*362</f>
        <v>113668</v>
      </c>
      <c r="E33" s="91">
        <f t="shared" si="14"/>
        <v>112944</v>
      </c>
      <c r="F33" s="91">
        <f t="shared" si="14"/>
        <v>54300</v>
      </c>
      <c r="G33" s="91">
        <f t="shared" si="14"/>
        <v>41268</v>
      </c>
      <c r="H33" s="91">
        <f t="shared" si="14"/>
        <v>111858</v>
      </c>
      <c r="I33" s="91">
        <f t="shared" si="14"/>
        <v>110772</v>
      </c>
      <c r="J33" s="91">
        <f t="shared" si="14"/>
        <v>112220</v>
      </c>
      <c r="K33" s="91">
        <f t="shared" si="14"/>
        <v>104980</v>
      </c>
      <c r="L33" s="91">
        <f t="shared" si="14"/>
        <v>104980</v>
      </c>
      <c r="M33" s="91">
        <f t="shared" si="14"/>
        <v>54300</v>
      </c>
      <c r="N33" s="91">
        <f t="shared" si="14"/>
        <v>41268</v>
      </c>
      <c r="O33" s="91">
        <f t="shared" si="14"/>
        <v>105704</v>
      </c>
      <c r="P33" s="91">
        <f t="shared" si="14"/>
        <v>104256</v>
      </c>
      <c r="Q33" s="91">
        <f t="shared" si="14"/>
        <v>104980</v>
      </c>
      <c r="R33" s="91">
        <f t="shared" si="14"/>
        <v>41268</v>
      </c>
      <c r="S33" s="91">
        <f t="shared" si="14"/>
        <v>28960</v>
      </c>
      <c r="T33" s="91">
        <f t="shared" si="14"/>
        <v>43802</v>
      </c>
      <c r="U33" s="91">
        <f t="shared" si="14"/>
        <v>41992</v>
      </c>
      <c r="V33" s="91">
        <f t="shared" si="14"/>
        <v>72400</v>
      </c>
      <c r="W33" s="91">
        <f t="shared" si="14"/>
        <v>74934</v>
      </c>
      <c r="X33" s="91">
        <f t="shared" si="14"/>
        <v>94844</v>
      </c>
      <c r="Y33" s="91">
        <f t="shared" si="14"/>
        <v>99188</v>
      </c>
      <c r="Z33" s="91">
        <f t="shared" si="14"/>
        <v>100636</v>
      </c>
      <c r="AA33" s="91">
        <f t="shared" si="14"/>
        <v>54300</v>
      </c>
      <c r="AB33" s="91">
        <f t="shared" si="14"/>
        <v>41268</v>
      </c>
      <c r="AC33" s="91">
        <f t="shared" si="14"/>
        <v>94120</v>
      </c>
      <c r="AD33" s="91">
        <f t="shared" si="14"/>
        <v>99912</v>
      </c>
      <c r="AE33" s="91">
        <f t="shared" ref="AE33" si="15">+AE28*362</f>
        <v>99912</v>
      </c>
      <c r="AF33" s="91">
        <f t="shared" ref="AF33:AG33" si="16">+AF28*362</f>
        <v>98102</v>
      </c>
      <c r="AG33" s="91">
        <f t="shared" si="16"/>
        <v>81812</v>
      </c>
    </row>
    <row r="34" spans="1:33" ht="14.25" customHeight="1" x14ac:dyDescent="0.25">
      <c r="A34" s="92" t="s">
        <v>97</v>
      </c>
      <c r="B34" s="225">
        <f>SUM(C34:AG34)</f>
        <v>22478189.266000006</v>
      </c>
      <c r="C34" s="91">
        <f>C29*79.3</f>
        <v>993223.77700000023</v>
      </c>
      <c r="D34" s="91">
        <f t="shared" ref="D34:AD34" si="17">D29*79.3</f>
        <v>986278.68300000008</v>
      </c>
      <c r="E34" s="91">
        <f t="shared" si="17"/>
        <v>975220.29800000018</v>
      </c>
      <c r="F34" s="91">
        <f t="shared" si="17"/>
        <v>513031.35</v>
      </c>
      <c r="G34" s="91">
        <f t="shared" si="17"/>
        <v>389903.82600000006</v>
      </c>
      <c r="H34" s="91">
        <f t="shared" si="17"/>
        <v>963381.60099999979</v>
      </c>
      <c r="I34" s="91">
        <f t="shared" si="17"/>
        <v>961598.93700000003</v>
      </c>
      <c r="J34" s="91">
        <f t="shared" si="17"/>
        <v>964161.91299999994</v>
      </c>
      <c r="K34" s="91">
        <f t="shared" si="17"/>
        <v>899681.49699999986</v>
      </c>
      <c r="L34" s="91">
        <f t="shared" si="17"/>
        <v>902199.27199999988</v>
      </c>
      <c r="M34" s="91">
        <f t="shared" si="17"/>
        <v>513031.35</v>
      </c>
      <c r="N34" s="91">
        <f t="shared" si="17"/>
        <v>389903.82600000006</v>
      </c>
      <c r="O34" s="91">
        <f t="shared" si="17"/>
        <v>906227.71200000017</v>
      </c>
      <c r="P34" s="91">
        <f t="shared" si="17"/>
        <v>896405.61399999994</v>
      </c>
      <c r="Q34" s="91">
        <f t="shared" si="17"/>
        <v>897981.30500000005</v>
      </c>
      <c r="R34" s="91">
        <f t="shared" si="17"/>
        <v>389903.82600000006</v>
      </c>
      <c r="S34" s="91">
        <f t="shared" si="17"/>
        <v>221905.19</v>
      </c>
      <c r="T34" s="91">
        <f t="shared" si="17"/>
        <v>413845.28899999993</v>
      </c>
      <c r="U34" s="91">
        <f t="shared" si="17"/>
        <v>396744.24400000001</v>
      </c>
      <c r="V34" s="91">
        <f t="shared" si="17"/>
        <v>663735.44900000002</v>
      </c>
      <c r="W34" s="91">
        <f t="shared" si="17"/>
        <v>666768.674</v>
      </c>
      <c r="X34" s="91">
        <f t="shared" si="17"/>
        <v>836875.89700000023</v>
      </c>
      <c r="Y34" s="91">
        <f t="shared" si="17"/>
        <v>853917.46700000006</v>
      </c>
      <c r="Z34" s="91">
        <f t="shared" si="17"/>
        <v>863380.33600000001</v>
      </c>
      <c r="AA34" s="91">
        <f t="shared" si="17"/>
        <v>513031.35</v>
      </c>
      <c r="AB34" s="91">
        <f t="shared" si="17"/>
        <v>389903.82600000006</v>
      </c>
      <c r="AC34" s="91">
        <f>AC29*79.3</f>
        <v>809231.12399999995</v>
      </c>
      <c r="AD34" s="91">
        <f t="shared" si="17"/>
        <v>868899.61600000004</v>
      </c>
      <c r="AE34" s="91">
        <f t="shared" ref="AE34" si="18">AE29*79.3</f>
        <v>861869.67100000009</v>
      </c>
      <c r="AF34" s="91">
        <f t="shared" ref="AF34:AG34" si="19">AF29*79.3</f>
        <v>843886.01699999988</v>
      </c>
      <c r="AG34" s="91">
        <f t="shared" si="19"/>
        <v>732060.32900000014</v>
      </c>
    </row>
    <row r="35" spans="1:33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1"/>
      <c r="O35" s="8"/>
    </row>
    <row r="36" spans="1:33" x14ac:dyDescent="0.25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8" spans="1:33" x14ac:dyDescent="0.25">
      <c r="C38" s="172"/>
      <c r="D38" s="296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</row>
    <row r="39" spans="1:33" x14ac:dyDescent="0.25">
      <c r="E39" s="43"/>
      <c r="F39" s="133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3"/>
      <c r="Y39" s="43"/>
      <c r="AB39" s="8"/>
    </row>
    <row r="40" spans="1:33" x14ac:dyDescent="0.25">
      <c r="E40" s="43"/>
      <c r="F40" s="43"/>
      <c r="G40" s="43"/>
      <c r="H40" s="124"/>
      <c r="I40" s="43"/>
      <c r="J40" s="43"/>
      <c r="K40" s="124"/>
      <c r="L40" s="43"/>
      <c r="M40" s="43"/>
      <c r="N40" s="43"/>
      <c r="O40" s="124"/>
      <c r="P40" s="43"/>
      <c r="Q40" s="43"/>
      <c r="R40" s="43"/>
      <c r="S40" s="124"/>
      <c r="T40" s="43"/>
      <c r="U40" s="43"/>
      <c r="V40" s="43"/>
      <c r="W40" s="124"/>
      <c r="X40" s="43"/>
      <c r="Y40" s="43"/>
      <c r="Z40" s="43"/>
      <c r="AA40" s="124"/>
      <c r="AB40" s="43"/>
      <c r="AD40" s="43"/>
    </row>
    <row r="41" spans="1:33" x14ac:dyDescent="0.25">
      <c r="P41" s="84"/>
      <c r="R41" s="172"/>
      <c r="W41">
        <f>7.4*5+7.4*6</f>
        <v>81.400000000000006</v>
      </c>
      <c r="AB41" s="8"/>
    </row>
    <row r="42" spans="1:33" x14ac:dyDescent="0.25">
      <c r="P42" s="84"/>
      <c r="R42" s="172"/>
      <c r="AB42" s="8"/>
    </row>
    <row r="43" spans="1:33" x14ac:dyDescent="0.25"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72"/>
      <c r="S43" s="124"/>
      <c r="T43" s="124"/>
      <c r="U43" s="124"/>
      <c r="V43" s="124"/>
      <c r="W43" s="124"/>
      <c r="X43" s="124"/>
      <c r="Y43" s="124"/>
      <c r="Z43" s="124"/>
      <c r="AA43" s="124"/>
      <c r="AB43" s="8"/>
      <c r="AD43" s="124"/>
    </row>
    <row r="44" spans="1:33" x14ac:dyDescent="0.25">
      <c r="P44" s="84"/>
      <c r="R44" s="172"/>
      <c r="AB44" s="8"/>
    </row>
    <row r="45" spans="1:33" x14ac:dyDescent="0.25">
      <c r="P45" s="84"/>
      <c r="R45" s="172"/>
      <c r="AB45" s="8"/>
    </row>
    <row r="46" spans="1:33" x14ac:dyDescent="0.25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72"/>
      <c r="S46" s="124"/>
      <c r="T46" s="124"/>
      <c r="U46" s="124"/>
      <c r="V46" s="124"/>
      <c r="W46" s="124"/>
      <c r="X46" s="124"/>
      <c r="Y46" s="124"/>
      <c r="Z46" s="124"/>
      <c r="AA46" s="124"/>
      <c r="AB46" s="8"/>
      <c r="AD46" s="124"/>
    </row>
    <row r="47" spans="1:33" x14ac:dyDescent="0.25">
      <c r="Q47" s="84"/>
      <c r="R47" s="172"/>
      <c r="AB47" s="8"/>
    </row>
    <row r="48" spans="1:33" x14ac:dyDescent="0.25">
      <c r="Q48" s="84"/>
      <c r="R48" s="172"/>
    </row>
    <row r="49" spans="17:18" x14ac:dyDescent="0.25">
      <c r="Q49" s="84"/>
      <c r="R49" s="172"/>
    </row>
    <row r="50" spans="17:18" x14ac:dyDescent="0.25">
      <c r="Q50" s="84"/>
      <c r="R50" s="172"/>
    </row>
    <row r="51" spans="17:18" x14ac:dyDescent="0.25">
      <c r="Q51" s="8"/>
      <c r="R51" s="172"/>
    </row>
    <row r="52" spans="17:18" x14ac:dyDescent="0.25">
      <c r="Q52" s="8"/>
      <c r="R52" s="172"/>
    </row>
    <row r="53" spans="17:18" x14ac:dyDescent="0.25">
      <c r="R53" s="172"/>
    </row>
    <row r="54" spans="17:18" x14ac:dyDescent="0.25">
      <c r="R54" s="172"/>
    </row>
    <row r="55" spans="17:18" x14ac:dyDescent="0.25">
      <c r="R55" s="172"/>
    </row>
    <row r="56" spans="17:18" x14ac:dyDescent="0.25">
      <c r="R56" s="172"/>
    </row>
    <row r="57" spans="17:18" x14ac:dyDescent="0.25">
      <c r="R57" s="172"/>
    </row>
    <row r="58" spans="17:18" x14ac:dyDescent="0.25">
      <c r="R58" s="172"/>
    </row>
    <row r="59" spans="17:18" x14ac:dyDescent="0.25">
      <c r="R59" s="172"/>
    </row>
    <row r="60" spans="17:18" x14ac:dyDescent="0.25">
      <c r="R60" s="172"/>
    </row>
    <row r="61" spans="17:18" x14ac:dyDescent="0.25">
      <c r="R61" s="172"/>
    </row>
    <row r="62" spans="17:18" x14ac:dyDescent="0.25">
      <c r="R62" s="124"/>
    </row>
    <row r="63" spans="17:18" x14ac:dyDescent="0.25">
      <c r="R63" s="124"/>
    </row>
    <row r="64" spans="17:18" x14ac:dyDescent="0.25">
      <c r="R64" s="124"/>
    </row>
    <row r="65" spans="18:18" x14ac:dyDescent="0.25">
      <c r="R65" s="124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</sheetData>
  <pageMargins left="0.7" right="0.7" top="0.75" bottom="0.75" header="0.3" footer="0.3"/>
  <pageSetup orientation="portrait" r:id="rId1"/>
  <ignoredErrors>
    <ignoredError sqref="Q27:Q28 X27:X28 U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87" t="s">
        <v>184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46204</v>
      </c>
      <c r="B4" s="12">
        <f>'KM-Servicio'!N11</f>
        <v>12929</v>
      </c>
      <c r="C4" s="12">
        <f>B4</f>
        <v>12929</v>
      </c>
      <c r="D4" s="12">
        <f>'KM-Servicio'!W11</f>
        <v>12524.890000000001</v>
      </c>
      <c r="E4" s="12">
        <f>D4</f>
        <v>12524.890000000001</v>
      </c>
      <c r="F4" s="166">
        <f>'KM-Servicio'!O11</f>
        <v>96.874390904168934</v>
      </c>
      <c r="G4" s="167">
        <f>SUM('KM-Servicio'!B11:C11)</f>
        <v>229</v>
      </c>
      <c r="H4" s="167">
        <f>SUM('KM-Servicio'!D11:E11)</f>
        <v>229</v>
      </c>
      <c r="I4" s="12">
        <f>'Oferta Diaria'!C34</f>
        <v>993223.77700000023</v>
      </c>
      <c r="J4" s="161" t="s">
        <v>137</v>
      </c>
      <c r="K4" s="164"/>
      <c r="L4" s="162"/>
    </row>
    <row r="5" spans="1:12" x14ac:dyDescent="0.25">
      <c r="A5" s="160">
        <v>46205</v>
      </c>
      <c r="B5" s="12">
        <f>'KM-Servicio'!N18</f>
        <v>13146</v>
      </c>
      <c r="C5" s="12">
        <f>B5+C4</f>
        <v>26075</v>
      </c>
      <c r="D5" s="12">
        <f>'KM-Servicio'!W18</f>
        <v>12437.310000000001</v>
      </c>
      <c r="E5" s="12">
        <f>D5+E4</f>
        <v>24962.200000000004</v>
      </c>
      <c r="F5" s="166">
        <f>'KM-Servicio'!O18</f>
        <v>94.609082610680062</v>
      </c>
      <c r="G5" s="167">
        <f>SUM('KM-Servicio'!B18:C18)</f>
        <v>229</v>
      </c>
      <c r="H5" s="167">
        <f>SUM('KM-Servicio'!D18:E18)</f>
        <v>229</v>
      </c>
      <c r="I5" s="12">
        <f>'Oferta Diaria'!D34</f>
        <v>986278.68300000008</v>
      </c>
      <c r="J5" s="161" t="s">
        <v>137</v>
      </c>
      <c r="K5" s="164"/>
      <c r="L5" s="162"/>
    </row>
    <row r="6" spans="1:12" x14ac:dyDescent="0.25">
      <c r="A6" s="160">
        <v>46206</v>
      </c>
      <c r="B6" s="12">
        <f>'KM-Servicio'!N25</f>
        <v>12747</v>
      </c>
      <c r="C6" s="12">
        <f t="shared" ref="C6:C33" si="0">B6+C5</f>
        <v>38822</v>
      </c>
      <c r="D6" s="12">
        <f>'KM-Servicio'!W25</f>
        <v>12297.86</v>
      </c>
      <c r="E6" s="12">
        <f t="shared" ref="E6:E33" si="1">D6+E5</f>
        <v>37260.060000000005</v>
      </c>
      <c r="F6" s="166">
        <f>'KM-Servicio'!O25</f>
        <v>96.476504275515822</v>
      </c>
      <c r="G6" s="167">
        <f>SUM('KM-Servicio'!B25:C25)</f>
        <v>229</v>
      </c>
      <c r="H6" s="167">
        <f>SUM('KM-Servicio'!D25:E25)</f>
        <v>229</v>
      </c>
      <c r="I6" s="12">
        <f>'Oferta Diaria'!E34</f>
        <v>975220.29800000018</v>
      </c>
      <c r="J6" s="161" t="s">
        <v>137</v>
      </c>
      <c r="K6" s="164"/>
      <c r="L6" s="162"/>
    </row>
    <row r="7" spans="1:12" x14ac:dyDescent="0.25">
      <c r="A7" s="160">
        <v>46207</v>
      </c>
      <c r="B7" s="12">
        <f>'KM-Servicio'!N32</f>
        <v>6527</v>
      </c>
      <c r="C7" s="12">
        <f t="shared" si="0"/>
        <v>45349</v>
      </c>
      <c r="D7" s="12">
        <f>'KM-Servicio'!W32</f>
        <v>6469.5</v>
      </c>
      <c r="E7" s="12">
        <f t="shared" si="1"/>
        <v>43729.560000000005</v>
      </c>
      <c r="F7" s="166">
        <f>'KM-Servicio'!O32</f>
        <v>99.119043971196561</v>
      </c>
      <c r="G7" s="167">
        <f>SUM('KM-Servicio'!B32:C32)</f>
        <v>147</v>
      </c>
      <c r="H7" s="167">
        <f>SUM('KM-Servicio'!D32:E32)</f>
        <v>147</v>
      </c>
      <c r="I7" s="12">
        <f>'Oferta Diaria'!F34</f>
        <v>513031.35</v>
      </c>
      <c r="J7" s="312" t="s">
        <v>138</v>
      </c>
      <c r="K7" s="164"/>
      <c r="L7" s="162"/>
    </row>
    <row r="8" spans="1:12" ht="16.5" customHeight="1" x14ac:dyDescent="0.25">
      <c r="A8" s="160">
        <v>46208</v>
      </c>
      <c r="B8" s="12">
        <f>'KM-Servicio'!N39</f>
        <v>4977</v>
      </c>
      <c r="C8" s="12">
        <f t="shared" si="0"/>
        <v>50326</v>
      </c>
      <c r="D8" s="12">
        <f>'KM-Servicio'!W39</f>
        <v>4916.8200000000006</v>
      </c>
      <c r="E8" s="12">
        <f t="shared" si="1"/>
        <v>48646.380000000005</v>
      </c>
      <c r="F8" s="166">
        <f>'KM-Servicio'!O39</f>
        <v>98.790837854129009</v>
      </c>
      <c r="G8" s="167">
        <f>SUM('KM-Servicio'!B39:C39)</f>
        <v>111</v>
      </c>
      <c r="H8" s="167">
        <f>SUM('KM-Servicio'!D39:E39)</f>
        <v>111</v>
      </c>
      <c r="I8" s="12">
        <f>'Oferta Diaria'!G34</f>
        <v>389903.82600000006</v>
      </c>
      <c r="J8" s="312" t="s">
        <v>136</v>
      </c>
      <c r="K8" s="176"/>
      <c r="L8" s="162"/>
    </row>
    <row r="9" spans="1:12" x14ac:dyDescent="0.25">
      <c r="A9" s="160">
        <v>46209</v>
      </c>
      <c r="B9" s="309">
        <f>'KM-Servicio'!N46</f>
        <v>12739</v>
      </c>
      <c r="C9" s="309">
        <f t="shared" si="0"/>
        <v>63065</v>
      </c>
      <c r="D9" s="309">
        <f>'KM-Servicio'!W46</f>
        <v>12148.57</v>
      </c>
      <c r="E9" s="309">
        <f t="shared" si="1"/>
        <v>60794.950000000004</v>
      </c>
      <c r="F9" s="310">
        <f>'KM-Servicio'!O46</f>
        <v>95.365177800455285</v>
      </c>
      <c r="G9" s="311">
        <f>SUM('KM-Servicio'!B46:C46)</f>
        <v>229</v>
      </c>
      <c r="H9" s="311">
        <f>SUM('KM-Servicio'!D46:E46)</f>
        <v>226</v>
      </c>
      <c r="I9" s="309">
        <f>'Oferta Diaria'!H34</f>
        <v>963381.60099999979</v>
      </c>
      <c r="J9" s="161" t="s">
        <v>137</v>
      </c>
      <c r="K9" s="313"/>
      <c r="L9" s="162"/>
    </row>
    <row r="10" spans="1:12" x14ac:dyDescent="0.25">
      <c r="A10" s="160">
        <v>46210</v>
      </c>
      <c r="B10" s="309">
        <f>'KM-Servicio'!N53</f>
        <v>12682</v>
      </c>
      <c r="C10" s="309">
        <f t="shared" si="0"/>
        <v>75747</v>
      </c>
      <c r="D10" s="309">
        <f>'KM-Servicio'!W53</f>
        <v>12126.09</v>
      </c>
      <c r="E10" s="309">
        <f t="shared" si="1"/>
        <v>72921.040000000008</v>
      </c>
      <c r="F10" s="310">
        <f>'KM-Servicio'!O53</f>
        <v>95.616543131998114</v>
      </c>
      <c r="G10" s="311">
        <f>SUM('KM-Servicio'!B53:C53)</f>
        <v>229</v>
      </c>
      <c r="H10" s="311">
        <f>SUM('KM-Servicio'!D53:E53)</f>
        <v>222</v>
      </c>
      <c r="I10" s="309">
        <f>'Oferta Diaria'!I34</f>
        <v>961598.93700000003</v>
      </c>
      <c r="J10" s="161" t="s">
        <v>137</v>
      </c>
      <c r="K10" s="314"/>
      <c r="L10" s="162"/>
    </row>
    <row r="11" spans="1:12" x14ac:dyDescent="0.25">
      <c r="A11" s="160">
        <v>46211</v>
      </c>
      <c r="B11" s="309">
        <f>'KM-Servicio'!N60</f>
        <v>12504</v>
      </c>
      <c r="C11" s="309">
        <f t="shared" si="0"/>
        <v>88251</v>
      </c>
      <c r="D11" s="309">
        <f>'KM-Servicio'!W60</f>
        <v>12158.410000000002</v>
      </c>
      <c r="E11" s="309">
        <f t="shared" si="1"/>
        <v>85079.450000000012</v>
      </c>
      <c r="F11" s="310">
        <f>'KM-Servicio'!O60</f>
        <v>97.236164427383258</v>
      </c>
      <c r="G11" s="311">
        <f>SUM('KM-Servicio'!B60:C60)</f>
        <v>229</v>
      </c>
      <c r="H11" s="311">
        <f>SUM('KM-Servicio'!D60:E60)</f>
        <v>229</v>
      </c>
      <c r="I11" s="309">
        <f>'Oferta Diaria'!J34</f>
        <v>964161.91299999994</v>
      </c>
      <c r="J11" s="161" t="s">
        <v>137</v>
      </c>
      <c r="K11" s="313"/>
      <c r="L11" s="162"/>
    </row>
    <row r="12" spans="1:12" x14ac:dyDescent="0.25">
      <c r="A12" s="160">
        <v>46212</v>
      </c>
      <c r="B12" s="12">
        <f>'KM-Servicio'!N67</f>
        <v>11725</v>
      </c>
      <c r="C12" s="12">
        <f t="shared" si="0"/>
        <v>99976</v>
      </c>
      <c r="D12" s="12">
        <f>'KM-Servicio'!W67</f>
        <v>11345.289999999999</v>
      </c>
      <c r="E12" s="12">
        <f t="shared" si="1"/>
        <v>96424.74</v>
      </c>
      <c r="F12" s="166">
        <f>'KM-Servicio'!O67</f>
        <v>96.761535181236667</v>
      </c>
      <c r="G12" s="167">
        <f>SUM('KM-Servicio'!B67:C67)</f>
        <v>229</v>
      </c>
      <c r="H12" s="167">
        <f>SUM('KM-Servicio'!D67:E67)</f>
        <v>229</v>
      </c>
      <c r="I12" s="12">
        <f>'Oferta Diaria'!K34</f>
        <v>899681.49699999986</v>
      </c>
      <c r="J12" s="161" t="s">
        <v>137</v>
      </c>
      <c r="K12" s="164"/>
      <c r="L12" s="162"/>
    </row>
    <row r="13" spans="1:12" x14ac:dyDescent="0.25">
      <c r="A13" s="160">
        <v>46213</v>
      </c>
      <c r="B13" s="12">
        <f>'KM-Servicio'!N74</f>
        <v>11801</v>
      </c>
      <c r="C13" s="12">
        <f t="shared" si="0"/>
        <v>111777</v>
      </c>
      <c r="D13" s="12">
        <f>'KM-Servicio'!W74</f>
        <v>11377.040000000003</v>
      </c>
      <c r="E13" s="12">
        <f t="shared" si="1"/>
        <v>107801.78000000001</v>
      </c>
      <c r="F13" s="166">
        <f>'KM-Servicio'!O74</f>
        <v>96.407423099737329</v>
      </c>
      <c r="G13" s="167">
        <f>SUM('KM-Servicio'!B74:C74)</f>
        <v>229</v>
      </c>
      <c r="H13" s="167">
        <f>SUM('KM-Servicio'!D74:E74)</f>
        <v>229</v>
      </c>
      <c r="I13" s="12">
        <f>'Oferta Diaria'!L34</f>
        <v>902199.27199999988</v>
      </c>
      <c r="J13" s="161" t="s">
        <v>137</v>
      </c>
      <c r="K13" s="164"/>
      <c r="L13" s="162"/>
    </row>
    <row r="14" spans="1:12" x14ac:dyDescent="0.25">
      <c r="A14" s="160">
        <v>46214</v>
      </c>
      <c r="B14" s="12">
        <f>'KM-Servicio'!N81</f>
        <v>6510</v>
      </c>
      <c r="C14" s="12">
        <f t="shared" si="0"/>
        <v>118287</v>
      </c>
      <c r="D14" s="12">
        <f>'KM-Servicio'!W81</f>
        <v>6469.5</v>
      </c>
      <c r="E14" s="12">
        <f t="shared" si="1"/>
        <v>114271.28000000001</v>
      </c>
      <c r="F14" s="166">
        <f>'KM-Servicio'!O81</f>
        <v>99.377880184331801</v>
      </c>
      <c r="G14" s="167">
        <f>SUM('KM-Servicio'!B81:C81)</f>
        <v>147</v>
      </c>
      <c r="H14" s="167">
        <f>SUM('KM-Servicio'!D81:E81)</f>
        <v>147</v>
      </c>
      <c r="I14" s="12">
        <f>'Oferta Diaria'!M34</f>
        <v>513031.35</v>
      </c>
      <c r="J14" s="312" t="s">
        <v>138</v>
      </c>
      <c r="K14" s="164"/>
      <c r="L14" s="162"/>
    </row>
    <row r="15" spans="1:12" x14ac:dyDescent="0.25">
      <c r="A15" s="160">
        <v>46215</v>
      </c>
      <c r="B15" s="12">
        <f>'KM-Servicio'!N88</f>
        <v>4968</v>
      </c>
      <c r="C15" s="12">
        <f t="shared" si="0"/>
        <v>123255</v>
      </c>
      <c r="D15" s="12">
        <f>'KM-Servicio'!W88</f>
        <v>4916.8200000000006</v>
      </c>
      <c r="E15" s="12">
        <f t="shared" si="1"/>
        <v>119188.10000000002</v>
      </c>
      <c r="F15" s="166">
        <f>'KM-Servicio'!O88</f>
        <v>98.969806763285035</v>
      </c>
      <c r="G15" s="167">
        <f>SUM('KM-Servicio'!B88:C88)</f>
        <v>111</v>
      </c>
      <c r="H15" s="167">
        <f>SUM('KM-Servicio'!D88:E88)</f>
        <v>111</v>
      </c>
      <c r="I15" s="12">
        <f>'Oferta Diaria'!N34</f>
        <v>389903.82600000006</v>
      </c>
      <c r="J15" s="312" t="s">
        <v>136</v>
      </c>
      <c r="K15" s="164"/>
      <c r="L15" s="162"/>
    </row>
    <row r="16" spans="1:12" ht="16.5" customHeight="1" x14ac:dyDescent="0.25">
      <c r="A16" s="160">
        <v>46216</v>
      </c>
      <c r="B16" s="309">
        <f>'KM-Servicio'!N95</f>
        <v>11815</v>
      </c>
      <c r="C16" s="309">
        <f t="shared" si="0"/>
        <v>135070</v>
      </c>
      <c r="D16" s="309">
        <f>'KM-Servicio'!W95</f>
        <v>11427.840000000002</v>
      </c>
      <c r="E16" s="309">
        <f t="shared" si="1"/>
        <v>130615.94000000002</v>
      </c>
      <c r="F16" s="310">
        <f>'KM-Servicio'!O95</f>
        <v>96.723148539991556</v>
      </c>
      <c r="G16" s="311">
        <f>SUM('KM-Servicio'!B95:C95)</f>
        <v>229</v>
      </c>
      <c r="H16" s="311">
        <f>SUM('KM-Servicio'!D95:E95)</f>
        <v>229</v>
      </c>
      <c r="I16" s="309">
        <f>'Oferta Diaria'!O34</f>
        <v>906227.71200000017</v>
      </c>
      <c r="J16" s="161" t="s">
        <v>137</v>
      </c>
      <c r="K16" s="313"/>
      <c r="L16" s="162"/>
    </row>
    <row r="17" spans="1:12" x14ac:dyDescent="0.25">
      <c r="A17" s="160">
        <v>46217</v>
      </c>
      <c r="B17" s="309">
        <f>'KM-Servicio'!N102</f>
        <v>11720</v>
      </c>
      <c r="C17" s="309">
        <f t="shared" si="0"/>
        <v>146790</v>
      </c>
      <c r="D17" s="309">
        <f>'KM-Servicio'!W102</f>
        <v>11303.98</v>
      </c>
      <c r="E17" s="309">
        <f t="shared" si="1"/>
        <v>141919.92000000001</v>
      </c>
      <c r="F17" s="310">
        <f>'KM-Servicio'!O102</f>
        <v>96.450341296928315</v>
      </c>
      <c r="G17" s="311">
        <f>SUM('KM-Servicio'!B102:C102)</f>
        <v>229</v>
      </c>
      <c r="H17" s="311">
        <f>SUM('KM-Servicio'!D102:E102)</f>
        <v>225</v>
      </c>
      <c r="I17" s="309">
        <f>'Oferta Diaria'!P34</f>
        <v>896405.61399999994</v>
      </c>
      <c r="J17" s="161" t="s">
        <v>137</v>
      </c>
      <c r="K17" s="313"/>
      <c r="L17" s="162"/>
    </row>
    <row r="18" spans="1:12" x14ac:dyDescent="0.25">
      <c r="A18" s="160">
        <v>46218</v>
      </c>
      <c r="B18" s="12">
        <f>'KM-Servicio'!N109</f>
        <v>11747</v>
      </c>
      <c r="C18" s="12">
        <f t="shared" si="0"/>
        <v>158537</v>
      </c>
      <c r="D18" s="12">
        <f>'KM-Servicio'!W109</f>
        <v>11323.85</v>
      </c>
      <c r="E18" s="12">
        <f t="shared" si="1"/>
        <v>153243.77000000002</v>
      </c>
      <c r="F18" s="166">
        <f>'KM-Servicio'!O109</f>
        <v>96.397803694560309</v>
      </c>
      <c r="G18" s="167">
        <f>SUM('KM-Servicio'!B109:C109)</f>
        <v>229</v>
      </c>
      <c r="H18" s="167">
        <f>SUM('KM-Servicio'!D109:E109)</f>
        <v>229</v>
      </c>
      <c r="I18" s="12">
        <f>'Oferta Diaria'!Q34</f>
        <v>897981.30500000005</v>
      </c>
      <c r="J18" s="161" t="s">
        <v>137</v>
      </c>
      <c r="K18" s="164"/>
      <c r="L18" s="162"/>
    </row>
    <row r="19" spans="1:12" ht="14.25" customHeight="1" x14ac:dyDescent="0.25">
      <c r="A19" s="160">
        <v>46219</v>
      </c>
      <c r="B19" s="12">
        <f>'KM-Servicio'!$N$116</f>
        <v>5053</v>
      </c>
      <c r="C19" s="12">
        <f t="shared" si="0"/>
        <v>163590</v>
      </c>
      <c r="D19" s="12">
        <f>'KM-Servicio'!$W$116</f>
        <v>4916.8200000000006</v>
      </c>
      <c r="E19" s="12">
        <f t="shared" si="1"/>
        <v>158160.59000000003</v>
      </c>
      <c r="F19" s="166">
        <f>'KM-Servicio'!O116</f>
        <v>97.304967346131022</v>
      </c>
      <c r="G19" s="167">
        <f>SUM('KM-Servicio'!B116:C116)</f>
        <v>111</v>
      </c>
      <c r="H19" s="167">
        <f>SUM('KM-Servicio'!D116:E116)</f>
        <v>111</v>
      </c>
      <c r="I19" s="12">
        <f>'Oferta Diaria'!R34</f>
        <v>389903.82600000006</v>
      </c>
      <c r="J19" s="161" t="s">
        <v>137</v>
      </c>
      <c r="K19" s="144"/>
    </row>
    <row r="20" spans="1:12" x14ac:dyDescent="0.25">
      <c r="A20" s="160">
        <v>46220</v>
      </c>
      <c r="B20" s="12">
        <f>'KM-Servicio'!$N$123</f>
        <v>3039</v>
      </c>
      <c r="C20" s="12">
        <f t="shared" si="0"/>
        <v>166629</v>
      </c>
      <c r="D20" s="12">
        <f>'KM-Servicio'!$W$123</f>
        <v>2798.3</v>
      </c>
      <c r="E20" s="12">
        <f t="shared" si="1"/>
        <v>160958.89000000001</v>
      </c>
      <c r="F20" s="166">
        <f>'KM-Servicio'!O123</f>
        <v>92.07963145771636</v>
      </c>
      <c r="G20" s="167">
        <f>SUM('KM-Servicio'!B123:C123)</f>
        <v>229</v>
      </c>
      <c r="H20" s="167">
        <f>SUM('KM-Servicio'!D123:E123)</f>
        <v>79</v>
      </c>
      <c r="I20" s="12">
        <f>'Oferta Diaria'!S34</f>
        <v>221905.19</v>
      </c>
      <c r="J20" s="161" t="s">
        <v>137</v>
      </c>
      <c r="K20" s="164"/>
      <c r="L20" s="162"/>
    </row>
    <row r="21" spans="1:12" x14ac:dyDescent="0.25">
      <c r="A21" s="160">
        <v>46221</v>
      </c>
      <c r="B21" s="12">
        <f>'KM-Servicio'!N130</f>
        <v>5960</v>
      </c>
      <c r="C21" s="12">
        <f t="shared" si="0"/>
        <v>172589</v>
      </c>
      <c r="D21" s="12">
        <f>'KM-Servicio'!$W$130</f>
        <v>5218.7299999999996</v>
      </c>
      <c r="E21" s="12">
        <f t="shared" si="1"/>
        <v>166177.62000000002</v>
      </c>
      <c r="F21" s="166">
        <f>'KM-Servicio'!O130</f>
        <v>87.56258389261744</v>
      </c>
      <c r="G21" s="167">
        <f>SUM('KM-Servicio'!B130:C130)</f>
        <v>147</v>
      </c>
      <c r="H21" s="167">
        <f>SUM('KM-Servicio'!D130:E130)</f>
        <v>121</v>
      </c>
      <c r="I21" s="12">
        <f>'Oferta Diaria'!T34</f>
        <v>413845.28899999993</v>
      </c>
      <c r="J21" s="312" t="s">
        <v>138</v>
      </c>
      <c r="K21" s="164"/>
      <c r="L21" s="162"/>
    </row>
    <row r="22" spans="1:12" x14ac:dyDescent="0.25">
      <c r="A22" s="160">
        <v>46222</v>
      </c>
      <c r="B22" s="12">
        <f>'KM-Servicio'!N137</f>
        <v>5241</v>
      </c>
      <c r="C22" s="12">
        <f t="shared" si="0"/>
        <v>177830</v>
      </c>
      <c r="D22" s="12">
        <f>'KM-Servicio'!$W$137</f>
        <v>5003.08</v>
      </c>
      <c r="E22" s="12">
        <f t="shared" si="1"/>
        <v>171180.7</v>
      </c>
      <c r="F22" s="171">
        <f>'KM-Servicio'!O137</f>
        <v>95.460408319023088</v>
      </c>
      <c r="G22" s="167">
        <f>SUM('KM-Servicio'!B137:C137)</f>
        <v>111</v>
      </c>
      <c r="H22" s="167">
        <f>SUM('KM-Servicio'!D137:E137)</f>
        <v>111</v>
      </c>
      <c r="I22" s="12">
        <f>'Oferta Diaria'!U34</f>
        <v>396744.24400000001</v>
      </c>
      <c r="J22" s="312" t="s">
        <v>136</v>
      </c>
      <c r="K22" s="164"/>
      <c r="L22" s="162"/>
    </row>
    <row r="23" spans="1:12" x14ac:dyDescent="0.25">
      <c r="A23" s="160">
        <v>46223</v>
      </c>
      <c r="B23" s="309">
        <f>'KM-Servicio'!N144</f>
        <v>8460</v>
      </c>
      <c r="C23" s="309">
        <f t="shared" si="0"/>
        <v>186290</v>
      </c>
      <c r="D23" s="309">
        <f>'KM-Servicio'!$W$144</f>
        <v>8369.93</v>
      </c>
      <c r="E23" s="309">
        <f t="shared" si="1"/>
        <v>179550.63</v>
      </c>
      <c r="F23" s="310">
        <f>'KM-Servicio'!O144</f>
        <v>98.93534278959811</v>
      </c>
      <c r="G23" s="311">
        <f>SUM('KM-Servicio'!B144:C144)</f>
        <v>229</v>
      </c>
      <c r="H23" s="311">
        <f>SUM('KM-Servicio'!D144:E144)</f>
        <v>173</v>
      </c>
      <c r="I23" s="309">
        <f>'Oferta Diaria'!V34</f>
        <v>663735.44900000002</v>
      </c>
      <c r="J23" s="161" t="s">
        <v>137</v>
      </c>
      <c r="K23" s="313"/>
      <c r="L23" s="162"/>
    </row>
    <row r="24" spans="1:12" x14ac:dyDescent="0.25">
      <c r="A24" s="160">
        <v>46224</v>
      </c>
      <c r="B24" s="309">
        <f>'KM-Servicio'!N151</f>
        <v>9049</v>
      </c>
      <c r="C24" s="309">
        <f t="shared" si="0"/>
        <v>195339</v>
      </c>
      <c r="D24" s="309">
        <f>'KM-Servicio'!$W$151</f>
        <v>8408.18</v>
      </c>
      <c r="E24" s="309">
        <f t="shared" si="1"/>
        <v>187958.81</v>
      </c>
      <c r="F24" s="310">
        <f>'KM-Servicio'!O151</f>
        <v>92.918333517515748</v>
      </c>
      <c r="G24" s="311">
        <f>SUM('KM-Servicio'!B151:C151)</f>
        <v>229</v>
      </c>
      <c r="H24" s="311">
        <f>SUM('KM-Servicio'!D151:E151)</f>
        <v>177</v>
      </c>
      <c r="I24" s="309">
        <f>'Oferta Diaria'!W34</f>
        <v>666768.674</v>
      </c>
      <c r="J24" s="161" t="s">
        <v>137</v>
      </c>
      <c r="K24" s="313"/>
      <c r="L24" s="162"/>
    </row>
    <row r="25" spans="1:12" x14ac:dyDescent="0.25">
      <c r="A25" s="160">
        <v>46225</v>
      </c>
      <c r="B25" s="12">
        <f>'KM-Servicio'!N158</f>
        <v>10911</v>
      </c>
      <c r="C25" s="12">
        <f t="shared" si="0"/>
        <v>206250</v>
      </c>
      <c r="D25" s="12">
        <f>'KM-Servicio'!$W$158</f>
        <v>10553.290000000003</v>
      </c>
      <c r="E25" s="12">
        <f t="shared" si="1"/>
        <v>198512.1</v>
      </c>
      <c r="F25" s="166">
        <f>'KM-Servicio'!O158</f>
        <v>96.721565392722965</v>
      </c>
      <c r="G25" s="167">
        <f>SUM('KM-Servicio'!B158:C158)</f>
        <v>229</v>
      </c>
      <c r="H25" s="167">
        <f>SUM('KM-Servicio'!D158:E158)</f>
        <v>211</v>
      </c>
      <c r="I25" s="12">
        <f>'Oferta Diaria'!X34</f>
        <v>836875.89700000023</v>
      </c>
      <c r="J25" s="161" t="s">
        <v>137</v>
      </c>
      <c r="K25" s="164"/>
      <c r="L25" s="162"/>
    </row>
    <row r="26" spans="1:12" x14ac:dyDescent="0.25">
      <c r="A26" s="160">
        <v>46226</v>
      </c>
      <c r="B26" s="12">
        <f>'KM-Servicio'!N165</f>
        <v>11104</v>
      </c>
      <c r="C26" s="12">
        <f t="shared" si="0"/>
        <v>217354</v>
      </c>
      <c r="D26" s="12">
        <f>'KM-Servicio'!$W$165</f>
        <v>10768.19</v>
      </c>
      <c r="E26" s="12">
        <f t="shared" si="1"/>
        <v>209280.29</v>
      </c>
      <c r="F26" s="166">
        <f>'KM-Servicio'!O165</f>
        <v>96.975774495677243</v>
      </c>
      <c r="G26" s="167">
        <f>SUM('KM-Servicio'!B165:C165)</f>
        <v>229</v>
      </c>
      <c r="H26" s="167">
        <f>SUM('KM-Servicio'!D165:E165)</f>
        <v>225</v>
      </c>
      <c r="I26" s="12">
        <f>'Oferta Diaria'!Y34</f>
        <v>853917.46700000006</v>
      </c>
      <c r="J26" s="161" t="s">
        <v>137</v>
      </c>
      <c r="K26" s="164"/>
      <c r="L26" s="162"/>
    </row>
    <row r="27" spans="1:12" x14ac:dyDescent="0.25">
      <c r="A27" s="160">
        <v>46227</v>
      </c>
      <c r="B27" s="12">
        <f>'KM-Servicio'!N172</f>
        <v>11333</v>
      </c>
      <c r="C27" s="12">
        <f t="shared" si="0"/>
        <v>228687</v>
      </c>
      <c r="D27" s="12">
        <f>'KM-Servicio'!$W$172</f>
        <v>10887.520000000002</v>
      </c>
      <c r="E27" s="12">
        <f t="shared" si="1"/>
        <v>220167.81</v>
      </c>
      <c r="F27" s="166">
        <f>'KM-Servicio'!O172</f>
        <v>96.069178505250179</v>
      </c>
      <c r="G27" s="167">
        <f>SUM('KM-Servicio'!B172:C172)</f>
        <v>229</v>
      </c>
      <c r="H27" s="167">
        <f>SUM('KM-Servicio'!D172:E172)</f>
        <v>225</v>
      </c>
      <c r="I27" s="12">
        <f>'Oferta Diaria'!Z34</f>
        <v>863380.33600000001</v>
      </c>
      <c r="J27" s="161" t="s">
        <v>137</v>
      </c>
      <c r="K27" s="164"/>
      <c r="L27" s="162"/>
    </row>
    <row r="28" spans="1:12" x14ac:dyDescent="0.25">
      <c r="A28" s="160">
        <v>46228</v>
      </c>
      <c r="B28" s="309">
        <f>'KM-Servicio'!N179</f>
        <v>6600</v>
      </c>
      <c r="C28" s="309">
        <f t="shared" si="0"/>
        <v>235287</v>
      </c>
      <c r="D28" s="309">
        <f>'KM-Servicio'!$W$179</f>
        <v>6469.5</v>
      </c>
      <c r="E28" s="309">
        <f t="shared" si="1"/>
        <v>226637.31</v>
      </c>
      <c r="F28" s="310">
        <f>'KM-Servicio'!O179</f>
        <v>98.022727272727266</v>
      </c>
      <c r="G28" s="311">
        <f>SUM('KM-Servicio'!B179:C179)</f>
        <v>147</v>
      </c>
      <c r="H28" s="311">
        <f>SUM('KM-Servicio'!D179:E179)</f>
        <v>147</v>
      </c>
      <c r="I28" s="309">
        <f>'Oferta Diaria'!AA34</f>
        <v>513031.35</v>
      </c>
      <c r="J28" s="312" t="s">
        <v>138</v>
      </c>
      <c r="K28" s="313"/>
      <c r="L28" s="162"/>
    </row>
    <row r="29" spans="1:12" x14ac:dyDescent="0.25">
      <c r="A29" s="160">
        <v>46229</v>
      </c>
      <c r="B29" s="12">
        <f>'KM-Servicio'!N186</f>
        <v>4943</v>
      </c>
      <c r="C29" s="12">
        <f t="shared" si="0"/>
        <v>240230</v>
      </c>
      <c r="D29" s="12">
        <f>'KM-Servicio'!$W$186</f>
        <v>4916.8200000000006</v>
      </c>
      <c r="E29" s="12">
        <f t="shared" si="1"/>
        <v>231554.13</v>
      </c>
      <c r="F29" s="166">
        <f>'KM-Servicio'!O186</f>
        <v>99.470362128262195</v>
      </c>
      <c r="G29" s="167">
        <f>SUM('KM-Servicio'!B186:C186)</f>
        <v>111</v>
      </c>
      <c r="H29" s="167">
        <f>SUM('KM-Servicio'!D186:E186)</f>
        <v>111</v>
      </c>
      <c r="I29" s="12">
        <f>'Oferta Diaria'!AB34</f>
        <v>389903.82600000006</v>
      </c>
      <c r="J29" s="312" t="s">
        <v>136</v>
      </c>
      <c r="K29" s="164"/>
      <c r="L29" s="162"/>
    </row>
    <row r="30" spans="1:12" x14ac:dyDescent="0.25">
      <c r="A30" s="160">
        <v>46230</v>
      </c>
      <c r="B30" s="309">
        <f>'KM-Servicio'!N193</f>
        <v>10563</v>
      </c>
      <c r="C30" s="309">
        <f t="shared" si="0"/>
        <v>250793</v>
      </c>
      <c r="D30" s="309">
        <f>'KM-Servicio'!$W$193</f>
        <v>10204.679999999998</v>
      </c>
      <c r="E30" s="309">
        <f t="shared" si="1"/>
        <v>241758.81</v>
      </c>
      <c r="F30" s="310">
        <f>'KM-Servicio'!O193</f>
        <v>96.60778188014767</v>
      </c>
      <c r="G30" s="311">
        <f>SUM('KM-Servicio'!B193:C193)</f>
        <v>229</v>
      </c>
      <c r="H30" s="311">
        <f>SUM('KM-Servicio'!D193:E193)</f>
        <v>223</v>
      </c>
      <c r="I30" s="309">
        <f>'Oferta Diaria'!AC34</f>
        <v>809231.12399999995</v>
      </c>
      <c r="J30" s="161" t="s">
        <v>137</v>
      </c>
      <c r="K30" s="313"/>
      <c r="L30" s="162"/>
    </row>
    <row r="31" spans="1:12" x14ac:dyDescent="0.25">
      <c r="A31" s="160">
        <v>46231</v>
      </c>
      <c r="B31" s="309">
        <f>'KM-Servicio'!N200</f>
        <v>11323</v>
      </c>
      <c r="C31" s="309">
        <f t="shared" si="0"/>
        <v>262116</v>
      </c>
      <c r="D31" s="309">
        <f>'KM-Servicio'!$W$200</f>
        <v>10957.12</v>
      </c>
      <c r="E31" s="309">
        <f t="shared" si="1"/>
        <v>252715.93</v>
      </c>
      <c r="F31" s="310">
        <f>'KM-Servicio'!O200</f>
        <v>96.768700874326598</v>
      </c>
      <c r="G31" s="311">
        <f>SUM('KM-Servicio'!B200:C200)</f>
        <v>229</v>
      </c>
      <c r="H31" s="311">
        <f>SUM('KM-Servicio'!D200:E200)</f>
        <v>223</v>
      </c>
      <c r="I31" s="309">
        <f>'Oferta Diaria'!AD34</f>
        <v>868899.61600000004</v>
      </c>
      <c r="J31" s="161" t="s">
        <v>137</v>
      </c>
      <c r="K31" s="313"/>
      <c r="L31" s="163"/>
    </row>
    <row r="32" spans="1:12" x14ac:dyDescent="0.25">
      <c r="A32" s="160">
        <v>46232</v>
      </c>
      <c r="B32" s="309">
        <f>'KM-Servicio'!N207</f>
        <v>11219</v>
      </c>
      <c r="C32" s="309">
        <f t="shared" si="0"/>
        <v>273335</v>
      </c>
      <c r="D32" s="12">
        <f>'KM-Servicio'!W207</f>
        <v>10868.470000000001</v>
      </c>
      <c r="E32" s="309">
        <f t="shared" si="1"/>
        <v>263584.40000000002</v>
      </c>
      <c r="F32" s="310">
        <f>'KM-Servicio'!O207</f>
        <v>96.875568232462797</v>
      </c>
      <c r="G32" s="167">
        <f>'KM-Servicio'!B207+'KM-Servicio'!C207</f>
        <v>229</v>
      </c>
      <c r="H32" s="167">
        <f>'KM-Servicio'!D207+'KM-Servicio'!E207</f>
        <v>223</v>
      </c>
      <c r="I32" s="12">
        <f>'Oferta Diaria'!AE34</f>
        <v>861869.67100000009</v>
      </c>
      <c r="J32" s="161" t="s">
        <v>137</v>
      </c>
      <c r="K32" s="164"/>
      <c r="L32" s="163"/>
    </row>
    <row r="33" spans="1:14" ht="12.75" customHeight="1" x14ac:dyDescent="0.25">
      <c r="A33" s="160">
        <v>46233</v>
      </c>
      <c r="B33" s="309">
        <f>'KM-Servicio'!N214</f>
        <v>10917</v>
      </c>
      <c r="C33" s="309">
        <f t="shared" si="0"/>
        <v>284252</v>
      </c>
      <c r="D33" s="12">
        <f>'KM-Servicio'!W214</f>
        <v>10641.69</v>
      </c>
      <c r="E33" s="309">
        <f t="shared" si="1"/>
        <v>274226.09000000003</v>
      </c>
      <c r="F33" s="166">
        <f>'KM-Servicio'!O46</f>
        <v>95.365177800455285</v>
      </c>
      <c r="G33" s="167">
        <f>'KM-Servicio'!B214+'KM-Servicio'!C214</f>
        <v>229</v>
      </c>
      <c r="H33" s="167">
        <f>'KM-Servicio'!D214+'KM-Servicio'!E214</f>
        <v>220</v>
      </c>
      <c r="I33" s="12">
        <f>'Oferta Diaria'!AF34</f>
        <v>843886.01699999988</v>
      </c>
      <c r="J33" s="161" t="s">
        <v>137</v>
      </c>
      <c r="K33" s="164"/>
      <c r="L33" s="163"/>
      <c r="M33" s="244"/>
      <c r="N33" s="244"/>
    </row>
    <row r="34" spans="1:14" ht="12.75" customHeight="1" x14ac:dyDescent="0.25">
      <c r="A34" s="160">
        <v>46234</v>
      </c>
      <c r="B34" s="309">
        <f>'KM-Servicio'!N221</f>
        <v>9786</v>
      </c>
      <c r="C34" s="309">
        <f t="shared" ref="C34" si="2">B34+C33</f>
        <v>294038</v>
      </c>
      <c r="D34" s="12">
        <f>'KM-Servicio'!W221</f>
        <v>9231.5300000000007</v>
      </c>
      <c r="E34" s="309">
        <f t="shared" ref="E34" si="3">D34+E33</f>
        <v>283457.62000000005</v>
      </c>
      <c r="F34" s="166">
        <f>'KM-Servicio'!O47</f>
        <v>0</v>
      </c>
      <c r="G34" s="167">
        <f>'KM-Servicio'!B221+'KM-Servicio'!C221</f>
        <v>229</v>
      </c>
      <c r="H34" s="167">
        <f>'KM-Servicio'!D221+'KM-Servicio'!E221</f>
        <v>188</v>
      </c>
      <c r="I34" s="12">
        <f>'Oferta Diaria'!AF35</f>
        <v>0</v>
      </c>
      <c r="J34" s="161" t="s">
        <v>137</v>
      </c>
      <c r="K34" s="164"/>
      <c r="L34" s="163"/>
      <c r="M34" s="244"/>
      <c r="N34" s="244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44"/>
      <c r="N35" s="244"/>
    </row>
    <row r="36" spans="1:14" x14ac:dyDescent="0.25">
      <c r="A36" s="168" t="s">
        <v>135</v>
      </c>
      <c r="B36" s="169">
        <f>SUM(B4:B34)</f>
        <v>294038</v>
      </c>
      <c r="C36" s="169">
        <f>SUM(C4:C34)</f>
        <v>4848865</v>
      </c>
      <c r="D36" s="169">
        <f>SUM(D4:D34)</f>
        <v>283457.62000000005</v>
      </c>
      <c r="E36" s="169">
        <f>SUM(E4:E34)</f>
        <v>4675265.790000001</v>
      </c>
      <c r="F36" s="170">
        <f>AVERAGE(F4:F34)</f>
        <v>93.300444762588143</v>
      </c>
      <c r="G36" s="169">
        <f>SUM(G4:G34)</f>
        <v>6181</v>
      </c>
      <c r="H36" s="169">
        <f>SUM(H4:H34)</f>
        <v>5789</v>
      </c>
      <c r="I36" s="169">
        <f>SUM(I4:I34)</f>
        <v>21746128.937000006</v>
      </c>
      <c r="J36" s="30"/>
      <c r="K36" s="168"/>
      <c r="L36" s="244"/>
      <c r="M36" s="244"/>
      <c r="N36" s="244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90" t="s">
        <v>98</v>
      </c>
      <c r="B3" s="391"/>
      <c r="C3" s="391"/>
      <c r="D3" s="392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235.73333333333332</v>
      </c>
      <c r="C5" s="130">
        <f>'KM-Servicio'!J239</f>
        <v>7072</v>
      </c>
      <c r="D5" s="130">
        <f>'KM-Servicio'!C234</f>
        <v>7852</v>
      </c>
    </row>
    <row r="6" spans="1:15" x14ac:dyDescent="0.25">
      <c r="A6" s="34" t="s">
        <v>103</v>
      </c>
      <c r="B6" s="129">
        <f>C6/30</f>
        <v>192.96666666666667</v>
      </c>
      <c r="C6" s="130">
        <f>'KM-Servicio'!K232</f>
        <v>5789</v>
      </c>
      <c r="D6" s="130">
        <f>'KM-Servicio'!D232</f>
        <v>6178</v>
      </c>
    </row>
    <row r="7" spans="1:15" x14ac:dyDescent="0.25">
      <c r="A7" s="34" t="s">
        <v>66</v>
      </c>
      <c r="B7" s="129">
        <f>C7/30</f>
        <v>9526.5220000000008</v>
      </c>
      <c r="C7" s="130">
        <f>'KM-Servicio'!M232</f>
        <v>285795.66000000003</v>
      </c>
      <c r="D7" s="130">
        <f>'KM-Servicio'!F232</f>
        <v>315281.40000000002</v>
      </c>
    </row>
    <row r="8" spans="1:15" x14ac:dyDescent="0.25">
      <c r="A8" s="34" t="s">
        <v>104</v>
      </c>
      <c r="B8" s="129">
        <f>C8/30</f>
        <v>7697.4176666666663</v>
      </c>
      <c r="C8" s="130">
        <f>'KM-Servicio'!L232</f>
        <v>230922.53</v>
      </c>
      <c r="D8" s="130">
        <f>'KM-Servicio'!E232</f>
        <v>243965.04000000004</v>
      </c>
    </row>
    <row r="9" spans="1:15" x14ac:dyDescent="0.25">
      <c r="A9" s="34" t="s">
        <v>105</v>
      </c>
      <c r="B9" s="129">
        <f>C9/30</f>
        <v>990758.28800000018</v>
      </c>
      <c r="C9" s="130">
        <f>'KM-Servicio'!N232</f>
        <v>29722748.640000004</v>
      </c>
      <c r="D9" s="130">
        <f>'KM-Servicio'!G232</f>
        <v>32789265.600000005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199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93" t="s">
        <v>109</v>
      </c>
      <c r="B13" s="394"/>
      <c r="C13" s="394"/>
      <c r="D13" s="395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89"/>
      <c r="H16" s="389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89"/>
      <c r="H17" s="389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89"/>
      <c r="H18" s="389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89"/>
      <c r="H19" s="389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89"/>
      <c r="H20" s="389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89"/>
      <c r="H21" s="389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96"/>
      <c r="C23" s="397"/>
      <c r="D23" s="398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93"/>
      <c r="B24" s="394"/>
      <c r="C24" s="394"/>
      <c r="D24" s="395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96"/>
      <c r="C34" s="397"/>
      <c r="D34" s="398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2026-08-01T21:27:28Z</dcterms:modified>
</cp:coreProperties>
</file>