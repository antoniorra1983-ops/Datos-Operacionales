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321AF27C-9750-4A40-9E29-3057B0FC8D11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6" i="4" l="1"/>
  <c r="W165" i="2"/>
  <c r="C185" i="2"/>
  <c r="B185" i="2"/>
  <c r="C178" i="2"/>
  <c r="B178" i="2"/>
  <c r="C171" i="2"/>
  <c r="B171" i="2"/>
  <c r="C164" i="2"/>
  <c r="B164" i="2"/>
  <c r="AT27" i="3" l="1"/>
  <c r="C157" i="2"/>
  <c r="B157" i="2"/>
  <c r="AR65" i="3" l="1"/>
  <c r="AR64" i="3"/>
  <c r="AR63" i="3"/>
  <c r="AR54" i="3"/>
  <c r="AR53" i="3"/>
  <c r="AR52" i="3"/>
  <c r="AS42" i="3"/>
  <c r="E156" i="2" s="1"/>
  <c r="AR42" i="3"/>
  <c r="D156" i="2" s="1"/>
  <c r="AS41" i="3"/>
  <c r="E155" i="2" s="1"/>
  <c r="AR41" i="3"/>
  <c r="D155" i="2" s="1"/>
  <c r="AS40" i="3"/>
  <c r="E154" i="2" s="1"/>
  <c r="AR40" i="3"/>
  <c r="D154" i="2" s="1"/>
  <c r="H156" i="2"/>
  <c r="H155" i="2"/>
  <c r="X155" i="2" s="1"/>
  <c r="H154" i="2"/>
  <c r="X154" i="2" s="1"/>
  <c r="H153" i="2"/>
  <c r="X153" i="2" s="1"/>
  <c r="H152" i="2"/>
  <c r="X152" i="2" s="1"/>
  <c r="H151" i="2"/>
  <c r="X151" i="2" s="1"/>
  <c r="H150" i="2"/>
  <c r="X150" i="2" s="1"/>
  <c r="H149" i="2"/>
  <c r="X149" i="2" s="1"/>
  <c r="H148" i="2"/>
  <c r="X148" i="2" s="1"/>
  <c r="X156" i="2"/>
  <c r="S93" i="1"/>
  <c r="T93" i="1"/>
  <c r="T92" i="1"/>
  <c r="S92" i="1"/>
  <c r="S90" i="1"/>
  <c r="T90" i="1"/>
  <c r="C147" i="2"/>
  <c r="B147" i="2"/>
  <c r="C140" i="2"/>
  <c r="B140" i="2"/>
  <c r="C133" i="2"/>
  <c r="B133" i="2"/>
  <c r="S13" i="4"/>
  <c r="E124" i="2"/>
  <c r="C126" i="2"/>
  <c r="H125" i="2"/>
  <c r="X125" i="2" s="1"/>
  <c r="B126" i="2"/>
  <c r="AJ65" i="3"/>
  <c r="S23" i="4" s="1"/>
  <c r="AJ54" i="3"/>
  <c r="AJ42" i="3"/>
  <c r="D125" i="2" s="1"/>
  <c r="AK42" i="3"/>
  <c r="E125" i="2" s="1"/>
  <c r="AJ64" i="3"/>
  <c r="S22" i="4" s="1"/>
  <c r="AJ63" i="3"/>
  <c r="S21" i="4" s="1"/>
  <c r="AJ53" i="3"/>
  <c r="S12" i="4" s="1"/>
  <c r="AJ52" i="3"/>
  <c r="S11" i="4" s="1"/>
  <c r="AJ41" i="3"/>
  <c r="D124" i="2" s="1"/>
  <c r="AK41" i="3"/>
  <c r="AK40" i="3"/>
  <c r="E123" i="2" s="1"/>
  <c r="AJ40" i="3"/>
  <c r="D123" i="2" s="1"/>
  <c r="H124" i="2"/>
  <c r="X124" i="2" s="1"/>
  <c r="H123" i="2"/>
  <c r="X123" i="2" s="1"/>
  <c r="C116" i="2"/>
  <c r="B116" i="2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2" i="2"/>
  <c r="H93" i="2"/>
  <c r="H94" i="2"/>
  <c r="H96" i="2"/>
  <c r="H97" i="2"/>
  <c r="H98" i="2"/>
  <c r="H99" i="2"/>
  <c r="H100" i="2"/>
  <c r="H101" i="2"/>
  <c r="B74" i="2"/>
  <c r="C74" i="2"/>
  <c r="W155" i="2" l="1"/>
  <c r="W156" i="2"/>
  <c r="W154" i="2"/>
  <c r="H157" i="2"/>
  <c r="X157" i="2"/>
  <c r="I125" i="2"/>
  <c r="M125" i="2" s="1"/>
  <c r="G125" i="2"/>
  <c r="J125" i="2" s="1"/>
  <c r="L125" i="2" s="1"/>
  <c r="I124" i="2"/>
  <c r="K124" i="2" s="1"/>
  <c r="G124" i="2"/>
  <c r="J124" i="2" s="1"/>
  <c r="H95" i="2"/>
  <c r="H102" i="2"/>
  <c r="H85" i="1"/>
  <c r="H86" i="1"/>
  <c r="K125" i="2" l="1"/>
  <c r="W125" i="2"/>
  <c r="M124" i="2"/>
  <c r="W124" i="2"/>
  <c r="L124" i="2"/>
  <c r="E51" i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7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7" i="2"/>
  <c r="AE93" i="1"/>
  <c r="AE91" i="1"/>
  <c r="C213" i="2"/>
  <c r="B213" i="2"/>
  <c r="C206" i="2"/>
  <c r="B206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C227" i="2"/>
  <c r="B227" i="2"/>
  <c r="H226" i="2"/>
  <c r="X226" i="2" s="1"/>
  <c r="H225" i="2"/>
  <c r="X225" i="2" s="1"/>
  <c r="H224" i="2"/>
  <c r="X224" i="2" s="1"/>
  <c r="H223" i="2"/>
  <c r="X223" i="2" s="1"/>
  <c r="H222" i="2"/>
  <c r="X222" i="2" s="1"/>
  <c r="H221" i="2"/>
  <c r="X221" i="2" s="1"/>
  <c r="AS27" i="3"/>
  <c r="AR27" i="3"/>
  <c r="AO27" i="3"/>
  <c r="AN27" i="3"/>
  <c r="AM27" i="3"/>
  <c r="AL27" i="3"/>
  <c r="AK27" i="3"/>
  <c r="AJ27" i="3"/>
  <c r="AI27" i="3"/>
  <c r="AH27" i="3"/>
  <c r="J86" i="1"/>
  <c r="H227" i="2" l="1"/>
  <c r="X227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6" i="2"/>
  <c r="D226" i="2"/>
  <c r="E225" i="2"/>
  <c r="D225" i="2"/>
  <c r="E224" i="2"/>
  <c r="D224" i="2"/>
  <c r="E223" i="2"/>
  <c r="D223" i="2"/>
  <c r="E222" i="2"/>
  <c r="D222" i="2"/>
  <c r="E221" i="2"/>
  <c r="D221" i="2"/>
  <c r="N11" i="2"/>
  <c r="AF27" i="4"/>
  <c r="AF26" i="4"/>
  <c r="AF25" i="4"/>
  <c r="AE27" i="4"/>
  <c r="AE26" i="4"/>
  <c r="AE25" i="4"/>
  <c r="BJ27" i="3"/>
  <c r="BK27" i="3"/>
  <c r="AE90" i="1"/>
  <c r="AE86" i="1"/>
  <c r="AE92" i="1"/>
  <c r="I221" i="2" l="1"/>
  <c r="G221" i="2"/>
  <c r="D227" i="2"/>
  <c r="G222" i="2"/>
  <c r="J222" i="2" s="1"/>
  <c r="I222" i="2"/>
  <c r="I223" i="2"/>
  <c r="G223" i="2"/>
  <c r="J223" i="2" s="1"/>
  <c r="E227" i="2"/>
  <c r="G224" i="2"/>
  <c r="J224" i="2" s="1"/>
  <c r="I224" i="2"/>
  <c r="I225" i="2"/>
  <c r="G225" i="2"/>
  <c r="J225" i="2" s="1"/>
  <c r="I226" i="2"/>
  <c r="G226" i="2"/>
  <c r="J226" i="2" s="1"/>
  <c r="BI27" i="3"/>
  <c r="BH27" i="3"/>
  <c r="BG27" i="3"/>
  <c r="BF27" i="3"/>
  <c r="L222" i="2" l="1"/>
  <c r="W222" i="2"/>
  <c r="L226" i="2"/>
  <c r="W226" i="2"/>
  <c r="M226" i="2"/>
  <c r="K226" i="2"/>
  <c r="M221" i="2"/>
  <c r="K221" i="2"/>
  <c r="L224" i="2"/>
  <c r="W224" i="2"/>
  <c r="L223" i="2"/>
  <c r="W223" i="2"/>
  <c r="I227" i="2"/>
  <c r="M223" i="2"/>
  <c r="K223" i="2"/>
  <c r="G227" i="2"/>
  <c r="J221" i="2"/>
  <c r="W225" i="2"/>
  <c r="L225" i="2"/>
  <c r="M225" i="2"/>
  <c r="K225" i="2"/>
  <c r="M224" i="2"/>
  <c r="K224" i="2"/>
  <c r="M222" i="2"/>
  <c r="K222" i="2"/>
  <c r="BE27" i="3"/>
  <c r="BD27" i="3"/>
  <c r="BC27" i="3"/>
  <c r="BB27" i="3"/>
  <c r="BA27" i="3"/>
  <c r="AZ27" i="3"/>
  <c r="AY27" i="3"/>
  <c r="AX27" i="3"/>
  <c r="K90" i="1"/>
  <c r="R90" i="1"/>
  <c r="W90" i="1"/>
  <c r="AW27" i="3"/>
  <c r="AV27" i="3"/>
  <c r="AU27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R92" i="1"/>
  <c r="Q92" i="1"/>
  <c r="W93" i="1"/>
  <c r="V93" i="1"/>
  <c r="U93" i="1"/>
  <c r="R93" i="1"/>
  <c r="AP27" i="3"/>
  <c r="AQ27" i="3"/>
  <c r="R27" i="4"/>
  <c r="AG27" i="3"/>
  <c r="AF27" i="3"/>
  <c r="AE27" i="3"/>
  <c r="AD27" i="3"/>
  <c r="O26" i="4"/>
  <c r="AC27" i="3"/>
  <c r="AB27" i="3"/>
  <c r="AA27" i="3"/>
  <c r="Z27" i="3"/>
  <c r="Y27" i="3"/>
  <c r="X27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7" i="3"/>
  <c r="V27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7" i="3"/>
  <c r="U27" i="3"/>
  <c r="R27" i="3"/>
  <c r="S27" i="3"/>
  <c r="P27" i="3"/>
  <c r="Q27" i="3"/>
  <c r="N27" i="3"/>
  <c r="O27" i="3"/>
  <c r="M27" i="3"/>
  <c r="L27" i="3"/>
  <c r="K27" i="3"/>
  <c r="J27" i="3"/>
  <c r="I27" i="3"/>
  <c r="H27" i="3"/>
  <c r="G27" i="3"/>
  <c r="F27" i="3"/>
  <c r="E27" i="3"/>
  <c r="D27" i="3"/>
  <c r="C192" i="2"/>
  <c r="B192" i="2"/>
  <c r="C25" i="2"/>
  <c r="B25" i="2"/>
  <c r="C18" i="2"/>
  <c r="B18" i="2"/>
  <c r="K227" i="2" l="1"/>
  <c r="M227" i="2"/>
  <c r="L221" i="2"/>
  <c r="L227" i="2" s="1"/>
  <c r="J227" i="2"/>
  <c r="C220" i="2"/>
  <c r="B220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U90" i="1"/>
  <c r="V90" i="1"/>
  <c r="X90" i="1"/>
  <c r="Y90" i="1"/>
  <c r="L86" i="1"/>
  <c r="M86" i="1"/>
  <c r="N86" i="1"/>
  <c r="O86" i="1"/>
  <c r="P86" i="1"/>
  <c r="V26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62" i="3"/>
  <c r="AF19" i="4" s="1"/>
  <c r="BJ61" i="3"/>
  <c r="BJ60" i="3"/>
  <c r="AF18" i="4" s="1"/>
  <c r="BJ59" i="3"/>
  <c r="AF17" i="4" s="1"/>
  <c r="BJ58" i="3"/>
  <c r="AF16" i="4" s="1"/>
  <c r="BJ57" i="3"/>
  <c r="AF15" i="4" s="1"/>
  <c r="BJ51" i="3"/>
  <c r="AF10" i="4" s="1"/>
  <c r="BJ50" i="3"/>
  <c r="AF9" i="4" s="1"/>
  <c r="BJ49" i="3"/>
  <c r="AF8" i="4" s="1"/>
  <c r="BJ48" i="3"/>
  <c r="AF7" i="4" s="1"/>
  <c r="BJ47" i="3"/>
  <c r="AF6" i="4" s="1"/>
  <c r="BJ46" i="3"/>
  <c r="AF5" i="4" s="1"/>
  <c r="BK39" i="3"/>
  <c r="E219" i="2" s="1"/>
  <c r="BJ39" i="3"/>
  <c r="D219" i="2" s="1"/>
  <c r="BK38" i="3"/>
  <c r="E218" i="2" s="1"/>
  <c r="BJ38" i="3"/>
  <c r="D218" i="2" s="1"/>
  <c r="BK37" i="3"/>
  <c r="E217" i="2" s="1"/>
  <c r="BJ37" i="3"/>
  <c r="D217" i="2" s="1"/>
  <c r="BK36" i="3"/>
  <c r="E216" i="2" s="1"/>
  <c r="BJ36" i="3"/>
  <c r="D216" i="2" s="1"/>
  <c r="BK35" i="3"/>
  <c r="E215" i="2" s="1"/>
  <c r="BJ35" i="3"/>
  <c r="D215" i="2" s="1"/>
  <c r="BK34" i="3"/>
  <c r="E214" i="2" s="1"/>
  <c r="BJ34" i="3"/>
  <c r="D214" i="2" s="1"/>
  <c r="BH62" i="3"/>
  <c r="AE19" i="4" s="1"/>
  <c r="BH61" i="3"/>
  <c r="BH60" i="3"/>
  <c r="AE18" i="4" s="1"/>
  <c r="BH59" i="3"/>
  <c r="AE17" i="4" s="1"/>
  <c r="BH58" i="3"/>
  <c r="AE16" i="4" s="1"/>
  <c r="BH57" i="3"/>
  <c r="AE15" i="4" s="1"/>
  <c r="BH51" i="3"/>
  <c r="AE10" i="4" s="1"/>
  <c r="BH50" i="3"/>
  <c r="AE9" i="4" s="1"/>
  <c r="BH49" i="3"/>
  <c r="AE8" i="4" s="1"/>
  <c r="BH48" i="3"/>
  <c r="AE7" i="4" s="1"/>
  <c r="BH47" i="3"/>
  <c r="AE6" i="4" s="1"/>
  <c r="BH46" i="3"/>
  <c r="AE5" i="4" s="1"/>
  <c r="BI39" i="3"/>
  <c r="E212" i="2" s="1"/>
  <c r="BH39" i="3"/>
  <c r="D212" i="2" s="1"/>
  <c r="BI38" i="3"/>
  <c r="E211" i="2" s="1"/>
  <c r="BH38" i="3"/>
  <c r="D211" i="2" s="1"/>
  <c r="BI37" i="3"/>
  <c r="E210" i="2" s="1"/>
  <c r="BH37" i="3"/>
  <c r="D210" i="2" s="1"/>
  <c r="BI36" i="3"/>
  <c r="E209" i="2" s="1"/>
  <c r="BH36" i="3"/>
  <c r="D209" i="2" s="1"/>
  <c r="BI35" i="3"/>
  <c r="E208" i="2" s="1"/>
  <c r="BH35" i="3"/>
  <c r="D208" i="2" s="1"/>
  <c r="BI34" i="3"/>
  <c r="E207" i="2" s="1"/>
  <c r="BH34" i="3"/>
  <c r="D207" i="2" s="1"/>
  <c r="AE88" i="1" l="1"/>
  <c r="N220" i="2" s="1"/>
  <c r="B33" i="13" s="1"/>
  <c r="AD88" i="1"/>
  <c r="N213" i="2" s="1"/>
  <c r="B32" i="13" s="1"/>
  <c r="I214" i="2"/>
  <c r="K214" i="2" s="1"/>
  <c r="I217" i="2"/>
  <c r="K217" i="2" s="1"/>
  <c r="I215" i="2"/>
  <c r="I216" i="2"/>
  <c r="I218" i="2"/>
  <c r="I219" i="2"/>
  <c r="E220" i="2"/>
  <c r="AF36" i="4"/>
  <c r="D213" i="2"/>
  <c r="E213" i="2"/>
  <c r="AF33" i="4"/>
  <c r="AF34" i="4"/>
  <c r="AF39" i="4" s="1"/>
  <c r="BI43" i="3"/>
  <c r="BK43" i="3"/>
  <c r="AE34" i="4"/>
  <c r="AE39" i="4" s="1"/>
  <c r="BH43" i="3"/>
  <c r="BJ43" i="3"/>
  <c r="AE36" i="4"/>
  <c r="AE33" i="4"/>
  <c r="H212" i="2"/>
  <c r="X212" i="2" s="1"/>
  <c r="H211" i="2"/>
  <c r="X211" i="2" s="1"/>
  <c r="H210" i="2"/>
  <c r="X210" i="2" s="1"/>
  <c r="H209" i="2"/>
  <c r="X209" i="2" s="1"/>
  <c r="H208" i="2"/>
  <c r="X208" i="2" s="1"/>
  <c r="H207" i="2"/>
  <c r="H219" i="2"/>
  <c r="X219" i="2" s="1"/>
  <c r="H218" i="2"/>
  <c r="X218" i="2" s="1"/>
  <c r="H217" i="2"/>
  <c r="X217" i="2" s="1"/>
  <c r="H216" i="2"/>
  <c r="X216" i="2" s="1"/>
  <c r="H215" i="2"/>
  <c r="X215" i="2" s="1"/>
  <c r="H214" i="2"/>
  <c r="E28" i="4"/>
  <c r="C199" i="2"/>
  <c r="B199" i="2"/>
  <c r="M214" i="2" l="1"/>
  <c r="M217" i="2"/>
  <c r="X207" i="2"/>
  <c r="X213" i="2" s="1"/>
  <c r="H213" i="2"/>
  <c r="H32" i="13"/>
  <c r="K216" i="2"/>
  <c r="M216" i="2"/>
  <c r="M215" i="2"/>
  <c r="K215" i="2"/>
  <c r="I220" i="2"/>
  <c r="K219" i="2"/>
  <c r="M219" i="2"/>
  <c r="M218" i="2"/>
  <c r="K218" i="2"/>
  <c r="X214" i="2"/>
  <c r="X220" i="2" s="1"/>
  <c r="H220" i="2"/>
  <c r="I211" i="2"/>
  <c r="M211" i="2" s="1"/>
  <c r="I208" i="2"/>
  <c r="M208" i="2" s="1"/>
  <c r="I212" i="2"/>
  <c r="K212" i="2" s="1"/>
  <c r="G210" i="2"/>
  <c r="J210" i="2" s="1"/>
  <c r="I209" i="2"/>
  <c r="K209" i="2" s="1"/>
  <c r="G218" i="2"/>
  <c r="J218" i="2" s="1"/>
  <c r="L218" i="2" s="1"/>
  <c r="I207" i="2"/>
  <c r="I210" i="2"/>
  <c r="K210" i="2" s="1"/>
  <c r="G209" i="2"/>
  <c r="J209" i="2" s="1"/>
  <c r="G208" i="2"/>
  <c r="J208" i="2" s="1"/>
  <c r="G207" i="2"/>
  <c r="G212" i="2"/>
  <c r="J212" i="2" s="1"/>
  <c r="G211" i="2"/>
  <c r="J211" i="2" s="1"/>
  <c r="G217" i="2"/>
  <c r="J217" i="2" s="1"/>
  <c r="L217" i="2" s="1"/>
  <c r="G216" i="2"/>
  <c r="J216" i="2" s="1"/>
  <c r="L216" i="2" s="1"/>
  <c r="G219" i="2"/>
  <c r="J219" i="2" s="1"/>
  <c r="L219" i="2" s="1"/>
  <c r="M220" i="2" l="1"/>
  <c r="K220" i="2"/>
  <c r="W216" i="2"/>
  <c r="L210" i="2"/>
  <c r="W210" i="2"/>
  <c r="L212" i="2"/>
  <c r="W212" i="2"/>
  <c r="J207" i="2"/>
  <c r="G213" i="2"/>
  <c r="L209" i="2"/>
  <c r="W209" i="2"/>
  <c r="L211" i="2"/>
  <c r="W211" i="2"/>
  <c r="L208" i="2"/>
  <c r="W208" i="2"/>
  <c r="W217" i="2"/>
  <c r="M207" i="2"/>
  <c r="I213" i="2"/>
  <c r="W218" i="2"/>
  <c r="K207" i="2"/>
  <c r="M212" i="2"/>
  <c r="K208" i="2"/>
  <c r="K211" i="2"/>
  <c r="M210" i="2"/>
  <c r="M209" i="2"/>
  <c r="X27" i="4"/>
  <c r="C27" i="4"/>
  <c r="M213" i="2" l="1"/>
  <c r="L207" i="2"/>
  <c r="L213" i="2" s="1"/>
  <c r="J213" i="2"/>
  <c r="K213" i="2"/>
  <c r="W219" i="2"/>
  <c r="G28" i="4"/>
  <c r="C28" i="4"/>
  <c r="D28" i="4"/>
  <c r="F28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N147" i="2" s="1"/>
  <c r="C236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31" i="2"/>
  <c r="AB2" i="2" l="1"/>
  <c r="AD26" i="4" l="1"/>
  <c r="AC26" i="4"/>
  <c r="B231" i="2" l="1"/>
  <c r="C235" i="2" l="1"/>
  <c r="C234" i="2"/>
  <c r="C233" i="2"/>
  <c r="C232" i="2"/>
  <c r="B236" i="2"/>
  <c r="B235" i="2"/>
  <c r="B234" i="2"/>
  <c r="B233" i="2"/>
  <c r="B232" i="2"/>
  <c r="C231" i="2"/>
  <c r="V231" i="2" l="1"/>
  <c r="U231" i="2"/>
  <c r="S231" i="2"/>
  <c r="R231" i="2"/>
  <c r="Q231" i="2"/>
  <c r="P231" i="2"/>
  <c r="G2" i="2"/>
  <c r="W207" i="2" l="1"/>
  <c r="W213" i="2" s="1"/>
  <c r="O213" i="2" s="1"/>
  <c r="F32" i="13" s="1"/>
  <c r="W221" i="2"/>
  <c r="W227" i="2" s="1"/>
  <c r="O227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32" i="2"/>
  <c r="X132" i="2" s="1"/>
  <c r="H131" i="2"/>
  <c r="X131" i="2" s="1"/>
  <c r="H130" i="2"/>
  <c r="X130" i="2" s="1"/>
  <c r="H129" i="2"/>
  <c r="X129" i="2" s="1"/>
  <c r="H128" i="2"/>
  <c r="X128" i="2" s="1"/>
  <c r="H127" i="2"/>
  <c r="X127" i="2" s="1"/>
  <c r="H205" i="2"/>
  <c r="X205" i="2" s="1"/>
  <c r="H204" i="2"/>
  <c r="X204" i="2" s="1"/>
  <c r="H203" i="2"/>
  <c r="X203" i="2" s="1"/>
  <c r="H202" i="2"/>
  <c r="X202" i="2" s="1"/>
  <c r="H201" i="2"/>
  <c r="X201" i="2" s="1"/>
  <c r="H200" i="2"/>
  <c r="H198" i="2"/>
  <c r="X198" i="2" s="1"/>
  <c r="H197" i="2"/>
  <c r="X197" i="2" s="1"/>
  <c r="H196" i="2"/>
  <c r="X196" i="2" s="1"/>
  <c r="H195" i="2"/>
  <c r="X195" i="2" s="1"/>
  <c r="H194" i="2"/>
  <c r="X194" i="2" s="1"/>
  <c r="H193" i="2"/>
  <c r="H191" i="2"/>
  <c r="X191" i="2" s="1"/>
  <c r="H190" i="2"/>
  <c r="X190" i="2" s="1"/>
  <c r="H189" i="2"/>
  <c r="X189" i="2" s="1"/>
  <c r="H188" i="2"/>
  <c r="X188" i="2" s="1"/>
  <c r="H187" i="2"/>
  <c r="X187" i="2" s="1"/>
  <c r="H186" i="2"/>
  <c r="H184" i="2"/>
  <c r="X184" i="2" s="1"/>
  <c r="H183" i="2"/>
  <c r="X183" i="2" s="1"/>
  <c r="H182" i="2"/>
  <c r="X182" i="2" s="1"/>
  <c r="H181" i="2"/>
  <c r="X181" i="2" s="1"/>
  <c r="H180" i="2"/>
  <c r="X180" i="2" s="1"/>
  <c r="H179" i="2"/>
  <c r="H177" i="2"/>
  <c r="X177" i="2" s="1"/>
  <c r="H176" i="2"/>
  <c r="X176" i="2" s="1"/>
  <c r="H175" i="2"/>
  <c r="X175" i="2" s="1"/>
  <c r="H174" i="2"/>
  <c r="X174" i="2" s="1"/>
  <c r="H173" i="2"/>
  <c r="X173" i="2" s="1"/>
  <c r="H172" i="2"/>
  <c r="H170" i="2"/>
  <c r="X170" i="2" s="1"/>
  <c r="H169" i="2"/>
  <c r="X169" i="2" s="1"/>
  <c r="H168" i="2"/>
  <c r="X168" i="2" s="1"/>
  <c r="H167" i="2"/>
  <c r="X167" i="2" s="1"/>
  <c r="H166" i="2"/>
  <c r="X166" i="2" s="1"/>
  <c r="H165" i="2"/>
  <c r="H163" i="2"/>
  <c r="X163" i="2" s="1"/>
  <c r="H162" i="2"/>
  <c r="X162" i="2" s="1"/>
  <c r="H161" i="2"/>
  <c r="X161" i="2" s="1"/>
  <c r="H160" i="2"/>
  <c r="X160" i="2" s="1"/>
  <c r="H159" i="2"/>
  <c r="X159" i="2" s="1"/>
  <c r="H158" i="2"/>
  <c r="H146" i="2"/>
  <c r="X146" i="2" s="1"/>
  <c r="H145" i="2"/>
  <c r="X145" i="2" s="1"/>
  <c r="H144" i="2"/>
  <c r="X144" i="2" s="1"/>
  <c r="H143" i="2"/>
  <c r="X143" i="2" s="1"/>
  <c r="H142" i="2"/>
  <c r="X142" i="2" s="1"/>
  <c r="H141" i="2"/>
  <c r="X141" i="2" s="1"/>
  <c r="H139" i="2"/>
  <c r="X139" i="2" s="1"/>
  <c r="H138" i="2"/>
  <c r="H137" i="2"/>
  <c r="X137" i="2" s="1"/>
  <c r="H136" i="2"/>
  <c r="X136" i="2" s="1"/>
  <c r="H135" i="2"/>
  <c r="X135" i="2" s="1"/>
  <c r="H134" i="2"/>
  <c r="X134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26" i="2" l="1"/>
  <c r="X117" i="2"/>
  <c r="X126" i="2" s="1"/>
  <c r="D32" i="13"/>
  <c r="H206" i="2"/>
  <c r="H178" i="2"/>
  <c r="X193" i="2"/>
  <c r="X199" i="2" s="1"/>
  <c r="H199" i="2"/>
  <c r="X186" i="2"/>
  <c r="X192" i="2" s="1"/>
  <c r="H192" i="2"/>
  <c r="X179" i="2"/>
  <c r="X185" i="2" s="1"/>
  <c r="H185" i="2"/>
  <c r="H171" i="2"/>
  <c r="H164" i="2"/>
  <c r="H109" i="2"/>
  <c r="X5" i="2"/>
  <c r="X11" i="2" s="1"/>
  <c r="H11" i="2"/>
  <c r="X165" i="2"/>
  <c r="X171" i="2" s="1"/>
  <c r="X133" i="2"/>
  <c r="H88" i="2"/>
  <c r="X147" i="2"/>
  <c r="H67" i="2"/>
  <c r="H74" i="2"/>
  <c r="X39" i="2"/>
  <c r="X46" i="2"/>
  <c r="X53" i="2"/>
  <c r="X18" i="2"/>
  <c r="X116" i="2"/>
  <c r="X74" i="2"/>
  <c r="H18" i="2"/>
  <c r="X158" i="2"/>
  <c r="X164" i="2" s="1"/>
  <c r="H46" i="2"/>
  <c r="H140" i="2"/>
  <c r="X98" i="2"/>
  <c r="X102" i="2" s="1"/>
  <c r="H53" i="2"/>
  <c r="X172" i="2"/>
  <c r="X178" i="2" s="1"/>
  <c r="X85" i="2"/>
  <c r="X88" i="2" s="1"/>
  <c r="X32" i="2"/>
  <c r="H60" i="2"/>
  <c r="H39" i="2"/>
  <c r="H133" i="2"/>
  <c r="X103" i="2"/>
  <c r="X109" i="2" s="1"/>
  <c r="H147" i="2"/>
  <c r="H25" i="2"/>
  <c r="H81" i="2"/>
  <c r="X77" i="2"/>
  <c r="X81" i="2" s="1"/>
  <c r="H116" i="2"/>
  <c r="X22" i="2"/>
  <c r="X25" i="2" s="1"/>
  <c r="X95" i="2"/>
  <c r="X67" i="2"/>
  <c r="H32" i="2"/>
  <c r="X138" i="2"/>
  <c r="X140" i="2" s="1"/>
  <c r="X200" i="2"/>
  <c r="X206" i="2" s="1"/>
  <c r="X60" i="2"/>
  <c r="X231" i="2" l="1"/>
  <c r="Y25" i="4"/>
  <c r="AL34" i="3" l="1"/>
  <c r="AM34" i="3"/>
  <c r="AL35" i="3"/>
  <c r="AM35" i="3"/>
  <c r="AL36" i="3"/>
  <c r="AM36" i="3"/>
  <c r="AL37" i="3"/>
  <c r="AM37" i="3"/>
  <c r="AL38" i="3"/>
  <c r="AM38" i="3"/>
  <c r="AL39" i="3"/>
  <c r="AM39" i="3"/>
  <c r="AP57" i="3"/>
  <c r="AP58" i="3"/>
  <c r="AP59" i="3"/>
  <c r="AP60" i="3"/>
  <c r="AP61" i="3"/>
  <c r="AP62" i="3"/>
  <c r="AP46" i="3"/>
  <c r="AP47" i="3"/>
  <c r="AP48" i="3"/>
  <c r="AP49" i="3"/>
  <c r="AP50" i="3"/>
  <c r="AP51" i="3"/>
  <c r="AP34" i="3"/>
  <c r="AQ34" i="3"/>
  <c r="AP35" i="3"/>
  <c r="AQ35" i="3"/>
  <c r="AP36" i="3"/>
  <c r="AQ36" i="3"/>
  <c r="AP37" i="3"/>
  <c r="AQ37" i="3"/>
  <c r="AP38" i="3"/>
  <c r="AQ38" i="3"/>
  <c r="AP39" i="3"/>
  <c r="AQ39" i="3"/>
  <c r="AL62" i="3" l="1"/>
  <c r="AL61" i="3"/>
  <c r="AL60" i="3"/>
  <c r="AL59" i="3"/>
  <c r="AL58" i="3"/>
  <c r="AL57" i="3"/>
  <c r="AL51" i="3"/>
  <c r="AL50" i="3"/>
  <c r="AL49" i="3"/>
  <c r="AL48" i="3"/>
  <c r="AL47" i="3"/>
  <c r="AL46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6" i="2" s="1"/>
  <c r="P46" i="3"/>
  <c r="P47" i="3"/>
  <c r="P48" i="3"/>
  <c r="P49" i="3"/>
  <c r="P50" i="3"/>
  <c r="P51" i="3"/>
  <c r="P57" i="3"/>
  <c r="P58" i="3"/>
  <c r="P59" i="3"/>
  <c r="P60" i="3"/>
  <c r="P61" i="3"/>
  <c r="P62" i="3"/>
  <c r="P34" i="3"/>
  <c r="D47" i="2" s="1"/>
  <c r="Q34" i="3"/>
  <c r="E47" i="2" s="1"/>
  <c r="P35" i="3"/>
  <c r="D48" i="2" s="1"/>
  <c r="Q35" i="3"/>
  <c r="E48" i="2" s="1"/>
  <c r="P36" i="3"/>
  <c r="D49" i="2" s="1"/>
  <c r="Q36" i="3"/>
  <c r="E49" i="2" s="1"/>
  <c r="P37" i="3"/>
  <c r="D50" i="2" s="1"/>
  <c r="Q37" i="3"/>
  <c r="E50" i="2" s="1"/>
  <c r="P38" i="3"/>
  <c r="D51" i="2" s="1"/>
  <c r="Q38" i="3"/>
  <c r="E51" i="2" s="1"/>
  <c r="P39" i="3"/>
  <c r="D52" i="2" s="1"/>
  <c r="Q39" i="3"/>
  <c r="E52" i="2" s="1"/>
  <c r="AB126" i="2" l="1"/>
  <c r="I50" i="2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25" i="4"/>
  <c r="N57" i="3"/>
  <c r="N58" i="3"/>
  <c r="N59" i="3"/>
  <c r="N60" i="3"/>
  <c r="N61" i="3"/>
  <c r="N62" i="3"/>
  <c r="N46" i="3"/>
  <c r="N47" i="3"/>
  <c r="N48" i="3"/>
  <c r="N49" i="3"/>
  <c r="N50" i="3"/>
  <c r="N51" i="3"/>
  <c r="N34" i="3"/>
  <c r="O34" i="3"/>
  <c r="N35" i="3"/>
  <c r="O35" i="3"/>
  <c r="N36" i="3"/>
  <c r="O36" i="3"/>
  <c r="N37" i="3"/>
  <c r="O37" i="3"/>
  <c r="N38" i="3"/>
  <c r="O38" i="3"/>
  <c r="N39" i="3"/>
  <c r="O39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57" i="3" l="1"/>
  <c r="AX58" i="3"/>
  <c r="AX59" i="3"/>
  <c r="AX60" i="3"/>
  <c r="AX61" i="3"/>
  <c r="AX62" i="3"/>
  <c r="AX46" i="3"/>
  <c r="AX47" i="3"/>
  <c r="AX48" i="3"/>
  <c r="AX49" i="3"/>
  <c r="AX50" i="3"/>
  <c r="AX51" i="3"/>
  <c r="AX34" i="3"/>
  <c r="D172" i="2" s="1"/>
  <c r="AY34" i="3"/>
  <c r="E172" i="2" s="1"/>
  <c r="AX35" i="3"/>
  <c r="D173" i="2" s="1"/>
  <c r="AY35" i="3"/>
  <c r="E173" i="2" s="1"/>
  <c r="AX36" i="3"/>
  <c r="AY36" i="3"/>
  <c r="AX37" i="3"/>
  <c r="D175" i="2" s="1"/>
  <c r="AY37" i="3"/>
  <c r="E175" i="2" s="1"/>
  <c r="AX38" i="3"/>
  <c r="D176" i="2" s="1"/>
  <c r="AY38" i="3"/>
  <c r="E176" i="2" s="1"/>
  <c r="AX39" i="3"/>
  <c r="D177" i="2" s="1"/>
  <c r="AY39" i="3"/>
  <c r="E177" i="2" s="1"/>
  <c r="E174" i="2" l="1"/>
  <c r="E178" i="2" s="1"/>
  <c r="AY43" i="3"/>
  <c r="D174" i="2"/>
  <c r="D178" i="2" s="1"/>
  <c r="AX43" i="3"/>
  <c r="AV57" i="3"/>
  <c r="AV58" i="3"/>
  <c r="AV59" i="3"/>
  <c r="AV60" i="3"/>
  <c r="AV61" i="3"/>
  <c r="AV62" i="3"/>
  <c r="AV46" i="3"/>
  <c r="AV47" i="3"/>
  <c r="AV48" i="3"/>
  <c r="AV49" i="3"/>
  <c r="AV50" i="3"/>
  <c r="AV51" i="3"/>
  <c r="AV34" i="3"/>
  <c r="AW34" i="3"/>
  <c r="AV35" i="3"/>
  <c r="D166" i="2" s="1"/>
  <c r="AW35" i="3"/>
  <c r="E166" i="2" s="1"/>
  <c r="AV36" i="3"/>
  <c r="AW36" i="3"/>
  <c r="E167" i="2" s="1"/>
  <c r="AV37" i="3"/>
  <c r="D168" i="2" s="1"/>
  <c r="AW37" i="3"/>
  <c r="E168" i="2" s="1"/>
  <c r="AV38" i="3"/>
  <c r="D169" i="2" s="1"/>
  <c r="AW38" i="3"/>
  <c r="E169" i="2" s="1"/>
  <c r="AV39" i="3"/>
  <c r="D170" i="2" s="1"/>
  <c r="AW39" i="3"/>
  <c r="E170" i="2" s="1"/>
  <c r="AW43" i="3" l="1"/>
  <c r="AV43" i="3"/>
  <c r="D167" i="2"/>
  <c r="E165" i="2"/>
  <c r="D165" i="2"/>
  <c r="D171" i="2" l="1"/>
  <c r="E171" i="2"/>
  <c r="AT57" i="3"/>
  <c r="AT58" i="3"/>
  <c r="AT59" i="3"/>
  <c r="AT60" i="3"/>
  <c r="AT61" i="3"/>
  <c r="AT62" i="3"/>
  <c r="AT46" i="3"/>
  <c r="AT47" i="3"/>
  <c r="AT48" i="3"/>
  <c r="AT49" i="3"/>
  <c r="AT50" i="3"/>
  <c r="AT51" i="3"/>
  <c r="AT34" i="3"/>
  <c r="AU34" i="3"/>
  <c r="AT35" i="3"/>
  <c r="D159" i="2" s="1"/>
  <c r="AU35" i="3"/>
  <c r="E159" i="2" s="1"/>
  <c r="AT36" i="3"/>
  <c r="D160" i="2" s="1"/>
  <c r="AU36" i="3"/>
  <c r="E160" i="2" s="1"/>
  <c r="AT37" i="3"/>
  <c r="D161" i="2" s="1"/>
  <c r="AU37" i="3"/>
  <c r="E161" i="2" s="1"/>
  <c r="AT38" i="3"/>
  <c r="D162" i="2" s="1"/>
  <c r="AU38" i="3"/>
  <c r="E162" i="2" s="1"/>
  <c r="AT39" i="3"/>
  <c r="D163" i="2" s="1"/>
  <c r="AU39" i="3"/>
  <c r="E163" i="2" s="1"/>
  <c r="H26" i="13" l="1"/>
  <c r="E158" i="2"/>
  <c r="E164" i="2" s="1"/>
  <c r="AU43" i="3"/>
  <c r="D158" i="2"/>
  <c r="D164" i="2" s="1"/>
  <c r="AT43" i="3"/>
  <c r="AR57" i="3"/>
  <c r="AR58" i="3"/>
  <c r="AR59" i="3"/>
  <c r="AR60" i="3"/>
  <c r="AR61" i="3"/>
  <c r="AR62" i="3"/>
  <c r="AR46" i="3"/>
  <c r="AR47" i="3"/>
  <c r="AR48" i="3"/>
  <c r="AR49" i="3"/>
  <c r="AR50" i="3"/>
  <c r="AR51" i="3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R37" i="3"/>
  <c r="D151" i="2" s="1"/>
  <c r="G151" i="2" s="1"/>
  <c r="AS37" i="3"/>
  <c r="E151" i="2" s="1"/>
  <c r="AR38" i="3"/>
  <c r="D152" i="2" s="1"/>
  <c r="AS38" i="3"/>
  <c r="E152" i="2" s="1"/>
  <c r="AR39" i="3"/>
  <c r="D153" i="2" s="1"/>
  <c r="G153" i="2" s="1"/>
  <c r="AS39" i="3"/>
  <c r="E153" i="2" s="1"/>
  <c r="D157" i="2" l="1"/>
  <c r="G148" i="2"/>
  <c r="G150" i="2"/>
  <c r="E157" i="2"/>
  <c r="G149" i="2"/>
  <c r="G152" i="2"/>
  <c r="AN57" i="3"/>
  <c r="AN58" i="3"/>
  <c r="AN59" i="3"/>
  <c r="AN60" i="3"/>
  <c r="AN61" i="3"/>
  <c r="AN62" i="3"/>
  <c r="AN46" i="3"/>
  <c r="AN47" i="3"/>
  <c r="AN48" i="3"/>
  <c r="AN49" i="3"/>
  <c r="AN50" i="3"/>
  <c r="AN51" i="3"/>
  <c r="AN34" i="3"/>
  <c r="AO34" i="3"/>
  <c r="AN35" i="3"/>
  <c r="AO35" i="3"/>
  <c r="AN36" i="3"/>
  <c r="AO36" i="3"/>
  <c r="AN37" i="3"/>
  <c r="AO37" i="3"/>
  <c r="AN38" i="3"/>
  <c r="AO38" i="3"/>
  <c r="AN39" i="3"/>
  <c r="AO39" i="3"/>
  <c r="G157" i="2" l="1"/>
  <c r="AB57" i="3"/>
  <c r="AB58" i="3"/>
  <c r="AB59" i="3"/>
  <c r="AB60" i="3"/>
  <c r="AB61" i="3"/>
  <c r="AB62" i="3"/>
  <c r="AB46" i="3"/>
  <c r="AB47" i="3"/>
  <c r="AB48" i="3"/>
  <c r="AB49" i="3"/>
  <c r="AB50" i="3"/>
  <c r="AB51" i="3"/>
  <c r="AB34" i="3"/>
  <c r="D89" i="2" s="1"/>
  <c r="AC34" i="3"/>
  <c r="E89" i="2" s="1"/>
  <c r="AB35" i="3"/>
  <c r="D90" i="2" s="1"/>
  <c r="AC35" i="3"/>
  <c r="E90" i="2" s="1"/>
  <c r="AB36" i="3"/>
  <c r="D91" i="2" s="1"/>
  <c r="AC36" i="3"/>
  <c r="E91" i="2" s="1"/>
  <c r="AB37" i="3"/>
  <c r="D92" i="2" s="1"/>
  <c r="AC37" i="3"/>
  <c r="E92" i="2" s="1"/>
  <c r="AB38" i="3"/>
  <c r="D93" i="2" s="1"/>
  <c r="AC38" i="3"/>
  <c r="E93" i="2" s="1"/>
  <c r="AB39" i="3"/>
  <c r="D94" i="2" s="1"/>
  <c r="AC39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57" i="3"/>
  <c r="Z58" i="3"/>
  <c r="Z59" i="3"/>
  <c r="Z60" i="3"/>
  <c r="Z61" i="3"/>
  <c r="Z62" i="3"/>
  <c r="Z46" i="3"/>
  <c r="Z47" i="3"/>
  <c r="Z48" i="3"/>
  <c r="Z49" i="3"/>
  <c r="Z50" i="3"/>
  <c r="Z51" i="3"/>
  <c r="Z34" i="3"/>
  <c r="AA34" i="3"/>
  <c r="Z35" i="3"/>
  <c r="AA35" i="3"/>
  <c r="Z36" i="3"/>
  <c r="AA36" i="3"/>
  <c r="Z37" i="3"/>
  <c r="AA37" i="3"/>
  <c r="Z38" i="3"/>
  <c r="AA38" i="3"/>
  <c r="Z39" i="3"/>
  <c r="AA39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57" i="3"/>
  <c r="X58" i="3"/>
  <c r="X59" i="3"/>
  <c r="X60" i="3"/>
  <c r="X61" i="3"/>
  <c r="X62" i="3"/>
  <c r="X46" i="3"/>
  <c r="X47" i="3"/>
  <c r="X48" i="3"/>
  <c r="X49" i="3"/>
  <c r="X50" i="3"/>
  <c r="X51" i="3"/>
  <c r="X34" i="3"/>
  <c r="D75" i="2" s="1"/>
  <c r="Y34" i="3"/>
  <c r="E75" i="2" s="1"/>
  <c r="X35" i="3"/>
  <c r="Y35" i="3"/>
  <c r="X36" i="3"/>
  <c r="D77" i="2" s="1"/>
  <c r="Y36" i="3"/>
  <c r="E77" i="2" s="1"/>
  <c r="X37" i="3"/>
  <c r="D78" i="2" s="1"/>
  <c r="Y37" i="3"/>
  <c r="E78" i="2" s="1"/>
  <c r="X38" i="3"/>
  <c r="D79" i="2" s="1"/>
  <c r="Y38" i="3"/>
  <c r="E79" i="2" s="1"/>
  <c r="X39" i="3"/>
  <c r="D80" i="2" s="1"/>
  <c r="Y39" i="3"/>
  <c r="E80" i="2" s="1"/>
  <c r="K95" i="2" l="1"/>
  <c r="M95" i="2"/>
  <c r="L91" i="2"/>
  <c r="L95" i="2" s="1"/>
  <c r="J95" i="2"/>
  <c r="E76" i="2"/>
  <c r="E81" i="2" s="1"/>
  <c r="Y43" i="3"/>
  <c r="D76" i="2"/>
  <c r="X43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57" i="3"/>
  <c r="V58" i="3"/>
  <c r="V59" i="3"/>
  <c r="V60" i="3"/>
  <c r="V61" i="3"/>
  <c r="V62" i="3"/>
  <c r="V46" i="3"/>
  <c r="V47" i="3"/>
  <c r="V48" i="3"/>
  <c r="V49" i="3"/>
  <c r="V50" i="3"/>
  <c r="V51" i="3"/>
  <c r="V34" i="3"/>
  <c r="W34" i="3"/>
  <c r="V35" i="3"/>
  <c r="W35" i="3"/>
  <c r="V36" i="3"/>
  <c r="W36" i="3"/>
  <c r="V37" i="3"/>
  <c r="W37" i="3"/>
  <c r="V38" i="3"/>
  <c r="W38" i="3"/>
  <c r="V39" i="3"/>
  <c r="W39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51" i="3" l="1"/>
  <c r="A12" i="2" l="1"/>
  <c r="BD57" i="3" l="1"/>
  <c r="BD58" i="3"/>
  <c r="BD59" i="3"/>
  <c r="BD60" i="3"/>
  <c r="BD61" i="3"/>
  <c r="D220" i="2" s="1"/>
  <c r="H33" i="13" s="1"/>
  <c r="BD62" i="3"/>
  <c r="BD46" i="3"/>
  <c r="BD47" i="3"/>
  <c r="BD48" i="3"/>
  <c r="BD49" i="3"/>
  <c r="BD50" i="3"/>
  <c r="BD51" i="3"/>
  <c r="BD34" i="3"/>
  <c r="BE34" i="3"/>
  <c r="BD35" i="3"/>
  <c r="BE35" i="3"/>
  <c r="BD36" i="3"/>
  <c r="BE36" i="3"/>
  <c r="BD37" i="3"/>
  <c r="BE37" i="3"/>
  <c r="BD38" i="3"/>
  <c r="BE38" i="3"/>
  <c r="BD39" i="3"/>
  <c r="BE39" i="3"/>
  <c r="G215" i="2" l="1"/>
  <c r="J215" i="2" s="1"/>
  <c r="L215" i="2" s="1"/>
  <c r="G214" i="2"/>
  <c r="J214" i="2" s="1"/>
  <c r="BE43" i="3"/>
  <c r="BD43" i="3"/>
  <c r="U15" i="4"/>
  <c r="U16" i="4"/>
  <c r="U17" i="4"/>
  <c r="U18" i="4"/>
  <c r="U19" i="4"/>
  <c r="L214" i="2" l="1"/>
  <c r="L220" i="2" s="1"/>
  <c r="J220" i="2"/>
  <c r="G220" i="2"/>
  <c r="W215" i="2"/>
  <c r="AJ57" i="3"/>
  <c r="AJ58" i="3"/>
  <c r="AJ59" i="3"/>
  <c r="AJ60" i="3"/>
  <c r="AJ61" i="3"/>
  <c r="AJ62" i="3"/>
  <c r="AJ46" i="3"/>
  <c r="AJ47" i="3"/>
  <c r="AJ48" i="3"/>
  <c r="AJ49" i="3"/>
  <c r="AJ50" i="3"/>
  <c r="AJ51" i="3"/>
  <c r="AJ34" i="3"/>
  <c r="AK34" i="3"/>
  <c r="AJ35" i="3"/>
  <c r="AK35" i="3"/>
  <c r="AJ36" i="3"/>
  <c r="AK36" i="3"/>
  <c r="AJ37" i="3"/>
  <c r="AK37" i="3"/>
  <c r="AJ38" i="3"/>
  <c r="AK38" i="3"/>
  <c r="AJ39" i="3"/>
  <c r="AK39" i="3"/>
  <c r="W214" i="2" l="1"/>
  <c r="W220" i="2" s="1"/>
  <c r="J25" i="4"/>
  <c r="R57" i="3"/>
  <c r="R58" i="3"/>
  <c r="R59" i="3"/>
  <c r="R60" i="3"/>
  <c r="R61" i="3"/>
  <c r="R62" i="3"/>
  <c r="R46" i="3"/>
  <c r="R47" i="3"/>
  <c r="R48" i="3"/>
  <c r="R49" i="3"/>
  <c r="R50" i="3"/>
  <c r="R51" i="3"/>
  <c r="R34" i="3"/>
  <c r="S34" i="3"/>
  <c r="R35" i="3"/>
  <c r="S35" i="3"/>
  <c r="R36" i="3"/>
  <c r="S36" i="3"/>
  <c r="R37" i="3"/>
  <c r="S37" i="3"/>
  <c r="R38" i="3"/>
  <c r="S38" i="3"/>
  <c r="R39" i="3"/>
  <c r="S39" i="3"/>
  <c r="O220" i="2" l="1"/>
  <c r="D33" i="13"/>
  <c r="S43" i="3"/>
  <c r="R43" i="3"/>
  <c r="G26" i="4" l="1"/>
  <c r="BC34" i="3" l="1"/>
  <c r="BB34" i="3"/>
  <c r="E186" i="2" l="1"/>
  <c r="D186" i="2"/>
  <c r="I186" i="2" l="1"/>
  <c r="M186" i="2" s="1"/>
  <c r="G186" i="2"/>
  <c r="J186" i="2" s="1"/>
  <c r="W186" i="2" s="1"/>
  <c r="K186" i="2" l="1"/>
  <c r="L186" i="2"/>
  <c r="E198" i="2" l="1"/>
  <c r="D198" i="2"/>
  <c r="E197" i="2"/>
  <c r="D197" i="2"/>
  <c r="E196" i="2"/>
  <c r="D196" i="2"/>
  <c r="E195" i="2"/>
  <c r="D195" i="2"/>
  <c r="BF36" i="3"/>
  <c r="E194" i="2"/>
  <c r="D194" i="2"/>
  <c r="E193" i="2"/>
  <c r="D193" i="2"/>
  <c r="D199" i="2" l="1"/>
  <c r="E199" i="2"/>
  <c r="D202" i="2"/>
  <c r="I197" i="2"/>
  <c r="G197" i="2"/>
  <c r="J197" i="2" s="1"/>
  <c r="L197" i="2" s="1"/>
  <c r="I194" i="2"/>
  <c r="G194" i="2"/>
  <c r="J194" i="2" s="1"/>
  <c r="I198" i="2"/>
  <c r="G198" i="2"/>
  <c r="J198" i="2" s="1"/>
  <c r="L198" i="2" s="1"/>
  <c r="G195" i="2"/>
  <c r="I195" i="2"/>
  <c r="G196" i="2"/>
  <c r="J196" i="2" s="1"/>
  <c r="L196" i="2" s="1"/>
  <c r="I196" i="2"/>
  <c r="I193" i="2"/>
  <c r="G193" i="2"/>
  <c r="BB62" i="3"/>
  <c r="BB61" i="3"/>
  <c r="BB60" i="3"/>
  <c r="BB59" i="3"/>
  <c r="BB58" i="3"/>
  <c r="BB57" i="3"/>
  <c r="BB51" i="3"/>
  <c r="AB10" i="4" s="1"/>
  <c r="BB50" i="3"/>
  <c r="AB9" i="4" s="1"/>
  <c r="BB49" i="3"/>
  <c r="BB48" i="3"/>
  <c r="BB47" i="3"/>
  <c r="BB46" i="3"/>
  <c r="BC38" i="3"/>
  <c r="E190" i="2" s="1"/>
  <c r="BC39" i="3"/>
  <c r="E191" i="2" s="1"/>
  <c r="BB39" i="3"/>
  <c r="D191" i="2" s="1"/>
  <c r="BB38" i="3"/>
  <c r="D190" i="2" s="1"/>
  <c r="BC37" i="3"/>
  <c r="E189" i="2" s="1"/>
  <c r="BB37" i="3"/>
  <c r="D189" i="2" s="1"/>
  <c r="BC36" i="3"/>
  <c r="BB36" i="3"/>
  <c r="BC35" i="3"/>
  <c r="BB35" i="3"/>
  <c r="I199" i="2" l="1"/>
  <c r="E188" i="2"/>
  <c r="BC43" i="3"/>
  <c r="D188" i="2"/>
  <c r="BB43" i="3"/>
  <c r="J195" i="2"/>
  <c r="G199" i="2"/>
  <c r="H30" i="13"/>
  <c r="L194" i="2"/>
  <c r="W194" i="2"/>
  <c r="D187" i="2"/>
  <c r="E187" i="2"/>
  <c r="G189" i="2"/>
  <c r="J189" i="2" s="1"/>
  <c r="I189" i="2"/>
  <c r="I190" i="2"/>
  <c r="G190" i="2"/>
  <c r="J190" i="2" s="1"/>
  <c r="I191" i="2"/>
  <c r="G191" i="2"/>
  <c r="J191" i="2" s="1"/>
  <c r="J193" i="2"/>
  <c r="W193" i="2" s="1"/>
  <c r="K193" i="2"/>
  <c r="M193" i="2"/>
  <c r="K196" i="2"/>
  <c r="M196" i="2"/>
  <c r="K195" i="2"/>
  <c r="M195" i="2"/>
  <c r="M198" i="2"/>
  <c r="K198" i="2"/>
  <c r="M194" i="2"/>
  <c r="K194" i="2"/>
  <c r="M197" i="2"/>
  <c r="K197" i="2"/>
  <c r="AZ62" i="3"/>
  <c r="AZ61" i="3"/>
  <c r="AZ60" i="3"/>
  <c r="AZ59" i="3"/>
  <c r="AZ58" i="3"/>
  <c r="AZ57" i="3"/>
  <c r="AZ51" i="3"/>
  <c r="AA10" i="4" s="1"/>
  <c r="AZ50" i="3"/>
  <c r="AA9" i="4" s="1"/>
  <c r="AZ49" i="3"/>
  <c r="AZ48" i="3"/>
  <c r="AZ47" i="3"/>
  <c r="AZ46" i="3"/>
  <c r="BA39" i="3"/>
  <c r="E184" i="2" s="1"/>
  <c r="AZ39" i="3"/>
  <c r="D184" i="2" s="1"/>
  <c r="BA38" i="3"/>
  <c r="E183" i="2" s="1"/>
  <c r="AZ38" i="3"/>
  <c r="D183" i="2" s="1"/>
  <c r="BA37" i="3"/>
  <c r="E182" i="2" s="1"/>
  <c r="AZ37" i="3"/>
  <c r="D182" i="2" s="1"/>
  <c r="BA36" i="3"/>
  <c r="AZ36" i="3"/>
  <c r="BA35" i="3"/>
  <c r="E180" i="2" s="1"/>
  <c r="AZ35" i="3"/>
  <c r="D180" i="2" s="1"/>
  <c r="BA34" i="3"/>
  <c r="AZ34" i="3"/>
  <c r="I188" i="2" l="1"/>
  <c r="M188" i="2" s="1"/>
  <c r="G188" i="2"/>
  <c r="J188" i="2" s="1"/>
  <c r="W188" i="2" s="1"/>
  <c r="D192" i="2"/>
  <c r="E192" i="2"/>
  <c r="L195" i="2"/>
  <c r="J199" i="2"/>
  <c r="M199" i="2"/>
  <c r="K199" i="2"/>
  <c r="D181" i="2"/>
  <c r="AZ43" i="3"/>
  <c r="E181" i="2"/>
  <c r="BA43" i="3"/>
  <c r="L189" i="2"/>
  <c r="W189" i="2"/>
  <c r="M191" i="2"/>
  <c r="K191" i="2"/>
  <c r="M190" i="2"/>
  <c r="K190" i="2"/>
  <c r="K189" i="2"/>
  <c r="M189" i="2"/>
  <c r="I187" i="2"/>
  <c r="G187" i="2"/>
  <c r="L190" i="2"/>
  <c r="W190" i="2"/>
  <c r="L191" i="2"/>
  <c r="W191" i="2"/>
  <c r="D179" i="2"/>
  <c r="E179" i="2"/>
  <c r="L193" i="2"/>
  <c r="G180" i="2"/>
  <c r="J180" i="2" s="1"/>
  <c r="L180" i="2" s="1"/>
  <c r="I180" i="2"/>
  <c r="I182" i="2"/>
  <c r="G182" i="2"/>
  <c r="J182" i="2" s="1"/>
  <c r="L182" i="2" s="1"/>
  <c r="I183" i="2"/>
  <c r="G183" i="2"/>
  <c r="J183" i="2" s="1"/>
  <c r="L183" i="2" s="1"/>
  <c r="I184" i="2"/>
  <c r="G184" i="2"/>
  <c r="J184" i="2" s="1"/>
  <c r="L184" i="2" s="1"/>
  <c r="D185" i="2" l="1"/>
  <c r="K188" i="2"/>
  <c r="I192" i="2"/>
  <c r="G192" i="2"/>
  <c r="H29" i="13"/>
  <c r="L188" i="2"/>
  <c r="E185" i="2"/>
  <c r="L199" i="2"/>
  <c r="G181" i="2"/>
  <c r="I181" i="2"/>
  <c r="K181" i="2" s="1"/>
  <c r="G179" i="2"/>
  <c r="I179" i="2"/>
  <c r="M179" i="2" s="1"/>
  <c r="M187" i="2"/>
  <c r="M192" i="2" s="1"/>
  <c r="K187" i="2"/>
  <c r="J187" i="2"/>
  <c r="W187" i="2" s="1"/>
  <c r="W192" i="2" s="1"/>
  <c r="M182" i="2"/>
  <c r="K182" i="2"/>
  <c r="M180" i="2"/>
  <c r="K180" i="2"/>
  <c r="K183" i="2"/>
  <c r="M183" i="2"/>
  <c r="K184" i="2"/>
  <c r="M184" i="2"/>
  <c r="G174" i="2"/>
  <c r="I174" i="2"/>
  <c r="I175" i="2"/>
  <c r="G175" i="2"/>
  <c r="J175" i="2" s="1"/>
  <c r="L175" i="2" s="1"/>
  <c r="I173" i="2"/>
  <c r="G173" i="2"/>
  <c r="J173" i="2" s="1"/>
  <c r="L173" i="2" s="1"/>
  <c r="I176" i="2"/>
  <c r="G176" i="2"/>
  <c r="J176" i="2" s="1"/>
  <c r="L176" i="2" s="1"/>
  <c r="I177" i="2"/>
  <c r="G177" i="2"/>
  <c r="J177" i="2" s="1"/>
  <c r="L177" i="2" s="1"/>
  <c r="U10" i="4"/>
  <c r="U9" i="4"/>
  <c r="M181" i="2" l="1"/>
  <c r="M185" i="2" s="1"/>
  <c r="K192" i="2"/>
  <c r="J192" i="2"/>
  <c r="I185" i="2"/>
  <c r="J174" i="2"/>
  <c r="J181" i="2"/>
  <c r="G185" i="2"/>
  <c r="H27" i="13"/>
  <c r="H28" i="13"/>
  <c r="J179" i="2"/>
  <c r="W179" i="2" s="1"/>
  <c r="K179" i="2"/>
  <c r="K185" i="2" s="1"/>
  <c r="L187" i="2"/>
  <c r="L192" i="2" s="1"/>
  <c r="I172" i="2"/>
  <c r="M172" i="2" s="1"/>
  <c r="G172" i="2"/>
  <c r="J172" i="2" s="1"/>
  <c r="W172" i="2" s="1"/>
  <c r="M173" i="2"/>
  <c r="K173" i="2"/>
  <c r="K177" i="2"/>
  <c r="M177" i="2"/>
  <c r="M175" i="2"/>
  <c r="K175" i="2"/>
  <c r="K176" i="2"/>
  <c r="M176" i="2"/>
  <c r="K174" i="2"/>
  <c r="M174" i="2"/>
  <c r="T10" i="4"/>
  <c r="T9" i="4"/>
  <c r="G178" i="2" l="1"/>
  <c r="M178" i="2"/>
  <c r="I178" i="2"/>
  <c r="L181" i="2"/>
  <c r="J185" i="2"/>
  <c r="L174" i="2"/>
  <c r="J178" i="2"/>
  <c r="L179" i="2"/>
  <c r="K172" i="2"/>
  <c r="K178" i="2" s="1"/>
  <c r="L172" i="2"/>
  <c r="AF62" i="3"/>
  <c r="AF61" i="3"/>
  <c r="AF60" i="3"/>
  <c r="AF59" i="3"/>
  <c r="AF58" i="3"/>
  <c r="AF57" i="3"/>
  <c r="AF51" i="3"/>
  <c r="AF50" i="3"/>
  <c r="AF49" i="3"/>
  <c r="AF48" i="3"/>
  <c r="AF47" i="3"/>
  <c r="AF46" i="3"/>
  <c r="AG39" i="3"/>
  <c r="AF39" i="3"/>
  <c r="AG38" i="3"/>
  <c r="AF38" i="3"/>
  <c r="AG37" i="3"/>
  <c r="AF37" i="3"/>
  <c r="AG36" i="3"/>
  <c r="AF36" i="3"/>
  <c r="AG35" i="3"/>
  <c r="AF35" i="3"/>
  <c r="AG34" i="3"/>
  <c r="AF34" i="3"/>
  <c r="L185" i="2" l="1"/>
  <c r="L178" i="2"/>
  <c r="AF43" i="3"/>
  <c r="AG43" i="3"/>
  <c r="E103" i="2"/>
  <c r="AD62" i="3"/>
  <c r="AD61" i="3"/>
  <c r="AD60" i="3"/>
  <c r="AD59" i="3"/>
  <c r="AD58" i="3"/>
  <c r="AD57" i="3"/>
  <c r="AD51" i="3"/>
  <c r="AD50" i="3"/>
  <c r="AD49" i="3"/>
  <c r="AD48" i="3"/>
  <c r="AD47" i="3"/>
  <c r="AD46" i="3"/>
  <c r="AE39" i="3"/>
  <c r="E101" i="2" s="1"/>
  <c r="AD39" i="3"/>
  <c r="D101" i="2" s="1"/>
  <c r="AE38" i="3"/>
  <c r="E100" i="2" s="1"/>
  <c r="AD38" i="3"/>
  <c r="D100" i="2" s="1"/>
  <c r="AE37" i="3"/>
  <c r="E99" i="2" s="1"/>
  <c r="AD37" i="3"/>
  <c r="D99" i="2" s="1"/>
  <c r="AE36" i="3"/>
  <c r="E98" i="2" s="1"/>
  <c r="AD36" i="3"/>
  <c r="D98" i="2" s="1"/>
  <c r="AE35" i="3"/>
  <c r="E97" i="2" s="1"/>
  <c r="AD35" i="3"/>
  <c r="D97" i="2" s="1"/>
  <c r="AE34" i="3"/>
  <c r="E96" i="2" s="1"/>
  <c r="AD34" i="3"/>
  <c r="D96" i="2" s="1"/>
  <c r="E102" i="2" l="1"/>
  <c r="G99" i="2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9" i="2" s="1"/>
  <c r="AC88" i="1"/>
  <c r="N206" i="2" s="1"/>
  <c r="F233" i="2" l="1"/>
  <c r="F234" i="2"/>
  <c r="C238" i="2" l="1"/>
  <c r="B238" i="2"/>
  <c r="Z25" i="4" l="1"/>
  <c r="Z27" i="4"/>
  <c r="Z26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7" i="4"/>
  <c r="B11" i="11" l="1"/>
  <c r="D26" i="4" l="1"/>
  <c r="D25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7" i="4" l="1"/>
  <c r="AC27" i="4"/>
  <c r="AB27" i="4"/>
  <c r="AA27" i="4"/>
  <c r="Y27" i="4"/>
  <c r="W27" i="4"/>
  <c r="V27" i="4"/>
  <c r="U27" i="4"/>
  <c r="T27" i="4"/>
  <c r="S27" i="4"/>
  <c r="Q27" i="4"/>
  <c r="P27" i="4"/>
  <c r="O27" i="4"/>
  <c r="M27" i="4"/>
  <c r="L27" i="4"/>
  <c r="J27" i="4"/>
  <c r="G27" i="4"/>
  <c r="F27" i="4"/>
  <c r="E27" i="4"/>
  <c r="I27" i="4"/>
  <c r="H27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85" i="2" s="1"/>
  <c r="Y88" i="1"/>
  <c r="X88" i="1"/>
  <c r="W88" i="1"/>
  <c r="V88" i="1"/>
  <c r="T88" i="1"/>
  <c r="AD25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25" i="4"/>
  <c r="AB26" i="4" l="1"/>
  <c r="AB25" i="4"/>
  <c r="AA26" i="4" l="1"/>
  <c r="AA25" i="4"/>
  <c r="X26" i="4" l="1"/>
  <c r="W26" i="4"/>
  <c r="X25" i="4"/>
  <c r="W25" i="4"/>
  <c r="V25" i="4" l="1"/>
  <c r="U26" i="4"/>
  <c r="T26" i="4"/>
  <c r="U25" i="4"/>
  <c r="T25" i="4"/>
  <c r="U35" i="4" l="1"/>
  <c r="S25" i="4"/>
  <c r="S26" i="4"/>
  <c r="R26" i="4"/>
  <c r="R25" i="4"/>
  <c r="Q26" i="4" l="1"/>
  <c r="Q25" i="4"/>
  <c r="P26" i="4" l="1"/>
  <c r="P25" i="4"/>
  <c r="O25" i="4" l="1"/>
  <c r="N26" i="4" l="1"/>
  <c r="N25" i="4"/>
  <c r="M25" i="4" l="1"/>
  <c r="L25" i="4"/>
  <c r="M26" i="4"/>
  <c r="L26" i="4"/>
  <c r="K26" i="4"/>
  <c r="K25" i="4"/>
  <c r="J26" i="4"/>
  <c r="I26" i="4" l="1"/>
  <c r="I25" i="4"/>
  <c r="H26" i="4" l="1"/>
  <c r="H25" i="4"/>
  <c r="G25" i="4"/>
  <c r="F26" i="4"/>
  <c r="F25" i="4"/>
  <c r="E26" i="4"/>
  <c r="C26" i="4"/>
  <c r="C25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92" i="2"/>
  <c r="N178" i="2"/>
  <c r="N171" i="2"/>
  <c r="N164" i="2"/>
  <c r="B20" i="13"/>
  <c r="N140" i="2"/>
  <c r="N133" i="2"/>
  <c r="O192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43" i="2" l="1"/>
  <c r="B4" i="13" l="1"/>
  <c r="D58" i="2" l="1"/>
  <c r="T34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43" i="2"/>
  <c r="D70" i="2"/>
  <c r="BF61" i="3"/>
  <c r="AH61" i="3"/>
  <c r="T61" i="3"/>
  <c r="L61" i="3"/>
  <c r="J61" i="3"/>
  <c r="H61" i="3"/>
  <c r="F61" i="3"/>
  <c r="D61" i="3"/>
  <c r="BF50" i="3"/>
  <c r="AD9" i="4" s="1"/>
  <c r="AC9" i="4"/>
  <c r="Z9" i="4"/>
  <c r="Y9" i="4"/>
  <c r="X9" i="4"/>
  <c r="W9" i="4"/>
  <c r="V9" i="4"/>
  <c r="S9" i="4"/>
  <c r="AH50" i="3"/>
  <c r="R9" i="4" s="1"/>
  <c r="Q9" i="4"/>
  <c r="P9" i="4"/>
  <c r="O9" i="4"/>
  <c r="N9" i="4"/>
  <c r="M9" i="4"/>
  <c r="L9" i="4"/>
  <c r="T50" i="3"/>
  <c r="K9" i="4" s="1"/>
  <c r="J9" i="4"/>
  <c r="I9" i="4"/>
  <c r="H9" i="4"/>
  <c r="L50" i="3"/>
  <c r="G9" i="4" s="1"/>
  <c r="J50" i="3"/>
  <c r="F9" i="4" s="1"/>
  <c r="H50" i="3"/>
  <c r="E9" i="4" s="1"/>
  <c r="F50" i="3"/>
  <c r="D9" i="4" s="1"/>
  <c r="D50" i="3"/>
  <c r="C9" i="4" s="1"/>
  <c r="BG38" i="3"/>
  <c r="E204" i="2" s="1"/>
  <c r="BF38" i="3"/>
  <c r="E145" i="2"/>
  <c r="D145" i="2"/>
  <c r="E138" i="2"/>
  <c r="D138" i="2"/>
  <c r="E131" i="2"/>
  <c r="D131" i="2"/>
  <c r="E121" i="2"/>
  <c r="D121" i="2"/>
  <c r="AI38" i="3"/>
  <c r="E114" i="2" s="1"/>
  <c r="AH38" i="3"/>
  <c r="D114" i="2" s="1"/>
  <c r="E107" i="2"/>
  <c r="D107" i="2"/>
  <c r="E86" i="2"/>
  <c r="D86" i="2"/>
  <c r="E72" i="2"/>
  <c r="D72" i="2"/>
  <c r="U38" i="3"/>
  <c r="E65" i="2" s="1"/>
  <c r="T38" i="3"/>
  <c r="D65" i="2" s="1"/>
  <c r="E58" i="2"/>
  <c r="E44" i="2"/>
  <c r="D44" i="2"/>
  <c r="M38" i="3"/>
  <c r="E37" i="2" s="1"/>
  <c r="L38" i="3"/>
  <c r="D37" i="2" s="1"/>
  <c r="K38" i="3"/>
  <c r="E30" i="2" s="1"/>
  <c r="J38" i="3"/>
  <c r="D30" i="2" s="1"/>
  <c r="I38" i="3"/>
  <c r="E23" i="2" s="1"/>
  <c r="H38" i="3"/>
  <c r="D23" i="2" s="1"/>
  <c r="G38" i="3"/>
  <c r="E16" i="2" s="1"/>
  <c r="F38" i="3"/>
  <c r="D16" i="2" s="1"/>
  <c r="E38" i="3"/>
  <c r="E9" i="2" s="1"/>
  <c r="D38" i="3"/>
  <c r="D9" i="2" s="1"/>
  <c r="D135" i="2"/>
  <c r="E135" i="2"/>
  <c r="D136" i="2"/>
  <c r="E136" i="2"/>
  <c r="D137" i="2"/>
  <c r="E137" i="2"/>
  <c r="D139" i="2"/>
  <c r="E139" i="2"/>
  <c r="L34" i="3"/>
  <c r="L35" i="3"/>
  <c r="D34" i="2" s="1"/>
  <c r="L36" i="3"/>
  <c r="D35" i="2" s="1"/>
  <c r="L37" i="3"/>
  <c r="D36" i="2" s="1"/>
  <c r="L39" i="3"/>
  <c r="D38" i="2" s="1"/>
  <c r="L46" i="3"/>
  <c r="BG35" i="3"/>
  <c r="E201" i="2" s="1"/>
  <c r="BF35" i="3"/>
  <c r="D201" i="2" s="1"/>
  <c r="A19" i="2"/>
  <c r="A26" i="2" s="1"/>
  <c r="A33" i="2" s="1"/>
  <c r="A40" i="2" s="1"/>
  <c r="O10" i="4"/>
  <c r="O8" i="4"/>
  <c r="O7" i="4"/>
  <c r="O6" i="4"/>
  <c r="N19" i="4"/>
  <c r="N18" i="4"/>
  <c r="N17" i="4"/>
  <c r="N16" i="4"/>
  <c r="N15" i="4"/>
  <c r="N10" i="4"/>
  <c r="N8" i="4"/>
  <c r="N7" i="4"/>
  <c r="N6" i="4"/>
  <c r="N5" i="4"/>
  <c r="T57" i="3"/>
  <c r="K15" i="4" s="1"/>
  <c r="O19" i="4"/>
  <c r="O18" i="4"/>
  <c r="O17" i="4"/>
  <c r="O16" i="4"/>
  <c r="O15" i="4"/>
  <c r="E87" i="2"/>
  <c r="D87" i="2"/>
  <c r="E85" i="2"/>
  <c r="D85" i="2"/>
  <c r="E84" i="2"/>
  <c r="D84" i="2"/>
  <c r="E83" i="2"/>
  <c r="D83" i="2"/>
  <c r="O5" i="4"/>
  <c r="AC19" i="4"/>
  <c r="AC18" i="4"/>
  <c r="AC17" i="4"/>
  <c r="AC16" i="4"/>
  <c r="AC15" i="4"/>
  <c r="AC10" i="4"/>
  <c r="AC8" i="4"/>
  <c r="AC7" i="4"/>
  <c r="AC6" i="4"/>
  <c r="AC5" i="4"/>
  <c r="AB19" i="4"/>
  <c r="AB18" i="4"/>
  <c r="AB17" i="4"/>
  <c r="AB16" i="4"/>
  <c r="AB15" i="4"/>
  <c r="AB8" i="4"/>
  <c r="AB7" i="4"/>
  <c r="AB6" i="4"/>
  <c r="AB5" i="4"/>
  <c r="D141" i="2"/>
  <c r="BF62" i="3"/>
  <c r="AA19" i="4"/>
  <c r="Z19" i="4"/>
  <c r="Y19" i="4"/>
  <c r="X19" i="4"/>
  <c r="W19" i="4"/>
  <c r="V19" i="4"/>
  <c r="T19" i="4"/>
  <c r="S19" i="4"/>
  <c r="AH62" i="3"/>
  <c r="R19" i="4" s="1"/>
  <c r="Q19" i="4"/>
  <c r="P19" i="4"/>
  <c r="M19" i="4"/>
  <c r="L19" i="4"/>
  <c r="T62" i="3"/>
  <c r="K19" i="4" s="1"/>
  <c r="J19" i="4"/>
  <c r="I19" i="4"/>
  <c r="H19" i="4"/>
  <c r="L62" i="3"/>
  <c r="G19" i="4" s="1"/>
  <c r="J62" i="3"/>
  <c r="F19" i="4" s="1"/>
  <c r="H62" i="3"/>
  <c r="E19" i="4" s="1"/>
  <c r="F62" i="3"/>
  <c r="D19" i="4" s="1"/>
  <c r="D62" i="3"/>
  <c r="C19" i="4" s="1"/>
  <c r="BF60" i="3"/>
  <c r="AA18" i="4"/>
  <c r="Z18" i="4"/>
  <c r="Y18" i="4"/>
  <c r="X18" i="4"/>
  <c r="W18" i="4"/>
  <c r="V18" i="4"/>
  <c r="T18" i="4"/>
  <c r="S18" i="4"/>
  <c r="AH60" i="3"/>
  <c r="R18" i="4" s="1"/>
  <c r="Q18" i="4"/>
  <c r="P18" i="4"/>
  <c r="M18" i="4"/>
  <c r="L18" i="4"/>
  <c r="T60" i="3"/>
  <c r="K18" i="4" s="1"/>
  <c r="J18" i="4"/>
  <c r="I18" i="4"/>
  <c r="H18" i="4"/>
  <c r="L60" i="3"/>
  <c r="G18" i="4" s="1"/>
  <c r="J60" i="3"/>
  <c r="F18" i="4" s="1"/>
  <c r="H60" i="3"/>
  <c r="E18" i="4" s="1"/>
  <c r="F60" i="3"/>
  <c r="D60" i="3"/>
  <c r="C18" i="4" s="1"/>
  <c r="BF59" i="3"/>
  <c r="AA17" i="4"/>
  <c r="Z17" i="4"/>
  <c r="Y17" i="4"/>
  <c r="X17" i="4"/>
  <c r="W17" i="4"/>
  <c r="V17" i="4"/>
  <c r="T17" i="4"/>
  <c r="S17" i="4"/>
  <c r="AH59" i="3"/>
  <c r="R17" i="4" s="1"/>
  <c r="Q17" i="4"/>
  <c r="P17" i="4"/>
  <c r="M17" i="4"/>
  <c r="L17" i="4"/>
  <c r="T59" i="3"/>
  <c r="K17" i="4" s="1"/>
  <c r="J17" i="4"/>
  <c r="I17" i="4"/>
  <c r="H17" i="4"/>
  <c r="L59" i="3"/>
  <c r="G17" i="4" s="1"/>
  <c r="J59" i="3"/>
  <c r="F17" i="4" s="1"/>
  <c r="H59" i="3"/>
  <c r="E17" i="4" s="1"/>
  <c r="F59" i="3"/>
  <c r="D59" i="3"/>
  <c r="C17" i="4" s="1"/>
  <c r="BF58" i="3"/>
  <c r="AD16" i="4" s="1"/>
  <c r="AA16" i="4"/>
  <c r="Z16" i="4"/>
  <c r="Y16" i="4"/>
  <c r="X16" i="4"/>
  <c r="W16" i="4"/>
  <c r="V16" i="4"/>
  <c r="T16" i="4"/>
  <c r="S16" i="4"/>
  <c r="AH58" i="3"/>
  <c r="R16" i="4" s="1"/>
  <c r="Q16" i="4"/>
  <c r="P16" i="4"/>
  <c r="M16" i="4"/>
  <c r="L16" i="4"/>
  <c r="T58" i="3"/>
  <c r="K16" i="4" s="1"/>
  <c r="J16" i="4"/>
  <c r="I16" i="4"/>
  <c r="H16" i="4"/>
  <c r="L58" i="3"/>
  <c r="G16" i="4" s="1"/>
  <c r="J58" i="3"/>
  <c r="F16" i="4" s="1"/>
  <c r="H58" i="3"/>
  <c r="E16" i="4" s="1"/>
  <c r="F58" i="3"/>
  <c r="D16" i="4" s="1"/>
  <c r="D58" i="3"/>
  <c r="C16" i="4" s="1"/>
  <c r="BF57" i="3"/>
  <c r="AA15" i="4"/>
  <c r="Z15" i="4"/>
  <c r="Y15" i="4"/>
  <c r="X15" i="4"/>
  <c r="W15" i="4"/>
  <c r="V15" i="4"/>
  <c r="T15" i="4"/>
  <c r="S15" i="4"/>
  <c r="AH57" i="3"/>
  <c r="R15" i="4" s="1"/>
  <c r="Q15" i="4"/>
  <c r="P15" i="4"/>
  <c r="M15" i="4"/>
  <c r="L15" i="4"/>
  <c r="J15" i="4"/>
  <c r="L57" i="3"/>
  <c r="J57" i="3"/>
  <c r="F15" i="4" s="1"/>
  <c r="H57" i="3"/>
  <c r="E15" i="4" s="1"/>
  <c r="F57" i="3"/>
  <c r="D15" i="4" s="1"/>
  <c r="D57" i="3"/>
  <c r="C15" i="4" s="1"/>
  <c r="BF51" i="3"/>
  <c r="AD10" i="4" s="1"/>
  <c r="Z10" i="4"/>
  <c r="Y10" i="4"/>
  <c r="X10" i="4"/>
  <c r="W10" i="4"/>
  <c r="V10" i="4"/>
  <c r="S10" i="4"/>
  <c r="AH51" i="3"/>
  <c r="R10" i="4" s="1"/>
  <c r="Q10" i="4"/>
  <c r="P10" i="4"/>
  <c r="M10" i="4"/>
  <c r="L10" i="4"/>
  <c r="T51" i="3"/>
  <c r="K10" i="4" s="1"/>
  <c r="J10" i="4"/>
  <c r="L51" i="3"/>
  <c r="J51" i="3"/>
  <c r="F10" i="4" s="1"/>
  <c r="E10" i="4"/>
  <c r="F51" i="3"/>
  <c r="D10" i="4" s="1"/>
  <c r="D51" i="3"/>
  <c r="C10" i="4" s="1"/>
  <c r="BF49" i="3"/>
  <c r="AA8" i="4"/>
  <c r="Z8" i="4"/>
  <c r="Y8" i="4"/>
  <c r="X8" i="4"/>
  <c r="W8" i="4"/>
  <c r="U8" i="4"/>
  <c r="T8" i="4"/>
  <c r="S8" i="4"/>
  <c r="AH49" i="3"/>
  <c r="R8" i="4" s="1"/>
  <c r="Q8" i="4"/>
  <c r="P8" i="4"/>
  <c r="M8" i="4"/>
  <c r="L8" i="4"/>
  <c r="T49" i="3"/>
  <c r="K8" i="4" s="1"/>
  <c r="J8" i="4"/>
  <c r="L49" i="3"/>
  <c r="J49" i="3"/>
  <c r="F8" i="4" s="1"/>
  <c r="H49" i="3"/>
  <c r="E8" i="4" s="1"/>
  <c r="F49" i="3"/>
  <c r="D8" i="4" s="1"/>
  <c r="D49" i="3"/>
  <c r="C8" i="4" s="1"/>
  <c r="BF48" i="3"/>
  <c r="AA7" i="4"/>
  <c r="Z7" i="4"/>
  <c r="Y7" i="4"/>
  <c r="X7" i="4"/>
  <c r="W7" i="4"/>
  <c r="V7" i="4"/>
  <c r="U7" i="4"/>
  <c r="T7" i="4"/>
  <c r="S7" i="4"/>
  <c r="AH48" i="3"/>
  <c r="R7" i="4" s="1"/>
  <c r="Q7" i="4"/>
  <c r="P7" i="4"/>
  <c r="M7" i="4"/>
  <c r="L7" i="4"/>
  <c r="T48" i="3"/>
  <c r="K7" i="4" s="1"/>
  <c r="J7" i="4"/>
  <c r="L48" i="3"/>
  <c r="J48" i="3"/>
  <c r="F7" i="4" s="1"/>
  <c r="H48" i="3"/>
  <c r="E7" i="4" s="1"/>
  <c r="F48" i="3"/>
  <c r="D7" i="4" s="1"/>
  <c r="D48" i="3"/>
  <c r="C7" i="4" s="1"/>
  <c r="BF47" i="3"/>
  <c r="AA6" i="4"/>
  <c r="Z6" i="4"/>
  <c r="Y6" i="4"/>
  <c r="X6" i="4"/>
  <c r="W6" i="4"/>
  <c r="V6" i="4"/>
  <c r="U6" i="4"/>
  <c r="T6" i="4"/>
  <c r="S6" i="4"/>
  <c r="AH47" i="3"/>
  <c r="R6" i="4" s="1"/>
  <c r="Q6" i="4"/>
  <c r="P6" i="4"/>
  <c r="M6" i="4"/>
  <c r="L6" i="4"/>
  <c r="T47" i="3"/>
  <c r="K6" i="4" s="1"/>
  <c r="J6" i="4"/>
  <c r="L47" i="3"/>
  <c r="J47" i="3"/>
  <c r="F6" i="4" s="1"/>
  <c r="H47" i="3"/>
  <c r="E6" i="4" s="1"/>
  <c r="F47" i="3"/>
  <c r="D6" i="4" s="1"/>
  <c r="D47" i="3"/>
  <c r="C6" i="4" s="1"/>
  <c r="BF46" i="3"/>
  <c r="AA5" i="4"/>
  <c r="Z5" i="4"/>
  <c r="Y5" i="4"/>
  <c r="X5" i="4"/>
  <c r="W5" i="4"/>
  <c r="V5" i="4"/>
  <c r="U5" i="4"/>
  <c r="T5" i="4"/>
  <c r="S5" i="4"/>
  <c r="AH46" i="3"/>
  <c r="R5" i="4" s="1"/>
  <c r="Q5" i="4"/>
  <c r="P5" i="4"/>
  <c r="M5" i="4"/>
  <c r="L5" i="4"/>
  <c r="T46" i="3"/>
  <c r="K5" i="4" s="1"/>
  <c r="J5" i="4"/>
  <c r="J46" i="3"/>
  <c r="F5" i="4" s="1"/>
  <c r="H46" i="3"/>
  <c r="E5" i="4" s="1"/>
  <c r="F46" i="3"/>
  <c r="D5" i="4" s="1"/>
  <c r="D46" i="3"/>
  <c r="C5" i="4" s="1"/>
  <c r="BG39" i="3"/>
  <c r="E205" i="2" s="1"/>
  <c r="BF39" i="3"/>
  <c r="D205" i="2" s="1"/>
  <c r="E146" i="2"/>
  <c r="D146" i="2"/>
  <c r="E132" i="2"/>
  <c r="D132" i="2"/>
  <c r="E122" i="2"/>
  <c r="D122" i="2"/>
  <c r="AI39" i="3"/>
  <c r="E115" i="2" s="1"/>
  <c r="AH39" i="3"/>
  <c r="D115" i="2" s="1"/>
  <c r="E108" i="2"/>
  <c r="D108" i="2"/>
  <c r="E73" i="2"/>
  <c r="D73" i="2"/>
  <c r="U39" i="3"/>
  <c r="E66" i="2" s="1"/>
  <c r="T39" i="3"/>
  <c r="D66" i="2" s="1"/>
  <c r="E59" i="2"/>
  <c r="D59" i="2"/>
  <c r="E45" i="2"/>
  <c r="D45" i="2"/>
  <c r="M39" i="3"/>
  <c r="E38" i="2" s="1"/>
  <c r="K39" i="3"/>
  <c r="E31" i="2" s="1"/>
  <c r="J39" i="3"/>
  <c r="D31" i="2" s="1"/>
  <c r="I39" i="3"/>
  <c r="E24" i="2" s="1"/>
  <c r="H39" i="3"/>
  <c r="D24" i="2" s="1"/>
  <c r="G39" i="3"/>
  <c r="E17" i="2" s="1"/>
  <c r="F39" i="3"/>
  <c r="D17" i="2" s="1"/>
  <c r="E39" i="3"/>
  <c r="E10" i="2" s="1"/>
  <c r="D39" i="3"/>
  <c r="D10" i="2" s="1"/>
  <c r="BG37" i="3"/>
  <c r="E203" i="2" s="1"/>
  <c r="BF37" i="3"/>
  <c r="D203" i="2" s="1"/>
  <c r="E144" i="2"/>
  <c r="D144" i="2"/>
  <c r="E130" i="2"/>
  <c r="D130" i="2"/>
  <c r="E120" i="2"/>
  <c r="D120" i="2"/>
  <c r="AI37" i="3"/>
  <c r="E113" i="2" s="1"/>
  <c r="AH37" i="3"/>
  <c r="D113" i="2" s="1"/>
  <c r="E106" i="2"/>
  <c r="D106" i="2"/>
  <c r="E71" i="2"/>
  <c r="D71" i="2"/>
  <c r="U37" i="3"/>
  <c r="E64" i="2" s="1"/>
  <c r="T37" i="3"/>
  <c r="D64" i="2" s="1"/>
  <c r="E57" i="2"/>
  <c r="D57" i="2"/>
  <c r="E43" i="2"/>
  <c r="D43" i="2"/>
  <c r="M37" i="3"/>
  <c r="E36" i="2" s="1"/>
  <c r="K37" i="3"/>
  <c r="E29" i="2" s="1"/>
  <c r="J37" i="3"/>
  <c r="D29" i="2" s="1"/>
  <c r="I37" i="3"/>
  <c r="E22" i="2" s="1"/>
  <c r="H37" i="3"/>
  <c r="D22" i="2" s="1"/>
  <c r="G37" i="3"/>
  <c r="E15" i="2" s="1"/>
  <c r="F37" i="3"/>
  <c r="D15" i="2" s="1"/>
  <c r="E37" i="3"/>
  <c r="E8" i="2" s="1"/>
  <c r="D37" i="3"/>
  <c r="D8" i="2" s="1"/>
  <c r="BG36" i="3"/>
  <c r="E143" i="2"/>
  <c r="D143" i="2"/>
  <c r="E129" i="2"/>
  <c r="D129" i="2"/>
  <c r="E119" i="2"/>
  <c r="D119" i="2"/>
  <c r="AI36" i="3"/>
  <c r="E112" i="2" s="1"/>
  <c r="AH36" i="3"/>
  <c r="D112" i="2" s="1"/>
  <c r="E105" i="2"/>
  <c r="D105" i="2"/>
  <c r="U36" i="3"/>
  <c r="E63" i="2" s="1"/>
  <c r="T36" i="3"/>
  <c r="D63" i="2" s="1"/>
  <c r="E56" i="2"/>
  <c r="D56" i="2"/>
  <c r="E42" i="2"/>
  <c r="D42" i="2"/>
  <c r="M36" i="3"/>
  <c r="E35" i="2" s="1"/>
  <c r="K36" i="3"/>
  <c r="E28" i="2" s="1"/>
  <c r="J36" i="3"/>
  <c r="D28" i="2" s="1"/>
  <c r="I36" i="3"/>
  <c r="E21" i="2" s="1"/>
  <c r="H36" i="3"/>
  <c r="D21" i="2" s="1"/>
  <c r="G36" i="3"/>
  <c r="E14" i="2" s="1"/>
  <c r="F36" i="3"/>
  <c r="D14" i="2" s="1"/>
  <c r="E36" i="3"/>
  <c r="E7" i="2" s="1"/>
  <c r="D36" i="3"/>
  <c r="E142" i="2"/>
  <c r="D142" i="2"/>
  <c r="E128" i="2"/>
  <c r="D128" i="2"/>
  <c r="E118" i="2"/>
  <c r="D118" i="2"/>
  <c r="AI35" i="3"/>
  <c r="E111" i="2" s="1"/>
  <c r="AH35" i="3"/>
  <c r="D111" i="2" s="1"/>
  <c r="E104" i="2"/>
  <c r="D104" i="2"/>
  <c r="E69" i="2"/>
  <c r="D69" i="2"/>
  <c r="U35" i="3"/>
  <c r="E62" i="2" s="1"/>
  <c r="T35" i="3"/>
  <c r="D62" i="2" s="1"/>
  <c r="E55" i="2"/>
  <c r="D55" i="2"/>
  <c r="E41" i="2"/>
  <c r="D41" i="2"/>
  <c r="M35" i="3"/>
  <c r="E34" i="2" s="1"/>
  <c r="K35" i="3"/>
  <c r="E27" i="2" s="1"/>
  <c r="J35" i="3"/>
  <c r="D27" i="2" s="1"/>
  <c r="I35" i="3"/>
  <c r="E20" i="2" s="1"/>
  <c r="H35" i="3"/>
  <c r="D20" i="2" s="1"/>
  <c r="G35" i="3"/>
  <c r="E13" i="2" s="1"/>
  <c r="F35" i="3"/>
  <c r="D13" i="2" s="1"/>
  <c r="E35" i="3"/>
  <c r="E6" i="2" s="1"/>
  <c r="D35" i="3"/>
  <c r="D6" i="2" s="1"/>
  <c r="BG34" i="3"/>
  <c r="E200" i="2" s="1"/>
  <c r="BF34" i="3"/>
  <c r="D200" i="2" s="1"/>
  <c r="E141" i="2"/>
  <c r="E127" i="2"/>
  <c r="D127" i="2"/>
  <c r="E117" i="2"/>
  <c r="E126" i="2" s="1"/>
  <c r="D117" i="2"/>
  <c r="AI34" i="3"/>
  <c r="E110" i="2" s="1"/>
  <c r="AH34" i="3"/>
  <c r="D110" i="2" s="1"/>
  <c r="E68" i="2"/>
  <c r="D68" i="2"/>
  <c r="U34" i="3"/>
  <c r="D54" i="2"/>
  <c r="M34" i="3"/>
  <c r="K34" i="3"/>
  <c r="J34" i="3"/>
  <c r="D26" i="2" s="1"/>
  <c r="I34" i="3"/>
  <c r="H34" i="3"/>
  <c r="G34" i="3"/>
  <c r="F34" i="3"/>
  <c r="E34" i="3"/>
  <c r="D34" i="3"/>
  <c r="D5" i="2" s="1"/>
  <c r="S35" i="4" l="1"/>
  <c r="S36" i="4"/>
  <c r="D126" i="2"/>
  <c r="K35" i="4"/>
  <c r="J232" i="2"/>
  <c r="I232" i="2"/>
  <c r="J235" i="2"/>
  <c r="I236" i="2"/>
  <c r="I234" i="2"/>
  <c r="J234" i="2"/>
  <c r="J236" i="2"/>
  <c r="J35" i="4"/>
  <c r="Y35" i="4"/>
  <c r="V35" i="4"/>
  <c r="X35" i="4"/>
  <c r="X37" i="4" s="1"/>
  <c r="X36" i="4"/>
  <c r="Q35" i="4"/>
  <c r="Q37" i="4" s="1"/>
  <c r="AB35" i="4"/>
  <c r="AB37" i="4" s="1"/>
  <c r="AA36" i="4"/>
  <c r="Z35" i="4"/>
  <c r="AB36" i="4"/>
  <c r="AA35" i="4"/>
  <c r="AA37" i="4" s="1"/>
  <c r="AC35" i="4"/>
  <c r="Y36" i="4"/>
  <c r="Z36" i="4"/>
  <c r="Q36" i="4"/>
  <c r="AC36" i="4"/>
  <c r="Y34" i="4"/>
  <c r="Y39" i="4" s="1"/>
  <c r="Y33" i="4"/>
  <c r="AA33" i="4"/>
  <c r="AA34" i="4"/>
  <c r="AA39" i="4" s="1"/>
  <c r="AB33" i="4"/>
  <c r="AC34" i="4"/>
  <c r="AC39" i="4" s="1"/>
  <c r="AB34" i="4"/>
  <c r="AB39" i="4" s="1"/>
  <c r="E202" i="2"/>
  <c r="BG43" i="3"/>
  <c r="AC33" i="4"/>
  <c r="Z33" i="4"/>
  <c r="Z34" i="4"/>
  <c r="Z39" i="4" s="1"/>
  <c r="D204" i="2"/>
  <c r="D206" i="2" s="1"/>
  <c r="BF43" i="3"/>
  <c r="T35" i="4"/>
  <c r="T37" i="4" s="1"/>
  <c r="N35" i="4"/>
  <c r="N37" i="4" s="1"/>
  <c r="O35" i="4"/>
  <c r="M35" i="4"/>
  <c r="M37" i="4" s="1"/>
  <c r="R35" i="4"/>
  <c r="R37" i="4" s="1"/>
  <c r="S37" i="4"/>
  <c r="W35" i="4"/>
  <c r="P35" i="4"/>
  <c r="L35" i="4"/>
  <c r="L37" i="4" s="1"/>
  <c r="C35" i="4"/>
  <c r="X33" i="4"/>
  <c r="X34" i="4"/>
  <c r="Q34" i="4"/>
  <c r="Q39" i="4" s="1"/>
  <c r="Q33" i="4"/>
  <c r="E109" i="2"/>
  <c r="E35" i="4"/>
  <c r="E37" i="4" s="1"/>
  <c r="F35" i="4"/>
  <c r="C34" i="4"/>
  <c r="C33" i="4"/>
  <c r="D7" i="2"/>
  <c r="I233" i="2" s="1"/>
  <c r="D43" i="3"/>
  <c r="E36" i="4"/>
  <c r="D36" i="4"/>
  <c r="J36" i="4"/>
  <c r="C36" i="4"/>
  <c r="M36" i="4"/>
  <c r="J34" i="4"/>
  <c r="J39" i="4" s="1"/>
  <c r="J33" i="4"/>
  <c r="D60" i="2"/>
  <c r="M34" i="4"/>
  <c r="M39" i="4" s="1"/>
  <c r="M33" i="4"/>
  <c r="I24" i="2"/>
  <c r="K24" i="2" s="1"/>
  <c r="G24" i="2"/>
  <c r="J24" i="2" s="1"/>
  <c r="D12" i="2"/>
  <c r="F43" i="3"/>
  <c r="E12" i="2"/>
  <c r="E18" i="2" s="1"/>
  <c r="G43" i="3"/>
  <c r="D33" i="4"/>
  <c r="E5" i="2"/>
  <c r="E11" i="2" s="1"/>
  <c r="E43" i="3"/>
  <c r="D147" i="2"/>
  <c r="I43" i="3"/>
  <c r="E33" i="4"/>
  <c r="D19" i="2"/>
  <c r="H43" i="3"/>
  <c r="E34" i="4"/>
  <c r="E39" i="4" s="1"/>
  <c r="L36" i="4"/>
  <c r="E61" i="2"/>
  <c r="E67" i="2" s="1"/>
  <c r="U43" i="3"/>
  <c r="E70" i="2"/>
  <c r="E74" i="2" s="1"/>
  <c r="L33" i="4"/>
  <c r="L34" i="4"/>
  <c r="L39" i="4" s="1"/>
  <c r="V43" i="3"/>
  <c r="W43" i="3"/>
  <c r="D74" i="2"/>
  <c r="U36" i="4"/>
  <c r="T36" i="4"/>
  <c r="I203" i="2"/>
  <c r="G203" i="2"/>
  <c r="J203" i="2" s="1"/>
  <c r="L203" i="2" s="1"/>
  <c r="I201" i="2"/>
  <c r="G201" i="2"/>
  <c r="J201" i="2" s="1"/>
  <c r="L201" i="2" s="1"/>
  <c r="G205" i="2"/>
  <c r="J205" i="2" s="1"/>
  <c r="L205" i="2" s="1"/>
  <c r="I205" i="2"/>
  <c r="I170" i="2"/>
  <c r="G170" i="2"/>
  <c r="J170" i="2" s="1"/>
  <c r="L170" i="2" s="1"/>
  <c r="G145" i="2"/>
  <c r="J145" i="2" s="1"/>
  <c r="L145" i="2" s="1"/>
  <c r="I145" i="2"/>
  <c r="I143" i="2"/>
  <c r="G143" i="2"/>
  <c r="J143" i="2" s="1"/>
  <c r="L143" i="2" s="1"/>
  <c r="I142" i="2"/>
  <c r="G142" i="2"/>
  <c r="J142" i="2" s="1"/>
  <c r="L142" i="2" s="1"/>
  <c r="I144" i="2"/>
  <c r="G144" i="2"/>
  <c r="J144" i="2" s="1"/>
  <c r="L144" i="2" s="1"/>
  <c r="G146" i="2"/>
  <c r="J146" i="2" s="1"/>
  <c r="L146" i="2" s="1"/>
  <c r="I146" i="2"/>
  <c r="G169" i="2"/>
  <c r="J169" i="2" s="1"/>
  <c r="L169" i="2" s="1"/>
  <c r="I169" i="2"/>
  <c r="G166" i="2"/>
  <c r="J166" i="2" s="1"/>
  <c r="L166" i="2" s="1"/>
  <c r="I166" i="2"/>
  <c r="G167" i="2"/>
  <c r="J167" i="2" s="1"/>
  <c r="L167" i="2" s="1"/>
  <c r="I167" i="2"/>
  <c r="G165" i="2"/>
  <c r="I165" i="2"/>
  <c r="I168" i="2"/>
  <c r="G168" i="2"/>
  <c r="J168" i="2" s="1"/>
  <c r="L168" i="2" s="1"/>
  <c r="I141" i="2"/>
  <c r="G141" i="2"/>
  <c r="J141" i="2" s="1"/>
  <c r="W141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6" i="4"/>
  <c r="O36" i="4"/>
  <c r="R36" i="4"/>
  <c r="V36" i="4"/>
  <c r="W36" i="4"/>
  <c r="N36" i="4"/>
  <c r="K36" i="4"/>
  <c r="F36" i="4"/>
  <c r="N34" i="4"/>
  <c r="N39" i="4" s="1"/>
  <c r="G128" i="2"/>
  <c r="J128" i="2" s="1"/>
  <c r="W128" i="2" s="1"/>
  <c r="I128" i="2"/>
  <c r="I131" i="2"/>
  <c r="G131" i="2"/>
  <c r="J131" i="2" s="1"/>
  <c r="L131" i="2" s="1"/>
  <c r="I129" i="2"/>
  <c r="G129" i="2"/>
  <c r="J129" i="2" s="1"/>
  <c r="L129" i="2" s="1"/>
  <c r="I127" i="2"/>
  <c r="G127" i="2"/>
  <c r="D133" i="2"/>
  <c r="I130" i="2"/>
  <c r="G130" i="2"/>
  <c r="J130" i="2" s="1"/>
  <c r="L130" i="2" s="1"/>
  <c r="E133" i="2"/>
  <c r="I132" i="2"/>
  <c r="G132" i="2"/>
  <c r="J132" i="2" s="1"/>
  <c r="L132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43" i="3"/>
  <c r="Q43" i="3"/>
  <c r="D116" i="2"/>
  <c r="AH43" i="3"/>
  <c r="T43" i="3"/>
  <c r="E82" i="2"/>
  <c r="E88" i="2" s="1"/>
  <c r="AA43" i="3"/>
  <c r="D40" i="2"/>
  <c r="N43" i="3"/>
  <c r="E116" i="2"/>
  <c r="AI43" i="3"/>
  <c r="AP43" i="3"/>
  <c r="AB43" i="3"/>
  <c r="D32" i="2"/>
  <c r="J43" i="3"/>
  <c r="E40" i="2"/>
  <c r="E46" i="2" s="1"/>
  <c r="O43" i="3"/>
  <c r="E54" i="2"/>
  <c r="I54" i="2" s="1"/>
  <c r="D103" i="2"/>
  <c r="D109" i="2" s="1"/>
  <c r="AJ43" i="3"/>
  <c r="E147" i="2"/>
  <c r="AQ43" i="3"/>
  <c r="AC43" i="3"/>
  <c r="E134" i="2"/>
  <c r="E140" i="2" s="1"/>
  <c r="AO43" i="3"/>
  <c r="AD43" i="3"/>
  <c r="AL43" i="3"/>
  <c r="AS43" i="3"/>
  <c r="E19" i="2"/>
  <c r="AE43" i="3"/>
  <c r="AM43" i="3"/>
  <c r="D33" i="2"/>
  <c r="L43" i="3"/>
  <c r="E26" i="2"/>
  <c r="E32" i="2" s="1"/>
  <c r="K43" i="3"/>
  <c r="P43" i="3"/>
  <c r="AK43" i="3"/>
  <c r="AR43" i="3"/>
  <c r="D82" i="2"/>
  <c r="D88" i="2" s="1"/>
  <c r="Z43" i="3"/>
  <c r="D134" i="2"/>
  <c r="D140" i="2" s="1"/>
  <c r="AN43" i="3"/>
  <c r="K34" i="4"/>
  <c r="K39" i="4" s="1"/>
  <c r="K33" i="4"/>
  <c r="U37" i="4"/>
  <c r="AD5" i="4"/>
  <c r="AD6" i="4"/>
  <c r="AD7" i="4"/>
  <c r="AD8" i="4"/>
  <c r="AD15" i="4"/>
  <c r="AD17" i="4"/>
  <c r="AD18" i="4"/>
  <c r="AD19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7" i="4"/>
  <c r="D18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5" i="4"/>
  <c r="I35" i="4" s="1"/>
  <c r="I66" i="2"/>
  <c r="M66" i="2" s="1"/>
  <c r="O34" i="4"/>
  <c r="U34" i="4"/>
  <c r="U39" i="4" s="1"/>
  <c r="W34" i="4"/>
  <c r="W39" i="4" s="1"/>
  <c r="S34" i="4"/>
  <c r="S39" i="4" s="1"/>
  <c r="F34" i="4"/>
  <c r="F39" i="4" s="1"/>
  <c r="T34" i="4"/>
  <c r="T39" i="4" s="1"/>
  <c r="V34" i="4"/>
  <c r="V39" i="4" s="1"/>
  <c r="P34" i="4"/>
  <c r="P39" i="4" s="1"/>
  <c r="R34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5" i="4"/>
  <c r="H35" i="4" s="1"/>
  <c r="G6" i="4"/>
  <c r="G7" i="4"/>
  <c r="G8" i="4"/>
  <c r="G10" i="4"/>
  <c r="G15" i="4"/>
  <c r="G35" i="4" s="1"/>
  <c r="G5" i="4"/>
  <c r="D243" i="2"/>
  <c r="G71" i="2"/>
  <c r="J71" i="2" s="1"/>
  <c r="L71" i="2" s="1"/>
  <c r="D236" i="2"/>
  <c r="E236" i="2" s="1"/>
  <c r="I8" i="2"/>
  <c r="G85" i="2"/>
  <c r="J85" i="2" s="1"/>
  <c r="L85" i="2" s="1"/>
  <c r="I71" i="2"/>
  <c r="I10" i="2"/>
  <c r="G73" i="2"/>
  <c r="J73" i="2" s="1"/>
  <c r="L73" i="2" s="1"/>
  <c r="I73" i="2"/>
  <c r="F236" i="2"/>
  <c r="G236" i="2" s="1"/>
  <c r="D232" i="2"/>
  <c r="E232" i="2" s="1"/>
  <c r="P33" i="4"/>
  <c r="G8" i="2"/>
  <c r="J8" i="2" s="1"/>
  <c r="D233" i="2"/>
  <c r="E233" i="2" s="1"/>
  <c r="N33" i="4"/>
  <c r="I83" i="2"/>
  <c r="M83" i="2" s="1"/>
  <c r="G83" i="2"/>
  <c r="J83" i="2" s="1"/>
  <c r="F33" i="4"/>
  <c r="G10" i="2"/>
  <c r="J10" i="2" s="1"/>
  <c r="I69" i="2"/>
  <c r="M69" i="2" s="1"/>
  <c r="G72" i="2"/>
  <c r="J72" i="2" s="1"/>
  <c r="L72" i="2" s="1"/>
  <c r="I161" i="2"/>
  <c r="M161" i="2" s="1"/>
  <c r="G161" i="2"/>
  <c r="J161" i="2" s="1"/>
  <c r="I159" i="2"/>
  <c r="M159" i="2" s="1"/>
  <c r="G159" i="2"/>
  <c r="J159" i="2" s="1"/>
  <c r="W159" i="2" s="1"/>
  <c r="I163" i="2"/>
  <c r="M163" i="2" s="1"/>
  <c r="G163" i="2"/>
  <c r="J163" i="2" s="1"/>
  <c r="I162" i="2"/>
  <c r="M162" i="2" s="1"/>
  <c r="G162" i="2"/>
  <c r="J162" i="2" s="1"/>
  <c r="D231" i="2"/>
  <c r="F232" i="2"/>
  <c r="G232" i="2" s="1"/>
  <c r="G233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33" i="4"/>
  <c r="I87" i="2"/>
  <c r="M87" i="2" s="1"/>
  <c r="G87" i="2"/>
  <c r="J87" i="2" s="1"/>
  <c r="L87" i="2" s="1"/>
  <c r="I85" i="2"/>
  <c r="M85" i="2" s="1"/>
  <c r="B22" i="13"/>
  <c r="B29" i="13"/>
  <c r="B15" i="13"/>
  <c r="B14" i="13"/>
  <c r="W33" i="4"/>
  <c r="V33" i="4"/>
  <c r="B23" i="13"/>
  <c r="F231" i="2"/>
  <c r="F235" i="2"/>
  <c r="G234" i="2"/>
  <c r="D234" i="2"/>
  <c r="E234" i="2" s="1"/>
  <c r="D235" i="2"/>
  <c r="I137" i="2"/>
  <c r="M137" i="2" s="1"/>
  <c r="G137" i="2"/>
  <c r="U33" i="4"/>
  <c r="G135" i="2"/>
  <c r="I135" i="2"/>
  <c r="M135" i="2" s="1"/>
  <c r="G136" i="2"/>
  <c r="I136" i="2"/>
  <c r="M136" i="2" s="1"/>
  <c r="G138" i="2"/>
  <c r="J138" i="2" s="1"/>
  <c r="L138" i="2" s="1"/>
  <c r="I138" i="2"/>
  <c r="M138" i="2" s="1"/>
  <c r="T33" i="4"/>
  <c r="S33" i="4"/>
  <c r="R33" i="4"/>
  <c r="W151" i="2" l="1"/>
  <c r="W153" i="2"/>
  <c r="W149" i="2"/>
  <c r="W148" i="2"/>
  <c r="W150" i="2"/>
  <c r="W152" i="2"/>
  <c r="G123" i="2"/>
  <c r="J123" i="2" s="1"/>
  <c r="L123" i="2" s="1"/>
  <c r="I123" i="2"/>
  <c r="I126" i="2" s="1"/>
  <c r="J117" i="2"/>
  <c r="L64" i="2"/>
  <c r="W64" i="2"/>
  <c r="L84" i="2"/>
  <c r="W84" i="2"/>
  <c r="I235" i="2"/>
  <c r="K235" i="2" s="1"/>
  <c r="J233" i="2"/>
  <c r="I231" i="2"/>
  <c r="E25" i="2"/>
  <c r="J231" i="2"/>
  <c r="F37" i="4"/>
  <c r="K37" i="4"/>
  <c r="L114" i="2"/>
  <c r="W114" i="2"/>
  <c r="L115" i="2"/>
  <c r="W115" i="2"/>
  <c r="L113" i="2"/>
  <c r="W113" i="2"/>
  <c r="L112" i="2"/>
  <c r="W112" i="2"/>
  <c r="AD36" i="4"/>
  <c r="AD35" i="4"/>
  <c r="G204" i="2"/>
  <c r="J204" i="2" s="1"/>
  <c r="L204" i="2" s="1"/>
  <c r="E206" i="2"/>
  <c r="H31" i="13" s="1"/>
  <c r="G202" i="2"/>
  <c r="I202" i="2"/>
  <c r="M202" i="2" s="1"/>
  <c r="AD34" i="4"/>
  <c r="AD39" i="4" s="1"/>
  <c r="AD33" i="4"/>
  <c r="I204" i="2"/>
  <c r="K204" i="2" s="1"/>
  <c r="I171" i="2"/>
  <c r="G171" i="2"/>
  <c r="L105" i="2"/>
  <c r="L111" i="2"/>
  <c r="L106" i="2"/>
  <c r="G7" i="2"/>
  <c r="J7" i="2" s="1"/>
  <c r="L7" i="2" s="1"/>
  <c r="F238" i="2"/>
  <c r="D11" i="2"/>
  <c r="I7" i="2"/>
  <c r="K7" i="2" s="1"/>
  <c r="D35" i="4"/>
  <c r="D37" i="4" s="1"/>
  <c r="E231" i="2"/>
  <c r="D238" i="2"/>
  <c r="D6" i="11" s="1"/>
  <c r="L128" i="2"/>
  <c r="H7" i="13"/>
  <c r="H12" i="13"/>
  <c r="H19" i="13"/>
  <c r="H15" i="13"/>
  <c r="H18" i="13"/>
  <c r="H22" i="13"/>
  <c r="H13" i="13"/>
  <c r="H23" i="13"/>
  <c r="H21" i="13"/>
  <c r="L118" i="2"/>
  <c r="W118" i="2"/>
  <c r="K234" i="2"/>
  <c r="L234" i="2" s="1"/>
  <c r="M234" i="2"/>
  <c r="N234" i="2" s="1"/>
  <c r="D18" i="2"/>
  <c r="H5" i="13" s="1"/>
  <c r="K232" i="2"/>
  <c r="L232" i="2" s="1"/>
  <c r="M232" i="2"/>
  <c r="N232" i="2" s="1"/>
  <c r="M236" i="2"/>
  <c r="N236" i="2" s="1"/>
  <c r="K236" i="2"/>
  <c r="L236" i="2" s="1"/>
  <c r="L117" i="2"/>
  <c r="G54" i="2"/>
  <c r="G60" i="2" s="1"/>
  <c r="E60" i="2"/>
  <c r="H11" i="13" s="1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7" i="2" s="1"/>
  <c r="A134" i="2" s="1"/>
  <c r="A141" i="2" s="1"/>
  <c r="I12" i="2"/>
  <c r="I18" i="2" s="1"/>
  <c r="G12" i="2"/>
  <c r="J12" i="2" s="1"/>
  <c r="W12" i="2" s="1"/>
  <c r="L141" i="2"/>
  <c r="G200" i="2"/>
  <c r="L24" i="2"/>
  <c r="W24" i="2"/>
  <c r="M24" i="2"/>
  <c r="I200" i="2"/>
  <c r="D34" i="4"/>
  <c r="D39" i="4" s="1"/>
  <c r="G231" i="2"/>
  <c r="G70" i="2"/>
  <c r="J70" i="2" s="1"/>
  <c r="W70" i="2" s="1"/>
  <c r="I70" i="2"/>
  <c r="K70" i="2" s="1"/>
  <c r="J165" i="2"/>
  <c r="J171" i="2" s="1"/>
  <c r="I34" i="4"/>
  <c r="I39" i="4" s="1"/>
  <c r="W201" i="2"/>
  <c r="AF35" i="4" s="1"/>
  <c r="L20" i="2"/>
  <c r="W20" i="2"/>
  <c r="M205" i="2"/>
  <c r="K205" i="2"/>
  <c r="K201" i="2"/>
  <c r="M201" i="2"/>
  <c r="M203" i="2"/>
  <c r="K203" i="2"/>
  <c r="K141" i="2"/>
  <c r="M141" i="2"/>
  <c r="M146" i="2"/>
  <c r="K146" i="2"/>
  <c r="M168" i="2"/>
  <c r="K168" i="2"/>
  <c r="M142" i="2"/>
  <c r="K142" i="2"/>
  <c r="M165" i="2"/>
  <c r="K165" i="2"/>
  <c r="M143" i="2"/>
  <c r="K143" i="2"/>
  <c r="M167" i="2"/>
  <c r="K167" i="2"/>
  <c r="M145" i="2"/>
  <c r="K145" i="2"/>
  <c r="K166" i="2"/>
  <c r="M166" i="2"/>
  <c r="M169" i="2"/>
  <c r="K169" i="2"/>
  <c r="M144" i="2"/>
  <c r="K144" i="2"/>
  <c r="K170" i="2"/>
  <c r="M170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42" i="2"/>
  <c r="H36" i="4"/>
  <c r="G36" i="4"/>
  <c r="I36" i="4"/>
  <c r="W145" i="2"/>
  <c r="O37" i="4"/>
  <c r="K130" i="2"/>
  <c r="M130" i="2"/>
  <c r="G133" i="2"/>
  <c r="J127" i="2"/>
  <c r="W127" i="2" s="1"/>
  <c r="M127" i="2"/>
  <c r="K127" i="2"/>
  <c r="I133" i="2"/>
  <c r="M129" i="2"/>
  <c r="K129" i="2"/>
  <c r="M131" i="2"/>
  <c r="K131" i="2"/>
  <c r="M132" i="2"/>
  <c r="K132" i="2"/>
  <c r="M128" i="2"/>
  <c r="K128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4" i="2"/>
  <c r="M134" i="2" s="1"/>
  <c r="I82" i="2"/>
  <c r="J62" i="2"/>
  <c r="W62" i="2" s="1"/>
  <c r="G134" i="2"/>
  <c r="J134" i="2" s="1"/>
  <c r="W134" i="2" s="1"/>
  <c r="I40" i="2"/>
  <c r="M40" i="2" s="1"/>
  <c r="D46" i="2"/>
  <c r="I19" i="2"/>
  <c r="M19" i="2" s="1"/>
  <c r="G158" i="2"/>
  <c r="I103" i="2"/>
  <c r="G26" i="2"/>
  <c r="J26" i="2" s="1"/>
  <c r="W26" i="2" s="1"/>
  <c r="I158" i="2"/>
  <c r="I26" i="2"/>
  <c r="M26" i="2" s="1"/>
  <c r="G82" i="2"/>
  <c r="G88" i="2" s="1"/>
  <c r="I160" i="2"/>
  <c r="M160" i="2" s="1"/>
  <c r="G103" i="2"/>
  <c r="H25" i="13"/>
  <c r="D25" i="2"/>
  <c r="I60" i="2"/>
  <c r="G19" i="2"/>
  <c r="J19" i="2" s="1"/>
  <c r="W19" i="2" s="1"/>
  <c r="G160" i="2"/>
  <c r="J160" i="2" s="1"/>
  <c r="W160" i="2" s="1"/>
  <c r="C37" i="4"/>
  <c r="W182" i="2"/>
  <c r="P40" i="4"/>
  <c r="I17" i="13" s="1"/>
  <c r="P37" i="4"/>
  <c r="W130" i="2"/>
  <c r="W174" i="2"/>
  <c r="W91" i="2"/>
  <c r="W163" i="2"/>
  <c r="L163" i="2"/>
  <c r="W161" i="2"/>
  <c r="L161" i="2"/>
  <c r="W94" i="2"/>
  <c r="W183" i="2"/>
  <c r="W184" i="2"/>
  <c r="K73" i="2"/>
  <c r="M73" i="2"/>
  <c r="K8" i="2"/>
  <c r="M8" i="2"/>
  <c r="W143" i="2"/>
  <c r="W146" i="2"/>
  <c r="Z40" i="4"/>
  <c r="I27" i="13" s="1"/>
  <c r="Z37" i="4"/>
  <c r="Y38" i="4"/>
  <c r="Y37" i="4"/>
  <c r="W131" i="2"/>
  <c r="W129" i="2"/>
  <c r="W196" i="2"/>
  <c r="W132" i="2"/>
  <c r="W93" i="2"/>
  <c r="W198" i="2"/>
  <c r="K71" i="2"/>
  <c r="M71" i="2"/>
  <c r="J38" i="4"/>
  <c r="J37" i="4"/>
  <c r="W38" i="4"/>
  <c r="W37" i="4"/>
  <c r="W90" i="2"/>
  <c r="W83" i="2"/>
  <c r="L83" i="2"/>
  <c r="W170" i="2"/>
  <c r="L27" i="2"/>
  <c r="W197" i="2"/>
  <c r="W92" i="2"/>
  <c r="L69" i="2"/>
  <c r="W162" i="2"/>
  <c r="L162" i="2"/>
  <c r="L159" i="2"/>
  <c r="W205" i="2"/>
  <c r="K10" i="2"/>
  <c r="M10" i="2"/>
  <c r="W144" i="2"/>
  <c r="W48" i="2"/>
  <c r="V38" i="4"/>
  <c r="V37" i="4"/>
  <c r="L41" i="2"/>
  <c r="AC40" i="4"/>
  <c r="I30" i="13" s="1"/>
  <c r="AC37" i="4"/>
  <c r="E235" i="2"/>
  <c r="G235" i="2"/>
  <c r="X39" i="4"/>
  <c r="X40" i="4"/>
  <c r="O39" i="4"/>
  <c r="B30" i="13"/>
  <c r="K22" i="2"/>
  <c r="K20" i="2"/>
  <c r="W21" i="2"/>
  <c r="W23" i="2"/>
  <c r="W22" i="2"/>
  <c r="K21" i="2"/>
  <c r="K23" i="2"/>
  <c r="J136" i="2"/>
  <c r="J135" i="2"/>
  <c r="L135" i="2" s="1"/>
  <c r="J137" i="2"/>
  <c r="L137" i="2" s="1"/>
  <c r="K58" i="2"/>
  <c r="K59" i="2"/>
  <c r="K57" i="2"/>
  <c r="K55" i="2"/>
  <c r="K56" i="2"/>
  <c r="G34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33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4" i="4"/>
  <c r="H39" i="4" s="1"/>
  <c r="K106" i="2"/>
  <c r="K105" i="2"/>
  <c r="K108" i="2"/>
  <c r="K107" i="2"/>
  <c r="K104" i="2"/>
  <c r="B17" i="13"/>
  <c r="W138" i="2"/>
  <c r="C240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33" i="4"/>
  <c r="K27" i="2"/>
  <c r="K28" i="2"/>
  <c r="K29" i="2"/>
  <c r="K30" i="2"/>
  <c r="K31" i="2"/>
  <c r="G33" i="4"/>
  <c r="C39" i="4"/>
  <c r="C38" i="4"/>
  <c r="C40" i="4"/>
  <c r="P38" i="4"/>
  <c r="G6" i="2"/>
  <c r="J6" i="2" s="1"/>
  <c r="R40" i="4"/>
  <c r="I19" i="13" s="1"/>
  <c r="R38" i="4"/>
  <c r="Q38" i="4"/>
  <c r="Q40" i="4"/>
  <c r="I18" i="13" s="1"/>
  <c r="N38" i="4"/>
  <c r="N40" i="4"/>
  <c r="I15" i="13" s="1"/>
  <c r="M40" i="4"/>
  <c r="I14" i="13" s="1"/>
  <c r="M38" i="4"/>
  <c r="K69" i="2"/>
  <c r="K38" i="4"/>
  <c r="K40" i="4"/>
  <c r="J40" i="4"/>
  <c r="I11" i="13" s="1"/>
  <c r="Z38" i="4"/>
  <c r="K83" i="2"/>
  <c r="I139" i="2"/>
  <c r="I68" i="2"/>
  <c r="M68" i="2" s="1"/>
  <c r="E40" i="4"/>
  <c r="I6" i="13" s="1"/>
  <c r="E38" i="4"/>
  <c r="K163" i="2"/>
  <c r="K159" i="2"/>
  <c r="X38" i="4"/>
  <c r="K162" i="2"/>
  <c r="K161" i="2"/>
  <c r="L40" i="4"/>
  <c r="I13" i="13" s="1"/>
  <c r="L38" i="4"/>
  <c r="K72" i="2"/>
  <c r="K87" i="2"/>
  <c r="I6" i="2"/>
  <c r="Y40" i="4"/>
  <c r="I26" i="13" s="1"/>
  <c r="F40" i="4"/>
  <c r="F38" i="4"/>
  <c r="K9" i="2"/>
  <c r="H17" i="13"/>
  <c r="O40" i="4"/>
  <c r="O38" i="4"/>
  <c r="G5" i="2"/>
  <c r="I5" i="2"/>
  <c r="G139" i="2"/>
  <c r="K85" i="2"/>
  <c r="K84" i="2"/>
  <c r="G68" i="2"/>
  <c r="K86" i="2"/>
  <c r="W40" i="4"/>
  <c r="I24" i="13" s="1"/>
  <c r="V40" i="4"/>
  <c r="I23" i="13" s="1"/>
  <c r="AC38" i="4"/>
  <c r="AB40" i="4"/>
  <c r="I29" i="13" s="1"/>
  <c r="AB38" i="4"/>
  <c r="H24" i="13"/>
  <c r="AA40" i="4"/>
  <c r="I28" i="13" s="1"/>
  <c r="AA38" i="4"/>
  <c r="C4" i="13"/>
  <c r="U40" i="4"/>
  <c r="I22" i="13" s="1"/>
  <c r="U38" i="4"/>
  <c r="K136" i="2"/>
  <c r="K135" i="2"/>
  <c r="K138" i="2"/>
  <c r="K137" i="2"/>
  <c r="T40" i="4"/>
  <c r="I21" i="13" s="1"/>
  <c r="T38" i="4"/>
  <c r="S40" i="4"/>
  <c r="I20" i="13" s="1"/>
  <c r="S38" i="4"/>
  <c r="R39" i="4"/>
  <c r="A148" i="2" l="1"/>
  <c r="A158" i="2" s="1"/>
  <c r="A165" i="2" s="1"/>
  <c r="A172" i="2" s="1"/>
  <c r="A179" i="2" s="1"/>
  <c r="A186" i="2" s="1"/>
  <c r="W157" i="2"/>
  <c r="J126" i="2"/>
  <c r="G126" i="2"/>
  <c r="L126" i="2"/>
  <c r="H6" i="13"/>
  <c r="W123" i="2"/>
  <c r="W117" i="2"/>
  <c r="M123" i="2"/>
  <c r="M126" i="2" s="1"/>
  <c r="K123" i="2"/>
  <c r="K126" i="2" s="1"/>
  <c r="B36" i="4"/>
  <c r="B33" i="4"/>
  <c r="B34" i="4"/>
  <c r="I7" i="13"/>
  <c r="W116" i="2"/>
  <c r="I12" i="13"/>
  <c r="AF38" i="4"/>
  <c r="AF37" i="4"/>
  <c r="AF40" i="4"/>
  <c r="I33" i="13" s="1"/>
  <c r="B36" i="13"/>
  <c r="W204" i="2"/>
  <c r="K202" i="2"/>
  <c r="AE35" i="4"/>
  <c r="B35" i="4" s="1"/>
  <c r="H9" i="13"/>
  <c r="G39" i="4"/>
  <c r="B39" i="4" s="1"/>
  <c r="H8" i="13"/>
  <c r="M235" i="2"/>
  <c r="N235" i="2" s="1"/>
  <c r="I238" i="2"/>
  <c r="M204" i="2"/>
  <c r="I206" i="2"/>
  <c r="J202" i="2"/>
  <c r="W202" i="2" s="1"/>
  <c r="G206" i="2"/>
  <c r="M7" i="2"/>
  <c r="W7" i="2"/>
  <c r="K171" i="2"/>
  <c r="M171" i="2"/>
  <c r="W25" i="2"/>
  <c r="G238" i="2"/>
  <c r="I243" i="2" s="1"/>
  <c r="E238" i="2"/>
  <c r="F243" i="2" s="1"/>
  <c r="J238" i="2"/>
  <c r="M158" i="2"/>
  <c r="M164" i="2" s="1"/>
  <c r="I164" i="2"/>
  <c r="J158" i="2"/>
  <c r="L158" i="2" s="1"/>
  <c r="G164" i="2"/>
  <c r="M103" i="2"/>
  <c r="M109" i="2" s="1"/>
  <c r="I109" i="2"/>
  <c r="J103" i="2"/>
  <c r="L103" i="2" s="1"/>
  <c r="L109" i="2" s="1"/>
  <c r="G109" i="2"/>
  <c r="L34" i="2"/>
  <c r="W34" i="2"/>
  <c r="L235" i="2"/>
  <c r="I11" i="2"/>
  <c r="H16" i="13"/>
  <c r="H20" i="13"/>
  <c r="J54" i="2"/>
  <c r="J60" i="2" s="1"/>
  <c r="K233" i="2"/>
  <c r="L233" i="2" s="1"/>
  <c r="M233" i="2"/>
  <c r="N233" i="2" s="1"/>
  <c r="M231" i="2"/>
  <c r="K231" i="2"/>
  <c r="M54" i="2"/>
  <c r="M60" i="2" s="1"/>
  <c r="M12" i="2"/>
  <c r="M18" i="2" s="1"/>
  <c r="L12" i="2"/>
  <c r="L18" i="2" s="1"/>
  <c r="K12" i="2"/>
  <c r="K18" i="2" s="1"/>
  <c r="M6" i="2"/>
  <c r="J200" i="2"/>
  <c r="W200" i="2" s="1"/>
  <c r="G18" i="2"/>
  <c r="M200" i="2"/>
  <c r="K200" i="2"/>
  <c r="G11" i="2"/>
  <c r="G74" i="2"/>
  <c r="M70" i="2"/>
  <c r="M74" i="2" s="1"/>
  <c r="L165" i="2"/>
  <c r="L171" i="2" s="1"/>
  <c r="L19" i="2"/>
  <c r="L25" i="2" s="1"/>
  <c r="I74" i="2"/>
  <c r="L70" i="2"/>
  <c r="M5" i="2"/>
  <c r="L134" i="2"/>
  <c r="M82" i="2"/>
  <c r="M88" i="2" s="1"/>
  <c r="I88" i="2"/>
  <c r="W102" i="2"/>
  <c r="L127" i="2"/>
  <c r="L133" i="2" s="1"/>
  <c r="J133" i="2"/>
  <c r="K133" i="2"/>
  <c r="I46" i="2"/>
  <c r="M133" i="2"/>
  <c r="K116" i="2"/>
  <c r="G46" i="2"/>
  <c r="J82" i="2"/>
  <c r="W82" i="2" s="1"/>
  <c r="K54" i="2"/>
  <c r="K60" i="2" s="1"/>
  <c r="K82" i="2"/>
  <c r="K88" i="2" s="1"/>
  <c r="K134" i="2"/>
  <c r="G116" i="2"/>
  <c r="G147" i="2"/>
  <c r="K40" i="2"/>
  <c r="K46" i="2" s="1"/>
  <c r="G32" i="2"/>
  <c r="K19" i="2"/>
  <c r="K25" i="2" s="1"/>
  <c r="L62" i="2"/>
  <c r="I32" i="2"/>
  <c r="G67" i="2"/>
  <c r="I116" i="2"/>
  <c r="K158" i="2"/>
  <c r="K103" i="2"/>
  <c r="K109" i="2" s="1"/>
  <c r="L160" i="2"/>
  <c r="K147" i="2"/>
  <c r="I147" i="2"/>
  <c r="K26" i="2"/>
  <c r="K32" i="2" s="1"/>
  <c r="K160" i="2"/>
  <c r="W195" i="2"/>
  <c r="W199" i="2" s="1"/>
  <c r="W168" i="2"/>
  <c r="W167" i="2"/>
  <c r="W180" i="2"/>
  <c r="M61" i="2"/>
  <c r="M67" i="2" s="1"/>
  <c r="G40" i="4"/>
  <c r="G37" i="4"/>
  <c r="W6" i="2"/>
  <c r="L6" i="2"/>
  <c r="W147" i="2"/>
  <c r="D23" i="13" s="1"/>
  <c r="L147" i="2"/>
  <c r="W175" i="2"/>
  <c r="W176" i="2"/>
  <c r="I38" i="4"/>
  <c r="I37" i="4"/>
  <c r="L40" i="2"/>
  <c r="L46" i="2" s="1"/>
  <c r="W136" i="2"/>
  <c r="L136" i="2"/>
  <c r="W166" i="2"/>
  <c r="W177" i="2"/>
  <c r="AD38" i="4"/>
  <c r="AD37" i="4"/>
  <c r="W181" i="2"/>
  <c r="W13" i="2"/>
  <c r="W95" i="2"/>
  <c r="I140" i="2"/>
  <c r="M139" i="2"/>
  <c r="M140" i="2" s="1"/>
  <c r="W203" i="2"/>
  <c r="W169" i="2"/>
  <c r="W32" i="2"/>
  <c r="D7" i="13" s="1"/>
  <c r="L26" i="2"/>
  <c r="L32" i="2" s="1"/>
  <c r="W173" i="2"/>
  <c r="H40" i="4"/>
  <c r="I9" i="13" s="1"/>
  <c r="H37" i="4"/>
  <c r="L116" i="2"/>
  <c r="I25" i="13"/>
  <c r="I16" i="13"/>
  <c r="AD40" i="4"/>
  <c r="I31" i="13" s="1"/>
  <c r="C5" i="13"/>
  <c r="W122" i="2"/>
  <c r="W119" i="2"/>
  <c r="W120" i="2"/>
  <c r="J139" i="2"/>
  <c r="W137" i="2"/>
  <c r="W135" i="2"/>
  <c r="W121" i="2"/>
  <c r="D40" i="4"/>
  <c r="D38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40" i="4"/>
  <c r="I10" i="13" s="1"/>
  <c r="W66" i="2"/>
  <c r="K61" i="2"/>
  <c r="K67" i="2" s="1"/>
  <c r="H38" i="4"/>
  <c r="G38" i="4"/>
  <c r="J147" i="2"/>
  <c r="W45" i="2"/>
  <c r="W51" i="2"/>
  <c r="W59" i="2"/>
  <c r="W43" i="2"/>
  <c r="W52" i="2"/>
  <c r="J32" i="2"/>
  <c r="M32" i="2"/>
  <c r="B244" i="2"/>
  <c r="C244" i="2"/>
  <c r="H4" i="13"/>
  <c r="I4" i="13"/>
  <c r="J25" i="2"/>
  <c r="I25" i="2"/>
  <c r="M25" i="2"/>
  <c r="K139" i="2"/>
  <c r="G25" i="2"/>
  <c r="K68" i="2"/>
  <c r="K74" i="2" s="1"/>
  <c r="G140" i="2"/>
  <c r="K6" i="2"/>
  <c r="J68" i="2"/>
  <c r="J5" i="2"/>
  <c r="W5" i="2" s="1"/>
  <c r="M147" i="2"/>
  <c r="K5" i="2"/>
  <c r="J18" i="2"/>
  <c r="D7" i="11"/>
  <c r="G243" i="2"/>
  <c r="W126" i="2" l="1"/>
  <c r="D17" i="13"/>
  <c r="O102" i="2"/>
  <c r="F17" i="13" s="1"/>
  <c r="D16" i="13"/>
  <c r="O95" i="2"/>
  <c r="D19" i="13"/>
  <c r="O116" i="2"/>
  <c r="F19" i="13" s="1"/>
  <c r="K206" i="2"/>
  <c r="W185" i="2"/>
  <c r="W178" i="2"/>
  <c r="O178" i="2" s="1"/>
  <c r="F27" i="13" s="1"/>
  <c r="AE40" i="4"/>
  <c r="I32" i="13" s="1"/>
  <c r="AE38" i="4"/>
  <c r="B38" i="4" s="1"/>
  <c r="AE37" i="4"/>
  <c r="B37" i="4" s="1"/>
  <c r="I8" i="13"/>
  <c r="W206" i="2"/>
  <c r="D31" i="13" s="1"/>
  <c r="M206" i="2"/>
  <c r="L202" i="2"/>
  <c r="J206" i="2"/>
  <c r="W171" i="2"/>
  <c r="O171" i="2" s="1"/>
  <c r="F26" i="13" s="1"/>
  <c r="K164" i="2"/>
  <c r="W68" i="2"/>
  <c r="J74" i="2"/>
  <c r="H36" i="13"/>
  <c r="K238" i="2"/>
  <c r="M238" i="2"/>
  <c r="L164" i="2"/>
  <c r="W158" i="2"/>
  <c r="W164" i="2" s="1"/>
  <c r="O164" i="2" s="1"/>
  <c r="F25" i="13" s="1"/>
  <c r="J164" i="2"/>
  <c r="W103" i="2"/>
  <c r="W109" i="2" s="1"/>
  <c r="D18" i="13" s="1"/>
  <c r="J109" i="2"/>
  <c r="W11" i="2"/>
  <c r="W54" i="2"/>
  <c r="L54" i="2"/>
  <c r="L60" i="2" s="1"/>
  <c r="N231" i="2"/>
  <c r="N238" i="2" s="1"/>
  <c r="L231" i="2"/>
  <c r="L238" i="2" s="1"/>
  <c r="I5" i="13"/>
  <c r="M11" i="2"/>
  <c r="J11" i="2"/>
  <c r="W18" i="2"/>
  <c r="L200" i="2"/>
  <c r="A193" i="2"/>
  <c r="A200" i="2" s="1"/>
  <c r="A207" i="2" s="1"/>
  <c r="A214" i="2" s="1"/>
  <c r="A221" i="2" s="1"/>
  <c r="J88" i="2"/>
  <c r="K11" i="2"/>
  <c r="D30" i="13"/>
  <c r="D9" i="11"/>
  <c r="D8" i="11"/>
  <c r="W81" i="2"/>
  <c r="L82" i="2"/>
  <c r="L88" i="2" s="1"/>
  <c r="K140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L61" i="2"/>
  <c r="L67" i="2" s="1"/>
  <c r="J67" i="2"/>
  <c r="O199" i="2"/>
  <c r="F30" i="13" s="1"/>
  <c r="W133" i="2"/>
  <c r="L68" i="2"/>
  <c r="L74" i="2" s="1"/>
  <c r="J140" i="2"/>
  <c r="L139" i="2"/>
  <c r="L140" i="2" s="1"/>
  <c r="L5" i="2"/>
  <c r="L11" i="2" s="1"/>
  <c r="W39" i="2"/>
  <c r="L33" i="2"/>
  <c r="L39" i="2" s="1"/>
  <c r="D6" i="13"/>
  <c r="W139" i="2"/>
  <c r="W140" i="2" s="1"/>
  <c r="M39" i="2"/>
  <c r="J39" i="2"/>
  <c r="K39" i="2"/>
  <c r="W56" i="2"/>
  <c r="O32" i="2"/>
  <c r="F7" i="13" s="1"/>
  <c r="O147" i="2"/>
  <c r="F23" i="13" s="1"/>
  <c r="W53" i="2"/>
  <c r="W42" i="2"/>
  <c r="W46" i="2" s="1"/>
  <c r="O25" i="2"/>
  <c r="F6" i="13" s="1"/>
  <c r="D244" i="2"/>
  <c r="B40" i="4" l="1"/>
  <c r="D28" i="13"/>
  <c r="D22" i="13"/>
  <c r="I36" i="13"/>
  <c r="D9" i="13"/>
  <c r="O53" i="2"/>
  <c r="D8" i="13"/>
  <c r="C32" i="13"/>
  <c r="C33" i="13" s="1"/>
  <c r="L206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3" i="2"/>
  <c r="F21" i="13" s="1"/>
  <c r="W67" i="2"/>
  <c r="O67" i="2" s="1"/>
  <c r="F12" i="13" s="1"/>
  <c r="D5" i="13"/>
  <c r="O206" i="2"/>
  <c r="F31" i="13" s="1"/>
  <c r="D26" i="13"/>
  <c r="D27" i="13"/>
  <c r="O185" i="2"/>
  <c r="F28" i="13" s="1"/>
  <c r="D4" i="13"/>
  <c r="D20" i="13"/>
  <c r="O126" i="2"/>
  <c r="F20" i="13" s="1"/>
  <c r="O39" i="2"/>
  <c r="F8" i="13" s="1"/>
  <c r="O140" i="2"/>
  <c r="F22" i="13" s="1"/>
  <c r="O46" i="2"/>
  <c r="O109" i="2"/>
  <c r="F18" i="13" s="1"/>
  <c r="O11" i="2"/>
  <c r="F4" i="13" s="1"/>
  <c r="G244" i="2"/>
  <c r="F244" i="2"/>
  <c r="I244" i="2"/>
  <c r="W231" i="2" l="1"/>
  <c r="F10" i="13"/>
  <c r="F9" i="13"/>
  <c r="F33" i="13"/>
  <c r="C36" i="13"/>
  <c r="F29" i="13"/>
  <c r="O74" i="2"/>
  <c r="F13" i="13" s="1"/>
  <c r="O88" i="2"/>
  <c r="F15" i="13" s="1"/>
  <c r="D12" i="13"/>
  <c r="D24" i="13"/>
  <c r="F24" i="13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5" i="2"/>
  <c r="C5" i="11" s="1"/>
  <c r="B5" i="11" s="1"/>
  <c r="G240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  <comment ref="Q89" authorId="0" shapeId="0" xr:uid="{9358CD64-554A-46DC-B82E-8FE35594FB4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42032 
Estación El Belloto, vía 1. Servicio 653 XT-26-12 (viaje 20), 656 XT-17-25 (viaje 36) y 657 XT-30-31 (viaje 42) son desacoplados.</t>
        </r>
      </text>
    </comment>
    <comment ref="T90" authorId="0" shapeId="0" xr:uid="{81FFDC27-AFAD-4DBA-82DC-2C64A44B0F1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Incidnete 42091 Estación El Belloto, vía 2. Servicio 651 XT-23-26 (viaje 141), 652 XT-19-17 (viaje 145), 653 XT-20-24 (viaje 149), 654 XT-34-30 (viaje 153) y 655 XT-03-10 (viaje 157) son acoplados para cumplir con oferta de equipos en unidad múltiple</t>
        </r>
      </text>
    </comment>
    <comment ref="Q103" authorId="0" shapeId="0" xr:uid="{EC0FDAF9-D287-4B01-B680-871936C597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42362 Estación El Belloto, vía 2. Servicio 651 XT-25-06 (viaje 141), 652 XT-11-02 (viaje 145), 653 XT-08-03 (viaje 149 y 654 XT-04-27 (viaje 153) son acoplados para cumplir con oferta de equipos en unidad múltiple.</t>
        </r>
      </text>
    </comment>
    <comment ref="T104" authorId="0" shapeId="0" xr:uid="{3F1F2D48-F656-45A4-B090-FD3A7B386A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42221 Estación El Belloto, vía 1. Servicio 655 XT-27-26 (viaje 30), 658 XT-12-13 (viaje 46), 660 XT-02-10</t>
        </r>
      </text>
    </comment>
  </commentList>
</comments>
</file>

<file path=xl/sharedStrings.xml><?xml version="1.0" encoding="utf-8"?>
<sst xmlns="http://schemas.openxmlformats.org/spreadsheetml/2006/main" count="801" uniqueCount="258">
  <si>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</si>
  <si>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</si>
  <si>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</si>
  <si>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</si>
  <si>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</si>
  <si>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</si>
  <si>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</si>
  <si>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</si>
  <si>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</si>
  <si>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</si>
  <si>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</si>
  <si>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</si>
  <si>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</si>
  <si>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</si>
  <si>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</si>
  <si>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</si>
  <si>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</si>
  <si>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</si>
  <si>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</si>
  <si>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</si>
  <si>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</si>
  <si>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</si>
  <si>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</si>
  <si>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</si>
  <si>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</si>
  <si>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</si>
  <si>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</si>
  <si>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</si>
  <si>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</si>
  <si>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</si>
  <si>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</si>
  <si>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</si>
  <si>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</si>
  <si>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</si>
  <si>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</si>
  <si>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</si>
  <si>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</si>
  <si>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</si>
  <si>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</si>
  <si>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</si>
  <si>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</si>
  <si>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</si>
  <si>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</si>
  <si>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</si>
  <si>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</si>
  <si>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</si>
  <si>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</si>
  <si>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</si>
  <si>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</si>
  <si>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</si>
  <si>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</si>
  <si>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</si>
  <si>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</si>
  <si>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</si>
  <si>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</si>
  <si>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</si>
  <si>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</si>
  <si>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</si>
  <si>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</si>
  <si>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</si>
  <si>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</si>
  <si>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</si>
  <si>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</si>
  <si>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</si>
  <si>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</si>
  <si>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</si>
  <si>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</si>
  <si>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</si>
  <si>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</si>
  <si>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</si>
  <si>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</si>
  <si>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</si>
  <si>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</si>
  <si>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</si>
  <si>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</si>
  <si>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</si>
  <si>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</si>
  <si>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</si>
  <si>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</si>
  <si>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</si>
  <si>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</si>
  <si>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</si>
  <si>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</si>
  <si>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</si>
  <si>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</si>
  <si>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</si>
  <si>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</si>
  <si>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</si>
  <si>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</si>
  <si>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</si>
  <si>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</si>
  <si>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</si>
  <si>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</si>
  <si>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</si>
  <si>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</si>
  <si>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</si>
  <si>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</si>
  <si>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</si>
  <si>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</si>
  <si>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</si>
  <si>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</si>
  <si>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</si>
  <si>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</si>
  <si>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</si>
  <si>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</si>
  <si>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</si>
  <si>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</si>
  <si>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</si>
  <si>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</si>
  <si>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</si>
  <si>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</si>
  <si>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</si>
  <si>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</si>
  <si>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</si>
  <si>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</si>
  <si>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</si>
  <si>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</si>
  <si>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</si>
  <si>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</si>
  <si>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</si>
  <si>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</si>
  <si>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</si>
  <si>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</si>
  <si>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</si>
  <si>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</si>
  <si>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</si>
  <si>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</si>
  <si>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</si>
  <si>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</si>
  <si>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</si>
  <si>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</si>
  <si>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</si>
  <si>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</si>
  <si>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</si>
  <si>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</si>
  <si>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</si>
  <si>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</si>
  <si>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</si>
  <si>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</si>
  <si>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</si>
  <si>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</si>
  <si>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</si>
  <si>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</si>
  <si>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</si>
  <si>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</si>
  <si>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</si>
  <si>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</si>
  <si>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</si>
  <si>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</si>
  <si>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</si>
  <si>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</si>
  <si>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</si>
  <si>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</si>
  <si>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</si>
  <si>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</si>
  <si>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</si>
  <si>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</si>
  <si>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</si>
  <si>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</si>
  <si>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</si>
  <si>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</si>
  <si>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</si>
  <si>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</si>
  <si>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</si>
  <si>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</si>
  <si>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</si>
  <si>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</si>
  <si>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</si>
  <si>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</si>
  <si>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</si>
  <si>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</si>
  <si>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</si>
  <si>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</si>
  <si>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</si>
  <si>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</si>
  <si>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</si>
  <si>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</si>
  <si>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</si>
  <si>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</si>
  <si>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</si>
  <si>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</si>
  <si>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</si>
  <si>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</si>
  <si>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</si>
  <si>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</si>
  <si>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</si>
  <si>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MI-LI</t>
  </si>
  <si>
    <t>LI-MI</t>
  </si>
  <si>
    <t>Servicios MI-LI</t>
  </si>
  <si>
    <t>Servicios LI-MI</t>
  </si>
  <si>
    <t>Servicios SA-MI</t>
  </si>
  <si>
    <t>Trenes MI-LI</t>
  </si>
  <si>
    <t>Trenes LI-MI</t>
  </si>
  <si>
    <t>Trenes SA-MI</t>
  </si>
  <si>
    <t>PLANILLA PO INCIDENCIAS POR LLUVIA INTENSA BUCLE LI-MI Y MI-LI</t>
  </si>
  <si>
    <t>PLANILLA PO INCIDENCIAS POR MANTENIMIENTO SECTOR COSTERO  BUCLE LI-MI Y MI-LI</t>
  </si>
  <si>
    <t>XT-1</t>
  </si>
  <si>
    <t>19.96</t>
  </si>
  <si>
    <t>XT-2</t>
  </si>
  <si>
    <t>2.18</t>
  </si>
  <si>
    <t>XT-3</t>
  </si>
  <si>
    <t>0.31</t>
  </si>
  <si>
    <t>XT-4</t>
  </si>
  <si>
    <t>8.48</t>
  </si>
  <si>
    <t>XT-5</t>
  </si>
  <si>
    <t>7.92</t>
  </si>
  <si>
    <t>XT-6</t>
  </si>
  <si>
    <t>XT-7</t>
  </si>
  <si>
    <t>9.57</t>
  </si>
  <si>
    <t>XT-8</t>
  </si>
  <si>
    <t>XT-9</t>
  </si>
  <si>
    <t>6.7</t>
  </si>
  <si>
    <t>XT-10</t>
  </si>
  <si>
    <t>XT-11</t>
  </si>
  <si>
    <t>35.25</t>
  </si>
  <si>
    <t>XT-12</t>
  </si>
  <si>
    <t>6.92</t>
  </si>
  <si>
    <t>XT-13</t>
  </si>
  <si>
    <t>XT-14</t>
  </si>
  <si>
    <t>9.48</t>
  </si>
  <si>
    <t>XT-15</t>
  </si>
  <si>
    <t>XT-16</t>
  </si>
  <si>
    <t>XT-17</t>
  </si>
  <si>
    <t>1.61</t>
  </si>
  <si>
    <t>XT-18</t>
  </si>
  <si>
    <t>0.18</t>
  </si>
  <si>
    <t>XT-19</t>
  </si>
  <si>
    <t>13.06</t>
  </si>
  <si>
    <t>XT-20</t>
  </si>
  <si>
    <t>0.91</t>
  </si>
  <si>
    <t>XT-21</t>
  </si>
  <si>
    <t>1.44</t>
  </si>
  <si>
    <t>XT-22</t>
  </si>
  <si>
    <t>XT-23</t>
  </si>
  <si>
    <t>-15.65</t>
  </si>
  <si>
    <t>XT-24</t>
  </si>
  <si>
    <t>-1.69</t>
  </si>
  <si>
    <t>XT-25</t>
  </si>
  <si>
    <t>4.48</t>
  </si>
  <si>
    <t>XT-26</t>
  </si>
  <si>
    <t>2.31</t>
  </si>
  <si>
    <t>XT-27</t>
  </si>
  <si>
    <t>1.57</t>
  </si>
  <si>
    <t>XT-28</t>
  </si>
  <si>
    <t>4.44</t>
  </si>
  <si>
    <t>XT-29</t>
  </si>
  <si>
    <t>XT-30</t>
  </si>
  <si>
    <t>11.48</t>
  </si>
  <si>
    <t>XT-31</t>
  </si>
  <si>
    <t>3.96</t>
  </si>
  <si>
    <t>XT-32</t>
  </si>
  <si>
    <t>2.7</t>
  </si>
  <si>
    <t>XT-33</t>
  </si>
  <si>
    <t>6.44</t>
  </si>
  <si>
    <t>XT-34</t>
  </si>
  <si>
    <t>2.48</t>
  </si>
  <si>
    <t>XT-35</t>
  </si>
  <si>
    <t>3.22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</si>
</sst>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61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  <font>
      <b/>
      <sz val="8"/>
      <color rgb="FF6E6B7B"/>
      <name val="Helvetica"/>
      <family val="2"/>
    </font>
    <font>
      <b/>
      <sz val="8"/>
      <color rgb="FFFF0000"/>
      <name val="Helvetica"/>
      <family val="2"/>
    </font>
  </fonts>
  <fills count="65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6" tint="0.59999389629810485"/>
        <bgColor indexed="27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9F5C3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EBE9F1"/>
      </left>
      <right style="medium">
        <color rgb="FFEBE9F1"/>
      </right>
      <top style="medium">
        <color rgb="FFEBE9F1"/>
      </top>
      <bottom style="medium">
        <color rgb="FFEBE9F1"/>
      </bottom>
      <diagonal/>
    </border>
    <border>
      <left/>
      <right style="medium">
        <color rgb="FFEBE9F1"/>
      </right>
      <top/>
      <bottom style="medium">
        <color rgb="FFEBE9F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400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49" fillId="0" borderId="0" xfId="2" applyFont="1" applyFill="1" applyAlignment="1">
      <alignment horizontal="center" vertical="center" wrapText="1"/>
    </xf>
    <xf numFmtId="0" fontId="7" fillId="16" borderId="0" xfId="0" applyFont="1" applyFill="1" applyBorder="1" applyAlignment="1" applyProtection="1">
      <alignment horizontal="left"/>
    </xf>
    <xf numFmtId="0" fontId="7" fillId="43" borderId="2" xfId="0" applyFont="1" applyFill="1" applyBorder="1" applyAlignment="1" applyProtection="1">
      <alignment horizontal="center"/>
      <protection locked="0"/>
    </xf>
    <xf numFmtId="0" fontId="7" fillId="59" borderId="78" xfId="0" applyFont="1" applyFill="1" applyBorder="1" applyAlignment="1" applyProtection="1">
      <alignment horizontal="left"/>
    </xf>
    <xf numFmtId="0" fontId="7" fillId="60" borderId="0" xfId="0" applyFont="1" applyFill="1" applyBorder="1" applyAlignment="1"/>
    <xf numFmtId="0" fontId="0" fillId="0" borderId="0" xfId="0" applyAlignment="1">
      <alignment horizontal="center"/>
    </xf>
    <xf numFmtId="0" fontId="3" fillId="43" borderId="14" xfId="6" applyFill="1" applyBorder="1" applyAlignment="1" applyProtection="1">
      <alignment horizontal="center"/>
      <protection locked="0"/>
    </xf>
    <xf numFmtId="0" fontId="3" fillId="43" borderId="66" xfId="6" applyFill="1" applyBorder="1" applyAlignment="1" applyProtection="1">
      <alignment horizontal="center"/>
      <protection locked="0"/>
    </xf>
    <xf numFmtId="0" fontId="49" fillId="0" borderId="0" xfId="2" applyFont="1" applyAlignment="1">
      <alignment vertical="center" wrapText="1"/>
    </xf>
    <xf numFmtId="0" fontId="5" fillId="12" borderId="0" xfId="2" applyFont="1" applyFill="1" applyAlignment="1">
      <alignment horizontal="center"/>
    </xf>
    <xf numFmtId="0" fontId="59" fillId="61" borderId="85" xfId="0" applyFont="1" applyFill="1" applyBorder="1" applyAlignment="1">
      <alignment horizontal="center" vertical="top" wrapText="1"/>
    </xf>
    <xf numFmtId="0" fontId="60" fillId="61" borderId="85" xfId="0" applyFont="1" applyFill="1" applyBorder="1" applyAlignment="1">
      <alignment horizontal="center" vertical="top" wrapText="1"/>
    </xf>
    <xf numFmtId="0" fontId="59" fillId="62" borderId="85" xfId="0" applyFont="1" applyFill="1" applyBorder="1" applyAlignment="1">
      <alignment horizontal="center" vertical="top" wrapText="1"/>
    </xf>
    <xf numFmtId="0" fontId="0" fillId="61" borderId="86" xfId="0" applyFill="1" applyBorder="1"/>
    <xf numFmtId="0" fontId="0" fillId="0" borderId="0" xfId="0" applyAlignment="1">
      <alignment horizontal="center" vertical="center" wrapText="1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63" borderId="87" xfId="0" applyFill="1" applyBorder="1" applyAlignment="1">
      <alignment vertical="center" wrapText="1"/>
    </xf>
    <xf numFmtId="0" fontId="0" fillId="64" borderId="87" xfId="0" applyFill="1" applyBorder="1" applyAlignment="1">
      <alignment vertical="center" wrapText="1"/>
    </xf>
    <xf numFmtId="0" fontId="0" fillId="43" borderId="2" xfId="0" applyFill="1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51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142"/>
  <sheetViews>
    <sheetView zoomScaleNormal="100" workbookViewId="0">
      <selection activeCell="X41" activeCellId="1" sqref="X5:X39 X41:X45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56" t="s">
        <v>0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56"/>
      <c r="Q1" s="356"/>
      <c r="R1" s="356"/>
      <c r="S1" s="356"/>
      <c r="T1" s="356"/>
      <c r="U1" s="356"/>
      <c r="V1" s="356"/>
      <c r="W1" s="356"/>
      <c r="X1" s="356"/>
      <c r="Y1" s="356"/>
      <c r="Z1" s="356"/>
      <c r="AA1" s="356"/>
      <c r="AB1" s="356"/>
      <c r="AC1" s="356"/>
    </row>
    <row r="2" spans="1:34" x14ac:dyDescent="0.25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309">
        <v>2144835</v>
      </c>
      <c r="M5" s="309">
        <v>2144835</v>
      </c>
      <c r="N5" s="309">
        <v>2145082</v>
      </c>
      <c r="O5" s="309">
        <v>2145422</v>
      </c>
      <c r="P5" s="309">
        <v>2145769</v>
      </c>
      <c r="Q5" s="309">
        <v>2145899</v>
      </c>
      <c r="R5" s="309">
        <v>2146252</v>
      </c>
      <c r="S5" s="309">
        <v>2146252</v>
      </c>
      <c r="T5" s="309">
        <v>2146252</v>
      </c>
      <c r="U5" s="309">
        <v>2146305</v>
      </c>
      <c r="V5" s="309">
        <v>2146678</v>
      </c>
      <c r="W5" s="309">
        <v>2147043</v>
      </c>
      <c r="X5" s="224">
        <v>2147275</v>
      </c>
      <c r="Y5" s="309"/>
      <c r="Z5" s="309"/>
      <c r="AA5" s="309"/>
      <c r="AB5" s="309"/>
      <c r="AC5" s="309"/>
      <c r="AD5" s="309"/>
      <c r="AE5" s="309"/>
      <c r="AF5" s="124"/>
      <c r="AG5" s="124"/>
    </row>
    <row r="6" spans="1:34" x14ac:dyDescent="0.25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309">
        <v>2107206</v>
      </c>
      <c r="M6" s="309">
        <v>2107224</v>
      </c>
      <c r="N6" s="309">
        <v>2107590</v>
      </c>
      <c r="O6" s="309">
        <v>2107727</v>
      </c>
      <c r="P6" s="309">
        <v>2107999</v>
      </c>
      <c r="Q6" s="309">
        <v>2108476</v>
      </c>
      <c r="R6" s="309">
        <v>2108653</v>
      </c>
      <c r="S6" s="309">
        <v>2108655</v>
      </c>
      <c r="T6" s="309">
        <v>2108657</v>
      </c>
      <c r="U6" s="309">
        <v>2109177</v>
      </c>
      <c r="V6" s="309">
        <v>2109681</v>
      </c>
      <c r="W6" s="309">
        <v>2110287</v>
      </c>
      <c r="X6" s="224">
        <v>2110895</v>
      </c>
      <c r="Y6" s="309"/>
      <c r="Z6" s="309"/>
      <c r="AA6" s="309"/>
      <c r="AB6" s="309"/>
      <c r="AC6" s="309"/>
      <c r="AD6" s="309"/>
      <c r="AE6" s="309"/>
      <c r="AF6" s="124"/>
      <c r="AG6" s="124"/>
    </row>
    <row r="7" spans="1:34" x14ac:dyDescent="0.25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309">
        <v>2186335</v>
      </c>
      <c r="M7" s="309">
        <v>2186767</v>
      </c>
      <c r="N7" s="309">
        <v>2187287</v>
      </c>
      <c r="O7" s="309">
        <v>2187737</v>
      </c>
      <c r="P7" s="309">
        <v>2187827</v>
      </c>
      <c r="Q7" s="309">
        <v>2187827</v>
      </c>
      <c r="R7" s="309">
        <v>2187827</v>
      </c>
      <c r="S7" s="309">
        <v>2187827</v>
      </c>
      <c r="T7" s="309">
        <v>2187846</v>
      </c>
      <c r="U7" s="309">
        <v>2187846</v>
      </c>
      <c r="V7" s="309">
        <v>2187980</v>
      </c>
      <c r="W7" s="309">
        <v>2188541</v>
      </c>
      <c r="X7" s="224">
        <v>2188741</v>
      </c>
      <c r="Y7" s="309"/>
      <c r="Z7" s="309"/>
      <c r="AA7" s="309"/>
      <c r="AB7" s="309"/>
      <c r="AC7" s="309"/>
      <c r="AD7" s="309"/>
      <c r="AE7" s="309"/>
    </row>
    <row r="8" spans="1:34" x14ac:dyDescent="0.25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309">
        <v>2190719</v>
      </c>
      <c r="M8" s="309">
        <v>2191238</v>
      </c>
      <c r="N8" s="309">
        <v>2191510</v>
      </c>
      <c r="O8" s="309">
        <v>2191761</v>
      </c>
      <c r="P8" s="309">
        <v>2192109</v>
      </c>
      <c r="Q8" s="309">
        <v>2192109</v>
      </c>
      <c r="R8" s="309">
        <v>2192109</v>
      </c>
      <c r="S8" s="309">
        <v>2192678</v>
      </c>
      <c r="T8" s="309">
        <v>2193105</v>
      </c>
      <c r="U8" s="309">
        <v>2193686</v>
      </c>
      <c r="V8" s="309">
        <v>2194103</v>
      </c>
      <c r="W8" s="309">
        <v>2194352</v>
      </c>
      <c r="X8" s="224">
        <v>2194726</v>
      </c>
      <c r="Y8" s="309"/>
      <c r="Z8" s="309"/>
      <c r="AA8" s="309"/>
      <c r="AB8" s="309"/>
      <c r="AC8" s="309"/>
      <c r="AD8" s="309"/>
      <c r="AE8" s="309"/>
    </row>
    <row r="9" spans="1:34" x14ac:dyDescent="0.25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309">
        <v>2107586</v>
      </c>
      <c r="M9" s="309">
        <v>2108017</v>
      </c>
      <c r="N9" s="309">
        <v>2108105</v>
      </c>
      <c r="O9" s="309">
        <v>2108420</v>
      </c>
      <c r="P9" s="309">
        <v>2108851</v>
      </c>
      <c r="Q9" s="309">
        <v>2108851</v>
      </c>
      <c r="R9" s="309">
        <v>2109045</v>
      </c>
      <c r="S9" s="309">
        <v>2109512</v>
      </c>
      <c r="T9" s="309">
        <v>2109987</v>
      </c>
      <c r="U9" s="309">
        <v>2110299</v>
      </c>
      <c r="V9" s="309">
        <v>2110319</v>
      </c>
      <c r="W9" s="309">
        <v>2110451</v>
      </c>
      <c r="X9" s="224">
        <v>2110713</v>
      </c>
      <c r="Y9" s="309"/>
      <c r="Z9" s="309"/>
      <c r="AA9" s="309"/>
      <c r="AB9" s="309"/>
      <c r="AC9" s="309"/>
      <c r="AD9" s="309"/>
      <c r="AE9" s="309"/>
    </row>
    <row r="10" spans="1:34" x14ac:dyDescent="0.25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309">
        <v>2214126</v>
      </c>
      <c r="M10" s="309">
        <v>2214346</v>
      </c>
      <c r="N10" s="309">
        <v>2214907</v>
      </c>
      <c r="O10" s="309">
        <v>2215428</v>
      </c>
      <c r="P10" s="309">
        <v>2215826</v>
      </c>
      <c r="Q10" s="309">
        <v>2216260</v>
      </c>
      <c r="R10" s="309">
        <v>2216260</v>
      </c>
      <c r="S10" s="309">
        <v>2216260</v>
      </c>
      <c r="T10" s="309">
        <v>2216260</v>
      </c>
      <c r="U10" s="309">
        <v>2216260</v>
      </c>
      <c r="V10" s="309">
        <v>2216260</v>
      </c>
      <c r="W10" s="309">
        <v>2216281</v>
      </c>
      <c r="X10" s="224">
        <v>2216485</v>
      </c>
      <c r="Y10" s="309"/>
      <c r="Z10" s="309"/>
      <c r="AA10" s="309"/>
      <c r="AB10" s="309"/>
      <c r="AC10" s="309"/>
      <c r="AD10" s="309"/>
      <c r="AE10" s="309"/>
    </row>
    <row r="11" spans="1:34" x14ac:dyDescent="0.25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309">
        <v>2251905</v>
      </c>
      <c r="M11" s="309">
        <v>2251905</v>
      </c>
      <c r="N11" s="309">
        <v>2252108</v>
      </c>
      <c r="O11" s="309">
        <v>2252291</v>
      </c>
      <c r="P11" s="309">
        <v>2252881</v>
      </c>
      <c r="Q11" s="309">
        <v>2253143</v>
      </c>
      <c r="R11" s="309">
        <v>2253143</v>
      </c>
      <c r="S11" s="309">
        <v>2253231</v>
      </c>
      <c r="T11" s="309">
        <v>2253231</v>
      </c>
      <c r="U11" s="309">
        <v>2253318</v>
      </c>
      <c r="V11" s="309">
        <v>2253743</v>
      </c>
      <c r="W11" s="309">
        <v>2254067</v>
      </c>
      <c r="X11" s="224">
        <v>2254317</v>
      </c>
      <c r="Y11" s="309"/>
      <c r="Z11" s="309"/>
      <c r="AA11" s="309"/>
      <c r="AB11" s="309"/>
      <c r="AC11" s="309"/>
      <c r="AD11" s="309"/>
      <c r="AE11" s="309"/>
    </row>
    <row r="12" spans="1:34" x14ac:dyDescent="0.25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309">
        <v>2148868</v>
      </c>
      <c r="M12" s="309">
        <v>2148868</v>
      </c>
      <c r="N12" s="309">
        <v>2149119</v>
      </c>
      <c r="O12" s="309">
        <v>2149337</v>
      </c>
      <c r="P12" s="309">
        <v>2149695</v>
      </c>
      <c r="Q12" s="309">
        <v>2149695</v>
      </c>
      <c r="R12" s="309">
        <v>2149695</v>
      </c>
      <c r="S12" s="309">
        <v>2149695</v>
      </c>
      <c r="T12" s="309">
        <v>2149695</v>
      </c>
      <c r="U12" s="309">
        <v>2149888</v>
      </c>
      <c r="V12" s="309">
        <v>2149891</v>
      </c>
      <c r="W12" s="309">
        <v>2149896</v>
      </c>
      <c r="X12" s="224">
        <v>2150089</v>
      </c>
      <c r="Y12" s="309"/>
      <c r="Z12" s="309"/>
      <c r="AA12" s="309"/>
      <c r="AB12" s="309"/>
      <c r="AC12" s="309"/>
      <c r="AD12" s="309"/>
      <c r="AE12" s="309"/>
    </row>
    <row r="13" spans="1:34" x14ac:dyDescent="0.25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309">
        <v>2134225</v>
      </c>
      <c r="M13" s="309">
        <v>2134225</v>
      </c>
      <c r="N13" s="309">
        <v>2134429</v>
      </c>
      <c r="O13" s="309">
        <v>2134679</v>
      </c>
      <c r="P13" s="309">
        <v>2134819</v>
      </c>
      <c r="Q13" s="309">
        <v>2134819</v>
      </c>
      <c r="R13" s="309">
        <v>2135004</v>
      </c>
      <c r="S13" s="309">
        <v>2135004</v>
      </c>
      <c r="T13" s="309">
        <v>2135004</v>
      </c>
      <c r="U13" s="309">
        <v>2135004</v>
      </c>
      <c r="V13" s="309">
        <v>2135056</v>
      </c>
      <c r="W13" s="309">
        <v>2135334</v>
      </c>
      <c r="X13" s="224">
        <v>2135583</v>
      </c>
      <c r="Y13" s="309"/>
      <c r="Z13" s="309"/>
      <c r="AA13" s="309"/>
      <c r="AB13" s="309"/>
      <c r="AC13" s="309"/>
      <c r="AD13" s="309"/>
      <c r="AE13" s="309"/>
    </row>
    <row r="14" spans="1:34" x14ac:dyDescent="0.25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309">
        <v>2201547</v>
      </c>
      <c r="M14" s="309">
        <v>2201547</v>
      </c>
      <c r="N14" s="309">
        <v>2201776</v>
      </c>
      <c r="O14" s="309">
        <v>2202326</v>
      </c>
      <c r="P14" s="309">
        <v>2202743</v>
      </c>
      <c r="Q14" s="309">
        <v>2202743</v>
      </c>
      <c r="R14" s="309">
        <v>2202982</v>
      </c>
      <c r="S14" s="309">
        <v>2203500</v>
      </c>
      <c r="T14" s="309">
        <v>2204017</v>
      </c>
      <c r="U14" s="309">
        <v>2204386</v>
      </c>
      <c r="V14" s="309">
        <v>2204478</v>
      </c>
      <c r="W14" s="309">
        <v>2204478</v>
      </c>
      <c r="X14" s="224">
        <v>2204478</v>
      </c>
      <c r="Y14" s="309"/>
      <c r="Z14" s="309"/>
      <c r="AA14" s="309"/>
      <c r="AB14" s="309"/>
      <c r="AC14" s="309"/>
      <c r="AD14" s="309"/>
      <c r="AE14" s="309"/>
    </row>
    <row r="15" spans="1:34" x14ac:dyDescent="0.25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309">
        <v>2230041</v>
      </c>
      <c r="M15" s="309">
        <v>2230041</v>
      </c>
      <c r="N15" s="309">
        <v>2230600</v>
      </c>
      <c r="O15" s="309">
        <v>2230866</v>
      </c>
      <c r="P15" s="309">
        <v>2231470</v>
      </c>
      <c r="Q15" s="309">
        <v>2231947</v>
      </c>
      <c r="R15" s="309">
        <v>2231947</v>
      </c>
      <c r="S15" s="309">
        <v>2231947</v>
      </c>
      <c r="T15" s="309">
        <v>2231947</v>
      </c>
      <c r="U15" s="309">
        <v>2231947</v>
      </c>
      <c r="V15" s="309">
        <v>2231967</v>
      </c>
      <c r="W15" s="309">
        <v>2232247</v>
      </c>
      <c r="X15" s="224">
        <v>2232441</v>
      </c>
      <c r="Y15" s="309"/>
      <c r="Z15" s="309"/>
      <c r="AA15" s="309"/>
      <c r="AB15" s="309"/>
      <c r="AC15" s="309"/>
      <c r="AD15" s="309"/>
      <c r="AE15" s="309"/>
      <c r="AH15" t="s">
        <v>144</v>
      </c>
    </row>
    <row r="16" spans="1:34" x14ac:dyDescent="0.25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309">
        <v>2075630</v>
      </c>
      <c r="M16" s="309">
        <v>2075890</v>
      </c>
      <c r="N16" s="309">
        <v>2076195</v>
      </c>
      <c r="O16" s="309">
        <v>2076801</v>
      </c>
      <c r="P16" s="309">
        <v>2077044</v>
      </c>
      <c r="Q16" s="309">
        <v>2077044</v>
      </c>
      <c r="R16" s="309">
        <v>2077045</v>
      </c>
      <c r="S16" s="309">
        <v>2077045</v>
      </c>
      <c r="T16" s="309">
        <v>2077045</v>
      </c>
      <c r="U16" s="309">
        <v>2077065</v>
      </c>
      <c r="V16" s="309">
        <v>2077046</v>
      </c>
      <c r="W16" s="309">
        <v>2077177</v>
      </c>
      <c r="X16" s="224">
        <v>2077689</v>
      </c>
      <c r="Y16" s="309"/>
      <c r="Z16" s="309"/>
      <c r="AA16" s="309"/>
      <c r="AB16" s="309"/>
      <c r="AC16" s="309"/>
      <c r="AD16" s="309"/>
      <c r="AE16" s="309"/>
    </row>
    <row r="17" spans="1:32" x14ac:dyDescent="0.25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309">
        <v>2179584</v>
      </c>
      <c r="M17" s="309">
        <v>2179584</v>
      </c>
      <c r="N17" s="309">
        <v>2179759</v>
      </c>
      <c r="O17" s="309">
        <v>2180027</v>
      </c>
      <c r="P17" s="309">
        <v>2180586</v>
      </c>
      <c r="Q17" s="309">
        <v>2181103</v>
      </c>
      <c r="R17" s="309">
        <v>2181103</v>
      </c>
      <c r="S17" s="309">
        <v>2181527</v>
      </c>
      <c r="T17" s="309">
        <v>2181527</v>
      </c>
      <c r="U17" s="309">
        <v>2181549</v>
      </c>
      <c r="V17" s="309">
        <v>2181549</v>
      </c>
      <c r="W17" s="309">
        <v>2181593</v>
      </c>
      <c r="X17" s="224">
        <v>2181594</v>
      </c>
      <c r="Y17" s="309"/>
      <c r="Z17" s="309"/>
      <c r="AA17" s="309"/>
      <c r="AB17" s="309"/>
      <c r="AC17" s="309"/>
      <c r="AD17" s="309"/>
      <c r="AE17" s="309"/>
    </row>
    <row r="18" spans="1:32" x14ac:dyDescent="0.25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309">
        <v>2152789</v>
      </c>
      <c r="M18" s="309">
        <v>2152789</v>
      </c>
      <c r="N18" s="309">
        <v>2153106</v>
      </c>
      <c r="O18" s="309">
        <v>2153375</v>
      </c>
      <c r="P18" s="309">
        <v>2153851</v>
      </c>
      <c r="Q18" s="309">
        <v>2154368</v>
      </c>
      <c r="R18" s="309">
        <v>2154368</v>
      </c>
      <c r="S18" s="309">
        <v>2155050</v>
      </c>
      <c r="T18" s="309">
        <v>2155310</v>
      </c>
      <c r="U18" s="309">
        <v>2155310</v>
      </c>
      <c r="V18" s="309">
        <v>2155634</v>
      </c>
      <c r="W18" s="309">
        <v>2155884</v>
      </c>
      <c r="X18" s="224">
        <v>2156471</v>
      </c>
      <c r="Y18" s="309"/>
      <c r="Z18" s="309"/>
      <c r="AA18" s="309"/>
      <c r="AB18" s="309"/>
      <c r="AC18" s="309"/>
      <c r="AD18" s="309"/>
      <c r="AE18" s="309"/>
    </row>
    <row r="19" spans="1:32" x14ac:dyDescent="0.25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309">
        <v>2236752</v>
      </c>
      <c r="M19" s="309">
        <v>2236752</v>
      </c>
      <c r="N19" s="309">
        <v>2236752</v>
      </c>
      <c r="O19" s="309">
        <v>2236752</v>
      </c>
      <c r="P19" s="309">
        <v>2236752</v>
      </c>
      <c r="Q19" s="309">
        <v>2236752</v>
      </c>
      <c r="R19" s="309">
        <v>2236752</v>
      </c>
      <c r="S19" s="309">
        <v>2236752</v>
      </c>
      <c r="T19" s="309">
        <v>2236752</v>
      </c>
      <c r="U19" s="309">
        <v>2236752</v>
      </c>
      <c r="V19" s="309">
        <v>2236752</v>
      </c>
      <c r="W19" s="309">
        <v>2236752</v>
      </c>
      <c r="X19" s="224">
        <v>2236752</v>
      </c>
      <c r="Y19" s="309"/>
      <c r="Z19" s="309"/>
      <c r="AA19" s="309"/>
      <c r="AB19" s="309"/>
      <c r="AC19" s="309"/>
      <c r="AD19" s="309"/>
      <c r="AE19" s="309"/>
    </row>
    <row r="20" spans="1:32" x14ac:dyDescent="0.25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309">
        <v>2209383</v>
      </c>
      <c r="M20" s="309">
        <v>2209771</v>
      </c>
      <c r="N20" s="309">
        <v>2210288</v>
      </c>
      <c r="O20" s="309">
        <v>2210854</v>
      </c>
      <c r="P20" s="309">
        <v>2211415</v>
      </c>
      <c r="Q20" s="309">
        <v>2211681</v>
      </c>
      <c r="R20" s="309">
        <v>2211953</v>
      </c>
      <c r="S20" s="309">
        <v>2212470</v>
      </c>
      <c r="T20" s="309">
        <v>2212556</v>
      </c>
      <c r="U20" s="309">
        <v>2212560</v>
      </c>
      <c r="V20" s="309">
        <v>2212583</v>
      </c>
      <c r="W20" s="309">
        <v>2212583</v>
      </c>
      <c r="X20" s="224">
        <v>2212584</v>
      </c>
      <c r="Y20" s="309"/>
      <c r="Z20" s="309"/>
      <c r="AA20" s="309"/>
      <c r="AB20" s="309"/>
      <c r="AC20" s="309"/>
      <c r="AD20" s="309"/>
      <c r="AE20" s="309"/>
    </row>
    <row r="21" spans="1:32" x14ac:dyDescent="0.25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309">
        <v>2214751</v>
      </c>
      <c r="M21" s="309">
        <v>2215225</v>
      </c>
      <c r="N21" s="309">
        <v>2215425</v>
      </c>
      <c r="O21" s="309">
        <v>2215963</v>
      </c>
      <c r="P21" s="309">
        <v>2216481</v>
      </c>
      <c r="Q21" s="309">
        <v>2216697</v>
      </c>
      <c r="R21" s="309">
        <v>2216948</v>
      </c>
      <c r="S21" s="309">
        <v>2216948</v>
      </c>
      <c r="T21" s="309">
        <v>2216948</v>
      </c>
      <c r="U21" s="309">
        <v>2217095</v>
      </c>
      <c r="V21" s="309">
        <v>2217635</v>
      </c>
      <c r="W21" s="309">
        <v>2217766</v>
      </c>
      <c r="X21" s="224">
        <v>2218258</v>
      </c>
      <c r="Y21" s="309"/>
      <c r="Z21" s="309"/>
      <c r="AA21" s="309"/>
      <c r="AB21" s="309"/>
      <c r="AC21" s="309"/>
      <c r="AD21" s="309"/>
      <c r="AE21" s="309"/>
    </row>
    <row r="22" spans="1:32" x14ac:dyDescent="0.25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309">
        <v>2142987</v>
      </c>
      <c r="M22" s="309">
        <v>2143461</v>
      </c>
      <c r="N22" s="309">
        <v>2144064</v>
      </c>
      <c r="O22" s="309">
        <v>2144424</v>
      </c>
      <c r="P22" s="309">
        <v>2144682</v>
      </c>
      <c r="Q22" s="309">
        <v>2144751</v>
      </c>
      <c r="R22" s="309">
        <v>2145021</v>
      </c>
      <c r="S22" s="309">
        <v>2145472</v>
      </c>
      <c r="T22" s="309">
        <v>2145736</v>
      </c>
      <c r="U22" s="309">
        <v>2146298</v>
      </c>
      <c r="V22" s="309">
        <v>2146860</v>
      </c>
      <c r="W22" s="309">
        <v>2147464</v>
      </c>
      <c r="X22" s="224">
        <v>2148068</v>
      </c>
      <c r="Y22" s="309"/>
      <c r="Z22" s="309"/>
      <c r="AA22" s="309"/>
      <c r="AB22" s="309"/>
      <c r="AC22" s="309"/>
      <c r="AD22" s="309"/>
      <c r="AE22" s="309"/>
    </row>
    <row r="23" spans="1:32" x14ac:dyDescent="0.25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309">
        <v>2175223</v>
      </c>
      <c r="M23" s="309">
        <v>2175266</v>
      </c>
      <c r="N23" s="309">
        <v>2175716</v>
      </c>
      <c r="O23" s="309">
        <v>2175910</v>
      </c>
      <c r="P23" s="309">
        <v>2176154</v>
      </c>
      <c r="Q23" s="309">
        <v>2176154</v>
      </c>
      <c r="R23" s="309">
        <v>2176291</v>
      </c>
      <c r="S23" s="309">
        <v>2176291</v>
      </c>
      <c r="T23" s="309">
        <v>2176291</v>
      </c>
      <c r="U23" s="309">
        <v>2176291</v>
      </c>
      <c r="V23" s="309">
        <v>2176413</v>
      </c>
      <c r="W23" s="309">
        <v>2176616</v>
      </c>
      <c r="X23" s="224">
        <v>2177040</v>
      </c>
      <c r="Y23" s="309"/>
      <c r="Z23" s="309"/>
      <c r="AA23" s="309"/>
      <c r="AB23" s="309"/>
      <c r="AC23" s="309"/>
      <c r="AD23" s="309"/>
      <c r="AE23" s="309"/>
    </row>
    <row r="24" spans="1:32" x14ac:dyDescent="0.25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309">
        <v>2215106</v>
      </c>
      <c r="M24" s="309">
        <v>2215149</v>
      </c>
      <c r="N24" s="309">
        <v>2215753</v>
      </c>
      <c r="O24" s="309">
        <v>2216206</v>
      </c>
      <c r="P24" s="309">
        <v>2216400</v>
      </c>
      <c r="Q24" s="309">
        <v>2216400</v>
      </c>
      <c r="R24" s="309">
        <v>2216401</v>
      </c>
      <c r="S24" s="309">
        <v>2216401</v>
      </c>
      <c r="T24" s="309">
        <v>2216401</v>
      </c>
      <c r="U24" s="309">
        <v>2216401</v>
      </c>
      <c r="V24" s="309">
        <v>2216521</v>
      </c>
      <c r="W24" s="309">
        <v>2217108</v>
      </c>
      <c r="X24" s="224">
        <v>2217285</v>
      </c>
      <c r="Y24" s="309"/>
      <c r="Z24" s="309"/>
      <c r="AA24" s="309"/>
      <c r="AB24" s="309"/>
      <c r="AC24" s="309"/>
      <c r="AD24" s="309"/>
      <c r="AE24" s="309"/>
    </row>
    <row r="25" spans="1:32" x14ac:dyDescent="0.25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309">
        <v>2228551</v>
      </c>
      <c r="M25" s="309">
        <v>2228551</v>
      </c>
      <c r="N25" s="309">
        <v>2228733</v>
      </c>
      <c r="O25" s="309">
        <v>2228866</v>
      </c>
      <c r="P25" s="309">
        <v>2229125</v>
      </c>
      <c r="Q25" s="309">
        <v>2229125</v>
      </c>
      <c r="R25" s="309">
        <v>2229125</v>
      </c>
      <c r="S25" s="309">
        <v>2229125</v>
      </c>
      <c r="T25" s="309">
        <v>2229125</v>
      </c>
      <c r="U25" s="309">
        <v>2229561</v>
      </c>
      <c r="V25" s="309">
        <v>2230151</v>
      </c>
      <c r="W25" s="309">
        <v>2230670</v>
      </c>
      <c r="X25" s="224">
        <v>2231102</v>
      </c>
      <c r="Y25" s="309"/>
      <c r="Z25" s="309"/>
      <c r="AA25" s="309"/>
      <c r="AB25" s="309"/>
      <c r="AC25" s="309"/>
      <c r="AD25" s="309"/>
      <c r="AE25" s="309"/>
    </row>
    <row r="26" spans="1:32" x14ac:dyDescent="0.25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309">
        <v>2227925</v>
      </c>
      <c r="M26" s="309">
        <v>2227925</v>
      </c>
      <c r="N26" s="309">
        <v>2228174</v>
      </c>
      <c r="O26" s="309">
        <v>2228618</v>
      </c>
      <c r="P26" s="309">
        <v>2228699</v>
      </c>
      <c r="Q26" s="309">
        <v>2228699</v>
      </c>
      <c r="R26" s="309">
        <v>2228701</v>
      </c>
      <c r="S26" s="309">
        <v>2228704</v>
      </c>
      <c r="T26" s="309">
        <v>2229137</v>
      </c>
      <c r="U26" s="309">
        <v>2229656</v>
      </c>
      <c r="V26" s="309">
        <v>2229676</v>
      </c>
      <c r="W26" s="309">
        <v>2229807</v>
      </c>
      <c r="X26" s="224">
        <v>2230065</v>
      </c>
      <c r="Y26" s="309"/>
      <c r="Z26" s="309"/>
      <c r="AA26" s="309"/>
      <c r="AB26" s="309"/>
      <c r="AC26" s="309"/>
      <c r="AD26" s="309"/>
      <c r="AE26" s="309"/>
    </row>
    <row r="27" spans="1:32" x14ac:dyDescent="0.25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309">
        <v>2196652</v>
      </c>
      <c r="M27" s="309">
        <v>2197170</v>
      </c>
      <c r="N27" s="309">
        <v>2197774</v>
      </c>
      <c r="O27" s="309">
        <v>2198037</v>
      </c>
      <c r="P27" s="309">
        <v>2198231</v>
      </c>
      <c r="Q27" s="309">
        <v>2198231</v>
      </c>
      <c r="R27" s="309">
        <v>2198232</v>
      </c>
      <c r="S27" s="309">
        <v>2198232</v>
      </c>
      <c r="T27" s="309">
        <v>2198232</v>
      </c>
      <c r="U27" s="309">
        <v>2198232</v>
      </c>
      <c r="V27" s="309">
        <v>2198232</v>
      </c>
      <c r="W27" s="309">
        <v>2198432</v>
      </c>
      <c r="X27" s="224">
        <v>2198761</v>
      </c>
      <c r="Y27" s="309"/>
      <c r="Z27" s="309"/>
      <c r="AA27" s="309"/>
      <c r="AB27" s="309"/>
      <c r="AC27" s="309"/>
      <c r="AD27" s="309"/>
      <c r="AE27" s="309"/>
    </row>
    <row r="28" spans="1:32" x14ac:dyDescent="0.25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309">
        <v>2159839</v>
      </c>
      <c r="M28" s="309">
        <v>2159839</v>
      </c>
      <c r="N28" s="309">
        <v>2160100</v>
      </c>
      <c r="O28" s="309">
        <v>2160372</v>
      </c>
      <c r="P28" s="309">
        <v>2160622</v>
      </c>
      <c r="Q28" s="309">
        <v>2160622</v>
      </c>
      <c r="R28" s="309">
        <v>2160624</v>
      </c>
      <c r="S28" s="309">
        <v>2160624</v>
      </c>
      <c r="T28" s="309">
        <v>2160624</v>
      </c>
      <c r="U28" s="309">
        <v>2161209</v>
      </c>
      <c r="V28" s="309">
        <v>2161682</v>
      </c>
      <c r="W28" s="309">
        <v>2162241</v>
      </c>
      <c r="X28" s="224">
        <v>2162800</v>
      </c>
      <c r="Y28" s="309"/>
      <c r="Z28" s="309"/>
      <c r="AA28" s="309"/>
      <c r="AB28" s="309"/>
      <c r="AC28" s="309"/>
      <c r="AD28" s="309"/>
      <c r="AE28" s="309"/>
    </row>
    <row r="29" spans="1:32" x14ac:dyDescent="0.25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309">
        <v>2112416</v>
      </c>
      <c r="M29" s="309">
        <v>2112504</v>
      </c>
      <c r="N29" s="309">
        <v>2112937</v>
      </c>
      <c r="O29" s="309">
        <v>2113028</v>
      </c>
      <c r="P29" s="309">
        <v>2113547</v>
      </c>
      <c r="Q29" s="309">
        <v>2113977</v>
      </c>
      <c r="R29" s="309">
        <v>2113977</v>
      </c>
      <c r="S29" s="309">
        <v>2113977</v>
      </c>
      <c r="T29" s="309">
        <v>2114143</v>
      </c>
      <c r="U29" s="309">
        <v>2114143</v>
      </c>
      <c r="V29" s="309">
        <v>2114143</v>
      </c>
      <c r="W29" s="309">
        <v>2114320</v>
      </c>
      <c r="X29" s="224">
        <v>2114752</v>
      </c>
      <c r="Y29" s="309"/>
      <c r="Z29" s="309"/>
      <c r="AA29" s="309"/>
      <c r="AB29" s="309"/>
      <c r="AC29" s="309"/>
      <c r="AD29" s="309"/>
      <c r="AE29" s="309"/>
      <c r="AF29" s="124"/>
    </row>
    <row r="30" spans="1:32" x14ac:dyDescent="0.25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309">
        <v>1860078</v>
      </c>
      <c r="M30" s="309">
        <v>1860166</v>
      </c>
      <c r="N30" s="309">
        <v>1860392</v>
      </c>
      <c r="O30" s="309">
        <v>1860912</v>
      </c>
      <c r="P30" s="309">
        <v>1861173</v>
      </c>
      <c r="Q30" s="309">
        <v>1861520</v>
      </c>
      <c r="R30" s="309">
        <v>1861520</v>
      </c>
      <c r="S30" s="309">
        <v>1861994</v>
      </c>
      <c r="T30" s="309">
        <v>1862382</v>
      </c>
      <c r="U30" s="309">
        <v>1862859</v>
      </c>
      <c r="V30" s="309">
        <v>1863419</v>
      </c>
      <c r="W30" s="309">
        <v>1863982</v>
      </c>
      <c r="X30" s="224">
        <v>1864542</v>
      </c>
      <c r="Y30" s="309"/>
      <c r="Z30" s="309"/>
      <c r="AA30" s="309"/>
      <c r="AB30" s="309"/>
      <c r="AC30" s="309"/>
      <c r="AD30" s="309"/>
      <c r="AE30" s="309"/>
    </row>
    <row r="31" spans="1:32" x14ac:dyDescent="0.25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309">
        <v>2160485</v>
      </c>
      <c r="M31" s="309">
        <v>2160489</v>
      </c>
      <c r="N31" s="309">
        <v>2161007</v>
      </c>
      <c r="O31" s="309">
        <v>2161526</v>
      </c>
      <c r="P31" s="309">
        <v>2161685</v>
      </c>
      <c r="Q31" s="309">
        <v>2161685</v>
      </c>
      <c r="R31" s="309">
        <v>2161894</v>
      </c>
      <c r="S31" s="309">
        <v>2162368</v>
      </c>
      <c r="T31" s="309">
        <v>2162755</v>
      </c>
      <c r="U31" s="309">
        <v>2163291</v>
      </c>
      <c r="V31" s="309">
        <v>2163800</v>
      </c>
      <c r="W31" s="309">
        <v>2164276</v>
      </c>
      <c r="X31" s="224">
        <v>2164632</v>
      </c>
      <c r="Y31" s="309"/>
      <c r="Z31" s="309"/>
      <c r="AA31" s="309"/>
      <c r="AB31" s="309"/>
      <c r="AC31" s="309"/>
      <c r="AD31" s="309"/>
      <c r="AE31" s="309"/>
    </row>
    <row r="32" spans="1:32" s="124" customFormat="1" x14ac:dyDescent="0.25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309">
        <v>756710</v>
      </c>
      <c r="M32" s="309">
        <v>756710</v>
      </c>
      <c r="N32" s="309">
        <v>756962</v>
      </c>
      <c r="O32" s="309">
        <v>757274</v>
      </c>
      <c r="P32" s="309">
        <v>757717</v>
      </c>
      <c r="Q32" s="309">
        <v>757761</v>
      </c>
      <c r="R32" s="309">
        <v>757765</v>
      </c>
      <c r="S32" s="309">
        <v>757765</v>
      </c>
      <c r="T32" s="309">
        <v>757984</v>
      </c>
      <c r="U32" s="309">
        <v>758546</v>
      </c>
      <c r="V32" s="309">
        <v>759050</v>
      </c>
      <c r="W32" s="309">
        <v>759572</v>
      </c>
      <c r="X32" s="224">
        <v>759840</v>
      </c>
      <c r="Y32" s="309"/>
      <c r="Z32" s="309"/>
      <c r="AA32" s="309"/>
      <c r="AB32" s="309"/>
      <c r="AC32" s="309"/>
      <c r="AD32" s="309"/>
      <c r="AE32" s="309"/>
    </row>
    <row r="33" spans="1:31" s="124" customFormat="1" x14ac:dyDescent="0.25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309">
        <v>691653</v>
      </c>
      <c r="M33" s="309">
        <v>692043</v>
      </c>
      <c r="N33" s="309">
        <v>692476</v>
      </c>
      <c r="O33" s="309">
        <v>692994</v>
      </c>
      <c r="P33" s="309">
        <v>693280</v>
      </c>
      <c r="Q33" s="309">
        <v>693280</v>
      </c>
      <c r="R33" s="309">
        <v>693350</v>
      </c>
      <c r="S33" s="309">
        <v>693804</v>
      </c>
      <c r="T33" s="309">
        <v>693800</v>
      </c>
      <c r="U33" s="309">
        <v>693882</v>
      </c>
      <c r="V33" s="309">
        <v>694310</v>
      </c>
      <c r="W33" s="309">
        <v>694873</v>
      </c>
      <c r="X33" s="224">
        <v>695477</v>
      </c>
      <c r="Y33" s="309"/>
      <c r="Z33" s="309"/>
      <c r="AA33" s="309"/>
      <c r="AB33" s="309"/>
      <c r="AC33" s="309"/>
      <c r="AD33" s="309"/>
      <c r="AE33" s="309"/>
    </row>
    <row r="34" spans="1:31" s="124" customFormat="1" x14ac:dyDescent="0.25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309">
        <v>733386</v>
      </c>
      <c r="M34" s="309">
        <v>733386</v>
      </c>
      <c r="N34" s="309">
        <v>733529</v>
      </c>
      <c r="O34" s="309">
        <v>733980</v>
      </c>
      <c r="P34" s="309">
        <v>734061</v>
      </c>
      <c r="Q34" s="309">
        <v>734150</v>
      </c>
      <c r="R34" s="309">
        <v>734250</v>
      </c>
      <c r="S34" s="309">
        <v>734330</v>
      </c>
      <c r="T34" s="309">
        <v>734884</v>
      </c>
      <c r="U34" s="309">
        <v>735377</v>
      </c>
      <c r="V34" s="309">
        <v>735501</v>
      </c>
      <c r="W34" s="309">
        <v>735753</v>
      </c>
      <c r="X34" s="224">
        <v>735753</v>
      </c>
      <c r="Y34" s="309"/>
      <c r="Z34" s="309"/>
      <c r="AA34" s="309"/>
      <c r="AB34" s="309"/>
      <c r="AC34" s="309"/>
      <c r="AD34" s="309"/>
      <c r="AE34" s="309"/>
    </row>
    <row r="35" spans="1:31" s="124" customFormat="1" x14ac:dyDescent="0.25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309">
        <v>753012</v>
      </c>
      <c r="M35" s="309">
        <v>753012</v>
      </c>
      <c r="N35" s="309">
        <v>753463</v>
      </c>
      <c r="O35" s="309">
        <v>753708</v>
      </c>
      <c r="P35" s="309">
        <v>753959</v>
      </c>
      <c r="Q35" s="309">
        <v>753959</v>
      </c>
      <c r="R35" s="309">
        <v>754031</v>
      </c>
      <c r="S35" s="309">
        <v>754031</v>
      </c>
      <c r="T35" s="309">
        <v>754031</v>
      </c>
      <c r="U35" s="309">
        <v>754112</v>
      </c>
      <c r="V35" s="309">
        <v>754623</v>
      </c>
      <c r="W35" s="309">
        <v>754972</v>
      </c>
      <c r="X35" s="224">
        <v>755493</v>
      </c>
      <c r="Y35" s="309"/>
      <c r="Z35" s="309"/>
      <c r="AA35" s="309"/>
      <c r="AB35" s="309"/>
      <c r="AC35" s="309"/>
      <c r="AD35" s="309"/>
      <c r="AE35" s="309"/>
    </row>
    <row r="36" spans="1:31" s="124" customFormat="1" x14ac:dyDescent="0.25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309">
        <v>725240</v>
      </c>
      <c r="M36" s="309">
        <v>725240</v>
      </c>
      <c r="N36" s="309">
        <v>725606</v>
      </c>
      <c r="O36" s="309">
        <v>726056</v>
      </c>
      <c r="P36" s="309">
        <v>726594</v>
      </c>
      <c r="Q36" s="309">
        <v>726854</v>
      </c>
      <c r="R36" s="309">
        <v>726854</v>
      </c>
      <c r="S36" s="309">
        <v>727117</v>
      </c>
      <c r="T36" s="309">
        <v>727291</v>
      </c>
      <c r="U36" s="309">
        <v>727728</v>
      </c>
      <c r="V36" s="309">
        <v>728232</v>
      </c>
      <c r="W36" s="309">
        <v>728666</v>
      </c>
      <c r="X36" s="224">
        <v>729059</v>
      </c>
      <c r="Y36" s="309"/>
      <c r="Z36" s="309"/>
      <c r="AA36" s="309"/>
      <c r="AB36" s="309"/>
      <c r="AC36" s="309"/>
      <c r="AD36" s="309"/>
      <c r="AE36" s="309"/>
    </row>
    <row r="37" spans="1:31" s="124" customFormat="1" x14ac:dyDescent="0.25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309">
        <v>768493</v>
      </c>
      <c r="M37" s="309">
        <v>768888</v>
      </c>
      <c r="N37" s="309">
        <v>769340</v>
      </c>
      <c r="O37" s="309">
        <v>769670</v>
      </c>
      <c r="P37" s="309">
        <v>769963</v>
      </c>
      <c r="Q37" s="309">
        <v>769963</v>
      </c>
      <c r="R37" s="309">
        <v>770155</v>
      </c>
      <c r="S37" s="309">
        <v>770273</v>
      </c>
      <c r="T37" s="309">
        <v>770755</v>
      </c>
      <c r="U37" s="309">
        <v>771317</v>
      </c>
      <c r="V37" s="309">
        <v>771778</v>
      </c>
      <c r="W37" s="309">
        <v>772302</v>
      </c>
      <c r="X37" s="224">
        <v>772393</v>
      </c>
      <c r="Y37" s="309"/>
      <c r="Z37" s="309"/>
      <c r="AA37" s="309"/>
      <c r="AB37" s="309"/>
      <c r="AC37" s="309"/>
      <c r="AD37" s="309"/>
      <c r="AE37" s="309"/>
    </row>
    <row r="38" spans="1:31" x14ac:dyDescent="0.25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309">
        <v>414558</v>
      </c>
      <c r="M38" s="309">
        <v>414654</v>
      </c>
      <c r="N38" s="309">
        <v>415090</v>
      </c>
      <c r="O38" s="309">
        <v>415438</v>
      </c>
      <c r="P38" s="309">
        <v>416000</v>
      </c>
      <c r="Q38" s="309">
        <v>416043</v>
      </c>
      <c r="R38" s="309">
        <v>416046</v>
      </c>
      <c r="S38" s="309">
        <v>416048</v>
      </c>
      <c r="T38" s="309">
        <v>416051</v>
      </c>
      <c r="U38" s="309">
        <v>416051</v>
      </c>
      <c r="V38" s="309">
        <v>416051</v>
      </c>
      <c r="W38" s="309">
        <v>416226</v>
      </c>
      <c r="X38" s="224">
        <v>416400</v>
      </c>
      <c r="Y38" s="309"/>
      <c r="Z38" s="309"/>
      <c r="AA38" s="309"/>
      <c r="AB38" s="309"/>
      <c r="AC38" s="309"/>
      <c r="AD38" s="309"/>
      <c r="AE38" s="309"/>
    </row>
    <row r="39" spans="1:31" x14ac:dyDescent="0.25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309">
        <v>743857</v>
      </c>
      <c r="M39" s="309">
        <v>743857</v>
      </c>
      <c r="N39" s="309">
        <v>743967</v>
      </c>
      <c r="O39" s="309">
        <v>744056</v>
      </c>
      <c r="P39" s="309">
        <v>744578</v>
      </c>
      <c r="Q39" s="309">
        <v>745053</v>
      </c>
      <c r="R39" s="309">
        <v>745357</v>
      </c>
      <c r="S39" s="309">
        <v>745731</v>
      </c>
      <c r="T39" s="309">
        <v>746120</v>
      </c>
      <c r="U39" s="309">
        <v>746679</v>
      </c>
      <c r="V39" s="309">
        <v>747159</v>
      </c>
      <c r="W39" s="309">
        <v>747593</v>
      </c>
      <c r="X39" s="224">
        <v>747947</v>
      </c>
      <c r="Y39" s="309"/>
      <c r="Z39" s="309"/>
      <c r="AA39" s="309"/>
      <c r="AB39" s="309"/>
      <c r="AC39" s="309"/>
      <c r="AD39" s="309"/>
      <c r="AE39" s="309"/>
    </row>
    <row r="40" spans="1:31" s="124" customFormat="1" ht="18" x14ac:dyDescent="0.25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26"/>
      <c r="S40" s="309"/>
      <c r="T40" s="326"/>
      <c r="U40" s="309"/>
      <c r="V40" s="309"/>
      <c r="W40" s="309"/>
      <c r="X40" s="355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25">
      <c r="A41" s="332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309">
        <v>3675</v>
      </c>
      <c r="M41" s="309">
        <v>3675</v>
      </c>
      <c r="N41" s="309">
        <v>3675</v>
      </c>
      <c r="O41" s="309">
        <v>3675</v>
      </c>
      <c r="P41" s="309">
        <v>3675</v>
      </c>
      <c r="Q41" s="309">
        <v>3675</v>
      </c>
      <c r="R41" s="309">
        <v>3675</v>
      </c>
      <c r="S41" s="309">
        <v>3675</v>
      </c>
      <c r="T41" s="309">
        <v>3675</v>
      </c>
      <c r="U41" s="309">
        <v>3675</v>
      </c>
      <c r="V41" s="309">
        <v>3675</v>
      </c>
      <c r="W41" s="309">
        <v>3675</v>
      </c>
      <c r="X41" s="224">
        <v>3675</v>
      </c>
      <c r="Y41" s="309"/>
      <c r="Z41" s="309"/>
      <c r="AA41" s="309"/>
      <c r="AB41" s="309"/>
      <c r="AC41" s="309"/>
      <c r="AD41" s="309"/>
      <c r="AE41" s="309"/>
    </row>
    <row r="42" spans="1:31" s="124" customFormat="1" x14ac:dyDescent="0.25">
      <c r="A42" s="332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309">
        <v>2001</v>
      </c>
      <c r="M42" s="309">
        <v>2001</v>
      </c>
      <c r="N42" s="309">
        <v>2001</v>
      </c>
      <c r="O42" s="309">
        <v>2001</v>
      </c>
      <c r="P42" s="309">
        <v>2001</v>
      </c>
      <c r="Q42" s="309">
        <v>2001</v>
      </c>
      <c r="R42" s="309">
        <v>2001</v>
      </c>
      <c r="S42" s="309">
        <v>2001</v>
      </c>
      <c r="T42" s="309">
        <v>2001</v>
      </c>
      <c r="U42" s="309">
        <v>2001</v>
      </c>
      <c r="V42" s="309">
        <v>2001</v>
      </c>
      <c r="W42" s="309">
        <v>2001</v>
      </c>
      <c r="X42" s="224">
        <v>2001</v>
      </c>
      <c r="Y42" s="309"/>
      <c r="Z42" s="309"/>
      <c r="AA42" s="309"/>
      <c r="AB42" s="309"/>
      <c r="AC42" s="309"/>
      <c r="AD42" s="309"/>
      <c r="AE42" s="309"/>
    </row>
    <row r="43" spans="1:31" s="124" customFormat="1" x14ac:dyDescent="0.25">
      <c r="A43" s="333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309">
        <v>15642</v>
      </c>
      <c r="M43" s="309">
        <v>15729</v>
      </c>
      <c r="N43" s="309">
        <v>15757</v>
      </c>
      <c r="O43" s="309">
        <v>15757</v>
      </c>
      <c r="P43" s="309">
        <v>15757</v>
      </c>
      <c r="Q43" s="309">
        <v>15757</v>
      </c>
      <c r="R43" s="309">
        <v>15757</v>
      </c>
      <c r="S43" s="309">
        <v>15757</v>
      </c>
      <c r="T43" s="309">
        <v>15757</v>
      </c>
      <c r="U43" s="309">
        <v>16018</v>
      </c>
      <c r="V43" s="309">
        <v>16191</v>
      </c>
      <c r="W43" s="309">
        <v>16453</v>
      </c>
      <c r="X43" s="224">
        <v>16662</v>
      </c>
      <c r="Y43" s="309"/>
      <c r="Z43" s="309"/>
      <c r="AA43" s="309"/>
      <c r="AB43" s="309"/>
      <c r="AC43" s="309"/>
      <c r="AD43" s="309"/>
      <c r="AE43" s="309"/>
    </row>
    <row r="44" spans="1:31" s="124" customFormat="1" x14ac:dyDescent="0.25">
      <c r="A44" s="332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309">
        <v>1802</v>
      </c>
      <c r="M44" s="309">
        <v>1802</v>
      </c>
      <c r="N44" s="309">
        <v>1802</v>
      </c>
      <c r="O44" s="309">
        <v>1802</v>
      </c>
      <c r="P44" s="309">
        <v>1802</v>
      </c>
      <c r="Q44" s="309">
        <v>1802</v>
      </c>
      <c r="R44" s="309">
        <v>1802</v>
      </c>
      <c r="S44" s="309">
        <v>1802</v>
      </c>
      <c r="T44" s="309">
        <v>1802</v>
      </c>
      <c r="U44" s="309">
        <v>1802</v>
      </c>
      <c r="V44" s="309">
        <v>1802</v>
      </c>
      <c r="W44" s="309">
        <v>1802</v>
      </c>
      <c r="X44" s="224">
        <v>1802</v>
      </c>
      <c r="Y44" s="309"/>
      <c r="Z44" s="309"/>
      <c r="AA44" s="309"/>
      <c r="AB44" s="309"/>
      <c r="AC44" s="309"/>
      <c r="AD44" s="309"/>
      <c r="AE44" s="309"/>
    </row>
    <row r="45" spans="1:31" s="124" customFormat="1" x14ac:dyDescent="0.25">
      <c r="A45" s="333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309">
        <v>2123</v>
      </c>
      <c r="M45" s="309">
        <v>2123</v>
      </c>
      <c r="N45" s="309">
        <v>2123</v>
      </c>
      <c r="O45" s="309">
        <v>2123</v>
      </c>
      <c r="P45" s="309">
        <v>2123</v>
      </c>
      <c r="Q45" s="309">
        <v>2123</v>
      </c>
      <c r="R45" s="309">
        <v>2123</v>
      </c>
      <c r="S45" s="309">
        <v>2123</v>
      </c>
      <c r="T45" s="309">
        <v>2123</v>
      </c>
      <c r="U45" s="309">
        <v>2123</v>
      </c>
      <c r="V45" s="309">
        <v>2123</v>
      </c>
      <c r="W45" s="309">
        <v>2123</v>
      </c>
      <c r="X45" s="224">
        <v>2123</v>
      </c>
      <c r="Y45" s="309"/>
      <c r="Z45" s="309"/>
      <c r="AA45" s="309"/>
      <c r="AB45" s="309"/>
      <c r="AC45" s="309"/>
      <c r="AD45" s="309"/>
      <c r="AE45" s="309"/>
    </row>
    <row r="46" spans="1:31" s="124" customFormat="1" ht="18" x14ac:dyDescent="0.25">
      <c r="A46" s="211"/>
      <c r="B46" s="211"/>
      <c r="C46" s="211"/>
      <c r="D46" s="211"/>
      <c r="E46" s="211"/>
      <c r="F46" s="211"/>
      <c r="G46" s="211"/>
      <c r="H46" s="211"/>
      <c r="I46" s="211"/>
      <c r="J46" s="326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6"/>
      <c r="AC46" s="211"/>
    </row>
    <row r="47" spans="1:31" ht="18" x14ac:dyDescent="0.25">
      <c r="A47" s="356" t="s">
        <v>31</v>
      </c>
      <c r="B47" s="356"/>
      <c r="C47" s="356"/>
      <c r="D47" s="356"/>
      <c r="E47" s="356"/>
      <c r="F47" s="356"/>
      <c r="G47" s="356"/>
      <c r="H47" s="356"/>
      <c r="I47" s="356"/>
      <c r="J47" s="356"/>
      <c r="K47" s="356"/>
      <c r="L47" s="356"/>
      <c r="M47" s="356"/>
      <c r="N47" s="356"/>
      <c r="O47" s="356"/>
      <c r="P47" s="356"/>
      <c r="Q47" s="356"/>
      <c r="R47" s="356"/>
      <c r="S47" s="356"/>
      <c r="T47" s="356"/>
      <c r="U47" s="356"/>
      <c r="V47" s="356"/>
      <c r="W47" s="356"/>
      <c r="X47" s="356"/>
      <c r="Y47" s="356"/>
      <c r="Z47" s="356"/>
      <c r="AA47" s="356"/>
      <c r="AB47" s="356"/>
      <c r="AC47" s="356"/>
    </row>
    <row r="48" spans="1:31" x14ac:dyDescent="0.25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247</v>
      </c>
      <c r="O51" s="12">
        <f t="shared" si="0"/>
        <v>340</v>
      </c>
      <c r="P51" s="12">
        <f t="shared" si="0"/>
        <v>347</v>
      </c>
      <c r="Q51" s="12">
        <f t="shared" si="0"/>
        <v>130</v>
      </c>
      <c r="R51" s="12">
        <f t="shared" si="0"/>
        <v>353</v>
      </c>
      <c r="S51" s="12">
        <f t="shared" si="0"/>
        <v>0</v>
      </c>
      <c r="T51" s="12">
        <f t="shared" ref="T51:AE66" si="1">T5-S5</f>
        <v>0</v>
      </c>
      <c r="U51" s="12">
        <f t="shared" si="1"/>
        <v>53</v>
      </c>
      <c r="V51" s="12">
        <f>V5-U5</f>
        <v>373</v>
      </c>
      <c r="W51" s="12">
        <f t="shared" si="1"/>
        <v>365</v>
      </c>
      <c r="X51" s="12">
        <f t="shared" si="1"/>
        <v>232</v>
      </c>
      <c r="Y51" s="12">
        <f t="shared" si="1"/>
        <v>-2147275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25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366</v>
      </c>
      <c r="O52" s="12">
        <f t="shared" si="2"/>
        <v>137</v>
      </c>
      <c r="P52" s="12">
        <f t="shared" si="2"/>
        <v>272</v>
      </c>
      <c r="Q52" s="12">
        <f t="shared" si="2"/>
        <v>477</v>
      </c>
      <c r="R52" s="12">
        <f t="shared" si="2"/>
        <v>177</v>
      </c>
      <c r="S52" s="12">
        <f t="shared" si="2"/>
        <v>2</v>
      </c>
      <c r="T52" s="12">
        <f t="shared" ref="T52:AE52" si="3">T6-S6</f>
        <v>2</v>
      </c>
      <c r="U52" s="12">
        <f t="shared" si="3"/>
        <v>520</v>
      </c>
      <c r="V52" s="12">
        <f t="shared" si="3"/>
        <v>504</v>
      </c>
      <c r="W52" s="12">
        <f t="shared" si="3"/>
        <v>606</v>
      </c>
      <c r="X52" s="12">
        <f t="shared" si="3"/>
        <v>608</v>
      </c>
      <c r="Y52" s="12">
        <f t="shared" si="3"/>
        <v>-2110895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25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520</v>
      </c>
      <c r="O53" s="12">
        <f t="shared" si="4"/>
        <v>450</v>
      </c>
      <c r="P53" s="12">
        <f t="shared" si="4"/>
        <v>90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19</v>
      </c>
      <c r="U53" s="12">
        <f t="shared" si="5"/>
        <v>0</v>
      </c>
      <c r="V53" s="12">
        <f t="shared" si="5"/>
        <v>134</v>
      </c>
      <c r="W53" s="12">
        <f t="shared" si="5"/>
        <v>561</v>
      </c>
      <c r="X53" s="12">
        <f t="shared" si="5"/>
        <v>200</v>
      </c>
      <c r="Y53" s="12">
        <f t="shared" si="5"/>
        <v>-2188741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25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272</v>
      </c>
      <c r="O54" s="12">
        <f t="shared" si="6"/>
        <v>251</v>
      </c>
      <c r="P54" s="12">
        <f t="shared" si="6"/>
        <v>348</v>
      </c>
      <c r="Q54" s="12">
        <f t="shared" si="6"/>
        <v>0</v>
      </c>
      <c r="R54" s="12">
        <f t="shared" si="6"/>
        <v>0</v>
      </c>
      <c r="S54" s="12">
        <f t="shared" si="6"/>
        <v>569</v>
      </c>
      <c r="T54" s="12">
        <f t="shared" ref="T54:AE54" si="7">T8-S8</f>
        <v>427</v>
      </c>
      <c r="U54" s="12">
        <f t="shared" si="7"/>
        <v>581</v>
      </c>
      <c r="V54" s="12">
        <f t="shared" si="7"/>
        <v>417</v>
      </c>
      <c r="W54" s="12">
        <f t="shared" si="7"/>
        <v>249</v>
      </c>
      <c r="X54" s="12">
        <f t="shared" si="7"/>
        <v>374</v>
      </c>
      <c r="Y54" s="12">
        <f t="shared" si="7"/>
        <v>-2194726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25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88</v>
      </c>
      <c r="O55" s="12">
        <f t="shared" si="8"/>
        <v>315</v>
      </c>
      <c r="P55" s="12">
        <f t="shared" si="8"/>
        <v>431</v>
      </c>
      <c r="Q55" s="12">
        <f t="shared" si="8"/>
        <v>0</v>
      </c>
      <c r="R55" s="12">
        <f t="shared" si="8"/>
        <v>194</v>
      </c>
      <c r="S55" s="12">
        <f t="shared" si="8"/>
        <v>467</v>
      </c>
      <c r="T55" s="12">
        <f t="shared" ref="T55:AE55" si="9">T9-S9</f>
        <v>475</v>
      </c>
      <c r="U55" s="12">
        <f t="shared" si="9"/>
        <v>312</v>
      </c>
      <c r="V55" s="12">
        <f t="shared" si="9"/>
        <v>20</v>
      </c>
      <c r="W55" s="12">
        <f t="shared" si="9"/>
        <v>132</v>
      </c>
      <c r="X55" s="12">
        <f t="shared" si="9"/>
        <v>262</v>
      </c>
      <c r="Y55" s="12">
        <f t="shared" si="9"/>
        <v>-2110713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25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561</v>
      </c>
      <c r="O56" s="12">
        <f t="shared" si="10"/>
        <v>521</v>
      </c>
      <c r="P56" s="12">
        <f t="shared" si="10"/>
        <v>398</v>
      </c>
      <c r="Q56" s="12">
        <f t="shared" si="10"/>
        <v>434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21</v>
      </c>
      <c r="X56" s="12">
        <f t="shared" si="11"/>
        <v>204</v>
      </c>
      <c r="Y56" s="12">
        <f t="shared" si="11"/>
        <v>-2216485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25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203</v>
      </c>
      <c r="O57" s="12">
        <f t="shared" si="12"/>
        <v>183</v>
      </c>
      <c r="P57" s="12">
        <f t="shared" si="12"/>
        <v>590</v>
      </c>
      <c r="Q57" s="12">
        <f t="shared" si="12"/>
        <v>262</v>
      </c>
      <c r="R57" s="12">
        <f t="shared" si="12"/>
        <v>0</v>
      </c>
      <c r="S57" s="12">
        <f t="shared" si="12"/>
        <v>88</v>
      </c>
      <c r="T57" s="12">
        <f t="shared" ref="T57:AE57" si="13">T11-S11</f>
        <v>0</v>
      </c>
      <c r="U57" s="12">
        <f t="shared" si="13"/>
        <v>87</v>
      </c>
      <c r="V57" s="12">
        <f t="shared" si="13"/>
        <v>425</v>
      </c>
      <c r="W57" s="12">
        <f t="shared" si="13"/>
        <v>324</v>
      </c>
      <c r="X57" s="12">
        <f t="shared" si="13"/>
        <v>250</v>
      </c>
      <c r="Y57" s="12">
        <f t="shared" si="13"/>
        <v>-2254317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25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251</v>
      </c>
      <c r="O58" s="12">
        <f t="shared" si="14"/>
        <v>218</v>
      </c>
      <c r="P58" s="12">
        <f t="shared" si="14"/>
        <v>358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193</v>
      </c>
      <c r="V58" s="12">
        <f t="shared" si="15"/>
        <v>3</v>
      </c>
      <c r="W58" s="12">
        <f t="shared" si="15"/>
        <v>5</v>
      </c>
      <c r="X58" s="12">
        <f t="shared" si="15"/>
        <v>193</v>
      </c>
      <c r="Y58" s="12">
        <f t="shared" si="15"/>
        <v>-2150089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25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204</v>
      </c>
      <c r="O59" s="12">
        <f t="shared" si="16"/>
        <v>250</v>
      </c>
      <c r="P59" s="12">
        <f t="shared" si="16"/>
        <v>140</v>
      </c>
      <c r="Q59" s="12">
        <f t="shared" si="16"/>
        <v>0</v>
      </c>
      <c r="R59" s="12">
        <f t="shared" si="16"/>
        <v>185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52</v>
      </c>
      <c r="W59" s="12">
        <f t="shared" si="17"/>
        <v>278</v>
      </c>
      <c r="X59" s="12">
        <f t="shared" si="17"/>
        <v>249</v>
      </c>
      <c r="Y59" s="12">
        <f t="shared" si="17"/>
        <v>-2135583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25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229</v>
      </c>
      <c r="O60" s="12">
        <f t="shared" si="18"/>
        <v>550</v>
      </c>
      <c r="P60" s="12">
        <f t="shared" si="18"/>
        <v>417</v>
      </c>
      <c r="Q60" s="12">
        <f t="shared" si="18"/>
        <v>0</v>
      </c>
      <c r="R60" s="12">
        <f t="shared" si="18"/>
        <v>239</v>
      </c>
      <c r="S60" s="12">
        <f t="shared" si="18"/>
        <v>518</v>
      </c>
      <c r="T60" s="12">
        <f t="shared" ref="T60:AE60" si="19">T14-S14</f>
        <v>517</v>
      </c>
      <c r="U60" s="12">
        <f t="shared" si="19"/>
        <v>369</v>
      </c>
      <c r="V60" s="12">
        <f t="shared" si="19"/>
        <v>92</v>
      </c>
      <c r="W60" s="12">
        <f t="shared" si="19"/>
        <v>0</v>
      </c>
      <c r="X60" s="12">
        <f t="shared" si="19"/>
        <v>0</v>
      </c>
      <c r="Y60" s="12">
        <f t="shared" si="19"/>
        <v>-2204478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25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559</v>
      </c>
      <c r="O61" s="12">
        <f t="shared" si="20"/>
        <v>266</v>
      </c>
      <c r="P61" s="12">
        <f t="shared" si="20"/>
        <v>604</v>
      </c>
      <c r="Q61" s="12">
        <f t="shared" si="20"/>
        <v>477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20</v>
      </c>
      <c r="W61" s="12">
        <f t="shared" si="21"/>
        <v>280</v>
      </c>
      <c r="X61" s="12">
        <f t="shared" si="21"/>
        <v>194</v>
      </c>
      <c r="Y61" s="12">
        <f t="shared" si="21"/>
        <v>-2232441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25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305</v>
      </c>
      <c r="O62" s="12">
        <f t="shared" si="22"/>
        <v>606</v>
      </c>
      <c r="P62" s="12">
        <f t="shared" si="22"/>
        <v>243</v>
      </c>
      <c r="Q62" s="12">
        <f t="shared" si="22"/>
        <v>0</v>
      </c>
      <c r="R62" s="12">
        <f t="shared" si="22"/>
        <v>1</v>
      </c>
      <c r="S62" s="12">
        <f t="shared" si="22"/>
        <v>0</v>
      </c>
      <c r="T62" s="12">
        <f t="shared" ref="T62:AE62" si="23">T16-S16</f>
        <v>0</v>
      </c>
      <c r="U62" s="12">
        <f t="shared" si="23"/>
        <v>20</v>
      </c>
      <c r="V62" s="12">
        <f t="shared" si="23"/>
        <v>-19</v>
      </c>
      <c r="W62" s="12">
        <f t="shared" si="23"/>
        <v>131</v>
      </c>
      <c r="X62" s="12">
        <f t="shared" si="23"/>
        <v>512</v>
      </c>
      <c r="Y62" s="12">
        <f t="shared" si="23"/>
        <v>-2077689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25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175</v>
      </c>
      <c r="O63" s="12">
        <f t="shared" si="24"/>
        <v>268</v>
      </c>
      <c r="P63" s="12">
        <f t="shared" si="24"/>
        <v>559</v>
      </c>
      <c r="Q63" s="12">
        <f t="shared" si="24"/>
        <v>517</v>
      </c>
      <c r="R63" s="12">
        <f t="shared" si="24"/>
        <v>0</v>
      </c>
      <c r="S63" s="12">
        <f t="shared" si="24"/>
        <v>424</v>
      </c>
      <c r="T63" s="12">
        <f t="shared" ref="T63:AE63" si="25">T17-S17</f>
        <v>0</v>
      </c>
      <c r="U63" s="12">
        <f t="shared" si="25"/>
        <v>22</v>
      </c>
      <c r="V63" s="12">
        <f t="shared" si="25"/>
        <v>0</v>
      </c>
      <c r="W63" s="12">
        <f t="shared" si="25"/>
        <v>44</v>
      </c>
      <c r="X63" s="12">
        <f t="shared" si="25"/>
        <v>1</v>
      </c>
      <c r="Y63" s="12">
        <f t="shared" si="25"/>
        <v>-2181594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25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317</v>
      </c>
      <c r="O64" s="12">
        <f t="shared" si="26"/>
        <v>269</v>
      </c>
      <c r="P64" s="12">
        <f t="shared" si="26"/>
        <v>476</v>
      </c>
      <c r="Q64" s="12">
        <f t="shared" si="26"/>
        <v>517</v>
      </c>
      <c r="R64" s="12">
        <f t="shared" si="26"/>
        <v>0</v>
      </c>
      <c r="S64" s="12">
        <f t="shared" si="26"/>
        <v>682</v>
      </c>
      <c r="T64" s="12">
        <f t="shared" ref="T64:AE64" si="27">T18-S18</f>
        <v>260</v>
      </c>
      <c r="U64" s="12">
        <f t="shared" si="27"/>
        <v>0</v>
      </c>
      <c r="V64" s="12">
        <f t="shared" si="27"/>
        <v>324</v>
      </c>
      <c r="W64" s="12">
        <f t="shared" si="27"/>
        <v>250</v>
      </c>
      <c r="X64" s="12">
        <f t="shared" si="27"/>
        <v>587</v>
      </c>
      <c r="Y64" s="12">
        <f t="shared" si="27"/>
        <v>-2156471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25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0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-2236752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517</v>
      </c>
      <c r="O66" s="12">
        <f t="shared" si="30"/>
        <v>566</v>
      </c>
      <c r="P66" s="12">
        <f t="shared" si="30"/>
        <v>561</v>
      </c>
      <c r="Q66" s="12">
        <f t="shared" si="30"/>
        <v>266</v>
      </c>
      <c r="R66" s="12">
        <f t="shared" si="30"/>
        <v>272</v>
      </c>
      <c r="S66" s="12">
        <f t="shared" si="30"/>
        <v>517</v>
      </c>
      <c r="T66" s="12">
        <f t="shared" ref="T66:AE66" si="31">T20-S20</f>
        <v>86</v>
      </c>
      <c r="U66" s="12">
        <f t="shared" si="31"/>
        <v>4</v>
      </c>
      <c r="V66" s="12">
        <f t="shared" si="31"/>
        <v>23</v>
      </c>
      <c r="W66" s="12">
        <f t="shared" si="31"/>
        <v>0</v>
      </c>
      <c r="X66" s="12">
        <f t="shared" si="31"/>
        <v>1</v>
      </c>
      <c r="Y66" s="12">
        <f t="shared" si="31"/>
        <v>-2212584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25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200</v>
      </c>
      <c r="O67" s="12">
        <f t="shared" si="32"/>
        <v>538</v>
      </c>
      <c r="P67" s="12">
        <f t="shared" si="32"/>
        <v>518</v>
      </c>
      <c r="Q67" s="12">
        <f t="shared" si="32"/>
        <v>216</v>
      </c>
      <c r="R67" s="12">
        <f t="shared" si="32"/>
        <v>251</v>
      </c>
      <c r="S67" s="12">
        <f t="shared" si="32"/>
        <v>0</v>
      </c>
      <c r="T67" s="12">
        <f t="shared" ref="T67:AE82" si="33">T21-S21</f>
        <v>0</v>
      </c>
      <c r="U67" s="12">
        <f t="shared" si="33"/>
        <v>147</v>
      </c>
      <c r="V67" s="12">
        <f t="shared" si="33"/>
        <v>540</v>
      </c>
      <c r="W67" s="12">
        <f t="shared" si="33"/>
        <v>131</v>
      </c>
      <c r="X67" s="12">
        <f t="shared" si="33"/>
        <v>492</v>
      </c>
      <c r="Y67" s="12">
        <f t="shared" si="33"/>
        <v>-2218258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25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603</v>
      </c>
      <c r="O68" s="12">
        <f t="shared" si="34"/>
        <v>360</v>
      </c>
      <c r="P68" s="12">
        <f t="shared" si="34"/>
        <v>258</v>
      </c>
      <c r="Q68" s="12">
        <f t="shared" si="34"/>
        <v>69</v>
      </c>
      <c r="R68" s="12">
        <f t="shared" si="34"/>
        <v>270</v>
      </c>
      <c r="S68" s="12">
        <f t="shared" si="34"/>
        <v>451</v>
      </c>
      <c r="T68" s="12">
        <f t="shared" ref="T68:AE68" si="35">T22-S22</f>
        <v>264</v>
      </c>
      <c r="U68" s="12">
        <f t="shared" si="35"/>
        <v>562</v>
      </c>
      <c r="V68" s="12">
        <f t="shared" si="35"/>
        <v>562</v>
      </c>
      <c r="W68" s="12">
        <f t="shared" si="35"/>
        <v>604</v>
      </c>
      <c r="X68" s="12">
        <f t="shared" si="35"/>
        <v>604</v>
      </c>
      <c r="Y68" s="12">
        <f t="shared" si="35"/>
        <v>-2148068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25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450</v>
      </c>
      <c r="O69" s="12">
        <f t="shared" si="36"/>
        <v>194</v>
      </c>
      <c r="P69" s="12">
        <f t="shared" si="36"/>
        <v>244</v>
      </c>
      <c r="Q69" s="12">
        <f t="shared" si="36"/>
        <v>0</v>
      </c>
      <c r="R69" s="12">
        <f t="shared" si="36"/>
        <v>137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122</v>
      </c>
      <c r="W69" s="12">
        <f t="shared" si="37"/>
        <v>203</v>
      </c>
      <c r="X69" s="12">
        <f t="shared" si="37"/>
        <v>424</v>
      </c>
      <c r="Y69" s="12">
        <f t="shared" si="37"/>
        <v>-2177040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25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604</v>
      </c>
      <c r="O70" s="12">
        <f t="shared" si="38"/>
        <v>453</v>
      </c>
      <c r="P70" s="12">
        <f t="shared" si="38"/>
        <v>194</v>
      </c>
      <c r="Q70" s="12">
        <f t="shared" si="38"/>
        <v>0</v>
      </c>
      <c r="R70" s="12">
        <f t="shared" si="38"/>
        <v>1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120</v>
      </c>
      <c r="W70" s="12">
        <f t="shared" si="39"/>
        <v>587</v>
      </c>
      <c r="X70" s="12">
        <f t="shared" si="39"/>
        <v>177</v>
      </c>
      <c r="Y70" s="12">
        <f t="shared" si="39"/>
        <v>-2217285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25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182</v>
      </c>
      <c r="O71" s="12">
        <f t="shared" si="40"/>
        <v>133</v>
      </c>
      <c r="P71" s="12">
        <f t="shared" si="40"/>
        <v>259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436</v>
      </c>
      <c r="V71" s="12">
        <f t="shared" si="41"/>
        <v>590</v>
      </c>
      <c r="W71" s="12">
        <f t="shared" si="41"/>
        <v>519</v>
      </c>
      <c r="X71" s="12">
        <f t="shared" si="41"/>
        <v>432</v>
      </c>
      <c r="Y71" s="12">
        <f t="shared" si="41"/>
        <v>-2231102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25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249</v>
      </c>
      <c r="O72" s="12">
        <f t="shared" si="42"/>
        <v>444</v>
      </c>
      <c r="P72" s="12">
        <f t="shared" si="42"/>
        <v>81</v>
      </c>
      <c r="Q72" s="12">
        <f t="shared" si="42"/>
        <v>0</v>
      </c>
      <c r="R72" s="12">
        <f t="shared" si="42"/>
        <v>2</v>
      </c>
      <c r="S72" s="12">
        <f t="shared" si="42"/>
        <v>3</v>
      </c>
      <c r="T72" s="12">
        <f t="shared" ref="T72:AE72" si="43">T26-S26</f>
        <v>433</v>
      </c>
      <c r="U72" s="12">
        <f t="shared" si="43"/>
        <v>519</v>
      </c>
      <c r="V72" s="12">
        <f t="shared" si="43"/>
        <v>20</v>
      </c>
      <c r="W72" s="12">
        <f t="shared" si="43"/>
        <v>131</v>
      </c>
      <c r="X72" s="12">
        <f t="shared" si="43"/>
        <v>258</v>
      </c>
      <c r="Y72" s="12">
        <f t="shared" si="43"/>
        <v>-2230065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25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604</v>
      </c>
      <c r="O73" s="12">
        <f t="shared" si="44"/>
        <v>263</v>
      </c>
      <c r="P73" s="12">
        <f t="shared" si="44"/>
        <v>194</v>
      </c>
      <c r="Q73" s="12">
        <f t="shared" si="44"/>
        <v>0</v>
      </c>
      <c r="R73" s="12">
        <f t="shared" si="44"/>
        <v>1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200</v>
      </c>
      <c r="X73" s="12">
        <f t="shared" si="45"/>
        <v>329</v>
      </c>
      <c r="Y73" s="12">
        <f t="shared" si="45"/>
        <v>-2198761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25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261</v>
      </c>
      <c r="O74" s="12">
        <f t="shared" si="46"/>
        <v>272</v>
      </c>
      <c r="P74" s="12">
        <f t="shared" si="46"/>
        <v>250</v>
      </c>
      <c r="Q74" s="12">
        <f t="shared" si="46"/>
        <v>0</v>
      </c>
      <c r="R74" s="12">
        <f t="shared" si="46"/>
        <v>2</v>
      </c>
      <c r="S74" s="12">
        <f t="shared" si="46"/>
        <v>0</v>
      </c>
      <c r="T74" s="12">
        <f t="shared" ref="T74:AE74" si="47">T28-S28</f>
        <v>0</v>
      </c>
      <c r="U74" s="12">
        <f t="shared" si="47"/>
        <v>585</v>
      </c>
      <c r="V74" s="12">
        <f t="shared" si="47"/>
        <v>473</v>
      </c>
      <c r="W74" s="12">
        <f t="shared" si="47"/>
        <v>559</v>
      </c>
      <c r="X74" s="12">
        <f t="shared" si="47"/>
        <v>559</v>
      </c>
      <c r="Y74" s="12">
        <f t="shared" si="47"/>
        <v>-2162800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25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433</v>
      </c>
      <c r="O75" s="12">
        <f t="shared" si="48"/>
        <v>91</v>
      </c>
      <c r="P75" s="12">
        <f t="shared" si="48"/>
        <v>519</v>
      </c>
      <c r="Q75" s="12">
        <f t="shared" si="48"/>
        <v>430</v>
      </c>
      <c r="R75" s="12">
        <f t="shared" si="48"/>
        <v>0</v>
      </c>
      <c r="S75" s="12">
        <f t="shared" si="48"/>
        <v>0</v>
      </c>
      <c r="T75" s="12">
        <f t="shared" si="48"/>
        <v>166</v>
      </c>
      <c r="U75" s="12">
        <f t="shared" ref="U75:AE75" si="49">U29-T29</f>
        <v>0</v>
      </c>
      <c r="V75" s="12">
        <f t="shared" si="49"/>
        <v>0</v>
      </c>
      <c r="W75" s="12">
        <f t="shared" si="49"/>
        <v>177</v>
      </c>
      <c r="X75" s="12">
        <f t="shared" si="49"/>
        <v>432</v>
      </c>
      <c r="Y75" s="12">
        <f t="shared" si="49"/>
        <v>-2114752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25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226</v>
      </c>
      <c r="O76" s="12">
        <f t="shared" si="50"/>
        <v>520</v>
      </c>
      <c r="P76" s="12">
        <f t="shared" si="50"/>
        <v>261</v>
      </c>
      <c r="Q76" s="12">
        <f t="shared" si="50"/>
        <v>347</v>
      </c>
      <c r="R76" s="12">
        <f t="shared" si="50"/>
        <v>0</v>
      </c>
      <c r="S76" s="12">
        <f t="shared" si="50"/>
        <v>474</v>
      </c>
      <c r="T76" s="12">
        <f t="shared" ref="T76:AE76" si="51">T30-S30</f>
        <v>388</v>
      </c>
      <c r="U76" s="12">
        <f t="shared" si="51"/>
        <v>477</v>
      </c>
      <c r="V76" s="12">
        <f t="shared" si="51"/>
        <v>560</v>
      </c>
      <c r="W76" s="12">
        <f t="shared" si="51"/>
        <v>563</v>
      </c>
      <c r="X76" s="12">
        <f t="shared" si="51"/>
        <v>560</v>
      </c>
      <c r="Y76" s="12">
        <f t="shared" si="51"/>
        <v>-1864542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25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518</v>
      </c>
      <c r="O77" s="12">
        <f t="shared" si="52"/>
        <v>519</v>
      </c>
      <c r="P77" s="12">
        <f t="shared" si="52"/>
        <v>159</v>
      </c>
      <c r="Q77" s="12">
        <f t="shared" si="52"/>
        <v>0</v>
      </c>
      <c r="R77" s="12">
        <f t="shared" si="52"/>
        <v>209</v>
      </c>
      <c r="S77" s="12">
        <f t="shared" si="52"/>
        <v>474</v>
      </c>
      <c r="T77" s="12">
        <f t="shared" ref="T77:AE77" si="53">T31-S31</f>
        <v>387</v>
      </c>
      <c r="U77" s="12">
        <f t="shared" si="53"/>
        <v>536</v>
      </c>
      <c r="V77" s="12">
        <f t="shared" si="53"/>
        <v>509</v>
      </c>
      <c r="W77" s="12">
        <f t="shared" si="53"/>
        <v>476</v>
      </c>
      <c r="X77" s="12">
        <f t="shared" si="53"/>
        <v>356</v>
      </c>
      <c r="Y77" s="12">
        <f t="shared" si="53"/>
        <v>-2164632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25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252</v>
      </c>
      <c r="O78" s="12">
        <f t="shared" si="54"/>
        <v>312</v>
      </c>
      <c r="P78" s="12">
        <f t="shared" si="54"/>
        <v>443</v>
      </c>
      <c r="Q78" s="12">
        <f t="shared" si="54"/>
        <v>44</v>
      </c>
      <c r="R78" s="12">
        <f t="shared" si="54"/>
        <v>4</v>
      </c>
      <c r="S78" s="12">
        <f t="shared" si="54"/>
        <v>0</v>
      </c>
      <c r="T78" s="12">
        <f t="shared" ref="T78:AE78" si="55">T32-S32</f>
        <v>219</v>
      </c>
      <c r="U78" s="12">
        <f t="shared" si="55"/>
        <v>562</v>
      </c>
      <c r="V78" s="12">
        <f t="shared" si="55"/>
        <v>504</v>
      </c>
      <c r="W78" s="12">
        <f t="shared" si="55"/>
        <v>522</v>
      </c>
      <c r="X78" s="12">
        <f t="shared" si="55"/>
        <v>268</v>
      </c>
      <c r="Y78" s="12">
        <f t="shared" si="55"/>
        <v>-759840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25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433</v>
      </c>
      <c r="O79" s="12">
        <f t="shared" si="56"/>
        <v>518</v>
      </c>
      <c r="P79" s="12">
        <f t="shared" si="56"/>
        <v>286</v>
      </c>
      <c r="Q79" s="12">
        <f t="shared" si="56"/>
        <v>0</v>
      </c>
      <c r="R79" s="12">
        <f t="shared" si="56"/>
        <v>70</v>
      </c>
      <c r="S79" s="12">
        <f t="shared" si="56"/>
        <v>454</v>
      </c>
      <c r="T79" s="12">
        <f t="shared" ref="T79:AE79" si="57">T33-S33</f>
        <v>-4</v>
      </c>
      <c r="U79" s="12">
        <f t="shared" si="57"/>
        <v>82</v>
      </c>
      <c r="V79" s="12">
        <f t="shared" si="57"/>
        <v>428</v>
      </c>
      <c r="W79" s="12">
        <f t="shared" si="57"/>
        <v>563</v>
      </c>
      <c r="X79" s="12">
        <f t="shared" si="57"/>
        <v>604</v>
      </c>
      <c r="Y79" s="12">
        <f t="shared" si="57"/>
        <v>-695477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143</v>
      </c>
      <c r="O80" s="12">
        <f t="shared" si="58"/>
        <v>451</v>
      </c>
      <c r="P80" s="12">
        <f t="shared" si="58"/>
        <v>81</v>
      </c>
      <c r="Q80" s="12">
        <f t="shared" si="58"/>
        <v>89</v>
      </c>
      <c r="R80" s="12">
        <f t="shared" si="58"/>
        <v>100</v>
      </c>
      <c r="S80" s="12">
        <f t="shared" si="58"/>
        <v>80</v>
      </c>
      <c r="T80" s="12">
        <f t="shared" ref="T80:AE80" si="59">T34-S34</f>
        <v>554</v>
      </c>
      <c r="U80" s="12">
        <f t="shared" si="59"/>
        <v>493</v>
      </c>
      <c r="V80" s="12">
        <f t="shared" si="59"/>
        <v>124</v>
      </c>
      <c r="W80" s="12">
        <f t="shared" si="59"/>
        <v>252</v>
      </c>
      <c r="X80" s="12">
        <f t="shared" si="59"/>
        <v>0</v>
      </c>
      <c r="Y80" s="12">
        <f t="shared" si="59"/>
        <v>-735753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25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451</v>
      </c>
      <c r="O81" s="12">
        <f t="shared" si="60"/>
        <v>245</v>
      </c>
      <c r="P81" s="12">
        <f t="shared" si="60"/>
        <v>251</v>
      </c>
      <c r="Q81" s="12">
        <f t="shared" si="60"/>
        <v>0</v>
      </c>
      <c r="R81" s="12">
        <f t="shared" si="60"/>
        <v>72</v>
      </c>
      <c r="S81" s="12">
        <f t="shared" si="60"/>
        <v>0</v>
      </c>
      <c r="T81" s="12">
        <f t="shared" ref="T81:AE81" si="61">T35-S35</f>
        <v>0</v>
      </c>
      <c r="U81" s="12">
        <f t="shared" si="61"/>
        <v>81</v>
      </c>
      <c r="V81" s="12">
        <f t="shared" si="61"/>
        <v>511</v>
      </c>
      <c r="W81" s="12">
        <f t="shared" si="61"/>
        <v>349</v>
      </c>
      <c r="X81" s="12">
        <f t="shared" si="61"/>
        <v>521</v>
      </c>
      <c r="Y81" s="12">
        <f t="shared" si="61"/>
        <v>-755493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25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366</v>
      </c>
      <c r="O82" s="12">
        <f t="shared" si="62"/>
        <v>450</v>
      </c>
      <c r="P82" s="12">
        <f t="shared" si="62"/>
        <v>538</v>
      </c>
      <c r="Q82" s="12">
        <f t="shared" si="62"/>
        <v>260</v>
      </c>
      <c r="R82" s="12">
        <f t="shared" si="62"/>
        <v>0</v>
      </c>
      <c r="S82" s="12">
        <f t="shared" si="62"/>
        <v>263</v>
      </c>
      <c r="T82" s="12">
        <f t="shared" ref="T82:AE82" si="63">T36-S36</f>
        <v>174</v>
      </c>
      <c r="U82" s="12">
        <f t="shared" si="63"/>
        <v>437</v>
      </c>
      <c r="V82" s="12">
        <f t="shared" si="63"/>
        <v>504</v>
      </c>
      <c r="W82" s="12">
        <f t="shared" si="63"/>
        <v>434</v>
      </c>
      <c r="X82" s="12">
        <f t="shared" si="63"/>
        <v>393</v>
      </c>
      <c r="Y82" s="12">
        <f t="shared" si="63"/>
        <v>-729059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25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452</v>
      </c>
      <c r="O83" s="12">
        <f t="shared" si="64"/>
        <v>330</v>
      </c>
      <c r="P83" s="12">
        <f t="shared" si="64"/>
        <v>293</v>
      </c>
      <c r="Q83" s="12">
        <f t="shared" si="64"/>
        <v>0</v>
      </c>
      <c r="R83" s="12">
        <f t="shared" si="64"/>
        <v>192</v>
      </c>
      <c r="S83" s="12">
        <f t="shared" si="64"/>
        <v>118</v>
      </c>
      <c r="T83" s="12">
        <f t="shared" ref="T83:AE85" si="65">T37-S37</f>
        <v>482</v>
      </c>
      <c r="U83" s="12">
        <f t="shared" si="65"/>
        <v>562</v>
      </c>
      <c r="V83" s="12">
        <f t="shared" si="65"/>
        <v>461</v>
      </c>
      <c r="W83" s="12">
        <f t="shared" si="65"/>
        <v>524</v>
      </c>
      <c r="X83" s="12">
        <f t="shared" si="65"/>
        <v>91</v>
      </c>
      <c r="Y83" s="12">
        <f t="shared" si="65"/>
        <v>-772393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25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436</v>
      </c>
      <c r="O84" s="12">
        <f t="shared" si="66"/>
        <v>348</v>
      </c>
      <c r="P84" s="12">
        <f t="shared" si="66"/>
        <v>562</v>
      </c>
      <c r="Q84" s="12">
        <f t="shared" si="66"/>
        <v>43</v>
      </c>
      <c r="R84" s="12">
        <f t="shared" si="66"/>
        <v>3</v>
      </c>
      <c r="S84" s="12">
        <f t="shared" si="66"/>
        <v>2</v>
      </c>
      <c r="T84" s="12">
        <f t="shared" ref="T84:AE84" si="67">T38-S38</f>
        <v>3</v>
      </c>
      <c r="U84" s="12">
        <f t="shared" si="67"/>
        <v>0</v>
      </c>
      <c r="V84" s="12">
        <f t="shared" si="67"/>
        <v>0</v>
      </c>
      <c r="W84" s="12">
        <f t="shared" si="67"/>
        <v>175</v>
      </c>
      <c r="X84" s="12">
        <f t="shared" si="67"/>
        <v>174</v>
      </c>
      <c r="Y84" s="12">
        <f t="shared" si="67"/>
        <v>-416400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25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110</v>
      </c>
      <c r="O85" s="12">
        <f t="shared" si="68"/>
        <v>89</v>
      </c>
      <c r="P85" s="12">
        <f t="shared" si="68"/>
        <v>522</v>
      </c>
      <c r="Q85" s="12">
        <f t="shared" si="68"/>
        <v>475</v>
      </c>
      <c r="R85" s="12">
        <f t="shared" si="68"/>
        <v>304</v>
      </c>
      <c r="S85" s="12">
        <f t="shared" si="68"/>
        <v>374</v>
      </c>
      <c r="T85" s="12">
        <f t="shared" ref="T85:AE85" si="69">T39-S39</f>
        <v>389</v>
      </c>
      <c r="U85" s="12">
        <f t="shared" si="69"/>
        <v>559</v>
      </c>
      <c r="V85" s="12">
        <f t="shared" si="69"/>
        <v>480</v>
      </c>
      <c r="W85" s="12">
        <f t="shared" si="69"/>
        <v>434</v>
      </c>
      <c r="X85" s="12">
        <f t="shared" si="69"/>
        <v>354</v>
      </c>
      <c r="Y85" s="12">
        <f t="shared" si="69"/>
        <v>-747947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25">
      <c r="A86" s="325" t="s">
        <v>177</v>
      </c>
      <c r="B86" s="224">
        <v>172</v>
      </c>
      <c r="C86" s="324">
        <f t="shared" ref="C86:E86" si="70">C43-B43</f>
        <v>128</v>
      </c>
      <c r="D86" s="324">
        <f t="shared" si="70"/>
        <v>87</v>
      </c>
      <c r="E86" s="324">
        <f t="shared" si="70"/>
        <v>0</v>
      </c>
      <c r="F86" s="324">
        <f t="shared" ref="F86:K86" si="71">F43-E43</f>
        <v>0</v>
      </c>
      <c r="G86" s="324">
        <f t="shared" si="71"/>
        <v>175</v>
      </c>
      <c r="H86" s="324">
        <f t="shared" si="71"/>
        <v>174</v>
      </c>
      <c r="I86" s="12">
        <f t="shared" si="71"/>
        <v>348</v>
      </c>
      <c r="J86" s="324">
        <f t="shared" si="71"/>
        <v>124</v>
      </c>
      <c r="K86" s="324">
        <f t="shared" si="71"/>
        <v>203</v>
      </c>
      <c r="L86" s="324">
        <f t="shared" ref="L86:AE86" si="72">L43-K43</f>
        <v>29</v>
      </c>
      <c r="M86" s="324">
        <f t="shared" si="72"/>
        <v>87</v>
      </c>
      <c r="N86" s="324">
        <f t="shared" si="72"/>
        <v>28</v>
      </c>
      <c r="O86" s="324">
        <f t="shared" si="72"/>
        <v>0</v>
      </c>
      <c r="P86" s="324">
        <f t="shared" si="72"/>
        <v>0</v>
      </c>
      <c r="Q86" s="324">
        <f t="shared" si="72"/>
        <v>0</v>
      </c>
      <c r="R86" s="324">
        <f t="shared" si="72"/>
        <v>0</v>
      </c>
      <c r="S86" s="324">
        <f>S43-R43</f>
        <v>0</v>
      </c>
      <c r="T86" s="324">
        <f t="shared" si="72"/>
        <v>0</v>
      </c>
      <c r="U86" s="324">
        <f t="shared" si="72"/>
        <v>261</v>
      </c>
      <c r="V86" s="324">
        <f t="shared" si="72"/>
        <v>173</v>
      </c>
      <c r="W86" s="324">
        <f t="shared" si="72"/>
        <v>262</v>
      </c>
      <c r="X86" s="324">
        <f t="shared" si="72"/>
        <v>209</v>
      </c>
      <c r="Y86" s="324">
        <f t="shared" si="72"/>
        <v>-16662</v>
      </c>
      <c r="Z86" s="12">
        <f>Z43-Y43</f>
        <v>0</v>
      </c>
      <c r="AA86" s="12">
        <f>AA43-Z43</f>
        <v>0</v>
      </c>
      <c r="AB86" s="324">
        <f>AB43-AA43</f>
        <v>0</v>
      </c>
      <c r="AC86" s="324">
        <f>AC43-AB43</f>
        <v>0</v>
      </c>
      <c r="AD86" s="324">
        <f t="shared" si="72"/>
        <v>0</v>
      </c>
      <c r="AE86" s="324">
        <f t="shared" si="72"/>
        <v>0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11815</v>
      </c>
      <c r="O88" s="16">
        <f t="shared" si="74"/>
        <v>11720</v>
      </c>
      <c r="P88" s="16">
        <f t="shared" si="74"/>
        <v>11747</v>
      </c>
      <c r="Q88" s="16">
        <f t="shared" si="74"/>
        <v>5053</v>
      </c>
      <c r="R88" s="16">
        <f t="shared" si="74"/>
        <v>3039</v>
      </c>
      <c r="S88" s="16">
        <f t="shared" si="74"/>
        <v>5960</v>
      </c>
      <c r="T88" s="16">
        <f t="shared" si="74"/>
        <v>5241</v>
      </c>
      <c r="U88" s="16">
        <f t="shared" si="74"/>
        <v>8460</v>
      </c>
      <c r="V88" s="16">
        <f t="shared" si="74"/>
        <v>9049</v>
      </c>
      <c r="W88" s="16">
        <f t="shared" si="74"/>
        <v>10911</v>
      </c>
      <c r="X88" s="16">
        <f t="shared" si="74"/>
        <v>11104</v>
      </c>
      <c r="Y88" s="16">
        <f t="shared" si="74"/>
        <v>-64167162</v>
      </c>
      <c r="Z88" s="16">
        <f t="shared" si="74"/>
        <v>0</v>
      </c>
      <c r="AA88" s="16">
        <f t="shared" si="74"/>
        <v>0</v>
      </c>
      <c r="AB88" s="16">
        <f t="shared" si="74"/>
        <v>0</v>
      </c>
      <c r="AC88" s="16">
        <f t="shared" si="74"/>
        <v>0</v>
      </c>
      <c r="AD88" s="16">
        <f t="shared" si="74"/>
        <v>0</v>
      </c>
      <c r="AE88" s="16">
        <f t="shared" si="74"/>
        <v>0</v>
      </c>
    </row>
    <row r="89" spans="1:31" s="124" customFormat="1" x14ac:dyDescent="0.25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25">
      <c r="A90" s="323" t="s">
        <v>176</v>
      </c>
      <c r="B90" s="224">
        <v>0</v>
      </c>
      <c r="C90" s="324">
        <f t="shared" ref="C90:H91" si="75">C41-B41</f>
        <v>0</v>
      </c>
      <c r="D90" s="324">
        <f t="shared" si="75"/>
        <v>0</v>
      </c>
      <c r="E90" s="324">
        <f t="shared" si="75"/>
        <v>0</v>
      </c>
      <c r="F90" s="324">
        <f t="shared" si="75"/>
        <v>0</v>
      </c>
      <c r="G90" s="324">
        <f t="shared" si="75"/>
        <v>0</v>
      </c>
      <c r="H90" s="324">
        <f t="shared" ref="H90" si="76">H41-G41</f>
        <v>0</v>
      </c>
      <c r="I90" s="324">
        <f>I41-H41</f>
        <v>0</v>
      </c>
      <c r="J90" s="324">
        <f>J42-I42</f>
        <v>0</v>
      </c>
      <c r="K90" s="324">
        <f>K41-J41</f>
        <v>0</v>
      </c>
      <c r="L90" s="324">
        <f t="shared" ref="L90:Y91" si="77">L41-K41</f>
        <v>0</v>
      </c>
      <c r="M90" s="324">
        <f t="shared" si="77"/>
        <v>0</v>
      </c>
      <c r="N90" s="324">
        <f t="shared" si="77"/>
        <v>0</v>
      </c>
      <c r="O90" s="324">
        <f t="shared" si="77"/>
        <v>0</v>
      </c>
      <c r="P90" s="324">
        <f t="shared" si="77"/>
        <v>0</v>
      </c>
      <c r="Q90" s="324">
        <f t="shared" si="77"/>
        <v>0</v>
      </c>
      <c r="R90" s="324">
        <f>R41-Q41</f>
        <v>0</v>
      </c>
      <c r="S90" s="324">
        <f t="shared" ref="S90:T90" si="78">S41-R41</f>
        <v>0</v>
      </c>
      <c r="T90" s="324">
        <f t="shared" si="78"/>
        <v>0</v>
      </c>
      <c r="U90" s="324">
        <f>U42-T42</f>
        <v>0</v>
      </c>
      <c r="V90" s="324">
        <f>V42-U42</f>
        <v>0</v>
      </c>
      <c r="W90" s="324">
        <f>W41-V41</f>
        <v>0</v>
      </c>
      <c r="X90" s="324">
        <f t="shared" si="77"/>
        <v>0</v>
      </c>
      <c r="Y90" s="324">
        <f t="shared" si="77"/>
        <v>-3675</v>
      </c>
      <c r="Z90" s="324">
        <f t="shared" ref="Z90:AB91" si="79">Z41-Y41</f>
        <v>0</v>
      </c>
      <c r="AA90" s="324">
        <f t="shared" si="79"/>
        <v>0</v>
      </c>
      <c r="AB90" s="324">
        <f t="shared" si="79"/>
        <v>0</v>
      </c>
      <c r="AC90" s="324">
        <f>AC41-AB41</f>
        <v>0</v>
      </c>
      <c r="AD90" s="324">
        <f t="shared" ref="AD90:AE91" si="80">AD41-AC41</f>
        <v>0</v>
      </c>
      <c r="AE90" s="324">
        <f t="shared" si="80"/>
        <v>0</v>
      </c>
    </row>
    <row r="91" spans="1:31" s="124" customFormat="1" x14ac:dyDescent="0.25">
      <c r="A91" s="323" t="s">
        <v>178</v>
      </c>
      <c r="B91" s="224">
        <v>0</v>
      </c>
      <c r="C91" s="324">
        <f t="shared" si="75"/>
        <v>0</v>
      </c>
      <c r="D91" s="324">
        <f t="shared" si="75"/>
        <v>0</v>
      </c>
      <c r="E91" s="324">
        <f t="shared" si="75"/>
        <v>0</v>
      </c>
      <c r="F91" s="324">
        <f t="shared" si="75"/>
        <v>0</v>
      </c>
      <c r="G91" s="324">
        <f t="shared" si="75"/>
        <v>0</v>
      </c>
      <c r="H91" s="324">
        <f t="shared" si="75"/>
        <v>0</v>
      </c>
      <c r="I91" s="324">
        <v>0</v>
      </c>
      <c r="J91" s="324">
        <v>0</v>
      </c>
      <c r="K91" s="324">
        <v>0</v>
      </c>
      <c r="L91" s="324">
        <v>0</v>
      </c>
      <c r="M91" s="324">
        <v>0</v>
      </c>
      <c r="N91" s="324">
        <v>0</v>
      </c>
      <c r="O91" s="324">
        <v>0</v>
      </c>
      <c r="P91" s="324">
        <v>0</v>
      </c>
      <c r="Q91" s="324">
        <f t="shared" si="77"/>
        <v>0</v>
      </c>
      <c r="R91" s="324">
        <f t="shared" ref="R91" si="81">R42-Q42</f>
        <v>0</v>
      </c>
      <c r="S91" s="324">
        <f t="shared" ref="S91" si="82">S42-R42</f>
        <v>0</v>
      </c>
      <c r="T91" s="324">
        <f t="shared" ref="T91" si="83">T42-S42</f>
        <v>0</v>
      </c>
      <c r="U91" s="324">
        <f t="shared" ref="U91" si="84">U42-T42</f>
        <v>0</v>
      </c>
      <c r="V91" s="324">
        <f t="shared" ref="V91" si="85">V42-U42</f>
        <v>0</v>
      </c>
      <c r="W91" s="324">
        <f t="shared" ref="W91" si="86">W42-V42</f>
        <v>0</v>
      </c>
      <c r="X91" s="324">
        <f t="shared" ref="X91" si="87">X42-W42</f>
        <v>0</v>
      </c>
      <c r="Y91" s="324">
        <f t="shared" ref="Y91" si="88">Y42-X42</f>
        <v>-2001</v>
      </c>
      <c r="Z91" s="324">
        <f t="shared" si="79"/>
        <v>0</v>
      </c>
      <c r="AA91" s="324">
        <f t="shared" si="79"/>
        <v>0</v>
      </c>
      <c r="AB91" s="324">
        <f t="shared" si="79"/>
        <v>0</v>
      </c>
      <c r="AC91" s="324">
        <f>AC42-AB42</f>
        <v>0</v>
      </c>
      <c r="AD91" s="324">
        <f t="shared" si="80"/>
        <v>0</v>
      </c>
      <c r="AE91" s="324">
        <f t="shared" ref="AE91" si="89">AE42-AD42</f>
        <v>0</v>
      </c>
    </row>
    <row r="92" spans="1:31" s="124" customFormat="1" x14ac:dyDescent="0.25">
      <c r="A92" s="323" t="s">
        <v>179</v>
      </c>
      <c r="B92" s="224">
        <v>0</v>
      </c>
      <c r="C92" s="324">
        <f t="shared" ref="C92:G93" si="90">C44-B44</f>
        <v>0</v>
      </c>
      <c r="D92" s="324">
        <f t="shared" si="90"/>
        <v>0</v>
      </c>
      <c r="E92" s="324">
        <f t="shared" si="90"/>
        <v>0</v>
      </c>
      <c r="F92" s="324">
        <f t="shared" si="90"/>
        <v>0</v>
      </c>
      <c r="G92" s="324">
        <f t="shared" si="90"/>
        <v>0</v>
      </c>
      <c r="H92" s="324">
        <f t="shared" ref="H92:H93" si="91">H44-G44</f>
        <v>0</v>
      </c>
      <c r="I92" s="324">
        <f t="shared" ref="I92:I93" si="92">H44-G44</f>
        <v>0</v>
      </c>
      <c r="J92" s="324">
        <f>J44-I44</f>
        <v>0</v>
      </c>
      <c r="K92" s="324">
        <f>K44-J44</f>
        <v>0</v>
      </c>
      <c r="L92" s="324">
        <f t="shared" ref="L92:L93" si="93">L44-K44</f>
        <v>0</v>
      </c>
      <c r="M92" s="324">
        <f t="shared" ref="M92:M93" si="94">M44-L44</f>
        <v>0</v>
      </c>
      <c r="N92" s="324">
        <f t="shared" ref="N92:N93" si="95">N44-M44</f>
        <v>0</v>
      </c>
      <c r="O92" s="324">
        <f t="shared" ref="O92:O93" si="96">O44-N44</f>
        <v>0</v>
      </c>
      <c r="P92" s="324">
        <f t="shared" ref="P92:P93" si="97">P44-O44</f>
        <v>0</v>
      </c>
      <c r="Q92" s="324">
        <f t="shared" ref="Q92" si="98">Q44-P44</f>
        <v>0</v>
      </c>
      <c r="R92" s="324">
        <f t="shared" ref="R92" si="99">R44-Q44</f>
        <v>0</v>
      </c>
      <c r="S92" s="324">
        <f>S44-R44</f>
        <v>0</v>
      </c>
      <c r="T92" s="324">
        <f>T44-S44</f>
        <v>0</v>
      </c>
      <c r="U92" s="324">
        <f t="shared" ref="U92" si="100">U44-T44</f>
        <v>0</v>
      </c>
      <c r="V92" s="324">
        <f t="shared" ref="V92" si="101">V44-U44</f>
        <v>0</v>
      </c>
      <c r="W92" s="324">
        <f t="shared" ref="W92" si="102">W44-V44</f>
        <v>0</v>
      </c>
      <c r="X92" s="324">
        <f t="shared" ref="X92:X93" si="103">X44-W44</f>
        <v>0</v>
      </c>
      <c r="Y92" s="324">
        <f t="shared" ref="Y92:Y93" si="104">Y44-X44</f>
        <v>-1802</v>
      </c>
      <c r="Z92" s="324">
        <f t="shared" ref="Z92:AB93" si="105">Z44-Y44</f>
        <v>0</v>
      </c>
      <c r="AA92" s="324">
        <f t="shared" si="105"/>
        <v>0</v>
      </c>
      <c r="AB92" s="324">
        <f t="shared" si="105"/>
        <v>0</v>
      </c>
      <c r="AC92" s="324">
        <f>AC44-AB44</f>
        <v>0</v>
      </c>
      <c r="AD92" s="324">
        <f t="shared" ref="AD92:AE93" si="106">AD44-AC44</f>
        <v>0</v>
      </c>
      <c r="AE92" s="324">
        <f t="shared" si="106"/>
        <v>0</v>
      </c>
    </row>
    <row r="93" spans="1:31" s="124" customFormat="1" x14ac:dyDescent="0.25">
      <c r="A93" s="325" t="s">
        <v>180</v>
      </c>
      <c r="B93" s="224">
        <v>0</v>
      </c>
      <c r="C93" s="324">
        <f t="shared" si="90"/>
        <v>0</v>
      </c>
      <c r="D93" s="324">
        <f t="shared" si="90"/>
        <v>0</v>
      </c>
      <c r="E93" s="324">
        <f t="shared" si="90"/>
        <v>0</v>
      </c>
      <c r="F93" s="324">
        <f t="shared" si="90"/>
        <v>0</v>
      </c>
      <c r="G93" s="324">
        <f t="shared" si="90"/>
        <v>0</v>
      </c>
      <c r="H93" s="324">
        <f t="shared" si="91"/>
        <v>0</v>
      </c>
      <c r="I93" s="324">
        <f t="shared" si="92"/>
        <v>0</v>
      </c>
      <c r="J93" s="324">
        <f t="shared" ref="J93" si="107">I45-H45</f>
        <v>0</v>
      </c>
      <c r="K93" s="324">
        <f t="shared" ref="K93" si="108">J45-I45</f>
        <v>0</v>
      </c>
      <c r="L93" s="324">
        <f t="shared" si="93"/>
        <v>0</v>
      </c>
      <c r="M93" s="324">
        <f t="shared" si="94"/>
        <v>0</v>
      </c>
      <c r="N93" s="324">
        <f t="shared" si="95"/>
        <v>0</v>
      </c>
      <c r="O93" s="324">
        <f t="shared" si="96"/>
        <v>0</v>
      </c>
      <c r="P93" s="324">
        <f t="shared" si="97"/>
        <v>0</v>
      </c>
      <c r="Q93" s="324">
        <f t="shared" ref="Q93" si="109">Q45-P45</f>
        <v>0</v>
      </c>
      <c r="R93" s="324">
        <f t="shared" ref="R93" si="110">R45-Q45</f>
        <v>0</v>
      </c>
      <c r="S93" s="324">
        <f>S45-R45</f>
        <v>0</v>
      </c>
      <c r="T93" s="324">
        <f>T45-S45</f>
        <v>0</v>
      </c>
      <c r="U93" s="324">
        <f t="shared" ref="U93" si="111">U45-T45</f>
        <v>0</v>
      </c>
      <c r="V93" s="324">
        <f t="shared" ref="V93" si="112">V45-U45</f>
        <v>0</v>
      </c>
      <c r="W93" s="324">
        <f t="shared" ref="W93" si="113">W45-V45</f>
        <v>0</v>
      </c>
      <c r="X93" s="324">
        <f t="shared" si="103"/>
        <v>0</v>
      </c>
      <c r="Y93" s="324">
        <f t="shared" si="104"/>
        <v>-2123</v>
      </c>
      <c r="Z93" s="324">
        <f t="shared" si="105"/>
        <v>0</v>
      </c>
      <c r="AA93" s="324">
        <f t="shared" si="105"/>
        <v>0</v>
      </c>
      <c r="AB93" s="324">
        <f t="shared" si="105"/>
        <v>0</v>
      </c>
      <c r="AC93" s="324">
        <f>AC45-AB45</f>
        <v>0</v>
      </c>
      <c r="AD93" s="324">
        <f t="shared" si="106"/>
        <v>0</v>
      </c>
      <c r="AE93" s="324">
        <f t="shared" ref="AE93" si="114">AE45-AD45</f>
        <v>0</v>
      </c>
    </row>
    <row r="102" spans="14:21" ht="15.75" thickBot="1" x14ac:dyDescent="0.3"/>
    <row r="103" spans="14:21" ht="15.75" thickBot="1" x14ac:dyDescent="0.3">
      <c r="N103" s="351" t="s">
        <v>196</v>
      </c>
      <c r="O103" s="351">
        <v>2146678</v>
      </c>
      <c r="P103" s="351">
        <v>2147043</v>
      </c>
      <c r="Q103" s="351">
        <v>365</v>
      </c>
      <c r="R103" s="351">
        <v>0</v>
      </c>
      <c r="S103" s="351">
        <v>345.04</v>
      </c>
      <c r="T103" s="351" t="s">
        <v>197</v>
      </c>
      <c r="U103" s="351"/>
    </row>
    <row r="104" spans="14:21" ht="15.75" thickBot="1" x14ac:dyDescent="0.3">
      <c r="N104" s="351" t="s">
        <v>198</v>
      </c>
      <c r="O104" s="351">
        <v>2109681</v>
      </c>
      <c r="P104" s="351">
        <v>2110287</v>
      </c>
      <c r="Q104" s="351">
        <v>606</v>
      </c>
      <c r="R104" s="351">
        <v>0</v>
      </c>
      <c r="S104" s="351">
        <v>603.82000000000005</v>
      </c>
      <c r="T104" s="351" t="s">
        <v>199</v>
      </c>
      <c r="U104" s="351"/>
    </row>
    <row r="105" spans="14:21" ht="15.75" thickBot="1" x14ac:dyDescent="0.3">
      <c r="N105" s="351" t="s">
        <v>200</v>
      </c>
      <c r="O105" s="351">
        <v>2187980</v>
      </c>
      <c r="P105" s="351">
        <v>2188541</v>
      </c>
      <c r="Q105" s="351">
        <v>561</v>
      </c>
      <c r="R105" s="351">
        <v>0</v>
      </c>
      <c r="S105" s="351">
        <v>560.69000000000005</v>
      </c>
      <c r="T105" s="351" t="s">
        <v>201</v>
      </c>
      <c r="U105" s="351"/>
    </row>
    <row r="106" spans="14:21" ht="15.75" thickBot="1" x14ac:dyDescent="0.3">
      <c r="N106" s="351" t="s">
        <v>202</v>
      </c>
      <c r="O106" s="351">
        <v>2194103</v>
      </c>
      <c r="P106" s="351">
        <v>2194352</v>
      </c>
      <c r="Q106" s="351">
        <v>249</v>
      </c>
      <c r="R106" s="351">
        <v>7.64</v>
      </c>
      <c r="S106" s="351">
        <v>232.88</v>
      </c>
      <c r="T106" s="351" t="s">
        <v>203</v>
      </c>
      <c r="U106" s="351"/>
    </row>
    <row r="107" spans="14:21" ht="15.75" thickBot="1" x14ac:dyDescent="0.3">
      <c r="N107" s="351" t="s">
        <v>204</v>
      </c>
      <c r="O107" s="351">
        <v>2110319</v>
      </c>
      <c r="P107" s="351">
        <v>2110451</v>
      </c>
      <c r="Q107" s="351">
        <v>132</v>
      </c>
      <c r="R107" s="351">
        <v>7.64</v>
      </c>
      <c r="S107" s="351">
        <v>116.44</v>
      </c>
      <c r="T107" s="351" t="s">
        <v>205</v>
      </c>
      <c r="U107" s="351"/>
    </row>
    <row r="108" spans="14:21" ht="15.75" thickBot="1" x14ac:dyDescent="0.3">
      <c r="N108" s="351" t="s">
        <v>206</v>
      </c>
      <c r="O108" s="351">
        <v>2216260</v>
      </c>
      <c r="P108" s="351">
        <v>2216281</v>
      </c>
      <c r="Q108" s="351">
        <v>21</v>
      </c>
      <c r="R108" s="351">
        <v>0</v>
      </c>
      <c r="S108" s="351">
        <v>0</v>
      </c>
      <c r="T108" s="351">
        <v>21</v>
      </c>
      <c r="U108" s="351"/>
    </row>
    <row r="109" spans="14:21" ht="15.75" thickBot="1" x14ac:dyDescent="0.3">
      <c r="N109" s="351" t="s">
        <v>207</v>
      </c>
      <c r="O109" s="351">
        <v>2253743</v>
      </c>
      <c r="P109" s="351">
        <v>2254067</v>
      </c>
      <c r="Q109" s="351">
        <v>324</v>
      </c>
      <c r="R109" s="351">
        <v>25.47</v>
      </c>
      <c r="S109" s="351">
        <v>288.95999999999998</v>
      </c>
      <c r="T109" s="351" t="s">
        <v>208</v>
      </c>
      <c r="U109" s="351"/>
    </row>
    <row r="110" spans="14:21" ht="15.75" thickBot="1" x14ac:dyDescent="0.3">
      <c r="N110" s="351" t="s">
        <v>209</v>
      </c>
      <c r="O110" s="351">
        <v>2149891</v>
      </c>
      <c r="P110" s="351">
        <v>2149896</v>
      </c>
      <c r="Q110" s="351">
        <v>5</v>
      </c>
      <c r="R110" s="351">
        <v>0</v>
      </c>
      <c r="S110" s="351">
        <v>0</v>
      </c>
      <c r="T110" s="351">
        <v>5</v>
      </c>
      <c r="U110" s="351"/>
    </row>
    <row r="111" spans="14:21" ht="15.75" thickBot="1" x14ac:dyDescent="0.3">
      <c r="N111" s="351" t="s">
        <v>210</v>
      </c>
      <c r="O111" s="351">
        <v>2135056</v>
      </c>
      <c r="P111" s="351">
        <v>2135334</v>
      </c>
      <c r="Q111" s="351">
        <v>278</v>
      </c>
      <c r="R111" s="351">
        <v>25.47</v>
      </c>
      <c r="S111" s="351">
        <v>245.83</v>
      </c>
      <c r="T111" s="351" t="s">
        <v>211</v>
      </c>
      <c r="U111" s="351"/>
    </row>
    <row r="112" spans="14:21" ht="15.75" thickBot="1" x14ac:dyDescent="0.3">
      <c r="N112" s="351" t="s">
        <v>212</v>
      </c>
      <c r="O112" s="351">
        <v>2204478</v>
      </c>
      <c r="P112" s="351">
        <v>2204478</v>
      </c>
      <c r="Q112" s="351">
        <v>0</v>
      </c>
      <c r="R112" s="351">
        <v>0</v>
      </c>
      <c r="S112" s="351">
        <v>0</v>
      </c>
      <c r="T112" s="351">
        <v>0</v>
      </c>
      <c r="U112" s="351"/>
    </row>
    <row r="113" spans="14:21" ht="15.75" thickBot="1" x14ac:dyDescent="0.3">
      <c r="N113" s="351" t="s">
        <v>213</v>
      </c>
      <c r="O113" s="351">
        <v>2231967</v>
      </c>
      <c r="P113" s="351">
        <v>2232247</v>
      </c>
      <c r="Q113" s="351">
        <v>280</v>
      </c>
      <c r="R113" s="351">
        <v>14.01</v>
      </c>
      <c r="S113" s="351">
        <v>230.74</v>
      </c>
      <c r="T113" s="352" t="s">
        <v>214</v>
      </c>
      <c r="U113" s="351"/>
    </row>
    <row r="114" spans="14:21" ht="15.75" thickBot="1" x14ac:dyDescent="0.3">
      <c r="N114" s="351" t="s">
        <v>215</v>
      </c>
      <c r="O114" s="351">
        <v>2077046</v>
      </c>
      <c r="P114" s="351">
        <v>2077177</v>
      </c>
      <c r="Q114" s="351">
        <v>131</v>
      </c>
      <c r="R114" s="351">
        <v>7.64</v>
      </c>
      <c r="S114" s="351">
        <v>116.44</v>
      </c>
      <c r="T114" s="351" t="s">
        <v>216</v>
      </c>
      <c r="U114" s="351"/>
    </row>
    <row r="115" spans="14:21" ht="15.75" thickBot="1" x14ac:dyDescent="0.3">
      <c r="N115" s="351" t="s">
        <v>217</v>
      </c>
      <c r="O115" s="351">
        <v>2181549</v>
      </c>
      <c r="P115" s="351">
        <v>2181593</v>
      </c>
      <c r="Q115" s="351">
        <v>44</v>
      </c>
      <c r="R115" s="351">
        <v>0</v>
      </c>
      <c r="S115" s="351">
        <v>0</v>
      </c>
      <c r="T115" s="352">
        <v>44</v>
      </c>
      <c r="U115" s="351"/>
    </row>
    <row r="116" spans="14:21" ht="15.75" thickBot="1" x14ac:dyDescent="0.3">
      <c r="N116" s="351" t="s">
        <v>218</v>
      </c>
      <c r="O116" s="351">
        <v>2155634</v>
      </c>
      <c r="P116" s="351">
        <v>2155884</v>
      </c>
      <c r="Q116" s="351">
        <v>250</v>
      </c>
      <c r="R116" s="351">
        <v>7.64</v>
      </c>
      <c r="S116" s="351">
        <v>232.88</v>
      </c>
      <c r="T116" s="351" t="s">
        <v>219</v>
      </c>
      <c r="U116" s="351"/>
    </row>
    <row r="117" spans="14:21" ht="15.75" thickBot="1" x14ac:dyDescent="0.3">
      <c r="N117" s="351" t="s">
        <v>220</v>
      </c>
      <c r="O117" s="351">
        <v>2236752</v>
      </c>
      <c r="P117" s="351">
        <v>2236752</v>
      </c>
      <c r="Q117" s="351">
        <v>0</v>
      </c>
      <c r="R117" s="351">
        <v>0</v>
      </c>
      <c r="S117" s="351">
        <v>0</v>
      </c>
      <c r="T117" s="351">
        <v>0</v>
      </c>
      <c r="U117" s="351"/>
    </row>
    <row r="118" spans="14:21" ht="15.75" thickBot="1" x14ac:dyDescent="0.3">
      <c r="N118" s="351" t="s">
        <v>221</v>
      </c>
      <c r="O118" s="351">
        <v>2212583</v>
      </c>
      <c r="P118" s="351">
        <v>2212583</v>
      </c>
      <c r="Q118" s="351">
        <v>0</v>
      </c>
      <c r="R118" s="351">
        <v>0</v>
      </c>
      <c r="S118" s="351">
        <v>0</v>
      </c>
      <c r="T118" s="351">
        <v>0</v>
      </c>
      <c r="U118" s="351"/>
    </row>
    <row r="119" spans="14:21" ht="15.75" thickBot="1" x14ac:dyDescent="0.3">
      <c r="N119" s="351" t="s">
        <v>222</v>
      </c>
      <c r="O119" s="351">
        <v>2217635</v>
      </c>
      <c r="P119" s="351">
        <v>2217766</v>
      </c>
      <c r="Q119" s="351">
        <v>131</v>
      </c>
      <c r="R119" s="351">
        <v>0</v>
      </c>
      <c r="S119" s="351">
        <v>129.38999999999999</v>
      </c>
      <c r="T119" s="351" t="s">
        <v>223</v>
      </c>
      <c r="U119" s="351"/>
    </row>
    <row r="120" spans="14:21" ht="15.75" thickBot="1" x14ac:dyDescent="0.3">
      <c r="N120" s="351" t="s">
        <v>224</v>
      </c>
      <c r="O120" s="351">
        <v>2146860</v>
      </c>
      <c r="P120" s="351">
        <v>2147464</v>
      </c>
      <c r="Q120" s="351">
        <v>604</v>
      </c>
      <c r="R120" s="351">
        <v>0</v>
      </c>
      <c r="S120" s="351">
        <v>603.82000000000005</v>
      </c>
      <c r="T120" s="351" t="s">
        <v>225</v>
      </c>
      <c r="U120" s="351"/>
    </row>
    <row r="121" spans="14:21" ht="15.75" thickBot="1" x14ac:dyDescent="0.3">
      <c r="N121" s="351" t="s">
        <v>226</v>
      </c>
      <c r="O121" s="351">
        <v>2176413</v>
      </c>
      <c r="P121" s="351">
        <v>2176616</v>
      </c>
      <c r="Q121" s="351">
        <v>203</v>
      </c>
      <c r="R121" s="351">
        <v>15.28</v>
      </c>
      <c r="S121" s="351">
        <v>174.66</v>
      </c>
      <c r="T121" s="351" t="s">
        <v>227</v>
      </c>
      <c r="U121" s="351"/>
    </row>
    <row r="122" spans="14:21" ht="15.75" thickBot="1" x14ac:dyDescent="0.3">
      <c r="N122" s="351" t="s">
        <v>228</v>
      </c>
      <c r="O122" s="351">
        <v>2216521</v>
      </c>
      <c r="P122" s="351">
        <v>2217108</v>
      </c>
      <c r="Q122" s="351">
        <v>587</v>
      </c>
      <c r="R122" s="351">
        <v>0</v>
      </c>
      <c r="S122" s="351">
        <v>586.09</v>
      </c>
      <c r="T122" s="351" t="s">
        <v>229</v>
      </c>
      <c r="U122" s="351"/>
    </row>
    <row r="123" spans="14:21" ht="15.75" thickBot="1" x14ac:dyDescent="0.3">
      <c r="N123" s="351" t="s">
        <v>230</v>
      </c>
      <c r="O123" s="351">
        <v>2230151</v>
      </c>
      <c r="P123" s="351">
        <v>2230670</v>
      </c>
      <c r="Q123" s="351">
        <v>519</v>
      </c>
      <c r="R123" s="351">
        <v>0</v>
      </c>
      <c r="S123" s="351">
        <v>517.55999999999995</v>
      </c>
      <c r="T123" s="351" t="s">
        <v>231</v>
      </c>
      <c r="U123" s="351"/>
    </row>
    <row r="124" spans="14:21" ht="15.75" thickBot="1" x14ac:dyDescent="0.3">
      <c r="N124" s="351" t="s">
        <v>232</v>
      </c>
      <c r="O124" s="351">
        <v>2229676</v>
      </c>
      <c r="P124" s="351">
        <v>2229807</v>
      </c>
      <c r="Q124" s="351">
        <v>131</v>
      </c>
      <c r="R124" s="351">
        <v>7.64</v>
      </c>
      <c r="S124" s="351">
        <v>116.44</v>
      </c>
      <c r="T124" s="351" t="s">
        <v>216</v>
      </c>
      <c r="U124" s="351"/>
    </row>
    <row r="125" spans="14:21" ht="15.75" thickBot="1" x14ac:dyDescent="0.3">
      <c r="N125" s="351" t="s">
        <v>233</v>
      </c>
      <c r="O125" s="351">
        <v>2198232</v>
      </c>
      <c r="P125" s="351">
        <v>2198432</v>
      </c>
      <c r="Q125" s="351">
        <v>200</v>
      </c>
      <c r="R125" s="351">
        <v>0</v>
      </c>
      <c r="S125" s="351">
        <v>215.65</v>
      </c>
      <c r="T125" s="351" t="s">
        <v>234</v>
      </c>
      <c r="U125" s="351"/>
    </row>
    <row r="126" spans="14:21" ht="15.75" thickBot="1" x14ac:dyDescent="0.3">
      <c r="N126" s="351" t="s">
        <v>235</v>
      </c>
      <c r="O126" s="351">
        <v>2161682</v>
      </c>
      <c r="P126" s="351">
        <v>2162241</v>
      </c>
      <c r="Q126" s="351">
        <v>559</v>
      </c>
      <c r="R126" s="351">
        <v>0</v>
      </c>
      <c r="S126" s="351">
        <v>560.69000000000005</v>
      </c>
      <c r="T126" s="351" t="s">
        <v>236</v>
      </c>
      <c r="U126" s="351"/>
    </row>
    <row r="127" spans="14:21" ht="15.75" thickBot="1" x14ac:dyDescent="0.3">
      <c r="N127" s="351" t="s">
        <v>237</v>
      </c>
      <c r="O127" s="351">
        <v>2114143</v>
      </c>
      <c r="P127" s="351">
        <v>2114320</v>
      </c>
      <c r="Q127" s="351">
        <v>177</v>
      </c>
      <c r="R127" s="351">
        <v>0</v>
      </c>
      <c r="S127" s="351">
        <v>172.52</v>
      </c>
      <c r="T127" s="351" t="s">
        <v>238</v>
      </c>
      <c r="U127" s="351"/>
    </row>
    <row r="128" spans="14:21" ht="15.75" thickBot="1" x14ac:dyDescent="0.3">
      <c r="N128" s="351" t="s">
        <v>239</v>
      </c>
      <c r="O128" s="351">
        <v>1863419</v>
      </c>
      <c r="P128" s="351">
        <v>1863982</v>
      </c>
      <c r="Q128" s="351">
        <v>563</v>
      </c>
      <c r="R128" s="351">
        <v>0</v>
      </c>
      <c r="S128" s="351">
        <v>560.69000000000005</v>
      </c>
      <c r="T128" s="351" t="s">
        <v>240</v>
      </c>
      <c r="U128" s="351"/>
    </row>
    <row r="129" spans="14:21" ht="15.75" thickBot="1" x14ac:dyDescent="0.3">
      <c r="N129" s="351" t="s">
        <v>241</v>
      </c>
      <c r="O129" s="351">
        <v>2163800</v>
      </c>
      <c r="P129" s="351">
        <v>2164276</v>
      </c>
      <c r="Q129" s="351">
        <v>476</v>
      </c>
      <c r="R129" s="351">
        <v>0</v>
      </c>
      <c r="S129" s="351">
        <v>474.43</v>
      </c>
      <c r="T129" s="351" t="s">
        <v>242</v>
      </c>
      <c r="U129" s="351"/>
    </row>
    <row r="130" spans="14:21" ht="15.75" thickBot="1" x14ac:dyDescent="0.3">
      <c r="N130" s="351" t="s">
        <v>243</v>
      </c>
      <c r="O130" s="351">
        <v>759050</v>
      </c>
      <c r="P130" s="351">
        <v>759572</v>
      </c>
      <c r="Q130" s="351">
        <v>522</v>
      </c>
      <c r="R130" s="351">
        <v>0</v>
      </c>
      <c r="S130" s="351">
        <v>517.55999999999995</v>
      </c>
      <c r="T130" s="351" t="s">
        <v>244</v>
      </c>
      <c r="U130" s="351"/>
    </row>
    <row r="131" spans="14:21" ht="15.75" thickBot="1" x14ac:dyDescent="0.3">
      <c r="N131" s="351" t="s">
        <v>245</v>
      </c>
      <c r="O131" s="351">
        <v>694310</v>
      </c>
      <c r="P131" s="351">
        <v>694873</v>
      </c>
      <c r="Q131" s="351">
        <v>563</v>
      </c>
      <c r="R131" s="351">
        <v>0</v>
      </c>
      <c r="S131" s="351">
        <v>560.69000000000005</v>
      </c>
      <c r="T131" s="351" t="s">
        <v>240</v>
      </c>
      <c r="U131" s="351"/>
    </row>
    <row r="132" spans="14:21" ht="15.75" thickBot="1" x14ac:dyDescent="0.3">
      <c r="N132" s="351" t="s">
        <v>246</v>
      </c>
      <c r="O132" s="351">
        <v>735501</v>
      </c>
      <c r="P132" s="351">
        <v>735753</v>
      </c>
      <c r="Q132" s="351">
        <v>252</v>
      </c>
      <c r="R132" s="351">
        <v>7.64</v>
      </c>
      <c r="S132" s="351">
        <v>232.88</v>
      </c>
      <c r="T132" s="351" t="s">
        <v>247</v>
      </c>
      <c r="U132" s="351"/>
    </row>
    <row r="133" spans="14:21" ht="15.75" thickBot="1" x14ac:dyDescent="0.3">
      <c r="N133" s="351" t="s">
        <v>248</v>
      </c>
      <c r="O133" s="351">
        <v>754623</v>
      </c>
      <c r="P133" s="351">
        <v>754972</v>
      </c>
      <c r="Q133" s="351">
        <v>349</v>
      </c>
      <c r="R133" s="351">
        <v>0</v>
      </c>
      <c r="S133" s="351">
        <v>345.04</v>
      </c>
      <c r="T133" s="351" t="s">
        <v>249</v>
      </c>
      <c r="U133" s="351"/>
    </row>
    <row r="134" spans="14:21" ht="15.75" thickBot="1" x14ac:dyDescent="0.3">
      <c r="N134" s="353" t="s">
        <v>250</v>
      </c>
      <c r="O134" s="353">
        <v>728232</v>
      </c>
      <c r="P134" s="353">
        <v>728666</v>
      </c>
      <c r="Q134" s="353">
        <v>434</v>
      </c>
      <c r="R134" s="353">
        <v>0</v>
      </c>
      <c r="S134" s="353">
        <v>431.3</v>
      </c>
      <c r="T134" s="353" t="s">
        <v>251</v>
      </c>
      <c r="U134" s="353"/>
    </row>
    <row r="135" spans="14:21" ht="15.75" thickBot="1" x14ac:dyDescent="0.3">
      <c r="N135" s="351" t="s">
        <v>252</v>
      </c>
      <c r="O135" s="351">
        <v>771778</v>
      </c>
      <c r="P135" s="351">
        <v>772302</v>
      </c>
      <c r="Q135" s="351">
        <v>524</v>
      </c>
      <c r="R135" s="351">
        <v>0</v>
      </c>
      <c r="S135" s="351">
        <v>517.55999999999995</v>
      </c>
      <c r="T135" s="351" t="s">
        <v>253</v>
      </c>
      <c r="U135" s="351"/>
    </row>
    <row r="136" spans="14:21" ht="15.75" thickBot="1" x14ac:dyDescent="0.3">
      <c r="N136" s="351" t="s">
        <v>254</v>
      </c>
      <c r="O136" s="351">
        <v>416051</v>
      </c>
      <c r="P136" s="351">
        <v>416226</v>
      </c>
      <c r="Q136" s="351">
        <v>175</v>
      </c>
      <c r="R136" s="351">
        <v>0</v>
      </c>
      <c r="S136" s="351">
        <v>172.52</v>
      </c>
      <c r="T136" s="351" t="s">
        <v>255</v>
      </c>
      <c r="U136" s="351"/>
    </row>
    <row r="137" spans="14:21" ht="15.75" thickBot="1" x14ac:dyDescent="0.3">
      <c r="N137" s="351" t="s">
        <v>256</v>
      </c>
      <c r="O137" s="351">
        <v>747159</v>
      </c>
      <c r="P137" s="351">
        <v>747593</v>
      </c>
      <c r="Q137" s="351">
        <v>434</v>
      </c>
      <c r="R137" s="351">
        <v>0</v>
      </c>
      <c r="S137" s="351">
        <v>431.3</v>
      </c>
      <c r="T137" s="351" t="s">
        <v>251</v>
      </c>
      <c r="U137" s="351"/>
    </row>
    <row r="138" spans="14:21" ht="15.75" thickBot="1" x14ac:dyDescent="0.3">
      <c r="N138" s="351" t="s">
        <v>176</v>
      </c>
      <c r="O138" s="351">
        <v>3675</v>
      </c>
      <c r="P138" s="351">
        <v>3675</v>
      </c>
      <c r="Q138" s="351">
        <v>0</v>
      </c>
      <c r="R138" s="351">
        <v>0</v>
      </c>
      <c r="S138" s="351">
        <v>0</v>
      </c>
      <c r="T138" s="351">
        <v>0</v>
      </c>
      <c r="U138" s="351"/>
    </row>
    <row r="139" spans="14:21" ht="15.75" thickBot="1" x14ac:dyDescent="0.3">
      <c r="N139" s="351" t="s">
        <v>178</v>
      </c>
      <c r="O139" s="351">
        <v>2001</v>
      </c>
      <c r="P139" s="351">
        <v>2001</v>
      </c>
      <c r="Q139" s="351">
        <v>0</v>
      </c>
      <c r="R139" s="351">
        <v>0</v>
      </c>
      <c r="S139" s="351">
        <v>0</v>
      </c>
      <c r="T139" s="351">
        <v>0</v>
      </c>
      <c r="U139" s="351"/>
    </row>
    <row r="140" spans="14:21" ht="15.75" thickBot="1" x14ac:dyDescent="0.3">
      <c r="N140" s="351" t="s">
        <v>177</v>
      </c>
      <c r="O140" s="351">
        <v>16191</v>
      </c>
      <c r="P140" s="351">
        <v>16453</v>
      </c>
      <c r="Q140" s="351">
        <v>262</v>
      </c>
      <c r="R140" s="351">
        <v>0</v>
      </c>
      <c r="S140" s="351">
        <v>258.77999999999997</v>
      </c>
      <c r="T140" s="351" t="s">
        <v>257</v>
      </c>
      <c r="U140" s="351"/>
    </row>
    <row r="141" spans="14:21" ht="15.75" thickBot="1" x14ac:dyDescent="0.3">
      <c r="N141" s="351" t="s">
        <v>179</v>
      </c>
      <c r="O141" s="351">
        <v>1802</v>
      </c>
      <c r="P141" s="351">
        <v>1802</v>
      </c>
      <c r="Q141" s="351">
        <v>0</v>
      </c>
      <c r="R141" s="351">
        <v>0</v>
      </c>
      <c r="S141" s="351">
        <v>0</v>
      </c>
      <c r="T141" s="351">
        <v>0</v>
      </c>
      <c r="U141" s="351"/>
    </row>
    <row r="142" spans="14:21" ht="15.75" thickBot="1" x14ac:dyDescent="0.3">
      <c r="N142" s="351" t="s">
        <v>180</v>
      </c>
      <c r="O142" s="351">
        <v>2123</v>
      </c>
      <c r="P142" s="351">
        <v>2123</v>
      </c>
      <c r="Q142" s="351">
        <v>0</v>
      </c>
      <c r="R142" s="351">
        <v>0</v>
      </c>
      <c r="S142" s="351">
        <v>0</v>
      </c>
      <c r="T142" s="351">
        <v>0</v>
      </c>
      <c r="U142" s="35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7"/>
  <sheetViews>
    <sheetView tabSelected="1" zoomScaleNormal="100" workbookViewId="0">
      <pane ySplit="4" topLeftCell="A128" activePane="bottomLeft" state="frozen"/>
      <selection pane="bottomLeft" activeCell="W165" sqref="W165:W171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4">
        <v>0.72</v>
      </c>
    </row>
    <row r="2" spans="1:34" ht="15.75" thickBot="1" x14ac:dyDescent="0.3">
      <c r="A2" s="17"/>
      <c r="B2" s="379" t="s">
        <v>37</v>
      </c>
      <c r="C2" s="379"/>
      <c r="D2" s="380" t="s">
        <v>37</v>
      </c>
      <c r="E2" s="380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4">
        <v>19</v>
      </c>
    </row>
    <row r="3" spans="1:34" ht="14.1" customHeight="1" x14ac:dyDescent="0.25">
      <c r="A3" s="17"/>
      <c r="B3" s="379" t="s">
        <v>39</v>
      </c>
      <c r="C3" s="379"/>
      <c r="D3" s="380" t="s">
        <v>40</v>
      </c>
      <c r="E3" s="380"/>
      <c r="F3" s="372" t="s">
        <v>41</v>
      </c>
      <c r="G3" s="372" t="s">
        <v>42</v>
      </c>
      <c r="H3" s="372" t="s">
        <v>161</v>
      </c>
      <c r="I3" s="372" t="s">
        <v>43</v>
      </c>
      <c r="J3" s="372" t="s">
        <v>44</v>
      </c>
      <c r="K3" s="372" t="s">
        <v>45</v>
      </c>
      <c r="L3" s="372" t="s">
        <v>46</v>
      </c>
      <c r="M3" s="372" t="s">
        <v>47</v>
      </c>
      <c r="N3" s="362" t="s">
        <v>48</v>
      </c>
      <c r="O3" s="362" t="s">
        <v>49</v>
      </c>
      <c r="P3" s="361"/>
      <c r="Q3" s="363" t="s">
        <v>139</v>
      </c>
      <c r="R3" s="364"/>
      <c r="S3" s="365"/>
      <c r="T3" s="366" t="s">
        <v>142</v>
      </c>
      <c r="U3" s="367"/>
      <c r="V3" s="368"/>
      <c r="W3" s="359" t="s">
        <v>143</v>
      </c>
      <c r="X3" s="359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72"/>
      <c r="G4" s="378"/>
      <c r="H4" s="378"/>
      <c r="I4" s="372"/>
      <c r="J4" s="372"/>
      <c r="K4" s="372"/>
      <c r="L4" s="372"/>
      <c r="M4" s="372"/>
      <c r="N4" s="362"/>
      <c r="O4" s="362"/>
      <c r="P4" s="361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60"/>
      <c r="X4" s="360"/>
    </row>
    <row r="5" spans="1:34" x14ac:dyDescent="0.25">
      <c r="A5" s="60">
        <v>46204</v>
      </c>
      <c r="B5" s="294">
        <v>38</v>
      </c>
      <c r="C5" s="294">
        <v>41</v>
      </c>
      <c r="D5" s="126">
        <f>'Data Ocupacion'!D34</f>
        <v>38</v>
      </c>
      <c r="E5" s="126">
        <f>'Data Ocupacion'!E34</f>
        <v>41</v>
      </c>
      <c r="F5" s="125" t="s">
        <v>38</v>
      </c>
      <c r="G5" s="125">
        <f t="shared" ref="G5:G10" si="0">D5+E5*2</f>
        <v>120</v>
      </c>
      <c r="H5" s="125">
        <f t="shared" ref="H5:H10" si="1">B5+C5*2</f>
        <v>120</v>
      </c>
      <c r="I5" s="125">
        <f t="shared" ref="I5:I10" si="2">D5+E5</f>
        <v>79</v>
      </c>
      <c r="J5" s="125">
        <f>G5*M$2</f>
        <v>5175.6000000000004</v>
      </c>
      <c r="K5" s="153">
        <f>I5*M$2</f>
        <v>3407.27</v>
      </c>
      <c r="L5" s="125">
        <f t="shared" ref="L5:L10" si="3">J5*104</f>
        <v>538262.4</v>
      </c>
      <c r="M5" s="125">
        <f t="shared" ref="M5:M10" si="4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25">
      <c r="A6" s="201"/>
      <c r="B6" s="294">
        <v>36</v>
      </c>
      <c r="C6" s="294">
        <v>42</v>
      </c>
      <c r="D6" s="126">
        <f>'Data Ocupacion'!D35</f>
        <v>36</v>
      </c>
      <c r="E6" s="126">
        <f>'Data Ocupacion'!E35</f>
        <v>42</v>
      </c>
      <c r="F6" s="125" t="s">
        <v>52</v>
      </c>
      <c r="G6" s="125">
        <f t="shared" si="0"/>
        <v>120</v>
      </c>
      <c r="H6" s="125">
        <f t="shared" si="1"/>
        <v>120</v>
      </c>
      <c r="I6" s="125">
        <f t="shared" si="2"/>
        <v>78</v>
      </c>
      <c r="J6" s="125">
        <f>G6*M$2</f>
        <v>5175.6000000000004</v>
      </c>
      <c r="K6" s="153">
        <f>I6*M$2</f>
        <v>3364.1400000000003</v>
      </c>
      <c r="L6" s="125">
        <f t="shared" si="3"/>
        <v>538262.4</v>
      </c>
      <c r="M6" s="125">
        <f t="shared" si="4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25">
      <c r="A7" s="201"/>
      <c r="B7" s="294">
        <v>33</v>
      </c>
      <c r="C7" s="294">
        <v>3</v>
      </c>
      <c r="D7" s="126">
        <f>'Data Ocupacion'!D36</f>
        <v>33</v>
      </c>
      <c r="E7" s="126">
        <f>'Data Ocupacion'!E36</f>
        <v>3</v>
      </c>
      <c r="F7" s="125" t="s">
        <v>36</v>
      </c>
      <c r="G7" s="125">
        <f t="shared" si="0"/>
        <v>39</v>
      </c>
      <c r="H7" s="125">
        <f t="shared" si="1"/>
        <v>39</v>
      </c>
      <c r="I7" s="125">
        <f t="shared" si="2"/>
        <v>36</v>
      </c>
      <c r="J7" s="125">
        <f>G7*M$1</f>
        <v>1135.29</v>
      </c>
      <c r="K7" s="153">
        <f>I7*M$1</f>
        <v>1047.96</v>
      </c>
      <c r="L7" s="125">
        <f t="shared" si="3"/>
        <v>118070.16</v>
      </c>
      <c r="M7" s="125">
        <f t="shared" si="4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25">
      <c r="A8" s="201"/>
      <c r="B8" s="294">
        <v>29</v>
      </c>
      <c r="C8" s="294">
        <v>3</v>
      </c>
      <c r="D8" s="126">
        <f>'Data Ocupacion'!D37</f>
        <v>29</v>
      </c>
      <c r="E8" s="126">
        <f>'Data Ocupacion'!E37</f>
        <v>3</v>
      </c>
      <c r="F8" s="125" t="s">
        <v>53</v>
      </c>
      <c r="G8" s="125">
        <f t="shared" si="0"/>
        <v>35</v>
      </c>
      <c r="H8" s="125">
        <f t="shared" si="1"/>
        <v>35</v>
      </c>
      <c r="I8" s="125">
        <f t="shared" si="2"/>
        <v>32</v>
      </c>
      <c r="J8" s="125">
        <f>G8*M$1</f>
        <v>1018.85</v>
      </c>
      <c r="K8" s="153">
        <f>I8*M$1</f>
        <v>931.52</v>
      </c>
      <c r="L8" s="125">
        <f t="shared" si="3"/>
        <v>105960.40000000001</v>
      </c>
      <c r="M8" s="125">
        <f t="shared" si="4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25">
      <c r="A9" s="201"/>
      <c r="B9" s="294">
        <v>0</v>
      </c>
      <c r="C9" s="294">
        <v>0</v>
      </c>
      <c r="D9" s="126">
        <f>'Data Ocupacion'!D38</f>
        <v>0</v>
      </c>
      <c r="E9" s="126">
        <f>'Data Ocupacion'!E38</f>
        <v>0</v>
      </c>
      <c r="F9" s="125" t="s">
        <v>122</v>
      </c>
      <c r="G9" s="125">
        <f t="shared" si="0"/>
        <v>0</v>
      </c>
      <c r="H9" s="125">
        <f t="shared" si="1"/>
        <v>0</v>
      </c>
      <c r="I9" s="125">
        <f t="shared" si="2"/>
        <v>0</v>
      </c>
      <c r="J9" s="125">
        <f>G9*K$1</f>
        <v>0</v>
      </c>
      <c r="K9" s="153">
        <f>I9*K$1</f>
        <v>0</v>
      </c>
      <c r="L9" s="125">
        <f t="shared" si="3"/>
        <v>0</v>
      </c>
      <c r="M9" s="125">
        <f t="shared" si="4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1"/>
      <c r="B10" s="294">
        <v>4</v>
      </c>
      <c r="C10" s="294">
        <v>0</v>
      </c>
      <c r="D10" s="126">
        <f>'Data Ocupacion'!D39</f>
        <v>4</v>
      </c>
      <c r="E10" s="126">
        <f>'Data Ocupacion'!E39</f>
        <v>0</v>
      </c>
      <c r="F10" s="125" t="s">
        <v>35</v>
      </c>
      <c r="G10" s="125">
        <f t="shared" si="0"/>
        <v>4</v>
      </c>
      <c r="H10" s="125">
        <f t="shared" si="1"/>
        <v>4</v>
      </c>
      <c r="I10" s="125">
        <f t="shared" si="2"/>
        <v>4</v>
      </c>
      <c r="J10" s="125">
        <f>G10*K$1</f>
        <v>101.6</v>
      </c>
      <c r="K10" s="153">
        <f>I10*K$1</f>
        <v>101.6</v>
      </c>
      <c r="L10" s="125">
        <f t="shared" si="3"/>
        <v>10566.4</v>
      </c>
      <c r="M10" s="125">
        <f t="shared" si="4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25">
      <c r="A12" s="60">
        <f>A5+1</f>
        <v>46205</v>
      </c>
      <c r="B12" s="294">
        <v>38</v>
      </c>
      <c r="C12" s="294">
        <v>41</v>
      </c>
      <c r="D12" s="147">
        <f>'Data Ocupacion'!F34</f>
        <v>39</v>
      </c>
      <c r="E12" s="147">
        <f>'Data Ocupacion'!G34</f>
        <v>40</v>
      </c>
      <c r="F12" s="125" t="s">
        <v>38</v>
      </c>
      <c r="G12" s="125">
        <f t="shared" ref="G12:G17" si="6">D12+E12*2</f>
        <v>119</v>
      </c>
      <c r="H12" s="125">
        <f t="shared" ref="H12:H17" si="7">B12+C12*2</f>
        <v>120</v>
      </c>
      <c r="I12" s="125">
        <f t="shared" ref="I12:I17" si="8">D12+E12</f>
        <v>79</v>
      </c>
      <c r="J12" s="125">
        <f>G12*M$2</f>
        <v>5132.47</v>
      </c>
      <c r="K12" s="153">
        <f>I12*M$2</f>
        <v>3407.27</v>
      </c>
      <c r="L12" s="125">
        <f t="shared" ref="L12:L17" si="9">J12*104</f>
        <v>533776.88</v>
      </c>
      <c r="M12" s="125">
        <f t="shared" ref="M12:M17" si="10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25">
      <c r="A13" s="201"/>
      <c r="B13" s="294">
        <v>36</v>
      </c>
      <c r="C13" s="294">
        <v>42</v>
      </c>
      <c r="D13" s="147">
        <f>'Data Ocupacion'!F35</f>
        <v>37</v>
      </c>
      <c r="E13" s="147">
        <f>'Data Ocupacion'!G35</f>
        <v>41</v>
      </c>
      <c r="F13" s="125" t="s">
        <v>52</v>
      </c>
      <c r="G13" s="125">
        <f t="shared" si="6"/>
        <v>119</v>
      </c>
      <c r="H13" s="125">
        <f t="shared" si="7"/>
        <v>120</v>
      </c>
      <c r="I13" s="125">
        <f t="shared" si="8"/>
        <v>78</v>
      </c>
      <c r="J13" s="125">
        <f>G13*M$2</f>
        <v>5132.47</v>
      </c>
      <c r="K13" s="153">
        <f>I13*M$2</f>
        <v>3364.1400000000003</v>
      </c>
      <c r="L13" s="125">
        <f t="shared" si="9"/>
        <v>533776.88</v>
      </c>
      <c r="M13" s="125">
        <f t="shared" si="10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149999999999999" customHeight="1" x14ac:dyDescent="0.25">
      <c r="A14" s="201"/>
      <c r="B14" s="294">
        <v>33</v>
      </c>
      <c r="C14" s="294">
        <v>3</v>
      </c>
      <c r="D14" s="147">
        <f>'Data Ocupacion'!F36</f>
        <v>34</v>
      </c>
      <c r="E14" s="147">
        <f>'Data Ocupacion'!G36</f>
        <v>2</v>
      </c>
      <c r="F14" s="125" t="s">
        <v>36</v>
      </c>
      <c r="G14" s="125">
        <f t="shared" si="6"/>
        <v>38</v>
      </c>
      <c r="H14" s="125">
        <f t="shared" si="7"/>
        <v>39</v>
      </c>
      <c r="I14" s="125">
        <f t="shared" si="8"/>
        <v>36</v>
      </c>
      <c r="J14" s="125">
        <f>G14*M$1</f>
        <v>1106.18</v>
      </c>
      <c r="K14" s="153">
        <f>I14*M$1</f>
        <v>1047.96</v>
      </c>
      <c r="L14" s="125">
        <f t="shared" si="9"/>
        <v>115042.72</v>
      </c>
      <c r="M14" s="125">
        <f t="shared" si="10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1"/>
      <c r="B15" s="294">
        <v>29</v>
      </c>
      <c r="C15" s="294">
        <v>3</v>
      </c>
      <c r="D15" s="147">
        <f>'Data Ocupacion'!F37</f>
        <v>30</v>
      </c>
      <c r="E15" s="147">
        <f>'Data Ocupacion'!G37</f>
        <v>2</v>
      </c>
      <c r="F15" s="125" t="s">
        <v>53</v>
      </c>
      <c r="G15" s="125">
        <f t="shared" si="6"/>
        <v>34</v>
      </c>
      <c r="H15" s="125">
        <f t="shared" si="7"/>
        <v>35</v>
      </c>
      <c r="I15" s="125">
        <f t="shared" si="8"/>
        <v>32</v>
      </c>
      <c r="J15" s="125">
        <f>G15*M$1</f>
        <v>989.74</v>
      </c>
      <c r="K15" s="153">
        <f>I15*M$1</f>
        <v>931.52</v>
      </c>
      <c r="L15" s="125">
        <f t="shared" si="9"/>
        <v>102932.96</v>
      </c>
      <c r="M15" s="125">
        <f t="shared" si="10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1"/>
      <c r="B16" s="294">
        <v>0</v>
      </c>
      <c r="C16" s="294">
        <v>0</v>
      </c>
      <c r="D16" s="126">
        <f>'Data Ocupacion'!F38</f>
        <v>0</v>
      </c>
      <c r="E16" s="126">
        <f>'Data Ocupacion'!G38</f>
        <v>0</v>
      </c>
      <c r="F16" s="125" t="s">
        <v>122</v>
      </c>
      <c r="G16" s="125">
        <f t="shared" si="6"/>
        <v>0</v>
      </c>
      <c r="H16" s="125">
        <f t="shared" si="7"/>
        <v>0</v>
      </c>
      <c r="I16" s="125">
        <f t="shared" si="8"/>
        <v>0</v>
      </c>
      <c r="J16" s="125">
        <f>G16*K$1</f>
        <v>0</v>
      </c>
      <c r="K16" s="153">
        <f>I16*K$1</f>
        <v>0</v>
      </c>
      <c r="L16" s="125">
        <f t="shared" si="9"/>
        <v>0</v>
      </c>
      <c r="M16" s="125">
        <f t="shared" si="10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1"/>
      <c r="B17" s="294">
        <v>4</v>
      </c>
      <c r="C17" s="294">
        <v>0</v>
      </c>
      <c r="D17" s="126">
        <f>'Data Ocupacion'!F39</f>
        <v>4</v>
      </c>
      <c r="E17" s="126">
        <f>'Data Ocupacion'!G39</f>
        <v>0</v>
      </c>
      <c r="F17" s="125" t="s">
        <v>35</v>
      </c>
      <c r="G17" s="125">
        <f t="shared" si="6"/>
        <v>4</v>
      </c>
      <c r="H17" s="125">
        <f t="shared" si="7"/>
        <v>4</v>
      </c>
      <c r="I17" s="125">
        <f t="shared" si="8"/>
        <v>4</v>
      </c>
      <c r="J17" s="125">
        <f>G17*K$1</f>
        <v>101.6</v>
      </c>
      <c r="K17" s="153">
        <f>I17*K$1</f>
        <v>101.6</v>
      </c>
      <c r="L17" s="125">
        <f t="shared" si="9"/>
        <v>10566.4</v>
      </c>
      <c r="M17" s="125">
        <f t="shared" si="10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25">
      <c r="A19" s="60">
        <f>A12+1</f>
        <v>46206</v>
      </c>
      <c r="B19" s="294">
        <v>38</v>
      </c>
      <c r="C19" s="294">
        <v>41</v>
      </c>
      <c r="D19" s="138">
        <f>'Data Ocupacion'!H34</f>
        <v>40</v>
      </c>
      <c r="E19" s="138">
        <f>'Data Ocupacion'!I34</f>
        <v>39</v>
      </c>
      <c r="F19" s="125" t="s">
        <v>38</v>
      </c>
      <c r="G19" s="125">
        <f t="shared" ref="G19:G24" si="12">D19+E19*2</f>
        <v>118</v>
      </c>
      <c r="H19" s="125">
        <f t="shared" ref="H19:H24" si="13">B19+C19*2</f>
        <v>120</v>
      </c>
      <c r="I19" s="125">
        <f t="shared" ref="I19:I24" si="14">D19+E19</f>
        <v>79</v>
      </c>
      <c r="J19" s="125">
        <f>G19*M$2</f>
        <v>5089.34</v>
      </c>
      <c r="K19" s="153">
        <f>I19*M$2</f>
        <v>3407.27</v>
      </c>
      <c r="L19" s="125">
        <f t="shared" ref="L19:L24" si="15">J19*104</f>
        <v>529291.36</v>
      </c>
      <c r="M19" s="125">
        <f t="shared" ref="M19:M24" si="16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149999999999999" customHeight="1" x14ac:dyDescent="0.25">
      <c r="A20" s="201"/>
      <c r="B20" s="294">
        <v>36</v>
      </c>
      <c r="C20" s="294">
        <v>42</v>
      </c>
      <c r="D20" s="138">
        <f>'Data Ocupacion'!H35</f>
        <v>38</v>
      </c>
      <c r="E20" s="138">
        <f>'Data Ocupacion'!I35</f>
        <v>40</v>
      </c>
      <c r="F20" s="125" t="s">
        <v>52</v>
      </c>
      <c r="G20" s="125">
        <f t="shared" si="12"/>
        <v>118</v>
      </c>
      <c r="H20" s="125">
        <f t="shared" si="13"/>
        <v>120</v>
      </c>
      <c r="I20" s="125">
        <f t="shared" si="14"/>
        <v>78</v>
      </c>
      <c r="J20" s="125">
        <f>G20*M$2</f>
        <v>5089.34</v>
      </c>
      <c r="K20" s="153">
        <f>I20*M$2</f>
        <v>3364.1400000000003</v>
      </c>
      <c r="L20" s="125">
        <f t="shared" si="15"/>
        <v>529291.36</v>
      </c>
      <c r="M20" s="125">
        <f t="shared" si="16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25">
      <c r="A21" s="201"/>
      <c r="B21" s="294">
        <v>33</v>
      </c>
      <c r="C21" s="294">
        <v>3</v>
      </c>
      <c r="D21" s="126">
        <f>'Data Ocupacion'!H36</f>
        <v>34</v>
      </c>
      <c r="E21" s="126">
        <f>'Data Ocupacion'!I36</f>
        <v>2</v>
      </c>
      <c r="F21" s="125" t="s">
        <v>36</v>
      </c>
      <c r="G21" s="125">
        <f t="shared" si="12"/>
        <v>38</v>
      </c>
      <c r="H21" s="125">
        <f t="shared" si="13"/>
        <v>39</v>
      </c>
      <c r="I21" s="125">
        <f t="shared" si="14"/>
        <v>36</v>
      </c>
      <c r="J21" s="125">
        <f>G21*M$1</f>
        <v>1106.18</v>
      </c>
      <c r="K21" s="153">
        <f>I21*M$1</f>
        <v>1047.96</v>
      </c>
      <c r="L21" s="125">
        <f t="shared" si="15"/>
        <v>115042.72</v>
      </c>
      <c r="M21" s="125">
        <f t="shared" si="16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25">
      <c r="A22" s="201"/>
      <c r="B22" s="294">
        <v>29</v>
      </c>
      <c r="C22" s="294">
        <v>3</v>
      </c>
      <c r="D22" s="138">
        <f>'Data Ocupacion'!H37</f>
        <v>30</v>
      </c>
      <c r="E22" s="138">
        <f>'Data Ocupacion'!I37</f>
        <v>2</v>
      </c>
      <c r="F22" s="125" t="s">
        <v>53</v>
      </c>
      <c r="G22" s="125">
        <f t="shared" si="12"/>
        <v>34</v>
      </c>
      <c r="H22" s="125">
        <f t="shared" si="13"/>
        <v>35</v>
      </c>
      <c r="I22" s="125">
        <f t="shared" si="14"/>
        <v>32</v>
      </c>
      <c r="J22" s="125">
        <f>G22*M$1</f>
        <v>989.74</v>
      </c>
      <c r="K22" s="153">
        <f>I22*M$1</f>
        <v>931.52</v>
      </c>
      <c r="L22" s="125">
        <f t="shared" si="15"/>
        <v>102932.96</v>
      </c>
      <c r="M22" s="125">
        <f t="shared" si="16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201"/>
      <c r="B23" s="294">
        <v>0</v>
      </c>
      <c r="C23" s="294">
        <v>0</v>
      </c>
      <c r="D23" s="126">
        <f>'Data Ocupacion'!H38</f>
        <v>0</v>
      </c>
      <c r="E23" s="126">
        <f>'Data Ocupacion'!I38</f>
        <v>0</v>
      </c>
      <c r="F23" s="125" t="s">
        <v>122</v>
      </c>
      <c r="G23" s="125">
        <f t="shared" si="12"/>
        <v>0</v>
      </c>
      <c r="H23" s="125">
        <f t="shared" si="13"/>
        <v>0</v>
      </c>
      <c r="I23" s="125">
        <f t="shared" si="14"/>
        <v>0</v>
      </c>
      <c r="J23" s="125">
        <f>G23*K$1</f>
        <v>0</v>
      </c>
      <c r="K23" s="153">
        <f>I23*K$1</f>
        <v>0</v>
      </c>
      <c r="L23" s="125">
        <f t="shared" si="15"/>
        <v>0</v>
      </c>
      <c r="M23" s="125">
        <f t="shared" si="16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1"/>
      <c r="B24" s="294">
        <v>4</v>
      </c>
      <c r="C24" s="294">
        <v>0</v>
      </c>
      <c r="D24" s="126">
        <f>'Data Ocupacion'!H39</f>
        <v>4</v>
      </c>
      <c r="E24" s="126">
        <f>'Data Ocupacion'!I39</f>
        <v>0</v>
      </c>
      <c r="F24" s="125" t="s">
        <v>35</v>
      </c>
      <c r="G24" s="125">
        <f t="shared" si="12"/>
        <v>4</v>
      </c>
      <c r="H24" s="125">
        <f t="shared" si="13"/>
        <v>4</v>
      </c>
      <c r="I24" s="125">
        <f t="shared" si="14"/>
        <v>4</v>
      </c>
      <c r="J24" s="125">
        <f>G24*K$1</f>
        <v>101.6</v>
      </c>
      <c r="K24" s="153">
        <f>I24*K$1</f>
        <v>101.6</v>
      </c>
      <c r="L24" s="125">
        <f t="shared" si="15"/>
        <v>10566.4</v>
      </c>
      <c r="M24" s="125">
        <f t="shared" si="16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25">
      <c r="A26" s="60">
        <f>A19+1</f>
        <v>46207</v>
      </c>
      <c r="B26" s="116">
        <v>69</v>
      </c>
      <c r="C26" s="116">
        <v>3</v>
      </c>
      <c r="D26" s="147">
        <f>'Data Ocupacion'!J34</f>
        <v>69</v>
      </c>
      <c r="E26" s="147">
        <f>'Data Ocupacion'!K34</f>
        <v>3</v>
      </c>
      <c r="F26" s="116" t="s">
        <v>38</v>
      </c>
      <c r="G26" s="116">
        <f t="shared" ref="G26:G31" si="18">D26+E26*2</f>
        <v>75</v>
      </c>
      <c r="H26" s="116">
        <f t="shared" ref="H26:H31" si="19">B26+C26*2</f>
        <v>75</v>
      </c>
      <c r="I26" s="116">
        <f t="shared" ref="I26:I31" si="20">D26+E26</f>
        <v>72</v>
      </c>
      <c r="J26" s="116">
        <f>G26*M$2</f>
        <v>3234.75</v>
      </c>
      <c r="K26" s="153">
        <f>I26*M$2</f>
        <v>3105.36</v>
      </c>
      <c r="L26" s="116">
        <f t="shared" ref="L26:L31" si="21">J26*104</f>
        <v>336414</v>
      </c>
      <c r="M26" s="116">
        <f t="shared" ref="M26:M31" si="22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25">
      <c r="A27" s="201"/>
      <c r="B27" s="116">
        <v>75</v>
      </c>
      <c r="C27" s="116">
        <v>0</v>
      </c>
      <c r="D27" s="147">
        <f>'Data Ocupacion'!J35</f>
        <v>75</v>
      </c>
      <c r="E27" s="147">
        <f>'Data Ocupacion'!K35</f>
        <v>0</v>
      </c>
      <c r="F27" s="116" t="s">
        <v>52</v>
      </c>
      <c r="G27" s="116">
        <f t="shared" si="18"/>
        <v>75</v>
      </c>
      <c r="H27" s="116">
        <f t="shared" si="19"/>
        <v>75</v>
      </c>
      <c r="I27" s="116">
        <f t="shared" si="20"/>
        <v>75</v>
      </c>
      <c r="J27" s="116">
        <f>G27*M$2</f>
        <v>3234.75</v>
      </c>
      <c r="K27" s="153">
        <f>I27*M$2</f>
        <v>3234.75</v>
      </c>
      <c r="L27" s="116">
        <f t="shared" si="21"/>
        <v>336414</v>
      </c>
      <c r="M27" s="116">
        <f t="shared" si="22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25">
      <c r="A28" s="201"/>
      <c r="B28" s="116">
        <v>0</v>
      </c>
      <c r="C28" s="116">
        <v>0</v>
      </c>
      <c r="D28" s="147">
        <f>'Data Ocupacion'!J36</f>
        <v>0</v>
      </c>
      <c r="E28" s="147">
        <f>'Data Ocupacion'!K36</f>
        <v>0</v>
      </c>
      <c r="F28" s="116" t="s">
        <v>36</v>
      </c>
      <c r="G28" s="116">
        <f t="shared" si="18"/>
        <v>0</v>
      </c>
      <c r="H28" s="116">
        <f t="shared" si="19"/>
        <v>0</v>
      </c>
      <c r="I28" s="116">
        <f t="shared" si="20"/>
        <v>0</v>
      </c>
      <c r="J28" s="116">
        <f>G28*M$1</f>
        <v>0</v>
      </c>
      <c r="K28" s="153">
        <f>I28*M$1</f>
        <v>0</v>
      </c>
      <c r="L28" s="116">
        <f t="shared" si="21"/>
        <v>0</v>
      </c>
      <c r="M28" s="116">
        <f t="shared" si="22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201"/>
      <c r="B29" s="116">
        <v>0</v>
      </c>
      <c r="C29" s="116">
        <v>0</v>
      </c>
      <c r="D29" s="147">
        <f>'Data Ocupacion'!J37</f>
        <v>0</v>
      </c>
      <c r="E29" s="147">
        <f>'Data Ocupacion'!K37</f>
        <v>0</v>
      </c>
      <c r="F29" s="116" t="s">
        <v>53</v>
      </c>
      <c r="G29" s="116">
        <f t="shared" si="18"/>
        <v>0</v>
      </c>
      <c r="H29" s="116">
        <f t="shared" si="19"/>
        <v>0</v>
      </c>
      <c r="I29" s="116">
        <f t="shared" si="20"/>
        <v>0</v>
      </c>
      <c r="J29" s="116">
        <f>G29*M$1</f>
        <v>0</v>
      </c>
      <c r="K29" s="153">
        <f>I29*M$1</f>
        <v>0</v>
      </c>
      <c r="L29" s="116">
        <f t="shared" si="21"/>
        <v>0</v>
      </c>
      <c r="M29" s="116">
        <f t="shared" si="22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201"/>
      <c r="B30" s="116">
        <v>0</v>
      </c>
      <c r="C30" s="116">
        <v>0</v>
      </c>
      <c r="D30" s="147">
        <f>'Data Ocupacion'!J38</f>
        <v>0</v>
      </c>
      <c r="E30" s="147">
        <f>'Data Ocupacion'!K38</f>
        <v>0</v>
      </c>
      <c r="F30" s="116" t="s">
        <v>122</v>
      </c>
      <c r="G30" s="116">
        <f t="shared" si="18"/>
        <v>0</v>
      </c>
      <c r="H30" s="116">
        <f t="shared" si="19"/>
        <v>0</v>
      </c>
      <c r="I30" s="116">
        <f t="shared" si="20"/>
        <v>0</v>
      </c>
      <c r="J30" s="116">
        <f>G30*K$1</f>
        <v>0</v>
      </c>
      <c r="K30" s="153">
        <f>I30*K$1</f>
        <v>0</v>
      </c>
      <c r="L30" s="116">
        <f t="shared" si="21"/>
        <v>0</v>
      </c>
      <c r="M30" s="116">
        <f t="shared" si="22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1"/>
      <c r="B31" s="116">
        <v>0</v>
      </c>
      <c r="C31" s="116">
        <v>0</v>
      </c>
      <c r="D31" s="335">
        <f>'Data Ocupacion'!J39</f>
        <v>0</v>
      </c>
      <c r="E31" s="147">
        <f>'Data Ocupacion'!K39</f>
        <v>0</v>
      </c>
      <c r="F31" s="116" t="s">
        <v>35</v>
      </c>
      <c r="G31" s="116">
        <f t="shared" si="18"/>
        <v>0</v>
      </c>
      <c r="H31" s="116">
        <f t="shared" si="19"/>
        <v>0</v>
      </c>
      <c r="I31" s="116">
        <f t="shared" si="20"/>
        <v>0</v>
      </c>
      <c r="J31" s="116">
        <f>G31*K$1</f>
        <v>0</v>
      </c>
      <c r="K31" s="153">
        <f>I31*K$1</f>
        <v>0</v>
      </c>
      <c r="L31" s="116">
        <f t="shared" si="21"/>
        <v>0</v>
      </c>
      <c r="M31" s="116">
        <f t="shared" si="22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25">
      <c r="A33" s="60">
        <f>A26+1</f>
        <v>46208</v>
      </c>
      <c r="B33" s="217">
        <v>51</v>
      </c>
      <c r="C33" s="217">
        <v>3</v>
      </c>
      <c r="D33" s="138">
        <f>'Data Ocupacion'!L34</f>
        <v>51</v>
      </c>
      <c r="E33" s="138">
        <f>'Data Ocupacion'!M34</f>
        <v>3</v>
      </c>
      <c r="F33" s="217" t="s">
        <v>38</v>
      </c>
      <c r="G33" s="217">
        <f t="shared" ref="G33:G38" si="24">D33+E33*2</f>
        <v>57</v>
      </c>
      <c r="H33" s="217">
        <f t="shared" ref="H33:H38" si="25">B33+C33*2</f>
        <v>57</v>
      </c>
      <c r="I33" s="217">
        <f t="shared" ref="I33:I38" si="26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7">J33*104</f>
        <v>255674.64000000004</v>
      </c>
      <c r="M33" s="217">
        <f t="shared" ref="M33:M38" si="28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2"/>
      <c r="B34" s="217">
        <v>57</v>
      </c>
      <c r="C34" s="217">
        <v>0</v>
      </c>
      <c r="D34" s="138">
        <f>'Data Ocupacion'!L35</f>
        <v>57</v>
      </c>
      <c r="E34" s="138">
        <f>'Data Ocupacion'!M35</f>
        <v>0</v>
      </c>
      <c r="F34" s="217" t="s">
        <v>52</v>
      </c>
      <c r="G34" s="217">
        <f t="shared" si="24"/>
        <v>57</v>
      </c>
      <c r="H34" s="217">
        <f t="shared" si="25"/>
        <v>57</v>
      </c>
      <c r="I34" s="217">
        <f t="shared" si="26"/>
        <v>57</v>
      </c>
      <c r="J34" s="217">
        <f>G34*M$2</f>
        <v>2458.4100000000003</v>
      </c>
      <c r="K34" s="153">
        <f>I34*M$2</f>
        <v>2458.4100000000003</v>
      </c>
      <c r="L34" s="217">
        <f t="shared" si="27"/>
        <v>255674.64000000004</v>
      </c>
      <c r="M34" s="217">
        <f t="shared" si="28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2"/>
      <c r="B35" s="217">
        <v>0</v>
      </c>
      <c r="C35" s="217">
        <v>0</v>
      </c>
      <c r="D35" s="138">
        <f>'Data Ocupacion'!L36</f>
        <v>0</v>
      </c>
      <c r="E35" s="138">
        <f>'Data Ocupacion'!M36</f>
        <v>0</v>
      </c>
      <c r="F35" s="217" t="s">
        <v>36</v>
      </c>
      <c r="G35" s="217">
        <f t="shared" si="24"/>
        <v>0</v>
      </c>
      <c r="H35" s="217">
        <f t="shared" si="25"/>
        <v>0</v>
      </c>
      <c r="I35" s="217">
        <f t="shared" si="26"/>
        <v>0</v>
      </c>
      <c r="J35" s="217">
        <f>G35*M$1</f>
        <v>0</v>
      </c>
      <c r="K35" s="153">
        <f>I35*M$1</f>
        <v>0</v>
      </c>
      <c r="L35" s="217">
        <f t="shared" si="27"/>
        <v>0</v>
      </c>
      <c r="M35" s="217">
        <f t="shared" si="28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2"/>
      <c r="B36" s="217">
        <v>0</v>
      </c>
      <c r="C36" s="217">
        <v>0</v>
      </c>
      <c r="D36" s="138">
        <f>'Data Ocupacion'!L37</f>
        <v>0</v>
      </c>
      <c r="E36" s="138">
        <f>'Data Ocupacion'!M37</f>
        <v>0</v>
      </c>
      <c r="F36" s="217" t="s">
        <v>53</v>
      </c>
      <c r="G36" s="217">
        <f t="shared" si="24"/>
        <v>0</v>
      </c>
      <c r="H36" s="217">
        <f t="shared" si="25"/>
        <v>0</v>
      </c>
      <c r="I36" s="217">
        <f t="shared" si="26"/>
        <v>0</v>
      </c>
      <c r="J36" s="217">
        <f>G36*M$1</f>
        <v>0</v>
      </c>
      <c r="K36" s="153">
        <f>I36*M$1</f>
        <v>0</v>
      </c>
      <c r="L36" s="217">
        <f t="shared" si="27"/>
        <v>0</v>
      </c>
      <c r="M36" s="217">
        <f t="shared" si="28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2"/>
      <c r="B37" s="217">
        <v>0</v>
      </c>
      <c r="C37" s="217">
        <v>0</v>
      </c>
      <c r="D37" s="138">
        <f>'Data Ocupacion'!L38</f>
        <v>0</v>
      </c>
      <c r="E37" s="138">
        <f>'Data Ocupacion'!M38</f>
        <v>0</v>
      </c>
      <c r="F37" s="217" t="s">
        <v>122</v>
      </c>
      <c r="G37" s="217">
        <f t="shared" si="24"/>
        <v>0</v>
      </c>
      <c r="H37" s="217">
        <f t="shared" si="25"/>
        <v>0</v>
      </c>
      <c r="I37" s="217">
        <f t="shared" si="26"/>
        <v>0</v>
      </c>
      <c r="J37" s="217">
        <f>G37*K$1</f>
        <v>0</v>
      </c>
      <c r="K37" s="153">
        <f>I37*K$1</f>
        <v>0</v>
      </c>
      <c r="L37" s="217">
        <f t="shared" si="27"/>
        <v>0</v>
      </c>
      <c r="M37" s="217">
        <f t="shared" si="28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2"/>
      <c r="B38" s="217">
        <v>0</v>
      </c>
      <c r="C38" s="217">
        <v>0</v>
      </c>
      <c r="D38" s="336">
        <f>'Data Ocupacion'!L39</f>
        <v>0</v>
      </c>
      <c r="E38" s="138">
        <f>'Data Ocupacion'!M39</f>
        <v>0</v>
      </c>
      <c r="F38" s="217" t="s">
        <v>35</v>
      </c>
      <c r="G38" s="217">
        <f t="shared" si="24"/>
        <v>0</v>
      </c>
      <c r="H38" s="217">
        <f t="shared" si="25"/>
        <v>0</v>
      </c>
      <c r="I38" s="217">
        <f t="shared" si="26"/>
        <v>0</v>
      </c>
      <c r="J38" s="217">
        <f>G38*K$1</f>
        <v>0</v>
      </c>
      <c r="K38" s="153">
        <f>I38*K$1</f>
        <v>0</v>
      </c>
      <c r="L38" s="217">
        <f t="shared" si="27"/>
        <v>0</v>
      </c>
      <c r="M38" s="217">
        <f t="shared" si="28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46209</v>
      </c>
      <c r="B40" s="294">
        <v>38</v>
      </c>
      <c r="C40" s="294">
        <v>41</v>
      </c>
      <c r="D40" s="126">
        <f>'Data Ocupacion'!N34</f>
        <v>40</v>
      </c>
      <c r="E40" s="126">
        <f>'Data Ocupacion'!O34</f>
        <v>39</v>
      </c>
      <c r="F40" s="125" t="s">
        <v>38</v>
      </c>
      <c r="G40" s="125">
        <f t="shared" ref="G40:G45" si="30">D40+E40*2</f>
        <v>118</v>
      </c>
      <c r="H40" s="125">
        <f t="shared" ref="H40:H45" si="31">B40+C40*2</f>
        <v>120</v>
      </c>
      <c r="I40" s="125">
        <f t="shared" ref="I40:I45" si="32">D40+E40</f>
        <v>79</v>
      </c>
      <c r="J40" s="125">
        <f>G40*M$2</f>
        <v>5089.34</v>
      </c>
      <c r="K40" s="153">
        <f>I40*M$2</f>
        <v>3407.27</v>
      </c>
      <c r="L40" s="125">
        <f t="shared" ref="L40:L45" si="33">J40*104</f>
        <v>529291.36</v>
      </c>
      <c r="M40" s="125">
        <f t="shared" ref="M40:M45" si="34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25">
      <c r="A41" s="201"/>
      <c r="B41" s="294">
        <v>36</v>
      </c>
      <c r="C41" s="294">
        <v>42</v>
      </c>
      <c r="D41" s="126">
        <f>'Data Ocupacion'!N35</f>
        <v>38</v>
      </c>
      <c r="E41" s="126">
        <f>'Data Ocupacion'!O35</f>
        <v>40</v>
      </c>
      <c r="F41" s="125" t="s">
        <v>52</v>
      </c>
      <c r="G41" s="125">
        <f t="shared" si="30"/>
        <v>118</v>
      </c>
      <c r="H41" s="125">
        <f t="shared" si="31"/>
        <v>120</v>
      </c>
      <c r="I41" s="125">
        <f t="shared" si="32"/>
        <v>78</v>
      </c>
      <c r="J41" s="125">
        <f>G41*M$2</f>
        <v>5089.34</v>
      </c>
      <c r="K41" s="153">
        <f>I41*M$2</f>
        <v>3364.1400000000003</v>
      </c>
      <c r="L41" s="125">
        <f t="shared" si="33"/>
        <v>529291.36</v>
      </c>
      <c r="M41" s="125">
        <f t="shared" si="34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</f>
        <v>5036.1500000000005</v>
      </c>
      <c r="X41" s="182">
        <f>H41*$M$2</f>
        <v>5175.6000000000004</v>
      </c>
    </row>
    <row r="42" spans="1:32" ht="15" customHeight="1" x14ac:dyDescent="0.25">
      <c r="A42" s="201"/>
      <c r="B42" s="294">
        <v>33</v>
      </c>
      <c r="C42" s="294">
        <v>3</v>
      </c>
      <c r="D42" s="126">
        <f>'Data Ocupacion'!N36</f>
        <v>32</v>
      </c>
      <c r="E42" s="126">
        <f>'Data Ocupacion'!O36</f>
        <v>2</v>
      </c>
      <c r="F42" s="125" t="s">
        <v>36</v>
      </c>
      <c r="G42" s="125">
        <f t="shared" si="30"/>
        <v>36</v>
      </c>
      <c r="H42" s="125">
        <f t="shared" si="31"/>
        <v>39</v>
      </c>
      <c r="I42" s="125">
        <f t="shared" si="32"/>
        <v>34</v>
      </c>
      <c r="J42" s="125">
        <f>G42*M$1</f>
        <v>1047.96</v>
      </c>
      <c r="K42" s="153">
        <f>I42*M$1</f>
        <v>989.74</v>
      </c>
      <c r="L42" s="125">
        <f t="shared" si="33"/>
        <v>108987.84</v>
      </c>
      <c r="M42" s="125">
        <f t="shared" si="34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25">
      <c r="A43" s="201"/>
      <c r="B43" s="294">
        <v>29</v>
      </c>
      <c r="C43" s="294">
        <v>3</v>
      </c>
      <c r="D43" s="126">
        <f>'Data Ocupacion'!N37</f>
        <v>29</v>
      </c>
      <c r="E43" s="126">
        <f>'Data Ocupacion'!O37</f>
        <v>2</v>
      </c>
      <c r="F43" s="125" t="s">
        <v>53</v>
      </c>
      <c r="G43" s="125">
        <f t="shared" si="30"/>
        <v>33</v>
      </c>
      <c r="H43" s="125">
        <f t="shared" si="31"/>
        <v>35</v>
      </c>
      <c r="I43" s="125">
        <f t="shared" si="32"/>
        <v>31</v>
      </c>
      <c r="J43" s="125">
        <f>G43*M$1</f>
        <v>960.63</v>
      </c>
      <c r="K43" s="153">
        <f>I43*M$1</f>
        <v>902.41</v>
      </c>
      <c r="L43" s="125">
        <f t="shared" si="33"/>
        <v>99905.52</v>
      </c>
      <c r="M43" s="125">
        <f t="shared" si="34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25">
      <c r="A44" s="201"/>
      <c r="B44" s="294">
        <v>0</v>
      </c>
      <c r="C44" s="294">
        <v>0</v>
      </c>
      <c r="D44" s="126">
        <f>'Data Ocupacion'!N38</f>
        <v>0</v>
      </c>
      <c r="E44" s="126">
        <f>'Data Ocupacion'!O38</f>
        <v>0</v>
      </c>
      <c r="F44" s="125" t="s">
        <v>122</v>
      </c>
      <c r="G44" s="125">
        <f t="shared" si="30"/>
        <v>0</v>
      </c>
      <c r="H44" s="125">
        <f t="shared" si="31"/>
        <v>0</v>
      </c>
      <c r="I44" s="125">
        <f t="shared" si="32"/>
        <v>0</v>
      </c>
      <c r="J44" s="125">
        <f>G44*K$1</f>
        <v>0</v>
      </c>
      <c r="K44" s="153">
        <f>I44*K$1</f>
        <v>0</v>
      </c>
      <c r="L44" s="125">
        <f t="shared" si="33"/>
        <v>0</v>
      </c>
      <c r="M44" s="125">
        <f t="shared" si="34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.75" thickBot="1" x14ac:dyDescent="0.3">
      <c r="A45" s="201"/>
      <c r="B45" s="294">
        <v>4</v>
      </c>
      <c r="C45" s="294">
        <v>0</v>
      </c>
      <c r="D45" s="253">
        <f>'Data Ocupacion'!N39</f>
        <v>4</v>
      </c>
      <c r="E45" s="126">
        <f>'Data Ocupacion'!O39</f>
        <v>0</v>
      </c>
      <c r="F45" s="125" t="s">
        <v>35</v>
      </c>
      <c r="G45" s="125">
        <f t="shared" si="30"/>
        <v>4</v>
      </c>
      <c r="H45" s="125">
        <f t="shared" si="31"/>
        <v>4</v>
      </c>
      <c r="I45" s="125">
        <f t="shared" si="32"/>
        <v>4</v>
      </c>
      <c r="J45" s="125">
        <f>G45*K$1</f>
        <v>101.6</v>
      </c>
      <c r="K45" s="153">
        <f>I45*K$1</f>
        <v>101.6</v>
      </c>
      <c r="L45" s="125">
        <f t="shared" si="33"/>
        <v>10566.4</v>
      </c>
      <c r="M45" s="125">
        <f t="shared" si="34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.75" thickBot="1" x14ac:dyDescent="0.3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95.573200408195305</v>
      </c>
      <c r="P46" s="192"/>
      <c r="Q46" s="181"/>
      <c r="R46" s="181"/>
      <c r="S46" s="181"/>
      <c r="T46" s="181"/>
      <c r="U46" s="181"/>
      <c r="V46" s="181"/>
      <c r="W46" s="193">
        <f>SUM(W40:W45)</f>
        <v>12175.07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25">
      <c r="A47" s="60">
        <f>A40+1</f>
        <v>46210</v>
      </c>
      <c r="B47" s="294">
        <v>38</v>
      </c>
      <c r="C47" s="294">
        <v>41</v>
      </c>
      <c r="D47" s="126">
        <f>'Data Ocupacion'!P34</f>
        <v>42</v>
      </c>
      <c r="E47" s="126">
        <f>'Data Ocupacion'!Q34</f>
        <v>40</v>
      </c>
      <c r="F47" s="125" t="s">
        <v>38</v>
      </c>
      <c r="G47" s="125">
        <f t="shared" ref="G47:G52" si="36">D47+E47*2</f>
        <v>122</v>
      </c>
      <c r="H47" s="125">
        <f t="shared" ref="H47:H52" si="37">B47+C47*2</f>
        <v>120</v>
      </c>
      <c r="I47" s="125">
        <f t="shared" ref="I47:I52" si="38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9">J47*104</f>
        <v>547233.44000000006</v>
      </c>
      <c r="M47" s="125">
        <f t="shared" ref="M47:M52" si="40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25">
      <c r="A48" s="201"/>
      <c r="B48" s="294">
        <v>36</v>
      </c>
      <c r="C48" s="294">
        <v>42</v>
      </c>
      <c r="D48" s="126">
        <f>'Data Ocupacion'!P35</f>
        <v>38</v>
      </c>
      <c r="E48" s="126">
        <f>'Data Ocupacion'!Q35</f>
        <v>40</v>
      </c>
      <c r="F48" s="125" t="s">
        <v>52</v>
      </c>
      <c r="G48" s="125">
        <f t="shared" si="36"/>
        <v>118</v>
      </c>
      <c r="H48" s="125">
        <f t="shared" si="37"/>
        <v>120</v>
      </c>
      <c r="I48" s="125">
        <f t="shared" si="38"/>
        <v>78</v>
      </c>
      <c r="J48" s="125">
        <f>G48*M$2</f>
        <v>5089.34</v>
      </c>
      <c r="K48" s="153">
        <f>I48*M$2</f>
        <v>3364.1400000000003</v>
      </c>
      <c r="L48" s="125">
        <f t="shared" si="39"/>
        <v>529291.36</v>
      </c>
      <c r="M48" s="125">
        <f t="shared" si="40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25">
      <c r="A49" s="201"/>
      <c r="B49" s="294">
        <v>33</v>
      </c>
      <c r="C49" s="294">
        <v>3</v>
      </c>
      <c r="D49" s="126">
        <f>'Data Ocupacion'!P36</f>
        <v>27</v>
      </c>
      <c r="E49" s="126">
        <f>'Data Ocupacion'!Q36</f>
        <v>2</v>
      </c>
      <c r="F49" s="125" t="s">
        <v>36</v>
      </c>
      <c r="G49" s="125">
        <f t="shared" si="36"/>
        <v>31</v>
      </c>
      <c r="H49" s="125">
        <f t="shared" si="37"/>
        <v>39</v>
      </c>
      <c r="I49" s="125">
        <f t="shared" si="38"/>
        <v>29</v>
      </c>
      <c r="J49" s="125">
        <f>G49*M$1</f>
        <v>902.41</v>
      </c>
      <c r="K49" s="153">
        <f>I49*M$1</f>
        <v>844.18999999999994</v>
      </c>
      <c r="L49" s="125">
        <f t="shared" si="39"/>
        <v>93850.64</v>
      </c>
      <c r="M49" s="125">
        <f t="shared" si="40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25">
      <c r="A50" s="201"/>
      <c r="B50" s="294">
        <v>29</v>
      </c>
      <c r="C50" s="294">
        <v>3</v>
      </c>
      <c r="D50" s="126">
        <f>'Data Ocupacion'!P37</f>
        <v>27</v>
      </c>
      <c r="E50" s="126">
        <f>'Data Ocupacion'!Q37</f>
        <v>2</v>
      </c>
      <c r="F50" s="125" t="s">
        <v>53</v>
      </c>
      <c r="G50" s="125">
        <f t="shared" si="36"/>
        <v>31</v>
      </c>
      <c r="H50" s="125">
        <f t="shared" si="37"/>
        <v>35</v>
      </c>
      <c r="I50" s="125">
        <f t="shared" si="38"/>
        <v>29</v>
      </c>
      <c r="J50" s="125">
        <f>G50*M$1</f>
        <v>902.41</v>
      </c>
      <c r="K50" s="153">
        <f>I50*M$1</f>
        <v>844.18999999999994</v>
      </c>
      <c r="L50" s="125">
        <f t="shared" si="39"/>
        <v>93850.64</v>
      </c>
      <c r="M50" s="125">
        <f t="shared" si="40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25">
      <c r="A51" s="201"/>
      <c r="B51" s="294">
        <v>0</v>
      </c>
      <c r="C51" s="294">
        <v>0</v>
      </c>
      <c r="D51" s="126">
        <f>'Data Ocupacion'!P38</f>
        <v>0</v>
      </c>
      <c r="E51" s="126">
        <f>'Data Ocupacion'!Q38</f>
        <v>0</v>
      </c>
      <c r="F51" s="125" t="s">
        <v>122</v>
      </c>
      <c r="G51" s="125">
        <f t="shared" si="36"/>
        <v>0</v>
      </c>
      <c r="H51" s="125">
        <f t="shared" si="37"/>
        <v>0</v>
      </c>
      <c r="I51" s="125">
        <f t="shared" si="38"/>
        <v>0</v>
      </c>
      <c r="J51" s="125">
        <f>G51*K$1</f>
        <v>0</v>
      </c>
      <c r="K51" s="153">
        <f>I51*K$1</f>
        <v>0</v>
      </c>
      <c r="L51" s="125">
        <f t="shared" si="39"/>
        <v>0</v>
      </c>
      <c r="M51" s="125">
        <f t="shared" si="40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1"/>
      <c r="B52" s="294">
        <v>4</v>
      </c>
      <c r="C52" s="294">
        <v>0</v>
      </c>
      <c r="D52" s="253">
        <f>'Data Ocupacion'!P39</f>
        <v>4</v>
      </c>
      <c r="E52" s="126">
        <f>'Data Ocupacion'!Q39</f>
        <v>0</v>
      </c>
      <c r="F52" s="125" t="s">
        <v>35</v>
      </c>
      <c r="G52" s="125">
        <f t="shared" si="36"/>
        <v>4</v>
      </c>
      <c r="H52" s="125">
        <f t="shared" si="37"/>
        <v>4</v>
      </c>
      <c r="I52" s="125">
        <f t="shared" si="38"/>
        <v>4</v>
      </c>
      <c r="J52" s="125">
        <f>G52*K$1</f>
        <v>101.6</v>
      </c>
      <c r="K52" s="153">
        <f>I52*K$1</f>
        <v>101.6</v>
      </c>
      <c r="L52" s="125">
        <f t="shared" si="39"/>
        <v>10566.4</v>
      </c>
      <c r="M52" s="125">
        <f t="shared" si="40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25">
      <c r="A54" s="60">
        <f>A47+1</f>
        <v>46211</v>
      </c>
      <c r="B54" s="294">
        <v>38</v>
      </c>
      <c r="C54" s="294">
        <v>41</v>
      </c>
      <c r="D54" s="126">
        <f>'Data Ocupacion'!R34</f>
        <v>41</v>
      </c>
      <c r="E54" s="126">
        <f>'Data Ocupacion'!S34</f>
        <v>38</v>
      </c>
      <c r="F54" s="125" t="s">
        <v>38</v>
      </c>
      <c r="G54" s="125">
        <f t="shared" ref="G54:G59" si="42">D54+E54*2</f>
        <v>117</v>
      </c>
      <c r="H54" s="125">
        <f t="shared" ref="H54:H59" si="43">B54+C54*2</f>
        <v>120</v>
      </c>
      <c r="I54" s="125">
        <f t="shared" ref="I54:I59" si="44">D54+E54</f>
        <v>79</v>
      </c>
      <c r="J54" s="125">
        <f>G54*M$2</f>
        <v>5046.21</v>
      </c>
      <c r="K54" s="153">
        <f>I54*M$2</f>
        <v>3407.27</v>
      </c>
      <c r="L54" s="125">
        <f t="shared" ref="L54:L59" si="45">J54*104</f>
        <v>524805.84</v>
      </c>
      <c r="M54" s="125">
        <f t="shared" ref="M54:M59" si="46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25">
      <c r="A55" s="201"/>
      <c r="B55" s="294">
        <v>36</v>
      </c>
      <c r="C55" s="294">
        <v>42</v>
      </c>
      <c r="D55" s="126">
        <f>'Data Ocupacion'!R35</f>
        <v>39</v>
      </c>
      <c r="E55" s="126">
        <f>'Data Ocupacion'!S35</f>
        <v>39</v>
      </c>
      <c r="F55" s="125" t="s">
        <v>52</v>
      </c>
      <c r="G55" s="125">
        <f t="shared" si="42"/>
        <v>117</v>
      </c>
      <c r="H55" s="125">
        <f t="shared" si="43"/>
        <v>120</v>
      </c>
      <c r="I55" s="125">
        <f t="shared" si="44"/>
        <v>78</v>
      </c>
      <c r="J55" s="125">
        <f>G55*M$2</f>
        <v>5046.21</v>
      </c>
      <c r="K55" s="153">
        <f>I55*M$2</f>
        <v>3364.1400000000003</v>
      </c>
      <c r="L55" s="125">
        <f t="shared" si="45"/>
        <v>524805.84</v>
      </c>
      <c r="M55" s="125">
        <f t="shared" si="46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25">
      <c r="A56" s="201"/>
      <c r="B56" s="294">
        <v>33</v>
      </c>
      <c r="C56" s="294">
        <v>3</v>
      </c>
      <c r="D56" s="126">
        <f>'Data Ocupacion'!R36</f>
        <v>34</v>
      </c>
      <c r="E56" s="126">
        <f>'Data Ocupacion'!S36</f>
        <v>2</v>
      </c>
      <c r="F56" s="125" t="s">
        <v>36</v>
      </c>
      <c r="G56" s="125">
        <f t="shared" si="42"/>
        <v>38</v>
      </c>
      <c r="H56" s="125">
        <f t="shared" si="43"/>
        <v>39</v>
      </c>
      <c r="I56" s="125">
        <f t="shared" si="44"/>
        <v>36</v>
      </c>
      <c r="J56" s="125">
        <f>G56*M$1</f>
        <v>1106.18</v>
      </c>
      <c r="K56" s="153">
        <f>I56*M$1</f>
        <v>1047.96</v>
      </c>
      <c r="L56" s="125">
        <f t="shared" si="45"/>
        <v>115042.72</v>
      </c>
      <c r="M56" s="125">
        <f t="shared" si="46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25">
      <c r="A57" s="201"/>
      <c r="B57" s="294">
        <v>29</v>
      </c>
      <c r="C57" s="294">
        <v>3</v>
      </c>
      <c r="D57" s="126">
        <f>'Data Ocupacion'!R37</f>
        <v>30</v>
      </c>
      <c r="E57" s="126">
        <f>'Data Ocupacion'!S37</f>
        <v>2</v>
      </c>
      <c r="F57" s="125" t="s">
        <v>53</v>
      </c>
      <c r="G57" s="125">
        <f t="shared" si="42"/>
        <v>34</v>
      </c>
      <c r="H57" s="125">
        <f t="shared" si="43"/>
        <v>35</v>
      </c>
      <c r="I57" s="125">
        <f t="shared" si="44"/>
        <v>32</v>
      </c>
      <c r="J57" s="125">
        <f>G57*M$1</f>
        <v>989.74</v>
      </c>
      <c r="K57" s="153">
        <f>I57*M$1</f>
        <v>931.52</v>
      </c>
      <c r="L57" s="125">
        <f t="shared" si="45"/>
        <v>102932.96</v>
      </c>
      <c r="M57" s="125">
        <f t="shared" si="46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1"/>
      <c r="B58" s="294">
        <v>0</v>
      </c>
      <c r="C58" s="294">
        <v>0</v>
      </c>
      <c r="D58" s="126">
        <f>'Data Ocupacion'!R38</f>
        <v>0</v>
      </c>
      <c r="E58" s="126">
        <f>'Data Ocupacion'!S38</f>
        <v>0</v>
      </c>
      <c r="F58" s="125" t="s">
        <v>122</v>
      </c>
      <c r="G58" s="125">
        <f t="shared" si="42"/>
        <v>0</v>
      </c>
      <c r="H58" s="125">
        <f t="shared" si="43"/>
        <v>0</v>
      </c>
      <c r="I58" s="125">
        <f t="shared" si="44"/>
        <v>0</v>
      </c>
      <c r="J58" s="125">
        <f>G58*K$1</f>
        <v>0</v>
      </c>
      <c r="K58" s="153">
        <f>I58*K$1</f>
        <v>0</v>
      </c>
      <c r="L58" s="125">
        <f t="shared" si="45"/>
        <v>0</v>
      </c>
      <c r="M58" s="125">
        <f t="shared" si="46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149999999999999" customHeight="1" thickBot="1" x14ac:dyDescent="0.3">
      <c r="A59" s="201"/>
      <c r="B59" s="294">
        <v>4</v>
      </c>
      <c r="C59" s="294">
        <v>0</v>
      </c>
      <c r="D59" s="253">
        <f>'Data Ocupacion'!R39</f>
        <v>4</v>
      </c>
      <c r="E59" s="126">
        <f>'Data Ocupacion'!S39</f>
        <v>0</v>
      </c>
      <c r="F59" s="125" t="s">
        <v>35</v>
      </c>
      <c r="G59" s="125">
        <f t="shared" si="42"/>
        <v>4</v>
      </c>
      <c r="H59" s="125">
        <f t="shared" si="43"/>
        <v>4</v>
      </c>
      <c r="I59" s="125">
        <f t="shared" si="44"/>
        <v>4</v>
      </c>
      <c r="J59" s="125">
        <f>G59*K$1</f>
        <v>101.6</v>
      </c>
      <c r="K59" s="153">
        <f>I59*K$1</f>
        <v>101.6</v>
      </c>
      <c r="L59" s="125">
        <f t="shared" si="45"/>
        <v>10566.4</v>
      </c>
      <c r="M59" s="125">
        <f t="shared" si="46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25">
      <c r="A61" s="60">
        <f>A54+1</f>
        <v>46212</v>
      </c>
      <c r="B61" s="294">
        <v>49</v>
      </c>
      <c r="C61" s="294">
        <v>30</v>
      </c>
      <c r="D61" s="126">
        <f>'Data Ocupacion'!T34</f>
        <v>49</v>
      </c>
      <c r="E61" s="126">
        <f>'Data Ocupacion'!U34</f>
        <v>30</v>
      </c>
      <c r="F61" s="125" t="s">
        <v>38</v>
      </c>
      <c r="G61" s="125">
        <f t="shared" ref="G61:G66" si="48">D61+E61*2</f>
        <v>109</v>
      </c>
      <c r="H61" s="125">
        <f t="shared" ref="H61:H66" si="49">B61+C61*2</f>
        <v>109</v>
      </c>
      <c r="I61" s="125">
        <f t="shared" ref="I61:I66" si="50">D61+E61</f>
        <v>79</v>
      </c>
      <c r="J61" s="125">
        <f>G61*M$2</f>
        <v>4701.17</v>
      </c>
      <c r="K61" s="153">
        <f>I61*M$2</f>
        <v>3407.27</v>
      </c>
      <c r="L61" s="125">
        <f t="shared" ref="L61:L66" si="51">J61*104</f>
        <v>488921.68</v>
      </c>
      <c r="M61" s="125">
        <f t="shared" ref="M61:M66" si="52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25">
      <c r="A62" s="371" t="s">
        <v>185</v>
      </c>
      <c r="B62" s="294">
        <v>47</v>
      </c>
      <c r="C62" s="294">
        <v>31</v>
      </c>
      <c r="D62" s="126">
        <f>'Data Ocupacion'!T35</f>
        <v>47</v>
      </c>
      <c r="E62" s="126">
        <f>'Data Ocupacion'!U35</f>
        <v>31</v>
      </c>
      <c r="F62" s="125" t="s">
        <v>52</v>
      </c>
      <c r="G62" s="125">
        <f t="shared" si="48"/>
        <v>109</v>
      </c>
      <c r="H62" s="125">
        <f t="shared" si="49"/>
        <v>109</v>
      </c>
      <c r="I62" s="125">
        <f t="shared" si="50"/>
        <v>78</v>
      </c>
      <c r="J62" s="125">
        <f>G62*M$2</f>
        <v>4701.17</v>
      </c>
      <c r="K62" s="153">
        <f>I62*M$2</f>
        <v>3364.1400000000003</v>
      </c>
      <c r="L62" s="125">
        <f t="shared" si="51"/>
        <v>488921.68</v>
      </c>
      <c r="M62" s="125">
        <f t="shared" si="52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25">
      <c r="A63" s="371"/>
      <c r="B63" s="294">
        <v>36</v>
      </c>
      <c r="C63" s="294">
        <v>0</v>
      </c>
      <c r="D63" s="126">
        <f>'Data Ocupacion'!T36</f>
        <v>36</v>
      </c>
      <c r="E63" s="126">
        <f>'Data Ocupacion'!U36</f>
        <v>0</v>
      </c>
      <c r="F63" s="125" t="s">
        <v>36</v>
      </c>
      <c r="G63" s="125">
        <f t="shared" si="48"/>
        <v>36</v>
      </c>
      <c r="H63" s="125">
        <f t="shared" si="49"/>
        <v>36</v>
      </c>
      <c r="I63" s="125">
        <f t="shared" si="50"/>
        <v>36</v>
      </c>
      <c r="J63" s="125">
        <f>G63*M$1</f>
        <v>1047.96</v>
      </c>
      <c r="K63" s="153">
        <f>I63*M$1</f>
        <v>1047.96</v>
      </c>
      <c r="L63" s="125">
        <f t="shared" si="51"/>
        <v>108987.84</v>
      </c>
      <c r="M63" s="125">
        <f t="shared" si="52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25">
      <c r="A64" s="371"/>
      <c r="B64" s="294">
        <v>32</v>
      </c>
      <c r="C64" s="294">
        <v>0</v>
      </c>
      <c r="D64" s="126">
        <f>'Data Ocupacion'!T37</f>
        <v>32</v>
      </c>
      <c r="E64" s="126">
        <f>'Data Ocupacion'!U37</f>
        <v>0</v>
      </c>
      <c r="F64" s="125" t="s">
        <v>53</v>
      </c>
      <c r="G64" s="125">
        <f t="shared" si="48"/>
        <v>32</v>
      </c>
      <c r="H64" s="125">
        <f t="shared" si="49"/>
        <v>32</v>
      </c>
      <c r="I64" s="125">
        <f t="shared" si="50"/>
        <v>32</v>
      </c>
      <c r="J64" s="125">
        <f>G64*M$1</f>
        <v>931.52</v>
      </c>
      <c r="K64" s="153">
        <f>I64*M$1</f>
        <v>931.52</v>
      </c>
      <c r="L64" s="125">
        <f t="shared" si="51"/>
        <v>96878.080000000002</v>
      </c>
      <c r="M64" s="125">
        <f t="shared" si="52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25">
      <c r="A65" s="371"/>
      <c r="B65" s="294">
        <v>0</v>
      </c>
      <c r="C65" s="294">
        <v>0</v>
      </c>
      <c r="D65" s="126">
        <f>'Data Ocupacion'!T38</f>
        <v>0</v>
      </c>
      <c r="E65" s="126">
        <f>'Data Ocupacion'!U38</f>
        <v>0</v>
      </c>
      <c r="F65" s="125" t="s">
        <v>122</v>
      </c>
      <c r="G65" s="125">
        <f t="shared" si="48"/>
        <v>0</v>
      </c>
      <c r="H65" s="125">
        <f t="shared" si="49"/>
        <v>0</v>
      </c>
      <c r="I65" s="125">
        <f t="shared" si="50"/>
        <v>0</v>
      </c>
      <c r="J65" s="125">
        <f>G65*K$1</f>
        <v>0</v>
      </c>
      <c r="K65" s="153">
        <f>I65*K$1</f>
        <v>0</v>
      </c>
      <c r="L65" s="125">
        <f t="shared" si="51"/>
        <v>0</v>
      </c>
      <c r="M65" s="125">
        <f t="shared" si="52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371"/>
      <c r="B66" s="294">
        <v>4</v>
      </c>
      <c r="C66" s="294">
        <v>0</v>
      </c>
      <c r="D66" s="253">
        <f>'Data Ocupacion'!T39</f>
        <v>4</v>
      </c>
      <c r="E66" s="126">
        <f>'Data Ocupacion'!U39</f>
        <v>0</v>
      </c>
      <c r="F66" s="125" t="s">
        <v>35</v>
      </c>
      <c r="G66" s="125">
        <f t="shared" si="48"/>
        <v>4</v>
      </c>
      <c r="H66" s="125">
        <f t="shared" si="49"/>
        <v>4</v>
      </c>
      <c r="I66" s="125">
        <f t="shared" si="50"/>
        <v>4</v>
      </c>
      <c r="J66" s="125">
        <f>G66*K$1</f>
        <v>101.6</v>
      </c>
      <c r="K66" s="153">
        <f>I66*K$1</f>
        <v>101.6</v>
      </c>
      <c r="L66" s="125">
        <f t="shared" si="51"/>
        <v>10566.4</v>
      </c>
      <c r="M66" s="125">
        <f t="shared" si="52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25">
      <c r="A68" s="60">
        <f>A61+1</f>
        <v>46213</v>
      </c>
      <c r="B68" s="294">
        <v>49</v>
      </c>
      <c r="C68" s="294">
        <v>30</v>
      </c>
      <c r="D68" s="126">
        <f>'Data Ocupacion'!V34</f>
        <v>49</v>
      </c>
      <c r="E68" s="126">
        <f>'Data Ocupacion'!W34</f>
        <v>30</v>
      </c>
      <c r="F68" s="125" t="s">
        <v>38</v>
      </c>
      <c r="G68" s="125">
        <f t="shared" ref="G68:G73" si="54">D68+E68*2</f>
        <v>109</v>
      </c>
      <c r="H68" s="125">
        <f t="shared" ref="H68:H73" si="55">B68+C68*2</f>
        <v>109</v>
      </c>
      <c r="I68" s="125">
        <f t="shared" ref="I68:I73" si="56">D68+E68</f>
        <v>79</v>
      </c>
      <c r="J68" s="125">
        <f>G68*M$2</f>
        <v>4701.17</v>
      </c>
      <c r="K68" s="153">
        <f>I68*M$2</f>
        <v>3407.27</v>
      </c>
      <c r="L68" s="125">
        <f t="shared" ref="L68:L73" si="57">J68*104</f>
        <v>488921.68</v>
      </c>
      <c r="M68" s="125">
        <f t="shared" ref="M68:M73" si="58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5" customHeight="1" x14ac:dyDescent="0.25">
      <c r="A69" s="252"/>
      <c r="B69" s="294">
        <v>47</v>
      </c>
      <c r="C69" s="294">
        <v>31</v>
      </c>
      <c r="D69" s="126">
        <f>'Data Ocupacion'!V35</f>
        <v>47</v>
      </c>
      <c r="E69" s="126">
        <f>'Data Ocupacion'!W35</f>
        <v>31</v>
      </c>
      <c r="F69" s="125" t="s">
        <v>52</v>
      </c>
      <c r="G69" s="125">
        <f t="shared" si="54"/>
        <v>109</v>
      </c>
      <c r="H69" s="125">
        <f t="shared" si="55"/>
        <v>109</v>
      </c>
      <c r="I69" s="125">
        <f t="shared" si="56"/>
        <v>78</v>
      </c>
      <c r="J69" s="125">
        <f>G69*M$2</f>
        <v>4701.17</v>
      </c>
      <c r="K69" s="153">
        <f>I69*M$2</f>
        <v>3364.1400000000003</v>
      </c>
      <c r="L69" s="125">
        <f t="shared" si="57"/>
        <v>488921.68</v>
      </c>
      <c r="M69" s="125">
        <f t="shared" si="58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25">
      <c r="A70" s="252"/>
      <c r="B70" s="294">
        <v>36</v>
      </c>
      <c r="C70" s="294">
        <v>0</v>
      </c>
      <c r="D70" s="126">
        <f>'Data Ocupacion'!V36</f>
        <v>36</v>
      </c>
      <c r="E70" s="126">
        <f>'Data Ocupacion'!W36</f>
        <v>0</v>
      </c>
      <c r="F70" s="125" t="s">
        <v>36</v>
      </c>
      <c r="G70" s="125">
        <f t="shared" si="54"/>
        <v>36</v>
      </c>
      <c r="H70" s="125">
        <f t="shared" si="55"/>
        <v>36</v>
      </c>
      <c r="I70" s="125">
        <f t="shared" si="56"/>
        <v>36</v>
      </c>
      <c r="J70" s="125">
        <f>G70*M$1</f>
        <v>1047.96</v>
      </c>
      <c r="K70" s="153">
        <f>I70*M$1</f>
        <v>1047.96</v>
      </c>
      <c r="L70" s="125">
        <f t="shared" si="57"/>
        <v>108987.84</v>
      </c>
      <c r="M70" s="125">
        <f t="shared" si="58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25">
      <c r="A71" s="252"/>
      <c r="B71" s="294">
        <v>32</v>
      </c>
      <c r="C71" s="294">
        <v>0</v>
      </c>
      <c r="D71" s="126">
        <f>'Data Ocupacion'!V37</f>
        <v>32</v>
      </c>
      <c r="E71" s="126">
        <f>'Data Ocupacion'!W37</f>
        <v>0</v>
      </c>
      <c r="F71" s="125" t="s">
        <v>53</v>
      </c>
      <c r="G71" s="125">
        <f t="shared" si="54"/>
        <v>32</v>
      </c>
      <c r="H71" s="125">
        <f t="shared" si="55"/>
        <v>32</v>
      </c>
      <c r="I71" s="125">
        <f t="shared" si="56"/>
        <v>32</v>
      </c>
      <c r="J71" s="125">
        <f>G71*M$1</f>
        <v>931.52</v>
      </c>
      <c r="K71" s="153">
        <f>I71*M$1</f>
        <v>931.52</v>
      </c>
      <c r="L71" s="125">
        <f t="shared" si="57"/>
        <v>96878.080000000002</v>
      </c>
      <c r="M71" s="125">
        <f t="shared" si="58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25">
      <c r="A72" s="252"/>
      <c r="B72" s="294">
        <v>0</v>
      </c>
      <c r="C72" s="294">
        <v>0</v>
      </c>
      <c r="D72" s="126">
        <f>'Data Ocupacion'!V38</f>
        <v>0</v>
      </c>
      <c r="E72" s="126">
        <f>'Data Ocupacion'!W38</f>
        <v>0</v>
      </c>
      <c r="F72" s="125" t="s">
        <v>122</v>
      </c>
      <c r="G72" s="125">
        <f t="shared" si="54"/>
        <v>0</v>
      </c>
      <c r="H72" s="125">
        <f t="shared" si="55"/>
        <v>0</v>
      </c>
      <c r="I72" s="125">
        <f t="shared" si="56"/>
        <v>0</v>
      </c>
      <c r="J72" s="125">
        <f>G72*K$1</f>
        <v>0</v>
      </c>
      <c r="K72" s="153">
        <f>I72*K$1</f>
        <v>0</v>
      </c>
      <c r="L72" s="125">
        <f t="shared" si="57"/>
        <v>0</v>
      </c>
      <c r="M72" s="125">
        <f t="shared" si="58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2"/>
      <c r="B73" s="294">
        <v>4</v>
      </c>
      <c r="C73" s="294">
        <v>0</v>
      </c>
      <c r="D73" s="253">
        <f>'Data Ocupacion'!V39</f>
        <v>4</v>
      </c>
      <c r="E73" s="126">
        <f>'Data Ocupacion'!W39</f>
        <v>0</v>
      </c>
      <c r="F73" s="125" t="s">
        <v>35</v>
      </c>
      <c r="G73" s="125">
        <f t="shared" si="54"/>
        <v>4</v>
      </c>
      <c r="H73" s="125">
        <f t="shared" si="55"/>
        <v>4</v>
      </c>
      <c r="I73" s="125">
        <f t="shared" si="56"/>
        <v>4</v>
      </c>
      <c r="J73" s="125">
        <f>G73*K$1</f>
        <v>101.6</v>
      </c>
      <c r="K73" s="153">
        <f>I73*K$1</f>
        <v>101.6</v>
      </c>
      <c r="L73" s="125">
        <f t="shared" si="57"/>
        <v>10566.4</v>
      </c>
      <c r="M73" s="125">
        <f t="shared" si="58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.75" thickBot="1" x14ac:dyDescent="0.3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25">
      <c r="A75" s="60">
        <f>A68+1</f>
        <v>46214</v>
      </c>
      <c r="B75" s="116">
        <v>69</v>
      </c>
      <c r="C75" s="116">
        <v>3</v>
      </c>
      <c r="D75" s="147">
        <f>'Data Ocupacion'!X34</f>
        <v>69</v>
      </c>
      <c r="E75" s="147">
        <f>'Data Ocupacion'!Y34</f>
        <v>3</v>
      </c>
      <c r="F75" s="116" t="s">
        <v>38</v>
      </c>
      <c r="G75" s="116">
        <f t="shared" ref="G75:G80" si="60">D75+E75*2</f>
        <v>75</v>
      </c>
      <c r="H75" s="116">
        <f t="shared" ref="H75:H80" si="61">B75+C75*2</f>
        <v>75</v>
      </c>
      <c r="I75" s="116">
        <f t="shared" ref="I75:I80" si="62">D75+E75</f>
        <v>72</v>
      </c>
      <c r="J75" s="116">
        <f>G75*M$2</f>
        <v>3234.75</v>
      </c>
      <c r="K75" s="153">
        <f>I75*M$2</f>
        <v>3105.36</v>
      </c>
      <c r="L75" s="116">
        <f t="shared" ref="L75:L80" si="63">J75*104</f>
        <v>336414</v>
      </c>
      <c r="M75" s="116">
        <f t="shared" ref="M75:M80" si="64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25">
      <c r="A76" s="275"/>
      <c r="B76" s="116">
        <v>75</v>
      </c>
      <c r="C76" s="116">
        <v>0</v>
      </c>
      <c r="D76" s="147">
        <f>'Data Ocupacion'!X35</f>
        <v>75</v>
      </c>
      <c r="E76" s="147">
        <f>'Data Ocupacion'!Y35</f>
        <v>0</v>
      </c>
      <c r="F76" s="116" t="s">
        <v>52</v>
      </c>
      <c r="G76" s="116">
        <f t="shared" si="60"/>
        <v>75</v>
      </c>
      <c r="H76" s="116">
        <f t="shared" si="61"/>
        <v>75</v>
      </c>
      <c r="I76" s="116">
        <f t="shared" si="62"/>
        <v>75</v>
      </c>
      <c r="J76" s="116">
        <f>G76*M$2</f>
        <v>3234.75</v>
      </c>
      <c r="K76" s="153">
        <f>I76*M$2</f>
        <v>3234.75</v>
      </c>
      <c r="L76" s="116">
        <f t="shared" si="63"/>
        <v>336414</v>
      </c>
      <c r="M76" s="116">
        <f t="shared" si="64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25">
      <c r="A77" s="252"/>
      <c r="B77" s="116">
        <v>0</v>
      </c>
      <c r="C77" s="116">
        <v>0</v>
      </c>
      <c r="D77" s="147">
        <f>'Data Ocupacion'!X36</f>
        <v>0</v>
      </c>
      <c r="E77" s="147">
        <f>'Data Ocupacion'!Y36</f>
        <v>0</v>
      </c>
      <c r="F77" s="116" t="s">
        <v>36</v>
      </c>
      <c r="G77" s="116">
        <f t="shared" si="60"/>
        <v>0</v>
      </c>
      <c r="H77" s="116">
        <f t="shared" si="61"/>
        <v>0</v>
      </c>
      <c r="I77" s="116">
        <f t="shared" si="62"/>
        <v>0</v>
      </c>
      <c r="J77" s="116">
        <f>G77*M$1</f>
        <v>0</v>
      </c>
      <c r="K77" s="153">
        <f>I77*M$1</f>
        <v>0</v>
      </c>
      <c r="L77" s="116">
        <f t="shared" si="63"/>
        <v>0</v>
      </c>
      <c r="M77" s="116">
        <f t="shared" si="64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25">
      <c r="A78" s="252"/>
      <c r="B78" s="116">
        <v>0</v>
      </c>
      <c r="C78" s="116">
        <v>0</v>
      </c>
      <c r="D78" s="147">
        <f>'Data Ocupacion'!X37</f>
        <v>0</v>
      </c>
      <c r="E78" s="147">
        <f>'Data Ocupacion'!Y37</f>
        <v>0</v>
      </c>
      <c r="F78" s="116" t="s">
        <v>53</v>
      </c>
      <c r="G78" s="116">
        <f t="shared" si="60"/>
        <v>0</v>
      </c>
      <c r="H78" s="116">
        <f t="shared" si="61"/>
        <v>0</v>
      </c>
      <c r="I78" s="116">
        <f t="shared" si="62"/>
        <v>0</v>
      </c>
      <c r="J78" s="116">
        <f>G78*M$1</f>
        <v>0</v>
      </c>
      <c r="K78" s="153">
        <f>I78*M$1</f>
        <v>0</v>
      </c>
      <c r="L78" s="116">
        <f t="shared" si="63"/>
        <v>0</v>
      </c>
      <c r="M78" s="116">
        <f t="shared" si="64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25">
      <c r="A79" s="252"/>
      <c r="B79" s="116">
        <v>0</v>
      </c>
      <c r="C79" s="116">
        <v>0</v>
      </c>
      <c r="D79" s="147">
        <f>'Data Ocupacion'!X38</f>
        <v>0</v>
      </c>
      <c r="E79" s="147">
        <f>'Data Ocupacion'!Y38</f>
        <v>0</v>
      </c>
      <c r="F79" s="116" t="s">
        <v>122</v>
      </c>
      <c r="G79" s="116">
        <f t="shared" si="60"/>
        <v>0</v>
      </c>
      <c r="H79" s="116">
        <f t="shared" si="61"/>
        <v>0</v>
      </c>
      <c r="I79" s="116">
        <f t="shared" si="62"/>
        <v>0</v>
      </c>
      <c r="J79" s="116">
        <f>G79*K$1</f>
        <v>0</v>
      </c>
      <c r="K79" s="153">
        <f>I79*K$1</f>
        <v>0</v>
      </c>
      <c r="L79" s="116">
        <f t="shared" si="63"/>
        <v>0</v>
      </c>
      <c r="M79" s="116">
        <f t="shared" si="64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">
      <c r="A80" s="252"/>
      <c r="B80" s="116">
        <v>0</v>
      </c>
      <c r="C80" s="116">
        <v>0</v>
      </c>
      <c r="D80" s="335">
        <f>'Data Ocupacion'!X39</f>
        <v>0</v>
      </c>
      <c r="E80" s="147">
        <f>'Data Ocupacion'!Y39</f>
        <v>0</v>
      </c>
      <c r="F80" s="116" t="s">
        <v>35</v>
      </c>
      <c r="G80" s="116">
        <f t="shared" si="60"/>
        <v>0</v>
      </c>
      <c r="H80" s="116">
        <f t="shared" si="61"/>
        <v>0</v>
      </c>
      <c r="I80" s="116">
        <f t="shared" si="62"/>
        <v>0</v>
      </c>
      <c r="J80" s="116">
        <f>G80*K$1</f>
        <v>0</v>
      </c>
      <c r="K80" s="153">
        <f>I80*K$1</f>
        <v>0</v>
      </c>
      <c r="L80" s="116">
        <f t="shared" si="63"/>
        <v>0</v>
      </c>
      <c r="M80" s="116">
        <f t="shared" si="64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149999999999999" customHeight="1" x14ac:dyDescent="0.25">
      <c r="A82" s="60">
        <f>A75+1</f>
        <v>46215</v>
      </c>
      <c r="B82" s="217">
        <v>51</v>
      </c>
      <c r="C82" s="217">
        <v>3</v>
      </c>
      <c r="D82" s="138">
        <f>'Data Ocupacion'!Z34</f>
        <v>51</v>
      </c>
      <c r="E82" s="138">
        <f>'Data Ocupacion'!AA34</f>
        <v>3</v>
      </c>
      <c r="F82" s="217" t="s">
        <v>38</v>
      </c>
      <c r="G82" s="217">
        <f t="shared" ref="G82:G87" si="66">D82+E82*2</f>
        <v>57</v>
      </c>
      <c r="H82" s="217">
        <f t="shared" ref="H82:H87" si="67">B82+C82*2</f>
        <v>57</v>
      </c>
      <c r="I82" s="217">
        <f t="shared" ref="I82:I87" si="68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9">J82*104</f>
        <v>255674.64000000004</v>
      </c>
      <c r="M82" s="217">
        <f t="shared" ref="M82:M87" si="70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25">
      <c r="A83" s="201"/>
      <c r="B83" s="217">
        <v>57</v>
      </c>
      <c r="C83" s="217">
        <v>0</v>
      </c>
      <c r="D83" s="138">
        <f>'Data Ocupacion'!Z35</f>
        <v>57</v>
      </c>
      <c r="E83" s="138">
        <f>'Data Ocupacion'!AA35</f>
        <v>0</v>
      </c>
      <c r="F83" s="217" t="s">
        <v>52</v>
      </c>
      <c r="G83" s="217">
        <f t="shared" si="66"/>
        <v>57</v>
      </c>
      <c r="H83" s="217">
        <f t="shared" si="67"/>
        <v>57</v>
      </c>
      <c r="I83" s="217">
        <f t="shared" si="68"/>
        <v>57</v>
      </c>
      <c r="J83" s="217">
        <f>G83*M$2</f>
        <v>2458.4100000000003</v>
      </c>
      <c r="K83" s="153">
        <f>I83*M$2</f>
        <v>2458.4100000000003</v>
      </c>
      <c r="L83" s="217">
        <f t="shared" si="69"/>
        <v>255674.64000000004</v>
      </c>
      <c r="M83" s="217">
        <f t="shared" si="70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25">
      <c r="A84" s="201"/>
      <c r="B84" s="217">
        <v>0</v>
      </c>
      <c r="C84" s="217">
        <v>0</v>
      </c>
      <c r="D84" s="138">
        <f>'Data Ocupacion'!Z36</f>
        <v>0</v>
      </c>
      <c r="E84" s="138">
        <f>'Data Ocupacion'!AA36</f>
        <v>0</v>
      </c>
      <c r="F84" s="217" t="s">
        <v>36</v>
      </c>
      <c r="G84" s="217">
        <f t="shared" si="66"/>
        <v>0</v>
      </c>
      <c r="H84" s="217">
        <f t="shared" si="67"/>
        <v>0</v>
      </c>
      <c r="I84" s="217">
        <f t="shared" si="68"/>
        <v>0</v>
      </c>
      <c r="J84" s="217">
        <f>G84*M$1</f>
        <v>0</v>
      </c>
      <c r="K84" s="153">
        <f>I84*M$1</f>
        <v>0</v>
      </c>
      <c r="L84" s="217">
        <f t="shared" si="69"/>
        <v>0</v>
      </c>
      <c r="M84" s="217">
        <f t="shared" si="70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25">
      <c r="A85" s="201"/>
      <c r="B85" s="217">
        <v>0</v>
      </c>
      <c r="C85" s="217">
        <v>0</v>
      </c>
      <c r="D85" s="138">
        <f>'Data Ocupacion'!Z37</f>
        <v>0</v>
      </c>
      <c r="E85" s="138">
        <f>'Data Ocupacion'!AA37</f>
        <v>0</v>
      </c>
      <c r="F85" s="217" t="s">
        <v>53</v>
      </c>
      <c r="G85" s="217">
        <f t="shared" si="66"/>
        <v>0</v>
      </c>
      <c r="H85" s="217">
        <f t="shared" si="67"/>
        <v>0</v>
      </c>
      <c r="I85" s="217">
        <f t="shared" si="68"/>
        <v>0</v>
      </c>
      <c r="J85" s="217">
        <f>G85*M$1</f>
        <v>0</v>
      </c>
      <c r="K85" s="153">
        <f>I85*M$1</f>
        <v>0</v>
      </c>
      <c r="L85" s="217">
        <f t="shared" si="69"/>
        <v>0</v>
      </c>
      <c r="M85" s="217">
        <f t="shared" si="70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25">
      <c r="A86" s="201"/>
      <c r="B86" s="217">
        <v>0</v>
      </c>
      <c r="C86" s="217">
        <v>0</v>
      </c>
      <c r="D86" s="138">
        <f>'Data Ocupacion'!Z38</f>
        <v>0</v>
      </c>
      <c r="E86" s="138">
        <f>'Data Ocupacion'!AA38</f>
        <v>0</v>
      </c>
      <c r="F86" s="217" t="s">
        <v>122</v>
      </c>
      <c r="G86" s="217">
        <f t="shared" si="66"/>
        <v>0</v>
      </c>
      <c r="H86" s="217">
        <f t="shared" si="67"/>
        <v>0</v>
      </c>
      <c r="I86" s="217">
        <f t="shared" si="68"/>
        <v>0</v>
      </c>
      <c r="J86" s="217">
        <f>G86*K$1</f>
        <v>0</v>
      </c>
      <c r="K86" s="153">
        <f>I86*K$1</f>
        <v>0</v>
      </c>
      <c r="L86" s="217">
        <f t="shared" si="69"/>
        <v>0</v>
      </c>
      <c r="M86" s="217">
        <f t="shared" si="70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.75" thickBot="1" x14ac:dyDescent="0.3">
      <c r="A87" s="201"/>
      <c r="B87" s="217">
        <v>0</v>
      </c>
      <c r="C87" s="217">
        <v>0</v>
      </c>
      <c r="D87" s="138">
        <f>'Data Ocupacion'!Z39</f>
        <v>0</v>
      </c>
      <c r="E87" s="138">
        <f>'Data Ocupacion'!AA39</f>
        <v>0</v>
      </c>
      <c r="F87" s="217" t="s">
        <v>35</v>
      </c>
      <c r="G87" s="217">
        <f t="shared" si="66"/>
        <v>0</v>
      </c>
      <c r="H87" s="217">
        <f t="shared" si="67"/>
        <v>0</v>
      </c>
      <c r="I87" s="217">
        <f t="shared" si="68"/>
        <v>0</v>
      </c>
      <c r="J87" s="217">
        <f>G87*K$1</f>
        <v>0</v>
      </c>
      <c r="K87" s="153">
        <f>I87*K$1</f>
        <v>0</v>
      </c>
      <c r="L87" s="217">
        <f t="shared" si="69"/>
        <v>0</v>
      </c>
      <c r="M87" s="217">
        <f t="shared" si="70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46216</v>
      </c>
      <c r="B89" s="294">
        <v>49</v>
      </c>
      <c r="C89" s="294">
        <v>30</v>
      </c>
      <c r="D89" s="138">
        <f>'Data Ocupacion'!AB34</f>
        <v>48</v>
      </c>
      <c r="E89" s="138">
        <f>'Data Ocupacion'!AC34</f>
        <v>31</v>
      </c>
      <c r="F89" s="125" t="s">
        <v>38</v>
      </c>
      <c r="G89" s="125">
        <f t="shared" ref="G89:G94" si="72">D89+E89*2</f>
        <v>110</v>
      </c>
      <c r="H89" s="125">
        <f t="shared" ref="H89:H94" si="73">B89+C89*2</f>
        <v>109</v>
      </c>
      <c r="I89" s="125">
        <f t="shared" ref="I89:I94" si="74">D89+E89</f>
        <v>79</v>
      </c>
      <c r="J89" s="125">
        <f>G89*M$2</f>
        <v>4744.3</v>
      </c>
      <c r="K89" s="153">
        <f>I89*M$2</f>
        <v>3407.27</v>
      </c>
      <c r="L89" s="125">
        <f t="shared" ref="L89:L94" si="75">J89*104</f>
        <v>493407.2</v>
      </c>
      <c r="M89" s="125">
        <f t="shared" ref="M89:M94" si="76">I89*104</f>
        <v>8216</v>
      </c>
      <c r="N89" s="19"/>
      <c r="O89" s="19"/>
      <c r="P89" s="146"/>
      <c r="Q89" s="183">
        <v>3</v>
      </c>
      <c r="R89" s="183"/>
      <c r="S89" s="205"/>
      <c r="T89" s="284"/>
      <c r="U89" s="191"/>
      <c r="V89" s="227"/>
      <c r="W89" s="182">
        <f>J89-(Q89*($M$2-$K$1))-(R89*($M$2-$M$1))- (S89*($M$2-$I$2))+ (T89*($G$2))</f>
        <v>4691.1100000000006</v>
      </c>
      <c r="X89" s="182">
        <f>H89*$M$2</f>
        <v>4701.17</v>
      </c>
    </row>
    <row r="90" spans="1:30" ht="17.25" customHeight="1" x14ac:dyDescent="0.25">
      <c r="A90" s="201"/>
      <c r="B90" s="294">
        <v>47</v>
      </c>
      <c r="C90" s="294">
        <v>31</v>
      </c>
      <c r="D90" s="138">
        <f>'Data Ocupacion'!AB35</f>
        <v>46</v>
      </c>
      <c r="E90" s="138">
        <f>'Data Ocupacion'!AC35</f>
        <v>32</v>
      </c>
      <c r="F90" s="125" t="s">
        <v>52</v>
      </c>
      <c r="G90" s="125">
        <f t="shared" si="72"/>
        <v>110</v>
      </c>
      <c r="H90" s="125">
        <f t="shared" si="73"/>
        <v>109</v>
      </c>
      <c r="I90" s="125">
        <f t="shared" si="74"/>
        <v>78</v>
      </c>
      <c r="J90" s="125">
        <f>G90*M$2</f>
        <v>4744.3</v>
      </c>
      <c r="K90" s="153">
        <f>I90*M$2</f>
        <v>3364.1400000000003</v>
      </c>
      <c r="L90" s="125">
        <f t="shared" si="75"/>
        <v>493407.2</v>
      </c>
      <c r="M90" s="125">
        <f t="shared" si="76"/>
        <v>8112</v>
      </c>
      <c r="N90" s="19"/>
      <c r="O90" s="19"/>
      <c r="P90" s="146"/>
      <c r="Q90" s="186"/>
      <c r="R90" s="186"/>
      <c r="S90" s="216"/>
      <c r="T90" s="183">
        <v>5</v>
      </c>
      <c r="U90" s="216"/>
      <c r="V90" s="228"/>
      <c r="W90" s="185">
        <f>J90-(T90*($M$2-$K$1)+(U90*($M$2-$M$1)))</f>
        <v>4655.6500000000005</v>
      </c>
      <c r="X90" s="182">
        <f>H90*$M$2</f>
        <v>4701.17</v>
      </c>
    </row>
    <row r="91" spans="1:30" ht="14.45" customHeight="1" x14ac:dyDescent="0.25">
      <c r="A91" s="201"/>
      <c r="B91" s="294">
        <v>36</v>
      </c>
      <c r="C91" s="294">
        <v>0</v>
      </c>
      <c r="D91" s="126">
        <f>'Data Ocupacion'!AB36</f>
        <v>36</v>
      </c>
      <c r="E91" s="126">
        <f>'Data Ocupacion'!AC36</f>
        <v>0</v>
      </c>
      <c r="F91" s="125" t="s">
        <v>36</v>
      </c>
      <c r="G91" s="125">
        <f t="shared" si="72"/>
        <v>36</v>
      </c>
      <c r="H91" s="125">
        <f t="shared" si="73"/>
        <v>36</v>
      </c>
      <c r="I91" s="125">
        <f t="shared" si="74"/>
        <v>36</v>
      </c>
      <c r="J91" s="125">
        <f>G91*M$1</f>
        <v>1047.96</v>
      </c>
      <c r="K91" s="153">
        <f>I91*M$1</f>
        <v>1047.96</v>
      </c>
      <c r="L91" s="125">
        <f t="shared" si="75"/>
        <v>108987.84</v>
      </c>
      <c r="M91" s="125">
        <f t="shared" si="76"/>
        <v>3744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1047.96</v>
      </c>
      <c r="X91" s="182">
        <f>H91*$M$1</f>
        <v>1047.96</v>
      </c>
    </row>
    <row r="92" spans="1:30" ht="15" customHeight="1" x14ac:dyDescent="0.25">
      <c r="A92" s="201"/>
      <c r="B92" s="294">
        <v>32</v>
      </c>
      <c r="C92" s="294">
        <v>0</v>
      </c>
      <c r="D92" s="126">
        <f>'Data Ocupacion'!AB37</f>
        <v>32</v>
      </c>
      <c r="E92" s="126">
        <f>'Data Ocupacion'!AC37</f>
        <v>0</v>
      </c>
      <c r="F92" s="125" t="s">
        <v>53</v>
      </c>
      <c r="G92" s="125">
        <f t="shared" si="72"/>
        <v>32</v>
      </c>
      <c r="H92" s="125">
        <f t="shared" si="73"/>
        <v>32</v>
      </c>
      <c r="I92" s="125">
        <f t="shared" si="74"/>
        <v>32</v>
      </c>
      <c r="J92" s="125">
        <f>G92*M$1</f>
        <v>931.52</v>
      </c>
      <c r="K92" s="153">
        <f>I92*M$1</f>
        <v>931.52</v>
      </c>
      <c r="L92" s="125">
        <f t="shared" si="75"/>
        <v>96878.080000000002</v>
      </c>
      <c r="M92" s="125">
        <f t="shared" si="76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931.52</v>
      </c>
      <c r="X92" s="182">
        <f>H92*$M$1</f>
        <v>931.52</v>
      </c>
    </row>
    <row r="93" spans="1:30" ht="15" customHeight="1" x14ac:dyDescent="0.25">
      <c r="A93" s="201"/>
      <c r="B93" s="294">
        <v>0</v>
      </c>
      <c r="C93" s="294">
        <v>0</v>
      </c>
      <c r="D93" s="126">
        <f>'Data Ocupacion'!AB38</f>
        <v>0</v>
      </c>
      <c r="E93" s="126">
        <f>'Data Ocupacion'!AC38</f>
        <v>0</v>
      </c>
      <c r="F93" s="125" t="s">
        <v>122</v>
      </c>
      <c r="G93" s="125">
        <f t="shared" si="72"/>
        <v>0</v>
      </c>
      <c r="H93" s="125">
        <f t="shared" si="73"/>
        <v>0</v>
      </c>
      <c r="I93" s="125">
        <f t="shared" si="74"/>
        <v>0</v>
      </c>
      <c r="J93" s="125">
        <f>G93*K$1</f>
        <v>0</v>
      </c>
      <c r="K93" s="153">
        <f>I93*K$1</f>
        <v>0</v>
      </c>
      <c r="L93" s="125">
        <f t="shared" si="75"/>
        <v>0</v>
      </c>
      <c r="M93" s="125">
        <f t="shared" si="76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1"/>
      <c r="B94" s="294">
        <v>4</v>
      </c>
      <c r="C94" s="294">
        <v>0</v>
      </c>
      <c r="D94" s="294">
        <f>'Data Ocupacion'!AB39</f>
        <v>4</v>
      </c>
      <c r="E94" s="294">
        <f>'Data Ocupacion'!AC39</f>
        <v>0</v>
      </c>
      <c r="F94" s="125" t="s">
        <v>35</v>
      </c>
      <c r="G94" s="125">
        <f t="shared" si="72"/>
        <v>4</v>
      </c>
      <c r="H94" s="125">
        <f t="shared" si="73"/>
        <v>4</v>
      </c>
      <c r="I94" s="125">
        <f t="shared" si="74"/>
        <v>4</v>
      </c>
      <c r="J94" s="125">
        <f>G94*K$1</f>
        <v>101.6</v>
      </c>
      <c r="K94" s="153">
        <f>I94*K$1</f>
        <v>101.6</v>
      </c>
      <c r="L94" s="125">
        <f t="shared" si="75"/>
        <v>10566.4</v>
      </c>
      <c r="M94" s="125">
        <f t="shared" si="76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168</v>
      </c>
      <c r="C95" s="119">
        <f>SUM(C89:C94)</f>
        <v>61</v>
      </c>
      <c r="D95" s="152">
        <f>SUM(D89:D94)</f>
        <v>166</v>
      </c>
      <c r="E95" s="152">
        <f>SUM(E89:E94)</f>
        <v>63</v>
      </c>
      <c r="F95" s="119"/>
      <c r="G95" s="119">
        <f t="shared" ref="G95:M95" si="77">SUM(G89:G94)</f>
        <v>292</v>
      </c>
      <c r="H95" s="119">
        <f t="shared" si="77"/>
        <v>290</v>
      </c>
      <c r="I95" s="119">
        <f t="shared" si="77"/>
        <v>229</v>
      </c>
      <c r="J95" s="120">
        <f t="shared" si="77"/>
        <v>11569.680000000002</v>
      </c>
      <c r="K95" s="119">
        <f t="shared" si="77"/>
        <v>8852.49</v>
      </c>
      <c r="L95" s="118">
        <f t="shared" si="77"/>
        <v>1203246.72</v>
      </c>
      <c r="M95" s="151">
        <f t="shared" si="77"/>
        <v>23816</v>
      </c>
      <c r="N95" s="123">
        <f>'Odometro-Kilometraje'!N88</f>
        <v>11815</v>
      </c>
      <c r="O95" s="21">
        <f>(W95/N95)*100</f>
        <v>96.723148539991556</v>
      </c>
      <c r="P95" s="192"/>
      <c r="Q95" s="248"/>
      <c r="R95" s="248"/>
      <c r="S95" s="248"/>
      <c r="T95" s="248"/>
      <c r="U95" s="181"/>
      <c r="V95" s="181"/>
      <c r="W95" s="193">
        <f>SUM(W89:W94)</f>
        <v>11427.840000000002</v>
      </c>
      <c r="X95" s="193">
        <f>SUM(X89:X94)</f>
        <v>11483.42</v>
      </c>
    </row>
    <row r="96" spans="1:30" ht="17.25" customHeight="1" x14ac:dyDescent="0.25">
      <c r="A96" s="60">
        <f>A89+1</f>
        <v>46217</v>
      </c>
      <c r="B96" s="294">
        <v>49</v>
      </c>
      <c r="C96" s="294">
        <v>30</v>
      </c>
      <c r="D96" s="126">
        <f>'Data Ocupacion'!AD34</f>
        <v>48</v>
      </c>
      <c r="E96" s="126">
        <f>'Data Ocupacion'!AE34</f>
        <v>32</v>
      </c>
      <c r="F96" s="125" t="s">
        <v>38</v>
      </c>
      <c r="G96" s="125">
        <f t="shared" ref="G96:G101" si="78">D96+E96*2</f>
        <v>112</v>
      </c>
      <c r="H96" s="125">
        <f t="shared" ref="H96:H101" si="79">B96+C96*2</f>
        <v>109</v>
      </c>
      <c r="I96" s="125">
        <f t="shared" ref="I96:I101" si="80">D96+E96</f>
        <v>80</v>
      </c>
      <c r="J96" s="125">
        <f>G96*M$2</f>
        <v>4830.5600000000004</v>
      </c>
      <c r="K96" s="153">
        <f>I96*M$2</f>
        <v>3450.4</v>
      </c>
      <c r="L96" s="125">
        <f t="shared" ref="L96:L101" si="81">J96*104</f>
        <v>502378.24000000005</v>
      </c>
      <c r="M96" s="125">
        <f t="shared" ref="M96:M101" si="82">I96*104</f>
        <v>8320</v>
      </c>
      <c r="N96" s="19"/>
      <c r="O96" s="19"/>
      <c r="P96" s="146"/>
      <c r="Q96" s="183">
        <v>4</v>
      </c>
      <c r="R96" s="183"/>
      <c r="S96" s="205"/>
      <c r="T96" s="284"/>
      <c r="U96" s="191"/>
      <c r="V96" s="227"/>
      <c r="W96" s="182">
        <f>J96-(Q96*($M$2-$K$1))-(R96*($M$2-$M$1))- (S96*($M$2-$I$2))+ (T96*($G$2))</f>
        <v>4759.6400000000003</v>
      </c>
      <c r="X96" s="182">
        <f>H96*$M$2</f>
        <v>4701.17</v>
      </c>
    </row>
    <row r="97" spans="1:30" ht="15" customHeight="1" x14ac:dyDescent="0.25">
      <c r="A97" s="275"/>
      <c r="B97" s="294">
        <v>47</v>
      </c>
      <c r="C97" s="294">
        <v>31</v>
      </c>
      <c r="D97" s="126">
        <f>'Data Ocupacion'!AD35</f>
        <v>47</v>
      </c>
      <c r="E97" s="126">
        <f>'Data Ocupacion'!AE35</f>
        <v>31</v>
      </c>
      <c r="F97" s="125" t="s">
        <v>52</v>
      </c>
      <c r="G97" s="125">
        <f t="shared" si="78"/>
        <v>109</v>
      </c>
      <c r="H97" s="125">
        <f t="shared" si="79"/>
        <v>109</v>
      </c>
      <c r="I97" s="125">
        <f t="shared" si="80"/>
        <v>78</v>
      </c>
      <c r="J97" s="125">
        <f>G97*M$2</f>
        <v>4701.17</v>
      </c>
      <c r="K97" s="153">
        <f>I97*M$2</f>
        <v>3364.1400000000003</v>
      </c>
      <c r="L97" s="125">
        <f t="shared" si="81"/>
        <v>488921.68</v>
      </c>
      <c r="M97" s="125">
        <f t="shared" si="82"/>
        <v>8112</v>
      </c>
      <c r="N97" s="19"/>
      <c r="O97" s="19"/>
      <c r="P97" s="146"/>
      <c r="Q97" s="186"/>
      <c r="R97" s="186"/>
      <c r="S97" s="216"/>
      <c r="T97" s="183">
        <v>5</v>
      </c>
      <c r="U97" s="216"/>
      <c r="V97" s="205"/>
      <c r="W97" s="185">
        <f>J97-(T97*($M$2-$K$1)+(U97*($M$2-$M$1)))</f>
        <v>4612.5200000000004</v>
      </c>
      <c r="X97" s="182">
        <f>H97*$M$2</f>
        <v>4701.17</v>
      </c>
    </row>
    <row r="98" spans="1:30" ht="15" customHeight="1" x14ac:dyDescent="0.25">
      <c r="A98" s="252"/>
      <c r="B98" s="294">
        <v>36</v>
      </c>
      <c r="C98" s="294">
        <v>0</v>
      </c>
      <c r="D98" s="126">
        <f>'Data Ocupacion'!AD36</f>
        <v>32</v>
      </c>
      <c r="E98" s="126">
        <f>'Data Ocupacion'!AE36</f>
        <v>0</v>
      </c>
      <c r="F98" s="125" t="s">
        <v>36</v>
      </c>
      <c r="G98" s="125">
        <f t="shared" si="78"/>
        <v>32</v>
      </c>
      <c r="H98" s="125">
        <f t="shared" si="79"/>
        <v>36</v>
      </c>
      <c r="I98" s="125">
        <f t="shared" si="80"/>
        <v>32</v>
      </c>
      <c r="J98" s="125">
        <f>G98*M$1</f>
        <v>931.52</v>
      </c>
      <c r="K98" s="153">
        <f>I98*M$1</f>
        <v>931.52</v>
      </c>
      <c r="L98" s="125">
        <f t="shared" si="81"/>
        <v>96878.080000000002</v>
      </c>
      <c r="M98" s="125">
        <f t="shared" si="82"/>
        <v>3328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931.52</v>
      </c>
      <c r="X98" s="182">
        <f>H98*$M$1</f>
        <v>1047.96</v>
      </c>
    </row>
    <row r="99" spans="1:30" ht="15" customHeight="1" x14ac:dyDescent="0.25">
      <c r="A99" s="252"/>
      <c r="B99" s="294">
        <v>32</v>
      </c>
      <c r="C99" s="294">
        <v>0</v>
      </c>
      <c r="D99" s="126">
        <f>'Data Ocupacion'!AD37</f>
        <v>30</v>
      </c>
      <c r="E99" s="126">
        <f>'Data Ocupacion'!AE37</f>
        <v>0</v>
      </c>
      <c r="F99" s="125" t="s">
        <v>53</v>
      </c>
      <c r="G99" s="125">
        <f t="shared" si="78"/>
        <v>30</v>
      </c>
      <c r="H99" s="125">
        <f t="shared" si="79"/>
        <v>32</v>
      </c>
      <c r="I99" s="125">
        <f t="shared" si="80"/>
        <v>30</v>
      </c>
      <c r="J99" s="125">
        <f>G99*M$1</f>
        <v>873.3</v>
      </c>
      <c r="K99" s="153">
        <f>I99*M$1</f>
        <v>873.3</v>
      </c>
      <c r="L99" s="125">
        <f t="shared" si="81"/>
        <v>90823.2</v>
      </c>
      <c r="M99" s="125">
        <f t="shared" si="82"/>
        <v>3120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873.3</v>
      </c>
      <c r="X99" s="182">
        <f>H99*$M$1</f>
        <v>931.52</v>
      </c>
    </row>
    <row r="100" spans="1:30" ht="15" customHeight="1" x14ac:dyDescent="0.25">
      <c r="A100" s="252"/>
      <c r="B100" s="294">
        <v>0</v>
      </c>
      <c r="C100" s="294">
        <v>0</v>
      </c>
      <c r="D100" s="126">
        <f>'Data Ocupacion'!AD38</f>
        <v>0</v>
      </c>
      <c r="E100" s="126">
        <f>'Data Ocupacion'!AE38</f>
        <v>0</v>
      </c>
      <c r="F100" s="125" t="s">
        <v>122</v>
      </c>
      <c r="G100" s="125">
        <f t="shared" si="78"/>
        <v>0</v>
      </c>
      <c r="H100" s="125">
        <f t="shared" si="79"/>
        <v>0</v>
      </c>
      <c r="I100" s="125">
        <f t="shared" si="80"/>
        <v>0</v>
      </c>
      <c r="J100" s="125">
        <f>G100*K$1</f>
        <v>0</v>
      </c>
      <c r="K100" s="153">
        <f>I100*K$1</f>
        <v>0</v>
      </c>
      <c r="L100" s="125">
        <f t="shared" si="81"/>
        <v>0</v>
      </c>
      <c r="M100" s="125">
        <f t="shared" si="82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2"/>
      <c r="B101" s="294">
        <v>4</v>
      </c>
      <c r="C101" s="294">
        <v>0</v>
      </c>
      <c r="D101" s="253">
        <f>'Data Ocupacion'!AD39</f>
        <v>5</v>
      </c>
      <c r="E101" s="126">
        <f>'Data Ocupacion'!AE39</f>
        <v>0</v>
      </c>
      <c r="F101" s="125" t="s">
        <v>35</v>
      </c>
      <c r="G101" s="125">
        <f t="shared" si="78"/>
        <v>5</v>
      </c>
      <c r="H101" s="125">
        <f t="shared" si="79"/>
        <v>4</v>
      </c>
      <c r="I101" s="125">
        <f t="shared" si="80"/>
        <v>5</v>
      </c>
      <c r="J101" s="125">
        <f>G101*K$1</f>
        <v>127</v>
      </c>
      <c r="K101" s="153">
        <f>I101*K$1</f>
        <v>127</v>
      </c>
      <c r="L101" s="125">
        <f t="shared" si="81"/>
        <v>13208</v>
      </c>
      <c r="M101" s="125">
        <f t="shared" si="82"/>
        <v>520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127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168</v>
      </c>
      <c r="C102" s="119">
        <f>SUM(C96:C101)</f>
        <v>61</v>
      </c>
      <c r="D102" s="152">
        <f>SUM(D96:D101)</f>
        <v>162</v>
      </c>
      <c r="E102" s="152">
        <f>SUM(E96:E101)</f>
        <v>63</v>
      </c>
      <c r="F102" s="119"/>
      <c r="G102" s="119">
        <f t="shared" ref="G102:M102" si="83">SUM(G96:G101)</f>
        <v>288</v>
      </c>
      <c r="H102" s="119">
        <f t="shared" si="83"/>
        <v>290</v>
      </c>
      <c r="I102" s="119">
        <f t="shared" si="83"/>
        <v>225</v>
      </c>
      <c r="J102" s="120">
        <f t="shared" si="83"/>
        <v>11463.55</v>
      </c>
      <c r="K102" s="119">
        <f t="shared" si="83"/>
        <v>8746.36</v>
      </c>
      <c r="L102" s="118">
        <f t="shared" si="83"/>
        <v>1192209.2</v>
      </c>
      <c r="M102" s="151">
        <f t="shared" si="83"/>
        <v>23400</v>
      </c>
      <c r="N102" s="123">
        <f>'Odometro-Kilometraje'!O88</f>
        <v>11720</v>
      </c>
      <c r="O102" s="21">
        <f>(W102/N102)*100</f>
        <v>96.450341296928315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11303.98</v>
      </c>
      <c r="X102" s="193">
        <f>SUM(X96:X101)</f>
        <v>11483.42</v>
      </c>
      <c r="AA102" s="172"/>
      <c r="AD102"/>
    </row>
    <row r="103" spans="1:30" ht="16.149999999999999" customHeight="1" x14ac:dyDescent="0.25">
      <c r="A103" s="60">
        <f>A96+1</f>
        <v>46218</v>
      </c>
      <c r="B103" s="294">
        <v>49</v>
      </c>
      <c r="C103" s="294">
        <v>30</v>
      </c>
      <c r="D103" s="126">
        <f>'Data Ocupacion'!AF34</f>
        <v>49</v>
      </c>
      <c r="E103" s="126">
        <f>'Data Ocupacion'!AG34</f>
        <v>30</v>
      </c>
      <c r="F103" s="125" t="s">
        <v>38</v>
      </c>
      <c r="G103" s="125">
        <f t="shared" ref="G103:G108" si="84">D103+E103*2</f>
        <v>109</v>
      </c>
      <c r="H103" s="125">
        <f t="shared" ref="H103:H108" si="85">B103+C103*2</f>
        <v>109</v>
      </c>
      <c r="I103" s="125">
        <f t="shared" ref="I103:I108" si="86">D103+E103</f>
        <v>79</v>
      </c>
      <c r="J103" s="125">
        <f>G103*M$2</f>
        <v>4701.17</v>
      </c>
      <c r="K103" s="153">
        <f>I103*M$2</f>
        <v>3407.27</v>
      </c>
      <c r="L103" s="125">
        <f t="shared" ref="L103:L108" si="87">J103*104</f>
        <v>488921.68</v>
      </c>
      <c r="M103" s="125">
        <f t="shared" ref="M103:M108" si="88">I103*104</f>
        <v>8216</v>
      </c>
      <c r="N103" s="19"/>
      <c r="O103" s="19"/>
      <c r="P103" s="146"/>
      <c r="Q103" s="243">
        <v>4</v>
      </c>
      <c r="R103" s="183"/>
      <c r="S103" s="205"/>
      <c r="T103" s="190"/>
      <c r="U103" s="191"/>
      <c r="V103" s="227"/>
      <c r="W103" s="182">
        <f>J103-(Q103*($M$2-$K$1))-(R103*($M$2-$M$1))- (S103*($M$2-$I$2))+ (T103*($G$2))</f>
        <v>4630.25</v>
      </c>
      <c r="X103" s="182">
        <f>H103*$M$2</f>
        <v>4701.17</v>
      </c>
    </row>
    <row r="104" spans="1:30" ht="15" customHeight="1" x14ac:dyDescent="0.25">
      <c r="A104" s="275"/>
      <c r="B104" s="294">
        <v>47</v>
      </c>
      <c r="C104" s="294">
        <v>31</v>
      </c>
      <c r="D104" s="126">
        <f>'Data Ocupacion'!AF35</f>
        <v>47</v>
      </c>
      <c r="E104" s="126">
        <f>'Data Ocupacion'!AG35</f>
        <v>31</v>
      </c>
      <c r="F104" s="125" t="s">
        <v>52</v>
      </c>
      <c r="G104" s="125">
        <f t="shared" si="84"/>
        <v>109</v>
      </c>
      <c r="H104" s="125">
        <f t="shared" si="85"/>
        <v>109</v>
      </c>
      <c r="I104" s="125">
        <f t="shared" si="86"/>
        <v>78</v>
      </c>
      <c r="J104" s="125">
        <f>G104*M$2</f>
        <v>4701.17</v>
      </c>
      <c r="K104" s="153">
        <f>I104*M$2</f>
        <v>3364.1400000000003</v>
      </c>
      <c r="L104" s="125">
        <f t="shared" si="87"/>
        <v>488921.68</v>
      </c>
      <c r="M104" s="125">
        <f t="shared" si="88"/>
        <v>8112</v>
      </c>
      <c r="N104" s="19"/>
      <c r="O104" s="19"/>
      <c r="P104" s="146"/>
      <c r="Q104" s="186"/>
      <c r="R104" s="186"/>
      <c r="S104" s="186"/>
      <c r="T104" s="238">
        <v>5</v>
      </c>
      <c r="U104" s="184"/>
      <c r="V104" s="228"/>
      <c r="W104" s="185">
        <f>J104-(T104*($M$2-$K$1)+(U104*($M$2-$M$1)))</f>
        <v>4612.5200000000004</v>
      </c>
      <c r="X104" s="182">
        <f>H104*$M$2</f>
        <v>4701.17</v>
      </c>
    </row>
    <row r="105" spans="1:30" ht="14.25" customHeight="1" x14ac:dyDescent="0.25">
      <c r="A105" s="252"/>
      <c r="B105" s="294">
        <v>36</v>
      </c>
      <c r="C105" s="294">
        <v>0</v>
      </c>
      <c r="D105" s="126">
        <f>'Data Ocupacion'!AF36</f>
        <v>36</v>
      </c>
      <c r="E105" s="126">
        <f>'Data Ocupacion'!AG36</f>
        <v>0</v>
      </c>
      <c r="F105" s="125" t="s">
        <v>36</v>
      </c>
      <c r="G105" s="125">
        <f t="shared" si="84"/>
        <v>36</v>
      </c>
      <c r="H105" s="125">
        <f t="shared" si="85"/>
        <v>36</v>
      </c>
      <c r="I105" s="125">
        <f t="shared" si="86"/>
        <v>36</v>
      </c>
      <c r="J105" s="125">
        <f>G105*M$1</f>
        <v>1047.96</v>
      </c>
      <c r="K105" s="153">
        <f>I105*M$1</f>
        <v>1047.96</v>
      </c>
      <c r="L105" s="125">
        <f t="shared" si="87"/>
        <v>108987.84</v>
      </c>
      <c r="M105" s="125">
        <f t="shared" si="88"/>
        <v>3744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1047.96</v>
      </c>
      <c r="X105" s="182">
        <f>H105*$M$1</f>
        <v>1047.96</v>
      </c>
    </row>
    <row r="106" spans="1:30" ht="15" customHeight="1" x14ac:dyDescent="0.25">
      <c r="A106" s="252"/>
      <c r="B106" s="294">
        <v>32</v>
      </c>
      <c r="C106" s="294">
        <v>0</v>
      </c>
      <c r="D106" s="126">
        <f>'Data Ocupacion'!AF37</f>
        <v>32</v>
      </c>
      <c r="E106" s="126">
        <f>'Data Ocupacion'!AG37</f>
        <v>0</v>
      </c>
      <c r="F106" s="125" t="s">
        <v>53</v>
      </c>
      <c r="G106" s="125">
        <f t="shared" si="84"/>
        <v>32</v>
      </c>
      <c r="H106" s="125">
        <f t="shared" si="85"/>
        <v>32</v>
      </c>
      <c r="I106" s="125">
        <f t="shared" si="86"/>
        <v>32</v>
      </c>
      <c r="J106" s="125">
        <f>G106*M$1</f>
        <v>931.52</v>
      </c>
      <c r="K106" s="153">
        <f>I106*M$1</f>
        <v>931.52</v>
      </c>
      <c r="L106" s="125">
        <f t="shared" si="87"/>
        <v>96878.080000000002</v>
      </c>
      <c r="M106" s="125">
        <f t="shared" si="88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931.52</v>
      </c>
      <c r="X106" s="182">
        <f>H106*$M$1</f>
        <v>931.52</v>
      </c>
    </row>
    <row r="107" spans="1:30" ht="15" customHeight="1" x14ac:dyDescent="0.25">
      <c r="A107" s="252"/>
      <c r="B107" s="294">
        <v>0</v>
      </c>
      <c r="C107" s="294">
        <v>0</v>
      </c>
      <c r="D107" s="126">
        <f>'Data Ocupacion'!AF38</f>
        <v>0</v>
      </c>
      <c r="E107" s="126">
        <f>'Data Ocupacion'!AG38</f>
        <v>0</v>
      </c>
      <c r="F107" s="125" t="s">
        <v>122</v>
      </c>
      <c r="G107" s="125">
        <f t="shared" si="84"/>
        <v>0</v>
      </c>
      <c r="H107" s="125">
        <f t="shared" si="85"/>
        <v>0</v>
      </c>
      <c r="I107" s="125">
        <f t="shared" si="86"/>
        <v>0</v>
      </c>
      <c r="J107" s="125">
        <f>G107*K$1</f>
        <v>0</v>
      </c>
      <c r="K107" s="153">
        <f>I107*K$1</f>
        <v>0</v>
      </c>
      <c r="L107" s="125">
        <f t="shared" si="87"/>
        <v>0</v>
      </c>
      <c r="M107" s="125">
        <f t="shared" si="88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2"/>
      <c r="B108" s="294">
        <v>4</v>
      </c>
      <c r="C108" s="294">
        <v>0</v>
      </c>
      <c r="D108" s="253">
        <f>'Data Ocupacion'!AF39</f>
        <v>4</v>
      </c>
      <c r="E108" s="126">
        <f>'Data Ocupacion'!AG39</f>
        <v>0</v>
      </c>
      <c r="F108" s="125" t="s">
        <v>35</v>
      </c>
      <c r="G108" s="125">
        <f t="shared" si="84"/>
        <v>4</v>
      </c>
      <c r="H108" s="125">
        <f t="shared" si="85"/>
        <v>4</v>
      </c>
      <c r="I108" s="125">
        <f t="shared" si="86"/>
        <v>4</v>
      </c>
      <c r="J108" s="125">
        <f>G108*K$1</f>
        <v>101.6</v>
      </c>
      <c r="K108" s="153">
        <f>I108*K$1</f>
        <v>101.6</v>
      </c>
      <c r="L108" s="125">
        <f t="shared" si="87"/>
        <v>10566.4</v>
      </c>
      <c r="M108" s="125">
        <f t="shared" si="88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168</v>
      </c>
      <c r="C109" s="119">
        <f>SUM(C103:C108)</f>
        <v>61</v>
      </c>
      <c r="D109" s="152">
        <f>SUM(D103:D108)</f>
        <v>168</v>
      </c>
      <c r="E109" s="152">
        <f>SUM(E103:E108)</f>
        <v>61</v>
      </c>
      <c r="F109" s="119"/>
      <c r="G109" s="119">
        <f t="shared" ref="G109:M109" si="89">SUM(G103:G108)</f>
        <v>290</v>
      </c>
      <c r="H109" s="119">
        <f t="shared" si="89"/>
        <v>290</v>
      </c>
      <c r="I109" s="119">
        <f t="shared" si="89"/>
        <v>229</v>
      </c>
      <c r="J109" s="120">
        <f t="shared" si="89"/>
        <v>11483.42</v>
      </c>
      <c r="K109" s="119">
        <f t="shared" si="89"/>
        <v>8852.49</v>
      </c>
      <c r="L109" s="118">
        <f t="shared" si="89"/>
        <v>1194275.68</v>
      </c>
      <c r="M109" s="151">
        <f t="shared" si="89"/>
        <v>23816</v>
      </c>
      <c r="N109" s="123">
        <f>'Odometro-Kilometraje'!P88</f>
        <v>11747</v>
      </c>
      <c r="O109" s="21">
        <f>(W109/N109)*100</f>
        <v>96.397803694560309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11323.85</v>
      </c>
      <c r="X109" s="193">
        <f>SUM(X103:X108)</f>
        <v>11483.42</v>
      </c>
    </row>
    <row r="110" spans="1:30" ht="16.149999999999999" customHeight="1" x14ac:dyDescent="0.25">
      <c r="A110" s="60">
        <f>A103+1</f>
        <v>46219</v>
      </c>
      <c r="B110" s="217">
        <v>51</v>
      </c>
      <c r="C110" s="217">
        <v>3</v>
      </c>
      <c r="D110" s="138">
        <f>'Data Ocupacion'!AH34</f>
        <v>51</v>
      </c>
      <c r="E110" s="138">
        <f>'Data Ocupacion'!AI34</f>
        <v>3</v>
      </c>
      <c r="F110" s="217" t="s">
        <v>38</v>
      </c>
      <c r="G110" s="217">
        <f t="shared" ref="G110:G115" si="90">D110+E110*2</f>
        <v>57</v>
      </c>
      <c r="H110" s="217">
        <f t="shared" ref="H110:H115" si="91">B110+C110*2</f>
        <v>57</v>
      </c>
      <c r="I110" s="217">
        <f t="shared" ref="I110:I115" si="92">D110+E110</f>
        <v>54</v>
      </c>
      <c r="J110" s="217">
        <f>G110*M$2</f>
        <v>2458.4100000000003</v>
      </c>
      <c r="K110" s="153">
        <f>I110*M$2</f>
        <v>2329.02</v>
      </c>
      <c r="L110" s="217">
        <f t="shared" ref="L110:L115" si="93">J110*104</f>
        <v>255674.64000000004</v>
      </c>
      <c r="M110" s="217">
        <f t="shared" ref="M110:M115" si="94">I110*104</f>
        <v>5616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2458.4100000000003</v>
      </c>
      <c r="X110" s="182">
        <f>H110*$M$2</f>
        <v>2458.4100000000003</v>
      </c>
    </row>
    <row r="111" spans="1:30" ht="15" customHeight="1" x14ac:dyDescent="0.25">
      <c r="A111" s="201"/>
      <c r="B111" s="217">
        <v>57</v>
      </c>
      <c r="C111" s="217">
        <v>0</v>
      </c>
      <c r="D111" s="138">
        <f>'Data Ocupacion'!AH35</f>
        <v>57</v>
      </c>
      <c r="E111" s="138">
        <f>'Data Ocupacion'!AI35</f>
        <v>0</v>
      </c>
      <c r="F111" s="217" t="s">
        <v>52</v>
      </c>
      <c r="G111" s="217">
        <f t="shared" si="90"/>
        <v>57</v>
      </c>
      <c r="H111" s="217">
        <f t="shared" si="91"/>
        <v>57</v>
      </c>
      <c r="I111" s="217">
        <f t="shared" si="92"/>
        <v>57</v>
      </c>
      <c r="J111" s="217">
        <f>G111*M$2</f>
        <v>2458.4100000000003</v>
      </c>
      <c r="K111" s="153">
        <f>I111*M$2</f>
        <v>2458.4100000000003</v>
      </c>
      <c r="L111" s="217">
        <f t="shared" si="93"/>
        <v>255674.64000000004</v>
      </c>
      <c r="M111" s="217">
        <f t="shared" si="94"/>
        <v>5928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2458.4100000000003</v>
      </c>
      <c r="X111" s="182">
        <f>H111*$M$2</f>
        <v>2458.4100000000003</v>
      </c>
      <c r="Y111" s="172"/>
    </row>
    <row r="112" spans="1:30" ht="18" customHeight="1" x14ac:dyDescent="0.25">
      <c r="A112" s="201"/>
      <c r="B112" s="217">
        <v>0</v>
      </c>
      <c r="C112" s="217">
        <v>0</v>
      </c>
      <c r="D112" s="138">
        <f>'Data Ocupacion'!AH36</f>
        <v>0</v>
      </c>
      <c r="E112" s="138">
        <f>'Data Ocupacion'!AI36</f>
        <v>0</v>
      </c>
      <c r="F112" s="217" t="s">
        <v>36</v>
      </c>
      <c r="G112" s="217">
        <f t="shared" si="90"/>
        <v>0</v>
      </c>
      <c r="H112" s="217">
        <f t="shared" si="91"/>
        <v>0</v>
      </c>
      <c r="I112" s="217">
        <f t="shared" si="92"/>
        <v>0</v>
      </c>
      <c r="J112" s="217">
        <f>G112*M$1</f>
        <v>0</v>
      </c>
      <c r="K112" s="153">
        <f>I112*M$1</f>
        <v>0</v>
      </c>
      <c r="L112" s="217">
        <f t="shared" si="93"/>
        <v>0</v>
      </c>
      <c r="M112" s="217">
        <f t="shared" si="94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0</v>
      </c>
    </row>
    <row r="113" spans="1:28" ht="16.149999999999999" customHeight="1" x14ac:dyDescent="0.25">
      <c r="A113" s="201"/>
      <c r="B113" s="217">
        <v>0</v>
      </c>
      <c r="C113" s="217">
        <v>0</v>
      </c>
      <c r="D113" s="138">
        <f>'Data Ocupacion'!AH37</f>
        <v>0</v>
      </c>
      <c r="E113" s="138">
        <f>'Data Ocupacion'!AI37</f>
        <v>0</v>
      </c>
      <c r="F113" s="217" t="s">
        <v>53</v>
      </c>
      <c r="G113" s="217">
        <f t="shared" si="90"/>
        <v>0</v>
      </c>
      <c r="H113" s="217">
        <f t="shared" si="91"/>
        <v>0</v>
      </c>
      <c r="I113" s="217">
        <f t="shared" si="92"/>
        <v>0</v>
      </c>
      <c r="J113" s="217">
        <f>G113*M$1</f>
        <v>0</v>
      </c>
      <c r="K113" s="153">
        <f>I113*M$1</f>
        <v>0</v>
      </c>
      <c r="L113" s="217">
        <f t="shared" si="93"/>
        <v>0</v>
      </c>
      <c r="M113" s="217">
        <f t="shared" si="94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0</v>
      </c>
    </row>
    <row r="114" spans="1:28" ht="15" customHeight="1" x14ac:dyDescent="0.25">
      <c r="A114" s="201"/>
      <c r="B114" s="217">
        <v>0</v>
      </c>
      <c r="C114" s="217">
        <v>0</v>
      </c>
      <c r="D114" s="138">
        <f>'Data Ocupacion'!AH38</f>
        <v>0</v>
      </c>
      <c r="E114" s="138">
        <f>'Data Ocupacion'!AI38</f>
        <v>0</v>
      </c>
      <c r="F114" s="217" t="s">
        <v>122</v>
      </c>
      <c r="G114" s="217">
        <f t="shared" si="90"/>
        <v>0</v>
      </c>
      <c r="H114" s="217">
        <f t="shared" si="91"/>
        <v>0</v>
      </c>
      <c r="I114" s="217">
        <f t="shared" si="92"/>
        <v>0</v>
      </c>
      <c r="J114" s="217">
        <f>G114*K$1</f>
        <v>0</v>
      </c>
      <c r="K114" s="153">
        <f>I114*K$1</f>
        <v>0</v>
      </c>
      <c r="L114" s="217">
        <f t="shared" si="93"/>
        <v>0</v>
      </c>
      <c r="M114" s="217">
        <f t="shared" si="94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1"/>
      <c r="B115" s="217">
        <v>0</v>
      </c>
      <c r="C115" s="217">
        <v>0</v>
      </c>
      <c r="D115" s="138">
        <f>'Data Ocupacion'!AH39</f>
        <v>0</v>
      </c>
      <c r="E115" s="138">
        <f>'Data Ocupacion'!AI39</f>
        <v>0</v>
      </c>
      <c r="F115" s="217" t="s">
        <v>35</v>
      </c>
      <c r="G115" s="217">
        <f t="shared" si="90"/>
        <v>0</v>
      </c>
      <c r="H115" s="217">
        <f t="shared" si="91"/>
        <v>0</v>
      </c>
      <c r="I115" s="217">
        <f t="shared" si="92"/>
        <v>0</v>
      </c>
      <c r="J115" s="217">
        <f>G115*K$1</f>
        <v>0</v>
      </c>
      <c r="K115" s="153">
        <f>I115*K$1</f>
        <v>0</v>
      </c>
      <c r="L115" s="217">
        <f t="shared" si="93"/>
        <v>0</v>
      </c>
      <c r="M115" s="217">
        <f t="shared" si="94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0</v>
      </c>
    </row>
    <row r="116" spans="1:28" s="124" customFormat="1" ht="15" customHeight="1" thickBot="1" x14ac:dyDescent="0.3">
      <c r="A116" s="20"/>
      <c r="B116" s="119">
        <f>SUM(B110:B115)</f>
        <v>108</v>
      </c>
      <c r="C116" s="119">
        <f>SUM(C110:C115)</f>
        <v>3</v>
      </c>
      <c r="D116" s="152">
        <f>SUM(D110:D115)</f>
        <v>108</v>
      </c>
      <c r="E116" s="152">
        <f>SUM(E110:E115)</f>
        <v>3</v>
      </c>
      <c r="F116" s="119"/>
      <c r="G116" s="119">
        <f t="shared" ref="G116:M116" si="95">SUM(G110:G115)</f>
        <v>114</v>
      </c>
      <c r="H116" s="119">
        <f t="shared" si="95"/>
        <v>114</v>
      </c>
      <c r="I116" s="119">
        <f t="shared" si="95"/>
        <v>111</v>
      </c>
      <c r="J116" s="120">
        <f t="shared" si="95"/>
        <v>4916.8200000000006</v>
      </c>
      <c r="K116" s="119">
        <f t="shared" si="95"/>
        <v>4787.43</v>
      </c>
      <c r="L116" s="118">
        <f t="shared" si="95"/>
        <v>511349.28000000009</v>
      </c>
      <c r="M116" s="151">
        <f t="shared" si="95"/>
        <v>11544</v>
      </c>
      <c r="N116" s="123">
        <f>'Odometro-Kilometraje'!Q88</f>
        <v>5053</v>
      </c>
      <c r="O116" s="21">
        <f>(W116/N116)*100</f>
        <v>97.304967346131022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4916.8200000000006</v>
      </c>
      <c r="X116" s="193">
        <f>SUM(X110:X115)</f>
        <v>4916.8200000000006</v>
      </c>
    </row>
    <row r="117" spans="1:28" ht="16.149999999999999" customHeight="1" x14ac:dyDescent="0.25">
      <c r="A117" s="60">
        <f>A110+1</f>
        <v>46220</v>
      </c>
      <c r="B117" s="294">
        <v>38</v>
      </c>
      <c r="C117" s="294">
        <v>41</v>
      </c>
      <c r="D117" s="138">
        <f>'Data Ocupacion'!AJ34</f>
        <v>19</v>
      </c>
      <c r="E117" s="138">
        <f>'Data Ocupacion'!AK34</f>
        <v>0</v>
      </c>
      <c r="F117" s="219" t="s">
        <v>38</v>
      </c>
      <c r="G117" s="220">
        <f t="shared" ref="G117:G125" si="96">D117+E117*2</f>
        <v>19</v>
      </c>
      <c r="H117" s="125">
        <f t="shared" ref="H117:H125" si="97">B117+C117*2</f>
        <v>120</v>
      </c>
      <c r="I117" s="221">
        <f t="shared" ref="I117:I125" si="98">D117+E117</f>
        <v>19</v>
      </c>
      <c r="J117" s="221">
        <f>G117*M$2</f>
        <v>819.47</v>
      </c>
      <c r="K117" s="153">
        <f>I117*M$2</f>
        <v>819.47</v>
      </c>
      <c r="L117" s="125">
        <f t="shared" ref="L117:L124" si="99">J117*104</f>
        <v>85224.88</v>
      </c>
      <c r="M117" s="125">
        <f t="shared" ref="M117:M124" si="100">I117*104</f>
        <v>1976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819.47</v>
      </c>
      <c r="X117" s="182">
        <f>H117*$M$2</f>
        <v>5175.6000000000004</v>
      </c>
    </row>
    <row r="118" spans="1:28" ht="15" customHeight="1" x14ac:dyDescent="0.25">
      <c r="A118" s="377" t="s">
        <v>194</v>
      </c>
      <c r="B118" s="294">
        <v>36</v>
      </c>
      <c r="C118" s="294">
        <v>42</v>
      </c>
      <c r="D118" s="126">
        <f>'Data Ocupacion'!AJ35</f>
        <v>21</v>
      </c>
      <c r="E118" s="126">
        <f>'Data Ocupacion'!AK35</f>
        <v>0</v>
      </c>
      <c r="F118" s="219" t="s">
        <v>52</v>
      </c>
      <c r="G118" s="220">
        <f t="shared" si="96"/>
        <v>21</v>
      </c>
      <c r="H118" s="125">
        <f t="shared" si="97"/>
        <v>120</v>
      </c>
      <c r="I118" s="125">
        <f t="shared" si="98"/>
        <v>21</v>
      </c>
      <c r="J118" s="125">
        <f>G118*M$2</f>
        <v>905.73</v>
      </c>
      <c r="K118" s="153">
        <f>I118*M$2</f>
        <v>905.73</v>
      </c>
      <c r="L118" s="125">
        <f t="shared" si="99"/>
        <v>94195.92</v>
      </c>
      <c r="M118" s="125">
        <f t="shared" si="100"/>
        <v>2184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905.73</v>
      </c>
      <c r="X118" s="182">
        <f>H118*$M$2</f>
        <v>5175.6000000000004</v>
      </c>
      <c r="Y118" s="172"/>
    </row>
    <row r="119" spans="1:28" ht="15" customHeight="1" x14ac:dyDescent="0.25">
      <c r="A119" s="377"/>
      <c r="B119" s="294">
        <v>33</v>
      </c>
      <c r="C119" s="294">
        <v>3</v>
      </c>
      <c r="D119" s="126">
        <f>'Data Ocupacion'!AJ36</f>
        <v>9</v>
      </c>
      <c r="E119" s="126">
        <f>'Data Ocupacion'!AK36</f>
        <v>0</v>
      </c>
      <c r="F119" s="219" t="s">
        <v>36</v>
      </c>
      <c r="G119" s="220">
        <f t="shared" si="96"/>
        <v>9</v>
      </c>
      <c r="H119" s="125">
        <f t="shared" si="97"/>
        <v>39</v>
      </c>
      <c r="I119" s="125">
        <f t="shared" si="98"/>
        <v>9</v>
      </c>
      <c r="J119" s="125">
        <f>G119*M$1</f>
        <v>261.99</v>
      </c>
      <c r="K119" s="153">
        <f>I119*M$1</f>
        <v>261.99</v>
      </c>
      <c r="L119" s="125">
        <f t="shared" si="99"/>
        <v>27246.959999999999</v>
      </c>
      <c r="M119" s="125">
        <f t="shared" si="100"/>
        <v>936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261.99</v>
      </c>
      <c r="X119" s="182">
        <f>H119*$M$1</f>
        <v>1135.29</v>
      </c>
    </row>
    <row r="120" spans="1:28" ht="15" customHeight="1" x14ac:dyDescent="0.25">
      <c r="A120" s="377"/>
      <c r="B120" s="294">
        <v>29</v>
      </c>
      <c r="C120" s="294">
        <v>3</v>
      </c>
      <c r="D120" s="126">
        <f>'Data Ocupacion'!AJ37</f>
        <v>9</v>
      </c>
      <c r="E120" s="126">
        <f>'Data Ocupacion'!AK37</f>
        <v>0</v>
      </c>
      <c r="F120" s="219" t="s">
        <v>53</v>
      </c>
      <c r="G120" s="220">
        <f t="shared" si="96"/>
        <v>9</v>
      </c>
      <c r="H120" s="125">
        <f t="shared" si="97"/>
        <v>35</v>
      </c>
      <c r="I120" s="125">
        <f t="shared" si="98"/>
        <v>9</v>
      </c>
      <c r="J120" s="125">
        <f>G120*M$1</f>
        <v>261.99</v>
      </c>
      <c r="K120" s="153">
        <f>I120*M$1</f>
        <v>261.99</v>
      </c>
      <c r="L120" s="125">
        <f t="shared" si="99"/>
        <v>27246.959999999999</v>
      </c>
      <c r="M120" s="125">
        <f t="shared" si="100"/>
        <v>936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261.99</v>
      </c>
      <c r="X120" s="182">
        <f>H120*$M$1</f>
        <v>1018.85</v>
      </c>
      <c r="Z120" s="198"/>
    </row>
    <row r="121" spans="1:28" ht="15" customHeight="1" x14ac:dyDescent="0.25">
      <c r="A121" s="377"/>
      <c r="B121" s="294">
        <v>0</v>
      </c>
      <c r="C121" s="294">
        <v>0</v>
      </c>
      <c r="D121" s="126">
        <f>'Data Ocupacion'!AJ38</f>
        <v>0</v>
      </c>
      <c r="E121" s="126">
        <f>'Data Ocupacion'!AK38</f>
        <v>0</v>
      </c>
      <c r="F121" s="219" t="s">
        <v>122</v>
      </c>
      <c r="G121" s="220">
        <f t="shared" si="96"/>
        <v>0</v>
      </c>
      <c r="H121" s="125">
        <f t="shared" si="97"/>
        <v>0</v>
      </c>
      <c r="I121" s="125">
        <f t="shared" si="98"/>
        <v>0</v>
      </c>
      <c r="J121" s="222">
        <f>G121*K$1</f>
        <v>0</v>
      </c>
      <c r="K121" s="153">
        <f>I121*K$1</f>
        <v>0</v>
      </c>
      <c r="L121" s="125">
        <f t="shared" si="99"/>
        <v>0</v>
      </c>
      <c r="M121" s="125">
        <f t="shared" si="100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x14ac:dyDescent="0.25">
      <c r="A122" s="377"/>
      <c r="B122" s="294">
        <v>4</v>
      </c>
      <c r="C122" s="294">
        <v>0</v>
      </c>
      <c r="D122" s="126">
        <f>'Data Ocupacion'!AJ39</f>
        <v>1</v>
      </c>
      <c r="E122" s="126">
        <f>'Data Ocupacion'!AK39</f>
        <v>0</v>
      </c>
      <c r="F122" s="219" t="s">
        <v>35</v>
      </c>
      <c r="G122" s="220">
        <f t="shared" si="96"/>
        <v>1</v>
      </c>
      <c r="H122" s="125">
        <f t="shared" si="97"/>
        <v>4</v>
      </c>
      <c r="I122" s="223">
        <f t="shared" si="98"/>
        <v>1</v>
      </c>
      <c r="J122" s="223">
        <f>G122*K$1</f>
        <v>25.4</v>
      </c>
      <c r="K122" s="153">
        <f>I122*K$1</f>
        <v>25.4</v>
      </c>
      <c r="L122" s="125">
        <f t="shared" si="99"/>
        <v>2641.6</v>
      </c>
      <c r="M122" s="125">
        <f t="shared" si="100"/>
        <v>104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25.4</v>
      </c>
      <c r="X122" s="182">
        <f>H122*$K$1</f>
        <v>101.6</v>
      </c>
    </row>
    <row r="123" spans="1:28" s="124" customFormat="1" ht="14.25" customHeight="1" x14ac:dyDescent="0.25">
      <c r="A123" s="377"/>
      <c r="B123" s="294">
        <v>0</v>
      </c>
      <c r="C123" s="294">
        <v>0</v>
      </c>
      <c r="D123" s="126">
        <f>'Data Ocupacion'!AJ40</f>
        <v>10</v>
      </c>
      <c r="E123" s="126">
        <f>'Data Ocupacion'!AK40</f>
        <v>1</v>
      </c>
      <c r="F123" s="125" t="s">
        <v>186</v>
      </c>
      <c r="G123" s="220">
        <f t="shared" si="96"/>
        <v>12</v>
      </c>
      <c r="H123" s="125">
        <f t="shared" si="97"/>
        <v>0</v>
      </c>
      <c r="I123" s="223">
        <f t="shared" si="98"/>
        <v>11</v>
      </c>
      <c r="J123" s="223">
        <f>G123*O$2</f>
        <v>428.76</v>
      </c>
      <c r="K123" s="153">
        <f>I123*O$2</f>
        <v>393.03</v>
      </c>
      <c r="L123" s="125">
        <f t="shared" si="99"/>
        <v>44591.040000000001</v>
      </c>
      <c r="M123" s="125">
        <f t="shared" si="100"/>
        <v>1144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 t="shared" ref="W123:W124" si="101">J123</f>
        <v>428.76</v>
      </c>
      <c r="X123" s="182">
        <f>H123*$O$2</f>
        <v>0</v>
      </c>
    </row>
    <row r="124" spans="1:28" s="124" customFormat="1" ht="14.25" customHeight="1" x14ac:dyDescent="0.25">
      <c r="A124" s="377"/>
      <c r="B124" s="294">
        <v>0</v>
      </c>
      <c r="C124" s="294">
        <v>0</v>
      </c>
      <c r="D124" s="126">
        <f>'Data Ocupacion'!AJ41</f>
        <v>8</v>
      </c>
      <c r="E124" s="126">
        <f>'Data Ocupacion'!AK41</f>
        <v>0</v>
      </c>
      <c r="F124" s="125" t="s">
        <v>187</v>
      </c>
      <c r="G124" s="220">
        <f t="shared" si="96"/>
        <v>8</v>
      </c>
      <c r="H124" s="125">
        <f t="shared" si="97"/>
        <v>0</v>
      </c>
      <c r="I124" s="223">
        <f t="shared" si="98"/>
        <v>8</v>
      </c>
      <c r="J124" s="223">
        <f>G124*O$2</f>
        <v>285.83999999999997</v>
      </c>
      <c r="K124" s="153">
        <f>I124*O$2</f>
        <v>285.83999999999997</v>
      </c>
      <c r="L124" s="125">
        <f t="shared" si="99"/>
        <v>29727.359999999997</v>
      </c>
      <c r="M124" s="125">
        <f t="shared" si="100"/>
        <v>832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 t="shared" si="101"/>
        <v>285.83999999999997</v>
      </c>
      <c r="X124" s="182">
        <f>H124*$O$2</f>
        <v>0</v>
      </c>
    </row>
    <row r="125" spans="1:28" s="124" customFormat="1" ht="14.25" customHeight="1" thickBot="1" x14ac:dyDescent="0.3">
      <c r="A125" s="341"/>
      <c r="B125" s="294">
        <v>0</v>
      </c>
      <c r="C125" s="294">
        <v>0</v>
      </c>
      <c r="D125" s="126">
        <f>'Data Ocupacion'!AJ42</f>
        <v>1</v>
      </c>
      <c r="E125" s="126">
        <f>'Data Ocupacion'!AK42</f>
        <v>0</v>
      </c>
      <c r="F125" s="125" t="s">
        <v>125</v>
      </c>
      <c r="G125" s="220">
        <f t="shared" si="96"/>
        <v>1</v>
      </c>
      <c r="H125" s="125">
        <f t="shared" si="97"/>
        <v>0</v>
      </c>
      <c r="I125" s="223">
        <f t="shared" si="98"/>
        <v>1</v>
      </c>
      <c r="J125" s="223">
        <f>G125*I$1</f>
        <v>21.7</v>
      </c>
      <c r="K125" s="153">
        <f>I125*I$1</f>
        <v>21.7</v>
      </c>
      <c r="L125" s="125">
        <f t="shared" ref="L125" si="102">J125*104</f>
        <v>2256.7999999999997</v>
      </c>
      <c r="M125" s="125">
        <f t="shared" ref="M125" si="103">I125*104</f>
        <v>104</v>
      </c>
      <c r="N125" s="19"/>
      <c r="O125" s="19"/>
      <c r="P125" s="146"/>
      <c r="Q125" s="189"/>
      <c r="R125" s="189"/>
      <c r="S125" s="189"/>
      <c r="T125" s="189"/>
      <c r="U125" s="189"/>
      <c r="V125" s="189"/>
      <c r="W125" s="182">
        <f t="shared" ref="W125" si="104">J125</f>
        <v>21.7</v>
      </c>
      <c r="X125" s="182">
        <f>H125*$I$1</f>
        <v>0</v>
      </c>
    </row>
    <row r="126" spans="1:28" s="124" customFormat="1" ht="15" customHeight="1" thickBot="1" x14ac:dyDescent="0.3">
      <c r="A126" s="20"/>
      <c r="B126" s="119">
        <f>SUM(B117:B125)</f>
        <v>140</v>
      </c>
      <c r="C126" s="119">
        <f>SUM(C117:C125)</f>
        <v>89</v>
      </c>
      <c r="D126" s="148">
        <f>SUM(D117:D125)</f>
        <v>78</v>
      </c>
      <c r="E126" s="148">
        <f>SUM(E117:E125)</f>
        <v>1</v>
      </c>
      <c r="F126" s="119"/>
      <c r="G126" s="119">
        <f t="shared" ref="G126:M126" si="105">SUM(G117:G125)</f>
        <v>80</v>
      </c>
      <c r="H126" s="119">
        <f t="shared" si="105"/>
        <v>318</v>
      </c>
      <c r="I126" s="119">
        <f t="shared" si="105"/>
        <v>79</v>
      </c>
      <c r="J126" s="120">
        <f t="shared" si="105"/>
        <v>3010.88</v>
      </c>
      <c r="K126" s="119">
        <f t="shared" si="105"/>
        <v>2975.1500000000005</v>
      </c>
      <c r="L126" s="119">
        <f t="shared" si="105"/>
        <v>313131.51999999996</v>
      </c>
      <c r="M126" s="119">
        <f t="shared" si="105"/>
        <v>8216</v>
      </c>
      <c r="N126" s="123">
        <f>'Odometro-Kilometraje'!R88</f>
        <v>3039</v>
      </c>
      <c r="O126" s="21">
        <f>(W126/N126)*100</f>
        <v>99.074695623560388</v>
      </c>
      <c r="P126" s="192"/>
      <c r="Q126" s="181"/>
      <c r="R126" s="181"/>
      <c r="S126" s="181"/>
      <c r="T126" s="181"/>
      <c r="U126" s="181"/>
      <c r="V126" s="181"/>
      <c r="W126" s="193">
        <f>SUM(W117:W125)</f>
        <v>3010.88</v>
      </c>
      <c r="X126" s="193">
        <f>SUM(X117:X125)</f>
        <v>12606.940000000002</v>
      </c>
      <c r="Z126" s="124">
        <v>3040</v>
      </c>
      <c r="AB126" s="172">
        <f>Z126-N126</f>
        <v>1</v>
      </c>
    </row>
    <row r="127" spans="1:28" ht="16.149999999999999" customHeight="1" x14ac:dyDescent="0.25">
      <c r="A127" s="60">
        <f>A117+1</f>
        <v>46221</v>
      </c>
      <c r="B127" s="116">
        <v>69</v>
      </c>
      <c r="C127" s="116">
        <v>3</v>
      </c>
      <c r="D127" s="147">
        <f>'Data Ocupacion'!AL34</f>
        <v>59</v>
      </c>
      <c r="E127" s="147">
        <f>'Data Ocupacion'!AM34</f>
        <v>0</v>
      </c>
      <c r="F127" s="116" t="s">
        <v>38</v>
      </c>
      <c r="G127" s="116">
        <f t="shared" ref="G127:G132" si="106">D127+E127*2</f>
        <v>59</v>
      </c>
      <c r="H127" s="116">
        <f t="shared" ref="H127:H132" si="107">B127+C127*2</f>
        <v>75</v>
      </c>
      <c r="I127" s="116">
        <f t="shared" ref="I127:I132" si="108">D127+E127</f>
        <v>59</v>
      </c>
      <c r="J127" s="116">
        <f>G127*M$2</f>
        <v>2544.67</v>
      </c>
      <c r="K127" s="153">
        <f>I127*M$2</f>
        <v>2544.67</v>
      </c>
      <c r="L127" s="116">
        <f t="shared" ref="L127:L132" si="109">J127*104</f>
        <v>264645.68</v>
      </c>
      <c r="M127" s="116">
        <f t="shared" ref="M127:M132" si="110">I127*104</f>
        <v>6136</v>
      </c>
      <c r="N127" s="19"/>
      <c r="O127" s="19"/>
      <c r="P127" s="146"/>
      <c r="Q127" s="243"/>
      <c r="R127" s="183"/>
      <c r="S127" s="205"/>
      <c r="T127" s="284"/>
      <c r="U127" s="191"/>
      <c r="V127" s="227"/>
      <c r="W127" s="182">
        <f>J127-(Q127*($M$2-$K$1))-(R127*($M$2-$M$1))- (S127*($M$2-$I$2))+ (T127*($G$2))</f>
        <v>2544.67</v>
      </c>
      <c r="X127" s="182">
        <f>H127*$M$2</f>
        <v>3234.75</v>
      </c>
    </row>
    <row r="128" spans="1:28" ht="15" customHeight="1" x14ac:dyDescent="0.25">
      <c r="A128" s="201"/>
      <c r="B128" s="116">
        <v>75</v>
      </c>
      <c r="C128" s="116">
        <v>0</v>
      </c>
      <c r="D128" s="147">
        <f>'Data Ocupacion'!AL35</f>
        <v>62</v>
      </c>
      <c r="E128" s="147">
        <f>'Data Ocupacion'!AM35</f>
        <v>0</v>
      </c>
      <c r="F128" s="116" t="s">
        <v>52</v>
      </c>
      <c r="G128" s="116">
        <f t="shared" si="106"/>
        <v>62</v>
      </c>
      <c r="H128" s="116">
        <f t="shared" si="107"/>
        <v>75</v>
      </c>
      <c r="I128" s="116">
        <f t="shared" si="108"/>
        <v>62</v>
      </c>
      <c r="J128" s="116">
        <f>G128*M$2</f>
        <v>2674.06</v>
      </c>
      <c r="K128" s="153">
        <f>I128*M$2</f>
        <v>2674.06</v>
      </c>
      <c r="L128" s="116">
        <f t="shared" si="109"/>
        <v>278102.24</v>
      </c>
      <c r="M128" s="116">
        <f t="shared" si="110"/>
        <v>6448</v>
      </c>
      <c r="N128" s="19"/>
      <c r="O128" s="19"/>
      <c r="P128" s="146"/>
      <c r="Q128" s="186"/>
      <c r="R128" s="186"/>
      <c r="S128" s="216"/>
      <c r="T128" s="183"/>
      <c r="U128" s="216"/>
      <c r="V128" s="228"/>
      <c r="W128" s="182">
        <f>J128-(Q128*($K$1)+(T128*($M$2-$K$1))+(U128*($M$2-$M$1)))</f>
        <v>2674.06</v>
      </c>
      <c r="X128" s="182">
        <f>H128*$M$2</f>
        <v>3234.75</v>
      </c>
    </row>
    <row r="129" spans="1:24" ht="15" customHeight="1" x14ac:dyDescent="0.25">
      <c r="A129" s="201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116" t="s">
        <v>36</v>
      </c>
      <c r="G129" s="116">
        <f t="shared" si="106"/>
        <v>0</v>
      </c>
      <c r="H129" s="116">
        <f t="shared" si="107"/>
        <v>0</v>
      </c>
      <c r="I129" s="116">
        <f t="shared" si="108"/>
        <v>0</v>
      </c>
      <c r="J129" s="116">
        <f>G129*M$1</f>
        <v>0</v>
      </c>
      <c r="K129" s="153">
        <f>I129*M$1</f>
        <v>0</v>
      </c>
      <c r="L129" s="116">
        <f t="shared" si="109"/>
        <v>0</v>
      </c>
      <c r="M129" s="116">
        <f t="shared" si="110"/>
        <v>0</v>
      </c>
      <c r="N129" s="19"/>
      <c r="O129" s="19"/>
      <c r="P129" s="146"/>
      <c r="Q129" s="243"/>
      <c r="R129" s="190"/>
      <c r="S129" s="227"/>
      <c r="T129" s="186"/>
      <c r="U129" s="189"/>
      <c r="V129" s="189"/>
      <c r="W129" s="182">
        <f>J129-(Q129*($M$1-$K$1))</f>
        <v>0</v>
      </c>
      <c r="X129" s="182">
        <f>H129*$M$1</f>
        <v>0</v>
      </c>
    </row>
    <row r="130" spans="1:24" ht="15" customHeight="1" x14ac:dyDescent="0.25">
      <c r="A130" s="201"/>
      <c r="B130" s="116">
        <v>0</v>
      </c>
      <c r="C130" s="116">
        <v>0</v>
      </c>
      <c r="D130" s="147">
        <f>'Data Ocupacion'!AL37</f>
        <v>0</v>
      </c>
      <c r="E130" s="147">
        <f>'Data Ocupacion'!AM37</f>
        <v>0</v>
      </c>
      <c r="F130" s="116" t="s">
        <v>53</v>
      </c>
      <c r="G130" s="116">
        <f t="shared" si="106"/>
        <v>0</v>
      </c>
      <c r="H130" s="116">
        <f t="shared" si="107"/>
        <v>0</v>
      </c>
      <c r="I130" s="116">
        <f t="shared" si="108"/>
        <v>0</v>
      </c>
      <c r="J130" s="116">
        <f>G130*M$1</f>
        <v>0</v>
      </c>
      <c r="K130" s="153">
        <f>I130*M$1</f>
        <v>0</v>
      </c>
      <c r="L130" s="116">
        <f t="shared" si="109"/>
        <v>0</v>
      </c>
      <c r="M130" s="116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H130*$M$1</f>
        <v>0</v>
      </c>
    </row>
    <row r="131" spans="1:24" s="124" customFormat="1" ht="15" customHeight="1" x14ac:dyDescent="0.25">
      <c r="A131" s="201"/>
      <c r="B131" s="116">
        <v>0</v>
      </c>
      <c r="C131" s="116">
        <v>0</v>
      </c>
      <c r="D131" s="147">
        <f>'Data Ocupacion'!AL38</f>
        <v>0</v>
      </c>
      <c r="E131" s="147">
        <f>'Data Ocupacion'!AM38</f>
        <v>0</v>
      </c>
      <c r="F131" s="116" t="s">
        <v>122</v>
      </c>
      <c r="G131" s="116">
        <f t="shared" si="106"/>
        <v>0</v>
      </c>
      <c r="H131" s="116">
        <f t="shared" si="107"/>
        <v>0</v>
      </c>
      <c r="I131" s="116">
        <f t="shared" si="108"/>
        <v>0</v>
      </c>
      <c r="J131" s="116">
        <f>G131*K$1</f>
        <v>0</v>
      </c>
      <c r="K131" s="153">
        <f>I131*K$1</f>
        <v>0</v>
      </c>
      <c r="L131" s="116">
        <f t="shared" si="109"/>
        <v>0</v>
      </c>
      <c r="M131" s="116">
        <f t="shared" si="110"/>
        <v>0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0</v>
      </c>
      <c r="X131" s="182">
        <f>H131*$K$1</f>
        <v>0</v>
      </c>
    </row>
    <row r="132" spans="1:24" s="124" customFormat="1" ht="15" customHeight="1" thickBot="1" x14ac:dyDescent="0.3">
      <c r="A132" s="201"/>
      <c r="B132" s="116">
        <v>0</v>
      </c>
      <c r="C132" s="116">
        <v>0</v>
      </c>
      <c r="D132" s="335">
        <f>'Data Ocupacion'!AL39</f>
        <v>0</v>
      </c>
      <c r="E132" s="147">
        <f>'Data Ocupacion'!AM39</f>
        <v>0</v>
      </c>
      <c r="F132" s="116" t="s">
        <v>35</v>
      </c>
      <c r="G132" s="116">
        <f t="shared" si="106"/>
        <v>0</v>
      </c>
      <c r="H132" s="116">
        <f t="shared" si="107"/>
        <v>0</v>
      </c>
      <c r="I132" s="116">
        <f t="shared" si="108"/>
        <v>0</v>
      </c>
      <c r="J132" s="116">
        <f>G132*K$1</f>
        <v>0</v>
      </c>
      <c r="K132" s="153">
        <f>I132*K$1</f>
        <v>0</v>
      </c>
      <c r="L132" s="116">
        <f t="shared" si="109"/>
        <v>0</v>
      </c>
      <c r="M132" s="116">
        <f t="shared" si="110"/>
        <v>0</v>
      </c>
      <c r="N132" s="19"/>
      <c r="O132" s="19"/>
      <c r="P132" s="146"/>
      <c r="Q132" s="189"/>
      <c r="R132" s="189"/>
      <c r="S132" s="189"/>
      <c r="T132" s="189"/>
      <c r="U132" s="189"/>
      <c r="V132" s="189"/>
      <c r="W132" s="182">
        <f>J132</f>
        <v>0</v>
      </c>
      <c r="X132" s="182">
        <f>H132*$K$1</f>
        <v>0</v>
      </c>
    </row>
    <row r="133" spans="1:24" s="124" customFormat="1" ht="15" customHeight="1" thickBot="1" x14ac:dyDescent="0.3">
      <c r="A133" s="20"/>
      <c r="B133" s="119">
        <f>SUM(B127:B132)</f>
        <v>144</v>
      </c>
      <c r="C133" s="119">
        <f>SUM(C127:C132)</f>
        <v>3</v>
      </c>
      <c r="D133" s="152">
        <f>SUM(D127:D132)</f>
        <v>121</v>
      </c>
      <c r="E133" s="152">
        <f>SUM(E127:E132)</f>
        <v>0</v>
      </c>
      <c r="F133" s="119"/>
      <c r="G133" s="119">
        <f t="shared" ref="G133:M133" si="111">SUM(G127:G132)</f>
        <v>121</v>
      </c>
      <c r="H133" s="119">
        <f t="shared" si="111"/>
        <v>150</v>
      </c>
      <c r="I133" s="119">
        <f t="shared" si="111"/>
        <v>121</v>
      </c>
      <c r="J133" s="120">
        <f t="shared" si="111"/>
        <v>5218.7299999999996</v>
      </c>
      <c r="K133" s="119">
        <f t="shared" si="111"/>
        <v>5218.7299999999996</v>
      </c>
      <c r="L133" s="118">
        <f t="shared" si="111"/>
        <v>542747.91999999993</v>
      </c>
      <c r="M133" s="151">
        <f t="shared" si="111"/>
        <v>12584</v>
      </c>
      <c r="N133" s="123">
        <f>'Odometro-Kilometraje'!S88</f>
        <v>5960</v>
      </c>
      <c r="O133" s="21">
        <f>(W133/N133)*100</f>
        <v>87.56258389261744</v>
      </c>
      <c r="P133" s="192"/>
      <c r="Q133" s="181"/>
      <c r="R133" s="181"/>
      <c r="S133" s="181"/>
      <c r="T133" s="181"/>
      <c r="U133" s="181"/>
      <c r="V133" s="181"/>
      <c r="W133" s="193">
        <f>SUM(W127:W132)</f>
        <v>5218.7299999999996</v>
      </c>
      <c r="X133" s="193">
        <f>SUM(X127:X132)</f>
        <v>6469.5</v>
      </c>
    </row>
    <row r="134" spans="1:24" ht="15" customHeight="1" x14ac:dyDescent="0.25">
      <c r="A134" s="60">
        <f>A127+1</f>
        <v>46222</v>
      </c>
      <c r="B134" s="217">
        <v>51</v>
      </c>
      <c r="C134" s="217">
        <v>3</v>
      </c>
      <c r="D134" s="138">
        <f>'Data Ocupacion'!AN34</f>
        <v>50</v>
      </c>
      <c r="E134" s="138">
        <f>'Data Ocupacion'!AO34</f>
        <v>4</v>
      </c>
      <c r="F134" s="217" t="s">
        <v>38</v>
      </c>
      <c r="G134" s="217">
        <f t="shared" ref="G134:G139" si="112">D134+E134*2</f>
        <v>58</v>
      </c>
      <c r="H134" s="217">
        <f t="shared" ref="H134:H139" si="113">B134+C134*2</f>
        <v>57</v>
      </c>
      <c r="I134" s="217">
        <f t="shared" ref="I134:I139" si="114">D134+E134</f>
        <v>54</v>
      </c>
      <c r="J134" s="217">
        <f>G134*M$2</f>
        <v>2501.54</v>
      </c>
      <c r="K134" s="153">
        <f>I134*M$2</f>
        <v>2329.02</v>
      </c>
      <c r="L134" s="217">
        <f t="shared" ref="L134:L139" si="115">J134*104</f>
        <v>260160.16</v>
      </c>
      <c r="M134" s="217">
        <f t="shared" ref="M134:M139" si="116">I134*104</f>
        <v>5616</v>
      </c>
      <c r="N134" s="19"/>
      <c r="O134" s="19"/>
      <c r="P134" s="146"/>
      <c r="Q134" s="183"/>
      <c r="R134" s="183"/>
      <c r="S134" s="205"/>
      <c r="T134" s="284"/>
      <c r="U134" s="191"/>
      <c r="V134" s="227"/>
      <c r="W134" s="182">
        <f>J134-(Q134*($M$2-$K$1))-(R134*($M$2-$M$1))- (S134*($M$2-$I$2))+ (T134*($G$2))</f>
        <v>2501.54</v>
      </c>
      <c r="X134" s="182">
        <f>H134*$M$2</f>
        <v>2458.4100000000003</v>
      </c>
    </row>
    <row r="135" spans="1:24" ht="15" customHeight="1" x14ac:dyDescent="0.25">
      <c r="A135" s="201"/>
      <c r="B135" s="217">
        <v>57</v>
      </c>
      <c r="C135" s="217">
        <v>0</v>
      </c>
      <c r="D135" s="138">
        <f>'Data Ocupacion'!AN35</f>
        <v>56</v>
      </c>
      <c r="E135" s="138">
        <f>'Data Ocupacion'!AO35</f>
        <v>1</v>
      </c>
      <c r="F135" s="217" t="s">
        <v>52</v>
      </c>
      <c r="G135" s="217">
        <f t="shared" si="112"/>
        <v>58</v>
      </c>
      <c r="H135" s="217">
        <f t="shared" si="113"/>
        <v>57</v>
      </c>
      <c r="I135" s="217">
        <f t="shared" si="114"/>
        <v>57</v>
      </c>
      <c r="J135" s="217">
        <f>G135*M$2</f>
        <v>2501.54</v>
      </c>
      <c r="K135" s="153">
        <f>I135*M$2</f>
        <v>2458.4100000000003</v>
      </c>
      <c r="L135" s="217">
        <f t="shared" si="115"/>
        <v>260160.16</v>
      </c>
      <c r="M135" s="217">
        <f t="shared" si="116"/>
        <v>5928</v>
      </c>
      <c r="N135" s="19"/>
      <c r="O135" s="19"/>
      <c r="P135" s="146"/>
      <c r="Q135" s="186"/>
      <c r="R135" s="186"/>
      <c r="S135" s="216"/>
      <c r="T135" s="183"/>
      <c r="U135" s="216"/>
      <c r="V135" s="228"/>
      <c r="W135" s="185">
        <f>J135-(T135*($M$2-$K$1)+(U135*($M$2-$M$1)))</f>
        <v>2501.54</v>
      </c>
      <c r="X135" s="182">
        <f>H135*$M$2</f>
        <v>2458.4100000000003</v>
      </c>
    </row>
    <row r="136" spans="1:24" ht="15" customHeight="1" x14ac:dyDescent="0.25">
      <c r="A136" s="201"/>
      <c r="B136" s="217">
        <v>0</v>
      </c>
      <c r="C136" s="217">
        <v>0</v>
      </c>
      <c r="D136" s="138">
        <f>'Data Ocupacion'!AN36</f>
        <v>0</v>
      </c>
      <c r="E136" s="138">
        <f>'Data Ocupacion'!AO36</f>
        <v>0</v>
      </c>
      <c r="F136" s="217" t="s">
        <v>36</v>
      </c>
      <c r="G136" s="217">
        <f t="shared" si="112"/>
        <v>0</v>
      </c>
      <c r="H136" s="217">
        <f t="shared" si="113"/>
        <v>0</v>
      </c>
      <c r="I136" s="217">
        <f t="shared" si="114"/>
        <v>0</v>
      </c>
      <c r="J136" s="217">
        <f>G136*M$1</f>
        <v>0</v>
      </c>
      <c r="K136" s="153">
        <f>I136*M$1</f>
        <v>0</v>
      </c>
      <c r="L136" s="217">
        <f t="shared" si="115"/>
        <v>0</v>
      </c>
      <c r="M136" s="217">
        <f t="shared" si="116"/>
        <v>0</v>
      </c>
      <c r="N136" s="19"/>
      <c r="O136" s="19"/>
      <c r="P136" s="146"/>
      <c r="Q136" s="183"/>
      <c r="R136" s="190"/>
      <c r="S136" s="227"/>
      <c r="T136" s="186"/>
      <c r="U136" s="189"/>
      <c r="V136" s="189"/>
      <c r="W136" s="182">
        <f>J136-(Q136*($M$1-$K$1))</f>
        <v>0</v>
      </c>
      <c r="X136" s="182">
        <f>H136*$M$1</f>
        <v>0</v>
      </c>
    </row>
    <row r="137" spans="1:24" ht="15" customHeight="1" x14ac:dyDescent="0.25">
      <c r="A137" s="201"/>
      <c r="B137" s="217">
        <v>0</v>
      </c>
      <c r="C137" s="217">
        <v>0</v>
      </c>
      <c r="D137" s="138">
        <f>'Data Ocupacion'!AN37</f>
        <v>0</v>
      </c>
      <c r="E137" s="138">
        <f>'Data Ocupacion'!AO37</f>
        <v>0</v>
      </c>
      <c r="F137" s="217" t="s">
        <v>53</v>
      </c>
      <c r="G137" s="217">
        <f t="shared" si="112"/>
        <v>0</v>
      </c>
      <c r="H137" s="217">
        <f t="shared" si="113"/>
        <v>0</v>
      </c>
      <c r="I137" s="217">
        <f t="shared" si="114"/>
        <v>0</v>
      </c>
      <c r="J137" s="217">
        <f>G137*M$1</f>
        <v>0</v>
      </c>
      <c r="K137" s="153">
        <f>I137*M$1</f>
        <v>0</v>
      </c>
      <c r="L137" s="217">
        <f t="shared" si="115"/>
        <v>0</v>
      </c>
      <c r="M137" s="217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H137*$M$1</f>
        <v>0</v>
      </c>
    </row>
    <row r="138" spans="1:24" ht="15" customHeight="1" x14ac:dyDescent="0.25">
      <c r="A138" s="201"/>
      <c r="B138" s="217">
        <v>0</v>
      </c>
      <c r="C138" s="217">
        <v>0</v>
      </c>
      <c r="D138" s="138">
        <f>'Data Ocupacion'!AN38</f>
        <v>0</v>
      </c>
      <c r="E138" s="138">
        <f>'Data Ocupacion'!AO38</f>
        <v>0</v>
      </c>
      <c r="F138" s="217" t="s">
        <v>122</v>
      </c>
      <c r="G138" s="217">
        <f t="shared" si="112"/>
        <v>0</v>
      </c>
      <c r="H138" s="217">
        <f t="shared" si="113"/>
        <v>0</v>
      </c>
      <c r="I138" s="217">
        <f t="shared" si="114"/>
        <v>0</v>
      </c>
      <c r="J138" s="217">
        <f>G138*K$1</f>
        <v>0</v>
      </c>
      <c r="K138" s="153">
        <f>I138*K$1</f>
        <v>0</v>
      </c>
      <c r="L138" s="217">
        <f t="shared" si="115"/>
        <v>0</v>
      </c>
      <c r="M138" s="217">
        <f t="shared" si="116"/>
        <v>0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0</v>
      </c>
      <c r="X138" s="182">
        <f>H138*$K$1</f>
        <v>0</v>
      </c>
    </row>
    <row r="139" spans="1:24" ht="15" customHeight="1" thickBot="1" x14ac:dyDescent="0.3">
      <c r="A139" s="201"/>
      <c r="B139" s="217">
        <v>0</v>
      </c>
      <c r="C139" s="217">
        <v>0</v>
      </c>
      <c r="D139" s="138">
        <f>'Data Ocupacion'!AN39</f>
        <v>0</v>
      </c>
      <c r="E139" s="138">
        <f>'Data Ocupacion'!AO39</f>
        <v>0</v>
      </c>
      <c r="F139" s="217" t="s">
        <v>35</v>
      </c>
      <c r="G139" s="217">
        <f t="shared" si="112"/>
        <v>0</v>
      </c>
      <c r="H139" s="217">
        <f t="shared" si="113"/>
        <v>0</v>
      </c>
      <c r="I139" s="217">
        <f t="shared" si="114"/>
        <v>0</v>
      </c>
      <c r="J139" s="217">
        <f>G139*K$1</f>
        <v>0</v>
      </c>
      <c r="K139" s="153">
        <f>I139*K$1</f>
        <v>0</v>
      </c>
      <c r="L139" s="217">
        <f t="shared" si="115"/>
        <v>0</v>
      </c>
      <c r="M139" s="217">
        <f t="shared" si="116"/>
        <v>0</v>
      </c>
      <c r="N139" s="19"/>
      <c r="O139" s="19"/>
      <c r="P139" s="146"/>
      <c r="Q139" s="189"/>
      <c r="R139" s="189"/>
      <c r="S139" s="189"/>
      <c r="T139" s="189"/>
      <c r="U139" s="189"/>
      <c r="V139" s="189"/>
      <c r="W139" s="182">
        <f>J139</f>
        <v>0</v>
      </c>
      <c r="X139" s="182">
        <f>H139*$K$1</f>
        <v>0</v>
      </c>
    </row>
    <row r="140" spans="1:24" s="124" customFormat="1" ht="15" customHeight="1" thickBot="1" x14ac:dyDescent="0.3">
      <c r="A140" s="20"/>
      <c r="B140" s="119">
        <f>SUM(B134:B139)</f>
        <v>108</v>
      </c>
      <c r="C140" s="119">
        <f>SUM(C134:C139)</f>
        <v>3</v>
      </c>
      <c r="D140" s="152">
        <f>SUM(D134:D139)</f>
        <v>106</v>
      </c>
      <c r="E140" s="152">
        <f>SUM(E134:E139)</f>
        <v>5</v>
      </c>
      <c r="F140" s="119"/>
      <c r="G140" s="119">
        <f t="shared" ref="G140:M140" si="117">SUM(G134:G139)</f>
        <v>116</v>
      </c>
      <c r="H140" s="119">
        <f t="shared" si="117"/>
        <v>114</v>
      </c>
      <c r="I140" s="119">
        <f t="shared" si="117"/>
        <v>111</v>
      </c>
      <c r="J140" s="120">
        <f t="shared" si="117"/>
        <v>5003.08</v>
      </c>
      <c r="K140" s="119">
        <f t="shared" si="117"/>
        <v>4787.43</v>
      </c>
      <c r="L140" s="118">
        <f t="shared" si="117"/>
        <v>520320.32</v>
      </c>
      <c r="M140" s="151">
        <f t="shared" si="117"/>
        <v>11544</v>
      </c>
      <c r="N140" s="123">
        <f>'Odometro-Kilometraje'!T88</f>
        <v>5241</v>
      </c>
      <c r="O140" s="21">
        <f>(W140/N140)*100</f>
        <v>95.460408319023088</v>
      </c>
      <c r="P140" s="192"/>
      <c r="Q140" s="181"/>
      <c r="R140" s="181"/>
      <c r="S140" s="181"/>
      <c r="T140" s="181"/>
      <c r="U140" s="181"/>
      <c r="V140" s="181"/>
      <c r="W140" s="193">
        <f>SUM(W134:W139)</f>
        <v>5003.08</v>
      </c>
      <c r="X140" s="193">
        <f>SUM(X134:X139)</f>
        <v>4916.8200000000006</v>
      </c>
    </row>
    <row r="141" spans="1:24" ht="16.149999999999999" customHeight="1" x14ac:dyDescent="0.25">
      <c r="A141" s="60">
        <f>A134+1</f>
        <v>46223</v>
      </c>
      <c r="B141" s="294">
        <v>38</v>
      </c>
      <c r="C141" s="294">
        <v>41</v>
      </c>
      <c r="D141" s="126">
        <f>'Data Ocupacion'!AP34</f>
        <v>64</v>
      </c>
      <c r="E141" s="126">
        <f>'Data Ocupacion'!AQ34</f>
        <v>14</v>
      </c>
      <c r="F141" s="125" t="s">
        <v>38</v>
      </c>
      <c r="G141" s="125">
        <f t="shared" ref="G141:G146" si="118">D141+E141*2</f>
        <v>92</v>
      </c>
      <c r="H141" s="125">
        <f t="shared" ref="H141:H146" si="119">B141+C141*2</f>
        <v>120</v>
      </c>
      <c r="I141" s="125">
        <f t="shared" ref="I141:I146" si="120">D141+E141</f>
        <v>78</v>
      </c>
      <c r="J141" s="125">
        <f>G141*M$2</f>
        <v>3967.96</v>
      </c>
      <c r="K141" s="153">
        <f>I141*M$2</f>
        <v>3364.1400000000003</v>
      </c>
      <c r="L141" s="125">
        <f t="shared" ref="L141:L146" si="121">J141*104</f>
        <v>412667.84</v>
      </c>
      <c r="M141" s="125">
        <f t="shared" ref="M141:M146" si="122">I141*104</f>
        <v>8112</v>
      </c>
      <c r="N141" s="19"/>
      <c r="O141" s="19"/>
      <c r="P141" s="146"/>
      <c r="Q141" s="183"/>
      <c r="R141" s="183"/>
      <c r="S141" s="205"/>
      <c r="T141" s="284"/>
      <c r="U141" s="191"/>
      <c r="V141" s="227"/>
      <c r="W141" s="182">
        <f>J141-(Q141*($M$2-$K$1))-(R141*($M$2-$M$1))- (S141*($M$2-$I$2))+ (T141*($G$2))</f>
        <v>3967.96</v>
      </c>
      <c r="X141" s="182">
        <f>H141*$M$2</f>
        <v>5175.6000000000004</v>
      </c>
    </row>
    <row r="142" spans="1:24" ht="15" customHeight="1" x14ac:dyDescent="0.25">
      <c r="A142" s="252"/>
      <c r="B142" s="294">
        <v>36</v>
      </c>
      <c r="C142" s="294">
        <v>42</v>
      </c>
      <c r="D142" s="126">
        <f>'Data Ocupacion'!AP35</f>
        <v>66</v>
      </c>
      <c r="E142" s="126">
        <f>'Data Ocupacion'!AQ35</f>
        <v>12</v>
      </c>
      <c r="F142" s="125" t="s">
        <v>52</v>
      </c>
      <c r="G142" s="125">
        <f t="shared" si="118"/>
        <v>90</v>
      </c>
      <c r="H142" s="125">
        <f t="shared" si="119"/>
        <v>120</v>
      </c>
      <c r="I142" s="125">
        <f t="shared" si="120"/>
        <v>78</v>
      </c>
      <c r="J142" s="125">
        <f>G142*M$2</f>
        <v>3881.7000000000003</v>
      </c>
      <c r="K142" s="153">
        <f>I142*M$2</f>
        <v>3364.1400000000003</v>
      </c>
      <c r="L142" s="125">
        <f t="shared" si="121"/>
        <v>403696.80000000005</v>
      </c>
      <c r="M142" s="125">
        <f t="shared" si="122"/>
        <v>8112</v>
      </c>
      <c r="N142" s="19"/>
      <c r="O142" s="19"/>
      <c r="P142" s="146"/>
      <c r="Q142" s="186"/>
      <c r="R142" s="186"/>
      <c r="S142" s="216"/>
      <c r="T142" s="183"/>
      <c r="U142" s="216"/>
      <c r="V142" s="228"/>
      <c r="W142" s="185">
        <f>J142-(T142*($M$2-$K$1)+(U142*($M$2-$M$1)))</f>
        <v>3881.7000000000003</v>
      </c>
      <c r="X142" s="182">
        <f>H142*$M$2</f>
        <v>5175.6000000000004</v>
      </c>
    </row>
    <row r="143" spans="1:24" ht="15" customHeight="1" x14ac:dyDescent="0.25">
      <c r="A143" s="252"/>
      <c r="B143" s="294">
        <v>33</v>
      </c>
      <c r="C143" s="294">
        <v>3</v>
      </c>
      <c r="D143" s="126">
        <f>'Data Ocupacion'!AP36</f>
        <v>8</v>
      </c>
      <c r="E143" s="126">
        <f>'Data Ocupacion'!AQ36</f>
        <v>0</v>
      </c>
      <c r="F143" s="125" t="s">
        <v>36</v>
      </c>
      <c r="G143" s="125">
        <f t="shared" si="118"/>
        <v>8</v>
      </c>
      <c r="H143" s="125">
        <f t="shared" si="119"/>
        <v>39</v>
      </c>
      <c r="I143" s="125">
        <f t="shared" si="120"/>
        <v>8</v>
      </c>
      <c r="J143" s="125">
        <f>G143*M$1</f>
        <v>232.88</v>
      </c>
      <c r="K143" s="153">
        <f>I143*M$1</f>
        <v>232.88</v>
      </c>
      <c r="L143" s="125">
        <f t="shared" si="121"/>
        <v>24219.52</v>
      </c>
      <c r="M143" s="125">
        <f t="shared" si="122"/>
        <v>832</v>
      </c>
      <c r="N143" s="19"/>
      <c r="O143" s="19"/>
      <c r="P143" s="146"/>
      <c r="Q143" s="183"/>
      <c r="R143" s="190"/>
      <c r="S143" s="227"/>
      <c r="T143" s="186"/>
      <c r="U143" s="189"/>
      <c r="V143" s="189"/>
      <c r="W143" s="182">
        <f>J143-(Q143*($M$1-$K$1))</f>
        <v>232.88</v>
      </c>
      <c r="X143" s="182">
        <f>H143*$M$1</f>
        <v>1135.29</v>
      </c>
    </row>
    <row r="144" spans="1:24" ht="15" customHeight="1" x14ac:dyDescent="0.25">
      <c r="A144" s="252"/>
      <c r="B144" s="294">
        <v>29</v>
      </c>
      <c r="C144" s="294">
        <v>3</v>
      </c>
      <c r="D144" s="126">
        <f>'Data Ocupacion'!AP37</f>
        <v>7</v>
      </c>
      <c r="E144" s="126">
        <f>'Data Ocupacion'!AQ37</f>
        <v>1</v>
      </c>
      <c r="F144" s="125" t="s">
        <v>53</v>
      </c>
      <c r="G144" s="125">
        <f t="shared" si="118"/>
        <v>9</v>
      </c>
      <c r="H144" s="125">
        <f t="shared" si="119"/>
        <v>35</v>
      </c>
      <c r="I144" s="125">
        <f t="shared" si="120"/>
        <v>8</v>
      </c>
      <c r="J144" s="125">
        <f>G144*M$1</f>
        <v>261.99</v>
      </c>
      <c r="K144" s="153">
        <f>I144*M$1</f>
        <v>232.88</v>
      </c>
      <c r="L144" s="125">
        <f t="shared" si="121"/>
        <v>27246.959999999999</v>
      </c>
      <c r="M144" s="125">
        <f t="shared" si="122"/>
        <v>832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261.99</v>
      </c>
      <c r="X144" s="182">
        <f>H144*$M$1</f>
        <v>1018.85</v>
      </c>
    </row>
    <row r="145" spans="1:27" ht="15" customHeight="1" x14ac:dyDescent="0.25">
      <c r="A145" s="252"/>
      <c r="B145" s="294">
        <v>0</v>
      </c>
      <c r="C145" s="294">
        <v>0</v>
      </c>
      <c r="D145" s="126">
        <f>'Data Ocupacion'!AP38</f>
        <v>0</v>
      </c>
      <c r="E145" s="126">
        <f>'Data Ocupacion'!AQ38</f>
        <v>0</v>
      </c>
      <c r="F145" s="125" t="s">
        <v>122</v>
      </c>
      <c r="G145" s="125">
        <f t="shared" si="118"/>
        <v>0</v>
      </c>
      <c r="H145" s="125">
        <f t="shared" si="119"/>
        <v>0</v>
      </c>
      <c r="I145" s="125">
        <f t="shared" si="120"/>
        <v>0</v>
      </c>
      <c r="J145" s="125">
        <f>G145*K$1</f>
        <v>0</v>
      </c>
      <c r="K145" s="153">
        <f>I145*K$1</f>
        <v>0</v>
      </c>
      <c r="L145" s="125">
        <f t="shared" si="121"/>
        <v>0</v>
      </c>
      <c r="M145" s="125">
        <f t="shared" si="122"/>
        <v>0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0</v>
      </c>
      <c r="X145" s="182">
        <f>H145*$K$1</f>
        <v>0</v>
      </c>
    </row>
    <row r="146" spans="1:27" ht="15" customHeight="1" thickBot="1" x14ac:dyDescent="0.3">
      <c r="A146" s="252"/>
      <c r="B146" s="294">
        <v>4</v>
      </c>
      <c r="C146" s="294">
        <v>0</v>
      </c>
      <c r="D146" s="253">
        <f>'Data Ocupacion'!AP39</f>
        <v>1</v>
      </c>
      <c r="E146" s="126">
        <f>'Data Ocupacion'!AQ39</f>
        <v>0</v>
      </c>
      <c r="F146" s="125" t="s">
        <v>35</v>
      </c>
      <c r="G146" s="125">
        <f t="shared" si="118"/>
        <v>1</v>
      </c>
      <c r="H146" s="125">
        <f t="shared" si="119"/>
        <v>4</v>
      </c>
      <c r="I146" s="125">
        <f t="shared" si="120"/>
        <v>1</v>
      </c>
      <c r="J146" s="125">
        <f>G146*K$1</f>
        <v>25.4</v>
      </c>
      <c r="K146" s="153">
        <f>I146*K$1</f>
        <v>25.4</v>
      </c>
      <c r="L146" s="125">
        <f t="shared" si="121"/>
        <v>2641.6</v>
      </c>
      <c r="M146" s="125">
        <f t="shared" si="122"/>
        <v>104</v>
      </c>
      <c r="N146" s="19"/>
      <c r="O146" s="19"/>
      <c r="P146" s="146"/>
      <c r="Q146" s="189"/>
      <c r="R146" s="189"/>
      <c r="S146" s="189"/>
      <c r="T146" s="189"/>
      <c r="U146" s="189"/>
      <c r="V146" s="189"/>
      <c r="W146" s="182">
        <f>J146</f>
        <v>25.4</v>
      </c>
      <c r="X146" s="182">
        <f>H146*$K$1</f>
        <v>101.6</v>
      </c>
    </row>
    <row r="147" spans="1:27" s="124" customFormat="1" ht="15" customHeight="1" thickBot="1" x14ac:dyDescent="0.3">
      <c r="A147" s="20"/>
      <c r="B147" s="119">
        <f>SUM(B141:B146)</f>
        <v>140</v>
      </c>
      <c r="C147" s="119">
        <f>SUM(C141:C146)</f>
        <v>89</v>
      </c>
      <c r="D147" s="152">
        <f>SUM(D141:D146)</f>
        <v>146</v>
      </c>
      <c r="E147" s="152">
        <f>SUM(E141:E146)</f>
        <v>27</v>
      </c>
      <c r="F147" s="119"/>
      <c r="G147" s="119">
        <f t="shared" ref="G147:M147" si="123">SUM(G141:G146)</f>
        <v>200</v>
      </c>
      <c r="H147" s="119">
        <f t="shared" si="123"/>
        <v>318</v>
      </c>
      <c r="I147" s="119">
        <f t="shared" si="123"/>
        <v>173</v>
      </c>
      <c r="J147" s="120">
        <f t="shared" si="123"/>
        <v>8369.93</v>
      </c>
      <c r="K147" s="119">
        <f t="shared" si="123"/>
        <v>7219.4400000000005</v>
      </c>
      <c r="L147" s="118">
        <f t="shared" si="123"/>
        <v>870472.72000000009</v>
      </c>
      <c r="M147" s="151">
        <f t="shared" si="123"/>
        <v>17992</v>
      </c>
      <c r="N147" s="123">
        <f>'Odometro-Kilometraje'!U88</f>
        <v>8460</v>
      </c>
      <c r="O147" s="21">
        <f>(W147/N147)*100</f>
        <v>98.93534278959811</v>
      </c>
      <c r="P147" s="192"/>
      <c r="Q147" s="181"/>
      <c r="R147" s="181"/>
      <c r="S147" s="181"/>
      <c r="T147" s="181"/>
      <c r="U147" s="181"/>
      <c r="V147" s="181"/>
      <c r="W147" s="193">
        <f>SUM(W141:W146)</f>
        <v>8369.93</v>
      </c>
      <c r="X147" s="193">
        <f>SUM(X141:X146)</f>
        <v>12606.940000000002</v>
      </c>
      <c r="AA147" s="172"/>
    </row>
    <row r="148" spans="1:27" x14ac:dyDescent="0.25">
      <c r="A148" s="60">
        <f>A141+1</f>
        <v>46224</v>
      </c>
      <c r="B148" s="294">
        <v>38</v>
      </c>
      <c r="C148" s="294">
        <v>41</v>
      </c>
      <c r="D148" s="126">
        <f>'Data Ocupacion'!AR34</f>
        <v>56</v>
      </c>
      <c r="E148" s="126">
        <f>'Data Ocupacion'!AS34</f>
        <v>14</v>
      </c>
      <c r="F148" s="294" t="s">
        <v>38</v>
      </c>
      <c r="G148" s="294">
        <f t="shared" ref="G148:G153" si="124">D148+E148*2</f>
        <v>84</v>
      </c>
      <c r="H148" s="125">
        <f t="shared" ref="H148:H156" si="125">B148+C148*2</f>
        <v>120</v>
      </c>
      <c r="I148" s="221">
        <v>70</v>
      </c>
      <c r="J148" s="221">
        <v>3622.92</v>
      </c>
      <c r="K148" s="153">
        <v>3019.1000000000004</v>
      </c>
      <c r="L148" s="125">
        <v>376783.68</v>
      </c>
      <c r="M148" s="125">
        <v>7280</v>
      </c>
      <c r="N148" s="19"/>
      <c r="O148" s="19"/>
      <c r="P148" s="146"/>
      <c r="Q148" s="183"/>
      <c r="R148" s="183"/>
      <c r="S148" s="205"/>
      <c r="T148" s="284"/>
      <c r="U148" s="191"/>
      <c r="V148" s="227"/>
      <c r="W148" s="182">
        <f>J148-(Q148*($M$2-$K$1))-(R148*($M$2-$M$1))- (S148*($M$2-$I$2))+ (T148*($G$2))</f>
        <v>3622.92</v>
      </c>
      <c r="X148" s="182">
        <f>H148*$M$2</f>
        <v>5175.6000000000004</v>
      </c>
    </row>
    <row r="149" spans="1:27" ht="15" customHeight="1" x14ac:dyDescent="0.25">
      <c r="A149" s="376" t="s">
        <v>195</v>
      </c>
      <c r="B149" s="294">
        <v>36</v>
      </c>
      <c r="C149" s="294">
        <v>42</v>
      </c>
      <c r="D149" s="126">
        <f>'Data Ocupacion'!AR35</f>
        <v>56</v>
      </c>
      <c r="E149" s="126">
        <f>'Data Ocupacion'!AS35</f>
        <v>12</v>
      </c>
      <c r="F149" s="294" t="s">
        <v>52</v>
      </c>
      <c r="G149" s="294">
        <f t="shared" si="124"/>
        <v>80</v>
      </c>
      <c r="H149" s="125">
        <f t="shared" si="125"/>
        <v>120</v>
      </c>
      <c r="I149" s="125">
        <v>68</v>
      </c>
      <c r="J149" s="125">
        <v>3450.4</v>
      </c>
      <c r="K149" s="153">
        <v>2932.84</v>
      </c>
      <c r="L149" s="125">
        <v>358841.60000000003</v>
      </c>
      <c r="M149" s="125">
        <v>7072</v>
      </c>
      <c r="N149" s="19"/>
      <c r="O149" s="19"/>
      <c r="P149" s="146"/>
      <c r="Q149" s="186"/>
      <c r="R149" s="186"/>
      <c r="S149" s="216"/>
      <c r="T149" s="183"/>
      <c r="U149" s="216"/>
      <c r="V149" s="228"/>
      <c r="W149" s="185">
        <f>J149-(T149*($M$2-$K$1)+(U149*($M$2-$M$1)))</f>
        <v>3450.4</v>
      </c>
      <c r="X149" s="182">
        <f>H149*$M$2</f>
        <v>5175.6000000000004</v>
      </c>
    </row>
    <row r="150" spans="1:27" x14ac:dyDescent="0.25">
      <c r="A150" s="376"/>
      <c r="B150" s="294">
        <v>33</v>
      </c>
      <c r="C150" s="294">
        <v>3</v>
      </c>
      <c r="D150" s="126">
        <f>'Data Ocupacion'!AR36</f>
        <v>13</v>
      </c>
      <c r="E150" s="126">
        <f>'Data Ocupacion'!AS36</f>
        <v>0</v>
      </c>
      <c r="F150" s="294" t="s">
        <v>36</v>
      </c>
      <c r="G150" s="294">
        <f t="shared" si="124"/>
        <v>13</v>
      </c>
      <c r="H150" s="125">
        <f t="shared" si="125"/>
        <v>39</v>
      </c>
      <c r="I150" s="125">
        <v>13</v>
      </c>
      <c r="J150" s="125">
        <v>378.43</v>
      </c>
      <c r="K150" s="153">
        <v>378.43</v>
      </c>
      <c r="L150" s="125">
        <v>39356.720000000001</v>
      </c>
      <c r="M150" s="125">
        <v>1352</v>
      </c>
      <c r="N150" s="19"/>
      <c r="O150" s="19"/>
      <c r="P150" s="146"/>
      <c r="Q150" s="243"/>
      <c r="R150" s="190"/>
      <c r="S150" s="227"/>
      <c r="T150" s="186"/>
      <c r="U150" s="189"/>
      <c r="V150" s="189"/>
      <c r="W150" s="182">
        <f>J150-(Q150*($M$1-$K$1))</f>
        <v>378.43</v>
      </c>
      <c r="X150" s="182">
        <f>H150*$M$1</f>
        <v>1135.29</v>
      </c>
    </row>
    <row r="151" spans="1:27" x14ac:dyDescent="0.25">
      <c r="A151" s="376"/>
      <c r="B151" s="294">
        <v>29</v>
      </c>
      <c r="C151" s="294">
        <v>3</v>
      </c>
      <c r="D151" s="126">
        <f>'Data Ocupacion'!AR37</f>
        <v>15</v>
      </c>
      <c r="E151" s="126">
        <f>'Data Ocupacion'!AS37</f>
        <v>0</v>
      </c>
      <c r="F151" s="294" t="s">
        <v>53</v>
      </c>
      <c r="G151" s="294">
        <f t="shared" si="124"/>
        <v>15</v>
      </c>
      <c r="H151" s="125">
        <f t="shared" si="125"/>
        <v>35</v>
      </c>
      <c r="I151" s="125">
        <v>15</v>
      </c>
      <c r="J151" s="125">
        <v>436.65</v>
      </c>
      <c r="K151" s="153">
        <v>436.65</v>
      </c>
      <c r="L151" s="125">
        <v>45411.6</v>
      </c>
      <c r="M151" s="125">
        <v>1560</v>
      </c>
      <c r="N151" s="19"/>
      <c r="O151" s="19"/>
      <c r="P151" s="241"/>
      <c r="Q151" s="189"/>
      <c r="R151" s="189"/>
      <c r="S151" s="189"/>
      <c r="T151" s="189"/>
      <c r="U151" s="189"/>
      <c r="V151" s="189"/>
      <c r="W151" s="182">
        <f>J151</f>
        <v>436.65</v>
      </c>
      <c r="X151" s="182">
        <f>H151*$M$1</f>
        <v>1018.85</v>
      </c>
    </row>
    <row r="152" spans="1:27" ht="15" customHeight="1" x14ac:dyDescent="0.25">
      <c r="A152" s="376"/>
      <c r="B152" s="294">
        <v>0</v>
      </c>
      <c r="C152" s="294">
        <v>0</v>
      </c>
      <c r="D152" s="126">
        <f>'Data Ocupacion'!AR38</f>
        <v>0</v>
      </c>
      <c r="E152" s="126">
        <f>'Data Ocupacion'!AS38</f>
        <v>0</v>
      </c>
      <c r="F152" s="294" t="s">
        <v>122</v>
      </c>
      <c r="G152" s="294">
        <f t="shared" si="124"/>
        <v>0</v>
      </c>
      <c r="H152" s="125">
        <f t="shared" si="125"/>
        <v>0</v>
      </c>
      <c r="I152" s="125">
        <v>0</v>
      </c>
      <c r="J152" s="222">
        <v>0</v>
      </c>
      <c r="K152" s="153">
        <v>0</v>
      </c>
      <c r="L152" s="125">
        <v>0</v>
      </c>
      <c r="M152" s="125"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x14ac:dyDescent="0.25">
      <c r="A153" s="376"/>
      <c r="B153" s="294">
        <v>4</v>
      </c>
      <c r="C153" s="294">
        <v>0</v>
      </c>
      <c r="D153" s="253">
        <f>'Data Ocupacion'!AR39</f>
        <v>1</v>
      </c>
      <c r="E153" s="126">
        <f>'Data Ocupacion'!AS39</f>
        <v>0</v>
      </c>
      <c r="F153" s="294" t="s">
        <v>35</v>
      </c>
      <c r="G153" s="294">
        <f t="shared" si="124"/>
        <v>1</v>
      </c>
      <c r="H153" s="125">
        <f t="shared" si="125"/>
        <v>4</v>
      </c>
      <c r="I153" s="223">
        <v>1</v>
      </c>
      <c r="J153" s="223">
        <v>25.4</v>
      </c>
      <c r="K153" s="153">
        <v>25.4</v>
      </c>
      <c r="L153" s="125">
        <v>2641.6</v>
      </c>
      <c r="M153" s="125">
        <v>104</v>
      </c>
      <c r="N153" s="19"/>
      <c r="O153" s="19"/>
      <c r="P153" s="146"/>
      <c r="Q153" s="189"/>
      <c r="R153" s="189"/>
      <c r="S153" s="189"/>
      <c r="T153" s="189"/>
      <c r="U153" s="189"/>
      <c r="V153" s="189"/>
      <c r="W153" s="182">
        <f>J153</f>
        <v>25.4</v>
      </c>
      <c r="X153" s="182">
        <f>H153*$K$1</f>
        <v>101.6</v>
      </c>
    </row>
    <row r="154" spans="1:27" s="124" customFormat="1" x14ac:dyDescent="0.25">
      <c r="A154" s="376"/>
      <c r="B154" s="294">
        <v>0</v>
      </c>
      <c r="C154" s="294">
        <v>0</v>
      </c>
      <c r="D154" s="126">
        <f>'Data Ocupacion'!AR40</f>
        <v>3</v>
      </c>
      <c r="E154" s="126">
        <f>'Data Ocupacion'!AS40</f>
        <v>2</v>
      </c>
      <c r="F154" s="294" t="s">
        <v>186</v>
      </c>
      <c r="G154" s="294"/>
      <c r="H154" s="125">
        <f t="shared" si="125"/>
        <v>0</v>
      </c>
      <c r="I154" s="223">
        <v>5</v>
      </c>
      <c r="J154" s="223">
        <v>0</v>
      </c>
      <c r="K154" s="153">
        <v>178.64999999999998</v>
      </c>
      <c r="L154" s="125">
        <v>0</v>
      </c>
      <c r="M154" s="125">
        <v>520</v>
      </c>
      <c r="N154" s="19"/>
      <c r="O154" s="19"/>
      <c r="P154" s="146"/>
      <c r="Q154" s="189"/>
      <c r="R154" s="189"/>
      <c r="S154" s="189"/>
      <c r="T154" s="189"/>
      <c r="U154" s="189"/>
      <c r="V154" s="189"/>
      <c r="W154" s="182">
        <f t="shared" ref="W154:W156" si="126">J154</f>
        <v>0</v>
      </c>
      <c r="X154" s="182">
        <f>H154*$O$2</f>
        <v>0</v>
      </c>
    </row>
    <row r="155" spans="1:27" s="124" customFormat="1" x14ac:dyDescent="0.25">
      <c r="A155" s="376"/>
      <c r="B155" s="294">
        <v>0</v>
      </c>
      <c r="C155" s="294">
        <v>0</v>
      </c>
      <c r="D155" s="126">
        <f>'Data Ocupacion'!AR41</f>
        <v>3</v>
      </c>
      <c r="E155" s="126">
        <f>'Data Ocupacion'!AS41</f>
        <v>2</v>
      </c>
      <c r="F155" s="294" t="s">
        <v>187</v>
      </c>
      <c r="G155" s="294"/>
      <c r="H155" s="125">
        <f t="shared" si="125"/>
        <v>0</v>
      </c>
      <c r="I155" s="223">
        <v>5</v>
      </c>
      <c r="J155" s="223">
        <v>0</v>
      </c>
      <c r="K155" s="153">
        <v>178.64999999999998</v>
      </c>
      <c r="L155" s="125">
        <v>0</v>
      </c>
      <c r="M155" s="125">
        <v>520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 t="shared" si="126"/>
        <v>0</v>
      </c>
      <c r="X155" s="182">
        <f>H155*$O$2</f>
        <v>0</v>
      </c>
    </row>
    <row r="156" spans="1:27" s="124" customFormat="1" ht="15.75" thickBot="1" x14ac:dyDescent="0.3">
      <c r="A156" s="349"/>
      <c r="B156" s="294">
        <v>0</v>
      </c>
      <c r="C156" s="294">
        <v>0</v>
      </c>
      <c r="D156" s="126">
        <f>'Data Ocupacion'!AR42</f>
        <v>0</v>
      </c>
      <c r="E156" s="126">
        <f>'Data Ocupacion'!AS42</f>
        <v>0</v>
      </c>
      <c r="F156" s="294" t="s">
        <v>125</v>
      </c>
      <c r="G156" s="294"/>
      <c r="H156" s="125">
        <f t="shared" si="125"/>
        <v>0</v>
      </c>
      <c r="I156" s="223">
        <v>0</v>
      </c>
      <c r="J156" s="223">
        <v>0</v>
      </c>
      <c r="K156" s="153">
        <v>0</v>
      </c>
      <c r="L156" s="125">
        <v>0</v>
      </c>
      <c r="M156" s="125"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 t="shared" si="126"/>
        <v>0</v>
      </c>
      <c r="X156" s="182">
        <f>H156*$I$1</f>
        <v>0</v>
      </c>
    </row>
    <row r="157" spans="1:27" s="124" customFormat="1" ht="15.75" thickBot="1" x14ac:dyDescent="0.3">
      <c r="A157" s="20"/>
      <c r="B157" s="119">
        <f>SUM(B148:B156)</f>
        <v>140</v>
      </c>
      <c r="C157" s="119">
        <f>SUM(C148:C156)</f>
        <v>89</v>
      </c>
      <c r="D157" s="350">
        <f>SUM(D148:D156)</f>
        <v>147</v>
      </c>
      <c r="E157" s="350">
        <f>SUM(E148:E156)</f>
        <v>30</v>
      </c>
      <c r="F157" s="119"/>
      <c r="G157" s="119">
        <f>SUM(G148:G153)</f>
        <v>193</v>
      </c>
      <c r="H157" s="119">
        <f t="shared" ref="H157" si="127">SUM(H148:H156)</f>
        <v>318</v>
      </c>
      <c r="I157" s="119">
        <v>177</v>
      </c>
      <c r="J157" s="120">
        <v>7913.7999999999993</v>
      </c>
      <c r="K157" s="119">
        <v>7149.7199999999993</v>
      </c>
      <c r="L157" s="119">
        <v>823035.2</v>
      </c>
      <c r="M157" s="119">
        <v>18408</v>
      </c>
      <c r="N157" s="123">
        <v>9049</v>
      </c>
      <c r="O157" s="21">
        <v>87.454967399712672</v>
      </c>
      <c r="P157" s="192"/>
      <c r="Q157" s="181"/>
      <c r="R157" s="181"/>
      <c r="S157" s="181"/>
      <c r="T157" s="181"/>
      <c r="U157" s="181"/>
      <c r="V157" s="181"/>
      <c r="W157" s="193">
        <f>SUM(W148:W156)</f>
        <v>7913.7999999999993</v>
      </c>
      <c r="X157" s="193">
        <f>SUM(X148:X156)</f>
        <v>12606.940000000002</v>
      </c>
    </row>
    <row r="158" spans="1:27" x14ac:dyDescent="0.25">
      <c r="A158" s="60">
        <f>A148+1</f>
        <v>46225</v>
      </c>
      <c r="B158" s="294">
        <v>49</v>
      </c>
      <c r="C158" s="294">
        <v>30</v>
      </c>
      <c r="D158" s="126">
        <f>'Data Ocupacion'!AT34</f>
        <v>55</v>
      </c>
      <c r="E158" s="126">
        <f>'Data Ocupacion'!AU34</f>
        <v>25</v>
      </c>
      <c r="F158" s="125" t="s">
        <v>38</v>
      </c>
      <c r="G158" s="125">
        <f t="shared" ref="G158:G163" si="128">D158+E158*2</f>
        <v>105</v>
      </c>
      <c r="H158" s="125">
        <f t="shared" ref="H158:H163" si="129">B158+C158*2</f>
        <v>109</v>
      </c>
      <c r="I158" s="125">
        <f t="shared" ref="I158:I163" si="130">D158+E158</f>
        <v>80</v>
      </c>
      <c r="J158" s="125">
        <f>G158*M$2</f>
        <v>4528.6500000000005</v>
      </c>
      <c r="K158" s="153">
        <f>I158*M$2</f>
        <v>3450.4</v>
      </c>
      <c r="L158" s="125">
        <f t="shared" ref="L158:L163" si="131">J158*104</f>
        <v>470979.60000000003</v>
      </c>
      <c r="M158" s="125">
        <f t="shared" ref="M158:M163" si="132">I158*104</f>
        <v>8320</v>
      </c>
      <c r="N158" s="19"/>
      <c r="O158" s="19"/>
      <c r="P158" s="146"/>
      <c r="Q158" s="183"/>
      <c r="R158" s="183"/>
      <c r="S158" s="205"/>
      <c r="T158" s="243"/>
      <c r="U158" s="191"/>
      <c r="V158" s="227"/>
      <c r="W158" s="182">
        <f>J158-(Q158*($M$2-$K$1))-(R158*($M$2-$M$1))- (S158*($M$2-$I$2))+ (T158*($G$2))</f>
        <v>4528.6500000000005</v>
      </c>
      <c r="X158" s="182">
        <f>H158*$M$2</f>
        <v>4701.17</v>
      </c>
    </row>
    <row r="159" spans="1:27" ht="15" customHeight="1" x14ac:dyDescent="0.25">
      <c r="A159" s="201"/>
      <c r="B159" s="294">
        <v>47</v>
      </c>
      <c r="C159" s="294">
        <v>31</v>
      </c>
      <c r="D159" s="126">
        <f>'Data Ocupacion'!AT35</f>
        <v>52</v>
      </c>
      <c r="E159" s="126">
        <f>'Data Ocupacion'!AU35</f>
        <v>26</v>
      </c>
      <c r="F159" s="125" t="s">
        <v>52</v>
      </c>
      <c r="G159" s="125">
        <f t="shared" si="128"/>
        <v>104</v>
      </c>
      <c r="H159" s="125">
        <f t="shared" si="129"/>
        <v>109</v>
      </c>
      <c r="I159" s="125">
        <f t="shared" si="130"/>
        <v>78</v>
      </c>
      <c r="J159" s="125">
        <f>G159*M$2</f>
        <v>4485.5200000000004</v>
      </c>
      <c r="K159" s="153">
        <f>I159*M$2</f>
        <v>3364.1400000000003</v>
      </c>
      <c r="L159" s="125">
        <f t="shared" si="131"/>
        <v>466494.08000000007</v>
      </c>
      <c r="M159" s="125">
        <f t="shared" si="132"/>
        <v>8112</v>
      </c>
      <c r="N159" s="19"/>
      <c r="O159" s="19"/>
      <c r="P159" s="146"/>
      <c r="Q159" s="186"/>
      <c r="R159" s="186"/>
      <c r="S159" s="186"/>
      <c r="T159" s="183"/>
      <c r="U159" s="203"/>
      <c r="V159" s="228"/>
      <c r="W159" s="185">
        <f>J159-(T159*($M$2-$K$1)+(U159*($M$2-$M$1)))</f>
        <v>4485.5200000000004</v>
      </c>
      <c r="X159" s="182">
        <f>H159*$M$2</f>
        <v>4701.17</v>
      </c>
      <c r="Y159" s="124"/>
      <c r="Z159" s="124"/>
    </row>
    <row r="160" spans="1:27" ht="14.45" customHeight="1" x14ac:dyDescent="0.25">
      <c r="A160" s="201"/>
      <c r="B160" s="294">
        <v>36</v>
      </c>
      <c r="C160" s="294">
        <v>0</v>
      </c>
      <c r="D160" s="126">
        <f>'Data Ocupacion'!AT36</f>
        <v>26</v>
      </c>
      <c r="E160" s="126">
        <f>'Data Ocupacion'!AU36</f>
        <v>0</v>
      </c>
      <c r="F160" s="125" t="s">
        <v>36</v>
      </c>
      <c r="G160" s="125">
        <f t="shared" si="128"/>
        <v>26</v>
      </c>
      <c r="H160" s="125">
        <f t="shared" si="129"/>
        <v>36</v>
      </c>
      <c r="I160" s="125">
        <f t="shared" si="130"/>
        <v>26</v>
      </c>
      <c r="J160" s="125">
        <f>G160*M$1</f>
        <v>756.86</v>
      </c>
      <c r="K160" s="153">
        <f>I160*M$1</f>
        <v>756.86</v>
      </c>
      <c r="L160" s="125">
        <f t="shared" si="131"/>
        <v>78713.440000000002</v>
      </c>
      <c r="M160" s="125">
        <f t="shared" si="132"/>
        <v>2704</v>
      </c>
      <c r="N160" s="19"/>
      <c r="O160" s="19"/>
      <c r="P160" s="146"/>
      <c r="Q160" s="243"/>
      <c r="R160" s="187"/>
      <c r="S160" s="206"/>
      <c r="T160" s="188"/>
      <c r="U160" s="189"/>
      <c r="V160" s="189"/>
      <c r="W160" s="182">
        <f>J160-(Q160*($M$1-$K$1))</f>
        <v>756.86</v>
      </c>
      <c r="X160" s="182">
        <f>H160*$M$1</f>
        <v>1047.96</v>
      </c>
      <c r="Y160" s="124"/>
      <c r="Z160" s="124"/>
    </row>
    <row r="161" spans="1:26" ht="15" customHeight="1" x14ac:dyDescent="0.25">
      <c r="A161" s="201"/>
      <c r="B161" s="294">
        <v>32</v>
      </c>
      <c r="C161" s="294">
        <v>0</v>
      </c>
      <c r="D161" s="126">
        <f>'Data Ocupacion'!AT37</f>
        <v>26</v>
      </c>
      <c r="E161" s="126">
        <f>'Data Ocupacion'!AU37</f>
        <v>0</v>
      </c>
      <c r="F161" s="125" t="s">
        <v>53</v>
      </c>
      <c r="G161" s="125">
        <f t="shared" si="128"/>
        <v>26</v>
      </c>
      <c r="H161" s="125">
        <f t="shared" si="129"/>
        <v>32</v>
      </c>
      <c r="I161" s="125">
        <f t="shared" si="130"/>
        <v>26</v>
      </c>
      <c r="J161" s="125">
        <f>G161*M$1</f>
        <v>756.86</v>
      </c>
      <c r="K161" s="153">
        <f>I161*M$1</f>
        <v>756.86</v>
      </c>
      <c r="L161" s="125">
        <f t="shared" si="131"/>
        <v>78713.440000000002</v>
      </c>
      <c r="M161" s="125">
        <f t="shared" si="132"/>
        <v>2704</v>
      </c>
      <c r="N161" s="19"/>
      <c r="O161" s="19"/>
      <c r="P161" s="146"/>
      <c r="Q161" s="189"/>
      <c r="R161" s="189"/>
      <c r="S161" s="189"/>
      <c r="T161" s="189"/>
      <c r="U161" s="189"/>
      <c r="V161" s="189"/>
      <c r="W161" s="182">
        <f>J161</f>
        <v>756.86</v>
      </c>
      <c r="X161" s="182">
        <f>H161*$M$1</f>
        <v>931.52</v>
      </c>
      <c r="Y161" s="124"/>
      <c r="Z161" s="124"/>
    </row>
    <row r="162" spans="1:26" ht="13.5" customHeight="1" x14ac:dyDescent="0.25">
      <c r="A162" s="201"/>
      <c r="B162" s="294">
        <v>0</v>
      </c>
      <c r="C162" s="294">
        <v>0</v>
      </c>
      <c r="D162" s="126">
        <f>'Data Ocupacion'!AT38</f>
        <v>0</v>
      </c>
      <c r="E162" s="126">
        <f>'Data Ocupacion'!AU38</f>
        <v>0</v>
      </c>
      <c r="F162" s="125" t="s">
        <v>122</v>
      </c>
      <c r="G162" s="125">
        <f t="shared" si="128"/>
        <v>0</v>
      </c>
      <c r="H162" s="125">
        <f t="shared" si="129"/>
        <v>0</v>
      </c>
      <c r="I162" s="125">
        <f t="shared" si="130"/>
        <v>0</v>
      </c>
      <c r="J162" s="125">
        <f>G162*K$1</f>
        <v>0</v>
      </c>
      <c r="K162" s="153">
        <f>I162*M$1</f>
        <v>0</v>
      </c>
      <c r="L162" s="125">
        <f t="shared" si="131"/>
        <v>0</v>
      </c>
      <c r="M162" s="125">
        <f t="shared" si="132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H162*$K$1</f>
        <v>0</v>
      </c>
      <c r="Y162" s="124"/>
      <c r="Z162" s="124"/>
    </row>
    <row r="163" spans="1:26" ht="15.75" thickBot="1" x14ac:dyDescent="0.3">
      <c r="A163" s="201"/>
      <c r="B163" s="294">
        <v>4</v>
      </c>
      <c r="C163" s="294">
        <v>0</v>
      </c>
      <c r="D163" s="253">
        <f>'Data Ocupacion'!AT39</f>
        <v>1</v>
      </c>
      <c r="E163" s="126">
        <f>'Data Ocupacion'!AU39</f>
        <v>0</v>
      </c>
      <c r="F163" s="125" t="s">
        <v>35</v>
      </c>
      <c r="G163" s="125">
        <f t="shared" si="128"/>
        <v>1</v>
      </c>
      <c r="H163" s="125">
        <f t="shared" si="129"/>
        <v>4</v>
      </c>
      <c r="I163" s="125">
        <f t="shared" si="130"/>
        <v>1</v>
      </c>
      <c r="J163" s="125">
        <f>G163*K$1</f>
        <v>25.4</v>
      </c>
      <c r="K163" s="153">
        <f>I163*K$1</f>
        <v>25.4</v>
      </c>
      <c r="L163" s="125">
        <f t="shared" si="131"/>
        <v>2641.6</v>
      </c>
      <c r="M163" s="125">
        <f t="shared" si="132"/>
        <v>104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25.4</v>
      </c>
      <c r="X163" s="182">
        <f>H163*$K$1</f>
        <v>101.6</v>
      </c>
    </row>
    <row r="164" spans="1:26" s="124" customFormat="1" ht="15.75" thickBot="1" x14ac:dyDescent="0.3">
      <c r="A164" s="20"/>
      <c r="B164" s="119">
        <f>SUM(B158:B163)</f>
        <v>168</v>
      </c>
      <c r="C164" s="119">
        <f>SUM(C158:C163)</f>
        <v>61</v>
      </c>
      <c r="D164" s="152">
        <f>SUM(D158:D163)</f>
        <v>160</v>
      </c>
      <c r="E164" s="152">
        <f>SUM(E158:E163)</f>
        <v>51</v>
      </c>
      <c r="F164" s="119"/>
      <c r="G164" s="119">
        <f t="shared" ref="G164:M164" si="133">SUM(G158:G163)</f>
        <v>262</v>
      </c>
      <c r="H164" s="119">
        <f t="shared" si="133"/>
        <v>290</v>
      </c>
      <c r="I164" s="119">
        <f t="shared" si="133"/>
        <v>211</v>
      </c>
      <c r="J164" s="120">
        <f t="shared" si="133"/>
        <v>10553.290000000003</v>
      </c>
      <c r="K164" s="119">
        <f t="shared" si="133"/>
        <v>8353.66</v>
      </c>
      <c r="L164" s="118">
        <f t="shared" si="133"/>
        <v>1097542.1600000001</v>
      </c>
      <c r="M164" s="151">
        <f t="shared" si="133"/>
        <v>21944</v>
      </c>
      <c r="N164" s="123">
        <f>'Odometro-Kilometraje'!W88</f>
        <v>10911</v>
      </c>
      <c r="O164" s="21">
        <f>(W164/N164)*100</f>
        <v>96.721565392722965</v>
      </c>
      <c r="P164" s="192"/>
      <c r="Q164" s="181"/>
      <c r="R164" s="181"/>
      <c r="S164" s="181"/>
      <c r="T164" s="181"/>
      <c r="U164" s="181"/>
      <c r="V164" s="181"/>
      <c r="W164" s="193">
        <f>SUM(W158:W163)</f>
        <v>10553.290000000003</v>
      </c>
      <c r="X164" s="193">
        <f>SUM(X158:X163)</f>
        <v>11483.42</v>
      </c>
    </row>
    <row r="165" spans="1:26" s="124" customFormat="1" x14ac:dyDescent="0.25">
      <c r="A165" s="60">
        <f>A158+1</f>
        <v>46226</v>
      </c>
      <c r="B165" s="294">
        <v>49</v>
      </c>
      <c r="C165" s="294">
        <v>30</v>
      </c>
      <c r="D165" s="126">
        <f>'Data Ocupacion'!AV34</f>
        <v>55</v>
      </c>
      <c r="E165" s="126">
        <f>'Data Ocupacion'!AW34</f>
        <v>24</v>
      </c>
      <c r="F165" s="219" t="s">
        <v>38</v>
      </c>
      <c r="G165" s="220">
        <f t="shared" ref="G165:G170" si="134">D165+E165*2</f>
        <v>103</v>
      </c>
      <c r="H165" s="125">
        <f t="shared" ref="H165:H170" si="135">B165+C165*2</f>
        <v>109</v>
      </c>
      <c r="I165" s="221">
        <f t="shared" ref="I165:I170" si="136">D165+E165</f>
        <v>79</v>
      </c>
      <c r="J165" s="221">
        <f>G165*M$2</f>
        <v>4442.3900000000003</v>
      </c>
      <c r="K165" s="153">
        <f>I165*M$2</f>
        <v>3407.27</v>
      </c>
      <c r="L165" s="125">
        <f t="shared" ref="L165:L170" si="137">J165*104</f>
        <v>462008.56000000006</v>
      </c>
      <c r="M165" s="125">
        <f t="shared" ref="M165:M170" si="138">I165*104</f>
        <v>8216</v>
      </c>
      <c r="N165" s="19"/>
      <c r="O165" s="19"/>
      <c r="P165" s="146"/>
      <c r="Q165" s="183">
        <v>4</v>
      </c>
      <c r="R165" s="183"/>
      <c r="S165" s="205"/>
      <c r="T165" s="243"/>
      <c r="U165" s="191"/>
      <c r="V165" s="227"/>
      <c r="W165" s="182">
        <f>J165-(Q165*($M$2-$K$1))-(R165*($M$2-$M$1))- (S165*($M$2-$I$2))+ (T165*($G$2))</f>
        <v>4371.47</v>
      </c>
      <c r="X165" s="182">
        <f>H165*$M$2</f>
        <v>4701.17</v>
      </c>
    </row>
    <row r="166" spans="1:26" ht="15" customHeight="1" x14ac:dyDescent="0.25">
      <c r="A166" s="275"/>
      <c r="B166" s="294">
        <v>47</v>
      </c>
      <c r="C166" s="294">
        <v>31</v>
      </c>
      <c r="D166" s="126">
        <f>'Data Ocupacion'!AV35</f>
        <v>53</v>
      </c>
      <c r="E166" s="126">
        <f>'Data Ocupacion'!AW35</f>
        <v>25</v>
      </c>
      <c r="F166" s="219" t="s">
        <v>52</v>
      </c>
      <c r="G166" s="220">
        <f t="shared" si="134"/>
        <v>103</v>
      </c>
      <c r="H166" s="125">
        <f t="shared" si="135"/>
        <v>109</v>
      </c>
      <c r="I166" s="125">
        <f t="shared" si="136"/>
        <v>78</v>
      </c>
      <c r="J166" s="125">
        <f>G166*M$2</f>
        <v>4442.3900000000003</v>
      </c>
      <c r="K166" s="153">
        <f>I166*M$2</f>
        <v>3364.1400000000003</v>
      </c>
      <c r="L166" s="125">
        <f t="shared" si="137"/>
        <v>462008.56000000006</v>
      </c>
      <c r="M166" s="125">
        <f t="shared" si="138"/>
        <v>8112</v>
      </c>
      <c r="N166" s="19"/>
      <c r="O166" s="19"/>
      <c r="P166" s="146"/>
      <c r="Q166" s="186"/>
      <c r="R166" s="186"/>
      <c r="S166" s="216"/>
      <c r="T166" s="183">
        <v>1</v>
      </c>
      <c r="U166" s="216"/>
      <c r="V166" s="228"/>
      <c r="W166" s="185">
        <f>J166-(T166*($M$2-$K$1)+(U166*($M$2-$M$1)))</f>
        <v>4424.6600000000008</v>
      </c>
      <c r="X166" s="182">
        <f>H166*$M$2</f>
        <v>4701.17</v>
      </c>
      <c r="Y166" s="172"/>
    </row>
    <row r="167" spans="1:26" ht="15" customHeight="1" x14ac:dyDescent="0.25">
      <c r="A167" s="275"/>
      <c r="B167" s="294">
        <v>36</v>
      </c>
      <c r="C167" s="294">
        <v>0</v>
      </c>
      <c r="D167" s="126">
        <f>'Data Ocupacion'!AV36</f>
        <v>34</v>
      </c>
      <c r="E167" s="126">
        <f>'Data Ocupacion'!AW36</f>
        <v>0</v>
      </c>
      <c r="F167" s="219" t="s">
        <v>36</v>
      </c>
      <c r="G167" s="220">
        <f t="shared" si="134"/>
        <v>34</v>
      </c>
      <c r="H167" s="125">
        <f t="shared" si="135"/>
        <v>36</v>
      </c>
      <c r="I167" s="125">
        <f t="shared" si="136"/>
        <v>34</v>
      </c>
      <c r="J167" s="125">
        <f>G167*M$1</f>
        <v>989.74</v>
      </c>
      <c r="K167" s="153">
        <f>I167*M$1</f>
        <v>989.74</v>
      </c>
      <c r="L167" s="125">
        <f t="shared" si="137"/>
        <v>102932.96</v>
      </c>
      <c r="M167" s="125">
        <f t="shared" si="138"/>
        <v>3536</v>
      </c>
      <c r="N167" s="19"/>
      <c r="O167" s="19"/>
      <c r="P167" s="146"/>
      <c r="Q167" s="183"/>
      <c r="R167" s="187"/>
      <c r="S167" s="206"/>
      <c r="T167" s="188"/>
      <c r="U167" s="189"/>
      <c r="V167" s="189"/>
      <c r="W167" s="182">
        <f>J167-(Q167*($M$1-$K$1))</f>
        <v>989.74</v>
      </c>
      <c r="X167" s="182">
        <f>H167*$M$1</f>
        <v>1047.96</v>
      </c>
    </row>
    <row r="168" spans="1:26" ht="15" customHeight="1" x14ac:dyDescent="0.25">
      <c r="A168" s="275"/>
      <c r="B168" s="294">
        <v>32</v>
      </c>
      <c r="C168" s="294">
        <v>0</v>
      </c>
      <c r="D168" s="126">
        <f>'Data Ocupacion'!AV37</f>
        <v>32</v>
      </c>
      <c r="E168" s="126">
        <f>'Data Ocupacion'!AW37</f>
        <v>0</v>
      </c>
      <c r="F168" s="219" t="s">
        <v>53</v>
      </c>
      <c r="G168" s="220">
        <f t="shared" si="134"/>
        <v>32</v>
      </c>
      <c r="H168" s="125">
        <f t="shared" si="135"/>
        <v>32</v>
      </c>
      <c r="I168" s="125">
        <f t="shared" si="136"/>
        <v>32</v>
      </c>
      <c r="J168" s="125">
        <f>G168*M$1</f>
        <v>931.52</v>
      </c>
      <c r="K168" s="153">
        <f>I168*M$1</f>
        <v>931.52</v>
      </c>
      <c r="L168" s="125">
        <f t="shared" si="137"/>
        <v>96878.080000000002</v>
      </c>
      <c r="M168" s="125">
        <f t="shared" si="138"/>
        <v>3328</v>
      </c>
      <c r="N168" s="19"/>
      <c r="O168" s="19"/>
      <c r="P168" s="146"/>
      <c r="Q168" s="189"/>
      <c r="R168" s="189"/>
      <c r="S168" s="189"/>
      <c r="T168" s="189"/>
      <c r="U168" s="189"/>
      <c r="V168" s="189"/>
      <c r="W168" s="182">
        <f>J168</f>
        <v>931.52</v>
      </c>
      <c r="X168" s="182">
        <f>H168*$M$1</f>
        <v>931.52</v>
      </c>
    </row>
    <row r="169" spans="1:26" ht="13.5" customHeight="1" x14ac:dyDescent="0.25">
      <c r="A169" s="275"/>
      <c r="B169" s="294">
        <v>0</v>
      </c>
      <c r="C169" s="294">
        <v>0</v>
      </c>
      <c r="D169" s="126">
        <f>'Data Ocupacion'!AV38</f>
        <v>0</v>
      </c>
      <c r="E169" s="126">
        <f>'Data Ocupacion'!AW38</f>
        <v>0</v>
      </c>
      <c r="F169" s="219" t="s">
        <v>122</v>
      </c>
      <c r="G169" s="220">
        <f t="shared" si="134"/>
        <v>0</v>
      </c>
      <c r="H169" s="125">
        <f t="shared" si="135"/>
        <v>0</v>
      </c>
      <c r="I169" s="125">
        <f t="shared" si="136"/>
        <v>0</v>
      </c>
      <c r="J169" s="222">
        <f>G169*K$1</f>
        <v>0</v>
      </c>
      <c r="K169" s="153">
        <f>I169*K$1</f>
        <v>0</v>
      </c>
      <c r="L169" s="125">
        <f t="shared" si="137"/>
        <v>0</v>
      </c>
      <c r="M169" s="125">
        <f t="shared" si="138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H169*$K$1</f>
        <v>0</v>
      </c>
    </row>
    <row r="170" spans="1:26" ht="12.75" customHeight="1" thickBot="1" x14ac:dyDescent="0.3">
      <c r="A170" s="275"/>
      <c r="B170" s="294">
        <v>4</v>
      </c>
      <c r="C170" s="294">
        <v>0</v>
      </c>
      <c r="D170" s="253">
        <f>'Data Ocupacion'!AV39</f>
        <v>2</v>
      </c>
      <c r="E170" s="126">
        <f>'Data Ocupacion'!AW39</f>
        <v>0</v>
      </c>
      <c r="F170" s="219" t="s">
        <v>35</v>
      </c>
      <c r="G170" s="220">
        <f t="shared" si="134"/>
        <v>2</v>
      </c>
      <c r="H170" s="125">
        <f t="shared" si="135"/>
        <v>4</v>
      </c>
      <c r="I170" s="223">
        <f t="shared" si="136"/>
        <v>2</v>
      </c>
      <c r="J170" s="223">
        <f>G170*K$1</f>
        <v>50.8</v>
      </c>
      <c r="K170" s="153">
        <f>I170*K$1</f>
        <v>50.8</v>
      </c>
      <c r="L170" s="125">
        <f t="shared" si="137"/>
        <v>5283.2</v>
      </c>
      <c r="M170" s="125">
        <f t="shared" si="138"/>
        <v>208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50.8</v>
      </c>
      <c r="X170" s="182">
        <f>H170*$K$1</f>
        <v>101.6</v>
      </c>
    </row>
    <row r="171" spans="1:26" s="124" customFormat="1" ht="15" customHeight="1" thickBot="1" x14ac:dyDescent="0.3">
      <c r="A171" s="20"/>
      <c r="B171" s="119">
        <f>SUM(B165:B170)</f>
        <v>168</v>
      </c>
      <c r="C171" s="119">
        <f>SUM(C165:C170)</f>
        <v>61</v>
      </c>
      <c r="D171" s="148">
        <f>SUM(D165:D170)</f>
        <v>176</v>
      </c>
      <c r="E171" s="148">
        <f>SUM(E165:E170)</f>
        <v>49</v>
      </c>
      <c r="F171" s="119"/>
      <c r="G171" s="119">
        <f t="shared" ref="G171:M171" si="139">SUM(G165:G170)</f>
        <v>274</v>
      </c>
      <c r="H171" s="119">
        <f t="shared" si="139"/>
        <v>290</v>
      </c>
      <c r="I171" s="119">
        <f t="shared" si="139"/>
        <v>225</v>
      </c>
      <c r="J171" s="120">
        <f t="shared" si="139"/>
        <v>10856.84</v>
      </c>
      <c r="K171" s="119">
        <f t="shared" si="139"/>
        <v>8743.4699999999993</v>
      </c>
      <c r="L171" s="119">
        <f t="shared" si="139"/>
        <v>1129111.3600000001</v>
      </c>
      <c r="M171" s="119">
        <f t="shared" si="139"/>
        <v>23400</v>
      </c>
      <c r="N171" s="123">
        <f>'Odometro-Kilometraje'!X88</f>
        <v>11104</v>
      </c>
      <c r="O171" s="21">
        <f>(W171/N171)*100</f>
        <v>96.975774495677243</v>
      </c>
      <c r="P171" s="192"/>
      <c r="Q171" s="181"/>
      <c r="R171" s="181"/>
      <c r="S171" s="181"/>
      <c r="T171" s="181"/>
      <c r="U171" s="181"/>
      <c r="V171" s="181"/>
      <c r="W171" s="193">
        <f>SUM(W165:W170)</f>
        <v>10768.19</v>
      </c>
      <c r="X171" s="193">
        <f>SUM(X165:X170)</f>
        <v>11483.42</v>
      </c>
    </row>
    <row r="172" spans="1:26" x14ac:dyDescent="0.25">
      <c r="A172" s="60">
        <f>A165+1</f>
        <v>46227</v>
      </c>
      <c r="B172" s="294">
        <v>49</v>
      </c>
      <c r="C172" s="294">
        <v>30</v>
      </c>
      <c r="D172" s="126">
        <f>'Data Ocupacion'!AX34</f>
        <v>0</v>
      </c>
      <c r="E172" s="126">
        <f>'Data Ocupacion'!AY34</f>
        <v>0</v>
      </c>
      <c r="F172" s="219" t="s">
        <v>38</v>
      </c>
      <c r="G172" s="220">
        <f t="shared" ref="G172:G177" si="140">D172+E172*2</f>
        <v>0</v>
      </c>
      <c r="H172" s="125">
        <f t="shared" ref="H172:H177" si="141">B172+C172*2</f>
        <v>109</v>
      </c>
      <c r="I172" s="221">
        <f t="shared" ref="I172:I177" si="142">D172+E172</f>
        <v>0</v>
      </c>
      <c r="J172" s="221">
        <f>G172*M$2</f>
        <v>0</v>
      </c>
      <c r="K172" s="153">
        <f>I172*M$2</f>
        <v>0</v>
      </c>
      <c r="L172" s="125">
        <f t="shared" ref="L172:L177" si="143">J172*104</f>
        <v>0</v>
      </c>
      <c r="M172" s="125">
        <f t="shared" ref="M172:M177" si="144">I172*104</f>
        <v>0</v>
      </c>
      <c r="N172" s="19"/>
      <c r="O172" s="19"/>
      <c r="P172" s="146"/>
      <c r="Q172" s="183"/>
      <c r="R172" s="183"/>
      <c r="S172" s="205"/>
      <c r="T172" s="205"/>
      <c r="U172" s="191"/>
      <c r="V172" s="227"/>
      <c r="W172" s="182">
        <f>J172-(Q172*($M$2-$K$1))-(R172*($M$2-$M$1))- (S172*($M$2-$I$2))+ (T172*($G$2))</f>
        <v>0</v>
      </c>
      <c r="X172" s="182">
        <f>H172*$M$2</f>
        <v>4701.17</v>
      </c>
    </row>
    <row r="173" spans="1:26" ht="15" customHeight="1" x14ac:dyDescent="0.25">
      <c r="A173" s="275"/>
      <c r="B173" s="294">
        <v>47</v>
      </c>
      <c r="C173" s="294">
        <v>31</v>
      </c>
      <c r="D173" s="126">
        <f>'Data Ocupacion'!AX35</f>
        <v>0</v>
      </c>
      <c r="E173" s="126">
        <f>'Data Ocupacion'!AY35</f>
        <v>0</v>
      </c>
      <c r="F173" s="219" t="s">
        <v>52</v>
      </c>
      <c r="G173" s="220">
        <f t="shared" si="140"/>
        <v>0</v>
      </c>
      <c r="H173" s="125">
        <f t="shared" si="141"/>
        <v>109</v>
      </c>
      <c r="I173" s="125">
        <f t="shared" si="142"/>
        <v>0</v>
      </c>
      <c r="J173" s="125">
        <f>G173*M$2</f>
        <v>0</v>
      </c>
      <c r="K173" s="153">
        <f>I173*M$2</f>
        <v>0</v>
      </c>
      <c r="L173" s="125">
        <f t="shared" si="143"/>
        <v>0</v>
      </c>
      <c r="M173" s="125">
        <f t="shared" si="144"/>
        <v>0</v>
      </c>
      <c r="N173" s="19"/>
      <c r="O173" s="19"/>
      <c r="P173" s="146"/>
      <c r="Q173" s="186"/>
      <c r="R173" s="186"/>
      <c r="S173" s="216"/>
      <c r="T173" s="216"/>
      <c r="U173" s="216"/>
      <c r="V173" s="228"/>
      <c r="W173" s="185">
        <f>J173-(T173*($M$2-$K$1)+(U173*($M$2-$M$1)))</f>
        <v>0</v>
      </c>
      <c r="X173" s="182">
        <f>H173*$M$2</f>
        <v>4701.17</v>
      </c>
      <c r="Y173" s="172"/>
    </row>
    <row r="174" spans="1:26" ht="15" customHeight="1" x14ac:dyDescent="0.25">
      <c r="A174" s="275"/>
      <c r="B174" s="294">
        <v>36</v>
      </c>
      <c r="C174" s="294">
        <v>0</v>
      </c>
      <c r="D174" s="126">
        <f>'Data Ocupacion'!AX36</f>
        <v>0</v>
      </c>
      <c r="E174" s="126">
        <f>'Data Ocupacion'!AY36</f>
        <v>0</v>
      </c>
      <c r="F174" s="219" t="s">
        <v>36</v>
      </c>
      <c r="G174" s="220">
        <f t="shared" si="140"/>
        <v>0</v>
      </c>
      <c r="H174" s="125">
        <f t="shared" si="141"/>
        <v>36</v>
      </c>
      <c r="I174" s="125">
        <f t="shared" si="142"/>
        <v>0</v>
      </c>
      <c r="J174" s="125">
        <f>G174*M$1</f>
        <v>0</v>
      </c>
      <c r="K174" s="153">
        <f>I174*M$1</f>
        <v>0</v>
      </c>
      <c r="L174" s="125">
        <f t="shared" si="143"/>
        <v>0</v>
      </c>
      <c r="M174" s="125">
        <f t="shared" si="144"/>
        <v>0</v>
      </c>
      <c r="N174" s="19"/>
      <c r="O174" s="19"/>
      <c r="P174" s="146"/>
      <c r="Q174" s="183"/>
      <c r="R174" s="190"/>
      <c r="S174" s="227"/>
      <c r="T174" s="186"/>
      <c r="U174" s="189"/>
      <c r="V174" s="189"/>
      <c r="W174" s="182">
        <f>J174-(Q174*($M$1-$K$1))</f>
        <v>0</v>
      </c>
      <c r="X174" s="182">
        <f>H174*$M$1</f>
        <v>1047.96</v>
      </c>
    </row>
    <row r="175" spans="1:26" ht="15" customHeight="1" x14ac:dyDescent="0.25">
      <c r="A175" s="275"/>
      <c r="B175" s="294">
        <v>32</v>
      </c>
      <c r="C175" s="294">
        <v>0</v>
      </c>
      <c r="D175" s="126">
        <f>'Data Ocupacion'!AX37</f>
        <v>0</v>
      </c>
      <c r="E175" s="126">
        <f>'Data Ocupacion'!AY37</f>
        <v>0</v>
      </c>
      <c r="F175" s="219" t="s">
        <v>53</v>
      </c>
      <c r="G175" s="220">
        <f t="shared" si="140"/>
        <v>0</v>
      </c>
      <c r="H175" s="125">
        <f t="shared" si="141"/>
        <v>32</v>
      </c>
      <c r="I175" s="125">
        <f t="shared" si="142"/>
        <v>0</v>
      </c>
      <c r="J175" s="125">
        <f>G175*M$1</f>
        <v>0</v>
      </c>
      <c r="K175" s="153">
        <f>I175*M$1</f>
        <v>0</v>
      </c>
      <c r="L175" s="125">
        <f t="shared" si="143"/>
        <v>0</v>
      </c>
      <c r="M175" s="125">
        <f t="shared" si="144"/>
        <v>0</v>
      </c>
      <c r="N175" s="19"/>
      <c r="O175" s="19"/>
      <c r="P175" s="146"/>
      <c r="Q175" s="189"/>
      <c r="R175" s="189"/>
      <c r="S175" s="189"/>
      <c r="T175" s="189"/>
      <c r="U175" s="189"/>
      <c r="V175" s="189"/>
      <c r="W175" s="182">
        <f>J175</f>
        <v>0</v>
      </c>
      <c r="X175" s="182">
        <f>H175*$M$1</f>
        <v>931.52</v>
      </c>
    </row>
    <row r="176" spans="1:26" ht="15" customHeight="1" x14ac:dyDescent="0.25">
      <c r="A176" s="275"/>
      <c r="B176" s="294">
        <v>0</v>
      </c>
      <c r="C176" s="294">
        <v>0</v>
      </c>
      <c r="D176" s="126">
        <f>'Data Ocupacion'!AX38</f>
        <v>0</v>
      </c>
      <c r="E176" s="126">
        <f>'Data Ocupacion'!AY38</f>
        <v>0</v>
      </c>
      <c r="F176" s="219" t="s">
        <v>122</v>
      </c>
      <c r="G176" s="220">
        <f t="shared" si="140"/>
        <v>0</v>
      </c>
      <c r="H176" s="125">
        <f t="shared" si="141"/>
        <v>0</v>
      </c>
      <c r="I176" s="125">
        <f t="shared" si="142"/>
        <v>0</v>
      </c>
      <c r="J176" s="222">
        <f>G176*K$1</f>
        <v>0</v>
      </c>
      <c r="K176" s="153">
        <f>I176*K$1</f>
        <v>0</v>
      </c>
      <c r="L176" s="125">
        <f t="shared" si="143"/>
        <v>0</v>
      </c>
      <c r="M176" s="125">
        <f t="shared" si="144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H176*$K$1</f>
        <v>0</v>
      </c>
    </row>
    <row r="177" spans="1:30" ht="15.75" thickBot="1" x14ac:dyDescent="0.3">
      <c r="A177" s="275"/>
      <c r="B177" s="294">
        <v>4</v>
      </c>
      <c r="C177" s="294">
        <v>0</v>
      </c>
      <c r="D177" s="253">
        <f>'Data Ocupacion'!AX39</f>
        <v>0</v>
      </c>
      <c r="E177" s="126">
        <f>'Data Ocupacion'!AY39</f>
        <v>0</v>
      </c>
      <c r="F177" s="219" t="s">
        <v>35</v>
      </c>
      <c r="G177" s="220">
        <f t="shared" si="140"/>
        <v>0</v>
      </c>
      <c r="H177" s="125">
        <f t="shared" si="141"/>
        <v>4</v>
      </c>
      <c r="I177" s="223">
        <f t="shared" si="142"/>
        <v>0</v>
      </c>
      <c r="J177" s="223">
        <f>G177*K$1</f>
        <v>0</v>
      </c>
      <c r="K177" s="153">
        <f>I177*K$1</f>
        <v>0</v>
      </c>
      <c r="L177" s="125">
        <f t="shared" si="143"/>
        <v>0</v>
      </c>
      <c r="M177" s="125">
        <f t="shared" si="144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101.6</v>
      </c>
    </row>
    <row r="178" spans="1:30" s="124" customFormat="1" ht="15.75" thickBot="1" x14ac:dyDescent="0.3">
      <c r="A178" s="20"/>
      <c r="B178" s="119">
        <f>SUM(B172:B177)</f>
        <v>168</v>
      </c>
      <c r="C178" s="119">
        <f>SUM(C172:C177)</f>
        <v>61</v>
      </c>
      <c r="D178" s="148">
        <f>SUM(D172:D177)</f>
        <v>0</v>
      </c>
      <c r="E178" s="148">
        <f>SUM(E172:E177)</f>
        <v>0</v>
      </c>
      <c r="F178" s="119"/>
      <c r="G178" s="119">
        <f t="shared" ref="G178:M178" si="145">SUM(G172:G177)</f>
        <v>0</v>
      </c>
      <c r="H178" s="119">
        <f t="shared" si="145"/>
        <v>290</v>
      </c>
      <c r="I178" s="119">
        <f t="shared" si="145"/>
        <v>0</v>
      </c>
      <c r="J178" s="120">
        <f t="shared" si="145"/>
        <v>0</v>
      </c>
      <c r="K178" s="119">
        <f t="shared" si="145"/>
        <v>0</v>
      </c>
      <c r="L178" s="119">
        <f t="shared" si="145"/>
        <v>0</v>
      </c>
      <c r="M178" s="119">
        <f t="shared" si="145"/>
        <v>0</v>
      </c>
      <c r="N178" s="123">
        <f>'Odometro-Kilometraje'!Y88</f>
        <v>-64167162</v>
      </c>
      <c r="O178" s="21">
        <f>(W178/N178)*100</f>
        <v>0</v>
      </c>
      <c r="P178" s="192"/>
      <c r="Q178" s="181"/>
      <c r="R178" s="181"/>
      <c r="S178" s="181"/>
      <c r="T178" s="181"/>
      <c r="U178" s="181"/>
      <c r="V178" s="181"/>
      <c r="W178" s="193">
        <f>SUM(W172:W177)</f>
        <v>0</v>
      </c>
      <c r="X178" s="193">
        <f>SUM(X172:X177)</f>
        <v>11483.42</v>
      </c>
    </row>
    <row r="179" spans="1:30" x14ac:dyDescent="0.25">
      <c r="A179" s="60">
        <f>A172+1</f>
        <v>46228</v>
      </c>
      <c r="B179" s="294">
        <v>49</v>
      </c>
      <c r="C179" s="294">
        <v>30</v>
      </c>
      <c r="D179" s="147">
        <f>'Data Ocupacion'!AZ34</f>
        <v>0</v>
      </c>
      <c r="E179" s="147">
        <f>'Data Ocupacion'!BA34</f>
        <v>0</v>
      </c>
      <c r="F179" s="219" t="s">
        <v>38</v>
      </c>
      <c r="G179" s="220">
        <f t="shared" ref="G179:G184" si="146">D179+E179*2</f>
        <v>0</v>
      </c>
      <c r="H179" s="125">
        <f t="shared" ref="H179:H184" si="147">B179+C179*2</f>
        <v>109</v>
      </c>
      <c r="I179" s="221">
        <f t="shared" ref="I179:I184" si="148">D179+E179</f>
        <v>0</v>
      </c>
      <c r="J179" s="221">
        <f>G179*M$2</f>
        <v>0</v>
      </c>
      <c r="K179" s="153">
        <f>I179*M$2</f>
        <v>0</v>
      </c>
      <c r="L179" s="125">
        <f t="shared" ref="L179:L184" si="149">J179*104</f>
        <v>0</v>
      </c>
      <c r="M179" s="125">
        <f t="shared" ref="M179:M184" si="150">I179*104</f>
        <v>0</v>
      </c>
      <c r="N179" s="19"/>
      <c r="O179" s="19"/>
      <c r="P179" s="146"/>
      <c r="Q179" s="183"/>
      <c r="R179" s="183"/>
      <c r="S179" s="205"/>
      <c r="T179" s="284"/>
      <c r="U179" s="191"/>
      <c r="V179" s="227"/>
      <c r="W179" s="182">
        <f>J179-(Q179*($M$2-$K$1))-(R179*($M$2-$M$1))- (S179*($M$2-$I$2))+ (T179*($G$2))</f>
        <v>0</v>
      </c>
      <c r="X179" s="182">
        <f>H179*$M$2</f>
        <v>4701.17</v>
      </c>
    </row>
    <row r="180" spans="1:30" ht="18" customHeight="1" x14ac:dyDescent="0.25">
      <c r="A180" s="275"/>
      <c r="B180" s="294">
        <v>47</v>
      </c>
      <c r="C180" s="294">
        <v>31</v>
      </c>
      <c r="D180" s="147">
        <f>'Data Ocupacion'!AZ35</f>
        <v>0</v>
      </c>
      <c r="E180" s="147">
        <f>'Data Ocupacion'!BA35</f>
        <v>0</v>
      </c>
      <c r="F180" s="219" t="s">
        <v>52</v>
      </c>
      <c r="G180" s="220">
        <f t="shared" si="146"/>
        <v>0</v>
      </c>
      <c r="H180" s="125">
        <f t="shared" si="147"/>
        <v>109</v>
      </c>
      <c r="I180" s="125">
        <f t="shared" si="148"/>
        <v>0</v>
      </c>
      <c r="J180" s="125">
        <f>G180*M$2</f>
        <v>0</v>
      </c>
      <c r="K180" s="153">
        <f>I180*M$2</f>
        <v>0</v>
      </c>
      <c r="L180" s="125">
        <f t="shared" si="149"/>
        <v>0</v>
      </c>
      <c r="M180" s="125">
        <f t="shared" si="150"/>
        <v>0</v>
      </c>
      <c r="N180" s="19"/>
      <c r="O180" s="19"/>
      <c r="P180" s="146"/>
      <c r="Q180" s="186"/>
      <c r="R180" s="186"/>
      <c r="S180" s="216"/>
      <c r="T180" s="183"/>
      <c r="U180" s="216"/>
      <c r="V180" s="228"/>
      <c r="W180" s="185">
        <f>J180-(T180*($M$2-$K$1)+(U180*($M$2-$M$1)))</f>
        <v>0</v>
      </c>
      <c r="X180" s="182">
        <f>H180*$M$2</f>
        <v>4701.17</v>
      </c>
      <c r="Y180" s="172"/>
    </row>
    <row r="181" spans="1:30" x14ac:dyDescent="0.25">
      <c r="A181" s="275"/>
      <c r="B181" s="294">
        <v>36</v>
      </c>
      <c r="C181" s="294">
        <v>0</v>
      </c>
      <c r="D181" s="126">
        <f>'Data Ocupacion'!AZ36</f>
        <v>0</v>
      </c>
      <c r="E181" s="126">
        <f>'Data Ocupacion'!BA36</f>
        <v>0</v>
      </c>
      <c r="F181" s="219" t="s">
        <v>36</v>
      </c>
      <c r="G181" s="220">
        <f t="shared" si="146"/>
        <v>0</v>
      </c>
      <c r="H181" s="125">
        <f t="shared" si="147"/>
        <v>36</v>
      </c>
      <c r="I181" s="125">
        <f t="shared" si="148"/>
        <v>0</v>
      </c>
      <c r="J181" s="125">
        <f>G181*M$1</f>
        <v>0</v>
      </c>
      <c r="K181" s="153">
        <f>I181*M$1</f>
        <v>0</v>
      </c>
      <c r="L181" s="125">
        <f t="shared" si="149"/>
        <v>0</v>
      </c>
      <c r="M181" s="125">
        <f t="shared" si="150"/>
        <v>0</v>
      </c>
      <c r="N181" s="19"/>
      <c r="O181" s="19"/>
      <c r="P181" s="146"/>
      <c r="Q181" s="243"/>
      <c r="R181" s="190"/>
      <c r="S181" s="227"/>
      <c r="T181" s="186"/>
      <c r="U181" s="189"/>
      <c r="V181" s="189"/>
      <c r="W181" s="182">
        <f>J181-(Q181*($M$1-$K$1))</f>
        <v>0</v>
      </c>
      <c r="X181" s="182">
        <f>H181*$M$1</f>
        <v>1047.96</v>
      </c>
    </row>
    <row r="182" spans="1:30" ht="15" customHeight="1" x14ac:dyDescent="0.25">
      <c r="A182" s="275"/>
      <c r="B182" s="294">
        <v>32</v>
      </c>
      <c r="C182" s="294">
        <v>0</v>
      </c>
      <c r="D182" s="126">
        <f>'Data Ocupacion'!AZ37</f>
        <v>0</v>
      </c>
      <c r="E182" s="126">
        <f>'Data Ocupacion'!BA37</f>
        <v>0</v>
      </c>
      <c r="F182" s="219" t="s">
        <v>53</v>
      </c>
      <c r="G182" s="220">
        <f t="shared" si="146"/>
        <v>0</v>
      </c>
      <c r="H182" s="125">
        <f t="shared" si="147"/>
        <v>32</v>
      </c>
      <c r="I182" s="125">
        <f t="shared" si="148"/>
        <v>0</v>
      </c>
      <c r="J182" s="125">
        <f>G182*M$1</f>
        <v>0</v>
      </c>
      <c r="K182" s="153">
        <f>I182*M$1</f>
        <v>0</v>
      </c>
      <c r="L182" s="125">
        <f t="shared" si="149"/>
        <v>0</v>
      </c>
      <c r="M182" s="125">
        <f t="shared" si="150"/>
        <v>0</v>
      </c>
      <c r="N182" s="19"/>
      <c r="O182" s="19"/>
      <c r="P182" s="146"/>
      <c r="Q182" s="189"/>
      <c r="R182" s="189"/>
      <c r="S182" s="189"/>
      <c r="T182" s="189"/>
      <c r="U182" s="189"/>
      <c r="V182" s="189"/>
      <c r="W182" s="182">
        <f>J182</f>
        <v>0</v>
      </c>
      <c r="X182" s="182">
        <f>H182*$M$1</f>
        <v>931.52</v>
      </c>
    </row>
    <row r="183" spans="1:30" ht="16.149999999999999" customHeight="1" x14ac:dyDescent="0.25">
      <c r="A183" s="275"/>
      <c r="B183" s="294">
        <v>0</v>
      </c>
      <c r="C183" s="294">
        <v>0</v>
      </c>
      <c r="D183" s="126">
        <f>'Data Ocupacion'!AZ38</f>
        <v>0</v>
      </c>
      <c r="E183" s="126">
        <f>'Data Ocupacion'!BA38</f>
        <v>0</v>
      </c>
      <c r="F183" s="219" t="s">
        <v>122</v>
      </c>
      <c r="G183" s="220">
        <f t="shared" si="146"/>
        <v>0</v>
      </c>
      <c r="H183" s="125">
        <f t="shared" si="147"/>
        <v>0</v>
      </c>
      <c r="I183" s="125">
        <f t="shared" si="148"/>
        <v>0</v>
      </c>
      <c r="J183" s="222">
        <f>G183*K$1</f>
        <v>0</v>
      </c>
      <c r="K183" s="153">
        <f>I183*K$1</f>
        <v>0</v>
      </c>
      <c r="L183" s="125">
        <f t="shared" si="149"/>
        <v>0</v>
      </c>
      <c r="M183" s="125">
        <f t="shared" si="150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H183*$K$1</f>
        <v>0</v>
      </c>
    </row>
    <row r="184" spans="1:30" ht="15.75" thickBot="1" x14ac:dyDescent="0.3">
      <c r="A184" s="275"/>
      <c r="B184" s="294">
        <v>4</v>
      </c>
      <c r="C184" s="294">
        <v>0</v>
      </c>
      <c r="D184" s="126">
        <f>'Data Ocupacion'!AZ39</f>
        <v>0</v>
      </c>
      <c r="E184" s="126">
        <f>'Data Ocupacion'!BA39</f>
        <v>0</v>
      </c>
      <c r="F184" s="219" t="s">
        <v>35</v>
      </c>
      <c r="G184" s="220">
        <f t="shared" si="146"/>
        <v>0</v>
      </c>
      <c r="H184" s="125">
        <f t="shared" si="147"/>
        <v>4</v>
      </c>
      <c r="I184" s="223">
        <f t="shared" si="148"/>
        <v>0</v>
      </c>
      <c r="J184" s="223">
        <f>G184*K$1</f>
        <v>0</v>
      </c>
      <c r="K184" s="153">
        <f>I184*K$1</f>
        <v>0</v>
      </c>
      <c r="L184" s="125">
        <f t="shared" si="149"/>
        <v>0</v>
      </c>
      <c r="M184" s="125">
        <f t="shared" si="150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101.6</v>
      </c>
    </row>
    <row r="185" spans="1:30" s="124" customFormat="1" ht="15.75" thickBot="1" x14ac:dyDescent="0.3">
      <c r="A185" s="200"/>
      <c r="B185" s="119">
        <f>SUM(B179:B184)</f>
        <v>168</v>
      </c>
      <c r="C185" s="119">
        <f>SUM(C179:C184)</f>
        <v>61</v>
      </c>
      <c r="D185" s="148">
        <f>SUM(D179:D184)</f>
        <v>0</v>
      </c>
      <c r="E185" s="148">
        <f>SUM(E179:E184)</f>
        <v>0</v>
      </c>
      <c r="F185" s="119"/>
      <c r="G185" s="119">
        <f t="shared" ref="G185:M185" si="151">SUM(G179:G184)</f>
        <v>0</v>
      </c>
      <c r="H185" s="119">
        <f t="shared" si="151"/>
        <v>290</v>
      </c>
      <c r="I185" s="119">
        <f t="shared" si="151"/>
        <v>0</v>
      </c>
      <c r="J185" s="120">
        <f t="shared" si="151"/>
        <v>0</v>
      </c>
      <c r="K185" s="119">
        <f t="shared" si="151"/>
        <v>0</v>
      </c>
      <c r="L185" s="119">
        <f t="shared" si="151"/>
        <v>0</v>
      </c>
      <c r="M185" s="119">
        <f t="shared" si="151"/>
        <v>0</v>
      </c>
      <c r="N185" s="123">
        <f>'Odometro-Kilometraje'!Z88</f>
        <v>0</v>
      </c>
      <c r="O185" s="21" t="e">
        <f>(W185/N185)*100</f>
        <v>#DIV/0!</v>
      </c>
      <c r="P185" s="192"/>
      <c r="Q185" s="181"/>
      <c r="R185" s="181"/>
      <c r="S185" s="181"/>
      <c r="T185" s="181"/>
      <c r="U185" s="181"/>
      <c r="V185" s="181"/>
      <c r="W185" s="193">
        <f>SUM(W179:W184)</f>
        <v>0</v>
      </c>
      <c r="X185" s="193">
        <f>SUM(X179:X184)</f>
        <v>11483.42</v>
      </c>
      <c r="AB185" s="172"/>
    </row>
    <row r="186" spans="1:30" x14ac:dyDescent="0.25">
      <c r="A186" s="60">
        <f>A179+1</f>
        <v>46229</v>
      </c>
      <c r="B186" s="294">
        <v>38</v>
      </c>
      <c r="C186" s="294">
        <v>41</v>
      </c>
      <c r="D186" s="126">
        <f>'Data Ocupacion'!BB34</f>
        <v>0</v>
      </c>
      <c r="E186" s="126">
        <f>'Data Ocupacion'!BC34</f>
        <v>0</v>
      </c>
      <c r="F186" s="125" t="s">
        <v>38</v>
      </c>
      <c r="G186" s="125">
        <f t="shared" ref="G186:G191" si="152">D186+E186*2</f>
        <v>0</v>
      </c>
      <c r="H186" s="125">
        <f t="shared" ref="H186:H191" si="153">B186+C186*2</f>
        <v>120</v>
      </c>
      <c r="I186" s="125">
        <f t="shared" ref="I186:I191" si="154">D186+E186</f>
        <v>0</v>
      </c>
      <c r="J186" s="125">
        <f>G186*M$2</f>
        <v>0</v>
      </c>
      <c r="K186" s="153">
        <f>I186*M$2</f>
        <v>0</v>
      </c>
      <c r="L186" s="125">
        <f t="shared" ref="L186:L191" si="155">J186*104</f>
        <v>0</v>
      </c>
      <c r="M186" s="125">
        <f t="shared" ref="M186:M191" si="156">I186*104</f>
        <v>0</v>
      </c>
      <c r="N186" s="19"/>
      <c r="O186" s="19"/>
      <c r="P186" s="146"/>
      <c r="Q186" s="183"/>
      <c r="R186" s="183"/>
      <c r="S186" s="205"/>
      <c r="T186" s="284"/>
      <c r="U186" s="191"/>
      <c r="V186" s="227"/>
      <c r="W186" s="182">
        <f>J186-(Q186*($M$2-$K$1))-(R186*($M$2-$M$1))- (S186*($M$2-$I$2))+ (T186*($G$2))</f>
        <v>0</v>
      </c>
      <c r="X186" s="182">
        <f>H186*$M$2</f>
        <v>5175.6000000000004</v>
      </c>
      <c r="Z186" s="124"/>
      <c r="AA186" s="124"/>
      <c r="AB186" s="124"/>
      <c r="AC186" s="124"/>
      <c r="AD186" s="124"/>
    </row>
    <row r="187" spans="1:30" ht="15" customHeight="1" x14ac:dyDescent="0.25">
      <c r="A187" s="275"/>
      <c r="B187" s="294">
        <v>36</v>
      </c>
      <c r="C187" s="294">
        <v>42</v>
      </c>
      <c r="D187" s="138">
        <f>'Data Ocupacion'!BB35</f>
        <v>0</v>
      </c>
      <c r="E187" s="138">
        <f>'Data Ocupacion'!BC35</f>
        <v>0</v>
      </c>
      <c r="F187" s="125" t="s">
        <v>52</v>
      </c>
      <c r="G187" s="125">
        <f t="shared" si="152"/>
        <v>0</v>
      </c>
      <c r="H187" s="125">
        <f t="shared" si="153"/>
        <v>120</v>
      </c>
      <c r="I187" s="125">
        <f t="shared" si="154"/>
        <v>0</v>
      </c>
      <c r="J187" s="125">
        <f>G187*M$2</f>
        <v>0</v>
      </c>
      <c r="K187" s="153">
        <f>I187*M$2</f>
        <v>0</v>
      </c>
      <c r="L187" s="125">
        <f t="shared" si="155"/>
        <v>0</v>
      </c>
      <c r="M187" s="125">
        <f t="shared" si="156"/>
        <v>0</v>
      </c>
      <c r="N187" s="19"/>
      <c r="O187" s="19"/>
      <c r="P187" s="146"/>
      <c r="Q187" s="186"/>
      <c r="R187" s="186"/>
      <c r="S187" s="216"/>
      <c r="T187" s="284"/>
      <c r="U187" s="216"/>
      <c r="V187" s="205"/>
      <c r="W187" s="182">
        <f>J187-(Q187*($K$1)+(T187*($M$2-$K$1))+(U187*($M$2-$M$1)))</f>
        <v>0</v>
      </c>
      <c r="X187" s="182">
        <f>H187*$M$2</f>
        <v>5175.6000000000004</v>
      </c>
      <c r="Z187" s="124"/>
      <c r="AA187" s="124"/>
      <c r="AB187" s="124"/>
      <c r="AC187" s="124"/>
      <c r="AD187" s="124"/>
    </row>
    <row r="188" spans="1:30" x14ac:dyDescent="0.25">
      <c r="A188" s="275"/>
      <c r="B188" s="294">
        <v>33</v>
      </c>
      <c r="C188" s="294">
        <v>3</v>
      </c>
      <c r="D188" s="126">
        <f>'Data Ocupacion'!BB36</f>
        <v>0</v>
      </c>
      <c r="E188" s="126">
        <f>'Data Ocupacion'!BC36</f>
        <v>0</v>
      </c>
      <c r="F188" s="125" t="s">
        <v>36</v>
      </c>
      <c r="G188" s="125">
        <f t="shared" si="152"/>
        <v>0</v>
      </c>
      <c r="H188" s="125">
        <f t="shared" si="153"/>
        <v>39</v>
      </c>
      <c r="I188" s="125">
        <f t="shared" si="154"/>
        <v>0</v>
      </c>
      <c r="J188" s="125">
        <f>G188*M$1</f>
        <v>0</v>
      </c>
      <c r="K188" s="153">
        <f>I188*M$1</f>
        <v>0</v>
      </c>
      <c r="L188" s="125">
        <f t="shared" si="155"/>
        <v>0</v>
      </c>
      <c r="M188" s="125">
        <f t="shared" si="156"/>
        <v>0</v>
      </c>
      <c r="N188" s="19"/>
      <c r="O188" s="19" t="s">
        <v>144</v>
      </c>
      <c r="P188" s="146"/>
      <c r="Q188" s="183"/>
      <c r="R188" s="190"/>
      <c r="S188" s="227"/>
      <c r="T188" s="186"/>
      <c r="U188" s="189"/>
      <c r="V188" s="189"/>
      <c r="W188" s="182">
        <f>J188-(Q188*($M$1-$K$1))</f>
        <v>0</v>
      </c>
      <c r="X188" s="182">
        <f>H188*$M$1</f>
        <v>1135.29</v>
      </c>
    </row>
    <row r="189" spans="1:30" ht="15" customHeight="1" x14ac:dyDescent="0.25">
      <c r="A189" s="275"/>
      <c r="B189" s="294">
        <v>29</v>
      </c>
      <c r="C189" s="294">
        <v>3</v>
      </c>
      <c r="D189" s="126">
        <f>'Data Ocupacion'!BB37</f>
        <v>0</v>
      </c>
      <c r="E189" s="126">
        <f>'Data Ocupacion'!BC37</f>
        <v>0</v>
      </c>
      <c r="F189" s="125" t="s">
        <v>53</v>
      </c>
      <c r="G189" s="125">
        <f t="shared" si="152"/>
        <v>0</v>
      </c>
      <c r="H189" s="125">
        <f t="shared" si="153"/>
        <v>35</v>
      </c>
      <c r="I189" s="125">
        <f t="shared" si="154"/>
        <v>0</v>
      </c>
      <c r="J189" s="125">
        <f>G189*M$1</f>
        <v>0</v>
      </c>
      <c r="K189" s="153">
        <f>I189*M$1</f>
        <v>0</v>
      </c>
      <c r="L189" s="125">
        <f t="shared" si="155"/>
        <v>0</v>
      </c>
      <c r="M189" s="125">
        <f t="shared" si="156"/>
        <v>0</v>
      </c>
      <c r="N189" s="19"/>
      <c r="O189" s="19"/>
      <c r="P189" s="146"/>
      <c r="Q189" s="189"/>
      <c r="R189" s="189"/>
      <c r="S189" s="189"/>
      <c r="T189" s="189"/>
      <c r="U189" s="189"/>
      <c r="V189" s="189"/>
      <c r="W189" s="182">
        <f>J189</f>
        <v>0</v>
      </c>
      <c r="X189" s="182">
        <f>H189*$M$1</f>
        <v>1018.85</v>
      </c>
    </row>
    <row r="190" spans="1:30" ht="15" customHeight="1" x14ac:dyDescent="0.25">
      <c r="A190" s="275"/>
      <c r="B190" s="294">
        <v>0</v>
      </c>
      <c r="C190" s="294">
        <v>0</v>
      </c>
      <c r="D190" s="126">
        <f>'Data Ocupacion'!BB38</f>
        <v>0</v>
      </c>
      <c r="E190" s="126">
        <f>'Data Ocupacion'!BC38</f>
        <v>0</v>
      </c>
      <c r="F190" s="125" t="s">
        <v>122</v>
      </c>
      <c r="G190" s="125">
        <f t="shared" si="152"/>
        <v>0</v>
      </c>
      <c r="H190" s="125">
        <f t="shared" si="153"/>
        <v>0</v>
      </c>
      <c r="I190" s="125">
        <f t="shared" si="154"/>
        <v>0</v>
      </c>
      <c r="J190" s="125">
        <f>G190*K$1</f>
        <v>0</v>
      </c>
      <c r="K190" s="153">
        <f>I190*K$1</f>
        <v>0</v>
      </c>
      <c r="L190" s="125">
        <f t="shared" si="155"/>
        <v>0</v>
      </c>
      <c r="M190" s="125">
        <f t="shared" si="156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H190*$K$1</f>
        <v>0</v>
      </c>
    </row>
    <row r="191" spans="1:30" ht="15" customHeight="1" thickBot="1" x14ac:dyDescent="0.3">
      <c r="A191" s="275"/>
      <c r="B191" s="294">
        <v>4</v>
      </c>
      <c r="C191" s="294">
        <v>0</v>
      </c>
      <c r="D191" s="126">
        <f>'Data Ocupacion'!BB39</f>
        <v>0</v>
      </c>
      <c r="E191" s="126">
        <f>'Data Ocupacion'!BC39</f>
        <v>0</v>
      </c>
      <c r="F191" s="125" t="s">
        <v>35</v>
      </c>
      <c r="G191" s="125">
        <f t="shared" si="152"/>
        <v>0</v>
      </c>
      <c r="H191" s="125">
        <f t="shared" si="153"/>
        <v>4</v>
      </c>
      <c r="I191" s="125">
        <f t="shared" si="154"/>
        <v>0</v>
      </c>
      <c r="J191" s="125">
        <f>G191*K$1</f>
        <v>0</v>
      </c>
      <c r="K191" s="153">
        <f>I191*K$1</f>
        <v>0</v>
      </c>
      <c r="L191" s="125">
        <f t="shared" si="155"/>
        <v>0</v>
      </c>
      <c r="M191" s="125">
        <f t="shared" si="156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101.6</v>
      </c>
    </row>
    <row r="192" spans="1:30" s="124" customFormat="1" ht="15.75" thickBot="1" x14ac:dyDescent="0.3">
      <c r="A192" s="20"/>
      <c r="B192" s="119">
        <f>SUM(B186:B191)</f>
        <v>140</v>
      </c>
      <c r="C192" s="119">
        <f>SUM(C186:C191)</f>
        <v>89</v>
      </c>
      <c r="D192" s="152">
        <f>SUM(D186:D191)</f>
        <v>0</v>
      </c>
      <c r="E192" s="152">
        <f>SUM(E186:E191)</f>
        <v>0</v>
      </c>
      <c r="F192" s="119"/>
      <c r="G192" s="119">
        <f t="shared" ref="G192:M192" si="157">SUM(G186:G191)</f>
        <v>0</v>
      </c>
      <c r="H192" s="119">
        <f t="shared" si="157"/>
        <v>318</v>
      </c>
      <c r="I192" s="119">
        <f t="shared" si="157"/>
        <v>0</v>
      </c>
      <c r="J192" s="120">
        <f t="shared" si="157"/>
        <v>0</v>
      </c>
      <c r="K192" s="119">
        <f t="shared" si="157"/>
        <v>0</v>
      </c>
      <c r="L192" s="118">
        <f t="shared" si="157"/>
        <v>0</v>
      </c>
      <c r="M192" s="151">
        <f t="shared" si="157"/>
        <v>0</v>
      </c>
      <c r="N192" s="123">
        <f>'Odometro-Kilometraje'!AA88</f>
        <v>0</v>
      </c>
      <c r="O192" s="21" t="e">
        <f>(W192/N192)*100</f>
        <v>#DIV/0!</v>
      </c>
      <c r="P192" s="192"/>
      <c r="Q192" s="181"/>
      <c r="R192" s="181"/>
      <c r="S192" s="181"/>
      <c r="T192" s="181"/>
      <c r="U192" s="181"/>
      <c r="V192" s="181"/>
      <c r="W192" s="193">
        <f>SUM(W186:W191)</f>
        <v>0</v>
      </c>
      <c r="X192" s="193">
        <f>SUM(X186:X191)</f>
        <v>12606.940000000002</v>
      </c>
    </row>
    <row r="193" spans="1:24" x14ac:dyDescent="0.25">
      <c r="A193" s="60">
        <f>A186+1</f>
        <v>46230</v>
      </c>
      <c r="B193" s="116">
        <v>69</v>
      </c>
      <c r="C193" s="116">
        <v>3</v>
      </c>
      <c r="D193" s="147">
        <f>'Data Ocupacion'!BD34</f>
        <v>0</v>
      </c>
      <c r="E193" s="147">
        <f>'Data Ocupacion'!BE34</f>
        <v>0</v>
      </c>
      <c r="F193" s="317" t="s">
        <v>38</v>
      </c>
      <c r="G193" s="318">
        <f t="shared" ref="G193:G198" si="158">D193+E193*2</f>
        <v>0</v>
      </c>
      <c r="H193" s="116">
        <f t="shared" ref="H193:H198" si="159">B193+C193*2</f>
        <v>75</v>
      </c>
      <c r="I193" s="319">
        <f t="shared" ref="I193:I198" si="160">D193+E193</f>
        <v>0</v>
      </c>
      <c r="J193" s="319">
        <f>G193*M$2</f>
        <v>0</v>
      </c>
      <c r="K193" s="153">
        <f>I193*M$2</f>
        <v>0</v>
      </c>
      <c r="L193" s="116">
        <f t="shared" ref="L193:L198" si="161">J193*104</f>
        <v>0</v>
      </c>
      <c r="M193" s="116">
        <f t="shared" ref="M193:M198" si="162">I193*104</f>
        <v>0</v>
      </c>
      <c r="N193" s="19"/>
      <c r="O193" s="19"/>
      <c r="P193" s="146"/>
      <c r="Q193" s="183"/>
      <c r="R193" s="183"/>
      <c r="S193" s="205"/>
      <c r="T193" s="284"/>
      <c r="U193" s="191"/>
      <c r="V193" s="227"/>
      <c r="W193" s="182">
        <f>J193-(Q193*($M$2-$K$1))-(R193*($M$2-$M$1))- (S193*($M$2-$I$2))+ (T193*($G$2))</f>
        <v>0</v>
      </c>
      <c r="X193" s="182">
        <f>H193*$M$2</f>
        <v>3234.75</v>
      </c>
    </row>
    <row r="194" spans="1:24" ht="18" customHeight="1" x14ac:dyDescent="0.25">
      <c r="A194" s="275"/>
      <c r="B194" s="116">
        <v>75</v>
      </c>
      <c r="C194" s="116">
        <v>0</v>
      </c>
      <c r="D194" s="147">
        <f>'Data Ocupacion'!BD35</f>
        <v>0</v>
      </c>
      <c r="E194" s="147">
        <f>'Data Ocupacion'!BE35</f>
        <v>0</v>
      </c>
      <c r="F194" s="317" t="s">
        <v>52</v>
      </c>
      <c r="G194" s="318">
        <f t="shared" si="158"/>
        <v>0</v>
      </c>
      <c r="H194" s="116">
        <f t="shared" si="159"/>
        <v>75</v>
      </c>
      <c r="I194" s="116">
        <f t="shared" si="160"/>
        <v>0</v>
      </c>
      <c r="J194" s="116">
        <f>G194*M$2</f>
        <v>0</v>
      </c>
      <c r="K194" s="153">
        <f>I194*M$2</f>
        <v>0</v>
      </c>
      <c r="L194" s="116">
        <f t="shared" si="161"/>
        <v>0</v>
      </c>
      <c r="M194" s="116">
        <f t="shared" si="162"/>
        <v>0</v>
      </c>
      <c r="N194" s="19"/>
      <c r="O194" s="19"/>
      <c r="P194" s="146"/>
      <c r="Q194" s="186"/>
      <c r="R194" s="186"/>
      <c r="S194" s="216"/>
      <c r="T194" s="183"/>
      <c r="U194" s="216"/>
      <c r="V194" s="228"/>
      <c r="W194" s="185">
        <f>J194-(T194*($M$2-$K$1)+(U194*($M$2-$M$1)))</f>
        <v>0</v>
      </c>
      <c r="X194" s="182">
        <f>H194*$M$2</f>
        <v>3234.75</v>
      </c>
    </row>
    <row r="195" spans="1:24" ht="15" customHeight="1" x14ac:dyDescent="0.25">
      <c r="A195" s="275"/>
      <c r="B195" s="116">
        <v>0</v>
      </c>
      <c r="C195" s="116">
        <v>0</v>
      </c>
      <c r="D195" s="147">
        <f>'Data Ocupacion'!BD36</f>
        <v>0</v>
      </c>
      <c r="E195" s="147">
        <f>'Data Ocupacion'!BE36</f>
        <v>0</v>
      </c>
      <c r="F195" s="317" t="s">
        <v>36</v>
      </c>
      <c r="G195" s="318">
        <f t="shared" si="158"/>
        <v>0</v>
      </c>
      <c r="H195" s="116">
        <f t="shared" si="159"/>
        <v>0</v>
      </c>
      <c r="I195" s="116">
        <f t="shared" si="160"/>
        <v>0</v>
      </c>
      <c r="J195" s="116">
        <f>G195*M$1</f>
        <v>0</v>
      </c>
      <c r="K195" s="153">
        <f>I195*M$1</f>
        <v>0</v>
      </c>
      <c r="L195" s="116">
        <f t="shared" si="161"/>
        <v>0</v>
      </c>
      <c r="M195" s="116">
        <f t="shared" si="162"/>
        <v>0</v>
      </c>
      <c r="N195" s="19"/>
      <c r="O195" s="19"/>
      <c r="P195" s="146"/>
      <c r="Q195" s="243"/>
      <c r="R195" s="190"/>
      <c r="S195" s="227"/>
      <c r="T195" s="186"/>
      <c r="U195" s="189"/>
      <c r="V195" s="189"/>
      <c r="W195" s="182">
        <f>J195-(Q195*($M$1-$K$1))</f>
        <v>0</v>
      </c>
      <c r="X195" s="182">
        <f>H195*$M$1</f>
        <v>0</v>
      </c>
    </row>
    <row r="196" spans="1:24" ht="15" customHeight="1" x14ac:dyDescent="0.25">
      <c r="A196" s="275"/>
      <c r="B196" s="116">
        <v>0</v>
      </c>
      <c r="C196" s="116">
        <v>0</v>
      </c>
      <c r="D196" s="147">
        <f>'Data Ocupacion'!BD37</f>
        <v>0</v>
      </c>
      <c r="E196" s="147">
        <f>'Data Ocupacion'!BE37</f>
        <v>0</v>
      </c>
      <c r="F196" s="317" t="s">
        <v>53</v>
      </c>
      <c r="G196" s="318">
        <f t="shared" si="158"/>
        <v>0</v>
      </c>
      <c r="H196" s="116">
        <f t="shared" si="159"/>
        <v>0</v>
      </c>
      <c r="I196" s="116">
        <f t="shared" si="160"/>
        <v>0</v>
      </c>
      <c r="J196" s="116">
        <f>G196*M$1</f>
        <v>0</v>
      </c>
      <c r="K196" s="153">
        <f>I196*M$1</f>
        <v>0</v>
      </c>
      <c r="L196" s="116">
        <f t="shared" si="161"/>
        <v>0</v>
      </c>
      <c r="M196" s="116">
        <f t="shared" si="162"/>
        <v>0</v>
      </c>
      <c r="N196" s="19"/>
      <c r="O196" s="19"/>
      <c r="P196" s="146"/>
      <c r="Q196" s="189"/>
      <c r="R196" s="189"/>
      <c r="S196" s="189"/>
      <c r="T196" s="189"/>
      <c r="U196" s="189"/>
      <c r="V196" s="189"/>
      <c r="W196" s="182">
        <f>J196</f>
        <v>0</v>
      </c>
      <c r="X196" s="182">
        <f>H196*$M$1</f>
        <v>0</v>
      </c>
    </row>
    <row r="197" spans="1:24" ht="15" customHeight="1" x14ac:dyDescent="0.25">
      <c r="A197" s="275"/>
      <c r="B197" s="116">
        <v>0</v>
      </c>
      <c r="C197" s="116">
        <v>0</v>
      </c>
      <c r="D197" s="147">
        <f>'Data Ocupacion'!BD38</f>
        <v>0</v>
      </c>
      <c r="E197" s="147">
        <f>'Data Ocupacion'!BE38</f>
        <v>0</v>
      </c>
      <c r="F197" s="317" t="s">
        <v>122</v>
      </c>
      <c r="G197" s="318">
        <f t="shared" si="158"/>
        <v>0</v>
      </c>
      <c r="H197" s="116">
        <f t="shared" si="159"/>
        <v>0</v>
      </c>
      <c r="I197" s="116">
        <f t="shared" si="160"/>
        <v>0</v>
      </c>
      <c r="J197" s="320">
        <f>G197*K$1</f>
        <v>0</v>
      </c>
      <c r="K197" s="153">
        <f>I197*K$1</f>
        <v>0</v>
      </c>
      <c r="L197" s="116">
        <f t="shared" si="161"/>
        <v>0</v>
      </c>
      <c r="M197" s="116">
        <f t="shared" si="162"/>
        <v>0</v>
      </c>
      <c r="N197" s="19"/>
      <c r="O197" s="19"/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H197*$K$1</f>
        <v>0</v>
      </c>
    </row>
    <row r="198" spans="1:24" ht="16.149999999999999" customHeight="1" thickBot="1" x14ac:dyDescent="0.3">
      <c r="A198" s="275"/>
      <c r="B198" s="116">
        <v>0</v>
      </c>
      <c r="C198" s="116">
        <v>0</v>
      </c>
      <c r="D198" s="147">
        <f>'Data Ocupacion'!BD39</f>
        <v>0</v>
      </c>
      <c r="E198" s="147">
        <f>'Data Ocupacion'!BE39</f>
        <v>0</v>
      </c>
      <c r="F198" s="317" t="s">
        <v>35</v>
      </c>
      <c r="G198" s="318">
        <f t="shared" si="158"/>
        <v>0</v>
      </c>
      <c r="H198" s="116">
        <f t="shared" si="159"/>
        <v>0</v>
      </c>
      <c r="I198" s="321">
        <f t="shared" si="160"/>
        <v>0</v>
      </c>
      <c r="J198" s="321">
        <f>G198*K$1</f>
        <v>0</v>
      </c>
      <c r="K198" s="153">
        <f>I198*K$1</f>
        <v>0</v>
      </c>
      <c r="L198" s="116">
        <f t="shared" si="161"/>
        <v>0</v>
      </c>
      <c r="M198" s="116">
        <f t="shared" si="162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4" s="124" customFormat="1" ht="15.75" thickBot="1" x14ac:dyDescent="0.3">
      <c r="A199" s="20"/>
      <c r="B199" s="119">
        <f>SUM(B193:B198)</f>
        <v>144</v>
      </c>
      <c r="C199" s="119">
        <f>SUM(C193:C198)</f>
        <v>3</v>
      </c>
      <c r="D199" s="148">
        <f>SUM(D193:D198)</f>
        <v>0</v>
      </c>
      <c r="E199" s="148">
        <f>SUM(E193:E198)</f>
        <v>0</v>
      </c>
      <c r="F199" s="119"/>
      <c r="G199" s="119">
        <f t="shared" ref="G199:M199" si="163">SUM(G193:G198)</f>
        <v>0</v>
      </c>
      <c r="H199" s="119">
        <f t="shared" si="163"/>
        <v>150</v>
      </c>
      <c r="I199" s="119">
        <f t="shared" si="163"/>
        <v>0</v>
      </c>
      <c r="J199" s="119">
        <f t="shared" si="163"/>
        <v>0</v>
      </c>
      <c r="K199" s="119">
        <f t="shared" si="163"/>
        <v>0</v>
      </c>
      <c r="L199" s="119">
        <f t="shared" si="163"/>
        <v>0</v>
      </c>
      <c r="M199" s="119">
        <f t="shared" si="163"/>
        <v>0</v>
      </c>
      <c r="N199" s="123">
        <f>'Odometro-Kilometraje'!AB88</f>
        <v>0</v>
      </c>
      <c r="O199" s="21" t="e">
        <f>(W199/N199)*100</f>
        <v>#DIV/0!</v>
      </c>
      <c r="P199" s="192"/>
      <c r="Q199" s="181"/>
      <c r="R199" s="181"/>
      <c r="S199" s="181"/>
      <c r="T199" s="181"/>
      <c r="U199" s="181"/>
      <c r="V199" s="181"/>
      <c r="W199" s="193">
        <f>SUM(W193:W198)</f>
        <v>0</v>
      </c>
      <c r="X199" s="193">
        <f>SUM(X193:X198)</f>
        <v>6469.5</v>
      </c>
    </row>
    <row r="200" spans="1:24" x14ac:dyDescent="0.25">
      <c r="A200" s="60">
        <f>A193+1</f>
        <v>46231</v>
      </c>
      <c r="B200" s="217">
        <v>51</v>
      </c>
      <c r="C200" s="217">
        <v>3</v>
      </c>
      <c r="D200" s="138">
        <f>'Data Ocupacion'!BF34</f>
        <v>0</v>
      </c>
      <c r="E200" s="138">
        <f>'Data Ocupacion'!BG34</f>
        <v>0</v>
      </c>
      <c r="F200" s="327" t="s">
        <v>38</v>
      </c>
      <c r="G200" s="328">
        <f t="shared" ref="G200:G205" si="164">D200+E200*2</f>
        <v>0</v>
      </c>
      <c r="H200" s="217">
        <f t="shared" ref="H200:H205" si="165">B200+C200*2</f>
        <v>57</v>
      </c>
      <c r="I200" s="329">
        <f t="shared" ref="I200:I205" si="166">D200+E200</f>
        <v>0</v>
      </c>
      <c r="J200" s="329">
        <f>G200*M$2</f>
        <v>0</v>
      </c>
      <c r="K200" s="153">
        <f>I200*M$2</f>
        <v>0</v>
      </c>
      <c r="L200" s="217">
        <f t="shared" ref="L200:L205" si="167">J200*104</f>
        <v>0</v>
      </c>
      <c r="M200" s="217">
        <f t="shared" ref="M200:M205" si="168">I200*104</f>
        <v>0</v>
      </c>
      <c r="N200" s="19"/>
      <c r="O200" s="19"/>
      <c r="P200" s="146"/>
      <c r="Q200" s="183"/>
      <c r="R200" s="183"/>
      <c r="S200" s="205"/>
      <c r="T200" s="284"/>
      <c r="U200" s="191"/>
      <c r="V200" s="227"/>
      <c r="W200" s="182">
        <f>J200-(Q200*($M$2-$K$1))-(R200*($M$2-$M$1))- (S200*($M$2-$I$2))+ (T200*($G$2))</f>
        <v>0</v>
      </c>
      <c r="X200" s="182">
        <f>H200*$M$2</f>
        <v>2458.4100000000003</v>
      </c>
    </row>
    <row r="201" spans="1:24" ht="15" customHeight="1" x14ac:dyDescent="0.25">
      <c r="A201" s="201"/>
      <c r="B201" s="217">
        <v>57</v>
      </c>
      <c r="C201" s="217">
        <v>0</v>
      </c>
      <c r="D201" s="138">
        <f>'Data Ocupacion'!BF35</f>
        <v>0</v>
      </c>
      <c r="E201" s="138">
        <f>'Data Ocupacion'!BG35</f>
        <v>0</v>
      </c>
      <c r="F201" s="327" t="s">
        <v>52</v>
      </c>
      <c r="G201" s="328">
        <f t="shared" si="164"/>
        <v>0</v>
      </c>
      <c r="H201" s="217">
        <f t="shared" si="165"/>
        <v>57</v>
      </c>
      <c r="I201" s="217">
        <f t="shared" si="166"/>
        <v>0</v>
      </c>
      <c r="J201" s="217">
        <f>G201*M$2</f>
        <v>0</v>
      </c>
      <c r="K201" s="153">
        <f>I201*M$2</f>
        <v>0</v>
      </c>
      <c r="L201" s="217">
        <f t="shared" si="167"/>
        <v>0</v>
      </c>
      <c r="M201" s="217">
        <f t="shared" si="168"/>
        <v>0</v>
      </c>
      <c r="N201" s="19"/>
      <c r="O201" s="19"/>
      <c r="P201" s="146"/>
      <c r="Q201" s="186"/>
      <c r="R201" s="186"/>
      <c r="S201" s="216"/>
      <c r="T201" s="183"/>
      <c r="U201" s="216"/>
      <c r="V201" s="228"/>
      <c r="W201" s="185">
        <f>J201-(T201*($M$2-$K$1)+(U201*($M$2-$M$1)))</f>
        <v>0</v>
      </c>
      <c r="X201" s="182">
        <f>H201*$M$2</f>
        <v>2458.4100000000003</v>
      </c>
    </row>
    <row r="202" spans="1:24" ht="15" customHeight="1" x14ac:dyDescent="0.25">
      <c r="A202" s="201"/>
      <c r="B202" s="217">
        <v>0</v>
      </c>
      <c r="C202" s="217">
        <v>0</v>
      </c>
      <c r="D202" s="138">
        <f>'Data Ocupacion'!BF36</f>
        <v>0</v>
      </c>
      <c r="E202" s="138">
        <f>'Data Ocupacion'!BG36</f>
        <v>0</v>
      </c>
      <c r="F202" s="327" t="s">
        <v>36</v>
      </c>
      <c r="G202" s="328">
        <f t="shared" si="164"/>
        <v>0</v>
      </c>
      <c r="H202" s="217">
        <f t="shared" si="165"/>
        <v>0</v>
      </c>
      <c r="I202" s="217">
        <f t="shared" si="166"/>
        <v>0</v>
      </c>
      <c r="J202" s="217">
        <f>G202*M$1</f>
        <v>0</v>
      </c>
      <c r="K202" s="153">
        <f>I202*M$1</f>
        <v>0</v>
      </c>
      <c r="L202" s="217">
        <f t="shared" si="167"/>
        <v>0</v>
      </c>
      <c r="M202" s="217">
        <f t="shared" si="168"/>
        <v>0</v>
      </c>
      <c r="N202" s="19"/>
      <c r="O202" s="19" t="s">
        <v>144</v>
      </c>
      <c r="P202" s="146"/>
      <c r="Q202" s="243"/>
      <c r="R202" s="190"/>
      <c r="S202" s="227"/>
      <c r="T202" s="186"/>
      <c r="U202" s="189"/>
      <c r="V202" s="189"/>
      <c r="W202" s="182">
        <f>J202-(Q202*($M$1-$K$1))</f>
        <v>0</v>
      </c>
      <c r="X202" s="182">
        <f>H202*$M$1</f>
        <v>0</v>
      </c>
    </row>
    <row r="203" spans="1:24" ht="15" customHeight="1" x14ac:dyDescent="0.25">
      <c r="A203" s="201"/>
      <c r="B203" s="217">
        <v>0</v>
      </c>
      <c r="C203" s="217">
        <v>0</v>
      </c>
      <c r="D203" s="138">
        <f>'Data Ocupacion'!BF37</f>
        <v>0</v>
      </c>
      <c r="E203" s="138">
        <f>'Data Ocupacion'!BG37</f>
        <v>0</v>
      </c>
      <c r="F203" s="327" t="s">
        <v>53</v>
      </c>
      <c r="G203" s="328">
        <f t="shared" si="164"/>
        <v>0</v>
      </c>
      <c r="H203" s="217">
        <f t="shared" si="165"/>
        <v>0</v>
      </c>
      <c r="I203" s="217">
        <f t="shared" si="166"/>
        <v>0</v>
      </c>
      <c r="J203" s="217">
        <f>G203*M$1</f>
        <v>0</v>
      </c>
      <c r="K203" s="153">
        <f>I203*M$1</f>
        <v>0</v>
      </c>
      <c r="L203" s="217">
        <f t="shared" si="167"/>
        <v>0</v>
      </c>
      <c r="M203" s="217">
        <f t="shared" si="168"/>
        <v>0</v>
      </c>
      <c r="N203" s="19"/>
      <c r="O203" s="19" t="s">
        <v>144</v>
      </c>
      <c r="P203" s="146"/>
      <c r="Q203" s="189"/>
      <c r="R203" s="189"/>
      <c r="S203" s="189"/>
      <c r="T203" s="189"/>
      <c r="U203" s="189"/>
      <c r="V203" s="189"/>
      <c r="W203" s="182">
        <f>J203</f>
        <v>0</v>
      </c>
      <c r="X203" s="182">
        <f>H203*$M$1</f>
        <v>0</v>
      </c>
    </row>
    <row r="204" spans="1:24" ht="15" customHeight="1" x14ac:dyDescent="0.25">
      <c r="A204" s="201"/>
      <c r="B204" s="217">
        <v>0</v>
      </c>
      <c r="C204" s="217">
        <v>0</v>
      </c>
      <c r="D204" s="138">
        <f>'Data Ocupacion'!BF38</f>
        <v>0</v>
      </c>
      <c r="E204" s="138">
        <f>'Data Ocupacion'!BG38</f>
        <v>0</v>
      </c>
      <c r="F204" s="327" t="s">
        <v>122</v>
      </c>
      <c r="G204" s="328">
        <f t="shared" si="164"/>
        <v>0</v>
      </c>
      <c r="H204" s="217">
        <f t="shared" si="165"/>
        <v>0</v>
      </c>
      <c r="I204" s="217">
        <f t="shared" si="166"/>
        <v>0</v>
      </c>
      <c r="J204" s="330">
        <f>G204*K$1</f>
        <v>0</v>
      </c>
      <c r="K204" s="153">
        <f>I204*K$1</f>
        <v>0</v>
      </c>
      <c r="L204" s="217">
        <f t="shared" si="167"/>
        <v>0</v>
      </c>
      <c r="M204" s="217">
        <f t="shared" si="168"/>
        <v>0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H204*$K$1</f>
        <v>0</v>
      </c>
    </row>
    <row r="205" spans="1:24" ht="16.149999999999999" customHeight="1" thickBot="1" x14ac:dyDescent="0.3">
      <c r="A205" s="201"/>
      <c r="B205" s="217">
        <v>0</v>
      </c>
      <c r="C205" s="217">
        <v>0</v>
      </c>
      <c r="D205" s="138">
        <f>'Data Ocupacion'!BF39</f>
        <v>0</v>
      </c>
      <c r="E205" s="138">
        <f>'Data Ocupacion'!BG39</f>
        <v>0</v>
      </c>
      <c r="F205" s="327" t="s">
        <v>35</v>
      </c>
      <c r="G205" s="328">
        <f t="shared" si="164"/>
        <v>0</v>
      </c>
      <c r="H205" s="217">
        <f t="shared" si="165"/>
        <v>0</v>
      </c>
      <c r="I205" s="331">
        <f t="shared" si="166"/>
        <v>0</v>
      </c>
      <c r="J205" s="331">
        <f>G205*K$1</f>
        <v>0</v>
      </c>
      <c r="K205" s="153">
        <f>I205*K$1</f>
        <v>0</v>
      </c>
      <c r="L205" s="217">
        <f t="shared" si="167"/>
        <v>0</v>
      </c>
      <c r="M205" s="217">
        <f t="shared" si="168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4" s="124" customFormat="1" ht="12.75" customHeight="1" thickBot="1" x14ac:dyDescent="0.3">
      <c r="A206" s="20"/>
      <c r="B206" s="119">
        <f>SUM(B200:B205)</f>
        <v>108</v>
      </c>
      <c r="C206" s="119">
        <f>SUM(C200:C205)</f>
        <v>3</v>
      </c>
      <c r="D206" s="148">
        <f>SUM(D200:D205)</f>
        <v>0</v>
      </c>
      <c r="E206" s="148">
        <f>SUM(E200:E205)</f>
        <v>0</v>
      </c>
      <c r="F206" s="119"/>
      <c r="G206" s="119">
        <f t="shared" ref="G206:M206" si="169">SUM(G200:G205)</f>
        <v>0</v>
      </c>
      <c r="H206" s="119">
        <f t="shared" si="169"/>
        <v>114</v>
      </c>
      <c r="I206" s="119">
        <f t="shared" si="169"/>
        <v>0</v>
      </c>
      <c r="J206" s="119">
        <f t="shared" si="169"/>
        <v>0</v>
      </c>
      <c r="K206" s="119">
        <f t="shared" si="169"/>
        <v>0</v>
      </c>
      <c r="L206" s="119">
        <f t="shared" si="169"/>
        <v>0</v>
      </c>
      <c r="M206" s="119">
        <f t="shared" si="169"/>
        <v>0</v>
      </c>
      <c r="N206" s="123">
        <f>'Odometro-Kilometraje'!AC88</f>
        <v>0</v>
      </c>
      <c r="O206" s="21" t="e">
        <f>(W206/N206)*100</f>
        <v>#DIV/0!</v>
      </c>
      <c r="P206" s="192"/>
      <c r="Q206" s="181"/>
      <c r="R206" s="181"/>
      <c r="S206" s="181"/>
      <c r="T206" s="181"/>
      <c r="U206" s="181"/>
      <c r="V206" s="181"/>
      <c r="W206" s="193">
        <f>SUM(W200:W205)</f>
        <v>0</v>
      </c>
      <c r="X206" s="193">
        <f>SUM(X200:X205)</f>
        <v>4916.8200000000006</v>
      </c>
    </row>
    <row r="207" spans="1:24" x14ac:dyDescent="0.25">
      <c r="A207" s="60">
        <f>A200+1</f>
        <v>46232</v>
      </c>
      <c r="B207" s="217">
        <v>51</v>
      </c>
      <c r="C207" s="217">
        <v>3</v>
      </c>
      <c r="D207" s="138">
        <f>'Data Ocupacion'!BH34</f>
        <v>0</v>
      </c>
      <c r="E207" s="138">
        <f>'Data Ocupacion'!BI34</f>
        <v>0</v>
      </c>
      <c r="F207" s="217" t="s">
        <v>38</v>
      </c>
      <c r="G207" s="217">
        <f t="shared" ref="G207:G212" si="170">D207+E207*2</f>
        <v>0</v>
      </c>
      <c r="H207" s="217">
        <f t="shared" ref="H207:H212" si="171">B207+C207*2</f>
        <v>57</v>
      </c>
      <c r="I207" s="217">
        <f t="shared" ref="I207:I212" si="172">D207+E207</f>
        <v>0</v>
      </c>
      <c r="J207" s="217">
        <f>G207*M$2</f>
        <v>0</v>
      </c>
      <c r="K207" s="153">
        <f>I207*M$2</f>
        <v>0</v>
      </c>
      <c r="L207" s="217">
        <f t="shared" ref="L207:L212" si="173">J207*104</f>
        <v>0</v>
      </c>
      <c r="M207" s="217">
        <f t="shared" ref="M207:M212" si="174">I207*104</f>
        <v>0</v>
      </c>
      <c r="N207" s="19"/>
      <c r="O207" s="19"/>
      <c r="P207" s="146"/>
      <c r="Q207" s="183"/>
      <c r="R207" s="183"/>
      <c r="S207" s="205"/>
      <c r="T207" s="243"/>
      <c r="U207" s="191"/>
      <c r="V207" s="227"/>
      <c r="W207" s="182">
        <f>J207-(Q207*($M$2-$K$1))-(R207*($M$2-$M$1))- (S207*($M$2-$I$2))+ (T207*($G$2))</f>
        <v>0</v>
      </c>
      <c r="X207" s="182">
        <f>H207*$M$2</f>
        <v>2458.4100000000003</v>
      </c>
    </row>
    <row r="208" spans="1:24" x14ac:dyDescent="0.25">
      <c r="A208" s="201"/>
      <c r="B208" s="217">
        <v>57</v>
      </c>
      <c r="C208" s="217">
        <v>0</v>
      </c>
      <c r="D208" s="138">
        <f>'Data Ocupacion'!BH35</f>
        <v>0</v>
      </c>
      <c r="E208" s="138">
        <f>'Data Ocupacion'!BI35</f>
        <v>0</v>
      </c>
      <c r="F208" s="217" t="s">
        <v>52</v>
      </c>
      <c r="G208" s="217">
        <f t="shared" si="170"/>
        <v>0</v>
      </c>
      <c r="H208" s="217">
        <f t="shared" si="171"/>
        <v>57</v>
      </c>
      <c r="I208" s="217">
        <f t="shared" si="172"/>
        <v>0</v>
      </c>
      <c r="J208" s="217">
        <f>G208*M$2</f>
        <v>0</v>
      </c>
      <c r="K208" s="153">
        <f>I208*M$2</f>
        <v>0</v>
      </c>
      <c r="L208" s="217">
        <f t="shared" si="173"/>
        <v>0</v>
      </c>
      <c r="M208" s="217">
        <f t="shared" si="174"/>
        <v>0</v>
      </c>
      <c r="N208" s="19"/>
      <c r="O208" s="19"/>
      <c r="P208" s="146"/>
      <c r="Q208" s="186"/>
      <c r="R208" s="186"/>
      <c r="S208" s="216"/>
      <c r="T208" s="183"/>
      <c r="U208" s="216"/>
      <c r="V208" s="228"/>
      <c r="W208" s="185">
        <f>J208-(T208*($M$2-$K$1)+(U208*($M$2-$M$1)))</f>
        <v>0</v>
      </c>
      <c r="X208" s="182">
        <f>H208*$M$2</f>
        <v>2458.4100000000003</v>
      </c>
    </row>
    <row r="209" spans="1:25" s="124" customFormat="1" x14ac:dyDescent="0.25">
      <c r="A209" s="201"/>
      <c r="B209" s="217">
        <v>0</v>
      </c>
      <c r="C209" s="217">
        <v>0</v>
      </c>
      <c r="D209" s="138">
        <f>'Data Ocupacion'!BH36</f>
        <v>0</v>
      </c>
      <c r="E209" s="138">
        <f>'Data Ocupacion'!BI36</f>
        <v>0</v>
      </c>
      <c r="F209" s="217" t="s">
        <v>36</v>
      </c>
      <c r="G209" s="217">
        <f t="shared" si="170"/>
        <v>0</v>
      </c>
      <c r="H209" s="217">
        <f t="shared" si="171"/>
        <v>0</v>
      </c>
      <c r="I209" s="217">
        <f t="shared" si="172"/>
        <v>0</v>
      </c>
      <c r="J209" s="217">
        <f>G209*M$1</f>
        <v>0</v>
      </c>
      <c r="K209" s="153">
        <f>I209*M$1</f>
        <v>0</v>
      </c>
      <c r="L209" s="217">
        <f t="shared" si="173"/>
        <v>0</v>
      </c>
      <c r="M209" s="217">
        <f t="shared" si="174"/>
        <v>0</v>
      </c>
      <c r="N209" s="19"/>
      <c r="O209" s="19"/>
      <c r="P209" s="146"/>
      <c r="Q209" s="183"/>
      <c r="R209" s="187"/>
      <c r="S209" s="206"/>
      <c r="T209" s="188"/>
      <c r="U209" s="189"/>
      <c r="V209" s="189"/>
      <c r="W209" s="182">
        <f>J209-(Q209*($M$1-$K$1))</f>
        <v>0</v>
      </c>
      <c r="X209" s="182">
        <f>H209*$M$1</f>
        <v>0</v>
      </c>
    </row>
    <row r="210" spans="1:25" s="124" customFormat="1" x14ac:dyDescent="0.25">
      <c r="A210" s="201"/>
      <c r="B210" s="217">
        <v>0</v>
      </c>
      <c r="C210" s="217">
        <v>0</v>
      </c>
      <c r="D210" s="138">
        <f>'Data Ocupacion'!BH37</f>
        <v>0</v>
      </c>
      <c r="E210" s="138">
        <f>'Data Ocupacion'!BI37</f>
        <v>0</v>
      </c>
      <c r="F210" s="217" t="s">
        <v>53</v>
      </c>
      <c r="G210" s="217">
        <f t="shared" si="170"/>
        <v>0</v>
      </c>
      <c r="H210" s="217">
        <f t="shared" si="171"/>
        <v>0</v>
      </c>
      <c r="I210" s="217">
        <f t="shared" si="172"/>
        <v>0</v>
      </c>
      <c r="J210" s="217">
        <f>G210*M$1</f>
        <v>0</v>
      </c>
      <c r="K210" s="153">
        <f>I210*M$1</f>
        <v>0</v>
      </c>
      <c r="L210" s="217">
        <f t="shared" si="173"/>
        <v>0</v>
      </c>
      <c r="M210" s="217">
        <f t="shared" si="174"/>
        <v>0</v>
      </c>
      <c r="N210" s="165"/>
      <c r="O210" s="19"/>
      <c r="P210" s="146"/>
      <c r="Q210" s="189"/>
      <c r="R210" s="189"/>
      <c r="S210" s="189"/>
      <c r="T210" s="189"/>
      <c r="U210" s="189"/>
      <c r="V210" s="189"/>
      <c r="W210" s="182">
        <f>J210</f>
        <v>0</v>
      </c>
      <c r="X210" s="182">
        <f>H210*$M$1</f>
        <v>0</v>
      </c>
    </row>
    <row r="211" spans="1:25" s="124" customFormat="1" x14ac:dyDescent="0.25">
      <c r="A211" s="201"/>
      <c r="B211" s="217">
        <v>0</v>
      </c>
      <c r="C211" s="217">
        <v>0</v>
      </c>
      <c r="D211" s="138">
        <f>'Data Ocupacion'!BH38</f>
        <v>0</v>
      </c>
      <c r="E211" s="138">
        <f>'Data Ocupacion'!BI38</f>
        <v>0</v>
      </c>
      <c r="F211" s="217" t="s">
        <v>122</v>
      </c>
      <c r="G211" s="217">
        <f t="shared" si="170"/>
        <v>0</v>
      </c>
      <c r="H211" s="217">
        <f t="shared" si="171"/>
        <v>0</v>
      </c>
      <c r="I211" s="217">
        <f t="shared" si="172"/>
        <v>0</v>
      </c>
      <c r="J211" s="217">
        <f>G211*K$1</f>
        <v>0</v>
      </c>
      <c r="K211" s="153">
        <f>I211*M$1</f>
        <v>0</v>
      </c>
      <c r="L211" s="217">
        <f t="shared" si="173"/>
        <v>0</v>
      </c>
      <c r="M211" s="217">
        <f t="shared" si="174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H211*$K$1</f>
        <v>0</v>
      </c>
    </row>
    <row r="212" spans="1:25" s="124" customFormat="1" ht="15.75" thickBot="1" x14ac:dyDescent="0.3">
      <c r="A212" s="201"/>
      <c r="B212" s="217">
        <v>0</v>
      </c>
      <c r="C212" s="217">
        <v>0</v>
      </c>
      <c r="D212" s="138">
        <f>'Data Ocupacion'!BH39</f>
        <v>0</v>
      </c>
      <c r="E212" s="138">
        <f>'Data Ocupacion'!BI39</f>
        <v>0</v>
      </c>
      <c r="F212" s="217" t="s">
        <v>35</v>
      </c>
      <c r="G212" s="217">
        <f t="shared" si="170"/>
        <v>0</v>
      </c>
      <c r="H212" s="217">
        <f t="shared" si="171"/>
        <v>0</v>
      </c>
      <c r="I212" s="217">
        <f t="shared" si="172"/>
        <v>0</v>
      </c>
      <c r="J212" s="217">
        <f>G212*K$1</f>
        <v>0</v>
      </c>
      <c r="K212" s="153">
        <f>I212*K$1</f>
        <v>0</v>
      </c>
      <c r="L212" s="217">
        <f t="shared" si="173"/>
        <v>0</v>
      </c>
      <c r="M212" s="217">
        <f t="shared" si="174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5" s="124" customFormat="1" ht="15.75" thickBot="1" x14ac:dyDescent="0.3">
      <c r="A213" s="119"/>
      <c r="B213" s="119">
        <f>SUM(B207:B212)</f>
        <v>108</v>
      </c>
      <c r="C213" s="119">
        <f>SUM(C207:C212)</f>
        <v>3</v>
      </c>
      <c r="D213" s="148">
        <f>SUM(D207:D212)</f>
        <v>0</v>
      </c>
      <c r="E213" s="148">
        <f>SUM(E207:E212)</f>
        <v>0</v>
      </c>
      <c r="F213" s="119"/>
      <c r="G213" s="119">
        <f t="shared" ref="G213:M213" si="175">SUM(G207:G212)</f>
        <v>0</v>
      </c>
      <c r="H213" s="119">
        <f t="shared" si="175"/>
        <v>114</v>
      </c>
      <c r="I213" s="119">
        <f t="shared" si="175"/>
        <v>0</v>
      </c>
      <c r="J213" s="119">
        <f t="shared" si="175"/>
        <v>0</v>
      </c>
      <c r="K213" s="119">
        <f t="shared" si="175"/>
        <v>0</v>
      </c>
      <c r="L213" s="119">
        <f t="shared" si="175"/>
        <v>0</v>
      </c>
      <c r="M213" s="123">
        <f t="shared" si="175"/>
        <v>0</v>
      </c>
      <c r="N213" s="123">
        <f>'Odometro-Kilometraje'!AD88</f>
        <v>0</v>
      </c>
      <c r="O213" s="21" t="e">
        <f>(W213/N213)*100</f>
        <v>#DIV/0!</v>
      </c>
      <c r="P213" s="192"/>
      <c r="Q213" s="181"/>
      <c r="R213" s="181"/>
      <c r="S213" s="181"/>
      <c r="T213" s="181"/>
      <c r="U213" s="181"/>
      <c r="V213" s="181"/>
      <c r="W213" s="193">
        <f>SUM(W207:W212)</f>
        <v>0</v>
      </c>
      <c r="X213" s="193">
        <f>SUM(X207:X212)</f>
        <v>4916.8200000000006</v>
      </c>
      <c r="Y213" s="242"/>
    </row>
    <row r="214" spans="1:25" s="124" customFormat="1" x14ac:dyDescent="0.25">
      <c r="A214" s="60">
        <f>A207+1</f>
        <v>46233</v>
      </c>
      <c r="B214" s="294">
        <v>38</v>
      </c>
      <c r="C214" s="294">
        <v>41</v>
      </c>
      <c r="D214" s="126">
        <f>'Data Ocupacion'!BJ34</f>
        <v>0</v>
      </c>
      <c r="E214" s="126">
        <f>'Data Ocupacion'!BK34</f>
        <v>0</v>
      </c>
      <c r="F214" s="219" t="s">
        <v>38</v>
      </c>
      <c r="G214" s="220">
        <f t="shared" ref="G214:G219" si="176">D214+E214*2</f>
        <v>0</v>
      </c>
      <c r="H214" s="125">
        <f t="shared" ref="H214:H219" si="177">B214+C214*2</f>
        <v>120</v>
      </c>
      <c r="I214" s="221">
        <f t="shared" ref="I214:I219" si="178">D214+E214</f>
        <v>0</v>
      </c>
      <c r="J214" s="221">
        <f>G214*M$2</f>
        <v>0</v>
      </c>
      <c r="K214" s="153">
        <f>I214*M$2</f>
        <v>0</v>
      </c>
      <c r="L214" s="125">
        <f t="shared" ref="L214:L219" si="179">J214*104</f>
        <v>0</v>
      </c>
      <c r="M214" s="125">
        <f t="shared" ref="M214:M219" si="180">I214*104</f>
        <v>0</v>
      </c>
      <c r="N214" s="19"/>
      <c r="O214" s="19"/>
      <c r="P214" s="146"/>
      <c r="Q214" s="243"/>
      <c r="R214" s="183"/>
      <c r="S214" s="205"/>
      <c r="T214" s="243"/>
      <c r="U214" s="191"/>
      <c r="V214" s="227"/>
      <c r="W214" s="182">
        <f>J214-(Q214*($M$2-$K$1))-(R214*($M$2-$M$1))- (S214*($M$2-$I$2))+ (T214*($G$2))</f>
        <v>0</v>
      </c>
      <c r="X214" s="182">
        <f>H214*$M$2</f>
        <v>5175.6000000000004</v>
      </c>
    </row>
    <row r="215" spans="1:25" s="124" customFormat="1" x14ac:dyDescent="0.25">
      <c r="A215" s="201"/>
      <c r="B215" s="294">
        <v>36</v>
      </c>
      <c r="C215" s="294">
        <v>42</v>
      </c>
      <c r="D215" s="126">
        <f>'Data Ocupacion'!BJ35</f>
        <v>0</v>
      </c>
      <c r="E215" s="126">
        <f>'Data Ocupacion'!BK35</f>
        <v>0</v>
      </c>
      <c r="F215" s="219" t="s">
        <v>52</v>
      </c>
      <c r="G215" s="220">
        <f t="shared" si="176"/>
        <v>0</v>
      </c>
      <c r="H215" s="125">
        <f t="shared" si="177"/>
        <v>120</v>
      </c>
      <c r="I215" s="125">
        <f t="shared" si="178"/>
        <v>0</v>
      </c>
      <c r="J215" s="125">
        <f>G215*M$2</f>
        <v>0</v>
      </c>
      <c r="K215" s="153">
        <f>I215*M$2</f>
        <v>0</v>
      </c>
      <c r="L215" s="125">
        <f t="shared" si="179"/>
        <v>0</v>
      </c>
      <c r="M215" s="125">
        <f t="shared" si="180"/>
        <v>0</v>
      </c>
      <c r="N215" s="19"/>
      <c r="O215" s="19"/>
      <c r="P215" s="146"/>
      <c r="Q215" s="186"/>
      <c r="R215" s="186"/>
      <c r="S215" s="186"/>
      <c r="T215" s="183"/>
      <c r="U215" s="183"/>
      <c r="V215" s="205"/>
      <c r="W215" s="185">
        <f>J215-(T215*($M$2-$K$1)+(U215*($M$2-$M$1)))</f>
        <v>0</v>
      </c>
      <c r="X215" s="182">
        <f>H215*$M$2</f>
        <v>5175.6000000000004</v>
      </c>
    </row>
    <row r="216" spans="1:25" s="124" customFormat="1" x14ac:dyDescent="0.25">
      <c r="A216" s="201"/>
      <c r="B216" s="294">
        <v>33</v>
      </c>
      <c r="C216" s="294">
        <v>3</v>
      </c>
      <c r="D216" s="147">
        <f>'Data Ocupacion'!BJ36</f>
        <v>0</v>
      </c>
      <c r="E216" s="147">
        <f>'Data Ocupacion'!BK36</f>
        <v>0</v>
      </c>
      <c r="F216" s="219" t="s">
        <v>36</v>
      </c>
      <c r="G216" s="220">
        <f t="shared" si="176"/>
        <v>0</v>
      </c>
      <c r="H216" s="125">
        <f t="shared" si="177"/>
        <v>39</v>
      </c>
      <c r="I216" s="125">
        <f t="shared" si="178"/>
        <v>0</v>
      </c>
      <c r="J216" s="125">
        <f>G216*M$1</f>
        <v>0</v>
      </c>
      <c r="K216" s="153">
        <f>I216*M$1</f>
        <v>0</v>
      </c>
      <c r="L216" s="125">
        <f t="shared" si="179"/>
        <v>0</v>
      </c>
      <c r="M216" s="125">
        <f t="shared" si="180"/>
        <v>0</v>
      </c>
      <c r="N216" s="19"/>
      <c r="O216" s="19"/>
      <c r="P216" s="146"/>
      <c r="Q216" s="243"/>
      <c r="R216" s="187"/>
      <c r="S216" s="206"/>
      <c r="T216" s="188"/>
      <c r="U216" s="189"/>
      <c r="V216" s="189"/>
      <c r="W216" s="182">
        <f>J216-(Q216*($M$1-$K$1))</f>
        <v>0</v>
      </c>
      <c r="X216" s="182">
        <f>H216*$M$1</f>
        <v>1135.29</v>
      </c>
    </row>
    <row r="217" spans="1:25" s="124" customFormat="1" x14ac:dyDescent="0.25">
      <c r="A217" s="201"/>
      <c r="B217" s="294">
        <v>29</v>
      </c>
      <c r="C217" s="294">
        <v>3</v>
      </c>
      <c r="D217" s="147">
        <f>'Data Ocupacion'!BJ37</f>
        <v>0</v>
      </c>
      <c r="E217" s="147">
        <f>'Data Ocupacion'!BK37</f>
        <v>0</v>
      </c>
      <c r="F217" s="219" t="s">
        <v>53</v>
      </c>
      <c r="G217" s="220">
        <f t="shared" si="176"/>
        <v>0</v>
      </c>
      <c r="H217" s="125">
        <f t="shared" si="177"/>
        <v>35</v>
      </c>
      <c r="I217" s="125">
        <f t="shared" si="178"/>
        <v>0</v>
      </c>
      <c r="J217" s="125">
        <f>G217*M$1</f>
        <v>0</v>
      </c>
      <c r="K217" s="153">
        <f>I217*M$1</f>
        <v>0</v>
      </c>
      <c r="L217" s="125">
        <f t="shared" si="179"/>
        <v>0</v>
      </c>
      <c r="M217" s="125">
        <f t="shared" si="180"/>
        <v>0</v>
      </c>
      <c r="N217" s="19"/>
      <c r="O217" s="19"/>
      <c r="P217" s="146"/>
      <c r="Q217" s="189"/>
      <c r="R217" s="189"/>
      <c r="S217" s="189"/>
      <c r="T217" s="189"/>
      <c r="U217" s="189"/>
      <c r="V217" s="189"/>
      <c r="W217" s="182">
        <f>J217</f>
        <v>0</v>
      </c>
      <c r="X217" s="182">
        <f>H217*$M$1</f>
        <v>1018.85</v>
      </c>
    </row>
    <row r="218" spans="1:25" s="124" customFormat="1" x14ac:dyDescent="0.25">
      <c r="A218" s="201"/>
      <c r="B218" s="294">
        <v>0</v>
      </c>
      <c r="C218" s="294">
        <v>0</v>
      </c>
      <c r="D218" s="126">
        <f>'Data Ocupacion'!BJ38</f>
        <v>0</v>
      </c>
      <c r="E218" s="126">
        <f>'Data Ocupacion'!BK38</f>
        <v>0</v>
      </c>
      <c r="F218" s="219" t="s">
        <v>122</v>
      </c>
      <c r="G218" s="220">
        <f t="shared" si="176"/>
        <v>0</v>
      </c>
      <c r="H218" s="125">
        <f t="shared" si="177"/>
        <v>0</v>
      </c>
      <c r="I218" s="125">
        <f t="shared" si="178"/>
        <v>0</v>
      </c>
      <c r="J218" s="222">
        <f>G218*K$1</f>
        <v>0</v>
      </c>
      <c r="K218" s="153">
        <f>I218*K$1</f>
        <v>0</v>
      </c>
      <c r="L218" s="125">
        <f t="shared" si="179"/>
        <v>0</v>
      </c>
      <c r="M218" s="125">
        <f t="shared" si="180"/>
        <v>0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>
        <f>J218</f>
        <v>0</v>
      </c>
      <c r="X218" s="182">
        <f>H218*$K$1</f>
        <v>0</v>
      </c>
    </row>
    <row r="219" spans="1:25" s="124" customFormat="1" ht="15.75" thickBot="1" x14ac:dyDescent="0.3">
      <c r="A219" s="201"/>
      <c r="B219" s="294">
        <v>4</v>
      </c>
      <c r="C219" s="294">
        <v>0</v>
      </c>
      <c r="D219" s="126">
        <f>'Data Ocupacion'!BJ39</f>
        <v>0</v>
      </c>
      <c r="E219" s="126">
        <f>'Data Ocupacion'!BK39</f>
        <v>0</v>
      </c>
      <c r="F219" s="219" t="s">
        <v>35</v>
      </c>
      <c r="G219" s="220">
        <f t="shared" si="176"/>
        <v>0</v>
      </c>
      <c r="H219" s="125">
        <f t="shared" si="177"/>
        <v>4</v>
      </c>
      <c r="I219" s="223">
        <f t="shared" si="178"/>
        <v>0</v>
      </c>
      <c r="J219" s="223">
        <f>G219*K$1</f>
        <v>0</v>
      </c>
      <c r="K219" s="153">
        <f>I219*K$1</f>
        <v>0</v>
      </c>
      <c r="L219" s="125">
        <f t="shared" si="179"/>
        <v>0</v>
      </c>
      <c r="M219" s="125">
        <f t="shared" si="180"/>
        <v>0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>
        <f>J219</f>
        <v>0</v>
      </c>
      <c r="X219" s="182">
        <f>H219*$K$1</f>
        <v>101.6</v>
      </c>
    </row>
    <row r="220" spans="1:25" s="124" customFormat="1" ht="14.25" customHeight="1" thickBot="1" x14ac:dyDescent="0.3">
      <c r="A220" s="119"/>
      <c r="B220" s="119">
        <f>SUM(B214:B219)</f>
        <v>140</v>
      </c>
      <c r="C220" s="119">
        <f>SUM(C214:C219)</f>
        <v>89</v>
      </c>
      <c r="D220" s="148">
        <f>SUM(D214:D219)</f>
        <v>0</v>
      </c>
      <c r="E220" s="148">
        <f>SUM(E214:E219)</f>
        <v>0</v>
      </c>
      <c r="F220" s="119"/>
      <c r="G220" s="119">
        <f t="shared" ref="G220:M220" si="181">SUM(G214:G219)</f>
        <v>0</v>
      </c>
      <c r="H220" s="119">
        <f t="shared" si="181"/>
        <v>318</v>
      </c>
      <c r="I220" s="119">
        <f t="shared" si="181"/>
        <v>0</v>
      </c>
      <c r="J220" s="119">
        <f t="shared" si="181"/>
        <v>0</v>
      </c>
      <c r="K220" s="119">
        <f t="shared" si="181"/>
        <v>0</v>
      </c>
      <c r="L220" s="119">
        <f t="shared" si="181"/>
        <v>0</v>
      </c>
      <c r="M220" s="119">
        <f t="shared" si="181"/>
        <v>0</v>
      </c>
      <c r="N220" s="123">
        <f>'Odometro-Kilometraje'!AE88</f>
        <v>0</v>
      </c>
      <c r="O220" s="21" t="e">
        <f>(W220/N220)*100</f>
        <v>#DIV/0!</v>
      </c>
      <c r="P220" s="192"/>
      <c r="Q220" s="181"/>
      <c r="R220" s="181"/>
      <c r="S220" s="181"/>
      <c r="T220" s="181"/>
      <c r="U220" s="181"/>
      <c r="V220" s="181"/>
      <c r="W220" s="193">
        <f>SUM(W214:W219)</f>
        <v>0</v>
      </c>
      <c r="X220" s="193">
        <f>SUM(X214:X219)</f>
        <v>12606.940000000002</v>
      </c>
      <c r="Y220" s="256"/>
    </row>
    <row r="221" spans="1:25" s="124" customFormat="1" ht="1.7" customHeight="1" x14ac:dyDescent="0.25">
      <c r="A221" s="60">
        <f>A214+1</f>
        <v>46234</v>
      </c>
      <c r="B221" s="217">
        <v>51</v>
      </c>
      <c r="C221" s="217">
        <v>3</v>
      </c>
      <c r="D221" s="138" t="e">
        <f>'Data Ocupacion'!#REF!</f>
        <v>#REF!</v>
      </c>
      <c r="E221" s="138" t="e">
        <f>'Data Ocupacion'!#REF!</f>
        <v>#REF!</v>
      </c>
      <c r="F221" s="217" t="s">
        <v>38</v>
      </c>
      <c r="G221" s="217" t="e">
        <f t="shared" ref="G221:G226" si="182">D221+E221*2</f>
        <v>#REF!</v>
      </c>
      <c r="H221" s="217">
        <f t="shared" ref="H221:H226" si="183">B221+C221*2</f>
        <v>57</v>
      </c>
      <c r="I221" s="217" t="e">
        <f t="shared" ref="I221:I226" si="184">D221+E221</f>
        <v>#REF!</v>
      </c>
      <c r="J221" s="217" t="e">
        <f>G221*M$2</f>
        <v>#REF!</v>
      </c>
      <c r="K221" s="153" t="e">
        <f>I221*M$2</f>
        <v>#REF!</v>
      </c>
      <c r="L221" s="217" t="e">
        <f t="shared" ref="L221:L226" si="185">J221*104</f>
        <v>#REF!</v>
      </c>
      <c r="M221" s="217" t="e">
        <f t="shared" ref="M221:M226" si="186">I221*104</f>
        <v>#REF!</v>
      </c>
      <c r="N221" s="19"/>
      <c r="O221" s="19"/>
      <c r="P221" s="146"/>
      <c r="Q221" s="183"/>
      <c r="R221" s="183"/>
      <c r="S221" s="205"/>
      <c r="T221" s="243"/>
      <c r="U221" s="191"/>
      <c r="V221" s="227"/>
      <c r="W221" s="182" t="e">
        <f>J221-(Q221*($M$2-$K$1))-(R221*($M$2-$M$1))- (S221*($M$2-$I$2))+ (T221*($G$2))</f>
        <v>#REF!</v>
      </c>
      <c r="X221" s="182">
        <f>H221*$M$2</f>
        <v>2458.4100000000003</v>
      </c>
      <c r="Y221" s="286"/>
    </row>
    <row r="222" spans="1:25" s="124" customFormat="1" hidden="1" x14ac:dyDescent="0.25">
      <c r="A222" s="201"/>
      <c r="B222" s="217">
        <v>57</v>
      </c>
      <c r="C222" s="217">
        <v>0</v>
      </c>
      <c r="D222" s="138" t="e">
        <f>'Data Ocupacion'!#REF!</f>
        <v>#REF!</v>
      </c>
      <c r="E222" s="138" t="e">
        <f>'Data Ocupacion'!#REF!</f>
        <v>#REF!</v>
      </c>
      <c r="F222" s="217" t="s">
        <v>52</v>
      </c>
      <c r="G222" s="217" t="e">
        <f t="shared" si="182"/>
        <v>#REF!</v>
      </c>
      <c r="H222" s="217">
        <f t="shared" si="183"/>
        <v>57</v>
      </c>
      <c r="I222" s="217" t="e">
        <f t="shared" si="184"/>
        <v>#REF!</v>
      </c>
      <c r="J222" s="217" t="e">
        <f>G222*M$2</f>
        <v>#REF!</v>
      </c>
      <c r="K222" s="153" t="e">
        <f>I222*M$2</f>
        <v>#REF!</v>
      </c>
      <c r="L222" s="217" t="e">
        <f t="shared" si="185"/>
        <v>#REF!</v>
      </c>
      <c r="M222" s="217" t="e">
        <f t="shared" si="186"/>
        <v>#REF!</v>
      </c>
      <c r="N222" s="19"/>
      <c r="O222" s="19"/>
      <c r="P222" s="146"/>
      <c r="Q222" s="186"/>
      <c r="R222" s="186"/>
      <c r="S222" s="186"/>
      <c r="T222" s="183"/>
      <c r="U222" s="183"/>
      <c r="V222" s="205"/>
      <c r="W222" s="185" t="e">
        <f>J222-(T222*($M$2-$K$1)+(U222*($M$2-$M$1)))</f>
        <v>#REF!</v>
      </c>
      <c r="X222" s="182">
        <f>H222*$M$2</f>
        <v>2458.4100000000003</v>
      </c>
      <c r="Y222" s="286"/>
    </row>
    <row r="223" spans="1:25" s="124" customFormat="1" hidden="1" x14ac:dyDescent="0.25">
      <c r="A223" s="201"/>
      <c r="B223" s="217">
        <v>0</v>
      </c>
      <c r="C223" s="217">
        <v>0</v>
      </c>
      <c r="D223" s="138" t="e">
        <f>'Data Ocupacion'!#REF!</f>
        <v>#REF!</v>
      </c>
      <c r="E223" s="138" t="e">
        <f>'Data Ocupacion'!#REF!</f>
        <v>#REF!</v>
      </c>
      <c r="F223" s="217" t="s">
        <v>36</v>
      </c>
      <c r="G223" s="217" t="e">
        <f t="shared" si="182"/>
        <v>#REF!</v>
      </c>
      <c r="H223" s="217">
        <f t="shared" si="183"/>
        <v>0</v>
      </c>
      <c r="I223" s="217" t="e">
        <f t="shared" si="184"/>
        <v>#REF!</v>
      </c>
      <c r="J223" s="217" t="e">
        <f>G223*M$1</f>
        <v>#REF!</v>
      </c>
      <c r="K223" s="153" t="e">
        <f>I223*M$1</f>
        <v>#REF!</v>
      </c>
      <c r="L223" s="217" t="e">
        <f t="shared" si="185"/>
        <v>#REF!</v>
      </c>
      <c r="M223" s="217" t="e">
        <f t="shared" si="186"/>
        <v>#REF!</v>
      </c>
      <c r="N223" s="19"/>
      <c r="O223" s="19"/>
      <c r="P223" s="146"/>
      <c r="Q223" s="243"/>
      <c r="R223" s="187"/>
      <c r="S223" s="206"/>
      <c r="T223" s="188"/>
      <c r="U223" s="189"/>
      <c r="V223" s="189"/>
      <c r="W223" s="182" t="e">
        <f>J223-(Q223*($M$1-$K$1))</f>
        <v>#REF!</v>
      </c>
      <c r="X223" s="182">
        <f>H223*$M$1</f>
        <v>0</v>
      </c>
      <c r="Y223" s="286"/>
    </row>
    <row r="224" spans="1:25" s="124" customFormat="1" hidden="1" x14ac:dyDescent="0.25">
      <c r="A224" s="201"/>
      <c r="B224" s="217">
        <v>0</v>
      </c>
      <c r="C224" s="217">
        <v>0</v>
      </c>
      <c r="D224" s="138" t="e">
        <f>'Data Ocupacion'!#REF!</f>
        <v>#REF!</v>
      </c>
      <c r="E224" s="138" t="e">
        <f>'Data Ocupacion'!#REF!</f>
        <v>#REF!</v>
      </c>
      <c r="F224" s="217" t="s">
        <v>53</v>
      </c>
      <c r="G224" s="217" t="e">
        <f t="shared" si="182"/>
        <v>#REF!</v>
      </c>
      <c r="H224" s="217">
        <f t="shared" si="183"/>
        <v>0</v>
      </c>
      <c r="I224" s="217" t="e">
        <f t="shared" si="184"/>
        <v>#REF!</v>
      </c>
      <c r="J224" s="217" t="e">
        <f>G224*M$1</f>
        <v>#REF!</v>
      </c>
      <c r="K224" s="153" t="e">
        <f>I224*M$1</f>
        <v>#REF!</v>
      </c>
      <c r="L224" s="217" t="e">
        <f t="shared" si="185"/>
        <v>#REF!</v>
      </c>
      <c r="M224" s="217" t="e">
        <f t="shared" si="186"/>
        <v>#REF!</v>
      </c>
      <c r="N224" s="19"/>
      <c r="O224" s="19"/>
      <c r="P224" s="146"/>
      <c r="Q224" s="189"/>
      <c r="R224" s="189"/>
      <c r="S224" s="189"/>
      <c r="T224" s="189"/>
      <c r="U224" s="189"/>
      <c r="V224" s="189"/>
      <c r="W224" s="182" t="e">
        <f>J224</f>
        <v>#REF!</v>
      </c>
      <c r="X224" s="182">
        <f>H224*$M$1</f>
        <v>0</v>
      </c>
      <c r="Y224" s="286"/>
    </row>
    <row r="225" spans="1:29" s="124" customFormat="1" hidden="1" x14ac:dyDescent="0.25">
      <c r="A225" s="201"/>
      <c r="B225" s="217">
        <v>0</v>
      </c>
      <c r="C225" s="217">
        <v>0</v>
      </c>
      <c r="D225" s="138" t="e">
        <f>'Data Ocupacion'!#REF!</f>
        <v>#REF!</v>
      </c>
      <c r="E225" s="138" t="e">
        <f>'Data Ocupacion'!#REF!</f>
        <v>#REF!</v>
      </c>
      <c r="F225" s="217" t="s">
        <v>122</v>
      </c>
      <c r="G225" s="217" t="e">
        <f t="shared" si="182"/>
        <v>#REF!</v>
      </c>
      <c r="H225" s="217">
        <f t="shared" si="183"/>
        <v>0</v>
      </c>
      <c r="I225" s="217" t="e">
        <f t="shared" si="184"/>
        <v>#REF!</v>
      </c>
      <c r="J225" s="217" t="e">
        <f>G225*K$1</f>
        <v>#REF!</v>
      </c>
      <c r="K225" s="153" t="e">
        <f>I225*K$1</f>
        <v>#REF!</v>
      </c>
      <c r="L225" s="217" t="e">
        <f t="shared" si="185"/>
        <v>#REF!</v>
      </c>
      <c r="M225" s="217" t="e">
        <f t="shared" si="186"/>
        <v>#REF!</v>
      </c>
      <c r="N225" s="19"/>
      <c r="O225" s="19"/>
      <c r="P225" s="146"/>
      <c r="Q225" s="189"/>
      <c r="R225" s="189"/>
      <c r="S225" s="189"/>
      <c r="T225" s="189"/>
      <c r="U225" s="189"/>
      <c r="V225" s="189"/>
      <c r="W225" s="182" t="e">
        <f>J225</f>
        <v>#REF!</v>
      </c>
      <c r="X225" s="182">
        <f>H225*$K$1</f>
        <v>0</v>
      </c>
      <c r="Y225" s="286"/>
    </row>
    <row r="226" spans="1:29" s="124" customFormat="1" hidden="1" x14ac:dyDescent="0.25">
      <c r="A226" s="201"/>
      <c r="B226" s="217">
        <v>0</v>
      </c>
      <c r="C226" s="217">
        <v>0</v>
      </c>
      <c r="D226" s="138" t="e">
        <f>'Data Ocupacion'!#REF!</f>
        <v>#REF!</v>
      </c>
      <c r="E226" s="138" t="e">
        <f>'Data Ocupacion'!#REF!</f>
        <v>#REF!</v>
      </c>
      <c r="F226" s="217" t="s">
        <v>35</v>
      </c>
      <c r="G226" s="217" t="e">
        <f t="shared" si="182"/>
        <v>#REF!</v>
      </c>
      <c r="H226" s="217">
        <f t="shared" si="183"/>
        <v>0</v>
      </c>
      <c r="I226" s="217" t="e">
        <f t="shared" si="184"/>
        <v>#REF!</v>
      </c>
      <c r="J226" s="217" t="e">
        <f>G226*K$1</f>
        <v>#REF!</v>
      </c>
      <c r="K226" s="153" t="e">
        <f>I226*K$1</f>
        <v>#REF!</v>
      </c>
      <c r="L226" s="217" t="e">
        <f t="shared" si="185"/>
        <v>#REF!</v>
      </c>
      <c r="M226" s="217" t="e">
        <f t="shared" si="186"/>
        <v>#REF!</v>
      </c>
      <c r="N226" s="19"/>
      <c r="O226" s="19"/>
      <c r="P226" s="146"/>
      <c r="Q226" s="189"/>
      <c r="R226" s="189"/>
      <c r="S226" s="189"/>
      <c r="T226" s="189"/>
      <c r="U226" s="189"/>
      <c r="V226" s="189"/>
      <c r="W226" s="182" t="e">
        <f>J226</f>
        <v>#REF!</v>
      </c>
      <c r="X226" s="182">
        <f>H226*$K$1</f>
        <v>0</v>
      </c>
      <c r="Y226" s="286"/>
    </row>
    <row r="227" spans="1:29" s="124" customFormat="1" ht="15.75" hidden="1" thickBot="1" x14ac:dyDescent="0.3">
      <c r="A227" s="20"/>
      <c r="B227" s="119">
        <f>SUM(B221:B226)</f>
        <v>108</v>
      </c>
      <c r="C227" s="148">
        <f>SUM(C221:C226)</f>
        <v>3</v>
      </c>
      <c r="D227" s="148" t="e">
        <f>SUM(D221:D226)</f>
        <v>#REF!</v>
      </c>
      <c r="E227" s="148" t="e">
        <f>SUM(E221:E226)</f>
        <v>#REF!</v>
      </c>
      <c r="F227" s="119"/>
      <c r="G227" s="119" t="e">
        <f t="shared" ref="G227:M227" si="187">SUM(G221:G226)</f>
        <v>#REF!</v>
      </c>
      <c r="H227" s="119">
        <f t="shared" si="187"/>
        <v>114</v>
      </c>
      <c r="I227" s="119" t="e">
        <f t="shared" si="187"/>
        <v>#REF!</v>
      </c>
      <c r="J227" s="119" t="e">
        <f t="shared" si="187"/>
        <v>#REF!</v>
      </c>
      <c r="K227" s="119" t="e">
        <f t="shared" si="187"/>
        <v>#REF!</v>
      </c>
      <c r="L227" s="119" t="e">
        <f t="shared" si="187"/>
        <v>#REF!</v>
      </c>
      <c r="M227" s="123" t="e">
        <f t="shared" si="187"/>
        <v>#REF!</v>
      </c>
      <c r="N227" s="123" t="e">
        <f>'Odometro-Kilometraje'!#REF!</f>
        <v>#REF!</v>
      </c>
      <c r="O227" s="21" t="e">
        <f>(W227/N227)*100</f>
        <v>#REF!</v>
      </c>
      <c r="P227" s="192"/>
      <c r="Q227" s="181"/>
      <c r="R227" s="181"/>
      <c r="S227" s="181"/>
      <c r="T227" s="181"/>
      <c r="U227" s="181"/>
      <c r="V227" s="181"/>
      <c r="W227" s="193" t="e">
        <f>SUM(W221:W226)</f>
        <v>#REF!</v>
      </c>
      <c r="X227" s="193">
        <f>SUM(X221:X226)</f>
        <v>4916.8200000000006</v>
      </c>
      <c r="Y227" s="286"/>
      <c r="AB227" s="172"/>
    </row>
    <row r="228" spans="1:29" s="124" customFormat="1" ht="15.75" thickBot="1" x14ac:dyDescent="0.3"/>
    <row r="229" spans="1:29" s="124" customFormat="1" ht="15.75" thickBot="1" x14ac:dyDescent="0.3">
      <c r="A229"/>
      <c r="B229" s="373" t="s">
        <v>56</v>
      </c>
      <c r="C229" s="374"/>
      <c r="D229" s="374"/>
      <c r="E229" s="374"/>
      <c r="F229" s="374"/>
      <c r="G229" s="375"/>
      <c r="H229" s="289"/>
      <c r="I229" s="373" t="s">
        <v>57</v>
      </c>
      <c r="J229" s="374"/>
      <c r="K229" s="374"/>
      <c r="L229" s="374"/>
      <c r="M229" s="374"/>
      <c r="N229" s="375"/>
      <c r="P229" s="369" t="s">
        <v>139</v>
      </c>
      <c r="Q229" s="369"/>
      <c r="R229" s="369"/>
      <c r="S229" s="370"/>
      <c r="T229" s="366" t="s">
        <v>142</v>
      </c>
      <c r="U229" s="367"/>
      <c r="V229" s="368"/>
      <c r="W229" s="357" t="s">
        <v>143</v>
      </c>
      <c r="X229" s="357" t="s">
        <v>162</v>
      </c>
    </row>
    <row r="230" spans="1:29" s="124" customFormat="1" ht="24.75" thickBot="1" x14ac:dyDescent="0.3">
      <c r="A230" s="22" t="s">
        <v>56</v>
      </c>
      <c r="B230" s="179" t="s">
        <v>58</v>
      </c>
      <c r="C230" s="179" t="s">
        <v>59</v>
      </c>
      <c r="D230" s="179" t="s">
        <v>60</v>
      </c>
      <c r="E230" s="179" t="s">
        <v>61</v>
      </c>
      <c r="F230" s="179" t="s">
        <v>62</v>
      </c>
      <c r="G230" s="179" t="s">
        <v>63</v>
      </c>
      <c r="H230" s="179"/>
      <c r="I230" s="179" t="s">
        <v>58</v>
      </c>
      <c r="J230" s="179" t="s">
        <v>59</v>
      </c>
      <c r="K230" s="179" t="s">
        <v>60</v>
      </c>
      <c r="L230" s="179" t="s">
        <v>61</v>
      </c>
      <c r="M230" s="179" t="s">
        <v>62</v>
      </c>
      <c r="N230" s="179" t="s">
        <v>63</v>
      </c>
      <c r="P230" s="213" t="s">
        <v>140</v>
      </c>
      <c r="Q230" s="195" t="s">
        <v>141</v>
      </c>
      <c r="R230" s="212" t="s">
        <v>148</v>
      </c>
      <c r="S230" s="214" t="s">
        <v>146</v>
      </c>
      <c r="T230" s="196" t="s">
        <v>140</v>
      </c>
      <c r="U230" s="197" t="s">
        <v>141</v>
      </c>
      <c r="V230" s="226" t="s">
        <v>146</v>
      </c>
      <c r="W230" s="358"/>
      <c r="X230" s="358"/>
    </row>
    <row r="231" spans="1:29" ht="16.149999999999999" customHeight="1" x14ac:dyDescent="0.25">
      <c r="A231" s="23" t="s">
        <v>38</v>
      </c>
      <c r="B231" s="114">
        <f t="shared" ref="B231:C233" si="188">B5+B12+B19+B26+B33+B40+B47+B54+B61+B68+B75+B82+B89+B96+B103+B110+B117+B127+B134+B141+B148+B158+B165+B172+B179+B186+B193+B200+B207+B214+B221</f>
        <v>1492</v>
      </c>
      <c r="C231" s="114">
        <f t="shared" si="188"/>
        <v>754</v>
      </c>
      <c r="D231" s="114">
        <f t="shared" ref="D231:D236" si="189">B231+C231</f>
        <v>2246</v>
      </c>
      <c r="E231" s="139">
        <f>D231*43.13</f>
        <v>96869.98000000001</v>
      </c>
      <c r="F231" s="139">
        <f>B231*43.13+C231*86.26</f>
        <v>129390</v>
      </c>
      <c r="G231" s="139">
        <f t="shared" ref="G231:G236" si="190">F231*104</f>
        <v>13456560</v>
      </c>
      <c r="H231" s="139"/>
      <c r="I231" s="114">
        <f t="shared" ref="I231:J236" si="191">D5+D12+D26+D33+D40+D47+D54+D61+D68+D75+D82+D89+D96+D103+D110+D117+D127+D134+D141+D148+D158+D165+D172+D179+D186+D193+D200+D207+D214+D19</f>
        <v>1132</v>
      </c>
      <c r="J231" s="114">
        <f t="shared" si="191"/>
        <v>486</v>
      </c>
      <c r="K231" s="114">
        <f t="shared" ref="K231:K236" si="192">I231+J231</f>
        <v>1618</v>
      </c>
      <c r="L231" s="139">
        <f>K231*43.13</f>
        <v>69784.340000000011</v>
      </c>
      <c r="M231" s="139">
        <f>I231*43.13+J231*86.26</f>
        <v>90745.52</v>
      </c>
      <c r="N231" s="139">
        <f t="shared" ref="N231:N236" si="193">M231*104</f>
        <v>9437534.0800000001</v>
      </c>
      <c r="O231" s="124"/>
      <c r="P231" s="208">
        <f>SUM(Q200,Q193,Q186,Q179,Q172,Q165,Q158,Q148,Q141,Q134,Q127,Q117,Q110,Q103,Q96,Q89,Q82,Q75,Q68,Q61,Q54,Q47,Q40,Q33,Q26,Q19,Q12,Q5,Q207,Q214,Q221)</f>
        <v>36</v>
      </c>
      <c r="Q231" s="208">
        <f>SUM(R200,R193,R186,R179,R172,R165,R158,R148,R141,R134,R127,R117,R110,R103,R96,R89,R82,R75,R68,R61,R54,R47,R40,R33,R26,R19,R12,R5,R207,R214,R221)</f>
        <v>0</v>
      </c>
      <c r="R231" s="208">
        <f>SUM(S200,S193,S186,S179,S172,S165,S158,S148,S141,S134,S127,S117,S110,S103,S96,S89,S82,S75,S68,S61,S54,S47,S40,S33,S26,S19,S12,S5,S207,S214,S221)</f>
        <v>0</v>
      </c>
      <c r="S231" s="208">
        <f>SUM(S200,S193,S186,S179,S172,S165,S158,S148,S141,S134,S127,S117,S110,S103,S96,S89,S82,S75,S68,S61,S54,S47,S40,S33,S26,S19,S12,S5,S207,S214,S221)</f>
        <v>0</v>
      </c>
      <c r="T231" s="208">
        <f>SUM(T200,T193,T186,T179,T172,T165,T158,T148,T141,T134,T127,T117,T110,T103,T96,T89,T82,T75,T68,T61,T54,T47,T40,T33,T26,T19,T12,T5,T207,T214,T221)+T6+T13+T20+T27+T34+T41+T48+T55+T62+T69+T76+T83+T90+T97+T104+T111+T118+T128+T135+T142+T149+T159+T166+T173+T180+T187+T194+T201+T208+T215+T222</f>
        <v>37</v>
      </c>
      <c r="U231" s="208">
        <f>SUM(U200,U193,U186,U179,U172,U165,U158,U148,U141,U134,U127,U117,U110,U103,U96,U89,U82,U75,U68,U61,U54,U47,U40,U33,U26,U19,U12,U5,U207,U214,U222)</f>
        <v>0</v>
      </c>
      <c r="V231" s="208">
        <f>SUM(V200,V193,V186,V179,V172,V165,V158,V148,V141,V134,V127,V117,V110,V103,V96,V89,V82,V75,V68,V61,V54,V47,V40,V33,V26,V19,V12,V5,V207,V214,V222)</f>
        <v>0</v>
      </c>
      <c r="W231" s="230">
        <f>W11+W18+W25+W32+W39+W46+W53+W60+W67+W74+W81+W88+W95+W102+W109+W116+W126+W133+W140+W147+W157+W164+W171+W178+W185+W192+W199+W206+W213+W220</f>
        <v>209024.99000000002</v>
      </c>
      <c r="X231" s="230">
        <f>X11+X18+X25+X32+X39+X46+X53+X60+X67+X74+X81+X88+X95+X102+X109+X116+X126+X133+X140+X147+X157+X164+X171+X178+X185+X192+X199+X206+X213+X220</f>
        <v>297406.04000000015</v>
      </c>
    </row>
    <row r="232" spans="1:29" ht="17.25" customHeight="1" x14ac:dyDescent="0.25">
      <c r="A232" s="23" t="s">
        <v>52</v>
      </c>
      <c r="B232" s="114">
        <f t="shared" si="188"/>
        <v>1518</v>
      </c>
      <c r="C232" s="114">
        <f t="shared" si="188"/>
        <v>741</v>
      </c>
      <c r="D232" s="114">
        <f t="shared" si="189"/>
        <v>2259</v>
      </c>
      <c r="E232" s="139">
        <f>D232*43.13</f>
        <v>97430.670000000013</v>
      </c>
      <c r="F232" s="139">
        <f>B232*43.13+C232*86.26</f>
        <v>129390</v>
      </c>
      <c r="G232" s="139">
        <f t="shared" si="190"/>
        <v>13456560</v>
      </c>
      <c r="H232" s="139"/>
      <c r="I232" s="114">
        <f t="shared" si="191"/>
        <v>1147</v>
      </c>
      <c r="J232" s="114">
        <f t="shared" si="191"/>
        <v>474</v>
      </c>
      <c r="K232" s="114">
        <f t="shared" si="192"/>
        <v>1621</v>
      </c>
      <c r="L232" s="139">
        <f t="shared" ref="L232" si="194">K232*43.13</f>
        <v>69913.73000000001</v>
      </c>
      <c r="M232" s="139">
        <f>I232*43.13+J232*86.26</f>
        <v>90357.35</v>
      </c>
      <c r="N232" s="139">
        <f t="shared" si="193"/>
        <v>9397164.4000000004</v>
      </c>
      <c r="O232" s="124"/>
      <c r="W232" s="124"/>
      <c r="AA232" s="8"/>
    </row>
    <row r="233" spans="1:29" x14ac:dyDescent="0.25">
      <c r="A233" s="23" t="s">
        <v>36</v>
      </c>
      <c r="B233" s="114">
        <f t="shared" si="188"/>
        <v>687</v>
      </c>
      <c r="C233" s="114">
        <f t="shared" si="188"/>
        <v>33</v>
      </c>
      <c r="D233" s="114">
        <f t="shared" si="189"/>
        <v>720</v>
      </c>
      <c r="E233" s="139">
        <f>D233*29.11</f>
        <v>20959.2</v>
      </c>
      <c r="F233" s="139">
        <f>B233*29.11+C233*58.22</f>
        <v>21919.829999999998</v>
      </c>
      <c r="G233" s="139">
        <f t="shared" si="190"/>
        <v>2279662.3199999998</v>
      </c>
      <c r="H233" s="139"/>
      <c r="I233" s="114">
        <f t="shared" si="191"/>
        <v>460</v>
      </c>
      <c r="J233" s="114">
        <f t="shared" si="191"/>
        <v>13</v>
      </c>
      <c r="K233" s="114">
        <f t="shared" si="192"/>
        <v>473</v>
      </c>
      <c r="L233" s="139">
        <f>K233*29.11</f>
        <v>13769.029999999999</v>
      </c>
      <c r="M233" s="139">
        <f>I233*29.11+J233*58.22</f>
        <v>14147.460000000001</v>
      </c>
      <c r="N233" s="139">
        <f t="shared" si="193"/>
        <v>1471335.84</v>
      </c>
      <c r="O233" s="124"/>
      <c r="W233" s="124"/>
    </row>
    <row r="234" spans="1:29" x14ac:dyDescent="0.25">
      <c r="A234" s="23" t="s">
        <v>53</v>
      </c>
      <c r="B234" s="114">
        <f>B8+B15+B22+B29+B36+B43+B50+B57+B64+B71+B78+B85+B92+B99+B106+B113+B120+B130+B137+B144+B151+B161+B168+B175+B182+B189+B196+B203+B210+B217+B224</f>
        <v>607</v>
      </c>
      <c r="C234" s="114">
        <f>C8+C15+C22+C29+C36+C43+C50+C57+C64+C71+C78+C85+C92+C99+C106+C113+C120+C130+C137+C144+C151+C161+C168+C175+C182+C189+C196+C203+C210+C217+C225</f>
        <v>33</v>
      </c>
      <c r="D234" s="114">
        <f t="shared" si="189"/>
        <v>640</v>
      </c>
      <c r="E234" s="139">
        <f>D234*29.11</f>
        <v>18630.400000000001</v>
      </c>
      <c r="F234" s="139">
        <f>B234*29.11+C234*58.22</f>
        <v>19591.03</v>
      </c>
      <c r="G234" s="139">
        <f t="shared" si="190"/>
        <v>2037467.1199999999</v>
      </c>
      <c r="H234" s="139"/>
      <c r="I234" s="114">
        <f t="shared" si="191"/>
        <v>422</v>
      </c>
      <c r="J234" s="114">
        <f t="shared" si="191"/>
        <v>14</v>
      </c>
      <c r="K234" s="114">
        <f t="shared" si="192"/>
        <v>436</v>
      </c>
      <c r="L234" s="139">
        <f>K234*29.11</f>
        <v>12691.96</v>
      </c>
      <c r="M234" s="139">
        <f>I234*29.11+J234*58.22</f>
        <v>13099.5</v>
      </c>
      <c r="N234" s="139">
        <f t="shared" si="193"/>
        <v>1362348</v>
      </c>
      <c r="O234" s="124"/>
      <c r="W234" s="124"/>
      <c r="AA234" s="101"/>
      <c r="AB234" s="101"/>
      <c r="AC234" s="101"/>
    </row>
    <row r="235" spans="1:29" x14ac:dyDescent="0.25">
      <c r="A235" s="23" t="s">
        <v>122</v>
      </c>
      <c r="B235" s="114">
        <f>B9+B16+B23+B30+B37+B44+B51+B58+B65+B72+B79+B86+B93+B100+B107+B114+B121+B131+B138+B145+B152+B162+B169+B176+B183+B190+B197+B204+B211+B218+B225</f>
        <v>0</v>
      </c>
      <c r="C235" s="114">
        <f>C9+C16+C23+C30+C37+C44+C51+C58+C65+C72+C79+C86+C93+C100+C107+C114+C121+C131+C138+C145+C152+C162+C169+C176+C183+C190+C197+C204+C211+C218+C226</f>
        <v>0</v>
      </c>
      <c r="D235" s="114">
        <f t="shared" si="189"/>
        <v>0</v>
      </c>
      <c r="E235" s="139">
        <f>D235*25.4</f>
        <v>0</v>
      </c>
      <c r="F235" s="139">
        <f>B235*25.4+C235*50.8</f>
        <v>0</v>
      </c>
      <c r="G235" s="139">
        <f t="shared" si="190"/>
        <v>0</v>
      </c>
      <c r="H235" s="139"/>
      <c r="I235" s="114">
        <f t="shared" si="191"/>
        <v>0</v>
      </c>
      <c r="J235" s="114">
        <f t="shared" si="191"/>
        <v>0</v>
      </c>
      <c r="K235" s="114">
        <f t="shared" si="192"/>
        <v>0</v>
      </c>
      <c r="L235" s="139">
        <f>K235*25.4</f>
        <v>0</v>
      </c>
      <c r="M235" s="139">
        <f>I235*25.4+J235*50.8</f>
        <v>0</v>
      </c>
      <c r="N235" s="139">
        <f t="shared" si="193"/>
        <v>0</v>
      </c>
      <c r="O235" s="124"/>
      <c r="W235" s="124"/>
    </row>
    <row r="236" spans="1:29" x14ac:dyDescent="0.25">
      <c r="A236" s="23" t="s">
        <v>35</v>
      </c>
      <c r="B236" s="114">
        <f>B10+B17+B24+B31+B38+B45+B52+B59+B66+B73+B80+B87+B94+B101+B108+B115+B122+B132+B139+B146+B153+B163+B170+B177+B184+B191+B198+B205+B212+B219+B226</f>
        <v>80</v>
      </c>
      <c r="C236" s="114">
        <f>C10+C17+C24+C31+C38+C45+C52+C59+C66+C73+C80+C87+C94+C101+C108+C115+C122+C132+C139+C146+C153+C163+C170+C177+C184+C191+C198+C205+C212+C219+C226</f>
        <v>0</v>
      </c>
      <c r="D236" s="114">
        <f t="shared" si="189"/>
        <v>80</v>
      </c>
      <c r="E236" s="139">
        <f>D236*25.4</f>
        <v>2032</v>
      </c>
      <c r="F236" s="139">
        <f>B236*25.4+C236*50.8</f>
        <v>2032</v>
      </c>
      <c r="G236" s="139">
        <f t="shared" si="190"/>
        <v>211328</v>
      </c>
      <c r="H236" s="139"/>
      <c r="I236" s="114">
        <f t="shared" si="191"/>
        <v>51</v>
      </c>
      <c r="J236" s="114">
        <f t="shared" si="191"/>
        <v>0</v>
      </c>
      <c r="K236" s="114">
        <f t="shared" si="192"/>
        <v>51</v>
      </c>
      <c r="L236" s="139">
        <f>K236*25.4</f>
        <v>1295.3999999999999</v>
      </c>
      <c r="M236" s="139">
        <f>I236*25.4+J236*50.8</f>
        <v>1295.3999999999999</v>
      </c>
      <c r="N236" s="139">
        <f t="shared" si="193"/>
        <v>134721.59999999998</v>
      </c>
      <c r="O236" s="124"/>
      <c r="P236" s="124"/>
      <c r="Q236" s="124"/>
      <c r="R236" s="124"/>
      <c r="T236" s="124"/>
      <c r="U236" s="124"/>
      <c r="W236" s="124"/>
      <c r="AA236" s="101"/>
      <c r="AB236" s="101"/>
      <c r="AC236" s="101"/>
    </row>
    <row r="237" spans="1:29" s="124" customForma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P237"/>
      <c r="Q237"/>
      <c r="R237"/>
      <c r="T237"/>
      <c r="U237"/>
    </row>
    <row r="238" spans="1:29" s="124" customFormat="1" x14ac:dyDescent="0.25">
      <c r="A238" s="178" t="s">
        <v>64</v>
      </c>
      <c r="B238" s="283">
        <f>SUM(B231:B237)</f>
        <v>4384</v>
      </c>
      <c r="C238" s="283">
        <f>SUM(C231:C237)</f>
        <v>1561</v>
      </c>
      <c r="D238" s="283">
        <f>SUM(D231:D237)</f>
        <v>5945</v>
      </c>
      <c r="E238" s="283">
        <f>SUM(E231:E236)</f>
        <v>235922.25000000003</v>
      </c>
      <c r="F238" s="283">
        <f>SUM(F231:F236)</f>
        <v>302322.86</v>
      </c>
      <c r="G238" s="283">
        <f>SUM(G231:G236)</f>
        <v>31441577.440000001</v>
      </c>
      <c r="H238" s="283"/>
      <c r="I238" s="283">
        <f>SUM(I231:I236)</f>
        <v>3212</v>
      </c>
      <c r="J238" s="283">
        <f>SUM(J231:J236)</f>
        <v>987</v>
      </c>
      <c r="K238" s="283">
        <f>SUM(K231:K237)</f>
        <v>4199</v>
      </c>
      <c r="L238" s="283">
        <f>SUM(L231:L237)</f>
        <v>167454.46</v>
      </c>
      <c r="M238" s="283">
        <f>SUM(M231:M237)</f>
        <v>209645.22999999998</v>
      </c>
      <c r="N238" s="283">
        <f>SUM(N231:N237)</f>
        <v>21803103.920000002</v>
      </c>
      <c r="P238"/>
      <c r="Q238"/>
      <c r="R238"/>
      <c r="T238"/>
      <c r="U238"/>
    </row>
    <row r="239" spans="1:29" x14ac:dyDescent="0.25">
      <c r="A239" s="124"/>
      <c r="B239" s="124"/>
      <c r="C239" s="124"/>
      <c r="D239" s="124"/>
      <c r="E239" s="124"/>
      <c r="F239" s="124"/>
      <c r="G239" s="124"/>
      <c r="I239" s="124"/>
      <c r="J239" s="124"/>
      <c r="K239" s="124"/>
      <c r="L239" s="124"/>
      <c r="M239" s="208"/>
      <c r="N239" s="124"/>
      <c r="O239" s="124"/>
      <c r="W239" s="124"/>
    </row>
    <row r="240" spans="1:29" ht="42" customHeight="1" thickBot="1" x14ac:dyDescent="0.3">
      <c r="B240" s="124" t="s">
        <v>65</v>
      </c>
      <c r="C240" s="124">
        <f>(B238)+(C238*2)</f>
        <v>7506</v>
      </c>
      <c r="D240" s="124"/>
      <c r="E240" s="124"/>
      <c r="F240" s="124" t="s">
        <v>65</v>
      </c>
      <c r="G240" s="124">
        <f>(I238)+(J238*2)</f>
        <v>5186</v>
      </c>
      <c r="I240" s="124"/>
      <c r="J240" s="198"/>
      <c r="K240" s="124"/>
      <c r="L240" s="124"/>
      <c r="M240" s="208"/>
      <c r="N240" s="124"/>
      <c r="O240" s="124"/>
      <c r="W240" s="124"/>
    </row>
    <row r="241" spans="1:23" x14ac:dyDescent="0.25">
      <c r="A241" s="24"/>
      <c r="B241" s="381" t="s">
        <v>55</v>
      </c>
      <c r="C241" s="382"/>
      <c r="D241" s="25" t="s">
        <v>65</v>
      </c>
      <c r="E241" s="26"/>
      <c r="F241" s="27" t="s">
        <v>61</v>
      </c>
      <c r="G241" s="27" t="s">
        <v>66</v>
      </c>
      <c r="H241" s="25"/>
      <c r="I241" s="28" t="s">
        <v>67</v>
      </c>
      <c r="J241" s="124"/>
      <c r="K241" s="124"/>
      <c r="L241" s="124"/>
      <c r="M241" s="124"/>
      <c r="N241" s="124"/>
      <c r="O241" s="124"/>
      <c r="W241" s="124"/>
    </row>
    <row r="242" spans="1:23" x14ac:dyDescent="0.25">
      <c r="A242" s="29"/>
      <c r="B242" s="30" t="s">
        <v>58</v>
      </c>
      <c r="C242" s="30" t="s">
        <v>68</v>
      </c>
      <c r="D242" s="31"/>
      <c r="E242" s="32"/>
      <c r="F242" s="30"/>
      <c r="G242" s="30"/>
      <c r="H242" s="31"/>
      <c r="I242" s="33"/>
      <c r="J242" s="124"/>
      <c r="K242" s="124"/>
      <c r="L242" s="124"/>
      <c r="M242" s="124"/>
      <c r="N242" s="124"/>
      <c r="O242" s="124"/>
      <c r="W242" s="124"/>
    </row>
    <row r="243" spans="1:23" ht="15" hidden="1" customHeight="1" x14ac:dyDescent="0.25">
      <c r="A243" s="34" t="s">
        <v>69</v>
      </c>
      <c r="B243" s="144" t="e">
        <f>+#REF!</f>
        <v>#REF!</v>
      </c>
      <c r="C243" s="144" t="e">
        <f>+#REF!</f>
        <v>#REF!</v>
      </c>
      <c r="D243" s="144" t="e">
        <f>+B243+2*C243</f>
        <v>#REF!</v>
      </c>
      <c r="E243" s="35" t="s">
        <v>69</v>
      </c>
      <c r="F243" s="36">
        <f>+E238</f>
        <v>235922.25000000003</v>
      </c>
      <c r="G243" s="36">
        <f>+F238</f>
        <v>302322.86</v>
      </c>
      <c r="H243" s="290"/>
      <c r="I243" s="37">
        <f>+G238</f>
        <v>31441577.440000001</v>
      </c>
      <c r="J243" s="124"/>
      <c r="K243" s="124"/>
      <c r="L243" s="124"/>
      <c r="M243" s="124"/>
      <c r="N243" s="124"/>
      <c r="O243" s="124"/>
      <c r="W243" s="207"/>
    </row>
    <row r="244" spans="1:23" ht="16.149999999999999" hidden="1" customHeight="1" thickBot="1" x14ac:dyDescent="0.3">
      <c r="A244" s="38" t="s">
        <v>70</v>
      </c>
      <c r="B244" s="177" t="e">
        <f>+#REF!</f>
        <v>#REF!</v>
      </c>
      <c r="C244" s="177" t="e">
        <f>+#REF!</f>
        <v>#REF!</v>
      </c>
      <c r="D244" s="144" t="e">
        <f>+B244+2*C244</f>
        <v>#REF!</v>
      </c>
      <c r="E244" s="38" t="s">
        <v>70</v>
      </c>
      <c r="F244" s="39" t="e">
        <f>+#REF!</f>
        <v>#REF!</v>
      </c>
      <c r="G244" s="39" t="e">
        <f>+#REF!</f>
        <v>#REF!</v>
      </c>
      <c r="H244" s="291"/>
      <c r="I244" s="40" t="e">
        <f>+#REF!</f>
        <v>#REF!</v>
      </c>
      <c r="J244" s="124"/>
      <c r="K244" s="124"/>
      <c r="L244" s="124"/>
      <c r="M244" s="124"/>
      <c r="N244" s="124"/>
      <c r="O244" s="124"/>
      <c r="W244" s="207"/>
    </row>
    <row r="245" spans="1:23" ht="15" hidden="1" customHeight="1" x14ac:dyDescent="0.25">
      <c r="C245" s="124"/>
      <c r="D245" s="124"/>
      <c r="E245" s="124"/>
      <c r="F245" s="124"/>
      <c r="G245" s="124"/>
      <c r="I245" s="124" t="s">
        <v>65</v>
      </c>
      <c r="J245" s="218">
        <f>(I238)+(J238*2)</f>
        <v>5186</v>
      </c>
      <c r="K245" s="124"/>
      <c r="L245" s="124"/>
      <c r="M245" s="207"/>
      <c r="N245" s="207"/>
      <c r="O245" s="207"/>
      <c r="P245" s="207"/>
      <c r="Q245" s="207"/>
      <c r="R245" s="207"/>
      <c r="S245" s="207"/>
      <c r="T245" s="207"/>
      <c r="U245" s="207"/>
      <c r="V245" s="207"/>
      <c r="W245" s="207"/>
    </row>
    <row r="246" spans="1:23" ht="15" hidden="1" customHeight="1" x14ac:dyDescent="0.25">
      <c r="C246" s="124"/>
      <c r="D246" s="124"/>
      <c r="E246" s="124"/>
      <c r="F246" s="124"/>
      <c r="G246" s="124"/>
      <c r="I246" s="124"/>
      <c r="J246" s="124"/>
      <c r="K246" s="124"/>
      <c r="L246" s="124"/>
      <c r="M246" s="124"/>
      <c r="N246" s="124"/>
      <c r="O246" s="124"/>
    </row>
    <row r="247" spans="1:23" x14ac:dyDescent="0.25">
      <c r="C247" s="124"/>
    </row>
  </sheetData>
  <dataConsolidate>
    <dataRefs count="1">
      <dataRef name="=suma($G$5:$G$9)" r:id="rId1"/>
    </dataRefs>
  </dataConsolidate>
  <mergeCells count="29">
    <mergeCell ref="B2:C2"/>
    <mergeCell ref="D2:E2"/>
    <mergeCell ref="B3:C3"/>
    <mergeCell ref="D3:E3"/>
    <mergeCell ref="B241:C241"/>
    <mergeCell ref="B229:G229"/>
    <mergeCell ref="F3:F4"/>
    <mergeCell ref="G3:G4"/>
    <mergeCell ref="A62:A66"/>
    <mergeCell ref="M3:M4"/>
    <mergeCell ref="N3:N4"/>
    <mergeCell ref="I229:N229"/>
    <mergeCell ref="I3:I4"/>
    <mergeCell ref="K3:K4"/>
    <mergeCell ref="A149:A155"/>
    <mergeCell ref="A118:A124"/>
    <mergeCell ref="L3:L4"/>
    <mergeCell ref="J3:J4"/>
    <mergeCell ref="H3:H4"/>
    <mergeCell ref="X229:X230"/>
    <mergeCell ref="W229:W230"/>
    <mergeCell ref="W3:W4"/>
    <mergeCell ref="P3:P4"/>
    <mergeCell ref="O3:O4"/>
    <mergeCell ref="Q3:S3"/>
    <mergeCell ref="T229:V229"/>
    <mergeCell ref="T3:V3"/>
    <mergeCell ref="X3:X4"/>
    <mergeCell ref="P229:S229"/>
  </mergeCells>
  <conditionalFormatting sqref="D193:E198 D186:E191 D179:E184 D200:E205">
    <cfRule type="expression" dxfId="50" priority="210">
      <formula>AND($B179&lt;&gt;$D179)</formula>
    </cfRule>
  </conditionalFormatting>
  <conditionalFormatting sqref="D19:E24">
    <cfRule type="expression" dxfId="49" priority="162">
      <formula>AND($B19&lt;&gt;$D19)</formula>
    </cfRule>
  </conditionalFormatting>
  <conditionalFormatting sqref="D12:E17">
    <cfRule type="expression" dxfId="48" priority="128">
      <formula>AND($B12&lt;&gt;$D12)</formula>
    </cfRule>
  </conditionalFormatting>
  <conditionalFormatting sqref="D54:D59">
    <cfRule type="expression" dxfId="47" priority="123">
      <formula>AND($B54&lt;&gt;$D54)</formula>
    </cfRule>
  </conditionalFormatting>
  <conditionalFormatting sqref="E54:E59">
    <cfRule type="expression" dxfId="46" priority="122">
      <formula>AND($C54&lt;&gt;$E54)</formula>
    </cfRule>
  </conditionalFormatting>
  <conditionalFormatting sqref="D158:D163">
    <cfRule type="expression" dxfId="45" priority="93">
      <formula>AND($B158&lt;&gt;$D158)</formula>
    </cfRule>
  </conditionalFormatting>
  <conditionalFormatting sqref="E158:E163">
    <cfRule type="expression" dxfId="44" priority="92">
      <formula>AND($C158&lt;&gt;$E158)</formula>
    </cfRule>
  </conditionalFormatting>
  <conditionalFormatting sqref="D207:E212">
    <cfRule type="expression" dxfId="43" priority="88">
      <formula>AND($B207&lt;&gt;$D207)</formula>
    </cfRule>
  </conditionalFormatting>
  <conditionalFormatting sqref="D214:E219">
    <cfRule type="expression" dxfId="42" priority="86">
      <formula>AND($B214&lt;&gt;$D214)</formula>
    </cfRule>
  </conditionalFormatting>
  <conditionalFormatting sqref="D5:E10">
    <cfRule type="expression" dxfId="41" priority="83">
      <formula>AND($B5&lt;&gt;$D5)</formula>
    </cfRule>
  </conditionalFormatting>
  <conditionalFormatting sqref="D117:E125">
    <cfRule type="expression" dxfId="40" priority="58">
      <formula>AND($B117&lt;&gt;$D117)</formula>
    </cfRule>
  </conditionalFormatting>
  <conditionalFormatting sqref="D117:E125">
    <cfRule type="expression" dxfId="39" priority="57">
      <formula>AND($B117&lt;&gt;$D117)</formula>
    </cfRule>
  </conditionalFormatting>
  <conditionalFormatting sqref="D221:E226">
    <cfRule type="expression" dxfId="38" priority="49">
      <formula>AND($B221&lt;&gt;$D221)</formula>
    </cfRule>
  </conditionalFormatting>
  <conditionalFormatting sqref="D61:D66">
    <cfRule type="expression" dxfId="37" priority="48">
      <formula>AND($B61&lt;&gt;$D61)</formula>
    </cfRule>
  </conditionalFormatting>
  <conditionalFormatting sqref="E61:E66">
    <cfRule type="expression" dxfId="36" priority="47">
      <formula>AND($C61&lt;&gt;$E61)</formula>
    </cfRule>
  </conditionalFormatting>
  <conditionalFormatting sqref="D68:D73">
    <cfRule type="expression" dxfId="35" priority="46">
      <formula>AND($B68&lt;&gt;$D68)</formula>
    </cfRule>
  </conditionalFormatting>
  <conditionalFormatting sqref="E68:E73">
    <cfRule type="expression" dxfId="34" priority="45">
      <formula>AND($C68&lt;&gt;$E68)</formula>
    </cfRule>
  </conditionalFormatting>
  <conditionalFormatting sqref="D165:D170">
    <cfRule type="expression" dxfId="33" priority="40">
      <formula>AND($B165&lt;&gt;$D165)</formula>
    </cfRule>
  </conditionalFormatting>
  <conditionalFormatting sqref="E165:E170">
    <cfRule type="expression" dxfId="32" priority="39">
      <formula>AND($C165&lt;&gt;$E165)</formula>
    </cfRule>
  </conditionalFormatting>
  <conditionalFormatting sqref="D172:D177">
    <cfRule type="expression" dxfId="31" priority="38">
      <formula>AND($B172&lt;&gt;$D172)</formula>
    </cfRule>
  </conditionalFormatting>
  <conditionalFormatting sqref="E172:E177">
    <cfRule type="expression" dxfId="30" priority="37">
      <formula>AND($C172&lt;&gt;$E172)</formula>
    </cfRule>
  </conditionalFormatting>
  <conditionalFormatting sqref="D26:D31">
    <cfRule type="expression" dxfId="29" priority="36">
      <formula>AND($B26&lt;&gt;$D26)</formula>
    </cfRule>
  </conditionalFormatting>
  <conditionalFormatting sqref="E26:E31">
    <cfRule type="expression" dxfId="28" priority="35">
      <formula>AND($C26&lt;&gt;$E26)</formula>
    </cfRule>
  </conditionalFormatting>
  <conditionalFormatting sqref="D33:D38">
    <cfRule type="expression" dxfId="27" priority="34">
      <formula>AND($B33&lt;&gt;$D33)</formula>
    </cfRule>
  </conditionalFormatting>
  <conditionalFormatting sqref="E33:E38">
    <cfRule type="expression" dxfId="26" priority="33">
      <formula>AND($C33&lt;&gt;$E33)</formula>
    </cfRule>
  </conditionalFormatting>
  <conditionalFormatting sqref="D40:D45">
    <cfRule type="expression" dxfId="25" priority="32">
      <formula>AND($B40&lt;&gt;$D40)</formula>
    </cfRule>
  </conditionalFormatting>
  <conditionalFormatting sqref="E40:E45">
    <cfRule type="expression" dxfId="24" priority="31">
      <formula>AND($C40&lt;&gt;$E40)</formula>
    </cfRule>
  </conditionalFormatting>
  <conditionalFormatting sqref="D47:D52">
    <cfRule type="expression" dxfId="23" priority="30">
      <formula>AND($B47&lt;&gt;$D47)</formula>
    </cfRule>
  </conditionalFormatting>
  <conditionalFormatting sqref="E47:E52">
    <cfRule type="expression" dxfId="22" priority="29">
      <formula>AND($C47&lt;&gt;$E47)</formula>
    </cfRule>
  </conditionalFormatting>
  <conditionalFormatting sqref="D82:E87">
    <cfRule type="expression" dxfId="21" priority="28">
      <formula>AND($B82&lt;&gt;$D82)</formula>
    </cfRule>
  </conditionalFormatting>
  <conditionalFormatting sqref="D82:E87">
    <cfRule type="expression" dxfId="20" priority="27">
      <formula>AND($B82&lt;&gt;$D82)</formula>
    </cfRule>
  </conditionalFormatting>
  <conditionalFormatting sqref="D75:D80">
    <cfRule type="expression" dxfId="19" priority="26">
      <formula>AND($B75&lt;&gt;$D75)</formula>
    </cfRule>
  </conditionalFormatting>
  <conditionalFormatting sqref="E75:E80">
    <cfRule type="expression" dxfId="18" priority="25">
      <formula>AND($C75&lt;&gt;$E75)</formula>
    </cfRule>
  </conditionalFormatting>
  <conditionalFormatting sqref="D89:E93">
    <cfRule type="expression" dxfId="17" priority="24">
      <formula>AND($B89&lt;&gt;$D89)</formula>
    </cfRule>
  </conditionalFormatting>
  <conditionalFormatting sqref="D89:E93">
    <cfRule type="expression" dxfId="16" priority="23">
      <formula>AND($B89&lt;&gt;$D89)</formula>
    </cfRule>
  </conditionalFormatting>
  <conditionalFormatting sqref="D103:D108">
    <cfRule type="expression" dxfId="15" priority="16">
      <formula>AND($B103&lt;&gt;$D103)</formula>
    </cfRule>
  </conditionalFormatting>
  <conditionalFormatting sqref="E103:E108">
    <cfRule type="expression" dxfId="14" priority="15">
      <formula>AND($C103&lt;&gt;$E103)</formula>
    </cfRule>
  </conditionalFormatting>
  <conditionalFormatting sqref="D96:D101">
    <cfRule type="expression" dxfId="13" priority="14">
      <formula>AND($B96&lt;&gt;$D96)</formula>
    </cfRule>
  </conditionalFormatting>
  <conditionalFormatting sqref="E96:E101">
    <cfRule type="expression" dxfId="12" priority="13">
      <formula>AND($C96&lt;&gt;$E96)</formula>
    </cfRule>
  </conditionalFormatting>
  <conditionalFormatting sqref="D110:E115">
    <cfRule type="expression" dxfId="11" priority="12">
      <formula>AND($B110&lt;&gt;$D110)</formula>
    </cfRule>
  </conditionalFormatting>
  <conditionalFormatting sqref="D110:E115">
    <cfRule type="expression" dxfId="10" priority="11">
      <formula>AND($B110&lt;&gt;$D110)</formula>
    </cfRule>
  </conditionalFormatting>
  <conditionalFormatting sqref="D134:E139">
    <cfRule type="expression" dxfId="9" priority="10">
      <formula>AND($B134&lt;&gt;$D134)</formula>
    </cfRule>
  </conditionalFormatting>
  <conditionalFormatting sqref="D134:E139">
    <cfRule type="expression" dxfId="8" priority="9">
      <formula>AND($B134&lt;&gt;$D134)</formula>
    </cfRule>
  </conditionalFormatting>
  <conditionalFormatting sqref="D127:D132">
    <cfRule type="expression" dxfId="7" priority="8">
      <formula>AND($B127&lt;&gt;$D127)</formula>
    </cfRule>
  </conditionalFormatting>
  <conditionalFormatting sqref="E127:E132">
    <cfRule type="expression" dxfId="6" priority="7">
      <formula>AND($C127&lt;&gt;$E127)</formula>
    </cfRule>
  </conditionalFormatting>
  <conditionalFormatting sqref="D141:D146">
    <cfRule type="expression" dxfId="5" priority="6">
      <formula>AND($B141&lt;&gt;$D141)</formula>
    </cfRule>
  </conditionalFormatting>
  <conditionalFormatting sqref="E141:E146">
    <cfRule type="expression" dxfId="4" priority="5">
      <formula>AND($C141&lt;&gt;$E141)</formula>
    </cfRule>
  </conditionalFormatting>
  <conditionalFormatting sqref="D148:D153">
    <cfRule type="expression" dxfId="3" priority="4">
      <formula>AND($B148&lt;&gt;$D148)</formula>
    </cfRule>
  </conditionalFormatting>
  <conditionalFormatting sqref="E148:E153">
    <cfRule type="expression" dxfId="2" priority="3">
      <formula>AND($C148&lt;&gt;$E148)</formula>
    </cfRule>
  </conditionalFormatting>
  <conditionalFormatting sqref="D154:E156">
    <cfRule type="expression" dxfId="1" priority="2">
      <formula>AND($B154&lt;&gt;$D154)</formula>
    </cfRule>
  </conditionalFormatting>
  <conditionalFormatting sqref="D154:E156">
    <cfRule type="expression" dxfId="0" priority="1">
      <formula>AND($B154&lt;&gt;$D154)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7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V27" sqref="AV27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83">
        <v>46204</v>
      </c>
      <c r="E1" s="383"/>
      <c r="F1" s="383">
        <v>46205</v>
      </c>
      <c r="G1" s="383"/>
      <c r="H1" s="383">
        <v>46206</v>
      </c>
      <c r="I1" s="383"/>
      <c r="J1" s="383">
        <v>46207</v>
      </c>
      <c r="K1" s="383"/>
      <c r="L1" s="383">
        <v>46208</v>
      </c>
      <c r="M1" s="383"/>
      <c r="N1" s="383">
        <v>46209</v>
      </c>
      <c r="O1" s="383"/>
      <c r="P1" s="383">
        <v>46210</v>
      </c>
      <c r="Q1" s="383"/>
      <c r="R1" s="383">
        <v>46211</v>
      </c>
      <c r="S1" s="383"/>
      <c r="T1" s="383">
        <v>46212</v>
      </c>
      <c r="U1" s="383"/>
      <c r="V1" s="383">
        <v>46213</v>
      </c>
      <c r="W1" s="383"/>
      <c r="X1" s="383">
        <v>46214</v>
      </c>
      <c r="Y1" s="383"/>
      <c r="Z1" s="383">
        <v>46215</v>
      </c>
      <c r="AA1" s="383"/>
      <c r="AB1" s="383">
        <v>46216</v>
      </c>
      <c r="AC1" s="383"/>
      <c r="AD1" s="383">
        <v>46217</v>
      </c>
      <c r="AE1" s="383"/>
      <c r="AF1" s="383">
        <v>46218</v>
      </c>
      <c r="AG1" s="383"/>
      <c r="AH1" s="383">
        <v>46219</v>
      </c>
      <c r="AI1" s="383"/>
      <c r="AJ1" s="383">
        <v>46220</v>
      </c>
      <c r="AK1" s="383"/>
      <c r="AL1" s="383">
        <v>46221</v>
      </c>
      <c r="AM1" s="383"/>
      <c r="AN1" s="383">
        <v>46222</v>
      </c>
      <c r="AO1" s="383"/>
      <c r="AP1" s="383">
        <v>46223</v>
      </c>
      <c r="AQ1" s="383"/>
      <c r="AR1" s="383">
        <v>46224</v>
      </c>
      <c r="AS1" s="383"/>
      <c r="AT1" s="383">
        <v>46225</v>
      </c>
      <c r="AU1" s="383"/>
      <c r="AV1" s="383">
        <v>46226</v>
      </c>
      <c r="AW1" s="383"/>
      <c r="AX1" s="383">
        <v>46227</v>
      </c>
      <c r="AY1" s="383"/>
      <c r="AZ1" s="383">
        <v>46228</v>
      </c>
      <c r="BA1" s="383"/>
      <c r="BB1" s="383">
        <v>46229</v>
      </c>
      <c r="BC1" s="383"/>
      <c r="BD1" s="383">
        <v>46230</v>
      </c>
      <c r="BE1" s="383"/>
      <c r="BF1" s="383">
        <v>46231</v>
      </c>
      <c r="BG1" s="383"/>
      <c r="BH1" s="383">
        <v>46232</v>
      </c>
      <c r="BI1" s="383"/>
      <c r="BJ1" s="383">
        <v>46233</v>
      </c>
      <c r="BK1" s="383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>
        <v>12</v>
      </c>
      <c r="AC3" s="156">
        <v>0</v>
      </c>
      <c r="AD3" s="156">
        <v>9</v>
      </c>
      <c r="AE3" s="156">
        <v>0</v>
      </c>
      <c r="AF3" s="156">
        <v>12</v>
      </c>
      <c r="AG3" s="156">
        <v>0</v>
      </c>
      <c r="AH3" s="136">
        <v>0</v>
      </c>
      <c r="AI3" s="308">
        <v>0</v>
      </c>
      <c r="AJ3" s="156">
        <v>6</v>
      </c>
      <c r="AK3" s="300">
        <v>0</v>
      </c>
      <c r="AL3" s="135">
        <v>0</v>
      </c>
      <c r="AM3" s="135">
        <v>0</v>
      </c>
      <c r="AN3" s="136">
        <v>0</v>
      </c>
      <c r="AO3" s="308">
        <v>0</v>
      </c>
      <c r="AP3" s="156">
        <v>2</v>
      </c>
      <c r="AQ3" s="300">
        <v>0</v>
      </c>
      <c r="AR3" s="156">
        <v>0</v>
      </c>
      <c r="AS3" s="300">
        <v>0</v>
      </c>
      <c r="AT3" s="156">
        <v>5</v>
      </c>
      <c r="AU3" s="300">
        <v>0</v>
      </c>
      <c r="AV3" s="156">
        <v>10</v>
      </c>
      <c r="AW3" s="300">
        <v>0</v>
      </c>
      <c r="AX3" s="156"/>
      <c r="AY3" s="300"/>
      <c r="AZ3" s="156"/>
      <c r="BA3" s="300"/>
      <c r="BB3" s="156"/>
      <c r="BC3" s="156"/>
      <c r="BD3" s="135"/>
      <c r="BE3" s="135"/>
      <c r="BF3" s="136"/>
      <c r="BG3" s="308"/>
      <c r="BH3" s="136"/>
      <c r="BI3" s="308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156">
        <v>0</v>
      </c>
      <c r="AF4" s="156">
        <v>0</v>
      </c>
      <c r="AG4" s="156">
        <v>0</v>
      </c>
      <c r="AH4" s="136">
        <v>0</v>
      </c>
      <c r="AI4" s="308">
        <v>0</v>
      </c>
      <c r="AJ4" s="156">
        <v>0</v>
      </c>
      <c r="AK4" s="300">
        <v>0</v>
      </c>
      <c r="AL4" s="135">
        <v>0</v>
      </c>
      <c r="AM4" s="135">
        <v>0</v>
      </c>
      <c r="AN4" s="136">
        <v>0</v>
      </c>
      <c r="AO4" s="308">
        <v>0</v>
      </c>
      <c r="AP4" s="156">
        <v>0</v>
      </c>
      <c r="AQ4" s="300">
        <v>0</v>
      </c>
      <c r="AR4" s="156">
        <v>0</v>
      </c>
      <c r="AS4" s="300">
        <v>0</v>
      </c>
      <c r="AT4" s="156">
        <v>0</v>
      </c>
      <c r="AU4" s="300">
        <v>0</v>
      </c>
      <c r="AV4" s="156">
        <v>0</v>
      </c>
      <c r="AW4" s="300">
        <v>0</v>
      </c>
      <c r="AX4" s="156"/>
      <c r="AY4" s="300"/>
      <c r="AZ4" s="156"/>
      <c r="BA4" s="300"/>
      <c r="BB4" s="156"/>
      <c r="BC4" s="156"/>
      <c r="BD4" s="135"/>
      <c r="BE4" s="135"/>
      <c r="BF4" s="136"/>
      <c r="BG4" s="308"/>
      <c r="BH4" s="136"/>
      <c r="BI4" s="308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>
        <v>1</v>
      </c>
      <c r="AC5" s="156">
        <v>9</v>
      </c>
      <c r="AD5" s="156">
        <v>2</v>
      </c>
      <c r="AE5" s="156">
        <v>8</v>
      </c>
      <c r="AF5" s="156">
        <v>1</v>
      </c>
      <c r="AG5" s="156">
        <v>9</v>
      </c>
      <c r="AH5" s="136">
        <v>0</v>
      </c>
      <c r="AI5" s="308">
        <v>0</v>
      </c>
      <c r="AJ5" s="156">
        <v>10</v>
      </c>
      <c r="AK5" s="300">
        <v>0</v>
      </c>
      <c r="AL5" s="135">
        <v>0</v>
      </c>
      <c r="AM5" s="135">
        <v>0</v>
      </c>
      <c r="AN5" s="136">
        <v>0</v>
      </c>
      <c r="AO5" s="308">
        <v>0</v>
      </c>
      <c r="AP5" s="156">
        <v>8</v>
      </c>
      <c r="AQ5" s="300">
        <v>2</v>
      </c>
      <c r="AR5" s="156">
        <v>6</v>
      </c>
      <c r="AS5" s="300">
        <v>4</v>
      </c>
      <c r="AT5" s="156">
        <v>2</v>
      </c>
      <c r="AU5" s="300">
        <v>8</v>
      </c>
      <c r="AV5" s="156">
        <v>2</v>
      </c>
      <c r="AW5" s="300">
        <v>8</v>
      </c>
      <c r="AX5" s="156"/>
      <c r="AY5" s="300"/>
      <c r="AZ5" s="156"/>
      <c r="BA5" s="300"/>
      <c r="BB5" s="156"/>
      <c r="BC5" s="156"/>
      <c r="BD5" s="135"/>
      <c r="BE5" s="135"/>
      <c r="BF5" s="136"/>
      <c r="BG5" s="308"/>
      <c r="BH5" s="136"/>
      <c r="BI5" s="308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>
        <v>10</v>
      </c>
      <c r="AC6" s="156">
        <v>0</v>
      </c>
      <c r="AD6" s="156">
        <v>8</v>
      </c>
      <c r="AE6" s="156">
        <v>0</v>
      </c>
      <c r="AF6" s="156">
        <v>10</v>
      </c>
      <c r="AG6" s="156">
        <v>0</v>
      </c>
      <c r="AH6" s="136">
        <v>0</v>
      </c>
      <c r="AI6" s="308">
        <v>0</v>
      </c>
      <c r="AJ6" s="156">
        <v>7</v>
      </c>
      <c r="AK6" s="300">
        <v>0</v>
      </c>
      <c r="AL6" s="135">
        <v>0</v>
      </c>
      <c r="AM6" s="135">
        <v>0</v>
      </c>
      <c r="AN6" s="136">
        <v>0</v>
      </c>
      <c r="AO6" s="308">
        <v>0</v>
      </c>
      <c r="AP6" s="156">
        <v>3</v>
      </c>
      <c r="AQ6" s="300">
        <v>0</v>
      </c>
      <c r="AR6" s="156">
        <v>2</v>
      </c>
      <c r="AS6" s="300">
        <v>0</v>
      </c>
      <c r="AT6" s="156">
        <v>6</v>
      </c>
      <c r="AU6" s="300">
        <v>0</v>
      </c>
      <c r="AV6" s="156">
        <v>10</v>
      </c>
      <c r="AW6" s="300">
        <v>0</v>
      </c>
      <c r="AX6" s="156"/>
      <c r="AY6" s="300"/>
      <c r="AZ6" s="156"/>
      <c r="BA6" s="300"/>
      <c r="BB6" s="156"/>
      <c r="BC6" s="156"/>
      <c r="BD6" s="135"/>
      <c r="BE6" s="135"/>
      <c r="BF6" s="136"/>
      <c r="BG6" s="308"/>
      <c r="BH6" s="136"/>
      <c r="BI6" s="308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1</v>
      </c>
      <c r="AC7" s="156">
        <v>0</v>
      </c>
      <c r="AD7" s="156">
        <v>3</v>
      </c>
      <c r="AE7" s="156">
        <v>0</v>
      </c>
      <c r="AF7" s="156">
        <v>1</v>
      </c>
      <c r="AG7" s="156">
        <v>0</v>
      </c>
      <c r="AH7" s="136">
        <v>0</v>
      </c>
      <c r="AI7" s="308">
        <v>0</v>
      </c>
      <c r="AJ7" s="156">
        <v>0</v>
      </c>
      <c r="AK7" s="300">
        <v>0</v>
      </c>
      <c r="AL7" s="135">
        <v>0</v>
      </c>
      <c r="AM7" s="135">
        <v>0</v>
      </c>
      <c r="AN7" s="136">
        <v>0</v>
      </c>
      <c r="AO7" s="308">
        <v>0</v>
      </c>
      <c r="AP7" s="156">
        <v>0</v>
      </c>
      <c r="AQ7" s="300">
        <v>0</v>
      </c>
      <c r="AR7" s="156">
        <v>0</v>
      </c>
      <c r="AS7" s="300">
        <v>0</v>
      </c>
      <c r="AT7" s="156">
        <v>0</v>
      </c>
      <c r="AU7" s="300">
        <v>0</v>
      </c>
      <c r="AV7" s="156">
        <v>0</v>
      </c>
      <c r="AW7" s="300">
        <v>0</v>
      </c>
      <c r="AX7" s="156"/>
      <c r="AY7" s="300"/>
      <c r="AZ7" s="156"/>
      <c r="BA7" s="300"/>
      <c r="BB7" s="156"/>
      <c r="BC7" s="156"/>
      <c r="BD7" s="135"/>
      <c r="BE7" s="135"/>
      <c r="BF7" s="136"/>
      <c r="BG7" s="308"/>
      <c r="BH7" s="136"/>
      <c r="BI7" s="308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>
        <v>5</v>
      </c>
      <c r="AC8" s="156">
        <v>5</v>
      </c>
      <c r="AD8" s="156">
        <v>5</v>
      </c>
      <c r="AE8" s="156">
        <v>5</v>
      </c>
      <c r="AF8" s="156">
        <v>5</v>
      </c>
      <c r="AG8" s="156">
        <v>5</v>
      </c>
      <c r="AH8" s="136">
        <v>0</v>
      </c>
      <c r="AI8" s="308">
        <v>0</v>
      </c>
      <c r="AJ8" s="156">
        <v>10</v>
      </c>
      <c r="AK8" s="300">
        <v>0</v>
      </c>
      <c r="AL8" s="135">
        <v>0</v>
      </c>
      <c r="AM8" s="135">
        <v>0</v>
      </c>
      <c r="AN8" s="136">
        <v>0</v>
      </c>
      <c r="AO8" s="308">
        <v>0</v>
      </c>
      <c r="AP8" s="156">
        <v>10</v>
      </c>
      <c r="AQ8" s="300">
        <v>0</v>
      </c>
      <c r="AR8" s="156">
        <v>8</v>
      </c>
      <c r="AS8" s="300">
        <v>2</v>
      </c>
      <c r="AT8" s="156">
        <v>7</v>
      </c>
      <c r="AU8" s="300">
        <v>3</v>
      </c>
      <c r="AV8" s="156">
        <v>6</v>
      </c>
      <c r="AW8" s="300">
        <v>4</v>
      </c>
      <c r="AX8" s="156"/>
      <c r="AY8" s="300"/>
      <c r="AZ8" s="156"/>
      <c r="BA8" s="300"/>
      <c r="BB8" s="156"/>
      <c r="BC8" s="156"/>
      <c r="BD8" s="135"/>
      <c r="BE8" s="135"/>
      <c r="BF8" s="136"/>
      <c r="BG8" s="308"/>
      <c r="BH8" s="136"/>
      <c r="BI8" s="308"/>
      <c r="BJ8" s="156"/>
      <c r="BK8" s="156"/>
    </row>
    <row r="9" spans="1:63" x14ac:dyDescent="0.25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/>
      <c r="AC9" s="302"/>
      <c r="AD9" s="302"/>
      <c r="AE9" s="302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 t="s">
        <v>144</v>
      </c>
      <c r="BA9" s="302" t="s">
        <v>144</v>
      </c>
      <c r="BB9" s="302" t="s">
        <v>144</v>
      </c>
      <c r="BC9" s="302" t="s">
        <v>144</v>
      </c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25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>
        <v>17</v>
      </c>
      <c r="AC10" s="156">
        <v>0</v>
      </c>
      <c r="AD10" s="156">
        <v>16</v>
      </c>
      <c r="AE10" s="156">
        <v>0</v>
      </c>
      <c r="AF10" s="156">
        <v>17</v>
      </c>
      <c r="AG10" s="156">
        <v>0</v>
      </c>
      <c r="AH10" s="136">
        <v>0</v>
      </c>
      <c r="AI10" s="308">
        <v>0</v>
      </c>
      <c r="AJ10" s="156">
        <v>3</v>
      </c>
      <c r="AK10" s="300">
        <v>0</v>
      </c>
      <c r="AL10" s="135">
        <v>0</v>
      </c>
      <c r="AM10" s="135">
        <v>0</v>
      </c>
      <c r="AN10" s="136">
        <v>0</v>
      </c>
      <c r="AO10" s="308">
        <v>0</v>
      </c>
      <c r="AP10" s="156">
        <v>2</v>
      </c>
      <c r="AQ10" s="300">
        <v>0</v>
      </c>
      <c r="AR10" s="156">
        <v>7</v>
      </c>
      <c r="AS10" s="300">
        <v>0</v>
      </c>
      <c r="AT10" s="156">
        <v>14</v>
      </c>
      <c r="AU10" s="300">
        <v>0</v>
      </c>
      <c r="AV10" s="156">
        <v>17</v>
      </c>
      <c r="AW10" s="300">
        <v>0</v>
      </c>
      <c r="AX10" s="156"/>
      <c r="AY10" s="300"/>
      <c r="AZ10" s="156"/>
      <c r="BA10" s="300"/>
      <c r="BB10" s="156"/>
      <c r="BC10" s="156"/>
      <c r="BD10" s="135"/>
      <c r="BE10" s="135"/>
      <c r="BF10" s="136"/>
      <c r="BG10" s="308"/>
      <c r="BH10" s="136"/>
      <c r="BI10" s="308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156">
        <v>0</v>
      </c>
      <c r="AF11" s="156">
        <v>0</v>
      </c>
      <c r="AG11" s="156">
        <v>0</v>
      </c>
      <c r="AH11" s="136">
        <v>0</v>
      </c>
      <c r="AI11" s="308">
        <v>0</v>
      </c>
      <c r="AJ11" s="156">
        <v>0</v>
      </c>
      <c r="AK11" s="300">
        <v>0</v>
      </c>
      <c r="AL11" s="135">
        <v>0</v>
      </c>
      <c r="AM11" s="135">
        <v>0</v>
      </c>
      <c r="AN11" s="136">
        <v>0</v>
      </c>
      <c r="AO11" s="308">
        <v>0</v>
      </c>
      <c r="AP11" s="156">
        <v>0</v>
      </c>
      <c r="AQ11" s="300">
        <v>0</v>
      </c>
      <c r="AR11" s="156">
        <v>0</v>
      </c>
      <c r="AS11" s="300">
        <v>0</v>
      </c>
      <c r="AT11" s="156">
        <v>0</v>
      </c>
      <c r="AU11" s="300">
        <v>0</v>
      </c>
      <c r="AV11" s="156">
        <v>0</v>
      </c>
      <c r="AW11" s="300">
        <v>0</v>
      </c>
      <c r="AX11" s="156"/>
      <c r="AY11" s="300"/>
      <c r="AZ11" s="156"/>
      <c r="BA11" s="300"/>
      <c r="BB11" s="156"/>
      <c r="BC11" s="156"/>
      <c r="BD11" s="135"/>
      <c r="BE11" s="135"/>
      <c r="BF11" s="136"/>
      <c r="BG11" s="308"/>
      <c r="BH11" s="136"/>
      <c r="BI11" s="308"/>
      <c r="BJ11" s="156"/>
      <c r="BK11" s="156"/>
    </row>
    <row r="12" spans="1:63" x14ac:dyDescent="0.25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>
        <v>44</v>
      </c>
      <c r="AC12" s="156">
        <v>17</v>
      </c>
      <c r="AD12" s="156">
        <v>43</v>
      </c>
      <c r="AE12" s="156">
        <v>19</v>
      </c>
      <c r="AF12" s="156">
        <v>44</v>
      </c>
      <c r="AG12" s="156">
        <v>17</v>
      </c>
      <c r="AH12" s="136">
        <v>51</v>
      </c>
      <c r="AI12" s="308">
        <v>3</v>
      </c>
      <c r="AJ12" s="156">
        <v>6</v>
      </c>
      <c r="AK12" s="300">
        <v>0</v>
      </c>
      <c r="AL12" s="135">
        <v>59</v>
      </c>
      <c r="AM12" s="135">
        <v>0</v>
      </c>
      <c r="AN12" s="136">
        <v>50</v>
      </c>
      <c r="AO12" s="308">
        <v>4</v>
      </c>
      <c r="AP12" s="156">
        <v>52</v>
      </c>
      <c r="AQ12" s="300">
        <v>9</v>
      </c>
      <c r="AR12" s="156">
        <v>44</v>
      </c>
      <c r="AS12" s="300">
        <v>8</v>
      </c>
      <c r="AT12" s="156">
        <v>48</v>
      </c>
      <c r="AU12" s="300">
        <v>14</v>
      </c>
      <c r="AV12" s="156">
        <v>50</v>
      </c>
      <c r="AW12" s="300">
        <v>11</v>
      </c>
      <c r="AX12" s="156"/>
      <c r="AY12" s="300"/>
      <c r="AZ12" s="156"/>
      <c r="BA12" s="300"/>
      <c r="BB12" s="156"/>
      <c r="BC12" s="156"/>
      <c r="BD12" s="135"/>
      <c r="BE12" s="135"/>
      <c r="BF12" s="136"/>
      <c r="BG12" s="308"/>
      <c r="BH12" s="136"/>
      <c r="BI12" s="308"/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>
        <v>16</v>
      </c>
      <c r="AC13" s="156">
        <v>0</v>
      </c>
      <c r="AD13" s="156">
        <v>16</v>
      </c>
      <c r="AE13" s="156">
        <v>0</v>
      </c>
      <c r="AF13" s="156">
        <v>16</v>
      </c>
      <c r="AG13" s="156">
        <v>0</v>
      </c>
      <c r="AH13" s="136">
        <v>0</v>
      </c>
      <c r="AI13" s="308">
        <v>0</v>
      </c>
      <c r="AJ13" s="156">
        <v>2</v>
      </c>
      <c r="AK13" s="300">
        <v>0</v>
      </c>
      <c r="AL13" s="135">
        <v>0</v>
      </c>
      <c r="AM13" s="135">
        <v>0</v>
      </c>
      <c r="AN13" s="136">
        <v>0</v>
      </c>
      <c r="AO13" s="308">
        <v>0</v>
      </c>
      <c r="AP13" s="156">
        <v>3</v>
      </c>
      <c r="AQ13" s="300">
        <v>0</v>
      </c>
      <c r="AR13" s="156">
        <v>9</v>
      </c>
      <c r="AS13" s="300">
        <v>0</v>
      </c>
      <c r="AT13" s="156">
        <v>14</v>
      </c>
      <c r="AU13" s="300">
        <v>0</v>
      </c>
      <c r="AV13" s="156">
        <v>16</v>
      </c>
      <c r="AW13" s="300">
        <v>0</v>
      </c>
      <c r="AX13" s="156"/>
      <c r="AY13" s="300"/>
      <c r="AZ13" s="156"/>
      <c r="BA13" s="300"/>
      <c r="BB13" s="156"/>
      <c r="BC13" s="156"/>
      <c r="BD13" s="135"/>
      <c r="BE13" s="135"/>
      <c r="BF13" s="136"/>
      <c r="BG13" s="308"/>
      <c r="BH13" s="136"/>
      <c r="BI13" s="308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>
        <v>3</v>
      </c>
      <c r="AC14" s="156">
        <v>0</v>
      </c>
      <c r="AD14" s="156">
        <v>2</v>
      </c>
      <c r="AE14" s="156">
        <v>0</v>
      </c>
      <c r="AF14" s="156">
        <v>3</v>
      </c>
      <c r="AG14" s="156">
        <v>0</v>
      </c>
      <c r="AH14" s="136">
        <v>0</v>
      </c>
      <c r="AI14" s="308">
        <v>0</v>
      </c>
      <c r="AJ14" s="156">
        <v>1</v>
      </c>
      <c r="AK14" s="300">
        <v>0</v>
      </c>
      <c r="AL14" s="135">
        <v>0</v>
      </c>
      <c r="AM14" s="135">
        <v>0</v>
      </c>
      <c r="AN14" s="136">
        <v>0</v>
      </c>
      <c r="AO14" s="308">
        <v>0</v>
      </c>
      <c r="AP14" s="156">
        <v>1</v>
      </c>
      <c r="AQ14" s="300">
        <v>0</v>
      </c>
      <c r="AR14" s="156">
        <v>1</v>
      </c>
      <c r="AS14" s="300">
        <v>0</v>
      </c>
      <c r="AT14" s="156">
        <v>1</v>
      </c>
      <c r="AU14" s="300">
        <v>0</v>
      </c>
      <c r="AV14" s="156">
        <v>2</v>
      </c>
      <c r="AW14" s="300">
        <v>0</v>
      </c>
      <c r="AX14" s="156"/>
      <c r="AY14" s="300"/>
      <c r="AZ14" s="156"/>
      <c r="BA14" s="300"/>
      <c r="BB14" s="156"/>
      <c r="BC14" s="156"/>
      <c r="BD14" s="135"/>
      <c r="BE14" s="135"/>
      <c r="BF14" s="136"/>
      <c r="BG14" s="308"/>
      <c r="BH14" s="136"/>
      <c r="BI14" s="308"/>
      <c r="BJ14" s="156"/>
      <c r="BK14" s="156"/>
    </row>
    <row r="15" spans="1:63" ht="15.75" thickBot="1" x14ac:dyDescent="0.3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>
        <v>36</v>
      </c>
      <c r="AC15" s="156">
        <v>25</v>
      </c>
      <c r="AD15" s="156">
        <v>37</v>
      </c>
      <c r="AE15" s="156">
        <v>24</v>
      </c>
      <c r="AF15" s="156">
        <v>37</v>
      </c>
      <c r="AG15" s="156">
        <v>24</v>
      </c>
      <c r="AH15" s="136">
        <v>57</v>
      </c>
      <c r="AI15" s="308">
        <v>0</v>
      </c>
      <c r="AJ15" s="156">
        <v>9</v>
      </c>
      <c r="AK15" s="300">
        <v>0</v>
      </c>
      <c r="AL15" s="135">
        <v>62</v>
      </c>
      <c r="AM15" s="135">
        <v>0</v>
      </c>
      <c r="AN15" s="136">
        <v>56</v>
      </c>
      <c r="AO15" s="308">
        <v>1</v>
      </c>
      <c r="AP15" s="156">
        <v>51</v>
      </c>
      <c r="AQ15" s="300">
        <v>10</v>
      </c>
      <c r="AR15" s="156">
        <v>44</v>
      </c>
      <c r="AS15" s="300">
        <v>7</v>
      </c>
      <c r="AT15" s="156">
        <v>40</v>
      </c>
      <c r="AU15" s="300">
        <v>21</v>
      </c>
      <c r="AV15" s="156">
        <v>42</v>
      </c>
      <c r="AW15" s="300">
        <v>19</v>
      </c>
      <c r="AX15" s="156"/>
      <c r="AY15" s="300"/>
      <c r="AZ15" s="156"/>
      <c r="BA15" s="300"/>
      <c r="BB15" s="156"/>
      <c r="BC15" s="156"/>
      <c r="BD15" s="135"/>
      <c r="BE15" s="135"/>
      <c r="BF15" s="136"/>
      <c r="BG15" s="308"/>
      <c r="BH15" s="136"/>
      <c r="BI15" s="308"/>
      <c r="BJ15" s="156"/>
      <c r="BK15" s="156"/>
    </row>
    <row r="16" spans="1:63" s="124" customFormat="1" ht="15.75" thickBot="1" x14ac:dyDescent="0.3">
      <c r="A16" s="260" t="s">
        <v>188</v>
      </c>
      <c r="B16" s="342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156">
        <v>10</v>
      </c>
      <c r="AK16" s="156">
        <v>1</v>
      </c>
      <c r="AR16" s="347">
        <v>3</v>
      </c>
      <c r="AS16" s="348">
        <v>2</v>
      </c>
    </row>
    <row r="17" spans="1:63 16295:16295" s="124" customFormat="1" ht="15.75" thickBot="1" x14ac:dyDescent="0.3">
      <c r="A17" s="260" t="s">
        <v>189</v>
      </c>
      <c r="B17" s="342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156">
        <v>8</v>
      </c>
      <c r="AK17" s="156">
        <v>0</v>
      </c>
      <c r="AR17" s="347">
        <v>3</v>
      </c>
      <c r="AS17" s="348">
        <v>2</v>
      </c>
    </row>
    <row r="18" spans="1:63 16295:16295" s="124" customFormat="1" x14ac:dyDescent="0.25">
      <c r="A18" s="344" t="s">
        <v>190</v>
      </c>
      <c r="B18" s="345"/>
      <c r="C18" s="8"/>
      <c r="D18" s="302"/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  <c r="AC18" s="302"/>
      <c r="AD18" s="302"/>
      <c r="AE18" s="302"/>
      <c r="AF18" s="302"/>
      <c r="AG18" s="302"/>
      <c r="AH18" s="302"/>
      <c r="AI18" s="302"/>
      <c r="AJ18" s="343">
        <v>1</v>
      </c>
      <c r="AK18" s="343">
        <v>0</v>
      </c>
      <c r="AL18" s="302"/>
      <c r="AM18" s="302"/>
      <c r="AN18" s="302"/>
      <c r="AO18" s="302"/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2" t="s">
        <v>144</v>
      </c>
      <c r="BA18" s="302" t="s">
        <v>144</v>
      </c>
      <c r="BB18" s="302" t="s">
        <v>144</v>
      </c>
      <c r="BC18" s="302" t="s">
        <v>144</v>
      </c>
      <c r="BD18" s="302" t="s">
        <v>144</v>
      </c>
      <c r="BE18" s="302" t="s">
        <v>144</v>
      </c>
      <c r="BF18" s="302" t="s">
        <v>144</v>
      </c>
      <c r="BG18" s="302" t="s">
        <v>144</v>
      </c>
      <c r="BH18" s="302"/>
      <c r="BI18" s="302"/>
      <c r="BJ18" s="302"/>
      <c r="BK18" s="302"/>
    </row>
    <row r="19" spans="1:63 16295:16295" s="124" customFormat="1" x14ac:dyDescent="0.25">
      <c r="A19" s="305"/>
      <c r="B19" s="305"/>
      <c r="C19" s="8"/>
      <c r="D19" s="302"/>
      <c r="E19" s="302"/>
      <c r="F19" s="302"/>
      <c r="G19" s="302"/>
      <c r="H19" s="302"/>
      <c r="I19" s="302"/>
      <c r="J19" s="302"/>
      <c r="K19" s="302"/>
      <c r="L19" s="302"/>
      <c r="M19" s="302"/>
      <c r="N19" s="302"/>
      <c r="O19" s="302"/>
      <c r="P19" s="302"/>
      <c r="Q19" s="302"/>
      <c r="R19" s="302"/>
      <c r="S19" s="302"/>
      <c r="T19" s="302"/>
      <c r="U19" s="302"/>
      <c r="V19" s="302"/>
      <c r="W19" s="302"/>
      <c r="X19" s="302"/>
      <c r="Y19" s="302"/>
      <c r="Z19" s="302"/>
      <c r="AA19" s="302"/>
      <c r="AB19" s="302"/>
      <c r="AC19" s="302"/>
      <c r="AD19" s="302"/>
      <c r="AE19" s="302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  <c r="AS19" s="302"/>
      <c r="AT19" s="302"/>
      <c r="AU19" s="302"/>
      <c r="AV19" s="302"/>
      <c r="AW19" s="302"/>
      <c r="AX19" s="302"/>
      <c r="AY19" s="302"/>
      <c r="AZ19" s="302"/>
      <c r="BA19" s="302"/>
      <c r="BB19" s="302"/>
      <c r="BC19" s="302"/>
      <c r="BD19" s="302"/>
      <c r="BE19" s="302"/>
      <c r="BF19" s="302"/>
      <c r="BG19" s="302"/>
      <c r="BH19" s="302"/>
      <c r="BI19" s="302"/>
      <c r="BJ19" s="302"/>
      <c r="BK19" s="302"/>
    </row>
    <row r="20" spans="1:63 16295:16295" x14ac:dyDescent="0.25">
      <c r="A20" s="67" t="s">
        <v>73</v>
      </c>
      <c r="B20" s="68"/>
      <c r="C20" s="8"/>
      <c r="D20" s="285">
        <v>7</v>
      </c>
      <c r="E20" s="285">
        <v>0</v>
      </c>
      <c r="F20" s="285">
        <v>7</v>
      </c>
      <c r="G20" s="285">
        <v>0</v>
      </c>
      <c r="H20" s="285">
        <v>7</v>
      </c>
      <c r="I20" s="285">
        <v>0</v>
      </c>
      <c r="J20" s="307">
        <v>0</v>
      </c>
      <c r="K20" s="307">
        <v>0</v>
      </c>
      <c r="L20" s="338">
        <v>0</v>
      </c>
      <c r="M20" s="338">
        <v>0</v>
      </c>
      <c r="N20" s="285">
        <v>7</v>
      </c>
      <c r="O20" s="285">
        <v>0</v>
      </c>
      <c r="P20" s="285">
        <v>2</v>
      </c>
      <c r="Q20" s="285">
        <v>0</v>
      </c>
      <c r="R20" s="156">
        <v>7</v>
      </c>
      <c r="S20" s="156">
        <v>0</v>
      </c>
      <c r="T20" s="156">
        <v>7</v>
      </c>
      <c r="U20" s="156">
        <v>0</v>
      </c>
      <c r="V20" s="285">
        <v>7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>
        <v>7</v>
      </c>
      <c r="AC20" s="285">
        <v>0</v>
      </c>
      <c r="AD20" s="285">
        <v>7</v>
      </c>
      <c r="AE20" s="285">
        <v>0</v>
      </c>
      <c r="AF20" s="301">
        <v>7</v>
      </c>
      <c r="AG20" s="301">
        <v>0</v>
      </c>
      <c r="AH20" s="136">
        <v>0</v>
      </c>
      <c r="AI20" s="308">
        <v>0</v>
      </c>
      <c r="AJ20" s="156">
        <v>0</v>
      </c>
      <c r="AK20" s="300">
        <v>0</v>
      </c>
      <c r="AL20" s="307">
        <v>0</v>
      </c>
      <c r="AM20" s="337">
        <v>0</v>
      </c>
      <c r="AN20" s="136">
        <v>0</v>
      </c>
      <c r="AO20" s="308">
        <v>0</v>
      </c>
      <c r="AP20" s="156">
        <v>4</v>
      </c>
      <c r="AQ20" s="300">
        <v>0</v>
      </c>
      <c r="AR20" s="156">
        <v>6</v>
      </c>
      <c r="AS20" s="300">
        <v>0</v>
      </c>
      <c r="AT20" s="156">
        <v>7</v>
      </c>
      <c r="AU20" s="300">
        <v>0</v>
      </c>
      <c r="AV20" s="399">
        <v>7</v>
      </c>
      <c r="AW20" s="399">
        <v>0</v>
      </c>
      <c r="AX20" s="156"/>
      <c r="AY20" s="300"/>
      <c r="AZ20" s="156"/>
      <c r="BA20" s="300"/>
      <c r="BB20" s="285"/>
      <c r="BC20" s="285"/>
      <c r="BD20" s="307"/>
      <c r="BE20" s="337"/>
      <c r="BF20" s="303"/>
      <c r="BG20" s="339"/>
      <c r="BH20" s="136"/>
      <c r="BI20" s="308"/>
      <c r="BJ20" s="285"/>
      <c r="BK20" s="285"/>
    </row>
    <row r="21" spans="1:63 16295:16295" s="124" customFormat="1" x14ac:dyDescent="0.25">
      <c r="A21" s="67" t="s">
        <v>123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8">
        <v>0</v>
      </c>
      <c r="M21" s="338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>
        <v>0</v>
      </c>
      <c r="AC21" s="285">
        <v>0</v>
      </c>
      <c r="AD21" s="285">
        <v>0</v>
      </c>
      <c r="AE21" s="285">
        <v>0</v>
      </c>
      <c r="AF21" s="301">
        <v>0</v>
      </c>
      <c r="AG21" s="301">
        <v>0</v>
      </c>
      <c r="AH21" s="136">
        <v>0</v>
      </c>
      <c r="AI21" s="308">
        <v>0</v>
      </c>
      <c r="AJ21" s="156">
        <v>0</v>
      </c>
      <c r="AK21" s="300">
        <v>0</v>
      </c>
      <c r="AL21" s="307">
        <v>0</v>
      </c>
      <c r="AM21" s="337">
        <v>0</v>
      </c>
      <c r="AN21" s="136">
        <v>0</v>
      </c>
      <c r="AO21" s="308">
        <v>0</v>
      </c>
      <c r="AP21" s="156">
        <v>0</v>
      </c>
      <c r="AQ21" s="300">
        <v>0</v>
      </c>
      <c r="AR21" s="156">
        <v>0</v>
      </c>
      <c r="AS21" s="300">
        <v>0</v>
      </c>
      <c r="AT21" s="156">
        <v>0</v>
      </c>
      <c r="AU21" s="300">
        <v>0</v>
      </c>
      <c r="AV21" s="343">
        <v>0</v>
      </c>
      <c r="AW21" s="343">
        <v>0</v>
      </c>
      <c r="AX21" s="156"/>
      <c r="AY21" s="300"/>
      <c r="AZ21" s="156"/>
      <c r="BA21" s="300"/>
      <c r="BB21" s="285"/>
      <c r="BC21" s="285"/>
      <c r="BD21" s="307"/>
      <c r="BE21" s="337"/>
      <c r="BF21" s="303"/>
      <c r="BG21" s="339"/>
      <c r="BH21" s="136"/>
      <c r="BI21" s="308"/>
      <c r="BJ21" s="285"/>
      <c r="BK21" s="285"/>
    </row>
    <row r="22" spans="1:63 16295:16295" x14ac:dyDescent="0.25">
      <c r="A22" s="67" t="s">
        <v>74</v>
      </c>
      <c r="B22" s="68"/>
      <c r="C22" s="8"/>
      <c r="D22" s="285">
        <v>1</v>
      </c>
      <c r="E22" s="285">
        <v>7</v>
      </c>
      <c r="F22" s="285">
        <v>1</v>
      </c>
      <c r="G22" s="285">
        <v>7</v>
      </c>
      <c r="H22" s="285">
        <v>1</v>
      </c>
      <c r="I22" s="285">
        <v>7</v>
      </c>
      <c r="J22" s="307">
        <v>0</v>
      </c>
      <c r="K22" s="307">
        <v>0</v>
      </c>
      <c r="L22" s="338">
        <v>0</v>
      </c>
      <c r="M22" s="338">
        <v>0</v>
      </c>
      <c r="N22" s="285">
        <v>1</v>
      </c>
      <c r="O22" s="285">
        <v>7</v>
      </c>
      <c r="P22" s="285">
        <v>2</v>
      </c>
      <c r="Q22" s="285">
        <v>6</v>
      </c>
      <c r="R22" s="156">
        <v>2</v>
      </c>
      <c r="S22" s="156">
        <v>6</v>
      </c>
      <c r="T22" s="156">
        <v>3</v>
      </c>
      <c r="U22" s="156">
        <v>5</v>
      </c>
      <c r="V22" s="285">
        <v>3</v>
      </c>
      <c r="W22" s="285">
        <v>5</v>
      </c>
      <c r="X22" s="285">
        <v>0</v>
      </c>
      <c r="Y22" s="285">
        <v>0</v>
      </c>
      <c r="Z22" s="285">
        <v>0</v>
      </c>
      <c r="AA22" s="285">
        <v>0</v>
      </c>
      <c r="AB22" s="285">
        <v>3</v>
      </c>
      <c r="AC22" s="285">
        <v>5</v>
      </c>
      <c r="AD22" s="285">
        <v>3</v>
      </c>
      <c r="AE22" s="285">
        <v>5</v>
      </c>
      <c r="AF22" s="301">
        <v>4</v>
      </c>
      <c r="AG22" s="301">
        <v>4</v>
      </c>
      <c r="AH22" s="136">
        <v>0</v>
      </c>
      <c r="AI22" s="308">
        <v>0</v>
      </c>
      <c r="AJ22" s="156">
        <v>3</v>
      </c>
      <c r="AK22" s="300">
        <v>0</v>
      </c>
      <c r="AL22" s="307">
        <v>0</v>
      </c>
      <c r="AM22" s="337">
        <v>0</v>
      </c>
      <c r="AN22" s="136">
        <v>0</v>
      </c>
      <c r="AO22" s="308">
        <v>0</v>
      </c>
      <c r="AP22" s="156">
        <v>4</v>
      </c>
      <c r="AQ22" s="300">
        <v>3</v>
      </c>
      <c r="AR22" s="156">
        <v>6</v>
      </c>
      <c r="AS22" s="300">
        <v>2</v>
      </c>
      <c r="AT22" s="156">
        <v>5</v>
      </c>
      <c r="AU22" s="300">
        <v>3</v>
      </c>
      <c r="AV22" s="343">
        <v>3</v>
      </c>
      <c r="AW22" s="343">
        <v>5</v>
      </c>
      <c r="AX22" s="156"/>
      <c r="AY22" s="300"/>
      <c r="AZ22" s="156"/>
      <c r="BA22" s="300"/>
      <c r="BB22" s="285"/>
      <c r="BC22" s="285"/>
      <c r="BD22" s="307"/>
      <c r="BE22" s="337"/>
      <c r="BF22" s="303"/>
      <c r="BG22" s="339"/>
      <c r="BH22" s="136"/>
      <c r="BI22" s="308"/>
      <c r="BJ22" s="285"/>
      <c r="BK22" s="285"/>
    </row>
    <row r="23" spans="1:63 16295:16295" x14ac:dyDescent="0.25">
      <c r="A23" s="67" t="s">
        <v>75</v>
      </c>
      <c r="B23" s="68"/>
      <c r="C23" s="8"/>
      <c r="D23" s="285">
        <v>6</v>
      </c>
      <c r="E23" s="285">
        <v>0</v>
      </c>
      <c r="F23" s="285">
        <v>6</v>
      </c>
      <c r="G23" s="285">
        <v>0</v>
      </c>
      <c r="H23" s="285">
        <v>6</v>
      </c>
      <c r="I23" s="285">
        <v>0</v>
      </c>
      <c r="J23" s="307">
        <v>0</v>
      </c>
      <c r="K23" s="307">
        <v>0</v>
      </c>
      <c r="L23" s="338">
        <v>0</v>
      </c>
      <c r="M23" s="338">
        <v>0</v>
      </c>
      <c r="N23" s="285">
        <v>6</v>
      </c>
      <c r="O23" s="285">
        <v>0</v>
      </c>
      <c r="P23" s="285">
        <v>3</v>
      </c>
      <c r="Q23" s="285">
        <v>0</v>
      </c>
      <c r="R23" s="156">
        <v>6</v>
      </c>
      <c r="S23" s="156">
        <v>0</v>
      </c>
      <c r="T23" s="156">
        <v>6</v>
      </c>
      <c r="U23" s="156">
        <v>0</v>
      </c>
      <c r="V23" s="285">
        <v>6</v>
      </c>
      <c r="W23" s="285">
        <v>0</v>
      </c>
      <c r="X23" s="285">
        <v>0</v>
      </c>
      <c r="Y23" s="285">
        <v>0</v>
      </c>
      <c r="Z23" s="285">
        <v>0</v>
      </c>
      <c r="AA23" s="285">
        <v>0</v>
      </c>
      <c r="AB23" s="285">
        <v>6</v>
      </c>
      <c r="AC23" s="285">
        <v>0</v>
      </c>
      <c r="AD23" s="285">
        <v>6</v>
      </c>
      <c r="AE23" s="285">
        <v>0</v>
      </c>
      <c r="AF23" s="301">
        <v>6</v>
      </c>
      <c r="AG23" s="301">
        <v>0</v>
      </c>
      <c r="AH23" s="136">
        <v>0</v>
      </c>
      <c r="AI23" s="308">
        <v>0</v>
      </c>
      <c r="AJ23" s="156">
        <v>0</v>
      </c>
      <c r="AK23" s="300">
        <v>0</v>
      </c>
      <c r="AL23" s="307">
        <v>0</v>
      </c>
      <c r="AM23" s="337">
        <v>0</v>
      </c>
      <c r="AN23" s="136">
        <v>0</v>
      </c>
      <c r="AO23" s="308">
        <v>0</v>
      </c>
      <c r="AP23" s="156">
        <v>1</v>
      </c>
      <c r="AQ23" s="300">
        <v>1</v>
      </c>
      <c r="AR23" s="156">
        <v>4</v>
      </c>
      <c r="AS23" s="300">
        <v>0</v>
      </c>
      <c r="AT23" s="156">
        <v>6</v>
      </c>
      <c r="AU23" s="300">
        <v>0</v>
      </c>
      <c r="AV23" s="156">
        <v>6</v>
      </c>
      <c r="AW23" s="300">
        <v>0</v>
      </c>
      <c r="AX23" s="156"/>
      <c r="AY23" s="300"/>
      <c r="AZ23" s="156"/>
      <c r="BA23" s="300"/>
      <c r="BB23" s="285"/>
      <c r="BC23" s="285"/>
      <c r="BD23" s="307"/>
      <c r="BE23" s="337"/>
      <c r="BF23" s="303"/>
      <c r="BG23" s="339"/>
      <c r="BH23" s="136"/>
      <c r="BI23" s="308"/>
      <c r="BJ23" s="285"/>
      <c r="BK23" s="285"/>
    </row>
    <row r="24" spans="1:63 16295:16295" x14ac:dyDescent="0.25">
      <c r="A24" s="67" t="s">
        <v>76</v>
      </c>
      <c r="B24" s="68"/>
      <c r="C24" s="8"/>
      <c r="D24" s="285">
        <v>0</v>
      </c>
      <c r="E24" s="285">
        <v>0</v>
      </c>
      <c r="F24" s="285">
        <v>0</v>
      </c>
      <c r="G24" s="285">
        <v>0</v>
      </c>
      <c r="H24" s="285">
        <v>0</v>
      </c>
      <c r="I24" s="285">
        <v>0</v>
      </c>
      <c r="J24" s="307">
        <v>0</v>
      </c>
      <c r="K24" s="307">
        <v>0</v>
      </c>
      <c r="L24" s="338">
        <v>0</v>
      </c>
      <c r="M24" s="338">
        <v>0</v>
      </c>
      <c r="N24" s="285">
        <v>0</v>
      </c>
      <c r="O24" s="285">
        <v>0</v>
      </c>
      <c r="P24" s="285">
        <v>0</v>
      </c>
      <c r="Q24" s="285">
        <v>0</v>
      </c>
      <c r="R24" s="156">
        <v>0</v>
      </c>
      <c r="S24" s="156">
        <v>0</v>
      </c>
      <c r="T24" s="156">
        <v>0</v>
      </c>
      <c r="U24" s="156">
        <v>0</v>
      </c>
      <c r="V24" s="285">
        <v>0</v>
      </c>
      <c r="W24" s="285">
        <v>0</v>
      </c>
      <c r="X24" s="285">
        <v>0</v>
      </c>
      <c r="Y24" s="285">
        <v>0</v>
      </c>
      <c r="Z24" s="285">
        <v>0</v>
      </c>
      <c r="AA24" s="285">
        <v>0</v>
      </c>
      <c r="AB24" s="285">
        <v>0</v>
      </c>
      <c r="AC24" s="285">
        <v>0</v>
      </c>
      <c r="AD24" s="285">
        <v>0</v>
      </c>
      <c r="AE24" s="285">
        <v>0</v>
      </c>
      <c r="AF24" s="301">
        <v>0</v>
      </c>
      <c r="AG24" s="301">
        <v>0</v>
      </c>
      <c r="AH24" s="136">
        <v>0</v>
      </c>
      <c r="AI24" s="308">
        <v>0</v>
      </c>
      <c r="AJ24" s="156">
        <v>0</v>
      </c>
      <c r="AK24" s="300">
        <v>0</v>
      </c>
      <c r="AL24" s="307">
        <v>0</v>
      </c>
      <c r="AM24" s="337">
        <v>0</v>
      </c>
      <c r="AN24" s="136">
        <v>0</v>
      </c>
      <c r="AO24" s="308">
        <v>0</v>
      </c>
      <c r="AP24" s="156">
        <v>0</v>
      </c>
      <c r="AQ24" s="300">
        <v>0</v>
      </c>
      <c r="AR24" s="156">
        <v>0</v>
      </c>
      <c r="AS24" s="300">
        <v>0</v>
      </c>
      <c r="AT24" s="156">
        <v>0</v>
      </c>
      <c r="AU24" s="300">
        <v>0</v>
      </c>
      <c r="AV24" s="156">
        <v>0</v>
      </c>
      <c r="AW24" s="300">
        <v>0</v>
      </c>
      <c r="AX24" s="156"/>
      <c r="AY24" s="300"/>
      <c r="AZ24" s="156"/>
      <c r="BA24" s="300"/>
      <c r="BB24" s="285"/>
      <c r="BC24" s="285"/>
      <c r="BD24" s="307"/>
      <c r="BE24" s="337"/>
      <c r="BF24" s="303"/>
      <c r="BG24" s="339"/>
      <c r="BH24" s="136"/>
      <c r="BI24" s="308"/>
      <c r="BJ24" s="285"/>
      <c r="BK24" s="285"/>
    </row>
    <row r="25" spans="1:63 16295:16295" x14ac:dyDescent="0.25">
      <c r="A25" s="67" t="s">
        <v>77</v>
      </c>
      <c r="B25" s="76"/>
      <c r="C25" s="8"/>
      <c r="D25" s="285">
        <v>4</v>
      </c>
      <c r="E25" s="285">
        <v>3</v>
      </c>
      <c r="F25" s="285">
        <v>4</v>
      </c>
      <c r="G25" s="285">
        <v>3</v>
      </c>
      <c r="H25" s="285">
        <v>4</v>
      </c>
      <c r="I25" s="285">
        <v>3</v>
      </c>
      <c r="J25" s="307">
        <v>0</v>
      </c>
      <c r="K25" s="307">
        <v>0</v>
      </c>
      <c r="L25" s="338">
        <v>0</v>
      </c>
      <c r="M25" s="338">
        <v>0</v>
      </c>
      <c r="N25" s="285">
        <v>4</v>
      </c>
      <c r="O25" s="285">
        <v>3</v>
      </c>
      <c r="P25" s="285">
        <v>4</v>
      </c>
      <c r="Q25" s="285">
        <v>3</v>
      </c>
      <c r="R25" s="156">
        <v>5</v>
      </c>
      <c r="S25" s="156">
        <v>2</v>
      </c>
      <c r="T25" s="156">
        <v>5</v>
      </c>
      <c r="U25" s="156">
        <v>2</v>
      </c>
      <c r="V25" s="285">
        <v>5</v>
      </c>
      <c r="W25" s="285">
        <v>2</v>
      </c>
      <c r="X25" s="285">
        <v>0</v>
      </c>
      <c r="Y25" s="285">
        <v>0</v>
      </c>
      <c r="Z25" s="285">
        <v>0</v>
      </c>
      <c r="AA25" s="285">
        <v>0</v>
      </c>
      <c r="AB25" s="285">
        <v>5</v>
      </c>
      <c r="AC25" s="285">
        <v>2</v>
      </c>
      <c r="AD25" s="285">
        <v>5</v>
      </c>
      <c r="AE25" s="285">
        <v>2</v>
      </c>
      <c r="AF25" s="301">
        <v>5</v>
      </c>
      <c r="AG25" s="301">
        <v>2</v>
      </c>
      <c r="AH25" s="136">
        <v>0</v>
      </c>
      <c r="AI25" s="308">
        <v>0</v>
      </c>
      <c r="AJ25" s="156">
        <v>2</v>
      </c>
      <c r="AK25" s="300">
        <v>0</v>
      </c>
      <c r="AL25" s="307">
        <v>0</v>
      </c>
      <c r="AM25" s="337">
        <v>0</v>
      </c>
      <c r="AN25" s="136">
        <v>0</v>
      </c>
      <c r="AO25" s="308">
        <v>0</v>
      </c>
      <c r="AP25" s="156">
        <v>5</v>
      </c>
      <c r="AQ25" s="300">
        <v>2</v>
      </c>
      <c r="AR25" s="156">
        <v>4</v>
      </c>
      <c r="AS25" s="300">
        <v>3</v>
      </c>
      <c r="AT25" s="156">
        <v>5</v>
      </c>
      <c r="AU25" s="300">
        <v>2</v>
      </c>
      <c r="AV25" s="156">
        <v>5</v>
      </c>
      <c r="AW25" s="300">
        <v>2</v>
      </c>
      <c r="AX25" s="156"/>
      <c r="AY25" s="300"/>
      <c r="AZ25" s="156"/>
      <c r="BA25" s="300"/>
      <c r="BB25" s="285"/>
      <c r="BC25" s="285"/>
      <c r="BD25" s="307"/>
      <c r="BE25" s="337"/>
      <c r="BF25" s="303"/>
      <c r="BG25" s="339"/>
      <c r="BH25" s="136"/>
      <c r="BI25" s="308"/>
      <c r="BJ25" s="285"/>
      <c r="BK25" s="285"/>
    </row>
    <row r="26" spans="1:63 16295:16295" ht="15.75" thickBot="1" x14ac:dyDescent="0.3">
      <c r="C26" s="8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4"/>
      <c r="AZ26" s="124"/>
      <c r="BA26" s="124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</row>
    <row r="27" spans="1:63 16295:16295" ht="15.75" thickBot="1" x14ac:dyDescent="0.3">
      <c r="C27" s="8"/>
      <c r="D27" s="137">
        <f t="shared" ref="D27:BK27" si="0">SUM(D3:D25)</f>
        <v>140</v>
      </c>
      <c r="E27" s="137">
        <f t="shared" si="0"/>
        <v>89</v>
      </c>
      <c r="F27" s="137">
        <f t="shared" si="0"/>
        <v>144</v>
      </c>
      <c r="G27" s="137">
        <f t="shared" si="0"/>
        <v>85</v>
      </c>
      <c r="H27" s="137">
        <f t="shared" si="0"/>
        <v>146</v>
      </c>
      <c r="I27" s="137">
        <f t="shared" si="0"/>
        <v>83</v>
      </c>
      <c r="J27" s="173">
        <f t="shared" si="0"/>
        <v>144</v>
      </c>
      <c r="K27" s="173">
        <f t="shared" si="0"/>
        <v>3</v>
      </c>
      <c r="L27" s="63">
        <f t="shared" si="0"/>
        <v>108</v>
      </c>
      <c r="M27" s="63">
        <f t="shared" si="0"/>
        <v>3</v>
      </c>
      <c r="N27" s="137">
        <f t="shared" si="0"/>
        <v>143</v>
      </c>
      <c r="O27" s="137">
        <f t="shared" si="0"/>
        <v>83</v>
      </c>
      <c r="P27" s="137">
        <f t="shared" si="0"/>
        <v>138</v>
      </c>
      <c r="Q27" s="137">
        <f t="shared" si="0"/>
        <v>84</v>
      </c>
      <c r="R27" s="137">
        <f t="shared" si="0"/>
        <v>148</v>
      </c>
      <c r="S27" s="137">
        <f t="shared" si="0"/>
        <v>81</v>
      </c>
      <c r="T27" s="137">
        <f t="shared" si="0"/>
        <v>168</v>
      </c>
      <c r="U27" s="137">
        <f t="shared" si="0"/>
        <v>61</v>
      </c>
      <c r="V27" s="137">
        <f t="shared" si="0"/>
        <v>168</v>
      </c>
      <c r="W27" s="137">
        <f t="shared" si="0"/>
        <v>61</v>
      </c>
      <c r="X27" s="137">
        <f t="shared" si="0"/>
        <v>144</v>
      </c>
      <c r="Y27" s="137">
        <f t="shared" si="0"/>
        <v>3</v>
      </c>
      <c r="Z27" s="137">
        <f t="shared" si="0"/>
        <v>108</v>
      </c>
      <c r="AA27" s="137">
        <f t="shared" si="0"/>
        <v>3</v>
      </c>
      <c r="AB27" s="137">
        <f t="shared" si="0"/>
        <v>166</v>
      </c>
      <c r="AC27" s="137">
        <f t="shared" si="0"/>
        <v>63</v>
      </c>
      <c r="AD27" s="137">
        <f t="shared" si="0"/>
        <v>162</v>
      </c>
      <c r="AE27" s="137">
        <f t="shared" si="0"/>
        <v>63</v>
      </c>
      <c r="AF27" s="137">
        <f t="shared" si="0"/>
        <v>168</v>
      </c>
      <c r="AG27" s="137">
        <f t="shared" si="0"/>
        <v>61</v>
      </c>
      <c r="AH27" s="63">
        <f t="shared" ref="AH27:AO27" si="1">SUM(AH3:AH25)</f>
        <v>108</v>
      </c>
      <c r="AI27" s="63">
        <f t="shared" si="1"/>
        <v>3</v>
      </c>
      <c r="AJ27" s="137">
        <f t="shared" si="1"/>
        <v>78</v>
      </c>
      <c r="AK27" s="137">
        <f t="shared" si="1"/>
        <v>1</v>
      </c>
      <c r="AL27" s="173">
        <f t="shared" si="1"/>
        <v>121</v>
      </c>
      <c r="AM27" s="173">
        <f t="shared" si="1"/>
        <v>0</v>
      </c>
      <c r="AN27" s="63">
        <f t="shared" si="1"/>
        <v>106</v>
      </c>
      <c r="AO27" s="63">
        <f t="shared" si="1"/>
        <v>5</v>
      </c>
      <c r="AP27" s="137">
        <f t="shared" si="0"/>
        <v>146</v>
      </c>
      <c r="AQ27" s="137">
        <f t="shared" si="0"/>
        <v>27</v>
      </c>
      <c r="AR27" s="137">
        <f t="shared" si="0"/>
        <v>147</v>
      </c>
      <c r="AS27" s="137">
        <f t="shared" si="0"/>
        <v>30</v>
      </c>
      <c r="AT27" s="137">
        <f>SUM(AT3:AT25)</f>
        <v>160</v>
      </c>
      <c r="AU27" s="137">
        <f t="shared" si="0"/>
        <v>51</v>
      </c>
      <c r="AV27" s="137">
        <f t="shared" si="0"/>
        <v>176</v>
      </c>
      <c r="AW27" s="137">
        <f t="shared" si="0"/>
        <v>49</v>
      </c>
      <c r="AX27" s="137">
        <f t="shared" si="0"/>
        <v>0</v>
      </c>
      <c r="AY27" s="137">
        <f t="shared" si="0"/>
        <v>0</v>
      </c>
      <c r="AZ27" s="137">
        <f t="shared" si="0"/>
        <v>0</v>
      </c>
      <c r="BA27" s="137">
        <f t="shared" si="0"/>
        <v>0</v>
      </c>
      <c r="BB27" s="137">
        <f t="shared" si="0"/>
        <v>0</v>
      </c>
      <c r="BC27" s="137">
        <f t="shared" si="0"/>
        <v>0</v>
      </c>
      <c r="BD27" s="173">
        <f t="shared" si="0"/>
        <v>0</v>
      </c>
      <c r="BE27" s="173">
        <f t="shared" si="0"/>
        <v>0</v>
      </c>
      <c r="BF27" s="63">
        <f t="shared" si="0"/>
        <v>0</v>
      </c>
      <c r="BG27" s="63">
        <f t="shared" si="0"/>
        <v>0</v>
      </c>
      <c r="BH27" s="63">
        <f t="shared" si="0"/>
        <v>0</v>
      </c>
      <c r="BI27" s="63">
        <f t="shared" si="0"/>
        <v>0</v>
      </c>
      <c r="BJ27" s="137">
        <f t="shared" si="0"/>
        <v>0</v>
      </c>
      <c r="BK27" s="137">
        <f t="shared" si="0"/>
        <v>0</v>
      </c>
      <c r="XBS27" s="64"/>
    </row>
    <row r="28" spans="1:63 16295:16295" x14ac:dyDescent="0.25">
      <c r="C28" s="8"/>
      <c r="L28" s="124"/>
      <c r="Z28" s="124"/>
      <c r="AA28" s="124"/>
      <c r="AB28" s="124"/>
      <c r="AC28" s="124"/>
      <c r="AG28" s="124"/>
      <c r="AH28" s="124"/>
      <c r="AI28" s="124"/>
      <c r="AR28" s="54"/>
      <c r="AS28" s="54"/>
      <c r="AT28" s="54"/>
      <c r="AU28" s="54"/>
      <c r="AV28" s="54"/>
      <c r="AW28" s="54"/>
      <c r="AX28" s="54"/>
      <c r="AY28" s="54"/>
      <c r="AZ28" s="54"/>
      <c r="BH28" s="54"/>
      <c r="BI28" s="54"/>
      <c r="BJ28" s="124"/>
      <c r="BK28" s="124"/>
    </row>
    <row r="29" spans="1:63 16295:16295" ht="18" x14ac:dyDescent="0.25">
      <c r="C29" s="8"/>
      <c r="L29" s="124"/>
      <c r="Z29" s="55"/>
      <c r="AR29" s="54"/>
      <c r="AS29" s="54"/>
      <c r="AT29" s="54"/>
      <c r="AU29" s="54"/>
      <c r="AV29" s="54"/>
      <c r="AW29" s="54"/>
      <c r="AX29" s="54"/>
      <c r="AY29" s="54"/>
      <c r="AZ29" s="54"/>
      <c r="BH29" s="54"/>
      <c r="BI29" s="54"/>
      <c r="BJ29" s="124"/>
      <c r="BK29" s="124"/>
    </row>
    <row r="30" spans="1:63 16295:16295" x14ac:dyDescent="0.25">
      <c r="C30" s="8"/>
      <c r="F30" s="124"/>
      <c r="G30" s="124"/>
      <c r="H30" s="124"/>
      <c r="I30" s="124"/>
      <c r="J30" s="8"/>
      <c r="K30" s="8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  <c r="BH30" s="124"/>
      <c r="BI30" s="124"/>
      <c r="BJ30" s="124"/>
      <c r="BK30" s="124"/>
    </row>
    <row r="31" spans="1:63 16295:16295" x14ac:dyDescent="0.25">
      <c r="C31" s="8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Z31" s="124"/>
      <c r="BA31" s="124"/>
      <c r="BB31" s="124"/>
      <c r="BC31" s="124"/>
      <c r="BD31" s="124"/>
      <c r="BE31" s="124"/>
      <c r="BF31" s="124"/>
      <c r="BG31" s="124"/>
      <c r="BH31" s="124"/>
      <c r="BI31" s="124"/>
      <c r="BJ31" s="124"/>
      <c r="BK31" s="124"/>
    </row>
    <row r="32" spans="1:63 16295:16295" x14ac:dyDescent="0.25">
      <c r="C32" s="8"/>
      <c r="L32" s="124"/>
      <c r="AZ32" s="124"/>
      <c r="BA32" s="124"/>
      <c r="BB32" s="124"/>
      <c r="BC32" s="124"/>
      <c r="BD32" s="124"/>
      <c r="BE32" s="124"/>
      <c r="BF32" s="124"/>
      <c r="BG32" s="124"/>
      <c r="BH32" s="124"/>
      <c r="BI32" s="124"/>
      <c r="BJ32" s="124"/>
      <c r="BK32" s="124"/>
    </row>
    <row r="33" spans="1:63" x14ac:dyDescent="0.25">
      <c r="A33" s="56" t="s">
        <v>78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</row>
    <row r="34" spans="1:63" x14ac:dyDescent="0.25">
      <c r="A34" t="s">
        <v>79</v>
      </c>
      <c r="C34" s="8"/>
      <c r="D34" s="57">
        <f t="shared" ref="D34:AI34" si="2">D5+D12+D22</f>
        <v>38</v>
      </c>
      <c r="E34" s="57">
        <f t="shared" si="2"/>
        <v>41</v>
      </c>
      <c r="F34" s="57">
        <f t="shared" si="2"/>
        <v>39</v>
      </c>
      <c r="G34" s="57">
        <f t="shared" si="2"/>
        <v>40</v>
      </c>
      <c r="H34" s="57">
        <f t="shared" si="2"/>
        <v>40</v>
      </c>
      <c r="I34" s="57">
        <f t="shared" si="2"/>
        <v>39</v>
      </c>
      <c r="J34" s="57">
        <f t="shared" si="2"/>
        <v>69</v>
      </c>
      <c r="K34" s="57">
        <f t="shared" si="2"/>
        <v>3</v>
      </c>
      <c r="L34" s="150">
        <f t="shared" si="2"/>
        <v>51</v>
      </c>
      <c r="M34" s="57">
        <f t="shared" si="2"/>
        <v>3</v>
      </c>
      <c r="N34" s="276">
        <f t="shared" si="2"/>
        <v>40</v>
      </c>
      <c r="O34" s="276">
        <f t="shared" si="2"/>
        <v>39</v>
      </c>
      <c r="P34" s="277">
        <f t="shared" si="2"/>
        <v>42</v>
      </c>
      <c r="Q34" s="277">
        <f t="shared" si="2"/>
        <v>40</v>
      </c>
      <c r="R34" s="257">
        <f t="shared" si="2"/>
        <v>41</v>
      </c>
      <c r="S34" s="257">
        <f t="shared" si="2"/>
        <v>38</v>
      </c>
      <c r="T34" s="57">
        <f t="shared" si="2"/>
        <v>49</v>
      </c>
      <c r="U34" s="57">
        <f t="shared" si="2"/>
        <v>30</v>
      </c>
      <c r="V34" s="265">
        <f t="shared" si="2"/>
        <v>49</v>
      </c>
      <c r="W34" s="265">
        <f t="shared" si="2"/>
        <v>30</v>
      </c>
      <c r="X34" s="266">
        <f t="shared" si="2"/>
        <v>69</v>
      </c>
      <c r="Y34" s="266">
        <f t="shared" si="2"/>
        <v>3</v>
      </c>
      <c r="Z34" s="267">
        <f t="shared" si="2"/>
        <v>51</v>
      </c>
      <c r="AA34" s="267">
        <f t="shared" si="2"/>
        <v>3</v>
      </c>
      <c r="AB34" s="268">
        <f t="shared" si="2"/>
        <v>48</v>
      </c>
      <c r="AC34" s="268">
        <f t="shared" si="2"/>
        <v>31</v>
      </c>
      <c r="AD34" s="57">
        <f t="shared" si="2"/>
        <v>48</v>
      </c>
      <c r="AE34" s="57">
        <f t="shared" si="2"/>
        <v>32</v>
      </c>
      <c r="AF34" s="57">
        <f t="shared" si="2"/>
        <v>49</v>
      </c>
      <c r="AG34" s="247">
        <f t="shared" si="2"/>
        <v>30</v>
      </c>
      <c r="AH34" s="57">
        <f t="shared" si="2"/>
        <v>51</v>
      </c>
      <c r="AI34" s="57">
        <f t="shared" si="2"/>
        <v>3</v>
      </c>
      <c r="AJ34" s="261">
        <f t="shared" ref="AJ34:BK34" si="3">AJ5+AJ12+AJ22</f>
        <v>19</v>
      </c>
      <c r="AK34" s="261">
        <f t="shared" si="3"/>
        <v>0</v>
      </c>
      <c r="AL34" s="279">
        <f t="shared" si="3"/>
        <v>59</v>
      </c>
      <c r="AM34" s="279">
        <f t="shared" si="3"/>
        <v>0</v>
      </c>
      <c r="AN34" s="270">
        <f t="shared" si="3"/>
        <v>50</v>
      </c>
      <c r="AO34" s="270">
        <f t="shared" si="3"/>
        <v>4</v>
      </c>
      <c r="AP34" s="279">
        <f t="shared" si="3"/>
        <v>64</v>
      </c>
      <c r="AQ34" s="279">
        <f t="shared" si="3"/>
        <v>14</v>
      </c>
      <c r="AR34" s="271">
        <f t="shared" si="3"/>
        <v>56</v>
      </c>
      <c r="AS34" s="271">
        <f t="shared" si="3"/>
        <v>14</v>
      </c>
      <c r="AT34" s="272">
        <f t="shared" si="3"/>
        <v>55</v>
      </c>
      <c r="AU34" s="272">
        <f t="shared" si="3"/>
        <v>25</v>
      </c>
      <c r="AV34" s="273">
        <f t="shared" si="3"/>
        <v>55</v>
      </c>
      <c r="AW34" s="273">
        <f t="shared" si="3"/>
        <v>24</v>
      </c>
      <c r="AX34" s="274">
        <f t="shared" si="3"/>
        <v>0</v>
      </c>
      <c r="AY34" s="274">
        <f t="shared" si="3"/>
        <v>0</v>
      </c>
      <c r="AZ34" s="57">
        <f t="shared" si="3"/>
        <v>0</v>
      </c>
      <c r="BA34" s="249">
        <f t="shared" si="3"/>
        <v>0</v>
      </c>
      <c r="BB34" s="115">
        <f t="shared" si="3"/>
        <v>0</v>
      </c>
      <c r="BC34" s="250">
        <f t="shared" si="3"/>
        <v>0</v>
      </c>
      <c r="BD34" s="262">
        <f t="shared" si="3"/>
        <v>0</v>
      </c>
      <c r="BE34" s="262">
        <f t="shared" si="3"/>
        <v>0</v>
      </c>
      <c r="BF34" s="174">
        <f t="shared" si="3"/>
        <v>0</v>
      </c>
      <c r="BG34" s="174">
        <f t="shared" si="3"/>
        <v>0</v>
      </c>
      <c r="BH34" s="322">
        <f t="shared" si="3"/>
        <v>0</v>
      </c>
      <c r="BI34" s="322">
        <f t="shared" si="3"/>
        <v>0</v>
      </c>
      <c r="BJ34" s="322">
        <f t="shared" si="3"/>
        <v>0</v>
      </c>
      <c r="BK34" s="322">
        <f t="shared" si="3"/>
        <v>0</v>
      </c>
    </row>
    <row r="35" spans="1:63" x14ac:dyDescent="0.25">
      <c r="A35" t="s">
        <v>80</v>
      </c>
      <c r="C35" s="8"/>
      <c r="D35" s="57">
        <f t="shared" ref="D35:AI35" si="4">D8+D15+D25</f>
        <v>36</v>
      </c>
      <c r="E35" s="57">
        <f t="shared" si="4"/>
        <v>42</v>
      </c>
      <c r="F35" s="57">
        <f t="shared" si="4"/>
        <v>37</v>
      </c>
      <c r="G35" s="57">
        <f t="shared" si="4"/>
        <v>41</v>
      </c>
      <c r="H35" s="57">
        <f t="shared" si="4"/>
        <v>38</v>
      </c>
      <c r="I35" s="57">
        <f t="shared" si="4"/>
        <v>40</v>
      </c>
      <c r="J35" s="57">
        <f t="shared" si="4"/>
        <v>75</v>
      </c>
      <c r="K35" s="57">
        <f t="shared" si="4"/>
        <v>0</v>
      </c>
      <c r="L35" s="150">
        <f t="shared" si="4"/>
        <v>57</v>
      </c>
      <c r="M35" s="57">
        <f t="shared" si="4"/>
        <v>0</v>
      </c>
      <c r="N35" s="276">
        <f t="shared" si="4"/>
        <v>38</v>
      </c>
      <c r="O35" s="276">
        <f t="shared" si="4"/>
        <v>40</v>
      </c>
      <c r="P35" s="277">
        <f t="shared" si="4"/>
        <v>38</v>
      </c>
      <c r="Q35" s="277">
        <f t="shared" si="4"/>
        <v>40</v>
      </c>
      <c r="R35" s="257">
        <f t="shared" si="4"/>
        <v>39</v>
      </c>
      <c r="S35" s="257">
        <f t="shared" si="4"/>
        <v>39</v>
      </c>
      <c r="T35" s="57">
        <f t="shared" si="4"/>
        <v>47</v>
      </c>
      <c r="U35" s="57">
        <f t="shared" si="4"/>
        <v>31</v>
      </c>
      <c r="V35" s="265">
        <f t="shared" si="4"/>
        <v>47</v>
      </c>
      <c r="W35" s="265">
        <f t="shared" si="4"/>
        <v>31</v>
      </c>
      <c r="X35" s="266">
        <f t="shared" si="4"/>
        <v>75</v>
      </c>
      <c r="Y35" s="266">
        <f t="shared" si="4"/>
        <v>0</v>
      </c>
      <c r="Z35" s="267">
        <f t="shared" si="4"/>
        <v>57</v>
      </c>
      <c r="AA35" s="267">
        <f t="shared" si="4"/>
        <v>0</v>
      </c>
      <c r="AB35" s="268">
        <f t="shared" si="4"/>
        <v>46</v>
      </c>
      <c r="AC35" s="268">
        <f t="shared" si="4"/>
        <v>32</v>
      </c>
      <c r="AD35" s="57">
        <f t="shared" si="4"/>
        <v>47</v>
      </c>
      <c r="AE35" s="246">
        <f t="shared" si="4"/>
        <v>31</v>
      </c>
      <c r="AF35" s="247">
        <f t="shared" si="4"/>
        <v>47</v>
      </c>
      <c r="AG35" s="247">
        <f t="shared" si="4"/>
        <v>31</v>
      </c>
      <c r="AH35" s="57">
        <f t="shared" si="4"/>
        <v>57</v>
      </c>
      <c r="AI35" s="57">
        <f t="shared" si="4"/>
        <v>0</v>
      </c>
      <c r="AJ35" s="261">
        <f t="shared" ref="AJ35:BK35" si="5">AJ8+AJ15+AJ25</f>
        <v>21</v>
      </c>
      <c r="AK35" s="261">
        <f t="shared" si="5"/>
        <v>0</v>
      </c>
      <c r="AL35" s="279">
        <f t="shared" si="5"/>
        <v>62</v>
      </c>
      <c r="AM35" s="279">
        <f t="shared" si="5"/>
        <v>0</v>
      </c>
      <c r="AN35" s="270">
        <f t="shared" si="5"/>
        <v>56</v>
      </c>
      <c r="AO35" s="270">
        <f t="shared" si="5"/>
        <v>1</v>
      </c>
      <c r="AP35" s="279">
        <f t="shared" si="5"/>
        <v>66</v>
      </c>
      <c r="AQ35" s="279">
        <f t="shared" si="5"/>
        <v>12</v>
      </c>
      <c r="AR35" s="271">
        <f t="shared" si="5"/>
        <v>56</v>
      </c>
      <c r="AS35" s="271">
        <f t="shared" si="5"/>
        <v>12</v>
      </c>
      <c r="AT35" s="272">
        <f t="shared" si="5"/>
        <v>52</v>
      </c>
      <c r="AU35" s="272">
        <f t="shared" si="5"/>
        <v>26</v>
      </c>
      <c r="AV35" s="273">
        <f t="shared" si="5"/>
        <v>53</v>
      </c>
      <c r="AW35" s="273">
        <f t="shared" si="5"/>
        <v>25</v>
      </c>
      <c r="AX35" s="274">
        <f t="shared" si="5"/>
        <v>0</v>
      </c>
      <c r="AY35" s="274">
        <f t="shared" si="5"/>
        <v>0</v>
      </c>
      <c r="AZ35" s="249">
        <f t="shared" si="5"/>
        <v>0</v>
      </c>
      <c r="BA35" s="249">
        <f t="shared" si="5"/>
        <v>0</v>
      </c>
      <c r="BB35" s="250">
        <f t="shared" si="5"/>
        <v>0</v>
      </c>
      <c r="BC35" s="250">
        <f t="shared" si="5"/>
        <v>0</v>
      </c>
      <c r="BD35" s="262">
        <f t="shared" si="5"/>
        <v>0</v>
      </c>
      <c r="BE35" s="262">
        <f t="shared" si="5"/>
        <v>0</v>
      </c>
      <c r="BF35" s="174">
        <f t="shared" si="5"/>
        <v>0</v>
      </c>
      <c r="BG35" s="174">
        <f t="shared" si="5"/>
        <v>0</v>
      </c>
      <c r="BH35" s="322">
        <f t="shared" si="5"/>
        <v>0</v>
      </c>
      <c r="BI35" s="322">
        <f t="shared" si="5"/>
        <v>0</v>
      </c>
      <c r="BJ35" s="322">
        <f t="shared" si="5"/>
        <v>0</v>
      </c>
      <c r="BK35" s="322">
        <f t="shared" si="5"/>
        <v>0</v>
      </c>
    </row>
    <row r="36" spans="1:63" x14ac:dyDescent="0.25">
      <c r="A36" t="s">
        <v>81</v>
      </c>
      <c r="C36" s="8"/>
      <c r="D36" s="57">
        <f t="shared" ref="D36:AI36" si="6">D3+D10+D20</f>
        <v>33</v>
      </c>
      <c r="E36" s="57">
        <f t="shared" si="6"/>
        <v>3</v>
      </c>
      <c r="F36" s="57">
        <f t="shared" si="6"/>
        <v>34</v>
      </c>
      <c r="G36" s="57">
        <f t="shared" si="6"/>
        <v>2</v>
      </c>
      <c r="H36" s="57">
        <f t="shared" si="6"/>
        <v>34</v>
      </c>
      <c r="I36" s="57">
        <f t="shared" si="6"/>
        <v>2</v>
      </c>
      <c r="J36" s="57">
        <f t="shared" si="6"/>
        <v>0</v>
      </c>
      <c r="K36" s="57">
        <f t="shared" si="6"/>
        <v>0</v>
      </c>
      <c r="L36" s="150">
        <f t="shared" si="6"/>
        <v>0</v>
      </c>
      <c r="M36" s="57">
        <f t="shared" si="6"/>
        <v>0</v>
      </c>
      <c r="N36" s="276">
        <f t="shared" si="6"/>
        <v>32</v>
      </c>
      <c r="O36" s="276">
        <f t="shared" si="6"/>
        <v>2</v>
      </c>
      <c r="P36" s="277">
        <f t="shared" si="6"/>
        <v>27</v>
      </c>
      <c r="Q36" s="277">
        <f t="shared" si="6"/>
        <v>2</v>
      </c>
      <c r="R36" s="257">
        <f t="shared" si="6"/>
        <v>34</v>
      </c>
      <c r="S36" s="257">
        <f t="shared" si="6"/>
        <v>2</v>
      </c>
      <c r="T36" s="57">
        <f t="shared" si="6"/>
        <v>36</v>
      </c>
      <c r="U36" s="57">
        <f t="shared" si="6"/>
        <v>0</v>
      </c>
      <c r="V36" s="265">
        <f t="shared" si="6"/>
        <v>36</v>
      </c>
      <c r="W36" s="265">
        <f t="shared" si="6"/>
        <v>0</v>
      </c>
      <c r="X36" s="266">
        <f t="shared" si="6"/>
        <v>0</v>
      </c>
      <c r="Y36" s="266">
        <f t="shared" si="6"/>
        <v>0</v>
      </c>
      <c r="Z36" s="267">
        <f t="shared" si="6"/>
        <v>0</v>
      </c>
      <c r="AA36" s="267">
        <f t="shared" si="6"/>
        <v>0</v>
      </c>
      <c r="AB36" s="268">
        <f t="shared" si="6"/>
        <v>36</v>
      </c>
      <c r="AC36" s="268">
        <f t="shared" si="6"/>
        <v>0</v>
      </c>
      <c r="AD36" s="57">
        <f t="shared" si="6"/>
        <v>32</v>
      </c>
      <c r="AE36" s="246">
        <f t="shared" si="6"/>
        <v>0</v>
      </c>
      <c r="AF36" s="57">
        <f t="shared" si="6"/>
        <v>36</v>
      </c>
      <c r="AG36" s="247">
        <f t="shared" si="6"/>
        <v>0</v>
      </c>
      <c r="AH36" s="57">
        <f t="shared" si="6"/>
        <v>0</v>
      </c>
      <c r="AI36" s="57">
        <f t="shared" si="6"/>
        <v>0</v>
      </c>
      <c r="AJ36" s="261">
        <f t="shared" ref="AJ36:BG36" si="7">AJ3+AJ10+AJ20</f>
        <v>9</v>
      </c>
      <c r="AK36" s="261">
        <f t="shared" si="7"/>
        <v>0</v>
      </c>
      <c r="AL36" s="279">
        <f t="shared" si="7"/>
        <v>0</v>
      </c>
      <c r="AM36" s="279">
        <f t="shared" si="7"/>
        <v>0</v>
      </c>
      <c r="AN36" s="270">
        <f t="shared" si="7"/>
        <v>0</v>
      </c>
      <c r="AO36" s="270">
        <f t="shared" si="7"/>
        <v>0</v>
      </c>
      <c r="AP36" s="279">
        <f t="shared" si="7"/>
        <v>8</v>
      </c>
      <c r="AQ36" s="279">
        <f t="shared" si="7"/>
        <v>0</v>
      </c>
      <c r="AR36" s="271">
        <f t="shared" si="7"/>
        <v>13</v>
      </c>
      <c r="AS36" s="271">
        <f t="shared" si="7"/>
        <v>0</v>
      </c>
      <c r="AT36" s="272">
        <f t="shared" si="7"/>
        <v>26</v>
      </c>
      <c r="AU36" s="272">
        <f t="shared" si="7"/>
        <v>0</v>
      </c>
      <c r="AV36" s="273">
        <f t="shared" si="7"/>
        <v>34</v>
      </c>
      <c r="AW36" s="273">
        <f t="shared" si="7"/>
        <v>0</v>
      </c>
      <c r="AX36" s="274">
        <f t="shared" si="7"/>
        <v>0</v>
      </c>
      <c r="AY36" s="274">
        <f t="shared" si="7"/>
        <v>0</v>
      </c>
      <c r="AZ36" s="57">
        <f t="shared" si="7"/>
        <v>0</v>
      </c>
      <c r="BA36" s="249">
        <f t="shared" si="7"/>
        <v>0</v>
      </c>
      <c r="BB36" s="250">
        <f t="shared" si="7"/>
        <v>0</v>
      </c>
      <c r="BC36" s="250">
        <f t="shared" si="7"/>
        <v>0</v>
      </c>
      <c r="BD36" s="262">
        <f t="shared" si="7"/>
        <v>0</v>
      </c>
      <c r="BE36" s="262">
        <f t="shared" si="7"/>
        <v>0</v>
      </c>
      <c r="BF36" s="251">
        <f t="shared" si="7"/>
        <v>0</v>
      </c>
      <c r="BG36" s="174">
        <f t="shared" si="7"/>
        <v>0</v>
      </c>
      <c r="BH36" s="322">
        <f t="shared" ref="BH36:BK36" si="8">BH3+BH10+BH20</f>
        <v>0</v>
      </c>
      <c r="BI36" s="322">
        <f t="shared" si="8"/>
        <v>0</v>
      </c>
      <c r="BJ36" s="322">
        <f t="shared" si="8"/>
        <v>0</v>
      </c>
      <c r="BK36" s="322">
        <f t="shared" si="8"/>
        <v>0</v>
      </c>
    </row>
    <row r="37" spans="1:63" x14ac:dyDescent="0.25">
      <c r="A37" t="s">
        <v>82</v>
      </c>
      <c r="C37" s="8"/>
      <c r="D37" s="57">
        <f t="shared" ref="D37:AI37" si="9">D6+D13+D23</f>
        <v>29</v>
      </c>
      <c r="E37" s="57">
        <f t="shared" si="9"/>
        <v>3</v>
      </c>
      <c r="F37" s="57">
        <f t="shared" si="9"/>
        <v>30</v>
      </c>
      <c r="G37" s="57">
        <f t="shared" si="9"/>
        <v>2</v>
      </c>
      <c r="H37" s="57">
        <f t="shared" si="9"/>
        <v>30</v>
      </c>
      <c r="I37" s="57">
        <f t="shared" si="9"/>
        <v>2</v>
      </c>
      <c r="J37" s="57">
        <f t="shared" si="9"/>
        <v>0</v>
      </c>
      <c r="K37" s="57">
        <f t="shared" si="9"/>
        <v>0</v>
      </c>
      <c r="L37" s="150">
        <f t="shared" si="9"/>
        <v>0</v>
      </c>
      <c r="M37" s="57">
        <f t="shared" si="9"/>
        <v>0</v>
      </c>
      <c r="N37" s="276">
        <f t="shared" si="9"/>
        <v>29</v>
      </c>
      <c r="O37" s="276">
        <f t="shared" si="9"/>
        <v>2</v>
      </c>
      <c r="P37" s="277">
        <f t="shared" si="9"/>
        <v>27</v>
      </c>
      <c r="Q37" s="277">
        <f t="shared" si="9"/>
        <v>2</v>
      </c>
      <c r="R37" s="257">
        <f t="shared" si="9"/>
        <v>30</v>
      </c>
      <c r="S37" s="257">
        <f t="shared" si="9"/>
        <v>2</v>
      </c>
      <c r="T37" s="57">
        <f t="shared" si="9"/>
        <v>32</v>
      </c>
      <c r="U37" s="57">
        <f t="shared" si="9"/>
        <v>0</v>
      </c>
      <c r="V37" s="265">
        <f t="shared" si="9"/>
        <v>32</v>
      </c>
      <c r="W37" s="265">
        <f t="shared" si="9"/>
        <v>0</v>
      </c>
      <c r="X37" s="266">
        <f t="shared" si="9"/>
        <v>0</v>
      </c>
      <c r="Y37" s="266">
        <f t="shared" si="9"/>
        <v>0</v>
      </c>
      <c r="Z37" s="267">
        <f t="shared" si="9"/>
        <v>0</v>
      </c>
      <c r="AA37" s="267">
        <f t="shared" si="9"/>
        <v>0</v>
      </c>
      <c r="AB37" s="268">
        <f t="shared" si="9"/>
        <v>32</v>
      </c>
      <c r="AC37" s="268">
        <f t="shared" si="9"/>
        <v>0</v>
      </c>
      <c r="AD37" s="57">
        <f t="shared" si="9"/>
        <v>30</v>
      </c>
      <c r="AE37" s="246">
        <f t="shared" si="9"/>
        <v>0</v>
      </c>
      <c r="AF37" s="57">
        <f t="shared" si="9"/>
        <v>32</v>
      </c>
      <c r="AG37" s="247">
        <f t="shared" si="9"/>
        <v>0</v>
      </c>
      <c r="AH37" s="57">
        <f t="shared" si="9"/>
        <v>0</v>
      </c>
      <c r="AI37" s="57">
        <f t="shared" si="9"/>
        <v>0</v>
      </c>
      <c r="AJ37" s="261">
        <f t="shared" ref="AJ37:BG37" si="10">AJ6+AJ13+AJ23</f>
        <v>9</v>
      </c>
      <c r="AK37" s="261">
        <f t="shared" si="10"/>
        <v>0</v>
      </c>
      <c r="AL37" s="279">
        <f t="shared" si="10"/>
        <v>0</v>
      </c>
      <c r="AM37" s="279">
        <f t="shared" si="10"/>
        <v>0</v>
      </c>
      <c r="AN37" s="270">
        <f t="shared" si="10"/>
        <v>0</v>
      </c>
      <c r="AO37" s="270">
        <f t="shared" si="10"/>
        <v>0</v>
      </c>
      <c r="AP37" s="279">
        <f t="shared" si="10"/>
        <v>7</v>
      </c>
      <c r="AQ37" s="279">
        <f t="shared" si="10"/>
        <v>1</v>
      </c>
      <c r="AR37" s="271">
        <f t="shared" si="10"/>
        <v>15</v>
      </c>
      <c r="AS37" s="271">
        <f t="shared" si="10"/>
        <v>0</v>
      </c>
      <c r="AT37" s="272">
        <f t="shared" si="10"/>
        <v>26</v>
      </c>
      <c r="AU37" s="272">
        <f t="shared" si="10"/>
        <v>0</v>
      </c>
      <c r="AV37" s="273">
        <f t="shared" si="10"/>
        <v>32</v>
      </c>
      <c r="AW37" s="273">
        <f t="shared" si="10"/>
        <v>0</v>
      </c>
      <c r="AX37" s="274">
        <f t="shared" si="10"/>
        <v>0</v>
      </c>
      <c r="AY37" s="274">
        <f t="shared" si="10"/>
        <v>0</v>
      </c>
      <c r="AZ37" s="57">
        <f t="shared" si="10"/>
        <v>0</v>
      </c>
      <c r="BA37" s="249">
        <f t="shared" si="10"/>
        <v>0</v>
      </c>
      <c r="BB37" s="115">
        <f t="shared" si="10"/>
        <v>0</v>
      </c>
      <c r="BC37" s="250">
        <f t="shared" si="10"/>
        <v>0</v>
      </c>
      <c r="BD37" s="262">
        <f t="shared" si="10"/>
        <v>0</v>
      </c>
      <c r="BE37" s="262">
        <f t="shared" si="10"/>
        <v>0</v>
      </c>
      <c r="BF37" s="174">
        <f t="shared" si="10"/>
        <v>0</v>
      </c>
      <c r="BG37" s="174">
        <f t="shared" si="10"/>
        <v>0</v>
      </c>
      <c r="BH37" s="322">
        <f t="shared" ref="BH37:BK37" si="11">BH6+BH13+BH23</f>
        <v>0</v>
      </c>
      <c r="BI37" s="322">
        <f t="shared" si="11"/>
        <v>0</v>
      </c>
      <c r="BJ37" s="322">
        <f t="shared" si="11"/>
        <v>0</v>
      </c>
      <c r="BK37" s="322">
        <f t="shared" si="11"/>
        <v>0</v>
      </c>
    </row>
    <row r="38" spans="1:63" s="124" customFormat="1" x14ac:dyDescent="0.25">
      <c r="A38" s="124" t="s">
        <v>122</v>
      </c>
      <c r="C38" s="8"/>
      <c r="D38" s="154">
        <f t="shared" ref="D38:AI38" si="12">D4+D11+D21</f>
        <v>0</v>
      </c>
      <c r="E38" s="154">
        <f t="shared" si="12"/>
        <v>0</v>
      </c>
      <c r="F38" s="154">
        <f t="shared" si="12"/>
        <v>0</v>
      </c>
      <c r="G38" s="154">
        <f t="shared" si="12"/>
        <v>0</v>
      </c>
      <c r="H38" s="154">
        <f t="shared" si="12"/>
        <v>0</v>
      </c>
      <c r="I38" s="154">
        <f t="shared" si="12"/>
        <v>0</v>
      </c>
      <c r="J38" s="154">
        <f t="shared" si="12"/>
        <v>0</v>
      </c>
      <c r="K38" s="154">
        <f t="shared" si="12"/>
        <v>0</v>
      </c>
      <c r="L38" s="154">
        <f t="shared" si="12"/>
        <v>0</v>
      </c>
      <c r="M38" s="154">
        <f t="shared" si="12"/>
        <v>0</v>
      </c>
      <c r="N38" s="276">
        <f t="shared" si="12"/>
        <v>0</v>
      </c>
      <c r="O38" s="276">
        <f t="shared" si="12"/>
        <v>0</v>
      </c>
      <c r="P38" s="277">
        <f t="shared" si="12"/>
        <v>0</v>
      </c>
      <c r="Q38" s="277">
        <f t="shared" si="12"/>
        <v>0</v>
      </c>
      <c r="R38" s="257">
        <f t="shared" si="12"/>
        <v>0</v>
      </c>
      <c r="S38" s="257">
        <f t="shared" si="12"/>
        <v>0</v>
      </c>
      <c r="T38" s="154">
        <f t="shared" si="12"/>
        <v>0</v>
      </c>
      <c r="U38" s="154">
        <f t="shared" si="12"/>
        <v>0</v>
      </c>
      <c r="V38" s="265">
        <f t="shared" si="12"/>
        <v>0</v>
      </c>
      <c r="W38" s="265">
        <f t="shared" si="12"/>
        <v>0</v>
      </c>
      <c r="X38" s="266">
        <f t="shared" si="12"/>
        <v>0</v>
      </c>
      <c r="Y38" s="266">
        <f t="shared" si="12"/>
        <v>0</v>
      </c>
      <c r="Z38" s="267">
        <f t="shared" si="12"/>
        <v>0</v>
      </c>
      <c r="AA38" s="267">
        <f t="shared" si="12"/>
        <v>0</v>
      </c>
      <c r="AB38" s="268">
        <f t="shared" si="12"/>
        <v>0</v>
      </c>
      <c r="AC38" s="268">
        <f t="shared" si="12"/>
        <v>0</v>
      </c>
      <c r="AD38" s="154">
        <f t="shared" si="12"/>
        <v>0</v>
      </c>
      <c r="AE38" s="246">
        <f t="shared" si="12"/>
        <v>0</v>
      </c>
      <c r="AF38" s="154">
        <f t="shared" si="12"/>
        <v>0</v>
      </c>
      <c r="AG38" s="247">
        <f t="shared" si="12"/>
        <v>0</v>
      </c>
      <c r="AH38" s="154">
        <f t="shared" si="12"/>
        <v>0</v>
      </c>
      <c r="AI38" s="154">
        <f t="shared" si="12"/>
        <v>0</v>
      </c>
      <c r="AJ38" s="261">
        <f t="shared" ref="AJ38:BG38" si="13">AJ4+AJ11+AJ21</f>
        <v>0</v>
      </c>
      <c r="AK38" s="261">
        <f t="shared" si="13"/>
        <v>0</v>
      </c>
      <c r="AL38" s="279">
        <f t="shared" si="13"/>
        <v>0</v>
      </c>
      <c r="AM38" s="279">
        <f t="shared" si="13"/>
        <v>0</v>
      </c>
      <c r="AN38" s="270">
        <f t="shared" si="13"/>
        <v>0</v>
      </c>
      <c r="AO38" s="270">
        <f t="shared" si="13"/>
        <v>0</v>
      </c>
      <c r="AP38" s="279">
        <f t="shared" si="13"/>
        <v>0</v>
      </c>
      <c r="AQ38" s="279">
        <f t="shared" si="13"/>
        <v>0</v>
      </c>
      <c r="AR38" s="271">
        <f t="shared" si="13"/>
        <v>0</v>
      </c>
      <c r="AS38" s="271">
        <f t="shared" si="13"/>
        <v>0</v>
      </c>
      <c r="AT38" s="272">
        <f t="shared" si="13"/>
        <v>0</v>
      </c>
      <c r="AU38" s="272">
        <f t="shared" si="13"/>
        <v>0</v>
      </c>
      <c r="AV38" s="273">
        <f t="shared" si="13"/>
        <v>0</v>
      </c>
      <c r="AW38" s="273">
        <f t="shared" si="13"/>
        <v>0</v>
      </c>
      <c r="AX38" s="274">
        <f t="shared" si="13"/>
        <v>0</v>
      </c>
      <c r="AY38" s="274">
        <f t="shared" si="13"/>
        <v>0</v>
      </c>
      <c r="AZ38" s="154">
        <f t="shared" si="13"/>
        <v>0</v>
      </c>
      <c r="BA38" s="249">
        <f t="shared" si="13"/>
        <v>0</v>
      </c>
      <c r="BB38" s="154">
        <f t="shared" si="13"/>
        <v>0</v>
      </c>
      <c r="BC38" s="250">
        <f t="shared" si="13"/>
        <v>0</v>
      </c>
      <c r="BD38" s="262">
        <f t="shared" si="13"/>
        <v>0</v>
      </c>
      <c r="BE38" s="262">
        <f t="shared" si="13"/>
        <v>0</v>
      </c>
      <c r="BF38" s="174">
        <f t="shared" si="13"/>
        <v>0</v>
      </c>
      <c r="BG38" s="174">
        <f t="shared" si="13"/>
        <v>0</v>
      </c>
      <c r="BH38" s="322">
        <f t="shared" ref="BH38:BK38" si="14">BH4+BH11+BH21</f>
        <v>0</v>
      </c>
      <c r="BI38" s="322">
        <f t="shared" si="14"/>
        <v>0</v>
      </c>
      <c r="BJ38" s="322">
        <f t="shared" si="14"/>
        <v>0</v>
      </c>
      <c r="BK38" s="322">
        <f t="shared" si="14"/>
        <v>0</v>
      </c>
    </row>
    <row r="39" spans="1:63" x14ac:dyDescent="0.25">
      <c r="A39" t="s">
        <v>35</v>
      </c>
      <c r="C39" s="8"/>
      <c r="D39" s="57">
        <f t="shared" ref="D39:AI39" si="15">D7+D14+D24</f>
        <v>4</v>
      </c>
      <c r="E39" s="57">
        <f t="shared" si="15"/>
        <v>0</v>
      </c>
      <c r="F39" s="57">
        <f t="shared" si="15"/>
        <v>4</v>
      </c>
      <c r="G39" s="57">
        <f t="shared" si="15"/>
        <v>0</v>
      </c>
      <c r="H39" s="57">
        <f t="shared" si="15"/>
        <v>4</v>
      </c>
      <c r="I39" s="57">
        <f t="shared" si="15"/>
        <v>0</v>
      </c>
      <c r="J39" s="57">
        <f t="shared" si="15"/>
        <v>0</v>
      </c>
      <c r="K39" s="57">
        <f t="shared" si="15"/>
        <v>0</v>
      </c>
      <c r="L39" s="150">
        <f t="shared" si="15"/>
        <v>0</v>
      </c>
      <c r="M39" s="57">
        <f t="shared" si="15"/>
        <v>0</v>
      </c>
      <c r="N39" s="276">
        <f t="shared" si="15"/>
        <v>4</v>
      </c>
      <c r="O39" s="276">
        <f t="shared" si="15"/>
        <v>0</v>
      </c>
      <c r="P39" s="277">
        <f t="shared" si="15"/>
        <v>4</v>
      </c>
      <c r="Q39" s="277">
        <f t="shared" si="15"/>
        <v>0</v>
      </c>
      <c r="R39" s="257">
        <f t="shared" si="15"/>
        <v>4</v>
      </c>
      <c r="S39" s="257">
        <f t="shared" si="15"/>
        <v>0</v>
      </c>
      <c r="T39" s="57">
        <f t="shared" si="15"/>
        <v>4</v>
      </c>
      <c r="U39" s="57">
        <f t="shared" si="15"/>
        <v>0</v>
      </c>
      <c r="V39" s="265">
        <f t="shared" si="15"/>
        <v>4</v>
      </c>
      <c r="W39" s="265">
        <f t="shared" si="15"/>
        <v>0</v>
      </c>
      <c r="X39" s="266">
        <f t="shared" si="15"/>
        <v>0</v>
      </c>
      <c r="Y39" s="266">
        <f t="shared" si="15"/>
        <v>0</v>
      </c>
      <c r="Z39" s="267">
        <f t="shared" si="15"/>
        <v>0</v>
      </c>
      <c r="AA39" s="267">
        <f t="shared" si="15"/>
        <v>0</v>
      </c>
      <c r="AB39" s="268">
        <f t="shared" si="15"/>
        <v>4</v>
      </c>
      <c r="AC39" s="268">
        <f t="shared" si="15"/>
        <v>0</v>
      </c>
      <c r="AD39" s="57">
        <f t="shared" si="15"/>
        <v>5</v>
      </c>
      <c r="AE39" s="246">
        <f t="shared" si="15"/>
        <v>0</v>
      </c>
      <c r="AF39" s="247">
        <f t="shared" si="15"/>
        <v>4</v>
      </c>
      <c r="AG39" s="247">
        <f t="shared" si="15"/>
        <v>0</v>
      </c>
      <c r="AH39" s="57">
        <f t="shared" si="15"/>
        <v>0</v>
      </c>
      <c r="AI39" s="57">
        <f t="shared" si="15"/>
        <v>0</v>
      </c>
      <c r="AJ39" s="261">
        <f t="shared" ref="AJ39:BG39" si="16">AJ7+AJ14+AJ24</f>
        <v>1</v>
      </c>
      <c r="AK39" s="261">
        <f t="shared" si="16"/>
        <v>0</v>
      </c>
      <c r="AL39" s="279">
        <f t="shared" si="16"/>
        <v>0</v>
      </c>
      <c r="AM39" s="279">
        <f t="shared" si="16"/>
        <v>0</v>
      </c>
      <c r="AN39" s="270">
        <f t="shared" si="16"/>
        <v>0</v>
      </c>
      <c r="AO39" s="270">
        <f t="shared" si="16"/>
        <v>0</v>
      </c>
      <c r="AP39" s="279">
        <f t="shared" si="16"/>
        <v>1</v>
      </c>
      <c r="AQ39" s="279">
        <f t="shared" si="16"/>
        <v>0</v>
      </c>
      <c r="AR39" s="271">
        <f t="shared" si="16"/>
        <v>1</v>
      </c>
      <c r="AS39" s="271">
        <f t="shared" si="16"/>
        <v>0</v>
      </c>
      <c r="AT39" s="272">
        <f t="shared" si="16"/>
        <v>1</v>
      </c>
      <c r="AU39" s="272">
        <f t="shared" si="16"/>
        <v>0</v>
      </c>
      <c r="AV39" s="273">
        <f t="shared" si="16"/>
        <v>2</v>
      </c>
      <c r="AW39" s="273">
        <f t="shared" si="16"/>
        <v>0</v>
      </c>
      <c r="AX39" s="274">
        <f t="shared" si="16"/>
        <v>0</v>
      </c>
      <c r="AY39" s="274">
        <f t="shared" si="16"/>
        <v>0</v>
      </c>
      <c r="AZ39" s="249">
        <f t="shared" si="16"/>
        <v>0</v>
      </c>
      <c r="BA39" s="249">
        <f t="shared" si="16"/>
        <v>0</v>
      </c>
      <c r="BB39" s="250">
        <f t="shared" si="16"/>
        <v>0</v>
      </c>
      <c r="BC39" s="250">
        <f t="shared" si="16"/>
        <v>0</v>
      </c>
      <c r="BD39" s="262">
        <f t="shared" si="16"/>
        <v>0</v>
      </c>
      <c r="BE39" s="262">
        <f t="shared" si="16"/>
        <v>0</v>
      </c>
      <c r="BF39" s="174">
        <f t="shared" si="16"/>
        <v>0</v>
      </c>
      <c r="BG39" s="174">
        <f t="shared" si="16"/>
        <v>0</v>
      </c>
      <c r="BH39" s="322">
        <f t="shared" ref="BH39:BK39" si="17">BH7+BH14+BH24</f>
        <v>0</v>
      </c>
      <c r="BI39" s="322">
        <f t="shared" si="17"/>
        <v>0</v>
      </c>
      <c r="BJ39" s="322">
        <f t="shared" si="17"/>
        <v>0</v>
      </c>
      <c r="BK39" s="322">
        <f t="shared" si="17"/>
        <v>0</v>
      </c>
    </row>
    <row r="40" spans="1:63" s="124" customFormat="1" x14ac:dyDescent="0.25">
      <c r="A40" s="124" t="s">
        <v>186</v>
      </c>
      <c r="C40" s="8"/>
      <c r="D40" s="340"/>
      <c r="E40" s="340"/>
      <c r="F40" s="340"/>
      <c r="G40" s="340"/>
      <c r="H40" s="340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0"/>
      <c r="AC40" s="340"/>
      <c r="AD40" s="340"/>
      <c r="AE40" s="340"/>
      <c r="AF40" s="340"/>
      <c r="AG40" s="340"/>
      <c r="AH40" s="340"/>
      <c r="AI40" s="340"/>
      <c r="AJ40" s="340">
        <f t="shared" ref="AJ40:AK42" si="18">AJ16</f>
        <v>10</v>
      </c>
      <c r="AK40" s="340">
        <f t="shared" si="18"/>
        <v>1</v>
      </c>
      <c r="AL40" s="340"/>
      <c r="AM40" s="340"/>
      <c r="AN40" s="340"/>
      <c r="AO40" s="340"/>
      <c r="AP40" s="340"/>
      <c r="AQ40" s="340"/>
      <c r="AR40" s="346">
        <f t="shared" ref="AR40:AS40" si="19">AR16</f>
        <v>3</v>
      </c>
      <c r="AS40" s="346">
        <f t="shared" si="19"/>
        <v>2</v>
      </c>
      <c r="AT40" s="340"/>
      <c r="AU40" s="340"/>
      <c r="AV40" s="340"/>
      <c r="AW40" s="340"/>
      <c r="AX40" s="340"/>
      <c r="AY40" s="340"/>
      <c r="AZ40" s="340"/>
      <c r="BA40" s="340"/>
      <c r="BB40" s="340"/>
      <c r="BC40" s="340"/>
      <c r="BD40" s="340"/>
      <c r="BE40" s="340"/>
      <c r="BF40" s="340"/>
      <c r="BG40" s="340"/>
      <c r="BH40" s="340"/>
      <c r="BI40" s="340"/>
      <c r="BJ40" s="340"/>
      <c r="BK40" s="340"/>
    </row>
    <row r="41" spans="1:63" s="124" customFormat="1" x14ac:dyDescent="0.25">
      <c r="A41" s="124" t="s">
        <v>187</v>
      </c>
      <c r="C41" s="8"/>
      <c r="D41" s="340"/>
      <c r="E41" s="340"/>
      <c r="F41" s="340"/>
      <c r="G41" s="340"/>
      <c r="H41" s="340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0"/>
      <c r="AC41" s="340"/>
      <c r="AD41" s="340"/>
      <c r="AE41" s="340"/>
      <c r="AF41" s="340"/>
      <c r="AG41" s="340"/>
      <c r="AH41" s="340"/>
      <c r="AI41" s="340"/>
      <c r="AJ41" s="340">
        <f t="shared" si="18"/>
        <v>8</v>
      </c>
      <c r="AK41" s="340">
        <f t="shared" si="18"/>
        <v>0</v>
      </c>
      <c r="AL41" s="340"/>
      <c r="AM41" s="340"/>
      <c r="AN41" s="340"/>
      <c r="AO41" s="340"/>
      <c r="AP41" s="340"/>
      <c r="AQ41" s="340"/>
      <c r="AR41" s="346">
        <f t="shared" ref="AR41:AS41" si="20">AR17</f>
        <v>3</v>
      </c>
      <c r="AS41" s="346">
        <f t="shared" si="20"/>
        <v>2</v>
      </c>
      <c r="AT41" s="340"/>
      <c r="AU41" s="340"/>
      <c r="AV41" s="340"/>
      <c r="AW41" s="340"/>
      <c r="AX41" s="340"/>
      <c r="AY41" s="340"/>
      <c r="AZ41" s="340"/>
      <c r="BA41" s="340"/>
      <c r="BB41" s="340"/>
      <c r="BC41" s="340"/>
      <c r="BD41" s="340"/>
      <c r="BE41" s="340"/>
      <c r="BF41" s="340"/>
      <c r="BG41" s="340"/>
      <c r="BH41" s="340"/>
      <c r="BI41" s="340"/>
      <c r="BJ41" s="340"/>
      <c r="BK41" s="340"/>
    </row>
    <row r="42" spans="1:63" s="124" customFormat="1" x14ac:dyDescent="0.25">
      <c r="A42" s="124" t="s">
        <v>125</v>
      </c>
      <c r="C42" s="8"/>
      <c r="D42" s="340"/>
      <c r="E42" s="340"/>
      <c r="F42" s="340"/>
      <c r="G42" s="340"/>
      <c r="H42" s="340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0"/>
      <c r="AC42" s="340"/>
      <c r="AD42" s="340"/>
      <c r="AE42" s="340"/>
      <c r="AF42" s="340"/>
      <c r="AG42" s="340"/>
      <c r="AH42" s="340"/>
      <c r="AI42" s="340"/>
      <c r="AJ42" s="340">
        <f t="shared" si="18"/>
        <v>1</v>
      </c>
      <c r="AK42" s="340">
        <f t="shared" si="18"/>
        <v>0</v>
      </c>
      <c r="AL42" s="340"/>
      <c r="AM42" s="340"/>
      <c r="AN42" s="340"/>
      <c r="AO42" s="340"/>
      <c r="AP42" s="340"/>
      <c r="AQ42" s="340"/>
      <c r="AR42" s="346">
        <f t="shared" ref="AR42:AS42" si="21">AR18</f>
        <v>0</v>
      </c>
      <c r="AS42" s="346">
        <f t="shared" si="21"/>
        <v>0</v>
      </c>
      <c r="AT42" s="340"/>
      <c r="AU42" s="340"/>
      <c r="AV42" s="340"/>
      <c r="AW42" s="340"/>
      <c r="AX42" s="340"/>
      <c r="AY42" s="340"/>
      <c r="AZ42" s="340"/>
      <c r="BA42" s="340"/>
      <c r="BB42" s="340"/>
      <c r="BC42" s="340"/>
      <c r="BD42" s="340"/>
      <c r="BE42" s="340"/>
      <c r="BF42" s="340"/>
      <c r="BG42" s="340"/>
      <c r="BH42" s="340"/>
      <c r="BI42" s="340"/>
      <c r="BJ42" s="340"/>
      <c r="BK42" s="340"/>
    </row>
    <row r="43" spans="1:63" x14ac:dyDescent="0.25">
      <c r="A43" s="384" t="s">
        <v>83</v>
      </c>
      <c r="B43" s="384"/>
      <c r="C43" s="8"/>
      <c r="D43" s="149">
        <f t="shared" ref="D43:AI43" si="22">SUM(D34:D39)</f>
        <v>140</v>
      </c>
      <c r="E43" s="232">
        <f t="shared" si="22"/>
        <v>89</v>
      </c>
      <c r="F43" s="232">
        <f t="shared" si="22"/>
        <v>144</v>
      </c>
      <c r="G43" s="232">
        <f t="shared" si="22"/>
        <v>85</v>
      </c>
      <c r="H43" s="232">
        <f t="shared" si="22"/>
        <v>146</v>
      </c>
      <c r="I43" s="232">
        <f t="shared" si="22"/>
        <v>83</v>
      </c>
      <c r="J43" s="232">
        <f t="shared" si="22"/>
        <v>144</v>
      </c>
      <c r="K43" s="232">
        <f t="shared" si="22"/>
        <v>3</v>
      </c>
      <c r="L43" s="232">
        <f t="shared" si="22"/>
        <v>108</v>
      </c>
      <c r="M43" s="232">
        <f t="shared" si="22"/>
        <v>3</v>
      </c>
      <c r="N43" s="232">
        <f t="shared" si="22"/>
        <v>143</v>
      </c>
      <c r="O43" s="232">
        <f t="shared" si="22"/>
        <v>83</v>
      </c>
      <c r="P43" s="232">
        <f t="shared" si="22"/>
        <v>138</v>
      </c>
      <c r="Q43" s="232">
        <f t="shared" si="22"/>
        <v>84</v>
      </c>
      <c r="R43" s="232">
        <f t="shared" si="22"/>
        <v>148</v>
      </c>
      <c r="S43" s="287">
        <f t="shared" si="22"/>
        <v>81</v>
      </c>
      <c r="T43" s="232">
        <f t="shared" si="22"/>
        <v>168</v>
      </c>
      <c r="U43" s="232">
        <f t="shared" si="22"/>
        <v>61</v>
      </c>
      <c r="V43" s="259">
        <f t="shared" si="22"/>
        <v>168</v>
      </c>
      <c r="W43" s="259">
        <f t="shared" si="22"/>
        <v>61</v>
      </c>
      <c r="X43" s="232">
        <f t="shared" si="22"/>
        <v>144</v>
      </c>
      <c r="Y43" s="232">
        <f t="shared" si="22"/>
        <v>3</v>
      </c>
      <c r="Z43" s="232">
        <f t="shared" si="22"/>
        <v>108</v>
      </c>
      <c r="AA43" s="232">
        <f t="shared" si="22"/>
        <v>3</v>
      </c>
      <c r="AB43" s="232">
        <f t="shared" si="22"/>
        <v>166</v>
      </c>
      <c r="AC43" s="232">
        <f t="shared" si="22"/>
        <v>63</v>
      </c>
      <c r="AD43" s="232">
        <f t="shared" si="22"/>
        <v>162</v>
      </c>
      <c r="AE43" s="232">
        <f t="shared" si="22"/>
        <v>63</v>
      </c>
      <c r="AF43" s="232">
        <f t="shared" si="22"/>
        <v>168</v>
      </c>
      <c r="AG43" s="232">
        <f t="shared" si="22"/>
        <v>61</v>
      </c>
      <c r="AH43" s="232">
        <f t="shared" si="22"/>
        <v>108</v>
      </c>
      <c r="AI43" s="232">
        <f t="shared" si="22"/>
        <v>3</v>
      </c>
      <c r="AJ43" s="232">
        <f t="shared" ref="AJ43:BG43" si="23">SUM(AJ34:AJ39)</f>
        <v>59</v>
      </c>
      <c r="AK43" s="232">
        <f t="shared" si="23"/>
        <v>0</v>
      </c>
      <c r="AL43" s="232">
        <f t="shared" si="23"/>
        <v>121</v>
      </c>
      <c r="AM43" s="232">
        <f t="shared" si="23"/>
        <v>0</v>
      </c>
      <c r="AN43" s="232">
        <f t="shared" si="23"/>
        <v>106</v>
      </c>
      <c r="AO43" s="232">
        <f t="shared" si="23"/>
        <v>5</v>
      </c>
      <c r="AP43" s="232">
        <f t="shared" si="23"/>
        <v>146</v>
      </c>
      <c r="AQ43" s="232">
        <f t="shared" si="23"/>
        <v>27</v>
      </c>
      <c r="AR43" s="232">
        <f t="shared" si="23"/>
        <v>141</v>
      </c>
      <c r="AS43" s="232">
        <f t="shared" si="23"/>
        <v>26</v>
      </c>
      <c r="AT43" s="232">
        <f t="shared" si="23"/>
        <v>160</v>
      </c>
      <c r="AU43" s="232">
        <f t="shared" si="23"/>
        <v>51</v>
      </c>
      <c r="AV43" s="232">
        <f t="shared" si="23"/>
        <v>176</v>
      </c>
      <c r="AW43" s="232">
        <f t="shared" si="23"/>
        <v>49</v>
      </c>
      <c r="AX43" s="316">
        <f t="shared" si="23"/>
        <v>0</v>
      </c>
      <c r="AY43" s="316">
        <f t="shared" si="23"/>
        <v>0</v>
      </c>
      <c r="AZ43" s="316">
        <f t="shared" si="23"/>
        <v>0</v>
      </c>
      <c r="BA43" s="316">
        <f t="shared" si="23"/>
        <v>0</v>
      </c>
      <c r="BB43" s="316">
        <f t="shared" si="23"/>
        <v>0</v>
      </c>
      <c r="BC43" s="316">
        <f t="shared" si="23"/>
        <v>0</v>
      </c>
      <c r="BD43" s="316">
        <f t="shared" si="23"/>
        <v>0</v>
      </c>
      <c r="BE43" s="316">
        <f t="shared" si="23"/>
        <v>0</v>
      </c>
      <c r="BF43" s="316">
        <f t="shared" si="23"/>
        <v>0</v>
      </c>
      <c r="BG43" s="316">
        <f t="shared" si="23"/>
        <v>0</v>
      </c>
      <c r="BH43" s="322">
        <f t="shared" ref="BH43:BK43" si="24">SUM(BH34:BH39)</f>
        <v>0</v>
      </c>
      <c r="BI43" s="322">
        <f t="shared" si="24"/>
        <v>0</v>
      </c>
      <c r="BJ43" s="322">
        <f t="shared" si="24"/>
        <v>0</v>
      </c>
      <c r="BK43" s="322">
        <f t="shared" si="24"/>
        <v>0</v>
      </c>
    </row>
    <row r="44" spans="1:63" x14ac:dyDescent="0.25">
      <c r="C44" s="8"/>
      <c r="L44" s="124"/>
      <c r="AR44" s="54"/>
      <c r="AS44" s="54"/>
      <c r="AT44" s="54"/>
      <c r="AU44" s="54"/>
      <c r="AV44" s="54"/>
      <c r="AW44" s="54"/>
      <c r="AX44" s="54"/>
      <c r="AY44" s="54"/>
      <c r="AZ44" s="54"/>
      <c r="BB44" s="54"/>
      <c r="BD44" s="54"/>
      <c r="BH44" s="54"/>
      <c r="BI44" s="54"/>
      <c r="BJ44" s="54"/>
      <c r="BK44" s="124"/>
    </row>
    <row r="45" spans="1:63" x14ac:dyDescent="0.25">
      <c r="A45" s="56" t="s">
        <v>84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8"/>
      <c r="AS45" s="58"/>
      <c r="AT45" s="58"/>
      <c r="AU45" s="58"/>
      <c r="AV45" s="58"/>
      <c r="AW45" s="58"/>
      <c r="AX45" s="58"/>
      <c r="AY45" s="58"/>
      <c r="AZ45" s="58"/>
      <c r="BA45" s="56"/>
      <c r="BB45" s="58"/>
      <c r="BC45" s="56"/>
      <c r="BD45" s="58"/>
      <c r="BE45" s="56"/>
      <c r="BF45" s="56"/>
      <c r="BG45" s="56"/>
      <c r="BH45" s="58"/>
      <c r="BI45" s="58"/>
      <c r="BJ45" s="58"/>
      <c r="BK45" s="56"/>
    </row>
    <row r="46" spans="1:63" x14ac:dyDescent="0.25">
      <c r="A46" t="s">
        <v>79</v>
      </c>
      <c r="C46" s="8"/>
      <c r="D46" s="57">
        <f>D5+E5+D12+E12+D22+E22</f>
        <v>79</v>
      </c>
      <c r="E46" s="57"/>
      <c r="F46" s="57">
        <f>F5+G5+F12+G12+F22+G22</f>
        <v>79</v>
      </c>
      <c r="G46" s="57"/>
      <c r="H46" s="57">
        <f>H5+I5+H12+I12+H22+I22</f>
        <v>79</v>
      </c>
      <c r="I46" s="57"/>
      <c r="J46" s="57">
        <f>J5+K5+J12+K12+J22+K22</f>
        <v>72</v>
      </c>
      <c r="K46" s="57"/>
      <c r="L46" s="150">
        <f>L5+M5+L12+M12+L22+M22</f>
        <v>54</v>
      </c>
      <c r="M46" s="276"/>
      <c r="N46" s="276">
        <f>N5+O5+N12+O12+N22+O22</f>
        <v>79</v>
      </c>
      <c r="O46" s="277"/>
      <c r="P46" s="277">
        <f>P5+Q5+P12+Q12+P22+Q22</f>
        <v>82</v>
      </c>
      <c r="Q46" s="257"/>
      <c r="R46" s="257">
        <f>R5+S5+R12+S12+R22+S22</f>
        <v>79</v>
      </c>
      <c r="S46" s="57"/>
      <c r="T46" s="57">
        <f>T5+U5+T12+U12+T22+U22</f>
        <v>79</v>
      </c>
      <c r="U46" s="265"/>
      <c r="V46" s="265">
        <f>V5+W5+V12+W12+V22+W22</f>
        <v>79</v>
      </c>
      <c r="W46" s="266"/>
      <c r="X46" s="266">
        <f>X5+Y5+X12+Y12+X22+Y22</f>
        <v>72</v>
      </c>
      <c r="Y46" s="267"/>
      <c r="Z46" s="267">
        <f>Z5+AA5+Z12+AA12+Z22+AA22</f>
        <v>54</v>
      </c>
      <c r="AA46" s="268"/>
      <c r="AB46" s="268">
        <f>AB5+AC5+AB12+AC12+AB22+AC22</f>
        <v>79</v>
      </c>
      <c r="AC46" s="57"/>
      <c r="AD46" s="57">
        <f>AD5+AE5+AD12+AE12+AD22+AE22</f>
        <v>80</v>
      </c>
      <c r="AE46" s="57"/>
      <c r="AF46" s="57">
        <f>AF5+AG5+AF12+AG12+AF22+AG22</f>
        <v>79</v>
      </c>
      <c r="AG46" s="57"/>
      <c r="AH46" s="57">
        <f>AH5+AI5+AH12+AI12+AH22+AI22</f>
        <v>54</v>
      </c>
      <c r="AI46" s="261"/>
      <c r="AJ46" s="261">
        <f>AJ5+AK5+AJ12+AK12+AJ22+AK22</f>
        <v>19</v>
      </c>
      <c r="AK46" s="269"/>
      <c r="AL46" s="278">
        <f>AL5+AM5+AL12+AM12+AL22+AM22</f>
        <v>59</v>
      </c>
      <c r="AM46" s="270"/>
      <c r="AN46" s="270">
        <f>AN5+AO5+AN12+AO12+AN22+AO22</f>
        <v>54</v>
      </c>
      <c r="AO46" s="279"/>
      <c r="AP46" s="279">
        <f>AP5+AQ5+AP12+AQ12+AP22+AQ22</f>
        <v>78</v>
      </c>
      <c r="AQ46" s="271"/>
      <c r="AR46" s="271">
        <f>AR5+AS5+AR12+AS12+AR22+AS22</f>
        <v>70</v>
      </c>
      <c r="AS46" s="272"/>
      <c r="AT46" s="272">
        <f>AT5+AU5+AT12+AU12+AT22+AU22</f>
        <v>80</v>
      </c>
      <c r="AU46" s="273"/>
      <c r="AV46" s="273">
        <f>AV5+AW5+AV12+AW12+AV22+AW22</f>
        <v>79</v>
      </c>
      <c r="AW46" s="274"/>
      <c r="AX46" s="274">
        <f>AX5+AY5+AX12+AY12+AX22+AY22</f>
        <v>0</v>
      </c>
      <c r="AY46" s="57"/>
      <c r="AZ46" s="57">
        <f>AZ5+BA5+AZ12+BA12+AZ22+BA22</f>
        <v>0</v>
      </c>
      <c r="BA46" s="57"/>
      <c r="BB46" s="115">
        <f>BB5+BC5+BB12+BC12+BB22+BC22</f>
        <v>0</v>
      </c>
      <c r="BC46" s="262"/>
      <c r="BD46" s="262">
        <f>BD5+BE5+BD12+BE12+BD22+BE22</f>
        <v>0</v>
      </c>
      <c r="BE46" s="115"/>
      <c r="BF46" s="57">
        <f>BF5+BG5+BF12+BG12+BF22+BG22</f>
        <v>0</v>
      </c>
      <c r="BG46" s="263"/>
      <c r="BH46" s="322">
        <f>BH5+BI5+BH12+BI12+BH22+BI22</f>
        <v>0</v>
      </c>
      <c r="BI46" s="322"/>
      <c r="BJ46" s="322">
        <f>BJ5+BK5+BJ12+BK12+BJ22+BK22</f>
        <v>0</v>
      </c>
      <c r="BK46" s="322"/>
    </row>
    <row r="47" spans="1:63" x14ac:dyDescent="0.25">
      <c r="A47" t="s">
        <v>80</v>
      </c>
      <c r="C47" s="8"/>
      <c r="D47" s="57">
        <f>D8+E8+D15+E15+D25+E25</f>
        <v>78</v>
      </c>
      <c r="E47" s="57"/>
      <c r="F47" s="57">
        <f>F8+G8+F15+G15+F25+G25</f>
        <v>78</v>
      </c>
      <c r="G47" s="57"/>
      <c r="H47" s="57">
        <f>H8+I8+H15+I15+H25+I25</f>
        <v>78</v>
      </c>
      <c r="I47" s="57"/>
      <c r="J47" s="57">
        <f>J8+K8+J15+K15+J25+K25</f>
        <v>75</v>
      </c>
      <c r="K47" s="57"/>
      <c r="L47" s="57">
        <f>L8+M8+L15+M15+L25+M25</f>
        <v>57</v>
      </c>
      <c r="M47" s="276"/>
      <c r="N47" s="276">
        <f>N8+O8+N15+O15+N25+O25</f>
        <v>78</v>
      </c>
      <c r="O47" s="277"/>
      <c r="P47" s="277">
        <f>P8+Q8+P15+Q15+P25+Q25</f>
        <v>78</v>
      </c>
      <c r="Q47" s="257"/>
      <c r="R47" s="257">
        <f>R8+S8+R15+S15+R25+S25</f>
        <v>78</v>
      </c>
      <c r="S47" s="57"/>
      <c r="T47" s="57">
        <f>T8+U8+T15+U15+T25+U25</f>
        <v>78</v>
      </c>
      <c r="U47" s="265"/>
      <c r="V47" s="265">
        <f>V8+W8+V15+W15+V25+W25</f>
        <v>78</v>
      </c>
      <c r="W47" s="266"/>
      <c r="X47" s="266">
        <f>X8+Y8+X15+Y15+X25+Y25</f>
        <v>75</v>
      </c>
      <c r="Y47" s="267"/>
      <c r="Z47" s="267">
        <f>Z8+AA8+Z15+AA15+Z25+AA25</f>
        <v>57</v>
      </c>
      <c r="AA47" s="268"/>
      <c r="AB47" s="268">
        <f>AB8+AC8+AB15+AC15+AB25+AC25</f>
        <v>78</v>
      </c>
      <c r="AC47" s="57"/>
      <c r="AD47" s="57">
        <f>AD8+AE8+AD15+AE15+AD25+AE25</f>
        <v>78</v>
      </c>
      <c r="AE47" s="57"/>
      <c r="AF47" s="247">
        <f>AF8+AG8+AF15+AG15+AF25+AG25</f>
        <v>78</v>
      </c>
      <c r="AG47" s="57"/>
      <c r="AH47" s="57">
        <f>AH8+AI8+AH15+AI15+AH25+AI25</f>
        <v>57</v>
      </c>
      <c r="AI47" s="261"/>
      <c r="AJ47" s="261">
        <f>AJ8+AK8+AJ15+AK15+AJ25+AK25</f>
        <v>21</v>
      </c>
      <c r="AK47" s="269"/>
      <c r="AL47" s="278">
        <f>AL8+AM8+AL15+AM15+AL25+AM25</f>
        <v>62</v>
      </c>
      <c r="AM47" s="270"/>
      <c r="AN47" s="270">
        <f>AN8+AO8+AN15+AO15+AN25+AO25</f>
        <v>57</v>
      </c>
      <c r="AO47" s="279"/>
      <c r="AP47" s="279">
        <f>AP8+AQ8+AP15+AQ15+AP25+AQ25</f>
        <v>78</v>
      </c>
      <c r="AQ47" s="271"/>
      <c r="AR47" s="271">
        <f>AR8+AS8+AR15+AS15+AR25+AS25</f>
        <v>68</v>
      </c>
      <c r="AS47" s="272"/>
      <c r="AT47" s="272">
        <f>AT8+AU8+AT15+AU15+AT25+AU25</f>
        <v>78</v>
      </c>
      <c r="AU47" s="273"/>
      <c r="AV47" s="273">
        <f>AV8+AW8+AV15+AW15+AV25+AW25</f>
        <v>78</v>
      </c>
      <c r="AW47" s="274"/>
      <c r="AX47" s="274">
        <f>AX8+AY8+AX15+AY15+AX25+AY25</f>
        <v>0</v>
      </c>
      <c r="AY47" s="57"/>
      <c r="AZ47" s="249">
        <f>AZ8+BA8+AZ15+BA15+AZ25+BA25</f>
        <v>0</v>
      </c>
      <c r="BA47" s="57"/>
      <c r="BB47" s="250">
        <f>BB8+BC8+BB15+BC15+BB25+BC25</f>
        <v>0</v>
      </c>
      <c r="BC47" s="262"/>
      <c r="BD47" s="262">
        <f>BD8+BE8+BD15+BE15+BD25+BE25</f>
        <v>0</v>
      </c>
      <c r="BE47" s="115"/>
      <c r="BF47" s="57">
        <f>BF8+BG8+BF15+BG15+BF25+BG25</f>
        <v>0</v>
      </c>
      <c r="BG47" s="263"/>
      <c r="BH47" s="322">
        <f>BH8+BI8+BH15+BI15+BH25+BI25</f>
        <v>0</v>
      </c>
      <c r="BI47" s="322"/>
      <c r="BJ47" s="322">
        <f>BJ8+BK8+BJ15+BK15+BJ25+BK25</f>
        <v>0</v>
      </c>
      <c r="BK47" s="322"/>
    </row>
    <row r="48" spans="1:63" x14ac:dyDescent="0.25">
      <c r="A48" t="s">
        <v>81</v>
      </c>
      <c r="C48" s="8"/>
      <c r="D48" s="57">
        <f>D3+E3+D10+E10+D20+E20</f>
        <v>36</v>
      </c>
      <c r="E48" s="57"/>
      <c r="F48" s="57">
        <f>F3+G3+F10+G10+F20+G20</f>
        <v>36</v>
      </c>
      <c r="G48" s="57"/>
      <c r="H48" s="57">
        <f>H3+I3+H10+I10+H20+I20</f>
        <v>36</v>
      </c>
      <c r="I48" s="57"/>
      <c r="J48" s="57">
        <f>J3+K3+J10+K10+J20+K20</f>
        <v>0</v>
      </c>
      <c r="K48" s="57"/>
      <c r="L48" s="57">
        <f>L3+M3+L10+M10+L20+M20</f>
        <v>0</v>
      </c>
      <c r="M48" s="276"/>
      <c r="N48" s="276">
        <f>N3+O3+N10+O10+N20+O20</f>
        <v>34</v>
      </c>
      <c r="O48" s="277"/>
      <c r="P48" s="277">
        <f>P3+Q3+P10+Q10+P20+Q20</f>
        <v>29</v>
      </c>
      <c r="Q48" s="257"/>
      <c r="R48" s="257">
        <f>R3+S3+R10+S10+R20+S20</f>
        <v>36</v>
      </c>
      <c r="S48" s="57"/>
      <c r="T48" s="57">
        <f>T3+U3+T10+U10+T20+U20</f>
        <v>36</v>
      </c>
      <c r="U48" s="265"/>
      <c r="V48" s="265">
        <f>V3+W3+V10+W10+V20+W20</f>
        <v>36</v>
      </c>
      <c r="W48" s="266"/>
      <c r="X48" s="266">
        <f>X3+Y3+X10+Y10+X20+Y20</f>
        <v>0</v>
      </c>
      <c r="Y48" s="267"/>
      <c r="Z48" s="267">
        <f>Z3+AA3+Z10+AA10+Z20+AA20</f>
        <v>0</v>
      </c>
      <c r="AA48" s="268"/>
      <c r="AB48" s="268">
        <f>AB3+AC3+AB10+AC10+AB20+AC20</f>
        <v>36</v>
      </c>
      <c r="AC48" s="57"/>
      <c r="AD48" s="57">
        <f>AD3+AE3+AD10+AE10+AD20+AE20</f>
        <v>32</v>
      </c>
      <c r="AE48" s="57"/>
      <c r="AF48" s="57">
        <f>AF3+AG3+AF10+AG10+AF20+AG20</f>
        <v>36</v>
      </c>
      <c r="AG48" s="57"/>
      <c r="AH48" s="57">
        <f>AH3+AI3+AH10+AI10+AH20+AI20</f>
        <v>0</v>
      </c>
      <c r="AI48" s="261"/>
      <c r="AJ48" s="261">
        <f>AJ3+AK3+AJ10+AK10+AJ20+AK20</f>
        <v>9</v>
      </c>
      <c r="AK48" s="269"/>
      <c r="AL48" s="278">
        <f>AL3+AM3+AL10+AM10+AL20+AM20</f>
        <v>0</v>
      </c>
      <c r="AM48" s="270"/>
      <c r="AN48" s="270">
        <f>AN3+AO3+AN10+AO10+AN20+AO20</f>
        <v>0</v>
      </c>
      <c r="AO48" s="279"/>
      <c r="AP48" s="279">
        <f>AP3+AQ3+AP10+AQ10+AP20+AQ20</f>
        <v>8</v>
      </c>
      <c r="AQ48" s="271"/>
      <c r="AR48" s="271">
        <f>AR3+AS3+AR10+AS10+AR20+AS20</f>
        <v>13</v>
      </c>
      <c r="AS48" s="272"/>
      <c r="AT48" s="272">
        <f>AT3+AU3+AT10+AU10+AT20+AU20</f>
        <v>26</v>
      </c>
      <c r="AU48" s="273"/>
      <c r="AV48" s="273">
        <f>AV3+AW3+AV10+AW10+AV20+AW20</f>
        <v>34</v>
      </c>
      <c r="AW48" s="274"/>
      <c r="AX48" s="274">
        <f>AX3+AY3+AX10+AY10+AX20+AY20</f>
        <v>0</v>
      </c>
      <c r="AY48" s="57"/>
      <c r="AZ48" s="57">
        <f>AZ3+BA3+AZ10+BA10+AZ20+BA20</f>
        <v>0</v>
      </c>
      <c r="BA48" s="57"/>
      <c r="BB48" s="115">
        <f>BB3+BC3+BB10+BC10+BB20+BC20</f>
        <v>0</v>
      </c>
      <c r="BC48" s="262"/>
      <c r="BD48" s="262">
        <f>BD3+BE3+BD10+BE10+BD20+BE20</f>
        <v>0</v>
      </c>
      <c r="BE48" s="115"/>
      <c r="BF48" s="57">
        <f>BF3+BG3+BF10+BG10+BF20+BG20</f>
        <v>0</v>
      </c>
      <c r="BG48" s="263"/>
      <c r="BH48" s="322">
        <f>BH3+BI3+BH10+BI10+BH20+BI20</f>
        <v>0</v>
      </c>
      <c r="BI48" s="322"/>
      <c r="BJ48" s="322">
        <f>BJ3+BK3+BJ10+BK10+BJ20+BK20</f>
        <v>0</v>
      </c>
      <c r="BK48" s="322"/>
    </row>
    <row r="49" spans="1:63" x14ac:dyDescent="0.25">
      <c r="A49" t="s">
        <v>82</v>
      </c>
      <c r="C49" s="8"/>
      <c r="D49" s="57">
        <f>D6+E6+D13+E13+D23+E23</f>
        <v>32</v>
      </c>
      <c r="E49" s="57"/>
      <c r="F49" s="57">
        <f>F6+G6+F13+G13+F23+G23</f>
        <v>32</v>
      </c>
      <c r="G49" s="57"/>
      <c r="H49" s="57">
        <f>H6+I6+H13+I13+H23+I23</f>
        <v>32</v>
      </c>
      <c r="I49" s="57"/>
      <c r="J49" s="57">
        <f>J6+K6+J13+K13+J23+K23</f>
        <v>0</v>
      </c>
      <c r="K49" s="57"/>
      <c r="L49" s="57">
        <f>L6+M6+L13+M13+L23+M23</f>
        <v>0</v>
      </c>
      <c r="M49" s="276"/>
      <c r="N49" s="276">
        <f>N6+O6+N13+O13+N23+O23</f>
        <v>31</v>
      </c>
      <c r="O49" s="277"/>
      <c r="P49" s="277">
        <f>P6+Q6+P13+Q13+P23+Q23</f>
        <v>29</v>
      </c>
      <c r="Q49" s="257"/>
      <c r="R49" s="257">
        <f>R6+S6+R13+S13+R23+S23</f>
        <v>32</v>
      </c>
      <c r="S49" s="57"/>
      <c r="T49" s="57">
        <f>T6+U6+T13+U13+T23+U23</f>
        <v>32</v>
      </c>
      <c r="U49" s="265"/>
      <c r="V49" s="265">
        <f>V6+W6+V13+W13+V23+W23</f>
        <v>32</v>
      </c>
      <c r="W49" s="266"/>
      <c r="X49" s="266">
        <f>X6+Y6+X13+Y13+X23+Y23</f>
        <v>0</v>
      </c>
      <c r="Y49" s="267"/>
      <c r="Z49" s="267">
        <f>Z6+AA6+Z13+AA13+Z23+AA23</f>
        <v>0</v>
      </c>
      <c r="AA49" s="268"/>
      <c r="AB49" s="268">
        <f>AB6+AC6+AB13+AC13+AB23+AC23</f>
        <v>32</v>
      </c>
      <c r="AC49" s="57"/>
      <c r="AD49" s="57">
        <f>AD6+AE6+AD13+AE13+AD23+AE23</f>
        <v>30</v>
      </c>
      <c r="AE49" s="57"/>
      <c r="AF49" s="57">
        <f>AF6+AG6+AF13+AG13+AF23+AG23</f>
        <v>32</v>
      </c>
      <c r="AG49" s="57"/>
      <c r="AH49" s="57">
        <f>AH6+AI6+AH13+AI13+AH23+AI23</f>
        <v>0</v>
      </c>
      <c r="AI49" s="261"/>
      <c r="AJ49" s="261">
        <f>AJ6+AK6+AJ13+AK13+AJ23+AK23</f>
        <v>9</v>
      </c>
      <c r="AK49" s="269"/>
      <c r="AL49" s="278">
        <f>AL6+AM6+AL13+AM13+AL23+AM23</f>
        <v>0</v>
      </c>
      <c r="AM49" s="270"/>
      <c r="AN49" s="270">
        <f>AN6+AO6+AN13+AO13+AN23+AO23</f>
        <v>0</v>
      </c>
      <c r="AO49" s="279"/>
      <c r="AP49" s="279">
        <f>AP6+AQ6+AP13+AQ13+AP23+AQ23</f>
        <v>8</v>
      </c>
      <c r="AQ49" s="271"/>
      <c r="AR49" s="271">
        <f>AR6+AS6+AR13+AS13+AR23+AS23</f>
        <v>15</v>
      </c>
      <c r="AS49" s="272"/>
      <c r="AT49" s="272">
        <f>AT6+AU6+AT13+AU13+AT23+AU23</f>
        <v>26</v>
      </c>
      <c r="AU49" s="273"/>
      <c r="AV49" s="273">
        <f>AV6+AW6+AV13+AW13+AV23+AW23</f>
        <v>32</v>
      </c>
      <c r="AW49" s="274"/>
      <c r="AX49" s="274">
        <f>AX6+AY6+AX13+AY13+AX23+AY23</f>
        <v>0</v>
      </c>
      <c r="AY49" s="57"/>
      <c r="AZ49" s="57">
        <f>AZ6+BA6+AZ13+BA13+AZ23+BA23</f>
        <v>0</v>
      </c>
      <c r="BA49" s="57"/>
      <c r="BB49" s="115">
        <f>BB6+BC6+BB13+BC13+BB23+BC23</f>
        <v>0</v>
      </c>
      <c r="BC49" s="262"/>
      <c r="BD49" s="262">
        <f>BD6+BE6+BD13+BE13+BD23+BE23</f>
        <v>0</v>
      </c>
      <c r="BE49" s="115"/>
      <c r="BF49" s="57">
        <f>BF6+BG6+BF13+BG13+BF23+BG23</f>
        <v>0</v>
      </c>
      <c r="BG49" s="263"/>
      <c r="BH49" s="322">
        <f>BH6+BI6+BH13+BI13+BH23+BI23</f>
        <v>0</v>
      </c>
      <c r="BI49" s="322"/>
      <c r="BJ49" s="322">
        <f>BJ6+BK6+BJ13+BK13+BJ23+BK23</f>
        <v>0</v>
      </c>
      <c r="BK49" s="322"/>
    </row>
    <row r="50" spans="1:63" s="124" customFormat="1" x14ac:dyDescent="0.25">
      <c r="A50" s="124" t="s">
        <v>122</v>
      </c>
      <c r="C50" s="8"/>
      <c r="D50" s="154">
        <f>D4+E4+D11+E11+D21+E21</f>
        <v>0</v>
      </c>
      <c r="E50" s="154"/>
      <c r="F50" s="154">
        <f>F4+G4+F11+G11+F21+G21</f>
        <v>0</v>
      </c>
      <c r="G50" s="154"/>
      <c r="H50" s="154">
        <f>H4+I4+H11+I11+H21+I21</f>
        <v>0</v>
      </c>
      <c r="I50" s="154"/>
      <c r="J50" s="154">
        <f>J4+K4+J11+K11+J21+K21</f>
        <v>0</v>
      </c>
      <c r="K50" s="154"/>
      <c r="L50" s="154">
        <f>L4+M4+L11+M11+L21+M21</f>
        <v>0</v>
      </c>
      <c r="M50" s="276"/>
      <c r="N50" s="276">
        <f>N4+O4+N11+O11+N21+O21</f>
        <v>0</v>
      </c>
      <c r="O50" s="277"/>
      <c r="P50" s="277">
        <f>P4+Q4+P11+Q11+P21+Q21</f>
        <v>0</v>
      </c>
      <c r="Q50" s="257"/>
      <c r="R50" s="257">
        <f>R4+S4+R11+S11+R21+S21</f>
        <v>0</v>
      </c>
      <c r="S50" s="154"/>
      <c r="T50" s="154">
        <f>T4+U4+T11+U11+T21+U21</f>
        <v>0</v>
      </c>
      <c r="U50" s="265"/>
      <c r="V50" s="265">
        <f>V4+W4+V11+W11+V21+W21</f>
        <v>0</v>
      </c>
      <c r="W50" s="266"/>
      <c r="X50" s="266">
        <f>X4+Y4+X11+Y11+X21+Y21</f>
        <v>0</v>
      </c>
      <c r="Y50" s="267"/>
      <c r="Z50" s="267">
        <f>Z4+AA4+Z11+AA11+Z21+AA21</f>
        <v>0</v>
      </c>
      <c r="AA50" s="268"/>
      <c r="AB50" s="268">
        <f>AB4+AC4+AB11+AC11+AB21+AC21</f>
        <v>0</v>
      </c>
      <c r="AC50" s="154"/>
      <c r="AD50" s="154">
        <f>AD4+AE4+AD11+AE11+AD21+AE21</f>
        <v>0</v>
      </c>
      <c r="AE50" s="154"/>
      <c r="AF50" s="154">
        <f>AF4+AG4+AF11+AG11+AF21+AG21</f>
        <v>0</v>
      </c>
      <c r="AG50" s="154"/>
      <c r="AH50" s="154">
        <f>AH4+AI4+AH11+AI11+AH21+AI21</f>
        <v>0</v>
      </c>
      <c r="AI50" s="261"/>
      <c r="AJ50" s="261">
        <f>AJ4+AK4+AJ11+AK11+AJ21+AK21</f>
        <v>0</v>
      </c>
      <c r="AK50" s="269"/>
      <c r="AL50" s="278">
        <f>AL4+AM4+AL11+AM11+AL21+AM21</f>
        <v>0</v>
      </c>
      <c r="AM50" s="270"/>
      <c r="AN50" s="270">
        <f>AN4+AO4+AN11+AO11+AN21+AO21</f>
        <v>0</v>
      </c>
      <c r="AO50" s="279"/>
      <c r="AP50" s="279">
        <f>AP4+AQ4+AP11+AQ11+AP21+AQ21</f>
        <v>0</v>
      </c>
      <c r="AQ50" s="271"/>
      <c r="AR50" s="271">
        <f>AR4+AS4+AR11+AS11+AR21+AS21</f>
        <v>0</v>
      </c>
      <c r="AS50" s="272"/>
      <c r="AT50" s="272">
        <f>AT4+AU4+AT11+AU11+AT21+AU21</f>
        <v>0</v>
      </c>
      <c r="AU50" s="273"/>
      <c r="AV50" s="273">
        <f>AV4+AW4+AV11+AW11+AV21+AW21</f>
        <v>0</v>
      </c>
      <c r="AW50" s="316"/>
      <c r="AX50" s="274">
        <f>AX4+AY4+AX11+AY11+AX21+AY21</f>
        <v>0</v>
      </c>
      <c r="AY50" s="154"/>
      <c r="AZ50" s="154">
        <f>AZ4+BA4+AZ11+BA11+AZ21+BA21</f>
        <v>0</v>
      </c>
      <c r="BA50" s="316"/>
      <c r="BB50" s="154">
        <f>BB4+BC4+BB11+BC11+BB21+BC21</f>
        <v>0</v>
      </c>
      <c r="BC50" s="316"/>
      <c r="BD50" s="262">
        <f>BD4+BE4+BD11+BE11+BD21+BE21</f>
        <v>0</v>
      </c>
      <c r="BE50" s="316"/>
      <c r="BF50" s="154">
        <f>BF4+BG4+BF11+BG11+BF21+BG21</f>
        <v>0</v>
      </c>
      <c r="BG50" s="263"/>
      <c r="BH50" s="322">
        <f>BH4+BI4+BH11+BI11+BH21+BI21</f>
        <v>0</v>
      </c>
      <c r="BI50" s="322"/>
      <c r="BJ50" s="322">
        <f>BJ4+BK4+BJ11+BK11+BJ21+BK21</f>
        <v>0</v>
      </c>
      <c r="BK50" s="322"/>
    </row>
    <row r="51" spans="1:63" x14ac:dyDescent="0.25">
      <c r="A51" t="s">
        <v>35</v>
      </c>
      <c r="C51" s="8"/>
      <c r="D51" s="57">
        <f>D7+E7+D14+E14+D24+E24</f>
        <v>4</v>
      </c>
      <c r="E51" s="57"/>
      <c r="F51" s="57">
        <f>F7+G7+F14+G14+F24+G24</f>
        <v>4</v>
      </c>
      <c r="G51" s="57"/>
      <c r="H51" s="57">
        <f>H7+I7+H14+I14+H24+I24</f>
        <v>4</v>
      </c>
      <c r="I51" s="57"/>
      <c r="J51" s="57">
        <f>J7+K7+J14+K14+J24+K24</f>
        <v>0</v>
      </c>
      <c r="K51" s="57"/>
      <c r="L51" s="57">
        <f>L7+M7+L14+M14+L24+M24</f>
        <v>0</v>
      </c>
      <c r="M51" s="276"/>
      <c r="N51" s="276">
        <f>N7+O7+N14+O14+N24+O24</f>
        <v>4</v>
      </c>
      <c r="O51" s="277"/>
      <c r="P51" s="277">
        <f>P7+Q7+P14+Q14+P24+Q24</f>
        <v>4</v>
      </c>
      <c r="Q51" s="257"/>
      <c r="R51" s="257">
        <f>R7+S7+R14+S14+R24+S24</f>
        <v>4</v>
      </c>
      <c r="S51" s="57"/>
      <c r="T51" s="57">
        <f>T7+U7+T14+U14+T24+U24</f>
        <v>4</v>
      </c>
      <c r="U51" s="265"/>
      <c r="V51" s="265">
        <f>V7+W7+V14+W14+V24+W24</f>
        <v>4</v>
      </c>
      <c r="W51" s="266"/>
      <c r="X51" s="266">
        <f>X7+Y7+X14+Y14+X24+Y24</f>
        <v>0</v>
      </c>
      <c r="Y51" s="267"/>
      <c r="Z51" s="267">
        <f>Z7+AA7+Z14+AA14+Z24+AA24</f>
        <v>0</v>
      </c>
      <c r="AA51" s="268"/>
      <c r="AB51" s="268">
        <f>AB7+AC7+AB14+AC14+AB24+AC24</f>
        <v>4</v>
      </c>
      <c r="AC51" s="57"/>
      <c r="AD51" s="57">
        <f>AD7+AE7+AD14+AE14+AD24+AE24</f>
        <v>5</v>
      </c>
      <c r="AE51" s="57"/>
      <c r="AF51" s="247">
        <f>AF7+AG7+AF14+AG14+AF24+AG24</f>
        <v>4</v>
      </c>
      <c r="AG51" s="57"/>
      <c r="AH51" s="57">
        <f>AH7+AI7+AH14+AI14+AH24+AI24</f>
        <v>0</v>
      </c>
      <c r="AI51" s="261"/>
      <c r="AJ51" s="261">
        <f>AJ7+AK7+AJ14+AK14+AJ24+AK24</f>
        <v>1</v>
      </c>
      <c r="AK51" s="269"/>
      <c r="AL51" s="278">
        <f>AL7+AM7+AL14+AM14+AL24+AM24</f>
        <v>0</v>
      </c>
      <c r="AM51" s="270"/>
      <c r="AN51" s="270">
        <f>AN7+AO7+AN14+AO14+AN24+AO24</f>
        <v>0</v>
      </c>
      <c r="AO51" s="279"/>
      <c r="AP51" s="279">
        <f>AP7+AQ7+AP14+AQ14+AP24+AQ24</f>
        <v>1</v>
      </c>
      <c r="AQ51" s="271"/>
      <c r="AR51" s="271">
        <f>AR7+AS7+AR14+AS14+AR24+AS24</f>
        <v>1</v>
      </c>
      <c r="AS51" s="272"/>
      <c r="AT51" s="272">
        <f>AT7+AU7+AT14+AU14+AT24+AU24</f>
        <v>1</v>
      </c>
      <c r="AU51" s="273"/>
      <c r="AV51" s="273">
        <f>AV7+AW7+AV14+AW14+AV24+AW24</f>
        <v>2</v>
      </c>
      <c r="AW51" s="316"/>
      <c r="AX51" s="274">
        <f>AX7+AY7+AX14+AY14+AX24+AY24</f>
        <v>0</v>
      </c>
      <c r="AY51" s="316"/>
      <c r="AZ51" s="249">
        <f>AZ7+BA7+AZ14+BA14+AZ24+BA24</f>
        <v>0</v>
      </c>
      <c r="BA51" s="316"/>
      <c r="BB51" s="250">
        <f>BB7+BC7+BB14+BC14+BB24+BC24</f>
        <v>0</v>
      </c>
      <c r="BC51" s="316"/>
      <c r="BD51" s="262">
        <f>BD7+BE7+BD14+BE14+BD24+BE24</f>
        <v>0</v>
      </c>
      <c r="BE51" s="316"/>
      <c r="BF51" s="57">
        <f>BF7+BG7+BF14+BG14+BF24+BG24</f>
        <v>0</v>
      </c>
      <c r="BG51" s="263"/>
      <c r="BH51" s="322">
        <f>BH7+BI7+BH14+BI14+BH24+BI24</f>
        <v>0</v>
      </c>
      <c r="BI51" s="322"/>
      <c r="BJ51" s="322">
        <f>BJ7+BK7+BJ14+BK14+BJ24+BK24</f>
        <v>0</v>
      </c>
      <c r="BK51" s="322"/>
    </row>
    <row r="52" spans="1:63" s="124" customFormat="1" x14ac:dyDescent="0.25">
      <c r="A52" s="124" t="s">
        <v>186</v>
      </c>
      <c r="C52" s="8"/>
      <c r="D52" s="340"/>
      <c r="E52" s="340"/>
      <c r="F52" s="340"/>
      <c r="G52" s="340"/>
      <c r="H52" s="340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0"/>
      <c r="AC52" s="340"/>
      <c r="AD52" s="340"/>
      <c r="AE52" s="340"/>
      <c r="AF52" s="340"/>
      <c r="AG52" s="340"/>
      <c r="AH52" s="340"/>
      <c r="AI52" s="340"/>
      <c r="AJ52" s="340">
        <f>AJ16+AK16</f>
        <v>11</v>
      </c>
      <c r="AK52" s="340"/>
      <c r="AL52" s="340"/>
      <c r="AM52" s="340"/>
      <c r="AN52" s="340"/>
      <c r="AO52" s="340"/>
      <c r="AP52" s="340"/>
      <c r="AQ52" s="340"/>
      <c r="AR52" s="346">
        <f>AR16+AS16</f>
        <v>5</v>
      </c>
      <c r="AS52" s="340"/>
      <c r="AT52" s="340"/>
      <c r="AU52" s="340"/>
      <c r="AV52" s="340"/>
      <c r="AW52" s="340"/>
      <c r="AX52" s="340"/>
      <c r="AY52" s="340"/>
      <c r="AZ52" s="340"/>
      <c r="BA52" s="340"/>
      <c r="BB52" s="340"/>
      <c r="BC52" s="340"/>
      <c r="BD52" s="340"/>
      <c r="BE52" s="340"/>
      <c r="BF52" s="340"/>
      <c r="BG52" s="340"/>
      <c r="BH52" s="340"/>
      <c r="BI52" s="340"/>
      <c r="BJ52" s="340"/>
      <c r="BK52" s="340"/>
    </row>
    <row r="53" spans="1:63" s="124" customFormat="1" x14ac:dyDescent="0.25">
      <c r="A53" s="124" t="s">
        <v>187</v>
      </c>
      <c r="C53" s="8"/>
      <c r="D53" s="340"/>
      <c r="E53" s="340"/>
      <c r="F53" s="340"/>
      <c r="G53" s="340"/>
      <c r="H53" s="340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0"/>
      <c r="AC53" s="340"/>
      <c r="AD53" s="340"/>
      <c r="AE53" s="340"/>
      <c r="AF53" s="340"/>
      <c r="AG53" s="340"/>
      <c r="AH53" s="340"/>
      <c r="AI53" s="340"/>
      <c r="AJ53" s="340">
        <f>AJ17+AK17</f>
        <v>8</v>
      </c>
      <c r="AK53" s="340"/>
      <c r="AL53" s="340"/>
      <c r="AM53" s="340"/>
      <c r="AN53" s="340"/>
      <c r="AO53" s="340"/>
      <c r="AP53" s="340"/>
      <c r="AQ53" s="340"/>
      <c r="AR53" s="346">
        <f>AR17+AS17</f>
        <v>5</v>
      </c>
      <c r="AS53" s="340"/>
      <c r="AT53" s="340"/>
      <c r="AU53" s="340"/>
      <c r="AV53" s="340"/>
      <c r="AW53" s="340"/>
      <c r="AX53" s="340"/>
      <c r="AY53" s="340"/>
      <c r="AZ53" s="340"/>
      <c r="BA53" s="340"/>
      <c r="BB53" s="340"/>
      <c r="BC53" s="340"/>
      <c r="BD53" s="340"/>
      <c r="BE53" s="340"/>
      <c r="BF53" s="340"/>
      <c r="BG53" s="340"/>
      <c r="BH53" s="340"/>
      <c r="BI53" s="340"/>
      <c r="BJ53" s="340"/>
      <c r="BK53" s="340"/>
    </row>
    <row r="54" spans="1:63" s="124" customFormat="1" x14ac:dyDescent="0.25">
      <c r="A54" s="124" t="s">
        <v>125</v>
      </c>
      <c r="C54" s="8"/>
      <c r="D54" s="340"/>
      <c r="E54" s="340"/>
      <c r="F54" s="340"/>
      <c r="G54" s="340"/>
      <c r="H54" s="340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0"/>
      <c r="AC54" s="340"/>
      <c r="AD54" s="340"/>
      <c r="AE54" s="340"/>
      <c r="AF54" s="340"/>
      <c r="AG54" s="340"/>
      <c r="AH54" s="340"/>
      <c r="AI54" s="340"/>
      <c r="AJ54" s="340">
        <f>AJ18+AK18</f>
        <v>1</v>
      </c>
      <c r="AK54" s="340"/>
      <c r="AL54" s="340"/>
      <c r="AM54" s="340"/>
      <c r="AN54" s="340"/>
      <c r="AO54" s="340"/>
      <c r="AP54" s="340"/>
      <c r="AQ54" s="340"/>
      <c r="AR54" s="346">
        <f>AR18+AS18</f>
        <v>0</v>
      </c>
      <c r="AS54" s="340"/>
      <c r="AT54" s="340"/>
      <c r="AU54" s="340"/>
      <c r="AV54" s="340"/>
      <c r="AW54" s="340"/>
      <c r="AX54" s="340"/>
      <c r="AY54" s="340"/>
      <c r="AZ54" s="340"/>
      <c r="BA54" s="340"/>
      <c r="BB54" s="340"/>
      <c r="BC54" s="340"/>
      <c r="BD54" s="340"/>
      <c r="BE54" s="340"/>
      <c r="BF54" s="340"/>
      <c r="BG54" s="340"/>
      <c r="BH54" s="340"/>
      <c r="BI54" s="340"/>
      <c r="BJ54" s="340"/>
      <c r="BK54" s="340"/>
    </row>
    <row r="55" spans="1:63" s="124" customFormat="1" x14ac:dyDescent="0.25">
      <c r="C55" s="8"/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322"/>
      <c r="BI55" s="322"/>
      <c r="BJ55" s="322"/>
      <c r="BK55" s="322"/>
    </row>
    <row r="56" spans="1:63" x14ac:dyDescent="0.25">
      <c r="A56" s="56" t="s">
        <v>65</v>
      </c>
      <c r="B56" s="56"/>
      <c r="C56" s="56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8"/>
      <c r="AS56" s="58"/>
      <c r="AT56" s="58"/>
      <c r="AU56" s="58"/>
      <c r="AV56" s="58"/>
      <c r="AW56" s="58"/>
      <c r="AX56" s="58"/>
      <c r="AY56" s="58"/>
      <c r="AZ56" s="58"/>
      <c r="BA56" s="59"/>
      <c r="BB56" s="58"/>
      <c r="BC56" s="59"/>
      <c r="BD56" s="58"/>
      <c r="BE56" s="59"/>
      <c r="BF56" s="59"/>
      <c r="BG56" s="59"/>
      <c r="BH56" s="58"/>
      <c r="BI56" s="58"/>
      <c r="BJ56" s="58"/>
      <c r="BK56" s="59"/>
    </row>
    <row r="57" spans="1:63" x14ac:dyDescent="0.25">
      <c r="A57" t="s">
        <v>79</v>
      </c>
      <c r="C57" s="8"/>
      <c r="D57" s="57">
        <f>(D5+D12+D22)+2*(E5+E12+E22)</f>
        <v>120</v>
      </c>
      <c r="E57" s="57"/>
      <c r="F57" s="57">
        <f>(F5+F12+F22)+2*(G5+G12+G22)</f>
        <v>119</v>
      </c>
      <c r="G57" s="57"/>
      <c r="H57" s="57">
        <f>(H5+H12+H22)+2*(I5+I12+I22)</f>
        <v>118</v>
      </c>
      <c r="I57" s="57"/>
      <c r="J57" s="57">
        <f>(J5+J12+J22)+2*(K5+K12+K22)</f>
        <v>75</v>
      </c>
      <c r="K57" s="57"/>
      <c r="L57" s="57">
        <f>(L5+L12+L22)+2*(M5+M12+M22)</f>
        <v>57</v>
      </c>
      <c r="M57" s="276"/>
      <c r="N57" s="276">
        <f>(N5+N12+N22)+2*(O5+O12+O22)</f>
        <v>118</v>
      </c>
      <c r="O57" s="277"/>
      <c r="P57" s="277">
        <f>(P5+P12+P22)+2*(Q5+Q12+Q22)</f>
        <v>122</v>
      </c>
      <c r="Q57" s="257"/>
      <c r="R57" s="257">
        <f>(R5+R12+R22)+2*(S5+S12+S22)</f>
        <v>117</v>
      </c>
      <c r="S57" s="57"/>
      <c r="T57" s="57">
        <f>(T5+T12+T22)+2*(U5+U12+U22)</f>
        <v>109</v>
      </c>
      <c r="U57" s="265"/>
      <c r="V57" s="265">
        <f>(V5+V12+V22)+2*(W5+W12+W22)</f>
        <v>109</v>
      </c>
      <c r="W57" s="266"/>
      <c r="X57" s="266">
        <f>(X5+X12+X22)+2*(Y5+Y12+Y22)</f>
        <v>75</v>
      </c>
      <c r="Y57" s="267"/>
      <c r="Z57" s="267">
        <f>(Z5+Z12+Z22)+2*(AA5+AA12+AA22)</f>
        <v>57</v>
      </c>
      <c r="AA57" s="268"/>
      <c r="AB57" s="268">
        <f>(AB5+AB12+AB22)+2*(AC5+AC12+AC22)</f>
        <v>110</v>
      </c>
      <c r="AC57" s="57"/>
      <c r="AD57" s="57">
        <f>(AD5+AD12+AD22)+2*(AE5+AE12+AE22)</f>
        <v>112</v>
      </c>
      <c r="AE57" s="57"/>
      <c r="AF57" s="57">
        <f>(AF5+AF12+AF22)+2*(AG5+AG12+AG22)</f>
        <v>109</v>
      </c>
      <c r="AG57" s="57"/>
      <c r="AH57" s="57">
        <f>(AH5+AH12+AH22)+2*(AI5+AI12+AI22)</f>
        <v>57</v>
      </c>
      <c r="AI57" s="261"/>
      <c r="AJ57" s="261">
        <f>(AJ5+AJ12+AJ22)+2*(AK5+AK12+AK22)</f>
        <v>19</v>
      </c>
      <c r="AK57" s="269"/>
      <c r="AL57" s="278">
        <f>(AL5+AL12+AL22)+2*(AM5+AM12+AM22)</f>
        <v>59</v>
      </c>
      <c r="AM57" s="270"/>
      <c r="AN57" s="270">
        <f>(AN5+AN12+AN22)+2*(AO5+AO12+AO22)</f>
        <v>58</v>
      </c>
      <c r="AO57" s="279"/>
      <c r="AP57" s="279">
        <f>(AP5+AP12+AP22)+2*(AQ5+AQ12+AQ22)</f>
        <v>92</v>
      </c>
      <c r="AQ57" s="271"/>
      <c r="AR57" s="271">
        <f>(AR5+AR12+AR22)+2*(AS5+AS12+AS22)</f>
        <v>84</v>
      </c>
      <c r="AS57" s="272"/>
      <c r="AT57" s="272">
        <f>(AT5+AT12+AT22)+2*(AU5+AU12+AU22)</f>
        <v>105</v>
      </c>
      <c r="AU57" s="273"/>
      <c r="AV57" s="273">
        <f>(AV5+AV12+AV22)+2*(AW5+AW12+AW22)</f>
        <v>103</v>
      </c>
      <c r="AW57" s="274"/>
      <c r="AX57" s="274">
        <f>(AX5+AX12+AX22)+2*(AY5+AY12+AY22)</f>
        <v>0</v>
      </c>
      <c r="AY57" s="57"/>
      <c r="AZ57" s="57">
        <f>(AZ5+AZ12+AZ22)+2*(BA5+BA12+BA22)</f>
        <v>0</v>
      </c>
      <c r="BA57" s="117"/>
      <c r="BB57" s="115">
        <f>(BB5+BB12+BB22)+2*(BC5+BC12+BC22)</f>
        <v>0</v>
      </c>
      <c r="BC57" s="262"/>
      <c r="BD57" s="262">
        <f>(BD5+BD12+BD22)+2*(BE5+BE12+BE22)</f>
        <v>0</v>
      </c>
      <c r="BE57" s="117"/>
      <c r="BF57" s="57">
        <f>(BF5+BF12+BF22)+2*(BG5+BG12+BG22)</f>
        <v>0</v>
      </c>
      <c r="BG57" s="263"/>
      <c r="BH57" s="322">
        <f>(BH5+BH12+BH22)+2*(BI5+BI12+BI22)</f>
        <v>0</v>
      </c>
      <c r="BI57" s="322"/>
      <c r="BJ57" s="322">
        <f>(BJ5+BJ12+BJ22)+2*(BK5+BK12+BK22)</f>
        <v>0</v>
      </c>
      <c r="BK57" s="322"/>
    </row>
    <row r="58" spans="1:63" x14ac:dyDescent="0.25">
      <c r="A58" t="s">
        <v>80</v>
      </c>
      <c r="C58" s="8"/>
      <c r="D58" s="57">
        <f>(D8+D15+D25)+2*(E8+E15+E25)</f>
        <v>120</v>
      </c>
      <c r="E58" s="57"/>
      <c r="F58" s="57">
        <f>(F8+F15+F25)+2*(G8+G15+G25)</f>
        <v>119</v>
      </c>
      <c r="G58" s="57"/>
      <c r="H58" s="57">
        <f>(H8+H15+H25)+2*(I8+I15+I25)</f>
        <v>118</v>
      </c>
      <c r="I58" s="57"/>
      <c r="J58" s="57">
        <f>(J8+J15+J25)+2*(K8+K15+K25)</f>
        <v>75</v>
      </c>
      <c r="K58" s="57"/>
      <c r="L58" s="57">
        <f>(L8+L15+L25)+2*(M8+M15+M25)</f>
        <v>57</v>
      </c>
      <c r="M58" s="276"/>
      <c r="N58" s="276">
        <f>(N8+N15+N25)+2*(O8+O15+O25)</f>
        <v>118</v>
      </c>
      <c r="O58" s="277"/>
      <c r="P58" s="277">
        <f>(P8+P15+P25)+2*(Q8+Q15+Q25)</f>
        <v>118</v>
      </c>
      <c r="Q58" s="257"/>
      <c r="R58" s="257">
        <f>(R8+R15+R25)+2*(S8+S15+S25)</f>
        <v>117</v>
      </c>
      <c r="S58" s="57"/>
      <c r="T58" s="57">
        <f>(T8+T15+T25)+2*(U8+U15+U25)</f>
        <v>109</v>
      </c>
      <c r="U58" s="265"/>
      <c r="V58" s="265">
        <f>(V8+V15+V25)+2*(W8+W15+W25)</f>
        <v>109</v>
      </c>
      <c r="W58" s="266"/>
      <c r="X58" s="266">
        <f>(X8+X15+X25)+2*(Y8+Y15+Y25)</f>
        <v>75</v>
      </c>
      <c r="Y58" s="267"/>
      <c r="Z58" s="267">
        <f>(Z8+Z15+Z25)+2*(AA8+AA15+AA25)</f>
        <v>57</v>
      </c>
      <c r="AA58" s="268"/>
      <c r="AB58" s="268">
        <f>(AB8+AB15+AB25)+2*(AC8+AC15+AC25)</f>
        <v>110</v>
      </c>
      <c r="AC58" s="57"/>
      <c r="AD58" s="57">
        <f>(AD8+AD15+AD25)+2*(AE8+AE15+AE25)</f>
        <v>109</v>
      </c>
      <c r="AE58" s="57"/>
      <c r="AF58" s="247">
        <f>(AF8+AF15+AF25)+2*(AG8+AG15+AG25)</f>
        <v>109</v>
      </c>
      <c r="AG58" s="57"/>
      <c r="AH58" s="57">
        <f>(AH8+AH15+AH25)+2*(AI8+AI15+AI25)</f>
        <v>57</v>
      </c>
      <c r="AI58" s="261"/>
      <c r="AJ58" s="261">
        <f>(AJ8+AJ15+AJ25)+2*(AK8+AK15+AK25)</f>
        <v>21</v>
      </c>
      <c r="AK58" s="269"/>
      <c r="AL58" s="278">
        <f>(AL8+AL15+AL25)+2*(AM8+AM15+AM25)</f>
        <v>62</v>
      </c>
      <c r="AM58" s="270"/>
      <c r="AN58" s="270">
        <f>(AN8+AN15+AN25)+2*(AO8+AO15+AO25)</f>
        <v>58</v>
      </c>
      <c r="AO58" s="279"/>
      <c r="AP58" s="279">
        <f>(AP8+AP15+AP25)+2*(AQ8+AQ15+AQ25)</f>
        <v>90</v>
      </c>
      <c r="AQ58" s="271"/>
      <c r="AR58" s="271">
        <f>(AR8+AR15+AR25)+2*(AS8+AS15+AS25)</f>
        <v>80</v>
      </c>
      <c r="AS58" s="272"/>
      <c r="AT58" s="272">
        <f>(AT8+AT15+AT25)+2*(AU8+AU15+AU25)</f>
        <v>104</v>
      </c>
      <c r="AU58" s="273"/>
      <c r="AV58" s="273">
        <f>(AV8+AV15+AV25)+2*(AW8+AW15+AW25)</f>
        <v>103</v>
      </c>
      <c r="AW58" s="274"/>
      <c r="AX58" s="274">
        <f>(AX8+AX15+AX25)+2*(AY8+AY15+AY25)</f>
        <v>0</v>
      </c>
      <c r="AY58" s="57"/>
      <c r="AZ58" s="249">
        <f>(AZ8+AZ15+AZ25)+2*(BA8+BA15+BA25)</f>
        <v>0</v>
      </c>
      <c r="BA58" s="117"/>
      <c r="BB58" s="250">
        <f>(BB8+BB15+BB25)+2*(BC8+BC15+BC25)</f>
        <v>0</v>
      </c>
      <c r="BC58" s="262"/>
      <c r="BD58" s="262">
        <f>(BD8+BD15+BD25)+2*(BE8+BE15+BE25)</f>
        <v>0</v>
      </c>
      <c r="BE58" s="117"/>
      <c r="BF58" s="57">
        <f>(BF8+BF15+BF25)+2*(BG8+BG15+BG25)</f>
        <v>0</v>
      </c>
      <c r="BG58" s="263"/>
      <c r="BH58" s="322">
        <f>(BH8+BH15+BH25)+2*(BI8+BI15+BI25)</f>
        <v>0</v>
      </c>
      <c r="BI58" s="322"/>
      <c r="BJ58" s="322">
        <f>(BJ8+BJ15+BJ25)+2*(BK8+BK15+BK25)</f>
        <v>0</v>
      </c>
      <c r="BK58" s="322"/>
    </row>
    <row r="59" spans="1:63" x14ac:dyDescent="0.25">
      <c r="A59" t="s">
        <v>81</v>
      </c>
      <c r="C59" s="8"/>
      <c r="D59" s="57">
        <f>(D3+D10+D20)+2*(E3+E10+E20)</f>
        <v>39</v>
      </c>
      <c r="E59" s="57"/>
      <c r="F59" s="57">
        <f>(F3+F10+F20)+2*(G3+G10+G20)</f>
        <v>38</v>
      </c>
      <c r="G59" s="57"/>
      <c r="H59" s="57">
        <f>(H3+H10+H20)+2*(I3+I10+I20)</f>
        <v>38</v>
      </c>
      <c r="I59" s="57"/>
      <c r="J59" s="57">
        <f>(J3+J10+J20)+2*(K3+K10+K20)</f>
        <v>0</v>
      </c>
      <c r="K59" s="57"/>
      <c r="L59" s="57">
        <f>(L3+L10+L20)+2*(M3+M10+M20)</f>
        <v>0</v>
      </c>
      <c r="M59" s="276"/>
      <c r="N59" s="276">
        <f>(N3+N10+N20)+2*(O3+O10+O20)</f>
        <v>36</v>
      </c>
      <c r="O59" s="277"/>
      <c r="P59" s="277">
        <f>(P3+P10+P20)+2*(Q3+Q10+Q20)</f>
        <v>31</v>
      </c>
      <c r="Q59" s="257"/>
      <c r="R59" s="257">
        <f>(R3+R10+R20)+2*(S3+S10+S20)</f>
        <v>38</v>
      </c>
      <c r="S59" s="57"/>
      <c r="T59" s="57">
        <f>(T3+T10+T20)+2*(U3+U10+U20)</f>
        <v>36</v>
      </c>
      <c r="U59" s="265"/>
      <c r="V59" s="265">
        <f>(V3+V10+V20)+2*(W3+W10+W20)</f>
        <v>36</v>
      </c>
      <c r="W59" s="266"/>
      <c r="X59" s="266">
        <f>(X3+X10+X20)+2*(Y3+Y10+Y20)</f>
        <v>0</v>
      </c>
      <c r="Y59" s="267"/>
      <c r="Z59" s="267">
        <f>(Z3+Z10+Z20)+2*(AA3+AA10+AA20)</f>
        <v>0</v>
      </c>
      <c r="AA59" s="268"/>
      <c r="AB59" s="268">
        <f>(AB3+AB10+AB20)+2*(AC3+AC10+AC20)</f>
        <v>36</v>
      </c>
      <c r="AC59" s="57"/>
      <c r="AD59" s="57">
        <f>(AD3+AD10+AD20)+2*(AE3+AE10+AE20)</f>
        <v>32</v>
      </c>
      <c r="AE59" s="57"/>
      <c r="AF59" s="57">
        <f>(AF3+AF10+AF20)+2*(AG3+AG10+AG20)</f>
        <v>36</v>
      </c>
      <c r="AG59" s="57"/>
      <c r="AH59" s="57">
        <f>(AH3+AH10+AH20)+2*(AI3+AI10+AI20)</f>
        <v>0</v>
      </c>
      <c r="AI59" s="261"/>
      <c r="AJ59" s="261">
        <f>(AJ3+AJ10+AJ20)+2*(AK3+AK10+AK20)</f>
        <v>9</v>
      </c>
      <c r="AK59" s="269"/>
      <c r="AL59" s="278">
        <f>(AL3+AL10+AL20)+2*(AM3+AM10+AM20)</f>
        <v>0</v>
      </c>
      <c r="AM59" s="270"/>
      <c r="AN59" s="270">
        <f>(AN3+AN10+AN20)+2*(AO3+AO10+AO20)</f>
        <v>0</v>
      </c>
      <c r="AO59" s="279"/>
      <c r="AP59" s="279">
        <f>(AP3+AP10+AP20)+2*(AQ3+AQ10+AQ20)</f>
        <v>8</v>
      </c>
      <c r="AQ59" s="271"/>
      <c r="AR59" s="271">
        <f>(AR3+AR10+AR20)+2*(AS3+AS10+AS20)</f>
        <v>13</v>
      </c>
      <c r="AS59" s="272"/>
      <c r="AT59" s="272">
        <f>(AT3+AT10+AT20)+2*(AU3+AU10+AU20)</f>
        <v>26</v>
      </c>
      <c r="AU59" s="273"/>
      <c r="AV59" s="273">
        <f>(AV3+AV10+AV20)+2*(AW3+AW10+AW20)</f>
        <v>34</v>
      </c>
      <c r="AW59" s="274"/>
      <c r="AX59" s="274">
        <f>(AX3+AX10+AX20)+2*(AY3+AY10+AY20)</f>
        <v>0</v>
      </c>
      <c r="AY59" s="57"/>
      <c r="AZ59" s="57">
        <f>(AZ3+AZ10+AZ20)+2*(BA3+BA10+BA20)</f>
        <v>0</v>
      </c>
      <c r="BA59" s="117"/>
      <c r="BB59" s="115">
        <f>(BB3+BB10+BB20)+2*(BC3+BC10+BC20)</f>
        <v>0</v>
      </c>
      <c r="BC59" s="262"/>
      <c r="BD59" s="262">
        <f>(BD3+BD10+BD20)+2*(BE3+BE10+BE20)</f>
        <v>0</v>
      </c>
      <c r="BE59" s="117"/>
      <c r="BF59" s="57">
        <f>(BF3+BF10+BF20)+2*(BG3+BG10+BG20)</f>
        <v>0</v>
      </c>
      <c r="BG59" s="263"/>
      <c r="BH59" s="322">
        <f>(BH3+BH10+BH20)+2*(BI3+BI10+BI20)</f>
        <v>0</v>
      </c>
      <c r="BI59" s="322"/>
      <c r="BJ59" s="322">
        <f>(BJ3+BJ10+BJ20)+2*(BK3+BK10+BK20)</f>
        <v>0</v>
      </c>
      <c r="BK59" s="322"/>
    </row>
    <row r="60" spans="1:63" x14ac:dyDescent="0.25">
      <c r="A60" t="s">
        <v>82</v>
      </c>
      <c r="C60" s="8"/>
      <c r="D60" s="57">
        <f>(D6+D13+D23)+2*(E6+E13+E23)</f>
        <v>35</v>
      </c>
      <c r="E60" s="57"/>
      <c r="F60" s="57">
        <f>(F6+F13+F23)+2*(G6+G13+G23)</f>
        <v>34</v>
      </c>
      <c r="G60" s="57"/>
      <c r="H60" s="57">
        <f>(H6+H13+H23)+2*(I6+I13+I23)</f>
        <v>34</v>
      </c>
      <c r="I60" s="57"/>
      <c r="J60" s="57">
        <f>(J6+J13+J23)+2*(K6+K13+K23)</f>
        <v>0</v>
      </c>
      <c r="K60" s="57"/>
      <c r="L60" s="57">
        <f>(L6+L13+L23)+2*(M6+M13+M23)</f>
        <v>0</v>
      </c>
      <c r="M60" s="276"/>
      <c r="N60" s="276">
        <f>(N6+N13+N23)+2*(O6+O13+O23)</f>
        <v>33</v>
      </c>
      <c r="O60" s="277"/>
      <c r="P60" s="277">
        <f>(P6+P13+P23)+2*(Q6+Q13+Q23)</f>
        <v>31</v>
      </c>
      <c r="Q60" s="257"/>
      <c r="R60" s="257">
        <f>(R6+R13+R23)+2*(S6+S13+S23)</f>
        <v>34</v>
      </c>
      <c r="S60" s="57"/>
      <c r="T60" s="57">
        <f>(T6+T13+T23)+2*(U6+U13+U23)</f>
        <v>32</v>
      </c>
      <c r="U60" s="265"/>
      <c r="V60" s="265">
        <f>(V6+V13+V23)+2*(W6+W13+W23)</f>
        <v>32</v>
      </c>
      <c r="W60" s="266"/>
      <c r="X60" s="266">
        <f>(X6+X13+X23)+2*(Y6+Y13+Y23)</f>
        <v>0</v>
      </c>
      <c r="Y60" s="267"/>
      <c r="Z60" s="267">
        <f>(Z6+Z13+Z23)+2*(AA6+AA13+AA23)</f>
        <v>0</v>
      </c>
      <c r="AA60" s="268"/>
      <c r="AB60" s="268">
        <f>(AB6+AB13+AB23)+2*(AC6+AC13+AC23)</f>
        <v>32</v>
      </c>
      <c r="AC60" s="57"/>
      <c r="AD60" s="57">
        <f>(AD6+AD13+AD23)+2*(AE6+AE13+AE23)</f>
        <v>30</v>
      </c>
      <c r="AE60" s="57"/>
      <c r="AF60" s="57">
        <f>(AF6+AF13+AF23)+2*(AG6+AG13+AG23)</f>
        <v>32</v>
      </c>
      <c r="AG60" s="57"/>
      <c r="AH60" s="57">
        <f>(AH6+AH13+AH23)+2*(AI6+AI13+AI23)</f>
        <v>0</v>
      </c>
      <c r="AI60" s="261"/>
      <c r="AJ60" s="261">
        <f>(AJ6+AJ13+AJ23)+2*(AK6+AK13+AK23)</f>
        <v>9</v>
      </c>
      <c r="AK60" s="269"/>
      <c r="AL60" s="278">
        <f>(AL6+AL13+AL23)+2*(AM6+AM13+AM23)</f>
        <v>0</v>
      </c>
      <c r="AM60" s="270"/>
      <c r="AN60" s="270">
        <f>(AN6+AN13+AN23)+2*(AO6+AO13+AO23)</f>
        <v>0</v>
      </c>
      <c r="AO60" s="279"/>
      <c r="AP60" s="279">
        <f>(AP6+AP13+AP23)+2*(AQ6+AQ13+AQ23)</f>
        <v>9</v>
      </c>
      <c r="AQ60" s="271"/>
      <c r="AR60" s="271">
        <f>(AR6+AR13+AR23)+2*(AS6+AS13+AS23)</f>
        <v>15</v>
      </c>
      <c r="AS60" s="272"/>
      <c r="AT60" s="272">
        <f>(AT6+AT13+AT23)+2*(AU6+AU13+AU23)</f>
        <v>26</v>
      </c>
      <c r="AU60" s="273"/>
      <c r="AV60" s="273">
        <f>(AV6+AV13+AV23)+2*(AW6+AW13+AW23)</f>
        <v>32</v>
      </c>
      <c r="AW60" s="274"/>
      <c r="AX60" s="274">
        <f>(AX6+AX13+AX23)+2*(AY6+AY13+AY23)</f>
        <v>0</v>
      </c>
      <c r="AY60" s="57"/>
      <c r="AZ60" s="57">
        <f>(AZ6+AZ13+AZ23)+2*(BA6+BA13+BA23)</f>
        <v>0</v>
      </c>
      <c r="BA60" s="117"/>
      <c r="BB60" s="115">
        <f>(BB6+BB13+BB23)+2*(BC6+BC13+BC23)</f>
        <v>0</v>
      </c>
      <c r="BC60" s="262"/>
      <c r="BD60" s="262">
        <f>(BD6+BD13+BD23)+2*(BE6+BE13+BE23)</f>
        <v>0</v>
      </c>
      <c r="BE60" s="117"/>
      <c r="BF60" s="57">
        <f>(BF6+BF13+BF23)+2*(BG6+BG13+BG23)</f>
        <v>0</v>
      </c>
      <c r="BG60" s="263"/>
      <c r="BH60" s="322">
        <f>(BH6+BH13+BH23)+2*(BI6+BI13+BI23)</f>
        <v>0</v>
      </c>
      <c r="BI60" s="322"/>
      <c r="BJ60" s="322">
        <f>(BJ6+BJ13+BJ23)+2*(BK6+BK13+BK23)</f>
        <v>0</v>
      </c>
      <c r="BK60" s="322"/>
    </row>
    <row r="61" spans="1:63" s="124" customFormat="1" x14ac:dyDescent="0.25">
      <c r="A61" s="124" t="s">
        <v>122</v>
      </c>
      <c r="C61" s="8"/>
      <c r="D61" s="154">
        <f>(D4+D11+D21)+2*(E4+E11+E21)</f>
        <v>0</v>
      </c>
      <c r="E61" s="154"/>
      <c r="F61" s="154">
        <f>(F4+F11+F21)+2*(G4+G11+G21)</f>
        <v>0</v>
      </c>
      <c r="G61" s="154"/>
      <c r="H61" s="154">
        <f>(H4+H11+H21)+2*(I4+I11+I21)</f>
        <v>0</v>
      </c>
      <c r="I61" s="154"/>
      <c r="J61" s="154">
        <f>(J4+J11+J21)+2*(K4+K11+K21)</f>
        <v>0</v>
      </c>
      <c r="K61" s="154"/>
      <c r="L61" s="154">
        <f>(L4+L11+L21)+2*(M4+M11+M21)</f>
        <v>0</v>
      </c>
      <c r="M61" s="276"/>
      <c r="N61" s="276">
        <f>(N4+N11+N21)+2*(O4+O11+O21)</f>
        <v>0</v>
      </c>
      <c r="O61" s="277"/>
      <c r="P61" s="277">
        <f>(P4+P11+P21)+2*(Q4+Q11+Q21)</f>
        <v>0</v>
      </c>
      <c r="Q61" s="257"/>
      <c r="R61" s="257">
        <f>(R4+R11+R21)+2*(S4+S11+S21)</f>
        <v>0</v>
      </c>
      <c r="S61" s="154"/>
      <c r="T61" s="154">
        <f>(T4+T11+T21)+2*(U4+U11+U21)</f>
        <v>0</v>
      </c>
      <c r="U61" s="265"/>
      <c r="V61" s="265">
        <f>(V4+V11+V21)+2*(W4+W11+W21)</f>
        <v>0</v>
      </c>
      <c r="W61" s="266"/>
      <c r="X61" s="266">
        <f>(X4+X11+X21)+2*(Y4+Y11+Y21)</f>
        <v>0</v>
      </c>
      <c r="Y61" s="267"/>
      <c r="Z61" s="267">
        <f>(Z4+Z11+Z21)+2*(AA4+AA11+AA21)</f>
        <v>0</v>
      </c>
      <c r="AA61" s="268"/>
      <c r="AB61" s="268">
        <f>(AB4+AB11+AB21)+2*(AC4+AC11+AC21)</f>
        <v>0</v>
      </c>
      <c r="AC61" s="154"/>
      <c r="AD61" s="154">
        <f>(AD4+AD11+AD21)+2*(AE4+AE11+AE21)</f>
        <v>0</v>
      </c>
      <c r="AE61" s="154"/>
      <c r="AF61" s="154">
        <f>(AF4+AF11+AF21)+2*(AG4+AG11+AG21)</f>
        <v>0</v>
      </c>
      <c r="AG61" s="154"/>
      <c r="AH61" s="154">
        <f>(AH4+AH11+AH21)+2*(AI4+AI11+AI21)</f>
        <v>0</v>
      </c>
      <c r="AI61" s="261"/>
      <c r="AJ61" s="261">
        <f>(AJ4+AJ11+AJ21)+2*(AK4+AK11+AK21)</f>
        <v>0</v>
      </c>
      <c r="AK61" s="269"/>
      <c r="AL61" s="278">
        <f>(AL4+AL11+AL21)+2*(AM4+AM11+AM21)</f>
        <v>0</v>
      </c>
      <c r="AM61" s="270"/>
      <c r="AN61" s="270">
        <f>(AN4+AN11+AN21)+2*(AO4+AO11+AO21)</f>
        <v>0</v>
      </c>
      <c r="AO61" s="279"/>
      <c r="AP61" s="279">
        <f>(AP4+AP11+AP21)+2*(AQ4+AQ11+AQ21)</f>
        <v>0</v>
      </c>
      <c r="AQ61" s="271"/>
      <c r="AR61" s="271">
        <f>(AR4+AR11+AR21)+2*(AS4+AS11+AS21)</f>
        <v>0</v>
      </c>
      <c r="AS61" s="272"/>
      <c r="AT61" s="272">
        <f>(AT4+AT11+AT21)+2*(AU4+AU11+AU21)</f>
        <v>0</v>
      </c>
      <c r="AU61" s="273"/>
      <c r="AV61" s="273">
        <f>(AV4+AV11+AV21)+2*(AW4+AW11+AW21)</f>
        <v>0</v>
      </c>
      <c r="AW61" s="316"/>
      <c r="AX61" s="274">
        <f>(AX4+AX11+AX21)+2*(AY4+AY11+AY21)</f>
        <v>0</v>
      </c>
      <c r="AY61" s="316"/>
      <c r="AZ61" s="154">
        <f>(AZ4+AZ11+AZ21)+2*(BA4+BA11+BA21)</f>
        <v>0</v>
      </c>
      <c r="BA61" s="316"/>
      <c r="BB61" s="154">
        <f>(BB4+BB11+BB21)+2*(BC4+BC11+BC21)</f>
        <v>0</v>
      </c>
      <c r="BC61" s="262"/>
      <c r="BD61" s="262">
        <f>(BD4+BD11+BD21)+2*(BE4+BE11+BE21)</f>
        <v>0</v>
      </c>
      <c r="BE61" s="154"/>
      <c r="BF61" s="154">
        <f>(BF4+BF11+BF21)+2*(BG4+BG11+BG21)</f>
        <v>0</v>
      </c>
      <c r="BG61" s="263"/>
      <c r="BH61" s="322">
        <f>(BH4+BH11+BH21)+2*(BI4+BI11+BI21)</f>
        <v>0</v>
      </c>
      <c r="BI61" s="322"/>
      <c r="BJ61" s="322">
        <f>(BJ4+BJ11+BJ21)+2*(BK4+BK11+BK21)</f>
        <v>0</v>
      </c>
      <c r="BK61" s="322"/>
    </row>
    <row r="62" spans="1:63" x14ac:dyDescent="0.25">
      <c r="A62" t="s">
        <v>35</v>
      </c>
      <c r="C62" s="8"/>
      <c r="D62" s="57">
        <f>(D7+D14+D24)+2*(E7+E14+E24)</f>
        <v>4</v>
      </c>
      <c r="E62" s="57"/>
      <c r="F62" s="57">
        <f>(F7+F14+F24)+2*(G7+G14+G24)</f>
        <v>4</v>
      </c>
      <c r="G62" s="57"/>
      <c r="H62" s="57">
        <f>(H7+H14+H24)+2*(I7+I14+I24)</f>
        <v>4</v>
      </c>
      <c r="I62" s="57"/>
      <c r="J62" s="57">
        <f>(J7+J14+J24)+2*(K7+K14+K24)</f>
        <v>0</v>
      </c>
      <c r="K62" s="57"/>
      <c r="L62" s="57">
        <f>(L7+L14+L24)+2*(M7+M14+M24)</f>
        <v>0</v>
      </c>
      <c r="M62" s="276"/>
      <c r="N62" s="276">
        <f>(N7+N14+N24)+2*(O7+O14+O24)</f>
        <v>4</v>
      </c>
      <c r="O62" s="277"/>
      <c r="P62" s="277">
        <f>(P7+P14+P24)+2*(Q7+Q14+Q24)</f>
        <v>4</v>
      </c>
      <c r="Q62" s="257"/>
      <c r="R62" s="257">
        <f>(R7+R14+R24)+2*(S7+S14+S24)</f>
        <v>4</v>
      </c>
      <c r="S62" s="57"/>
      <c r="T62" s="57">
        <f>(T7+T14+T24)+2*(U7+U14+U24)</f>
        <v>4</v>
      </c>
      <c r="U62" s="265"/>
      <c r="V62" s="265">
        <f>(V7+V14+V24)+2*(W7+W14+W24)</f>
        <v>4</v>
      </c>
      <c r="W62" s="266"/>
      <c r="X62" s="266">
        <f>(X7+X14+X24)+2*(Y7+Y14+Y24)</f>
        <v>0</v>
      </c>
      <c r="Y62" s="267"/>
      <c r="Z62" s="267">
        <f>(Z7+Z14+Z24)+2*(AA7+AA14+AA24)</f>
        <v>0</v>
      </c>
      <c r="AA62" s="268"/>
      <c r="AB62" s="268">
        <f>(AB7+AB14+AB24)+2*(AC7+AC14+AC24)</f>
        <v>4</v>
      </c>
      <c r="AC62" s="57"/>
      <c r="AD62" s="57">
        <f>(AD7+AD14+AD24)+2*(AE7+AE14+AE24)</f>
        <v>5</v>
      </c>
      <c r="AE62" s="57"/>
      <c r="AF62" s="247">
        <f>(AF7+AF14+AF24)+2*(AG7+AG14+AG24)</f>
        <v>4</v>
      </c>
      <c r="AG62" s="57"/>
      <c r="AH62" s="57">
        <f>(AH7+AH14+AH24)+2*(AI7+AI14+AI24)</f>
        <v>0</v>
      </c>
      <c r="AI62" s="261"/>
      <c r="AJ62" s="261">
        <f>(AJ7+AJ14+AJ24)+2*(AK7+AK14+AK24)</f>
        <v>1</v>
      </c>
      <c r="AK62" s="269"/>
      <c r="AL62" s="278">
        <f>(AL7+AL14+AL24)+2*(AM7+AM14+AM24)</f>
        <v>0</v>
      </c>
      <c r="AM62" s="270"/>
      <c r="AN62" s="270">
        <f>(AN7+AN14+AN24)+2*(AO7+AO14+AO24)</f>
        <v>0</v>
      </c>
      <c r="AO62" s="279"/>
      <c r="AP62" s="279">
        <f>(AP7+AP14+AP24)+2*(AQ7+AQ14+AQ24)</f>
        <v>1</v>
      </c>
      <c r="AQ62" s="271"/>
      <c r="AR62" s="271">
        <f>(AR7+AR14+AR24)+2*(AS7+AS14+AS24)</f>
        <v>1</v>
      </c>
      <c r="AS62" s="272"/>
      <c r="AT62" s="272">
        <f>(AT7+AT14+AT24)+2*(AU7+AU14+AU24)</f>
        <v>1</v>
      </c>
      <c r="AU62" s="273"/>
      <c r="AV62" s="273">
        <f>(AV7+AV14+AV24)+2*(AW7+AW14+AW24)</f>
        <v>2</v>
      </c>
      <c r="AW62" s="316"/>
      <c r="AX62" s="274">
        <f>(AX7+AX14+AX24)+2*(AY7+AY14+AY24)</f>
        <v>0</v>
      </c>
      <c r="AY62" s="316"/>
      <c r="AZ62" s="249">
        <f>(AZ7+AZ14+AZ24)+2*(BA7+BA14+BA24)</f>
        <v>0</v>
      </c>
      <c r="BA62" s="316"/>
      <c r="BB62" s="250">
        <f>(BB7+BB14+BB24)+2*(BC7+BC14+BC24)</f>
        <v>0</v>
      </c>
      <c r="BC62" s="316"/>
      <c r="BD62" s="262">
        <f>(BD7+BD14+BD24)+2*(BE7+BE14+BE24)</f>
        <v>0</v>
      </c>
      <c r="BE62" s="316"/>
      <c r="BF62" s="57">
        <f>(BF7+BF14+BF24)+2*(BG7+BG14+BG24)</f>
        <v>0</v>
      </c>
      <c r="BG62" s="263"/>
      <c r="BH62" s="322">
        <f>(BH7+BH14+BH24)+2*(BI7+BI14+BI24)</f>
        <v>0</v>
      </c>
      <c r="BI62" s="322"/>
      <c r="BJ62" s="322">
        <f>(BJ7+BJ14+BJ24)+2*(BK7+BK14+BK24)</f>
        <v>0</v>
      </c>
      <c r="BK62" s="322"/>
    </row>
    <row r="63" spans="1:63" x14ac:dyDescent="0.25">
      <c r="A63" s="124" t="s">
        <v>186</v>
      </c>
      <c r="AJ63" s="340">
        <f>(AJ16)+2*(AK16)</f>
        <v>12</v>
      </c>
      <c r="AR63" s="346">
        <f>(AR16)+2*(AS16)</f>
        <v>7</v>
      </c>
      <c r="AW63" s="316"/>
      <c r="AY63" s="316"/>
      <c r="BA63" s="316"/>
      <c r="BC63" s="316"/>
      <c r="BE63" s="316"/>
    </row>
    <row r="64" spans="1:63" x14ac:dyDescent="0.25">
      <c r="A64" s="124" t="s">
        <v>187</v>
      </c>
      <c r="AJ64" s="340">
        <f>(AJ17)+2*(AK17)</f>
        <v>8</v>
      </c>
      <c r="AR64" s="346">
        <f>(AR17)+2*(AS17)</f>
        <v>7</v>
      </c>
    </row>
    <row r="65" spans="1:52" x14ac:dyDescent="0.25">
      <c r="A65" t="s">
        <v>125</v>
      </c>
      <c r="AJ65" s="340">
        <f>(AJ18)+2*(AK18)</f>
        <v>1</v>
      </c>
      <c r="AR65" s="346">
        <f>(AR18)+2*(AS18)</f>
        <v>0</v>
      </c>
    </row>
    <row r="71" spans="1:52" ht="15.75" thickBot="1" x14ac:dyDescent="0.3"/>
    <row r="72" spans="1:52" ht="15.75" thickBot="1" x14ac:dyDescent="0.3">
      <c r="AG72" s="397">
        <v>10</v>
      </c>
      <c r="AH72" s="397">
        <v>0</v>
      </c>
      <c r="AI72" s="397">
        <v>2</v>
      </c>
      <c r="AJ72" s="397">
        <v>10</v>
      </c>
      <c r="AK72" s="397">
        <v>0</v>
      </c>
      <c r="AL72" s="397">
        <v>6</v>
      </c>
      <c r="AM72" s="398"/>
      <c r="AN72" s="398">
        <v>17</v>
      </c>
      <c r="AO72" s="398">
        <v>0</v>
      </c>
      <c r="AP72" s="398">
        <v>50</v>
      </c>
      <c r="AQ72" s="398">
        <v>16</v>
      </c>
      <c r="AR72" s="398">
        <v>2</v>
      </c>
      <c r="AS72" s="398">
        <v>42</v>
      </c>
      <c r="AT72" s="398"/>
      <c r="AU72" s="397">
        <v>7</v>
      </c>
      <c r="AV72" s="397">
        <v>0</v>
      </c>
      <c r="AW72" s="397">
        <v>3</v>
      </c>
      <c r="AX72" s="397">
        <v>6</v>
      </c>
      <c r="AY72" s="397">
        <v>0</v>
      </c>
      <c r="AZ72" s="397">
        <v>5</v>
      </c>
    </row>
    <row r="73" spans="1:52" ht="15.75" thickBot="1" x14ac:dyDescent="0.3">
      <c r="AG73" s="397">
        <v>0</v>
      </c>
      <c r="AH73" s="397">
        <v>0</v>
      </c>
      <c r="AI73" s="397">
        <v>8</v>
      </c>
      <c r="AJ73" s="397">
        <v>0</v>
      </c>
      <c r="AK73" s="397">
        <v>0</v>
      </c>
      <c r="AL73" s="397">
        <v>4</v>
      </c>
      <c r="AM73" s="398"/>
      <c r="AN73" s="398">
        <v>0</v>
      </c>
      <c r="AO73" s="398">
        <v>0</v>
      </c>
      <c r="AP73" s="398">
        <v>11</v>
      </c>
      <c r="AQ73" s="398">
        <v>0</v>
      </c>
      <c r="AR73" s="398">
        <v>0</v>
      </c>
      <c r="AS73" s="398">
        <v>19</v>
      </c>
      <c r="AT73" s="398"/>
      <c r="AU73" s="397">
        <v>0</v>
      </c>
      <c r="AV73" s="397">
        <v>0</v>
      </c>
      <c r="AW73" s="397">
        <v>5</v>
      </c>
      <c r="AX73" s="397">
        <v>0</v>
      </c>
      <c r="AY73" s="397">
        <v>0</v>
      </c>
      <c r="AZ73" s="397">
        <v>2</v>
      </c>
    </row>
  </sheetData>
  <mergeCells count="31">
    <mergeCell ref="AX1:AY1"/>
    <mergeCell ref="AV1:AW1"/>
    <mergeCell ref="A43:B43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7"/>
  <sheetViews>
    <sheetView zoomScale="85" zoomScaleNormal="85" workbookViewId="0">
      <selection activeCell="Y27" sqref="Y27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Ocupacion'!D46</f>
        <v>79</v>
      </c>
      <c r="D5" s="95">
        <f>'Data Ocupacion'!F46</f>
        <v>79</v>
      </c>
      <c r="E5" s="95">
        <f>'Data Ocupacion'!H46</f>
        <v>79</v>
      </c>
      <c r="F5" s="95">
        <f>'Data Ocupacion'!J46</f>
        <v>72</v>
      </c>
      <c r="G5" s="95">
        <f>'Data Ocupacion'!L46</f>
        <v>54</v>
      </c>
      <c r="H5" s="95">
        <f>'Data Ocupacion'!N46</f>
        <v>79</v>
      </c>
      <c r="I5" s="95">
        <f>'Data Ocupacion'!P46</f>
        <v>82</v>
      </c>
      <c r="J5" s="95">
        <f>'Data Ocupacion'!R46</f>
        <v>79</v>
      </c>
      <c r="K5" s="95">
        <f>'Data Ocupacion'!T46</f>
        <v>79</v>
      </c>
      <c r="L5" s="95">
        <f>'Data Ocupacion'!V46</f>
        <v>79</v>
      </c>
      <c r="M5" s="95">
        <f>'Data Ocupacion'!X46</f>
        <v>72</v>
      </c>
      <c r="N5" s="95">
        <f>'Data Ocupacion'!Z46</f>
        <v>54</v>
      </c>
      <c r="O5" s="95">
        <f>'Data Ocupacion'!AB46</f>
        <v>79</v>
      </c>
      <c r="P5" s="95">
        <f>'Data Ocupacion'!AD46</f>
        <v>80</v>
      </c>
      <c r="Q5" s="95">
        <f>'Data Ocupacion'!AF46</f>
        <v>79</v>
      </c>
      <c r="R5" s="95">
        <f>'Data Ocupacion'!AH46</f>
        <v>54</v>
      </c>
      <c r="S5" s="95">
        <f>'Data Ocupacion'!AJ46</f>
        <v>19</v>
      </c>
      <c r="T5" s="95">
        <f>'Data Ocupacion'!AL46</f>
        <v>59</v>
      </c>
      <c r="U5" s="95">
        <f>'Data Ocupacion'!AN46</f>
        <v>54</v>
      </c>
      <c r="V5" s="95">
        <f>'Data Ocupacion'!AP46</f>
        <v>78</v>
      </c>
      <c r="W5" s="95">
        <f>'Data Ocupacion'!AR46</f>
        <v>70</v>
      </c>
      <c r="X5" s="95">
        <f>'Data Ocupacion'!AT46</f>
        <v>80</v>
      </c>
      <c r="Y5" s="95">
        <f>'Data Ocupacion'!AV46</f>
        <v>79</v>
      </c>
      <c r="Z5" s="95">
        <f>'Data Ocupacion'!AX46</f>
        <v>0</v>
      </c>
      <c r="AA5" s="95">
        <f>'Data Ocupacion'!AZ46</f>
        <v>0</v>
      </c>
      <c r="AB5" s="95">
        <f>'Data Ocupacion'!BB46</f>
        <v>0</v>
      </c>
      <c r="AC5" s="95">
        <f>'Data Ocupacion'!BD46</f>
        <v>0</v>
      </c>
      <c r="AD5" s="95">
        <f>'Data Ocupacion'!BF46</f>
        <v>0</v>
      </c>
      <c r="AE5" s="95">
        <f>'Data Ocupacion'!BH46</f>
        <v>0</v>
      </c>
      <c r="AF5" s="95">
        <f>'Data Ocupacion'!BJ46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Ocupacion'!D47</f>
        <v>78</v>
      </c>
      <c r="D6" s="95">
        <f>'Data Ocupacion'!F47</f>
        <v>78</v>
      </c>
      <c r="E6" s="95">
        <f>'Data Ocupacion'!H47</f>
        <v>78</v>
      </c>
      <c r="F6" s="95">
        <f>'Data Ocupacion'!J47</f>
        <v>75</v>
      </c>
      <c r="G6" s="95">
        <f>'Data Ocupacion'!L47</f>
        <v>57</v>
      </c>
      <c r="H6" s="95">
        <f>'Data Ocupacion'!N47</f>
        <v>78</v>
      </c>
      <c r="I6" s="95">
        <f>'Data Ocupacion'!P47</f>
        <v>78</v>
      </c>
      <c r="J6" s="95">
        <f>'Data Ocupacion'!R47</f>
        <v>78</v>
      </c>
      <c r="K6" s="95">
        <f>'Data Ocupacion'!T47</f>
        <v>78</v>
      </c>
      <c r="L6" s="95">
        <f>'Data Ocupacion'!V47</f>
        <v>78</v>
      </c>
      <c r="M6" s="95">
        <f>'Data Ocupacion'!X47</f>
        <v>75</v>
      </c>
      <c r="N6" s="95">
        <f>'Data Ocupacion'!Z47</f>
        <v>57</v>
      </c>
      <c r="O6" s="95">
        <f>'Data Ocupacion'!AB47</f>
        <v>78</v>
      </c>
      <c r="P6" s="95">
        <f>'Data Ocupacion'!AD47</f>
        <v>78</v>
      </c>
      <c r="Q6" s="95">
        <f>'Data Ocupacion'!AF47</f>
        <v>78</v>
      </c>
      <c r="R6" s="95">
        <f>'Data Ocupacion'!AH47</f>
        <v>57</v>
      </c>
      <c r="S6" s="95">
        <f>'Data Ocupacion'!AJ47</f>
        <v>21</v>
      </c>
      <c r="T6" s="95">
        <f>'Data Ocupacion'!AL47</f>
        <v>62</v>
      </c>
      <c r="U6" s="95">
        <f>'Data Ocupacion'!AN47</f>
        <v>57</v>
      </c>
      <c r="V6" s="95">
        <f>'Data Ocupacion'!AP47</f>
        <v>78</v>
      </c>
      <c r="W6" s="95">
        <f>'Data Ocupacion'!AR47</f>
        <v>68</v>
      </c>
      <c r="X6" s="95">
        <f>'Data Ocupacion'!AT47</f>
        <v>78</v>
      </c>
      <c r="Y6" s="95">
        <f>'Data Ocupacion'!AV47</f>
        <v>78</v>
      </c>
      <c r="Z6" s="95">
        <f>'Data Ocupacion'!AX47</f>
        <v>0</v>
      </c>
      <c r="AA6" s="95">
        <f>'Data Ocupacion'!AZ47</f>
        <v>0</v>
      </c>
      <c r="AB6" s="95">
        <f>'Data Ocupacion'!BB47</f>
        <v>0</v>
      </c>
      <c r="AC6" s="95">
        <f>'Data Ocupacion'!BD47</f>
        <v>0</v>
      </c>
      <c r="AD6" s="95">
        <f>'Data Ocupacion'!BF47</f>
        <v>0</v>
      </c>
      <c r="AE6" s="95">
        <f>'Data Ocupacion'!BH47</f>
        <v>0</v>
      </c>
      <c r="AF6" s="95">
        <f>'Data Ocupacion'!BJ47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Ocupacion'!D48</f>
        <v>36</v>
      </c>
      <c r="D7" s="95">
        <f>'Data Ocupacion'!F48</f>
        <v>36</v>
      </c>
      <c r="E7" s="95">
        <f>'Data Ocupacion'!H48</f>
        <v>36</v>
      </c>
      <c r="F7" s="95">
        <f>'Data Ocupacion'!J48</f>
        <v>0</v>
      </c>
      <c r="G7" s="95">
        <f>'Data Ocupacion'!L48</f>
        <v>0</v>
      </c>
      <c r="H7" s="95">
        <f>'Data Ocupacion'!N48</f>
        <v>34</v>
      </c>
      <c r="I7" s="95">
        <f>'Data Ocupacion'!P48</f>
        <v>29</v>
      </c>
      <c r="J7" s="95">
        <f>'Data Ocupacion'!R48</f>
        <v>36</v>
      </c>
      <c r="K7" s="95">
        <f>'Data Ocupacion'!T48</f>
        <v>36</v>
      </c>
      <c r="L7" s="95">
        <f>'Data Ocupacion'!V48</f>
        <v>36</v>
      </c>
      <c r="M7" s="95">
        <f>'Data Ocupacion'!X48</f>
        <v>0</v>
      </c>
      <c r="N7" s="95">
        <f>'Data Ocupacion'!Z48</f>
        <v>0</v>
      </c>
      <c r="O7" s="95">
        <f>'Data Ocupacion'!AB48</f>
        <v>36</v>
      </c>
      <c r="P7" s="95">
        <f>'Data Ocupacion'!AD48</f>
        <v>32</v>
      </c>
      <c r="Q7" s="95">
        <f>'Data Ocupacion'!AF48</f>
        <v>36</v>
      </c>
      <c r="R7" s="95">
        <f>'Data Ocupacion'!AH48</f>
        <v>0</v>
      </c>
      <c r="S7" s="95">
        <f>'Data Ocupacion'!AJ48</f>
        <v>9</v>
      </c>
      <c r="T7" s="95">
        <f>'Data Ocupacion'!AL48</f>
        <v>0</v>
      </c>
      <c r="U7" s="95">
        <f>'Data Ocupacion'!AN48</f>
        <v>0</v>
      </c>
      <c r="V7" s="95">
        <f>'Data Ocupacion'!AP48</f>
        <v>8</v>
      </c>
      <c r="W7" s="95">
        <f>'Data Ocupacion'!AR48</f>
        <v>13</v>
      </c>
      <c r="X7" s="95">
        <f>'Data Ocupacion'!AT48</f>
        <v>26</v>
      </c>
      <c r="Y7" s="95">
        <f>'Data Ocupacion'!AV48</f>
        <v>34</v>
      </c>
      <c r="Z7" s="95">
        <f>'Data Ocupacion'!AX48</f>
        <v>0</v>
      </c>
      <c r="AA7" s="95">
        <f>'Data Ocupacion'!AZ48</f>
        <v>0</v>
      </c>
      <c r="AB7" s="95">
        <f>'Data Ocupacion'!BB48</f>
        <v>0</v>
      </c>
      <c r="AC7" s="95">
        <f>'Data Ocupacion'!BD48</f>
        <v>0</v>
      </c>
      <c r="AD7" s="95">
        <f>'Data Ocupacion'!BF48</f>
        <v>0</v>
      </c>
      <c r="AE7" s="95">
        <f>'Data Ocupacion'!BH48</f>
        <v>0</v>
      </c>
      <c r="AF7" s="95">
        <f>'Data Ocupacion'!BJ48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Ocupacion'!D49</f>
        <v>32</v>
      </c>
      <c r="D8" s="95">
        <f>'Data Ocupacion'!F49</f>
        <v>32</v>
      </c>
      <c r="E8" s="95">
        <f>'Data Ocupacion'!H49</f>
        <v>32</v>
      </c>
      <c r="F8" s="95">
        <f>'Data Ocupacion'!J49</f>
        <v>0</v>
      </c>
      <c r="G8" s="95">
        <f>'Data Ocupacion'!L49</f>
        <v>0</v>
      </c>
      <c r="H8" s="95">
        <f>'Data Ocupacion'!N49</f>
        <v>31</v>
      </c>
      <c r="I8" s="95">
        <f>'Data Ocupacion'!P49</f>
        <v>29</v>
      </c>
      <c r="J8" s="95">
        <f>'Data Ocupacion'!R49</f>
        <v>32</v>
      </c>
      <c r="K8" s="95">
        <f>'Data Ocupacion'!T49</f>
        <v>32</v>
      </c>
      <c r="L8" s="95">
        <f>'Data Ocupacion'!V49</f>
        <v>32</v>
      </c>
      <c r="M8" s="95">
        <f>'Data Ocupacion'!X49</f>
        <v>0</v>
      </c>
      <c r="N8" s="95">
        <f>'Data Ocupacion'!Z49</f>
        <v>0</v>
      </c>
      <c r="O8" s="95">
        <f>'Data Ocupacion'!AB49</f>
        <v>32</v>
      </c>
      <c r="P8" s="95">
        <f>'Data Ocupacion'!AD49</f>
        <v>30</v>
      </c>
      <c r="Q8" s="95">
        <f>'Data Ocupacion'!AF49</f>
        <v>32</v>
      </c>
      <c r="R8" s="95">
        <f>'Data Ocupacion'!AH49</f>
        <v>0</v>
      </c>
      <c r="S8" s="95">
        <f>'Data Ocupacion'!AJ49</f>
        <v>9</v>
      </c>
      <c r="T8" s="95">
        <f>'Data Ocupacion'!AL49</f>
        <v>0</v>
      </c>
      <c r="U8" s="95">
        <f>'Data Ocupacion'!AN49</f>
        <v>0</v>
      </c>
      <c r="V8" s="95">
        <f>'Data Ocupacion'!AP49</f>
        <v>8</v>
      </c>
      <c r="W8" s="95">
        <f>'Data Ocupacion'!AR49</f>
        <v>15</v>
      </c>
      <c r="X8" s="95">
        <f>'Data Ocupacion'!AT49</f>
        <v>26</v>
      </c>
      <c r="Y8" s="95">
        <f>'Data Ocupacion'!AV49</f>
        <v>32</v>
      </c>
      <c r="Z8" s="95">
        <f>'Data Ocupacion'!AX49</f>
        <v>0</v>
      </c>
      <c r="AA8" s="95">
        <f>'Data Ocupacion'!AZ49</f>
        <v>0</v>
      </c>
      <c r="AB8" s="95">
        <f>'Data Ocupacion'!BB49</f>
        <v>0</v>
      </c>
      <c r="AC8" s="95">
        <f>'Data Ocupacion'!BD49</f>
        <v>0</v>
      </c>
      <c r="AD8" s="95">
        <f>'Data Ocupacion'!BF49</f>
        <v>0</v>
      </c>
      <c r="AE8" s="95">
        <f>'Data Ocupacion'!BH49</f>
        <v>0</v>
      </c>
      <c r="AF8" s="95">
        <f>'Data Ocupacion'!BJ49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Ocupacion'!D50</f>
        <v>0</v>
      </c>
      <c r="D9" s="95">
        <f>'Data Ocupacion'!F50</f>
        <v>0</v>
      </c>
      <c r="E9" s="95">
        <f>'Data Ocupacion'!H50</f>
        <v>0</v>
      </c>
      <c r="F9" s="95">
        <f>'Data Ocupacion'!J50</f>
        <v>0</v>
      </c>
      <c r="G9" s="95">
        <f>'Data Ocupacion'!L50</f>
        <v>0</v>
      </c>
      <c r="H9" s="95">
        <f>'Data Ocupacion'!N50</f>
        <v>0</v>
      </c>
      <c r="I9" s="95">
        <f>'Data Ocupacion'!P50</f>
        <v>0</v>
      </c>
      <c r="J9" s="95">
        <f>'Data Ocupacion'!R50</f>
        <v>0</v>
      </c>
      <c r="K9" s="95">
        <f>'Data Ocupacion'!T50</f>
        <v>0</v>
      </c>
      <c r="L9" s="95">
        <f>'Data Ocupacion'!V50</f>
        <v>0</v>
      </c>
      <c r="M9" s="95">
        <f>'Data Ocupacion'!X50</f>
        <v>0</v>
      </c>
      <c r="N9" s="95">
        <f>'Data Ocupacion'!Z50</f>
        <v>0</v>
      </c>
      <c r="O9" s="95">
        <f>'Data Ocupacion'!AB50</f>
        <v>0</v>
      </c>
      <c r="P9" s="95">
        <f>'Data Ocupacion'!AD50</f>
        <v>0</v>
      </c>
      <c r="Q9" s="95">
        <f>'Data Ocupacion'!AF50</f>
        <v>0</v>
      </c>
      <c r="R9" s="95">
        <f>'Data Ocupacion'!AH50</f>
        <v>0</v>
      </c>
      <c r="S9" s="95">
        <f>'Data Ocupacion'!AJ50</f>
        <v>0</v>
      </c>
      <c r="T9" s="95">
        <f>'Data Ocupacion'!AL50</f>
        <v>0</v>
      </c>
      <c r="U9" s="95">
        <f>'Data Ocupacion'!AN50</f>
        <v>0</v>
      </c>
      <c r="V9" s="95">
        <f>'Data Ocupacion'!AP50</f>
        <v>0</v>
      </c>
      <c r="W9" s="95">
        <f>'Data Ocupacion'!AR50</f>
        <v>0</v>
      </c>
      <c r="X9" s="95">
        <f>'Data Ocupacion'!AT50</f>
        <v>0</v>
      </c>
      <c r="Y9" s="95">
        <f>'Data Ocupacion'!AV50</f>
        <v>0</v>
      </c>
      <c r="Z9" s="95">
        <f>'Data Ocupacion'!AX50</f>
        <v>0</v>
      </c>
      <c r="AA9" s="95">
        <f>'Data Ocupacion'!AZ50</f>
        <v>0</v>
      </c>
      <c r="AB9" s="95">
        <f>'Data Ocupacion'!BB50</f>
        <v>0</v>
      </c>
      <c r="AC9" s="95">
        <f>'Data Ocupacion'!BD50</f>
        <v>0</v>
      </c>
      <c r="AD9" s="95">
        <f>'Data Ocupacion'!BF50</f>
        <v>0</v>
      </c>
      <c r="AE9" s="95">
        <f>'Data Ocupacion'!BH50</f>
        <v>0</v>
      </c>
      <c r="AF9" s="95">
        <f>'Data Ocupacion'!BJ50</f>
        <v>0</v>
      </c>
    </row>
    <row r="10" spans="1:32" s="85" customFormat="1" ht="14.25" x14ac:dyDescent="0.2">
      <c r="A10" s="210" t="s">
        <v>76</v>
      </c>
      <c r="B10" s="82">
        <v>25.4</v>
      </c>
      <c r="C10" s="95">
        <f>'Data Ocupacion'!D51</f>
        <v>4</v>
      </c>
      <c r="D10" s="95">
        <f>'Data Ocupacion'!F51</f>
        <v>4</v>
      </c>
      <c r="E10" s="95">
        <f>'Data Ocupacion'!H51</f>
        <v>4</v>
      </c>
      <c r="F10" s="95">
        <f>'Data Ocupacion'!J51</f>
        <v>0</v>
      </c>
      <c r="G10" s="95">
        <f>'Data Ocupacion'!L51</f>
        <v>0</v>
      </c>
      <c r="H10" s="95">
        <f>'Data Ocupacion'!N51</f>
        <v>4</v>
      </c>
      <c r="I10" s="95">
        <f>'Data Ocupacion'!P51</f>
        <v>4</v>
      </c>
      <c r="J10" s="95">
        <f>'Data Ocupacion'!R51</f>
        <v>4</v>
      </c>
      <c r="K10" s="95">
        <f>'Data Ocupacion'!T51</f>
        <v>4</v>
      </c>
      <c r="L10" s="95">
        <f>'Data Ocupacion'!V51</f>
        <v>4</v>
      </c>
      <c r="M10" s="95">
        <f>'Data Ocupacion'!X51</f>
        <v>0</v>
      </c>
      <c r="N10" s="95">
        <f>'Data Ocupacion'!Z51</f>
        <v>0</v>
      </c>
      <c r="O10" s="95">
        <f>'Data Ocupacion'!AB51</f>
        <v>4</v>
      </c>
      <c r="P10" s="95">
        <f>'Data Ocupacion'!AD51</f>
        <v>5</v>
      </c>
      <c r="Q10" s="95">
        <f>'Data Ocupacion'!AF51</f>
        <v>4</v>
      </c>
      <c r="R10" s="95">
        <f>'Data Ocupacion'!AH51</f>
        <v>0</v>
      </c>
      <c r="S10" s="95">
        <f>'Data Ocupacion'!AJ51</f>
        <v>1</v>
      </c>
      <c r="T10" s="95">
        <f>'Data Ocupacion'!AL51</f>
        <v>0</v>
      </c>
      <c r="U10" s="95">
        <f>'Data Ocupacion'!AN51</f>
        <v>0</v>
      </c>
      <c r="V10" s="95">
        <f>'Data Ocupacion'!AP51</f>
        <v>1</v>
      </c>
      <c r="W10" s="95">
        <f>'Data Ocupacion'!AR51</f>
        <v>1</v>
      </c>
      <c r="X10" s="95">
        <f>'Data Ocupacion'!AT51</f>
        <v>1</v>
      </c>
      <c r="Y10" s="95">
        <f>'Data Ocupacion'!AV51</f>
        <v>2</v>
      </c>
      <c r="Z10" s="95">
        <f>'Data Ocupacion'!AX51</f>
        <v>0</v>
      </c>
      <c r="AA10" s="95">
        <f>'Data Ocupacion'!AZ51</f>
        <v>0</v>
      </c>
      <c r="AB10" s="95">
        <f>'Data Ocupacion'!BB51</f>
        <v>0</v>
      </c>
      <c r="AC10" s="95">
        <f>'Data Ocupacion'!BD51</f>
        <v>0</v>
      </c>
      <c r="AD10" s="95">
        <f>'Data Ocupacion'!BF51</f>
        <v>0</v>
      </c>
      <c r="AE10" s="95">
        <f>'Data Ocupacion'!BH51</f>
        <v>0</v>
      </c>
      <c r="AF10" s="95">
        <f>'Data Ocupacion'!BJ51</f>
        <v>0</v>
      </c>
    </row>
    <row r="11" spans="1:32" s="85" customFormat="1" ht="14.25" x14ac:dyDescent="0.2">
      <c r="A11" s="210" t="s">
        <v>188</v>
      </c>
      <c r="B11" s="82">
        <v>35.729999999999997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>
        <f>'Data Ocupacion'!AJ52</f>
        <v>11</v>
      </c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</row>
    <row r="12" spans="1:32" s="85" customFormat="1" ht="14.25" x14ac:dyDescent="0.2">
      <c r="A12" s="210" t="s">
        <v>189</v>
      </c>
      <c r="B12" s="82">
        <v>35.729999999999997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>
        <f>'Data Ocupacion'!AJ53</f>
        <v>8</v>
      </c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</row>
    <row r="13" spans="1:32" s="85" customFormat="1" ht="14.25" x14ac:dyDescent="0.2">
      <c r="A13" s="210" t="s">
        <v>190</v>
      </c>
      <c r="B13" s="82">
        <v>21.7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>
        <f>'Data Ocupacion'!AJ54</f>
        <v>1</v>
      </c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</row>
    <row r="14" spans="1:32" s="85" customFormat="1" ht="14.25" x14ac:dyDescent="0.2">
      <c r="A14" s="264"/>
      <c r="B14" s="82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T14" s="95"/>
      <c r="V14" s="95"/>
      <c r="X14" s="95"/>
      <c r="Z14" s="95"/>
      <c r="AB14" s="95"/>
      <c r="AD14" s="95"/>
      <c r="AE14" s="95"/>
      <c r="AF14" s="95"/>
    </row>
    <row r="15" spans="1:32" s="85" customFormat="1" ht="14.25" x14ac:dyDescent="0.2">
      <c r="A15" s="81" t="s">
        <v>87</v>
      </c>
      <c r="B15" s="82">
        <v>43.13</v>
      </c>
      <c r="C15" s="95">
        <f>'Data Ocupacion'!D57</f>
        <v>120</v>
      </c>
      <c r="D15" s="95">
        <f>'Data Ocupacion'!F57</f>
        <v>119</v>
      </c>
      <c r="E15" s="95">
        <f>'Data Ocupacion'!H57</f>
        <v>118</v>
      </c>
      <c r="F15" s="95">
        <f>'Data Ocupacion'!J57</f>
        <v>75</v>
      </c>
      <c r="G15" s="95">
        <f>'Data Ocupacion'!L57</f>
        <v>57</v>
      </c>
      <c r="H15" s="95">
        <f>'Data Ocupacion'!N57</f>
        <v>118</v>
      </c>
      <c r="I15" s="95">
        <f>'Data Ocupacion'!P57</f>
        <v>122</v>
      </c>
      <c r="J15" s="95">
        <f>'Data Ocupacion'!R57</f>
        <v>117</v>
      </c>
      <c r="K15" s="95">
        <f>'Data Ocupacion'!T57</f>
        <v>109</v>
      </c>
      <c r="L15" s="95">
        <f>'Data Ocupacion'!V57</f>
        <v>109</v>
      </c>
      <c r="M15" s="95">
        <f>'Data Ocupacion'!X57</f>
        <v>75</v>
      </c>
      <c r="N15" s="95">
        <f>'Data Ocupacion'!Z57</f>
        <v>57</v>
      </c>
      <c r="O15" s="95">
        <f>'Data Ocupacion'!AB57</f>
        <v>110</v>
      </c>
      <c r="P15" s="95">
        <f>'Data Ocupacion'!AD57</f>
        <v>112</v>
      </c>
      <c r="Q15" s="95">
        <f>'Data Ocupacion'!AF57</f>
        <v>109</v>
      </c>
      <c r="R15" s="95">
        <f>'Data Ocupacion'!AH57</f>
        <v>57</v>
      </c>
      <c r="S15" s="95">
        <f>'Data Ocupacion'!AJ57</f>
        <v>19</v>
      </c>
      <c r="T15" s="95">
        <f>'Data Ocupacion'!AL57</f>
        <v>59</v>
      </c>
      <c r="U15" s="95">
        <f>'Data Ocupacion'!AN57</f>
        <v>58</v>
      </c>
      <c r="V15" s="95">
        <f>'Data Ocupacion'!AP57</f>
        <v>92</v>
      </c>
      <c r="W15" s="95">
        <f>'Data Ocupacion'!AR57</f>
        <v>84</v>
      </c>
      <c r="X15" s="95">
        <f>'Data Ocupacion'!AT57</f>
        <v>105</v>
      </c>
      <c r="Y15" s="95">
        <f>'Data Ocupacion'!AV57</f>
        <v>103</v>
      </c>
      <c r="Z15" s="95">
        <f>'Data Ocupacion'!AX57</f>
        <v>0</v>
      </c>
      <c r="AA15" s="95">
        <f>'Data Ocupacion'!AZ57</f>
        <v>0</v>
      </c>
      <c r="AB15" s="95">
        <f>'Data Ocupacion'!BB57</f>
        <v>0</v>
      </c>
      <c r="AC15" s="95">
        <f>'Data Ocupacion'!BD57</f>
        <v>0</v>
      </c>
      <c r="AD15" s="95">
        <f>'Data Ocupacion'!BF57</f>
        <v>0</v>
      </c>
      <c r="AE15" s="95">
        <f>'Data Ocupacion'!BH57</f>
        <v>0</v>
      </c>
      <c r="AF15" s="95">
        <f>'Data Ocupacion'!BJ57</f>
        <v>0</v>
      </c>
    </row>
    <row r="16" spans="1:32" s="85" customFormat="1" ht="14.25" x14ac:dyDescent="0.2">
      <c r="A16" s="81" t="s">
        <v>88</v>
      </c>
      <c r="B16" s="82">
        <v>43.13</v>
      </c>
      <c r="C16" s="95">
        <f>'Data Ocupacion'!D58</f>
        <v>120</v>
      </c>
      <c r="D16" s="95">
        <f>'Data Ocupacion'!F58</f>
        <v>119</v>
      </c>
      <c r="E16" s="95">
        <f>'Data Ocupacion'!H58</f>
        <v>118</v>
      </c>
      <c r="F16" s="95">
        <f>'Data Ocupacion'!J58</f>
        <v>75</v>
      </c>
      <c r="G16" s="95">
        <f>'Data Ocupacion'!L58</f>
        <v>57</v>
      </c>
      <c r="H16" s="95">
        <f>'Data Ocupacion'!N58</f>
        <v>118</v>
      </c>
      <c r="I16" s="95">
        <f>'Data Ocupacion'!P58</f>
        <v>118</v>
      </c>
      <c r="J16" s="95">
        <f>'Data Ocupacion'!R58</f>
        <v>117</v>
      </c>
      <c r="K16" s="95">
        <f>'Data Ocupacion'!T58</f>
        <v>109</v>
      </c>
      <c r="L16" s="95">
        <f>'Data Ocupacion'!V58</f>
        <v>109</v>
      </c>
      <c r="M16" s="95">
        <f>'Data Ocupacion'!X58</f>
        <v>75</v>
      </c>
      <c r="N16" s="95">
        <f>'Data Ocupacion'!Z58</f>
        <v>57</v>
      </c>
      <c r="O16" s="95">
        <f>'Data Ocupacion'!AB58</f>
        <v>110</v>
      </c>
      <c r="P16" s="95">
        <f>'Data Ocupacion'!AD58</f>
        <v>109</v>
      </c>
      <c r="Q16" s="95">
        <f>'Data Ocupacion'!AF58</f>
        <v>109</v>
      </c>
      <c r="R16" s="95">
        <f>'Data Ocupacion'!AH58</f>
        <v>57</v>
      </c>
      <c r="S16" s="95">
        <f>'Data Ocupacion'!AJ58</f>
        <v>21</v>
      </c>
      <c r="T16" s="95">
        <f>'Data Ocupacion'!AL58</f>
        <v>62</v>
      </c>
      <c r="U16" s="95">
        <f>'Data Ocupacion'!AN58</f>
        <v>58</v>
      </c>
      <c r="V16" s="95">
        <f>'Data Ocupacion'!AP58</f>
        <v>90</v>
      </c>
      <c r="W16" s="95">
        <f>'Data Ocupacion'!AR58</f>
        <v>80</v>
      </c>
      <c r="X16" s="95">
        <f>'Data Ocupacion'!AT58</f>
        <v>104</v>
      </c>
      <c r="Y16" s="95">
        <f>'Data Ocupacion'!AV58</f>
        <v>103</v>
      </c>
      <c r="Z16" s="95">
        <f>'Data Ocupacion'!AX58</f>
        <v>0</v>
      </c>
      <c r="AA16" s="95">
        <f>'Data Ocupacion'!AZ58</f>
        <v>0</v>
      </c>
      <c r="AB16" s="95">
        <f>'Data Ocupacion'!BB58</f>
        <v>0</v>
      </c>
      <c r="AC16" s="95">
        <f>'Data Ocupacion'!BD58</f>
        <v>0</v>
      </c>
      <c r="AD16" s="95">
        <f>'Data Ocupacion'!BF58</f>
        <v>0</v>
      </c>
      <c r="AE16" s="95">
        <f>'Data Ocupacion'!BH58</f>
        <v>0</v>
      </c>
      <c r="AF16" s="95">
        <f>'Data Ocupacion'!BJ58</f>
        <v>0</v>
      </c>
    </row>
    <row r="17" spans="1:32" s="85" customFormat="1" ht="14.25" x14ac:dyDescent="0.2">
      <c r="A17" s="81" t="s">
        <v>89</v>
      </c>
      <c r="B17" s="82">
        <v>29.11</v>
      </c>
      <c r="C17" s="95">
        <f>'Data Ocupacion'!D59</f>
        <v>39</v>
      </c>
      <c r="D17" s="95">
        <f>'Data Ocupacion'!F59</f>
        <v>38</v>
      </c>
      <c r="E17" s="95">
        <f>'Data Ocupacion'!H59</f>
        <v>38</v>
      </c>
      <c r="F17" s="95">
        <f>'Data Ocupacion'!J59</f>
        <v>0</v>
      </c>
      <c r="G17" s="95">
        <f>'Data Ocupacion'!L59</f>
        <v>0</v>
      </c>
      <c r="H17" s="95">
        <f>'Data Ocupacion'!N59</f>
        <v>36</v>
      </c>
      <c r="I17" s="95">
        <f>'Data Ocupacion'!P59</f>
        <v>31</v>
      </c>
      <c r="J17" s="95">
        <f>'Data Ocupacion'!R59</f>
        <v>38</v>
      </c>
      <c r="K17" s="95">
        <f>'Data Ocupacion'!T59</f>
        <v>36</v>
      </c>
      <c r="L17" s="95">
        <f>'Data Ocupacion'!V59</f>
        <v>36</v>
      </c>
      <c r="M17" s="95">
        <f>'Data Ocupacion'!X59</f>
        <v>0</v>
      </c>
      <c r="N17" s="95">
        <f>'Data Ocupacion'!Z59</f>
        <v>0</v>
      </c>
      <c r="O17" s="95">
        <f>'Data Ocupacion'!AB59</f>
        <v>36</v>
      </c>
      <c r="P17" s="95">
        <f>'Data Ocupacion'!AD59</f>
        <v>32</v>
      </c>
      <c r="Q17" s="95">
        <f>'Data Ocupacion'!AF59</f>
        <v>36</v>
      </c>
      <c r="R17" s="95">
        <f>'Data Ocupacion'!AH59</f>
        <v>0</v>
      </c>
      <c r="S17" s="95">
        <f>'Data Ocupacion'!AJ59</f>
        <v>9</v>
      </c>
      <c r="T17" s="95">
        <f>'Data Ocupacion'!AL59</f>
        <v>0</v>
      </c>
      <c r="U17" s="95">
        <f>'Data Ocupacion'!AN59</f>
        <v>0</v>
      </c>
      <c r="V17" s="95">
        <f>'Data Ocupacion'!AP59</f>
        <v>8</v>
      </c>
      <c r="W17" s="95">
        <f>'Data Ocupacion'!AR59</f>
        <v>13</v>
      </c>
      <c r="X17" s="95">
        <f>'Data Ocupacion'!AT59</f>
        <v>26</v>
      </c>
      <c r="Y17" s="95">
        <f>'Data Ocupacion'!AV59</f>
        <v>34</v>
      </c>
      <c r="Z17" s="95">
        <f>'Data Ocupacion'!AX59</f>
        <v>0</v>
      </c>
      <c r="AA17" s="95">
        <f>'Data Ocupacion'!AZ59</f>
        <v>0</v>
      </c>
      <c r="AB17" s="95">
        <f>'Data Ocupacion'!BB59</f>
        <v>0</v>
      </c>
      <c r="AC17" s="95">
        <f>'Data Ocupacion'!BD59</f>
        <v>0</v>
      </c>
      <c r="AD17" s="95">
        <f>'Data Ocupacion'!BF59</f>
        <v>0</v>
      </c>
      <c r="AE17" s="95">
        <f>'Data Ocupacion'!BH59</f>
        <v>0</v>
      </c>
      <c r="AF17" s="95">
        <f>'Data Ocupacion'!BJ59</f>
        <v>0</v>
      </c>
    </row>
    <row r="18" spans="1:32" s="85" customFormat="1" ht="14.25" x14ac:dyDescent="0.2">
      <c r="A18" s="81" t="s">
        <v>90</v>
      </c>
      <c r="B18" s="82">
        <v>29.11</v>
      </c>
      <c r="C18" s="95">
        <f>'Data Ocupacion'!D60</f>
        <v>35</v>
      </c>
      <c r="D18" s="95">
        <f>'Data Ocupacion'!F60</f>
        <v>34</v>
      </c>
      <c r="E18" s="95">
        <f>'Data Ocupacion'!H60</f>
        <v>34</v>
      </c>
      <c r="F18" s="95">
        <f>'Data Ocupacion'!J60</f>
        <v>0</v>
      </c>
      <c r="G18" s="95">
        <f>'Data Ocupacion'!L60</f>
        <v>0</v>
      </c>
      <c r="H18" s="95">
        <f>'Data Ocupacion'!N60</f>
        <v>33</v>
      </c>
      <c r="I18" s="95">
        <f>'Data Ocupacion'!P60</f>
        <v>31</v>
      </c>
      <c r="J18" s="95">
        <f>'Data Ocupacion'!R60</f>
        <v>34</v>
      </c>
      <c r="K18" s="95">
        <f>'Data Ocupacion'!T60</f>
        <v>32</v>
      </c>
      <c r="L18" s="95">
        <f>'Data Ocupacion'!V60</f>
        <v>32</v>
      </c>
      <c r="M18" s="95">
        <f>'Data Ocupacion'!X60</f>
        <v>0</v>
      </c>
      <c r="N18" s="95">
        <f>'Data Ocupacion'!Z60</f>
        <v>0</v>
      </c>
      <c r="O18" s="95">
        <f>'Data Ocupacion'!AB60</f>
        <v>32</v>
      </c>
      <c r="P18" s="95">
        <f>'Data Ocupacion'!AD60</f>
        <v>30</v>
      </c>
      <c r="Q18" s="95">
        <f>'Data Ocupacion'!AF60</f>
        <v>32</v>
      </c>
      <c r="R18" s="95">
        <f>'Data Ocupacion'!AH60</f>
        <v>0</v>
      </c>
      <c r="S18" s="95">
        <f>'Data Ocupacion'!AJ60</f>
        <v>9</v>
      </c>
      <c r="T18" s="95">
        <f>'Data Ocupacion'!AL60</f>
        <v>0</v>
      </c>
      <c r="U18" s="95">
        <f>'Data Ocupacion'!AN60</f>
        <v>0</v>
      </c>
      <c r="V18" s="95">
        <f>'Data Ocupacion'!AP60</f>
        <v>9</v>
      </c>
      <c r="W18" s="95">
        <f>'Data Ocupacion'!AR60</f>
        <v>15</v>
      </c>
      <c r="X18" s="95">
        <f>'Data Ocupacion'!AT60</f>
        <v>26</v>
      </c>
      <c r="Y18" s="95">
        <f>'Data Ocupacion'!AV60</f>
        <v>32</v>
      </c>
      <c r="Z18" s="95">
        <f>'Data Ocupacion'!AX60</f>
        <v>0</v>
      </c>
      <c r="AA18" s="95">
        <f>'Data Ocupacion'!AZ60</f>
        <v>0</v>
      </c>
      <c r="AB18" s="95">
        <f>'Data Ocupacion'!BB60</f>
        <v>0</v>
      </c>
      <c r="AC18" s="95">
        <f>'Data Ocupacion'!BD60</f>
        <v>0</v>
      </c>
      <c r="AD18" s="95">
        <f>'Data Ocupacion'!BF60</f>
        <v>0</v>
      </c>
      <c r="AE18" s="95">
        <f>'Data Ocupacion'!BH60</f>
        <v>0</v>
      </c>
      <c r="AF18" s="95">
        <f>'Data Ocupacion'!BJ60</f>
        <v>0</v>
      </c>
    </row>
    <row r="19" spans="1:32" s="85" customFormat="1" ht="14.25" x14ac:dyDescent="0.2">
      <c r="A19" s="81" t="s">
        <v>91</v>
      </c>
      <c r="B19" s="82">
        <v>25.4</v>
      </c>
      <c r="C19" s="95">
        <f>'Data Ocupacion'!D62</f>
        <v>4</v>
      </c>
      <c r="D19" s="95">
        <f>'Data Ocupacion'!F62</f>
        <v>4</v>
      </c>
      <c r="E19" s="95">
        <f>'Data Ocupacion'!H62</f>
        <v>4</v>
      </c>
      <c r="F19" s="95">
        <f>'Data Ocupacion'!J62</f>
        <v>0</v>
      </c>
      <c r="G19" s="95">
        <f>'Data Ocupacion'!L62</f>
        <v>0</v>
      </c>
      <c r="H19" s="95">
        <f>'Data Ocupacion'!N62</f>
        <v>4</v>
      </c>
      <c r="I19" s="95">
        <f>'Data Ocupacion'!P62</f>
        <v>4</v>
      </c>
      <c r="J19" s="95">
        <f>'Data Ocupacion'!R62</f>
        <v>4</v>
      </c>
      <c r="K19" s="95">
        <f>'Data Ocupacion'!T62</f>
        <v>4</v>
      </c>
      <c r="L19" s="95">
        <f>'Data Ocupacion'!V62</f>
        <v>4</v>
      </c>
      <c r="M19" s="95">
        <f>'Data Ocupacion'!X62</f>
        <v>0</v>
      </c>
      <c r="N19" s="95">
        <f>'Data Ocupacion'!Z62</f>
        <v>0</v>
      </c>
      <c r="O19" s="95">
        <f>'Data Ocupacion'!AB62</f>
        <v>4</v>
      </c>
      <c r="P19" s="95">
        <f>'Data Ocupacion'!AD62</f>
        <v>5</v>
      </c>
      <c r="Q19" s="95">
        <f>'Data Ocupacion'!AF62</f>
        <v>4</v>
      </c>
      <c r="R19" s="95">
        <f>'Data Ocupacion'!AH62</f>
        <v>0</v>
      </c>
      <c r="S19" s="95">
        <f>'Data Ocupacion'!AJ62</f>
        <v>1</v>
      </c>
      <c r="T19" s="95">
        <f>'Data Ocupacion'!AL62</f>
        <v>0</v>
      </c>
      <c r="U19" s="95">
        <f>'Data Ocupacion'!AN62</f>
        <v>0</v>
      </c>
      <c r="V19" s="95">
        <f>'Data Ocupacion'!AP62</f>
        <v>1</v>
      </c>
      <c r="W19" s="95">
        <f>'Data Ocupacion'!AR62</f>
        <v>1</v>
      </c>
      <c r="X19" s="95">
        <f>'Data Ocupacion'!AT62</f>
        <v>1</v>
      </c>
      <c r="Y19" s="95">
        <f>'Data Ocupacion'!AV62</f>
        <v>2</v>
      </c>
      <c r="Z19" s="95">
        <f>'Data Ocupacion'!AX62</f>
        <v>0</v>
      </c>
      <c r="AA19" s="95">
        <f>'Data Ocupacion'!AZ62</f>
        <v>0</v>
      </c>
      <c r="AB19" s="95">
        <f>'Data Ocupacion'!BB62</f>
        <v>0</v>
      </c>
      <c r="AC19" s="95">
        <f>'Data Ocupacion'!BD62</f>
        <v>0</v>
      </c>
      <c r="AD19" s="95">
        <f>'Data Ocupacion'!BF62</f>
        <v>0</v>
      </c>
      <c r="AE19" s="95">
        <f>'Data Ocupacion'!BH62</f>
        <v>0</v>
      </c>
      <c r="AF19" s="95">
        <f>'Data Ocupacion'!BJ62</f>
        <v>0</v>
      </c>
    </row>
    <row r="20" spans="1:32" s="85" customFormat="1" ht="14.25" x14ac:dyDescent="0.2">
      <c r="A20" s="210" t="s">
        <v>124</v>
      </c>
      <c r="B20" s="82">
        <v>25.4</v>
      </c>
      <c r="C20" s="95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0</v>
      </c>
      <c r="J20" s="95"/>
      <c r="K20" s="83">
        <v>0</v>
      </c>
      <c r="L20" s="95">
        <v>0</v>
      </c>
      <c r="M20" s="83">
        <v>0</v>
      </c>
      <c r="N20" s="83">
        <v>0</v>
      </c>
      <c r="O20" s="83">
        <v>0</v>
      </c>
      <c r="P20" s="83">
        <v>0</v>
      </c>
      <c r="Q20" s="95">
        <v>0</v>
      </c>
      <c r="R20" s="83">
        <v>0</v>
      </c>
      <c r="S20" s="95">
        <v>0</v>
      </c>
      <c r="T20" s="83">
        <v>0</v>
      </c>
      <c r="U20" s="83">
        <v>0</v>
      </c>
      <c r="V20" s="83">
        <v>0</v>
      </c>
      <c r="W20" s="83">
        <v>0</v>
      </c>
      <c r="X20" s="95">
        <v>0</v>
      </c>
      <c r="Y20" s="95">
        <v>0</v>
      </c>
      <c r="Z20" s="95">
        <v>0</v>
      </c>
      <c r="AA20" s="95">
        <v>0</v>
      </c>
      <c r="AB20" s="95">
        <v>0</v>
      </c>
      <c r="AC20" s="95">
        <v>0</v>
      </c>
      <c r="AD20" s="95">
        <v>0</v>
      </c>
      <c r="AE20" s="95">
        <v>0</v>
      </c>
      <c r="AF20" s="95">
        <v>0</v>
      </c>
    </row>
    <row r="21" spans="1:32" s="85" customFormat="1" ht="14.25" x14ac:dyDescent="0.2">
      <c r="A21" s="210" t="s">
        <v>191</v>
      </c>
      <c r="B21" s="82">
        <v>35.729999999999997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95">
        <f>'Data Ocupacion'!AJ63</f>
        <v>12</v>
      </c>
      <c r="T21" s="83"/>
      <c r="U21" s="83"/>
      <c r="V21" s="83"/>
      <c r="W21" s="83"/>
      <c r="X21" s="95"/>
      <c r="Y21" s="95"/>
      <c r="Z21" s="95"/>
      <c r="AA21" s="95"/>
      <c r="AB21" s="95"/>
      <c r="AC21" s="95"/>
      <c r="AD21" s="95"/>
      <c r="AE21" s="95"/>
      <c r="AF21" s="95"/>
    </row>
    <row r="22" spans="1:32" s="85" customFormat="1" ht="14.25" x14ac:dyDescent="0.2">
      <c r="A22" s="210" t="s">
        <v>192</v>
      </c>
      <c r="B22" s="82">
        <v>35.729999999999997</v>
      </c>
      <c r="C22" s="95"/>
      <c r="D22" s="83"/>
      <c r="E22" s="83"/>
      <c r="F22" s="83"/>
      <c r="G22" s="83"/>
      <c r="H22" s="83"/>
      <c r="I22" s="83"/>
      <c r="J22" s="95"/>
      <c r="K22" s="83"/>
      <c r="L22" s="95"/>
      <c r="M22" s="83"/>
      <c r="N22" s="83"/>
      <c r="O22" s="83"/>
      <c r="P22" s="83"/>
      <c r="Q22" s="95"/>
      <c r="R22" s="83"/>
      <c r="S22" s="95">
        <f>'Data Ocupacion'!AJ64</f>
        <v>8</v>
      </c>
      <c r="T22" s="83"/>
      <c r="U22" s="83"/>
      <c r="V22" s="83"/>
      <c r="W22" s="83"/>
      <c r="X22" s="95"/>
      <c r="Y22" s="95"/>
      <c r="Z22" s="95"/>
      <c r="AA22" s="95"/>
      <c r="AB22" s="95"/>
      <c r="AC22" s="95"/>
      <c r="AD22" s="95"/>
      <c r="AE22" s="95"/>
      <c r="AF22" s="95"/>
    </row>
    <row r="23" spans="1:32" s="85" customFormat="1" ht="14.25" x14ac:dyDescent="0.2">
      <c r="A23" s="210" t="s">
        <v>193</v>
      </c>
      <c r="B23" s="82">
        <v>21.7</v>
      </c>
      <c r="C23" s="95"/>
      <c r="D23" s="83"/>
      <c r="E23" s="83"/>
      <c r="F23" s="83"/>
      <c r="G23" s="83"/>
      <c r="H23" s="83"/>
      <c r="I23" s="83"/>
      <c r="J23" s="95"/>
      <c r="K23" s="83"/>
      <c r="L23" s="95"/>
      <c r="M23" s="83"/>
      <c r="N23" s="83"/>
      <c r="O23" s="83"/>
      <c r="P23" s="83"/>
      <c r="Q23" s="95"/>
      <c r="R23" s="83"/>
      <c r="S23" s="95">
        <f>'Data Ocupacion'!AJ65</f>
        <v>1</v>
      </c>
      <c r="T23" s="83"/>
      <c r="U23" s="83"/>
      <c r="V23" s="83"/>
      <c r="W23" s="83"/>
      <c r="X23" s="95"/>
      <c r="Y23" s="95"/>
      <c r="Z23" s="95"/>
      <c r="AA23" s="95"/>
      <c r="AB23" s="95"/>
      <c r="AC23" s="95"/>
      <c r="AD23" s="95"/>
      <c r="AE23" s="95"/>
      <c r="AF23" s="95"/>
    </row>
    <row r="24" spans="1:32" s="85" customFormat="1" ht="14.25" x14ac:dyDescent="0.2">
      <c r="A24" s="264"/>
      <c r="B24" s="233"/>
      <c r="C24" s="83"/>
      <c r="D24" s="83"/>
      <c r="E24" s="83"/>
      <c r="F24" s="83"/>
      <c r="G24" s="83"/>
      <c r="H24" s="83"/>
      <c r="I24" s="83"/>
      <c r="J24" s="83"/>
      <c r="K24" s="83"/>
      <c r="L24" s="95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95"/>
      <c r="AA24" s="83"/>
      <c r="AB24" s="83"/>
      <c r="AC24" s="83"/>
      <c r="AD24" s="83"/>
      <c r="AE24" s="83"/>
      <c r="AF24" s="83"/>
    </row>
    <row r="25" spans="1:32" x14ac:dyDescent="0.25">
      <c r="A25" s="86" t="s">
        <v>173</v>
      </c>
      <c r="B25" s="82">
        <v>-17.73</v>
      </c>
      <c r="C25" s="83">
        <f>'KM-Servicio'!Q5</f>
        <v>0</v>
      </c>
      <c r="D25" s="83">
        <f>'KM-Servicio'!Q12</f>
        <v>1</v>
      </c>
      <c r="E25" s="83">
        <f>'KM-Servicio'!Q19</f>
        <v>2</v>
      </c>
      <c r="F25" s="83">
        <f>'KM-Servicio'!Q26</f>
        <v>0</v>
      </c>
      <c r="G25" s="83">
        <f>'KM-Servicio'!Q33</f>
        <v>0</v>
      </c>
      <c r="H25" s="83">
        <f>'KM-Servicio'!Q40</f>
        <v>3</v>
      </c>
      <c r="I25" s="83">
        <f>'KM-Servicio'!Q47</f>
        <v>4</v>
      </c>
      <c r="J25" s="83">
        <f>'KM-Servicio'!Q54</f>
        <v>4</v>
      </c>
      <c r="K25" s="83">
        <f>'KM-Servicio'!Q61</f>
        <v>4</v>
      </c>
      <c r="L25" s="83">
        <f>'KM-Servicio'!Q68</f>
        <v>3</v>
      </c>
      <c r="M25" s="83">
        <f>'KM-Servicio'!Q75</f>
        <v>0</v>
      </c>
      <c r="N25" s="83">
        <f>'KM-Servicio'!Q82</f>
        <v>0</v>
      </c>
      <c r="O25" s="83">
        <f>'KM-Servicio'!Q89</f>
        <v>3</v>
      </c>
      <c r="P25" s="83">
        <f>'KM-Servicio'!Q96</f>
        <v>4</v>
      </c>
      <c r="Q25" s="83">
        <f>'KM-Servicio'!Q103</f>
        <v>4</v>
      </c>
      <c r="R25" s="83">
        <f>'KM-Servicio'!Q110</f>
        <v>0</v>
      </c>
      <c r="S25" s="83">
        <f>'KM-Servicio'!Q117</f>
        <v>0</v>
      </c>
      <c r="T25" s="83">
        <f>'KM-Servicio'!Q127</f>
        <v>0</v>
      </c>
      <c r="U25" s="83">
        <f>'KM-Servicio'!Q134</f>
        <v>0</v>
      </c>
      <c r="V25" s="83">
        <f>'KM-Servicio'!Q141</f>
        <v>0</v>
      </c>
      <c r="W25" s="83">
        <f>'KM-Servicio'!Q148</f>
        <v>0</v>
      </c>
      <c r="X25" s="83">
        <f>'KM-Servicio'!Q158</f>
        <v>0</v>
      </c>
      <c r="Y25" s="83">
        <f>'KM-Servicio'!Q165</f>
        <v>4</v>
      </c>
      <c r="Z25" s="83">
        <f>'KM-Servicio'!Q172</f>
        <v>0</v>
      </c>
      <c r="AA25" s="83">
        <f>'KM-Servicio'!Q179</f>
        <v>0</v>
      </c>
      <c r="AB25" s="83">
        <f>'KM-Servicio'!Q186</f>
        <v>0</v>
      </c>
      <c r="AC25" s="83">
        <f>'KM-Servicio'!Q193</f>
        <v>0</v>
      </c>
      <c r="AD25" s="83">
        <f>'KM-Servicio'!Q200</f>
        <v>0</v>
      </c>
      <c r="AE25" s="83">
        <f>'KM-Servicio'!Q207</f>
        <v>0</v>
      </c>
      <c r="AF25" s="83">
        <f>'KM-Servicio'!Q214</f>
        <v>0</v>
      </c>
    </row>
    <row r="26" spans="1:32" x14ac:dyDescent="0.25">
      <c r="A26" s="86" t="s">
        <v>174</v>
      </c>
      <c r="B26" s="82">
        <v>-17.73</v>
      </c>
      <c r="C26" s="83">
        <f>'KM-Servicio'!T6</f>
        <v>4</v>
      </c>
      <c r="D26" s="83">
        <f>'KM-Servicio'!T13</f>
        <v>0</v>
      </c>
      <c r="E26" s="83">
        <f>'KM-Servicio'!T20</f>
        <v>2</v>
      </c>
      <c r="F26" s="83">
        <f>'KM-Servicio'!T27</f>
        <v>0</v>
      </c>
      <c r="G26" s="83">
        <f>'KM-Servicio'!T34</f>
        <v>0</v>
      </c>
      <c r="H26" s="83">
        <f>'KM-Servicio'!T41</f>
        <v>3</v>
      </c>
      <c r="I26" s="83">
        <f>'KM-Servicio'!T48</f>
        <v>3</v>
      </c>
      <c r="J26" s="83">
        <f>'KM-Servicio'!T55</f>
        <v>3</v>
      </c>
      <c r="K26" s="83">
        <f>'KM-Servicio'!T62</f>
        <v>3</v>
      </c>
      <c r="L26" s="83">
        <f>'KM-Servicio'!T69</f>
        <v>3</v>
      </c>
      <c r="M26" s="83">
        <f>'KM-Servicio'!T76</f>
        <v>0</v>
      </c>
      <c r="N26" s="83">
        <f>'KM-Servicio'!T83</f>
        <v>0</v>
      </c>
      <c r="O26" s="83">
        <f>'KM-Servicio'!T90</f>
        <v>5</v>
      </c>
      <c r="P26" s="83">
        <f>'KM-Servicio'!T97</f>
        <v>5</v>
      </c>
      <c r="Q26" s="83">
        <f>'KM-Servicio'!T104</f>
        <v>5</v>
      </c>
      <c r="R26" s="83">
        <f>'KM-Servicio'!T111</f>
        <v>0</v>
      </c>
      <c r="S26" s="83">
        <f>'KM-Servicio'!T118</f>
        <v>0</v>
      </c>
      <c r="T26" s="83">
        <f>'KM-Servicio'!T128</f>
        <v>0</v>
      </c>
      <c r="U26" s="83">
        <f>'KM-Servicio'!T135</f>
        <v>0</v>
      </c>
      <c r="V26" s="83">
        <f>'KM-Servicio'!T142</f>
        <v>0</v>
      </c>
      <c r="W26" s="83">
        <f>'KM-Servicio'!T149</f>
        <v>0</v>
      </c>
      <c r="X26" s="83">
        <f>'KM-Servicio'!T159</f>
        <v>0</v>
      </c>
      <c r="Y26" s="83">
        <f>'KM-Servicio'!T166</f>
        <v>1</v>
      </c>
      <c r="Z26" s="83">
        <f>'KM-Servicio'!T173</f>
        <v>0</v>
      </c>
      <c r="AA26" s="83">
        <f>'KM-Servicio'!T180</f>
        <v>0</v>
      </c>
      <c r="AB26" s="83">
        <f>'KM-Servicio'!T187</f>
        <v>0</v>
      </c>
      <c r="AC26" s="83">
        <f>'KM-Servicio'!T194</f>
        <v>0</v>
      </c>
      <c r="AD26" s="83">
        <f>'KM-Servicio'!T201</f>
        <v>0</v>
      </c>
      <c r="AE26" s="83">
        <f>'KM-Servicio'!T208</f>
        <v>0</v>
      </c>
      <c r="AF26" s="83">
        <f>'KM-Servicio'!T215</f>
        <v>0</v>
      </c>
    </row>
    <row r="27" spans="1:32" s="124" customFormat="1" x14ac:dyDescent="0.25">
      <c r="A27" s="304" t="s">
        <v>149</v>
      </c>
      <c r="B27" s="82">
        <v>-14.02</v>
      </c>
      <c r="C27" s="83">
        <f>'KM-Servicio'!U6</f>
        <v>0</v>
      </c>
      <c r="D27" s="83">
        <f>'KM-Servicio'!U13</f>
        <v>0</v>
      </c>
      <c r="E27" s="83">
        <f>'KM-Servicio'!U20</f>
        <v>0</v>
      </c>
      <c r="F27" s="83">
        <f>'KM-Servicio'!U27</f>
        <v>0</v>
      </c>
      <c r="G27" s="83">
        <f>'KM-Servicio'!U34</f>
        <v>0</v>
      </c>
      <c r="H27" s="83">
        <f>'KM-Servicio'!U41</f>
        <v>0</v>
      </c>
      <c r="I27" s="83">
        <f>'KM-Servicio'!U48</f>
        <v>0</v>
      </c>
      <c r="J27" s="83">
        <f>'KM-Servicio'!U55</f>
        <v>0</v>
      </c>
      <c r="K27" s="83">
        <v>1</v>
      </c>
      <c r="L27" s="83">
        <f>'KM-Servicio'!U69</f>
        <v>0</v>
      </c>
      <c r="M27" s="83">
        <f>'KM-Servicio'!U76</f>
        <v>0</v>
      </c>
      <c r="N27" s="83">
        <f>'KM-Servicio'!U83</f>
        <v>0</v>
      </c>
      <c r="O27" s="83">
        <f>'KM-Servicio'!U90</f>
        <v>0</v>
      </c>
      <c r="P27" s="83">
        <f>'KM-Servicio'!U97</f>
        <v>0</v>
      </c>
      <c r="Q27" s="83">
        <f>'KM-Servicio'!U104</f>
        <v>0</v>
      </c>
      <c r="R27" s="83">
        <f>'KM-Servicio'!U111</f>
        <v>0</v>
      </c>
      <c r="S27" s="83">
        <f>'KM-Servicio'!U118</f>
        <v>0</v>
      </c>
      <c r="T27" s="83">
        <f>'KM-Servicio'!U128</f>
        <v>0</v>
      </c>
      <c r="U27" s="83">
        <f>'KM-Servicio'!U135</f>
        <v>0</v>
      </c>
      <c r="V27" s="83">
        <f>'KM-Servicio'!U142</f>
        <v>0</v>
      </c>
      <c r="W27" s="83">
        <f>'KM-Servicio'!U149</f>
        <v>0</v>
      </c>
      <c r="X27" s="83">
        <f>'KM-Servicio'!U159</f>
        <v>0</v>
      </c>
      <c r="Y27" s="83">
        <f>'KM-Servicio'!U166</f>
        <v>0</v>
      </c>
      <c r="Z27" s="83">
        <f>'KM-Servicio'!U173</f>
        <v>0</v>
      </c>
      <c r="AA27" s="83">
        <f>'KM-Servicio'!U180</f>
        <v>0</v>
      </c>
      <c r="AB27" s="83">
        <f>'KM-Servicio'!U187</f>
        <v>0</v>
      </c>
      <c r="AC27" s="83">
        <f>'KM-Servicio'!U194</f>
        <v>0</v>
      </c>
      <c r="AD27" s="83">
        <f>'KM-Servicio'!U201</f>
        <v>0</v>
      </c>
      <c r="AE27" s="83">
        <f>'KM-Servicio'!U208</f>
        <v>0</v>
      </c>
      <c r="AF27" s="83">
        <f>'KM-Servicio'!U215</f>
        <v>0</v>
      </c>
    </row>
    <row r="28" spans="1:32" s="124" customFormat="1" x14ac:dyDescent="0.25">
      <c r="A28" s="215" t="s">
        <v>172</v>
      </c>
      <c r="B28" s="82">
        <v>-3.71</v>
      </c>
      <c r="C28" s="83">
        <f>'KM-Servicio'!Q7</f>
        <v>3</v>
      </c>
      <c r="D28" s="83">
        <f>'KM-Servicio'!Q14</f>
        <v>2</v>
      </c>
      <c r="E28" s="83">
        <f>'KM-Servicio'!Q21</f>
        <v>2</v>
      </c>
      <c r="F28" s="83">
        <f>'KM-Servicio'!Q28</f>
        <v>0</v>
      </c>
      <c r="G28" s="83">
        <f>'KM-Servicio'!Q35</f>
        <v>0</v>
      </c>
      <c r="H28" s="83">
        <v>2</v>
      </c>
      <c r="I28" s="83">
        <v>2</v>
      </c>
      <c r="J28" s="83">
        <v>2</v>
      </c>
      <c r="K28" s="83">
        <v>0</v>
      </c>
      <c r="L28" s="83">
        <v>0</v>
      </c>
      <c r="M28" s="83">
        <v>0</v>
      </c>
      <c r="N28" s="83">
        <v>0</v>
      </c>
      <c r="O28" s="83">
        <v>0</v>
      </c>
      <c r="P28" s="83">
        <v>0</v>
      </c>
      <c r="Q28" s="83">
        <v>0</v>
      </c>
      <c r="R28" s="83">
        <v>0</v>
      </c>
      <c r="S28" s="83">
        <v>0</v>
      </c>
      <c r="T28" s="83">
        <v>0</v>
      </c>
      <c r="U28" s="83">
        <v>0</v>
      </c>
      <c r="V28" s="83">
        <v>0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83">
        <v>0</v>
      </c>
      <c r="AD28" s="83">
        <v>0</v>
      </c>
      <c r="AE28" s="83">
        <v>0</v>
      </c>
      <c r="AF28" s="83">
        <v>0</v>
      </c>
    </row>
    <row r="29" spans="1:32" s="124" customFormat="1" x14ac:dyDescent="0.25">
      <c r="A29" s="209" t="s">
        <v>171</v>
      </c>
      <c r="B29" s="82">
        <v>-25.4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</row>
    <row r="30" spans="1:32" s="124" customFormat="1" x14ac:dyDescent="0.25">
      <c r="A30" s="215" t="s">
        <v>154</v>
      </c>
      <c r="B30" s="82">
        <v>17.73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</row>
    <row r="31" spans="1:32" s="124" customFormat="1" x14ac:dyDescent="0.25">
      <c r="A31" s="215" t="s">
        <v>159</v>
      </c>
      <c r="B31" s="82">
        <v>-12.73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</row>
    <row r="32" spans="1:32" x14ac:dyDescent="0.25">
      <c r="A32" s="87"/>
      <c r="B32" s="82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</row>
    <row r="33" spans="1:32" x14ac:dyDescent="0.25">
      <c r="A33" s="88" t="s">
        <v>84</v>
      </c>
      <c r="B33" s="225">
        <f t="shared" ref="B33:B40" si="0">SUM(C33:AF33)</f>
        <v>4199</v>
      </c>
      <c r="C33" s="91">
        <f t="shared" ref="C33:AD33" si="1">SUM(C5:C10)</f>
        <v>229</v>
      </c>
      <c r="D33" s="91">
        <f t="shared" si="1"/>
        <v>229</v>
      </c>
      <c r="E33" s="91">
        <f t="shared" si="1"/>
        <v>229</v>
      </c>
      <c r="F33" s="91">
        <f t="shared" si="1"/>
        <v>147</v>
      </c>
      <c r="G33" s="91">
        <f t="shared" si="1"/>
        <v>111</v>
      </c>
      <c r="H33" s="91">
        <f t="shared" si="1"/>
        <v>226</v>
      </c>
      <c r="I33" s="91">
        <f t="shared" si="1"/>
        <v>222</v>
      </c>
      <c r="J33" s="91">
        <f t="shared" si="1"/>
        <v>229</v>
      </c>
      <c r="K33" s="91">
        <f t="shared" si="1"/>
        <v>229</v>
      </c>
      <c r="L33" s="91">
        <f t="shared" si="1"/>
        <v>229</v>
      </c>
      <c r="M33" s="91">
        <f t="shared" si="1"/>
        <v>147</v>
      </c>
      <c r="N33" s="91">
        <f t="shared" si="1"/>
        <v>111</v>
      </c>
      <c r="O33" s="91">
        <f t="shared" si="1"/>
        <v>229</v>
      </c>
      <c r="P33" s="91">
        <f t="shared" si="1"/>
        <v>225</v>
      </c>
      <c r="Q33" s="91">
        <f t="shared" si="1"/>
        <v>229</v>
      </c>
      <c r="R33" s="91">
        <f t="shared" si="1"/>
        <v>111</v>
      </c>
      <c r="S33" s="91">
        <f t="shared" si="1"/>
        <v>59</v>
      </c>
      <c r="T33" s="91">
        <f t="shared" si="1"/>
        <v>121</v>
      </c>
      <c r="U33" s="91">
        <f t="shared" si="1"/>
        <v>111</v>
      </c>
      <c r="V33" s="91">
        <f t="shared" si="1"/>
        <v>173</v>
      </c>
      <c r="W33" s="91">
        <f t="shared" si="1"/>
        <v>167</v>
      </c>
      <c r="X33" s="91">
        <f t="shared" si="1"/>
        <v>211</v>
      </c>
      <c r="Y33" s="91">
        <f t="shared" si="1"/>
        <v>225</v>
      </c>
      <c r="Z33" s="91">
        <f t="shared" si="1"/>
        <v>0</v>
      </c>
      <c r="AA33" s="91">
        <f t="shared" si="1"/>
        <v>0</v>
      </c>
      <c r="AB33" s="91">
        <f t="shared" si="1"/>
        <v>0</v>
      </c>
      <c r="AC33" s="91">
        <f t="shared" si="1"/>
        <v>0</v>
      </c>
      <c r="AD33" s="91">
        <f t="shared" si="1"/>
        <v>0</v>
      </c>
      <c r="AE33" s="91">
        <f t="shared" ref="AE33" si="2">SUM(AE5:AE10)</f>
        <v>0</v>
      </c>
      <c r="AF33" s="91">
        <f t="shared" ref="AF33" si="3">SUM(AF5:AF10)</f>
        <v>0</v>
      </c>
    </row>
    <row r="34" spans="1:32" x14ac:dyDescent="0.25">
      <c r="A34" s="90" t="s">
        <v>65</v>
      </c>
      <c r="B34" s="225">
        <f t="shared" si="0"/>
        <v>5186</v>
      </c>
      <c r="C34" s="91">
        <f t="shared" ref="C34:AD34" si="4">SUM(C15:C20)</f>
        <v>318</v>
      </c>
      <c r="D34" s="91">
        <f t="shared" si="4"/>
        <v>314</v>
      </c>
      <c r="E34" s="91">
        <f t="shared" si="4"/>
        <v>312</v>
      </c>
      <c r="F34" s="91">
        <f t="shared" si="4"/>
        <v>150</v>
      </c>
      <c r="G34" s="91">
        <f t="shared" si="4"/>
        <v>114</v>
      </c>
      <c r="H34" s="91">
        <f t="shared" si="4"/>
        <v>309</v>
      </c>
      <c r="I34" s="91">
        <f t="shared" si="4"/>
        <v>306</v>
      </c>
      <c r="J34" s="91">
        <f t="shared" si="4"/>
        <v>310</v>
      </c>
      <c r="K34" s="91">
        <f t="shared" si="4"/>
        <v>290</v>
      </c>
      <c r="L34" s="91">
        <f t="shared" si="4"/>
        <v>290</v>
      </c>
      <c r="M34" s="91">
        <f t="shared" si="4"/>
        <v>150</v>
      </c>
      <c r="N34" s="91">
        <f t="shared" si="4"/>
        <v>114</v>
      </c>
      <c r="O34" s="91">
        <f t="shared" si="4"/>
        <v>292</v>
      </c>
      <c r="P34" s="91">
        <f t="shared" si="4"/>
        <v>288</v>
      </c>
      <c r="Q34" s="91">
        <f t="shared" si="4"/>
        <v>290</v>
      </c>
      <c r="R34" s="91">
        <f t="shared" si="4"/>
        <v>114</v>
      </c>
      <c r="S34" s="91">
        <f t="shared" si="4"/>
        <v>59</v>
      </c>
      <c r="T34" s="91">
        <f t="shared" si="4"/>
        <v>121</v>
      </c>
      <c r="U34" s="91">
        <f t="shared" si="4"/>
        <v>116</v>
      </c>
      <c r="V34" s="91">
        <f t="shared" si="4"/>
        <v>200</v>
      </c>
      <c r="W34" s="91">
        <f t="shared" si="4"/>
        <v>193</v>
      </c>
      <c r="X34" s="91">
        <f t="shared" si="4"/>
        <v>262</v>
      </c>
      <c r="Y34" s="91">
        <f t="shared" si="4"/>
        <v>274</v>
      </c>
      <c r="Z34" s="91">
        <f t="shared" si="4"/>
        <v>0</v>
      </c>
      <c r="AA34" s="91">
        <f t="shared" si="4"/>
        <v>0</v>
      </c>
      <c r="AB34" s="91">
        <f t="shared" si="4"/>
        <v>0</v>
      </c>
      <c r="AC34" s="91">
        <f t="shared" si="4"/>
        <v>0</v>
      </c>
      <c r="AD34" s="91">
        <f t="shared" si="4"/>
        <v>0</v>
      </c>
      <c r="AE34" s="91">
        <f t="shared" ref="AE34" si="5">SUM(AE15:AE20)</f>
        <v>0</v>
      </c>
      <c r="AF34" s="91">
        <f t="shared" ref="AF34" si="6">SUM(AF15:AF20)</f>
        <v>0</v>
      </c>
    </row>
    <row r="35" spans="1:32" x14ac:dyDescent="0.25">
      <c r="A35" s="90" t="s">
        <v>92</v>
      </c>
      <c r="B35" s="225">
        <f t="shared" si="0"/>
        <v>209024.99000000002</v>
      </c>
      <c r="C35" s="91">
        <f>(C15*$B$15+C16*$B$16+C17*$B$17+C18*$B$18+C20*$B$20+C26*$B$26+C19*$B$19+C25*$B$25+C28*$B$28+C29*$B$29+C27*B27)</f>
        <v>12524.890000000003</v>
      </c>
      <c r="D35" s="91">
        <f>(D15*$B$15+D16*$B$16+D17*$B$17+D18*$B$18+D20*$B$20+D26*$B$26+D19*$B$19+D25*$B$25+D27*$B$27+D29*$B$29+D30*B30+D28*B28)</f>
        <v>12437.310000000001</v>
      </c>
      <c r="E35" s="91">
        <f>(E15*$B$15+E16*$B$16+E17*$B$17+E18*$B$18+E20*$B$20+E26*$B$26+E19*$B$19+E25*$B$25+E27*$B$27+E29*$B$29+E30*B30+E28*B28)</f>
        <v>12297.860000000002</v>
      </c>
      <c r="F35" s="91">
        <f>(F15*$B$15+F16*$B$16+F17*$B$17+F18*$B$18+F20*$B$20+F26*$B$26+F19*$B$19+F25*$B$25+F27*$B$27+F28*$B$28+F30*B30)</f>
        <v>6469.5</v>
      </c>
      <c r="G35" s="91">
        <f>(G15*$B$15+G16*$B$16+G17*$B$17+G18*$B$18+G20*$B$20+G26*$B$26+G19*$B$19+G25*$B$25+G27*$B$27+G28*$B$28+G30*B30)</f>
        <v>4916.8200000000006</v>
      </c>
      <c r="H35" s="91">
        <f>(H15*$B$15+H16*$B$16+H17*$B$17+H18*$B$18+H20*$B$20+H26*$B$26+H19*$B$19+H25*$B$25+H27*$B$27+H28*$B$28+H29*B29+H31*B31)</f>
        <v>12175.069999999998</v>
      </c>
      <c r="I35" s="91">
        <f>(I15*$B$15+I16*$B$16+I17*$B$17+I18*$B$18+I20*$B$20+I26*$B$26+I19*$B$19+I25*$B$25+I27*$B$27+I28*$B$28+I30*B30)</f>
        <v>12126.09</v>
      </c>
      <c r="J35" s="91">
        <f>(J15*$B$15+J16*$B$16+J17*$B$17+J18*$B$18+J20*$B$20+J26*$B$26+J19*$B$19+J25*$B$25+J27*$B$27+J28*$B$28+J30*B30)</f>
        <v>12158.41</v>
      </c>
      <c r="K35" s="91">
        <f>(K15*$B$15+K16*$B$16+K17*$B$17+K18*$B$18+K20*$B$20+K26*$B$26+K19*$B$19+K25*$B$25+K27*$B$27+K28*$B$28+K29*B29)</f>
        <v>11345.289999999999</v>
      </c>
      <c r="L35" s="91">
        <f>(L15*$B$15+L16*$B$16+L17*$B$17+L18*$B$18+L20*$B$20+L26*$B$26+L19*$B$19+L25*$B$25+L27*$B$27+L28*$B$28+L30*B30)</f>
        <v>11377.039999999999</v>
      </c>
      <c r="M35" s="91">
        <f>(M15*$B$15+M16*$B$16+M17*$B$17+M18*$B$18+M20*$B$20+M26*$B$26+M19*$B$19+M25*$B$25+M27*$B$27+M28*$B$28+M30*B30)</f>
        <v>6469.5</v>
      </c>
      <c r="N35" s="91">
        <f>(N15*$B$15+N16*$B$16+N17*$B$17+N18*$B$18+N20*$B$20+N26*$B$26+N19*$B$19+N25*$B$25+N27*$B$27+N28*$B$28+N30*B30)</f>
        <v>4916.8200000000006</v>
      </c>
      <c r="O35" s="91">
        <f>(O15*$B$15+O16*$B$16+O17*$B$17+O18*$B$18+O20*$B$20+O26*$B$26+O19*$B$19+O25*$B$25+O27*$B$27+O28*$B$28+O29*B29)</f>
        <v>11427.840000000002</v>
      </c>
      <c r="P35" s="91">
        <f>(P15*$B$15+P16*$B$16+P17*$B$17+P18*$B$18+P20*$B$20+P26*$B$26+P19*$B$19+P25*$B$25+P27*$B$27+P28*$B$28+P30*B30)</f>
        <v>11303.98</v>
      </c>
      <c r="Q35" s="91">
        <f>(Q15*$B$15+Q16*$B$16+Q17*$B$17+Q18*$B$18+Q20*$B$20+Q26*$B$26+Q19*$B$19+Q25*$B$25+Q27*$B$27+Q28*$B$28)</f>
        <v>11323.85</v>
      </c>
      <c r="R35" s="91">
        <f>(R15*$B$15+R16*$B$16+R17*$B$17+R18*$B$18+R20*$B$20+R26*$B$26+R19*$B$19+R25*$B$25+R27*$B$27+R28*$B$28)</f>
        <v>4916.8200000000006</v>
      </c>
      <c r="S35" s="91">
        <f>(S15*$B$15+S16*$B$16+S17*$B$17+S18*$B$18+S20*$B$20+S26*$B$26+S19*$B$19+S25*$B$25+S27*$B$27+S28*$B$28+S21*B21+S22*B22+S23*B23)</f>
        <v>3010.88</v>
      </c>
      <c r="T35" s="91">
        <f>(T15*$B$15+T16*$B$16+T17*$B$17+T18*$B$18+T20*$B$20+T26*$B$26+T19*$B$19+T25*$B$25+T27*$B$27+T28*$B$28)</f>
        <v>5218.7299999999996</v>
      </c>
      <c r="U35" s="91">
        <f>(U15*$B$15+U16*$B$16+U17*$B$17+U18*$B$18+U20*$B$20+U26*$B$26+U19*$B$19+U25*$B$25+U27*$B$27+U28*$B$28+U30*B30)</f>
        <v>5003.08</v>
      </c>
      <c r="V35" s="91">
        <f>(V15*$B$15+V16*$B$16+V17*$B$17+V18*$B$18+V20*$B$20+V26*$B$26+V19*$B$19+V25*$B$25+V27*$B$27+V28*$B$28)</f>
        <v>8369.93</v>
      </c>
      <c r="W35" s="91">
        <f t="shared" ref="W35:AD35" si="7">(W15*$B$15+W16*$B$16+W17*$B$17+W18*$B$18+W20*$B$20+W26*$B$26+W19*$B$19+W25*$B$25+W27*$B$27+W28*$B$28)</f>
        <v>7913.7999999999993</v>
      </c>
      <c r="X35" s="91">
        <f t="shared" si="7"/>
        <v>10553.290000000003</v>
      </c>
      <c r="Y35" s="91">
        <f t="shared" si="7"/>
        <v>10768.19</v>
      </c>
      <c r="Z35" s="91">
        <f t="shared" si="7"/>
        <v>0</v>
      </c>
      <c r="AA35" s="91">
        <f t="shared" si="7"/>
        <v>0</v>
      </c>
      <c r="AB35" s="91">
        <f t="shared" si="7"/>
        <v>0</v>
      </c>
      <c r="AC35" s="91">
        <f t="shared" si="7"/>
        <v>0</v>
      </c>
      <c r="AD35" s="91">
        <f t="shared" si="7"/>
        <v>0</v>
      </c>
      <c r="AE35" s="91">
        <f t="shared" ref="AE35:AF35" si="8">(AE15*$B$15+AE16*$B$16+AE17*$B$17+AE18*$B$18+AE20*$B$20+AE26*$B$26+AE19*$B$19+AE25*$B$25+AE27*$B$27+AE28*$B$28)</f>
        <v>0</v>
      </c>
      <c r="AF35" s="91">
        <f t="shared" si="8"/>
        <v>0</v>
      </c>
    </row>
    <row r="36" spans="1:32" x14ac:dyDescent="0.25">
      <c r="A36" s="90" t="s">
        <v>93</v>
      </c>
      <c r="B36" s="225">
        <f t="shared" si="0"/>
        <v>168155.03000000003</v>
      </c>
      <c r="C36" s="91">
        <f t="shared" ref="C36:AD36" si="9">$B$5*C5+$B$6*C6+$B$7*C7+$B$8*C8+$B$10*C10+$B$9*C9</f>
        <v>8852.49</v>
      </c>
      <c r="D36" s="91">
        <f t="shared" si="9"/>
        <v>8852.49</v>
      </c>
      <c r="E36" s="91">
        <f t="shared" si="9"/>
        <v>8852.49</v>
      </c>
      <c r="F36" s="91">
        <f t="shared" si="9"/>
        <v>6340.1100000000006</v>
      </c>
      <c r="G36" s="91">
        <f t="shared" si="9"/>
        <v>4787.43</v>
      </c>
      <c r="H36" s="91">
        <f t="shared" si="9"/>
        <v>8765.16</v>
      </c>
      <c r="I36" s="91">
        <f t="shared" si="9"/>
        <v>8690.7800000000007</v>
      </c>
      <c r="J36" s="91">
        <f t="shared" si="9"/>
        <v>8852.49</v>
      </c>
      <c r="K36" s="91">
        <f t="shared" si="9"/>
        <v>8852.49</v>
      </c>
      <c r="L36" s="91">
        <f t="shared" si="9"/>
        <v>8852.49</v>
      </c>
      <c r="M36" s="91">
        <f t="shared" si="9"/>
        <v>6340.1100000000006</v>
      </c>
      <c r="N36" s="91">
        <f t="shared" si="9"/>
        <v>4787.43</v>
      </c>
      <c r="O36" s="91">
        <f t="shared" si="9"/>
        <v>8852.49</v>
      </c>
      <c r="P36" s="91">
        <f t="shared" si="9"/>
        <v>8746.36</v>
      </c>
      <c r="Q36" s="91">
        <f t="shared" si="9"/>
        <v>8852.49</v>
      </c>
      <c r="R36" s="91">
        <f t="shared" si="9"/>
        <v>4787.43</v>
      </c>
      <c r="S36" s="91">
        <f>$B$5*S5+$B$6*S6+$B$7*S7+$B$8*S8+$B$10*S10+$B$9*S9+S11*B11+S12*B12+S13*B13</f>
        <v>2975.1500000000005</v>
      </c>
      <c r="T36" s="91">
        <f t="shared" si="9"/>
        <v>5218.7299999999996</v>
      </c>
      <c r="U36" s="91">
        <f t="shared" si="9"/>
        <v>4787.43</v>
      </c>
      <c r="V36" s="91">
        <f t="shared" si="9"/>
        <v>7219.4400000000005</v>
      </c>
      <c r="W36" s="91">
        <f t="shared" si="9"/>
        <v>6792.42</v>
      </c>
      <c r="X36" s="91">
        <f t="shared" si="9"/>
        <v>8353.66</v>
      </c>
      <c r="Y36" s="91">
        <f t="shared" si="9"/>
        <v>8743.4699999999993</v>
      </c>
      <c r="Z36" s="91">
        <f t="shared" si="9"/>
        <v>0</v>
      </c>
      <c r="AA36" s="91">
        <f t="shared" si="9"/>
        <v>0</v>
      </c>
      <c r="AB36" s="91">
        <f t="shared" si="9"/>
        <v>0</v>
      </c>
      <c r="AC36" s="91">
        <f t="shared" si="9"/>
        <v>0</v>
      </c>
      <c r="AD36" s="91">
        <f t="shared" si="9"/>
        <v>0</v>
      </c>
      <c r="AE36" s="91">
        <f t="shared" ref="AE36" si="10">$B$5*AE5+$B$6*AE6+$B$7*AE7+$B$8*AE8+$B$10*AE10+$B$9*AE9</f>
        <v>0</v>
      </c>
      <c r="AF36" s="91">
        <f t="shared" ref="AF36" si="11">$B$5*AF5+$B$6*AF6+$B$7*AF7+$B$8*AF8+$B$10*AF10+$B$9*AF9</f>
        <v>0</v>
      </c>
    </row>
    <row r="37" spans="1:32" x14ac:dyDescent="0.25">
      <c r="A37" s="90" t="s">
        <v>94</v>
      </c>
      <c r="B37" s="225">
        <f t="shared" si="0"/>
        <v>21738598.959999997</v>
      </c>
      <c r="C37" s="91">
        <f t="shared" ref="C37:AD37" si="12">C35*104</f>
        <v>1302588.5600000003</v>
      </c>
      <c r="D37" s="91">
        <f t="shared" si="12"/>
        <v>1293480.2400000002</v>
      </c>
      <c r="E37" s="91">
        <f t="shared" si="12"/>
        <v>1278977.4400000002</v>
      </c>
      <c r="F37" s="91">
        <f t="shared" si="12"/>
        <v>672828</v>
      </c>
      <c r="G37" s="91">
        <f t="shared" si="12"/>
        <v>511349.28000000009</v>
      </c>
      <c r="H37" s="91">
        <f t="shared" si="12"/>
        <v>1266207.2799999998</v>
      </c>
      <c r="I37" s="91">
        <f t="shared" si="12"/>
        <v>1261113.3600000001</v>
      </c>
      <c r="J37" s="91">
        <f t="shared" si="12"/>
        <v>1264474.6399999999</v>
      </c>
      <c r="K37" s="91">
        <f t="shared" si="12"/>
        <v>1179910.1599999999</v>
      </c>
      <c r="L37" s="91">
        <f t="shared" si="12"/>
        <v>1183212.1599999999</v>
      </c>
      <c r="M37" s="91">
        <f t="shared" si="12"/>
        <v>672828</v>
      </c>
      <c r="N37" s="91">
        <f t="shared" si="12"/>
        <v>511349.28000000009</v>
      </c>
      <c r="O37" s="91">
        <f t="shared" si="12"/>
        <v>1188495.3600000001</v>
      </c>
      <c r="P37" s="91">
        <f t="shared" si="12"/>
        <v>1175613.92</v>
      </c>
      <c r="Q37" s="91">
        <f t="shared" si="12"/>
        <v>1177680.4000000001</v>
      </c>
      <c r="R37" s="91">
        <f t="shared" si="12"/>
        <v>511349.28000000009</v>
      </c>
      <c r="S37" s="91">
        <f t="shared" si="12"/>
        <v>313131.52000000002</v>
      </c>
      <c r="T37" s="91">
        <f t="shared" si="12"/>
        <v>542747.91999999993</v>
      </c>
      <c r="U37" s="91">
        <f t="shared" si="12"/>
        <v>520320.32</v>
      </c>
      <c r="V37" s="91">
        <f t="shared" si="12"/>
        <v>870472.72</v>
      </c>
      <c r="W37" s="91">
        <f t="shared" si="12"/>
        <v>823035.2</v>
      </c>
      <c r="X37" s="91">
        <f t="shared" si="12"/>
        <v>1097542.1600000004</v>
      </c>
      <c r="Y37" s="91">
        <f t="shared" si="12"/>
        <v>1119891.76</v>
      </c>
      <c r="Z37" s="91">
        <f t="shared" si="12"/>
        <v>0</v>
      </c>
      <c r="AA37" s="91">
        <f t="shared" si="12"/>
        <v>0</v>
      </c>
      <c r="AB37" s="91">
        <f t="shared" si="12"/>
        <v>0</v>
      </c>
      <c r="AC37" s="91">
        <f t="shared" si="12"/>
        <v>0</v>
      </c>
      <c r="AD37" s="91">
        <f t="shared" si="12"/>
        <v>0</v>
      </c>
      <c r="AE37" s="91">
        <f t="shared" ref="AE37" si="13">AE35*104</f>
        <v>0</v>
      </c>
      <c r="AF37" s="91">
        <f t="shared" ref="AF37" si="14">AF35*104</f>
        <v>0</v>
      </c>
    </row>
    <row r="38" spans="1:32" x14ac:dyDescent="0.25">
      <c r="A38" s="90" t="s">
        <v>95</v>
      </c>
      <c r="B38" s="89">
        <f t="shared" si="0"/>
        <v>418049.98000000004</v>
      </c>
      <c r="C38" s="91">
        <f>C35*2</f>
        <v>25049.780000000006</v>
      </c>
      <c r="D38" s="91">
        <f t="shared" ref="D38:AD38" si="15">D35*2</f>
        <v>24874.620000000003</v>
      </c>
      <c r="E38" s="91">
        <f t="shared" si="15"/>
        <v>24595.720000000005</v>
      </c>
      <c r="F38" s="91">
        <f t="shared" si="15"/>
        <v>12939</v>
      </c>
      <c r="G38" s="91">
        <f t="shared" si="15"/>
        <v>9833.6400000000012</v>
      </c>
      <c r="H38" s="91">
        <f t="shared" si="15"/>
        <v>24350.139999999996</v>
      </c>
      <c r="I38" s="91">
        <f t="shared" si="15"/>
        <v>24252.18</v>
      </c>
      <c r="J38" s="91">
        <f t="shared" si="15"/>
        <v>24316.82</v>
      </c>
      <c r="K38" s="91">
        <f t="shared" si="15"/>
        <v>22690.579999999998</v>
      </c>
      <c r="L38" s="91">
        <f t="shared" si="15"/>
        <v>22754.079999999998</v>
      </c>
      <c r="M38" s="91">
        <f t="shared" si="15"/>
        <v>12939</v>
      </c>
      <c r="N38" s="91">
        <f t="shared" si="15"/>
        <v>9833.6400000000012</v>
      </c>
      <c r="O38" s="91">
        <f t="shared" si="15"/>
        <v>22855.680000000004</v>
      </c>
      <c r="P38" s="91">
        <f t="shared" si="15"/>
        <v>22607.96</v>
      </c>
      <c r="Q38" s="91">
        <f t="shared" si="15"/>
        <v>22647.7</v>
      </c>
      <c r="R38" s="91">
        <f t="shared" si="15"/>
        <v>9833.6400000000012</v>
      </c>
      <c r="S38" s="91">
        <f t="shared" si="15"/>
        <v>6021.76</v>
      </c>
      <c r="T38" s="91">
        <f t="shared" si="15"/>
        <v>10437.459999999999</v>
      </c>
      <c r="U38" s="91">
        <f t="shared" si="15"/>
        <v>10006.16</v>
      </c>
      <c r="V38" s="91">
        <f t="shared" si="15"/>
        <v>16739.86</v>
      </c>
      <c r="W38" s="91">
        <f t="shared" si="15"/>
        <v>15827.599999999999</v>
      </c>
      <c r="X38" s="91">
        <f t="shared" si="15"/>
        <v>21106.580000000005</v>
      </c>
      <c r="Y38" s="91">
        <f t="shared" si="15"/>
        <v>21536.38</v>
      </c>
      <c r="Z38" s="91">
        <f t="shared" si="15"/>
        <v>0</v>
      </c>
      <c r="AA38" s="91">
        <f t="shared" si="15"/>
        <v>0</v>
      </c>
      <c r="AB38" s="91">
        <f t="shared" si="15"/>
        <v>0</v>
      </c>
      <c r="AC38" s="91">
        <f t="shared" si="15"/>
        <v>0</v>
      </c>
      <c r="AD38" s="91">
        <f t="shared" si="15"/>
        <v>0</v>
      </c>
      <c r="AE38" s="91">
        <f t="shared" ref="AE38" si="16">AE35*2</f>
        <v>0</v>
      </c>
      <c r="AF38" s="91">
        <f t="shared" ref="AF38" si="17">AF35*2</f>
        <v>0</v>
      </c>
    </row>
    <row r="39" spans="1:32" x14ac:dyDescent="0.25">
      <c r="A39" s="90" t="s">
        <v>96</v>
      </c>
      <c r="B39" s="89">
        <f t="shared" si="0"/>
        <v>1877332</v>
      </c>
      <c r="C39" s="91">
        <f>+C34*362</f>
        <v>115116</v>
      </c>
      <c r="D39" s="91">
        <f t="shared" ref="D39:AD39" si="18">+D34*362</f>
        <v>113668</v>
      </c>
      <c r="E39" s="91">
        <f t="shared" si="18"/>
        <v>112944</v>
      </c>
      <c r="F39" s="91">
        <f t="shared" si="18"/>
        <v>54300</v>
      </c>
      <c r="G39" s="91">
        <f t="shared" si="18"/>
        <v>41268</v>
      </c>
      <c r="H39" s="91">
        <f t="shared" si="18"/>
        <v>111858</v>
      </c>
      <c r="I39" s="91">
        <f t="shared" si="18"/>
        <v>110772</v>
      </c>
      <c r="J39" s="91">
        <f t="shared" si="18"/>
        <v>112220</v>
      </c>
      <c r="K39" s="91">
        <f t="shared" si="18"/>
        <v>104980</v>
      </c>
      <c r="L39" s="91">
        <f t="shared" si="18"/>
        <v>104980</v>
      </c>
      <c r="M39" s="91">
        <f t="shared" si="18"/>
        <v>54300</v>
      </c>
      <c r="N39" s="91">
        <f t="shared" si="18"/>
        <v>41268</v>
      </c>
      <c r="O39" s="91">
        <f t="shared" si="18"/>
        <v>105704</v>
      </c>
      <c r="P39" s="91">
        <f t="shared" si="18"/>
        <v>104256</v>
      </c>
      <c r="Q39" s="91">
        <f t="shared" si="18"/>
        <v>104980</v>
      </c>
      <c r="R39" s="91">
        <f t="shared" si="18"/>
        <v>41268</v>
      </c>
      <c r="S39" s="91">
        <f t="shared" si="18"/>
        <v>21358</v>
      </c>
      <c r="T39" s="91">
        <f t="shared" si="18"/>
        <v>43802</v>
      </c>
      <c r="U39" s="91">
        <f t="shared" si="18"/>
        <v>41992</v>
      </c>
      <c r="V39" s="91">
        <f t="shared" si="18"/>
        <v>72400</v>
      </c>
      <c r="W39" s="91">
        <f t="shared" si="18"/>
        <v>69866</v>
      </c>
      <c r="X39" s="91">
        <f t="shared" si="18"/>
        <v>94844</v>
      </c>
      <c r="Y39" s="91">
        <f t="shared" si="18"/>
        <v>99188</v>
      </c>
      <c r="Z39" s="91">
        <f t="shared" si="18"/>
        <v>0</v>
      </c>
      <c r="AA39" s="91">
        <f t="shared" si="18"/>
        <v>0</v>
      </c>
      <c r="AB39" s="91">
        <f t="shared" si="18"/>
        <v>0</v>
      </c>
      <c r="AC39" s="91">
        <f t="shared" si="18"/>
        <v>0</v>
      </c>
      <c r="AD39" s="91">
        <f t="shared" si="18"/>
        <v>0</v>
      </c>
      <c r="AE39" s="91">
        <f t="shared" ref="AE39" si="19">+AE34*362</f>
        <v>0</v>
      </c>
      <c r="AF39" s="91">
        <f t="shared" ref="AF39" si="20">+AF34*362</f>
        <v>0</v>
      </c>
    </row>
    <row r="40" spans="1:32" ht="14.25" customHeight="1" x14ac:dyDescent="0.25">
      <c r="A40" s="92" t="s">
        <v>97</v>
      </c>
      <c r="B40" s="225">
        <f t="shared" si="0"/>
        <v>16575681.706999999</v>
      </c>
      <c r="C40" s="91">
        <f>C35*79.3</f>
        <v>993223.77700000023</v>
      </c>
      <c r="D40" s="91">
        <f t="shared" ref="D40:AD40" si="21">D35*79.3</f>
        <v>986278.68300000008</v>
      </c>
      <c r="E40" s="91">
        <f t="shared" si="21"/>
        <v>975220.29800000018</v>
      </c>
      <c r="F40" s="91">
        <f t="shared" si="21"/>
        <v>513031.35</v>
      </c>
      <c r="G40" s="91">
        <f t="shared" si="21"/>
        <v>389903.82600000006</v>
      </c>
      <c r="H40" s="91">
        <f t="shared" si="21"/>
        <v>965483.05099999974</v>
      </c>
      <c r="I40" s="91">
        <f t="shared" si="21"/>
        <v>961598.93700000003</v>
      </c>
      <c r="J40" s="91">
        <f t="shared" si="21"/>
        <v>964161.91299999994</v>
      </c>
      <c r="K40" s="91">
        <f t="shared" si="21"/>
        <v>899681.49699999986</v>
      </c>
      <c r="L40" s="91">
        <f t="shared" si="21"/>
        <v>902199.27199999988</v>
      </c>
      <c r="M40" s="91">
        <f t="shared" si="21"/>
        <v>513031.35</v>
      </c>
      <c r="N40" s="91">
        <f t="shared" si="21"/>
        <v>389903.82600000006</v>
      </c>
      <c r="O40" s="91">
        <f t="shared" si="21"/>
        <v>906227.71200000017</v>
      </c>
      <c r="P40" s="91">
        <f t="shared" si="21"/>
        <v>896405.61399999994</v>
      </c>
      <c r="Q40" s="91">
        <f t="shared" si="21"/>
        <v>897981.30500000005</v>
      </c>
      <c r="R40" s="91">
        <f t="shared" si="21"/>
        <v>389903.82600000006</v>
      </c>
      <c r="S40" s="91">
        <f t="shared" si="21"/>
        <v>238762.78400000001</v>
      </c>
      <c r="T40" s="91">
        <f t="shared" si="21"/>
        <v>413845.28899999993</v>
      </c>
      <c r="U40" s="91">
        <f t="shared" si="21"/>
        <v>396744.24400000001</v>
      </c>
      <c r="V40" s="91">
        <f t="shared" si="21"/>
        <v>663735.44900000002</v>
      </c>
      <c r="W40" s="91">
        <f t="shared" si="21"/>
        <v>627564.34</v>
      </c>
      <c r="X40" s="91">
        <f t="shared" si="21"/>
        <v>836875.89700000023</v>
      </c>
      <c r="Y40" s="91">
        <f t="shared" si="21"/>
        <v>853917.46700000006</v>
      </c>
      <c r="Z40" s="91">
        <f t="shared" si="21"/>
        <v>0</v>
      </c>
      <c r="AA40" s="91">
        <f t="shared" si="21"/>
        <v>0</v>
      </c>
      <c r="AB40" s="91">
        <f t="shared" si="21"/>
        <v>0</v>
      </c>
      <c r="AC40" s="91">
        <f>AC35*79.3</f>
        <v>0</v>
      </c>
      <c r="AD40" s="91">
        <f t="shared" si="21"/>
        <v>0</v>
      </c>
      <c r="AE40" s="91">
        <f t="shared" ref="AE40" si="22">AE35*79.3</f>
        <v>0</v>
      </c>
      <c r="AF40" s="91">
        <f t="shared" ref="AF40" si="23">AF35*79.3</f>
        <v>0</v>
      </c>
    </row>
    <row r="41" spans="1:32" x14ac:dyDescent="0.25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91"/>
      <c r="O41" s="8"/>
    </row>
    <row r="42" spans="1:32" x14ac:dyDescent="0.25"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</row>
    <row r="44" spans="1:32" x14ac:dyDescent="0.25">
      <c r="C44" s="172"/>
      <c r="D44" s="297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</row>
    <row r="45" spans="1:32" x14ac:dyDescent="0.25">
      <c r="E45" s="43"/>
      <c r="F45" s="133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3"/>
      <c r="Y45" s="43"/>
      <c r="AB45" s="8"/>
    </row>
    <row r="46" spans="1:32" x14ac:dyDescent="0.25">
      <c r="E46" s="43"/>
      <c r="F46" s="43"/>
      <c r="G46" s="43"/>
      <c r="H46" s="124"/>
      <c r="I46" s="43"/>
      <c r="J46" s="43"/>
      <c r="K46" s="124"/>
      <c r="L46" s="43"/>
      <c r="M46" s="43"/>
      <c r="N46" s="43"/>
      <c r="O46" s="124"/>
      <c r="P46" s="43"/>
      <c r="Q46" s="43"/>
      <c r="R46" s="43"/>
      <c r="S46" s="124"/>
      <c r="T46" s="43"/>
      <c r="U46" s="43"/>
      <c r="V46" s="43"/>
      <c r="W46" s="124"/>
      <c r="X46" s="43"/>
      <c r="Y46" s="43"/>
      <c r="Z46" s="43"/>
      <c r="AA46" s="124"/>
      <c r="AB46" s="43"/>
      <c r="AD46" s="43"/>
    </row>
    <row r="47" spans="1:32" x14ac:dyDescent="0.25">
      <c r="P47" s="84"/>
      <c r="R47" s="172"/>
      <c r="AB47" s="8"/>
    </row>
    <row r="48" spans="1:32" x14ac:dyDescent="0.25">
      <c r="P48" s="84"/>
      <c r="R48" s="172"/>
      <c r="AB48" s="8"/>
    </row>
    <row r="49" spans="4:30" x14ac:dyDescent="0.25"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72"/>
      <c r="S49" s="124"/>
      <c r="T49" s="124"/>
      <c r="U49" s="124"/>
      <c r="V49" s="124"/>
      <c r="W49" s="124"/>
      <c r="X49" s="124"/>
      <c r="Y49" s="124"/>
      <c r="Z49" s="124"/>
      <c r="AA49" s="124"/>
      <c r="AB49" s="8"/>
      <c r="AD49" s="124"/>
    </row>
    <row r="50" spans="4:30" x14ac:dyDescent="0.25">
      <c r="P50" s="84"/>
      <c r="R50" s="172"/>
      <c r="AB50" s="8"/>
    </row>
    <row r="51" spans="4:30" x14ac:dyDescent="0.25">
      <c r="P51" s="84"/>
      <c r="R51" s="172"/>
      <c r="AB51" s="8"/>
    </row>
    <row r="52" spans="4:30" x14ac:dyDescent="0.25"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72"/>
      <c r="S52" s="124"/>
      <c r="T52" s="124"/>
      <c r="U52" s="124"/>
      <c r="V52" s="124"/>
      <c r="W52" s="124"/>
      <c r="X52" s="124"/>
      <c r="Y52" s="124"/>
      <c r="Z52" s="124"/>
      <c r="AA52" s="124"/>
      <c r="AB52" s="8"/>
      <c r="AD52" s="124"/>
    </row>
    <row r="53" spans="4:30" x14ac:dyDescent="0.25">
      <c r="Q53" s="84"/>
      <c r="R53" s="172"/>
      <c r="AB53" s="8"/>
    </row>
    <row r="54" spans="4:30" x14ac:dyDescent="0.25">
      <c r="Q54" s="84"/>
      <c r="R54" s="172"/>
    </row>
    <row r="55" spans="4:30" x14ac:dyDescent="0.25">
      <c r="Q55" s="84"/>
      <c r="R55" s="172"/>
    </row>
    <row r="56" spans="4:30" x14ac:dyDescent="0.25">
      <c r="Q56" s="84"/>
      <c r="R56" s="172"/>
    </row>
    <row r="57" spans="4:30" x14ac:dyDescent="0.25">
      <c r="Q57" s="8"/>
      <c r="R57" s="172"/>
    </row>
    <row r="58" spans="4:30" x14ac:dyDescent="0.25">
      <c r="Q58" s="8"/>
      <c r="R58" s="172"/>
    </row>
    <row r="59" spans="4:30" x14ac:dyDescent="0.25">
      <c r="R59" s="172"/>
    </row>
    <row r="60" spans="4:30" x14ac:dyDescent="0.25">
      <c r="R60" s="172"/>
    </row>
    <row r="61" spans="4:30" x14ac:dyDescent="0.25">
      <c r="R61" s="172"/>
    </row>
    <row r="62" spans="4:30" x14ac:dyDescent="0.25">
      <c r="R62" s="172"/>
    </row>
    <row r="63" spans="4:30" x14ac:dyDescent="0.25">
      <c r="R63" s="172"/>
    </row>
    <row r="64" spans="4:30" x14ac:dyDescent="0.25">
      <c r="R64" s="172"/>
    </row>
    <row r="65" spans="18:18" x14ac:dyDescent="0.25">
      <c r="R65" s="172"/>
    </row>
    <row r="66" spans="18:18" x14ac:dyDescent="0.25">
      <c r="R66" s="172"/>
    </row>
    <row r="67" spans="18:18" x14ac:dyDescent="0.25">
      <c r="R67" s="172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  <row r="76" spans="18:18" x14ac:dyDescent="0.25">
      <c r="R76" s="124"/>
    </row>
    <row r="77" spans="18:18" x14ac:dyDescent="0.25">
      <c r="R77" s="124"/>
    </row>
  </sheetData>
  <pageMargins left="0.7" right="0.7" top="0.75" bottom="0.75" header="0.3" footer="0.3"/>
  <pageSetup orientation="portrait" r:id="rId1"/>
  <ignoredErrors>
    <ignoredError sqref="Q33:Q34 X33:X34 U3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85" t="s">
        <v>184</v>
      </c>
      <c r="B2" s="386"/>
      <c r="C2" s="386"/>
      <c r="D2" s="386"/>
      <c r="E2" s="386"/>
      <c r="F2" s="386"/>
      <c r="G2" s="386"/>
      <c r="H2" s="386"/>
      <c r="I2" s="386"/>
      <c r="J2" s="386"/>
      <c r="K2" s="38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Diaria'!C40</f>
        <v>993223.77700000023</v>
      </c>
      <c r="J4" s="161" t="s">
        <v>137</v>
      </c>
      <c r="K4" s="164"/>
      <c r="L4" s="162"/>
    </row>
    <row r="5" spans="1:12" x14ac:dyDescent="0.25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Diaria'!D40</f>
        <v>986278.68300000008</v>
      </c>
      <c r="J5" s="161" t="s">
        <v>137</v>
      </c>
      <c r="K5" s="164"/>
      <c r="L5" s="162"/>
    </row>
    <row r="6" spans="1:12" x14ac:dyDescent="0.25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Diaria'!E40</f>
        <v>975220.29800000018</v>
      </c>
      <c r="J6" s="161" t="s">
        <v>137</v>
      </c>
      <c r="K6" s="164"/>
      <c r="L6" s="162"/>
    </row>
    <row r="7" spans="1:12" x14ac:dyDescent="0.25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Diaria'!F40</f>
        <v>513031.35</v>
      </c>
      <c r="J7" s="313" t="s">
        <v>138</v>
      </c>
      <c r="K7" s="164"/>
      <c r="L7" s="162"/>
    </row>
    <row r="8" spans="1:12" ht="16.5" customHeight="1" x14ac:dyDescent="0.25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Diaria'!G40</f>
        <v>389903.82600000006</v>
      </c>
      <c r="J8" s="313" t="s">
        <v>136</v>
      </c>
      <c r="K8" s="176"/>
      <c r="L8" s="162"/>
    </row>
    <row r="9" spans="1:12" x14ac:dyDescent="0.25">
      <c r="A9" s="160">
        <v>46209</v>
      </c>
      <c r="B9" s="310">
        <f>'KM-Servicio'!N46</f>
        <v>12739</v>
      </c>
      <c r="C9" s="310">
        <f t="shared" si="0"/>
        <v>63065</v>
      </c>
      <c r="D9" s="310">
        <f>'KM-Servicio'!W46</f>
        <v>12175.07</v>
      </c>
      <c r="E9" s="310">
        <f t="shared" si="1"/>
        <v>60821.450000000004</v>
      </c>
      <c r="F9" s="311">
        <f>'KM-Servicio'!O46</f>
        <v>95.573200408195305</v>
      </c>
      <c r="G9" s="312">
        <f>SUM('KM-Servicio'!B46:C46)</f>
        <v>229</v>
      </c>
      <c r="H9" s="312">
        <f>SUM('KM-Servicio'!D46:E46)</f>
        <v>226</v>
      </c>
      <c r="I9" s="310">
        <f>'Oferta Diaria'!H40</f>
        <v>965483.05099999974</v>
      </c>
      <c r="J9" s="161" t="s">
        <v>137</v>
      </c>
      <c r="K9" s="314"/>
      <c r="L9" s="162"/>
    </row>
    <row r="10" spans="1:12" x14ac:dyDescent="0.25">
      <c r="A10" s="160">
        <v>46210</v>
      </c>
      <c r="B10" s="310">
        <f>'KM-Servicio'!N53</f>
        <v>12682</v>
      </c>
      <c r="C10" s="310">
        <f t="shared" si="0"/>
        <v>75747</v>
      </c>
      <c r="D10" s="310">
        <f>'KM-Servicio'!W53</f>
        <v>12126.09</v>
      </c>
      <c r="E10" s="310">
        <f t="shared" si="1"/>
        <v>72947.540000000008</v>
      </c>
      <c r="F10" s="311">
        <f>'KM-Servicio'!O53</f>
        <v>95.616543131998114</v>
      </c>
      <c r="G10" s="312">
        <f>SUM('KM-Servicio'!B53:C53)</f>
        <v>229</v>
      </c>
      <c r="H10" s="312">
        <f>SUM('KM-Servicio'!D53:E53)</f>
        <v>222</v>
      </c>
      <c r="I10" s="310">
        <f>'Oferta Diaria'!I40</f>
        <v>961598.93700000003</v>
      </c>
      <c r="J10" s="161" t="s">
        <v>137</v>
      </c>
      <c r="K10" s="315"/>
      <c r="L10" s="162"/>
    </row>
    <row r="11" spans="1:12" x14ac:dyDescent="0.25">
      <c r="A11" s="160">
        <v>46211</v>
      </c>
      <c r="B11" s="310">
        <f>'KM-Servicio'!N60</f>
        <v>12504</v>
      </c>
      <c r="C11" s="310">
        <f t="shared" si="0"/>
        <v>88251</v>
      </c>
      <c r="D11" s="310">
        <f>'KM-Servicio'!W60</f>
        <v>12158.410000000002</v>
      </c>
      <c r="E11" s="310">
        <f t="shared" si="1"/>
        <v>85105.950000000012</v>
      </c>
      <c r="F11" s="311">
        <f>'KM-Servicio'!O60</f>
        <v>97.236164427383258</v>
      </c>
      <c r="G11" s="312">
        <f>SUM('KM-Servicio'!B60:C60)</f>
        <v>229</v>
      </c>
      <c r="H11" s="312">
        <f>SUM('KM-Servicio'!D60:E60)</f>
        <v>229</v>
      </c>
      <c r="I11" s="310">
        <f>'Oferta Diaria'!J40</f>
        <v>964161.91299999994</v>
      </c>
      <c r="J11" s="161" t="s">
        <v>137</v>
      </c>
      <c r="K11" s="314"/>
      <c r="L11" s="162"/>
    </row>
    <row r="12" spans="1:12" x14ac:dyDescent="0.25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96451.24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Diaria'!K40</f>
        <v>899681.49699999986</v>
      </c>
      <c r="J12" s="161" t="s">
        <v>137</v>
      </c>
      <c r="K12" s="164"/>
      <c r="L12" s="162"/>
    </row>
    <row r="13" spans="1:12" x14ac:dyDescent="0.25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107828.28000000001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Diaria'!L40</f>
        <v>902199.27199999988</v>
      </c>
      <c r="J13" s="161" t="s">
        <v>137</v>
      </c>
      <c r="K13" s="164"/>
      <c r="L13" s="162"/>
    </row>
    <row r="14" spans="1:12" x14ac:dyDescent="0.25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114297.78000000001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Diaria'!M40</f>
        <v>513031.35</v>
      </c>
      <c r="J14" s="313" t="s">
        <v>138</v>
      </c>
      <c r="K14" s="164"/>
      <c r="L14" s="162"/>
    </row>
    <row r="15" spans="1:12" x14ac:dyDescent="0.25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119214.60000000002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Diaria'!N40</f>
        <v>389903.82600000006</v>
      </c>
      <c r="J15" s="313" t="s">
        <v>136</v>
      </c>
      <c r="K15" s="164"/>
      <c r="L15" s="162"/>
    </row>
    <row r="16" spans="1:12" ht="16.5" customHeight="1" x14ac:dyDescent="0.25">
      <c r="A16" s="160">
        <v>46216</v>
      </c>
      <c r="B16" s="310">
        <f>'KM-Servicio'!N95</f>
        <v>11815</v>
      </c>
      <c r="C16" s="310">
        <f t="shared" si="0"/>
        <v>135070</v>
      </c>
      <c r="D16" s="310">
        <f>'KM-Servicio'!W95</f>
        <v>11427.840000000002</v>
      </c>
      <c r="E16" s="310">
        <f t="shared" si="1"/>
        <v>130642.44000000002</v>
      </c>
      <c r="F16" s="311">
        <f>'KM-Servicio'!O95</f>
        <v>96.723148539991556</v>
      </c>
      <c r="G16" s="312">
        <f>SUM('KM-Servicio'!B95:C95)</f>
        <v>229</v>
      </c>
      <c r="H16" s="312">
        <f>SUM('KM-Servicio'!D95:E95)</f>
        <v>229</v>
      </c>
      <c r="I16" s="310">
        <f>'Oferta Diaria'!O40</f>
        <v>906227.71200000017</v>
      </c>
      <c r="J16" s="161" t="s">
        <v>137</v>
      </c>
      <c r="K16" s="314"/>
      <c r="L16" s="162"/>
    </row>
    <row r="17" spans="1:12" x14ac:dyDescent="0.25">
      <c r="A17" s="160">
        <v>46217</v>
      </c>
      <c r="B17" s="310">
        <f>'KM-Servicio'!N102</f>
        <v>11720</v>
      </c>
      <c r="C17" s="310">
        <f t="shared" si="0"/>
        <v>146790</v>
      </c>
      <c r="D17" s="310">
        <f>'KM-Servicio'!W102</f>
        <v>11303.98</v>
      </c>
      <c r="E17" s="310">
        <f t="shared" si="1"/>
        <v>141946.42000000001</v>
      </c>
      <c r="F17" s="311">
        <f>'KM-Servicio'!O102</f>
        <v>96.450341296928315</v>
      </c>
      <c r="G17" s="312">
        <f>SUM('KM-Servicio'!B102:C102)</f>
        <v>229</v>
      </c>
      <c r="H17" s="312">
        <f>SUM('KM-Servicio'!D102:E102)</f>
        <v>225</v>
      </c>
      <c r="I17" s="310">
        <f>'Oferta Diaria'!P40</f>
        <v>896405.61399999994</v>
      </c>
      <c r="J17" s="161" t="s">
        <v>137</v>
      </c>
      <c r="K17" s="314"/>
      <c r="L17" s="162"/>
    </row>
    <row r="18" spans="1:12" x14ac:dyDescent="0.25">
      <c r="A18" s="160">
        <v>46218</v>
      </c>
      <c r="B18" s="12">
        <f>'KM-Servicio'!N109</f>
        <v>11747</v>
      </c>
      <c r="C18" s="12">
        <f t="shared" si="0"/>
        <v>158537</v>
      </c>
      <c r="D18" s="12">
        <f>'KM-Servicio'!W109</f>
        <v>11323.85</v>
      </c>
      <c r="E18" s="12">
        <f t="shared" si="1"/>
        <v>153270.27000000002</v>
      </c>
      <c r="F18" s="166">
        <f>'KM-Servicio'!O109</f>
        <v>96.397803694560309</v>
      </c>
      <c r="G18" s="167">
        <f>SUM('KM-Servicio'!B109:C109)</f>
        <v>229</v>
      </c>
      <c r="H18" s="167">
        <f>SUM('KM-Servicio'!D109:E109)</f>
        <v>229</v>
      </c>
      <c r="I18" s="12">
        <f>'Oferta Diaria'!Q40</f>
        <v>897981.30500000005</v>
      </c>
      <c r="J18" s="161" t="s">
        <v>137</v>
      </c>
      <c r="K18" s="164"/>
      <c r="L18" s="162"/>
    </row>
    <row r="19" spans="1:12" ht="14.25" customHeight="1" x14ac:dyDescent="0.25">
      <c r="A19" s="160">
        <v>46219</v>
      </c>
      <c r="B19" s="12">
        <f>'KM-Servicio'!$N$116</f>
        <v>5053</v>
      </c>
      <c r="C19" s="12">
        <f t="shared" si="0"/>
        <v>163590</v>
      </c>
      <c r="D19" s="12">
        <f>'KM-Servicio'!$W$116</f>
        <v>4916.8200000000006</v>
      </c>
      <c r="E19" s="12">
        <f t="shared" si="1"/>
        <v>158187.09000000003</v>
      </c>
      <c r="F19" s="166">
        <f>'KM-Servicio'!O116</f>
        <v>97.304967346131022</v>
      </c>
      <c r="G19" s="167">
        <f>SUM('KM-Servicio'!B116:C116)</f>
        <v>111</v>
      </c>
      <c r="H19" s="167">
        <f>SUM('KM-Servicio'!D116:E116)</f>
        <v>111</v>
      </c>
      <c r="I19" s="12">
        <f>'Oferta Diaria'!R40</f>
        <v>389903.82600000006</v>
      </c>
      <c r="J19" s="161" t="s">
        <v>137</v>
      </c>
      <c r="K19" s="144"/>
    </row>
    <row r="20" spans="1:12" x14ac:dyDescent="0.25">
      <c r="A20" s="160">
        <v>46220</v>
      </c>
      <c r="B20" s="12">
        <f>'KM-Servicio'!$N$126</f>
        <v>3039</v>
      </c>
      <c r="C20" s="12">
        <f t="shared" si="0"/>
        <v>166629</v>
      </c>
      <c r="D20" s="12">
        <f>'KM-Servicio'!$W$126</f>
        <v>3010.88</v>
      </c>
      <c r="E20" s="12">
        <f t="shared" si="1"/>
        <v>161197.97000000003</v>
      </c>
      <c r="F20" s="166">
        <f>'KM-Servicio'!O126</f>
        <v>99.074695623560388</v>
      </c>
      <c r="G20" s="167">
        <f>SUM('KM-Servicio'!B126:C126)</f>
        <v>229</v>
      </c>
      <c r="H20" s="167">
        <f>SUM('KM-Servicio'!D126:E126)</f>
        <v>79</v>
      </c>
      <c r="I20" s="12">
        <f>'Oferta Diaria'!S40</f>
        <v>238762.78400000001</v>
      </c>
      <c r="J20" s="161" t="s">
        <v>137</v>
      </c>
      <c r="K20" s="164"/>
      <c r="L20" s="162"/>
    </row>
    <row r="21" spans="1:12" x14ac:dyDescent="0.25">
      <c r="A21" s="160">
        <v>46221</v>
      </c>
      <c r="B21" s="12">
        <f>'KM-Servicio'!N133</f>
        <v>5960</v>
      </c>
      <c r="C21" s="12">
        <f t="shared" si="0"/>
        <v>172589</v>
      </c>
      <c r="D21" s="12">
        <f>'KM-Servicio'!$W$133</f>
        <v>5218.7299999999996</v>
      </c>
      <c r="E21" s="12">
        <f t="shared" si="1"/>
        <v>166416.70000000004</v>
      </c>
      <c r="F21" s="166">
        <f>'KM-Servicio'!O133</f>
        <v>87.56258389261744</v>
      </c>
      <c r="G21" s="167">
        <f>SUM('KM-Servicio'!B133:C133)</f>
        <v>147</v>
      </c>
      <c r="H21" s="167">
        <f>SUM('KM-Servicio'!D133:E133)</f>
        <v>121</v>
      </c>
      <c r="I21" s="12">
        <f>'Oferta Diaria'!T40</f>
        <v>413845.28899999993</v>
      </c>
      <c r="J21" s="313" t="s">
        <v>138</v>
      </c>
      <c r="K21" s="164"/>
      <c r="L21" s="162"/>
    </row>
    <row r="22" spans="1:12" x14ac:dyDescent="0.25">
      <c r="A22" s="160">
        <v>46222</v>
      </c>
      <c r="B22" s="12">
        <f>'KM-Servicio'!N140</f>
        <v>5241</v>
      </c>
      <c r="C22" s="12">
        <f t="shared" si="0"/>
        <v>177830</v>
      </c>
      <c r="D22" s="12">
        <f>'KM-Servicio'!$W$140</f>
        <v>5003.08</v>
      </c>
      <c r="E22" s="12">
        <f t="shared" si="1"/>
        <v>171419.78000000003</v>
      </c>
      <c r="F22" s="171">
        <f>'KM-Servicio'!O140</f>
        <v>95.460408319023088</v>
      </c>
      <c r="G22" s="167">
        <f>SUM('KM-Servicio'!B140:C140)</f>
        <v>111</v>
      </c>
      <c r="H22" s="167">
        <f>SUM('KM-Servicio'!D140:E140)</f>
        <v>111</v>
      </c>
      <c r="I22" s="12">
        <f>'Oferta Diaria'!U40</f>
        <v>396744.24400000001</v>
      </c>
      <c r="J22" s="313" t="s">
        <v>136</v>
      </c>
      <c r="K22" s="164"/>
      <c r="L22" s="162"/>
    </row>
    <row r="23" spans="1:12" x14ac:dyDescent="0.25">
      <c r="A23" s="160">
        <v>46223</v>
      </c>
      <c r="B23" s="310">
        <f>'KM-Servicio'!N147</f>
        <v>8460</v>
      </c>
      <c r="C23" s="310">
        <f t="shared" si="0"/>
        <v>186290</v>
      </c>
      <c r="D23" s="310">
        <f>'KM-Servicio'!$W$147</f>
        <v>8369.93</v>
      </c>
      <c r="E23" s="310">
        <f t="shared" si="1"/>
        <v>179789.71000000002</v>
      </c>
      <c r="F23" s="311">
        <f>'KM-Servicio'!O147</f>
        <v>98.93534278959811</v>
      </c>
      <c r="G23" s="312">
        <f>SUM('KM-Servicio'!B147:C147)</f>
        <v>229</v>
      </c>
      <c r="H23" s="312">
        <f>SUM('KM-Servicio'!D147:E147)</f>
        <v>173</v>
      </c>
      <c r="I23" s="310">
        <f>'Oferta Diaria'!V40</f>
        <v>663735.44900000002</v>
      </c>
      <c r="J23" s="161" t="s">
        <v>137</v>
      </c>
      <c r="K23" s="314"/>
      <c r="L23" s="162"/>
    </row>
    <row r="24" spans="1:12" x14ac:dyDescent="0.25">
      <c r="A24" s="160">
        <v>46224</v>
      </c>
      <c r="B24" s="310">
        <f>'KM-Servicio'!N157</f>
        <v>9049</v>
      </c>
      <c r="C24" s="310">
        <f t="shared" si="0"/>
        <v>195339</v>
      </c>
      <c r="D24" s="310">
        <f>'KM-Servicio'!$W$157</f>
        <v>7913.7999999999993</v>
      </c>
      <c r="E24" s="310">
        <f t="shared" si="1"/>
        <v>187703.51</v>
      </c>
      <c r="F24" s="311">
        <f>'KM-Servicio'!O157</f>
        <v>87.454967399712672</v>
      </c>
      <c r="G24" s="312">
        <f>SUM('KM-Servicio'!B157:C157)</f>
        <v>229</v>
      </c>
      <c r="H24" s="312">
        <f>SUM('KM-Servicio'!D157:E157)</f>
        <v>177</v>
      </c>
      <c r="I24" s="310">
        <f>'Oferta Diaria'!W40</f>
        <v>627564.34</v>
      </c>
      <c r="J24" s="161" t="s">
        <v>137</v>
      </c>
      <c r="K24" s="314"/>
      <c r="L24" s="162"/>
    </row>
    <row r="25" spans="1:12" x14ac:dyDescent="0.25">
      <c r="A25" s="160">
        <v>46225</v>
      </c>
      <c r="B25" s="12">
        <f>'KM-Servicio'!N164</f>
        <v>10911</v>
      </c>
      <c r="C25" s="12">
        <f t="shared" si="0"/>
        <v>206250</v>
      </c>
      <c r="D25" s="12">
        <f>'KM-Servicio'!$W$164</f>
        <v>10553.290000000003</v>
      </c>
      <c r="E25" s="12">
        <f t="shared" si="1"/>
        <v>198256.80000000002</v>
      </c>
      <c r="F25" s="166">
        <f>'KM-Servicio'!O164</f>
        <v>96.721565392722965</v>
      </c>
      <c r="G25" s="167">
        <f>SUM('KM-Servicio'!B164:C164)</f>
        <v>229</v>
      </c>
      <c r="H25" s="167">
        <f>SUM('KM-Servicio'!D164:E164)</f>
        <v>211</v>
      </c>
      <c r="I25" s="12">
        <f>'Oferta Diaria'!X40</f>
        <v>836875.89700000023</v>
      </c>
      <c r="J25" s="161" t="s">
        <v>137</v>
      </c>
      <c r="K25" s="164"/>
      <c r="L25" s="162"/>
    </row>
    <row r="26" spans="1:12" x14ac:dyDescent="0.25">
      <c r="A26" s="160">
        <v>46226</v>
      </c>
      <c r="B26" s="12">
        <f>'KM-Servicio'!N171</f>
        <v>11104</v>
      </c>
      <c r="C26" s="12">
        <f t="shared" si="0"/>
        <v>217354</v>
      </c>
      <c r="D26" s="12">
        <f>'KM-Servicio'!$W$171</f>
        <v>10768.19</v>
      </c>
      <c r="E26" s="12">
        <f t="shared" si="1"/>
        <v>209024.99000000002</v>
      </c>
      <c r="F26" s="166">
        <f>'KM-Servicio'!O171</f>
        <v>96.975774495677243</v>
      </c>
      <c r="G26" s="167">
        <f>SUM('KM-Servicio'!B171:C171)</f>
        <v>229</v>
      </c>
      <c r="H26" s="167">
        <f>SUM('KM-Servicio'!D171:E171)</f>
        <v>225</v>
      </c>
      <c r="I26" s="12">
        <f>'Oferta Diaria'!Y40</f>
        <v>853917.46700000006</v>
      </c>
      <c r="J26" s="161" t="s">
        <v>137</v>
      </c>
      <c r="K26" s="164"/>
      <c r="L26" s="162"/>
    </row>
    <row r="27" spans="1:12" x14ac:dyDescent="0.25">
      <c r="A27" s="160">
        <v>46227</v>
      </c>
      <c r="B27" s="12">
        <f>'KM-Servicio'!N178</f>
        <v>-64167162</v>
      </c>
      <c r="C27" s="12">
        <f t="shared" si="0"/>
        <v>-63949808</v>
      </c>
      <c r="D27" s="12">
        <f>'KM-Servicio'!$W$178</f>
        <v>0</v>
      </c>
      <c r="E27" s="12">
        <f t="shared" si="1"/>
        <v>209024.99000000002</v>
      </c>
      <c r="F27" s="166">
        <f>'KM-Servicio'!O178</f>
        <v>0</v>
      </c>
      <c r="G27" s="167">
        <f>SUM('KM-Servicio'!B178:C178)</f>
        <v>229</v>
      </c>
      <c r="H27" s="167">
        <f>SUM('KM-Servicio'!D178:E178)</f>
        <v>0</v>
      </c>
      <c r="I27" s="12">
        <f>'Oferta Diaria'!Z40</f>
        <v>0</v>
      </c>
      <c r="J27" s="161" t="s">
        <v>137</v>
      </c>
      <c r="K27" s="164"/>
      <c r="L27" s="162"/>
    </row>
    <row r="28" spans="1:12" x14ac:dyDescent="0.25">
      <c r="A28" s="160">
        <v>46228</v>
      </c>
      <c r="B28" s="310">
        <f>'KM-Servicio'!N185</f>
        <v>0</v>
      </c>
      <c r="C28" s="310">
        <f t="shared" si="0"/>
        <v>-63949808</v>
      </c>
      <c r="D28" s="310">
        <f>'KM-Servicio'!$W$185</f>
        <v>0</v>
      </c>
      <c r="E28" s="310">
        <f t="shared" si="1"/>
        <v>209024.99000000002</v>
      </c>
      <c r="F28" s="311" t="e">
        <f>'KM-Servicio'!O185</f>
        <v>#DIV/0!</v>
      </c>
      <c r="G28" s="312">
        <f>SUM('KM-Servicio'!B185:C185)</f>
        <v>229</v>
      </c>
      <c r="H28" s="312">
        <f>SUM('KM-Servicio'!D185:E185)</f>
        <v>0</v>
      </c>
      <c r="I28" s="310">
        <f>'Oferta Diaria'!AA40</f>
        <v>0</v>
      </c>
      <c r="J28" s="313" t="s">
        <v>138</v>
      </c>
      <c r="K28" s="314"/>
      <c r="L28" s="162"/>
    </row>
    <row r="29" spans="1:12" x14ac:dyDescent="0.25">
      <c r="A29" s="160">
        <v>46229</v>
      </c>
      <c r="B29" s="12">
        <f>'KM-Servicio'!N192</f>
        <v>0</v>
      </c>
      <c r="C29" s="12">
        <f t="shared" si="0"/>
        <v>-63949808</v>
      </c>
      <c r="D29" s="12">
        <f>'KM-Servicio'!$W$192</f>
        <v>0</v>
      </c>
      <c r="E29" s="12">
        <f t="shared" si="1"/>
        <v>209024.99000000002</v>
      </c>
      <c r="F29" s="166" t="e">
        <f>'KM-Servicio'!O192</f>
        <v>#DIV/0!</v>
      </c>
      <c r="G29" s="167">
        <f>SUM('KM-Servicio'!B192:C192)</f>
        <v>229</v>
      </c>
      <c r="H29" s="167">
        <f>SUM('KM-Servicio'!D192:E192)</f>
        <v>0</v>
      </c>
      <c r="I29" s="12">
        <f>'Oferta Diaria'!AB40</f>
        <v>0</v>
      </c>
      <c r="J29" s="313" t="s">
        <v>136</v>
      </c>
      <c r="K29" s="164"/>
      <c r="L29" s="162"/>
    </row>
    <row r="30" spans="1:12" x14ac:dyDescent="0.25">
      <c r="A30" s="160">
        <v>46230</v>
      </c>
      <c r="B30" s="310">
        <f>'KM-Servicio'!N199</f>
        <v>0</v>
      </c>
      <c r="C30" s="310">
        <f t="shared" si="0"/>
        <v>-63949808</v>
      </c>
      <c r="D30" s="310">
        <f>'KM-Servicio'!$W$199</f>
        <v>0</v>
      </c>
      <c r="E30" s="310">
        <f t="shared" si="1"/>
        <v>209024.99000000002</v>
      </c>
      <c r="F30" s="311" t="e">
        <f>'KM-Servicio'!O199</f>
        <v>#DIV/0!</v>
      </c>
      <c r="G30" s="312">
        <f>SUM('KM-Servicio'!B199:C199)</f>
        <v>147</v>
      </c>
      <c r="H30" s="312">
        <f>SUM('KM-Servicio'!D199:E199)</f>
        <v>0</v>
      </c>
      <c r="I30" s="310">
        <f>'Oferta Diaria'!AC40</f>
        <v>0</v>
      </c>
      <c r="J30" s="161" t="s">
        <v>137</v>
      </c>
      <c r="K30" s="314"/>
      <c r="L30" s="162"/>
    </row>
    <row r="31" spans="1:12" x14ac:dyDescent="0.25">
      <c r="A31" s="160">
        <v>46231</v>
      </c>
      <c r="B31" s="310">
        <f>'KM-Servicio'!N206</f>
        <v>0</v>
      </c>
      <c r="C31" s="310">
        <f t="shared" si="0"/>
        <v>-63949808</v>
      </c>
      <c r="D31" s="310">
        <f>'KM-Servicio'!$W$206</f>
        <v>0</v>
      </c>
      <c r="E31" s="310">
        <f t="shared" si="1"/>
        <v>209024.99000000002</v>
      </c>
      <c r="F31" s="311" t="e">
        <f>'KM-Servicio'!O206</f>
        <v>#DIV/0!</v>
      </c>
      <c r="G31" s="312">
        <f>SUM('KM-Servicio'!B206:C206)</f>
        <v>111</v>
      </c>
      <c r="H31" s="312">
        <f>SUM('KM-Servicio'!D206:E206)</f>
        <v>0</v>
      </c>
      <c r="I31" s="310">
        <f>'Oferta Diaria'!AD40</f>
        <v>0</v>
      </c>
      <c r="J31" s="161" t="s">
        <v>137</v>
      </c>
      <c r="K31" s="314"/>
      <c r="L31" s="163"/>
    </row>
    <row r="32" spans="1:12" x14ac:dyDescent="0.25">
      <c r="A32" s="160">
        <v>46232</v>
      </c>
      <c r="B32" s="310">
        <f>'KM-Servicio'!N213</f>
        <v>0</v>
      </c>
      <c r="C32" s="310">
        <f t="shared" si="0"/>
        <v>-63949808</v>
      </c>
      <c r="D32" s="12">
        <f>'KM-Servicio'!W213</f>
        <v>0</v>
      </c>
      <c r="E32" s="310">
        <f t="shared" si="1"/>
        <v>209024.99000000002</v>
      </c>
      <c r="F32" s="311" t="e">
        <f>'KM-Servicio'!O213</f>
        <v>#DIV/0!</v>
      </c>
      <c r="G32" s="167">
        <f>'KM-Servicio'!B213+'KM-Servicio'!C213</f>
        <v>111</v>
      </c>
      <c r="H32" s="167">
        <f>'KM-Servicio'!D213+'KM-Servicio'!E213</f>
        <v>0</v>
      </c>
      <c r="I32" s="12">
        <f>'Oferta Diaria'!AE40</f>
        <v>0</v>
      </c>
      <c r="J32" s="161" t="s">
        <v>137</v>
      </c>
      <c r="K32" s="164"/>
      <c r="L32" s="163"/>
    </row>
    <row r="33" spans="1:14" x14ac:dyDescent="0.25">
      <c r="A33" s="160">
        <v>46233</v>
      </c>
      <c r="B33" s="310">
        <f>'KM-Servicio'!N220</f>
        <v>0</v>
      </c>
      <c r="C33" s="310">
        <f t="shared" si="0"/>
        <v>-63949808</v>
      </c>
      <c r="D33" s="12">
        <f>'KM-Servicio'!W220</f>
        <v>0</v>
      </c>
      <c r="E33" s="310">
        <f t="shared" si="1"/>
        <v>209024.99000000002</v>
      </c>
      <c r="F33" s="166">
        <f>'KM-Servicio'!O46</f>
        <v>95.573200408195305</v>
      </c>
      <c r="G33" s="167">
        <f>'KM-Servicio'!B220+'KM-Servicio'!C220</f>
        <v>229</v>
      </c>
      <c r="H33" s="167">
        <f>'KM-Servicio'!D220+'KM-Servicio'!E220</f>
        <v>0</v>
      </c>
      <c r="I33" s="12">
        <f>'Oferta Diaria'!AF40</f>
        <v>0</v>
      </c>
      <c r="J33" s="161" t="s">
        <v>137</v>
      </c>
      <c r="K33" s="164"/>
      <c r="L33" s="163"/>
      <c r="M33" s="244"/>
      <c r="N33" s="244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3"/>
      <c r="K34" s="164"/>
      <c r="L34" s="163"/>
      <c r="M34" s="244"/>
      <c r="N34" s="244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25">
      <c r="A36" s="168" t="s">
        <v>135</v>
      </c>
      <c r="B36" s="169">
        <f>SUM(B4:B34)</f>
        <v>-63949808</v>
      </c>
      <c r="C36" s="169">
        <f>SUM(C4:C34)</f>
        <v>-444868529</v>
      </c>
      <c r="D36" s="169">
        <f>SUM(D4:D34)</f>
        <v>209024.99000000002</v>
      </c>
      <c r="E36" s="169">
        <f>SUM(E4:E34)</f>
        <v>4144820.5400000019</v>
      </c>
      <c r="F36" s="170" t="e">
        <f>AVERAGE(F4:F34)</f>
        <v>#DIV/0!</v>
      </c>
      <c r="G36" s="169">
        <f>SUM(G4:G34)</f>
        <v>5834</v>
      </c>
      <c r="H36" s="169">
        <f>SUM(H4:H34)</f>
        <v>4229</v>
      </c>
      <c r="I36" s="169">
        <f>SUM(I4:I34)</f>
        <v>16575681.706999999</v>
      </c>
      <c r="J36" s="30"/>
      <c r="K36" s="168"/>
      <c r="L36" s="244"/>
      <c r="M36" s="244"/>
      <c r="N36" s="244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7" t="s">
        <v>98</v>
      </c>
      <c r="B3" s="388"/>
      <c r="C3" s="388"/>
      <c r="D3" s="389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172.86666666666667</v>
      </c>
      <c r="C5" s="130">
        <f>'KM-Servicio'!J245</f>
        <v>5186</v>
      </c>
      <c r="D5" s="130">
        <f>'KM-Servicio'!C240</f>
        <v>7506</v>
      </c>
    </row>
    <row r="6" spans="1:15" x14ac:dyDescent="0.25">
      <c r="A6" s="34" t="s">
        <v>103</v>
      </c>
      <c r="B6" s="129">
        <f>C6/30</f>
        <v>139.96666666666667</v>
      </c>
      <c r="C6" s="130">
        <f>'KM-Servicio'!K238</f>
        <v>4199</v>
      </c>
      <c r="D6" s="130">
        <f>'KM-Servicio'!D238</f>
        <v>5945</v>
      </c>
    </row>
    <row r="7" spans="1:15" x14ac:dyDescent="0.25">
      <c r="A7" s="34" t="s">
        <v>66</v>
      </c>
      <c r="B7" s="129">
        <f>C7/30</f>
        <v>6988.1743333333325</v>
      </c>
      <c r="C7" s="130">
        <f>'KM-Servicio'!M238</f>
        <v>209645.22999999998</v>
      </c>
      <c r="D7" s="130">
        <f>'KM-Servicio'!F238</f>
        <v>302322.86</v>
      </c>
    </row>
    <row r="8" spans="1:15" x14ac:dyDescent="0.25">
      <c r="A8" s="34" t="s">
        <v>104</v>
      </c>
      <c r="B8" s="129">
        <f>C8/30</f>
        <v>5581.815333333333</v>
      </c>
      <c r="C8" s="130">
        <f>'KM-Servicio'!L238</f>
        <v>167454.46</v>
      </c>
      <c r="D8" s="130">
        <f>'KM-Servicio'!E238</f>
        <v>235922.25000000003</v>
      </c>
    </row>
    <row r="9" spans="1:15" x14ac:dyDescent="0.25">
      <c r="A9" s="34" t="s">
        <v>105</v>
      </c>
      <c r="B9" s="129">
        <f>C9/30</f>
        <v>726770.13066666678</v>
      </c>
      <c r="C9" s="130">
        <f>'KM-Servicio'!N238</f>
        <v>21803103.920000002</v>
      </c>
      <c r="D9" s="130">
        <f>'KM-Servicio'!G238</f>
        <v>31441577.440000001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90" t="s">
        <v>109</v>
      </c>
      <c r="B13" s="391"/>
      <c r="C13" s="391"/>
      <c r="D13" s="392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6"/>
      <c r="H16" s="396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6"/>
      <c r="H17" s="396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6"/>
      <c r="H18" s="396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6"/>
      <c r="H19" s="396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6"/>
      <c r="H20" s="396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6"/>
      <c r="H21" s="396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93"/>
      <c r="C23" s="394"/>
      <c r="D23" s="395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90"/>
      <c r="B24" s="391"/>
      <c r="C24" s="391"/>
      <c r="D24" s="392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93"/>
      <c r="C34" s="394"/>
      <c r="D34" s="395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2026-07-24T13:44:10Z</dcterms:modified>
</cp:coreProperties>
</file>