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1D3EDF77-6ADC-47D2-B691-8B496C4D9E82}" xr6:coauthVersionLast="47" xr6:coauthVersionMax="47" xr10:uidLastSave="{00000000-0000-0000-0000-000000000000}"/>
  <bookViews>
    <workbookView xWindow="-120" yWindow="-120" windowWidth="51840" windowHeight="21240" tabRatio="686" activeTab="4" xr2:uid="{00000000-000D-0000-FFFF-FFFF00000000}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8" i="2" l="1"/>
  <c r="L238" i="2"/>
  <c r="G38" i="4"/>
  <c r="C38" i="4" l="1"/>
  <c r="W213" i="2"/>
  <c r="U230" i="2"/>
  <c r="T230" i="2"/>
  <c r="J235" i="2"/>
  <c r="J234" i="2"/>
  <c r="J233" i="2"/>
  <c r="J232" i="2"/>
  <c r="J231" i="2"/>
  <c r="J230" i="2"/>
  <c r="I235" i="2"/>
  <c r="I234" i="2"/>
  <c r="I232" i="2"/>
  <c r="I231" i="2"/>
  <c r="I230" i="2"/>
  <c r="F236" i="2"/>
  <c r="G236" i="2" s="1"/>
  <c r="F237" i="2"/>
  <c r="G237" i="2" s="1"/>
  <c r="F238" i="2"/>
  <c r="G238" i="2" s="1"/>
  <c r="C235" i="2"/>
  <c r="C234" i="2"/>
  <c r="C233" i="2"/>
  <c r="C232" i="2"/>
  <c r="C231" i="2"/>
  <c r="C230" i="2"/>
  <c r="B235" i="2"/>
  <c r="B234" i="2"/>
  <c r="B233" i="2"/>
  <c r="B232" i="2"/>
  <c r="B231" i="2"/>
  <c r="B230" i="2"/>
  <c r="AF30" i="4"/>
  <c r="AE30" i="4"/>
  <c r="AD30" i="4"/>
  <c r="AC30" i="4"/>
  <c r="G240" i="2"/>
  <c r="G239" i="2"/>
  <c r="F240" i="2"/>
  <c r="F239" i="2"/>
  <c r="E240" i="2"/>
  <c r="E239" i="2"/>
  <c r="E238" i="2"/>
  <c r="E237" i="2"/>
  <c r="E236" i="2"/>
  <c r="D240" i="2"/>
  <c r="D239" i="2"/>
  <c r="C240" i="2"/>
  <c r="C239" i="2"/>
  <c r="B240" i="2"/>
  <c r="B239" i="2"/>
  <c r="C238" i="2"/>
  <c r="C237" i="2"/>
  <c r="C236" i="2"/>
  <c r="B238" i="2"/>
  <c r="B237" i="2"/>
  <c r="D237" i="2" s="1"/>
  <c r="B236" i="2"/>
  <c r="D236" i="2" s="1"/>
  <c r="D238" i="2" l="1"/>
  <c r="AV73" i="3"/>
  <c r="Y27" i="4" s="1"/>
  <c r="AV61" i="3"/>
  <c r="Y15" i="4" s="1"/>
  <c r="AV47" i="3"/>
  <c r="D169" i="2" s="1"/>
  <c r="I238" i="2" s="1"/>
  <c r="AW47" i="3"/>
  <c r="E169" i="2" s="1"/>
  <c r="J238" i="2" s="1"/>
  <c r="AV72" i="3"/>
  <c r="Y26" i="4" s="1"/>
  <c r="AV60" i="3"/>
  <c r="Y14" i="4" s="1"/>
  <c r="AV46" i="3"/>
  <c r="D168" i="2" s="1"/>
  <c r="I237" i="2" s="1"/>
  <c r="AW46" i="3"/>
  <c r="E168" i="2" s="1"/>
  <c r="J237" i="2" s="1"/>
  <c r="AV71" i="3"/>
  <c r="Y25" i="4" s="1"/>
  <c r="AV59" i="3"/>
  <c r="Y13" i="4" s="1"/>
  <c r="AV45" i="3"/>
  <c r="D167" i="2" s="1"/>
  <c r="I236" i="2" s="1"/>
  <c r="AW45" i="3"/>
  <c r="E167" i="2" s="1"/>
  <c r="J236" i="2" s="1"/>
  <c r="H167" i="2"/>
  <c r="X167" i="2" s="1"/>
  <c r="H168" i="2"/>
  <c r="X168" i="2" s="1"/>
  <c r="H169" i="2"/>
  <c r="X169" i="2" s="1"/>
  <c r="B170" i="2"/>
  <c r="AV70" i="3"/>
  <c r="Y24" i="4" s="1"/>
  <c r="AV69" i="3"/>
  <c r="Y23" i="4" s="1"/>
  <c r="AV44" i="3"/>
  <c r="D166" i="2" s="1"/>
  <c r="I240" i="2" s="1"/>
  <c r="AW44" i="3"/>
  <c r="E166" i="2" s="1"/>
  <c r="J240" i="2" s="1"/>
  <c r="AW43" i="3"/>
  <c r="E165" i="2" s="1"/>
  <c r="J239" i="2" s="1"/>
  <c r="AV43" i="3"/>
  <c r="D165" i="2" s="1"/>
  <c r="I239" i="2" s="1"/>
  <c r="AV58" i="3"/>
  <c r="Y12" i="4" s="1"/>
  <c r="AV57" i="3"/>
  <c r="Y11" i="4" s="1"/>
  <c r="H165" i="2"/>
  <c r="X165" i="2" s="1"/>
  <c r="H166" i="2"/>
  <c r="X166" i="2" s="1"/>
  <c r="C170" i="2"/>
  <c r="K239" i="2" l="1"/>
  <c r="L239" i="2" s="1"/>
  <c r="M239" i="2"/>
  <c r="N239" i="2" s="1"/>
  <c r="M240" i="2"/>
  <c r="N240" i="2" s="1"/>
  <c r="K240" i="2"/>
  <c r="L240" i="2" s="1"/>
  <c r="M237" i="2"/>
  <c r="N237" i="2" s="1"/>
  <c r="K237" i="2"/>
  <c r="L237" i="2" s="1"/>
  <c r="N238" i="2"/>
  <c r="K238" i="2"/>
  <c r="K236" i="2"/>
  <c r="L236" i="2" s="1"/>
  <c r="M236" i="2"/>
  <c r="N236" i="2" s="1"/>
  <c r="G166" i="2"/>
  <c r="J166" i="2" s="1"/>
  <c r="L166" i="2" s="1"/>
  <c r="I166" i="2"/>
  <c r="K166" i="2" s="1"/>
  <c r="W166" i="2" l="1"/>
  <c r="M166" i="2"/>
  <c r="V230" i="2"/>
  <c r="S230" i="2"/>
  <c r="R230" i="2"/>
  <c r="Q230" i="2"/>
  <c r="P230" i="2"/>
  <c r="G2" i="2"/>
  <c r="BG30" i="3" l="1"/>
  <c r="BF30" i="3"/>
  <c r="BE30" i="3"/>
  <c r="BD30" i="3"/>
  <c r="BC30" i="3"/>
  <c r="BB30" i="3"/>
  <c r="BA30" i="3"/>
  <c r="AZ30" i="3"/>
  <c r="AY30" i="3"/>
  <c r="AX30" i="3"/>
  <c r="AQ30" i="3" l="1"/>
  <c r="AP30" i="3"/>
  <c r="AO30" i="3"/>
  <c r="AN30" i="3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8" i="2"/>
  <c r="X218" i="2" s="1"/>
  <c r="H217" i="2"/>
  <c r="X217" i="2" s="1"/>
  <c r="H216" i="2"/>
  <c r="X216" i="2" s="1"/>
  <c r="H215" i="2"/>
  <c r="X215" i="2" s="1"/>
  <c r="H214" i="2"/>
  <c r="X214" i="2" s="1"/>
  <c r="H213" i="2"/>
  <c r="H211" i="2"/>
  <c r="H210" i="2"/>
  <c r="X210" i="2" s="1"/>
  <c r="H209" i="2"/>
  <c r="X209" i="2" s="1"/>
  <c r="H208" i="2"/>
  <c r="X208" i="2" s="1"/>
  <c r="H207" i="2"/>
  <c r="X207" i="2" s="1"/>
  <c r="H206" i="2"/>
  <c r="X206" i="2" s="1"/>
  <c r="H204" i="2"/>
  <c r="X204" i="2" s="1"/>
  <c r="H203" i="2"/>
  <c r="X203" i="2" s="1"/>
  <c r="H202" i="2"/>
  <c r="X202" i="2" s="1"/>
  <c r="H201" i="2"/>
  <c r="X201" i="2" s="1"/>
  <c r="H200" i="2"/>
  <c r="X200" i="2" s="1"/>
  <c r="H199" i="2"/>
  <c r="H197" i="2"/>
  <c r="X197" i="2" s="1"/>
  <c r="H196" i="2"/>
  <c r="X196" i="2" s="1"/>
  <c r="H195" i="2"/>
  <c r="X195" i="2" s="1"/>
  <c r="H194" i="2"/>
  <c r="X194" i="2" s="1"/>
  <c r="H193" i="2"/>
  <c r="X193" i="2" s="1"/>
  <c r="H192" i="2"/>
  <c r="X192" i="2" s="1"/>
  <c r="H190" i="2"/>
  <c r="X190" i="2" s="1"/>
  <c r="H189" i="2"/>
  <c r="X189" i="2" s="1"/>
  <c r="H188" i="2"/>
  <c r="X188" i="2" s="1"/>
  <c r="H187" i="2"/>
  <c r="X187" i="2" s="1"/>
  <c r="H186" i="2"/>
  <c r="X186" i="2" s="1"/>
  <c r="H185" i="2"/>
  <c r="X185" i="2" s="1"/>
  <c r="H183" i="2"/>
  <c r="X183" i="2" s="1"/>
  <c r="H182" i="2"/>
  <c r="X182" i="2" s="1"/>
  <c r="H181" i="2"/>
  <c r="X181" i="2" s="1"/>
  <c r="H180" i="2"/>
  <c r="X180" i="2" s="1"/>
  <c r="H179" i="2"/>
  <c r="X179" i="2" s="1"/>
  <c r="H178" i="2"/>
  <c r="X178" i="2" s="1"/>
  <c r="H176" i="2"/>
  <c r="X176" i="2" s="1"/>
  <c r="H175" i="2"/>
  <c r="X175" i="2" s="1"/>
  <c r="H174" i="2"/>
  <c r="X174" i="2" s="1"/>
  <c r="H173" i="2"/>
  <c r="X173" i="2" s="1"/>
  <c r="H172" i="2"/>
  <c r="X172" i="2" s="1"/>
  <c r="H171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X5" i="2" s="1"/>
  <c r="H170" i="2" l="1"/>
  <c r="X159" i="2"/>
  <c r="X170" i="2" s="1"/>
  <c r="X130" i="2"/>
  <c r="H88" i="2"/>
  <c r="H109" i="2"/>
  <c r="X123" i="2"/>
  <c r="X144" i="2"/>
  <c r="H158" i="2"/>
  <c r="H177" i="2"/>
  <c r="H219" i="2"/>
  <c r="H102" i="2"/>
  <c r="X198" i="2"/>
  <c r="H212" i="2"/>
  <c r="H67" i="2"/>
  <c r="H74" i="2"/>
  <c r="X11" i="2"/>
  <c r="X39" i="2"/>
  <c r="X46" i="2"/>
  <c r="X53" i="2"/>
  <c r="X191" i="2"/>
  <c r="X18" i="2"/>
  <c r="X116" i="2"/>
  <c r="X74" i="2"/>
  <c r="X184" i="2"/>
  <c r="H18" i="2"/>
  <c r="X152" i="2"/>
  <c r="X158" i="2" s="1"/>
  <c r="H46" i="2"/>
  <c r="H137" i="2"/>
  <c r="H198" i="2"/>
  <c r="X98" i="2"/>
  <c r="X102" i="2" s="1"/>
  <c r="H53" i="2"/>
  <c r="X171" i="2"/>
  <c r="X177" i="2" s="1"/>
  <c r="X85" i="2"/>
  <c r="X88" i="2" s="1"/>
  <c r="H184" i="2"/>
  <c r="X32" i="2"/>
  <c r="H60" i="2"/>
  <c r="H205" i="2"/>
  <c r="H11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91" i="2"/>
  <c r="X22" i="2"/>
  <c r="X25" i="2" s="1"/>
  <c r="X95" i="2"/>
  <c r="X67" i="2"/>
  <c r="X211" i="2"/>
  <c r="X212" i="2" s="1"/>
  <c r="H32" i="2"/>
  <c r="X135" i="2"/>
  <c r="X137" i="2" s="1"/>
  <c r="X199" i="2"/>
  <c r="X205" i="2" s="1"/>
  <c r="X213" i="2"/>
  <c r="X219" i="2" s="1"/>
  <c r="H151" i="2"/>
  <c r="X151" i="2"/>
  <c r="X60" i="2"/>
  <c r="C60" i="2"/>
  <c r="B60" i="2"/>
  <c r="X230" i="2" l="1"/>
  <c r="BK30" i="3" l="1"/>
  <c r="BJ30" i="3"/>
  <c r="Y29" i="4" l="1"/>
  <c r="AM30" i="3" l="1"/>
  <c r="AL30" i="3"/>
  <c r="BI30" i="3" l="1"/>
  <c r="BH30" i="3"/>
  <c r="AW30" i="3"/>
  <c r="AV30" i="3"/>
  <c r="AU30" i="3"/>
  <c r="AT30" i="3"/>
  <c r="AS30" i="3"/>
  <c r="AR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219" i="2"/>
  <c r="B219" i="2"/>
  <c r="C212" i="2"/>
  <c r="B212" i="2"/>
  <c r="C198" i="2"/>
  <c r="B198" i="2"/>
  <c r="C191" i="2"/>
  <c r="B191" i="2"/>
  <c r="C158" i="2"/>
  <c r="B158" i="2"/>
  <c r="C144" i="2"/>
  <c r="B144" i="2"/>
  <c r="C137" i="2"/>
  <c r="B137" i="2"/>
  <c r="C130" i="2"/>
  <c r="B130" i="2"/>
  <c r="C123" i="2"/>
  <c r="B123" i="2"/>
  <c r="C116" i="2"/>
  <c r="B116" i="2"/>
  <c r="C109" i="2"/>
  <c r="B109" i="2"/>
  <c r="C102" i="2"/>
  <c r="B102" i="2"/>
  <c r="C81" i="2"/>
  <c r="B81" i="2"/>
  <c r="C74" i="2"/>
  <c r="B74" i="2"/>
  <c r="C67" i="2"/>
  <c r="B67" i="2"/>
  <c r="C53" i="2"/>
  <c r="B53" i="2"/>
  <c r="C32" i="2"/>
  <c r="B32" i="2"/>
  <c r="C95" i="2"/>
  <c r="B95" i="2"/>
  <c r="C88" i="2"/>
  <c r="B88" i="2"/>
  <c r="C46" i="2"/>
  <c r="B46" i="2"/>
  <c r="C39" i="2"/>
  <c r="B39" i="2"/>
  <c r="C25" i="2"/>
  <c r="B25" i="2"/>
  <c r="C18" i="2"/>
  <c r="B18" i="2"/>
  <c r="C11" i="2"/>
  <c r="B11" i="2"/>
  <c r="C184" i="2" l="1"/>
  <c r="B184" i="2"/>
  <c r="AL37" i="3" l="1"/>
  <c r="AM37" i="3"/>
  <c r="AL38" i="3"/>
  <c r="AM38" i="3"/>
  <c r="AL39" i="3"/>
  <c r="AM39" i="3"/>
  <c r="AL40" i="3"/>
  <c r="AM40" i="3"/>
  <c r="AL41" i="3"/>
  <c r="AM41" i="3"/>
  <c r="AL42" i="3"/>
  <c r="AM42" i="3"/>
  <c r="AP63" i="3"/>
  <c r="AP64" i="3"/>
  <c r="AP65" i="3"/>
  <c r="AP66" i="3"/>
  <c r="AP67" i="3"/>
  <c r="AP68" i="3"/>
  <c r="AP51" i="3"/>
  <c r="AP52" i="3"/>
  <c r="AP53" i="3"/>
  <c r="AP54" i="3"/>
  <c r="AP55" i="3"/>
  <c r="AP56" i="3"/>
  <c r="AP37" i="3"/>
  <c r="AQ37" i="3"/>
  <c r="AP38" i="3"/>
  <c r="AQ38" i="3"/>
  <c r="AP39" i="3"/>
  <c r="AQ39" i="3"/>
  <c r="AP40" i="3"/>
  <c r="AQ40" i="3"/>
  <c r="AP41" i="3"/>
  <c r="AQ41" i="3"/>
  <c r="AP42" i="3"/>
  <c r="AQ42" i="3"/>
  <c r="AL68" i="3" l="1"/>
  <c r="AL67" i="3"/>
  <c r="AL66" i="3"/>
  <c r="AL65" i="3"/>
  <c r="AL64" i="3"/>
  <c r="AL63" i="3"/>
  <c r="AL56" i="3"/>
  <c r="AL55" i="3"/>
  <c r="AL54" i="3"/>
  <c r="AL53" i="3"/>
  <c r="AL52" i="3"/>
  <c r="AL51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51" i="3" l="1"/>
  <c r="P52" i="3"/>
  <c r="P53" i="3"/>
  <c r="P54" i="3"/>
  <c r="P55" i="3"/>
  <c r="P56" i="3"/>
  <c r="P63" i="3"/>
  <c r="P64" i="3"/>
  <c r="P65" i="3"/>
  <c r="P66" i="3"/>
  <c r="P67" i="3"/>
  <c r="P68" i="3"/>
  <c r="P37" i="3"/>
  <c r="D47" i="2" s="1"/>
  <c r="Q37" i="3"/>
  <c r="E47" i="2" s="1"/>
  <c r="P38" i="3"/>
  <c r="D48" i="2" s="1"/>
  <c r="Q38" i="3"/>
  <c r="E48" i="2" s="1"/>
  <c r="P39" i="3"/>
  <c r="D49" i="2" s="1"/>
  <c r="Q39" i="3"/>
  <c r="E49" i="2" s="1"/>
  <c r="P40" i="3"/>
  <c r="D50" i="2" s="1"/>
  <c r="Q40" i="3"/>
  <c r="E50" i="2" s="1"/>
  <c r="P41" i="3"/>
  <c r="D51" i="2" s="1"/>
  <c r="Q41" i="3"/>
  <c r="E51" i="2" s="1"/>
  <c r="P42" i="3"/>
  <c r="D52" i="2" s="1"/>
  <c r="Q42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9" i="4"/>
  <c r="N63" i="3"/>
  <c r="N64" i="3"/>
  <c r="N65" i="3"/>
  <c r="N66" i="3"/>
  <c r="N67" i="3"/>
  <c r="N68" i="3"/>
  <c r="N51" i="3"/>
  <c r="N52" i="3"/>
  <c r="N53" i="3"/>
  <c r="N54" i="3"/>
  <c r="N55" i="3"/>
  <c r="N56" i="3"/>
  <c r="N37" i="3"/>
  <c r="O37" i="3"/>
  <c r="N38" i="3"/>
  <c r="O38" i="3"/>
  <c r="N39" i="3"/>
  <c r="O39" i="3"/>
  <c r="N40" i="3"/>
  <c r="O40" i="3"/>
  <c r="N41" i="3"/>
  <c r="O41" i="3"/>
  <c r="N42" i="3"/>
  <c r="O42" i="3"/>
  <c r="M50" i="2" l="1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63" i="3" l="1"/>
  <c r="AX64" i="3"/>
  <c r="AX65" i="3"/>
  <c r="AX66" i="3"/>
  <c r="AX67" i="3"/>
  <c r="AX68" i="3"/>
  <c r="AX51" i="3"/>
  <c r="AX52" i="3"/>
  <c r="AX53" i="3"/>
  <c r="AX54" i="3"/>
  <c r="AX55" i="3"/>
  <c r="AX56" i="3"/>
  <c r="AX37" i="3"/>
  <c r="D171" i="2" s="1"/>
  <c r="AY37" i="3"/>
  <c r="E171" i="2" s="1"/>
  <c r="AX38" i="3"/>
  <c r="D172" i="2" s="1"/>
  <c r="AY38" i="3"/>
  <c r="E172" i="2" s="1"/>
  <c r="AX39" i="3"/>
  <c r="D173" i="2" s="1"/>
  <c r="AY39" i="3"/>
  <c r="E173" i="2" s="1"/>
  <c r="AX40" i="3"/>
  <c r="D174" i="2" s="1"/>
  <c r="AY40" i="3"/>
  <c r="E174" i="2" s="1"/>
  <c r="AX41" i="3"/>
  <c r="D175" i="2" s="1"/>
  <c r="AY41" i="3"/>
  <c r="E175" i="2" s="1"/>
  <c r="AX42" i="3"/>
  <c r="D176" i="2" s="1"/>
  <c r="AY42" i="3"/>
  <c r="E176" i="2" s="1"/>
  <c r="AV63" i="3" l="1"/>
  <c r="AV64" i="3"/>
  <c r="AV65" i="3"/>
  <c r="AV66" i="3"/>
  <c r="AV67" i="3"/>
  <c r="AV68" i="3"/>
  <c r="AV51" i="3"/>
  <c r="AV52" i="3"/>
  <c r="AV53" i="3"/>
  <c r="AV54" i="3"/>
  <c r="AV55" i="3"/>
  <c r="AV56" i="3"/>
  <c r="AV37" i="3"/>
  <c r="AW37" i="3"/>
  <c r="AV38" i="3"/>
  <c r="D160" i="2" s="1"/>
  <c r="AW38" i="3"/>
  <c r="E160" i="2" s="1"/>
  <c r="AV39" i="3"/>
  <c r="AW39" i="3"/>
  <c r="E161" i="2" s="1"/>
  <c r="AV40" i="3"/>
  <c r="D162" i="2" s="1"/>
  <c r="AW40" i="3"/>
  <c r="E162" i="2" s="1"/>
  <c r="AV41" i="3"/>
  <c r="D163" i="2" s="1"/>
  <c r="AW41" i="3"/>
  <c r="E163" i="2" s="1"/>
  <c r="AV42" i="3"/>
  <c r="D164" i="2" s="1"/>
  <c r="AW42" i="3"/>
  <c r="E164" i="2" s="1"/>
  <c r="AW48" i="3" l="1"/>
  <c r="D161" i="2"/>
  <c r="AV48" i="3"/>
  <c r="I169" i="2"/>
  <c r="G169" i="2"/>
  <c r="J169" i="2" s="1"/>
  <c r="E159" i="2"/>
  <c r="D159" i="2"/>
  <c r="C205" i="2"/>
  <c r="B205" i="2"/>
  <c r="G168" i="2" l="1"/>
  <c r="J168" i="2" s="1"/>
  <c r="W168" i="2" s="1"/>
  <c r="I168" i="2"/>
  <c r="K168" i="2" s="1"/>
  <c r="D170" i="2"/>
  <c r="G167" i="2"/>
  <c r="J167" i="2" s="1"/>
  <c r="I167" i="2"/>
  <c r="E170" i="2"/>
  <c r="L169" i="2"/>
  <c r="W169" i="2"/>
  <c r="M169" i="2"/>
  <c r="K169" i="2"/>
  <c r="C177" i="2"/>
  <c r="B177" i="2"/>
  <c r="L168" i="2" l="1"/>
  <c r="M168" i="2"/>
  <c r="K167" i="2"/>
  <c r="M167" i="2"/>
  <c r="W167" i="2"/>
  <c r="L167" i="2"/>
  <c r="AT63" i="3"/>
  <c r="AT64" i="3"/>
  <c r="AT65" i="3"/>
  <c r="AT66" i="3"/>
  <c r="AT67" i="3"/>
  <c r="AT68" i="3"/>
  <c r="AT51" i="3"/>
  <c r="AT52" i="3"/>
  <c r="AT53" i="3"/>
  <c r="AT54" i="3"/>
  <c r="AT55" i="3"/>
  <c r="AT56" i="3"/>
  <c r="AT37" i="3"/>
  <c r="D152" i="2" s="1"/>
  <c r="AU37" i="3"/>
  <c r="E152" i="2" s="1"/>
  <c r="AT38" i="3"/>
  <c r="D153" i="2" s="1"/>
  <c r="AU38" i="3"/>
  <c r="E153" i="2" s="1"/>
  <c r="AT39" i="3"/>
  <c r="D154" i="2" s="1"/>
  <c r="AU39" i="3"/>
  <c r="E154" i="2" s="1"/>
  <c r="AT40" i="3"/>
  <c r="D155" i="2" s="1"/>
  <c r="AU40" i="3"/>
  <c r="E155" i="2" s="1"/>
  <c r="AT41" i="3"/>
  <c r="D156" i="2" s="1"/>
  <c r="AU41" i="3"/>
  <c r="E156" i="2" s="1"/>
  <c r="AT42" i="3"/>
  <c r="D157" i="2" s="1"/>
  <c r="AU42" i="3"/>
  <c r="E157" i="2" s="1"/>
  <c r="AR63" i="3" l="1"/>
  <c r="AR64" i="3"/>
  <c r="AR65" i="3"/>
  <c r="AR66" i="3"/>
  <c r="AR67" i="3"/>
  <c r="AR68" i="3"/>
  <c r="AR51" i="3"/>
  <c r="AR52" i="3"/>
  <c r="AR53" i="3"/>
  <c r="AR54" i="3"/>
  <c r="AR55" i="3"/>
  <c r="AR56" i="3"/>
  <c r="AR37" i="3"/>
  <c r="D145" i="2" s="1"/>
  <c r="AS37" i="3"/>
  <c r="E145" i="2" s="1"/>
  <c r="AR38" i="3"/>
  <c r="D146" i="2" s="1"/>
  <c r="AS38" i="3"/>
  <c r="E146" i="2" s="1"/>
  <c r="AR39" i="3"/>
  <c r="D147" i="2" s="1"/>
  <c r="AS39" i="3"/>
  <c r="E147" i="2" s="1"/>
  <c r="AR40" i="3"/>
  <c r="D148" i="2" s="1"/>
  <c r="AS40" i="3"/>
  <c r="E148" i="2" s="1"/>
  <c r="AR41" i="3"/>
  <c r="D149" i="2" s="1"/>
  <c r="AS41" i="3"/>
  <c r="E149" i="2" s="1"/>
  <c r="AR42" i="3"/>
  <c r="D150" i="2" s="1"/>
  <c r="AS42" i="3"/>
  <c r="E150" i="2" s="1"/>
  <c r="AN63" i="3" l="1"/>
  <c r="AN64" i="3"/>
  <c r="AN65" i="3"/>
  <c r="AN66" i="3"/>
  <c r="AN67" i="3"/>
  <c r="AN68" i="3"/>
  <c r="AN51" i="3"/>
  <c r="AN52" i="3"/>
  <c r="AN53" i="3"/>
  <c r="AN54" i="3"/>
  <c r="AN55" i="3"/>
  <c r="AN56" i="3"/>
  <c r="AN37" i="3"/>
  <c r="AO37" i="3"/>
  <c r="AN38" i="3"/>
  <c r="AO38" i="3"/>
  <c r="AN39" i="3"/>
  <c r="AO39" i="3"/>
  <c r="AN40" i="3"/>
  <c r="AO40" i="3"/>
  <c r="AN41" i="3"/>
  <c r="AO41" i="3"/>
  <c r="AN42" i="3"/>
  <c r="AO42" i="3"/>
  <c r="AB63" i="3" l="1"/>
  <c r="AB64" i="3"/>
  <c r="AB65" i="3"/>
  <c r="AB66" i="3"/>
  <c r="AB67" i="3"/>
  <c r="AB68" i="3"/>
  <c r="AB51" i="3"/>
  <c r="AB52" i="3"/>
  <c r="AB53" i="3"/>
  <c r="AB54" i="3"/>
  <c r="AB55" i="3"/>
  <c r="AB56" i="3"/>
  <c r="AB37" i="3"/>
  <c r="D89" i="2" s="1"/>
  <c r="AC37" i="3"/>
  <c r="E89" i="2" s="1"/>
  <c r="AB38" i="3"/>
  <c r="AC38" i="3"/>
  <c r="AB39" i="3"/>
  <c r="AC39" i="3"/>
  <c r="AB40" i="3"/>
  <c r="AC40" i="3"/>
  <c r="AB41" i="3"/>
  <c r="AC41" i="3"/>
  <c r="AB42" i="3"/>
  <c r="AC42" i="3"/>
  <c r="Z63" i="3" l="1"/>
  <c r="Z64" i="3"/>
  <c r="Z65" i="3"/>
  <c r="Z66" i="3"/>
  <c r="Z67" i="3"/>
  <c r="Z68" i="3"/>
  <c r="Z51" i="3"/>
  <c r="Z52" i="3"/>
  <c r="Z53" i="3"/>
  <c r="Z54" i="3"/>
  <c r="Z55" i="3"/>
  <c r="Z56" i="3"/>
  <c r="Z37" i="3"/>
  <c r="AA37" i="3"/>
  <c r="Z38" i="3"/>
  <c r="AA38" i="3"/>
  <c r="Z39" i="3"/>
  <c r="AA39" i="3"/>
  <c r="Z40" i="3"/>
  <c r="AA40" i="3"/>
  <c r="Z41" i="3"/>
  <c r="AA41" i="3"/>
  <c r="Z42" i="3"/>
  <c r="AA42" i="3"/>
  <c r="X63" i="3" l="1"/>
  <c r="X64" i="3"/>
  <c r="X65" i="3"/>
  <c r="X66" i="3"/>
  <c r="X67" i="3"/>
  <c r="X68" i="3"/>
  <c r="X51" i="3"/>
  <c r="X52" i="3"/>
  <c r="X53" i="3"/>
  <c r="X54" i="3"/>
  <c r="X55" i="3"/>
  <c r="X56" i="3"/>
  <c r="X37" i="3"/>
  <c r="D75" i="2" s="1"/>
  <c r="Y37" i="3"/>
  <c r="E75" i="2" s="1"/>
  <c r="X38" i="3"/>
  <c r="Y38" i="3"/>
  <c r="X39" i="3"/>
  <c r="D77" i="2" s="1"/>
  <c r="Y39" i="3"/>
  <c r="E77" i="2" s="1"/>
  <c r="X40" i="3"/>
  <c r="D78" i="2" s="1"/>
  <c r="Y40" i="3"/>
  <c r="E78" i="2" s="1"/>
  <c r="X41" i="3"/>
  <c r="D79" i="2" s="1"/>
  <c r="Y41" i="3"/>
  <c r="E79" i="2" s="1"/>
  <c r="X42" i="3"/>
  <c r="D80" i="2" s="1"/>
  <c r="Y42" i="3"/>
  <c r="E80" i="2" s="1"/>
  <c r="E76" i="2" l="1"/>
  <c r="E81" i="2" s="1"/>
  <c r="Y48" i="3"/>
  <c r="D76" i="2"/>
  <c r="X48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63" i="3"/>
  <c r="V64" i="3"/>
  <c r="V65" i="3"/>
  <c r="V66" i="3"/>
  <c r="V67" i="3"/>
  <c r="V68" i="3"/>
  <c r="V51" i="3"/>
  <c r="V52" i="3"/>
  <c r="V53" i="3"/>
  <c r="V54" i="3"/>
  <c r="V55" i="3"/>
  <c r="V56" i="3"/>
  <c r="V37" i="3"/>
  <c r="W37" i="3"/>
  <c r="V38" i="3"/>
  <c r="W38" i="3"/>
  <c r="V39" i="3"/>
  <c r="W39" i="3"/>
  <c r="V40" i="3"/>
  <c r="W40" i="3"/>
  <c r="V41" i="3"/>
  <c r="W41" i="3"/>
  <c r="V42" i="3"/>
  <c r="W42" i="3"/>
  <c r="G76" i="2" l="1"/>
  <c r="J76" i="2" s="1"/>
  <c r="L76" i="2" s="1"/>
  <c r="I76" i="2"/>
  <c r="K76" i="2" s="1"/>
  <c r="D81" i="2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56" i="3" l="1"/>
  <c r="A12" i="2" l="1"/>
  <c r="BJ63" i="3" l="1"/>
  <c r="BJ64" i="3"/>
  <c r="BJ65" i="3"/>
  <c r="BJ66" i="3"/>
  <c r="BJ67" i="3"/>
  <c r="BJ68" i="3"/>
  <c r="BJ51" i="3"/>
  <c r="BJ52" i="3"/>
  <c r="BJ53" i="3"/>
  <c r="BJ54" i="3"/>
  <c r="BJ55" i="3"/>
  <c r="BJ56" i="3"/>
  <c r="BJ37" i="3"/>
  <c r="BK37" i="3"/>
  <c r="BJ38" i="3"/>
  <c r="BK38" i="3"/>
  <c r="BJ39" i="3"/>
  <c r="BK39" i="3"/>
  <c r="BJ40" i="3"/>
  <c r="BK40" i="3"/>
  <c r="BJ41" i="3"/>
  <c r="BK41" i="3"/>
  <c r="BJ42" i="3"/>
  <c r="BK42" i="3"/>
  <c r="C151" i="2" l="1"/>
  <c r="B151" i="2"/>
  <c r="BH63" i="3" l="1"/>
  <c r="BH64" i="3"/>
  <c r="BH65" i="3"/>
  <c r="BH66" i="3"/>
  <c r="BH67" i="3"/>
  <c r="BH68" i="3"/>
  <c r="BH51" i="3"/>
  <c r="BH52" i="3"/>
  <c r="BH53" i="3"/>
  <c r="BH54" i="3"/>
  <c r="BH55" i="3"/>
  <c r="BH56" i="3"/>
  <c r="BH37" i="3"/>
  <c r="BI37" i="3"/>
  <c r="BH38" i="3"/>
  <c r="BI38" i="3"/>
  <c r="BH39" i="3"/>
  <c r="BI39" i="3"/>
  <c r="BH40" i="3"/>
  <c r="BI40" i="3"/>
  <c r="BH41" i="3"/>
  <c r="D210" i="2" s="1"/>
  <c r="BI41" i="3"/>
  <c r="BH42" i="3"/>
  <c r="D211" i="2" s="1"/>
  <c r="BI42" i="3"/>
  <c r="BD63" i="3" l="1"/>
  <c r="BD64" i="3"/>
  <c r="BD65" i="3"/>
  <c r="BD66" i="3"/>
  <c r="BD67" i="3"/>
  <c r="BD68" i="3"/>
  <c r="BD51" i="3"/>
  <c r="BD52" i="3"/>
  <c r="BD53" i="3"/>
  <c r="BD54" i="3"/>
  <c r="BD55" i="3"/>
  <c r="BD56" i="3"/>
  <c r="BD37" i="3"/>
  <c r="BE37" i="3"/>
  <c r="BD38" i="3"/>
  <c r="BE38" i="3"/>
  <c r="BD39" i="3"/>
  <c r="BE39" i="3"/>
  <c r="BD40" i="3"/>
  <c r="BE40" i="3"/>
  <c r="BD41" i="3"/>
  <c r="BE41" i="3"/>
  <c r="BD42" i="3"/>
  <c r="BE42" i="3"/>
  <c r="BE48" i="3" l="1"/>
  <c r="BD48" i="3"/>
  <c r="U17" i="4" l="1"/>
  <c r="U18" i="4"/>
  <c r="U19" i="4"/>
  <c r="U20" i="4"/>
  <c r="U21" i="4"/>
  <c r="AJ63" i="3" l="1"/>
  <c r="AJ64" i="3"/>
  <c r="AJ65" i="3"/>
  <c r="AJ66" i="3"/>
  <c r="AJ67" i="3"/>
  <c r="AJ68" i="3"/>
  <c r="AJ51" i="3"/>
  <c r="AJ52" i="3"/>
  <c r="AJ53" i="3"/>
  <c r="AJ54" i="3"/>
  <c r="AJ55" i="3"/>
  <c r="AJ56" i="3"/>
  <c r="AJ37" i="3"/>
  <c r="AK37" i="3"/>
  <c r="AJ38" i="3"/>
  <c r="AK38" i="3"/>
  <c r="AJ39" i="3"/>
  <c r="AK39" i="3"/>
  <c r="AJ40" i="3"/>
  <c r="AK40" i="3"/>
  <c r="AJ41" i="3"/>
  <c r="AK41" i="3"/>
  <c r="AJ42" i="3"/>
  <c r="AK42" i="3"/>
  <c r="J29" i="4" l="1"/>
  <c r="R63" i="3"/>
  <c r="R64" i="3"/>
  <c r="R65" i="3"/>
  <c r="R66" i="3"/>
  <c r="R67" i="3"/>
  <c r="R68" i="3"/>
  <c r="R51" i="3"/>
  <c r="R52" i="3"/>
  <c r="R53" i="3"/>
  <c r="R54" i="3"/>
  <c r="R55" i="3"/>
  <c r="R56" i="3"/>
  <c r="R37" i="3"/>
  <c r="S37" i="3"/>
  <c r="R38" i="3"/>
  <c r="S38" i="3"/>
  <c r="R39" i="3"/>
  <c r="S39" i="3"/>
  <c r="R40" i="3"/>
  <c r="S40" i="3"/>
  <c r="R41" i="3"/>
  <c r="S41" i="3"/>
  <c r="R42" i="3"/>
  <c r="S42" i="3"/>
  <c r="S48" i="3" l="1"/>
  <c r="R48" i="3"/>
  <c r="B81" i="1"/>
  <c r="G30" i="4" l="1"/>
  <c r="BC37" i="3" l="1"/>
  <c r="BB37" i="3"/>
  <c r="E185" i="2" l="1"/>
  <c r="D185" i="2"/>
  <c r="I185" i="2" l="1"/>
  <c r="M185" i="2" s="1"/>
  <c r="G185" i="2"/>
  <c r="J185" i="2" s="1"/>
  <c r="W185" i="2" s="1"/>
  <c r="K185" i="2" l="1"/>
  <c r="L185" i="2"/>
  <c r="AF10" i="4"/>
  <c r="D218" i="2" l="1"/>
  <c r="D217" i="2"/>
  <c r="D216" i="2"/>
  <c r="D215" i="2"/>
  <c r="D214" i="2"/>
  <c r="D213" i="2"/>
  <c r="E218" i="2"/>
  <c r="E217" i="2"/>
  <c r="E216" i="2"/>
  <c r="E215" i="2"/>
  <c r="E214" i="2"/>
  <c r="E213" i="2"/>
  <c r="I213" i="2" l="1"/>
  <c r="G213" i="2"/>
  <c r="J213" i="2" s="1"/>
  <c r="G214" i="2"/>
  <c r="J214" i="2" s="1"/>
  <c r="L214" i="2" s="1"/>
  <c r="I214" i="2"/>
  <c r="I215" i="2"/>
  <c r="G215" i="2"/>
  <c r="J215" i="2" s="1"/>
  <c r="L215" i="2" s="1"/>
  <c r="I216" i="2"/>
  <c r="G216" i="2"/>
  <c r="J216" i="2" s="1"/>
  <c r="L216" i="2" s="1"/>
  <c r="I217" i="2"/>
  <c r="G217" i="2"/>
  <c r="J217" i="2" s="1"/>
  <c r="L217" i="2" s="1"/>
  <c r="I218" i="2"/>
  <c r="G218" i="2"/>
  <c r="J218" i="2" s="1"/>
  <c r="L218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L213" i="2" l="1"/>
  <c r="K218" i="2"/>
  <c r="M218" i="2"/>
  <c r="M217" i="2"/>
  <c r="K217" i="2"/>
  <c r="M216" i="2"/>
  <c r="K216" i="2"/>
  <c r="K215" i="2"/>
  <c r="M215" i="2"/>
  <c r="M214" i="2"/>
  <c r="K214" i="2"/>
  <c r="M213" i="2"/>
  <c r="K213" i="2"/>
  <c r="E197" i="2" l="1"/>
  <c r="D197" i="2"/>
  <c r="E196" i="2"/>
  <c r="D196" i="2"/>
  <c r="E195" i="2"/>
  <c r="D195" i="2"/>
  <c r="E194" i="2"/>
  <c r="D194" i="2"/>
  <c r="BF39" i="3"/>
  <c r="D201" i="2" s="1"/>
  <c r="E193" i="2"/>
  <c r="D193" i="2"/>
  <c r="E192" i="2"/>
  <c r="D192" i="2"/>
  <c r="E198" i="2" l="1"/>
  <c r="D198" i="2"/>
  <c r="I196" i="2"/>
  <c r="G196" i="2"/>
  <c r="J196" i="2" s="1"/>
  <c r="L196" i="2" s="1"/>
  <c r="I193" i="2"/>
  <c r="G193" i="2"/>
  <c r="J193" i="2" s="1"/>
  <c r="I197" i="2"/>
  <c r="G197" i="2"/>
  <c r="J197" i="2" s="1"/>
  <c r="L197" i="2" s="1"/>
  <c r="G194" i="2"/>
  <c r="J194" i="2" s="1"/>
  <c r="L194" i="2" s="1"/>
  <c r="I194" i="2"/>
  <c r="G195" i="2"/>
  <c r="J195" i="2" s="1"/>
  <c r="L195" i="2" s="1"/>
  <c r="I195" i="2"/>
  <c r="I192" i="2"/>
  <c r="G192" i="2"/>
  <c r="BB68" i="3"/>
  <c r="BB67" i="3"/>
  <c r="BB66" i="3"/>
  <c r="BB65" i="3"/>
  <c r="BB64" i="3"/>
  <c r="BB63" i="3"/>
  <c r="BB56" i="3"/>
  <c r="AB10" i="4" s="1"/>
  <c r="BB55" i="3"/>
  <c r="AB9" i="4" s="1"/>
  <c r="BB54" i="3"/>
  <c r="BB53" i="3"/>
  <c r="BB52" i="3"/>
  <c r="BB51" i="3"/>
  <c r="BC41" i="3"/>
  <c r="E189" i="2" s="1"/>
  <c r="BC42" i="3"/>
  <c r="E190" i="2" s="1"/>
  <c r="BB42" i="3"/>
  <c r="D190" i="2" s="1"/>
  <c r="BB41" i="3"/>
  <c r="D189" i="2" s="1"/>
  <c r="BC40" i="3"/>
  <c r="E188" i="2" s="1"/>
  <c r="BB40" i="3"/>
  <c r="D188" i="2" s="1"/>
  <c r="BC39" i="3"/>
  <c r="E187" i="2" s="1"/>
  <c r="BB39" i="3"/>
  <c r="D187" i="2" s="1"/>
  <c r="BC38" i="3"/>
  <c r="BB38" i="3"/>
  <c r="L193" i="2" l="1"/>
  <c r="W193" i="2"/>
  <c r="BB48" i="3"/>
  <c r="BC48" i="3"/>
  <c r="I187" i="2"/>
  <c r="M187" i="2" s="1"/>
  <c r="D186" i="2"/>
  <c r="D191" i="2" s="1"/>
  <c r="E186" i="2"/>
  <c r="E191" i="2" s="1"/>
  <c r="G188" i="2"/>
  <c r="J188" i="2" s="1"/>
  <c r="I188" i="2"/>
  <c r="G187" i="2"/>
  <c r="J187" i="2" s="1"/>
  <c r="I189" i="2"/>
  <c r="G189" i="2"/>
  <c r="J189" i="2" s="1"/>
  <c r="I190" i="2"/>
  <c r="G190" i="2"/>
  <c r="J190" i="2" s="1"/>
  <c r="I198" i="2"/>
  <c r="J192" i="2"/>
  <c r="W192" i="2" s="1"/>
  <c r="G198" i="2"/>
  <c r="K192" i="2"/>
  <c r="M192" i="2"/>
  <c r="K195" i="2"/>
  <c r="M195" i="2"/>
  <c r="K194" i="2"/>
  <c r="M194" i="2"/>
  <c r="M197" i="2"/>
  <c r="K197" i="2"/>
  <c r="M193" i="2"/>
  <c r="K193" i="2"/>
  <c r="M196" i="2"/>
  <c r="K196" i="2"/>
  <c r="AZ68" i="3"/>
  <c r="AZ67" i="3"/>
  <c r="AZ66" i="3"/>
  <c r="AZ65" i="3"/>
  <c r="AZ64" i="3"/>
  <c r="AZ63" i="3"/>
  <c r="AZ56" i="3"/>
  <c r="AA10" i="4" s="1"/>
  <c r="AZ55" i="3"/>
  <c r="AA9" i="4" s="1"/>
  <c r="AZ54" i="3"/>
  <c r="AZ53" i="3"/>
  <c r="AZ52" i="3"/>
  <c r="AZ51" i="3"/>
  <c r="BA42" i="3"/>
  <c r="E183" i="2" s="1"/>
  <c r="AZ42" i="3"/>
  <c r="D183" i="2" s="1"/>
  <c r="BA41" i="3"/>
  <c r="E182" i="2" s="1"/>
  <c r="AZ41" i="3"/>
  <c r="D182" i="2" s="1"/>
  <c r="BA40" i="3"/>
  <c r="E181" i="2" s="1"/>
  <c r="AZ40" i="3"/>
  <c r="D181" i="2" s="1"/>
  <c r="BA39" i="3"/>
  <c r="E180" i="2" s="1"/>
  <c r="AZ39" i="3"/>
  <c r="D180" i="2" s="1"/>
  <c r="BA38" i="3"/>
  <c r="E179" i="2" s="1"/>
  <c r="AZ38" i="3"/>
  <c r="D179" i="2" s="1"/>
  <c r="BA37" i="3"/>
  <c r="AZ37" i="3"/>
  <c r="AZ48" i="3" l="1"/>
  <c r="BA48" i="3"/>
  <c r="K187" i="2"/>
  <c r="W187" i="2"/>
  <c r="L187" i="2"/>
  <c r="L188" i="2"/>
  <c r="W188" i="2"/>
  <c r="M190" i="2"/>
  <c r="K190" i="2"/>
  <c r="M189" i="2"/>
  <c r="K189" i="2"/>
  <c r="K188" i="2"/>
  <c r="M188" i="2"/>
  <c r="I186" i="2"/>
  <c r="I191" i="2" s="1"/>
  <c r="G186" i="2"/>
  <c r="G191" i="2" s="1"/>
  <c r="L189" i="2"/>
  <c r="W189" i="2"/>
  <c r="L190" i="2"/>
  <c r="W190" i="2"/>
  <c r="D178" i="2"/>
  <c r="E178" i="2"/>
  <c r="K198" i="2"/>
  <c r="M198" i="2"/>
  <c r="L192" i="2"/>
  <c r="L198" i="2" s="1"/>
  <c r="J198" i="2"/>
  <c r="G179" i="2"/>
  <c r="J179" i="2" s="1"/>
  <c r="L179" i="2" s="1"/>
  <c r="I179" i="2"/>
  <c r="I181" i="2"/>
  <c r="G181" i="2"/>
  <c r="J181" i="2" s="1"/>
  <c r="L181" i="2" s="1"/>
  <c r="I180" i="2"/>
  <c r="G180" i="2"/>
  <c r="J180" i="2" s="1"/>
  <c r="L180" i="2" s="1"/>
  <c r="I182" i="2"/>
  <c r="G182" i="2"/>
  <c r="J182" i="2" s="1"/>
  <c r="L182" i="2" s="1"/>
  <c r="I183" i="2"/>
  <c r="G183" i="2"/>
  <c r="J183" i="2" s="1"/>
  <c r="L183" i="2" s="1"/>
  <c r="D184" i="2" l="1"/>
  <c r="E184" i="2"/>
  <c r="G178" i="2"/>
  <c r="G184" i="2" s="1"/>
  <c r="I178" i="2"/>
  <c r="M178" i="2" s="1"/>
  <c r="M186" i="2"/>
  <c r="M191" i="2" s="1"/>
  <c r="K186" i="2"/>
  <c r="K191" i="2" s="1"/>
  <c r="J186" i="2"/>
  <c r="W186" i="2" s="1"/>
  <c r="D177" i="2"/>
  <c r="AX48" i="3"/>
  <c r="E177" i="2"/>
  <c r="AY48" i="3"/>
  <c r="M181" i="2"/>
  <c r="K181" i="2"/>
  <c r="M179" i="2"/>
  <c r="K179" i="2"/>
  <c r="K182" i="2"/>
  <c r="M182" i="2"/>
  <c r="K183" i="2"/>
  <c r="M183" i="2"/>
  <c r="K180" i="2"/>
  <c r="M180" i="2"/>
  <c r="G173" i="2"/>
  <c r="J173" i="2" s="1"/>
  <c r="L173" i="2" s="1"/>
  <c r="I173" i="2"/>
  <c r="I174" i="2"/>
  <c r="G174" i="2"/>
  <c r="J174" i="2" s="1"/>
  <c r="L174" i="2" s="1"/>
  <c r="I172" i="2"/>
  <c r="G172" i="2"/>
  <c r="J172" i="2" s="1"/>
  <c r="L172" i="2" s="1"/>
  <c r="I175" i="2"/>
  <c r="G175" i="2"/>
  <c r="J175" i="2" s="1"/>
  <c r="L175" i="2" s="1"/>
  <c r="I176" i="2"/>
  <c r="G176" i="2"/>
  <c r="J176" i="2" s="1"/>
  <c r="L176" i="2" s="1"/>
  <c r="U10" i="4"/>
  <c r="U9" i="4"/>
  <c r="W191" i="2" l="1"/>
  <c r="J191" i="2"/>
  <c r="J178" i="2"/>
  <c r="W178" i="2" s="1"/>
  <c r="M184" i="2"/>
  <c r="K178" i="2"/>
  <c r="K184" i="2" s="1"/>
  <c r="I184" i="2"/>
  <c r="L186" i="2"/>
  <c r="L191" i="2" s="1"/>
  <c r="I171" i="2"/>
  <c r="M171" i="2" s="1"/>
  <c r="G171" i="2"/>
  <c r="J171" i="2" s="1"/>
  <c r="W171" i="2" s="1"/>
  <c r="M172" i="2"/>
  <c r="K172" i="2"/>
  <c r="K176" i="2"/>
  <c r="M176" i="2"/>
  <c r="M174" i="2"/>
  <c r="K174" i="2"/>
  <c r="K175" i="2"/>
  <c r="M175" i="2"/>
  <c r="K173" i="2"/>
  <c r="M173" i="2"/>
  <c r="T10" i="4"/>
  <c r="T9" i="4"/>
  <c r="J184" i="2" l="1"/>
  <c r="L178" i="2"/>
  <c r="L184" i="2" s="1"/>
  <c r="I177" i="2"/>
  <c r="K171" i="2"/>
  <c r="K177" i="2" s="1"/>
  <c r="J177" i="2"/>
  <c r="G177" i="2"/>
  <c r="L171" i="2"/>
  <c r="L177" i="2" s="1"/>
  <c r="M177" i="2"/>
  <c r="AF68" i="3"/>
  <c r="AF67" i="3"/>
  <c r="AF66" i="3"/>
  <c r="AF65" i="3"/>
  <c r="AF64" i="3"/>
  <c r="AF63" i="3"/>
  <c r="AF56" i="3"/>
  <c r="AF55" i="3"/>
  <c r="AF54" i="3"/>
  <c r="AF53" i="3"/>
  <c r="AF52" i="3"/>
  <c r="AF51" i="3"/>
  <c r="AG42" i="3"/>
  <c r="AF42" i="3"/>
  <c r="AG41" i="3"/>
  <c r="AF41" i="3"/>
  <c r="AG40" i="3"/>
  <c r="AF40" i="3"/>
  <c r="AG39" i="3"/>
  <c r="AF39" i="3"/>
  <c r="AG38" i="3"/>
  <c r="AF38" i="3"/>
  <c r="AG37" i="3"/>
  <c r="AF37" i="3"/>
  <c r="E103" i="2" l="1"/>
  <c r="AD68" i="3"/>
  <c r="AD67" i="3"/>
  <c r="AD66" i="3"/>
  <c r="AD65" i="3"/>
  <c r="AD64" i="3"/>
  <c r="AD63" i="3"/>
  <c r="AD56" i="3"/>
  <c r="AD55" i="3"/>
  <c r="AD54" i="3"/>
  <c r="AD53" i="3"/>
  <c r="AD52" i="3"/>
  <c r="AD51" i="3"/>
  <c r="AE42" i="3"/>
  <c r="E101" i="2" s="1"/>
  <c r="AD42" i="3"/>
  <c r="D101" i="2" s="1"/>
  <c r="AE41" i="3"/>
  <c r="E100" i="2" s="1"/>
  <c r="AD41" i="3"/>
  <c r="D100" i="2" s="1"/>
  <c r="AE40" i="3"/>
  <c r="E99" i="2" s="1"/>
  <c r="AD40" i="3"/>
  <c r="D99" i="2" s="1"/>
  <c r="AE39" i="3"/>
  <c r="E98" i="2" s="1"/>
  <c r="AD39" i="3"/>
  <c r="D98" i="2" s="1"/>
  <c r="AE38" i="3"/>
  <c r="E97" i="2" s="1"/>
  <c r="AD38" i="3"/>
  <c r="D97" i="2" s="1"/>
  <c r="AE37" i="3"/>
  <c r="E96" i="2" s="1"/>
  <c r="AD37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31" i="4" l="1"/>
  <c r="F232" i="2" l="1"/>
  <c r="F233" i="2"/>
  <c r="C242" i="2" l="1"/>
  <c r="B242" i="2"/>
  <c r="AF29" i="4" l="1"/>
  <c r="AE31" i="4" l="1"/>
  <c r="AE29" i="4"/>
  <c r="Z29" i="4"/>
  <c r="Z31" i="4"/>
  <c r="Z30" i="4"/>
  <c r="AD81" i="1" l="1"/>
  <c r="N212" i="2" s="1"/>
  <c r="B31" i="13" s="1"/>
  <c r="AE81" i="1"/>
  <c r="N219" i="2" s="1"/>
  <c r="B32" i="13" l="1"/>
  <c r="G31" i="13"/>
  <c r="AF21" i="4"/>
  <c r="AE21" i="4"/>
  <c r="AF20" i="4"/>
  <c r="AE20" i="4"/>
  <c r="AF19" i="4"/>
  <c r="AE19" i="4"/>
  <c r="AF18" i="4"/>
  <c r="AE18" i="4"/>
  <c r="AF17" i="4"/>
  <c r="AE17" i="4"/>
  <c r="AE10" i="4"/>
  <c r="AF9" i="4"/>
  <c r="AF8" i="4"/>
  <c r="AF7" i="4"/>
  <c r="AE7" i="4"/>
  <c r="AF6" i="4"/>
  <c r="AE6" i="4"/>
  <c r="AF5" i="4"/>
  <c r="AE5" i="4"/>
  <c r="E211" i="2"/>
  <c r="E210" i="2"/>
  <c r="E209" i="2"/>
  <c r="D209" i="2"/>
  <c r="E208" i="2"/>
  <c r="D208" i="2"/>
  <c r="E207" i="2"/>
  <c r="D207" i="2"/>
  <c r="E206" i="2"/>
  <c r="D206" i="2"/>
  <c r="AE38" i="4" l="1"/>
  <c r="AF38" i="4"/>
  <c r="I207" i="2"/>
  <c r="G207" i="2"/>
  <c r="J207" i="2" s="1"/>
  <c r="L207" i="2" s="1"/>
  <c r="I208" i="2"/>
  <c r="G208" i="2"/>
  <c r="J208" i="2" s="1"/>
  <c r="L208" i="2" s="1"/>
  <c r="I206" i="2"/>
  <c r="G206" i="2"/>
  <c r="J206" i="2" s="1"/>
  <c r="W206" i="2" s="1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AF39" i="4"/>
  <c r="BJ48" i="3"/>
  <c r="BH48" i="3"/>
  <c r="BK48" i="3"/>
  <c r="E212" i="2"/>
  <c r="BI48" i="3"/>
  <c r="G32" i="13"/>
  <c r="AF37" i="4"/>
  <c r="AF42" i="4" s="1"/>
  <c r="AF36" i="4"/>
  <c r="AE8" i="4"/>
  <c r="AE9" i="4"/>
  <c r="AE37" i="4"/>
  <c r="L206" i="2" l="1"/>
  <c r="M210" i="2"/>
  <c r="K210" i="2"/>
  <c r="K211" i="2"/>
  <c r="M211" i="2"/>
  <c r="M206" i="2"/>
  <c r="K206" i="2"/>
  <c r="M208" i="2"/>
  <c r="K208" i="2"/>
  <c r="M209" i="2"/>
  <c r="K209" i="2"/>
  <c r="K207" i="2"/>
  <c r="M207" i="2"/>
  <c r="AE39" i="4"/>
  <c r="W207" i="2"/>
  <c r="W215" i="2"/>
  <c r="W217" i="2"/>
  <c r="AE42" i="4"/>
  <c r="D212" i="2"/>
  <c r="H31" i="13" s="1"/>
  <c r="AE36" i="4"/>
  <c r="W214" i="2"/>
  <c r="W216" i="2"/>
  <c r="L76" i="1" l="1"/>
  <c r="L77" i="1"/>
  <c r="L78" i="1"/>
  <c r="L79" i="1"/>
  <c r="K76" i="1" l="1"/>
  <c r="K77" i="1"/>
  <c r="K78" i="1"/>
  <c r="K79" i="1"/>
  <c r="Y30" i="3" l="1"/>
  <c r="X30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3" i="13" l="1"/>
  <c r="D31" i="4"/>
  <c r="AF40" i="4" l="1"/>
  <c r="AF43" i="4"/>
  <c r="AF41" i="4"/>
  <c r="B11" i="11"/>
  <c r="I32" i="13" l="1"/>
  <c r="D30" i="4" l="1"/>
  <c r="N32" i="4" l="1"/>
  <c r="G32" i="4" l="1"/>
  <c r="D29" i="4" l="1"/>
  <c r="E32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31" i="4" l="1"/>
  <c r="AC31" i="4"/>
  <c r="AB31" i="4"/>
  <c r="AA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G31" i="4"/>
  <c r="F31" i="4"/>
  <c r="E31" i="4"/>
  <c r="I31" i="4"/>
  <c r="H31" i="4"/>
  <c r="C31" i="4"/>
  <c r="AE40" i="4" l="1"/>
  <c r="AE43" i="4"/>
  <c r="AE4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1" i="13" l="1"/>
  <c r="AD29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29" i="4" l="1"/>
  <c r="AB30" i="4" l="1"/>
  <c r="AB29" i="4"/>
  <c r="AA30" i="4" l="1"/>
  <c r="AA29" i="4"/>
  <c r="Y30" i="4" l="1"/>
  <c r="X30" i="4"/>
  <c r="W30" i="4"/>
  <c r="X29" i="4"/>
  <c r="W29" i="4"/>
  <c r="V30" i="4" l="1"/>
  <c r="V29" i="4"/>
  <c r="U30" i="4"/>
  <c r="T30" i="4"/>
  <c r="U29" i="4"/>
  <c r="T29" i="4"/>
  <c r="U38" i="4" l="1"/>
  <c r="S29" i="4"/>
  <c r="S30" i="4"/>
  <c r="R30" i="4"/>
  <c r="R29" i="4"/>
  <c r="Q30" i="4" l="1"/>
  <c r="Q29" i="4"/>
  <c r="P30" i="4" l="1"/>
  <c r="P29" i="4"/>
  <c r="O30" i="4" l="1"/>
  <c r="O29" i="4"/>
  <c r="N30" i="4" l="1"/>
  <c r="N29" i="4"/>
  <c r="M29" i="4" l="1"/>
  <c r="L29" i="4"/>
  <c r="M30" i="4"/>
  <c r="L30" i="4"/>
  <c r="K30" i="4"/>
  <c r="K29" i="4"/>
  <c r="J30" i="4"/>
  <c r="I30" i="4" l="1"/>
  <c r="I29" i="4"/>
  <c r="H30" i="4" l="1"/>
  <c r="H29" i="4"/>
  <c r="G29" i="4"/>
  <c r="F30" i="4"/>
  <c r="F29" i="4"/>
  <c r="E30" i="4"/>
  <c r="C30" i="4"/>
  <c r="C29" i="4"/>
  <c r="E219" i="2" l="1"/>
  <c r="N11" i="2"/>
  <c r="C81" i="1" l="1"/>
  <c r="N18" i="2" s="1"/>
  <c r="Q81" i="1"/>
  <c r="N116" i="2" s="1"/>
  <c r="B18" i="13" s="1"/>
  <c r="AC81" i="1"/>
  <c r="N205" i="2" s="1"/>
  <c r="B30" i="13" s="1"/>
  <c r="O81" i="1"/>
  <c r="K81" i="1"/>
  <c r="N74" i="2" s="1"/>
  <c r="B12" i="13" s="1"/>
  <c r="G81" i="1"/>
  <c r="F81" i="1"/>
  <c r="N39" i="2" s="1"/>
  <c r="N81" i="1"/>
  <c r="N95" i="2" s="1"/>
  <c r="B15" i="13" s="1"/>
  <c r="J81" i="1"/>
  <c r="N67" i="2" s="1"/>
  <c r="M81" i="1"/>
  <c r="N88" i="2" s="1"/>
  <c r="I81" i="1"/>
  <c r="N60" i="2" s="1"/>
  <c r="B10" i="13" s="1"/>
  <c r="E81" i="1"/>
  <c r="N32" i="2" s="1"/>
  <c r="P81" i="1"/>
  <c r="N109" i="2" s="1"/>
  <c r="L81" i="1"/>
  <c r="N81" i="2" s="1"/>
  <c r="H81" i="1"/>
  <c r="D81" i="1"/>
  <c r="N25" i="2" s="1"/>
  <c r="AB81" i="1"/>
  <c r="AA81" i="1"/>
  <c r="N191" i="2" s="1"/>
  <c r="O191" i="2" s="1"/>
  <c r="Z81" i="1"/>
  <c r="N184" i="2" s="1"/>
  <c r="Y81" i="1"/>
  <c r="N177" i="2" s="1"/>
  <c r="X81" i="1"/>
  <c r="N170" i="2" s="1"/>
  <c r="W81" i="1"/>
  <c r="N158" i="2" s="1"/>
  <c r="R81" i="1"/>
  <c r="N123" i="2" s="1"/>
  <c r="B19" i="13" s="1"/>
  <c r="V81" i="1"/>
  <c r="N151" i="2" s="1"/>
  <c r="U81" i="1"/>
  <c r="T81" i="1"/>
  <c r="N137" i="2" s="1"/>
  <c r="S81" i="1"/>
  <c r="N130" i="2" s="1"/>
  <c r="N53" i="2" l="1"/>
  <c r="B9" i="13" s="1"/>
  <c r="B11" i="13"/>
  <c r="B20" i="13"/>
  <c r="B27" i="13"/>
  <c r="B26" i="13"/>
  <c r="B24" i="13"/>
  <c r="B23" i="13"/>
  <c r="N46" i="2"/>
  <c r="B8" i="13" s="1"/>
  <c r="B25" i="13"/>
  <c r="B17" i="13"/>
  <c r="B6" i="13"/>
  <c r="B7" i="13"/>
  <c r="B5" i="13"/>
  <c r="B4" i="13"/>
  <c r="G29" i="13"/>
  <c r="G8" i="13" l="1"/>
  <c r="G7" i="13"/>
  <c r="V8" i="4" l="1"/>
  <c r="C247" i="2" l="1"/>
  <c r="B3" i="13" l="1"/>
  <c r="D58" i="2" l="1"/>
  <c r="T37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3" i="13" s="1"/>
  <c r="B247" i="2"/>
  <c r="D70" i="2"/>
  <c r="BF67" i="3"/>
  <c r="AH67" i="3"/>
  <c r="T67" i="3"/>
  <c r="L67" i="3"/>
  <c r="J67" i="3"/>
  <c r="H67" i="3"/>
  <c r="F67" i="3"/>
  <c r="D67" i="3"/>
  <c r="BF55" i="3"/>
  <c r="AD9" i="4" s="1"/>
  <c r="AC9" i="4"/>
  <c r="Z9" i="4"/>
  <c r="Y9" i="4"/>
  <c r="X9" i="4"/>
  <c r="W9" i="4"/>
  <c r="V9" i="4"/>
  <c r="S9" i="4"/>
  <c r="AH55" i="3"/>
  <c r="R9" i="4" s="1"/>
  <c r="Q9" i="4"/>
  <c r="P9" i="4"/>
  <c r="O9" i="4"/>
  <c r="N9" i="4"/>
  <c r="M9" i="4"/>
  <c r="L9" i="4"/>
  <c r="T55" i="3"/>
  <c r="K9" i="4" s="1"/>
  <c r="J9" i="4"/>
  <c r="I9" i="4"/>
  <c r="H9" i="4"/>
  <c r="L55" i="3"/>
  <c r="G9" i="4" s="1"/>
  <c r="J55" i="3"/>
  <c r="F9" i="4" s="1"/>
  <c r="H55" i="3"/>
  <c r="E9" i="4" s="1"/>
  <c r="F55" i="3"/>
  <c r="D9" i="4" s="1"/>
  <c r="D55" i="3"/>
  <c r="C9" i="4" s="1"/>
  <c r="BG41" i="3"/>
  <c r="E203" i="2" s="1"/>
  <c r="BF41" i="3"/>
  <c r="D203" i="2" s="1"/>
  <c r="E142" i="2"/>
  <c r="D142" i="2"/>
  <c r="E135" i="2"/>
  <c r="D135" i="2"/>
  <c r="E128" i="2"/>
  <c r="D128" i="2"/>
  <c r="E121" i="2"/>
  <c r="D121" i="2"/>
  <c r="AI41" i="3"/>
  <c r="E114" i="2" s="1"/>
  <c r="AH41" i="3"/>
  <c r="D114" i="2" s="1"/>
  <c r="E107" i="2"/>
  <c r="D107" i="2"/>
  <c r="E93" i="2"/>
  <c r="D93" i="2"/>
  <c r="E86" i="2"/>
  <c r="D86" i="2"/>
  <c r="E72" i="2"/>
  <c r="D72" i="2"/>
  <c r="U41" i="3"/>
  <c r="E65" i="2" s="1"/>
  <c r="T41" i="3"/>
  <c r="D65" i="2" s="1"/>
  <c r="E58" i="2"/>
  <c r="E44" i="2"/>
  <c r="D44" i="2"/>
  <c r="M41" i="3"/>
  <c r="E37" i="2" s="1"/>
  <c r="L41" i="3"/>
  <c r="D37" i="2" s="1"/>
  <c r="K41" i="3"/>
  <c r="E30" i="2" s="1"/>
  <c r="J41" i="3"/>
  <c r="D30" i="2" s="1"/>
  <c r="I41" i="3"/>
  <c r="E23" i="2" s="1"/>
  <c r="H41" i="3"/>
  <c r="D23" i="2" s="1"/>
  <c r="G41" i="3"/>
  <c r="E16" i="2" s="1"/>
  <c r="F41" i="3"/>
  <c r="D16" i="2" s="1"/>
  <c r="E41" i="3"/>
  <c r="E9" i="2" s="1"/>
  <c r="D41" i="3"/>
  <c r="D9" i="2" s="1"/>
  <c r="D132" i="2"/>
  <c r="E132" i="2"/>
  <c r="D133" i="2"/>
  <c r="E133" i="2"/>
  <c r="D134" i="2"/>
  <c r="E134" i="2"/>
  <c r="D136" i="2"/>
  <c r="E136" i="2"/>
  <c r="L37" i="3"/>
  <c r="L38" i="3"/>
  <c r="D34" i="2" s="1"/>
  <c r="L39" i="3"/>
  <c r="D35" i="2" s="1"/>
  <c r="L40" i="3"/>
  <c r="D36" i="2" s="1"/>
  <c r="L42" i="3"/>
  <c r="D38" i="2" s="1"/>
  <c r="L51" i="3"/>
  <c r="BG38" i="3"/>
  <c r="E200" i="2" s="1"/>
  <c r="BF38" i="3"/>
  <c r="D200" i="2" s="1"/>
  <c r="A19" i="2"/>
  <c r="A26" i="2" s="1"/>
  <c r="A33" i="2" s="1"/>
  <c r="A40" i="2" s="1"/>
  <c r="O10" i="4"/>
  <c r="O8" i="4"/>
  <c r="O7" i="4"/>
  <c r="O6" i="4"/>
  <c r="N21" i="4"/>
  <c r="N20" i="4"/>
  <c r="N19" i="4"/>
  <c r="N18" i="4"/>
  <c r="N17" i="4"/>
  <c r="N10" i="4"/>
  <c r="N8" i="4"/>
  <c r="N7" i="4"/>
  <c r="N6" i="4"/>
  <c r="N5" i="4"/>
  <c r="T63" i="3"/>
  <c r="K17" i="4" s="1"/>
  <c r="O21" i="4"/>
  <c r="O20" i="4"/>
  <c r="O19" i="4"/>
  <c r="O18" i="4"/>
  <c r="O17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21" i="4"/>
  <c r="AC20" i="4"/>
  <c r="AC19" i="4"/>
  <c r="AC18" i="4"/>
  <c r="AC17" i="4"/>
  <c r="AC10" i="4"/>
  <c r="AC8" i="4"/>
  <c r="AC7" i="4"/>
  <c r="AC6" i="4"/>
  <c r="AC5" i="4"/>
  <c r="AB21" i="4"/>
  <c r="AB20" i="4"/>
  <c r="AB19" i="4"/>
  <c r="AB18" i="4"/>
  <c r="AB17" i="4"/>
  <c r="AB8" i="4"/>
  <c r="AB7" i="4"/>
  <c r="AB6" i="4"/>
  <c r="AB5" i="4"/>
  <c r="D138" i="2"/>
  <c r="BF68" i="3"/>
  <c r="AA21" i="4"/>
  <c r="Z21" i="4"/>
  <c r="Y21" i="4"/>
  <c r="X21" i="4"/>
  <c r="W21" i="4"/>
  <c r="V21" i="4"/>
  <c r="T21" i="4"/>
  <c r="S21" i="4"/>
  <c r="AH68" i="3"/>
  <c r="R21" i="4" s="1"/>
  <c r="Q21" i="4"/>
  <c r="P21" i="4"/>
  <c r="M21" i="4"/>
  <c r="L21" i="4"/>
  <c r="T68" i="3"/>
  <c r="K21" i="4" s="1"/>
  <c r="J21" i="4"/>
  <c r="I21" i="4"/>
  <c r="H21" i="4"/>
  <c r="L68" i="3"/>
  <c r="G21" i="4" s="1"/>
  <c r="J68" i="3"/>
  <c r="F21" i="4" s="1"/>
  <c r="H68" i="3"/>
  <c r="E21" i="4" s="1"/>
  <c r="F68" i="3"/>
  <c r="D21" i="4" s="1"/>
  <c r="D68" i="3"/>
  <c r="C21" i="4" s="1"/>
  <c r="BF66" i="3"/>
  <c r="AA20" i="4"/>
  <c r="Z20" i="4"/>
  <c r="Y20" i="4"/>
  <c r="X20" i="4"/>
  <c r="W20" i="4"/>
  <c r="V20" i="4"/>
  <c r="T20" i="4"/>
  <c r="S20" i="4"/>
  <c r="AH66" i="3"/>
  <c r="R20" i="4" s="1"/>
  <c r="Q20" i="4"/>
  <c r="P20" i="4"/>
  <c r="M20" i="4"/>
  <c r="L20" i="4"/>
  <c r="T66" i="3"/>
  <c r="K20" i="4" s="1"/>
  <c r="J20" i="4"/>
  <c r="I20" i="4"/>
  <c r="H20" i="4"/>
  <c r="L66" i="3"/>
  <c r="G20" i="4" s="1"/>
  <c r="J66" i="3"/>
  <c r="F20" i="4" s="1"/>
  <c r="H66" i="3"/>
  <c r="E20" i="4" s="1"/>
  <c r="F66" i="3"/>
  <c r="D66" i="3"/>
  <c r="C20" i="4" s="1"/>
  <c r="BF65" i="3"/>
  <c r="AA19" i="4"/>
  <c r="Z19" i="4"/>
  <c r="Y19" i="4"/>
  <c r="X19" i="4"/>
  <c r="W19" i="4"/>
  <c r="V19" i="4"/>
  <c r="T19" i="4"/>
  <c r="S19" i="4"/>
  <c r="AH65" i="3"/>
  <c r="R19" i="4" s="1"/>
  <c r="Q19" i="4"/>
  <c r="P19" i="4"/>
  <c r="M19" i="4"/>
  <c r="L19" i="4"/>
  <c r="T65" i="3"/>
  <c r="K19" i="4" s="1"/>
  <c r="J19" i="4"/>
  <c r="I19" i="4"/>
  <c r="H19" i="4"/>
  <c r="L65" i="3"/>
  <c r="G19" i="4" s="1"/>
  <c r="J65" i="3"/>
  <c r="F19" i="4" s="1"/>
  <c r="H65" i="3"/>
  <c r="E19" i="4" s="1"/>
  <c r="F65" i="3"/>
  <c r="D65" i="3"/>
  <c r="C19" i="4" s="1"/>
  <c r="BF64" i="3"/>
  <c r="AD18" i="4" s="1"/>
  <c r="AA18" i="4"/>
  <c r="Z18" i="4"/>
  <c r="Y18" i="4"/>
  <c r="X18" i="4"/>
  <c r="W18" i="4"/>
  <c r="V18" i="4"/>
  <c r="T18" i="4"/>
  <c r="S18" i="4"/>
  <c r="AH64" i="3"/>
  <c r="R18" i="4" s="1"/>
  <c r="Q18" i="4"/>
  <c r="P18" i="4"/>
  <c r="M18" i="4"/>
  <c r="L18" i="4"/>
  <c r="T64" i="3"/>
  <c r="K18" i="4" s="1"/>
  <c r="J18" i="4"/>
  <c r="I18" i="4"/>
  <c r="H18" i="4"/>
  <c r="L64" i="3"/>
  <c r="G18" i="4" s="1"/>
  <c r="J64" i="3"/>
  <c r="F18" i="4" s="1"/>
  <c r="H64" i="3"/>
  <c r="E18" i="4" s="1"/>
  <c r="F64" i="3"/>
  <c r="D18" i="4" s="1"/>
  <c r="D64" i="3"/>
  <c r="C18" i="4" s="1"/>
  <c r="BF63" i="3"/>
  <c r="AA17" i="4"/>
  <c r="Z17" i="4"/>
  <c r="Y17" i="4"/>
  <c r="Y38" i="4" s="1"/>
  <c r="X17" i="4"/>
  <c r="W17" i="4"/>
  <c r="V17" i="4"/>
  <c r="T17" i="4"/>
  <c r="S17" i="4"/>
  <c r="AH63" i="3"/>
  <c r="R17" i="4" s="1"/>
  <c r="Q17" i="4"/>
  <c r="P17" i="4"/>
  <c r="M17" i="4"/>
  <c r="L17" i="4"/>
  <c r="J17" i="4"/>
  <c r="L63" i="3"/>
  <c r="J63" i="3"/>
  <c r="F17" i="4" s="1"/>
  <c r="H63" i="3"/>
  <c r="E17" i="4" s="1"/>
  <c r="F63" i="3"/>
  <c r="D17" i="4" s="1"/>
  <c r="D63" i="3"/>
  <c r="C17" i="4" s="1"/>
  <c r="BF56" i="3"/>
  <c r="AD10" i="4" s="1"/>
  <c r="Z10" i="4"/>
  <c r="Y10" i="4"/>
  <c r="X10" i="4"/>
  <c r="W10" i="4"/>
  <c r="V10" i="4"/>
  <c r="S10" i="4"/>
  <c r="AH56" i="3"/>
  <c r="R10" i="4" s="1"/>
  <c r="Q10" i="4"/>
  <c r="P10" i="4"/>
  <c r="M10" i="4"/>
  <c r="L10" i="4"/>
  <c r="T56" i="3"/>
  <c r="K10" i="4" s="1"/>
  <c r="J10" i="4"/>
  <c r="L56" i="3"/>
  <c r="J56" i="3"/>
  <c r="F10" i="4" s="1"/>
  <c r="E10" i="4"/>
  <c r="F56" i="3"/>
  <c r="D10" i="4" s="1"/>
  <c r="D56" i="3"/>
  <c r="C10" i="4" s="1"/>
  <c r="BF54" i="3"/>
  <c r="AA8" i="4"/>
  <c r="Z8" i="4"/>
  <c r="Y8" i="4"/>
  <c r="X8" i="4"/>
  <c r="W8" i="4"/>
  <c r="U8" i="4"/>
  <c r="T8" i="4"/>
  <c r="S8" i="4"/>
  <c r="AH54" i="3"/>
  <c r="R8" i="4" s="1"/>
  <c r="Q8" i="4"/>
  <c r="P8" i="4"/>
  <c r="M8" i="4"/>
  <c r="L8" i="4"/>
  <c r="T54" i="3"/>
  <c r="K8" i="4" s="1"/>
  <c r="J8" i="4"/>
  <c r="L54" i="3"/>
  <c r="J54" i="3"/>
  <c r="F8" i="4" s="1"/>
  <c r="H54" i="3"/>
  <c r="E8" i="4" s="1"/>
  <c r="F54" i="3"/>
  <c r="D8" i="4" s="1"/>
  <c r="D54" i="3"/>
  <c r="C8" i="4" s="1"/>
  <c r="BF53" i="3"/>
  <c r="AA7" i="4"/>
  <c r="Z7" i="4"/>
  <c r="Y7" i="4"/>
  <c r="X7" i="4"/>
  <c r="W7" i="4"/>
  <c r="V7" i="4"/>
  <c r="U7" i="4"/>
  <c r="T7" i="4"/>
  <c r="S7" i="4"/>
  <c r="AH53" i="3"/>
  <c r="R7" i="4" s="1"/>
  <c r="Q7" i="4"/>
  <c r="P7" i="4"/>
  <c r="M7" i="4"/>
  <c r="L7" i="4"/>
  <c r="T53" i="3"/>
  <c r="K7" i="4" s="1"/>
  <c r="J7" i="4"/>
  <c r="L53" i="3"/>
  <c r="J53" i="3"/>
  <c r="F7" i="4" s="1"/>
  <c r="H53" i="3"/>
  <c r="E7" i="4" s="1"/>
  <c r="F53" i="3"/>
  <c r="D7" i="4" s="1"/>
  <c r="D53" i="3"/>
  <c r="C7" i="4" s="1"/>
  <c r="BF52" i="3"/>
  <c r="AA6" i="4"/>
  <c r="Z6" i="4"/>
  <c r="Y6" i="4"/>
  <c r="X6" i="4"/>
  <c r="W6" i="4"/>
  <c r="V6" i="4"/>
  <c r="U6" i="4"/>
  <c r="T6" i="4"/>
  <c r="S6" i="4"/>
  <c r="AH52" i="3"/>
  <c r="R6" i="4" s="1"/>
  <c r="Q6" i="4"/>
  <c r="P6" i="4"/>
  <c r="M6" i="4"/>
  <c r="L6" i="4"/>
  <c r="T52" i="3"/>
  <c r="K6" i="4" s="1"/>
  <c r="J6" i="4"/>
  <c r="L52" i="3"/>
  <c r="J52" i="3"/>
  <c r="F6" i="4" s="1"/>
  <c r="H52" i="3"/>
  <c r="E6" i="4" s="1"/>
  <c r="F52" i="3"/>
  <c r="D6" i="4" s="1"/>
  <c r="D52" i="3"/>
  <c r="C6" i="4" s="1"/>
  <c r="BF51" i="3"/>
  <c r="AA5" i="4"/>
  <c r="Z5" i="4"/>
  <c r="Y5" i="4"/>
  <c r="X5" i="4"/>
  <c r="W5" i="4"/>
  <c r="V5" i="4"/>
  <c r="U5" i="4"/>
  <c r="T5" i="4"/>
  <c r="S5" i="4"/>
  <c r="AH51" i="3"/>
  <c r="R5" i="4" s="1"/>
  <c r="Q5" i="4"/>
  <c r="P5" i="4"/>
  <c r="M5" i="4"/>
  <c r="L5" i="4"/>
  <c r="T51" i="3"/>
  <c r="K5" i="4" s="1"/>
  <c r="J5" i="4"/>
  <c r="J51" i="3"/>
  <c r="F5" i="4" s="1"/>
  <c r="H51" i="3"/>
  <c r="E5" i="4" s="1"/>
  <c r="F51" i="3"/>
  <c r="D5" i="4" s="1"/>
  <c r="D51" i="3"/>
  <c r="C5" i="4" s="1"/>
  <c r="BG42" i="3"/>
  <c r="E204" i="2" s="1"/>
  <c r="BF42" i="3"/>
  <c r="D204" i="2" s="1"/>
  <c r="E143" i="2"/>
  <c r="D143" i="2"/>
  <c r="E129" i="2"/>
  <c r="D129" i="2"/>
  <c r="E122" i="2"/>
  <c r="D122" i="2"/>
  <c r="AI42" i="3"/>
  <c r="E115" i="2" s="1"/>
  <c r="AH42" i="3"/>
  <c r="D115" i="2" s="1"/>
  <c r="E108" i="2"/>
  <c r="D108" i="2"/>
  <c r="E73" i="2"/>
  <c r="D73" i="2"/>
  <c r="U42" i="3"/>
  <c r="E66" i="2" s="1"/>
  <c r="T42" i="3"/>
  <c r="D66" i="2" s="1"/>
  <c r="E59" i="2"/>
  <c r="D59" i="2"/>
  <c r="E45" i="2"/>
  <c r="D45" i="2"/>
  <c r="M42" i="3"/>
  <c r="E38" i="2" s="1"/>
  <c r="K42" i="3"/>
  <c r="E31" i="2" s="1"/>
  <c r="J42" i="3"/>
  <c r="D31" i="2" s="1"/>
  <c r="I42" i="3"/>
  <c r="E24" i="2" s="1"/>
  <c r="H42" i="3"/>
  <c r="D24" i="2" s="1"/>
  <c r="G42" i="3"/>
  <c r="E17" i="2" s="1"/>
  <c r="F42" i="3"/>
  <c r="D17" i="2" s="1"/>
  <c r="E42" i="3"/>
  <c r="E10" i="2" s="1"/>
  <c r="D42" i="3"/>
  <c r="D10" i="2" s="1"/>
  <c r="BG40" i="3"/>
  <c r="E202" i="2" s="1"/>
  <c r="BF40" i="3"/>
  <c r="D202" i="2" s="1"/>
  <c r="E141" i="2"/>
  <c r="D141" i="2"/>
  <c r="E127" i="2"/>
  <c r="D127" i="2"/>
  <c r="E120" i="2"/>
  <c r="D120" i="2"/>
  <c r="AI40" i="3"/>
  <c r="E113" i="2" s="1"/>
  <c r="AH40" i="3"/>
  <c r="D113" i="2" s="1"/>
  <c r="E106" i="2"/>
  <c r="D106" i="2"/>
  <c r="E71" i="2"/>
  <c r="D71" i="2"/>
  <c r="U40" i="3"/>
  <c r="E64" i="2" s="1"/>
  <c r="T40" i="3"/>
  <c r="D64" i="2" s="1"/>
  <c r="E57" i="2"/>
  <c r="D57" i="2"/>
  <c r="E43" i="2"/>
  <c r="D43" i="2"/>
  <c r="M40" i="3"/>
  <c r="E36" i="2" s="1"/>
  <c r="K40" i="3"/>
  <c r="E29" i="2" s="1"/>
  <c r="J40" i="3"/>
  <c r="D29" i="2" s="1"/>
  <c r="I40" i="3"/>
  <c r="E22" i="2" s="1"/>
  <c r="H40" i="3"/>
  <c r="D22" i="2" s="1"/>
  <c r="G40" i="3"/>
  <c r="E15" i="2" s="1"/>
  <c r="F40" i="3"/>
  <c r="D15" i="2" s="1"/>
  <c r="E40" i="3"/>
  <c r="E8" i="2" s="1"/>
  <c r="D40" i="3"/>
  <c r="D8" i="2" s="1"/>
  <c r="BG39" i="3"/>
  <c r="E201" i="2" s="1"/>
  <c r="E140" i="2"/>
  <c r="D140" i="2"/>
  <c r="E126" i="2"/>
  <c r="D126" i="2"/>
  <c r="E119" i="2"/>
  <c r="D119" i="2"/>
  <c r="AI39" i="3"/>
  <c r="E112" i="2" s="1"/>
  <c r="AH39" i="3"/>
  <c r="D112" i="2" s="1"/>
  <c r="E105" i="2"/>
  <c r="D105" i="2"/>
  <c r="U39" i="3"/>
  <c r="E63" i="2" s="1"/>
  <c r="T39" i="3"/>
  <c r="D63" i="2" s="1"/>
  <c r="E56" i="2"/>
  <c r="D56" i="2"/>
  <c r="E42" i="2"/>
  <c r="D42" i="2"/>
  <c r="M39" i="3"/>
  <c r="E35" i="2" s="1"/>
  <c r="K39" i="3"/>
  <c r="E28" i="2" s="1"/>
  <c r="J39" i="3"/>
  <c r="D28" i="2" s="1"/>
  <c r="I39" i="3"/>
  <c r="E21" i="2" s="1"/>
  <c r="H39" i="3"/>
  <c r="D21" i="2" s="1"/>
  <c r="G39" i="3"/>
  <c r="E14" i="2" s="1"/>
  <c r="F39" i="3"/>
  <c r="D14" i="2" s="1"/>
  <c r="E39" i="3"/>
  <c r="E7" i="2" s="1"/>
  <c r="D39" i="3"/>
  <c r="D7" i="2" s="1"/>
  <c r="E139" i="2"/>
  <c r="D139" i="2"/>
  <c r="E125" i="2"/>
  <c r="D125" i="2"/>
  <c r="E118" i="2"/>
  <c r="D118" i="2"/>
  <c r="AI38" i="3"/>
  <c r="E111" i="2" s="1"/>
  <c r="AH38" i="3"/>
  <c r="D111" i="2" s="1"/>
  <c r="E104" i="2"/>
  <c r="D104" i="2"/>
  <c r="E69" i="2"/>
  <c r="D69" i="2"/>
  <c r="U38" i="3"/>
  <c r="E62" i="2" s="1"/>
  <c r="T38" i="3"/>
  <c r="D62" i="2" s="1"/>
  <c r="E55" i="2"/>
  <c r="D55" i="2"/>
  <c r="E41" i="2"/>
  <c r="D41" i="2"/>
  <c r="M38" i="3"/>
  <c r="E34" i="2" s="1"/>
  <c r="K38" i="3"/>
  <c r="E27" i="2" s="1"/>
  <c r="J38" i="3"/>
  <c r="D27" i="2" s="1"/>
  <c r="I38" i="3"/>
  <c r="E20" i="2" s="1"/>
  <c r="H38" i="3"/>
  <c r="D20" i="2" s="1"/>
  <c r="G38" i="3"/>
  <c r="E13" i="2" s="1"/>
  <c r="F38" i="3"/>
  <c r="D13" i="2" s="1"/>
  <c r="E38" i="3"/>
  <c r="E6" i="2" s="1"/>
  <c r="D38" i="3"/>
  <c r="D6" i="2" s="1"/>
  <c r="BG37" i="3"/>
  <c r="BF37" i="3"/>
  <c r="E138" i="2"/>
  <c r="E124" i="2"/>
  <c r="D124" i="2"/>
  <c r="E117" i="2"/>
  <c r="D117" i="2"/>
  <c r="AI37" i="3"/>
  <c r="E110" i="2" s="1"/>
  <c r="AH37" i="3"/>
  <c r="D110" i="2" s="1"/>
  <c r="E68" i="2"/>
  <c r="D68" i="2"/>
  <c r="U37" i="3"/>
  <c r="D54" i="2"/>
  <c r="M37" i="3"/>
  <c r="K37" i="3"/>
  <c r="J37" i="3"/>
  <c r="D26" i="2" s="1"/>
  <c r="I37" i="3"/>
  <c r="H37" i="3"/>
  <c r="G37" i="3"/>
  <c r="F37" i="3"/>
  <c r="E37" i="3"/>
  <c r="D37" i="3"/>
  <c r="D5" i="2" s="1"/>
  <c r="I233" i="2" l="1"/>
  <c r="Y39" i="4"/>
  <c r="Y36" i="4"/>
  <c r="Y37" i="4"/>
  <c r="Y42" i="4" s="1"/>
  <c r="J38" i="4"/>
  <c r="AC38" i="4"/>
  <c r="E39" i="4"/>
  <c r="D39" i="4"/>
  <c r="J39" i="4"/>
  <c r="Z39" i="4"/>
  <c r="E38" i="4"/>
  <c r="E40" i="4" s="1"/>
  <c r="C39" i="4"/>
  <c r="AB39" i="4"/>
  <c r="M38" i="4"/>
  <c r="M40" i="4" s="1"/>
  <c r="M39" i="4"/>
  <c r="AA39" i="4"/>
  <c r="AC39" i="4"/>
  <c r="Z38" i="4"/>
  <c r="AA38" i="4"/>
  <c r="AA40" i="4" s="1"/>
  <c r="AB38" i="4"/>
  <c r="AB40" i="4" s="1"/>
  <c r="J37" i="4"/>
  <c r="J42" i="4" s="1"/>
  <c r="J36" i="4"/>
  <c r="D60" i="2"/>
  <c r="X38" i="4"/>
  <c r="X40" i="4" s="1"/>
  <c r="R38" i="4"/>
  <c r="R40" i="4" s="1"/>
  <c r="W38" i="4"/>
  <c r="L38" i="4"/>
  <c r="L40" i="4" s="1"/>
  <c r="F38" i="4"/>
  <c r="F40" i="4" s="1"/>
  <c r="K38" i="4"/>
  <c r="K40" i="4" s="1"/>
  <c r="V38" i="4"/>
  <c r="AA37" i="4"/>
  <c r="AA42" i="4" s="1"/>
  <c r="AA36" i="4"/>
  <c r="AB36" i="4"/>
  <c r="AB37" i="4"/>
  <c r="AB42" i="4" s="1"/>
  <c r="N38" i="4"/>
  <c r="N40" i="4" s="1"/>
  <c r="P38" i="4"/>
  <c r="O38" i="4"/>
  <c r="M37" i="4"/>
  <c r="M42" i="4" s="1"/>
  <c r="M36" i="4"/>
  <c r="D48" i="3"/>
  <c r="I24" i="2"/>
  <c r="K24" i="2" s="1"/>
  <c r="G24" i="2"/>
  <c r="J24" i="2" s="1"/>
  <c r="D12" i="2"/>
  <c r="F48" i="3"/>
  <c r="E12" i="2"/>
  <c r="E18" i="2" s="1"/>
  <c r="G48" i="3"/>
  <c r="D36" i="4"/>
  <c r="E5" i="2"/>
  <c r="E48" i="3"/>
  <c r="C37" i="4"/>
  <c r="C36" i="4"/>
  <c r="D144" i="2"/>
  <c r="D199" i="2"/>
  <c r="D205" i="2" s="1"/>
  <c r="BF48" i="3"/>
  <c r="E199" i="2"/>
  <c r="E205" i="2" s="1"/>
  <c r="BG48" i="3"/>
  <c r="Z36" i="4"/>
  <c r="AC36" i="4"/>
  <c r="Z37" i="4"/>
  <c r="Z42" i="4" s="1"/>
  <c r="AC37" i="4"/>
  <c r="AC42" i="4" s="1"/>
  <c r="S38" i="4"/>
  <c r="S40" i="4" s="1"/>
  <c r="I48" i="3"/>
  <c r="E36" i="4"/>
  <c r="D19" i="2"/>
  <c r="H48" i="3"/>
  <c r="E37" i="4"/>
  <c r="E42" i="4" s="1"/>
  <c r="Q38" i="4"/>
  <c r="Q40" i="4" s="1"/>
  <c r="T38" i="4"/>
  <c r="T40" i="4" s="1"/>
  <c r="L39" i="4"/>
  <c r="E61" i="2"/>
  <c r="E67" i="2" s="1"/>
  <c r="U48" i="3"/>
  <c r="E70" i="2"/>
  <c r="E74" i="2" s="1"/>
  <c r="L36" i="4"/>
  <c r="L37" i="4"/>
  <c r="L42" i="4" s="1"/>
  <c r="V48" i="3"/>
  <c r="W48" i="3"/>
  <c r="D74" i="2"/>
  <c r="U39" i="4"/>
  <c r="T39" i="4"/>
  <c r="D11" i="2"/>
  <c r="I202" i="2"/>
  <c r="G202" i="2"/>
  <c r="J202" i="2" s="1"/>
  <c r="L202" i="2" s="1"/>
  <c r="I201" i="2"/>
  <c r="G201" i="2"/>
  <c r="J201" i="2" s="1"/>
  <c r="L201" i="2" s="1"/>
  <c r="I200" i="2"/>
  <c r="G200" i="2"/>
  <c r="J200" i="2" s="1"/>
  <c r="L200" i="2" s="1"/>
  <c r="G204" i="2"/>
  <c r="J204" i="2" s="1"/>
  <c r="L204" i="2" s="1"/>
  <c r="I204" i="2"/>
  <c r="G203" i="2"/>
  <c r="J203" i="2" s="1"/>
  <c r="L203" i="2" s="1"/>
  <c r="I203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L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9" i="4"/>
  <c r="X39" i="4"/>
  <c r="O39" i="4"/>
  <c r="Q39" i="4"/>
  <c r="R39" i="4"/>
  <c r="V39" i="4"/>
  <c r="S39" i="4"/>
  <c r="W39" i="4"/>
  <c r="N39" i="4"/>
  <c r="K39" i="4"/>
  <c r="F39" i="4"/>
  <c r="N37" i="4"/>
  <c r="N42" i="4" s="1"/>
  <c r="G125" i="2"/>
  <c r="J125" i="2" s="1"/>
  <c r="L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48" i="3"/>
  <c r="Q48" i="3"/>
  <c r="D116" i="2"/>
  <c r="AH48" i="3"/>
  <c r="T48" i="3"/>
  <c r="E82" i="2"/>
  <c r="E88" i="2" s="1"/>
  <c r="AA48" i="3"/>
  <c r="D40" i="2"/>
  <c r="N48" i="3"/>
  <c r="E116" i="2"/>
  <c r="AI48" i="3"/>
  <c r="E158" i="2"/>
  <c r="AU48" i="3"/>
  <c r="AP48" i="3"/>
  <c r="AB48" i="3"/>
  <c r="D32" i="2"/>
  <c r="J48" i="3"/>
  <c r="E40" i="2"/>
  <c r="E46" i="2" s="1"/>
  <c r="O48" i="3"/>
  <c r="E54" i="2"/>
  <c r="D103" i="2"/>
  <c r="D109" i="2" s="1"/>
  <c r="AF48" i="3"/>
  <c r="AJ48" i="3"/>
  <c r="E144" i="2"/>
  <c r="AQ48" i="3"/>
  <c r="AC48" i="3"/>
  <c r="E131" i="2"/>
  <c r="E137" i="2" s="1"/>
  <c r="AO48" i="3"/>
  <c r="D102" i="2"/>
  <c r="AD48" i="3"/>
  <c r="AL48" i="3"/>
  <c r="E151" i="2"/>
  <c r="AS48" i="3"/>
  <c r="AT48" i="3"/>
  <c r="E19" i="2"/>
  <c r="E25" i="2" s="1"/>
  <c r="AE48" i="3"/>
  <c r="AM48" i="3"/>
  <c r="D33" i="2"/>
  <c r="L48" i="3"/>
  <c r="E26" i="2"/>
  <c r="E32" i="2" s="1"/>
  <c r="K48" i="3"/>
  <c r="P48" i="3"/>
  <c r="E109" i="2"/>
  <c r="AG48" i="3"/>
  <c r="AK48" i="3"/>
  <c r="AR48" i="3"/>
  <c r="D82" i="2"/>
  <c r="D88" i="2" s="1"/>
  <c r="Z48" i="3"/>
  <c r="D131" i="2"/>
  <c r="D137" i="2" s="1"/>
  <c r="AN48" i="3"/>
  <c r="K37" i="4"/>
  <c r="K42" i="4" s="1"/>
  <c r="K36" i="4"/>
  <c r="X37" i="4"/>
  <c r="U40" i="4"/>
  <c r="AD5" i="4"/>
  <c r="AD6" i="4"/>
  <c r="AD7" i="4"/>
  <c r="AD8" i="4"/>
  <c r="AD17" i="4"/>
  <c r="AD19" i="4"/>
  <c r="AD20" i="4"/>
  <c r="AD21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9" i="4"/>
  <c r="D20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7" i="4"/>
  <c r="I38" i="4" s="1"/>
  <c r="I66" i="2"/>
  <c r="M66" i="2" s="1"/>
  <c r="O37" i="4"/>
  <c r="U37" i="4"/>
  <c r="U42" i="4" s="1"/>
  <c r="W37" i="4"/>
  <c r="W42" i="4" s="1"/>
  <c r="Q37" i="4"/>
  <c r="Q42" i="4" s="1"/>
  <c r="S37" i="4"/>
  <c r="S42" i="4" s="1"/>
  <c r="F37" i="4"/>
  <c r="F42" i="4" s="1"/>
  <c r="T37" i="4"/>
  <c r="T42" i="4" s="1"/>
  <c r="V37" i="4"/>
  <c r="V42" i="4" s="1"/>
  <c r="P37" i="4"/>
  <c r="P42" i="4" s="1"/>
  <c r="R37" i="4"/>
  <c r="I105" i="2"/>
  <c r="M105" i="2" s="1"/>
  <c r="G105" i="2"/>
  <c r="J105" i="2" s="1"/>
  <c r="L105" i="2" s="1"/>
  <c r="I106" i="2"/>
  <c r="M106" i="2" s="1"/>
  <c r="G106" i="2"/>
  <c r="J106" i="2" s="1"/>
  <c r="L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7" i="4"/>
  <c r="H38" i="4" s="1"/>
  <c r="G6" i="4"/>
  <c r="G7" i="4"/>
  <c r="G8" i="4"/>
  <c r="G10" i="4"/>
  <c r="G17" i="4"/>
  <c r="G5" i="4"/>
  <c r="D247" i="2"/>
  <c r="G71" i="2"/>
  <c r="J71" i="2" s="1"/>
  <c r="L71" i="2" s="1"/>
  <c r="D235" i="2"/>
  <c r="E235" i="2" s="1"/>
  <c r="I8" i="2"/>
  <c r="G85" i="2"/>
  <c r="J85" i="2" s="1"/>
  <c r="L85" i="2" s="1"/>
  <c r="I71" i="2"/>
  <c r="I10" i="2"/>
  <c r="G73" i="2"/>
  <c r="J73" i="2" s="1"/>
  <c r="L73" i="2" s="1"/>
  <c r="I73" i="2"/>
  <c r="F235" i="2"/>
  <c r="G235" i="2" s="1"/>
  <c r="D231" i="2"/>
  <c r="E231" i="2" s="1"/>
  <c r="P36" i="4"/>
  <c r="G8" i="2"/>
  <c r="J8" i="2" s="1"/>
  <c r="G7" i="2"/>
  <c r="J7" i="2" s="1"/>
  <c r="D232" i="2"/>
  <c r="E232" i="2" s="1"/>
  <c r="N36" i="4"/>
  <c r="I83" i="2"/>
  <c r="M83" i="2" s="1"/>
  <c r="G83" i="2"/>
  <c r="J83" i="2" s="1"/>
  <c r="F36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30" i="2"/>
  <c r="E230" i="2" s="1"/>
  <c r="F231" i="2"/>
  <c r="G231" i="2" s="1"/>
  <c r="G232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" i="2"/>
  <c r="I72" i="2"/>
  <c r="M72" i="2" s="1"/>
  <c r="I84" i="2"/>
  <c r="M84" i="2" s="1"/>
  <c r="G84" i="2"/>
  <c r="J84" i="2" s="1"/>
  <c r="L84" i="2" s="1"/>
  <c r="O36" i="4"/>
  <c r="I87" i="2"/>
  <c r="M87" i="2" s="1"/>
  <c r="G87" i="2"/>
  <c r="J87" i="2" s="1"/>
  <c r="L87" i="2" s="1"/>
  <c r="I85" i="2"/>
  <c r="M85" i="2" s="1"/>
  <c r="B21" i="13"/>
  <c r="N198" i="2"/>
  <c r="B28" i="13"/>
  <c r="B14" i="13"/>
  <c r="B13" i="13"/>
  <c r="W36" i="4"/>
  <c r="V36" i="4"/>
  <c r="X36" i="4"/>
  <c r="N144" i="2"/>
  <c r="B22" i="13" s="1"/>
  <c r="F230" i="2"/>
  <c r="F234" i="2"/>
  <c r="G233" i="2"/>
  <c r="D233" i="2"/>
  <c r="E233" i="2" s="1"/>
  <c r="D234" i="2"/>
  <c r="I134" i="2"/>
  <c r="M134" i="2" s="1"/>
  <c r="G134" i="2"/>
  <c r="U36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6" i="4"/>
  <c r="S36" i="4"/>
  <c r="R36" i="4"/>
  <c r="Q36" i="4"/>
  <c r="F242" i="2" l="1"/>
  <c r="I242" i="2"/>
  <c r="G165" i="2"/>
  <c r="J165" i="2" s="1"/>
  <c r="I165" i="2"/>
  <c r="I170" i="2" s="1"/>
  <c r="L118" i="2"/>
  <c r="W118" i="2"/>
  <c r="K234" i="2"/>
  <c r="L234" i="2" s="1"/>
  <c r="D38" i="4"/>
  <c r="D40" i="4" s="1"/>
  <c r="AD38" i="4"/>
  <c r="K233" i="2"/>
  <c r="L233" i="2" s="1"/>
  <c r="AD39" i="4"/>
  <c r="M234" i="2"/>
  <c r="N234" i="2" s="1"/>
  <c r="M233" i="2"/>
  <c r="N233" i="2" s="1"/>
  <c r="D18" i="2"/>
  <c r="H4" i="13" s="1"/>
  <c r="K231" i="2"/>
  <c r="L231" i="2" s="1"/>
  <c r="M231" i="2"/>
  <c r="N231" i="2" s="1"/>
  <c r="E11" i="2"/>
  <c r="M235" i="2"/>
  <c r="N235" i="2" s="1"/>
  <c r="K235" i="2"/>
  <c r="L235" i="2" s="1"/>
  <c r="L117" i="2"/>
  <c r="G54" i="2"/>
  <c r="G60" i="2" s="1"/>
  <c r="E60" i="2"/>
  <c r="L145" i="2"/>
  <c r="L110" i="2"/>
  <c r="L10" i="2"/>
  <c r="M7" i="2"/>
  <c r="L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71" i="2" s="1"/>
  <c r="I12" i="2"/>
  <c r="I18" i="2" s="1"/>
  <c r="G12" i="2"/>
  <c r="J12" i="2" s="1"/>
  <c r="W12" i="2" s="1"/>
  <c r="L138" i="2"/>
  <c r="G199" i="2"/>
  <c r="G205" i="2" s="1"/>
  <c r="L24" i="2"/>
  <c r="W24" i="2"/>
  <c r="M24" i="2"/>
  <c r="I199" i="2"/>
  <c r="I205" i="2" s="1"/>
  <c r="D37" i="4"/>
  <c r="D42" i="4" s="1"/>
  <c r="AD36" i="4"/>
  <c r="AD37" i="4"/>
  <c r="AD42" i="4" s="1"/>
  <c r="G230" i="2"/>
  <c r="G242" i="2" s="1"/>
  <c r="G70" i="2"/>
  <c r="J70" i="2" s="1"/>
  <c r="W70" i="2" s="1"/>
  <c r="I70" i="2"/>
  <c r="K70" i="2" s="1"/>
  <c r="J159" i="2"/>
  <c r="J170" i="2" s="1"/>
  <c r="I37" i="4"/>
  <c r="I42" i="4" s="1"/>
  <c r="W200" i="2"/>
  <c r="L89" i="2"/>
  <c r="L20" i="2"/>
  <c r="W20" i="2"/>
  <c r="K203" i="2"/>
  <c r="M203" i="2"/>
  <c r="M204" i="2"/>
  <c r="K204" i="2"/>
  <c r="K200" i="2"/>
  <c r="M200" i="2"/>
  <c r="M201" i="2"/>
  <c r="K201" i="2"/>
  <c r="M202" i="2"/>
  <c r="K202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9" i="4"/>
  <c r="G39" i="4"/>
  <c r="I39" i="4"/>
  <c r="W142" i="2"/>
  <c r="O40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8" i="13" s="1"/>
  <c r="I19" i="2"/>
  <c r="M19" i="2" s="1"/>
  <c r="G152" i="2"/>
  <c r="J152" i="2" s="1"/>
  <c r="W152" i="2" s="1"/>
  <c r="I103" i="2"/>
  <c r="M103" i="2" s="1"/>
  <c r="G26" i="2"/>
  <c r="J26" i="2" s="1"/>
  <c r="W26" i="2" s="1"/>
  <c r="H26" i="13"/>
  <c r="H14" i="13"/>
  <c r="I152" i="2"/>
  <c r="M152" i="2" s="1"/>
  <c r="I26" i="2"/>
  <c r="M26" i="2" s="1"/>
  <c r="G82" i="2"/>
  <c r="G88" i="2" s="1"/>
  <c r="I154" i="2"/>
  <c r="M154" i="2" s="1"/>
  <c r="G103" i="2"/>
  <c r="J103" i="2" s="1"/>
  <c r="W103" i="2" s="1"/>
  <c r="D158" i="2"/>
  <c r="H24" i="13" s="1"/>
  <c r="D25" i="2"/>
  <c r="H5" i="13" s="1"/>
  <c r="I54" i="2"/>
  <c r="I60" i="2" s="1"/>
  <c r="G19" i="2"/>
  <c r="J19" i="2" s="1"/>
  <c r="W19" i="2" s="1"/>
  <c r="G154" i="2"/>
  <c r="J154" i="2" s="1"/>
  <c r="W154" i="2" s="1"/>
  <c r="H30" i="13"/>
  <c r="C40" i="4"/>
  <c r="W150" i="2"/>
  <c r="W181" i="2"/>
  <c r="P43" i="4"/>
  <c r="I16" i="13" s="1"/>
  <c r="P40" i="4"/>
  <c r="W127" i="2"/>
  <c r="W173" i="2"/>
  <c r="W149" i="2"/>
  <c r="W91" i="2"/>
  <c r="W157" i="2"/>
  <c r="L157" i="2"/>
  <c r="W155" i="2"/>
  <c r="L155" i="2"/>
  <c r="W203" i="2"/>
  <c r="W94" i="2"/>
  <c r="W182" i="2"/>
  <c r="W183" i="2"/>
  <c r="K73" i="2"/>
  <c r="M73" i="2"/>
  <c r="K8" i="2"/>
  <c r="M8" i="2"/>
  <c r="W140" i="2"/>
  <c r="W143" i="2"/>
  <c r="Z43" i="4"/>
  <c r="I26" i="13" s="1"/>
  <c r="Z40" i="4"/>
  <c r="Y41" i="4"/>
  <c r="Y40" i="4"/>
  <c r="W128" i="2"/>
  <c r="W126" i="2"/>
  <c r="W195" i="2"/>
  <c r="W129" i="2"/>
  <c r="W93" i="2"/>
  <c r="W197" i="2"/>
  <c r="K71" i="2"/>
  <c r="M71" i="2"/>
  <c r="J41" i="4"/>
  <c r="J40" i="4"/>
  <c r="W41" i="4"/>
  <c r="W40" i="4"/>
  <c r="W90" i="2"/>
  <c r="W83" i="2"/>
  <c r="L83" i="2"/>
  <c r="W164" i="2"/>
  <c r="L27" i="2"/>
  <c r="W196" i="2"/>
  <c r="W148" i="2"/>
  <c r="W146" i="2"/>
  <c r="W92" i="2"/>
  <c r="L69" i="2"/>
  <c r="W156" i="2"/>
  <c r="L156" i="2"/>
  <c r="L153" i="2"/>
  <c r="W204" i="2"/>
  <c r="K10" i="2"/>
  <c r="M10" i="2"/>
  <c r="W141" i="2"/>
  <c r="W48" i="2"/>
  <c r="V41" i="4"/>
  <c r="V40" i="4"/>
  <c r="L41" i="2"/>
  <c r="AC43" i="4"/>
  <c r="I29" i="13" s="1"/>
  <c r="AC40" i="4"/>
  <c r="E234" i="2"/>
  <c r="E242" i="2" s="1"/>
  <c r="D242" i="2"/>
  <c r="D6" i="11" s="1"/>
  <c r="G234" i="2"/>
  <c r="X42" i="4"/>
  <c r="X43" i="4"/>
  <c r="O42" i="4"/>
  <c r="D219" i="2"/>
  <c r="H32" i="13" s="1"/>
  <c r="B29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J54" i="2"/>
  <c r="K59" i="2"/>
  <c r="K57" i="2"/>
  <c r="K55" i="2"/>
  <c r="K56" i="2"/>
  <c r="G37" i="4"/>
  <c r="G42" i="4" s="1"/>
  <c r="W104" i="2"/>
  <c r="W111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L34" i="2" s="1"/>
  <c r="I36" i="2"/>
  <c r="M36" i="2" s="1"/>
  <c r="G36" i="2"/>
  <c r="J36" i="2" s="1"/>
  <c r="L36" i="2" s="1"/>
  <c r="I33" i="2"/>
  <c r="M33" i="2" s="1"/>
  <c r="D39" i="2"/>
  <c r="H7" i="13" s="1"/>
  <c r="G33" i="2"/>
  <c r="I36" i="4"/>
  <c r="K62" i="2"/>
  <c r="K63" i="2"/>
  <c r="K65" i="2"/>
  <c r="K64" i="2"/>
  <c r="H11" i="13"/>
  <c r="I61" i="2"/>
  <c r="I67" i="2" s="1"/>
  <c r="G61" i="2"/>
  <c r="J61" i="2" s="1"/>
  <c r="W61" i="2" s="1"/>
  <c r="K66" i="2"/>
  <c r="G66" i="2"/>
  <c r="J66" i="2" s="1"/>
  <c r="L66" i="2" s="1"/>
  <c r="H37" i="4"/>
  <c r="H42" i="4" s="1"/>
  <c r="K106" i="2"/>
  <c r="K105" i="2"/>
  <c r="K108" i="2"/>
  <c r="K107" i="2"/>
  <c r="K104" i="2"/>
  <c r="N102" i="2"/>
  <c r="B16" i="13" s="1"/>
  <c r="W135" i="2"/>
  <c r="C244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105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36" i="4"/>
  <c r="K27" i="2"/>
  <c r="K28" i="2"/>
  <c r="K29" i="2"/>
  <c r="K30" i="2"/>
  <c r="K31" i="2"/>
  <c r="H9" i="13"/>
  <c r="H13" i="13"/>
  <c r="G36" i="4"/>
  <c r="H21" i="13"/>
  <c r="H22" i="13"/>
  <c r="H12" i="13"/>
  <c r="C42" i="4"/>
  <c r="C41" i="4"/>
  <c r="D123" i="2"/>
  <c r="C43" i="4"/>
  <c r="H18" i="13"/>
  <c r="D95" i="2"/>
  <c r="P41" i="4"/>
  <c r="G6" i="2"/>
  <c r="J6" i="2" s="1"/>
  <c r="R43" i="4"/>
  <c r="I18" i="13" s="1"/>
  <c r="R41" i="4"/>
  <c r="Q41" i="4"/>
  <c r="Q43" i="4"/>
  <c r="I17" i="13" s="1"/>
  <c r="N41" i="4"/>
  <c r="N43" i="4"/>
  <c r="I14" i="13" s="1"/>
  <c r="M43" i="4"/>
  <c r="I13" i="13" s="1"/>
  <c r="M41" i="4"/>
  <c r="E123" i="2"/>
  <c r="K69" i="2"/>
  <c r="K41" i="4"/>
  <c r="K43" i="4"/>
  <c r="I11" i="13" s="1"/>
  <c r="J43" i="4"/>
  <c r="I10" i="13" s="1"/>
  <c r="Z41" i="4"/>
  <c r="K83" i="2"/>
  <c r="I136" i="2"/>
  <c r="I68" i="2"/>
  <c r="M68" i="2" s="1"/>
  <c r="E43" i="4"/>
  <c r="I5" i="13" s="1"/>
  <c r="E41" i="4"/>
  <c r="K157" i="2"/>
  <c r="K153" i="2"/>
  <c r="X41" i="4"/>
  <c r="K156" i="2"/>
  <c r="K155" i="2"/>
  <c r="L43" i="4"/>
  <c r="I12" i="13" s="1"/>
  <c r="L41" i="4"/>
  <c r="K72" i="2"/>
  <c r="K87" i="2"/>
  <c r="I6" i="2"/>
  <c r="Y43" i="4"/>
  <c r="I25" i="13" s="1"/>
  <c r="E95" i="2"/>
  <c r="F43" i="4"/>
  <c r="I6" i="13" s="1"/>
  <c r="F41" i="4"/>
  <c r="K9" i="2"/>
  <c r="E102" i="2"/>
  <c r="H16" i="13" s="1"/>
  <c r="H6" i="13"/>
  <c r="O43" i="4"/>
  <c r="O41" i="4"/>
  <c r="G5" i="2"/>
  <c r="I5" i="2"/>
  <c r="K7" i="2"/>
  <c r="G136" i="2"/>
  <c r="K85" i="2"/>
  <c r="K84" i="2"/>
  <c r="G68" i="2"/>
  <c r="K86" i="2"/>
  <c r="W43" i="4"/>
  <c r="I23" i="13" s="1"/>
  <c r="V43" i="4"/>
  <c r="I22" i="13" s="1"/>
  <c r="AC41" i="4"/>
  <c r="AB43" i="4"/>
  <c r="I28" i="13" s="1"/>
  <c r="AB41" i="4"/>
  <c r="D151" i="2"/>
  <c r="H23" i="13" s="1"/>
  <c r="AA43" i="4"/>
  <c r="I27" i="13" s="1"/>
  <c r="AA41" i="4"/>
  <c r="C3" i="13"/>
  <c r="U43" i="4"/>
  <c r="I21" i="13" s="1"/>
  <c r="U41" i="4"/>
  <c r="K133" i="2"/>
  <c r="K132" i="2"/>
  <c r="K135" i="2"/>
  <c r="K134" i="2"/>
  <c r="H20" i="13"/>
  <c r="T43" i="4"/>
  <c r="I20" i="13" s="1"/>
  <c r="T41" i="4"/>
  <c r="S43" i="4"/>
  <c r="I19" i="13" s="1"/>
  <c r="S41" i="4"/>
  <c r="R42" i="4"/>
  <c r="B36" i="4" l="1"/>
  <c r="J242" i="2"/>
  <c r="K232" i="2"/>
  <c r="L232" i="2" s="1"/>
  <c r="G170" i="2"/>
  <c r="B38" i="4"/>
  <c r="W159" i="2"/>
  <c r="K165" i="2"/>
  <c r="K170" i="2" s="1"/>
  <c r="M165" i="2"/>
  <c r="M170" i="2" s="1"/>
  <c r="W165" i="2"/>
  <c r="L165" i="2"/>
  <c r="M232" i="2"/>
  <c r="N232" i="2" s="1"/>
  <c r="B39" i="4"/>
  <c r="B42" i="4"/>
  <c r="M230" i="2"/>
  <c r="B37" i="4"/>
  <c r="B33" i="13"/>
  <c r="K230" i="2"/>
  <c r="J60" i="2"/>
  <c r="W54" i="2"/>
  <c r="M54" i="2"/>
  <c r="M60" i="2" s="1"/>
  <c r="M12" i="2"/>
  <c r="M18" i="2" s="1"/>
  <c r="L12" i="2"/>
  <c r="L18" i="2" s="1"/>
  <c r="K12" i="2"/>
  <c r="K18" i="2" s="1"/>
  <c r="M6" i="2"/>
  <c r="J199" i="2"/>
  <c r="W199" i="2" s="1"/>
  <c r="G18" i="2"/>
  <c r="M199" i="2"/>
  <c r="M205" i="2" s="1"/>
  <c r="K199" i="2"/>
  <c r="K205" i="2" s="1"/>
  <c r="G11" i="2"/>
  <c r="I11" i="2"/>
  <c r="G74" i="2"/>
  <c r="M70" i="2"/>
  <c r="M74" i="2" s="1"/>
  <c r="F247" i="2"/>
  <c r="I247" i="2"/>
  <c r="L159" i="2"/>
  <c r="L170" i="2" s="1"/>
  <c r="L19" i="2"/>
  <c r="L25" i="2" s="1"/>
  <c r="W25" i="2"/>
  <c r="I74" i="2"/>
  <c r="L70" i="2"/>
  <c r="M5" i="2"/>
  <c r="L131" i="2"/>
  <c r="L54" i="2"/>
  <c r="L60" i="2" s="1"/>
  <c r="M82" i="2"/>
  <c r="M88" i="2" s="1"/>
  <c r="I88" i="2"/>
  <c r="J102" i="2"/>
  <c r="W102" i="2"/>
  <c r="D16" i="13" s="1"/>
  <c r="L123" i="2"/>
  <c r="L124" i="2"/>
  <c r="L130" i="2" s="1"/>
  <c r="J130" i="2"/>
  <c r="K130" i="2"/>
  <c r="I46" i="2"/>
  <c r="M130" i="2"/>
  <c r="K116" i="2"/>
  <c r="G46" i="2"/>
  <c r="J82" i="2"/>
  <c r="W82" i="2" s="1"/>
  <c r="G109" i="2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L102" i="2"/>
  <c r="I109" i="2"/>
  <c r="K103" i="2"/>
  <c r="K109" i="2" s="1"/>
  <c r="H10" i="13"/>
  <c r="M158" i="2"/>
  <c r="L154" i="2"/>
  <c r="K144" i="2"/>
  <c r="I158" i="2"/>
  <c r="G158" i="2"/>
  <c r="I144" i="2"/>
  <c r="K26" i="2"/>
  <c r="K32" i="2" s="1"/>
  <c r="K154" i="2"/>
  <c r="H28" i="13"/>
  <c r="W194" i="2"/>
  <c r="W198" i="2" s="1"/>
  <c r="L152" i="2"/>
  <c r="W158" i="2"/>
  <c r="W162" i="2"/>
  <c r="W161" i="2"/>
  <c r="W179" i="2"/>
  <c r="L103" i="2"/>
  <c r="L109" i="2" s="1"/>
  <c r="M61" i="2"/>
  <c r="M67" i="2" s="1"/>
  <c r="G43" i="4"/>
  <c r="I7" i="13" s="1"/>
  <c r="G40" i="4"/>
  <c r="W201" i="2"/>
  <c r="W6" i="2"/>
  <c r="L6" i="2"/>
  <c r="W144" i="2"/>
  <c r="D22" i="13" s="1"/>
  <c r="L144" i="2"/>
  <c r="W174" i="2"/>
  <c r="W175" i="2"/>
  <c r="I41" i="4"/>
  <c r="I40" i="4"/>
  <c r="L40" i="2"/>
  <c r="L46" i="2" s="1"/>
  <c r="W133" i="2"/>
  <c r="L133" i="2"/>
  <c r="W125" i="2"/>
  <c r="W160" i="2"/>
  <c r="W176" i="2"/>
  <c r="AD41" i="4"/>
  <c r="AD40" i="4"/>
  <c r="W180" i="2"/>
  <c r="W13" i="2"/>
  <c r="W95" i="2"/>
  <c r="D15" i="13" s="1"/>
  <c r="I137" i="2"/>
  <c r="M136" i="2"/>
  <c r="M137" i="2" s="1"/>
  <c r="W202" i="2"/>
  <c r="W163" i="2"/>
  <c r="W32" i="2"/>
  <c r="L26" i="2"/>
  <c r="L32" i="2" s="1"/>
  <c r="W172" i="2"/>
  <c r="H43" i="4"/>
  <c r="I8" i="13" s="1"/>
  <c r="H40" i="4"/>
  <c r="W116" i="2"/>
  <c r="D18" i="13" s="1"/>
  <c r="L116" i="2"/>
  <c r="J158" i="2"/>
  <c r="I24" i="13"/>
  <c r="I15" i="13"/>
  <c r="G212" i="2"/>
  <c r="AD43" i="4"/>
  <c r="I30" i="13" s="1"/>
  <c r="I212" i="2"/>
  <c r="G219" i="2"/>
  <c r="W211" i="2"/>
  <c r="W210" i="2"/>
  <c r="W209" i="2"/>
  <c r="I219" i="2"/>
  <c r="W218" i="2"/>
  <c r="C4" i="13"/>
  <c r="A178" i="2"/>
  <c r="A185" i="2" s="1"/>
  <c r="W122" i="2"/>
  <c r="W119" i="2"/>
  <c r="W120" i="2"/>
  <c r="J136" i="2"/>
  <c r="W134" i="2"/>
  <c r="W132" i="2"/>
  <c r="W121" i="2"/>
  <c r="D43" i="4"/>
  <c r="W34" i="2"/>
  <c r="J95" i="2"/>
  <c r="D41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43" i="4"/>
  <c r="I9" i="13" s="1"/>
  <c r="W66" i="2"/>
  <c r="K61" i="2"/>
  <c r="K67" i="2" s="1"/>
  <c r="H41" i="4"/>
  <c r="M109" i="2"/>
  <c r="J109" i="2"/>
  <c r="G41" i="4"/>
  <c r="H29" i="13"/>
  <c r="J144" i="2"/>
  <c r="W106" i="2"/>
  <c r="W45" i="2"/>
  <c r="W51" i="2"/>
  <c r="W50" i="2"/>
  <c r="W59" i="2"/>
  <c r="W43" i="2"/>
  <c r="W52" i="2"/>
  <c r="J32" i="2"/>
  <c r="M32" i="2"/>
  <c r="B248" i="2"/>
  <c r="C248" i="2"/>
  <c r="H25" i="13"/>
  <c r="H15" i="13"/>
  <c r="H19" i="13"/>
  <c r="H17" i="13"/>
  <c r="H3" i="13"/>
  <c r="I3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47" i="2"/>
  <c r="N230" i="2" l="1"/>
  <c r="N242" i="2" s="1"/>
  <c r="M242" i="2"/>
  <c r="L230" i="2"/>
  <c r="L242" i="2" s="1"/>
  <c r="K242" i="2"/>
  <c r="W170" i="2"/>
  <c r="O170" i="2" s="1"/>
  <c r="F25" i="13" s="1"/>
  <c r="B41" i="4"/>
  <c r="B40" i="4"/>
  <c r="I4" i="13"/>
  <c r="I33" i="13" s="1"/>
  <c r="B43" i="4"/>
  <c r="J74" i="2"/>
  <c r="M11" i="2"/>
  <c r="J11" i="2"/>
  <c r="W18" i="2"/>
  <c r="J205" i="2"/>
  <c r="L199" i="2"/>
  <c r="L205" i="2" s="1"/>
  <c r="A192" i="2"/>
  <c r="A199" i="2" s="1"/>
  <c r="A206" i="2" s="1"/>
  <c r="A213" i="2" s="1"/>
  <c r="W205" i="2"/>
  <c r="D30" i="13" s="1"/>
  <c r="W184" i="2"/>
  <c r="D27" i="13" s="1"/>
  <c r="J88" i="2"/>
  <c r="K11" i="2"/>
  <c r="D29" i="13"/>
  <c r="D9" i="11"/>
  <c r="D8" i="11"/>
  <c r="W177" i="2"/>
  <c r="O177" i="2" s="1"/>
  <c r="F26" i="13" s="1"/>
  <c r="W11" i="2"/>
  <c r="W81" i="2"/>
  <c r="L82" i="2"/>
  <c r="L88" i="2" s="1"/>
  <c r="K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K151" i="2"/>
  <c r="K158" i="2"/>
  <c r="L61" i="2"/>
  <c r="L67" i="2" s="1"/>
  <c r="J67" i="2"/>
  <c r="L158" i="2"/>
  <c r="O198" i="2"/>
  <c r="F29" i="13" s="1"/>
  <c r="K95" i="2"/>
  <c r="W130" i="2"/>
  <c r="L68" i="2"/>
  <c r="L74" i="2" s="1"/>
  <c r="J137" i="2"/>
  <c r="L136" i="2"/>
  <c r="L137" i="2" s="1"/>
  <c r="L5" i="2"/>
  <c r="L11" i="2" s="1"/>
  <c r="W39" i="2"/>
  <c r="D7" i="13" s="1"/>
  <c r="L33" i="2"/>
  <c r="L39" i="2" s="1"/>
  <c r="J212" i="2"/>
  <c r="L212" i="2"/>
  <c r="J151" i="2"/>
  <c r="L151" i="2"/>
  <c r="M219" i="2"/>
  <c r="K219" i="2"/>
  <c r="M212" i="2"/>
  <c r="W208" i="2"/>
  <c r="L219" i="2"/>
  <c r="J219" i="2"/>
  <c r="W219" i="2"/>
  <c r="K212" i="2"/>
  <c r="D24" i="13"/>
  <c r="O158" i="2"/>
  <c r="F24" i="13" s="1"/>
  <c r="D6" i="13"/>
  <c r="D5" i="13"/>
  <c r="W136" i="2"/>
  <c r="W137" i="2" s="1"/>
  <c r="D21" i="13" s="1"/>
  <c r="W123" i="2"/>
  <c r="O102" i="2"/>
  <c r="F16" i="13" s="1"/>
  <c r="M39" i="2"/>
  <c r="J39" i="2"/>
  <c r="K39" i="2"/>
  <c r="W56" i="2"/>
  <c r="W60" i="2" s="1"/>
  <c r="O116" i="2"/>
  <c r="F18" i="13" s="1"/>
  <c r="O32" i="2"/>
  <c r="F6" i="13" s="1"/>
  <c r="O144" i="2"/>
  <c r="F22" i="13" s="1"/>
  <c r="W49" i="2"/>
  <c r="W53" i="2" s="1"/>
  <c r="O53" i="2" s="1"/>
  <c r="W42" i="2"/>
  <c r="W46" i="2" s="1"/>
  <c r="D8" i="13" s="1"/>
  <c r="W109" i="2"/>
  <c r="D17" i="13" s="1"/>
  <c r="O25" i="2"/>
  <c r="F5" i="13" s="1"/>
  <c r="W147" i="2"/>
  <c r="M95" i="2"/>
  <c r="K123" i="2"/>
  <c r="K102" i="2"/>
  <c r="M102" i="2"/>
  <c r="D248" i="2"/>
  <c r="O18" i="2" l="1"/>
  <c r="F4" i="13" s="1"/>
  <c r="D9" i="13"/>
  <c r="D13" i="13"/>
  <c r="O81" i="2"/>
  <c r="F13" i="13" s="1"/>
  <c r="D28" i="13"/>
  <c r="W74" i="2"/>
  <c r="D12" i="13" s="1"/>
  <c r="W88" i="2"/>
  <c r="D14" i="13" s="1"/>
  <c r="D20" i="13"/>
  <c r="O130" i="2"/>
  <c r="F20" i="13" s="1"/>
  <c r="W67" i="2"/>
  <c r="O67" i="2" s="1"/>
  <c r="F11" i="13" s="1"/>
  <c r="D4" i="13"/>
  <c r="O205" i="2"/>
  <c r="F30" i="13" s="1"/>
  <c r="D25" i="13"/>
  <c r="D26" i="13"/>
  <c r="O184" i="2"/>
  <c r="F27" i="13" s="1"/>
  <c r="O219" i="2"/>
  <c r="F32" i="13" s="1"/>
  <c r="D32" i="13"/>
  <c r="D3" i="13"/>
  <c r="W212" i="2"/>
  <c r="D19" i="13"/>
  <c r="O123" i="2"/>
  <c r="F19" i="13" s="1"/>
  <c r="O39" i="2"/>
  <c r="F7" i="13" s="1"/>
  <c r="O137" i="2"/>
  <c r="F21" i="13" s="1"/>
  <c r="O46" i="2"/>
  <c r="F8" i="13" s="1"/>
  <c r="D10" i="13"/>
  <c r="O109" i="2"/>
  <c r="F17" i="13" s="1"/>
  <c r="W151" i="2"/>
  <c r="O11" i="2"/>
  <c r="F3" i="13" s="1"/>
  <c r="F9" i="13"/>
  <c r="G248" i="2"/>
  <c r="F248" i="2"/>
  <c r="I248" i="2"/>
  <c r="W230" i="2" l="1"/>
  <c r="F28" i="13"/>
  <c r="O74" i="2"/>
  <c r="F12" i="13" s="1"/>
  <c r="O88" i="2"/>
  <c r="F14" i="13" s="1"/>
  <c r="D11" i="13"/>
  <c r="O212" i="2"/>
  <c r="F31" i="13" s="1"/>
  <c r="D31" i="13"/>
  <c r="D23" i="13"/>
  <c r="O151" i="2"/>
  <c r="F23" i="13" s="1"/>
  <c r="O60" i="2"/>
  <c r="F10" i="13" s="1"/>
  <c r="E3" i="13"/>
  <c r="L95" i="2"/>
  <c r="O95" i="2"/>
  <c r="D33" i="13" l="1"/>
  <c r="E4" i="13"/>
  <c r="F15" i="13"/>
  <c r="F33" i="13" s="1"/>
  <c r="E5" i="13" l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l="1"/>
  <c r="J249" i="2"/>
  <c r="C5" i="11" s="1"/>
  <c r="B5" i="11" s="1"/>
  <c r="G244" i="2"/>
  <c r="C6" i="11" l="1"/>
  <c r="B6" i="11" s="1"/>
  <c r="C7" i="11"/>
  <c r="B7" i="11" s="1"/>
  <c r="C9" i="11" l="1"/>
  <c r="B9" i="11" s="1"/>
  <c r="C8" i="11"/>
  <c r="B8" i="11" s="1"/>
  <c r="H27" i="13" l="1"/>
  <c r="H33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15588 EB, anden 1. Servicio 656 XT-27-08 (viaje 32), 657 XT-17-03(viaje 36) y 659 XT-14-12 (viaje 44) son desacoplados</t>
        </r>
      </text>
    </comment>
    <comment ref="T1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15583</t>
        </r>
      </text>
    </comment>
    <comment ref="Q19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15600</t>
        </r>
      </text>
    </comment>
    <comment ref="T2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15622
Estación El Belloto, anden 2. Servicio 651 XT-31-30 (viaje 135) y 652 XT-18-12 (viaje 139) son acoplados para cumplir con oferta de equipos en unidad múltiple.</t>
        </r>
      </text>
    </comment>
    <comment ref="Q26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15710</t>
        </r>
      </text>
    </comment>
    <comment ref="T27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15690</t>
        </r>
      </text>
    </comment>
    <comment ref="Q33" authorId="0" shapeId="0" xr:uid="{92BE5A9B-3FD3-4CC6-8FCF-4BE5F92CB5E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16569</t>
        </r>
      </text>
    </comment>
    <comment ref="T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15752
Estación El Belloto, anden 2. Servicio 651 XT-27-11 (viaje 135), 652 XT-33-34 (viaje 139), 653 XT-25-26 (viaje 143), 654 XT-16-19 (viaje 147), 655 XT-31-32 (viaje 151), 656 XT-09-20 (viaje 155) y 659 XT-03-08 (viaje 167) son acoplados para cumplir con oferta de equipos en unidad múltiple.</t>
        </r>
      </text>
    </comment>
    <comment ref="Q40" authorId="0" shapeId="0" xr:uid="{00000000-0006-0000-0100-000008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15897</t>
        </r>
      </text>
    </comment>
    <comment ref="S40" authorId="0" shapeId="0" xr:uid="{00000000-0006-0000-0100-000009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15898</t>
        </r>
      </text>
    </comment>
    <comment ref="T41" authorId="0" shapeId="0" xr:uid="{00000000-0006-0000-0100-00000A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15782</t>
        </r>
      </text>
    </comment>
    <comment ref="Q61" authorId="0" shapeId="0" xr:uid="{00000000-0006-0000-0100-00000B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15877</t>
        </r>
      </text>
    </comment>
    <comment ref="T62" authorId="0" shapeId="0" xr:uid="{00000000-0006-0000-0100-00000C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15896</t>
        </r>
      </text>
    </comment>
    <comment ref="Q68" authorId="0" shapeId="0" xr:uid="{0C5822D8-4902-4D84-835D-A5E3EDA7CE6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15908 
Estación El Belloto, anden 1. Servicio 652 XT-09-10 (viaje 64), 653 XT-32-30 (viaje 66) y 658 XT-12-01 (viaje 76) son desacoplados.</t>
        </r>
      </text>
    </comment>
    <comment ref="T69" authorId="0" shapeId="0" xr:uid="{30298EAE-6911-4B4D-A85E-FD7864C8166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15929</t>
        </r>
      </text>
    </comment>
    <comment ref="Q75" authorId="0" shapeId="0" xr:uid="{2D490DFA-9407-4B87-A060-6425046378C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15933 Estación El Belloto, anden 1. Servicio 658 XT-06-24 (viaje 40), 659 XT-15-19 (viaje 44) y 660 XT-13-12 (viaje 48) son desacoplados.</t>
        </r>
      </text>
    </comment>
    <comment ref="T76" authorId="0" shapeId="0" xr:uid="{D2D6DF0E-9222-40DF-B012-D128AB3CD30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15961</t>
        </r>
      </text>
    </comment>
    <comment ref="T83" authorId="0" shapeId="0" xr:uid="{F105BF70-659D-4FAF-97A2-2B598D03485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15998</t>
        </r>
      </text>
    </comment>
    <comment ref="Q89" authorId="0" shapeId="0" xr:uid="{E24CD619-21BD-4B87-AC3D-ADC7C763086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16006</t>
        </r>
      </text>
    </comment>
    <comment ref="T90" authorId="0" shapeId="0" xr:uid="{ECAEE127-9CCA-4123-BB09-12535BE571C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16019
</t>
        </r>
      </text>
    </comment>
    <comment ref="Q117" authorId="0" shapeId="0" xr:uid="{C3FB1712-BF90-4D72-BACC-496CE5B4BD1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16069 
Estación El Belloto, anden 1. Servicio 654 XT-25-11 (viaje 24), 655 XT-21-10 (viaje 28), 656 XT-33-29 (viaje 32), 657 XT-06-18 (viaje 74) y 658 XT-15-13 (viaje 76) son desacoplados.</t>
        </r>
      </text>
    </comment>
    <comment ref="T118" authorId="0" shapeId="0" xr:uid="{A10822AC-B34E-4AF3-B356-6F247E4CE80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16085 Estación El Belloto, anden 2. Servicio 651 XT-31-34 (viaje 135), 652 XT-03-10 (viaje 139), 653 XT-23-01 (viaje 143), 654 XT-25-13 (viaje 147), 655 XT-21-24 (viaje 151) y 656 XT-30-33 (viaje 155) son acoplados para cumplir con oferta de equipos en unidad múltiple.</t>
        </r>
      </text>
    </comment>
    <comment ref="Q124" authorId="0" shapeId="0" xr:uid="{34360965-68AD-4D67-8C33-71D56822146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16099</t>
        </r>
      </text>
    </comment>
    <comment ref="T125" authorId="0" shapeId="0" xr:uid="{481EC2BC-D20A-4D2E-9080-F5ECBD42311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16103</t>
        </r>
      </text>
    </comment>
    <comment ref="Q131" authorId="0" shapeId="0" xr:uid="{D98A0441-B934-46E4-AEF9-1020B74E077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16155
</t>
        </r>
      </text>
    </comment>
    <comment ref="T132" authorId="0" shapeId="0" xr:uid="{479AE20A-B15D-4DBB-9BF4-AC470FF9CFD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16156</t>
        </r>
      </text>
    </comment>
    <comment ref="Q159" authorId="0" shapeId="0" xr:uid="{1905BC1D-A249-480C-9C76-D7F650C7AA6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16251</t>
        </r>
      </text>
    </comment>
    <comment ref="T160" authorId="0" shapeId="0" xr:uid="{E7550ABE-0CCD-41F0-B706-8496C62B680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16283</t>
        </r>
      </text>
    </comment>
    <comment ref="Q171" authorId="0" shapeId="0" xr:uid="{B210DE24-7C22-4846-880B-E7148BF4C4D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16337</t>
        </r>
      </text>
    </comment>
    <comment ref="T172" authorId="0" shapeId="0" xr:uid="{2DE4A6F8-CED1-434D-963E-9D109881B00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16363</t>
        </r>
      </text>
    </comment>
    <comment ref="Q178" authorId="0" shapeId="0" xr:uid="{D44F5564-63DE-4446-9EC8-1C6B72E99FD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16382</t>
        </r>
      </text>
    </comment>
    <comment ref="T179" authorId="0" shapeId="0" xr:uid="{D038831A-8AE0-41F8-AD97-C15332D4F0D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16411</t>
        </r>
      </text>
    </comment>
    <comment ref="U179" authorId="0" shapeId="0" xr:uid="{DBD9A841-E434-40D5-A809-3BEF3B54DDD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16413
Incidente 16373</t>
        </r>
      </text>
    </comment>
    <comment ref="Q185" authorId="0" shapeId="0" xr:uid="{9D0C4C00-E572-4945-B11A-834ED5C37C4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16430 Estación El Belloto, anden 1. Servicio 655 XT-35-34 (viaje 28), 657 XT-03-14 (viaje 36), 653 XT-19-18 (viaje 66) y 657 XT-09-14 (viaje 74) son desacoplados.</t>
        </r>
      </text>
    </comment>
    <comment ref="T186" authorId="0" shapeId="0" xr:uid="{EB6951C1-0DBD-4020-B293-025DFE34DC7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Incidcente 16443 
EB, anden 2. Servicio 651 XT-13-19 (viaje 135), 652 XT-07-09 (viaje 139), 653 XT-18-08 (viaje 143) y 654 XT-15-03 (viaje 147) son acoplados para cumplir con oferta de equipos en unidad múltiple.</t>
        </r>
      </text>
    </comment>
    <comment ref="Q192" authorId="0" shapeId="0" xr:uid="{E8237B33-6F76-45E3-8386-71787F549E6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16456</t>
        </r>
      </text>
    </comment>
    <comment ref="T193" authorId="0" shapeId="0" xr:uid="{865D51CA-26DE-41B8-8B91-BB4D258D7A8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16481</t>
        </r>
      </text>
    </comment>
    <comment ref="Q213" authorId="0" shapeId="0" xr:uid="{8C39B76E-9CD8-4673-8381-5F8D8AE313C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16561</t>
        </r>
      </text>
    </comment>
    <comment ref="T214" authorId="0" shapeId="0" xr:uid="{DAEA2D65-ED4E-4A7B-9C51-ACCD6BEFAC9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16558</t>
        </r>
      </text>
    </comment>
  </commentList>
</comments>
</file>

<file path=xl/sharedStrings.xml><?xml version="1.0" encoding="utf-8"?>
<sst xmlns="http://schemas.openxmlformats.org/spreadsheetml/2006/main" count="756" uniqueCount="190">
  <si>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</si>
  <si>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</si>
  <si>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</si>
  <si>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</si>
  <si>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</si>
  <si>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</si>
  <si>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</si>
  <si>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</si>
  <si>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</si>
  <si>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</si>
  <si>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</si>
  <si>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</si>
  <si>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</si>
  <si>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</si>
  <si>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</si>
  <si>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</si>
  <si>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</si>
  <si>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</si>
  <si>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</si>
  <si>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</si>
  <si>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</si>
  <si>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</si>
  <si>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</si>
  <si>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</si>
  <si>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</si>
  <si>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</si>
  <si>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</si>
  <si>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</si>
  <si>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</si>
  <si>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</si>
  <si>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</si>
  <si>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</si>
  <si>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</si>
  <si>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</si>
  <si>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</si>
  <si>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</si>
  <si>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</si>
  <si>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</si>
  <si>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</si>
  <si>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</si>
  <si>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</si>
  <si>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</si>
  <si>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</si>
  <si>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</si>
  <si>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</si>
  <si>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</si>
  <si>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</si>
  <si>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</si>
  <si>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</si>
  <si>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</si>
  <si>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</si>
  <si>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</si>
  <si>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</si>
  <si>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</si>
  <si>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</si>
  <si>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</si>
  <si>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</si>
  <si>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</si>
  <si>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</si>
  <si>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</si>
  <si>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</si>
  <si>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</si>
  <si>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</si>
  <si>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</si>
  <si>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</si>
  <si>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</si>
  <si>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</si>
  <si>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</si>
  <si>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</si>
  <si>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</si>
  <si>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</si>
  <si>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</si>
  <si>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</si>
  <si>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</si>
  <si>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</si>
  <si>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</si>
  <si>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</si>
  <si>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</si>
  <si>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</si>
  <si>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</si>
  <si>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</si>
  <si>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</si>
  <si>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</si>
  <si>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</si>
  <si>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</si>
  <si>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</si>
  <si>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</si>
  <si>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</si>
  <si>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</si>
  <si>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</si>
  <si>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</si>
  <si>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</si>
  <si>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</si>
  <si>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</si>
  <si>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</si>
  <si>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</si>
  <si>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</si>
  <si>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</si>
  <si>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</si>
  <si>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</si>
  <si>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</si>
  <si>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</si>
  <si>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</si>
  <si>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</si>
  <si>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</si>
  <si>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</si>
  <si>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</si>
  <si>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</si>
  <si>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</si>
  <si>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</si>
  <si>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</si>
  <si>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</si>
  <si>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</si>
  <si>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</si>
  <si>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</si>
  <si>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</si>
  <si>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</si>
  <si>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</si>
  <si>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</si>
  <si>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</si>
  <si>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</si>
  <si>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</si>
  <si>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</si>
  <si>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</si>
  <si>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</si>
  <si>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</si>
  <si>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</si>
  <si>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</si>
  <si>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</si>
  <si>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</si>
  <si>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</si>
  <si>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</si>
  <si>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</si>
  <si>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</si>
  <si>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</si>
  <si>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</si>
  <si>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</si>
  <si>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</si>
  <si>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</si>
  <si>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</si>
  <si>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</si>
  <si>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</si>
  <si>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</si>
  <si>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</si>
  <si>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</si>
  <si>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</si>
  <si>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</si>
  <si>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</si>
  <si>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</si>
  <si>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</si>
  <si>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</si>
  <si>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</si>
  <si>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</si>
  <si>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</si>
  <si>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</si>
  <si>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</si>
  <si>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</si>
  <si>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</si>
  <si>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</si>
  <si>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</si>
  <si>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</si>
  <si>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</si>
  <si>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</si>
  <si>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</si>
  <si>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</si>
  <si>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</si>
  <si>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</si>
  <si>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</si>
  <si>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Oferta Junio 2025</t>
  </si>
  <si>
    <t>Junio 2025</t>
  </si>
  <si>
    <t>PLANILLA NUEVA DOMINGO CUENTA PUBLICA PRESIDENTE</t>
  </si>
  <si>
    <t xml:space="preserve">Incidentes asociados al frente de mal tiempo </t>
  </si>
  <si>
    <t>MI-LI</t>
  </si>
  <si>
    <t>LI-MI</t>
  </si>
  <si>
    <t>Servicios MI-LI</t>
  </si>
  <si>
    <t>Servicios LI-MI</t>
  </si>
  <si>
    <t>Trenes MI-LI</t>
  </si>
  <si>
    <t>Trenes LI-MI</t>
  </si>
  <si>
    <t>BUCLE LI-MI-LI DEBIDO A INDIVIDUO MUERTO EN VIA 1 PK 6 POSTE 14</t>
  </si>
  <si>
    <t>PU-RE</t>
  </si>
  <si>
    <t>PU-PO</t>
  </si>
  <si>
    <t>PU-BA</t>
  </si>
  <si>
    <t>Servicios PU-RE</t>
  </si>
  <si>
    <t>Trenes PU-RE</t>
  </si>
  <si>
    <t>Servicios MI-SA</t>
  </si>
  <si>
    <t>Trenes MI-SA</t>
  </si>
  <si>
    <t>Servicios SA-MI</t>
  </si>
  <si>
    <t>Trenes SA-MI</t>
  </si>
  <si>
    <t>Planilla especial por elecciones</t>
  </si>
  <si>
    <t>Planilla Laboral Ver7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</si>
</sst>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</numFmts>
  <fonts count="6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theme="6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5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/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60" borderId="0" xfId="0" applyFill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2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3" fontId="52" fillId="0" borderId="2" xfId="0" applyNumberFormat="1" applyFont="1" applyBorder="1" applyAlignment="1">
      <alignment horizontal="center" vertical="center" wrapText="1"/>
    </xf>
    <xf numFmtId="0" fontId="0" fillId="40" borderId="2" xfId="0" applyFill="1" applyBorder="1" applyAlignment="1">
      <alignment horizontal="center"/>
    </xf>
    <xf numFmtId="0" fontId="7" fillId="61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5" fillId="40" borderId="2" xfId="0" applyFont="1" applyFill="1" applyBorder="1" applyAlignment="1">
      <alignment horizontal="center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4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0" fontId="53" fillId="43" borderId="2" xfId="0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/>
    <xf numFmtId="0" fontId="7" fillId="16" borderId="85" xfId="0" applyFont="1" applyFill="1" applyBorder="1" applyAlignment="1" applyProtection="1"/>
    <xf numFmtId="0" fontId="7" fillId="16" borderId="19" xfId="0" applyFont="1" applyFill="1" applyBorder="1" applyAlignment="1" applyProtection="1"/>
    <xf numFmtId="0" fontId="7" fillId="16" borderId="22" xfId="0" applyFont="1" applyFill="1" applyBorder="1" applyAlignment="1" applyProtection="1"/>
    <xf numFmtId="0" fontId="7" fillId="16" borderId="21" xfId="0" applyFont="1" applyFill="1" applyBorder="1" applyAlignment="1" applyProtection="1"/>
    <xf numFmtId="0" fontId="7" fillId="16" borderId="22" xfId="0" applyFont="1" applyFill="1" applyBorder="1" applyAlignment="1" applyProtection="1">
      <alignment horizontal="left"/>
    </xf>
    <xf numFmtId="0" fontId="7" fillId="16" borderId="21" xfId="0" applyFont="1" applyFill="1" applyBorder="1" applyAlignment="1" applyProtection="1">
      <alignment horizontal="left"/>
    </xf>
    <xf numFmtId="0" fontId="7" fillId="16" borderId="24" xfId="0" applyFont="1" applyFill="1" applyBorder="1" applyAlignment="1" applyProtection="1">
      <alignment horizontal="left"/>
    </xf>
    <xf numFmtId="0" fontId="7" fillId="16" borderId="26" xfId="0" applyFont="1" applyFill="1" applyBorder="1" applyAlignment="1" applyProtection="1">
      <alignment horizontal="left"/>
    </xf>
    <xf numFmtId="0" fontId="7" fillId="15" borderId="85" xfId="0" applyFont="1" applyFill="1" applyBorder="1" applyAlignment="1" applyProtection="1"/>
    <xf numFmtId="0" fontId="7" fillId="15" borderId="19" xfId="0" applyFont="1" applyFill="1" applyBorder="1" applyAlignment="1" applyProtection="1"/>
    <xf numFmtId="0" fontId="7" fillId="15" borderId="22" xfId="0" applyFont="1" applyFill="1" applyBorder="1" applyAlignment="1" applyProtection="1"/>
    <xf numFmtId="0" fontId="7" fillId="15" borderId="21" xfId="0" applyFont="1" applyFill="1" applyBorder="1" applyAlignment="1" applyProtection="1"/>
    <xf numFmtId="0" fontId="7" fillId="15" borderId="24" xfId="0" applyFont="1" applyFill="1" applyBorder="1" applyAlignment="1" applyProtection="1"/>
    <xf numFmtId="0" fontId="7" fillId="15" borderId="26" xfId="0" applyFont="1" applyFill="1" applyBorder="1" applyAlignment="1" applyProtection="1">
      <alignment horizontal="left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3" fillId="7" borderId="5" xfId="2" applyFont="1" applyFill="1" applyBorder="1" applyAlignment="1">
      <alignment horizontal="center" vertical="center"/>
    </xf>
    <xf numFmtId="0" fontId="14" fillId="8" borderId="5" xfId="2" applyFont="1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4" fillId="57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49" fillId="38" borderId="0" xfId="2" applyFont="1" applyFill="1" applyAlignment="1">
      <alignment horizontal="center" vertical="center" wrapText="1"/>
    </xf>
    <xf numFmtId="0" fontId="14" fillId="0" borderId="0" xfId="2" applyFont="1" applyFill="1" applyAlignment="1">
      <alignment horizontal="center" vertical="center" wrapText="1"/>
    </xf>
    <xf numFmtId="0" fontId="50" fillId="57" borderId="0" xfId="2" applyFont="1" applyFill="1" applyAlignment="1">
      <alignment horizontal="center" vertical="center" wrapText="1"/>
    </xf>
    <xf numFmtId="0" fontId="59" fillId="62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82"/>
  <sheetViews>
    <sheetView topLeftCell="A16" zoomScale="85" zoomScaleNormal="85" workbookViewId="0">
      <selection activeCell="W34" sqref="W34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</row>
    <row r="2" spans="1:31" x14ac:dyDescent="0.25">
      <c r="A2" s="1"/>
      <c r="B2" s="62">
        <v>45809</v>
      </c>
      <c r="C2" s="62">
        <v>45810</v>
      </c>
      <c r="D2" s="62">
        <v>45811</v>
      </c>
      <c r="E2" s="62">
        <v>45812</v>
      </c>
      <c r="F2" s="62">
        <v>45813</v>
      </c>
      <c r="G2" s="62">
        <v>45814</v>
      </c>
      <c r="H2" s="62">
        <v>45815</v>
      </c>
      <c r="I2" s="62">
        <v>45816</v>
      </c>
      <c r="J2" s="62">
        <v>45817</v>
      </c>
      <c r="K2" s="62">
        <v>45818</v>
      </c>
      <c r="L2" s="62">
        <v>45819</v>
      </c>
      <c r="M2" s="62">
        <v>45820</v>
      </c>
      <c r="N2" s="62">
        <v>45821</v>
      </c>
      <c r="O2" s="62">
        <v>45822</v>
      </c>
      <c r="P2" s="62">
        <v>45823</v>
      </c>
      <c r="Q2" s="62">
        <v>45824</v>
      </c>
      <c r="R2" s="62">
        <v>45825</v>
      </c>
      <c r="S2" s="62">
        <v>45826</v>
      </c>
      <c r="T2" s="62">
        <v>45827</v>
      </c>
      <c r="U2" s="62">
        <v>45828</v>
      </c>
      <c r="V2" s="62">
        <v>45829</v>
      </c>
      <c r="W2" s="62">
        <v>45830</v>
      </c>
      <c r="X2" s="62">
        <v>45831</v>
      </c>
      <c r="Y2" s="62">
        <v>45832</v>
      </c>
      <c r="Z2" s="62">
        <v>45833</v>
      </c>
      <c r="AA2" s="62">
        <v>45834</v>
      </c>
      <c r="AB2" s="62">
        <v>45835</v>
      </c>
      <c r="AC2" s="62">
        <v>45836</v>
      </c>
      <c r="AD2" s="62">
        <v>45837</v>
      </c>
      <c r="AE2" s="62">
        <v>45838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94">
        <v>2011346</v>
      </c>
      <c r="C5" s="294">
        <v>2011845</v>
      </c>
      <c r="D5" s="294">
        <v>2012295</v>
      </c>
      <c r="E5" s="294">
        <v>2012375</v>
      </c>
      <c r="F5" s="294">
        <v>2012483</v>
      </c>
      <c r="G5" s="294">
        <v>2012668</v>
      </c>
      <c r="H5" s="294">
        <v>2012668</v>
      </c>
      <c r="I5" s="294">
        <v>2012668</v>
      </c>
      <c r="J5" s="294">
        <v>2012927</v>
      </c>
      <c r="K5" s="294">
        <v>2013240</v>
      </c>
      <c r="L5" s="294">
        <v>2013757</v>
      </c>
      <c r="M5" s="294">
        <v>2014273</v>
      </c>
      <c r="N5" s="294">
        <v>2014833</v>
      </c>
      <c r="O5" s="294">
        <v>2014877</v>
      </c>
      <c r="P5" s="294">
        <v>2015396</v>
      </c>
      <c r="Q5" s="294">
        <v>2015420</v>
      </c>
      <c r="R5" s="294">
        <v>2015681</v>
      </c>
      <c r="S5" s="294">
        <v>2016157</v>
      </c>
      <c r="T5" s="294">
        <v>2016428</v>
      </c>
      <c r="U5" s="294">
        <v>2016906</v>
      </c>
      <c r="V5" s="294">
        <v>2017466</v>
      </c>
      <c r="W5" s="294">
        <v>2017509</v>
      </c>
      <c r="X5" s="294">
        <v>2018083</v>
      </c>
      <c r="Y5" s="294">
        <v>2018514</v>
      </c>
      <c r="Z5" s="294">
        <v>2018965</v>
      </c>
      <c r="AA5" s="298">
        <v>2019219</v>
      </c>
      <c r="AB5" s="298">
        <v>2019468</v>
      </c>
      <c r="AC5" s="294">
        <v>2019468</v>
      </c>
      <c r="AD5" s="294">
        <v>2019468</v>
      </c>
      <c r="AE5" s="294">
        <v>2019660</v>
      </c>
    </row>
    <row r="6" spans="1:31" x14ac:dyDescent="0.25">
      <c r="A6" s="5" t="s">
        <v>5</v>
      </c>
      <c r="B6" s="294">
        <v>1984952</v>
      </c>
      <c r="C6" s="294">
        <v>1984973</v>
      </c>
      <c r="D6" s="294">
        <v>1985277</v>
      </c>
      <c r="E6" s="294">
        <v>1985528</v>
      </c>
      <c r="F6" s="294">
        <v>1985842</v>
      </c>
      <c r="G6" s="294">
        <v>1986403</v>
      </c>
      <c r="H6" s="294">
        <v>1986474</v>
      </c>
      <c r="I6" s="294">
        <v>1986478</v>
      </c>
      <c r="J6" s="294">
        <v>1986749</v>
      </c>
      <c r="K6" s="294">
        <v>1987225</v>
      </c>
      <c r="L6" s="294">
        <v>1987743</v>
      </c>
      <c r="M6" s="294">
        <v>1987981</v>
      </c>
      <c r="N6" s="294">
        <v>1988181</v>
      </c>
      <c r="O6" s="294">
        <v>1988181</v>
      </c>
      <c r="P6" s="294">
        <v>1988182</v>
      </c>
      <c r="Q6" s="294">
        <v>1988350</v>
      </c>
      <c r="R6" s="294">
        <v>1988808</v>
      </c>
      <c r="S6" s="294">
        <v>1989361</v>
      </c>
      <c r="T6" s="294">
        <v>1989924</v>
      </c>
      <c r="U6" s="294">
        <v>1990400</v>
      </c>
      <c r="V6" s="294">
        <v>1990961</v>
      </c>
      <c r="W6" s="294">
        <v>1991135</v>
      </c>
      <c r="X6" s="294">
        <v>1991366</v>
      </c>
      <c r="Y6" s="294">
        <v>1991616</v>
      </c>
      <c r="Z6" s="294">
        <v>1991866</v>
      </c>
      <c r="AA6" s="298">
        <v>1992128</v>
      </c>
      <c r="AB6" s="298">
        <v>1992717</v>
      </c>
      <c r="AC6" s="294">
        <v>1993237</v>
      </c>
      <c r="AD6" s="294">
        <v>1993329</v>
      </c>
      <c r="AE6" s="294">
        <v>1993592</v>
      </c>
    </row>
    <row r="7" spans="1:31" x14ac:dyDescent="0.25">
      <c r="A7" s="5" t="s">
        <v>6</v>
      </c>
      <c r="B7" s="294">
        <v>2072114</v>
      </c>
      <c r="C7" s="294">
        <v>2072559</v>
      </c>
      <c r="D7" s="294">
        <v>2072996</v>
      </c>
      <c r="E7" s="294">
        <v>2073559</v>
      </c>
      <c r="F7" s="294">
        <v>2074036</v>
      </c>
      <c r="G7" s="294">
        <v>2074238</v>
      </c>
      <c r="H7" s="294">
        <v>2074238</v>
      </c>
      <c r="I7" s="294">
        <v>2074238</v>
      </c>
      <c r="J7" s="294">
        <v>2074490</v>
      </c>
      <c r="K7" s="294">
        <v>2074888</v>
      </c>
      <c r="L7" s="294">
        <v>2075321</v>
      </c>
      <c r="M7" s="294">
        <v>2075428</v>
      </c>
      <c r="N7" s="294">
        <v>2075735</v>
      </c>
      <c r="O7" s="294">
        <v>2076255</v>
      </c>
      <c r="P7" s="294">
        <v>2076774</v>
      </c>
      <c r="Q7" s="294">
        <v>2076952</v>
      </c>
      <c r="R7" s="294">
        <v>2077558</v>
      </c>
      <c r="S7" s="294">
        <v>2077991</v>
      </c>
      <c r="T7" s="294">
        <v>2078313</v>
      </c>
      <c r="U7" s="294">
        <v>2078399</v>
      </c>
      <c r="V7" s="294">
        <v>2078917</v>
      </c>
      <c r="W7" s="294">
        <v>2079008</v>
      </c>
      <c r="X7" s="294">
        <v>2079329</v>
      </c>
      <c r="Y7" s="294">
        <v>2079848</v>
      </c>
      <c r="Z7" s="294">
        <v>2080411</v>
      </c>
      <c r="AA7" s="298">
        <v>2080680</v>
      </c>
      <c r="AB7" s="298">
        <v>2081130</v>
      </c>
      <c r="AC7" s="294">
        <v>2081281</v>
      </c>
      <c r="AD7" s="294">
        <v>2081842</v>
      </c>
      <c r="AE7" s="294">
        <v>2082276</v>
      </c>
    </row>
    <row r="8" spans="1:31" x14ac:dyDescent="0.25">
      <c r="A8" s="6" t="s">
        <v>7</v>
      </c>
      <c r="B8" s="294">
        <v>2073476</v>
      </c>
      <c r="C8" s="294">
        <v>2073912</v>
      </c>
      <c r="D8" s="294">
        <v>2074261</v>
      </c>
      <c r="E8" s="294">
        <v>2074697</v>
      </c>
      <c r="F8" s="294">
        <v>2075300</v>
      </c>
      <c r="G8" s="294">
        <v>2075753</v>
      </c>
      <c r="H8" s="294">
        <v>2075753</v>
      </c>
      <c r="I8" s="294">
        <v>2075772</v>
      </c>
      <c r="J8" s="294">
        <v>2075864</v>
      </c>
      <c r="K8" s="294">
        <v>2075973</v>
      </c>
      <c r="L8" s="294">
        <v>2076167</v>
      </c>
      <c r="M8" s="294">
        <v>2076482</v>
      </c>
      <c r="N8" s="294">
        <v>2076717</v>
      </c>
      <c r="O8" s="294">
        <v>2076717</v>
      </c>
      <c r="P8" s="294">
        <v>2076717</v>
      </c>
      <c r="Q8" s="294">
        <v>2076998</v>
      </c>
      <c r="R8" s="294">
        <v>2077452</v>
      </c>
      <c r="S8" s="294">
        <v>2077717</v>
      </c>
      <c r="T8" s="294">
        <v>2077947</v>
      </c>
      <c r="U8" s="294">
        <v>2077947</v>
      </c>
      <c r="V8" s="294">
        <v>2077947</v>
      </c>
      <c r="W8" s="294">
        <v>2077947</v>
      </c>
      <c r="X8" s="294">
        <v>2078138</v>
      </c>
      <c r="Y8" s="294">
        <v>2078329</v>
      </c>
      <c r="Z8" s="294">
        <v>2078561</v>
      </c>
      <c r="AA8" s="298">
        <v>2078834</v>
      </c>
      <c r="AB8" s="298">
        <v>2079105</v>
      </c>
      <c r="AC8" s="294">
        <v>2079105</v>
      </c>
      <c r="AD8" s="294">
        <v>2079105</v>
      </c>
      <c r="AE8" s="294">
        <v>2079356</v>
      </c>
    </row>
    <row r="9" spans="1:31" x14ac:dyDescent="0.25">
      <c r="A9" s="6" t="s">
        <v>8</v>
      </c>
      <c r="B9" s="294">
        <v>1980831</v>
      </c>
      <c r="C9" s="294">
        <v>1981434</v>
      </c>
      <c r="D9" s="294">
        <v>1982038</v>
      </c>
      <c r="E9" s="294">
        <v>1982487</v>
      </c>
      <c r="F9" s="294">
        <v>1982631</v>
      </c>
      <c r="G9" s="294">
        <v>1983031</v>
      </c>
      <c r="H9" s="294">
        <v>1983551</v>
      </c>
      <c r="I9" s="294">
        <v>1983982</v>
      </c>
      <c r="J9" s="294">
        <v>1984413</v>
      </c>
      <c r="K9" s="294">
        <v>1984932</v>
      </c>
      <c r="L9" s="294">
        <v>1985233</v>
      </c>
      <c r="M9" s="294">
        <v>1985714</v>
      </c>
      <c r="N9" s="294">
        <v>1985909</v>
      </c>
      <c r="O9" s="294">
        <v>1985909</v>
      </c>
      <c r="P9" s="294">
        <v>1985909</v>
      </c>
      <c r="Q9" s="294">
        <v>1985911</v>
      </c>
      <c r="R9" s="294">
        <v>1986162</v>
      </c>
      <c r="S9" s="294">
        <v>1986353</v>
      </c>
      <c r="T9" s="294">
        <v>1986665</v>
      </c>
      <c r="U9" s="294">
        <v>1986665</v>
      </c>
      <c r="V9" s="294">
        <v>1987184</v>
      </c>
      <c r="W9" s="294">
        <v>1987660</v>
      </c>
      <c r="X9" s="294">
        <v>1987959</v>
      </c>
      <c r="Y9" s="294">
        <v>1988491</v>
      </c>
      <c r="Z9" s="294">
        <v>1988983</v>
      </c>
      <c r="AA9" s="298">
        <v>1989236</v>
      </c>
      <c r="AB9" s="298">
        <v>1989378</v>
      </c>
      <c r="AC9" s="294">
        <v>1989378</v>
      </c>
      <c r="AD9" s="294">
        <v>1989556</v>
      </c>
      <c r="AE9" s="294">
        <v>1990116</v>
      </c>
    </row>
    <row r="10" spans="1:31" x14ac:dyDescent="0.25">
      <c r="A10" s="6" t="s">
        <v>9</v>
      </c>
      <c r="B10" s="294">
        <v>2094412</v>
      </c>
      <c r="C10" s="294">
        <v>2094696</v>
      </c>
      <c r="D10" s="294">
        <v>2094759</v>
      </c>
      <c r="E10" s="294">
        <v>2094840</v>
      </c>
      <c r="F10" s="294">
        <v>2095271</v>
      </c>
      <c r="G10" s="294">
        <v>2095637</v>
      </c>
      <c r="H10" s="294">
        <v>2095637</v>
      </c>
      <c r="I10" s="294">
        <v>2095637</v>
      </c>
      <c r="J10" s="294">
        <v>2095942</v>
      </c>
      <c r="K10" s="294">
        <v>2096505</v>
      </c>
      <c r="L10" s="294">
        <v>2096980</v>
      </c>
      <c r="M10" s="294">
        <v>2097219</v>
      </c>
      <c r="N10" s="294">
        <v>2097411</v>
      </c>
      <c r="O10" s="294">
        <v>2097411</v>
      </c>
      <c r="P10" s="294">
        <v>2097411</v>
      </c>
      <c r="Q10" s="294">
        <v>2097868</v>
      </c>
      <c r="R10" s="294">
        <v>2098342</v>
      </c>
      <c r="S10" s="294">
        <v>2098611</v>
      </c>
      <c r="T10" s="294">
        <v>2099137</v>
      </c>
      <c r="U10" s="294">
        <v>2099181</v>
      </c>
      <c r="V10" s="294">
        <v>2099698</v>
      </c>
      <c r="W10" s="294">
        <v>2100129</v>
      </c>
      <c r="X10" s="294">
        <v>2100304</v>
      </c>
      <c r="Y10" s="294">
        <v>2100754</v>
      </c>
      <c r="Z10" s="294">
        <v>2101068</v>
      </c>
      <c r="AA10" s="298">
        <v>2101432</v>
      </c>
      <c r="AB10" s="298">
        <v>2101907</v>
      </c>
      <c r="AC10" s="294">
        <v>2102426</v>
      </c>
      <c r="AD10" s="294">
        <v>2102857</v>
      </c>
      <c r="AE10" s="294">
        <v>2103050</v>
      </c>
    </row>
    <row r="11" spans="1:31" x14ac:dyDescent="0.25">
      <c r="A11" s="6" t="s">
        <v>10</v>
      </c>
      <c r="B11" s="294">
        <v>2122227</v>
      </c>
      <c r="C11" s="294">
        <v>2122836</v>
      </c>
      <c r="D11" s="294">
        <v>2122946</v>
      </c>
      <c r="E11" s="294">
        <v>2123195</v>
      </c>
      <c r="F11" s="294">
        <v>2123449</v>
      </c>
      <c r="G11" s="294">
        <v>2123702</v>
      </c>
      <c r="H11" s="294">
        <v>2123702</v>
      </c>
      <c r="I11" s="294">
        <v>2123702</v>
      </c>
      <c r="J11" s="294">
        <v>2123956</v>
      </c>
      <c r="K11" s="294">
        <v>2124090</v>
      </c>
      <c r="L11" s="294">
        <v>2124543</v>
      </c>
      <c r="M11" s="294">
        <v>2124737</v>
      </c>
      <c r="N11" s="294">
        <v>2125172</v>
      </c>
      <c r="O11" s="294">
        <v>2125736</v>
      </c>
      <c r="P11" s="294">
        <v>2125781</v>
      </c>
      <c r="Q11" s="294">
        <v>2126046</v>
      </c>
      <c r="R11" s="294">
        <v>2126568</v>
      </c>
      <c r="S11" s="294">
        <v>2126711</v>
      </c>
      <c r="T11" s="294">
        <v>2127085</v>
      </c>
      <c r="U11" s="294">
        <v>2127085</v>
      </c>
      <c r="V11" s="294">
        <v>2127085</v>
      </c>
      <c r="W11" s="294">
        <v>2127085</v>
      </c>
      <c r="X11" s="294">
        <v>2127304</v>
      </c>
      <c r="Y11" s="294">
        <v>2127911</v>
      </c>
      <c r="Z11" s="294">
        <v>2128358</v>
      </c>
      <c r="AA11" s="298">
        <v>2128966</v>
      </c>
      <c r="AB11" s="298">
        <v>2129576</v>
      </c>
      <c r="AC11" s="294">
        <v>2130184</v>
      </c>
      <c r="AD11" s="294">
        <v>2130445</v>
      </c>
      <c r="AE11" s="294">
        <v>2130816</v>
      </c>
    </row>
    <row r="12" spans="1:31" x14ac:dyDescent="0.25">
      <c r="A12" s="5" t="s">
        <v>11</v>
      </c>
      <c r="B12" s="294">
        <v>2025763</v>
      </c>
      <c r="C12" s="294">
        <v>2026111</v>
      </c>
      <c r="D12" s="294">
        <v>2026673</v>
      </c>
      <c r="E12" s="294">
        <v>2027234</v>
      </c>
      <c r="F12" s="294">
        <v>2027463</v>
      </c>
      <c r="G12" s="294">
        <v>2027810</v>
      </c>
      <c r="H12" s="294">
        <v>2028371</v>
      </c>
      <c r="I12" s="294">
        <v>2028415</v>
      </c>
      <c r="J12" s="294">
        <v>2029019</v>
      </c>
      <c r="K12" s="294">
        <v>2029472</v>
      </c>
      <c r="L12" s="294">
        <v>2029676</v>
      </c>
      <c r="M12" s="294">
        <v>2029678</v>
      </c>
      <c r="N12" s="294">
        <v>2029871</v>
      </c>
      <c r="O12" s="294">
        <v>2030433</v>
      </c>
      <c r="P12" s="294">
        <v>2030476</v>
      </c>
      <c r="Q12" s="294">
        <v>2030840</v>
      </c>
      <c r="R12" s="294">
        <v>2031008</v>
      </c>
      <c r="S12" s="294">
        <v>2031374</v>
      </c>
      <c r="T12" s="294">
        <v>2031706</v>
      </c>
      <c r="U12" s="294">
        <v>2032182</v>
      </c>
      <c r="V12" s="294">
        <v>2032702</v>
      </c>
      <c r="W12" s="294">
        <v>2033180</v>
      </c>
      <c r="X12" s="294">
        <v>2033589</v>
      </c>
      <c r="Y12" s="294">
        <v>2033841</v>
      </c>
      <c r="Z12" s="294">
        <v>2034093</v>
      </c>
      <c r="AA12" s="298">
        <v>2034355</v>
      </c>
      <c r="AB12" s="298">
        <v>2034916</v>
      </c>
      <c r="AC12" s="294">
        <v>2035425</v>
      </c>
      <c r="AD12" s="294">
        <v>2035953</v>
      </c>
      <c r="AE12" s="294">
        <v>2036517</v>
      </c>
    </row>
    <row r="13" spans="1:31" x14ac:dyDescent="0.25">
      <c r="A13" s="5" t="s">
        <v>12</v>
      </c>
      <c r="B13" s="294">
        <v>2008561</v>
      </c>
      <c r="C13" s="294">
        <v>2008740</v>
      </c>
      <c r="D13" s="294">
        <v>2008917</v>
      </c>
      <c r="E13" s="294">
        <v>2009009</v>
      </c>
      <c r="F13" s="294">
        <v>2009529</v>
      </c>
      <c r="G13" s="294">
        <v>2010048</v>
      </c>
      <c r="H13" s="294">
        <v>2010565</v>
      </c>
      <c r="I13" s="294">
        <v>2010823</v>
      </c>
      <c r="J13" s="294">
        <v>2011137</v>
      </c>
      <c r="K13" s="294">
        <v>2011657</v>
      </c>
      <c r="L13" s="294">
        <v>2012174</v>
      </c>
      <c r="M13" s="294">
        <v>2012177</v>
      </c>
      <c r="N13" s="294">
        <v>2012357</v>
      </c>
      <c r="O13" s="294">
        <v>2012875</v>
      </c>
      <c r="P13" s="294">
        <v>2013134</v>
      </c>
      <c r="Q13" s="294">
        <v>2013565</v>
      </c>
      <c r="R13" s="294">
        <v>2014085</v>
      </c>
      <c r="S13" s="294">
        <v>2014518</v>
      </c>
      <c r="T13" s="294">
        <v>2014831</v>
      </c>
      <c r="U13" s="294">
        <v>2015305</v>
      </c>
      <c r="V13" s="294">
        <v>2015348</v>
      </c>
      <c r="W13" s="294">
        <v>2015824</v>
      </c>
      <c r="X13" s="294">
        <v>2016317</v>
      </c>
      <c r="Y13" s="294">
        <v>2016802</v>
      </c>
      <c r="Z13" s="294">
        <v>2017321</v>
      </c>
      <c r="AA13" s="298">
        <v>2017719</v>
      </c>
      <c r="AB13" s="298">
        <v>2017981</v>
      </c>
      <c r="AC13" s="294">
        <v>2018541</v>
      </c>
      <c r="AD13" s="294">
        <v>2019058</v>
      </c>
      <c r="AE13" s="294">
        <v>2019620</v>
      </c>
    </row>
    <row r="14" spans="1:31" x14ac:dyDescent="0.25">
      <c r="A14" s="5" t="s">
        <v>13</v>
      </c>
      <c r="B14" s="294">
        <v>2085187</v>
      </c>
      <c r="C14" s="294">
        <v>2085553</v>
      </c>
      <c r="D14" s="294">
        <v>2085811</v>
      </c>
      <c r="E14" s="294">
        <v>2086184</v>
      </c>
      <c r="F14" s="294">
        <v>2086658</v>
      </c>
      <c r="G14" s="294">
        <v>2087178</v>
      </c>
      <c r="H14" s="294">
        <v>2087695</v>
      </c>
      <c r="I14" s="294">
        <v>2088169</v>
      </c>
      <c r="J14" s="294">
        <v>2088729</v>
      </c>
      <c r="K14" s="294">
        <v>2089084</v>
      </c>
      <c r="L14" s="294">
        <v>2089132</v>
      </c>
      <c r="M14" s="294">
        <v>2089653</v>
      </c>
      <c r="N14" s="294">
        <v>2090213</v>
      </c>
      <c r="O14" s="294">
        <v>2090257</v>
      </c>
      <c r="P14" s="294">
        <v>2090257</v>
      </c>
      <c r="Q14" s="294">
        <v>2090690</v>
      </c>
      <c r="R14" s="294">
        <v>2091002</v>
      </c>
      <c r="S14" s="294">
        <v>2091605</v>
      </c>
      <c r="T14" s="294">
        <v>2091984</v>
      </c>
      <c r="U14" s="294">
        <v>2091984</v>
      </c>
      <c r="V14" s="294">
        <v>2091984</v>
      </c>
      <c r="W14" s="294">
        <v>2091986</v>
      </c>
      <c r="X14" s="294">
        <v>2092352</v>
      </c>
      <c r="Y14" s="294">
        <v>2092485</v>
      </c>
      <c r="Z14" s="294">
        <v>2092832</v>
      </c>
      <c r="AA14" s="298">
        <v>2093265</v>
      </c>
      <c r="AB14" s="298">
        <v>2093715</v>
      </c>
      <c r="AC14" s="294">
        <v>2093715</v>
      </c>
      <c r="AD14" s="294">
        <v>2093715</v>
      </c>
      <c r="AE14" s="294">
        <v>2093858</v>
      </c>
    </row>
    <row r="15" spans="1:31" x14ac:dyDescent="0.25">
      <c r="A15" s="6" t="s">
        <v>14</v>
      </c>
      <c r="B15" s="294">
        <v>2102070</v>
      </c>
      <c r="C15" s="294">
        <v>2102134</v>
      </c>
      <c r="D15" s="294">
        <v>2102387</v>
      </c>
      <c r="E15" s="294">
        <v>2102638</v>
      </c>
      <c r="F15" s="294">
        <v>2102954</v>
      </c>
      <c r="G15" s="294">
        <v>2103407</v>
      </c>
      <c r="H15" s="294">
        <v>2103407</v>
      </c>
      <c r="I15" s="294">
        <v>2103407</v>
      </c>
      <c r="J15" s="294">
        <v>2103599</v>
      </c>
      <c r="K15" s="294">
        <v>2103811</v>
      </c>
      <c r="L15" s="294">
        <v>2104064</v>
      </c>
      <c r="M15" s="294">
        <v>2104315</v>
      </c>
      <c r="N15" s="294">
        <v>2104906</v>
      </c>
      <c r="O15" s="294">
        <v>2105429</v>
      </c>
      <c r="P15" s="294">
        <v>2105907</v>
      </c>
      <c r="Q15" s="294">
        <v>2106298</v>
      </c>
      <c r="R15" s="294">
        <v>2106500</v>
      </c>
      <c r="S15" s="294">
        <v>2106711</v>
      </c>
      <c r="T15" s="294">
        <v>2107275</v>
      </c>
      <c r="U15" s="294">
        <v>2107752</v>
      </c>
      <c r="V15" s="294">
        <v>2108230</v>
      </c>
      <c r="W15" s="294">
        <v>2108752</v>
      </c>
      <c r="X15" s="294">
        <v>2109273</v>
      </c>
      <c r="Y15" s="294">
        <v>2109484</v>
      </c>
      <c r="Z15" s="294">
        <v>2110006</v>
      </c>
      <c r="AA15" s="298">
        <v>2110487</v>
      </c>
      <c r="AB15" s="298">
        <v>2110982</v>
      </c>
      <c r="AC15" s="294">
        <v>2110982</v>
      </c>
      <c r="AD15" s="294">
        <v>2110982</v>
      </c>
      <c r="AE15" s="294">
        <v>2111046</v>
      </c>
    </row>
    <row r="16" spans="1:31" x14ac:dyDescent="0.25">
      <c r="A16" s="6" t="s">
        <v>15</v>
      </c>
      <c r="B16" s="294">
        <v>1947213</v>
      </c>
      <c r="C16" s="294">
        <v>1947817</v>
      </c>
      <c r="D16" s="294">
        <v>1948173</v>
      </c>
      <c r="E16" s="294">
        <v>1948780</v>
      </c>
      <c r="F16" s="294">
        <v>1949042</v>
      </c>
      <c r="G16" s="294">
        <v>1949295</v>
      </c>
      <c r="H16" s="294">
        <v>1949857</v>
      </c>
      <c r="I16" s="294">
        <v>1950205</v>
      </c>
      <c r="J16" s="294">
        <v>1950767</v>
      </c>
      <c r="K16" s="294">
        <v>1951250</v>
      </c>
      <c r="L16" s="294">
        <v>1951477</v>
      </c>
      <c r="M16" s="294">
        <v>1952039</v>
      </c>
      <c r="N16" s="294">
        <v>1952601</v>
      </c>
      <c r="O16" s="294">
        <v>1953121</v>
      </c>
      <c r="P16" s="294">
        <v>1953597</v>
      </c>
      <c r="Q16" s="294">
        <v>1953920</v>
      </c>
      <c r="R16" s="294">
        <v>1954019</v>
      </c>
      <c r="S16" s="294">
        <v>1954020</v>
      </c>
      <c r="T16" s="294">
        <v>1954118</v>
      </c>
      <c r="U16" s="294">
        <v>1954118</v>
      </c>
      <c r="V16" s="294">
        <v>1954118</v>
      </c>
      <c r="W16" s="294">
        <v>1954118</v>
      </c>
      <c r="X16" s="294">
        <v>1954261</v>
      </c>
      <c r="Y16" s="294">
        <v>1954574</v>
      </c>
      <c r="Z16" s="294">
        <v>1954833</v>
      </c>
      <c r="AA16" s="298">
        <v>1955218</v>
      </c>
      <c r="AB16" s="298">
        <v>1955610</v>
      </c>
      <c r="AC16" s="294">
        <v>1956043</v>
      </c>
      <c r="AD16" s="294">
        <v>1956044</v>
      </c>
      <c r="AE16" s="294">
        <v>1956306</v>
      </c>
    </row>
    <row r="17" spans="1:31" x14ac:dyDescent="0.25">
      <c r="A17" s="6" t="s">
        <v>16</v>
      </c>
      <c r="B17" s="294">
        <v>2058695</v>
      </c>
      <c r="C17" s="294">
        <v>2058944</v>
      </c>
      <c r="D17" s="294">
        <v>2059410</v>
      </c>
      <c r="E17" s="294">
        <v>2059653</v>
      </c>
      <c r="F17" s="294">
        <v>2060156</v>
      </c>
      <c r="G17" s="294">
        <v>2060635</v>
      </c>
      <c r="H17" s="294">
        <v>2060678</v>
      </c>
      <c r="I17" s="294">
        <v>2061200</v>
      </c>
      <c r="J17" s="294">
        <v>2061459</v>
      </c>
      <c r="K17" s="294">
        <v>2061721</v>
      </c>
      <c r="L17" s="294">
        <v>2062283</v>
      </c>
      <c r="M17" s="294">
        <v>2062889</v>
      </c>
      <c r="N17" s="294">
        <v>2063496</v>
      </c>
      <c r="O17" s="294">
        <v>2064017</v>
      </c>
      <c r="P17" s="294">
        <v>2064450</v>
      </c>
      <c r="Q17" s="294">
        <v>2064839</v>
      </c>
      <c r="R17" s="294">
        <v>2065109</v>
      </c>
      <c r="S17" s="294">
        <v>2065630</v>
      </c>
      <c r="T17" s="294">
        <v>2066193</v>
      </c>
      <c r="U17" s="294">
        <v>2066193</v>
      </c>
      <c r="V17" s="294">
        <v>2066237</v>
      </c>
      <c r="W17" s="294">
        <v>2066258</v>
      </c>
      <c r="X17" s="294">
        <v>2066518</v>
      </c>
      <c r="Y17" s="294">
        <v>2066769</v>
      </c>
      <c r="Z17" s="294">
        <v>2066961</v>
      </c>
      <c r="AA17" s="298">
        <v>2067378</v>
      </c>
      <c r="AB17" s="298">
        <v>2067425</v>
      </c>
      <c r="AC17" s="294">
        <v>2067468</v>
      </c>
      <c r="AD17" s="294">
        <v>2067987</v>
      </c>
      <c r="AE17" s="294">
        <v>2068302</v>
      </c>
    </row>
    <row r="18" spans="1:31" x14ac:dyDescent="0.25">
      <c r="A18" s="6" t="s">
        <v>17</v>
      </c>
      <c r="B18" s="294">
        <v>2035570</v>
      </c>
      <c r="C18" s="294">
        <v>2035711</v>
      </c>
      <c r="D18" s="294">
        <v>2036271</v>
      </c>
      <c r="E18" s="294">
        <v>2036834</v>
      </c>
      <c r="F18" s="294">
        <v>2037118</v>
      </c>
      <c r="G18" s="294">
        <v>2037372</v>
      </c>
      <c r="H18" s="294">
        <v>2037372</v>
      </c>
      <c r="I18" s="294">
        <v>2037372</v>
      </c>
      <c r="J18" s="294">
        <v>2037451</v>
      </c>
      <c r="K18" s="294">
        <v>2037626</v>
      </c>
      <c r="L18" s="294">
        <v>2038189</v>
      </c>
      <c r="M18" s="294">
        <v>2038467</v>
      </c>
      <c r="N18" s="294">
        <v>2038720</v>
      </c>
      <c r="O18" s="294">
        <v>2038720</v>
      </c>
      <c r="P18" s="294">
        <v>2038720</v>
      </c>
      <c r="Q18" s="294">
        <v>2038811</v>
      </c>
      <c r="R18" s="294">
        <v>2039062</v>
      </c>
      <c r="S18" s="294">
        <v>2039313</v>
      </c>
      <c r="T18" s="294">
        <v>2039858</v>
      </c>
      <c r="U18" s="294">
        <v>2040378</v>
      </c>
      <c r="V18" s="294">
        <v>2040939</v>
      </c>
      <c r="W18" s="294">
        <v>2040982</v>
      </c>
      <c r="X18" s="294">
        <v>2041261</v>
      </c>
      <c r="Y18" s="294">
        <v>2041761</v>
      </c>
      <c r="Z18" s="294">
        <v>2042322</v>
      </c>
      <c r="AA18" s="298">
        <v>2042625</v>
      </c>
      <c r="AB18" s="298">
        <v>2042827</v>
      </c>
      <c r="AC18" s="294">
        <v>2042827</v>
      </c>
      <c r="AD18" s="294">
        <v>2042827</v>
      </c>
      <c r="AE18" s="294">
        <v>2043078</v>
      </c>
    </row>
    <row r="19" spans="1:31" x14ac:dyDescent="0.25">
      <c r="A19" s="6" t="s">
        <v>18</v>
      </c>
      <c r="B19" s="294">
        <v>2114816</v>
      </c>
      <c r="C19" s="294">
        <v>2115122</v>
      </c>
      <c r="D19" s="294">
        <v>2115683</v>
      </c>
      <c r="E19" s="294">
        <v>2116203</v>
      </c>
      <c r="F19" s="294">
        <v>2116653</v>
      </c>
      <c r="G19" s="294">
        <v>2116715</v>
      </c>
      <c r="H19" s="294">
        <v>2116715</v>
      </c>
      <c r="I19" s="294">
        <v>2116715</v>
      </c>
      <c r="J19" s="294">
        <v>2116906</v>
      </c>
      <c r="K19" s="294">
        <v>2116987</v>
      </c>
      <c r="L19" s="294">
        <v>2117336</v>
      </c>
      <c r="M19" s="294">
        <v>2117658</v>
      </c>
      <c r="N19" s="294">
        <v>2117849</v>
      </c>
      <c r="O19" s="294">
        <v>2117849</v>
      </c>
      <c r="P19" s="294">
        <v>2117869</v>
      </c>
      <c r="Q19" s="294">
        <v>2118217</v>
      </c>
      <c r="R19" s="294">
        <v>2118779</v>
      </c>
      <c r="S19" s="294">
        <v>2119091</v>
      </c>
      <c r="T19" s="294">
        <v>2119458</v>
      </c>
      <c r="U19" s="294">
        <v>2119976</v>
      </c>
      <c r="V19" s="294">
        <v>2120536</v>
      </c>
      <c r="W19" s="294">
        <v>2120755</v>
      </c>
      <c r="X19" s="294">
        <v>2121204</v>
      </c>
      <c r="Y19" s="294">
        <v>2121287</v>
      </c>
      <c r="Z19" s="294">
        <v>2121514</v>
      </c>
      <c r="AA19" s="298">
        <v>2122032</v>
      </c>
      <c r="AB19" s="298">
        <v>2122636</v>
      </c>
      <c r="AC19" s="294">
        <v>2123197</v>
      </c>
      <c r="AD19" s="294">
        <v>2123715</v>
      </c>
      <c r="AE19" s="294">
        <v>2124019</v>
      </c>
    </row>
    <row r="20" spans="1:31" x14ac:dyDescent="0.25">
      <c r="A20" s="6" t="s">
        <v>19</v>
      </c>
      <c r="B20" s="294">
        <v>2081185</v>
      </c>
      <c r="C20" s="294">
        <v>2081576</v>
      </c>
      <c r="D20" s="294">
        <v>2082093</v>
      </c>
      <c r="E20" s="294">
        <v>2082653</v>
      </c>
      <c r="F20" s="294">
        <v>2083172</v>
      </c>
      <c r="G20" s="294">
        <v>2083399</v>
      </c>
      <c r="H20" s="294">
        <v>2083399</v>
      </c>
      <c r="I20" s="294">
        <v>2083399</v>
      </c>
      <c r="J20" s="294">
        <v>2083916</v>
      </c>
      <c r="K20" s="294">
        <v>2084352</v>
      </c>
      <c r="L20" s="294">
        <v>2084956</v>
      </c>
      <c r="M20" s="294">
        <v>2085260</v>
      </c>
      <c r="N20" s="294">
        <v>2085820</v>
      </c>
      <c r="O20" s="294">
        <v>2086338</v>
      </c>
      <c r="P20" s="294">
        <v>2086770</v>
      </c>
      <c r="Q20" s="294">
        <v>2087157</v>
      </c>
      <c r="R20" s="294">
        <v>2087760</v>
      </c>
      <c r="S20" s="294">
        <v>2088114</v>
      </c>
      <c r="T20" s="294">
        <v>2088546</v>
      </c>
      <c r="U20" s="294">
        <v>2088977</v>
      </c>
      <c r="V20" s="294">
        <v>2089494</v>
      </c>
      <c r="W20" s="294">
        <v>2089967</v>
      </c>
      <c r="X20" s="294">
        <v>2090397</v>
      </c>
      <c r="Y20" s="294">
        <v>2090999</v>
      </c>
      <c r="Z20" s="294">
        <v>2091354</v>
      </c>
      <c r="AA20" s="298">
        <v>2091871</v>
      </c>
      <c r="AB20" s="298">
        <v>2092430</v>
      </c>
      <c r="AC20" s="294">
        <v>2092904</v>
      </c>
      <c r="AD20" s="294">
        <v>2093293</v>
      </c>
      <c r="AE20" s="294">
        <v>2093595</v>
      </c>
    </row>
    <row r="21" spans="1:31" x14ac:dyDescent="0.25">
      <c r="A21" s="6" t="s">
        <v>20</v>
      </c>
      <c r="B21" s="294">
        <v>2085906</v>
      </c>
      <c r="C21" s="294">
        <v>2086090</v>
      </c>
      <c r="D21" s="294">
        <v>2086355</v>
      </c>
      <c r="E21" s="294">
        <v>2086872</v>
      </c>
      <c r="F21" s="294">
        <v>2087322</v>
      </c>
      <c r="G21" s="294">
        <v>2087626</v>
      </c>
      <c r="H21" s="294">
        <v>2088146</v>
      </c>
      <c r="I21" s="294">
        <v>2088577</v>
      </c>
      <c r="J21" s="294">
        <v>2089137</v>
      </c>
      <c r="K21" s="294">
        <v>2089697</v>
      </c>
      <c r="L21" s="294">
        <v>2090260</v>
      </c>
      <c r="M21" s="294">
        <v>2090821</v>
      </c>
      <c r="N21" s="294">
        <v>2091272</v>
      </c>
      <c r="O21" s="294">
        <v>2091272</v>
      </c>
      <c r="P21" s="294">
        <v>2091272</v>
      </c>
      <c r="Q21" s="294">
        <v>2091275</v>
      </c>
      <c r="R21" s="294">
        <v>2091526</v>
      </c>
      <c r="S21" s="294">
        <v>2092079</v>
      </c>
      <c r="T21" s="294">
        <v>2092361</v>
      </c>
      <c r="U21" s="294">
        <v>2092361</v>
      </c>
      <c r="V21" s="294">
        <v>2092361</v>
      </c>
      <c r="W21" s="294">
        <v>2092707</v>
      </c>
      <c r="X21" s="294">
        <v>2092997</v>
      </c>
      <c r="Y21" s="294">
        <v>2093246</v>
      </c>
      <c r="Z21" s="294">
        <v>2093774</v>
      </c>
      <c r="AA21" s="298">
        <v>2094334</v>
      </c>
      <c r="AB21" s="298">
        <v>2094603</v>
      </c>
      <c r="AC21" s="294">
        <v>2094603</v>
      </c>
      <c r="AD21" s="294">
        <v>2094821</v>
      </c>
      <c r="AE21" s="294">
        <v>2095085</v>
      </c>
    </row>
    <row r="22" spans="1:31" x14ac:dyDescent="0.25">
      <c r="A22" s="6" t="s">
        <v>21</v>
      </c>
      <c r="B22" s="294">
        <v>2013731</v>
      </c>
      <c r="C22" s="294">
        <v>2014251</v>
      </c>
      <c r="D22" s="294">
        <v>2014854</v>
      </c>
      <c r="E22" s="294">
        <v>2015141</v>
      </c>
      <c r="F22" s="294">
        <v>2015392</v>
      </c>
      <c r="G22" s="294">
        <v>2015562</v>
      </c>
      <c r="H22" s="294">
        <v>2015993</v>
      </c>
      <c r="I22" s="294">
        <v>2015995</v>
      </c>
      <c r="J22" s="294">
        <v>2016428</v>
      </c>
      <c r="K22" s="294">
        <v>2016723</v>
      </c>
      <c r="L22" s="294">
        <v>2017287</v>
      </c>
      <c r="M22" s="294">
        <v>2017847</v>
      </c>
      <c r="N22" s="294">
        <v>2018193</v>
      </c>
      <c r="O22" s="294">
        <v>2018753</v>
      </c>
      <c r="P22" s="294">
        <v>2018797</v>
      </c>
      <c r="Q22" s="294">
        <v>2019228</v>
      </c>
      <c r="R22" s="294">
        <v>2019517</v>
      </c>
      <c r="S22" s="294">
        <v>2019708</v>
      </c>
      <c r="T22" s="294">
        <v>2019959</v>
      </c>
      <c r="U22" s="294">
        <v>2019959</v>
      </c>
      <c r="V22" s="294">
        <v>2019959</v>
      </c>
      <c r="W22" s="294">
        <v>2019959</v>
      </c>
      <c r="X22" s="294">
        <v>2020210</v>
      </c>
      <c r="Y22" s="294">
        <v>2020428</v>
      </c>
      <c r="Z22" s="294">
        <v>2020863</v>
      </c>
      <c r="AA22" s="298">
        <v>2021466</v>
      </c>
      <c r="AB22" s="298">
        <v>2021915</v>
      </c>
      <c r="AC22" s="294">
        <v>2021938</v>
      </c>
      <c r="AD22" s="294">
        <v>2022199</v>
      </c>
      <c r="AE22" s="294">
        <v>2022470</v>
      </c>
    </row>
    <row r="23" spans="1:31" x14ac:dyDescent="0.25">
      <c r="A23" s="6" t="s">
        <v>22</v>
      </c>
      <c r="B23" s="294">
        <v>2056132</v>
      </c>
      <c r="C23" s="294">
        <v>2056584</v>
      </c>
      <c r="D23" s="294">
        <v>2056836</v>
      </c>
      <c r="E23" s="294">
        <v>2057085</v>
      </c>
      <c r="F23" s="294">
        <v>2057363</v>
      </c>
      <c r="G23" s="294">
        <v>2057796</v>
      </c>
      <c r="H23" s="294">
        <v>2058314</v>
      </c>
      <c r="I23" s="294">
        <v>2058490</v>
      </c>
      <c r="J23" s="294">
        <v>2059010</v>
      </c>
      <c r="K23" s="294">
        <v>2059274</v>
      </c>
      <c r="L23" s="294">
        <v>2059434</v>
      </c>
      <c r="M23" s="294">
        <v>2059674</v>
      </c>
      <c r="N23" s="294">
        <v>2060110</v>
      </c>
      <c r="O23" s="294">
        <v>2060110</v>
      </c>
      <c r="P23" s="294">
        <v>2060110</v>
      </c>
      <c r="Q23" s="294">
        <v>2060111</v>
      </c>
      <c r="R23" s="294">
        <v>2060201</v>
      </c>
      <c r="S23" s="294">
        <v>2060635</v>
      </c>
      <c r="T23" s="294">
        <v>2060776</v>
      </c>
      <c r="U23" s="294">
        <v>2060776</v>
      </c>
      <c r="V23" s="294">
        <v>2060776</v>
      </c>
      <c r="W23" s="294">
        <v>2060779</v>
      </c>
      <c r="X23" s="294">
        <v>2061209</v>
      </c>
      <c r="Y23" s="294">
        <v>2061855</v>
      </c>
      <c r="Z23" s="294">
        <v>2062074</v>
      </c>
      <c r="AA23" s="298">
        <v>2062320</v>
      </c>
      <c r="AB23" s="298">
        <v>2062659</v>
      </c>
      <c r="AC23" s="294">
        <v>2063179</v>
      </c>
      <c r="AD23" s="294">
        <v>2063653</v>
      </c>
      <c r="AE23" s="294">
        <v>2064128</v>
      </c>
    </row>
    <row r="24" spans="1:31" x14ac:dyDescent="0.25">
      <c r="A24" s="5" t="s">
        <v>23</v>
      </c>
      <c r="B24" s="294">
        <v>2088980</v>
      </c>
      <c r="C24" s="294">
        <v>2089243</v>
      </c>
      <c r="D24" s="294">
        <v>2089760</v>
      </c>
      <c r="E24" s="294">
        <v>2090019</v>
      </c>
      <c r="F24" s="294">
        <v>2090280</v>
      </c>
      <c r="G24" s="294">
        <v>2090633</v>
      </c>
      <c r="H24" s="294">
        <v>2090676</v>
      </c>
      <c r="I24" s="294">
        <v>2091197</v>
      </c>
      <c r="J24" s="294">
        <v>2091631</v>
      </c>
      <c r="K24" s="294">
        <v>2092235</v>
      </c>
      <c r="L24" s="294">
        <v>2092617</v>
      </c>
      <c r="M24" s="294">
        <v>2093135</v>
      </c>
      <c r="N24" s="294">
        <v>2093695</v>
      </c>
      <c r="O24" s="294">
        <v>2093739</v>
      </c>
      <c r="P24" s="294">
        <v>2094216</v>
      </c>
      <c r="Q24" s="294">
        <v>2094536</v>
      </c>
      <c r="R24" s="294">
        <v>2094600</v>
      </c>
      <c r="S24" s="294">
        <v>2095186</v>
      </c>
      <c r="T24" s="294">
        <v>2095635</v>
      </c>
      <c r="U24" s="294">
        <v>2095635</v>
      </c>
      <c r="V24" s="294">
        <v>2095635</v>
      </c>
      <c r="W24" s="294">
        <v>2095635</v>
      </c>
      <c r="X24" s="294">
        <v>2095898</v>
      </c>
      <c r="Y24" s="294">
        <v>2096150</v>
      </c>
      <c r="Z24" s="294">
        <v>2096403</v>
      </c>
      <c r="AA24" s="298">
        <v>2096655</v>
      </c>
      <c r="AB24" s="298">
        <v>2096906</v>
      </c>
      <c r="AC24" s="294">
        <v>2096906</v>
      </c>
      <c r="AD24" s="294">
        <v>2096906</v>
      </c>
      <c r="AE24" s="294">
        <v>2097159</v>
      </c>
    </row>
    <row r="25" spans="1:31" x14ac:dyDescent="0.25">
      <c r="A25" s="6" t="s">
        <v>24</v>
      </c>
      <c r="B25" s="294">
        <v>2099302</v>
      </c>
      <c r="C25" s="294">
        <v>2099553</v>
      </c>
      <c r="D25" s="294">
        <v>2099805</v>
      </c>
      <c r="E25" s="294">
        <v>2100236</v>
      </c>
      <c r="F25" s="294">
        <v>2100520</v>
      </c>
      <c r="G25" s="294">
        <v>2100771</v>
      </c>
      <c r="H25" s="294">
        <v>2100771</v>
      </c>
      <c r="I25" s="294">
        <v>2100771</v>
      </c>
      <c r="J25" s="294">
        <v>2101030</v>
      </c>
      <c r="K25" s="294">
        <v>2101280</v>
      </c>
      <c r="L25" s="294">
        <v>2101531</v>
      </c>
      <c r="M25" s="294">
        <v>2101780</v>
      </c>
      <c r="N25" s="294">
        <v>2102028</v>
      </c>
      <c r="O25" s="294">
        <v>2102028</v>
      </c>
      <c r="P25" s="294">
        <v>2102028</v>
      </c>
      <c r="Q25" s="294">
        <v>2102049</v>
      </c>
      <c r="R25" s="294">
        <v>2102483</v>
      </c>
      <c r="S25" s="294">
        <v>2102643</v>
      </c>
      <c r="T25" s="294">
        <v>2102834</v>
      </c>
      <c r="U25" s="294">
        <v>2102834</v>
      </c>
      <c r="V25" s="294">
        <v>2102834</v>
      </c>
      <c r="W25" s="294">
        <v>2102834</v>
      </c>
      <c r="X25" s="294">
        <v>2103329</v>
      </c>
      <c r="Y25" s="294">
        <v>2103643</v>
      </c>
      <c r="Z25" s="294">
        <v>2104246</v>
      </c>
      <c r="AA25" s="298">
        <v>2104680</v>
      </c>
      <c r="AB25" s="298">
        <v>2105131</v>
      </c>
      <c r="AC25" s="294">
        <v>2105131</v>
      </c>
      <c r="AD25" s="294">
        <v>2105131</v>
      </c>
      <c r="AE25" s="294">
        <v>2105348</v>
      </c>
    </row>
    <row r="26" spans="1:31" x14ac:dyDescent="0.25">
      <c r="A26" s="6" t="s">
        <v>25</v>
      </c>
      <c r="B26" s="294">
        <v>2106950</v>
      </c>
      <c r="C26" s="294">
        <v>2107512</v>
      </c>
      <c r="D26" s="294">
        <v>2108071</v>
      </c>
      <c r="E26" s="294">
        <v>2108228</v>
      </c>
      <c r="F26" s="294">
        <v>2108419</v>
      </c>
      <c r="G26" s="294">
        <v>2109004</v>
      </c>
      <c r="H26" s="294">
        <v>2109564</v>
      </c>
      <c r="I26" s="294">
        <v>2110042</v>
      </c>
      <c r="J26" s="294">
        <v>2110604</v>
      </c>
      <c r="K26" s="294">
        <v>2110886</v>
      </c>
      <c r="L26" s="294">
        <v>2111134</v>
      </c>
      <c r="M26" s="294">
        <v>2111379</v>
      </c>
      <c r="N26" s="294">
        <v>2111628</v>
      </c>
      <c r="O26" s="294">
        <v>2111628</v>
      </c>
      <c r="P26" s="294">
        <v>2111628</v>
      </c>
      <c r="Q26" s="294">
        <v>2111693</v>
      </c>
      <c r="R26" s="294">
        <v>2111942</v>
      </c>
      <c r="S26" s="294">
        <v>2112192</v>
      </c>
      <c r="T26" s="294">
        <v>2112442</v>
      </c>
      <c r="U26" s="294">
        <v>2112442</v>
      </c>
      <c r="V26" s="294">
        <v>2112442</v>
      </c>
      <c r="W26" s="294">
        <v>2112442</v>
      </c>
      <c r="X26" s="294">
        <v>2112699</v>
      </c>
      <c r="Y26" s="294">
        <v>2113130</v>
      </c>
      <c r="Z26" s="294">
        <v>2113306</v>
      </c>
      <c r="AA26" s="298">
        <v>2113738</v>
      </c>
      <c r="AB26" s="298">
        <v>2114128</v>
      </c>
      <c r="AC26" s="294">
        <v>2114687</v>
      </c>
      <c r="AD26" s="294">
        <v>2115204</v>
      </c>
      <c r="AE26" s="294">
        <v>2115636</v>
      </c>
    </row>
    <row r="27" spans="1:31" x14ac:dyDescent="0.25">
      <c r="A27" s="6" t="s">
        <v>26</v>
      </c>
      <c r="B27" s="294">
        <v>2066980</v>
      </c>
      <c r="C27" s="294">
        <v>2067346</v>
      </c>
      <c r="D27" s="294">
        <v>2067612</v>
      </c>
      <c r="E27" s="294">
        <v>2068175</v>
      </c>
      <c r="F27" s="294">
        <v>2068735</v>
      </c>
      <c r="G27" s="294">
        <v>2068993</v>
      </c>
      <c r="H27" s="294">
        <v>2068993</v>
      </c>
      <c r="I27" s="294">
        <v>2068993</v>
      </c>
      <c r="J27" s="294">
        <v>2069188</v>
      </c>
      <c r="K27" s="294">
        <v>2069586</v>
      </c>
      <c r="L27" s="294">
        <v>2070036</v>
      </c>
      <c r="M27" s="294">
        <v>2070297</v>
      </c>
      <c r="N27" s="294">
        <v>2070547</v>
      </c>
      <c r="O27" s="294">
        <v>2070547</v>
      </c>
      <c r="P27" s="294">
        <v>2070547</v>
      </c>
      <c r="Q27" s="294">
        <v>2070706</v>
      </c>
      <c r="R27" s="294">
        <v>2071309</v>
      </c>
      <c r="S27" s="294">
        <v>2071605</v>
      </c>
      <c r="T27" s="294">
        <v>2072174</v>
      </c>
      <c r="U27" s="294">
        <v>2072693</v>
      </c>
      <c r="V27" s="294">
        <v>2073253</v>
      </c>
      <c r="W27" s="294">
        <v>2073727</v>
      </c>
      <c r="X27" s="294">
        <v>2073867</v>
      </c>
      <c r="Y27" s="294">
        <v>2074118</v>
      </c>
      <c r="Z27" s="294">
        <v>2074362</v>
      </c>
      <c r="AA27" s="298">
        <v>2074811</v>
      </c>
      <c r="AB27" s="298">
        <v>2075030</v>
      </c>
      <c r="AC27" s="294">
        <v>2075547</v>
      </c>
      <c r="AD27" s="294">
        <v>2075636</v>
      </c>
      <c r="AE27" s="294">
        <v>2076068</v>
      </c>
    </row>
    <row r="28" spans="1:31" x14ac:dyDescent="0.25">
      <c r="A28" s="6" t="s">
        <v>27</v>
      </c>
      <c r="B28" s="294">
        <v>2041124</v>
      </c>
      <c r="C28" s="294">
        <v>2041222</v>
      </c>
      <c r="D28" s="294">
        <v>2041242</v>
      </c>
      <c r="E28" s="294">
        <v>2041265</v>
      </c>
      <c r="F28" s="294">
        <v>2041526</v>
      </c>
      <c r="G28" s="294">
        <v>2041777</v>
      </c>
      <c r="H28" s="294">
        <v>2041777</v>
      </c>
      <c r="I28" s="294">
        <v>2041777</v>
      </c>
      <c r="J28" s="294">
        <v>2042364</v>
      </c>
      <c r="K28" s="294">
        <v>2042756</v>
      </c>
      <c r="L28" s="294">
        <v>2042939</v>
      </c>
      <c r="M28" s="294">
        <v>2043114</v>
      </c>
      <c r="N28" s="294">
        <v>2043292</v>
      </c>
      <c r="O28" s="294">
        <v>2043809</v>
      </c>
      <c r="P28" s="294">
        <v>2044326</v>
      </c>
      <c r="Q28" s="294">
        <v>2044348</v>
      </c>
      <c r="R28" s="294">
        <v>2044510</v>
      </c>
      <c r="S28" s="294">
        <v>2044761</v>
      </c>
      <c r="T28" s="294">
        <v>2045082</v>
      </c>
      <c r="U28" s="294">
        <v>2045082</v>
      </c>
      <c r="V28" s="294">
        <v>2045082</v>
      </c>
      <c r="W28" s="294">
        <v>2045082</v>
      </c>
      <c r="X28" s="294">
        <v>2045394</v>
      </c>
      <c r="Y28" s="294">
        <v>2045845</v>
      </c>
      <c r="Z28" s="294">
        <v>2045977</v>
      </c>
      <c r="AA28" s="298">
        <v>2046496</v>
      </c>
      <c r="AB28" s="298">
        <v>2046926</v>
      </c>
      <c r="AC28" s="294">
        <v>2047445</v>
      </c>
      <c r="AD28" s="294">
        <v>2047533</v>
      </c>
      <c r="AE28" s="294">
        <v>2047971</v>
      </c>
    </row>
    <row r="29" spans="1:31" x14ac:dyDescent="0.25">
      <c r="A29" s="5" t="s">
        <v>28</v>
      </c>
      <c r="B29" s="294">
        <v>1986999</v>
      </c>
      <c r="C29" s="294">
        <v>1987251</v>
      </c>
      <c r="D29" s="294">
        <v>1987454</v>
      </c>
      <c r="E29" s="294">
        <v>1987704</v>
      </c>
      <c r="F29" s="294">
        <v>1988275</v>
      </c>
      <c r="G29" s="294">
        <v>1988812</v>
      </c>
      <c r="H29" s="294">
        <v>1988812</v>
      </c>
      <c r="I29" s="294">
        <v>1988812</v>
      </c>
      <c r="J29" s="294">
        <v>1989134</v>
      </c>
      <c r="K29" s="294">
        <v>1989608</v>
      </c>
      <c r="L29" s="294">
        <v>1990213</v>
      </c>
      <c r="M29" s="294">
        <v>1990723</v>
      </c>
      <c r="N29" s="294">
        <v>1990975</v>
      </c>
      <c r="O29" s="294">
        <v>1990975</v>
      </c>
      <c r="P29" s="294">
        <v>1990996</v>
      </c>
      <c r="Q29" s="294">
        <v>1991343</v>
      </c>
      <c r="R29" s="294">
        <v>1991775</v>
      </c>
      <c r="S29" s="294">
        <v>1991845</v>
      </c>
      <c r="T29" s="294">
        <v>1991944</v>
      </c>
      <c r="U29" s="294">
        <v>1991944</v>
      </c>
      <c r="V29" s="294">
        <v>1991944</v>
      </c>
      <c r="W29" s="294">
        <v>1991944</v>
      </c>
      <c r="X29" s="294">
        <v>1992103</v>
      </c>
      <c r="Y29" s="294">
        <v>1992664</v>
      </c>
      <c r="Z29" s="294">
        <v>1993227</v>
      </c>
      <c r="AA29" s="298">
        <v>1993719</v>
      </c>
      <c r="AB29" s="298">
        <v>1993871</v>
      </c>
      <c r="AC29" s="294">
        <v>1993871</v>
      </c>
      <c r="AD29" s="294">
        <v>1993871</v>
      </c>
      <c r="AE29" s="294">
        <v>1994367</v>
      </c>
    </row>
    <row r="30" spans="1:31" x14ac:dyDescent="0.25">
      <c r="A30" s="6" t="s">
        <v>29</v>
      </c>
      <c r="B30" s="294">
        <v>1722259</v>
      </c>
      <c r="C30" s="294">
        <v>1722734</v>
      </c>
      <c r="D30" s="294">
        <v>1723252</v>
      </c>
      <c r="E30" s="294">
        <v>1723685</v>
      </c>
      <c r="F30" s="294">
        <v>1723965</v>
      </c>
      <c r="G30" s="294">
        <v>1724314</v>
      </c>
      <c r="H30" s="294">
        <v>1724385</v>
      </c>
      <c r="I30" s="294">
        <v>1724389</v>
      </c>
      <c r="J30" s="294">
        <v>1724841</v>
      </c>
      <c r="K30" s="294">
        <v>1725092</v>
      </c>
      <c r="L30" s="294">
        <v>1725287</v>
      </c>
      <c r="M30" s="294">
        <v>1725807</v>
      </c>
      <c r="N30" s="294">
        <v>1726413</v>
      </c>
      <c r="O30" s="294">
        <v>1726975</v>
      </c>
      <c r="P30" s="294">
        <v>1727111</v>
      </c>
      <c r="Q30" s="294">
        <v>1727459</v>
      </c>
      <c r="R30" s="294">
        <v>1728021</v>
      </c>
      <c r="S30" s="294">
        <v>1728584</v>
      </c>
      <c r="T30" s="294">
        <v>1728828</v>
      </c>
      <c r="U30" s="294">
        <v>1728828</v>
      </c>
      <c r="V30" s="294">
        <v>1728828</v>
      </c>
      <c r="W30" s="294">
        <v>1728828</v>
      </c>
      <c r="X30" s="294">
        <v>1729241</v>
      </c>
      <c r="Y30" s="294">
        <v>1729588</v>
      </c>
      <c r="Z30" s="294">
        <v>1730021</v>
      </c>
      <c r="AA30" s="298">
        <v>1730260</v>
      </c>
      <c r="AB30" s="298">
        <v>1730512</v>
      </c>
      <c r="AC30" s="294">
        <v>1730512</v>
      </c>
      <c r="AD30" s="294">
        <v>1730512</v>
      </c>
      <c r="AE30" s="294">
        <v>1731099</v>
      </c>
    </row>
    <row r="31" spans="1:31" x14ac:dyDescent="0.25">
      <c r="A31" s="7" t="s">
        <v>30</v>
      </c>
      <c r="B31" s="294">
        <v>2038311</v>
      </c>
      <c r="C31" s="294">
        <v>2038511</v>
      </c>
      <c r="D31" s="294">
        <v>2038762</v>
      </c>
      <c r="E31" s="294">
        <v>2039024</v>
      </c>
      <c r="F31" s="294">
        <v>2039585</v>
      </c>
      <c r="G31" s="294">
        <v>2039850</v>
      </c>
      <c r="H31" s="294">
        <v>2040411</v>
      </c>
      <c r="I31" s="294">
        <v>2040454</v>
      </c>
      <c r="J31" s="294">
        <v>2040904</v>
      </c>
      <c r="K31" s="294">
        <v>2041161</v>
      </c>
      <c r="L31" s="294">
        <v>2041749</v>
      </c>
      <c r="M31" s="294">
        <v>2042269</v>
      </c>
      <c r="N31" s="294">
        <v>2042830</v>
      </c>
      <c r="O31" s="294">
        <v>2043305</v>
      </c>
      <c r="P31" s="294">
        <v>2043737</v>
      </c>
      <c r="Q31" s="294">
        <v>2044126</v>
      </c>
      <c r="R31" s="294">
        <v>2044430</v>
      </c>
      <c r="S31" s="294">
        <v>2044694</v>
      </c>
      <c r="T31" s="294">
        <v>2045213</v>
      </c>
      <c r="U31" s="294">
        <v>2045645</v>
      </c>
      <c r="V31" s="294">
        <v>2046162</v>
      </c>
      <c r="W31" s="294">
        <v>2046594</v>
      </c>
      <c r="X31" s="294">
        <v>2047168</v>
      </c>
      <c r="Y31" s="294">
        <v>2047326</v>
      </c>
      <c r="Z31" s="294">
        <v>2047577</v>
      </c>
      <c r="AA31" s="298">
        <v>2047828</v>
      </c>
      <c r="AB31" s="298">
        <v>2048079</v>
      </c>
      <c r="AC31" s="294">
        <v>2048079</v>
      </c>
      <c r="AD31" s="294">
        <v>2048079</v>
      </c>
      <c r="AE31" s="294">
        <v>2048271</v>
      </c>
    </row>
    <row r="32" spans="1:31" s="118" customFormat="1" x14ac:dyDescent="0.25">
      <c r="A32" s="6" t="s">
        <v>111</v>
      </c>
      <c r="B32" s="294">
        <v>669461</v>
      </c>
      <c r="C32" s="294">
        <v>669653</v>
      </c>
      <c r="D32" s="294">
        <v>669904</v>
      </c>
      <c r="E32" s="294">
        <v>670355</v>
      </c>
      <c r="F32" s="294">
        <v>670643</v>
      </c>
      <c r="G32" s="294">
        <v>671127</v>
      </c>
      <c r="H32" s="294">
        <v>671645</v>
      </c>
      <c r="I32" s="294">
        <v>672119</v>
      </c>
      <c r="J32" s="294">
        <v>672509</v>
      </c>
      <c r="K32" s="294">
        <v>672512</v>
      </c>
      <c r="L32" s="294">
        <v>672686</v>
      </c>
      <c r="M32" s="294">
        <v>673122</v>
      </c>
      <c r="N32" s="294">
        <v>673230</v>
      </c>
      <c r="O32" s="294">
        <v>673230</v>
      </c>
      <c r="P32" s="294">
        <v>673230</v>
      </c>
      <c r="Q32" s="294">
        <v>673233</v>
      </c>
      <c r="R32" s="294">
        <v>673485</v>
      </c>
      <c r="S32" s="294">
        <v>673734</v>
      </c>
      <c r="T32" s="294">
        <v>673926</v>
      </c>
      <c r="U32" s="294">
        <v>673926</v>
      </c>
      <c r="V32" s="294">
        <v>673926</v>
      </c>
      <c r="W32" s="294">
        <v>673926</v>
      </c>
      <c r="X32" s="294">
        <v>674323</v>
      </c>
      <c r="Y32" s="294">
        <v>674450</v>
      </c>
      <c r="Z32" s="294">
        <v>674889</v>
      </c>
      <c r="AA32" s="298">
        <v>674980</v>
      </c>
      <c r="AB32" s="298">
        <v>675498</v>
      </c>
      <c r="AC32" s="294">
        <v>675500</v>
      </c>
      <c r="AD32" s="294">
        <v>675676</v>
      </c>
      <c r="AE32" s="294">
        <v>676114</v>
      </c>
    </row>
    <row r="33" spans="1:31" s="118" customFormat="1" x14ac:dyDescent="0.25">
      <c r="A33" s="5" t="s">
        <v>112</v>
      </c>
      <c r="B33" s="294">
        <v>610855</v>
      </c>
      <c r="C33" s="294">
        <v>611373</v>
      </c>
      <c r="D33" s="294">
        <v>611637</v>
      </c>
      <c r="E33" s="294">
        <v>612069</v>
      </c>
      <c r="F33" s="294">
        <v>612076</v>
      </c>
      <c r="G33" s="294">
        <v>612508</v>
      </c>
      <c r="H33" s="294">
        <v>612537</v>
      </c>
      <c r="I33" s="294">
        <v>612537</v>
      </c>
      <c r="J33" s="294">
        <v>612695</v>
      </c>
      <c r="K33" s="294">
        <v>612944</v>
      </c>
      <c r="L33" s="294">
        <v>613196</v>
      </c>
      <c r="M33" s="294">
        <v>613422</v>
      </c>
      <c r="N33" s="294">
        <v>613495</v>
      </c>
      <c r="O33" s="294">
        <v>613495</v>
      </c>
      <c r="P33" s="294">
        <v>613495</v>
      </c>
      <c r="Q33" s="294">
        <v>613688</v>
      </c>
      <c r="R33" s="294">
        <v>613891</v>
      </c>
      <c r="S33" s="294">
        <v>614142</v>
      </c>
      <c r="T33" s="294">
        <v>614575</v>
      </c>
      <c r="U33" s="294">
        <v>614575</v>
      </c>
      <c r="V33" s="294">
        <v>614575</v>
      </c>
      <c r="W33" s="294">
        <v>614575</v>
      </c>
      <c r="X33" s="294">
        <v>614972</v>
      </c>
      <c r="Y33" s="294">
        <v>615296</v>
      </c>
      <c r="Z33" s="294">
        <v>615316</v>
      </c>
      <c r="AA33" s="298">
        <v>615495</v>
      </c>
      <c r="AB33" s="298">
        <v>616013</v>
      </c>
      <c r="AC33" s="294">
        <v>616015</v>
      </c>
      <c r="AD33" s="294">
        <v>616190</v>
      </c>
      <c r="AE33" s="294">
        <v>616624</v>
      </c>
    </row>
    <row r="34" spans="1:31" s="118" customFormat="1" x14ac:dyDescent="0.25">
      <c r="A34" s="6" t="s">
        <v>113</v>
      </c>
      <c r="B34" s="294">
        <v>649792</v>
      </c>
      <c r="C34" s="294">
        <v>650044</v>
      </c>
      <c r="D34" s="294">
        <v>650185</v>
      </c>
      <c r="E34" s="294">
        <v>650617</v>
      </c>
      <c r="F34" s="294">
        <v>650791</v>
      </c>
      <c r="G34" s="294">
        <v>651138</v>
      </c>
      <c r="H34" s="294">
        <v>651138</v>
      </c>
      <c r="I34" s="294">
        <v>651138</v>
      </c>
      <c r="J34" s="294">
        <v>651314</v>
      </c>
      <c r="K34" s="294">
        <v>651603</v>
      </c>
      <c r="L34" s="294">
        <v>651854</v>
      </c>
      <c r="M34" s="294">
        <v>652165</v>
      </c>
      <c r="N34" s="294">
        <v>652420</v>
      </c>
      <c r="O34" s="294">
        <v>652420</v>
      </c>
      <c r="P34" s="294">
        <v>652420</v>
      </c>
      <c r="Q34" s="294">
        <v>652493</v>
      </c>
      <c r="R34" s="294">
        <v>652669</v>
      </c>
      <c r="S34" s="294">
        <v>653104</v>
      </c>
      <c r="T34" s="294">
        <v>653622</v>
      </c>
      <c r="U34" s="294">
        <v>653624</v>
      </c>
      <c r="V34" s="294">
        <v>653627</v>
      </c>
      <c r="W34" s="294">
        <v>653627</v>
      </c>
      <c r="X34" s="294">
        <v>653717</v>
      </c>
      <c r="Y34" s="294">
        <v>653921</v>
      </c>
      <c r="Z34" s="294">
        <v>654170</v>
      </c>
      <c r="AA34" s="298">
        <v>654422</v>
      </c>
      <c r="AB34" s="298">
        <v>654673</v>
      </c>
      <c r="AC34" s="294">
        <v>654673</v>
      </c>
      <c r="AD34" s="294">
        <v>654673</v>
      </c>
      <c r="AE34" s="294">
        <v>654924</v>
      </c>
    </row>
    <row r="35" spans="1:31" s="118" customFormat="1" x14ac:dyDescent="0.25">
      <c r="A35" s="7" t="s">
        <v>114</v>
      </c>
      <c r="B35" s="294">
        <v>667958</v>
      </c>
      <c r="C35" s="294">
        <v>668206</v>
      </c>
      <c r="D35" s="294">
        <v>668691</v>
      </c>
      <c r="E35" s="294">
        <v>668955</v>
      </c>
      <c r="F35" s="294">
        <v>669517</v>
      </c>
      <c r="G35" s="294">
        <v>670077</v>
      </c>
      <c r="H35" s="294">
        <v>670595</v>
      </c>
      <c r="I35" s="294">
        <v>671069</v>
      </c>
      <c r="J35" s="294">
        <v>671253</v>
      </c>
      <c r="K35" s="294">
        <v>671771</v>
      </c>
      <c r="L35" s="294">
        <v>672030</v>
      </c>
      <c r="M35" s="294">
        <v>672481</v>
      </c>
      <c r="N35" s="294">
        <v>672611</v>
      </c>
      <c r="O35" s="294">
        <v>672611</v>
      </c>
      <c r="P35" s="294">
        <v>672788</v>
      </c>
      <c r="Q35" s="294">
        <v>673135</v>
      </c>
      <c r="R35" s="294">
        <v>673484</v>
      </c>
      <c r="S35" s="294">
        <v>674003</v>
      </c>
      <c r="T35" s="294">
        <v>674204</v>
      </c>
      <c r="U35" s="294">
        <v>674204</v>
      </c>
      <c r="V35" s="294">
        <v>674224</v>
      </c>
      <c r="W35" s="294">
        <v>674313</v>
      </c>
      <c r="X35" s="294">
        <v>674768</v>
      </c>
      <c r="Y35" s="294">
        <v>675286</v>
      </c>
      <c r="Z35" s="294">
        <v>675574</v>
      </c>
      <c r="AA35" s="298">
        <v>675769</v>
      </c>
      <c r="AB35" s="298">
        <v>675849</v>
      </c>
      <c r="AC35" s="294">
        <v>675849</v>
      </c>
      <c r="AD35" s="294">
        <v>676022</v>
      </c>
      <c r="AE35" s="294">
        <v>676457</v>
      </c>
    </row>
    <row r="36" spans="1:31" s="118" customFormat="1" x14ac:dyDescent="0.25">
      <c r="A36" s="5" t="s">
        <v>115</v>
      </c>
      <c r="B36" s="294">
        <v>641156</v>
      </c>
      <c r="C36" s="294">
        <v>641588</v>
      </c>
      <c r="D36" s="294">
        <v>642021</v>
      </c>
      <c r="E36" s="294">
        <v>642454</v>
      </c>
      <c r="F36" s="294">
        <v>642724</v>
      </c>
      <c r="G36" s="294">
        <v>642858</v>
      </c>
      <c r="H36" s="294">
        <v>642858</v>
      </c>
      <c r="I36" s="294">
        <v>642858</v>
      </c>
      <c r="J36" s="294">
        <v>643291</v>
      </c>
      <c r="K36" s="294">
        <v>643749</v>
      </c>
      <c r="L36" s="294">
        <v>643943</v>
      </c>
      <c r="M36" s="294">
        <v>644256</v>
      </c>
      <c r="N36" s="294">
        <v>644706</v>
      </c>
      <c r="O36" s="294">
        <v>644706</v>
      </c>
      <c r="P36" s="294">
        <v>644706</v>
      </c>
      <c r="Q36" s="294">
        <v>644712</v>
      </c>
      <c r="R36" s="294">
        <v>644964</v>
      </c>
      <c r="S36" s="294">
        <v>645154</v>
      </c>
      <c r="T36" s="294">
        <v>645672</v>
      </c>
      <c r="U36" s="294">
        <v>645674</v>
      </c>
      <c r="V36" s="294">
        <v>645677</v>
      </c>
      <c r="W36" s="294">
        <v>645856</v>
      </c>
      <c r="X36" s="294">
        <v>646432</v>
      </c>
      <c r="Y36" s="294">
        <v>646635</v>
      </c>
      <c r="Z36" s="294">
        <v>646885</v>
      </c>
      <c r="AA36" s="298">
        <v>647137</v>
      </c>
      <c r="AB36" s="298">
        <v>647388</v>
      </c>
      <c r="AC36" s="294">
        <v>647388</v>
      </c>
      <c r="AD36" s="294">
        <v>647388</v>
      </c>
      <c r="AE36" s="294">
        <v>647727</v>
      </c>
    </row>
    <row r="37" spans="1:31" s="118" customFormat="1" x14ac:dyDescent="0.25">
      <c r="A37" s="6" t="s">
        <v>116</v>
      </c>
      <c r="B37" s="294">
        <v>692199</v>
      </c>
      <c r="C37" s="294">
        <v>692392</v>
      </c>
      <c r="D37" s="294">
        <v>692643</v>
      </c>
      <c r="E37" s="294">
        <v>692812</v>
      </c>
      <c r="F37" s="294">
        <v>693244</v>
      </c>
      <c r="G37" s="294">
        <v>693447</v>
      </c>
      <c r="H37" s="294">
        <v>693447</v>
      </c>
      <c r="I37" s="294">
        <v>693447</v>
      </c>
      <c r="J37" s="294">
        <v>693699</v>
      </c>
      <c r="K37" s="294">
        <v>694286</v>
      </c>
      <c r="L37" s="294">
        <v>694461</v>
      </c>
      <c r="M37" s="294">
        <v>694550</v>
      </c>
      <c r="N37" s="294">
        <v>695001</v>
      </c>
      <c r="O37" s="294">
        <v>695001</v>
      </c>
      <c r="P37" s="294">
        <v>695001</v>
      </c>
      <c r="Q37" s="294">
        <v>695195</v>
      </c>
      <c r="R37" s="294">
        <v>695714</v>
      </c>
      <c r="S37" s="294">
        <v>695953</v>
      </c>
      <c r="T37" s="294">
        <v>696144</v>
      </c>
      <c r="U37" s="294">
        <v>696144</v>
      </c>
      <c r="V37" s="294">
        <v>696144</v>
      </c>
      <c r="W37" s="294">
        <v>696164</v>
      </c>
      <c r="X37" s="294">
        <v>696164</v>
      </c>
      <c r="Y37" s="294">
        <v>696164</v>
      </c>
      <c r="Z37" s="294">
        <v>696164</v>
      </c>
      <c r="AA37" s="298">
        <v>696164</v>
      </c>
      <c r="AB37" s="298">
        <v>696164</v>
      </c>
      <c r="AC37" s="294">
        <v>696164</v>
      </c>
      <c r="AD37" s="294">
        <v>696164</v>
      </c>
      <c r="AE37" s="294">
        <v>696164</v>
      </c>
    </row>
    <row r="38" spans="1:31" x14ac:dyDescent="0.25">
      <c r="A38" s="7" t="s">
        <v>117</v>
      </c>
      <c r="B38" s="294">
        <v>340826</v>
      </c>
      <c r="C38" s="294">
        <v>341346</v>
      </c>
      <c r="D38" s="294">
        <v>341713</v>
      </c>
      <c r="E38" s="294">
        <v>341967</v>
      </c>
      <c r="F38" s="294">
        <v>342109</v>
      </c>
      <c r="G38" s="294">
        <v>342542</v>
      </c>
      <c r="H38" s="294">
        <v>342571</v>
      </c>
      <c r="I38" s="294">
        <v>342832</v>
      </c>
      <c r="J38" s="294">
        <v>343286</v>
      </c>
      <c r="K38" s="294">
        <v>343477</v>
      </c>
      <c r="L38" s="294">
        <v>343681</v>
      </c>
      <c r="M38" s="294">
        <v>343977</v>
      </c>
      <c r="N38" s="294">
        <v>344369</v>
      </c>
      <c r="O38" s="294">
        <v>344369</v>
      </c>
      <c r="P38" s="294">
        <v>344369</v>
      </c>
      <c r="Q38" s="294">
        <v>344717</v>
      </c>
      <c r="R38" s="294">
        <v>344928</v>
      </c>
      <c r="S38" s="294">
        <v>345446</v>
      </c>
      <c r="T38" s="294">
        <v>345878</v>
      </c>
      <c r="U38" s="294">
        <v>345878</v>
      </c>
      <c r="V38" s="294">
        <v>345878</v>
      </c>
      <c r="W38" s="294">
        <v>345878</v>
      </c>
      <c r="X38" s="294">
        <v>346161</v>
      </c>
      <c r="Y38" s="294">
        <v>346679</v>
      </c>
      <c r="Z38" s="294">
        <v>347025</v>
      </c>
      <c r="AA38" s="298">
        <v>347461</v>
      </c>
      <c r="AB38" s="298">
        <v>347810</v>
      </c>
      <c r="AC38" s="294">
        <v>347810</v>
      </c>
      <c r="AD38" s="294">
        <v>347898</v>
      </c>
      <c r="AE38" s="294">
        <v>348109</v>
      </c>
    </row>
    <row r="39" spans="1:31" x14ac:dyDescent="0.25">
      <c r="A39" s="5" t="s">
        <v>118</v>
      </c>
      <c r="B39" s="294">
        <v>666061</v>
      </c>
      <c r="C39" s="294">
        <v>666493</v>
      </c>
      <c r="D39" s="294">
        <v>666695</v>
      </c>
      <c r="E39" s="294">
        <v>666944</v>
      </c>
      <c r="F39" s="294">
        <v>667136</v>
      </c>
      <c r="G39" s="294">
        <v>667327</v>
      </c>
      <c r="H39" s="294">
        <v>667327</v>
      </c>
      <c r="I39" s="294">
        <v>667327</v>
      </c>
      <c r="J39" s="294">
        <v>667391</v>
      </c>
      <c r="K39" s="294">
        <v>667582</v>
      </c>
      <c r="L39" s="294">
        <v>667662</v>
      </c>
      <c r="M39" s="294">
        <v>668226</v>
      </c>
      <c r="N39" s="294">
        <v>668507</v>
      </c>
      <c r="O39" s="294">
        <v>668507</v>
      </c>
      <c r="P39" s="294">
        <v>668507</v>
      </c>
      <c r="Q39" s="294">
        <v>668570</v>
      </c>
      <c r="R39" s="294">
        <v>669070</v>
      </c>
      <c r="S39" s="294">
        <v>669592</v>
      </c>
      <c r="T39" s="294">
        <v>669683</v>
      </c>
      <c r="U39" s="294">
        <v>669683</v>
      </c>
      <c r="V39" s="294">
        <v>669683</v>
      </c>
      <c r="W39" s="294">
        <v>669683</v>
      </c>
      <c r="X39" s="294">
        <v>669968</v>
      </c>
      <c r="Y39" s="294">
        <v>670314</v>
      </c>
      <c r="Z39" s="294">
        <v>670662</v>
      </c>
      <c r="AA39" s="298">
        <v>670864</v>
      </c>
      <c r="AB39" s="298">
        <v>671055</v>
      </c>
      <c r="AC39" s="294">
        <v>671055</v>
      </c>
      <c r="AD39" s="294">
        <v>671055</v>
      </c>
      <c r="AE39" s="294">
        <v>671303</v>
      </c>
    </row>
    <row r="40" spans="1:31" s="118" customFormat="1" ht="18" x14ac:dyDescent="0.25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</row>
    <row r="41" spans="1:31" ht="18" x14ac:dyDescent="0.25">
      <c r="A41" s="342" t="s">
        <v>31</v>
      </c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</row>
    <row r="42" spans="1:31" x14ac:dyDescent="0.25">
      <c r="A42" s="9"/>
      <c r="B42" s="63">
        <v>45809</v>
      </c>
      <c r="C42" s="63">
        <v>45810</v>
      </c>
      <c r="D42" s="63">
        <v>45811</v>
      </c>
      <c r="E42" s="63">
        <v>45812</v>
      </c>
      <c r="F42" s="63">
        <v>45813</v>
      </c>
      <c r="G42" s="63">
        <v>45814</v>
      </c>
      <c r="H42" s="63">
        <v>45815</v>
      </c>
      <c r="I42" s="63">
        <v>45816</v>
      </c>
      <c r="J42" s="63">
        <v>45817</v>
      </c>
      <c r="K42" s="63">
        <v>45818</v>
      </c>
      <c r="L42" s="63">
        <v>45819</v>
      </c>
      <c r="M42" s="63">
        <v>45820</v>
      </c>
      <c r="N42" s="63">
        <v>45821</v>
      </c>
      <c r="O42" s="63">
        <v>45822</v>
      </c>
      <c r="P42" s="63">
        <v>45823</v>
      </c>
      <c r="Q42" s="63">
        <v>45824</v>
      </c>
      <c r="R42" s="63">
        <v>45825</v>
      </c>
      <c r="S42" s="63">
        <v>45826</v>
      </c>
      <c r="T42" s="63">
        <v>45827</v>
      </c>
      <c r="U42" s="63">
        <v>45828</v>
      </c>
      <c r="V42" s="63">
        <v>45829</v>
      </c>
      <c r="W42" s="63">
        <v>45830</v>
      </c>
      <c r="X42" s="63">
        <v>45831</v>
      </c>
      <c r="Y42" s="63">
        <v>45832</v>
      </c>
      <c r="Z42" s="63">
        <v>45833</v>
      </c>
      <c r="AA42" s="63">
        <v>45834</v>
      </c>
      <c r="AB42" s="63">
        <v>45835</v>
      </c>
      <c r="AC42" s="63">
        <v>45836</v>
      </c>
      <c r="AD42" s="63">
        <v>45837</v>
      </c>
      <c r="AE42" s="63">
        <v>45838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24">
        <v>0</v>
      </c>
      <c r="C45" s="12">
        <f t="shared" ref="C45:D64" si="0">C5-B5</f>
        <v>499</v>
      </c>
      <c r="D45" s="12">
        <f t="shared" si="0"/>
        <v>450</v>
      </c>
      <c r="E45" s="12">
        <f t="shared" ref="E45:F64" si="1">E5-D5</f>
        <v>80</v>
      </c>
      <c r="F45" s="12">
        <f t="shared" si="1"/>
        <v>108</v>
      </c>
      <c r="G45" s="12">
        <f t="shared" ref="G45:P45" si="2">G5-F5</f>
        <v>185</v>
      </c>
      <c r="H45" s="12">
        <f t="shared" si="2"/>
        <v>0</v>
      </c>
      <c r="I45" s="12">
        <f t="shared" si="2"/>
        <v>0</v>
      </c>
      <c r="J45" s="12">
        <f t="shared" si="2"/>
        <v>259</v>
      </c>
      <c r="K45" s="12">
        <f t="shared" si="2"/>
        <v>313</v>
      </c>
      <c r="L45" s="12">
        <f t="shared" si="2"/>
        <v>517</v>
      </c>
      <c r="M45" s="12">
        <f t="shared" si="2"/>
        <v>516</v>
      </c>
      <c r="N45" s="12">
        <f t="shared" si="2"/>
        <v>560</v>
      </c>
      <c r="O45" s="12">
        <f t="shared" si="2"/>
        <v>44</v>
      </c>
      <c r="P45" s="12">
        <f t="shared" si="2"/>
        <v>519</v>
      </c>
      <c r="Q45" s="12">
        <f>Q5-P5</f>
        <v>24</v>
      </c>
      <c r="R45" s="12">
        <f>R5-Q5</f>
        <v>261</v>
      </c>
      <c r="S45" s="12">
        <f>S5-R5</f>
        <v>476</v>
      </c>
      <c r="T45" s="12">
        <f t="shared" ref="T45:AD45" si="3">T5-S5</f>
        <v>271</v>
      </c>
      <c r="U45" s="12">
        <f t="shared" si="3"/>
        <v>478</v>
      </c>
      <c r="V45" s="12">
        <f>V5-U5</f>
        <v>560</v>
      </c>
      <c r="W45" s="12">
        <f t="shared" si="3"/>
        <v>43</v>
      </c>
      <c r="X45" s="12">
        <f t="shared" si="3"/>
        <v>574</v>
      </c>
      <c r="Y45" s="12">
        <f t="shared" si="3"/>
        <v>431</v>
      </c>
      <c r="Z45" s="12">
        <f t="shared" si="3"/>
        <v>451</v>
      </c>
      <c r="AA45" s="12">
        <f t="shared" si="3"/>
        <v>254</v>
      </c>
      <c r="AB45" s="12">
        <f t="shared" si="3"/>
        <v>249</v>
      </c>
      <c r="AC45" s="12">
        <f t="shared" si="3"/>
        <v>0</v>
      </c>
      <c r="AD45" s="12">
        <f t="shared" si="3"/>
        <v>0</v>
      </c>
      <c r="AE45" s="12">
        <f>AE5-AD5</f>
        <v>192</v>
      </c>
    </row>
    <row r="46" spans="1:31" x14ac:dyDescent="0.25">
      <c r="A46" s="11" t="s">
        <v>5</v>
      </c>
      <c r="B46" s="224">
        <v>0</v>
      </c>
      <c r="C46" s="12">
        <f t="shared" si="0"/>
        <v>21</v>
      </c>
      <c r="D46" s="12">
        <f t="shared" si="0"/>
        <v>304</v>
      </c>
      <c r="E46" s="12">
        <f t="shared" si="1"/>
        <v>251</v>
      </c>
      <c r="F46" s="12">
        <f t="shared" si="1"/>
        <v>314</v>
      </c>
      <c r="G46" s="12">
        <f t="shared" ref="G46:P62" si="4">G6-F6</f>
        <v>561</v>
      </c>
      <c r="H46" s="12">
        <f t="shared" si="4"/>
        <v>71</v>
      </c>
      <c r="I46" s="12">
        <f t="shared" si="4"/>
        <v>4</v>
      </c>
      <c r="J46" s="12">
        <f t="shared" si="4"/>
        <v>271</v>
      </c>
      <c r="K46" s="12">
        <f t="shared" si="4"/>
        <v>476</v>
      </c>
      <c r="L46" s="12">
        <f t="shared" si="4"/>
        <v>518</v>
      </c>
      <c r="M46" s="12">
        <f t="shared" si="4"/>
        <v>238</v>
      </c>
      <c r="N46" s="12">
        <f t="shared" si="4"/>
        <v>200</v>
      </c>
      <c r="O46" s="12">
        <f t="shared" si="4"/>
        <v>0</v>
      </c>
      <c r="P46" s="12">
        <f t="shared" si="4"/>
        <v>1</v>
      </c>
      <c r="Q46" s="12">
        <f t="shared" ref="Q46:R79" si="5">Q6-P6</f>
        <v>168</v>
      </c>
      <c r="R46" s="12">
        <f t="shared" si="5"/>
        <v>458</v>
      </c>
      <c r="S46" s="12">
        <f t="shared" ref="S46:S79" si="6">S6-R6</f>
        <v>553</v>
      </c>
      <c r="T46" s="12">
        <f t="shared" ref="T46:AE46" si="7">T6-S6</f>
        <v>563</v>
      </c>
      <c r="U46" s="12">
        <f t="shared" si="7"/>
        <v>476</v>
      </c>
      <c r="V46" s="12">
        <f t="shared" si="7"/>
        <v>561</v>
      </c>
      <c r="W46" s="12">
        <f t="shared" si="7"/>
        <v>174</v>
      </c>
      <c r="X46" s="12">
        <f t="shared" si="7"/>
        <v>231</v>
      </c>
      <c r="Y46" s="12">
        <f t="shared" si="7"/>
        <v>250</v>
      </c>
      <c r="Z46" s="12">
        <f t="shared" si="7"/>
        <v>250</v>
      </c>
      <c r="AA46" s="12">
        <f t="shared" si="7"/>
        <v>262</v>
      </c>
      <c r="AB46" s="12">
        <f t="shared" si="7"/>
        <v>589</v>
      </c>
      <c r="AC46" s="12">
        <f t="shared" si="7"/>
        <v>520</v>
      </c>
      <c r="AD46" s="12">
        <f t="shared" si="7"/>
        <v>92</v>
      </c>
      <c r="AE46" s="12">
        <f t="shared" si="7"/>
        <v>263</v>
      </c>
    </row>
    <row r="47" spans="1:31" x14ac:dyDescent="0.25">
      <c r="A47" s="11" t="s">
        <v>6</v>
      </c>
      <c r="B47" s="224">
        <v>478</v>
      </c>
      <c r="C47" s="12">
        <f t="shared" si="0"/>
        <v>445</v>
      </c>
      <c r="D47" s="12">
        <f t="shared" si="0"/>
        <v>437</v>
      </c>
      <c r="E47" s="12">
        <f t="shared" si="1"/>
        <v>563</v>
      </c>
      <c r="F47" s="12">
        <f t="shared" si="1"/>
        <v>477</v>
      </c>
      <c r="G47" s="12">
        <f t="shared" si="4"/>
        <v>202</v>
      </c>
      <c r="H47" s="12">
        <f t="shared" si="4"/>
        <v>0</v>
      </c>
      <c r="I47" s="12">
        <f t="shared" si="4"/>
        <v>0</v>
      </c>
      <c r="J47" s="12">
        <f t="shared" si="4"/>
        <v>252</v>
      </c>
      <c r="K47" s="12">
        <f t="shared" si="4"/>
        <v>398</v>
      </c>
      <c r="L47" s="12">
        <f t="shared" si="4"/>
        <v>433</v>
      </c>
      <c r="M47" s="12">
        <f t="shared" si="4"/>
        <v>107</v>
      </c>
      <c r="N47" s="12">
        <f t="shared" si="4"/>
        <v>307</v>
      </c>
      <c r="O47" s="12">
        <f t="shared" si="4"/>
        <v>520</v>
      </c>
      <c r="P47" s="12">
        <f t="shared" si="4"/>
        <v>519</v>
      </c>
      <c r="Q47" s="12">
        <f t="shared" si="5"/>
        <v>178</v>
      </c>
      <c r="R47" s="12">
        <f t="shared" si="5"/>
        <v>606</v>
      </c>
      <c r="S47" s="12">
        <f t="shared" si="6"/>
        <v>433</v>
      </c>
      <c r="T47" s="12">
        <f t="shared" ref="T47:AE47" si="8">T7-S7</f>
        <v>322</v>
      </c>
      <c r="U47" s="12">
        <f t="shared" si="8"/>
        <v>86</v>
      </c>
      <c r="V47" s="12">
        <f t="shared" si="8"/>
        <v>518</v>
      </c>
      <c r="W47" s="12">
        <f t="shared" si="8"/>
        <v>91</v>
      </c>
      <c r="X47" s="12">
        <f t="shared" si="8"/>
        <v>321</v>
      </c>
      <c r="Y47" s="12">
        <f t="shared" si="8"/>
        <v>519</v>
      </c>
      <c r="Z47" s="12">
        <f t="shared" si="8"/>
        <v>563</v>
      </c>
      <c r="AA47" s="12">
        <f t="shared" si="8"/>
        <v>269</v>
      </c>
      <c r="AB47" s="12">
        <f t="shared" si="8"/>
        <v>450</v>
      </c>
      <c r="AC47" s="12">
        <f t="shared" si="8"/>
        <v>151</v>
      </c>
      <c r="AD47" s="12">
        <f t="shared" si="8"/>
        <v>561</v>
      </c>
      <c r="AE47" s="12">
        <f t="shared" si="8"/>
        <v>434</v>
      </c>
    </row>
    <row r="48" spans="1:31" x14ac:dyDescent="0.25">
      <c r="A48" s="13" t="s">
        <v>7</v>
      </c>
      <c r="B48" s="224">
        <v>433</v>
      </c>
      <c r="C48" s="12">
        <f t="shared" si="0"/>
        <v>436</v>
      </c>
      <c r="D48" s="12">
        <f t="shared" si="0"/>
        <v>349</v>
      </c>
      <c r="E48" s="12">
        <f t="shared" si="1"/>
        <v>436</v>
      </c>
      <c r="F48" s="12">
        <f t="shared" si="1"/>
        <v>603</v>
      </c>
      <c r="G48" s="12">
        <f t="shared" si="4"/>
        <v>453</v>
      </c>
      <c r="H48" s="12">
        <f t="shared" si="4"/>
        <v>0</v>
      </c>
      <c r="I48" s="12">
        <f t="shared" si="4"/>
        <v>19</v>
      </c>
      <c r="J48" s="12">
        <f t="shared" si="4"/>
        <v>92</v>
      </c>
      <c r="K48" s="12">
        <f t="shared" si="4"/>
        <v>109</v>
      </c>
      <c r="L48" s="12">
        <f t="shared" si="4"/>
        <v>194</v>
      </c>
      <c r="M48" s="12">
        <f t="shared" si="4"/>
        <v>315</v>
      </c>
      <c r="N48" s="12">
        <f t="shared" si="4"/>
        <v>235</v>
      </c>
      <c r="O48" s="12">
        <f t="shared" si="4"/>
        <v>0</v>
      </c>
      <c r="P48" s="12">
        <f t="shared" si="4"/>
        <v>0</v>
      </c>
      <c r="Q48" s="12">
        <f t="shared" si="5"/>
        <v>281</v>
      </c>
      <c r="R48" s="12">
        <f t="shared" si="5"/>
        <v>454</v>
      </c>
      <c r="S48" s="12">
        <f t="shared" si="6"/>
        <v>265</v>
      </c>
      <c r="T48" s="12">
        <f t="shared" ref="T48:AE48" si="9">T8-S8</f>
        <v>230</v>
      </c>
      <c r="U48" s="12">
        <f t="shared" si="9"/>
        <v>0</v>
      </c>
      <c r="V48" s="12">
        <f t="shared" si="9"/>
        <v>0</v>
      </c>
      <c r="W48" s="12">
        <f t="shared" si="9"/>
        <v>0</v>
      </c>
      <c r="X48" s="12">
        <f t="shared" si="9"/>
        <v>191</v>
      </c>
      <c r="Y48" s="12">
        <f t="shared" si="9"/>
        <v>191</v>
      </c>
      <c r="Z48" s="12">
        <f t="shared" si="9"/>
        <v>232</v>
      </c>
      <c r="AA48" s="12">
        <f t="shared" si="9"/>
        <v>273</v>
      </c>
      <c r="AB48" s="12">
        <f t="shared" si="9"/>
        <v>271</v>
      </c>
      <c r="AC48" s="12">
        <f t="shared" si="9"/>
        <v>0</v>
      </c>
      <c r="AD48" s="12">
        <f t="shared" si="9"/>
        <v>0</v>
      </c>
      <c r="AE48" s="12">
        <f t="shared" si="9"/>
        <v>251</v>
      </c>
    </row>
    <row r="49" spans="1:31" x14ac:dyDescent="0.25">
      <c r="A49" s="13" t="s">
        <v>8</v>
      </c>
      <c r="B49" s="224">
        <v>43</v>
      </c>
      <c r="C49" s="12">
        <f t="shared" si="0"/>
        <v>603</v>
      </c>
      <c r="D49" s="12">
        <f t="shared" si="0"/>
        <v>604</v>
      </c>
      <c r="E49" s="12">
        <f t="shared" si="1"/>
        <v>449</v>
      </c>
      <c r="F49" s="12">
        <f t="shared" si="1"/>
        <v>144</v>
      </c>
      <c r="G49" s="12">
        <f t="shared" si="4"/>
        <v>400</v>
      </c>
      <c r="H49" s="12">
        <f t="shared" si="4"/>
        <v>520</v>
      </c>
      <c r="I49" s="12">
        <f t="shared" si="4"/>
        <v>431</v>
      </c>
      <c r="J49" s="12">
        <f t="shared" si="4"/>
        <v>431</v>
      </c>
      <c r="K49" s="12">
        <f t="shared" si="4"/>
        <v>519</v>
      </c>
      <c r="L49" s="12">
        <f t="shared" si="4"/>
        <v>301</v>
      </c>
      <c r="M49" s="12">
        <f t="shared" si="4"/>
        <v>481</v>
      </c>
      <c r="N49" s="12">
        <f t="shared" si="4"/>
        <v>195</v>
      </c>
      <c r="O49" s="12">
        <f t="shared" si="4"/>
        <v>0</v>
      </c>
      <c r="P49" s="12">
        <f t="shared" si="4"/>
        <v>0</v>
      </c>
      <c r="Q49" s="12">
        <f t="shared" si="5"/>
        <v>2</v>
      </c>
      <c r="R49" s="12">
        <f t="shared" si="5"/>
        <v>251</v>
      </c>
      <c r="S49" s="12">
        <f t="shared" si="6"/>
        <v>191</v>
      </c>
      <c r="T49" s="12">
        <f t="shared" ref="T49:AE49" si="10">T9-S9</f>
        <v>312</v>
      </c>
      <c r="U49" s="12">
        <f t="shared" si="10"/>
        <v>0</v>
      </c>
      <c r="V49" s="12">
        <f t="shared" si="10"/>
        <v>519</v>
      </c>
      <c r="W49" s="12">
        <f t="shared" si="10"/>
        <v>476</v>
      </c>
      <c r="X49" s="12">
        <f t="shared" si="10"/>
        <v>299</v>
      </c>
      <c r="Y49" s="12">
        <f t="shared" si="10"/>
        <v>532</v>
      </c>
      <c r="Z49" s="12">
        <f t="shared" si="10"/>
        <v>492</v>
      </c>
      <c r="AA49" s="12">
        <f t="shared" si="10"/>
        <v>253</v>
      </c>
      <c r="AB49" s="12">
        <f t="shared" si="10"/>
        <v>142</v>
      </c>
      <c r="AC49" s="12">
        <f t="shared" si="10"/>
        <v>0</v>
      </c>
      <c r="AD49" s="12">
        <f t="shared" si="10"/>
        <v>178</v>
      </c>
      <c r="AE49" s="12">
        <f t="shared" si="10"/>
        <v>560</v>
      </c>
    </row>
    <row r="50" spans="1:31" x14ac:dyDescent="0.25">
      <c r="A50" s="13" t="s">
        <v>9</v>
      </c>
      <c r="B50" s="224">
        <v>518</v>
      </c>
      <c r="C50" s="12">
        <f t="shared" si="0"/>
        <v>284</v>
      </c>
      <c r="D50" s="12">
        <f t="shared" si="0"/>
        <v>63</v>
      </c>
      <c r="E50" s="12">
        <f t="shared" si="1"/>
        <v>81</v>
      </c>
      <c r="F50" s="12">
        <f t="shared" si="1"/>
        <v>431</v>
      </c>
      <c r="G50" s="12">
        <f t="shared" si="4"/>
        <v>366</v>
      </c>
      <c r="H50" s="12">
        <f t="shared" si="4"/>
        <v>0</v>
      </c>
      <c r="I50" s="12">
        <f t="shared" si="4"/>
        <v>0</v>
      </c>
      <c r="J50" s="12">
        <f t="shared" si="4"/>
        <v>305</v>
      </c>
      <c r="K50" s="12">
        <f t="shared" si="4"/>
        <v>563</v>
      </c>
      <c r="L50" s="12">
        <f t="shared" si="4"/>
        <v>475</v>
      </c>
      <c r="M50" s="12">
        <f t="shared" si="4"/>
        <v>239</v>
      </c>
      <c r="N50" s="12">
        <f t="shared" si="4"/>
        <v>192</v>
      </c>
      <c r="O50" s="12">
        <f t="shared" si="4"/>
        <v>0</v>
      </c>
      <c r="P50" s="12">
        <f t="shared" si="4"/>
        <v>0</v>
      </c>
      <c r="Q50" s="12">
        <f t="shared" si="5"/>
        <v>457</v>
      </c>
      <c r="R50" s="12">
        <f t="shared" si="5"/>
        <v>474</v>
      </c>
      <c r="S50" s="12">
        <f t="shared" si="6"/>
        <v>269</v>
      </c>
      <c r="T50" s="12">
        <f t="shared" ref="T50:AE50" si="11">T10-S10</f>
        <v>526</v>
      </c>
      <c r="U50" s="12">
        <f t="shared" si="11"/>
        <v>44</v>
      </c>
      <c r="V50" s="12">
        <f t="shared" si="11"/>
        <v>517</v>
      </c>
      <c r="W50" s="12">
        <f t="shared" si="11"/>
        <v>431</v>
      </c>
      <c r="X50" s="12">
        <f t="shared" si="11"/>
        <v>175</v>
      </c>
      <c r="Y50" s="12">
        <f t="shared" si="11"/>
        <v>450</v>
      </c>
      <c r="Z50" s="12">
        <f t="shared" si="11"/>
        <v>314</v>
      </c>
      <c r="AA50" s="12">
        <f t="shared" si="11"/>
        <v>364</v>
      </c>
      <c r="AB50" s="12">
        <f t="shared" si="11"/>
        <v>475</v>
      </c>
      <c r="AC50" s="12">
        <f t="shared" si="11"/>
        <v>519</v>
      </c>
      <c r="AD50" s="12">
        <f t="shared" si="11"/>
        <v>431</v>
      </c>
      <c r="AE50" s="12">
        <f t="shared" si="11"/>
        <v>193</v>
      </c>
    </row>
    <row r="51" spans="1:31" x14ac:dyDescent="0.25">
      <c r="A51" s="13" t="s">
        <v>10</v>
      </c>
      <c r="B51" s="224">
        <v>521</v>
      </c>
      <c r="C51" s="12">
        <f t="shared" si="0"/>
        <v>609</v>
      </c>
      <c r="D51" s="12">
        <f t="shared" si="0"/>
        <v>110</v>
      </c>
      <c r="E51" s="12">
        <f t="shared" si="1"/>
        <v>249</v>
      </c>
      <c r="F51" s="12">
        <f t="shared" si="1"/>
        <v>254</v>
      </c>
      <c r="G51" s="12">
        <f t="shared" si="4"/>
        <v>253</v>
      </c>
      <c r="H51" s="12">
        <f t="shared" si="4"/>
        <v>0</v>
      </c>
      <c r="I51" s="12">
        <f t="shared" si="4"/>
        <v>0</v>
      </c>
      <c r="J51" s="12">
        <f t="shared" si="4"/>
        <v>254</v>
      </c>
      <c r="K51" s="12">
        <f t="shared" si="4"/>
        <v>134</v>
      </c>
      <c r="L51" s="12">
        <f t="shared" si="4"/>
        <v>453</v>
      </c>
      <c r="M51" s="12">
        <f t="shared" si="4"/>
        <v>194</v>
      </c>
      <c r="N51" s="12">
        <f t="shared" si="4"/>
        <v>435</v>
      </c>
      <c r="O51" s="12">
        <f t="shared" si="4"/>
        <v>564</v>
      </c>
      <c r="P51" s="12">
        <f t="shared" si="4"/>
        <v>45</v>
      </c>
      <c r="Q51" s="12">
        <f t="shared" si="5"/>
        <v>265</v>
      </c>
      <c r="R51" s="12">
        <f t="shared" si="5"/>
        <v>522</v>
      </c>
      <c r="S51" s="12">
        <f t="shared" si="6"/>
        <v>143</v>
      </c>
      <c r="T51" s="12">
        <f t="shared" ref="T51:AE51" si="12">T11-S11</f>
        <v>374</v>
      </c>
      <c r="U51" s="12">
        <f t="shared" si="12"/>
        <v>0</v>
      </c>
      <c r="V51" s="12">
        <f t="shared" si="12"/>
        <v>0</v>
      </c>
      <c r="W51" s="12">
        <f t="shared" si="12"/>
        <v>0</v>
      </c>
      <c r="X51" s="12">
        <f t="shared" si="12"/>
        <v>219</v>
      </c>
      <c r="Y51" s="12">
        <f t="shared" si="12"/>
        <v>607</v>
      </c>
      <c r="Z51" s="12">
        <f t="shared" si="12"/>
        <v>447</v>
      </c>
      <c r="AA51" s="12">
        <f t="shared" si="12"/>
        <v>608</v>
      </c>
      <c r="AB51" s="12">
        <f t="shared" si="12"/>
        <v>610</v>
      </c>
      <c r="AC51" s="12">
        <f t="shared" si="12"/>
        <v>608</v>
      </c>
      <c r="AD51" s="12">
        <f t="shared" si="12"/>
        <v>261</v>
      </c>
      <c r="AE51" s="12">
        <f t="shared" si="12"/>
        <v>371</v>
      </c>
    </row>
    <row r="52" spans="1:31" x14ac:dyDescent="0.25">
      <c r="A52" s="11" t="s">
        <v>11</v>
      </c>
      <c r="B52" s="224">
        <v>433</v>
      </c>
      <c r="C52" s="12">
        <f t="shared" si="0"/>
        <v>348</v>
      </c>
      <c r="D52" s="12">
        <f t="shared" si="0"/>
        <v>562</v>
      </c>
      <c r="E52" s="12">
        <f t="shared" si="1"/>
        <v>561</v>
      </c>
      <c r="F52" s="12">
        <f t="shared" si="1"/>
        <v>229</v>
      </c>
      <c r="G52" s="12">
        <f t="shared" si="4"/>
        <v>347</v>
      </c>
      <c r="H52" s="12">
        <f t="shared" si="4"/>
        <v>561</v>
      </c>
      <c r="I52" s="12">
        <f t="shared" si="4"/>
        <v>44</v>
      </c>
      <c r="J52" s="12">
        <f t="shared" si="4"/>
        <v>604</v>
      </c>
      <c r="K52" s="12">
        <f t="shared" si="4"/>
        <v>453</v>
      </c>
      <c r="L52" s="12">
        <f t="shared" si="4"/>
        <v>204</v>
      </c>
      <c r="M52" s="12">
        <f t="shared" si="4"/>
        <v>2</v>
      </c>
      <c r="N52" s="12">
        <f t="shared" si="4"/>
        <v>193</v>
      </c>
      <c r="O52" s="12">
        <f t="shared" si="4"/>
        <v>562</v>
      </c>
      <c r="P52" s="12">
        <f t="shared" si="4"/>
        <v>43</v>
      </c>
      <c r="Q52" s="12">
        <f t="shared" si="5"/>
        <v>364</v>
      </c>
      <c r="R52" s="12">
        <f t="shared" si="5"/>
        <v>168</v>
      </c>
      <c r="S52" s="12">
        <f t="shared" si="6"/>
        <v>366</v>
      </c>
      <c r="T52" s="12">
        <f t="shared" ref="T52:AE52" si="13">T12-S12</f>
        <v>332</v>
      </c>
      <c r="U52" s="12">
        <f t="shared" si="13"/>
        <v>476</v>
      </c>
      <c r="V52" s="12">
        <f t="shared" si="13"/>
        <v>520</v>
      </c>
      <c r="W52" s="12">
        <f t="shared" si="13"/>
        <v>478</v>
      </c>
      <c r="X52" s="12">
        <f t="shared" si="13"/>
        <v>409</v>
      </c>
      <c r="Y52" s="12">
        <f t="shared" si="13"/>
        <v>252</v>
      </c>
      <c r="Z52" s="12">
        <f t="shared" si="13"/>
        <v>252</v>
      </c>
      <c r="AA52" s="12">
        <f t="shared" si="13"/>
        <v>262</v>
      </c>
      <c r="AB52" s="12">
        <f t="shared" si="13"/>
        <v>561</v>
      </c>
      <c r="AC52" s="12">
        <f t="shared" si="13"/>
        <v>509</v>
      </c>
      <c r="AD52" s="12">
        <f t="shared" si="13"/>
        <v>528</v>
      </c>
      <c r="AE52" s="12">
        <f t="shared" si="13"/>
        <v>564</v>
      </c>
    </row>
    <row r="53" spans="1:31" x14ac:dyDescent="0.25">
      <c r="A53" s="11" t="s">
        <v>12</v>
      </c>
      <c r="B53" s="224">
        <v>177</v>
      </c>
      <c r="C53" s="12">
        <f t="shared" si="0"/>
        <v>179</v>
      </c>
      <c r="D53" s="12">
        <f t="shared" si="0"/>
        <v>177</v>
      </c>
      <c r="E53" s="12">
        <f t="shared" si="1"/>
        <v>92</v>
      </c>
      <c r="F53" s="12">
        <f t="shared" si="1"/>
        <v>520</v>
      </c>
      <c r="G53" s="12">
        <f t="shared" si="4"/>
        <v>519</v>
      </c>
      <c r="H53" s="12">
        <f t="shared" si="4"/>
        <v>517</v>
      </c>
      <c r="I53" s="12">
        <f t="shared" si="4"/>
        <v>258</v>
      </c>
      <c r="J53" s="12">
        <f t="shared" si="4"/>
        <v>314</v>
      </c>
      <c r="K53" s="12">
        <f t="shared" si="4"/>
        <v>520</v>
      </c>
      <c r="L53" s="12">
        <f t="shared" si="4"/>
        <v>517</v>
      </c>
      <c r="M53" s="12">
        <f t="shared" si="4"/>
        <v>3</v>
      </c>
      <c r="N53" s="12">
        <f t="shared" si="4"/>
        <v>180</v>
      </c>
      <c r="O53" s="12">
        <f t="shared" si="4"/>
        <v>518</v>
      </c>
      <c r="P53" s="12">
        <f t="shared" si="4"/>
        <v>259</v>
      </c>
      <c r="Q53" s="12">
        <f t="shared" si="5"/>
        <v>431</v>
      </c>
      <c r="R53" s="12">
        <f t="shared" si="5"/>
        <v>520</v>
      </c>
      <c r="S53" s="12">
        <f t="shared" si="6"/>
        <v>433</v>
      </c>
      <c r="T53" s="12">
        <f t="shared" ref="T53:AE53" si="14">T13-S13</f>
        <v>313</v>
      </c>
      <c r="U53" s="12">
        <f t="shared" si="14"/>
        <v>474</v>
      </c>
      <c r="V53" s="12">
        <f t="shared" si="14"/>
        <v>43</v>
      </c>
      <c r="W53" s="12">
        <f t="shared" si="14"/>
        <v>476</v>
      </c>
      <c r="X53" s="12">
        <f t="shared" si="14"/>
        <v>493</v>
      </c>
      <c r="Y53" s="12">
        <f t="shared" si="14"/>
        <v>485</v>
      </c>
      <c r="Z53" s="12">
        <f t="shared" si="14"/>
        <v>519</v>
      </c>
      <c r="AA53" s="12">
        <f t="shared" si="14"/>
        <v>398</v>
      </c>
      <c r="AB53" s="12">
        <f t="shared" si="14"/>
        <v>262</v>
      </c>
      <c r="AC53" s="12">
        <f t="shared" si="14"/>
        <v>560</v>
      </c>
      <c r="AD53" s="12">
        <f t="shared" si="14"/>
        <v>517</v>
      </c>
      <c r="AE53" s="12">
        <f t="shared" si="14"/>
        <v>562</v>
      </c>
    </row>
    <row r="54" spans="1:31" x14ac:dyDescent="0.25">
      <c r="A54" s="11" t="s">
        <v>13</v>
      </c>
      <c r="B54" s="224">
        <v>0</v>
      </c>
      <c r="C54" s="12">
        <f t="shared" si="0"/>
        <v>366</v>
      </c>
      <c r="D54" s="12">
        <f t="shared" si="0"/>
        <v>258</v>
      </c>
      <c r="E54" s="12">
        <f t="shared" si="1"/>
        <v>373</v>
      </c>
      <c r="F54" s="12">
        <f t="shared" si="1"/>
        <v>474</v>
      </c>
      <c r="G54" s="12">
        <f t="shared" si="4"/>
        <v>520</v>
      </c>
      <c r="H54" s="12">
        <f t="shared" si="4"/>
        <v>517</v>
      </c>
      <c r="I54" s="12">
        <f t="shared" si="4"/>
        <v>474</v>
      </c>
      <c r="J54" s="12">
        <f t="shared" si="4"/>
        <v>560</v>
      </c>
      <c r="K54" s="12">
        <f t="shared" si="4"/>
        <v>355</v>
      </c>
      <c r="L54" s="12">
        <f t="shared" si="4"/>
        <v>48</v>
      </c>
      <c r="M54" s="12">
        <f t="shared" si="4"/>
        <v>521</v>
      </c>
      <c r="N54" s="12">
        <f t="shared" si="4"/>
        <v>560</v>
      </c>
      <c r="O54" s="12">
        <f t="shared" si="4"/>
        <v>44</v>
      </c>
      <c r="P54" s="12">
        <f t="shared" si="4"/>
        <v>0</v>
      </c>
      <c r="Q54" s="12">
        <f t="shared" si="5"/>
        <v>433</v>
      </c>
      <c r="R54" s="12">
        <f t="shared" si="5"/>
        <v>312</v>
      </c>
      <c r="S54" s="12">
        <f t="shared" si="6"/>
        <v>603</v>
      </c>
      <c r="T54" s="12">
        <f t="shared" ref="T54:AE54" si="15">T14-S14</f>
        <v>379</v>
      </c>
      <c r="U54" s="12">
        <f t="shared" si="15"/>
        <v>0</v>
      </c>
      <c r="V54" s="12">
        <f t="shared" si="15"/>
        <v>0</v>
      </c>
      <c r="W54" s="12">
        <f t="shared" si="15"/>
        <v>2</v>
      </c>
      <c r="X54" s="12">
        <f t="shared" si="15"/>
        <v>366</v>
      </c>
      <c r="Y54" s="12">
        <f t="shared" si="15"/>
        <v>133</v>
      </c>
      <c r="Z54" s="12">
        <f t="shared" si="15"/>
        <v>347</v>
      </c>
      <c r="AA54" s="12">
        <f t="shared" si="15"/>
        <v>433</v>
      </c>
      <c r="AB54" s="12">
        <f t="shared" si="15"/>
        <v>450</v>
      </c>
      <c r="AC54" s="12">
        <f t="shared" si="15"/>
        <v>0</v>
      </c>
      <c r="AD54" s="12">
        <f t="shared" si="15"/>
        <v>0</v>
      </c>
      <c r="AE54" s="12">
        <f t="shared" si="15"/>
        <v>143</v>
      </c>
    </row>
    <row r="55" spans="1:31" x14ac:dyDescent="0.25">
      <c r="A55" s="13" t="s">
        <v>14</v>
      </c>
      <c r="B55" s="224">
        <v>0</v>
      </c>
      <c r="C55" s="12">
        <f t="shared" si="0"/>
        <v>64</v>
      </c>
      <c r="D55" s="12">
        <f t="shared" si="0"/>
        <v>253</v>
      </c>
      <c r="E55" s="12">
        <f t="shared" si="1"/>
        <v>251</v>
      </c>
      <c r="F55" s="12">
        <f t="shared" si="1"/>
        <v>316</v>
      </c>
      <c r="G55" s="12">
        <f t="shared" si="4"/>
        <v>453</v>
      </c>
      <c r="H55" s="12">
        <f t="shared" si="4"/>
        <v>0</v>
      </c>
      <c r="I55" s="12">
        <f t="shared" si="4"/>
        <v>0</v>
      </c>
      <c r="J55" s="12">
        <f t="shared" si="4"/>
        <v>192</v>
      </c>
      <c r="K55" s="12">
        <f t="shared" si="4"/>
        <v>212</v>
      </c>
      <c r="L55" s="12">
        <f t="shared" si="4"/>
        <v>253</v>
      </c>
      <c r="M55" s="12">
        <f t="shared" si="4"/>
        <v>251</v>
      </c>
      <c r="N55" s="12">
        <f t="shared" si="4"/>
        <v>591</v>
      </c>
      <c r="O55" s="12">
        <f t="shared" si="4"/>
        <v>523</v>
      </c>
      <c r="P55" s="12">
        <f t="shared" si="4"/>
        <v>478</v>
      </c>
      <c r="Q55" s="12">
        <f t="shared" si="5"/>
        <v>391</v>
      </c>
      <c r="R55" s="12">
        <f t="shared" si="5"/>
        <v>202</v>
      </c>
      <c r="S55" s="12">
        <f t="shared" si="6"/>
        <v>211</v>
      </c>
      <c r="T55" s="12">
        <f t="shared" ref="T55:AE55" si="16">T15-S15</f>
        <v>564</v>
      </c>
      <c r="U55" s="12">
        <f t="shared" si="16"/>
        <v>477</v>
      </c>
      <c r="V55" s="12">
        <f t="shared" si="16"/>
        <v>478</v>
      </c>
      <c r="W55" s="12">
        <f t="shared" si="16"/>
        <v>522</v>
      </c>
      <c r="X55" s="12">
        <f t="shared" si="16"/>
        <v>521</v>
      </c>
      <c r="Y55" s="12">
        <f t="shared" si="16"/>
        <v>211</v>
      </c>
      <c r="Z55" s="12">
        <f t="shared" si="16"/>
        <v>522</v>
      </c>
      <c r="AA55" s="12">
        <f t="shared" si="16"/>
        <v>481</v>
      </c>
      <c r="AB55" s="12">
        <f t="shared" si="16"/>
        <v>495</v>
      </c>
      <c r="AC55" s="12">
        <f t="shared" si="16"/>
        <v>0</v>
      </c>
      <c r="AD55" s="12">
        <f t="shared" si="16"/>
        <v>0</v>
      </c>
      <c r="AE55" s="12">
        <f t="shared" si="16"/>
        <v>64</v>
      </c>
    </row>
    <row r="56" spans="1:31" x14ac:dyDescent="0.25">
      <c r="A56" s="13" t="s">
        <v>15</v>
      </c>
      <c r="B56" s="224">
        <v>432</v>
      </c>
      <c r="C56" s="12">
        <f t="shared" si="0"/>
        <v>604</v>
      </c>
      <c r="D56" s="12">
        <f t="shared" si="0"/>
        <v>356</v>
      </c>
      <c r="E56" s="12">
        <f t="shared" si="1"/>
        <v>607</v>
      </c>
      <c r="F56" s="12">
        <f t="shared" si="1"/>
        <v>262</v>
      </c>
      <c r="G56" s="12">
        <f t="shared" si="4"/>
        <v>253</v>
      </c>
      <c r="H56" s="12">
        <f t="shared" si="4"/>
        <v>562</v>
      </c>
      <c r="I56" s="12">
        <f t="shared" si="4"/>
        <v>348</v>
      </c>
      <c r="J56" s="12">
        <f t="shared" si="4"/>
        <v>562</v>
      </c>
      <c r="K56" s="12">
        <f t="shared" si="4"/>
        <v>483</v>
      </c>
      <c r="L56" s="12">
        <f t="shared" si="4"/>
        <v>227</v>
      </c>
      <c r="M56" s="12">
        <f t="shared" si="4"/>
        <v>562</v>
      </c>
      <c r="N56" s="12">
        <f t="shared" si="4"/>
        <v>562</v>
      </c>
      <c r="O56" s="12">
        <f t="shared" si="4"/>
        <v>520</v>
      </c>
      <c r="P56" s="12">
        <f t="shared" si="4"/>
        <v>476</v>
      </c>
      <c r="Q56" s="12">
        <f t="shared" si="5"/>
        <v>323</v>
      </c>
      <c r="R56" s="12">
        <f t="shared" si="5"/>
        <v>99</v>
      </c>
      <c r="S56" s="12">
        <f t="shared" si="6"/>
        <v>1</v>
      </c>
      <c r="T56" s="12">
        <f t="shared" ref="T56:AE56" si="17">T16-S16</f>
        <v>98</v>
      </c>
      <c r="U56" s="12">
        <f t="shared" si="17"/>
        <v>0</v>
      </c>
      <c r="V56" s="12">
        <f t="shared" si="17"/>
        <v>0</v>
      </c>
      <c r="W56" s="12">
        <f t="shared" si="17"/>
        <v>0</v>
      </c>
      <c r="X56" s="12">
        <f t="shared" si="17"/>
        <v>143</v>
      </c>
      <c r="Y56" s="12">
        <f t="shared" si="17"/>
        <v>313</v>
      </c>
      <c r="Z56" s="12">
        <f t="shared" si="17"/>
        <v>259</v>
      </c>
      <c r="AA56" s="12">
        <f t="shared" si="17"/>
        <v>385</v>
      </c>
      <c r="AB56" s="12">
        <f t="shared" si="17"/>
        <v>392</v>
      </c>
      <c r="AC56" s="12">
        <f t="shared" si="17"/>
        <v>433</v>
      </c>
      <c r="AD56" s="12">
        <f t="shared" si="17"/>
        <v>1</v>
      </c>
      <c r="AE56" s="12">
        <f t="shared" si="17"/>
        <v>262</v>
      </c>
    </row>
    <row r="57" spans="1:31" x14ac:dyDescent="0.25">
      <c r="A57" s="13" t="s">
        <v>16</v>
      </c>
      <c r="B57" s="224">
        <v>0</v>
      </c>
      <c r="C57" s="12">
        <f t="shared" si="0"/>
        <v>249</v>
      </c>
      <c r="D57" s="12">
        <f t="shared" si="0"/>
        <v>466</v>
      </c>
      <c r="E57" s="12">
        <f t="shared" si="1"/>
        <v>243</v>
      </c>
      <c r="F57" s="12">
        <f t="shared" si="1"/>
        <v>503</v>
      </c>
      <c r="G57" s="12">
        <f t="shared" si="4"/>
        <v>479</v>
      </c>
      <c r="H57" s="12">
        <f t="shared" si="4"/>
        <v>43</v>
      </c>
      <c r="I57" s="12">
        <f t="shared" si="4"/>
        <v>522</v>
      </c>
      <c r="J57" s="12">
        <f t="shared" si="4"/>
        <v>259</v>
      </c>
      <c r="K57" s="12">
        <f t="shared" si="4"/>
        <v>262</v>
      </c>
      <c r="L57" s="12">
        <f t="shared" si="4"/>
        <v>562</v>
      </c>
      <c r="M57" s="12">
        <f t="shared" si="4"/>
        <v>606</v>
      </c>
      <c r="N57" s="12">
        <f t="shared" si="4"/>
        <v>607</v>
      </c>
      <c r="O57" s="12">
        <f t="shared" si="4"/>
        <v>521</v>
      </c>
      <c r="P57" s="12">
        <f t="shared" si="4"/>
        <v>433</v>
      </c>
      <c r="Q57" s="12">
        <f t="shared" si="5"/>
        <v>389</v>
      </c>
      <c r="R57" s="12">
        <f t="shared" si="5"/>
        <v>270</v>
      </c>
      <c r="S57" s="12">
        <f t="shared" si="6"/>
        <v>521</v>
      </c>
      <c r="T57" s="12">
        <f t="shared" ref="T57:AE57" si="18">T17-S17</f>
        <v>563</v>
      </c>
      <c r="U57" s="12">
        <f t="shared" si="18"/>
        <v>0</v>
      </c>
      <c r="V57" s="12">
        <f t="shared" si="18"/>
        <v>44</v>
      </c>
      <c r="W57" s="12">
        <f t="shared" si="18"/>
        <v>21</v>
      </c>
      <c r="X57" s="12">
        <f t="shared" si="18"/>
        <v>260</v>
      </c>
      <c r="Y57" s="12">
        <f t="shared" si="18"/>
        <v>251</v>
      </c>
      <c r="Z57" s="12">
        <f t="shared" si="18"/>
        <v>192</v>
      </c>
      <c r="AA57" s="12">
        <f t="shared" si="18"/>
        <v>417</v>
      </c>
      <c r="AB57" s="12">
        <f t="shared" si="18"/>
        <v>47</v>
      </c>
      <c r="AC57" s="12">
        <f t="shared" si="18"/>
        <v>43</v>
      </c>
      <c r="AD57" s="12">
        <f t="shared" si="18"/>
        <v>519</v>
      </c>
      <c r="AE57" s="12">
        <f t="shared" si="18"/>
        <v>315</v>
      </c>
    </row>
    <row r="58" spans="1:31" x14ac:dyDescent="0.25">
      <c r="A58" s="13" t="s">
        <v>17</v>
      </c>
      <c r="B58" s="224">
        <v>0</v>
      </c>
      <c r="C58" s="12">
        <f t="shared" si="0"/>
        <v>141</v>
      </c>
      <c r="D58" s="12">
        <f t="shared" si="0"/>
        <v>560</v>
      </c>
      <c r="E58" s="12">
        <f t="shared" si="1"/>
        <v>563</v>
      </c>
      <c r="F58" s="12">
        <f t="shared" si="1"/>
        <v>284</v>
      </c>
      <c r="G58" s="12">
        <f t="shared" si="4"/>
        <v>254</v>
      </c>
      <c r="H58" s="12">
        <f t="shared" si="4"/>
        <v>0</v>
      </c>
      <c r="I58" s="12">
        <f t="shared" si="4"/>
        <v>0</v>
      </c>
      <c r="J58" s="12">
        <f t="shared" si="4"/>
        <v>79</v>
      </c>
      <c r="K58" s="12">
        <f t="shared" si="4"/>
        <v>175</v>
      </c>
      <c r="L58" s="12">
        <f t="shared" si="4"/>
        <v>563</v>
      </c>
      <c r="M58" s="12">
        <f t="shared" si="4"/>
        <v>278</v>
      </c>
      <c r="N58" s="12">
        <f t="shared" si="4"/>
        <v>253</v>
      </c>
      <c r="O58" s="12">
        <f t="shared" si="4"/>
        <v>0</v>
      </c>
      <c r="P58" s="12">
        <f t="shared" si="4"/>
        <v>0</v>
      </c>
      <c r="Q58" s="12">
        <f t="shared" si="5"/>
        <v>91</v>
      </c>
      <c r="R58" s="12">
        <f t="shared" si="5"/>
        <v>251</v>
      </c>
      <c r="S58" s="12">
        <f t="shared" si="6"/>
        <v>251</v>
      </c>
      <c r="T58" s="12">
        <f t="shared" ref="T58:AE58" si="19">T18-S18</f>
        <v>545</v>
      </c>
      <c r="U58" s="12">
        <f t="shared" si="19"/>
        <v>520</v>
      </c>
      <c r="V58" s="12">
        <f t="shared" si="19"/>
        <v>561</v>
      </c>
      <c r="W58" s="12">
        <f t="shared" si="19"/>
        <v>43</v>
      </c>
      <c r="X58" s="12">
        <f t="shared" si="19"/>
        <v>279</v>
      </c>
      <c r="Y58" s="12">
        <f t="shared" si="19"/>
        <v>500</v>
      </c>
      <c r="Z58" s="12">
        <f t="shared" si="19"/>
        <v>561</v>
      </c>
      <c r="AA58" s="12">
        <f t="shared" si="19"/>
        <v>303</v>
      </c>
      <c r="AB58" s="12">
        <f t="shared" si="19"/>
        <v>202</v>
      </c>
      <c r="AC58" s="12">
        <f t="shared" si="19"/>
        <v>0</v>
      </c>
      <c r="AD58" s="12">
        <f t="shared" si="19"/>
        <v>0</v>
      </c>
      <c r="AE58" s="12">
        <f t="shared" si="19"/>
        <v>251</v>
      </c>
    </row>
    <row r="59" spans="1:31" x14ac:dyDescent="0.25">
      <c r="A59" s="13" t="s">
        <v>18</v>
      </c>
      <c r="B59" s="224">
        <v>0</v>
      </c>
      <c r="C59" s="12">
        <f t="shared" si="0"/>
        <v>306</v>
      </c>
      <c r="D59" s="12">
        <f t="shared" si="0"/>
        <v>561</v>
      </c>
      <c r="E59" s="12">
        <f t="shared" si="1"/>
        <v>520</v>
      </c>
      <c r="F59" s="12">
        <f t="shared" si="1"/>
        <v>450</v>
      </c>
      <c r="G59" s="12">
        <f t="shared" si="4"/>
        <v>62</v>
      </c>
      <c r="H59" s="12">
        <f t="shared" si="4"/>
        <v>0</v>
      </c>
      <c r="I59" s="12">
        <f t="shared" si="4"/>
        <v>0</v>
      </c>
      <c r="J59" s="12">
        <f t="shared" si="4"/>
        <v>191</v>
      </c>
      <c r="K59" s="12">
        <f t="shared" si="4"/>
        <v>81</v>
      </c>
      <c r="L59" s="12">
        <f t="shared" si="4"/>
        <v>349</v>
      </c>
      <c r="M59" s="12">
        <f t="shared" si="4"/>
        <v>322</v>
      </c>
      <c r="N59" s="12">
        <f t="shared" si="4"/>
        <v>191</v>
      </c>
      <c r="O59" s="12">
        <f t="shared" si="4"/>
        <v>0</v>
      </c>
      <c r="P59" s="12">
        <f t="shared" si="4"/>
        <v>20</v>
      </c>
      <c r="Q59" s="12">
        <f t="shared" si="5"/>
        <v>348</v>
      </c>
      <c r="R59" s="12">
        <f t="shared" si="5"/>
        <v>562</v>
      </c>
      <c r="S59" s="12">
        <f t="shared" si="6"/>
        <v>312</v>
      </c>
      <c r="T59" s="12">
        <f t="shared" ref="T59:AE59" si="20">T19-S19</f>
        <v>367</v>
      </c>
      <c r="U59" s="12">
        <f t="shared" si="20"/>
        <v>518</v>
      </c>
      <c r="V59" s="12">
        <f t="shared" si="20"/>
        <v>560</v>
      </c>
      <c r="W59" s="12">
        <f t="shared" si="20"/>
        <v>219</v>
      </c>
      <c r="X59" s="12">
        <f t="shared" si="20"/>
        <v>449</v>
      </c>
      <c r="Y59" s="12">
        <f t="shared" si="20"/>
        <v>83</v>
      </c>
      <c r="Z59" s="12">
        <f t="shared" si="20"/>
        <v>227</v>
      </c>
      <c r="AA59" s="12">
        <f t="shared" si="20"/>
        <v>518</v>
      </c>
      <c r="AB59" s="12">
        <f t="shared" si="20"/>
        <v>604</v>
      </c>
      <c r="AC59" s="12">
        <f t="shared" si="20"/>
        <v>561</v>
      </c>
      <c r="AD59" s="12">
        <f t="shared" si="20"/>
        <v>518</v>
      </c>
      <c r="AE59" s="12">
        <f t="shared" si="20"/>
        <v>304</v>
      </c>
    </row>
    <row r="60" spans="1:31" x14ac:dyDescent="0.25">
      <c r="A60" s="13" t="s">
        <v>19</v>
      </c>
      <c r="B60" s="224">
        <v>20</v>
      </c>
      <c r="C60" s="12">
        <f t="shared" si="0"/>
        <v>391</v>
      </c>
      <c r="D60" s="12">
        <f t="shared" si="0"/>
        <v>517</v>
      </c>
      <c r="E60" s="12">
        <f t="shared" si="1"/>
        <v>560</v>
      </c>
      <c r="F60" s="12">
        <f t="shared" si="1"/>
        <v>519</v>
      </c>
      <c r="G60" s="12">
        <f t="shared" si="4"/>
        <v>227</v>
      </c>
      <c r="H60" s="12">
        <f t="shared" si="4"/>
        <v>0</v>
      </c>
      <c r="I60" s="12">
        <f t="shared" si="4"/>
        <v>0</v>
      </c>
      <c r="J60" s="12">
        <f t="shared" si="4"/>
        <v>517</v>
      </c>
      <c r="K60" s="12">
        <f t="shared" si="4"/>
        <v>436</v>
      </c>
      <c r="L60" s="12">
        <f t="shared" si="4"/>
        <v>604</v>
      </c>
      <c r="M60" s="12">
        <f t="shared" si="4"/>
        <v>304</v>
      </c>
      <c r="N60" s="12">
        <f t="shared" si="4"/>
        <v>560</v>
      </c>
      <c r="O60" s="12">
        <f t="shared" si="4"/>
        <v>518</v>
      </c>
      <c r="P60" s="12">
        <f t="shared" si="4"/>
        <v>432</v>
      </c>
      <c r="Q60" s="12">
        <f t="shared" si="5"/>
        <v>387</v>
      </c>
      <c r="R60" s="12">
        <f t="shared" si="5"/>
        <v>603</v>
      </c>
      <c r="S60" s="12">
        <f t="shared" si="6"/>
        <v>354</v>
      </c>
      <c r="T60" s="12">
        <f t="shared" ref="T60:AE60" si="21">T20-S20</f>
        <v>432</v>
      </c>
      <c r="U60" s="12">
        <f t="shared" si="21"/>
        <v>431</v>
      </c>
      <c r="V60" s="12">
        <f t="shared" si="21"/>
        <v>517</v>
      </c>
      <c r="W60" s="12">
        <f t="shared" si="21"/>
        <v>473</v>
      </c>
      <c r="X60" s="12">
        <f t="shared" si="21"/>
        <v>430</v>
      </c>
      <c r="Y60" s="12">
        <f t="shared" si="21"/>
        <v>602</v>
      </c>
      <c r="Z60" s="12">
        <f t="shared" si="21"/>
        <v>355</v>
      </c>
      <c r="AA60" s="12">
        <f t="shared" si="21"/>
        <v>517</v>
      </c>
      <c r="AB60" s="12">
        <f t="shared" si="21"/>
        <v>559</v>
      </c>
      <c r="AC60" s="12">
        <f t="shared" si="21"/>
        <v>474</v>
      </c>
      <c r="AD60" s="12">
        <f t="shared" si="21"/>
        <v>389</v>
      </c>
      <c r="AE60" s="12">
        <f t="shared" si="21"/>
        <v>302</v>
      </c>
    </row>
    <row r="61" spans="1:31" x14ac:dyDescent="0.25">
      <c r="A61" s="13" t="s">
        <v>20</v>
      </c>
      <c r="B61" s="224">
        <v>474</v>
      </c>
      <c r="C61" s="12">
        <f t="shared" si="0"/>
        <v>184</v>
      </c>
      <c r="D61" s="12">
        <f t="shared" si="0"/>
        <v>265</v>
      </c>
      <c r="E61" s="12">
        <f t="shared" si="1"/>
        <v>517</v>
      </c>
      <c r="F61" s="12">
        <f t="shared" si="1"/>
        <v>450</v>
      </c>
      <c r="G61" s="12">
        <f t="shared" si="4"/>
        <v>304</v>
      </c>
      <c r="H61" s="12">
        <f t="shared" si="4"/>
        <v>520</v>
      </c>
      <c r="I61" s="12">
        <f t="shared" si="4"/>
        <v>431</v>
      </c>
      <c r="J61" s="12">
        <f t="shared" si="4"/>
        <v>560</v>
      </c>
      <c r="K61" s="12">
        <f t="shared" si="4"/>
        <v>560</v>
      </c>
      <c r="L61" s="12">
        <f t="shared" si="4"/>
        <v>563</v>
      </c>
      <c r="M61" s="12">
        <f t="shared" si="4"/>
        <v>561</v>
      </c>
      <c r="N61" s="12">
        <f t="shared" si="4"/>
        <v>451</v>
      </c>
      <c r="O61" s="12">
        <f t="shared" si="4"/>
        <v>0</v>
      </c>
      <c r="P61" s="12">
        <f t="shared" si="4"/>
        <v>0</v>
      </c>
      <c r="Q61" s="12">
        <f t="shared" si="5"/>
        <v>3</v>
      </c>
      <c r="R61" s="12">
        <f t="shared" si="5"/>
        <v>251</v>
      </c>
      <c r="S61" s="12">
        <f t="shared" si="6"/>
        <v>553</v>
      </c>
      <c r="T61" s="12">
        <f t="shared" ref="T61:AE61" si="22">T21-S21</f>
        <v>282</v>
      </c>
      <c r="U61" s="12">
        <f t="shared" si="22"/>
        <v>0</v>
      </c>
      <c r="V61" s="12">
        <f t="shared" si="22"/>
        <v>0</v>
      </c>
      <c r="W61" s="12">
        <f t="shared" si="22"/>
        <v>346</v>
      </c>
      <c r="X61" s="12">
        <f t="shared" si="22"/>
        <v>290</v>
      </c>
      <c r="Y61" s="12">
        <f t="shared" si="22"/>
        <v>249</v>
      </c>
      <c r="Z61" s="12">
        <f t="shared" si="22"/>
        <v>528</v>
      </c>
      <c r="AA61" s="12">
        <f t="shared" si="22"/>
        <v>560</v>
      </c>
      <c r="AB61" s="12">
        <f t="shared" si="22"/>
        <v>269</v>
      </c>
      <c r="AC61" s="12">
        <f t="shared" si="22"/>
        <v>0</v>
      </c>
      <c r="AD61" s="12">
        <f t="shared" si="22"/>
        <v>218</v>
      </c>
      <c r="AE61" s="12">
        <f t="shared" si="22"/>
        <v>264</v>
      </c>
    </row>
    <row r="62" spans="1:31" x14ac:dyDescent="0.25">
      <c r="A62" s="13" t="s">
        <v>21</v>
      </c>
      <c r="B62" s="224">
        <v>303</v>
      </c>
      <c r="C62" s="12">
        <f t="shared" si="0"/>
        <v>520</v>
      </c>
      <c r="D62" s="12">
        <f t="shared" si="0"/>
        <v>603</v>
      </c>
      <c r="E62" s="12">
        <f t="shared" si="1"/>
        <v>287</v>
      </c>
      <c r="F62" s="12">
        <f t="shared" si="1"/>
        <v>251</v>
      </c>
      <c r="G62" s="12">
        <f t="shared" si="4"/>
        <v>170</v>
      </c>
      <c r="H62" s="12">
        <f t="shared" si="4"/>
        <v>431</v>
      </c>
      <c r="I62" s="12">
        <f t="shared" si="4"/>
        <v>2</v>
      </c>
      <c r="J62" s="12">
        <f t="shared" si="4"/>
        <v>433</v>
      </c>
      <c r="K62" s="12">
        <f t="shared" si="4"/>
        <v>295</v>
      </c>
      <c r="L62" s="12">
        <f t="shared" si="4"/>
        <v>564</v>
      </c>
      <c r="M62" s="12">
        <f t="shared" si="4"/>
        <v>560</v>
      </c>
      <c r="N62" s="12">
        <f t="shared" si="4"/>
        <v>346</v>
      </c>
      <c r="O62" s="12">
        <f t="shared" si="4"/>
        <v>560</v>
      </c>
      <c r="P62" s="12">
        <f t="shared" si="4"/>
        <v>44</v>
      </c>
      <c r="Q62" s="12">
        <f t="shared" si="5"/>
        <v>431</v>
      </c>
      <c r="R62" s="12">
        <f t="shared" si="5"/>
        <v>289</v>
      </c>
      <c r="S62" s="12">
        <f t="shared" si="6"/>
        <v>191</v>
      </c>
      <c r="T62" s="12">
        <f t="shared" ref="T62:AE62" si="23">T22-S22</f>
        <v>251</v>
      </c>
      <c r="U62" s="12">
        <f t="shared" si="23"/>
        <v>0</v>
      </c>
      <c r="V62" s="12">
        <f t="shared" si="23"/>
        <v>0</v>
      </c>
      <c r="W62" s="12">
        <f t="shared" si="23"/>
        <v>0</v>
      </c>
      <c r="X62" s="12">
        <f t="shared" si="23"/>
        <v>251</v>
      </c>
      <c r="Y62" s="12">
        <f t="shared" si="23"/>
        <v>218</v>
      </c>
      <c r="Z62" s="12">
        <f t="shared" si="23"/>
        <v>435</v>
      </c>
      <c r="AA62" s="12">
        <f t="shared" si="23"/>
        <v>603</v>
      </c>
      <c r="AB62" s="12">
        <f t="shared" si="23"/>
        <v>449</v>
      </c>
      <c r="AC62" s="12">
        <f t="shared" si="23"/>
        <v>23</v>
      </c>
      <c r="AD62" s="12">
        <f t="shared" si="23"/>
        <v>261</v>
      </c>
      <c r="AE62" s="12">
        <f t="shared" si="23"/>
        <v>271</v>
      </c>
    </row>
    <row r="63" spans="1:31" x14ac:dyDescent="0.25">
      <c r="A63" s="13" t="s">
        <v>22</v>
      </c>
      <c r="B63" s="224">
        <v>20</v>
      </c>
      <c r="C63" s="12">
        <f t="shared" si="0"/>
        <v>452</v>
      </c>
      <c r="D63" s="12">
        <f t="shared" si="0"/>
        <v>252</v>
      </c>
      <c r="E63" s="12">
        <f t="shared" si="1"/>
        <v>249</v>
      </c>
      <c r="F63" s="12">
        <f t="shared" si="1"/>
        <v>278</v>
      </c>
      <c r="G63" s="12">
        <f t="shared" ref="G63:P78" si="24">G23-F23</f>
        <v>433</v>
      </c>
      <c r="H63" s="12">
        <f t="shared" si="24"/>
        <v>518</v>
      </c>
      <c r="I63" s="12">
        <f t="shared" si="24"/>
        <v>176</v>
      </c>
      <c r="J63" s="12">
        <f t="shared" si="24"/>
        <v>520</v>
      </c>
      <c r="K63" s="12">
        <f t="shared" si="24"/>
        <v>264</v>
      </c>
      <c r="L63" s="12">
        <f t="shared" si="24"/>
        <v>160</v>
      </c>
      <c r="M63" s="12">
        <f t="shared" si="24"/>
        <v>240</v>
      </c>
      <c r="N63" s="12">
        <f t="shared" si="24"/>
        <v>436</v>
      </c>
      <c r="O63" s="12">
        <f t="shared" si="24"/>
        <v>0</v>
      </c>
      <c r="P63" s="12">
        <f t="shared" si="24"/>
        <v>0</v>
      </c>
      <c r="Q63" s="12">
        <f t="shared" si="5"/>
        <v>1</v>
      </c>
      <c r="R63" s="12">
        <f t="shared" si="5"/>
        <v>90</v>
      </c>
      <c r="S63" s="12">
        <f t="shared" si="6"/>
        <v>434</v>
      </c>
      <c r="T63" s="12">
        <f t="shared" ref="T63:AE63" si="25">T23-S23</f>
        <v>141</v>
      </c>
      <c r="U63" s="12">
        <f t="shared" si="25"/>
        <v>0</v>
      </c>
      <c r="V63" s="12">
        <f t="shared" si="25"/>
        <v>0</v>
      </c>
      <c r="W63" s="12">
        <f t="shared" si="25"/>
        <v>3</v>
      </c>
      <c r="X63" s="12">
        <f t="shared" si="25"/>
        <v>430</v>
      </c>
      <c r="Y63" s="12">
        <f t="shared" si="25"/>
        <v>646</v>
      </c>
      <c r="Z63" s="12">
        <f t="shared" si="25"/>
        <v>219</v>
      </c>
      <c r="AA63" s="12">
        <f t="shared" si="25"/>
        <v>246</v>
      </c>
      <c r="AB63" s="12">
        <f t="shared" si="25"/>
        <v>339</v>
      </c>
      <c r="AC63" s="12">
        <f t="shared" si="25"/>
        <v>520</v>
      </c>
      <c r="AD63" s="12">
        <f t="shared" si="25"/>
        <v>474</v>
      </c>
      <c r="AE63" s="12">
        <f t="shared" si="25"/>
        <v>475</v>
      </c>
    </row>
    <row r="64" spans="1:31" x14ac:dyDescent="0.25">
      <c r="A64" s="11" t="s">
        <v>23</v>
      </c>
      <c r="B64" s="224">
        <v>345</v>
      </c>
      <c r="C64" s="12">
        <f t="shared" si="0"/>
        <v>263</v>
      </c>
      <c r="D64" s="12">
        <f t="shared" si="0"/>
        <v>517</v>
      </c>
      <c r="E64" s="12">
        <f t="shared" si="1"/>
        <v>259</v>
      </c>
      <c r="F64" s="12">
        <f t="shared" si="1"/>
        <v>261</v>
      </c>
      <c r="G64" s="12">
        <f t="shared" si="24"/>
        <v>353</v>
      </c>
      <c r="H64" s="12">
        <f t="shared" si="24"/>
        <v>43</v>
      </c>
      <c r="I64" s="12">
        <f t="shared" si="24"/>
        <v>521</v>
      </c>
      <c r="J64" s="12">
        <f t="shared" si="24"/>
        <v>434</v>
      </c>
      <c r="K64" s="12">
        <f t="shared" si="24"/>
        <v>604</v>
      </c>
      <c r="L64" s="12">
        <f t="shared" si="24"/>
        <v>382</v>
      </c>
      <c r="M64" s="12">
        <f t="shared" si="24"/>
        <v>518</v>
      </c>
      <c r="N64" s="12">
        <f t="shared" si="24"/>
        <v>560</v>
      </c>
      <c r="O64" s="12">
        <f t="shared" si="24"/>
        <v>44</v>
      </c>
      <c r="P64" s="12">
        <f t="shared" si="24"/>
        <v>477</v>
      </c>
      <c r="Q64" s="12">
        <f t="shared" si="5"/>
        <v>320</v>
      </c>
      <c r="R64" s="12">
        <f t="shared" si="5"/>
        <v>64</v>
      </c>
      <c r="S64" s="12">
        <f t="shared" si="6"/>
        <v>586</v>
      </c>
      <c r="T64" s="12">
        <f t="shared" ref="T64:AE64" si="26">T24-S24</f>
        <v>449</v>
      </c>
      <c r="U64" s="12">
        <f t="shared" si="26"/>
        <v>0</v>
      </c>
      <c r="V64" s="12">
        <f t="shared" si="26"/>
        <v>0</v>
      </c>
      <c r="W64" s="12">
        <f t="shared" si="26"/>
        <v>0</v>
      </c>
      <c r="X64" s="12">
        <f t="shared" si="26"/>
        <v>263</v>
      </c>
      <c r="Y64" s="12">
        <f t="shared" si="26"/>
        <v>252</v>
      </c>
      <c r="Z64" s="12">
        <f t="shared" si="26"/>
        <v>253</v>
      </c>
      <c r="AA64" s="12">
        <f t="shared" si="26"/>
        <v>252</v>
      </c>
      <c r="AB64" s="12">
        <f t="shared" si="26"/>
        <v>251</v>
      </c>
      <c r="AC64" s="12">
        <f t="shared" si="26"/>
        <v>0</v>
      </c>
      <c r="AD64" s="12">
        <f t="shared" si="26"/>
        <v>0</v>
      </c>
      <c r="AE64" s="12">
        <f t="shared" si="26"/>
        <v>253</v>
      </c>
    </row>
    <row r="65" spans="1:31" x14ac:dyDescent="0.25">
      <c r="A65" s="13" t="s">
        <v>24</v>
      </c>
      <c r="B65" s="224">
        <v>0</v>
      </c>
      <c r="C65" s="12">
        <f t="shared" ref="C65:D79" si="27">C25-B25</f>
        <v>251</v>
      </c>
      <c r="D65" s="12">
        <f t="shared" si="27"/>
        <v>252</v>
      </c>
      <c r="E65" s="12">
        <f t="shared" ref="E65:F79" si="28">E25-D25</f>
        <v>431</v>
      </c>
      <c r="F65" s="12">
        <f t="shared" si="28"/>
        <v>284</v>
      </c>
      <c r="G65" s="12">
        <f t="shared" si="24"/>
        <v>251</v>
      </c>
      <c r="H65" s="12">
        <f t="shared" si="24"/>
        <v>0</v>
      </c>
      <c r="I65" s="12">
        <f t="shared" si="24"/>
        <v>0</v>
      </c>
      <c r="J65" s="12">
        <f t="shared" si="24"/>
        <v>259</v>
      </c>
      <c r="K65" s="12">
        <f t="shared" si="24"/>
        <v>250</v>
      </c>
      <c r="L65" s="12">
        <f t="shared" si="24"/>
        <v>251</v>
      </c>
      <c r="M65" s="12">
        <f t="shared" si="24"/>
        <v>249</v>
      </c>
      <c r="N65" s="12">
        <f t="shared" si="24"/>
        <v>248</v>
      </c>
      <c r="O65" s="12">
        <f t="shared" si="24"/>
        <v>0</v>
      </c>
      <c r="P65" s="12">
        <f t="shared" si="24"/>
        <v>0</v>
      </c>
      <c r="Q65" s="12">
        <f t="shared" si="5"/>
        <v>21</v>
      </c>
      <c r="R65" s="12">
        <f t="shared" si="5"/>
        <v>434</v>
      </c>
      <c r="S65" s="12">
        <f t="shared" si="6"/>
        <v>160</v>
      </c>
      <c r="T65" s="12">
        <f t="shared" ref="T65:AE65" si="29">T25-S25</f>
        <v>191</v>
      </c>
      <c r="U65" s="12">
        <f t="shared" si="29"/>
        <v>0</v>
      </c>
      <c r="V65" s="12">
        <f t="shared" si="29"/>
        <v>0</v>
      </c>
      <c r="W65" s="12">
        <f t="shared" si="29"/>
        <v>0</v>
      </c>
      <c r="X65" s="12">
        <f t="shared" si="29"/>
        <v>495</v>
      </c>
      <c r="Y65" s="12">
        <f t="shared" si="29"/>
        <v>314</v>
      </c>
      <c r="Z65" s="12">
        <f t="shared" si="29"/>
        <v>603</v>
      </c>
      <c r="AA65" s="12">
        <f t="shared" si="29"/>
        <v>434</v>
      </c>
      <c r="AB65" s="12">
        <f t="shared" si="29"/>
        <v>451</v>
      </c>
      <c r="AC65" s="12">
        <f t="shared" si="29"/>
        <v>0</v>
      </c>
      <c r="AD65" s="12">
        <f t="shared" si="29"/>
        <v>0</v>
      </c>
      <c r="AE65" s="12">
        <f t="shared" si="29"/>
        <v>217</v>
      </c>
    </row>
    <row r="66" spans="1:31" x14ac:dyDescent="0.25">
      <c r="A66" s="13" t="s">
        <v>25</v>
      </c>
      <c r="B66" s="224">
        <v>43</v>
      </c>
      <c r="C66" s="12">
        <f t="shared" si="27"/>
        <v>562</v>
      </c>
      <c r="D66" s="12">
        <f t="shared" si="27"/>
        <v>559</v>
      </c>
      <c r="E66" s="12">
        <f t="shared" si="28"/>
        <v>157</v>
      </c>
      <c r="F66" s="12">
        <f t="shared" si="28"/>
        <v>191</v>
      </c>
      <c r="G66" s="12">
        <f t="shared" si="24"/>
        <v>585</v>
      </c>
      <c r="H66" s="12">
        <f t="shared" si="24"/>
        <v>560</v>
      </c>
      <c r="I66" s="12">
        <f t="shared" si="24"/>
        <v>478</v>
      </c>
      <c r="J66" s="12">
        <f t="shared" si="24"/>
        <v>562</v>
      </c>
      <c r="K66" s="12">
        <f t="shared" si="24"/>
        <v>282</v>
      </c>
      <c r="L66" s="12">
        <f t="shared" si="24"/>
        <v>248</v>
      </c>
      <c r="M66" s="12">
        <f t="shared" si="24"/>
        <v>245</v>
      </c>
      <c r="N66" s="12">
        <f t="shared" si="24"/>
        <v>249</v>
      </c>
      <c r="O66" s="12">
        <f t="shared" si="24"/>
        <v>0</v>
      </c>
      <c r="P66" s="12">
        <f t="shared" si="24"/>
        <v>0</v>
      </c>
      <c r="Q66" s="12">
        <f t="shared" si="5"/>
        <v>65</v>
      </c>
      <c r="R66" s="12">
        <f t="shared" si="5"/>
        <v>249</v>
      </c>
      <c r="S66" s="12">
        <f t="shared" si="6"/>
        <v>250</v>
      </c>
      <c r="T66" s="12">
        <f t="shared" ref="T66:AE66" si="30">T26-S26</f>
        <v>250</v>
      </c>
      <c r="U66" s="12">
        <f t="shared" si="30"/>
        <v>0</v>
      </c>
      <c r="V66" s="12">
        <f t="shared" si="30"/>
        <v>0</v>
      </c>
      <c r="W66" s="12">
        <f t="shared" si="30"/>
        <v>0</v>
      </c>
      <c r="X66" s="12">
        <f t="shared" si="30"/>
        <v>257</v>
      </c>
      <c r="Y66" s="12">
        <f t="shared" si="30"/>
        <v>431</v>
      </c>
      <c r="Z66" s="12">
        <f t="shared" si="30"/>
        <v>176</v>
      </c>
      <c r="AA66" s="12">
        <f t="shared" si="30"/>
        <v>432</v>
      </c>
      <c r="AB66" s="12">
        <f t="shared" si="30"/>
        <v>390</v>
      </c>
      <c r="AC66" s="12">
        <f t="shared" si="30"/>
        <v>559</v>
      </c>
      <c r="AD66" s="12">
        <f t="shared" si="30"/>
        <v>517</v>
      </c>
      <c r="AE66" s="12">
        <f t="shared" si="30"/>
        <v>432</v>
      </c>
    </row>
    <row r="67" spans="1:31" x14ac:dyDescent="0.25">
      <c r="A67" s="13" t="s">
        <v>26</v>
      </c>
      <c r="B67" s="224">
        <v>1</v>
      </c>
      <c r="C67" s="12">
        <f t="shared" si="27"/>
        <v>366</v>
      </c>
      <c r="D67" s="12">
        <f t="shared" si="27"/>
        <v>266</v>
      </c>
      <c r="E67" s="12">
        <f t="shared" si="28"/>
        <v>563</v>
      </c>
      <c r="F67" s="12">
        <f t="shared" si="28"/>
        <v>560</v>
      </c>
      <c r="G67" s="12">
        <f t="shared" si="24"/>
        <v>258</v>
      </c>
      <c r="H67" s="12">
        <f t="shared" si="24"/>
        <v>0</v>
      </c>
      <c r="I67" s="12">
        <f t="shared" si="24"/>
        <v>0</v>
      </c>
      <c r="J67" s="12">
        <f t="shared" si="24"/>
        <v>195</v>
      </c>
      <c r="K67" s="12">
        <f t="shared" si="24"/>
        <v>398</v>
      </c>
      <c r="L67" s="12">
        <f t="shared" si="24"/>
        <v>450</v>
      </c>
      <c r="M67" s="12">
        <f t="shared" si="24"/>
        <v>261</v>
      </c>
      <c r="N67" s="12">
        <f t="shared" si="24"/>
        <v>250</v>
      </c>
      <c r="O67" s="12">
        <f t="shared" si="24"/>
        <v>0</v>
      </c>
      <c r="P67" s="12">
        <f t="shared" si="24"/>
        <v>0</v>
      </c>
      <c r="Q67" s="12">
        <f t="shared" si="5"/>
        <v>159</v>
      </c>
      <c r="R67" s="12">
        <f t="shared" si="5"/>
        <v>603</v>
      </c>
      <c r="S67" s="12">
        <f t="shared" si="6"/>
        <v>296</v>
      </c>
      <c r="T67" s="12">
        <f t="shared" ref="T67:AE67" si="31">T27-S27</f>
        <v>569</v>
      </c>
      <c r="U67" s="12">
        <f t="shared" si="31"/>
        <v>519</v>
      </c>
      <c r="V67" s="12">
        <f t="shared" si="31"/>
        <v>560</v>
      </c>
      <c r="W67" s="12">
        <f t="shared" si="31"/>
        <v>474</v>
      </c>
      <c r="X67" s="12">
        <f t="shared" si="31"/>
        <v>140</v>
      </c>
      <c r="Y67" s="12">
        <f t="shared" si="31"/>
        <v>251</v>
      </c>
      <c r="Z67" s="12">
        <f t="shared" si="31"/>
        <v>244</v>
      </c>
      <c r="AA67" s="12">
        <f t="shared" si="31"/>
        <v>449</v>
      </c>
      <c r="AB67" s="12">
        <f t="shared" si="31"/>
        <v>219</v>
      </c>
      <c r="AC67" s="12">
        <f t="shared" si="31"/>
        <v>517</v>
      </c>
      <c r="AD67" s="12">
        <f t="shared" si="31"/>
        <v>89</v>
      </c>
      <c r="AE67" s="12">
        <f t="shared" si="31"/>
        <v>432</v>
      </c>
    </row>
    <row r="68" spans="1:31" x14ac:dyDescent="0.25">
      <c r="A68" s="13" t="s">
        <v>27</v>
      </c>
      <c r="B68" s="224">
        <v>0</v>
      </c>
      <c r="C68" s="12">
        <f t="shared" si="27"/>
        <v>98</v>
      </c>
      <c r="D68" s="12">
        <f t="shared" si="27"/>
        <v>20</v>
      </c>
      <c r="E68" s="12">
        <f t="shared" si="28"/>
        <v>23</v>
      </c>
      <c r="F68" s="12">
        <f t="shared" si="28"/>
        <v>261</v>
      </c>
      <c r="G68" s="12">
        <f t="shared" si="24"/>
        <v>251</v>
      </c>
      <c r="H68" s="12">
        <f t="shared" si="24"/>
        <v>0</v>
      </c>
      <c r="I68" s="12">
        <f t="shared" si="24"/>
        <v>0</v>
      </c>
      <c r="J68" s="12">
        <f t="shared" si="24"/>
        <v>587</v>
      </c>
      <c r="K68" s="12">
        <f t="shared" si="24"/>
        <v>392</v>
      </c>
      <c r="L68" s="12">
        <f t="shared" si="24"/>
        <v>183</v>
      </c>
      <c r="M68" s="12">
        <f t="shared" si="24"/>
        <v>175</v>
      </c>
      <c r="N68" s="12">
        <f t="shared" si="24"/>
        <v>178</v>
      </c>
      <c r="O68" s="12">
        <f t="shared" si="24"/>
        <v>517</v>
      </c>
      <c r="P68" s="12">
        <f t="shared" si="24"/>
        <v>517</v>
      </c>
      <c r="Q68" s="12">
        <f t="shared" si="5"/>
        <v>22</v>
      </c>
      <c r="R68" s="12">
        <f t="shared" si="5"/>
        <v>162</v>
      </c>
      <c r="S68" s="12">
        <f t="shared" si="6"/>
        <v>251</v>
      </c>
      <c r="T68" s="12">
        <f t="shared" ref="T68:AE68" si="32">T28-S28</f>
        <v>321</v>
      </c>
      <c r="U68" s="12">
        <f t="shared" si="32"/>
        <v>0</v>
      </c>
      <c r="V68" s="12">
        <f t="shared" si="32"/>
        <v>0</v>
      </c>
      <c r="W68" s="12">
        <f t="shared" si="32"/>
        <v>0</v>
      </c>
      <c r="X68" s="12">
        <f t="shared" si="32"/>
        <v>312</v>
      </c>
      <c r="Y68" s="12">
        <f t="shared" si="32"/>
        <v>451</v>
      </c>
      <c r="Z68" s="12">
        <f t="shared" si="32"/>
        <v>132</v>
      </c>
      <c r="AA68" s="12">
        <f t="shared" si="32"/>
        <v>519</v>
      </c>
      <c r="AB68" s="12">
        <f t="shared" si="32"/>
        <v>430</v>
      </c>
      <c r="AC68" s="12">
        <f t="shared" si="32"/>
        <v>519</v>
      </c>
      <c r="AD68" s="12">
        <f t="shared" si="32"/>
        <v>88</v>
      </c>
      <c r="AE68" s="12">
        <f t="shared" si="32"/>
        <v>438</v>
      </c>
    </row>
    <row r="69" spans="1:31" x14ac:dyDescent="0.25">
      <c r="A69" s="11" t="s">
        <v>28</v>
      </c>
      <c r="B69" s="224">
        <v>0</v>
      </c>
      <c r="C69" s="12">
        <f t="shared" si="27"/>
        <v>252</v>
      </c>
      <c r="D69" s="12">
        <f t="shared" si="27"/>
        <v>203</v>
      </c>
      <c r="E69" s="12">
        <f t="shared" si="28"/>
        <v>250</v>
      </c>
      <c r="F69" s="12">
        <f t="shared" si="28"/>
        <v>571</v>
      </c>
      <c r="G69" s="12">
        <f t="shared" si="24"/>
        <v>537</v>
      </c>
      <c r="H69" s="12">
        <f t="shared" si="24"/>
        <v>0</v>
      </c>
      <c r="I69" s="12">
        <f t="shared" si="24"/>
        <v>0</v>
      </c>
      <c r="J69" s="12">
        <f t="shared" si="24"/>
        <v>322</v>
      </c>
      <c r="K69" s="12">
        <f t="shared" si="24"/>
        <v>474</v>
      </c>
      <c r="L69" s="12">
        <f t="shared" si="24"/>
        <v>605</v>
      </c>
      <c r="M69" s="12">
        <f t="shared" si="24"/>
        <v>510</v>
      </c>
      <c r="N69" s="12">
        <f t="shared" si="24"/>
        <v>252</v>
      </c>
      <c r="O69" s="12">
        <f t="shared" si="24"/>
        <v>0</v>
      </c>
      <c r="P69" s="12">
        <f t="shared" si="24"/>
        <v>21</v>
      </c>
      <c r="Q69" s="12">
        <f t="shared" si="5"/>
        <v>347</v>
      </c>
      <c r="R69" s="12">
        <f t="shared" si="5"/>
        <v>432</v>
      </c>
      <c r="S69" s="12">
        <f t="shared" si="6"/>
        <v>70</v>
      </c>
      <c r="T69" s="12">
        <f t="shared" ref="T69:AE69" si="33">T29-S29</f>
        <v>99</v>
      </c>
      <c r="U69" s="12">
        <f t="shared" si="33"/>
        <v>0</v>
      </c>
      <c r="V69" s="12">
        <f t="shared" si="33"/>
        <v>0</v>
      </c>
      <c r="W69" s="12">
        <f t="shared" si="33"/>
        <v>0</v>
      </c>
      <c r="X69" s="12">
        <f t="shared" si="33"/>
        <v>159</v>
      </c>
      <c r="Y69" s="12">
        <f t="shared" si="33"/>
        <v>561</v>
      </c>
      <c r="Z69" s="12">
        <f t="shared" si="33"/>
        <v>563</v>
      </c>
      <c r="AA69" s="12">
        <f t="shared" si="33"/>
        <v>492</v>
      </c>
      <c r="AB69" s="12">
        <f t="shared" si="33"/>
        <v>152</v>
      </c>
      <c r="AC69" s="12">
        <f t="shared" si="33"/>
        <v>0</v>
      </c>
      <c r="AD69" s="12">
        <f t="shared" si="33"/>
        <v>0</v>
      </c>
      <c r="AE69" s="12">
        <f t="shared" si="33"/>
        <v>496</v>
      </c>
    </row>
    <row r="70" spans="1:31" x14ac:dyDescent="0.25">
      <c r="A70" s="13" t="s">
        <v>29</v>
      </c>
      <c r="B70" s="224">
        <v>477</v>
      </c>
      <c r="C70" s="12">
        <f t="shared" si="27"/>
        <v>475</v>
      </c>
      <c r="D70" s="12">
        <f t="shared" si="27"/>
        <v>518</v>
      </c>
      <c r="E70" s="12">
        <f t="shared" si="28"/>
        <v>433</v>
      </c>
      <c r="F70" s="12">
        <f t="shared" si="28"/>
        <v>280</v>
      </c>
      <c r="G70" s="12">
        <f t="shared" si="24"/>
        <v>349</v>
      </c>
      <c r="H70" s="12">
        <f t="shared" si="24"/>
        <v>71</v>
      </c>
      <c r="I70" s="12">
        <f t="shared" si="24"/>
        <v>4</v>
      </c>
      <c r="J70" s="12">
        <f t="shared" si="24"/>
        <v>452</v>
      </c>
      <c r="K70" s="12">
        <f t="shared" si="24"/>
        <v>251</v>
      </c>
      <c r="L70" s="12">
        <f t="shared" si="24"/>
        <v>195</v>
      </c>
      <c r="M70" s="12">
        <f t="shared" si="24"/>
        <v>520</v>
      </c>
      <c r="N70" s="12">
        <f t="shared" si="24"/>
        <v>606</v>
      </c>
      <c r="O70" s="12">
        <f t="shared" si="24"/>
        <v>562</v>
      </c>
      <c r="P70" s="12">
        <f t="shared" si="24"/>
        <v>136</v>
      </c>
      <c r="Q70" s="12">
        <f t="shared" si="5"/>
        <v>348</v>
      </c>
      <c r="R70" s="12">
        <f t="shared" si="5"/>
        <v>562</v>
      </c>
      <c r="S70" s="12">
        <f t="shared" si="6"/>
        <v>563</v>
      </c>
      <c r="T70" s="12">
        <f t="shared" ref="T70:AE70" si="34">T30-S30</f>
        <v>244</v>
      </c>
      <c r="U70" s="12">
        <f t="shared" si="34"/>
        <v>0</v>
      </c>
      <c r="V70" s="12">
        <f t="shared" si="34"/>
        <v>0</v>
      </c>
      <c r="W70" s="12">
        <f t="shared" si="34"/>
        <v>0</v>
      </c>
      <c r="X70" s="12">
        <f t="shared" si="34"/>
        <v>413</v>
      </c>
      <c r="Y70" s="12">
        <f t="shared" si="34"/>
        <v>347</v>
      </c>
      <c r="Z70" s="12">
        <f t="shared" si="34"/>
        <v>433</v>
      </c>
      <c r="AA70" s="12">
        <f t="shared" si="34"/>
        <v>239</v>
      </c>
      <c r="AB70" s="12">
        <f t="shared" si="34"/>
        <v>252</v>
      </c>
      <c r="AC70" s="12">
        <f t="shared" si="34"/>
        <v>0</v>
      </c>
      <c r="AD70" s="12">
        <f t="shared" si="34"/>
        <v>0</v>
      </c>
      <c r="AE70" s="12">
        <f t="shared" si="34"/>
        <v>587</v>
      </c>
    </row>
    <row r="71" spans="1:31" x14ac:dyDescent="0.25">
      <c r="A71" s="11" t="s">
        <v>30</v>
      </c>
      <c r="B71" s="224">
        <v>431</v>
      </c>
      <c r="C71" s="12">
        <f t="shared" si="27"/>
        <v>200</v>
      </c>
      <c r="D71" s="12">
        <f t="shared" si="27"/>
        <v>251</v>
      </c>
      <c r="E71" s="12">
        <f t="shared" si="28"/>
        <v>262</v>
      </c>
      <c r="F71" s="12">
        <f t="shared" si="28"/>
        <v>561</v>
      </c>
      <c r="G71" s="12">
        <f t="shared" si="24"/>
        <v>265</v>
      </c>
      <c r="H71" s="12">
        <f t="shared" si="24"/>
        <v>561</v>
      </c>
      <c r="I71" s="12">
        <f t="shared" si="24"/>
        <v>43</v>
      </c>
      <c r="J71" s="12">
        <f t="shared" si="24"/>
        <v>450</v>
      </c>
      <c r="K71" s="12">
        <f t="shared" si="24"/>
        <v>257</v>
      </c>
      <c r="L71" s="12">
        <f t="shared" si="24"/>
        <v>588</v>
      </c>
      <c r="M71" s="12">
        <f t="shared" si="24"/>
        <v>520</v>
      </c>
      <c r="N71" s="12">
        <f t="shared" si="24"/>
        <v>561</v>
      </c>
      <c r="O71" s="12">
        <f t="shared" si="24"/>
        <v>475</v>
      </c>
      <c r="P71" s="12">
        <f t="shared" si="24"/>
        <v>432</v>
      </c>
      <c r="Q71" s="12">
        <f t="shared" si="5"/>
        <v>389</v>
      </c>
      <c r="R71" s="12">
        <f t="shared" si="5"/>
        <v>304</v>
      </c>
      <c r="S71" s="12">
        <f t="shared" si="6"/>
        <v>264</v>
      </c>
      <c r="T71" s="12">
        <f t="shared" ref="T71:AE71" si="35">T31-S31</f>
        <v>519</v>
      </c>
      <c r="U71" s="12">
        <f t="shared" si="35"/>
        <v>432</v>
      </c>
      <c r="V71" s="12">
        <f t="shared" si="35"/>
        <v>517</v>
      </c>
      <c r="W71" s="12">
        <f t="shared" si="35"/>
        <v>432</v>
      </c>
      <c r="X71" s="12">
        <f t="shared" si="35"/>
        <v>574</v>
      </c>
      <c r="Y71" s="12">
        <f t="shared" si="35"/>
        <v>158</v>
      </c>
      <c r="Z71" s="12">
        <f t="shared" si="35"/>
        <v>251</v>
      </c>
      <c r="AA71" s="12">
        <f t="shared" si="35"/>
        <v>251</v>
      </c>
      <c r="AB71" s="12">
        <f t="shared" si="35"/>
        <v>251</v>
      </c>
      <c r="AC71" s="12">
        <f t="shared" si="35"/>
        <v>0</v>
      </c>
      <c r="AD71" s="12">
        <f t="shared" si="35"/>
        <v>0</v>
      </c>
      <c r="AE71" s="12">
        <f t="shared" si="35"/>
        <v>192</v>
      </c>
    </row>
    <row r="72" spans="1:31" s="118" customFormat="1" x14ac:dyDescent="0.25">
      <c r="A72" s="13" t="s">
        <v>111</v>
      </c>
      <c r="B72" s="224">
        <v>0</v>
      </c>
      <c r="C72" s="12">
        <f t="shared" si="27"/>
        <v>192</v>
      </c>
      <c r="D72" s="12">
        <f t="shared" si="27"/>
        <v>251</v>
      </c>
      <c r="E72" s="12">
        <f t="shared" si="28"/>
        <v>451</v>
      </c>
      <c r="F72" s="12">
        <f t="shared" si="28"/>
        <v>288</v>
      </c>
      <c r="G72" s="12">
        <f t="shared" si="24"/>
        <v>484</v>
      </c>
      <c r="H72" s="12">
        <f t="shared" si="24"/>
        <v>518</v>
      </c>
      <c r="I72" s="12">
        <f t="shared" si="24"/>
        <v>474</v>
      </c>
      <c r="J72" s="12">
        <f t="shared" si="24"/>
        <v>390</v>
      </c>
      <c r="K72" s="12">
        <f t="shared" si="24"/>
        <v>3</v>
      </c>
      <c r="L72" s="12">
        <f t="shared" si="24"/>
        <v>174</v>
      </c>
      <c r="M72" s="12">
        <f t="shared" si="24"/>
        <v>436</v>
      </c>
      <c r="N72" s="12">
        <f t="shared" si="24"/>
        <v>108</v>
      </c>
      <c r="O72" s="12">
        <f t="shared" si="24"/>
        <v>0</v>
      </c>
      <c r="P72" s="12">
        <f t="shared" si="24"/>
        <v>0</v>
      </c>
      <c r="Q72" s="12">
        <f t="shared" si="5"/>
        <v>3</v>
      </c>
      <c r="R72" s="12">
        <f t="shared" si="5"/>
        <v>252</v>
      </c>
      <c r="S72" s="12">
        <f t="shared" si="6"/>
        <v>249</v>
      </c>
      <c r="T72" s="12">
        <f t="shared" ref="T72:AE72" si="36">T32-S32</f>
        <v>192</v>
      </c>
      <c r="U72" s="12">
        <f t="shared" si="36"/>
        <v>0</v>
      </c>
      <c r="V72" s="12">
        <f t="shared" si="36"/>
        <v>0</v>
      </c>
      <c r="W72" s="12">
        <f t="shared" si="36"/>
        <v>0</v>
      </c>
      <c r="X72" s="12">
        <f t="shared" si="36"/>
        <v>397</v>
      </c>
      <c r="Y72" s="12">
        <f t="shared" si="36"/>
        <v>127</v>
      </c>
      <c r="Z72" s="12">
        <f t="shared" si="36"/>
        <v>439</v>
      </c>
      <c r="AA72" s="12">
        <f t="shared" si="36"/>
        <v>91</v>
      </c>
      <c r="AB72" s="12">
        <f t="shared" si="36"/>
        <v>518</v>
      </c>
      <c r="AC72" s="12">
        <f t="shared" si="36"/>
        <v>2</v>
      </c>
      <c r="AD72" s="12">
        <f t="shared" si="36"/>
        <v>176</v>
      </c>
      <c r="AE72" s="12">
        <f t="shared" si="36"/>
        <v>438</v>
      </c>
    </row>
    <row r="73" spans="1:31" s="118" customFormat="1" x14ac:dyDescent="0.25">
      <c r="A73" s="11" t="s">
        <v>112</v>
      </c>
      <c r="B73" s="224">
        <v>0</v>
      </c>
      <c r="C73" s="12">
        <f t="shared" si="27"/>
        <v>518</v>
      </c>
      <c r="D73" s="12">
        <f t="shared" si="27"/>
        <v>264</v>
      </c>
      <c r="E73" s="12">
        <f t="shared" si="28"/>
        <v>432</v>
      </c>
      <c r="F73" s="12">
        <f t="shared" si="28"/>
        <v>7</v>
      </c>
      <c r="G73" s="12">
        <f t="shared" si="24"/>
        <v>432</v>
      </c>
      <c r="H73" s="12">
        <f t="shared" si="24"/>
        <v>29</v>
      </c>
      <c r="I73" s="12">
        <f t="shared" si="24"/>
        <v>0</v>
      </c>
      <c r="J73" s="12">
        <f t="shared" si="24"/>
        <v>158</v>
      </c>
      <c r="K73" s="12">
        <f t="shared" si="24"/>
        <v>249</v>
      </c>
      <c r="L73" s="12">
        <f t="shared" si="24"/>
        <v>252</v>
      </c>
      <c r="M73" s="12">
        <f t="shared" si="24"/>
        <v>226</v>
      </c>
      <c r="N73" s="12">
        <f t="shared" si="24"/>
        <v>73</v>
      </c>
      <c r="O73" s="12">
        <f t="shared" si="24"/>
        <v>0</v>
      </c>
      <c r="P73" s="12">
        <f t="shared" si="24"/>
        <v>0</v>
      </c>
      <c r="Q73" s="12">
        <f t="shared" si="5"/>
        <v>193</v>
      </c>
      <c r="R73" s="12">
        <f t="shared" si="5"/>
        <v>203</v>
      </c>
      <c r="S73" s="12">
        <f t="shared" si="6"/>
        <v>251</v>
      </c>
      <c r="T73" s="12">
        <f t="shared" ref="T73:AE73" si="37">T33-S33</f>
        <v>433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397</v>
      </c>
      <c r="Y73" s="12">
        <f t="shared" si="37"/>
        <v>324</v>
      </c>
      <c r="Z73" s="12">
        <f t="shared" si="37"/>
        <v>20</v>
      </c>
      <c r="AA73" s="12">
        <f t="shared" si="37"/>
        <v>179</v>
      </c>
      <c r="AB73" s="12">
        <f t="shared" si="37"/>
        <v>518</v>
      </c>
      <c r="AC73" s="12">
        <f t="shared" si="37"/>
        <v>2</v>
      </c>
      <c r="AD73" s="12">
        <f t="shared" si="37"/>
        <v>175</v>
      </c>
      <c r="AE73" s="12">
        <f t="shared" si="37"/>
        <v>434</v>
      </c>
    </row>
    <row r="74" spans="1:31" s="118" customFormat="1" x14ac:dyDescent="0.25">
      <c r="A74" s="13" t="s">
        <v>113</v>
      </c>
      <c r="B74" s="224">
        <v>0</v>
      </c>
      <c r="C74" s="12">
        <f t="shared" si="27"/>
        <v>252</v>
      </c>
      <c r="D74" s="12">
        <f t="shared" si="27"/>
        <v>141</v>
      </c>
      <c r="E74" s="12">
        <f t="shared" si="28"/>
        <v>432</v>
      </c>
      <c r="F74" s="12">
        <f t="shared" si="28"/>
        <v>174</v>
      </c>
      <c r="G74" s="12">
        <f t="shared" si="24"/>
        <v>347</v>
      </c>
      <c r="H74" s="12">
        <f t="shared" si="24"/>
        <v>0</v>
      </c>
      <c r="I74" s="12">
        <f t="shared" si="24"/>
        <v>0</v>
      </c>
      <c r="J74" s="12">
        <f t="shared" si="24"/>
        <v>176</v>
      </c>
      <c r="K74" s="12">
        <f t="shared" si="24"/>
        <v>289</v>
      </c>
      <c r="L74" s="12">
        <f t="shared" si="24"/>
        <v>251</v>
      </c>
      <c r="M74" s="12">
        <f t="shared" si="24"/>
        <v>311</v>
      </c>
      <c r="N74" s="12">
        <f t="shared" si="24"/>
        <v>255</v>
      </c>
      <c r="O74" s="12">
        <f t="shared" si="24"/>
        <v>0</v>
      </c>
      <c r="P74" s="12">
        <f t="shared" si="24"/>
        <v>0</v>
      </c>
      <c r="Q74" s="12">
        <f t="shared" si="5"/>
        <v>73</v>
      </c>
      <c r="R74" s="12">
        <f t="shared" si="5"/>
        <v>176</v>
      </c>
      <c r="S74" s="12">
        <f t="shared" si="6"/>
        <v>435</v>
      </c>
      <c r="T74" s="12">
        <f t="shared" ref="T74:AE74" si="38">T34-S34</f>
        <v>518</v>
      </c>
      <c r="U74" s="12">
        <f t="shared" si="38"/>
        <v>2</v>
      </c>
      <c r="V74" s="12">
        <f t="shared" si="38"/>
        <v>3</v>
      </c>
      <c r="W74" s="12">
        <f t="shared" si="38"/>
        <v>0</v>
      </c>
      <c r="X74" s="12">
        <f t="shared" si="38"/>
        <v>90</v>
      </c>
      <c r="Y74" s="12">
        <f t="shared" si="38"/>
        <v>204</v>
      </c>
      <c r="Z74" s="12">
        <f t="shared" si="38"/>
        <v>249</v>
      </c>
      <c r="AA74" s="12">
        <f t="shared" si="38"/>
        <v>252</v>
      </c>
      <c r="AB74" s="12">
        <f t="shared" si="38"/>
        <v>251</v>
      </c>
      <c r="AC74" s="12">
        <f t="shared" si="38"/>
        <v>0</v>
      </c>
      <c r="AD74" s="12">
        <f t="shared" si="38"/>
        <v>0</v>
      </c>
      <c r="AE74" s="12">
        <f t="shared" si="38"/>
        <v>251</v>
      </c>
    </row>
    <row r="75" spans="1:31" s="118" customFormat="1" x14ac:dyDescent="0.25">
      <c r="A75" s="11" t="s">
        <v>114</v>
      </c>
      <c r="B75" s="224">
        <v>0</v>
      </c>
      <c r="C75" s="12">
        <f t="shared" si="27"/>
        <v>248</v>
      </c>
      <c r="D75" s="12">
        <f t="shared" si="27"/>
        <v>485</v>
      </c>
      <c r="E75" s="12">
        <f t="shared" si="28"/>
        <v>264</v>
      </c>
      <c r="F75" s="12">
        <f t="shared" si="28"/>
        <v>562</v>
      </c>
      <c r="G75" s="12">
        <f t="shared" si="24"/>
        <v>560</v>
      </c>
      <c r="H75" s="12">
        <f t="shared" si="24"/>
        <v>518</v>
      </c>
      <c r="I75" s="12">
        <f t="shared" si="24"/>
        <v>474</v>
      </c>
      <c r="J75" s="12">
        <f t="shared" si="24"/>
        <v>184</v>
      </c>
      <c r="K75" s="12">
        <f t="shared" si="24"/>
        <v>518</v>
      </c>
      <c r="L75" s="12">
        <f t="shared" si="24"/>
        <v>259</v>
      </c>
      <c r="M75" s="12">
        <f t="shared" si="24"/>
        <v>451</v>
      </c>
      <c r="N75" s="12">
        <f t="shared" si="24"/>
        <v>130</v>
      </c>
      <c r="O75" s="12">
        <f t="shared" si="24"/>
        <v>0</v>
      </c>
      <c r="P75" s="12">
        <f t="shared" si="24"/>
        <v>177</v>
      </c>
      <c r="Q75" s="12">
        <f t="shared" si="5"/>
        <v>347</v>
      </c>
      <c r="R75" s="12">
        <f t="shared" si="5"/>
        <v>349</v>
      </c>
      <c r="S75" s="12">
        <f t="shared" si="6"/>
        <v>519</v>
      </c>
      <c r="T75" s="12">
        <f t="shared" ref="T75:AE75" si="39">T35-S35</f>
        <v>201</v>
      </c>
      <c r="U75" s="12">
        <f t="shared" si="39"/>
        <v>0</v>
      </c>
      <c r="V75" s="12">
        <f t="shared" si="39"/>
        <v>20</v>
      </c>
      <c r="W75" s="12">
        <f t="shared" si="39"/>
        <v>89</v>
      </c>
      <c r="X75" s="12">
        <f t="shared" si="39"/>
        <v>455</v>
      </c>
      <c r="Y75" s="12">
        <f t="shared" si="39"/>
        <v>518</v>
      </c>
      <c r="Z75" s="12">
        <f t="shared" si="39"/>
        <v>288</v>
      </c>
      <c r="AA75" s="12">
        <f t="shared" si="39"/>
        <v>195</v>
      </c>
      <c r="AB75" s="12">
        <f t="shared" si="39"/>
        <v>80</v>
      </c>
      <c r="AC75" s="12">
        <f t="shared" si="39"/>
        <v>0</v>
      </c>
      <c r="AD75" s="12">
        <f t="shared" si="39"/>
        <v>173</v>
      </c>
      <c r="AE75" s="12">
        <f t="shared" si="39"/>
        <v>435</v>
      </c>
    </row>
    <row r="76" spans="1:31" s="118" customFormat="1" x14ac:dyDescent="0.25">
      <c r="A76" s="13" t="s">
        <v>115</v>
      </c>
      <c r="B76" s="224">
        <v>0</v>
      </c>
      <c r="C76" s="12">
        <f t="shared" si="27"/>
        <v>432</v>
      </c>
      <c r="D76" s="12">
        <f t="shared" si="27"/>
        <v>433</v>
      </c>
      <c r="E76" s="12">
        <f t="shared" si="28"/>
        <v>433</v>
      </c>
      <c r="F76" s="12">
        <f t="shared" si="28"/>
        <v>270</v>
      </c>
      <c r="G76" s="12">
        <f t="shared" si="24"/>
        <v>134</v>
      </c>
      <c r="H76" s="12">
        <f t="shared" si="24"/>
        <v>0</v>
      </c>
      <c r="I76" s="12">
        <f t="shared" si="24"/>
        <v>0</v>
      </c>
      <c r="J76" s="12">
        <f t="shared" si="24"/>
        <v>433</v>
      </c>
      <c r="K76" s="12">
        <f t="shared" si="24"/>
        <v>458</v>
      </c>
      <c r="L76" s="12">
        <f t="shared" si="24"/>
        <v>194</v>
      </c>
      <c r="M76" s="12">
        <f t="shared" si="24"/>
        <v>313</v>
      </c>
      <c r="N76" s="12">
        <f t="shared" si="24"/>
        <v>450</v>
      </c>
      <c r="O76" s="12">
        <f t="shared" si="24"/>
        <v>0</v>
      </c>
      <c r="P76" s="12">
        <f t="shared" si="24"/>
        <v>0</v>
      </c>
      <c r="Q76" s="12">
        <f t="shared" si="5"/>
        <v>6</v>
      </c>
      <c r="R76" s="12">
        <f t="shared" si="5"/>
        <v>252</v>
      </c>
      <c r="S76" s="12">
        <f t="shared" si="6"/>
        <v>190</v>
      </c>
      <c r="T76" s="12">
        <f t="shared" ref="T76:AE76" si="40">T36-S36</f>
        <v>518</v>
      </c>
      <c r="U76" s="12">
        <f t="shared" si="40"/>
        <v>2</v>
      </c>
      <c r="V76" s="12">
        <f t="shared" si="40"/>
        <v>3</v>
      </c>
      <c r="W76" s="12">
        <f t="shared" si="40"/>
        <v>179</v>
      </c>
      <c r="X76" s="12">
        <f t="shared" si="40"/>
        <v>576</v>
      </c>
      <c r="Y76" s="12">
        <f t="shared" si="40"/>
        <v>203</v>
      </c>
      <c r="Z76" s="12">
        <f t="shared" si="40"/>
        <v>250</v>
      </c>
      <c r="AA76" s="12">
        <f t="shared" si="40"/>
        <v>252</v>
      </c>
      <c r="AB76" s="12">
        <f t="shared" si="40"/>
        <v>251</v>
      </c>
      <c r="AC76" s="12">
        <f t="shared" si="40"/>
        <v>0</v>
      </c>
      <c r="AD76" s="12">
        <f t="shared" si="40"/>
        <v>0</v>
      </c>
      <c r="AE76" s="12">
        <f t="shared" si="40"/>
        <v>339</v>
      </c>
    </row>
    <row r="77" spans="1:31" s="118" customFormat="1" x14ac:dyDescent="0.25">
      <c r="A77" s="11" t="s">
        <v>116</v>
      </c>
      <c r="B77" s="224">
        <v>0</v>
      </c>
      <c r="C77" s="12">
        <f t="shared" si="27"/>
        <v>193</v>
      </c>
      <c r="D77" s="12">
        <f t="shared" si="27"/>
        <v>251</v>
      </c>
      <c r="E77" s="12">
        <f t="shared" si="28"/>
        <v>169</v>
      </c>
      <c r="F77" s="12">
        <f t="shared" si="28"/>
        <v>432</v>
      </c>
      <c r="G77" s="12">
        <f t="shared" si="24"/>
        <v>203</v>
      </c>
      <c r="H77" s="12">
        <f t="shared" si="24"/>
        <v>0</v>
      </c>
      <c r="I77" s="12">
        <f t="shared" si="24"/>
        <v>0</v>
      </c>
      <c r="J77" s="12">
        <f t="shared" si="24"/>
        <v>252</v>
      </c>
      <c r="K77" s="12">
        <f t="shared" si="24"/>
        <v>587</v>
      </c>
      <c r="L77" s="12">
        <f t="shared" si="24"/>
        <v>175</v>
      </c>
      <c r="M77" s="12">
        <f t="shared" si="24"/>
        <v>89</v>
      </c>
      <c r="N77" s="12">
        <f t="shared" si="24"/>
        <v>451</v>
      </c>
      <c r="O77" s="12">
        <f t="shared" si="24"/>
        <v>0</v>
      </c>
      <c r="P77" s="12">
        <f t="shared" si="24"/>
        <v>0</v>
      </c>
      <c r="Q77" s="12">
        <f t="shared" si="5"/>
        <v>194</v>
      </c>
      <c r="R77" s="12">
        <f t="shared" si="5"/>
        <v>519</v>
      </c>
      <c r="S77" s="12">
        <f t="shared" si="6"/>
        <v>239</v>
      </c>
      <c r="T77" s="12">
        <f t="shared" ref="T77:AE77" si="41">T37-S37</f>
        <v>191</v>
      </c>
      <c r="U77" s="12">
        <f t="shared" si="41"/>
        <v>0</v>
      </c>
      <c r="V77" s="12">
        <f t="shared" si="41"/>
        <v>0</v>
      </c>
      <c r="W77" s="12">
        <f t="shared" si="41"/>
        <v>20</v>
      </c>
      <c r="X77" s="12">
        <f t="shared" si="41"/>
        <v>0</v>
      </c>
      <c r="Y77" s="12">
        <f t="shared" si="41"/>
        <v>0</v>
      </c>
      <c r="Z77" s="12">
        <f t="shared" si="41"/>
        <v>0</v>
      </c>
      <c r="AA77" s="12">
        <f t="shared" si="41"/>
        <v>0</v>
      </c>
      <c r="AB77" s="12">
        <f t="shared" si="41"/>
        <v>0</v>
      </c>
      <c r="AC77" s="12">
        <f t="shared" si="41"/>
        <v>0</v>
      </c>
      <c r="AD77" s="12">
        <f t="shared" si="41"/>
        <v>0</v>
      </c>
      <c r="AE77" s="12">
        <f t="shared" si="41"/>
        <v>0</v>
      </c>
    </row>
    <row r="78" spans="1:31" s="118" customFormat="1" x14ac:dyDescent="0.25">
      <c r="A78" s="13" t="s">
        <v>117</v>
      </c>
      <c r="B78" s="224">
        <v>0</v>
      </c>
      <c r="C78" s="12">
        <f t="shared" si="27"/>
        <v>520</v>
      </c>
      <c r="D78" s="12">
        <f t="shared" si="27"/>
        <v>367</v>
      </c>
      <c r="E78" s="12">
        <f t="shared" si="28"/>
        <v>254</v>
      </c>
      <c r="F78" s="12">
        <f t="shared" si="28"/>
        <v>142</v>
      </c>
      <c r="G78" s="12">
        <f t="shared" si="24"/>
        <v>433</v>
      </c>
      <c r="H78" s="12">
        <f t="shared" si="24"/>
        <v>29</v>
      </c>
      <c r="I78" s="12">
        <f t="shared" si="24"/>
        <v>261</v>
      </c>
      <c r="J78" s="12">
        <f t="shared" si="24"/>
        <v>454</v>
      </c>
      <c r="K78" s="12">
        <f t="shared" si="24"/>
        <v>191</v>
      </c>
      <c r="L78" s="12">
        <f t="shared" si="24"/>
        <v>204</v>
      </c>
      <c r="M78" s="12">
        <f t="shared" si="24"/>
        <v>296</v>
      </c>
      <c r="N78" s="12">
        <f t="shared" si="24"/>
        <v>392</v>
      </c>
      <c r="O78" s="12">
        <f t="shared" si="24"/>
        <v>0</v>
      </c>
      <c r="P78" s="12">
        <f t="shared" si="24"/>
        <v>0</v>
      </c>
      <c r="Q78" s="12">
        <f t="shared" si="5"/>
        <v>348</v>
      </c>
      <c r="R78" s="12">
        <f t="shared" si="5"/>
        <v>211</v>
      </c>
      <c r="S78" s="12">
        <f t="shared" si="6"/>
        <v>518</v>
      </c>
      <c r="T78" s="12">
        <f t="shared" ref="T78:AE78" si="42">T38-S38</f>
        <v>432</v>
      </c>
      <c r="U78" s="12">
        <f t="shared" si="42"/>
        <v>0</v>
      </c>
      <c r="V78" s="12">
        <f t="shared" si="42"/>
        <v>0</v>
      </c>
      <c r="W78" s="12">
        <f t="shared" si="42"/>
        <v>0</v>
      </c>
      <c r="X78" s="12">
        <f t="shared" si="42"/>
        <v>283</v>
      </c>
      <c r="Y78" s="12">
        <f t="shared" si="42"/>
        <v>518</v>
      </c>
      <c r="Z78" s="12">
        <f t="shared" si="42"/>
        <v>346</v>
      </c>
      <c r="AA78" s="12">
        <f t="shared" si="42"/>
        <v>436</v>
      </c>
      <c r="AB78" s="12">
        <f t="shared" si="42"/>
        <v>349</v>
      </c>
      <c r="AC78" s="12">
        <f t="shared" si="42"/>
        <v>0</v>
      </c>
      <c r="AD78" s="12">
        <f t="shared" si="42"/>
        <v>88</v>
      </c>
      <c r="AE78" s="12">
        <f t="shared" si="42"/>
        <v>211</v>
      </c>
    </row>
    <row r="79" spans="1:31" s="118" customFormat="1" x14ac:dyDescent="0.25">
      <c r="A79" s="11" t="s">
        <v>118</v>
      </c>
      <c r="B79" s="224">
        <v>0</v>
      </c>
      <c r="C79" s="12">
        <f t="shared" si="27"/>
        <v>432</v>
      </c>
      <c r="D79" s="12">
        <f t="shared" si="27"/>
        <v>202</v>
      </c>
      <c r="E79" s="12">
        <f t="shared" si="28"/>
        <v>249</v>
      </c>
      <c r="F79" s="12">
        <f t="shared" si="28"/>
        <v>192</v>
      </c>
      <c r="G79" s="12">
        <f t="shared" ref="G79:P79" si="43">G39-F39</f>
        <v>191</v>
      </c>
      <c r="H79" s="12">
        <f t="shared" si="43"/>
        <v>0</v>
      </c>
      <c r="I79" s="12">
        <f t="shared" si="43"/>
        <v>0</v>
      </c>
      <c r="J79" s="12">
        <f t="shared" si="43"/>
        <v>64</v>
      </c>
      <c r="K79" s="12">
        <f t="shared" si="43"/>
        <v>191</v>
      </c>
      <c r="L79" s="12">
        <f t="shared" si="43"/>
        <v>80</v>
      </c>
      <c r="M79" s="12">
        <f t="shared" si="43"/>
        <v>564</v>
      </c>
      <c r="N79" s="12">
        <f t="shared" si="43"/>
        <v>281</v>
      </c>
      <c r="O79" s="12">
        <f t="shared" si="43"/>
        <v>0</v>
      </c>
      <c r="P79" s="12">
        <f t="shared" si="43"/>
        <v>0</v>
      </c>
      <c r="Q79" s="12">
        <f t="shared" si="5"/>
        <v>63</v>
      </c>
      <c r="R79" s="12">
        <f t="shared" si="5"/>
        <v>500</v>
      </c>
      <c r="S79" s="12">
        <f t="shared" si="6"/>
        <v>522</v>
      </c>
      <c r="T79" s="12">
        <f t="shared" ref="T79:AE79" si="44">T39-S39</f>
        <v>91</v>
      </c>
      <c r="U79" s="12">
        <f t="shared" si="44"/>
        <v>0</v>
      </c>
      <c r="V79" s="12">
        <f t="shared" si="44"/>
        <v>0</v>
      </c>
      <c r="W79" s="12">
        <f t="shared" si="44"/>
        <v>0</v>
      </c>
      <c r="X79" s="12">
        <f t="shared" si="44"/>
        <v>285</v>
      </c>
      <c r="Y79" s="12">
        <f t="shared" si="44"/>
        <v>346</v>
      </c>
      <c r="Z79" s="12">
        <f t="shared" si="44"/>
        <v>348</v>
      </c>
      <c r="AA79" s="12">
        <f t="shared" si="44"/>
        <v>202</v>
      </c>
      <c r="AB79" s="12">
        <f t="shared" si="44"/>
        <v>191</v>
      </c>
      <c r="AC79" s="12">
        <f t="shared" si="44"/>
        <v>0</v>
      </c>
      <c r="AD79" s="12">
        <f t="shared" si="44"/>
        <v>0</v>
      </c>
      <c r="AE79" s="12">
        <f t="shared" si="44"/>
        <v>248</v>
      </c>
    </row>
    <row r="80" spans="1:31" ht="15.75" thickBot="1" x14ac:dyDescent="0.3">
      <c r="A80" s="14"/>
      <c r="B80" s="166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</row>
    <row r="81" spans="1:31" ht="15.75" thickBot="1" x14ac:dyDescent="0.3">
      <c r="A81" s="15" t="s">
        <v>34</v>
      </c>
      <c r="B81" s="16">
        <f>SUM(B45:B79)</f>
        <v>5149</v>
      </c>
      <c r="C81" s="16">
        <f t="shared" ref="C81:P81" si="45">SUM(C45:C79)</f>
        <v>11955</v>
      </c>
      <c r="D81" s="16">
        <f t="shared" si="45"/>
        <v>12127</v>
      </c>
      <c r="E81" s="16">
        <f t="shared" si="45"/>
        <v>11994</v>
      </c>
      <c r="F81" s="16">
        <f t="shared" si="45"/>
        <v>11903</v>
      </c>
      <c r="G81" s="16">
        <f t="shared" si="45"/>
        <v>12074</v>
      </c>
      <c r="H81" s="16">
        <f t="shared" si="45"/>
        <v>6589</v>
      </c>
      <c r="I81" s="16">
        <f t="shared" si="45"/>
        <v>4964</v>
      </c>
      <c r="J81" s="16">
        <f t="shared" si="45"/>
        <v>12027</v>
      </c>
      <c r="K81" s="16">
        <f t="shared" si="45"/>
        <v>12002</v>
      </c>
      <c r="L81" s="16">
        <f t="shared" si="45"/>
        <v>11996</v>
      </c>
      <c r="M81" s="16">
        <f t="shared" si="45"/>
        <v>11984</v>
      </c>
      <c r="N81" s="16">
        <f t="shared" si="45"/>
        <v>12098</v>
      </c>
      <c r="O81" s="16">
        <f t="shared" si="45"/>
        <v>6492</v>
      </c>
      <c r="P81" s="16">
        <f t="shared" si="45"/>
        <v>5029</v>
      </c>
      <c r="Q81" s="16">
        <f>SUM(Q45:Q79)</f>
        <v>7865</v>
      </c>
      <c r="R81" s="16">
        <f t="shared" ref="R81:AE81" si="46">SUM(R45:R79)</f>
        <v>11915</v>
      </c>
      <c r="S81" s="16">
        <f t="shared" si="46"/>
        <v>11923</v>
      </c>
      <c r="T81" s="16">
        <f t="shared" si="46"/>
        <v>12083</v>
      </c>
      <c r="U81" s="16">
        <f t="shared" si="46"/>
        <v>4935</v>
      </c>
      <c r="V81" s="16">
        <f t="shared" si="46"/>
        <v>6501</v>
      </c>
      <c r="W81" s="16">
        <f t="shared" si="46"/>
        <v>4992</v>
      </c>
      <c r="X81" s="16">
        <f t="shared" si="46"/>
        <v>11427</v>
      </c>
      <c r="Y81" s="16">
        <f t="shared" si="46"/>
        <v>11928</v>
      </c>
      <c r="Z81" s="16">
        <f t="shared" si="46"/>
        <v>11760</v>
      </c>
      <c r="AA81" s="16">
        <f t="shared" si="46"/>
        <v>12081</v>
      </c>
      <c r="AB81" s="16">
        <f t="shared" si="46"/>
        <v>11969</v>
      </c>
      <c r="AC81" s="16">
        <f t="shared" si="46"/>
        <v>6520</v>
      </c>
      <c r="AD81" s="16">
        <f t="shared" si="46"/>
        <v>6254</v>
      </c>
      <c r="AE81" s="16">
        <f t="shared" si="46"/>
        <v>11444</v>
      </c>
    </row>
    <row r="82" spans="1:31" s="118" customFormat="1" x14ac:dyDescent="0.25">
      <c r="A82" s="239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51"/>
  <sheetViews>
    <sheetView zoomScaleNormal="100" workbookViewId="0">
      <pane ySplit="4" topLeftCell="A191" activePane="bottomLeft" state="frozen"/>
      <selection pane="bottomLeft" activeCell="AA230" sqref="AA230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18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18" customWidth="1"/>
    <col min="20" max="20" width="8.140625" customWidth="1"/>
    <col min="21" max="21" width="5.28515625" customWidth="1"/>
    <col min="22" max="22" width="7.85546875" style="118" customWidth="1"/>
  </cols>
  <sheetData>
    <row r="1" spans="1:28" x14ac:dyDescent="0.25">
      <c r="A1" s="17"/>
      <c r="B1" s="18"/>
      <c r="C1" s="18"/>
      <c r="D1" s="18"/>
      <c r="E1" s="314" t="s">
        <v>164</v>
      </c>
      <c r="F1" s="314">
        <v>7.68</v>
      </c>
      <c r="H1" s="151" t="s">
        <v>125</v>
      </c>
      <c r="I1" s="151">
        <v>21.7</v>
      </c>
      <c r="J1" s="151" t="s">
        <v>35</v>
      </c>
      <c r="K1" s="151">
        <v>25.4</v>
      </c>
      <c r="L1" s="151" t="s">
        <v>36</v>
      </c>
      <c r="M1" s="151">
        <v>29.11</v>
      </c>
      <c r="N1" s="151" t="s">
        <v>119</v>
      </c>
      <c r="O1" s="151">
        <v>21.7</v>
      </c>
      <c r="P1" s="231" t="s">
        <v>155</v>
      </c>
      <c r="Q1" s="245">
        <v>8.3000000000000007</v>
      </c>
      <c r="R1" s="231" t="s">
        <v>156</v>
      </c>
      <c r="S1" s="245">
        <v>34.83</v>
      </c>
      <c r="T1" s="231" t="s">
        <v>161</v>
      </c>
      <c r="U1" s="287">
        <v>39.19</v>
      </c>
      <c r="W1" s="231" t="s">
        <v>159</v>
      </c>
      <c r="X1" s="261">
        <v>11.71</v>
      </c>
      <c r="Y1" s="231" t="s">
        <v>179</v>
      </c>
      <c r="Z1" s="325">
        <v>6</v>
      </c>
      <c r="AA1" s="231" t="s">
        <v>181</v>
      </c>
      <c r="AB1" s="325">
        <v>2.2000000000000002</v>
      </c>
    </row>
    <row r="2" spans="1:28" ht="15.75" thickBot="1" x14ac:dyDescent="0.3">
      <c r="A2" s="17"/>
      <c r="B2" s="343" t="s">
        <v>37</v>
      </c>
      <c r="C2" s="343"/>
      <c r="D2" s="344" t="s">
        <v>37</v>
      </c>
      <c r="E2" s="344"/>
      <c r="F2" s="231" t="s">
        <v>167</v>
      </c>
      <c r="G2" s="318">
        <f>M2-K1</f>
        <v>17.730000000000004</v>
      </c>
      <c r="H2" s="202" t="s">
        <v>148</v>
      </c>
      <c r="I2" s="202">
        <v>30.4</v>
      </c>
      <c r="J2" s="151" t="s">
        <v>121</v>
      </c>
      <c r="K2" s="151">
        <v>25.4</v>
      </c>
      <c r="L2" s="151" t="s">
        <v>38</v>
      </c>
      <c r="M2" s="151">
        <v>43.13</v>
      </c>
      <c r="N2" s="151" t="s">
        <v>110</v>
      </c>
      <c r="O2" s="151">
        <v>35.729999999999997</v>
      </c>
      <c r="P2" s="231" t="s">
        <v>154</v>
      </c>
      <c r="Q2" s="229">
        <v>33.97</v>
      </c>
      <c r="R2" s="231" t="s">
        <v>157</v>
      </c>
      <c r="S2" s="257">
        <v>7.4</v>
      </c>
      <c r="T2" s="231" t="s">
        <v>162</v>
      </c>
      <c r="U2" s="289">
        <v>12.72</v>
      </c>
      <c r="W2" s="231" t="s">
        <v>160</v>
      </c>
      <c r="X2" s="290">
        <v>21.7</v>
      </c>
      <c r="Y2" s="231" t="s">
        <v>180</v>
      </c>
      <c r="Z2" s="325">
        <v>3.9</v>
      </c>
    </row>
    <row r="3" spans="1:28" ht="14.1" customHeight="1" x14ac:dyDescent="0.25">
      <c r="A3" s="17"/>
      <c r="B3" s="343" t="s">
        <v>39</v>
      </c>
      <c r="C3" s="343"/>
      <c r="D3" s="344" t="s">
        <v>40</v>
      </c>
      <c r="E3" s="344"/>
      <c r="F3" s="350" t="s">
        <v>41</v>
      </c>
      <c r="G3" s="350" t="s">
        <v>42</v>
      </c>
      <c r="H3" s="350" t="s">
        <v>165</v>
      </c>
      <c r="I3" s="350" t="s">
        <v>43</v>
      </c>
      <c r="J3" s="350" t="s">
        <v>44</v>
      </c>
      <c r="K3" s="350" t="s">
        <v>45</v>
      </c>
      <c r="L3" s="350" t="s">
        <v>46</v>
      </c>
      <c r="M3" s="350" t="s">
        <v>47</v>
      </c>
      <c r="N3" s="351" t="s">
        <v>48</v>
      </c>
      <c r="O3" s="351" t="s">
        <v>49</v>
      </c>
      <c r="P3" s="357"/>
      <c r="Q3" s="358" t="s">
        <v>140</v>
      </c>
      <c r="R3" s="359"/>
      <c r="S3" s="360"/>
      <c r="T3" s="345" t="s">
        <v>143</v>
      </c>
      <c r="U3" s="346"/>
      <c r="V3" s="347"/>
      <c r="W3" s="352" t="s">
        <v>144</v>
      </c>
      <c r="X3" s="352" t="s">
        <v>166</v>
      </c>
    </row>
    <row r="4" spans="1:28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50"/>
      <c r="G4" s="354"/>
      <c r="H4" s="354"/>
      <c r="I4" s="350"/>
      <c r="J4" s="350"/>
      <c r="K4" s="350"/>
      <c r="L4" s="350"/>
      <c r="M4" s="350"/>
      <c r="N4" s="351"/>
      <c r="O4" s="351"/>
      <c r="P4" s="357"/>
      <c r="Q4" s="191" t="s">
        <v>141</v>
      </c>
      <c r="R4" s="192" t="s">
        <v>142</v>
      </c>
      <c r="S4" s="192" t="s">
        <v>147</v>
      </c>
      <c r="T4" s="193" t="s">
        <v>141</v>
      </c>
      <c r="U4" s="234" t="s">
        <v>142</v>
      </c>
      <c r="V4" s="235" t="s">
        <v>147</v>
      </c>
      <c r="W4" s="353"/>
      <c r="X4" s="353"/>
    </row>
    <row r="5" spans="1:28" x14ac:dyDescent="0.25">
      <c r="A5" s="61">
        <v>45809</v>
      </c>
      <c r="B5" s="217">
        <v>53</v>
      </c>
      <c r="C5" s="217">
        <v>3</v>
      </c>
      <c r="D5" s="132">
        <f>'Data Ocupacion'!D37</f>
        <v>53</v>
      </c>
      <c r="E5" s="132">
        <f>'Data Ocupacion'!E37</f>
        <v>3</v>
      </c>
      <c r="F5" s="217" t="s">
        <v>38</v>
      </c>
      <c r="G5" s="217">
        <f t="shared" ref="G5:G10" si="0">D5+E5*2</f>
        <v>59</v>
      </c>
      <c r="H5" s="217">
        <f>B5+C5*2</f>
        <v>59</v>
      </c>
      <c r="I5" s="217">
        <f t="shared" ref="I5:I10" si="1">D5+E5</f>
        <v>56</v>
      </c>
      <c r="J5" s="217">
        <f>G5*M$2</f>
        <v>2544.67</v>
      </c>
      <c r="K5" s="147">
        <f>I5*M$2</f>
        <v>2415.2800000000002</v>
      </c>
      <c r="L5" s="217">
        <f t="shared" ref="L5:L10" si="2">J5*104</f>
        <v>264645.68</v>
      </c>
      <c r="M5" s="217">
        <f t="shared" ref="M5:M10" si="3">I5*104</f>
        <v>5824</v>
      </c>
      <c r="N5" s="19"/>
      <c r="O5" s="19"/>
      <c r="P5" s="140"/>
      <c r="Q5" s="179"/>
      <c r="R5" s="179"/>
      <c r="S5" s="203"/>
      <c r="T5" s="293"/>
      <c r="U5" s="188"/>
      <c r="V5" s="227"/>
      <c r="W5" s="178">
        <f>J5-(Q5*($M$2-$K$1))-(R5*($M$2-$M$1))- (S5*($M$2-$I$2))+ (T5*($G$2))</f>
        <v>2544.67</v>
      </c>
      <c r="X5" s="178">
        <f>H5*$M$2</f>
        <v>2544.67</v>
      </c>
    </row>
    <row r="6" spans="1:28" ht="15" customHeight="1" x14ac:dyDescent="0.25">
      <c r="A6" s="364" t="s">
        <v>170</v>
      </c>
      <c r="B6" s="217">
        <v>59</v>
      </c>
      <c r="C6" s="217">
        <v>0</v>
      </c>
      <c r="D6" s="132">
        <f>'Data Ocupacion'!D38</f>
        <v>59</v>
      </c>
      <c r="E6" s="132">
        <f>'Data Ocupacion'!E38</f>
        <v>0</v>
      </c>
      <c r="F6" s="217" t="s">
        <v>52</v>
      </c>
      <c r="G6" s="217">
        <f t="shared" si="0"/>
        <v>59</v>
      </c>
      <c r="H6" s="217">
        <f t="shared" ref="H6:H10" si="4">B6+C6*2</f>
        <v>59</v>
      </c>
      <c r="I6" s="217">
        <f t="shared" si="1"/>
        <v>59</v>
      </c>
      <c r="J6" s="217">
        <f>G6*M$2</f>
        <v>2544.67</v>
      </c>
      <c r="K6" s="147">
        <f>I6*M$2</f>
        <v>2544.67</v>
      </c>
      <c r="L6" s="217">
        <f t="shared" si="2"/>
        <v>264645.68</v>
      </c>
      <c r="M6" s="217">
        <f t="shared" si="3"/>
        <v>6136</v>
      </c>
      <c r="N6" s="19"/>
      <c r="O6" s="19"/>
      <c r="P6" s="140"/>
      <c r="Q6" s="183"/>
      <c r="R6" s="183"/>
      <c r="S6" s="215"/>
      <c r="T6" s="179"/>
      <c r="U6" s="215"/>
      <c r="V6" s="228"/>
      <c r="W6" s="181">
        <f>J6-(T6*($M$2-$K$1)+(U6*($M$2-$M$1)))</f>
        <v>2544.67</v>
      </c>
      <c r="X6" s="178">
        <f>H6*$M$2</f>
        <v>2544.67</v>
      </c>
    </row>
    <row r="7" spans="1:28" ht="15" customHeight="1" x14ac:dyDescent="0.25">
      <c r="A7" s="364"/>
      <c r="B7" s="217">
        <v>0</v>
      </c>
      <c r="C7" s="217">
        <v>0</v>
      </c>
      <c r="D7" s="132">
        <f>'Data Ocupacion'!D39</f>
        <v>0</v>
      </c>
      <c r="E7" s="132">
        <f>'Data Ocupacion'!E39</f>
        <v>0</v>
      </c>
      <c r="F7" s="217" t="s">
        <v>36</v>
      </c>
      <c r="G7" s="217">
        <f t="shared" si="0"/>
        <v>0</v>
      </c>
      <c r="H7" s="217">
        <f t="shared" si="4"/>
        <v>0</v>
      </c>
      <c r="I7" s="217">
        <f t="shared" si="1"/>
        <v>0</v>
      </c>
      <c r="J7" s="217">
        <f>G7*M$1</f>
        <v>0</v>
      </c>
      <c r="K7" s="147">
        <f>I7*M$1</f>
        <v>0</v>
      </c>
      <c r="L7" s="217">
        <f t="shared" si="2"/>
        <v>0</v>
      </c>
      <c r="M7" s="217">
        <f t="shared" si="3"/>
        <v>0</v>
      </c>
      <c r="N7" s="19"/>
      <c r="O7" s="19"/>
      <c r="P7" s="140"/>
      <c r="Q7" s="182"/>
      <c r="R7" s="184"/>
      <c r="S7" s="204"/>
      <c r="T7" s="185"/>
      <c r="U7" s="186"/>
      <c r="V7" s="186"/>
      <c r="W7" s="178">
        <f>J7-(Q7*($M$1-$K$1))</f>
        <v>0</v>
      </c>
      <c r="X7" s="178">
        <f>H7*$M$1</f>
        <v>0</v>
      </c>
    </row>
    <row r="8" spans="1:28" ht="15" customHeight="1" x14ac:dyDescent="0.25">
      <c r="A8" s="364"/>
      <c r="B8" s="217">
        <v>0</v>
      </c>
      <c r="C8" s="217">
        <v>0</v>
      </c>
      <c r="D8" s="132">
        <f>'Data Ocupacion'!D40</f>
        <v>0</v>
      </c>
      <c r="E8" s="132">
        <f>'Data Ocupacion'!E40</f>
        <v>0</v>
      </c>
      <c r="F8" s="217" t="s">
        <v>53</v>
      </c>
      <c r="G8" s="217">
        <f t="shared" si="0"/>
        <v>0</v>
      </c>
      <c r="H8" s="217">
        <f t="shared" si="4"/>
        <v>0</v>
      </c>
      <c r="I8" s="217">
        <f t="shared" si="1"/>
        <v>0</v>
      </c>
      <c r="J8" s="217">
        <f>G8*M$1</f>
        <v>0</v>
      </c>
      <c r="K8" s="147">
        <f>I8*M$1</f>
        <v>0</v>
      </c>
      <c r="L8" s="217">
        <f t="shared" si="2"/>
        <v>0</v>
      </c>
      <c r="M8" s="217">
        <f t="shared" si="3"/>
        <v>0</v>
      </c>
      <c r="N8" s="19"/>
      <c r="O8" s="19"/>
      <c r="P8" s="140"/>
      <c r="Q8" s="186"/>
      <c r="R8" s="186"/>
      <c r="S8" s="186"/>
      <c r="T8" s="186"/>
      <c r="U8" s="186"/>
      <c r="V8" s="186"/>
      <c r="W8" s="178">
        <f>J8</f>
        <v>0</v>
      </c>
      <c r="X8" s="178">
        <f>H8*$M$1</f>
        <v>0</v>
      </c>
    </row>
    <row r="9" spans="1:28" s="118" customFormat="1" ht="15" customHeight="1" x14ac:dyDescent="0.25">
      <c r="A9" s="364"/>
      <c r="B9" s="217">
        <v>0</v>
      </c>
      <c r="C9" s="217">
        <v>0</v>
      </c>
      <c r="D9" s="132">
        <f>'Data Ocupacion'!D41</f>
        <v>0</v>
      </c>
      <c r="E9" s="132">
        <f>'Data Ocupacion'!E41</f>
        <v>0</v>
      </c>
      <c r="F9" s="217" t="s">
        <v>122</v>
      </c>
      <c r="G9" s="217">
        <f t="shared" si="0"/>
        <v>0</v>
      </c>
      <c r="H9" s="217">
        <f t="shared" si="4"/>
        <v>0</v>
      </c>
      <c r="I9" s="217">
        <f t="shared" si="1"/>
        <v>0</v>
      </c>
      <c r="J9" s="217">
        <f>G9*K$1</f>
        <v>0</v>
      </c>
      <c r="K9" s="147">
        <f>I9*K$1</f>
        <v>0</v>
      </c>
      <c r="L9" s="217">
        <f t="shared" si="2"/>
        <v>0</v>
      </c>
      <c r="M9" s="217">
        <f t="shared" si="3"/>
        <v>0</v>
      </c>
      <c r="N9" s="19"/>
      <c r="O9" s="19"/>
      <c r="P9" s="140"/>
      <c r="Q9" s="186"/>
      <c r="R9" s="186"/>
      <c r="S9" s="186"/>
      <c r="T9" s="186"/>
      <c r="U9" s="186"/>
      <c r="V9" s="186"/>
      <c r="W9" s="178">
        <f>J9</f>
        <v>0</v>
      </c>
      <c r="X9" s="178">
        <f>H9*$K$1</f>
        <v>0</v>
      </c>
    </row>
    <row r="10" spans="1:28" ht="15.95" customHeight="1" thickBot="1" x14ac:dyDescent="0.3">
      <c r="A10" s="364"/>
      <c r="B10" s="217">
        <v>0</v>
      </c>
      <c r="C10" s="217">
        <v>0</v>
      </c>
      <c r="D10" s="132">
        <f>'Data Ocupacion'!D42</f>
        <v>0</v>
      </c>
      <c r="E10" s="132">
        <f>'Data Ocupacion'!E42</f>
        <v>0</v>
      </c>
      <c r="F10" s="217" t="s">
        <v>35</v>
      </c>
      <c r="G10" s="217">
        <f t="shared" si="0"/>
        <v>0</v>
      </c>
      <c r="H10" s="217">
        <f t="shared" si="4"/>
        <v>0</v>
      </c>
      <c r="I10" s="217">
        <f t="shared" si="1"/>
        <v>0</v>
      </c>
      <c r="J10" s="217">
        <f>G10*K$1</f>
        <v>0</v>
      </c>
      <c r="K10" s="147">
        <f>I10*K$1</f>
        <v>0</v>
      </c>
      <c r="L10" s="217">
        <f t="shared" si="2"/>
        <v>0</v>
      </c>
      <c r="M10" s="217">
        <f t="shared" si="3"/>
        <v>0</v>
      </c>
      <c r="N10" s="19"/>
      <c r="O10" s="19"/>
      <c r="P10" s="140"/>
      <c r="Q10" s="186"/>
      <c r="R10" s="186"/>
      <c r="S10" s="186"/>
      <c r="T10" s="186"/>
      <c r="U10" s="186"/>
      <c r="V10" s="186"/>
      <c r="W10" s="178">
        <f>J10</f>
        <v>0</v>
      </c>
      <c r="X10" s="178">
        <f>H10*$K$1</f>
        <v>0</v>
      </c>
    </row>
    <row r="11" spans="1:28" ht="15.75" thickBot="1" x14ac:dyDescent="0.3">
      <c r="A11" s="20"/>
      <c r="B11" s="216">
        <f>SUM(B5:B10)</f>
        <v>112</v>
      </c>
      <c r="C11" s="216">
        <f>SUM(C5:C10)</f>
        <v>3</v>
      </c>
      <c r="D11" s="142">
        <f>SUM(D5:D10)</f>
        <v>112</v>
      </c>
      <c r="E11" s="142">
        <f>SUM(E5:E10)</f>
        <v>3</v>
      </c>
      <c r="F11" s="113"/>
      <c r="G11" s="113">
        <f t="shared" ref="G11:M11" si="5">SUM(G5:G10)</f>
        <v>118</v>
      </c>
      <c r="H11" s="113">
        <f t="shared" si="5"/>
        <v>118</v>
      </c>
      <c r="I11" s="113">
        <f t="shared" si="5"/>
        <v>115</v>
      </c>
      <c r="J11" s="113">
        <f t="shared" si="5"/>
        <v>5089.34</v>
      </c>
      <c r="K11" s="113">
        <f t="shared" si="5"/>
        <v>4959.9500000000007</v>
      </c>
      <c r="L11" s="113">
        <f t="shared" si="5"/>
        <v>529291.36</v>
      </c>
      <c r="M11" s="113">
        <f t="shared" si="5"/>
        <v>11960</v>
      </c>
      <c r="N11" s="117">
        <f>'Odometro-Kilometraje'!B81</f>
        <v>5149</v>
      </c>
      <c r="O11" s="21">
        <f>(W11/N11)*100</f>
        <v>98.841328413284131</v>
      </c>
      <c r="P11" s="189"/>
      <c r="Q11" s="177"/>
      <c r="R11" s="177"/>
      <c r="S11" s="177"/>
      <c r="T11" s="177"/>
      <c r="U11" s="177"/>
      <c r="V11" s="177"/>
      <c r="W11" s="190">
        <f>SUM(W5:W10)</f>
        <v>5089.34</v>
      </c>
      <c r="X11" s="190">
        <f>SUM(X5:X10)</f>
        <v>5089.34</v>
      </c>
    </row>
    <row r="12" spans="1:28" x14ac:dyDescent="0.25">
      <c r="A12" s="61">
        <f>A5+1</f>
        <v>45810</v>
      </c>
      <c r="B12" s="119">
        <v>47</v>
      </c>
      <c r="C12" s="119">
        <v>32</v>
      </c>
      <c r="D12" s="120">
        <f>'Data Ocupacion'!F37</f>
        <v>47</v>
      </c>
      <c r="E12" s="120">
        <f>'Data Ocupacion'!G37</f>
        <v>32</v>
      </c>
      <c r="F12" s="119" t="s">
        <v>38</v>
      </c>
      <c r="G12" s="119">
        <f t="shared" ref="G12:G17" si="6">D12+E12*2</f>
        <v>111</v>
      </c>
      <c r="H12" s="119">
        <f>B12+C12*2</f>
        <v>111</v>
      </c>
      <c r="I12" s="119">
        <f t="shared" ref="I12:I17" si="7">D12+E12</f>
        <v>79</v>
      </c>
      <c r="J12" s="119">
        <f>G12*M$2</f>
        <v>4787.43</v>
      </c>
      <c r="K12" s="147">
        <f>I12*M$2</f>
        <v>3407.27</v>
      </c>
      <c r="L12" s="119">
        <f t="shared" ref="L12:L17" si="8">J12*104</f>
        <v>497892.72000000003</v>
      </c>
      <c r="M12" s="119">
        <f t="shared" ref="M12:M17" si="9">I12*104</f>
        <v>8216</v>
      </c>
      <c r="N12" s="19"/>
      <c r="O12" s="19"/>
      <c r="P12" s="140"/>
      <c r="Q12" s="179">
        <v>3</v>
      </c>
      <c r="R12" s="179"/>
      <c r="S12" s="203"/>
      <c r="T12" s="179"/>
      <c r="U12" s="188"/>
      <c r="V12" s="227"/>
      <c r="W12" s="178">
        <f>J12-(Q12*($M$2-$K$1))-(R12*($M$2-$M$1))- (S12*($M$2-$I$2))+ (T12*($G$2))</f>
        <v>4734.2400000000007</v>
      </c>
      <c r="X12" s="178">
        <f>H12*$M$2</f>
        <v>4787.43</v>
      </c>
      <c r="Z12" s="118"/>
    </row>
    <row r="13" spans="1:28" ht="15" customHeight="1" x14ac:dyDescent="0.25">
      <c r="A13" s="214"/>
      <c r="B13" s="119">
        <v>45</v>
      </c>
      <c r="C13" s="119">
        <v>33</v>
      </c>
      <c r="D13" s="120">
        <f>'Data Ocupacion'!F38</f>
        <v>45</v>
      </c>
      <c r="E13" s="120">
        <f>'Data Ocupacion'!G38</f>
        <v>33</v>
      </c>
      <c r="F13" s="119" t="s">
        <v>52</v>
      </c>
      <c r="G13" s="119">
        <f t="shared" si="6"/>
        <v>111</v>
      </c>
      <c r="H13" s="119">
        <f t="shared" ref="H13:H17" si="10">B13+C13*2</f>
        <v>111</v>
      </c>
      <c r="I13" s="119">
        <f t="shared" si="7"/>
        <v>78</v>
      </c>
      <c r="J13" s="119">
        <f>G13*M$2</f>
        <v>4787.43</v>
      </c>
      <c r="K13" s="147">
        <f>I13*M$2</f>
        <v>3364.1400000000003</v>
      </c>
      <c r="L13" s="119">
        <f t="shared" si="8"/>
        <v>497892.72000000003</v>
      </c>
      <c r="M13" s="119">
        <f t="shared" si="9"/>
        <v>8112</v>
      </c>
      <c r="N13" s="19"/>
      <c r="O13" s="19"/>
      <c r="P13" s="140"/>
      <c r="Q13" s="183"/>
      <c r="R13" s="183"/>
      <c r="S13" s="183"/>
      <c r="T13" s="179">
        <v>4</v>
      </c>
      <c r="U13" s="179"/>
      <c r="V13" s="203"/>
      <c r="W13" s="181">
        <f>J13-(T13*($M$2-$K$1)+(U13*($M$2-$M$1)))</f>
        <v>4716.51</v>
      </c>
      <c r="X13" s="178">
        <f>H13*$M$2</f>
        <v>4787.43</v>
      </c>
      <c r="Z13" s="118"/>
    </row>
    <row r="14" spans="1:28" ht="15.95" customHeight="1" x14ac:dyDescent="0.25">
      <c r="A14" s="214"/>
      <c r="B14" s="119">
        <v>29</v>
      </c>
      <c r="C14" s="119">
        <v>4</v>
      </c>
      <c r="D14" s="120">
        <f>'Data Ocupacion'!F39</f>
        <v>29</v>
      </c>
      <c r="E14" s="120">
        <f>'Data Ocupacion'!G39</f>
        <v>4</v>
      </c>
      <c r="F14" s="119" t="s">
        <v>36</v>
      </c>
      <c r="G14" s="119">
        <f t="shared" si="6"/>
        <v>37</v>
      </c>
      <c r="H14" s="119">
        <f t="shared" si="10"/>
        <v>37</v>
      </c>
      <c r="I14" s="119">
        <f t="shared" si="7"/>
        <v>33</v>
      </c>
      <c r="J14" s="119">
        <f>G14*M$1</f>
        <v>1077.07</v>
      </c>
      <c r="K14" s="147">
        <f>I14*M$1</f>
        <v>960.63</v>
      </c>
      <c r="L14" s="119">
        <f t="shared" si="8"/>
        <v>112015.28</v>
      </c>
      <c r="M14" s="119">
        <f t="shared" si="9"/>
        <v>3432</v>
      </c>
      <c r="N14" s="19"/>
      <c r="O14" s="19"/>
      <c r="P14" s="140"/>
      <c r="Q14" s="182"/>
      <c r="R14" s="184"/>
      <c r="S14" s="204"/>
      <c r="T14" s="185"/>
      <c r="U14" s="186"/>
      <c r="V14" s="186"/>
      <c r="W14" s="178">
        <f>J14-(Q14*($M$1-$K$1))</f>
        <v>1077.07</v>
      </c>
      <c r="X14" s="178">
        <f>H14*$M$1</f>
        <v>1077.07</v>
      </c>
      <c r="Z14" s="118"/>
    </row>
    <row r="15" spans="1:28" ht="15" customHeight="1" x14ac:dyDescent="0.25">
      <c r="A15" s="214"/>
      <c r="B15" s="119">
        <v>28</v>
      </c>
      <c r="C15" s="119">
        <v>4</v>
      </c>
      <c r="D15" s="120">
        <f>'Data Ocupacion'!F40</f>
        <v>28</v>
      </c>
      <c r="E15" s="120">
        <f>'Data Ocupacion'!G40</f>
        <v>4</v>
      </c>
      <c r="F15" s="119" t="s">
        <v>53</v>
      </c>
      <c r="G15" s="119">
        <f t="shared" si="6"/>
        <v>36</v>
      </c>
      <c r="H15" s="119">
        <f t="shared" si="10"/>
        <v>36</v>
      </c>
      <c r="I15" s="119">
        <f t="shared" si="7"/>
        <v>32</v>
      </c>
      <c r="J15" s="119">
        <f>G15*M$1</f>
        <v>1047.96</v>
      </c>
      <c r="K15" s="147">
        <f>I15*M$1</f>
        <v>931.52</v>
      </c>
      <c r="L15" s="119">
        <f t="shared" si="8"/>
        <v>108987.84</v>
      </c>
      <c r="M15" s="119">
        <f t="shared" si="9"/>
        <v>3328</v>
      </c>
      <c r="N15" s="159"/>
      <c r="O15" s="19"/>
      <c r="P15" s="140"/>
      <c r="Q15" s="186"/>
      <c r="R15" s="186"/>
      <c r="S15" s="186"/>
      <c r="T15" s="186"/>
      <c r="U15" s="186"/>
      <c r="V15" s="186"/>
      <c r="W15" s="178">
        <f>J15</f>
        <v>1047.96</v>
      </c>
      <c r="X15" s="178">
        <f>H15*$M$1</f>
        <v>1047.96</v>
      </c>
    </row>
    <row r="16" spans="1:28" s="118" customFormat="1" ht="15" customHeight="1" x14ac:dyDescent="0.25">
      <c r="A16" s="214"/>
      <c r="B16" s="119">
        <v>0</v>
      </c>
      <c r="C16" s="119">
        <v>0</v>
      </c>
      <c r="D16" s="120">
        <f>'Data Ocupacion'!F41</f>
        <v>0</v>
      </c>
      <c r="E16" s="120">
        <f>'Data Ocupacion'!G41</f>
        <v>0</v>
      </c>
      <c r="F16" s="119" t="s">
        <v>122</v>
      </c>
      <c r="G16" s="119">
        <f t="shared" si="6"/>
        <v>0</v>
      </c>
      <c r="H16" s="119">
        <f t="shared" si="10"/>
        <v>0</v>
      </c>
      <c r="I16" s="119">
        <f t="shared" si="7"/>
        <v>0</v>
      </c>
      <c r="J16" s="119">
        <f>G16*K$1</f>
        <v>0</v>
      </c>
      <c r="K16" s="147">
        <f>I16*K$1</f>
        <v>0</v>
      </c>
      <c r="L16" s="119">
        <f t="shared" si="8"/>
        <v>0</v>
      </c>
      <c r="M16" s="119">
        <f t="shared" si="9"/>
        <v>0</v>
      </c>
      <c r="N16" s="159"/>
      <c r="O16" s="19"/>
      <c r="P16" s="140"/>
      <c r="Q16" s="186"/>
      <c r="R16" s="186"/>
      <c r="S16" s="186"/>
      <c r="T16" s="186"/>
      <c r="U16" s="186"/>
      <c r="V16" s="186"/>
      <c r="W16" s="178">
        <f>J16</f>
        <v>0</v>
      </c>
      <c r="X16" s="178">
        <f>H16*$K$1</f>
        <v>0</v>
      </c>
    </row>
    <row r="17" spans="1:24" s="118" customFormat="1" ht="15" customHeight="1" thickBot="1" x14ac:dyDescent="0.3">
      <c r="A17" s="214"/>
      <c r="B17" s="119">
        <v>1</v>
      </c>
      <c r="C17" s="119">
        <v>0</v>
      </c>
      <c r="D17" s="120">
        <f>'Data Ocupacion'!F42</f>
        <v>1</v>
      </c>
      <c r="E17" s="120">
        <f>'Data Ocupacion'!G42</f>
        <v>0</v>
      </c>
      <c r="F17" s="119" t="s">
        <v>35</v>
      </c>
      <c r="G17" s="119">
        <f t="shared" si="6"/>
        <v>1</v>
      </c>
      <c r="H17" s="119">
        <f t="shared" si="10"/>
        <v>1</v>
      </c>
      <c r="I17" s="119">
        <f t="shared" si="7"/>
        <v>1</v>
      </c>
      <c r="J17" s="119">
        <f>G17*K$1</f>
        <v>25.4</v>
      </c>
      <c r="K17" s="147">
        <f>I17*K$1</f>
        <v>25.4</v>
      </c>
      <c r="L17" s="119">
        <f t="shared" si="8"/>
        <v>2641.6</v>
      </c>
      <c r="M17" s="119">
        <f t="shared" si="9"/>
        <v>104</v>
      </c>
      <c r="N17" s="19"/>
      <c r="O17" s="19"/>
      <c r="P17" s="140"/>
      <c r="Q17" s="186"/>
      <c r="R17" s="186"/>
      <c r="S17" s="186"/>
      <c r="T17" s="186"/>
      <c r="U17" s="186"/>
      <c r="V17" s="186"/>
      <c r="W17" s="178">
        <f>J17</f>
        <v>25.4</v>
      </c>
      <c r="X17" s="178">
        <f>H17*$K$1</f>
        <v>25.4</v>
      </c>
    </row>
    <row r="18" spans="1:24" ht="15.75" thickBot="1" x14ac:dyDescent="0.3">
      <c r="A18" s="20"/>
      <c r="B18" s="216">
        <f>SUM(B12:B17)</f>
        <v>150</v>
      </c>
      <c r="C18" s="216">
        <f>SUM(C12:C17)</f>
        <v>73</v>
      </c>
      <c r="D18" s="142">
        <f>SUM(D12:D17)</f>
        <v>150</v>
      </c>
      <c r="E18" s="142">
        <f>SUM(E12:E17)</f>
        <v>73</v>
      </c>
      <c r="F18" s="113"/>
      <c r="G18" s="113">
        <f t="shared" ref="G18:M18" si="11">SUM(G12:G17)</f>
        <v>296</v>
      </c>
      <c r="H18" s="113">
        <f t="shared" si="11"/>
        <v>296</v>
      </c>
      <c r="I18" s="113">
        <f t="shared" si="11"/>
        <v>223</v>
      </c>
      <c r="J18" s="113">
        <f t="shared" si="11"/>
        <v>11725.289999999999</v>
      </c>
      <c r="K18" s="113">
        <f t="shared" si="11"/>
        <v>8688.9599999999991</v>
      </c>
      <c r="L18" s="113">
        <f t="shared" si="11"/>
        <v>1219430.1600000001</v>
      </c>
      <c r="M18" s="113">
        <f t="shared" si="11"/>
        <v>23192</v>
      </c>
      <c r="N18" s="117">
        <f>'Odometro-Kilometraje'!C81</f>
        <v>11955</v>
      </c>
      <c r="O18" s="21">
        <f>(W18/N18)*100</f>
        <v>97.040401505646159</v>
      </c>
      <c r="P18" s="189"/>
      <c r="Q18" s="177"/>
      <c r="R18" s="177"/>
      <c r="S18" s="177"/>
      <c r="T18" s="177"/>
      <c r="U18" s="177"/>
      <c r="V18" s="177"/>
      <c r="W18" s="190">
        <f>SUM(W12:W17)</f>
        <v>11601.179999999998</v>
      </c>
      <c r="X18" s="190">
        <f>SUM(X12:X17)</f>
        <v>11725.289999999999</v>
      </c>
    </row>
    <row r="19" spans="1:24" x14ac:dyDescent="0.25">
      <c r="A19" s="61">
        <f>A12+1</f>
        <v>45811</v>
      </c>
      <c r="B19" s="119">
        <v>47</v>
      </c>
      <c r="C19" s="119">
        <v>32</v>
      </c>
      <c r="D19" s="120">
        <f>'Data Ocupacion'!H37</f>
        <v>46</v>
      </c>
      <c r="E19" s="120">
        <f>'Data Ocupacion'!I37</f>
        <v>33</v>
      </c>
      <c r="F19" s="119" t="s">
        <v>38</v>
      </c>
      <c r="G19" s="119">
        <f t="shared" ref="G19:G24" si="12">D19+E19*2</f>
        <v>112</v>
      </c>
      <c r="H19" s="119">
        <f>B19+C19*2</f>
        <v>111</v>
      </c>
      <c r="I19" s="119">
        <f t="shared" ref="I19:I24" si="13">D19+E19</f>
        <v>79</v>
      </c>
      <c r="J19" s="119">
        <f>G19*M$2</f>
        <v>4830.5600000000004</v>
      </c>
      <c r="K19" s="147">
        <f>I19*M$2</f>
        <v>3407.27</v>
      </c>
      <c r="L19" s="119">
        <f t="shared" ref="L19:L24" si="14">J19*104</f>
        <v>502378.24000000005</v>
      </c>
      <c r="M19" s="119">
        <f t="shared" ref="M19:M24" si="15">I19*104</f>
        <v>8216</v>
      </c>
      <c r="N19" s="19"/>
      <c r="O19" s="19"/>
      <c r="P19" s="140"/>
      <c r="Q19" s="179">
        <v>4</v>
      </c>
      <c r="R19" s="179"/>
      <c r="S19" s="203"/>
      <c r="T19" s="179"/>
      <c r="U19" s="188"/>
      <c r="V19" s="227"/>
      <c r="W19" s="178">
        <f>J19-(Q19*($M$2-$K$1))-(R19*($M$2-$M$1))- (S19*($M$2-$I$2))+ (T19*($G$2))</f>
        <v>4759.6400000000003</v>
      </c>
      <c r="X19" s="178">
        <f>H19*$M$2</f>
        <v>4787.43</v>
      </c>
    </row>
    <row r="20" spans="1:24" ht="15.95" customHeight="1" x14ac:dyDescent="0.25">
      <c r="A20" s="214"/>
      <c r="B20" s="119">
        <v>45</v>
      </c>
      <c r="C20" s="119">
        <v>33</v>
      </c>
      <c r="D20" s="120">
        <f>'Data Ocupacion'!H38</f>
        <v>44</v>
      </c>
      <c r="E20" s="120">
        <f>'Data Ocupacion'!I38</f>
        <v>34</v>
      </c>
      <c r="F20" s="119" t="s">
        <v>52</v>
      </c>
      <c r="G20" s="119">
        <f t="shared" si="12"/>
        <v>112</v>
      </c>
      <c r="H20" s="119">
        <f t="shared" ref="H20:H24" si="16">B20+C20*2</f>
        <v>111</v>
      </c>
      <c r="I20" s="119">
        <f t="shared" si="13"/>
        <v>78</v>
      </c>
      <c r="J20" s="119">
        <f>G20*M$2</f>
        <v>4830.5600000000004</v>
      </c>
      <c r="K20" s="147">
        <f>I20*M$2</f>
        <v>3364.1400000000003</v>
      </c>
      <c r="L20" s="119">
        <f t="shared" si="14"/>
        <v>502378.24000000005</v>
      </c>
      <c r="M20" s="119">
        <f t="shared" si="15"/>
        <v>8112</v>
      </c>
      <c r="N20" s="19"/>
      <c r="O20" s="19"/>
      <c r="P20" s="140"/>
      <c r="Q20" s="183"/>
      <c r="R20" s="183"/>
      <c r="S20" s="215"/>
      <c r="T20" s="179">
        <v>2</v>
      </c>
      <c r="U20" s="215"/>
      <c r="V20" s="228"/>
      <c r="W20" s="181">
        <f>J20-(T20*($M$2-$K$1)+(U20*($M$2-$M$1)))</f>
        <v>4795.1000000000004</v>
      </c>
      <c r="X20" s="178">
        <f>H20*$M$2</f>
        <v>4787.43</v>
      </c>
    </row>
    <row r="21" spans="1:24" ht="15" customHeight="1" x14ac:dyDescent="0.25">
      <c r="A21" s="214"/>
      <c r="B21" s="119">
        <v>29</v>
      </c>
      <c r="C21" s="119">
        <v>4</v>
      </c>
      <c r="D21" s="120">
        <f>'Data Ocupacion'!H39</f>
        <v>29</v>
      </c>
      <c r="E21" s="120">
        <f>'Data Ocupacion'!I39</f>
        <v>4</v>
      </c>
      <c r="F21" s="119" t="s">
        <v>36</v>
      </c>
      <c r="G21" s="119">
        <f t="shared" si="12"/>
        <v>37</v>
      </c>
      <c r="H21" s="119">
        <f t="shared" si="16"/>
        <v>37</v>
      </c>
      <c r="I21" s="119">
        <f t="shared" si="13"/>
        <v>33</v>
      </c>
      <c r="J21" s="119">
        <f>G21*M$1</f>
        <v>1077.07</v>
      </c>
      <c r="K21" s="147">
        <f>I21*M$1</f>
        <v>960.63</v>
      </c>
      <c r="L21" s="119">
        <f t="shared" si="14"/>
        <v>112015.28</v>
      </c>
      <c r="M21" s="119">
        <f t="shared" si="15"/>
        <v>3432</v>
      </c>
      <c r="N21" s="19"/>
      <c r="O21" s="19"/>
      <c r="P21" s="140"/>
      <c r="Q21" s="182"/>
      <c r="R21" s="184"/>
      <c r="S21" s="204"/>
      <c r="T21" s="185"/>
      <c r="U21" s="186"/>
      <c r="V21" s="186"/>
      <c r="W21" s="178">
        <f>J21-(Q21*($M$1-$K$1))</f>
        <v>1077.07</v>
      </c>
      <c r="X21" s="178">
        <f>H21*$M$1</f>
        <v>1077.07</v>
      </c>
    </row>
    <row r="22" spans="1:24" ht="15" customHeight="1" x14ac:dyDescent="0.25">
      <c r="A22" s="214"/>
      <c r="B22" s="119">
        <v>28</v>
      </c>
      <c r="C22" s="119">
        <v>4</v>
      </c>
      <c r="D22" s="120">
        <f>'Data Ocupacion'!H40</f>
        <v>28</v>
      </c>
      <c r="E22" s="120">
        <f>'Data Ocupacion'!I40</f>
        <v>4</v>
      </c>
      <c r="F22" s="119" t="s">
        <v>53</v>
      </c>
      <c r="G22" s="119">
        <f t="shared" si="12"/>
        <v>36</v>
      </c>
      <c r="H22" s="119">
        <f t="shared" si="16"/>
        <v>36</v>
      </c>
      <c r="I22" s="119">
        <f t="shared" si="13"/>
        <v>32</v>
      </c>
      <c r="J22" s="119">
        <f>G22*M$1</f>
        <v>1047.96</v>
      </c>
      <c r="K22" s="147">
        <f>I22*M$1</f>
        <v>931.52</v>
      </c>
      <c r="L22" s="119">
        <f t="shared" si="14"/>
        <v>108987.84</v>
      </c>
      <c r="M22" s="119">
        <f t="shared" si="15"/>
        <v>3328</v>
      </c>
      <c r="N22" s="19"/>
      <c r="O22" s="19"/>
      <c r="P22" s="140"/>
      <c r="Q22" s="186"/>
      <c r="R22" s="186"/>
      <c r="S22" s="186"/>
      <c r="T22" s="186"/>
      <c r="U22" s="186"/>
      <c r="V22" s="186"/>
      <c r="W22" s="178">
        <f>J22</f>
        <v>1047.96</v>
      </c>
      <c r="X22" s="178">
        <f>H22*$M$1</f>
        <v>1047.96</v>
      </c>
    </row>
    <row r="23" spans="1:24" s="118" customFormat="1" ht="15" customHeight="1" x14ac:dyDescent="0.25">
      <c r="A23" s="214"/>
      <c r="B23" s="119">
        <v>0</v>
      </c>
      <c r="C23" s="119">
        <v>0</v>
      </c>
      <c r="D23" s="120">
        <f>'Data Ocupacion'!H41</f>
        <v>0</v>
      </c>
      <c r="E23" s="120">
        <f>'Data Ocupacion'!I41</f>
        <v>0</v>
      </c>
      <c r="F23" s="119" t="s">
        <v>122</v>
      </c>
      <c r="G23" s="119">
        <f t="shared" si="12"/>
        <v>0</v>
      </c>
      <c r="H23" s="119">
        <f t="shared" si="16"/>
        <v>0</v>
      </c>
      <c r="I23" s="119">
        <f t="shared" si="13"/>
        <v>0</v>
      </c>
      <c r="J23" s="119">
        <f>G23*K$1</f>
        <v>0</v>
      </c>
      <c r="K23" s="147">
        <f>I23*K$1</f>
        <v>0</v>
      </c>
      <c r="L23" s="119">
        <f t="shared" si="14"/>
        <v>0</v>
      </c>
      <c r="M23" s="119">
        <f t="shared" si="15"/>
        <v>0</v>
      </c>
      <c r="N23" s="19"/>
      <c r="O23" s="19"/>
      <c r="P23" s="140"/>
      <c r="Q23" s="186"/>
      <c r="R23" s="186"/>
      <c r="S23" s="186"/>
      <c r="T23" s="186"/>
      <c r="U23" s="186"/>
      <c r="V23" s="186"/>
      <c r="W23" s="178">
        <f>J23</f>
        <v>0</v>
      </c>
      <c r="X23" s="178">
        <f>H23*$K$1</f>
        <v>0</v>
      </c>
    </row>
    <row r="24" spans="1:24" s="118" customFormat="1" ht="15" customHeight="1" thickBot="1" x14ac:dyDescent="0.3">
      <c r="A24" s="214"/>
      <c r="B24" s="119">
        <v>1</v>
      </c>
      <c r="C24" s="119">
        <v>0</v>
      </c>
      <c r="D24" s="120">
        <f>'Data Ocupacion'!H42</f>
        <v>1</v>
      </c>
      <c r="E24" s="120">
        <f>'Data Ocupacion'!I42</f>
        <v>0</v>
      </c>
      <c r="F24" s="119" t="s">
        <v>35</v>
      </c>
      <c r="G24" s="119">
        <f t="shared" si="12"/>
        <v>1</v>
      </c>
      <c r="H24" s="119">
        <f t="shared" si="16"/>
        <v>1</v>
      </c>
      <c r="I24" s="119">
        <f t="shared" si="13"/>
        <v>1</v>
      </c>
      <c r="J24" s="119">
        <f>G24*K$1</f>
        <v>25.4</v>
      </c>
      <c r="K24" s="147">
        <f>I24*K$1</f>
        <v>25.4</v>
      </c>
      <c r="L24" s="119">
        <f t="shared" si="14"/>
        <v>2641.6</v>
      </c>
      <c r="M24" s="119">
        <f t="shared" si="15"/>
        <v>104</v>
      </c>
      <c r="N24" s="19"/>
      <c r="O24" s="19"/>
      <c r="P24" s="140"/>
      <c r="Q24" s="186"/>
      <c r="R24" s="186"/>
      <c r="S24" s="186"/>
      <c r="T24" s="186"/>
      <c r="U24" s="186"/>
      <c r="V24" s="186"/>
      <c r="W24" s="178">
        <f>J24</f>
        <v>25.4</v>
      </c>
      <c r="X24" s="178">
        <f>H24*$K$1</f>
        <v>25.4</v>
      </c>
    </row>
    <row r="25" spans="1:24" ht="15.95" customHeight="1" thickBot="1" x14ac:dyDescent="0.3">
      <c r="A25" s="20"/>
      <c r="B25" s="216">
        <f>SUM(B19:B24)</f>
        <v>150</v>
      </c>
      <c r="C25" s="216">
        <f>SUM(C19:C24)</f>
        <v>73</v>
      </c>
      <c r="D25" s="146">
        <f>SUM(D19:D24)</f>
        <v>148</v>
      </c>
      <c r="E25" s="146">
        <f>SUM(E19:E24)</f>
        <v>75</v>
      </c>
      <c r="F25" s="113"/>
      <c r="G25" s="113">
        <f t="shared" ref="G25:M25" si="17">SUM(G19:G24)</f>
        <v>298</v>
      </c>
      <c r="H25" s="113">
        <f t="shared" si="17"/>
        <v>296</v>
      </c>
      <c r="I25" s="113">
        <f t="shared" si="17"/>
        <v>223</v>
      </c>
      <c r="J25" s="114">
        <f t="shared" si="17"/>
        <v>11811.550000000001</v>
      </c>
      <c r="K25" s="113">
        <f t="shared" si="17"/>
        <v>8688.9599999999991</v>
      </c>
      <c r="L25" s="112">
        <f t="shared" si="17"/>
        <v>1228401.2000000002</v>
      </c>
      <c r="M25" s="145">
        <f t="shared" si="17"/>
        <v>23192</v>
      </c>
      <c r="N25" s="176">
        <f>'Odometro-Kilometraje'!D81</f>
        <v>12127</v>
      </c>
      <c r="O25" s="21">
        <f>(W25/N25)*100</f>
        <v>96.52156345345098</v>
      </c>
      <c r="P25" s="189"/>
      <c r="Q25" s="177"/>
      <c r="R25" s="177"/>
      <c r="S25" s="177"/>
      <c r="T25" s="177"/>
      <c r="U25" s="177"/>
      <c r="V25" s="177"/>
      <c r="W25" s="190">
        <f>SUM(W19:W24)</f>
        <v>11705.17</v>
      </c>
      <c r="X25" s="190">
        <f>SUM(X19:X24)</f>
        <v>11725.289999999999</v>
      </c>
    </row>
    <row r="26" spans="1:24" x14ac:dyDescent="0.25">
      <c r="A26" s="61">
        <f>A19+1</f>
        <v>45812</v>
      </c>
      <c r="B26" s="119">
        <v>47</v>
      </c>
      <c r="C26" s="119">
        <v>32</v>
      </c>
      <c r="D26" s="120">
        <f>'Data Ocupacion'!J37</f>
        <v>47</v>
      </c>
      <c r="E26" s="120">
        <f>'Data Ocupacion'!K37</f>
        <v>32</v>
      </c>
      <c r="F26" s="119" t="s">
        <v>38</v>
      </c>
      <c r="G26" s="119">
        <f t="shared" ref="G26:G31" si="18">D26+E26*2</f>
        <v>111</v>
      </c>
      <c r="H26" s="119">
        <f>B26+C26*2</f>
        <v>111</v>
      </c>
      <c r="I26" s="119">
        <f t="shared" ref="I26:I31" si="19">D26+E26</f>
        <v>79</v>
      </c>
      <c r="J26" s="119">
        <f>G26*M$2</f>
        <v>4787.43</v>
      </c>
      <c r="K26" s="147">
        <f>I26*M$2</f>
        <v>3407.27</v>
      </c>
      <c r="L26" s="119">
        <f t="shared" ref="L26:L31" si="20">J26*104</f>
        <v>497892.72000000003</v>
      </c>
      <c r="M26" s="119">
        <f t="shared" ref="M26:M31" si="21">I26*104</f>
        <v>8216</v>
      </c>
      <c r="N26" s="19"/>
      <c r="O26" s="19"/>
      <c r="P26" s="140"/>
      <c r="Q26" s="179">
        <v>3</v>
      </c>
      <c r="R26" s="179"/>
      <c r="S26" s="203"/>
      <c r="T26" s="179"/>
      <c r="U26" s="188"/>
      <c r="V26" s="227"/>
      <c r="W26" s="178">
        <f>J26-(Q26*($M$2-$K$1))-(R26*($M$2-$M$1))- (S26*($M$2-$I$2))+ (T26*($G$2))</f>
        <v>4734.2400000000007</v>
      </c>
      <c r="X26" s="178">
        <f>H26*$M$2</f>
        <v>4787.43</v>
      </c>
    </row>
    <row r="27" spans="1:24" ht="17.25" customHeight="1" x14ac:dyDescent="0.25">
      <c r="A27" s="254"/>
      <c r="B27" s="119">
        <v>45</v>
      </c>
      <c r="C27" s="119">
        <v>33</v>
      </c>
      <c r="D27" s="120">
        <f>'Data Ocupacion'!J38</f>
        <v>45</v>
      </c>
      <c r="E27" s="120">
        <f>'Data Ocupacion'!K38</f>
        <v>33</v>
      </c>
      <c r="F27" s="119" t="s">
        <v>52</v>
      </c>
      <c r="G27" s="119">
        <f t="shared" si="18"/>
        <v>111</v>
      </c>
      <c r="H27" s="119">
        <f t="shared" ref="H27:H31" si="22">B27+C27*2</f>
        <v>111</v>
      </c>
      <c r="I27" s="119">
        <f t="shared" si="19"/>
        <v>78</v>
      </c>
      <c r="J27" s="119">
        <f>G27*M$2</f>
        <v>4787.43</v>
      </c>
      <c r="K27" s="147">
        <f>I27*M$2</f>
        <v>3364.1400000000003</v>
      </c>
      <c r="L27" s="119">
        <f t="shared" si="20"/>
        <v>497892.72000000003</v>
      </c>
      <c r="M27" s="119">
        <f t="shared" si="21"/>
        <v>8112</v>
      </c>
      <c r="N27" s="19"/>
      <c r="O27" s="19"/>
      <c r="P27" s="140"/>
      <c r="Q27" s="183"/>
      <c r="R27" s="183"/>
      <c r="S27" s="215"/>
      <c r="T27" s="179">
        <v>4</v>
      </c>
      <c r="U27" s="215"/>
      <c r="V27" s="228"/>
      <c r="W27" s="181">
        <f>J27-(T27*($M$2-$K$1)+(U27*($M$2-$M$1))+(V27*($M$2-$I$2)))</f>
        <v>4716.51</v>
      </c>
      <c r="X27" s="178">
        <f>H27*$M$2</f>
        <v>4787.43</v>
      </c>
    </row>
    <row r="28" spans="1:24" ht="15" customHeight="1" x14ac:dyDescent="0.25">
      <c r="A28" s="254"/>
      <c r="B28" s="119">
        <v>29</v>
      </c>
      <c r="C28" s="119">
        <v>4</v>
      </c>
      <c r="D28" s="120">
        <f>'Data Ocupacion'!J39</f>
        <v>29</v>
      </c>
      <c r="E28" s="120">
        <f>'Data Ocupacion'!K39</f>
        <v>4</v>
      </c>
      <c r="F28" s="119" t="s">
        <v>36</v>
      </c>
      <c r="G28" s="119">
        <f t="shared" si="18"/>
        <v>37</v>
      </c>
      <c r="H28" s="119">
        <f t="shared" si="22"/>
        <v>37</v>
      </c>
      <c r="I28" s="119">
        <f t="shared" si="19"/>
        <v>33</v>
      </c>
      <c r="J28" s="119">
        <f>G28*M$1</f>
        <v>1077.07</v>
      </c>
      <c r="K28" s="147">
        <f>I28*M$1</f>
        <v>960.63</v>
      </c>
      <c r="L28" s="119">
        <f t="shared" si="20"/>
        <v>112015.28</v>
      </c>
      <c r="M28" s="119">
        <f t="shared" si="21"/>
        <v>3432</v>
      </c>
      <c r="N28" s="19"/>
      <c r="O28" s="19"/>
      <c r="P28" s="140"/>
      <c r="Q28" s="182"/>
      <c r="R28" s="184"/>
      <c r="S28" s="204"/>
      <c r="T28" s="185"/>
      <c r="U28" s="186"/>
      <c r="V28" s="186"/>
      <c r="W28" s="178">
        <f>J28-(Q28*($M$1-$K$1))</f>
        <v>1077.07</v>
      </c>
      <c r="X28" s="178">
        <f>H28*$M$1</f>
        <v>1077.07</v>
      </c>
    </row>
    <row r="29" spans="1:24" ht="15" customHeight="1" x14ac:dyDescent="0.25">
      <c r="A29" s="254"/>
      <c r="B29" s="119">
        <v>28</v>
      </c>
      <c r="C29" s="119">
        <v>4</v>
      </c>
      <c r="D29" s="120">
        <f>'Data Ocupacion'!J40</f>
        <v>28</v>
      </c>
      <c r="E29" s="120">
        <f>'Data Ocupacion'!K40</f>
        <v>4</v>
      </c>
      <c r="F29" s="119" t="s">
        <v>53</v>
      </c>
      <c r="G29" s="119">
        <f t="shared" si="18"/>
        <v>36</v>
      </c>
      <c r="H29" s="119">
        <f t="shared" si="22"/>
        <v>36</v>
      </c>
      <c r="I29" s="119">
        <f t="shared" si="19"/>
        <v>32</v>
      </c>
      <c r="J29" s="119">
        <f>G29*M$1</f>
        <v>1047.96</v>
      </c>
      <c r="K29" s="147">
        <f>I29*M$1</f>
        <v>931.52</v>
      </c>
      <c r="L29" s="119">
        <f t="shared" si="20"/>
        <v>108987.84</v>
      </c>
      <c r="M29" s="119">
        <f t="shared" si="21"/>
        <v>3328</v>
      </c>
      <c r="N29" s="19"/>
      <c r="O29" s="19"/>
      <c r="P29" s="140"/>
      <c r="Q29" s="186"/>
      <c r="R29" s="186"/>
      <c r="S29" s="186"/>
      <c r="T29" s="186"/>
      <c r="U29" s="186"/>
      <c r="V29" s="186"/>
      <c r="W29" s="178">
        <f>J29</f>
        <v>1047.96</v>
      </c>
      <c r="X29" s="178">
        <f>H29*$M$1</f>
        <v>1047.96</v>
      </c>
    </row>
    <row r="30" spans="1:24" s="118" customFormat="1" ht="15" customHeight="1" x14ac:dyDescent="0.25">
      <c r="A30" s="254"/>
      <c r="B30" s="119">
        <v>0</v>
      </c>
      <c r="C30" s="119">
        <v>0</v>
      </c>
      <c r="D30" s="120">
        <f>'Data Ocupacion'!J41</f>
        <v>0</v>
      </c>
      <c r="E30" s="120">
        <f>'Data Ocupacion'!K41</f>
        <v>0</v>
      </c>
      <c r="F30" s="119" t="s">
        <v>122</v>
      </c>
      <c r="G30" s="119">
        <f t="shared" si="18"/>
        <v>0</v>
      </c>
      <c r="H30" s="119">
        <f t="shared" si="22"/>
        <v>0</v>
      </c>
      <c r="I30" s="119">
        <f t="shared" si="19"/>
        <v>0</v>
      </c>
      <c r="J30" s="119">
        <f>G30*K$1</f>
        <v>0</v>
      </c>
      <c r="K30" s="147">
        <f>I30*K$1</f>
        <v>0</v>
      </c>
      <c r="L30" s="119">
        <f t="shared" si="20"/>
        <v>0</v>
      </c>
      <c r="M30" s="119">
        <f t="shared" si="21"/>
        <v>0</v>
      </c>
      <c r="N30" s="19"/>
      <c r="P30" s="140"/>
      <c r="Q30" s="186"/>
      <c r="R30" s="186"/>
      <c r="S30" s="186"/>
      <c r="T30" s="186"/>
      <c r="U30" s="186"/>
      <c r="V30" s="186"/>
      <c r="W30" s="178">
        <f>J30</f>
        <v>0</v>
      </c>
      <c r="X30" s="178">
        <f>H30*$K$1</f>
        <v>0</v>
      </c>
    </row>
    <row r="31" spans="1:24" ht="15.95" customHeight="1" thickBot="1" x14ac:dyDescent="0.3">
      <c r="A31" s="254"/>
      <c r="B31" s="119">
        <v>1</v>
      </c>
      <c r="C31" s="119">
        <v>0</v>
      </c>
      <c r="D31" s="120">
        <f>'Data Ocupacion'!J42</f>
        <v>1</v>
      </c>
      <c r="E31" s="120">
        <f>'Data Ocupacion'!K42</f>
        <v>0</v>
      </c>
      <c r="F31" s="119" t="s">
        <v>35</v>
      </c>
      <c r="G31" s="119">
        <f t="shared" si="18"/>
        <v>1</v>
      </c>
      <c r="H31" s="119">
        <f t="shared" si="22"/>
        <v>1</v>
      </c>
      <c r="I31" s="119">
        <f t="shared" si="19"/>
        <v>1</v>
      </c>
      <c r="J31" s="119">
        <f>G31*K$1</f>
        <v>25.4</v>
      </c>
      <c r="K31" s="147">
        <f>I31*K$1</f>
        <v>25.4</v>
      </c>
      <c r="L31" s="119">
        <f t="shared" si="20"/>
        <v>2641.6</v>
      </c>
      <c r="M31" s="119">
        <f t="shared" si="21"/>
        <v>104</v>
      </c>
      <c r="N31" s="19"/>
      <c r="P31" s="140"/>
      <c r="Q31" s="186"/>
      <c r="R31" s="186"/>
      <c r="S31" s="186"/>
      <c r="T31" s="186"/>
      <c r="U31" s="186"/>
      <c r="V31" s="186"/>
      <c r="W31" s="178">
        <f>J31</f>
        <v>25.4</v>
      </c>
      <c r="X31" s="178">
        <f>H31*$K$1</f>
        <v>25.4</v>
      </c>
    </row>
    <row r="32" spans="1:24" ht="15.75" thickBot="1" x14ac:dyDescent="0.3">
      <c r="A32" s="20"/>
      <c r="B32" s="216">
        <f>SUM(B26:B31)</f>
        <v>150</v>
      </c>
      <c r="C32" s="216">
        <f>SUM(C26:C31)</f>
        <v>73</v>
      </c>
      <c r="D32" s="146">
        <f>SUM(D26:D31)</f>
        <v>150</v>
      </c>
      <c r="E32" s="146">
        <f>SUM(E26:E31)</f>
        <v>73</v>
      </c>
      <c r="F32" s="113"/>
      <c r="G32" s="113">
        <f t="shared" ref="G32:M32" si="23">SUM(G26:G31)</f>
        <v>296</v>
      </c>
      <c r="H32" s="113">
        <f t="shared" si="23"/>
        <v>296</v>
      </c>
      <c r="I32" s="113">
        <f t="shared" si="23"/>
        <v>223</v>
      </c>
      <c r="J32" s="114">
        <f t="shared" si="23"/>
        <v>11725.289999999999</v>
      </c>
      <c r="K32" s="113">
        <f t="shared" si="23"/>
        <v>8688.9599999999991</v>
      </c>
      <c r="L32" s="112">
        <f t="shared" si="23"/>
        <v>1219430.1600000001</v>
      </c>
      <c r="M32" s="145">
        <f t="shared" si="23"/>
        <v>23192</v>
      </c>
      <c r="N32" s="117">
        <f>'Odometro-Kilometraje'!E81</f>
        <v>11994</v>
      </c>
      <c r="O32" s="21">
        <f>(W32/N32)*100</f>
        <v>96.724862431215598</v>
      </c>
      <c r="P32" s="189"/>
      <c r="Q32" s="177"/>
      <c r="R32" s="177"/>
      <c r="S32" s="177"/>
      <c r="T32" s="177"/>
      <c r="U32" s="177"/>
      <c r="V32" s="177"/>
      <c r="W32" s="190">
        <f>SUM(W26:W31)</f>
        <v>11601.179999999998</v>
      </c>
      <c r="X32" s="190">
        <f>SUM(X26:X31)</f>
        <v>11725.289999999999</v>
      </c>
    </row>
    <row r="33" spans="1:32" x14ac:dyDescent="0.25">
      <c r="A33" s="61">
        <f>A26+1</f>
        <v>45813</v>
      </c>
      <c r="B33" s="119">
        <v>47</v>
      </c>
      <c r="C33" s="119">
        <v>32</v>
      </c>
      <c r="D33" s="120">
        <f>'Data Ocupacion'!L37</f>
        <v>46</v>
      </c>
      <c r="E33" s="120">
        <f>'Data Ocupacion'!M37</f>
        <v>33</v>
      </c>
      <c r="F33" s="119" t="s">
        <v>38</v>
      </c>
      <c r="G33" s="119">
        <f t="shared" ref="G33:G38" si="24">D33+E33*2</f>
        <v>112</v>
      </c>
      <c r="H33" s="119">
        <f>B33+C33*2</f>
        <v>111</v>
      </c>
      <c r="I33" s="119">
        <f t="shared" ref="I33:I38" si="25">D33+E33</f>
        <v>79</v>
      </c>
      <c r="J33" s="119">
        <f>G33*M$2</f>
        <v>4830.5600000000004</v>
      </c>
      <c r="K33" s="147">
        <f>I33*M$2</f>
        <v>3407.27</v>
      </c>
      <c r="L33" s="119">
        <f t="shared" ref="L33:L38" si="26">J33*104</f>
        <v>502378.24000000005</v>
      </c>
      <c r="M33" s="119">
        <f t="shared" ref="M33:M38" si="27">I33*104</f>
        <v>8216</v>
      </c>
      <c r="N33" s="19"/>
      <c r="O33" s="19"/>
      <c r="P33" s="140"/>
      <c r="Q33" s="179">
        <v>5</v>
      </c>
      <c r="R33" s="179"/>
      <c r="S33" s="203"/>
      <c r="T33" s="293"/>
      <c r="U33" s="188"/>
      <c r="V33" s="227"/>
      <c r="W33" s="178">
        <f>J33-(Q33*($M$2-$K$1))-(R33*($M$2-$M$1))- (S33*($M$2-$I$2))+ (T33*($G$2))</f>
        <v>4741.9100000000008</v>
      </c>
      <c r="X33" s="178">
        <f>H33*$M$2</f>
        <v>4787.43</v>
      </c>
    </row>
    <row r="34" spans="1:32" ht="15" customHeight="1" x14ac:dyDescent="0.25">
      <c r="A34" s="254"/>
      <c r="B34" s="119">
        <v>45</v>
      </c>
      <c r="C34" s="119">
        <v>33</v>
      </c>
      <c r="D34" s="120">
        <f>'Data Ocupacion'!L38</f>
        <v>45</v>
      </c>
      <c r="E34" s="120">
        <f>'Data Ocupacion'!M38</f>
        <v>33</v>
      </c>
      <c r="F34" s="119" t="s">
        <v>52</v>
      </c>
      <c r="G34" s="119">
        <f t="shared" si="24"/>
        <v>111</v>
      </c>
      <c r="H34" s="119">
        <f t="shared" ref="H34:H38" si="28">B34+C34*2</f>
        <v>111</v>
      </c>
      <c r="I34" s="119">
        <f t="shared" si="25"/>
        <v>78</v>
      </c>
      <c r="J34" s="119">
        <f>G34*M$2</f>
        <v>4787.43</v>
      </c>
      <c r="K34" s="147">
        <f>I34*M$2</f>
        <v>3364.1400000000003</v>
      </c>
      <c r="L34" s="119">
        <f t="shared" si="26"/>
        <v>497892.72000000003</v>
      </c>
      <c r="M34" s="119">
        <f t="shared" si="27"/>
        <v>8112</v>
      </c>
      <c r="N34" s="19"/>
      <c r="O34" s="19"/>
      <c r="P34" s="140"/>
      <c r="Q34" s="183"/>
      <c r="R34" s="183"/>
      <c r="S34" s="215"/>
      <c r="T34" s="179">
        <v>7</v>
      </c>
      <c r="U34" s="215"/>
      <c r="V34" s="228"/>
      <c r="W34" s="181">
        <f>J34-(T34*($M$2-$K$1)+(U34*($M$2-$M$1)))</f>
        <v>4663.3200000000006</v>
      </c>
      <c r="X34" s="178">
        <f>H34*$M$2</f>
        <v>4787.43</v>
      </c>
    </row>
    <row r="35" spans="1:32" ht="15" customHeight="1" x14ac:dyDescent="0.25">
      <c r="A35" s="254"/>
      <c r="B35" s="119">
        <v>29</v>
      </c>
      <c r="C35" s="119">
        <v>4</v>
      </c>
      <c r="D35" s="120">
        <f>'Data Ocupacion'!L39</f>
        <v>29</v>
      </c>
      <c r="E35" s="120">
        <f>'Data Ocupacion'!M39</f>
        <v>4</v>
      </c>
      <c r="F35" s="119" t="s">
        <v>36</v>
      </c>
      <c r="G35" s="119">
        <f t="shared" si="24"/>
        <v>37</v>
      </c>
      <c r="H35" s="119">
        <f t="shared" si="28"/>
        <v>37</v>
      </c>
      <c r="I35" s="119">
        <f t="shared" si="25"/>
        <v>33</v>
      </c>
      <c r="J35" s="119">
        <f>G35*M$1</f>
        <v>1077.07</v>
      </c>
      <c r="K35" s="147">
        <f>I35*M$1</f>
        <v>960.63</v>
      </c>
      <c r="L35" s="119">
        <f t="shared" si="26"/>
        <v>112015.28</v>
      </c>
      <c r="M35" s="119">
        <f t="shared" si="27"/>
        <v>3432</v>
      </c>
      <c r="N35" s="19"/>
      <c r="O35" s="19"/>
      <c r="P35" s="140"/>
      <c r="Q35" s="182"/>
      <c r="R35" s="184"/>
      <c r="S35" s="204"/>
      <c r="T35" s="185"/>
      <c r="U35" s="186"/>
      <c r="V35" s="186"/>
      <c r="W35" s="178">
        <f>J35-(Q35*($M$1-$K$1))</f>
        <v>1077.07</v>
      </c>
      <c r="X35" s="178">
        <f>H35*$M$1</f>
        <v>1077.07</v>
      </c>
    </row>
    <row r="36" spans="1:32" ht="15" customHeight="1" x14ac:dyDescent="0.25">
      <c r="A36" s="254"/>
      <c r="B36" s="119">
        <v>28</v>
      </c>
      <c r="C36" s="119">
        <v>4</v>
      </c>
      <c r="D36" s="120">
        <f>'Data Ocupacion'!L40</f>
        <v>27</v>
      </c>
      <c r="E36" s="120">
        <f>'Data Ocupacion'!M40</f>
        <v>5</v>
      </c>
      <c r="F36" s="119" t="s">
        <v>53</v>
      </c>
      <c r="G36" s="119">
        <f t="shared" si="24"/>
        <v>37</v>
      </c>
      <c r="H36" s="119">
        <f t="shared" si="28"/>
        <v>36</v>
      </c>
      <c r="I36" s="119">
        <f t="shared" si="25"/>
        <v>32</v>
      </c>
      <c r="J36" s="119">
        <f>G36*M$1</f>
        <v>1077.07</v>
      </c>
      <c r="K36" s="147">
        <f>I36*M$1</f>
        <v>931.52</v>
      </c>
      <c r="L36" s="119">
        <f t="shared" si="26"/>
        <v>112015.28</v>
      </c>
      <c r="M36" s="119">
        <f t="shared" si="27"/>
        <v>3328</v>
      </c>
      <c r="N36" s="19"/>
      <c r="O36" s="19"/>
      <c r="P36" s="140"/>
      <c r="Q36" s="186"/>
      <c r="R36" s="186"/>
      <c r="S36" s="186"/>
      <c r="T36" s="186"/>
      <c r="U36" s="186"/>
      <c r="V36" s="186"/>
      <c r="W36" s="178">
        <f>J36</f>
        <v>1077.07</v>
      </c>
      <c r="X36" s="178">
        <f>H36*$M$1</f>
        <v>1047.96</v>
      </c>
    </row>
    <row r="37" spans="1:32" s="118" customFormat="1" ht="15" customHeight="1" x14ac:dyDescent="0.25">
      <c r="A37" s="254"/>
      <c r="B37" s="119">
        <v>0</v>
      </c>
      <c r="C37" s="119">
        <v>0</v>
      </c>
      <c r="D37" s="120">
        <f>'Data Ocupacion'!L41</f>
        <v>0</v>
      </c>
      <c r="E37" s="120">
        <f>'Data Ocupacion'!M41</f>
        <v>0</v>
      </c>
      <c r="F37" s="119" t="s">
        <v>122</v>
      </c>
      <c r="G37" s="119">
        <f t="shared" si="24"/>
        <v>0</v>
      </c>
      <c r="H37" s="119">
        <f t="shared" si="28"/>
        <v>0</v>
      </c>
      <c r="I37" s="119">
        <f t="shared" si="25"/>
        <v>0</v>
      </c>
      <c r="J37" s="119">
        <f>G37*K$1</f>
        <v>0</v>
      </c>
      <c r="K37" s="147">
        <f>I37*K$1</f>
        <v>0</v>
      </c>
      <c r="L37" s="119">
        <f t="shared" si="26"/>
        <v>0</v>
      </c>
      <c r="M37" s="119">
        <f t="shared" si="27"/>
        <v>0</v>
      </c>
      <c r="N37" s="19"/>
      <c r="O37" s="19"/>
      <c r="P37" s="140"/>
      <c r="Q37" s="186"/>
      <c r="R37" s="186"/>
      <c r="S37" s="186"/>
      <c r="T37" s="186"/>
      <c r="U37" s="186"/>
      <c r="V37" s="186"/>
      <c r="W37" s="178">
        <f>J37</f>
        <v>0</v>
      </c>
      <c r="X37" s="178">
        <f>H37*$K$1</f>
        <v>0</v>
      </c>
    </row>
    <row r="38" spans="1:32" ht="15.95" customHeight="1" thickBot="1" x14ac:dyDescent="0.3">
      <c r="A38" s="254"/>
      <c r="B38" s="119">
        <v>1</v>
      </c>
      <c r="C38" s="119">
        <v>0</v>
      </c>
      <c r="D38" s="120">
        <f>'Data Ocupacion'!L42</f>
        <v>1</v>
      </c>
      <c r="E38" s="120">
        <f>'Data Ocupacion'!M42</f>
        <v>0</v>
      </c>
      <c r="F38" s="119" t="s">
        <v>35</v>
      </c>
      <c r="G38" s="119">
        <f t="shared" si="24"/>
        <v>1</v>
      </c>
      <c r="H38" s="119">
        <f t="shared" si="28"/>
        <v>1</v>
      </c>
      <c r="I38" s="119">
        <f t="shared" si="25"/>
        <v>1</v>
      </c>
      <c r="J38" s="119">
        <f>G38*K$1</f>
        <v>25.4</v>
      </c>
      <c r="K38" s="147">
        <f>I38*K$1</f>
        <v>25.4</v>
      </c>
      <c r="L38" s="119">
        <f t="shared" si="26"/>
        <v>2641.6</v>
      </c>
      <c r="M38" s="119">
        <f t="shared" si="27"/>
        <v>104</v>
      </c>
      <c r="N38" s="19"/>
      <c r="O38" s="19"/>
      <c r="P38" s="140"/>
      <c r="Q38" s="186"/>
      <c r="R38" s="186"/>
      <c r="S38" s="186"/>
      <c r="T38" s="186"/>
      <c r="U38" s="186"/>
      <c r="V38" s="186"/>
      <c r="W38" s="178">
        <f>J38</f>
        <v>25.4</v>
      </c>
      <c r="X38" s="178">
        <f>H38*$K$1</f>
        <v>25.4</v>
      </c>
    </row>
    <row r="39" spans="1:32" ht="15.75" thickBot="1" x14ac:dyDescent="0.3">
      <c r="A39" s="20"/>
      <c r="B39" s="216">
        <f>SUM(B33:B38)</f>
        <v>150</v>
      </c>
      <c r="C39" s="216">
        <f>SUM(C33:C38)</f>
        <v>73</v>
      </c>
      <c r="D39" s="146">
        <f>SUM(D33:D38)</f>
        <v>148</v>
      </c>
      <c r="E39" s="146">
        <f>SUM(E33:E38)</f>
        <v>75</v>
      </c>
      <c r="F39" s="113"/>
      <c r="G39" s="113">
        <f t="shared" ref="G39:M39" si="29">SUM(G33:G38)</f>
        <v>298</v>
      </c>
      <c r="H39" s="113">
        <f t="shared" si="29"/>
        <v>296</v>
      </c>
      <c r="I39" s="113">
        <f t="shared" si="29"/>
        <v>223</v>
      </c>
      <c r="J39" s="114">
        <f t="shared" si="29"/>
        <v>11797.53</v>
      </c>
      <c r="K39" s="113">
        <f t="shared" si="29"/>
        <v>8688.9599999999991</v>
      </c>
      <c r="L39" s="112">
        <f t="shared" si="29"/>
        <v>1226943.1200000001</v>
      </c>
      <c r="M39" s="145">
        <f t="shared" si="29"/>
        <v>23192</v>
      </c>
      <c r="N39" s="117">
        <f>'Odometro-Kilometraje'!F81</f>
        <v>11903</v>
      </c>
      <c r="O39" s="21">
        <f>(W39/N39)*100</f>
        <v>97.326472317903054</v>
      </c>
      <c r="P39" s="189"/>
      <c r="Q39" s="177"/>
      <c r="R39" s="177"/>
      <c r="S39" s="177"/>
      <c r="T39" s="177"/>
      <c r="U39" s="177"/>
      <c r="V39" s="177"/>
      <c r="W39" s="190">
        <f>SUM(W33:W38)</f>
        <v>11584.77</v>
      </c>
      <c r="X39" s="190">
        <f>SUM(X33:X38)</f>
        <v>11725.289999999999</v>
      </c>
    </row>
    <row r="40" spans="1:32" x14ac:dyDescent="0.25">
      <c r="A40" s="61">
        <f>A33+1</f>
        <v>45814</v>
      </c>
      <c r="B40" s="119">
        <v>47</v>
      </c>
      <c r="C40" s="119">
        <v>32</v>
      </c>
      <c r="D40" s="120">
        <f>'Data Ocupacion'!N37</f>
        <v>46</v>
      </c>
      <c r="E40" s="120">
        <f>'Data Ocupacion'!O37</f>
        <v>33</v>
      </c>
      <c r="F40" s="119" t="s">
        <v>38</v>
      </c>
      <c r="G40" s="119">
        <f t="shared" ref="G40:G45" si="30">D40+E40*2</f>
        <v>112</v>
      </c>
      <c r="H40" s="119">
        <f>B40+C40*2</f>
        <v>111</v>
      </c>
      <c r="I40" s="119">
        <f t="shared" ref="I40:I45" si="31">D40+E40</f>
        <v>79</v>
      </c>
      <c r="J40" s="119">
        <f>G40*M$2</f>
        <v>4830.5600000000004</v>
      </c>
      <c r="K40" s="147">
        <f>I40*M$2</f>
        <v>3407.27</v>
      </c>
      <c r="L40" s="119">
        <f t="shared" ref="L40:L45" si="32">J40*104</f>
        <v>502378.24000000005</v>
      </c>
      <c r="M40" s="119">
        <f t="shared" ref="M40:M45" si="33">I40*104</f>
        <v>8216</v>
      </c>
      <c r="N40" s="19"/>
      <c r="O40" s="19"/>
      <c r="P40" s="140"/>
      <c r="Q40" s="179">
        <v>4</v>
      </c>
      <c r="R40" s="179"/>
      <c r="S40" s="203">
        <v>1</v>
      </c>
      <c r="T40" s="293"/>
      <c r="U40" s="188"/>
      <c r="V40" s="227"/>
      <c r="W40" s="178">
        <f>J40-(Q40*($M$2-$K$1))-(R40*($M$2-$M$1))- (S40*($M$2-$I$2))+ (T40*($G$2))</f>
        <v>4746.9100000000008</v>
      </c>
      <c r="X40" s="178">
        <f>H40*$M$2</f>
        <v>4787.43</v>
      </c>
    </row>
    <row r="41" spans="1:32" ht="15" customHeight="1" x14ac:dyDescent="0.25">
      <c r="A41" s="254"/>
      <c r="B41" s="119">
        <v>45</v>
      </c>
      <c r="C41" s="119">
        <v>33</v>
      </c>
      <c r="D41" s="120">
        <f>'Data Ocupacion'!N38</f>
        <v>44</v>
      </c>
      <c r="E41" s="120">
        <f>'Data Ocupacion'!O38</f>
        <v>34</v>
      </c>
      <c r="F41" s="119" t="s">
        <v>52</v>
      </c>
      <c r="G41" s="119">
        <f t="shared" si="30"/>
        <v>112</v>
      </c>
      <c r="H41" s="119">
        <f t="shared" ref="H41:H45" si="34">B41+C41*2</f>
        <v>111</v>
      </c>
      <c r="I41" s="119">
        <f t="shared" si="31"/>
        <v>78</v>
      </c>
      <c r="J41" s="119">
        <f>G41*M$2</f>
        <v>4830.5600000000004</v>
      </c>
      <c r="K41" s="147">
        <f>I41*M$2</f>
        <v>3364.1400000000003</v>
      </c>
      <c r="L41" s="119">
        <f t="shared" si="32"/>
        <v>502378.24000000005</v>
      </c>
      <c r="M41" s="119">
        <f t="shared" si="33"/>
        <v>8112</v>
      </c>
      <c r="N41" s="19"/>
      <c r="O41" s="19"/>
      <c r="P41" s="140"/>
      <c r="Q41" s="183"/>
      <c r="R41" s="183"/>
      <c r="S41" s="215"/>
      <c r="T41" s="179">
        <v>3</v>
      </c>
      <c r="U41" s="215"/>
      <c r="V41" s="228"/>
      <c r="W41" s="181">
        <f>J41-(T41*($M$2-$K$1)+(U41*($M$2-$M$1)))</f>
        <v>4777.3700000000008</v>
      </c>
      <c r="X41" s="178">
        <f>H41*$M$2</f>
        <v>4787.43</v>
      </c>
    </row>
    <row r="42" spans="1:32" ht="15" customHeight="1" x14ac:dyDescent="0.25">
      <c r="A42" s="254"/>
      <c r="B42" s="119">
        <v>29</v>
      </c>
      <c r="C42" s="119">
        <v>4</v>
      </c>
      <c r="D42" s="120">
        <f>'Data Ocupacion'!N39</f>
        <v>29</v>
      </c>
      <c r="E42" s="120">
        <f>'Data Ocupacion'!O39</f>
        <v>4</v>
      </c>
      <c r="F42" s="119" t="s">
        <v>36</v>
      </c>
      <c r="G42" s="119">
        <f t="shared" si="30"/>
        <v>37</v>
      </c>
      <c r="H42" s="119">
        <f t="shared" si="34"/>
        <v>37</v>
      </c>
      <c r="I42" s="119">
        <f t="shared" si="31"/>
        <v>33</v>
      </c>
      <c r="J42" s="119">
        <f>G42*M$1</f>
        <v>1077.07</v>
      </c>
      <c r="K42" s="147">
        <f>I42*M$1</f>
        <v>960.63</v>
      </c>
      <c r="L42" s="119">
        <f t="shared" si="32"/>
        <v>112015.28</v>
      </c>
      <c r="M42" s="119">
        <f t="shared" si="33"/>
        <v>3432</v>
      </c>
      <c r="N42" s="19"/>
      <c r="O42" s="19"/>
      <c r="P42" s="140"/>
      <c r="Q42" s="182"/>
      <c r="R42" s="184"/>
      <c r="S42" s="204"/>
      <c r="T42" s="185"/>
      <c r="U42" s="186"/>
      <c r="V42" s="186"/>
      <c r="W42" s="178">
        <f>J42-(Q42*($M$1-$K$1))</f>
        <v>1077.07</v>
      </c>
      <c r="X42" s="178">
        <f>H42*$M$1</f>
        <v>1077.07</v>
      </c>
      <c r="Z42" s="256"/>
      <c r="AA42" s="256"/>
      <c r="AB42" s="256"/>
      <c r="AC42" s="256"/>
      <c r="AD42" s="256"/>
      <c r="AE42" s="256"/>
      <c r="AF42" s="256"/>
    </row>
    <row r="43" spans="1:32" x14ac:dyDescent="0.25">
      <c r="A43" s="254"/>
      <c r="B43" s="119">
        <v>28</v>
      </c>
      <c r="C43" s="119">
        <v>4</v>
      </c>
      <c r="D43" s="120">
        <f>'Data Ocupacion'!N40</f>
        <v>28</v>
      </c>
      <c r="E43" s="120">
        <f>'Data Ocupacion'!O40</f>
        <v>4</v>
      </c>
      <c r="F43" s="119" t="s">
        <v>53</v>
      </c>
      <c r="G43" s="119">
        <f t="shared" si="30"/>
        <v>36</v>
      </c>
      <c r="H43" s="119">
        <f t="shared" si="34"/>
        <v>36</v>
      </c>
      <c r="I43" s="119">
        <f t="shared" si="31"/>
        <v>32</v>
      </c>
      <c r="J43" s="119">
        <f>G43*M$1</f>
        <v>1047.96</v>
      </c>
      <c r="K43" s="147">
        <f>I43*M$1</f>
        <v>931.52</v>
      </c>
      <c r="L43" s="119">
        <f t="shared" si="32"/>
        <v>108987.84</v>
      </c>
      <c r="M43" s="119">
        <f t="shared" si="33"/>
        <v>3328</v>
      </c>
      <c r="N43" s="19"/>
      <c r="O43" s="19"/>
      <c r="P43" s="140"/>
      <c r="Q43" s="186"/>
      <c r="R43" s="186"/>
      <c r="S43" s="186"/>
      <c r="T43" s="186"/>
      <c r="U43" s="186"/>
      <c r="V43" s="186"/>
      <c r="W43" s="178">
        <f>J43</f>
        <v>1047.96</v>
      </c>
      <c r="X43" s="178">
        <f>H43*$M$1</f>
        <v>1047.96</v>
      </c>
      <c r="Z43" s="256"/>
      <c r="AA43" s="256"/>
      <c r="AB43" s="256"/>
      <c r="AC43" s="256"/>
      <c r="AD43" s="256"/>
      <c r="AE43" s="256"/>
      <c r="AF43" s="256"/>
    </row>
    <row r="44" spans="1:32" s="118" customFormat="1" x14ac:dyDescent="0.25">
      <c r="A44" s="254"/>
      <c r="B44" s="119">
        <v>0</v>
      </c>
      <c r="C44" s="119">
        <v>0</v>
      </c>
      <c r="D44" s="120">
        <f>'Data Ocupacion'!N41</f>
        <v>0</v>
      </c>
      <c r="E44" s="120">
        <f>'Data Ocupacion'!O41</f>
        <v>0</v>
      </c>
      <c r="F44" s="119" t="s">
        <v>122</v>
      </c>
      <c r="G44" s="119">
        <f t="shared" si="30"/>
        <v>0</v>
      </c>
      <c r="H44" s="119">
        <f t="shared" si="34"/>
        <v>0</v>
      </c>
      <c r="I44" s="119">
        <f t="shared" si="31"/>
        <v>0</v>
      </c>
      <c r="J44" s="119">
        <f>G44*K$1</f>
        <v>0</v>
      </c>
      <c r="K44" s="147">
        <f>I44*K$1</f>
        <v>0</v>
      </c>
      <c r="L44" s="119">
        <f t="shared" si="32"/>
        <v>0</v>
      </c>
      <c r="M44" s="119">
        <f t="shared" si="33"/>
        <v>0</v>
      </c>
      <c r="N44" s="19"/>
      <c r="O44" s="19"/>
      <c r="P44" s="140"/>
      <c r="Q44" s="186"/>
      <c r="R44" s="186"/>
      <c r="S44" s="186"/>
      <c r="T44" s="186"/>
      <c r="U44" s="186"/>
      <c r="V44" s="186"/>
      <c r="W44" s="178">
        <f>J44</f>
        <v>0</v>
      </c>
      <c r="X44" s="178">
        <f>H44*$K$1</f>
        <v>0</v>
      </c>
      <c r="Z44" s="256"/>
      <c r="AA44" s="256"/>
      <c r="AB44" s="256"/>
      <c r="AC44" s="256"/>
      <c r="AD44" s="256"/>
      <c r="AE44" s="256"/>
      <c r="AF44" s="256"/>
    </row>
    <row r="45" spans="1:32" ht="15.75" thickBot="1" x14ac:dyDescent="0.3">
      <c r="A45" s="254"/>
      <c r="B45" s="119">
        <v>1</v>
      </c>
      <c r="C45" s="119">
        <v>0</v>
      </c>
      <c r="D45" s="120">
        <f>'Data Ocupacion'!N42</f>
        <v>1</v>
      </c>
      <c r="E45" s="120">
        <f>'Data Ocupacion'!O42</f>
        <v>0</v>
      </c>
      <c r="F45" s="119" t="s">
        <v>35</v>
      </c>
      <c r="G45" s="119">
        <f t="shared" si="30"/>
        <v>1</v>
      </c>
      <c r="H45" s="119">
        <f t="shared" si="34"/>
        <v>1</v>
      </c>
      <c r="I45" s="119">
        <f t="shared" si="31"/>
        <v>1</v>
      </c>
      <c r="J45" s="119">
        <f>G45*K$1</f>
        <v>25.4</v>
      </c>
      <c r="K45" s="147">
        <f>I45*K$1</f>
        <v>25.4</v>
      </c>
      <c r="L45" s="119">
        <f t="shared" si="32"/>
        <v>2641.6</v>
      </c>
      <c r="M45" s="119">
        <f t="shared" si="33"/>
        <v>104</v>
      </c>
      <c r="N45" s="19"/>
      <c r="O45" s="19"/>
      <c r="P45" s="140"/>
      <c r="Q45" s="186"/>
      <c r="R45" s="186"/>
      <c r="S45" s="186"/>
      <c r="T45" s="186"/>
      <c r="U45" s="186"/>
      <c r="V45" s="186"/>
      <c r="W45" s="178">
        <f>J45</f>
        <v>25.4</v>
      </c>
      <c r="X45" s="178">
        <f>H45*$K$1</f>
        <v>25.4</v>
      </c>
      <c r="Z45" s="256"/>
      <c r="AA45" s="256"/>
      <c r="AB45" s="256"/>
      <c r="AC45" s="256"/>
      <c r="AD45" s="256"/>
      <c r="AE45" s="256"/>
      <c r="AF45" s="256"/>
    </row>
    <row r="46" spans="1:32" ht="15.75" thickBot="1" x14ac:dyDescent="0.3">
      <c r="A46" s="197"/>
      <c r="B46" s="216">
        <f>SUM(B40:B45)</f>
        <v>150</v>
      </c>
      <c r="C46" s="216">
        <f>SUM(C40:C45)</f>
        <v>73</v>
      </c>
      <c r="D46" s="146">
        <f>SUM(D40:D45)</f>
        <v>148</v>
      </c>
      <c r="E46" s="146">
        <f>SUM(E40:E45)</f>
        <v>75</v>
      </c>
      <c r="F46" s="113"/>
      <c r="G46" s="113">
        <f t="shared" ref="G46:M46" si="35">SUM(G40:G45)</f>
        <v>298</v>
      </c>
      <c r="H46" s="113">
        <f t="shared" si="35"/>
        <v>296</v>
      </c>
      <c r="I46" s="113">
        <f t="shared" si="35"/>
        <v>223</v>
      </c>
      <c r="J46" s="114">
        <f t="shared" si="35"/>
        <v>11811.550000000001</v>
      </c>
      <c r="K46" s="113">
        <f t="shared" si="35"/>
        <v>8688.9599999999991</v>
      </c>
      <c r="L46" s="112">
        <f t="shared" si="35"/>
        <v>1228401.2000000002</v>
      </c>
      <c r="M46" s="145">
        <f t="shared" si="35"/>
        <v>23192</v>
      </c>
      <c r="N46" s="117">
        <f>'Odometro-Kilometraje'!G81</f>
        <v>12074</v>
      </c>
      <c r="O46" s="21">
        <f>(W46/N46)*100</f>
        <v>96.692976644028491</v>
      </c>
      <c r="P46" s="189"/>
      <c r="Q46" s="177"/>
      <c r="R46" s="177"/>
      <c r="S46" s="177"/>
      <c r="T46" s="177"/>
      <c r="U46" s="177"/>
      <c r="V46" s="177"/>
      <c r="W46" s="190">
        <f>SUM(W40:W45)</f>
        <v>11674.710000000001</v>
      </c>
      <c r="X46" s="190">
        <f>SUM(X40:X45)</f>
        <v>11725.289999999999</v>
      </c>
      <c r="Z46" s="256"/>
      <c r="AA46" s="256"/>
      <c r="AB46" s="256"/>
      <c r="AC46" s="256"/>
      <c r="AD46" s="256"/>
      <c r="AE46" s="256"/>
      <c r="AF46" s="256"/>
    </row>
    <row r="47" spans="1:32" x14ac:dyDescent="0.25">
      <c r="A47" s="61">
        <f>A40+1</f>
        <v>45815</v>
      </c>
      <c r="B47" s="110">
        <v>69</v>
      </c>
      <c r="C47" s="110">
        <v>3</v>
      </c>
      <c r="D47" s="141">
        <f>'Data Ocupacion'!P37</f>
        <v>69</v>
      </c>
      <c r="E47" s="141">
        <f>'Data Ocupacion'!Q37</f>
        <v>3</v>
      </c>
      <c r="F47" s="110" t="s">
        <v>38</v>
      </c>
      <c r="G47" s="110">
        <f t="shared" ref="G47:G52" si="36">D47+E47*2</f>
        <v>75</v>
      </c>
      <c r="H47" s="110">
        <f>B47+C47*2</f>
        <v>75</v>
      </c>
      <c r="I47" s="110">
        <f t="shared" ref="I47:I52" si="37">D47+E47</f>
        <v>72</v>
      </c>
      <c r="J47" s="110">
        <f>G47*M$2</f>
        <v>3234.75</v>
      </c>
      <c r="K47" s="147">
        <f>I47*M$2</f>
        <v>3105.36</v>
      </c>
      <c r="L47" s="110">
        <f t="shared" ref="L47:L52" si="38">J47*104</f>
        <v>336414</v>
      </c>
      <c r="M47" s="110">
        <f t="shared" ref="M47:M52" si="39">I47*104</f>
        <v>7488</v>
      </c>
      <c r="N47" s="19"/>
      <c r="O47" s="19"/>
      <c r="P47" s="140"/>
      <c r="Q47" s="179"/>
      <c r="R47" s="179"/>
      <c r="S47" s="203"/>
      <c r="T47" s="179"/>
      <c r="U47" s="188"/>
      <c r="V47" s="227"/>
      <c r="W47" s="178">
        <f>J47-(Q47*($M$2-$K$1))-(R47*($M$2-$M$1))- (S47*($M$2-$I$2))+ (T47*($G$2))</f>
        <v>3234.75</v>
      </c>
      <c r="X47" s="178">
        <f>H47*$M$2</f>
        <v>3234.75</v>
      </c>
      <c r="Z47" s="256"/>
      <c r="AA47" s="256"/>
      <c r="AB47" s="256"/>
      <c r="AC47" s="256"/>
      <c r="AD47" s="256"/>
      <c r="AE47" s="256"/>
      <c r="AF47" s="256"/>
    </row>
    <row r="48" spans="1:32" ht="15" customHeight="1" x14ac:dyDescent="0.25">
      <c r="A48" s="175"/>
      <c r="B48" s="110">
        <v>75</v>
      </c>
      <c r="C48" s="110">
        <v>0</v>
      </c>
      <c r="D48" s="141">
        <f>'Data Ocupacion'!P38</f>
        <v>75</v>
      </c>
      <c r="E48" s="141">
        <f>'Data Ocupacion'!Q38</f>
        <v>0</v>
      </c>
      <c r="F48" s="110" t="s">
        <v>52</v>
      </c>
      <c r="G48" s="110">
        <f t="shared" si="36"/>
        <v>75</v>
      </c>
      <c r="H48" s="110">
        <f t="shared" ref="H48:H52" si="40">B48+C48*2</f>
        <v>75</v>
      </c>
      <c r="I48" s="110">
        <f t="shared" si="37"/>
        <v>75</v>
      </c>
      <c r="J48" s="110">
        <f>G48*M$2</f>
        <v>3234.75</v>
      </c>
      <c r="K48" s="147">
        <f>I48*M$2</f>
        <v>3234.75</v>
      </c>
      <c r="L48" s="110">
        <f t="shared" si="38"/>
        <v>336414</v>
      </c>
      <c r="M48" s="110">
        <f t="shared" si="39"/>
        <v>7800</v>
      </c>
      <c r="N48" s="19"/>
      <c r="O48" s="19"/>
      <c r="P48" s="140"/>
      <c r="Q48" s="183"/>
      <c r="R48" s="183"/>
      <c r="S48" s="215"/>
      <c r="T48" s="179"/>
      <c r="U48" s="215"/>
      <c r="V48" s="228"/>
      <c r="W48" s="181">
        <f>J48-(T48*($M$2-$K$1)+(U48*($M$2-$M$1)))</f>
        <v>3234.75</v>
      </c>
      <c r="X48" s="178">
        <f>H48*$M$2</f>
        <v>3234.75</v>
      </c>
    </row>
    <row r="49" spans="1:65" ht="16.5" customHeight="1" x14ac:dyDescent="0.25">
      <c r="A49" s="175"/>
      <c r="B49" s="110">
        <v>0</v>
      </c>
      <c r="C49" s="110">
        <v>0</v>
      </c>
      <c r="D49" s="141">
        <f>'Data Ocupacion'!P39</f>
        <v>0</v>
      </c>
      <c r="E49" s="141">
        <f>'Data Ocupacion'!Q39</f>
        <v>0</v>
      </c>
      <c r="F49" s="110" t="s">
        <v>36</v>
      </c>
      <c r="G49" s="110">
        <f t="shared" si="36"/>
        <v>0</v>
      </c>
      <c r="H49" s="110">
        <f t="shared" si="40"/>
        <v>0</v>
      </c>
      <c r="I49" s="110">
        <f t="shared" si="37"/>
        <v>0</v>
      </c>
      <c r="J49" s="110">
        <f>G49*M$1</f>
        <v>0</v>
      </c>
      <c r="K49" s="147">
        <f>I49*M$1</f>
        <v>0</v>
      </c>
      <c r="L49" s="110">
        <f t="shared" si="38"/>
        <v>0</v>
      </c>
      <c r="M49" s="110">
        <f t="shared" si="39"/>
        <v>0</v>
      </c>
      <c r="N49" s="19"/>
      <c r="O49" s="19"/>
      <c r="P49" s="140"/>
      <c r="Q49" s="182"/>
      <c r="R49" s="184"/>
      <c r="S49" s="204"/>
      <c r="T49" s="185"/>
      <c r="U49" s="186"/>
      <c r="V49" s="186"/>
      <c r="W49" s="178">
        <f>J49-(Q49*($M$1-$K$1))</f>
        <v>0</v>
      </c>
      <c r="X49" s="178">
        <f>H49*$M$1</f>
        <v>0</v>
      </c>
    </row>
    <row r="50" spans="1:65" x14ac:dyDescent="0.25">
      <c r="A50" s="175"/>
      <c r="B50" s="110">
        <v>0</v>
      </c>
      <c r="C50" s="110">
        <v>0</v>
      </c>
      <c r="D50" s="141">
        <f>'Data Ocupacion'!P40</f>
        <v>0</v>
      </c>
      <c r="E50" s="141">
        <f>'Data Ocupacion'!Q40</f>
        <v>0</v>
      </c>
      <c r="F50" s="110" t="s">
        <v>53</v>
      </c>
      <c r="G50" s="110">
        <f t="shared" si="36"/>
        <v>0</v>
      </c>
      <c r="H50" s="110">
        <f t="shared" si="40"/>
        <v>0</v>
      </c>
      <c r="I50" s="110">
        <f t="shared" si="37"/>
        <v>0</v>
      </c>
      <c r="J50" s="110">
        <f>G50*M$1</f>
        <v>0</v>
      </c>
      <c r="K50" s="147">
        <f>I50*M$1</f>
        <v>0</v>
      </c>
      <c r="L50" s="110">
        <f t="shared" si="38"/>
        <v>0</v>
      </c>
      <c r="M50" s="110">
        <f t="shared" si="39"/>
        <v>0</v>
      </c>
      <c r="N50" s="19"/>
      <c r="O50" s="19"/>
      <c r="P50" s="140"/>
      <c r="Q50" s="186"/>
      <c r="R50" s="186"/>
      <c r="S50" s="186"/>
      <c r="T50" s="186"/>
      <c r="U50" s="186"/>
      <c r="V50" s="186"/>
      <c r="W50" s="178">
        <f>J50</f>
        <v>0</v>
      </c>
      <c r="X50" s="178">
        <f>H50*$M$1</f>
        <v>0</v>
      </c>
    </row>
    <row r="51" spans="1:65" s="118" customFormat="1" x14ac:dyDescent="0.25">
      <c r="A51" s="175"/>
      <c r="B51" s="110">
        <v>0</v>
      </c>
      <c r="C51" s="110">
        <v>0</v>
      </c>
      <c r="D51" s="141">
        <f>'Data Ocupacion'!P41</f>
        <v>0</v>
      </c>
      <c r="E51" s="141">
        <f>'Data Ocupacion'!Q41</f>
        <v>0</v>
      </c>
      <c r="F51" s="110" t="s">
        <v>122</v>
      </c>
      <c r="G51" s="110">
        <f t="shared" si="36"/>
        <v>0</v>
      </c>
      <c r="H51" s="110">
        <f t="shared" si="40"/>
        <v>0</v>
      </c>
      <c r="I51" s="110">
        <f t="shared" si="37"/>
        <v>0</v>
      </c>
      <c r="J51" s="110">
        <f>G51*K$1</f>
        <v>0</v>
      </c>
      <c r="K51" s="147">
        <f>I51*K$1</f>
        <v>0</v>
      </c>
      <c r="L51" s="110">
        <f t="shared" si="38"/>
        <v>0</v>
      </c>
      <c r="M51" s="110">
        <f t="shared" si="39"/>
        <v>0</v>
      </c>
      <c r="N51" s="19"/>
      <c r="O51" s="19"/>
      <c r="P51" s="140"/>
      <c r="Q51" s="186"/>
      <c r="R51" s="186"/>
      <c r="S51" s="186"/>
      <c r="T51" s="186"/>
      <c r="U51" s="186"/>
      <c r="V51" s="186"/>
      <c r="W51" s="178">
        <f>J51</f>
        <v>0</v>
      </c>
      <c r="X51" s="178">
        <f>H51*$K$1</f>
        <v>0</v>
      </c>
    </row>
    <row r="52" spans="1:65" ht="15.75" thickBot="1" x14ac:dyDescent="0.3">
      <c r="A52" s="175"/>
      <c r="B52" s="110">
        <v>0</v>
      </c>
      <c r="C52" s="110">
        <v>0</v>
      </c>
      <c r="D52" s="323">
        <f>'Data Ocupacion'!P42</f>
        <v>0</v>
      </c>
      <c r="E52" s="141">
        <f>'Data Ocupacion'!Q42</f>
        <v>0</v>
      </c>
      <c r="F52" s="110" t="s">
        <v>35</v>
      </c>
      <c r="G52" s="110">
        <f t="shared" si="36"/>
        <v>0</v>
      </c>
      <c r="H52" s="110">
        <f t="shared" si="40"/>
        <v>0</v>
      </c>
      <c r="I52" s="110">
        <f t="shared" si="37"/>
        <v>0</v>
      </c>
      <c r="J52" s="110">
        <f>G52*K$1</f>
        <v>0</v>
      </c>
      <c r="K52" s="147">
        <f>I52*K$1</f>
        <v>0</v>
      </c>
      <c r="L52" s="110">
        <f t="shared" si="38"/>
        <v>0</v>
      </c>
      <c r="M52" s="110">
        <f t="shared" si="39"/>
        <v>0</v>
      </c>
      <c r="N52" s="19"/>
      <c r="O52" s="19"/>
      <c r="P52" s="140"/>
      <c r="Q52" s="186"/>
      <c r="R52" s="186"/>
      <c r="S52" s="186"/>
      <c r="T52" s="186"/>
      <c r="U52" s="186"/>
      <c r="V52" s="186"/>
      <c r="W52" s="178">
        <f>J52</f>
        <v>0</v>
      </c>
      <c r="X52" s="178">
        <f>H52*$K$1</f>
        <v>0</v>
      </c>
    </row>
    <row r="53" spans="1:65" ht="18" customHeight="1" thickBot="1" x14ac:dyDescent="0.3">
      <c r="A53" s="20"/>
      <c r="B53" s="216">
        <f>SUM(B47:B52)</f>
        <v>144</v>
      </c>
      <c r="C53" s="216">
        <f>SUM(C47:C52)</f>
        <v>3</v>
      </c>
      <c r="D53" s="146">
        <f>SUM(D47:D52)</f>
        <v>144</v>
      </c>
      <c r="E53" s="146">
        <f>SUM(E47:E52)</f>
        <v>3</v>
      </c>
      <c r="F53" s="113"/>
      <c r="G53" s="113">
        <f t="shared" ref="G53:M53" si="41">SUM(G47:G52)</f>
        <v>150</v>
      </c>
      <c r="H53" s="113">
        <f t="shared" si="41"/>
        <v>150</v>
      </c>
      <c r="I53" s="113">
        <f t="shared" si="41"/>
        <v>147</v>
      </c>
      <c r="J53" s="114">
        <f t="shared" si="41"/>
        <v>6469.5</v>
      </c>
      <c r="K53" s="113">
        <f t="shared" si="41"/>
        <v>6340.1100000000006</v>
      </c>
      <c r="L53" s="112">
        <f t="shared" si="41"/>
        <v>672828</v>
      </c>
      <c r="M53" s="145">
        <f t="shared" si="41"/>
        <v>15288</v>
      </c>
      <c r="N53" s="117">
        <f>'Odometro-Kilometraje'!H81</f>
        <v>6589</v>
      </c>
      <c r="O53" s="21">
        <f>(W53/N53)*100</f>
        <v>98.18637122476855</v>
      </c>
      <c r="P53" s="189"/>
      <c r="Q53" s="177"/>
      <c r="R53" s="177"/>
      <c r="S53" s="177"/>
      <c r="T53" s="177"/>
      <c r="U53" s="177"/>
      <c r="V53" s="177"/>
      <c r="W53" s="190">
        <f>SUM(W47:W52)</f>
        <v>6469.5</v>
      </c>
      <c r="X53" s="190">
        <f>SUM(X47:X52)</f>
        <v>6469.5</v>
      </c>
    </row>
    <row r="54" spans="1:65" x14ac:dyDescent="0.25">
      <c r="A54" s="61">
        <f>A47+1</f>
        <v>45816</v>
      </c>
      <c r="B54" s="217">
        <v>51</v>
      </c>
      <c r="C54" s="217">
        <v>3</v>
      </c>
      <c r="D54" s="132">
        <f>'Data Ocupacion'!R37</f>
        <v>51</v>
      </c>
      <c r="E54" s="132">
        <f>'Data Ocupacion'!S37</f>
        <v>3</v>
      </c>
      <c r="F54" s="217" t="s">
        <v>38</v>
      </c>
      <c r="G54" s="217">
        <f t="shared" ref="G54:G59" si="42">D54+E54*2</f>
        <v>57</v>
      </c>
      <c r="H54" s="217">
        <f>B54+C54*2</f>
        <v>57</v>
      </c>
      <c r="I54" s="217">
        <f t="shared" ref="I54:I59" si="43">D54+E54</f>
        <v>54</v>
      </c>
      <c r="J54" s="217">
        <f>G54*M$2</f>
        <v>2458.4100000000003</v>
      </c>
      <c r="K54" s="147">
        <f>I54*M$2</f>
        <v>2329.02</v>
      </c>
      <c r="L54" s="217">
        <f t="shared" ref="L54:L59" si="44">J54*104</f>
        <v>255674.64000000004</v>
      </c>
      <c r="M54" s="217">
        <f t="shared" ref="M54:M59" si="45">I54*104</f>
        <v>5616</v>
      </c>
      <c r="N54" s="19"/>
      <c r="O54" s="19"/>
      <c r="P54" s="140"/>
      <c r="Q54" s="243"/>
      <c r="R54" s="179"/>
      <c r="S54" s="203"/>
      <c r="T54" s="200"/>
      <c r="U54" s="188"/>
      <c r="V54" s="227"/>
      <c r="W54" s="178">
        <f>J54-(Q54*($M$2-$K$1))-(R54*($M$2-$M$1))- (S54*($M$2-$I$2))+ (T54*($G$2))</f>
        <v>2458.4100000000003</v>
      </c>
      <c r="X54" s="178">
        <f>H54*$M$2</f>
        <v>2458.4100000000003</v>
      </c>
    </row>
    <row r="55" spans="1:65" ht="15" customHeight="1" x14ac:dyDescent="0.25">
      <c r="A55" s="175"/>
      <c r="B55" s="217">
        <v>57</v>
      </c>
      <c r="C55" s="217">
        <v>0</v>
      </c>
      <c r="D55" s="132">
        <f>'Data Ocupacion'!R38</f>
        <v>57</v>
      </c>
      <c r="E55" s="132">
        <f>'Data Ocupacion'!S38</f>
        <v>0</v>
      </c>
      <c r="F55" s="217" t="s">
        <v>52</v>
      </c>
      <c r="G55" s="217">
        <f t="shared" si="42"/>
        <v>57</v>
      </c>
      <c r="H55" s="217">
        <f t="shared" ref="H55:H59" si="46">B55+C55*2</f>
        <v>57</v>
      </c>
      <c r="I55" s="217">
        <f t="shared" si="43"/>
        <v>57</v>
      </c>
      <c r="J55" s="217">
        <f>G55*M$2</f>
        <v>2458.4100000000003</v>
      </c>
      <c r="K55" s="147">
        <f>I55*M$2</f>
        <v>2458.4100000000003</v>
      </c>
      <c r="L55" s="217">
        <f t="shared" si="44"/>
        <v>255674.64000000004</v>
      </c>
      <c r="M55" s="217">
        <f t="shared" si="45"/>
        <v>5928</v>
      </c>
      <c r="N55" s="19"/>
      <c r="O55" s="19"/>
      <c r="P55" s="140"/>
      <c r="Q55" s="183" t="s">
        <v>145</v>
      </c>
      <c r="R55" s="183"/>
      <c r="S55" s="183"/>
      <c r="T55" s="179"/>
      <c r="U55" s="180"/>
      <c r="V55" s="228"/>
      <c r="W55" s="181">
        <f>J55-(T55*($M$2-$K$1)+(U55*($M$2-$M$1)))</f>
        <v>2458.4100000000003</v>
      </c>
      <c r="X55" s="178">
        <f>H55*$M$2</f>
        <v>2458.4100000000003</v>
      </c>
    </row>
    <row r="56" spans="1:65" ht="15" customHeight="1" x14ac:dyDescent="0.25">
      <c r="A56" s="175"/>
      <c r="B56" s="217">
        <v>0</v>
      </c>
      <c r="C56" s="217">
        <v>0</v>
      </c>
      <c r="D56" s="132">
        <f>'Data Ocupacion'!R39</f>
        <v>0</v>
      </c>
      <c r="E56" s="132">
        <f>'Data Ocupacion'!S39</f>
        <v>0</v>
      </c>
      <c r="F56" s="217" t="s">
        <v>36</v>
      </c>
      <c r="G56" s="217">
        <f t="shared" si="42"/>
        <v>0</v>
      </c>
      <c r="H56" s="217">
        <f t="shared" si="46"/>
        <v>0</v>
      </c>
      <c r="I56" s="217">
        <f t="shared" si="43"/>
        <v>0</v>
      </c>
      <c r="J56" s="217">
        <f>G56*M$1</f>
        <v>0</v>
      </c>
      <c r="K56" s="147">
        <f>I56*M$1</f>
        <v>0</v>
      </c>
      <c r="L56" s="217">
        <f t="shared" si="44"/>
        <v>0</v>
      </c>
      <c r="M56" s="217">
        <f t="shared" si="45"/>
        <v>0</v>
      </c>
      <c r="N56" s="19"/>
      <c r="O56" s="19"/>
      <c r="P56" s="140"/>
      <c r="Q56" s="182"/>
      <c r="R56" s="184"/>
      <c r="S56" s="204"/>
      <c r="T56" s="185"/>
      <c r="U56" s="186"/>
      <c r="V56" s="186"/>
      <c r="W56" s="178">
        <f>J56-(Q56*($M$1-$K$1))</f>
        <v>0</v>
      </c>
      <c r="X56" s="178">
        <f>H56*$M$1</f>
        <v>0</v>
      </c>
    </row>
    <row r="57" spans="1:65" ht="15" customHeight="1" x14ac:dyDescent="0.25">
      <c r="A57" s="175"/>
      <c r="B57" s="217">
        <v>0</v>
      </c>
      <c r="C57" s="217">
        <v>0</v>
      </c>
      <c r="D57" s="132">
        <f>'Data Ocupacion'!R40</f>
        <v>0</v>
      </c>
      <c r="E57" s="132">
        <f>'Data Ocupacion'!S40</f>
        <v>0</v>
      </c>
      <c r="F57" s="217" t="s">
        <v>53</v>
      </c>
      <c r="G57" s="217">
        <f t="shared" si="42"/>
        <v>0</v>
      </c>
      <c r="H57" s="217">
        <f t="shared" si="46"/>
        <v>0</v>
      </c>
      <c r="I57" s="217">
        <f t="shared" si="43"/>
        <v>0</v>
      </c>
      <c r="J57" s="217">
        <f>G57*M$1</f>
        <v>0</v>
      </c>
      <c r="K57" s="147">
        <f>I57*M$1</f>
        <v>0</v>
      </c>
      <c r="L57" s="217">
        <f t="shared" si="44"/>
        <v>0</v>
      </c>
      <c r="M57" s="217">
        <f t="shared" si="45"/>
        <v>0</v>
      </c>
      <c r="N57" s="19"/>
      <c r="O57" s="19"/>
      <c r="P57" s="140"/>
      <c r="Q57" s="186"/>
      <c r="R57" s="186"/>
      <c r="S57" s="186"/>
      <c r="T57" s="186"/>
      <c r="U57" s="186"/>
      <c r="V57" s="186"/>
      <c r="W57" s="178">
        <f>J57</f>
        <v>0</v>
      </c>
      <c r="X57" s="178">
        <f>H57*$M$1</f>
        <v>0</v>
      </c>
      <c r="BM57" t="s">
        <v>120</v>
      </c>
    </row>
    <row r="58" spans="1:65" s="118" customFormat="1" ht="15" customHeight="1" x14ac:dyDescent="0.25">
      <c r="A58" s="175"/>
      <c r="B58" s="217">
        <v>0</v>
      </c>
      <c r="C58" s="217">
        <v>0</v>
      </c>
      <c r="D58" s="132">
        <f>'Data Ocupacion'!R41</f>
        <v>0</v>
      </c>
      <c r="E58" s="132">
        <f>'Data Ocupacion'!S41</f>
        <v>0</v>
      </c>
      <c r="F58" s="217" t="s">
        <v>122</v>
      </c>
      <c r="G58" s="217">
        <f t="shared" si="42"/>
        <v>0</v>
      </c>
      <c r="H58" s="217">
        <f t="shared" si="46"/>
        <v>0</v>
      </c>
      <c r="I58" s="217">
        <f t="shared" si="43"/>
        <v>0</v>
      </c>
      <c r="J58" s="217">
        <f>G58*K$1</f>
        <v>0</v>
      </c>
      <c r="K58" s="147">
        <f>I58*K$1</f>
        <v>0</v>
      </c>
      <c r="L58" s="217">
        <f t="shared" si="44"/>
        <v>0</v>
      </c>
      <c r="M58" s="217">
        <f t="shared" si="45"/>
        <v>0</v>
      </c>
      <c r="N58" s="19"/>
      <c r="O58" s="19"/>
      <c r="P58" s="140"/>
      <c r="Q58" s="186"/>
      <c r="R58" s="186"/>
      <c r="S58" s="186"/>
      <c r="T58" s="186"/>
      <c r="U58" s="186"/>
      <c r="V58" s="186"/>
      <c r="W58" s="178">
        <f>J58</f>
        <v>0</v>
      </c>
      <c r="X58" s="178">
        <f>H58*$K$1</f>
        <v>0</v>
      </c>
    </row>
    <row r="59" spans="1:65" ht="15.75" customHeight="1" thickBot="1" x14ac:dyDescent="0.3">
      <c r="A59" s="175"/>
      <c r="B59" s="217">
        <v>0</v>
      </c>
      <c r="C59" s="217">
        <v>0</v>
      </c>
      <c r="D59" s="302">
        <f>'Data Ocupacion'!R42</f>
        <v>0</v>
      </c>
      <c r="E59" s="132">
        <f>'Data Ocupacion'!S42</f>
        <v>0</v>
      </c>
      <c r="F59" s="217" t="s">
        <v>35</v>
      </c>
      <c r="G59" s="217">
        <f t="shared" si="42"/>
        <v>0</v>
      </c>
      <c r="H59" s="217">
        <f t="shared" si="46"/>
        <v>0</v>
      </c>
      <c r="I59" s="217">
        <f t="shared" si="43"/>
        <v>0</v>
      </c>
      <c r="J59" s="217">
        <f>G59*K$1</f>
        <v>0</v>
      </c>
      <c r="K59" s="147">
        <f>I59*K$1</f>
        <v>0</v>
      </c>
      <c r="L59" s="217">
        <f t="shared" si="44"/>
        <v>0</v>
      </c>
      <c r="M59" s="217">
        <f t="shared" si="45"/>
        <v>0</v>
      </c>
      <c r="N59" s="19"/>
      <c r="O59" s="19"/>
      <c r="P59" s="140"/>
      <c r="Q59" s="186"/>
      <c r="R59" s="186"/>
      <c r="S59" s="186"/>
      <c r="T59" s="186"/>
      <c r="U59" s="186"/>
      <c r="V59" s="186"/>
      <c r="W59" s="178">
        <f>J59</f>
        <v>0</v>
      </c>
      <c r="X59" s="178">
        <f>H59*$K$1</f>
        <v>0</v>
      </c>
    </row>
    <row r="60" spans="1:65" ht="15.75" thickBot="1" x14ac:dyDescent="0.3">
      <c r="A60" s="20"/>
      <c r="B60" s="216">
        <f>SUM(B54:B59)</f>
        <v>108</v>
      </c>
      <c r="C60" s="216">
        <f>SUM(C54:C59)</f>
        <v>3</v>
      </c>
      <c r="D60" s="146">
        <f>SUM(D54:D59)</f>
        <v>108</v>
      </c>
      <c r="E60" s="146">
        <f>SUM(E54:E59)</f>
        <v>3</v>
      </c>
      <c r="F60" s="113"/>
      <c r="G60" s="113">
        <f t="shared" ref="G60:M60" si="47">SUM(G54:G59)</f>
        <v>114</v>
      </c>
      <c r="H60" s="113">
        <f t="shared" si="47"/>
        <v>114</v>
      </c>
      <c r="I60" s="113">
        <f t="shared" si="47"/>
        <v>111</v>
      </c>
      <c r="J60" s="114">
        <f t="shared" si="47"/>
        <v>4916.8200000000006</v>
      </c>
      <c r="K60" s="113">
        <f t="shared" si="47"/>
        <v>4787.43</v>
      </c>
      <c r="L60" s="112">
        <f t="shared" si="47"/>
        <v>511349.28000000009</v>
      </c>
      <c r="M60" s="145">
        <f t="shared" si="47"/>
        <v>11544</v>
      </c>
      <c r="N60" s="117">
        <f>'Odometro-Kilometraje'!I81</f>
        <v>4964</v>
      </c>
      <c r="O60" s="21">
        <f>(W60/N60)*100</f>
        <v>99.049556809024992</v>
      </c>
      <c r="P60" s="189"/>
      <c r="Q60" s="177"/>
      <c r="R60" s="177"/>
      <c r="S60" s="177"/>
      <c r="T60" s="177"/>
      <c r="U60" s="177"/>
      <c r="V60" s="177"/>
      <c r="W60" s="190">
        <f>SUM(W54:W59)</f>
        <v>4916.8200000000006</v>
      </c>
      <c r="X60" s="190">
        <f>SUM(X54:X59)</f>
        <v>4916.8200000000006</v>
      </c>
    </row>
    <row r="61" spans="1:65" x14ac:dyDescent="0.25">
      <c r="A61" s="61">
        <f>A54+1</f>
        <v>45817</v>
      </c>
      <c r="B61" s="119">
        <v>47</v>
      </c>
      <c r="C61" s="119">
        <v>32</v>
      </c>
      <c r="D61" s="120">
        <f>'Data Ocupacion'!T37</f>
        <v>47</v>
      </c>
      <c r="E61" s="120">
        <f>'Data Ocupacion'!U37</f>
        <v>32</v>
      </c>
      <c r="F61" s="119" t="s">
        <v>38</v>
      </c>
      <c r="G61" s="119">
        <f t="shared" ref="G61:G66" si="48">D61+E61*2</f>
        <v>111</v>
      </c>
      <c r="H61" s="119">
        <f>B61+C61*2</f>
        <v>111</v>
      </c>
      <c r="I61" s="119">
        <f t="shared" ref="I61:I66" si="49">D61+E61</f>
        <v>79</v>
      </c>
      <c r="J61" s="119">
        <f>G61*M$2</f>
        <v>4787.43</v>
      </c>
      <c r="K61" s="147">
        <f>I61*M$2</f>
        <v>3407.27</v>
      </c>
      <c r="L61" s="119">
        <f t="shared" ref="L61:L66" si="50">J61*104</f>
        <v>497892.72000000003</v>
      </c>
      <c r="M61" s="119">
        <f t="shared" ref="M61:M66" si="51">I61*104</f>
        <v>8216</v>
      </c>
      <c r="N61" s="19"/>
      <c r="O61" s="19"/>
      <c r="P61" s="140"/>
      <c r="Q61" s="179">
        <v>4</v>
      </c>
      <c r="R61" s="179"/>
      <c r="S61" s="203"/>
      <c r="T61" s="200"/>
      <c r="U61" s="188"/>
      <c r="V61" s="227"/>
      <c r="W61" s="178">
        <f>J61-(Q61*($M$2-$K$1))-(R61*($M$2-$M$1))- (S61*($M$2-$I$2))+ (T61*($G$2))</f>
        <v>4716.51</v>
      </c>
      <c r="X61" s="178">
        <f>H61*$M$2</f>
        <v>4787.43</v>
      </c>
    </row>
    <row r="62" spans="1:65" ht="15" customHeight="1" x14ac:dyDescent="0.25">
      <c r="A62" s="282"/>
      <c r="B62" s="119">
        <v>45</v>
      </c>
      <c r="C62" s="119">
        <v>33</v>
      </c>
      <c r="D62" s="120">
        <f>'Data Ocupacion'!T38</f>
        <v>44</v>
      </c>
      <c r="E62" s="120">
        <f>'Data Ocupacion'!U38</f>
        <v>34</v>
      </c>
      <c r="F62" s="119" t="s">
        <v>52</v>
      </c>
      <c r="G62" s="119">
        <f t="shared" si="48"/>
        <v>112</v>
      </c>
      <c r="H62" s="119">
        <f t="shared" ref="H62:H66" si="52">B62+C62*2</f>
        <v>111</v>
      </c>
      <c r="I62" s="119">
        <f t="shared" si="49"/>
        <v>78</v>
      </c>
      <c r="J62" s="119">
        <f>G62*M$2</f>
        <v>4830.5600000000004</v>
      </c>
      <c r="K62" s="147">
        <f>I62*M$2</f>
        <v>3364.1400000000003</v>
      </c>
      <c r="L62" s="119">
        <f t="shared" si="50"/>
        <v>502378.24000000005</v>
      </c>
      <c r="M62" s="119">
        <f t="shared" si="51"/>
        <v>8112</v>
      </c>
      <c r="N62" s="19"/>
      <c r="O62" s="19"/>
      <c r="P62" s="140"/>
      <c r="Q62" s="183"/>
      <c r="R62" s="183"/>
      <c r="S62" s="183"/>
      <c r="T62" s="179">
        <v>6</v>
      </c>
      <c r="U62" s="179"/>
      <c r="V62" s="228"/>
      <c r="W62" s="181">
        <f>J62-(T62*($M$2-$K$1)+(U62*($M$2-$M$1)))</f>
        <v>4724.18</v>
      </c>
      <c r="X62" s="178">
        <f>H62*$M$2</f>
        <v>4787.43</v>
      </c>
      <c r="Y62" s="236"/>
      <c r="AA62" s="118"/>
      <c r="AB62" s="118"/>
    </row>
    <row r="63" spans="1:65" x14ac:dyDescent="0.25">
      <c r="A63" s="254"/>
      <c r="B63" s="119">
        <v>29</v>
      </c>
      <c r="C63" s="119">
        <v>4</v>
      </c>
      <c r="D63" s="120">
        <f>'Data Ocupacion'!T39</f>
        <v>28</v>
      </c>
      <c r="E63" s="120">
        <f>'Data Ocupacion'!U39</f>
        <v>5</v>
      </c>
      <c r="F63" s="119" t="s">
        <v>36</v>
      </c>
      <c r="G63" s="119">
        <f t="shared" si="48"/>
        <v>38</v>
      </c>
      <c r="H63" s="119">
        <f t="shared" si="52"/>
        <v>37</v>
      </c>
      <c r="I63" s="119">
        <f t="shared" si="49"/>
        <v>33</v>
      </c>
      <c r="J63" s="119">
        <f>G63*M$1</f>
        <v>1106.18</v>
      </c>
      <c r="K63" s="147">
        <f>I63*M$1</f>
        <v>960.63</v>
      </c>
      <c r="L63" s="119">
        <f t="shared" si="50"/>
        <v>115042.72</v>
      </c>
      <c r="M63" s="119">
        <f t="shared" si="51"/>
        <v>3432</v>
      </c>
      <c r="N63" s="19"/>
      <c r="O63" s="19"/>
      <c r="P63" s="140"/>
      <c r="Q63" s="182"/>
      <c r="R63" s="184"/>
      <c r="S63" s="204"/>
      <c r="T63" s="185"/>
      <c r="U63" s="186"/>
      <c r="V63" s="186"/>
      <c r="W63" s="178">
        <f>J63-(Q63*($M$1-$K$1))</f>
        <v>1106.18</v>
      </c>
      <c r="X63" s="178">
        <f>H63*$M$1</f>
        <v>1077.07</v>
      </c>
      <c r="Y63" s="236"/>
    </row>
    <row r="64" spans="1:65" x14ac:dyDescent="0.25">
      <c r="A64" s="254"/>
      <c r="B64" s="119">
        <v>28</v>
      </c>
      <c r="C64" s="119">
        <v>4</v>
      </c>
      <c r="D64" s="120">
        <f>'Data Ocupacion'!T40</f>
        <v>27</v>
      </c>
      <c r="E64" s="120">
        <f>'Data Ocupacion'!U40</f>
        <v>5</v>
      </c>
      <c r="F64" s="119" t="s">
        <v>53</v>
      </c>
      <c r="G64" s="119">
        <f t="shared" si="48"/>
        <v>37</v>
      </c>
      <c r="H64" s="119">
        <f t="shared" si="52"/>
        <v>36</v>
      </c>
      <c r="I64" s="119">
        <f t="shared" si="49"/>
        <v>32</v>
      </c>
      <c r="J64" s="119">
        <f>G64*M$1</f>
        <v>1077.07</v>
      </c>
      <c r="K64" s="147">
        <f>I64*M$1</f>
        <v>931.52</v>
      </c>
      <c r="L64" s="119">
        <f t="shared" si="50"/>
        <v>112015.28</v>
      </c>
      <c r="M64" s="119">
        <f t="shared" si="51"/>
        <v>3328</v>
      </c>
      <c r="N64" s="19"/>
      <c r="O64" s="19"/>
      <c r="P64" s="140"/>
      <c r="Q64" s="186"/>
      <c r="R64" s="186"/>
      <c r="S64" s="186"/>
      <c r="T64" s="186"/>
      <c r="U64" s="186"/>
      <c r="V64" s="186"/>
      <c r="W64" s="178">
        <f>J64</f>
        <v>1077.07</v>
      </c>
      <c r="X64" s="178">
        <f>H64*$M$1</f>
        <v>1047.96</v>
      </c>
    </row>
    <row r="65" spans="1:27" s="118" customFormat="1" x14ac:dyDescent="0.25">
      <c r="A65" s="254"/>
      <c r="B65" s="119">
        <v>0</v>
      </c>
      <c r="C65" s="119">
        <v>0</v>
      </c>
      <c r="D65" s="120">
        <f>'Data Ocupacion'!T41</f>
        <v>0</v>
      </c>
      <c r="E65" s="120">
        <f>'Data Ocupacion'!U41</f>
        <v>0</v>
      </c>
      <c r="F65" s="119" t="s">
        <v>122</v>
      </c>
      <c r="G65" s="119">
        <f t="shared" si="48"/>
        <v>0</v>
      </c>
      <c r="H65" s="119">
        <f t="shared" si="52"/>
        <v>0</v>
      </c>
      <c r="I65" s="119">
        <f t="shared" si="49"/>
        <v>0</v>
      </c>
      <c r="J65" s="119">
        <f>G65*K$1</f>
        <v>0</v>
      </c>
      <c r="K65" s="147">
        <f>I65*K$1</f>
        <v>0</v>
      </c>
      <c r="L65" s="119">
        <f t="shared" si="50"/>
        <v>0</v>
      </c>
      <c r="M65" s="119">
        <f t="shared" si="51"/>
        <v>0</v>
      </c>
      <c r="N65" s="19"/>
      <c r="O65" s="19"/>
      <c r="P65" s="140"/>
      <c r="Q65" s="186"/>
      <c r="R65" s="186"/>
      <c r="S65" s="186"/>
      <c r="T65" s="186"/>
      <c r="U65" s="186"/>
      <c r="V65" s="186"/>
      <c r="W65" s="178">
        <f>J65</f>
        <v>0</v>
      </c>
      <c r="X65" s="178">
        <f>H65*$K$1</f>
        <v>0</v>
      </c>
    </row>
    <row r="66" spans="1:27" ht="15.75" thickBot="1" x14ac:dyDescent="0.3">
      <c r="A66" s="254"/>
      <c r="B66" s="119">
        <v>1</v>
      </c>
      <c r="C66" s="119">
        <v>0</v>
      </c>
      <c r="D66" s="255">
        <f>'Data Ocupacion'!T42</f>
        <v>1</v>
      </c>
      <c r="E66" s="120">
        <f>'Data Ocupacion'!U42</f>
        <v>0</v>
      </c>
      <c r="F66" s="119" t="s">
        <v>35</v>
      </c>
      <c r="G66" s="119">
        <f t="shared" si="48"/>
        <v>1</v>
      </c>
      <c r="H66" s="119">
        <f t="shared" si="52"/>
        <v>1</v>
      </c>
      <c r="I66" s="119">
        <f t="shared" si="49"/>
        <v>1</v>
      </c>
      <c r="J66" s="119">
        <f>G66*K$1</f>
        <v>25.4</v>
      </c>
      <c r="K66" s="147">
        <f>I66*K$1</f>
        <v>25.4</v>
      </c>
      <c r="L66" s="119">
        <f t="shared" si="50"/>
        <v>2641.6</v>
      </c>
      <c r="M66" s="119">
        <f t="shared" si="51"/>
        <v>104</v>
      </c>
      <c r="N66" s="19"/>
      <c r="O66" s="19"/>
      <c r="P66" s="140"/>
      <c r="Q66" s="186"/>
      <c r="R66" s="186"/>
      <c r="S66" s="186"/>
      <c r="T66" s="186"/>
      <c r="U66" s="186"/>
      <c r="V66" s="186"/>
      <c r="W66" s="178">
        <f>J66</f>
        <v>25.4</v>
      </c>
      <c r="X66" s="178">
        <f>H66*$K$1</f>
        <v>25.4</v>
      </c>
    </row>
    <row r="67" spans="1:27" s="118" customFormat="1" ht="18.75" customHeight="1" thickBot="1" x14ac:dyDescent="0.3">
      <c r="A67" s="20"/>
      <c r="B67" s="216">
        <f>SUM(B61:B66)</f>
        <v>150</v>
      </c>
      <c r="C67" s="216">
        <f>SUM(C61:C66)</f>
        <v>73</v>
      </c>
      <c r="D67" s="146">
        <f>SUM(D61:D66)</f>
        <v>147</v>
      </c>
      <c r="E67" s="146">
        <f>SUM(E61:E66)</f>
        <v>76</v>
      </c>
      <c r="F67" s="113"/>
      <c r="G67" s="113">
        <f t="shared" ref="G67:M67" si="53">SUM(G61:G66)</f>
        <v>299</v>
      </c>
      <c r="H67" s="113">
        <f t="shared" si="53"/>
        <v>296</v>
      </c>
      <c r="I67" s="113">
        <f t="shared" si="53"/>
        <v>223</v>
      </c>
      <c r="J67" s="114">
        <f t="shared" si="53"/>
        <v>11826.640000000001</v>
      </c>
      <c r="K67" s="113">
        <f t="shared" si="53"/>
        <v>8688.9599999999991</v>
      </c>
      <c r="L67" s="112">
        <f t="shared" si="53"/>
        <v>1229970.5600000003</v>
      </c>
      <c r="M67" s="145">
        <f t="shared" si="53"/>
        <v>23192</v>
      </c>
      <c r="N67" s="117">
        <f>'Odometro-Kilometraje'!J81</f>
        <v>12027</v>
      </c>
      <c r="O67" s="21">
        <f>(W67/N67)*100</f>
        <v>96.859898561569807</v>
      </c>
      <c r="P67" s="189"/>
      <c r="Q67" s="177"/>
      <c r="R67" s="177"/>
      <c r="S67" s="177"/>
      <c r="T67" s="177"/>
      <c r="U67" s="177"/>
      <c r="V67" s="177"/>
      <c r="W67" s="190">
        <f>SUM(W61:W66)</f>
        <v>11649.34</v>
      </c>
      <c r="X67" s="190">
        <f>SUM(X61:X66)</f>
        <v>11725.289999999999</v>
      </c>
      <c r="Y67" s="237"/>
    </row>
    <row r="68" spans="1:27" s="118" customFormat="1" x14ac:dyDescent="0.25">
      <c r="A68" s="61">
        <f>A61+1</f>
        <v>45818</v>
      </c>
      <c r="B68" s="119">
        <v>47</v>
      </c>
      <c r="C68" s="119">
        <v>32</v>
      </c>
      <c r="D68" s="120">
        <f>'Data Ocupacion'!V37</f>
        <v>47</v>
      </c>
      <c r="E68" s="120">
        <f>'Data Ocupacion'!W37</f>
        <v>32</v>
      </c>
      <c r="F68" s="219" t="s">
        <v>38</v>
      </c>
      <c r="G68" s="220">
        <f t="shared" ref="G68:G75" si="54">D68+E68*2</f>
        <v>111</v>
      </c>
      <c r="H68" s="119">
        <f>B68+C68*2</f>
        <v>111</v>
      </c>
      <c r="I68" s="221">
        <f t="shared" ref="I68:I73" si="55">D68+E68</f>
        <v>79</v>
      </c>
      <c r="J68" s="221">
        <f>G68*M$2</f>
        <v>4787.43</v>
      </c>
      <c r="K68" s="147">
        <f>I68*M$2</f>
        <v>3407.27</v>
      </c>
      <c r="L68" s="119">
        <f t="shared" ref="L68:L73" si="56">J68*104</f>
        <v>497892.72000000003</v>
      </c>
      <c r="M68" s="119">
        <f t="shared" ref="M68:M73" si="57">I68*104</f>
        <v>8216</v>
      </c>
      <c r="N68" s="19"/>
      <c r="O68" s="19"/>
      <c r="P68" s="140"/>
      <c r="Q68" s="179">
        <v>3</v>
      </c>
      <c r="R68" s="179"/>
      <c r="S68" s="203"/>
      <c r="T68" s="179"/>
      <c r="U68" s="188"/>
      <c r="V68" s="227"/>
      <c r="W68" s="178">
        <f>J68-(Q68*($M$2-$K$1))-(R68*($M$2-$M$1))- (S68*($M$2-$I$2))+ (T68*($G$2))</f>
        <v>4734.2400000000007</v>
      </c>
      <c r="X68" s="178">
        <f>H68*$M$2</f>
        <v>4787.43</v>
      </c>
    </row>
    <row r="69" spans="1:27" ht="14.45" customHeight="1" x14ac:dyDescent="0.25">
      <c r="A69" s="282"/>
      <c r="B69" s="119">
        <v>45</v>
      </c>
      <c r="C69" s="119">
        <v>33</v>
      </c>
      <c r="D69" s="120">
        <f>'Data Ocupacion'!V38</f>
        <v>45</v>
      </c>
      <c r="E69" s="120">
        <f>'Data Ocupacion'!W38</f>
        <v>33</v>
      </c>
      <c r="F69" s="219" t="s">
        <v>52</v>
      </c>
      <c r="G69" s="220">
        <f t="shared" si="54"/>
        <v>111</v>
      </c>
      <c r="H69" s="119">
        <f t="shared" ref="H69:H73" si="58">B69+C69*2</f>
        <v>111</v>
      </c>
      <c r="I69" s="119">
        <f t="shared" si="55"/>
        <v>78</v>
      </c>
      <c r="J69" s="119">
        <f>G69*M$2</f>
        <v>4787.43</v>
      </c>
      <c r="K69" s="147">
        <f>I69*M$2</f>
        <v>3364.1400000000003</v>
      </c>
      <c r="L69" s="119">
        <f t="shared" si="56"/>
        <v>497892.72000000003</v>
      </c>
      <c r="M69" s="119">
        <f t="shared" si="57"/>
        <v>8112</v>
      </c>
      <c r="N69" s="19"/>
      <c r="O69" s="19"/>
      <c r="P69" s="140"/>
      <c r="Q69" s="183"/>
      <c r="R69" s="183"/>
      <c r="S69" s="215"/>
      <c r="T69" s="179">
        <v>6</v>
      </c>
      <c r="U69" s="215"/>
      <c r="V69" s="228"/>
      <c r="W69" s="181">
        <f>J69-(T69*($M$2-$K$1)+(U69*($M$2-$M$1))+(V69*($U$2)))</f>
        <v>4681.05</v>
      </c>
      <c r="X69" s="178">
        <f>H69*$M$2</f>
        <v>4787.43</v>
      </c>
    </row>
    <row r="70" spans="1:27" ht="15" customHeight="1" x14ac:dyDescent="0.25">
      <c r="A70" s="254"/>
      <c r="B70" s="119">
        <v>29</v>
      </c>
      <c r="C70" s="119">
        <v>4</v>
      </c>
      <c r="D70" s="120">
        <f>'Data Ocupacion'!V39</f>
        <v>28</v>
      </c>
      <c r="E70" s="120">
        <f>'Data Ocupacion'!W39</f>
        <v>5</v>
      </c>
      <c r="F70" s="219" t="s">
        <v>36</v>
      </c>
      <c r="G70" s="220">
        <f t="shared" si="54"/>
        <v>38</v>
      </c>
      <c r="H70" s="119">
        <f t="shared" si="58"/>
        <v>37</v>
      </c>
      <c r="I70" s="119">
        <f t="shared" si="55"/>
        <v>33</v>
      </c>
      <c r="J70" s="119">
        <f>G70*M$1</f>
        <v>1106.18</v>
      </c>
      <c r="K70" s="147">
        <f>I70*M$1</f>
        <v>960.63</v>
      </c>
      <c r="L70" s="119">
        <f t="shared" si="56"/>
        <v>115042.72</v>
      </c>
      <c r="M70" s="119">
        <f t="shared" si="57"/>
        <v>3432</v>
      </c>
      <c r="N70" s="19"/>
      <c r="O70" s="19"/>
      <c r="P70" s="140"/>
      <c r="Q70" s="182"/>
      <c r="R70" s="184"/>
      <c r="S70" s="204"/>
      <c r="T70" s="185"/>
      <c r="U70" s="186"/>
      <c r="V70" s="186"/>
      <c r="W70" s="178">
        <f>J70-(Q70*($M$1-$K$1))</f>
        <v>1106.18</v>
      </c>
      <c r="X70" s="178">
        <f>H70*$M$1</f>
        <v>1077.07</v>
      </c>
    </row>
    <row r="71" spans="1:27" ht="15" customHeight="1" x14ac:dyDescent="0.25">
      <c r="A71" s="254"/>
      <c r="B71" s="119">
        <v>28</v>
      </c>
      <c r="C71" s="119">
        <v>4</v>
      </c>
      <c r="D71" s="120">
        <f>'Data Ocupacion'!V40</f>
        <v>26</v>
      </c>
      <c r="E71" s="120">
        <f>'Data Ocupacion'!W40</f>
        <v>6</v>
      </c>
      <c r="F71" s="219" t="s">
        <v>53</v>
      </c>
      <c r="G71" s="220">
        <f t="shared" si="54"/>
        <v>38</v>
      </c>
      <c r="H71" s="119">
        <f t="shared" si="58"/>
        <v>36</v>
      </c>
      <c r="I71" s="119">
        <f t="shared" si="55"/>
        <v>32</v>
      </c>
      <c r="J71" s="119">
        <f>G71*M$1</f>
        <v>1106.18</v>
      </c>
      <c r="K71" s="147">
        <f>I71*M$1</f>
        <v>931.52</v>
      </c>
      <c r="L71" s="119">
        <f t="shared" si="56"/>
        <v>115042.72</v>
      </c>
      <c r="M71" s="119">
        <f t="shared" si="57"/>
        <v>3328</v>
      </c>
      <c r="N71" s="19"/>
      <c r="O71" s="19"/>
      <c r="P71" s="140"/>
      <c r="Q71" s="186"/>
      <c r="R71" s="186"/>
      <c r="S71" s="186"/>
      <c r="T71" s="186"/>
      <c r="U71" s="186"/>
      <c r="V71" s="186"/>
      <c r="W71" s="178">
        <f>J71</f>
        <v>1106.18</v>
      </c>
      <c r="X71" s="178">
        <f>H71*$M$1</f>
        <v>1047.96</v>
      </c>
    </row>
    <row r="72" spans="1:27" ht="15" customHeight="1" x14ac:dyDescent="0.25">
      <c r="A72" s="254"/>
      <c r="B72" s="119">
        <v>0</v>
      </c>
      <c r="C72" s="119">
        <v>0</v>
      </c>
      <c r="D72" s="120">
        <f>'Data Ocupacion'!V41</f>
        <v>0</v>
      </c>
      <c r="E72" s="120">
        <f>'Data Ocupacion'!W41</f>
        <v>0</v>
      </c>
      <c r="F72" s="219" t="s">
        <v>122</v>
      </c>
      <c r="G72" s="220">
        <f t="shared" si="54"/>
        <v>0</v>
      </c>
      <c r="H72" s="119">
        <f t="shared" si="58"/>
        <v>0</v>
      </c>
      <c r="I72" s="119">
        <f t="shared" si="55"/>
        <v>0</v>
      </c>
      <c r="J72" s="222">
        <f>G72*K$1</f>
        <v>0</v>
      </c>
      <c r="K72" s="147">
        <f>I72*K$1</f>
        <v>0</v>
      </c>
      <c r="L72" s="119">
        <f t="shared" si="56"/>
        <v>0</v>
      </c>
      <c r="M72" s="119">
        <f t="shared" si="57"/>
        <v>0</v>
      </c>
      <c r="N72" s="19"/>
      <c r="O72" s="19"/>
      <c r="P72" s="140"/>
      <c r="Q72" s="186"/>
      <c r="R72" s="186"/>
      <c r="S72" s="186"/>
      <c r="T72" s="186"/>
      <c r="U72" s="186"/>
      <c r="V72" s="186"/>
      <c r="W72" s="178">
        <f>J72</f>
        <v>0</v>
      </c>
      <c r="X72" s="178">
        <f>H72*$K$1</f>
        <v>0</v>
      </c>
    </row>
    <row r="73" spans="1:27" ht="14.25" customHeight="1" thickBot="1" x14ac:dyDescent="0.3">
      <c r="A73" s="254"/>
      <c r="B73" s="119">
        <v>1</v>
      </c>
      <c r="C73" s="119">
        <v>0</v>
      </c>
      <c r="D73" s="120">
        <f>'Data Ocupacion'!V42</f>
        <v>1</v>
      </c>
      <c r="E73" s="120">
        <f>'Data Ocupacion'!W42</f>
        <v>0</v>
      </c>
      <c r="F73" s="219" t="s">
        <v>35</v>
      </c>
      <c r="G73" s="220">
        <f t="shared" si="54"/>
        <v>1</v>
      </c>
      <c r="H73" s="119">
        <f t="shared" si="58"/>
        <v>1</v>
      </c>
      <c r="I73" s="223">
        <f t="shared" si="55"/>
        <v>1</v>
      </c>
      <c r="J73" s="223">
        <f>G73*K$1</f>
        <v>25.4</v>
      </c>
      <c r="K73" s="147">
        <f>I73*K$1</f>
        <v>25.4</v>
      </c>
      <c r="L73" s="119">
        <f t="shared" si="56"/>
        <v>2641.6</v>
      </c>
      <c r="M73" s="119">
        <f t="shared" si="57"/>
        <v>104</v>
      </c>
      <c r="N73" s="19"/>
      <c r="O73" s="19"/>
      <c r="P73" s="140"/>
      <c r="Q73" s="186"/>
      <c r="R73" s="186"/>
      <c r="S73" s="186"/>
      <c r="T73" s="186"/>
      <c r="U73" s="186"/>
      <c r="V73" s="186"/>
      <c r="W73" s="178">
        <f>J73</f>
        <v>25.4</v>
      </c>
      <c r="X73" s="178">
        <f>H73*$K$1</f>
        <v>25.4</v>
      </c>
      <c r="Y73" s="256"/>
      <c r="Z73" s="256"/>
      <c r="AA73" s="256"/>
    </row>
    <row r="74" spans="1:27" s="118" customFormat="1" ht="15.75" thickBot="1" x14ac:dyDescent="0.3">
      <c r="A74" s="20"/>
      <c r="B74" s="216">
        <f>SUM(B68:B73)</f>
        <v>150</v>
      </c>
      <c r="C74" s="216">
        <f>SUM(C68:C73)</f>
        <v>73</v>
      </c>
      <c r="D74" s="142">
        <f>SUM(D68:D73)</f>
        <v>147</v>
      </c>
      <c r="E74" s="142">
        <f>SUM(E68:E73)</f>
        <v>76</v>
      </c>
      <c r="F74" s="113"/>
      <c r="G74" s="113">
        <f t="shared" ref="G74:M74" si="59">SUM(G68:G73)</f>
        <v>299</v>
      </c>
      <c r="H74" s="113">
        <f t="shared" si="59"/>
        <v>296</v>
      </c>
      <c r="I74" s="113">
        <f t="shared" si="59"/>
        <v>223</v>
      </c>
      <c r="J74" s="114">
        <f t="shared" si="59"/>
        <v>11812.62</v>
      </c>
      <c r="K74" s="113">
        <f t="shared" si="59"/>
        <v>8688.9599999999991</v>
      </c>
      <c r="L74" s="113">
        <f t="shared" si="59"/>
        <v>1228512.4800000002</v>
      </c>
      <c r="M74" s="113">
        <f t="shared" si="59"/>
        <v>23192</v>
      </c>
      <c r="N74" s="117">
        <f>'Odometro-Kilometraje'!K81</f>
        <v>12002</v>
      </c>
      <c r="O74" s="21">
        <f>(W74/N74)*100</f>
        <v>97.092567905349114</v>
      </c>
      <c r="P74" s="189"/>
      <c r="Q74" s="177"/>
      <c r="R74" s="177"/>
      <c r="S74" s="177"/>
      <c r="T74" s="177"/>
      <c r="U74" s="177"/>
      <c r="V74" s="177"/>
      <c r="W74" s="190">
        <f>SUM(W68:W73)</f>
        <v>11653.050000000001</v>
      </c>
      <c r="X74" s="190">
        <f>SUM(X68:X73)</f>
        <v>11725.289999999999</v>
      </c>
      <c r="Y74" s="256"/>
      <c r="Z74" s="256"/>
      <c r="AA74" s="256"/>
    </row>
    <row r="75" spans="1:27" x14ac:dyDescent="0.25">
      <c r="A75" s="61">
        <f>A68+1</f>
        <v>45819</v>
      </c>
      <c r="B75" s="119">
        <v>47</v>
      </c>
      <c r="C75" s="119">
        <v>32</v>
      </c>
      <c r="D75" s="132">
        <f>'Data Ocupacion'!X37</f>
        <v>46</v>
      </c>
      <c r="E75" s="132">
        <f>'Data Ocupacion'!Y37</f>
        <v>33</v>
      </c>
      <c r="F75" s="119" t="s">
        <v>38</v>
      </c>
      <c r="G75" s="220">
        <f t="shared" si="54"/>
        <v>112</v>
      </c>
      <c r="H75" s="119">
        <f>B75+C75*2</f>
        <v>111</v>
      </c>
      <c r="I75" s="119">
        <f t="shared" ref="I75:I80" si="60">D75+E75</f>
        <v>79</v>
      </c>
      <c r="J75" s="119">
        <f>G75*M$2</f>
        <v>4830.5600000000004</v>
      </c>
      <c r="K75" s="147">
        <f>I75*M$2</f>
        <v>3407.27</v>
      </c>
      <c r="L75" s="119">
        <f t="shared" ref="L75:L80" si="61">J75*104</f>
        <v>502378.24000000005</v>
      </c>
      <c r="M75" s="119">
        <f t="shared" ref="M75:M80" si="62">I75*104</f>
        <v>8216</v>
      </c>
      <c r="N75" s="19"/>
      <c r="O75" s="19"/>
      <c r="P75" s="140"/>
      <c r="Q75" s="179">
        <v>3</v>
      </c>
      <c r="R75" s="179"/>
      <c r="S75" s="203"/>
      <c r="T75" s="179"/>
      <c r="U75" s="188"/>
      <c r="V75" s="227"/>
      <c r="W75" s="178">
        <f>J75-(Q75*($M$2-$K$1))-(R75*($M$2-$M$1))- (S75*($M$2-$I$2))+ (T75*($G$2))</f>
        <v>4777.3700000000008</v>
      </c>
      <c r="X75" s="178">
        <f>H75*$M$2</f>
        <v>4787.43</v>
      </c>
      <c r="Y75" s="256"/>
      <c r="Z75" s="256"/>
      <c r="AA75" s="256"/>
    </row>
    <row r="76" spans="1:27" ht="15" customHeight="1" x14ac:dyDescent="0.25">
      <c r="A76" s="282"/>
      <c r="B76" s="119">
        <v>45</v>
      </c>
      <c r="C76" s="119">
        <v>33</v>
      </c>
      <c r="D76" s="132">
        <f>'Data Ocupacion'!X38</f>
        <v>44</v>
      </c>
      <c r="E76" s="132">
        <f>'Data Ocupacion'!Y38</f>
        <v>34</v>
      </c>
      <c r="F76" s="119" t="s">
        <v>52</v>
      </c>
      <c r="G76" s="119">
        <f t="shared" ref="G76:G80" si="63">D76+E76*2</f>
        <v>112</v>
      </c>
      <c r="H76" s="119">
        <f t="shared" ref="H76:H80" si="64">B76+C76*2</f>
        <v>111</v>
      </c>
      <c r="I76" s="119">
        <f t="shared" si="60"/>
        <v>78</v>
      </c>
      <c r="J76" s="119">
        <f>G76*M$2</f>
        <v>4830.5600000000004</v>
      </c>
      <c r="K76" s="147">
        <f>I76*M$2</f>
        <v>3364.1400000000003</v>
      </c>
      <c r="L76" s="119">
        <f t="shared" si="61"/>
        <v>502378.24000000005</v>
      </c>
      <c r="M76" s="119">
        <f t="shared" si="62"/>
        <v>8112</v>
      </c>
      <c r="N76" s="19"/>
      <c r="O76" s="19"/>
      <c r="P76" s="140"/>
      <c r="Q76" s="183"/>
      <c r="R76" s="183"/>
      <c r="S76" s="183"/>
      <c r="T76" s="179">
        <v>5</v>
      </c>
      <c r="U76" s="179"/>
      <c r="V76" s="228"/>
      <c r="W76" s="181">
        <f>J76-(T76*($M$2-$K$1)+(U76*($M$2-$M$1)))</f>
        <v>4741.9100000000008</v>
      </c>
      <c r="X76" s="178">
        <f>H76*$M$2</f>
        <v>4787.43</v>
      </c>
      <c r="Y76" s="256"/>
      <c r="Z76" s="256"/>
      <c r="AA76" s="256"/>
    </row>
    <row r="77" spans="1:27" ht="15" customHeight="1" x14ac:dyDescent="0.25">
      <c r="A77" s="254"/>
      <c r="B77" s="119">
        <v>29</v>
      </c>
      <c r="C77" s="119">
        <v>4</v>
      </c>
      <c r="D77" s="120">
        <f>'Data Ocupacion'!X39</f>
        <v>29</v>
      </c>
      <c r="E77" s="120">
        <f>'Data Ocupacion'!Y39</f>
        <v>4</v>
      </c>
      <c r="F77" s="119" t="s">
        <v>36</v>
      </c>
      <c r="G77" s="119">
        <f t="shared" si="63"/>
        <v>37</v>
      </c>
      <c r="H77" s="119">
        <f t="shared" si="64"/>
        <v>37</v>
      </c>
      <c r="I77" s="119">
        <f t="shared" si="60"/>
        <v>33</v>
      </c>
      <c r="J77" s="119">
        <f>G77*M$1</f>
        <v>1077.07</v>
      </c>
      <c r="K77" s="147">
        <f>I77*M$1</f>
        <v>960.63</v>
      </c>
      <c r="L77" s="119">
        <f t="shared" si="61"/>
        <v>112015.28</v>
      </c>
      <c r="M77" s="119">
        <f t="shared" si="62"/>
        <v>3432</v>
      </c>
      <c r="N77" s="19"/>
      <c r="O77" s="19" t="s">
        <v>145</v>
      </c>
      <c r="P77" s="140"/>
      <c r="Q77" s="182"/>
      <c r="R77" s="184"/>
      <c r="S77" s="204"/>
      <c r="T77" s="185"/>
      <c r="U77" s="186"/>
      <c r="V77" s="186"/>
      <c r="W77" s="178">
        <f>J77-(Q77*($M$1-$K$1))</f>
        <v>1077.07</v>
      </c>
      <c r="X77" s="178">
        <f>H77*$M$1</f>
        <v>1077.07</v>
      </c>
      <c r="Y77" s="256"/>
      <c r="Z77" s="256"/>
      <c r="AA77" s="256"/>
    </row>
    <row r="78" spans="1:27" ht="13.5" customHeight="1" x14ac:dyDescent="0.25">
      <c r="A78" s="254"/>
      <c r="B78" s="119">
        <v>28</v>
      </c>
      <c r="C78" s="119">
        <v>4</v>
      </c>
      <c r="D78" s="120">
        <f>'Data Ocupacion'!X40</f>
        <v>28</v>
      </c>
      <c r="E78" s="120">
        <f>'Data Ocupacion'!Y40</f>
        <v>4</v>
      </c>
      <c r="F78" s="119" t="s">
        <v>53</v>
      </c>
      <c r="G78" s="119">
        <f t="shared" si="63"/>
        <v>36</v>
      </c>
      <c r="H78" s="119">
        <f t="shared" si="64"/>
        <v>36</v>
      </c>
      <c r="I78" s="119">
        <f t="shared" si="60"/>
        <v>32</v>
      </c>
      <c r="J78" s="119">
        <f>G78*M$1</f>
        <v>1047.96</v>
      </c>
      <c r="K78" s="147">
        <f>I78*M$1</f>
        <v>931.52</v>
      </c>
      <c r="L78" s="119">
        <f t="shared" si="61"/>
        <v>108987.84</v>
      </c>
      <c r="M78" s="119">
        <f t="shared" si="62"/>
        <v>3328</v>
      </c>
      <c r="N78" s="19"/>
      <c r="O78" s="19" t="s">
        <v>145</v>
      </c>
      <c r="P78" s="140"/>
      <c r="Q78" s="186"/>
      <c r="R78" s="186"/>
      <c r="S78" s="186"/>
      <c r="T78" s="186"/>
      <c r="U78" s="186"/>
      <c r="V78" s="186"/>
      <c r="W78" s="178">
        <f>J78</f>
        <v>1047.96</v>
      </c>
      <c r="X78" s="178">
        <f>H78*$M$1</f>
        <v>1047.96</v>
      </c>
      <c r="Y78" s="256"/>
      <c r="Z78" s="256"/>
      <c r="AA78" s="256"/>
    </row>
    <row r="79" spans="1:27" s="118" customFormat="1" ht="13.5" customHeight="1" x14ac:dyDescent="0.25">
      <c r="A79" s="254"/>
      <c r="B79" s="119">
        <v>0</v>
      </c>
      <c r="C79" s="119">
        <v>0</v>
      </c>
      <c r="D79" s="120">
        <f>'Data Ocupacion'!X41</f>
        <v>0</v>
      </c>
      <c r="E79" s="120">
        <f>'Data Ocupacion'!Y41</f>
        <v>0</v>
      </c>
      <c r="F79" s="119" t="s">
        <v>122</v>
      </c>
      <c r="G79" s="119">
        <f t="shared" si="63"/>
        <v>0</v>
      </c>
      <c r="H79" s="119">
        <f t="shared" si="64"/>
        <v>0</v>
      </c>
      <c r="I79" s="119">
        <f t="shared" si="60"/>
        <v>0</v>
      </c>
      <c r="J79" s="119">
        <f>G79*K$1</f>
        <v>0</v>
      </c>
      <c r="K79" s="147">
        <f>I79*K$1</f>
        <v>0</v>
      </c>
      <c r="L79" s="119">
        <f t="shared" si="61"/>
        <v>0</v>
      </c>
      <c r="M79" s="119">
        <f t="shared" si="62"/>
        <v>0</v>
      </c>
      <c r="N79" s="19"/>
      <c r="O79" s="19"/>
      <c r="P79" s="140"/>
      <c r="Q79" s="186"/>
      <c r="R79" s="186"/>
      <c r="S79" s="186"/>
      <c r="T79" s="186"/>
      <c r="U79" s="186"/>
      <c r="V79" s="186"/>
      <c r="W79" s="178">
        <f>J79</f>
        <v>0</v>
      </c>
      <c r="X79" s="178">
        <f>H79*$K$1</f>
        <v>0</v>
      </c>
      <c r="Y79" s="256"/>
      <c r="Z79" s="256"/>
      <c r="AA79" s="256"/>
    </row>
    <row r="80" spans="1:27" s="118" customFormat="1" ht="15" customHeight="1" thickBot="1" x14ac:dyDescent="0.3">
      <c r="A80" s="254"/>
      <c r="B80" s="119">
        <v>1</v>
      </c>
      <c r="C80" s="119">
        <v>0</v>
      </c>
      <c r="D80" s="120">
        <f>'Data Ocupacion'!X42</f>
        <v>1</v>
      </c>
      <c r="E80" s="120">
        <f>'Data Ocupacion'!Y42</f>
        <v>0</v>
      </c>
      <c r="F80" s="119" t="s">
        <v>35</v>
      </c>
      <c r="G80" s="119">
        <f t="shared" si="63"/>
        <v>1</v>
      </c>
      <c r="H80" s="119">
        <f t="shared" si="64"/>
        <v>1</v>
      </c>
      <c r="I80" s="119">
        <f t="shared" si="60"/>
        <v>1</v>
      </c>
      <c r="J80" s="119">
        <f>G80*K$1</f>
        <v>25.4</v>
      </c>
      <c r="K80" s="147">
        <f>I80*K$1</f>
        <v>25.4</v>
      </c>
      <c r="L80" s="119">
        <f t="shared" si="61"/>
        <v>2641.6</v>
      </c>
      <c r="M80" s="119">
        <f t="shared" si="62"/>
        <v>104</v>
      </c>
      <c r="N80" s="19"/>
      <c r="O80" s="19"/>
      <c r="P80" s="140"/>
      <c r="Q80" s="186"/>
      <c r="R80" s="186"/>
      <c r="S80" s="186"/>
      <c r="T80" s="186"/>
      <c r="U80" s="186"/>
      <c r="V80" s="186"/>
      <c r="W80" s="178">
        <f>J80</f>
        <v>25.4</v>
      </c>
      <c r="X80" s="178">
        <f>H80*$K$1</f>
        <v>25.4</v>
      </c>
      <c r="Y80" s="256"/>
      <c r="Z80" s="256"/>
      <c r="AA80" s="256"/>
    </row>
    <row r="81" spans="1:27" ht="15" customHeight="1" thickBot="1" x14ac:dyDescent="0.3">
      <c r="A81" s="20"/>
      <c r="B81" s="216">
        <f>SUM(B75:B80)</f>
        <v>150</v>
      </c>
      <c r="C81" s="216">
        <f>SUM(C75:C80)</f>
        <v>73</v>
      </c>
      <c r="D81" s="142">
        <f>SUM(D75:D80)</f>
        <v>148</v>
      </c>
      <c r="E81" s="142">
        <f>SUM(E75:E80)</f>
        <v>75</v>
      </c>
      <c r="F81" s="113"/>
      <c r="G81" s="113">
        <f t="shared" ref="G81:M81" si="65">SUM(G75:G80)</f>
        <v>298</v>
      </c>
      <c r="H81" s="113">
        <f t="shared" si="65"/>
        <v>296</v>
      </c>
      <c r="I81" s="113">
        <f t="shared" si="65"/>
        <v>223</v>
      </c>
      <c r="J81" s="113">
        <f t="shared" si="65"/>
        <v>11811.550000000001</v>
      </c>
      <c r="K81" s="113">
        <f t="shared" si="65"/>
        <v>8688.9599999999991</v>
      </c>
      <c r="L81" s="113">
        <f t="shared" si="65"/>
        <v>1228401.2000000002</v>
      </c>
      <c r="M81" s="113">
        <f t="shared" si="65"/>
        <v>23192</v>
      </c>
      <c r="N81" s="117">
        <f>'Odometro-Kilometraje'!L81</f>
        <v>11996</v>
      </c>
      <c r="O81" s="21">
        <f>(W81/N81)*100</f>
        <v>97.280010003334453</v>
      </c>
      <c r="P81" s="189"/>
      <c r="Q81" s="177"/>
      <c r="R81" s="177"/>
      <c r="S81" s="177"/>
      <c r="T81" s="177"/>
      <c r="U81" s="177"/>
      <c r="V81" s="177"/>
      <c r="W81" s="190">
        <f>SUM(W75:W80)</f>
        <v>11669.710000000001</v>
      </c>
      <c r="X81" s="190">
        <f>SUM(X75:X80)</f>
        <v>11725.289999999999</v>
      </c>
      <c r="Y81" s="256"/>
      <c r="Z81" s="256"/>
      <c r="AA81" s="256"/>
    </row>
    <row r="82" spans="1:27" ht="15.95" customHeight="1" x14ac:dyDescent="0.25">
      <c r="A82" s="61">
        <f>A75+1</f>
        <v>45820</v>
      </c>
      <c r="B82" s="119">
        <v>47</v>
      </c>
      <c r="C82" s="119">
        <v>32</v>
      </c>
      <c r="D82" s="120">
        <f>'Data Ocupacion'!Z37</f>
        <v>48</v>
      </c>
      <c r="E82" s="120">
        <f>'Data Ocupacion'!AA37</f>
        <v>31</v>
      </c>
      <c r="F82" s="119" t="s">
        <v>38</v>
      </c>
      <c r="G82" s="119">
        <f t="shared" ref="G82:G87" si="66">D82+E82*2</f>
        <v>110</v>
      </c>
      <c r="H82" s="119">
        <f>B82+C82*2</f>
        <v>111</v>
      </c>
      <c r="I82" s="119">
        <f t="shared" ref="I82:I87" si="67">D82+E82</f>
        <v>79</v>
      </c>
      <c r="J82" s="119">
        <f>G82*M$2</f>
        <v>4744.3</v>
      </c>
      <c r="K82" s="147">
        <f>I82*M$2</f>
        <v>3407.27</v>
      </c>
      <c r="L82" s="119">
        <f t="shared" ref="L82:L87" si="68">J82*104</f>
        <v>493407.2</v>
      </c>
      <c r="M82" s="119">
        <f t="shared" ref="M82:M87" si="69">I82*104</f>
        <v>8216</v>
      </c>
      <c r="N82" s="19"/>
      <c r="O82" s="19"/>
      <c r="P82" s="140"/>
      <c r="Q82" s="243"/>
      <c r="R82" s="179"/>
      <c r="S82" s="203"/>
      <c r="T82" s="243"/>
      <c r="U82" s="188"/>
      <c r="V82" s="227"/>
      <c r="W82" s="178">
        <f>J82-(Q82*($M$2-$K$1))-(R82*($M$2-$M$1))- (S82*($M$2-$I$2))+ (T82*($G$2))</f>
        <v>4744.3</v>
      </c>
      <c r="X82" s="178">
        <f>H82*$M$2</f>
        <v>4787.43</v>
      </c>
      <c r="Y82" s="256"/>
      <c r="Z82" s="256"/>
      <c r="AA82" s="256"/>
    </row>
    <row r="83" spans="1:27" ht="15" customHeight="1" x14ac:dyDescent="0.25">
      <c r="A83" s="282"/>
      <c r="B83" s="119">
        <v>45</v>
      </c>
      <c r="C83" s="119">
        <v>33</v>
      </c>
      <c r="D83" s="120">
        <f>'Data Ocupacion'!Z38</f>
        <v>46</v>
      </c>
      <c r="E83" s="120">
        <f>'Data Ocupacion'!AA38</f>
        <v>32</v>
      </c>
      <c r="F83" s="119" t="s">
        <v>52</v>
      </c>
      <c r="G83" s="119">
        <f t="shared" si="66"/>
        <v>110</v>
      </c>
      <c r="H83" s="119">
        <f t="shared" ref="H83:H87" si="70">B83+C83*2</f>
        <v>111</v>
      </c>
      <c r="I83" s="119">
        <f t="shared" si="67"/>
        <v>78</v>
      </c>
      <c r="J83" s="119">
        <f>G83*M$2</f>
        <v>4744.3</v>
      </c>
      <c r="K83" s="147">
        <f>I83*M$2</f>
        <v>3364.1400000000003</v>
      </c>
      <c r="L83" s="119">
        <f t="shared" si="68"/>
        <v>493407.2</v>
      </c>
      <c r="M83" s="119">
        <f t="shared" si="69"/>
        <v>8112</v>
      </c>
      <c r="N83" s="19"/>
      <c r="O83" s="19"/>
      <c r="P83" s="140"/>
      <c r="Q83" s="183"/>
      <c r="R83" s="183"/>
      <c r="S83" s="183"/>
      <c r="T83" s="243">
        <v>2</v>
      </c>
      <c r="U83" s="179"/>
      <c r="V83" s="203"/>
      <c r="W83" s="181">
        <f>J83-(T83*($M$2-$K$1)+(U83*($M$2-$M$1)))</f>
        <v>4708.84</v>
      </c>
      <c r="X83" s="178">
        <f>H83*$M$2</f>
        <v>4787.43</v>
      </c>
      <c r="Y83" s="256"/>
      <c r="Z83" s="256"/>
      <c r="AA83" s="256"/>
    </row>
    <row r="84" spans="1:27" ht="15" customHeight="1" x14ac:dyDescent="0.25">
      <c r="A84" s="254"/>
      <c r="B84" s="119">
        <v>29</v>
      </c>
      <c r="C84" s="119">
        <v>4</v>
      </c>
      <c r="D84" s="120">
        <f>'Data Ocupacion'!Z39</f>
        <v>31</v>
      </c>
      <c r="E84" s="120">
        <f>'Data Ocupacion'!AA39</f>
        <v>2</v>
      </c>
      <c r="F84" s="119" t="s">
        <v>36</v>
      </c>
      <c r="G84" s="119">
        <f t="shared" si="66"/>
        <v>35</v>
      </c>
      <c r="H84" s="119">
        <f t="shared" si="70"/>
        <v>37</v>
      </c>
      <c r="I84" s="119">
        <f t="shared" si="67"/>
        <v>33</v>
      </c>
      <c r="J84" s="119">
        <f>G84*M$1</f>
        <v>1018.85</v>
      </c>
      <c r="K84" s="147">
        <f>I84*M$1</f>
        <v>960.63</v>
      </c>
      <c r="L84" s="119">
        <f t="shared" si="68"/>
        <v>105960.40000000001</v>
      </c>
      <c r="M84" s="119">
        <f t="shared" si="69"/>
        <v>3432</v>
      </c>
      <c r="N84" s="19"/>
      <c r="O84" s="19"/>
      <c r="P84" s="140"/>
      <c r="Q84" s="182"/>
      <c r="R84" s="184"/>
      <c r="S84" s="204"/>
      <c r="T84" s="185"/>
      <c r="U84" s="186"/>
      <c r="V84" s="186"/>
      <c r="W84" s="178">
        <f>J84-(Q84*($M$1-$K$1))</f>
        <v>1018.85</v>
      </c>
      <c r="X84" s="178">
        <f>H84*$M$1</f>
        <v>1077.07</v>
      </c>
      <c r="Y84" s="256"/>
      <c r="Z84" s="256"/>
      <c r="AA84" s="256"/>
    </row>
    <row r="85" spans="1:27" ht="15" customHeight="1" x14ac:dyDescent="0.25">
      <c r="A85" s="254"/>
      <c r="B85" s="119">
        <v>28</v>
      </c>
      <c r="C85" s="119">
        <v>4</v>
      </c>
      <c r="D85" s="120">
        <f>'Data Ocupacion'!Z40</f>
        <v>30</v>
      </c>
      <c r="E85" s="120">
        <f>'Data Ocupacion'!AA40</f>
        <v>2</v>
      </c>
      <c r="F85" s="119" t="s">
        <v>53</v>
      </c>
      <c r="G85" s="119">
        <f t="shared" si="66"/>
        <v>34</v>
      </c>
      <c r="H85" s="119">
        <f t="shared" si="70"/>
        <v>36</v>
      </c>
      <c r="I85" s="119">
        <f t="shared" si="67"/>
        <v>32</v>
      </c>
      <c r="J85" s="119">
        <f>G85*M$1</f>
        <v>989.74</v>
      </c>
      <c r="K85" s="147">
        <f>I85*M$1</f>
        <v>931.52</v>
      </c>
      <c r="L85" s="119">
        <f t="shared" si="68"/>
        <v>102932.96</v>
      </c>
      <c r="M85" s="119">
        <f t="shared" si="69"/>
        <v>3328</v>
      </c>
      <c r="N85" s="19"/>
      <c r="O85" s="19"/>
      <c r="P85" s="140"/>
      <c r="Q85" s="186"/>
      <c r="R85" s="186"/>
      <c r="S85" s="186"/>
      <c r="T85" s="186"/>
      <c r="U85" s="186"/>
      <c r="V85" s="186"/>
      <c r="W85" s="178">
        <f>J85</f>
        <v>989.74</v>
      </c>
      <c r="X85" s="178">
        <f>H85*$M$1</f>
        <v>1047.96</v>
      </c>
      <c r="Y85" s="256"/>
      <c r="Z85" s="256"/>
      <c r="AA85" s="256"/>
    </row>
    <row r="86" spans="1:27" ht="15" customHeight="1" x14ac:dyDescent="0.25">
      <c r="A86" s="254"/>
      <c r="B86" s="119">
        <v>0</v>
      </c>
      <c r="C86" s="119">
        <v>0</v>
      </c>
      <c r="D86" s="120">
        <f>'Data Ocupacion'!Z41</f>
        <v>0</v>
      </c>
      <c r="E86" s="120">
        <f>'Data Ocupacion'!AA41</f>
        <v>0</v>
      </c>
      <c r="F86" s="119" t="s">
        <v>122</v>
      </c>
      <c r="G86" s="119">
        <f t="shared" si="66"/>
        <v>0</v>
      </c>
      <c r="H86" s="119">
        <f t="shared" si="70"/>
        <v>0</v>
      </c>
      <c r="I86" s="119">
        <f t="shared" si="67"/>
        <v>0</v>
      </c>
      <c r="J86" s="119">
        <f>G86*K$1</f>
        <v>0</v>
      </c>
      <c r="K86" s="147">
        <f>I86*K$1</f>
        <v>0</v>
      </c>
      <c r="L86" s="119">
        <f t="shared" si="68"/>
        <v>0</v>
      </c>
      <c r="M86" s="119">
        <f t="shared" si="69"/>
        <v>0</v>
      </c>
      <c r="N86" s="19"/>
      <c r="O86" s="19"/>
      <c r="P86" s="140"/>
      <c r="Q86" s="186"/>
      <c r="R86" s="186"/>
      <c r="S86" s="186"/>
      <c r="T86" s="186"/>
      <c r="U86" s="186"/>
      <c r="V86" s="186"/>
      <c r="W86" s="178">
        <f>J86</f>
        <v>0</v>
      </c>
      <c r="X86" s="178">
        <f>H86*$K$1</f>
        <v>0</v>
      </c>
      <c r="Y86" s="256"/>
      <c r="Z86" s="256"/>
      <c r="AA86" s="256"/>
    </row>
    <row r="87" spans="1:27" ht="15.75" thickBot="1" x14ac:dyDescent="0.3">
      <c r="A87" s="254"/>
      <c r="B87" s="119">
        <v>1</v>
      </c>
      <c r="C87" s="119">
        <v>0</v>
      </c>
      <c r="D87" s="120">
        <f>'Data Ocupacion'!Z42</f>
        <v>1</v>
      </c>
      <c r="E87" s="120">
        <f>'Data Ocupacion'!AA42</f>
        <v>0</v>
      </c>
      <c r="F87" s="119" t="s">
        <v>35</v>
      </c>
      <c r="G87" s="119">
        <f t="shared" si="66"/>
        <v>1</v>
      </c>
      <c r="H87" s="119">
        <f t="shared" si="70"/>
        <v>1</v>
      </c>
      <c r="I87" s="119">
        <f t="shared" si="67"/>
        <v>1</v>
      </c>
      <c r="J87" s="119">
        <f>G87*K$1</f>
        <v>25.4</v>
      </c>
      <c r="K87" s="147">
        <f>I87*K$1</f>
        <v>25.4</v>
      </c>
      <c r="L87" s="119">
        <f t="shared" si="68"/>
        <v>2641.6</v>
      </c>
      <c r="M87" s="119">
        <f t="shared" si="69"/>
        <v>104</v>
      </c>
      <c r="N87" s="19"/>
      <c r="O87" s="19"/>
      <c r="P87" s="140"/>
      <c r="Q87" s="186"/>
      <c r="R87" s="186"/>
      <c r="S87" s="186"/>
      <c r="T87" s="186"/>
      <c r="U87" s="186"/>
      <c r="V87" s="186"/>
      <c r="W87" s="178">
        <f>J87</f>
        <v>25.4</v>
      </c>
      <c r="X87" s="178">
        <f>H87*$K$1</f>
        <v>25.4</v>
      </c>
    </row>
    <row r="88" spans="1:27" s="118" customFormat="1" ht="15.75" thickBot="1" x14ac:dyDescent="0.3">
      <c r="A88" s="116"/>
      <c r="B88" s="216">
        <f>SUM(B82:B87)</f>
        <v>150</v>
      </c>
      <c r="C88" s="216">
        <f>SUM(C82:C87)</f>
        <v>73</v>
      </c>
      <c r="D88" s="146">
        <f>SUM(D82:D87)</f>
        <v>156</v>
      </c>
      <c r="E88" s="146">
        <f>SUM(E82:E87)</f>
        <v>67</v>
      </c>
      <c r="F88" s="113"/>
      <c r="G88" s="113">
        <f t="shared" ref="G88:M88" si="71">SUM(G82:G87)</f>
        <v>290</v>
      </c>
      <c r="H88" s="113">
        <f t="shared" si="71"/>
        <v>296</v>
      </c>
      <c r="I88" s="113">
        <f t="shared" si="71"/>
        <v>223</v>
      </c>
      <c r="J88" s="114">
        <f t="shared" si="71"/>
        <v>11522.59</v>
      </c>
      <c r="K88" s="113">
        <f t="shared" si="71"/>
        <v>8688.9599999999991</v>
      </c>
      <c r="L88" s="112">
        <f t="shared" si="71"/>
        <v>1198349.3600000001</v>
      </c>
      <c r="M88" s="145">
        <f t="shared" si="71"/>
        <v>23192</v>
      </c>
      <c r="N88" s="117">
        <f>'Odometro-Kilometraje'!M81</f>
        <v>11984</v>
      </c>
      <c r="O88" s="21">
        <f>(W88/N88)*100</f>
        <v>95.853888518024021</v>
      </c>
      <c r="P88" s="189"/>
      <c r="Q88" s="177"/>
      <c r="R88" s="177"/>
      <c r="S88" s="177"/>
      <c r="T88" s="177"/>
      <c r="U88" s="177"/>
      <c r="V88" s="177"/>
      <c r="W88" s="190">
        <f>SUM(W82:W87)</f>
        <v>11487.13</v>
      </c>
      <c r="X88" s="190">
        <f>SUM(X82:X87)</f>
        <v>11725.289999999999</v>
      </c>
    </row>
    <row r="89" spans="1:27" x14ac:dyDescent="0.25">
      <c r="A89" s="115">
        <f>A82+1</f>
        <v>45821</v>
      </c>
      <c r="B89" s="119">
        <v>47</v>
      </c>
      <c r="C89" s="119">
        <v>32</v>
      </c>
      <c r="D89" s="120">
        <f>'Data Ocupacion'!AB37</f>
        <v>47</v>
      </c>
      <c r="E89" s="120">
        <f>'Data Ocupacion'!AC37</f>
        <v>32</v>
      </c>
      <c r="F89" s="119" t="s">
        <v>38</v>
      </c>
      <c r="G89" s="119">
        <f t="shared" ref="G89:G94" si="72">D89+E89*2</f>
        <v>111</v>
      </c>
      <c r="H89" s="119">
        <f>B89+C89*2</f>
        <v>111</v>
      </c>
      <c r="I89" s="119">
        <f t="shared" ref="I89:I94" si="73">D89+E89</f>
        <v>79</v>
      </c>
      <c r="J89" s="119">
        <f>G89*M$2</f>
        <v>4787.43</v>
      </c>
      <c r="K89" s="147">
        <f>I89*M$2</f>
        <v>3407.27</v>
      </c>
      <c r="L89" s="119">
        <f t="shared" ref="L89:L94" si="74">J89*104</f>
        <v>497892.72000000003</v>
      </c>
      <c r="M89" s="119">
        <f t="shared" ref="M89:M94" si="75">I89*104</f>
        <v>8216</v>
      </c>
      <c r="N89" s="19"/>
      <c r="O89" s="19"/>
      <c r="P89" s="140"/>
      <c r="Q89" s="243">
        <v>1</v>
      </c>
      <c r="R89" s="179"/>
      <c r="S89" s="203"/>
      <c r="T89" s="243"/>
      <c r="U89" s="188"/>
      <c r="V89" s="227"/>
      <c r="W89" s="178">
        <f>J89-(Q89*($M$2-$K$1))-(R89*($M$2-$M$1))- (S89*($M$2-$I$2))+ (T89*($G$2))</f>
        <v>4769.7000000000007</v>
      </c>
      <c r="X89" s="178">
        <f>H89*$M$2</f>
        <v>4787.43</v>
      </c>
    </row>
    <row r="90" spans="1:27" ht="17.25" customHeight="1" x14ac:dyDescent="0.25">
      <c r="A90" s="282"/>
      <c r="B90" s="119">
        <v>45</v>
      </c>
      <c r="C90" s="119">
        <v>33</v>
      </c>
      <c r="D90" s="120">
        <f>'Data Ocupacion'!AB38</f>
        <v>45</v>
      </c>
      <c r="E90" s="120">
        <f>'Data Ocupacion'!AC38</f>
        <v>33</v>
      </c>
      <c r="F90" s="119" t="s">
        <v>52</v>
      </c>
      <c r="G90" s="119">
        <f t="shared" si="72"/>
        <v>111</v>
      </c>
      <c r="H90" s="119">
        <f t="shared" ref="H90:H94" si="76">B90+C90*2</f>
        <v>111</v>
      </c>
      <c r="I90" s="119">
        <f t="shared" si="73"/>
        <v>78</v>
      </c>
      <c r="J90" s="119">
        <f>G90*M$2</f>
        <v>4787.43</v>
      </c>
      <c r="K90" s="147">
        <f>I90*M$2</f>
        <v>3364.1400000000003</v>
      </c>
      <c r="L90" s="119">
        <f t="shared" si="74"/>
        <v>497892.72000000003</v>
      </c>
      <c r="M90" s="119">
        <f t="shared" si="75"/>
        <v>8112</v>
      </c>
      <c r="N90" s="19"/>
      <c r="O90" s="19"/>
      <c r="P90" s="140"/>
      <c r="Q90" s="183"/>
      <c r="R90" s="183"/>
      <c r="S90" s="183"/>
      <c r="T90" s="243">
        <v>3</v>
      </c>
      <c r="U90" s="180"/>
      <c r="V90" s="228"/>
      <c r="W90" s="181">
        <f>J90-(T90*($M$2-$K$1)+(U90*($M$2-$M$1)))</f>
        <v>4734.2400000000007</v>
      </c>
      <c r="X90" s="178">
        <f>H90*$M$2</f>
        <v>4787.43</v>
      </c>
    </row>
    <row r="91" spans="1:27" x14ac:dyDescent="0.25">
      <c r="A91" s="254"/>
      <c r="B91" s="119">
        <v>29</v>
      </c>
      <c r="C91" s="119">
        <v>4</v>
      </c>
      <c r="D91" s="120">
        <f>'Data Ocupacion'!AB39</f>
        <v>29</v>
      </c>
      <c r="E91" s="120">
        <f>'Data Ocupacion'!AC39</f>
        <v>4</v>
      </c>
      <c r="F91" s="119" t="s">
        <v>36</v>
      </c>
      <c r="G91" s="119">
        <f t="shared" si="72"/>
        <v>37</v>
      </c>
      <c r="H91" s="119">
        <f t="shared" si="76"/>
        <v>37</v>
      </c>
      <c r="I91" s="119">
        <f t="shared" si="73"/>
        <v>33</v>
      </c>
      <c r="J91" s="119">
        <f>G91*M$1</f>
        <v>1077.07</v>
      </c>
      <c r="K91" s="147">
        <f>I91*M$1</f>
        <v>960.63</v>
      </c>
      <c r="L91" s="119">
        <f t="shared" si="74"/>
        <v>112015.28</v>
      </c>
      <c r="M91" s="119">
        <f t="shared" si="75"/>
        <v>3432</v>
      </c>
      <c r="N91" s="19"/>
      <c r="O91" s="19"/>
      <c r="P91" s="140"/>
      <c r="Q91" s="243"/>
      <c r="R91" s="187"/>
      <c r="S91" s="227"/>
      <c r="T91" s="183"/>
      <c r="U91" s="186"/>
      <c r="V91" s="186"/>
      <c r="W91" s="178">
        <f>J91-(Q91*($M$1-$K$1))</f>
        <v>1077.07</v>
      </c>
      <c r="X91" s="178">
        <f>H91*$M$1</f>
        <v>1077.07</v>
      </c>
    </row>
    <row r="92" spans="1:27" ht="15" customHeight="1" x14ac:dyDescent="0.25">
      <c r="A92" s="254"/>
      <c r="B92" s="119">
        <v>28</v>
      </c>
      <c r="C92" s="119">
        <v>4</v>
      </c>
      <c r="D92" s="120">
        <f>'Data Ocupacion'!AB40</f>
        <v>28</v>
      </c>
      <c r="E92" s="120">
        <f>'Data Ocupacion'!AC40</f>
        <v>4</v>
      </c>
      <c r="F92" s="119" t="s">
        <v>53</v>
      </c>
      <c r="G92" s="119">
        <f t="shared" si="72"/>
        <v>36</v>
      </c>
      <c r="H92" s="119">
        <f t="shared" si="76"/>
        <v>36</v>
      </c>
      <c r="I92" s="119">
        <f t="shared" si="73"/>
        <v>32</v>
      </c>
      <c r="J92" s="119">
        <f>G92*M$1</f>
        <v>1047.96</v>
      </c>
      <c r="K92" s="147">
        <f>I92*M$1</f>
        <v>931.52</v>
      </c>
      <c r="L92" s="119">
        <f t="shared" si="74"/>
        <v>108987.84</v>
      </c>
      <c r="M92" s="119">
        <f t="shared" si="75"/>
        <v>3328</v>
      </c>
      <c r="N92" s="19"/>
      <c r="O92" s="19"/>
      <c r="P92" s="140"/>
      <c r="Q92" s="249"/>
      <c r="R92" s="249"/>
      <c r="S92" s="249"/>
      <c r="T92" s="249"/>
      <c r="U92" s="186"/>
      <c r="V92" s="186"/>
      <c r="W92" s="178">
        <f>J92</f>
        <v>1047.96</v>
      </c>
      <c r="X92" s="178">
        <f>H92*$M$1</f>
        <v>1047.96</v>
      </c>
    </row>
    <row r="93" spans="1:27" ht="15" customHeight="1" x14ac:dyDescent="0.25">
      <c r="A93" s="254"/>
      <c r="B93" s="119">
        <v>0</v>
      </c>
      <c r="C93" s="119">
        <v>0</v>
      </c>
      <c r="D93" s="120">
        <f>'Data Ocupacion'!AB41</f>
        <v>0</v>
      </c>
      <c r="E93" s="120">
        <f>'Data Ocupacion'!AC41</f>
        <v>0</v>
      </c>
      <c r="F93" s="119" t="s">
        <v>122</v>
      </c>
      <c r="G93" s="119">
        <f t="shared" si="72"/>
        <v>0</v>
      </c>
      <c r="H93" s="119">
        <f t="shared" si="76"/>
        <v>0</v>
      </c>
      <c r="I93" s="119">
        <f t="shared" si="73"/>
        <v>0</v>
      </c>
      <c r="J93" s="119">
        <f>G93*K$1</f>
        <v>0</v>
      </c>
      <c r="K93" s="147">
        <f>I93*K$1</f>
        <v>0</v>
      </c>
      <c r="L93" s="119">
        <f t="shared" si="74"/>
        <v>0</v>
      </c>
      <c r="M93" s="119">
        <f t="shared" si="75"/>
        <v>0</v>
      </c>
      <c r="N93" s="19"/>
      <c r="O93" s="19"/>
      <c r="P93" s="140"/>
      <c r="Q93" s="249"/>
      <c r="R93" s="249"/>
      <c r="S93" s="249"/>
      <c r="T93" s="249"/>
      <c r="U93" s="186"/>
      <c r="V93" s="186"/>
      <c r="W93" s="178">
        <f>J93</f>
        <v>0</v>
      </c>
      <c r="X93" s="178">
        <f>H93*$K$1</f>
        <v>0</v>
      </c>
    </row>
    <row r="94" spans="1:27" ht="15.75" thickBot="1" x14ac:dyDescent="0.3">
      <c r="A94" s="254"/>
      <c r="B94" s="119">
        <v>1</v>
      </c>
      <c r="C94" s="119">
        <v>0</v>
      </c>
      <c r="D94" s="120">
        <f>'Data Ocupacion'!AB42</f>
        <v>1</v>
      </c>
      <c r="E94" s="120">
        <f>'Data Ocupacion'!AC42</f>
        <v>0</v>
      </c>
      <c r="F94" s="119" t="s">
        <v>35</v>
      </c>
      <c r="G94" s="119">
        <f t="shared" si="72"/>
        <v>1</v>
      </c>
      <c r="H94" s="119">
        <f t="shared" si="76"/>
        <v>1</v>
      </c>
      <c r="I94" s="119">
        <f t="shared" si="73"/>
        <v>1</v>
      </c>
      <c r="J94" s="119">
        <f>G94*K$1</f>
        <v>25.4</v>
      </c>
      <c r="K94" s="147">
        <f>I94*K$1</f>
        <v>25.4</v>
      </c>
      <c r="L94" s="119">
        <f t="shared" si="74"/>
        <v>2641.6</v>
      </c>
      <c r="M94" s="119">
        <f t="shared" si="75"/>
        <v>104</v>
      </c>
      <c r="N94" s="19"/>
      <c r="O94" s="19"/>
      <c r="P94" s="140"/>
      <c r="Q94" s="249"/>
      <c r="R94" s="249"/>
      <c r="S94" s="249"/>
      <c r="T94" s="249"/>
      <c r="U94" s="186"/>
      <c r="V94" s="186"/>
      <c r="W94" s="178">
        <f>J94</f>
        <v>25.4</v>
      </c>
      <c r="X94" s="178">
        <f>H94*$K$1</f>
        <v>25.4</v>
      </c>
    </row>
    <row r="95" spans="1:27" s="118" customFormat="1" ht="15.75" thickBot="1" x14ac:dyDescent="0.3">
      <c r="A95" s="20"/>
      <c r="B95" s="216">
        <f>SUM(B89:B94)</f>
        <v>150</v>
      </c>
      <c r="C95" s="216">
        <f>SUM(C89:C94)</f>
        <v>73</v>
      </c>
      <c r="D95" s="146">
        <f>SUM(D89:D94)</f>
        <v>150</v>
      </c>
      <c r="E95" s="146">
        <f>SUM(E89:E94)</f>
        <v>73</v>
      </c>
      <c r="F95" s="113"/>
      <c r="G95" s="113">
        <f t="shared" ref="G95:M95" si="77">SUM(G89:G94)</f>
        <v>296</v>
      </c>
      <c r="H95" s="113">
        <f t="shared" si="77"/>
        <v>296</v>
      </c>
      <c r="I95" s="113">
        <f t="shared" si="77"/>
        <v>223</v>
      </c>
      <c r="J95" s="114">
        <f t="shared" si="77"/>
        <v>11725.289999999999</v>
      </c>
      <c r="K95" s="113">
        <f t="shared" si="77"/>
        <v>8688.9599999999991</v>
      </c>
      <c r="L95" s="112">
        <f t="shared" si="77"/>
        <v>1219430.1600000001</v>
      </c>
      <c r="M95" s="145">
        <f t="shared" si="77"/>
        <v>23192</v>
      </c>
      <c r="N95" s="117">
        <f>'Odometro-Kilometraje'!N81</f>
        <v>12098</v>
      </c>
      <c r="O95" s="21">
        <f>(W95/N95)*100</f>
        <v>96.333030252934364</v>
      </c>
      <c r="P95" s="189"/>
      <c r="Q95" s="250"/>
      <c r="R95" s="250"/>
      <c r="S95" s="250"/>
      <c r="T95" s="250"/>
      <c r="U95" s="177"/>
      <c r="V95" s="177"/>
      <c r="W95" s="190">
        <f>SUM(W89:W94)</f>
        <v>11654.37</v>
      </c>
      <c r="X95" s="190">
        <f>SUM(X89:X94)</f>
        <v>11725.289999999999</v>
      </c>
    </row>
    <row r="96" spans="1:27" ht="17.25" customHeight="1" x14ac:dyDescent="0.25">
      <c r="A96" s="61">
        <f>A89+1</f>
        <v>45822</v>
      </c>
      <c r="B96" s="110">
        <v>69</v>
      </c>
      <c r="C96" s="110">
        <v>3</v>
      </c>
      <c r="D96" s="141">
        <f>'Data Ocupacion'!AD37</f>
        <v>69</v>
      </c>
      <c r="E96" s="141">
        <f>'Data Ocupacion'!AE37</f>
        <v>3</v>
      </c>
      <c r="F96" s="110" t="s">
        <v>38</v>
      </c>
      <c r="G96" s="309">
        <f t="shared" ref="G96:G101" si="78">D96+E96*2</f>
        <v>75</v>
      </c>
      <c r="H96" s="110">
        <f>B96+C96*2</f>
        <v>75</v>
      </c>
      <c r="I96" s="110">
        <f t="shared" ref="I96:I101" si="79">D96+E96</f>
        <v>72</v>
      </c>
      <c r="J96" s="110">
        <f>G96*M$2</f>
        <v>3234.75</v>
      </c>
      <c r="K96" s="147">
        <f>I96*M$2</f>
        <v>3105.36</v>
      </c>
      <c r="L96" s="110">
        <f t="shared" ref="L96:L101" si="80">J96*104</f>
        <v>336414</v>
      </c>
      <c r="M96" s="110">
        <f t="shared" ref="M96:M101" si="81">I96*104</f>
        <v>7488</v>
      </c>
      <c r="N96" s="19"/>
      <c r="O96" s="19"/>
      <c r="P96" s="140"/>
      <c r="Q96" s="243"/>
      <c r="R96" s="179"/>
      <c r="S96" s="203"/>
      <c r="T96" s="243"/>
      <c r="U96" s="188"/>
      <c r="V96" s="227"/>
      <c r="W96" s="178">
        <f>J96-(Q96*($M$2-$K$1))-(R96*($M$2-$M$1))- (S96*($M$2-$I$2))+ (T96*($G$2))</f>
        <v>3234.75</v>
      </c>
      <c r="X96" s="178">
        <f>H96*$M$2</f>
        <v>3234.75</v>
      </c>
    </row>
    <row r="97" spans="1:25" ht="15" customHeight="1" x14ac:dyDescent="0.25">
      <c r="A97" s="282"/>
      <c r="B97" s="110">
        <v>75</v>
      </c>
      <c r="C97" s="110">
        <v>0</v>
      </c>
      <c r="D97" s="141">
        <f>'Data Ocupacion'!AD38</f>
        <v>75</v>
      </c>
      <c r="E97" s="141">
        <f>'Data Ocupacion'!AE38</f>
        <v>0</v>
      </c>
      <c r="F97" s="110" t="s">
        <v>52</v>
      </c>
      <c r="G97" s="110">
        <f t="shared" si="78"/>
        <v>75</v>
      </c>
      <c r="H97" s="110">
        <f t="shared" ref="H97:H101" si="82">B97+C97*2</f>
        <v>75</v>
      </c>
      <c r="I97" s="110">
        <f t="shared" si="79"/>
        <v>75</v>
      </c>
      <c r="J97" s="110">
        <f>G97*M$2</f>
        <v>3234.75</v>
      </c>
      <c r="K97" s="147">
        <f>I97*M$2</f>
        <v>3234.75</v>
      </c>
      <c r="L97" s="110">
        <f t="shared" si="80"/>
        <v>336414</v>
      </c>
      <c r="M97" s="110">
        <f t="shared" si="81"/>
        <v>7800</v>
      </c>
      <c r="N97" s="19"/>
      <c r="O97" s="19"/>
      <c r="P97" s="140"/>
      <c r="Q97" s="183"/>
      <c r="R97" s="183"/>
      <c r="S97" s="183"/>
      <c r="T97" s="243"/>
      <c r="U97" s="201"/>
      <c r="V97" s="203"/>
      <c r="W97" s="181">
        <f>J97-(T97*($M$2-$K$1)+(U97*($M$2-$M$1)))</f>
        <v>3234.75</v>
      </c>
      <c r="X97" s="178">
        <f>H97*$M$2</f>
        <v>3234.75</v>
      </c>
    </row>
    <row r="98" spans="1:25" ht="15" customHeight="1" x14ac:dyDescent="0.25">
      <c r="A98" s="254"/>
      <c r="B98" s="110">
        <v>0</v>
      </c>
      <c r="C98" s="110">
        <v>0</v>
      </c>
      <c r="D98" s="141">
        <f>'Data Ocupacion'!AD39</f>
        <v>0</v>
      </c>
      <c r="E98" s="141">
        <f>'Data Ocupacion'!AE39</f>
        <v>0</v>
      </c>
      <c r="F98" s="110" t="s">
        <v>36</v>
      </c>
      <c r="G98" s="110">
        <f t="shared" si="78"/>
        <v>0</v>
      </c>
      <c r="H98" s="110">
        <f t="shared" si="82"/>
        <v>0</v>
      </c>
      <c r="I98" s="110">
        <f t="shared" si="79"/>
        <v>0</v>
      </c>
      <c r="J98" s="110">
        <f>G98*M$1</f>
        <v>0</v>
      </c>
      <c r="K98" s="147">
        <f>I98*M$1</f>
        <v>0</v>
      </c>
      <c r="L98" s="110">
        <f t="shared" si="80"/>
        <v>0</v>
      </c>
      <c r="M98" s="110">
        <f t="shared" si="81"/>
        <v>0</v>
      </c>
      <c r="N98" s="19"/>
      <c r="O98" s="19"/>
      <c r="P98" s="140"/>
      <c r="Q98" s="182"/>
      <c r="R98" s="184"/>
      <c r="S98" s="204"/>
      <c r="T98" s="185"/>
      <c r="U98" s="186"/>
      <c r="V98" s="186"/>
      <c r="W98" s="178">
        <f>J98-(Q98*($M$1-$K$1))</f>
        <v>0</v>
      </c>
      <c r="X98" s="178">
        <f>H98*$M$1</f>
        <v>0</v>
      </c>
    </row>
    <row r="99" spans="1:25" ht="15" customHeight="1" x14ac:dyDescent="0.25">
      <c r="A99" s="254"/>
      <c r="B99" s="110">
        <v>0</v>
      </c>
      <c r="C99" s="110">
        <v>0</v>
      </c>
      <c r="D99" s="141">
        <f>'Data Ocupacion'!AD40</f>
        <v>0</v>
      </c>
      <c r="E99" s="141">
        <f>'Data Ocupacion'!AE40</f>
        <v>0</v>
      </c>
      <c r="F99" s="110" t="s">
        <v>53</v>
      </c>
      <c r="G99" s="110">
        <f t="shared" si="78"/>
        <v>0</v>
      </c>
      <c r="H99" s="110">
        <f t="shared" si="82"/>
        <v>0</v>
      </c>
      <c r="I99" s="110">
        <f t="shared" si="79"/>
        <v>0</v>
      </c>
      <c r="J99" s="110">
        <f>G99*M$1</f>
        <v>0</v>
      </c>
      <c r="K99" s="147">
        <f>I99*M$1</f>
        <v>0</v>
      </c>
      <c r="L99" s="110">
        <f t="shared" si="80"/>
        <v>0</v>
      </c>
      <c r="M99" s="110">
        <f t="shared" si="81"/>
        <v>0</v>
      </c>
      <c r="N99" s="19"/>
      <c r="O99" s="19"/>
      <c r="P99" s="140"/>
      <c r="Q99" s="186"/>
      <c r="R99" s="186"/>
      <c r="S99" s="186"/>
      <c r="T99" s="186"/>
      <c r="U99" s="186"/>
      <c r="V99" s="186"/>
      <c r="W99" s="178">
        <f>J99</f>
        <v>0</v>
      </c>
      <c r="X99" s="178">
        <f>H99*$M$1</f>
        <v>0</v>
      </c>
    </row>
    <row r="100" spans="1:25" ht="15" customHeight="1" x14ac:dyDescent="0.25">
      <c r="A100" s="254"/>
      <c r="B100" s="110">
        <v>0</v>
      </c>
      <c r="C100" s="110">
        <v>0</v>
      </c>
      <c r="D100" s="141">
        <f>'Data Ocupacion'!AD41</f>
        <v>0</v>
      </c>
      <c r="E100" s="141">
        <f>'Data Ocupacion'!AE41</f>
        <v>0</v>
      </c>
      <c r="F100" s="110" t="s">
        <v>122</v>
      </c>
      <c r="G100" s="110">
        <f t="shared" si="78"/>
        <v>0</v>
      </c>
      <c r="H100" s="110">
        <f t="shared" si="82"/>
        <v>0</v>
      </c>
      <c r="I100" s="110">
        <f t="shared" si="79"/>
        <v>0</v>
      </c>
      <c r="J100" s="110">
        <f>G100*K$1</f>
        <v>0</v>
      </c>
      <c r="K100" s="147">
        <f>I100*K$1</f>
        <v>0</v>
      </c>
      <c r="L100" s="110">
        <f t="shared" si="80"/>
        <v>0</v>
      </c>
      <c r="M100" s="110">
        <f t="shared" si="81"/>
        <v>0</v>
      </c>
      <c r="N100" s="19"/>
      <c r="O100" s="19"/>
      <c r="P100" s="140"/>
      <c r="Q100" s="186"/>
      <c r="R100" s="186"/>
      <c r="S100" s="186"/>
      <c r="T100" s="186"/>
      <c r="U100" s="186"/>
      <c r="V100" s="186"/>
      <c r="W100" s="178">
        <f>J100</f>
        <v>0</v>
      </c>
      <c r="X100" s="178">
        <f>H100*$K$1</f>
        <v>0</v>
      </c>
    </row>
    <row r="101" spans="1:25" ht="15" customHeight="1" thickBot="1" x14ac:dyDescent="0.3">
      <c r="A101" s="254"/>
      <c r="B101" s="110">
        <v>0</v>
      </c>
      <c r="C101" s="110">
        <v>0</v>
      </c>
      <c r="D101" s="141">
        <f>'Data Ocupacion'!AD42</f>
        <v>0</v>
      </c>
      <c r="E101" s="141">
        <f>'Data Ocupacion'!AE42</f>
        <v>0</v>
      </c>
      <c r="F101" s="110" t="s">
        <v>35</v>
      </c>
      <c r="G101" s="110">
        <f t="shared" si="78"/>
        <v>0</v>
      </c>
      <c r="H101" s="110">
        <f t="shared" si="82"/>
        <v>0</v>
      </c>
      <c r="I101" s="110">
        <f t="shared" si="79"/>
        <v>0</v>
      </c>
      <c r="J101" s="110">
        <f>G101*K$1</f>
        <v>0</v>
      </c>
      <c r="K101" s="147">
        <f>I101*K$1</f>
        <v>0</v>
      </c>
      <c r="L101" s="110">
        <f t="shared" si="80"/>
        <v>0</v>
      </c>
      <c r="M101" s="110">
        <f t="shared" si="81"/>
        <v>0</v>
      </c>
      <c r="N101" s="19"/>
      <c r="O101" s="19"/>
      <c r="P101" s="140"/>
      <c r="Q101" s="186"/>
      <c r="R101" s="186"/>
      <c r="S101" s="186"/>
      <c r="T101" s="186"/>
      <c r="U101" s="186"/>
      <c r="V101" s="186"/>
      <c r="W101" s="178">
        <f>J101</f>
        <v>0</v>
      </c>
      <c r="X101" s="178">
        <f>H101*$K$1</f>
        <v>0</v>
      </c>
    </row>
    <row r="102" spans="1:25" s="118" customFormat="1" ht="15" customHeight="1" thickBot="1" x14ac:dyDescent="0.3">
      <c r="A102" s="20"/>
      <c r="B102" s="216">
        <f>SUM(B96:B101)</f>
        <v>144</v>
      </c>
      <c r="C102" s="216">
        <f>SUM(C96:C101)</f>
        <v>3</v>
      </c>
      <c r="D102" s="142">
        <f>SUM(D96:D101)</f>
        <v>144</v>
      </c>
      <c r="E102" s="142">
        <f>SUM(E96:E101)</f>
        <v>3</v>
      </c>
      <c r="F102" s="113"/>
      <c r="G102" s="113">
        <f t="shared" ref="G102:M102" si="83">SUM(G96:G101)</f>
        <v>150</v>
      </c>
      <c r="H102" s="113">
        <f t="shared" si="83"/>
        <v>150</v>
      </c>
      <c r="I102" s="113">
        <f t="shared" si="83"/>
        <v>147</v>
      </c>
      <c r="J102" s="113">
        <f t="shared" si="83"/>
        <v>6469.5</v>
      </c>
      <c r="K102" s="113">
        <f t="shared" si="83"/>
        <v>6340.1100000000006</v>
      </c>
      <c r="L102" s="113">
        <f t="shared" si="83"/>
        <v>672828</v>
      </c>
      <c r="M102" s="113">
        <f t="shared" si="83"/>
        <v>15288</v>
      </c>
      <c r="N102" s="117">
        <f>'Odometro-Kilometraje'!O81</f>
        <v>6492</v>
      </c>
      <c r="O102" s="21">
        <f>(W102/N102)*100</f>
        <v>99.65341959334566</v>
      </c>
      <c r="P102" s="189"/>
      <c r="Q102" s="177"/>
      <c r="R102" s="177"/>
      <c r="S102" s="177"/>
      <c r="T102" s="177"/>
      <c r="U102" s="177"/>
      <c r="V102" s="177"/>
      <c r="W102" s="190">
        <f>SUM(W96:W101)</f>
        <v>6469.5</v>
      </c>
      <c r="X102" s="190">
        <f>SUM(X96:X101)</f>
        <v>6469.5</v>
      </c>
    </row>
    <row r="103" spans="1:25" ht="15.95" customHeight="1" x14ac:dyDescent="0.25">
      <c r="A103" s="61">
        <f>A96+1</f>
        <v>45823</v>
      </c>
      <c r="B103" s="217">
        <v>51</v>
      </c>
      <c r="C103" s="217">
        <v>3</v>
      </c>
      <c r="D103" s="120">
        <f>'Data Ocupacion'!AF37</f>
        <v>52</v>
      </c>
      <c r="E103" s="120">
        <f>'Data Ocupacion'!AG37</f>
        <v>2</v>
      </c>
      <c r="F103" s="217" t="s">
        <v>38</v>
      </c>
      <c r="G103" s="304">
        <f t="shared" ref="G103:G108" si="84">D103+E103*2</f>
        <v>56</v>
      </c>
      <c r="H103" s="217">
        <f>B103+C103*2</f>
        <v>57</v>
      </c>
      <c r="I103" s="217">
        <f t="shared" ref="I103:I108" si="85">D103+E103</f>
        <v>54</v>
      </c>
      <c r="J103" s="217">
        <f>G103*M$2</f>
        <v>2415.2800000000002</v>
      </c>
      <c r="K103" s="147">
        <f>I103*M$2</f>
        <v>2329.02</v>
      </c>
      <c r="L103" s="217">
        <f t="shared" ref="L103:L108" si="86">J103*104</f>
        <v>251189.12000000002</v>
      </c>
      <c r="M103" s="217">
        <f t="shared" ref="M103:M108" si="87">I103*104</f>
        <v>5616</v>
      </c>
      <c r="N103" s="19"/>
      <c r="O103" s="19"/>
      <c r="P103" s="140"/>
      <c r="Q103" s="243"/>
      <c r="R103" s="179"/>
      <c r="S103" s="203"/>
      <c r="T103" s="187"/>
      <c r="U103" s="188"/>
      <c r="V103" s="227"/>
      <c r="W103" s="178">
        <f>J103-(Q103*($M$2-$K$1))-(R103*($M$2-$M$1))- (S103*($M$2-$I$2))+ (T103*($G$2))</f>
        <v>2415.2800000000002</v>
      </c>
      <c r="X103" s="178">
        <f>H103*$M$2</f>
        <v>2458.4100000000003</v>
      </c>
    </row>
    <row r="104" spans="1:25" ht="15" customHeight="1" x14ac:dyDescent="0.25">
      <c r="A104" s="254"/>
      <c r="B104" s="217">
        <v>57</v>
      </c>
      <c r="C104" s="217">
        <v>0</v>
      </c>
      <c r="D104" s="132">
        <f>'Data Ocupacion'!AF38</f>
        <v>57</v>
      </c>
      <c r="E104" s="132">
        <f>'Data Ocupacion'!AG38</f>
        <v>0</v>
      </c>
      <c r="F104" s="217" t="s">
        <v>52</v>
      </c>
      <c r="G104" s="217">
        <f t="shared" si="84"/>
        <v>57</v>
      </c>
      <c r="H104" s="217">
        <f t="shared" ref="H104:H108" si="88">B104+C104*2</f>
        <v>57</v>
      </c>
      <c r="I104" s="217">
        <f t="shared" si="85"/>
        <v>57</v>
      </c>
      <c r="J104" s="217">
        <f>G104*M$2</f>
        <v>2458.4100000000003</v>
      </c>
      <c r="K104" s="147">
        <f>I104*M$2</f>
        <v>2458.4100000000003</v>
      </c>
      <c r="L104" s="217">
        <f t="shared" si="86"/>
        <v>255674.64000000004</v>
      </c>
      <c r="M104" s="217">
        <f t="shared" si="87"/>
        <v>5928</v>
      </c>
      <c r="N104" s="19"/>
      <c r="O104" s="19"/>
      <c r="P104" s="140"/>
      <c r="Q104" s="183"/>
      <c r="R104" s="183"/>
      <c r="S104" s="183"/>
      <c r="T104" s="238"/>
      <c r="U104" s="180"/>
      <c r="V104" s="228"/>
      <c r="W104" s="181">
        <f>J104-(T104*($M$2-$K$1)+(U104*($M$2-$M$1)))</f>
        <v>2458.4100000000003</v>
      </c>
      <c r="X104" s="178">
        <f>H104*$M$2</f>
        <v>2458.4100000000003</v>
      </c>
    </row>
    <row r="105" spans="1:25" ht="14.25" customHeight="1" x14ac:dyDescent="0.25">
      <c r="A105" s="254"/>
      <c r="B105" s="217">
        <v>0</v>
      </c>
      <c r="C105" s="217">
        <v>0</v>
      </c>
      <c r="D105" s="132">
        <f>'Data Ocupacion'!AF39</f>
        <v>0</v>
      </c>
      <c r="E105" s="132">
        <f>'Data Ocupacion'!AG39</f>
        <v>0</v>
      </c>
      <c r="F105" s="217" t="s">
        <v>36</v>
      </c>
      <c r="G105" s="217">
        <f t="shared" si="84"/>
        <v>0</v>
      </c>
      <c r="H105" s="217">
        <f t="shared" si="88"/>
        <v>0</v>
      </c>
      <c r="I105" s="217">
        <f t="shared" si="85"/>
        <v>0</v>
      </c>
      <c r="J105" s="217">
        <f>G105*M$1</f>
        <v>0</v>
      </c>
      <c r="K105" s="147">
        <f>I105*M$1</f>
        <v>0</v>
      </c>
      <c r="L105" s="217">
        <f t="shared" si="86"/>
        <v>0</v>
      </c>
      <c r="M105" s="217">
        <f t="shared" si="87"/>
        <v>0</v>
      </c>
      <c r="N105" s="19"/>
      <c r="O105" s="19"/>
      <c r="P105" s="140"/>
      <c r="Q105" s="182"/>
      <c r="R105" s="184"/>
      <c r="S105" s="204"/>
      <c r="T105" s="185"/>
      <c r="U105" s="186"/>
      <c r="V105" s="186"/>
      <c r="W105" s="178">
        <f>J105-(Q105*($M$1-$K$1))</f>
        <v>0</v>
      </c>
      <c r="X105" s="178">
        <f>H105*$M$1</f>
        <v>0</v>
      </c>
    </row>
    <row r="106" spans="1:25" ht="15" customHeight="1" x14ac:dyDescent="0.25">
      <c r="A106" s="254"/>
      <c r="B106" s="217">
        <v>0</v>
      </c>
      <c r="C106" s="217">
        <v>0</v>
      </c>
      <c r="D106" s="132">
        <f>'Data Ocupacion'!AF40</f>
        <v>0</v>
      </c>
      <c r="E106" s="132">
        <f>'Data Ocupacion'!AG40</f>
        <v>0</v>
      </c>
      <c r="F106" s="217" t="s">
        <v>53</v>
      </c>
      <c r="G106" s="217">
        <f t="shared" si="84"/>
        <v>0</v>
      </c>
      <c r="H106" s="217">
        <f t="shared" si="88"/>
        <v>0</v>
      </c>
      <c r="I106" s="217">
        <f t="shared" si="85"/>
        <v>0</v>
      </c>
      <c r="J106" s="217">
        <f>G106*M$1</f>
        <v>0</v>
      </c>
      <c r="K106" s="147">
        <f>I106*M$1</f>
        <v>0</v>
      </c>
      <c r="L106" s="217">
        <f t="shared" si="86"/>
        <v>0</v>
      </c>
      <c r="M106" s="217">
        <f t="shared" si="87"/>
        <v>0</v>
      </c>
      <c r="N106" s="19"/>
      <c r="O106" s="19"/>
      <c r="P106" s="140"/>
      <c r="Q106" s="186"/>
      <c r="R106" s="186"/>
      <c r="S106" s="186"/>
      <c r="T106" s="186"/>
      <c r="U106" s="186"/>
      <c r="V106" s="186"/>
      <c r="W106" s="178">
        <f>J106</f>
        <v>0</v>
      </c>
      <c r="X106" s="178">
        <f>H106*$M$1</f>
        <v>0</v>
      </c>
    </row>
    <row r="107" spans="1:25" ht="15" customHeight="1" x14ac:dyDescent="0.25">
      <c r="A107" s="254"/>
      <c r="B107" s="217">
        <v>0</v>
      </c>
      <c r="C107" s="217">
        <v>0</v>
      </c>
      <c r="D107" s="132">
        <f>'Data Ocupacion'!AF41</f>
        <v>0</v>
      </c>
      <c r="E107" s="132">
        <f>'Data Ocupacion'!AG41</f>
        <v>0</v>
      </c>
      <c r="F107" s="217" t="s">
        <v>122</v>
      </c>
      <c r="G107" s="217">
        <f t="shared" si="84"/>
        <v>0</v>
      </c>
      <c r="H107" s="217">
        <f t="shared" si="88"/>
        <v>0</v>
      </c>
      <c r="I107" s="217">
        <f t="shared" si="85"/>
        <v>0</v>
      </c>
      <c r="J107" s="217">
        <f>G107*K$1</f>
        <v>0</v>
      </c>
      <c r="K107" s="147">
        <f>I107*K$1</f>
        <v>0</v>
      </c>
      <c r="L107" s="217">
        <f t="shared" si="86"/>
        <v>0</v>
      </c>
      <c r="M107" s="217">
        <f t="shared" si="87"/>
        <v>0</v>
      </c>
      <c r="N107" s="19"/>
      <c r="O107" s="19"/>
      <c r="P107" s="140"/>
      <c r="Q107" s="186"/>
      <c r="R107" s="186"/>
      <c r="S107" s="186"/>
      <c r="T107" s="186"/>
      <c r="U107" s="186"/>
      <c r="V107" s="186"/>
      <c r="W107" s="178">
        <f>J107</f>
        <v>0</v>
      </c>
      <c r="X107" s="178">
        <f>H107*$K$1</f>
        <v>0</v>
      </c>
    </row>
    <row r="108" spans="1:25" ht="15" customHeight="1" thickBot="1" x14ac:dyDescent="0.3">
      <c r="A108" s="254"/>
      <c r="B108" s="217">
        <v>0</v>
      </c>
      <c r="C108" s="217">
        <v>0</v>
      </c>
      <c r="D108" s="132">
        <f>'Data Ocupacion'!AF42</f>
        <v>0</v>
      </c>
      <c r="E108" s="132">
        <f>'Data Ocupacion'!AG42</f>
        <v>0</v>
      </c>
      <c r="F108" s="217" t="s">
        <v>35</v>
      </c>
      <c r="G108" s="217">
        <f t="shared" si="84"/>
        <v>0</v>
      </c>
      <c r="H108" s="217">
        <f t="shared" si="88"/>
        <v>0</v>
      </c>
      <c r="I108" s="217">
        <f t="shared" si="85"/>
        <v>0</v>
      </c>
      <c r="J108" s="217">
        <f>G108*K$1</f>
        <v>0</v>
      </c>
      <c r="K108" s="147">
        <f>I108*K$1</f>
        <v>0</v>
      </c>
      <c r="L108" s="217">
        <f t="shared" si="86"/>
        <v>0</v>
      </c>
      <c r="M108" s="217">
        <f t="shared" si="87"/>
        <v>0</v>
      </c>
      <c r="N108" s="19"/>
      <c r="O108" s="19"/>
      <c r="P108" s="140"/>
      <c r="Q108" s="186"/>
      <c r="R108" s="186"/>
      <c r="S108" s="186"/>
      <c r="T108" s="186"/>
      <c r="U108" s="186"/>
      <c r="V108" s="186"/>
      <c r="W108" s="178">
        <f>J108</f>
        <v>0</v>
      </c>
      <c r="X108" s="178">
        <f>H108*$K$1</f>
        <v>0</v>
      </c>
    </row>
    <row r="109" spans="1:25" s="118" customFormat="1" ht="15" customHeight="1" thickBot="1" x14ac:dyDescent="0.3">
      <c r="A109" s="20"/>
      <c r="B109" s="216">
        <f>SUM(B103:B108)</f>
        <v>108</v>
      </c>
      <c r="C109" s="216">
        <f>SUM(C103:C108)</f>
        <v>3</v>
      </c>
      <c r="D109" s="142">
        <f>SUM(D103:D108)</f>
        <v>109</v>
      </c>
      <c r="E109" s="142">
        <f>SUM(E103:E108)</f>
        <v>2</v>
      </c>
      <c r="F109" s="113"/>
      <c r="G109" s="113">
        <f t="shared" ref="G109:M109" si="89">SUM(G103:G108)</f>
        <v>113</v>
      </c>
      <c r="H109" s="113">
        <f t="shared" si="89"/>
        <v>114</v>
      </c>
      <c r="I109" s="113">
        <f t="shared" si="89"/>
        <v>111</v>
      </c>
      <c r="J109" s="113">
        <f t="shared" si="89"/>
        <v>4873.6900000000005</v>
      </c>
      <c r="K109" s="113">
        <f t="shared" si="89"/>
        <v>4787.43</v>
      </c>
      <c r="L109" s="113">
        <f t="shared" si="89"/>
        <v>506863.76000000007</v>
      </c>
      <c r="M109" s="113">
        <f t="shared" si="89"/>
        <v>11544</v>
      </c>
      <c r="N109" s="117">
        <f>'Odometro-Kilometraje'!P81</f>
        <v>5029</v>
      </c>
      <c r="O109" s="21">
        <f>(W109/N109)*100</f>
        <v>96.911712069994053</v>
      </c>
      <c r="P109" s="189"/>
      <c r="Q109" s="177"/>
      <c r="R109" s="177"/>
      <c r="S109" s="177"/>
      <c r="T109" s="177"/>
      <c r="U109" s="177"/>
      <c r="V109" s="177"/>
      <c r="W109" s="190">
        <f>SUM(W103:W108)</f>
        <v>4873.6900000000005</v>
      </c>
      <c r="X109" s="190">
        <f>SUM(X103:X108)</f>
        <v>4916.8200000000006</v>
      </c>
    </row>
    <row r="110" spans="1:25" ht="15.95" customHeight="1" x14ac:dyDescent="0.25">
      <c r="A110" s="61">
        <f>A103+1</f>
        <v>45824</v>
      </c>
      <c r="B110" s="119">
        <v>47</v>
      </c>
      <c r="C110" s="119">
        <v>32</v>
      </c>
      <c r="D110" s="120">
        <f>'Data Ocupacion'!AH37</f>
        <v>18</v>
      </c>
      <c r="E110" s="120">
        <f>'Data Ocupacion'!AI37</f>
        <v>32</v>
      </c>
      <c r="F110" s="119" t="s">
        <v>38</v>
      </c>
      <c r="G110" s="220">
        <f t="shared" ref="G110:G115" si="90">D110+E110*2</f>
        <v>82</v>
      </c>
      <c r="H110" s="119">
        <f>B110+C110*2</f>
        <v>111</v>
      </c>
      <c r="I110" s="119">
        <f t="shared" ref="I110:I115" si="91">D110+E110</f>
        <v>50</v>
      </c>
      <c r="J110" s="119">
        <f>G110*M$2</f>
        <v>3536.6600000000003</v>
      </c>
      <c r="K110" s="147">
        <f>I110*M$2</f>
        <v>2156.5</v>
      </c>
      <c r="L110" s="119">
        <f t="shared" ref="L110:L115" si="92">J110*104</f>
        <v>367812.64</v>
      </c>
      <c r="M110" s="119">
        <f t="shared" ref="M110:M115" si="93">I110*104</f>
        <v>5200</v>
      </c>
      <c r="N110" s="19"/>
      <c r="O110" s="19"/>
      <c r="P110" s="140"/>
      <c r="Q110" s="179"/>
      <c r="R110" s="179"/>
      <c r="S110" s="203"/>
      <c r="T110" s="243"/>
      <c r="U110" s="188"/>
      <c r="V110" s="227"/>
      <c r="W110" s="178">
        <f>J110-(Q110*($M$2-$K$1))-(R110*($M$2-$M$1))- (S110*($M$2-$I$2))+ (T110*($G$2))</f>
        <v>3536.6600000000003</v>
      </c>
      <c r="X110" s="178">
        <f>H110*$M$2</f>
        <v>4787.43</v>
      </c>
    </row>
    <row r="111" spans="1:25" ht="15" customHeight="1" x14ac:dyDescent="0.25">
      <c r="A111" s="254"/>
      <c r="B111" s="119">
        <v>45</v>
      </c>
      <c r="C111" s="119">
        <v>33</v>
      </c>
      <c r="D111" s="120">
        <f>'Data Ocupacion'!AH38</f>
        <v>20</v>
      </c>
      <c r="E111" s="120">
        <f>'Data Ocupacion'!AI38</f>
        <v>29</v>
      </c>
      <c r="F111" s="119" t="s">
        <v>52</v>
      </c>
      <c r="G111" s="119">
        <f t="shared" si="90"/>
        <v>78</v>
      </c>
      <c r="H111" s="119">
        <f t="shared" ref="H111:H115" si="94">B111+C111*2</f>
        <v>111</v>
      </c>
      <c r="I111" s="119">
        <f t="shared" si="91"/>
        <v>49</v>
      </c>
      <c r="J111" s="119">
        <f>G111*M$2</f>
        <v>3364.1400000000003</v>
      </c>
      <c r="K111" s="147">
        <f>I111*M$2</f>
        <v>2113.3700000000003</v>
      </c>
      <c r="L111" s="119">
        <f t="shared" si="92"/>
        <v>349870.56000000006</v>
      </c>
      <c r="M111" s="119">
        <f t="shared" si="93"/>
        <v>5096</v>
      </c>
      <c r="N111" s="19"/>
      <c r="O111" s="19"/>
      <c r="P111" s="140"/>
      <c r="Q111" s="183"/>
      <c r="R111" s="183"/>
      <c r="S111" s="183"/>
      <c r="T111" s="179"/>
      <c r="U111" s="201"/>
      <c r="V111" s="228"/>
      <c r="W111" s="181">
        <f>J111-(T111*($M$2-$K$1)+(U111*($M$2-$M$1)))</f>
        <v>3364.1400000000003</v>
      </c>
      <c r="X111" s="178">
        <f>H111*$M$2</f>
        <v>4787.43</v>
      </c>
      <c r="Y111" s="166"/>
    </row>
    <row r="112" spans="1:25" ht="18" customHeight="1" x14ac:dyDescent="0.25">
      <c r="A112" s="367" t="s">
        <v>171</v>
      </c>
      <c r="B112" s="119">
        <v>29</v>
      </c>
      <c r="C112" s="119">
        <v>4</v>
      </c>
      <c r="D112" s="120">
        <f>'Data Ocupacion'!AH39</f>
        <v>5</v>
      </c>
      <c r="E112" s="120">
        <f>'Data Ocupacion'!AI39</f>
        <v>0</v>
      </c>
      <c r="F112" s="119" t="s">
        <v>36</v>
      </c>
      <c r="G112" s="119">
        <f t="shared" si="90"/>
        <v>5</v>
      </c>
      <c r="H112" s="119">
        <f t="shared" si="94"/>
        <v>37</v>
      </c>
      <c r="I112" s="119">
        <f t="shared" si="91"/>
        <v>5</v>
      </c>
      <c r="J112" s="119">
        <f>G112*M$1</f>
        <v>145.55000000000001</v>
      </c>
      <c r="K112" s="147">
        <f>I112*M$1</f>
        <v>145.55000000000001</v>
      </c>
      <c r="L112" s="119">
        <f t="shared" si="92"/>
        <v>15137.2</v>
      </c>
      <c r="M112" s="119">
        <f t="shared" si="93"/>
        <v>520</v>
      </c>
      <c r="N112" s="19"/>
      <c r="O112" s="19"/>
      <c r="P112" s="140"/>
      <c r="Q112" s="182"/>
      <c r="R112" s="184"/>
      <c r="S112" s="204"/>
      <c r="T112" s="185"/>
      <c r="U112" s="186"/>
      <c r="V112" s="186"/>
      <c r="W112" s="178">
        <f>J112-(Q112*($M$1-$K$1))</f>
        <v>145.55000000000001</v>
      </c>
      <c r="X112" s="178">
        <f>H112*$M$1</f>
        <v>1077.07</v>
      </c>
    </row>
    <row r="113" spans="1:26" ht="15.95" customHeight="1" x14ac:dyDescent="0.25">
      <c r="A113" s="367"/>
      <c r="B113" s="119">
        <v>28</v>
      </c>
      <c r="C113" s="119">
        <v>4</v>
      </c>
      <c r="D113" s="120">
        <f>'Data Ocupacion'!AH40</f>
        <v>6</v>
      </c>
      <c r="E113" s="120">
        <f>'Data Ocupacion'!AI40</f>
        <v>0</v>
      </c>
      <c r="F113" s="119" t="s">
        <v>53</v>
      </c>
      <c r="G113" s="119">
        <f t="shared" si="90"/>
        <v>6</v>
      </c>
      <c r="H113" s="119">
        <f t="shared" si="94"/>
        <v>36</v>
      </c>
      <c r="I113" s="119">
        <f t="shared" si="91"/>
        <v>6</v>
      </c>
      <c r="J113" s="119">
        <f>G113*M$1</f>
        <v>174.66</v>
      </c>
      <c r="K113" s="147">
        <f>I113*M$1</f>
        <v>174.66</v>
      </c>
      <c r="L113" s="119">
        <f t="shared" si="92"/>
        <v>18164.64</v>
      </c>
      <c r="M113" s="119">
        <f t="shared" si="93"/>
        <v>624</v>
      </c>
      <c r="N113" s="19"/>
      <c r="O113" s="19"/>
      <c r="P113" s="140"/>
      <c r="Q113" s="186"/>
      <c r="R113" s="186"/>
      <c r="S113" s="186"/>
      <c r="T113" s="186"/>
      <c r="U113" s="186"/>
      <c r="V113" s="186"/>
      <c r="W113" s="178">
        <f>J113</f>
        <v>174.66</v>
      </c>
      <c r="X113" s="178">
        <f>H113*$M$1</f>
        <v>1047.96</v>
      </c>
    </row>
    <row r="114" spans="1:26" ht="15" customHeight="1" x14ac:dyDescent="0.25">
      <c r="A114" s="367"/>
      <c r="B114" s="119">
        <v>0</v>
      </c>
      <c r="C114" s="119">
        <v>0</v>
      </c>
      <c r="D114" s="120">
        <f>'Data Ocupacion'!AH41</f>
        <v>0</v>
      </c>
      <c r="E114" s="120">
        <f>'Data Ocupacion'!AI41</f>
        <v>0</v>
      </c>
      <c r="F114" s="119" t="s">
        <v>122</v>
      </c>
      <c r="G114" s="119">
        <f t="shared" si="90"/>
        <v>0</v>
      </c>
      <c r="H114" s="119">
        <f t="shared" si="94"/>
        <v>0</v>
      </c>
      <c r="I114" s="119">
        <f t="shared" si="91"/>
        <v>0</v>
      </c>
      <c r="J114" s="119">
        <f>G114*K$1</f>
        <v>0</v>
      </c>
      <c r="K114" s="147">
        <f>I114*K$1</f>
        <v>0</v>
      </c>
      <c r="L114" s="119">
        <f t="shared" si="92"/>
        <v>0</v>
      </c>
      <c r="M114" s="119">
        <f t="shared" si="93"/>
        <v>0</v>
      </c>
      <c r="N114" s="19"/>
      <c r="O114" s="19"/>
      <c r="P114" s="140"/>
      <c r="Q114" s="186"/>
      <c r="R114" s="186"/>
      <c r="S114" s="186"/>
      <c r="T114" s="186"/>
      <c r="U114" s="186"/>
      <c r="V114" s="186"/>
      <c r="W114" s="178">
        <f>J114</f>
        <v>0</v>
      </c>
      <c r="X114" s="178">
        <f>H114*$K$1</f>
        <v>0</v>
      </c>
    </row>
    <row r="115" spans="1:26" ht="15" customHeight="1" thickBot="1" x14ac:dyDescent="0.3">
      <c r="A115" s="254"/>
      <c r="B115" s="119">
        <v>1</v>
      </c>
      <c r="C115" s="119">
        <v>0</v>
      </c>
      <c r="D115" s="120">
        <f>'Data Ocupacion'!AH42</f>
        <v>0</v>
      </c>
      <c r="E115" s="120">
        <f>'Data Ocupacion'!AI42</f>
        <v>0</v>
      </c>
      <c r="F115" s="119" t="s">
        <v>35</v>
      </c>
      <c r="G115" s="119">
        <f t="shared" si="90"/>
        <v>0</v>
      </c>
      <c r="H115" s="119">
        <f t="shared" si="94"/>
        <v>1</v>
      </c>
      <c r="I115" s="119">
        <f t="shared" si="91"/>
        <v>0</v>
      </c>
      <c r="J115" s="119">
        <f>G115*K$1</f>
        <v>0</v>
      </c>
      <c r="K115" s="147">
        <f>I115*K$1</f>
        <v>0</v>
      </c>
      <c r="L115" s="119">
        <f t="shared" si="92"/>
        <v>0</v>
      </c>
      <c r="M115" s="119">
        <f t="shared" si="93"/>
        <v>0</v>
      </c>
      <c r="N115" s="19"/>
      <c r="O115" s="19"/>
      <c r="P115" s="140"/>
      <c r="Q115" s="186"/>
      <c r="R115" s="186"/>
      <c r="S115" s="186"/>
      <c r="T115" s="186"/>
      <c r="U115" s="186"/>
      <c r="V115" s="186"/>
      <c r="W115" s="178">
        <f>J115</f>
        <v>0</v>
      </c>
      <c r="X115" s="178">
        <f>H115*$K$1</f>
        <v>25.4</v>
      </c>
    </row>
    <row r="116" spans="1:26" s="118" customFormat="1" ht="15" customHeight="1" thickBot="1" x14ac:dyDescent="0.3">
      <c r="A116" s="20"/>
      <c r="B116" s="216">
        <f>SUM(B110:B115)</f>
        <v>150</v>
      </c>
      <c r="C116" s="216">
        <f>SUM(C110:C115)</f>
        <v>73</v>
      </c>
      <c r="D116" s="142">
        <f>SUM(D110:D115)</f>
        <v>49</v>
      </c>
      <c r="E116" s="142">
        <f>SUM(E110:E115)</f>
        <v>61</v>
      </c>
      <c r="F116" s="113"/>
      <c r="G116" s="113">
        <f t="shared" ref="G116:M116" si="95">SUM(G110:G115)</f>
        <v>171</v>
      </c>
      <c r="H116" s="113">
        <f t="shared" si="95"/>
        <v>296</v>
      </c>
      <c r="I116" s="113">
        <f t="shared" si="95"/>
        <v>110</v>
      </c>
      <c r="J116" s="113">
        <f t="shared" si="95"/>
        <v>7221.0100000000011</v>
      </c>
      <c r="K116" s="113">
        <f t="shared" si="95"/>
        <v>4590.0800000000008</v>
      </c>
      <c r="L116" s="113">
        <f t="shared" si="95"/>
        <v>750985.04</v>
      </c>
      <c r="M116" s="113">
        <f t="shared" si="95"/>
        <v>11440</v>
      </c>
      <c r="N116" s="117">
        <f>'Odometro-Kilometraje'!Q81</f>
        <v>7865</v>
      </c>
      <c r="O116" s="21">
        <f>(W116/N116)*100</f>
        <v>91.811951684678974</v>
      </c>
      <c r="P116" s="189"/>
      <c r="Q116" s="177"/>
      <c r="R116" s="177"/>
      <c r="S116" s="177"/>
      <c r="T116" s="177"/>
      <c r="U116" s="177"/>
      <c r="V116" s="177"/>
      <c r="W116" s="190">
        <f>SUM(W110:W115)</f>
        <v>7221.0100000000011</v>
      </c>
      <c r="X116" s="190">
        <f>SUM(X110:X115)</f>
        <v>11725.289999999999</v>
      </c>
    </row>
    <row r="117" spans="1:26" ht="15.95" customHeight="1" x14ac:dyDescent="0.25">
      <c r="A117" s="61">
        <f>A110+1</f>
        <v>45825</v>
      </c>
      <c r="B117" s="119">
        <v>47</v>
      </c>
      <c r="C117" s="119">
        <v>32</v>
      </c>
      <c r="D117" s="120">
        <f>'Data Ocupacion'!AJ37</f>
        <v>47</v>
      </c>
      <c r="E117" s="120">
        <f>'Data Ocupacion'!AK37</f>
        <v>32</v>
      </c>
      <c r="F117" s="219" t="s">
        <v>38</v>
      </c>
      <c r="G117" s="220">
        <f t="shared" ref="G117:G122" si="96">D117+E117*2</f>
        <v>111</v>
      </c>
      <c r="H117" s="119">
        <f>B117+C117*2</f>
        <v>111</v>
      </c>
      <c r="I117" s="221">
        <f t="shared" ref="I117:I122" si="97">D117+E117</f>
        <v>79</v>
      </c>
      <c r="J117" s="221">
        <f>G117*M$2</f>
        <v>4787.43</v>
      </c>
      <c r="K117" s="147">
        <f>I117*M$2</f>
        <v>3407.27</v>
      </c>
      <c r="L117" s="119">
        <f t="shared" ref="L117:L122" si="98">J117*104</f>
        <v>497892.72000000003</v>
      </c>
      <c r="M117" s="119">
        <f t="shared" ref="M117:M122" si="99">I117*104</f>
        <v>8216</v>
      </c>
      <c r="N117" s="19"/>
      <c r="O117" s="19"/>
      <c r="P117" s="140"/>
      <c r="Q117" s="179">
        <v>5</v>
      </c>
      <c r="R117" s="179"/>
      <c r="S117" s="203"/>
      <c r="T117" s="187"/>
      <c r="U117" s="188"/>
      <c r="V117" s="227"/>
      <c r="W117" s="178">
        <f>J117-(Q117*($M$2-$K$1))-(R117*($M$2-$M$1))- (S117*($M$2-$I$2))+ (T117*($G$2))</f>
        <v>4698.7800000000007</v>
      </c>
      <c r="X117" s="178">
        <f>H117*$M$2</f>
        <v>4787.43</v>
      </c>
    </row>
    <row r="118" spans="1:26" ht="15" customHeight="1" x14ac:dyDescent="0.25">
      <c r="A118" s="254"/>
      <c r="B118" s="119">
        <v>45</v>
      </c>
      <c r="C118" s="119">
        <v>33</v>
      </c>
      <c r="D118" s="120">
        <f>'Data Ocupacion'!AJ38</f>
        <v>45</v>
      </c>
      <c r="E118" s="120">
        <f>'Data Ocupacion'!AK38</f>
        <v>33</v>
      </c>
      <c r="F118" s="219" t="s">
        <v>52</v>
      </c>
      <c r="G118" s="220">
        <f t="shared" si="96"/>
        <v>111</v>
      </c>
      <c r="H118" s="119">
        <f t="shared" ref="H118:H122" si="100">B118+C118*2</f>
        <v>111</v>
      </c>
      <c r="I118" s="119">
        <f t="shared" si="97"/>
        <v>78</v>
      </c>
      <c r="J118" s="119">
        <f>G118*M$2</f>
        <v>4787.43</v>
      </c>
      <c r="K118" s="147">
        <f>I118*M$2</f>
        <v>3364.1400000000003</v>
      </c>
      <c r="L118" s="119">
        <f t="shared" si="98"/>
        <v>497892.72000000003</v>
      </c>
      <c r="M118" s="119">
        <f t="shared" si="99"/>
        <v>8112</v>
      </c>
      <c r="N118" s="19"/>
      <c r="O118" s="19"/>
      <c r="P118" s="140"/>
      <c r="Q118" s="183"/>
      <c r="R118" s="183"/>
      <c r="S118" s="215"/>
      <c r="T118" s="179">
        <v>6</v>
      </c>
      <c r="U118" s="215"/>
      <c r="V118" s="228"/>
      <c r="W118" s="181">
        <f>J118-(T118*($M$2-$K$1)+(U118*($M$2-$M$1)))</f>
        <v>4681.05</v>
      </c>
      <c r="X118" s="178">
        <f>H118*$M$2</f>
        <v>4787.43</v>
      </c>
      <c r="Y118" s="166"/>
    </row>
    <row r="119" spans="1:26" ht="15" customHeight="1" x14ac:dyDescent="0.25">
      <c r="A119" s="254"/>
      <c r="B119" s="119">
        <v>29</v>
      </c>
      <c r="C119" s="119">
        <v>4</v>
      </c>
      <c r="D119" s="120">
        <f>'Data Ocupacion'!AJ39</f>
        <v>29</v>
      </c>
      <c r="E119" s="120">
        <f>'Data Ocupacion'!AK39</f>
        <v>4</v>
      </c>
      <c r="F119" s="219" t="s">
        <v>36</v>
      </c>
      <c r="G119" s="220">
        <f t="shared" si="96"/>
        <v>37</v>
      </c>
      <c r="H119" s="119">
        <f t="shared" si="100"/>
        <v>37</v>
      </c>
      <c r="I119" s="119">
        <f t="shared" si="97"/>
        <v>33</v>
      </c>
      <c r="J119" s="119">
        <f>G119*M$1</f>
        <v>1077.07</v>
      </c>
      <c r="K119" s="147">
        <f>I119*M$1</f>
        <v>960.63</v>
      </c>
      <c r="L119" s="119">
        <f t="shared" si="98"/>
        <v>112015.28</v>
      </c>
      <c r="M119" s="119">
        <f t="shared" si="99"/>
        <v>3432</v>
      </c>
      <c r="N119" s="19"/>
      <c r="O119" s="19"/>
      <c r="P119" s="140"/>
      <c r="Q119" s="182"/>
      <c r="R119" s="184"/>
      <c r="S119" s="204"/>
      <c r="T119" s="185"/>
      <c r="U119" s="186"/>
      <c r="V119" s="186"/>
      <c r="W119" s="178">
        <f>J119-(Q119*($M$1-$K$1))</f>
        <v>1077.07</v>
      </c>
      <c r="X119" s="178">
        <f>H119*$M$1</f>
        <v>1077.07</v>
      </c>
    </row>
    <row r="120" spans="1:26" ht="15" customHeight="1" x14ac:dyDescent="0.25">
      <c r="A120" s="254"/>
      <c r="B120" s="119">
        <v>28</v>
      </c>
      <c r="C120" s="119">
        <v>4</v>
      </c>
      <c r="D120" s="120">
        <f>'Data Ocupacion'!AJ40</f>
        <v>28</v>
      </c>
      <c r="E120" s="120">
        <f>'Data Ocupacion'!AK40</f>
        <v>4</v>
      </c>
      <c r="F120" s="219" t="s">
        <v>53</v>
      </c>
      <c r="G120" s="220">
        <f t="shared" si="96"/>
        <v>36</v>
      </c>
      <c r="H120" s="119">
        <f t="shared" si="100"/>
        <v>36</v>
      </c>
      <c r="I120" s="119">
        <f t="shared" si="97"/>
        <v>32</v>
      </c>
      <c r="J120" s="119">
        <f>G120*M$1</f>
        <v>1047.96</v>
      </c>
      <c r="K120" s="147">
        <f>I120*M$1</f>
        <v>931.52</v>
      </c>
      <c r="L120" s="119">
        <f t="shared" si="98"/>
        <v>108987.84</v>
      </c>
      <c r="M120" s="119">
        <f t="shared" si="99"/>
        <v>3328</v>
      </c>
      <c r="N120" s="19"/>
      <c r="O120" s="19"/>
      <c r="P120" s="140"/>
      <c r="Q120" s="186"/>
      <c r="R120" s="186"/>
      <c r="S120" s="186"/>
      <c r="T120" s="186"/>
      <c r="U120" s="186"/>
      <c r="V120" s="186"/>
      <c r="W120" s="178">
        <f>J120</f>
        <v>1047.96</v>
      </c>
      <c r="X120" s="178">
        <f>H120*$M$1</f>
        <v>1047.96</v>
      </c>
      <c r="Z120" s="195"/>
    </row>
    <row r="121" spans="1:26" ht="15" customHeight="1" x14ac:dyDescent="0.25">
      <c r="A121" s="254"/>
      <c r="B121" s="119">
        <v>0</v>
      </c>
      <c r="C121" s="119">
        <v>0</v>
      </c>
      <c r="D121" s="120">
        <f>'Data Ocupacion'!AJ41</f>
        <v>0</v>
      </c>
      <c r="E121" s="120">
        <f>'Data Ocupacion'!AK41</f>
        <v>0</v>
      </c>
      <c r="F121" s="219" t="s">
        <v>122</v>
      </c>
      <c r="G121" s="220">
        <f t="shared" si="96"/>
        <v>0</v>
      </c>
      <c r="H121" s="119">
        <f t="shared" si="100"/>
        <v>0</v>
      </c>
      <c r="I121" s="119">
        <f t="shared" si="97"/>
        <v>0</v>
      </c>
      <c r="J121" s="222">
        <f>G121*K$1</f>
        <v>0</v>
      </c>
      <c r="K121" s="147">
        <f>I121*K$1</f>
        <v>0</v>
      </c>
      <c r="L121" s="119">
        <f t="shared" si="98"/>
        <v>0</v>
      </c>
      <c r="M121" s="119">
        <f t="shared" si="99"/>
        <v>0</v>
      </c>
      <c r="N121" s="19"/>
      <c r="O121" s="19"/>
      <c r="P121" s="140"/>
      <c r="Q121" s="186"/>
      <c r="R121" s="186"/>
      <c r="S121" s="186"/>
      <c r="T121" s="186"/>
      <c r="U121" s="186"/>
      <c r="V121" s="186"/>
      <c r="W121" s="178">
        <f>J121</f>
        <v>0</v>
      </c>
      <c r="X121" s="178">
        <f>H121*$K$1</f>
        <v>0</v>
      </c>
    </row>
    <row r="122" spans="1:26" ht="14.25" customHeight="1" thickBot="1" x14ac:dyDescent="0.3">
      <c r="A122" s="254"/>
      <c r="B122" s="119">
        <v>1</v>
      </c>
      <c r="C122" s="119">
        <v>0</v>
      </c>
      <c r="D122" s="120">
        <f>'Data Ocupacion'!AJ42</f>
        <v>1</v>
      </c>
      <c r="E122" s="120">
        <f>'Data Ocupacion'!AK42</f>
        <v>0</v>
      </c>
      <c r="F122" s="219" t="s">
        <v>35</v>
      </c>
      <c r="G122" s="220">
        <f t="shared" si="96"/>
        <v>1</v>
      </c>
      <c r="H122" s="119">
        <f t="shared" si="100"/>
        <v>1</v>
      </c>
      <c r="I122" s="223">
        <f t="shared" si="97"/>
        <v>1</v>
      </c>
      <c r="J122" s="223">
        <f>G122*K$1</f>
        <v>25.4</v>
      </c>
      <c r="K122" s="147">
        <f>I122*K$1</f>
        <v>25.4</v>
      </c>
      <c r="L122" s="119">
        <f t="shared" si="98"/>
        <v>2641.6</v>
      </c>
      <c r="M122" s="119">
        <f t="shared" si="99"/>
        <v>104</v>
      </c>
      <c r="N122" s="19"/>
      <c r="O122" s="19"/>
      <c r="P122" s="140"/>
      <c r="Q122" s="186"/>
      <c r="R122" s="186"/>
      <c r="S122" s="186"/>
      <c r="T122" s="186"/>
      <c r="U122" s="186"/>
      <c r="V122" s="186"/>
      <c r="W122" s="178">
        <f>J122</f>
        <v>25.4</v>
      </c>
      <c r="X122" s="178">
        <f>H122*$K$1</f>
        <v>25.4</v>
      </c>
    </row>
    <row r="123" spans="1:26" s="118" customFormat="1" ht="15" customHeight="1" thickBot="1" x14ac:dyDescent="0.3">
      <c r="A123" s="20"/>
      <c r="B123" s="216">
        <f>SUM(B117:B122)</f>
        <v>150</v>
      </c>
      <c r="C123" s="216">
        <f>SUM(C117:C122)</f>
        <v>73</v>
      </c>
      <c r="D123" s="142">
        <f>SUM(D117:D122)</f>
        <v>150</v>
      </c>
      <c r="E123" s="142">
        <f>SUM(E117:E122)</f>
        <v>73</v>
      </c>
      <c r="F123" s="113"/>
      <c r="G123" s="113">
        <f t="shared" ref="G123:M123" si="101">SUM(G117:G122)</f>
        <v>296</v>
      </c>
      <c r="H123" s="113">
        <f t="shared" si="101"/>
        <v>296</v>
      </c>
      <c r="I123" s="113">
        <f t="shared" si="101"/>
        <v>223</v>
      </c>
      <c r="J123" s="114">
        <f>SUM(J117:J122)</f>
        <v>11725.289999999999</v>
      </c>
      <c r="K123" s="113">
        <f t="shared" si="101"/>
        <v>8688.9599999999991</v>
      </c>
      <c r="L123" s="113">
        <f t="shared" si="101"/>
        <v>1219430.1600000001</v>
      </c>
      <c r="M123" s="113">
        <f t="shared" si="101"/>
        <v>23192</v>
      </c>
      <c r="N123" s="117">
        <f>'Odometro-Kilometraje'!R81</f>
        <v>11915</v>
      </c>
      <c r="O123" s="21">
        <f>(W123/N123)*100</f>
        <v>96.770960973562737</v>
      </c>
      <c r="P123" s="189"/>
      <c r="Q123" s="177"/>
      <c r="R123" s="177"/>
      <c r="S123" s="177"/>
      <c r="T123" s="177"/>
      <c r="U123" s="177"/>
      <c r="V123" s="177"/>
      <c r="W123" s="190">
        <f>SUM(W117:W122)</f>
        <v>11530.26</v>
      </c>
      <c r="X123" s="190">
        <f>SUM(X117:X122)</f>
        <v>11725.289999999999</v>
      </c>
    </row>
    <row r="124" spans="1:26" ht="15.95" customHeight="1" x14ac:dyDescent="0.25">
      <c r="A124" s="61">
        <f>A117+1</f>
        <v>45826</v>
      </c>
      <c r="B124" s="119">
        <v>47</v>
      </c>
      <c r="C124" s="119">
        <v>32</v>
      </c>
      <c r="D124" s="120">
        <f>'Data Ocupacion'!AL37</f>
        <v>47</v>
      </c>
      <c r="E124" s="120">
        <f>'Data Ocupacion'!AM37</f>
        <v>32</v>
      </c>
      <c r="F124" s="119" t="s">
        <v>38</v>
      </c>
      <c r="G124" s="119">
        <f t="shared" ref="G124:G129" si="102">D124+E124*2</f>
        <v>111</v>
      </c>
      <c r="H124" s="119">
        <f>B124+C124*2</f>
        <v>111</v>
      </c>
      <c r="I124" s="119">
        <f t="shared" ref="I124:I129" si="103">D124+E124</f>
        <v>79</v>
      </c>
      <c r="J124" s="119">
        <f>G124*M$2</f>
        <v>4787.43</v>
      </c>
      <c r="K124" s="147">
        <f>I124*M$2</f>
        <v>3407.27</v>
      </c>
      <c r="L124" s="119">
        <f t="shared" ref="L124:L129" si="104">J124*104</f>
        <v>497892.72000000003</v>
      </c>
      <c r="M124" s="119">
        <f t="shared" ref="M124:M129" si="105">I124*104</f>
        <v>8216</v>
      </c>
      <c r="N124" s="19"/>
      <c r="O124" s="19"/>
      <c r="P124" s="140"/>
      <c r="Q124" s="179">
        <v>5</v>
      </c>
      <c r="R124" s="179"/>
      <c r="S124" s="203"/>
      <c r="T124" s="293"/>
      <c r="U124" s="188"/>
      <c r="V124" s="227"/>
      <c r="W124" s="178">
        <f>J124-(Q124*($M$2-$K$1))-(R124*($M$2-$M$1))- (S124*($M$2-$I$2))+ (T124*($G$2))</f>
        <v>4698.7800000000007</v>
      </c>
      <c r="X124" s="178">
        <f>H124*$M$2</f>
        <v>4787.43</v>
      </c>
    </row>
    <row r="125" spans="1:26" ht="15" customHeight="1" x14ac:dyDescent="0.25">
      <c r="A125" s="254"/>
      <c r="B125" s="119">
        <v>45</v>
      </c>
      <c r="C125" s="119">
        <v>33</v>
      </c>
      <c r="D125" s="120">
        <f>'Data Ocupacion'!AL38</f>
        <v>45</v>
      </c>
      <c r="E125" s="120">
        <f>'Data Ocupacion'!AM38</f>
        <v>33</v>
      </c>
      <c r="F125" s="119" t="s">
        <v>52</v>
      </c>
      <c r="G125" s="119">
        <f t="shared" si="102"/>
        <v>111</v>
      </c>
      <c r="H125" s="119">
        <f t="shared" ref="H125:H129" si="106">B125+C125*2</f>
        <v>111</v>
      </c>
      <c r="I125" s="119">
        <f t="shared" si="103"/>
        <v>78</v>
      </c>
      <c r="J125" s="119">
        <f>G125*M$2</f>
        <v>4787.43</v>
      </c>
      <c r="K125" s="147">
        <f>I125*M$2</f>
        <v>3364.1400000000003</v>
      </c>
      <c r="L125" s="119">
        <f t="shared" si="104"/>
        <v>497892.72000000003</v>
      </c>
      <c r="M125" s="119">
        <f t="shared" si="105"/>
        <v>8112</v>
      </c>
      <c r="N125" s="19"/>
      <c r="O125" s="19"/>
      <c r="P125" s="140"/>
      <c r="Q125" s="183"/>
      <c r="R125" s="183"/>
      <c r="S125" s="215"/>
      <c r="T125" s="179">
        <v>6</v>
      </c>
      <c r="U125" s="215"/>
      <c r="V125" s="228"/>
      <c r="W125" s="181">
        <f>J125-(T125*($M$2-$K$1)+(U125*($M$2-$M$1)))</f>
        <v>4681.05</v>
      </c>
      <c r="X125" s="178">
        <f>H125*$M$2</f>
        <v>4787.43</v>
      </c>
    </row>
    <row r="126" spans="1:26" ht="15" customHeight="1" x14ac:dyDescent="0.25">
      <c r="A126" s="254"/>
      <c r="B126" s="119">
        <v>29</v>
      </c>
      <c r="C126" s="119">
        <v>4</v>
      </c>
      <c r="D126" s="120">
        <f>'Data Ocupacion'!AL39</f>
        <v>29</v>
      </c>
      <c r="E126" s="120">
        <f>'Data Ocupacion'!AM39</f>
        <v>4</v>
      </c>
      <c r="F126" s="119" t="s">
        <v>36</v>
      </c>
      <c r="G126" s="119">
        <f t="shared" si="102"/>
        <v>37</v>
      </c>
      <c r="H126" s="119">
        <f t="shared" si="106"/>
        <v>37</v>
      </c>
      <c r="I126" s="119">
        <f t="shared" si="103"/>
        <v>33</v>
      </c>
      <c r="J126" s="119">
        <f>G126*M$1</f>
        <v>1077.07</v>
      </c>
      <c r="K126" s="147">
        <f>I126*M$1</f>
        <v>960.63</v>
      </c>
      <c r="L126" s="119">
        <f t="shared" si="104"/>
        <v>112015.28</v>
      </c>
      <c r="M126" s="119">
        <f t="shared" si="105"/>
        <v>3432</v>
      </c>
      <c r="N126" s="19"/>
      <c r="O126" s="19"/>
      <c r="P126" s="140"/>
      <c r="Q126" s="182"/>
      <c r="R126" s="184"/>
      <c r="S126" s="204"/>
      <c r="T126" s="185"/>
      <c r="U126" s="186"/>
      <c r="V126" s="186"/>
      <c r="W126" s="178">
        <f>J126-(Q126*($M$1-$K$1))</f>
        <v>1077.07</v>
      </c>
      <c r="X126" s="178">
        <f>H126*$M$1</f>
        <v>1077.07</v>
      </c>
    </row>
    <row r="127" spans="1:26" ht="15" customHeight="1" x14ac:dyDescent="0.25">
      <c r="A127" s="254"/>
      <c r="B127" s="119">
        <v>28</v>
      </c>
      <c r="C127" s="119">
        <v>4</v>
      </c>
      <c r="D127" s="120">
        <f>'Data Ocupacion'!AL40</f>
        <v>28</v>
      </c>
      <c r="E127" s="120">
        <f>'Data Ocupacion'!AM40</f>
        <v>4</v>
      </c>
      <c r="F127" s="119" t="s">
        <v>53</v>
      </c>
      <c r="G127" s="119">
        <f t="shared" si="102"/>
        <v>36</v>
      </c>
      <c r="H127" s="119">
        <f t="shared" si="106"/>
        <v>36</v>
      </c>
      <c r="I127" s="119">
        <f t="shared" si="103"/>
        <v>32</v>
      </c>
      <c r="J127" s="119">
        <f>G127*M$1</f>
        <v>1047.96</v>
      </c>
      <c r="K127" s="147">
        <f>I127*M$1</f>
        <v>931.52</v>
      </c>
      <c r="L127" s="119">
        <f t="shared" si="104"/>
        <v>108987.84</v>
      </c>
      <c r="M127" s="119">
        <f t="shared" si="105"/>
        <v>3328</v>
      </c>
      <c r="N127" s="19"/>
      <c r="O127" s="19"/>
      <c r="P127" s="140"/>
      <c r="Q127" s="186"/>
      <c r="R127" s="186"/>
      <c r="S127" s="186"/>
      <c r="T127" s="186"/>
      <c r="U127" s="186"/>
      <c r="V127" s="186"/>
      <c r="W127" s="178">
        <f>J127</f>
        <v>1047.96</v>
      </c>
      <c r="X127" s="178">
        <f>H127*$M$1</f>
        <v>1047.96</v>
      </c>
    </row>
    <row r="128" spans="1:26" s="118" customFormat="1" ht="15" customHeight="1" x14ac:dyDescent="0.25">
      <c r="A128" s="254"/>
      <c r="B128" s="119">
        <v>0</v>
      </c>
      <c r="C128" s="119">
        <v>0</v>
      </c>
      <c r="D128" s="120">
        <f>'Data Ocupacion'!AL41</f>
        <v>0</v>
      </c>
      <c r="E128" s="120">
        <f>'Data Ocupacion'!AM41</f>
        <v>0</v>
      </c>
      <c r="F128" s="119" t="s">
        <v>122</v>
      </c>
      <c r="G128" s="119">
        <f t="shared" si="102"/>
        <v>0</v>
      </c>
      <c r="H128" s="119">
        <f t="shared" si="106"/>
        <v>0</v>
      </c>
      <c r="I128" s="119">
        <f t="shared" si="103"/>
        <v>0</v>
      </c>
      <c r="J128" s="119">
        <f>G128*K$1</f>
        <v>0</v>
      </c>
      <c r="K128" s="147">
        <f>I128*K$1</f>
        <v>0</v>
      </c>
      <c r="L128" s="119">
        <f t="shared" si="104"/>
        <v>0</v>
      </c>
      <c r="M128" s="119">
        <f t="shared" si="105"/>
        <v>0</v>
      </c>
      <c r="N128" s="19"/>
      <c r="O128" s="19"/>
      <c r="P128" s="140"/>
      <c r="Q128" s="186"/>
      <c r="R128" s="186"/>
      <c r="S128" s="186"/>
      <c r="T128" s="186"/>
      <c r="U128" s="186"/>
      <c r="V128" s="186"/>
      <c r="W128" s="178">
        <f>J128</f>
        <v>0</v>
      </c>
      <c r="X128" s="178">
        <f>H128*$K$1</f>
        <v>0</v>
      </c>
    </row>
    <row r="129" spans="1:24" s="118" customFormat="1" ht="15" customHeight="1" thickBot="1" x14ac:dyDescent="0.3">
      <c r="A129" s="254"/>
      <c r="B129" s="119">
        <v>1</v>
      </c>
      <c r="C129" s="119">
        <v>0</v>
      </c>
      <c r="D129" s="120">
        <f>'Data Ocupacion'!AL42</f>
        <v>1</v>
      </c>
      <c r="E129" s="120">
        <f>'Data Ocupacion'!AM42</f>
        <v>0</v>
      </c>
      <c r="F129" s="119" t="s">
        <v>35</v>
      </c>
      <c r="G129" s="119">
        <f t="shared" si="102"/>
        <v>1</v>
      </c>
      <c r="H129" s="119">
        <f t="shared" si="106"/>
        <v>1</v>
      </c>
      <c r="I129" s="119">
        <f t="shared" si="103"/>
        <v>1</v>
      </c>
      <c r="J129" s="119">
        <f>G129*K$1</f>
        <v>25.4</v>
      </c>
      <c r="K129" s="147">
        <f>I129*K$1</f>
        <v>25.4</v>
      </c>
      <c r="L129" s="119">
        <f t="shared" si="104"/>
        <v>2641.6</v>
      </c>
      <c r="M129" s="119">
        <f t="shared" si="105"/>
        <v>104</v>
      </c>
      <c r="N129" s="19"/>
      <c r="O129" s="19"/>
      <c r="P129" s="140"/>
      <c r="Q129" s="186"/>
      <c r="R129" s="186"/>
      <c r="S129" s="186"/>
      <c r="T129" s="186"/>
      <c r="U129" s="186"/>
      <c r="V129" s="186"/>
      <c r="W129" s="178">
        <f>J129</f>
        <v>25.4</v>
      </c>
      <c r="X129" s="178">
        <f>H129*$K$1</f>
        <v>25.4</v>
      </c>
    </row>
    <row r="130" spans="1:24" s="118" customFormat="1" ht="15" customHeight="1" thickBot="1" x14ac:dyDescent="0.3">
      <c r="A130" s="20"/>
      <c r="B130" s="216">
        <f>SUM(B124:B129)</f>
        <v>150</v>
      </c>
      <c r="C130" s="216">
        <f>SUM(C124:C129)</f>
        <v>73</v>
      </c>
      <c r="D130" s="146">
        <f>SUM(D124:D129)</f>
        <v>150</v>
      </c>
      <c r="E130" s="146">
        <f>SUM(E124:E129)</f>
        <v>73</v>
      </c>
      <c r="F130" s="113"/>
      <c r="G130" s="113">
        <f t="shared" ref="G130:M130" si="107">SUM(G124:G129)</f>
        <v>296</v>
      </c>
      <c r="H130" s="113">
        <f t="shared" si="107"/>
        <v>296</v>
      </c>
      <c r="I130" s="113">
        <f t="shared" si="107"/>
        <v>223</v>
      </c>
      <c r="J130" s="114">
        <f t="shared" si="107"/>
        <v>11725.289999999999</v>
      </c>
      <c r="K130" s="113">
        <f t="shared" si="107"/>
        <v>8688.9599999999991</v>
      </c>
      <c r="L130" s="112">
        <f t="shared" si="107"/>
        <v>1219430.1600000001</v>
      </c>
      <c r="M130" s="145">
        <f t="shared" si="107"/>
        <v>23192</v>
      </c>
      <c r="N130" s="117">
        <f>'Odometro-Kilometraje'!S81</f>
        <v>11923</v>
      </c>
      <c r="O130" s="21">
        <f>(W130/N130)*100</f>
        <v>96.706030361486199</v>
      </c>
      <c r="P130" s="189"/>
      <c r="Q130" s="177"/>
      <c r="R130" s="177"/>
      <c r="S130" s="177"/>
      <c r="T130" s="177"/>
      <c r="U130" s="177"/>
      <c r="V130" s="177"/>
      <c r="W130" s="190">
        <f>SUM(W124:W129)</f>
        <v>11530.26</v>
      </c>
      <c r="X130" s="190">
        <f>SUM(X124:X129)</f>
        <v>11725.289999999999</v>
      </c>
    </row>
    <row r="131" spans="1:24" ht="15" customHeight="1" x14ac:dyDescent="0.25">
      <c r="A131" s="61">
        <f>A124+1</f>
        <v>45827</v>
      </c>
      <c r="B131" s="119">
        <v>47</v>
      </c>
      <c r="C131" s="119">
        <v>32</v>
      </c>
      <c r="D131" s="120">
        <f>'Data Ocupacion'!AN37</f>
        <v>47</v>
      </c>
      <c r="E131" s="120">
        <f>'Data Ocupacion'!AO37</f>
        <v>32</v>
      </c>
      <c r="F131" s="119" t="s">
        <v>38</v>
      </c>
      <c r="G131" s="119">
        <f t="shared" ref="G131:G136" si="108">D131+E131*2</f>
        <v>111</v>
      </c>
      <c r="H131" s="119">
        <f>B131+C131*2</f>
        <v>111</v>
      </c>
      <c r="I131" s="119">
        <f t="shared" ref="I131:I136" si="109">D131+E131</f>
        <v>79</v>
      </c>
      <c r="J131" s="119">
        <f>G131*M$2</f>
        <v>4787.43</v>
      </c>
      <c r="K131" s="147">
        <f>I131*M$2</f>
        <v>3407.27</v>
      </c>
      <c r="L131" s="119">
        <f t="shared" ref="L131:L136" si="110">J131*104</f>
        <v>497892.72000000003</v>
      </c>
      <c r="M131" s="119">
        <f t="shared" ref="M131:M136" si="111">I131*104</f>
        <v>8216</v>
      </c>
      <c r="N131" s="19"/>
      <c r="O131" s="19"/>
      <c r="P131" s="140"/>
      <c r="Q131" s="179">
        <v>6</v>
      </c>
      <c r="R131" s="179"/>
      <c r="S131" s="203"/>
      <c r="T131" s="293"/>
      <c r="U131" s="188"/>
      <c r="V131" s="227"/>
      <c r="W131" s="178">
        <f>J131-(Q131*($M$2-$K$1))-(R131*($M$2-$M$1))- (S131*($M$2-$I$2))+ (T131*($G$2))</f>
        <v>4681.05</v>
      </c>
      <c r="X131" s="178">
        <f>H131*$M$2</f>
        <v>4787.43</v>
      </c>
    </row>
    <row r="132" spans="1:24" ht="15" customHeight="1" x14ac:dyDescent="0.25">
      <c r="A132" s="254"/>
      <c r="B132" s="119">
        <v>45</v>
      </c>
      <c r="C132" s="119">
        <v>33</v>
      </c>
      <c r="D132" s="120">
        <f>'Data Ocupacion'!AN38</f>
        <v>45</v>
      </c>
      <c r="E132" s="120">
        <f>'Data Ocupacion'!AO38</f>
        <v>33</v>
      </c>
      <c r="F132" s="119" t="s">
        <v>52</v>
      </c>
      <c r="G132" s="119">
        <f t="shared" si="108"/>
        <v>111</v>
      </c>
      <c r="H132" s="119">
        <f t="shared" ref="H132:H136" si="112">B132+C132*2</f>
        <v>111</v>
      </c>
      <c r="I132" s="119">
        <f t="shared" si="109"/>
        <v>78</v>
      </c>
      <c r="J132" s="119">
        <f>G132*M$2</f>
        <v>4787.43</v>
      </c>
      <c r="K132" s="147">
        <f>I132*M$2</f>
        <v>3364.1400000000003</v>
      </c>
      <c r="L132" s="119">
        <f t="shared" si="110"/>
        <v>497892.72000000003</v>
      </c>
      <c r="M132" s="119">
        <f t="shared" si="111"/>
        <v>8112</v>
      </c>
      <c r="N132" s="19"/>
      <c r="O132" s="19"/>
      <c r="P132" s="140"/>
      <c r="Q132" s="183"/>
      <c r="R132" s="183"/>
      <c r="S132" s="215"/>
      <c r="T132" s="179">
        <v>6</v>
      </c>
      <c r="U132" s="215"/>
      <c r="V132" s="228"/>
      <c r="W132" s="181">
        <f>J132-(T132*($M$2-$K$1)+(U132*($M$2-$M$1)))</f>
        <v>4681.05</v>
      </c>
      <c r="X132" s="178">
        <f>H132*$M$2</f>
        <v>4787.43</v>
      </c>
    </row>
    <row r="133" spans="1:24" ht="15" customHeight="1" x14ac:dyDescent="0.25">
      <c r="A133" s="254"/>
      <c r="B133" s="119">
        <v>29</v>
      </c>
      <c r="C133" s="119">
        <v>4</v>
      </c>
      <c r="D133" s="120">
        <f>'Data Ocupacion'!AN39</f>
        <v>28</v>
      </c>
      <c r="E133" s="120">
        <f>'Data Ocupacion'!AO39</f>
        <v>5</v>
      </c>
      <c r="F133" s="119" t="s">
        <v>36</v>
      </c>
      <c r="G133" s="119">
        <f t="shared" si="108"/>
        <v>38</v>
      </c>
      <c r="H133" s="119">
        <f t="shared" si="112"/>
        <v>37</v>
      </c>
      <c r="I133" s="119">
        <f t="shared" si="109"/>
        <v>33</v>
      </c>
      <c r="J133" s="119">
        <f>G133*M$1</f>
        <v>1106.18</v>
      </c>
      <c r="K133" s="147">
        <f>I133*M$1</f>
        <v>960.63</v>
      </c>
      <c r="L133" s="119">
        <f t="shared" si="110"/>
        <v>115042.72</v>
      </c>
      <c r="M133" s="119">
        <f t="shared" si="111"/>
        <v>3432</v>
      </c>
      <c r="N133" s="19"/>
      <c r="O133" s="19"/>
      <c r="P133" s="140"/>
      <c r="Q133" s="182"/>
      <c r="R133" s="184"/>
      <c r="S133" s="204"/>
      <c r="T133" s="185"/>
      <c r="U133" s="186"/>
      <c r="V133" s="186"/>
      <c r="W133" s="178">
        <f>J133-(Q133*($M$1-$K$1))</f>
        <v>1106.18</v>
      </c>
      <c r="X133" s="178">
        <f>H133*$M$1</f>
        <v>1077.07</v>
      </c>
    </row>
    <row r="134" spans="1:24" ht="15" customHeight="1" x14ac:dyDescent="0.25">
      <c r="A134" s="254"/>
      <c r="B134" s="119">
        <v>28</v>
      </c>
      <c r="C134" s="119">
        <v>4</v>
      </c>
      <c r="D134" s="120">
        <f>'Data Ocupacion'!AN40</f>
        <v>27</v>
      </c>
      <c r="E134" s="120">
        <f>'Data Ocupacion'!AO40</f>
        <v>5</v>
      </c>
      <c r="F134" s="119" t="s">
        <v>53</v>
      </c>
      <c r="G134" s="119">
        <f t="shared" si="108"/>
        <v>37</v>
      </c>
      <c r="H134" s="119">
        <f t="shared" si="112"/>
        <v>36</v>
      </c>
      <c r="I134" s="119">
        <f t="shared" si="109"/>
        <v>32</v>
      </c>
      <c r="J134" s="119">
        <f>G134*M$1</f>
        <v>1077.07</v>
      </c>
      <c r="K134" s="147">
        <f>I134*M$1</f>
        <v>931.52</v>
      </c>
      <c r="L134" s="119">
        <f t="shared" si="110"/>
        <v>112015.28</v>
      </c>
      <c r="M134" s="119">
        <f t="shared" si="111"/>
        <v>3328</v>
      </c>
      <c r="N134" s="19"/>
      <c r="O134" s="19"/>
      <c r="P134" s="140"/>
      <c r="Q134" s="186"/>
      <c r="R134" s="186"/>
      <c r="S134" s="186"/>
      <c r="T134" s="186"/>
      <c r="U134" s="186"/>
      <c r="V134" s="186"/>
      <c r="W134" s="178">
        <f>J134</f>
        <v>1077.07</v>
      </c>
      <c r="X134" s="178">
        <f>H134*$M$1</f>
        <v>1047.96</v>
      </c>
    </row>
    <row r="135" spans="1:24" ht="15" customHeight="1" x14ac:dyDescent="0.25">
      <c r="A135" s="254"/>
      <c r="B135" s="119">
        <v>0</v>
      </c>
      <c r="C135" s="119">
        <v>0</v>
      </c>
      <c r="D135" s="120">
        <f>'Data Ocupacion'!AN41</f>
        <v>0</v>
      </c>
      <c r="E135" s="120">
        <f>'Data Ocupacion'!AO41</f>
        <v>0</v>
      </c>
      <c r="F135" s="119" t="s">
        <v>122</v>
      </c>
      <c r="G135" s="119">
        <f t="shared" si="108"/>
        <v>0</v>
      </c>
      <c r="H135" s="119">
        <f t="shared" si="112"/>
        <v>0</v>
      </c>
      <c r="I135" s="119">
        <f t="shared" si="109"/>
        <v>0</v>
      </c>
      <c r="J135" s="119">
        <f>G135*K$1</f>
        <v>0</v>
      </c>
      <c r="K135" s="147">
        <f>I135*K$1</f>
        <v>0</v>
      </c>
      <c r="L135" s="119">
        <f t="shared" si="110"/>
        <v>0</v>
      </c>
      <c r="M135" s="119">
        <f t="shared" si="111"/>
        <v>0</v>
      </c>
      <c r="N135" s="19"/>
      <c r="O135" s="19"/>
      <c r="P135" s="140"/>
      <c r="Q135" s="186"/>
      <c r="R135" s="186"/>
      <c r="S135" s="186"/>
      <c r="T135" s="186"/>
      <c r="U135" s="186"/>
      <c r="V135" s="186"/>
      <c r="W135" s="178">
        <f>J135</f>
        <v>0</v>
      </c>
      <c r="X135" s="178">
        <f>H135*$K$1</f>
        <v>0</v>
      </c>
    </row>
    <row r="136" spans="1:24" ht="15" customHeight="1" thickBot="1" x14ac:dyDescent="0.3">
      <c r="A136" s="254"/>
      <c r="B136" s="119">
        <v>1</v>
      </c>
      <c r="C136" s="119">
        <v>0</v>
      </c>
      <c r="D136" s="120">
        <f>'Data Ocupacion'!AN42</f>
        <v>1</v>
      </c>
      <c r="E136" s="120">
        <f>'Data Ocupacion'!AO42</f>
        <v>0</v>
      </c>
      <c r="F136" s="119" t="s">
        <v>35</v>
      </c>
      <c r="G136" s="119">
        <f t="shared" si="108"/>
        <v>1</v>
      </c>
      <c r="H136" s="119">
        <f t="shared" si="112"/>
        <v>1</v>
      </c>
      <c r="I136" s="119">
        <f t="shared" si="109"/>
        <v>1</v>
      </c>
      <c r="J136" s="119">
        <f>G136*K$1</f>
        <v>25.4</v>
      </c>
      <c r="K136" s="147">
        <f>I136*K$1</f>
        <v>25.4</v>
      </c>
      <c r="L136" s="119">
        <f t="shared" si="110"/>
        <v>2641.6</v>
      </c>
      <c r="M136" s="119">
        <f t="shared" si="111"/>
        <v>104</v>
      </c>
      <c r="N136" s="19"/>
      <c r="O136" s="19"/>
      <c r="P136" s="140"/>
      <c r="Q136" s="186"/>
      <c r="R136" s="186"/>
      <c r="S136" s="186"/>
      <c r="T136" s="186"/>
      <c r="U136" s="186"/>
      <c r="V136" s="186"/>
      <c r="W136" s="178">
        <f>J136</f>
        <v>25.4</v>
      </c>
      <c r="X136" s="178">
        <f>H136*$K$1</f>
        <v>25.4</v>
      </c>
    </row>
    <row r="137" spans="1:24" s="118" customFormat="1" ht="15" customHeight="1" thickBot="1" x14ac:dyDescent="0.3">
      <c r="A137" s="20"/>
      <c r="B137" s="216">
        <f>SUM(B131:B136)</f>
        <v>150</v>
      </c>
      <c r="C137" s="216">
        <f>SUM(C131:C136)</f>
        <v>73</v>
      </c>
      <c r="D137" s="146">
        <f>SUM(D131:D136)</f>
        <v>148</v>
      </c>
      <c r="E137" s="146">
        <f>SUM(E131:E136)</f>
        <v>75</v>
      </c>
      <c r="F137" s="113"/>
      <c r="G137" s="113">
        <f t="shared" ref="G137:M137" si="113">SUM(G131:G136)</f>
        <v>298</v>
      </c>
      <c r="H137" s="113">
        <f t="shared" si="113"/>
        <v>296</v>
      </c>
      <c r="I137" s="113">
        <f t="shared" si="113"/>
        <v>223</v>
      </c>
      <c r="J137" s="114">
        <f t="shared" si="113"/>
        <v>11783.51</v>
      </c>
      <c r="K137" s="113">
        <f t="shared" si="113"/>
        <v>8688.9599999999991</v>
      </c>
      <c r="L137" s="112">
        <f t="shared" si="113"/>
        <v>1225485.0400000003</v>
      </c>
      <c r="M137" s="145">
        <f t="shared" si="113"/>
        <v>23192</v>
      </c>
      <c r="N137" s="117">
        <f>'Odometro-Kilometraje'!T81</f>
        <v>12083</v>
      </c>
      <c r="O137" s="21">
        <f>(W137/N137)*100</f>
        <v>95.760572705453939</v>
      </c>
      <c r="P137" s="189"/>
      <c r="Q137" s="177"/>
      <c r="R137" s="177"/>
      <c r="S137" s="177"/>
      <c r="T137" s="177"/>
      <c r="U137" s="177"/>
      <c r="V137" s="177"/>
      <c r="W137" s="190">
        <f>SUM(W131:W136)</f>
        <v>11570.75</v>
      </c>
      <c r="X137" s="190">
        <f>SUM(X131:X136)</f>
        <v>11725.289999999999</v>
      </c>
    </row>
    <row r="138" spans="1:24" ht="15.95" customHeight="1" x14ac:dyDescent="0.25">
      <c r="A138" s="61">
        <f>A131+1</f>
        <v>45828</v>
      </c>
      <c r="B138" s="217">
        <v>51</v>
      </c>
      <c r="C138" s="217">
        <v>3</v>
      </c>
      <c r="D138" s="132">
        <f>'Data Ocupacion'!AP37</f>
        <v>51</v>
      </c>
      <c r="E138" s="132">
        <f>'Data Ocupacion'!AQ37</f>
        <v>3</v>
      </c>
      <c r="F138" s="217" t="s">
        <v>38</v>
      </c>
      <c r="G138" s="217">
        <f t="shared" ref="G138:G143" si="114">D138+E138*2</f>
        <v>57</v>
      </c>
      <c r="H138" s="217">
        <f>B138+C138*2</f>
        <v>57</v>
      </c>
      <c r="I138" s="217">
        <f t="shared" ref="I138:I143" si="115">D138+E138</f>
        <v>54</v>
      </c>
      <c r="J138" s="217">
        <f>G138*M$2</f>
        <v>2458.4100000000003</v>
      </c>
      <c r="K138" s="147">
        <f>I138*M$2</f>
        <v>2329.02</v>
      </c>
      <c r="L138" s="217">
        <f t="shared" ref="L138:L143" si="116">J138*104</f>
        <v>255674.64000000004</v>
      </c>
      <c r="M138" s="217">
        <f t="shared" ref="M138:M143" si="117">I138*104</f>
        <v>5616</v>
      </c>
      <c r="N138" s="19"/>
      <c r="O138" s="19"/>
      <c r="P138" s="140"/>
      <c r="Q138" s="179"/>
      <c r="R138" s="179"/>
      <c r="S138" s="203"/>
      <c r="T138" s="293"/>
      <c r="U138" s="188"/>
      <c r="V138" s="227"/>
      <c r="W138" s="178">
        <f>J138-(Q138*($M$2-$K$1))-(R138*($M$2-$M$1))- (S138*($M$2-$I$2))+ (T138*($G$2))</f>
        <v>2458.4100000000003</v>
      </c>
      <c r="X138" s="178">
        <f>H138*$M$2</f>
        <v>2458.4100000000003</v>
      </c>
    </row>
    <row r="139" spans="1:24" ht="15" customHeight="1" x14ac:dyDescent="0.25">
      <c r="A139" s="258"/>
      <c r="B139" s="217">
        <v>57</v>
      </c>
      <c r="C139" s="217">
        <v>0</v>
      </c>
      <c r="D139" s="132">
        <f>'Data Ocupacion'!AP38</f>
        <v>57</v>
      </c>
      <c r="E139" s="132">
        <f>'Data Ocupacion'!AQ38</f>
        <v>0</v>
      </c>
      <c r="F139" s="217" t="s">
        <v>52</v>
      </c>
      <c r="G139" s="217">
        <f t="shared" si="114"/>
        <v>57</v>
      </c>
      <c r="H139" s="217">
        <f t="shared" ref="H139:H143" si="118">B139+C139*2</f>
        <v>57</v>
      </c>
      <c r="I139" s="217">
        <f t="shared" si="115"/>
        <v>57</v>
      </c>
      <c r="J139" s="217">
        <f>G139*M$2</f>
        <v>2458.4100000000003</v>
      </c>
      <c r="K139" s="147">
        <f>I139*M$2</f>
        <v>2458.4100000000003</v>
      </c>
      <c r="L139" s="217">
        <f t="shared" si="116"/>
        <v>255674.64000000004</v>
      </c>
      <c r="M139" s="217">
        <f t="shared" si="117"/>
        <v>5928</v>
      </c>
      <c r="N139" s="19"/>
      <c r="O139" s="19"/>
      <c r="P139" s="140"/>
      <c r="Q139" s="183"/>
      <c r="R139" s="183"/>
      <c r="S139" s="215"/>
      <c r="T139" s="179"/>
      <c r="U139" s="215"/>
      <c r="V139" s="228"/>
      <c r="W139" s="181">
        <f>J139-(T139*($M$2-$K$1)+(U139*($M$2-$M$1)))</f>
        <v>2458.4100000000003</v>
      </c>
      <c r="X139" s="178">
        <f>H139*$M$2</f>
        <v>2458.4100000000003</v>
      </c>
    </row>
    <row r="140" spans="1:24" ht="15" customHeight="1" x14ac:dyDescent="0.25">
      <c r="A140" s="258"/>
      <c r="B140" s="217">
        <v>0</v>
      </c>
      <c r="C140" s="217">
        <v>0</v>
      </c>
      <c r="D140" s="132">
        <f>'Data Ocupacion'!AP39</f>
        <v>0</v>
      </c>
      <c r="E140" s="132">
        <f>'Data Ocupacion'!AQ39</f>
        <v>0</v>
      </c>
      <c r="F140" s="217" t="s">
        <v>36</v>
      </c>
      <c r="G140" s="217">
        <f t="shared" si="114"/>
        <v>0</v>
      </c>
      <c r="H140" s="217">
        <f t="shared" si="118"/>
        <v>0</v>
      </c>
      <c r="I140" s="217">
        <f t="shared" si="115"/>
        <v>0</v>
      </c>
      <c r="J140" s="217">
        <f>G140*M$1</f>
        <v>0</v>
      </c>
      <c r="K140" s="147">
        <f>I140*M$1</f>
        <v>0</v>
      </c>
      <c r="L140" s="217">
        <f t="shared" si="116"/>
        <v>0</v>
      </c>
      <c r="M140" s="217">
        <f t="shared" si="117"/>
        <v>0</v>
      </c>
      <c r="N140" s="19"/>
      <c r="O140" s="19"/>
      <c r="P140" s="140"/>
      <c r="Q140" s="182"/>
      <c r="R140" s="184"/>
      <c r="S140" s="204"/>
      <c r="T140" s="185"/>
      <c r="U140" s="186"/>
      <c r="V140" s="186"/>
      <c r="W140" s="178">
        <f>J140-(Q140*($M$1-$K$1))</f>
        <v>0</v>
      </c>
      <c r="X140" s="178">
        <f>H140*$M$1</f>
        <v>0</v>
      </c>
    </row>
    <row r="141" spans="1:24" ht="15" customHeight="1" x14ac:dyDescent="0.25">
      <c r="A141" s="258"/>
      <c r="B141" s="217">
        <v>0</v>
      </c>
      <c r="C141" s="217">
        <v>0</v>
      </c>
      <c r="D141" s="132">
        <f>'Data Ocupacion'!AP40</f>
        <v>0</v>
      </c>
      <c r="E141" s="132">
        <f>'Data Ocupacion'!AQ40</f>
        <v>0</v>
      </c>
      <c r="F141" s="217" t="s">
        <v>53</v>
      </c>
      <c r="G141" s="217">
        <f t="shared" si="114"/>
        <v>0</v>
      </c>
      <c r="H141" s="217">
        <f t="shared" si="118"/>
        <v>0</v>
      </c>
      <c r="I141" s="217">
        <f t="shared" si="115"/>
        <v>0</v>
      </c>
      <c r="J141" s="217">
        <f>G141*M$1</f>
        <v>0</v>
      </c>
      <c r="K141" s="147">
        <f>I141*M$1</f>
        <v>0</v>
      </c>
      <c r="L141" s="217">
        <f t="shared" si="116"/>
        <v>0</v>
      </c>
      <c r="M141" s="217">
        <f t="shared" si="117"/>
        <v>0</v>
      </c>
      <c r="N141" s="19"/>
      <c r="O141" s="19"/>
      <c r="P141" s="140"/>
      <c r="Q141" s="186"/>
      <c r="R141" s="186"/>
      <c r="S141" s="186"/>
      <c r="T141" s="186"/>
      <c r="U141" s="186"/>
      <c r="V141" s="186"/>
      <c r="W141" s="178">
        <f>J141</f>
        <v>0</v>
      </c>
      <c r="X141" s="178">
        <f>H141*$M$1</f>
        <v>0</v>
      </c>
    </row>
    <row r="142" spans="1:24" ht="15" customHeight="1" x14ac:dyDescent="0.25">
      <c r="A142" s="258"/>
      <c r="B142" s="217">
        <v>0</v>
      </c>
      <c r="C142" s="217">
        <v>0</v>
      </c>
      <c r="D142" s="132">
        <f>'Data Ocupacion'!AP41</f>
        <v>0</v>
      </c>
      <c r="E142" s="132">
        <f>'Data Ocupacion'!AQ41</f>
        <v>0</v>
      </c>
      <c r="F142" s="217" t="s">
        <v>122</v>
      </c>
      <c r="G142" s="217">
        <f t="shared" si="114"/>
        <v>0</v>
      </c>
      <c r="H142" s="217">
        <f t="shared" si="118"/>
        <v>0</v>
      </c>
      <c r="I142" s="217">
        <f t="shared" si="115"/>
        <v>0</v>
      </c>
      <c r="J142" s="217">
        <f>G142*K$1</f>
        <v>0</v>
      </c>
      <c r="K142" s="147">
        <f>I142*K$1</f>
        <v>0</v>
      </c>
      <c r="L142" s="217">
        <f t="shared" si="116"/>
        <v>0</v>
      </c>
      <c r="M142" s="217">
        <f t="shared" si="117"/>
        <v>0</v>
      </c>
      <c r="N142" s="19"/>
      <c r="O142" s="19"/>
      <c r="P142" s="140"/>
      <c r="Q142" s="186"/>
      <c r="R142" s="186"/>
      <c r="S142" s="186"/>
      <c r="T142" s="186"/>
      <c r="U142" s="186"/>
      <c r="V142" s="186"/>
      <c r="W142" s="178">
        <f>J142</f>
        <v>0</v>
      </c>
      <c r="X142" s="178">
        <f>H142*$K$1</f>
        <v>0</v>
      </c>
    </row>
    <row r="143" spans="1:24" ht="15" customHeight="1" thickBot="1" x14ac:dyDescent="0.3">
      <c r="A143" s="258"/>
      <c r="B143" s="217">
        <v>0</v>
      </c>
      <c r="C143" s="217">
        <v>0</v>
      </c>
      <c r="D143" s="132">
        <f>'Data Ocupacion'!AP42</f>
        <v>0</v>
      </c>
      <c r="E143" s="132">
        <f>'Data Ocupacion'!AQ42</f>
        <v>0</v>
      </c>
      <c r="F143" s="217" t="s">
        <v>35</v>
      </c>
      <c r="G143" s="217">
        <f t="shared" si="114"/>
        <v>0</v>
      </c>
      <c r="H143" s="217">
        <f t="shared" si="118"/>
        <v>0</v>
      </c>
      <c r="I143" s="217">
        <f t="shared" si="115"/>
        <v>0</v>
      </c>
      <c r="J143" s="217">
        <f>G143*K$1</f>
        <v>0</v>
      </c>
      <c r="K143" s="147">
        <f>I143*K$1</f>
        <v>0</v>
      </c>
      <c r="L143" s="217">
        <f t="shared" si="116"/>
        <v>0</v>
      </c>
      <c r="M143" s="217">
        <f t="shared" si="117"/>
        <v>0</v>
      </c>
      <c r="N143" s="19"/>
      <c r="O143" s="19"/>
      <c r="P143" s="140"/>
      <c r="Q143" s="186"/>
      <c r="R143" s="186"/>
      <c r="S143" s="186"/>
      <c r="T143" s="186"/>
      <c r="U143" s="186"/>
      <c r="V143" s="186"/>
      <c r="W143" s="178">
        <f>J143</f>
        <v>0</v>
      </c>
      <c r="X143" s="178">
        <f>H143*$K$1</f>
        <v>0</v>
      </c>
    </row>
    <row r="144" spans="1:24" s="118" customFormat="1" ht="15" customHeight="1" thickBot="1" x14ac:dyDescent="0.3">
      <c r="A144" s="20"/>
      <c r="B144" s="216">
        <f>SUM(B138:B143)</f>
        <v>108</v>
      </c>
      <c r="C144" s="216">
        <f>SUM(C138:C143)</f>
        <v>3</v>
      </c>
      <c r="D144" s="146">
        <f>SUM(D138:D143)</f>
        <v>108</v>
      </c>
      <c r="E144" s="146">
        <f>SUM(E138:E143)</f>
        <v>3</v>
      </c>
      <c r="F144" s="113"/>
      <c r="G144" s="113">
        <f t="shared" ref="G144:M144" si="119">SUM(G138:G143)</f>
        <v>114</v>
      </c>
      <c r="H144" s="113">
        <f t="shared" si="119"/>
        <v>114</v>
      </c>
      <c r="I144" s="113">
        <f t="shared" si="119"/>
        <v>111</v>
      </c>
      <c r="J144" s="114">
        <f t="shared" si="119"/>
        <v>4916.8200000000006</v>
      </c>
      <c r="K144" s="113">
        <f t="shared" si="119"/>
        <v>4787.43</v>
      </c>
      <c r="L144" s="112">
        <f t="shared" si="119"/>
        <v>511349.28000000009</v>
      </c>
      <c r="M144" s="145">
        <f t="shared" si="119"/>
        <v>11544</v>
      </c>
      <c r="N144" s="117">
        <f>'Odometro-Kilometraje'!U81</f>
        <v>4935</v>
      </c>
      <c r="O144" s="21">
        <f>(W144/N144)*100</f>
        <v>99.631610942249253</v>
      </c>
      <c r="P144" s="189"/>
      <c r="Q144" s="177"/>
      <c r="R144" s="177"/>
      <c r="S144" s="177"/>
      <c r="T144" s="177"/>
      <c r="U144" s="177"/>
      <c r="V144" s="177"/>
      <c r="W144" s="190">
        <f>SUM(W138:W143)</f>
        <v>4916.8200000000006</v>
      </c>
      <c r="X144" s="190">
        <f>SUM(X138:X143)</f>
        <v>4916.8200000000006</v>
      </c>
    </row>
    <row r="145" spans="1:26" x14ac:dyDescent="0.25">
      <c r="A145" s="61">
        <f>A138+1</f>
        <v>45829</v>
      </c>
      <c r="B145" s="110">
        <v>69</v>
      </c>
      <c r="C145" s="110">
        <v>3</v>
      </c>
      <c r="D145" s="141">
        <f>'Data Ocupacion'!AR37</f>
        <v>69</v>
      </c>
      <c r="E145" s="141">
        <f>'Data Ocupacion'!AS37</f>
        <v>3</v>
      </c>
      <c r="F145" s="308" t="s">
        <v>38</v>
      </c>
      <c r="G145" s="309">
        <f t="shared" ref="G145:G150" si="120">D145+E145*2</f>
        <v>75</v>
      </c>
      <c r="H145" s="110">
        <f>B145+C145*2</f>
        <v>75</v>
      </c>
      <c r="I145" s="310">
        <f t="shared" ref="I145:I150" si="121">D145+E145</f>
        <v>72</v>
      </c>
      <c r="J145" s="310">
        <f>G145*M$2</f>
        <v>3234.75</v>
      </c>
      <c r="K145" s="147">
        <f>I145*M$2</f>
        <v>3105.36</v>
      </c>
      <c r="L145" s="110">
        <f t="shared" ref="L145:L150" si="122">J145*104</f>
        <v>336414</v>
      </c>
      <c r="M145" s="110">
        <f t="shared" ref="M145:M150" si="123">I145*104</f>
        <v>7488</v>
      </c>
      <c r="N145" s="19"/>
      <c r="O145" s="19"/>
      <c r="P145" s="140"/>
      <c r="Q145" s="179"/>
      <c r="R145" s="179"/>
      <c r="S145" s="203"/>
      <c r="T145" s="203"/>
      <c r="U145" s="188"/>
      <c r="V145" s="227"/>
      <c r="W145" s="178">
        <f>J145-(Q145*($M$2-$K$1))-(R145*($M$2-$M$1))- (S145*($M$2-$I$2))+ (T145*($G$2))</f>
        <v>3234.75</v>
      </c>
      <c r="X145" s="178">
        <f>H145*$M$2</f>
        <v>3234.75</v>
      </c>
    </row>
    <row r="146" spans="1:26" ht="15" customHeight="1" x14ac:dyDescent="0.25">
      <c r="A146" s="254"/>
      <c r="B146" s="110">
        <v>75</v>
      </c>
      <c r="C146" s="110">
        <v>0</v>
      </c>
      <c r="D146" s="141">
        <f>'Data Ocupacion'!AR38</f>
        <v>75</v>
      </c>
      <c r="E146" s="141">
        <f>'Data Ocupacion'!AS38</f>
        <v>0</v>
      </c>
      <c r="F146" s="308" t="s">
        <v>52</v>
      </c>
      <c r="G146" s="309">
        <f t="shared" si="120"/>
        <v>75</v>
      </c>
      <c r="H146" s="110">
        <f t="shared" ref="H146:H150" si="124">B146+C146*2</f>
        <v>75</v>
      </c>
      <c r="I146" s="110">
        <f t="shared" si="121"/>
        <v>75</v>
      </c>
      <c r="J146" s="110">
        <f>G146*M$2</f>
        <v>3234.75</v>
      </c>
      <c r="K146" s="147">
        <f>I146*M$2</f>
        <v>3234.75</v>
      </c>
      <c r="L146" s="110">
        <f t="shared" si="122"/>
        <v>336414</v>
      </c>
      <c r="M146" s="110">
        <f t="shared" si="123"/>
        <v>7800</v>
      </c>
      <c r="N146" s="19"/>
      <c r="O146" s="19"/>
      <c r="P146" s="140"/>
      <c r="Q146" s="183"/>
      <c r="R146" s="183"/>
      <c r="S146" s="215"/>
      <c r="T146" s="179"/>
      <c r="U146" s="215"/>
      <c r="V146" s="228"/>
      <c r="W146" s="181">
        <f>J146-(T146*($M$2-$K$1)+(U146*($M$2-$M$1)))</f>
        <v>3234.75</v>
      </c>
      <c r="X146" s="178">
        <f>H146*$M$2</f>
        <v>3234.75</v>
      </c>
    </row>
    <row r="147" spans="1:26" x14ac:dyDescent="0.25">
      <c r="A147" s="254"/>
      <c r="B147" s="110">
        <v>0</v>
      </c>
      <c r="C147" s="110">
        <v>0</v>
      </c>
      <c r="D147" s="141">
        <f>'Data Ocupacion'!AR39</f>
        <v>0</v>
      </c>
      <c r="E147" s="141">
        <f>'Data Ocupacion'!AS39</f>
        <v>0</v>
      </c>
      <c r="F147" s="308" t="s">
        <v>36</v>
      </c>
      <c r="G147" s="309">
        <f t="shared" si="120"/>
        <v>0</v>
      </c>
      <c r="H147" s="110">
        <f t="shared" si="124"/>
        <v>0</v>
      </c>
      <c r="I147" s="110">
        <f t="shared" si="121"/>
        <v>0</v>
      </c>
      <c r="J147" s="110">
        <f>G147*M$1</f>
        <v>0</v>
      </c>
      <c r="K147" s="147">
        <f>I147*M$1</f>
        <v>0</v>
      </c>
      <c r="L147" s="110">
        <f t="shared" si="122"/>
        <v>0</v>
      </c>
      <c r="M147" s="110">
        <f t="shared" si="123"/>
        <v>0</v>
      </c>
      <c r="N147" s="19"/>
      <c r="O147" s="19"/>
      <c r="P147" s="140"/>
      <c r="Q147" s="182"/>
      <c r="R147" s="184"/>
      <c r="S147" s="204"/>
      <c r="T147" s="185"/>
      <c r="U147" s="186"/>
      <c r="V147" s="186"/>
      <c r="W147" s="178">
        <f>J147-(Q147*($M$1-$K$1))</f>
        <v>0</v>
      </c>
      <c r="X147" s="178">
        <f>H147*$M$1</f>
        <v>0</v>
      </c>
    </row>
    <row r="148" spans="1:26" x14ac:dyDescent="0.25">
      <c r="A148" s="254"/>
      <c r="B148" s="110">
        <v>0</v>
      </c>
      <c r="C148" s="110">
        <v>0</v>
      </c>
      <c r="D148" s="141">
        <f>'Data Ocupacion'!AR40</f>
        <v>0</v>
      </c>
      <c r="E148" s="141">
        <f>'Data Ocupacion'!AS40</f>
        <v>0</v>
      </c>
      <c r="F148" s="308" t="s">
        <v>53</v>
      </c>
      <c r="G148" s="309">
        <f t="shared" si="120"/>
        <v>0</v>
      </c>
      <c r="H148" s="110">
        <f t="shared" si="124"/>
        <v>0</v>
      </c>
      <c r="I148" s="110">
        <f t="shared" si="121"/>
        <v>0</v>
      </c>
      <c r="J148" s="110">
        <f>G148*M$1</f>
        <v>0</v>
      </c>
      <c r="K148" s="147">
        <f>I148*M$1</f>
        <v>0</v>
      </c>
      <c r="L148" s="110">
        <f t="shared" si="122"/>
        <v>0</v>
      </c>
      <c r="M148" s="110">
        <f t="shared" si="123"/>
        <v>0</v>
      </c>
      <c r="N148" s="19"/>
      <c r="O148" s="19"/>
      <c r="P148" s="241"/>
      <c r="Q148" s="186"/>
      <c r="R148" s="186"/>
      <c r="S148" s="186"/>
      <c r="T148" s="186"/>
      <c r="U148" s="186"/>
      <c r="V148" s="186"/>
      <c r="W148" s="178">
        <f>J148</f>
        <v>0</v>
      </c>
      <c r="X148" s="178">
        <f>H148*$M$1</f>
        <v>0</v>
      </c>
    </row>
    <row r="149" spans="1:26" ht="15" customHeight="1" x14ac:dyDescent="0.25">
      <c r="A149" s="254"/>
      <c r="B149" s="110">
        <v>0</v>
      </c>
      <c r="C149" s="110">
        <v>0</v>
      </c>
      <c r="D149" s="141">
        <f>'Data Ocupacion'!AR41</f>
        <v>0</v>
      </c>
      <c r="E149" s="141">
        <f>'Data Ocupacion'!AS41</f>
        <v>0</v>
      </c>
      <c r="F149" s="308" t="s">
        <v>122</v>
      </c>
      <c r="G149" s="309">
        <f t="shared" si="120"/>
        <v>0</v>
      </c>
      <c r="H149" s="110">
        <f t="shared" si="124"/>
        <v>0</v>
      </c>
      <c r="I149" s="110">
        <f t="shared" si="121"/>
        <v>0</v>
      </c>
      <c r="J149" s="311">
        <f>G149*K$1</f>
        <v>0</v>
      </c>
      <c r="K149" s="147">
        <f>I149*K$1</f>
        <v>0</v>
      </c>
      <c r="L149" s="110">
        <f t="shared" si="122"/>
        <v>0</v>
      </c>
      <c r="M149" s="110">
        <f t="shared" si="123"/>
        <v>0</v>
      </c>
      <c r="N149" s="19"/>
      <c r="O149" s="19"/>
      <c r="P149" s="140"/>
      <c r="Q149" s="186"/>
      <c r="R149" s="186"/>
      <c r="S149" s="186"/>
      <c r="T149" s="186"/>
      <c r="U149" s="186"/>
      <c r="V149" s="186"/>
      <c r="W149" s="178">
        <f>J149</f>
        <v>0</v>
      </c>
      <c r="X149" s="178">
        <f>H149*$K$1</f>
        <v>0</v>
      </c>
    </row>
    <row r="150" spans="1:26" ht="15.75" thickBot="1" x14ac:dyDescent="0.3">
      <c r="A150" s="254"/>
      <c r="B150" s="110">
        <v>0</v>
      </c>
      <c r="C150" s="110">
        <v>0</v>
      </c>
      <c r="D150" s="141">
        <f>'Data Ocupacion'!AR42</f>
        <v>0</v>
      </c>
      <c r="E150" s="141">
        <f>'Data Ocupacion'!AS42</f>
        <v>0</v>
      </c>
      <c r="F150" s="308" t="s">
        <v>35</v>
      </c>
      <c r="G150" s="309">
        <f t="shared" si="120"/>
        <v>0</v>
      </c>
      <c r="H150" s="110">
        <f t="shared" si="124"/>
        <v>0</v>
      </c>
      <c r="I150" s="312">
        <f t="shared" si="121"/>
        <v>0</v>
      </c>
      <c r="J150" s="312">
        <f>G150*K$1</f>
        <v>0</v>
      </c>
      <c r="K150" s="147">
        <f>I150*K$1</f>
        <v>0</v>
      </c>
      <c r="L150" s="110">
        <f t="shared" si="122"/>
        <v>0</v>
      </c>
      <c r="M150" s="110">
        <f t="shared" si="123"/>
        <v>0</v>
      </c>
      <c r="N150" s="19"/>
      <c r="O150" s="19"/>
      <c r="P150" s="140"/>
      <c r="Q150" s="186"/>
      <c r="R150" s="186"/>
      <c r="S150" s="186"/>
      <c r="T150" s="186"/>
      <c r="U150" s="186"/>
      <c r="V150" s="186"/>
      <c r="W150" s="178">
        <f>J150</f>
        <v>0</v>
      </c>
      <c r="X150" s="178">
        <f>H150*$K$1</f>
        <v>0</v>
      </c>
    </row>
    <row r="151" spans="1:26" s="118" customFormat="1" ht="15.75" thickBot="1" x14ac:dyDescent="0.3">
      <c r="A151" s="20"/>
      <c r="B151" s="216">
        <f>SUM(B145:B150)</f>
        <v>144</v>
      </c>
      <c r="C151" s="216">
        <f>SUM(C145:C150)</f>
        <v>3</v>
      </c>
      <c r="D151" s="142">
        <f>SUM(D145:D150)</f>
        <v>144</v>
      </c>
      <c r="E151" s="142">
        <f>SUM(E145:E150)</f>
        <v>3</v>
      </c>
      <c r="F151" s="113"/>
      <c r="G151" s="113">
        <f t="shared" ref="G151:M151" si="125">SUM(G145:G150)</f>
        <v>150</v>
      </c>
      <c r="H151" s="113">
        <f t="shared" si="125"/>
        <v>150</v>
      </c>
      <c r="I151" s="113">
        <f t="shared" si="125"/>
        <v>147</v>
      </c>
      <c r="J151" s="114">
        <f>SUM(J145:J150)</f>
        <v>6469.5</v>
      </c>
      <c r="K151" s="113">
        <f t="shared" si="125"/>
        <v>6340.1100000000006</v>
      </c>
      <c r="L151" s="113">
        <f t="shared" si="125"/>
        <v>672828</v>
      </c>
      <c r="M151" s="113">
        <f t="shared" si="125"/>
        <v>15288</v>
      </c>
      <c r="N151" s="117">
        <f>'Odometro-Kilometraje'!V81</f>
        <v>6501</v>
      </c>
      <c r="O151" s="21">
        <f>(W151/N151)*100</f>
        <v>99.515459160129211</v>
      </c>
      <c r="P151" s="189"/>
      <c r="Q151" s="177"/>
      <c r="R151" s="177"/>
      <c r="S151" s="177"/>
      <c r="T151" s="177"/>
      <c r="U151" s="177"/>
      <c r="V151" s="177"/>
      <c r="W151" s="190">
        <f>SUM(W145:W150)</f>
        <v>6469.5</v>
      </c>
      <c r="X151" s="190">
        <f>SUM(X145:X150)</f>
        <v>6469.5</v>
      </c>
    </row>
    <row r="152" spans="1:26" x14ac:dyDescent="0.25">
      <c r="A152" s="61">
        <f>A145+1</f>
        <v>45830</v>
      </c>
      <c r="B152" s="217">
        <v>51</v>
      </c>
      <c r="C152" s="217">
        <v>3</v>
      </c>
      <c r="D152" s="132">
        <f>'Data Ocupacion'!AT37</f>
        <v>51</v>
      </c>
      <c r="E152" s="132">
        <f>'Data Ocupacion'!AU37</f>
        <v>3</v>
      </c>
      <c r="F152" s="303" t="s">
        <v>38</v>
      </c>
      <c r="G152" s="304">
        <f t="shared" ref="G152:G157" si="126">D152+E152*2</f>
        <v>57</v>
      </c>
      <c r="H152" s="217">
        <f>B152+C152*2</f>
        <v>57</v>
      </c>
      <c r="I152" s="305">
        <f t="shared" ref="I152:I157" si="127">D152+E152</f>
        <v>54</v>
      </c>
      <c r="J152" s="305">
        <f>G152*M$2</f>
        <v>2458.4100000000003</v>
      </c>
      <c r="K152" s="147">
        <f>I152*M$2</f>
        <v>2329.02</v>
      </c>
      <c r="L152" s="217">
        <f t="shared" ref="L152:L157" si="128">J152*104</f>
        <v>255674.64000000004</v>
      </c>
      <c r="M152" s="217">
        <f t="shared" ref="M152:M157" si="129">I152*104</f>
        <v>5616</v>
      </c>
      <c r="N152" s="19"/>
      <c r="O152" s="19"/>
      <c r="P152" s="140"/>
      <c r="Q152" s="243"/>
      <c r="R152" s="179"/>
      <c r="S152" s="203"/>
      <c r="T152" s="243"/>
      <c r="U152" s="188"/>
      <c r="V152" s="227"/>
      <c r="W152" s="178">
        <f>J152-(Q152*($M$2-$K$1))-(R152*($M$2-$M$1))- (S152*($M$2-$I$2))+ (T152*($G$2))</f>
        <v>2458.4100000000003</v>
      </c>
      <c r="X152" s="178">
        <f>H152*$M$2</f>
        <v>2458.4100000000003</v>
      </c>
    </row>
    <row r="153" spans="1:26" ht="15" customHeight="1" x14ac:dyDescent="0.25">
      <c r="A153" s="254"/>
      <c r="B153" s="217">
        <v>57</v>
      </c>
      <c r="C153" s="217">
        <v>0</v>
      </c>
      <c r="D153" s="132">
        <f>'Data Ocupacion'!AT38</f>
        <v>57</v>
      </c>
      <c r="E153" s="132">
        <f>'Data Ocupacion'!AU38</f>
        <v>0</v>
      </c>
      <c r="F153" s="303" t="s">
        <v>52</v>
      </c>
      <c r="G153" s="304">
        <f t="shared" si="126"/>
        <v>57</v>
      </c>
      <c r="H153" s="217">
        <f t="shared" ref="H153:H157" si="130">B153+C153*2</f>
        <v>57</v>
      </c>
      <c r="I153" s="217">
        <f t="shared" si="127"/>
        <v>57</v>
      </c>
      <c r="J153" s="217">
        <f>G153*M$2</f>
        <v>2458.4100000000003</v>
      </c>
      <c r="K153" s="147">
        <f>I153*M$2</f>
        <v>2458.4100000000003</v>
      </c>
      <c r="L153" s="217">
        <f t="shared" si="128"/>
        <v>255674.64000000004</v>
      </c>
      <c r="M153" s="217">
        <f t="shared" si="129"/>
        <v>5928</v>
      </c>
      <c r="N153" s="19"/>
      <c r="O153" s="19"/>
      <c r="P153" s="140"/>
      <c r="Q153" s="183"/>
      <c r="R153" s="183"/>
      <c r="S153" s="183"/>
      <c r="T153" s="243"/>
      <c r="U153" s="201"/>
      <c r="V153" s="228"/>
      <c r="W153" s="181">
        <f>J153-(T153*($M$2-$K$1)+(U153*($M$2-$M$1)))</f>
        <v>2458.4100000000003</v>
      </c>
      <c r="X153" s="178">
        <f>H153*$M$2</f>
        <v>2458.4100000000003</v>
      </c>
      <c r="Y153" s="118"/>
      <c r="Z153" s="118"/>
    </row>
    <row r="154" spans="1:26" ht="14.45" customHeight="1" x14ac:dyDescent="0.25">
      <c r="A154" s="254"/>
      <c r="B154" s="217">
        <v>0</v>
      </c>
      <c r="C154" s="217">
        <v>0</v>
      </c>
      <c r="D154" s="132">
        <f>'Data Ocupacion'!AT39</f>
        <v>0</v>
      </c>
      <c r="E154" s="132">
        <f>'Data Ocupacion'!AU39</f>
        <v>0</v>
      </c>
      <c r="F154" s="303" t="s">
        <v>36</v>
      </c>
      <c r="G154" s="304">
        <f t="shared" si="126"/>
        <v>0</v>
      </c>
      <c r="H154" s="217">
        <f t="shared" si="130"/>
        <v>0</v>
      </c>
      <c r="I154" s="217">
        <f t="shared" si="127"/>
        <v>0</v>
      </c>
      <c r="J154" s="217">
        <f>G154*M$1</f>
        <v>0</v>
      </c>
      <c r="K154" s="147">
        <f>I154*M$1</f>
        <v>0</v>
      </c>
      <c r="L154" s="217">
        <f t="shared" si="128"/>
        <v>0</v>
      </c>
      <c r="M154" s="217">
        <f t="shared" si="129"/>
        <v>0</v>
      </c>
      <c r="N154" s="19"/>
      <c r="O154" s="19"/>
      <c r="P154" s="140"/>
      <c r="Q154" s="182"/>
      <c r="R154" s="184"/>
      <c r="S154" s="204"/>
      <c r="T154" s="185"/>
      <c r="U154" s="186"/>
      <c r="V154" s="186"/>
      <c r="W154" s="178">
        <f>J154-(Q154*($M$1-$K$1))</f>
        <v>0</v>
      </c>
      <c r="X154" s="178">
        <f>H154*$M$1</f>
        <v>0</v>
      </c>
      <c r="Y154" s="118"/>
      <c r="Z154" s="118"/>
    </row>
    <row r="155" spans="1:26" ht="15" customHeight="1" x14ac:dyDescent="0.25">
      <c r="A155" s="254"/>
      <c r="B155" s="217">
        <v>0</v>
      </c>
      <c r="C155" s="217">
        <v>0</v>
      </c>
      <c r="D155" s="132">
        <f>'Data Ocupacion'!AT40</f>
        <v>0</v>
      </c>
      <c r="E155" s="132">
        <f>'Data Ocupacion'!AU40</f>
        <v>0</v>
      </c>
      <c r="F155" s="303" t="s">
        <v>53</v>
      </c>
      <c r="G155" s="304">
        <f t="shared" si="126"/>
        <v>0</v>
      </c>
      <c r="H155" s="217">
        <f t="shared" si="130"/>
        <v>0</v>
      </c>
      <c r="I155" s="217">
        <f t="shared" si="127"/>
        <v>0</v>
      </c>
      <c r="J155" s="217">
        <f>G155*M$1</f>
        <v>0</v>
      </c>
      <c r="K155" s="147">
        <f>I155*M$1</f>
        <v>0</v>
      </c>
      <c r="L155" s="217">
        <f t="shared" si="128"/>
        <v>0</v>
      </c>
      <c r="M155" s="217">
        <f t="shared" si="129"/>
        <v>0</v>
      </c>
      <c r="N155" s="19"/>
      <c r="O155" s="19"/>
      <c r="P155" s="140"/>
      <c r="Q155" s="186"/>
      <c r="R155" s="186"/>
      <c r="S155" s="186"/>
      <c r="T155" s="186"/>
      <c r="U155" s="186"/>
      <c r="V155" s="186"/>
      <c r="W155" s="178">
        <f>J155</f>
        <v>0</v>
      </c>
      <c r="X155" s="178">
        <f>H155*$M$1</f>
        <v>0</v>
      </c>
      <c r="Y155" s="118"/>
      <c r="Z155" s="118"/>
    </row>
    <row r="156" spans="1:26" ht="13.5" customHeight="1" x14ac:dyDescent="0.25">
      <c r="A156" s="254"/>
      <c r="B156" s="217">
        <v>0</v>
      </c>
      <c r="C156" s="217">
        <v>0</v>
      </c>
      <c r="D156" s="132">
        <f>'Data Ocupacion'!AT41</f>
        <v>0</v>
      </c>
      <c r="E156" s="132">
        <f>'Data Ocupacion'!AU41</f>
        <v>0</v>
      </c>
      <c r="F156" s="303" t="s">
        <v>122</v>
      </c>
      <c r="G156" s="304">
        <f t="shared" si="126"/>
        <v>0</v>
      </c>
      <c r="H156" s="217">
        <f t="shared" si="130"/>
        <v>0</v>
      </c>
      <c r="I156" s="217">
        <f t="shared" si="127"/>
        <v>0</v>
      </c>
      <c r="J156" s="306">
        <f>G156*K$1</f>
        <v>0</v>
      </c>
      <c r="K156" s="147">
        <f>I156*M$1</f>
        <v>0</v>
      </c>
      <c r="L156" s="217">
        <f t="shared" si="128"/>
        <v>0</v>
      </c>
      <c r="M156" s="217">
        <f t="shared" si="129"/>
        <v>0</v>
      </c>
      <c r="N156" s="19"/>
      <c r="O156" s="19"/>
      <c r="P156" s="140"/>
      <c r="Q156" s="186"/>
      <c r="R156" s="186"/>
      <c r="S156" s="186"/>
      <c r="T156" s="186"/>
      <c r="U156" s="186"/>
      <c r="V156" s="186"/>
      <c r="W156" s="178">
        <f>J156</f>
        <v>0</v>
      </c>
      <c r="X156" s="178">
        <f>H156*$K$1</f>
        <v>0</v>
      </c>
      <c r="Y156" s="118"/>
      <c r="Z156" s="118"/>
    </row>
    <row r="157" spans="1:26" ht="15.75" thickBot="1" x14ac:dyDescent="0.3">
      <c r="A157" s="254"/>
      <c r="B157" s="217">
        <v>0</v>
      </c>
      <c r="C157" s="217">
        <v>0</v>
      </c>
      <c r="D157" s="132">
        <f>'Data Ocupacion'!AT42</f>
        <v>0</v>
      </c>
      <c r="E157" s="132">
        <f>'Data Ocupacion'!AU42</f>
        <v>0</v>
      </c>
      <c r="F157" s="303" t="s">
        <v>35</v>
      </c>
      <c r="G157" s="304">
        <f t="shared" si="126"/>
        <v>0</v>
      </c>
      <c r="H157" s="217">
        <f t="shared" si="130"/>
        <v>0</v>
      </c>
      <c r="I157" s="307">
        <f t="shared" si="127"/>
        <v>0</v>
      </c>
      <c r="J157" s="307">
        <f>G157*K$1</f>
        <v>0</v>
      </c>
      <c r="K157" s="147">
        <f>I157*K$1</f>
        <v>0</v>
      </c>
      <c r="L157" s="217">
        <f t="shared" si="128"/>
        <v>0</v>
      </c>
      <c r="M157" s="217">
        <f t="shared" si="129"/>
        <v>0</v>
      </c>
      <c r="N157" s="19"/>
      <c r="O157" s="19"/>
      <c r="P157" s="140"/>
      <c r="Q157" s="186"/>
      <c r="R157" s="186"/>
      <c r="S157" s="186"/>
      <c r="T157" s="186"/>
      <c r="U157" s="186"/>
      <c r="V157" s="186"/>
      <c r="W157" s="178">
        <f>J157</f>
        <v>0</v>
      </c>
      <c r="X157" s="178">
        <f>H157*$K$1</f>
        <v>0</v>
      </c>
    </row>
    <row r="158" spans="1:26" s="118" customFormat="1" ht="15.75" thickBot="1" x14ac:dyDescent="0.3">
      <c r="A158" s="20"/>
      <c r="B158" s="216">
        <f>SUM(B152:B157)</f>
        <v>108</v>
      </c>
      <c r="C158" s="216">
        <f>SUM(C152:C157)</f>
        <v>3</v>
      </c>
      <c r="D158" s="142">
        <f>SUM(D152:D157)</f>
        <v>108</v>
      </c>
      <c r="E158" s="142">
        <f>SUM(E152:E157)</f>
        <v>3</v>
      </c>
      <c r="F158" s="113"/>
      <c r="G158" s="113">
        <f t="shared" ref="G158:M158" si="131">SUM(G152:G157)</f>
        <v>114</v>
      </c>
      <c r="H158" s="113">
        <f t="shared" si="131"/>
        <v>114</v>
      </c>
      <c r="I158" s="113">
        <f t="shared" si="131"/>
        <v>111</v>
      </c>
      <c r="J158" s="114">
        <f t="shared" si="131"/>
        <v>4916.8200000000006</v>
      </c>
      <c r="K158" s="113">
        <f t="shared" si="131"/>
        <v>4787.43</v>
      </c>
      <c r="L158" s="113">
        <f t="shared" si="131"/>
        <v>511349.28000000009</v>
      </c>
      <c r="M158" s="113">
        <f t="shared" si="131"/>
        <v>11544</v>
      </c>
      <c r="N158" s="117">
        <f>'Odometro-Kilometraje'!W81</f>
        <v>4992</v>
      </c>
      <c r="O158" s="21">
        <f>(W158/N158)*100</f>
        <v>98.493990384615387</v>
      </c>
      <c r="P158" s="189"/>
      <c r="Q158" s="177"/>
      <c r="R158" s="177"/>
      <c r="S158" s="177"/>
      <c r="T158" s="177"/>
      <c r="U158" s="177"/>
      <c r="V158" s="177"/>
      <c r="W158" s="190">
        <f>SUM(W152:W157)</f>
        <v>4916.8200000000006</v>
      </c>
      <c r="X158" s="190">
        <f>SUM(X152:X157)</f>
        <v>4916.8200000000006</v>
      </c>
    </row>
    <row r="159" spans="1:26" s="118" customFormat="1" x14ac:dyDescent="0.25">
      <c r="A159" s="61">
        <f>A152+1</f>
        <v>45831</v>
      </c>
      <c r="B159" s="119">
        <v>47</v>
      </c>
      <c r="C159" s="119">
        <v>32</v>
      </c>
      <c r="D159" s="120">
        <f>'Data Ocupacion'!AV37</f>
        <v>34</v>
      </c>
      <c r="E159" s="120">
        <f>'Data Ocupacion'!AW37</f>
        <v>28</v>
      </c>
      <c r="F159" s="219" t="s">
        <v>38</v>
      </c>
      <c r="G159" s="220">
        <f t="shared" ref="G159:G164" si="132">D159+E159*2</f>
        <v>90</v>
      </c>
      <c r="H159" s="119">
        <f>B159+C159*2</f>
        <v>111</v>
      </c>
      <c r="I159" s="221">
        <f t="shared" ref="I159:I164" si="133">D159+E159</f>
        <v>62</v>
      </c>
      <c r="J159" s="221">
        <f>G159*M$2</f>
        <v>3881.7000000000003</v>
      </c>
      <c r="K159" s="147">
        <f>I159*M$2</f>
        <v>2674.06</v>
      </c>
      <c r="L159" s="119">
        <f t="shared" ref="L159:L164" si="134">J159*104</f>
        <v>403696.80000000005</v>
      </c>
      <c r="M159" s="119">
        <f t="shared" ref="M159:M164" si="135">I159*104</f>
        <v>6448</v>
      </c>
      <c r="N159" s="19"/>
      <c r="O159" s="19"/>
      <c r="P159" s="140"/>
      <c r="Q159" s="179">
        <v>4</v>
      </c>
      <c r="R159" s="179"/>
      <c r="S159" s="203"/>
      <c r="T159" s="243"/>
      <c r="U159" s="188"/>
      <c r="V159" s="227"/>
      <c r="W159" s="178">
        <f>J159-(Q159*($M$2-$K$1))-(R159*($M$2-$M$1))- (S159*($M$2-$I$2))+ (T159*($G$2))</f>
        <v>3810.78</v>
      </c>
      <c r="X159" s="178">
        <f>H159*$M$2</f>
        <v>4787.43</v>
      </c>
    </row>
    <row r="160" spans="1:26" ht="15" customHeight="1" x14ac:dyDescent="0.25">
      <c r="A160" s="368" t="s">
        <v>178</v>
      </c>
      <c r="B160" s="119">
        <v>45</v>
      </c>
      <c r="C160" s="119">
        <v>33</v>
      </c>
      <c r="D160" s="120">
        <f>'Data Ocupacion'!AV38</f>
        <v>31</v>
      </c>
      <c r="E160" s="120">
        <f>'Data Ocupacion'!AW38</f>
        <v>30</v>
      </c>
      <c r="F160" s="219" t="s">
        <v>52</v>
      </c>
      <c r="G160" s="220">
        <f t="shared" si="132"/>
        <v>91</v>
      </c>
      <c r="H160" s="119">
        <f t="shared" ref="H160:H164" si="136">B160+C160*2</f>
        <v>111</v>
      </c>
      <c r="I160" s="119">
        <f t="shared" si="133"/>
        <v>61</v>
      </c>
      <c r="J160" s="119">
        <f>G160*M$2</f>
        <v>3924.8300000000004</v>
      </c>
      <c r="K160" s="147">
        <f>I160*M$2</f>
        <v>2630.9300000000003</v>
      </c>
      <c r="L160" s="119">
        <f t="shared" si="134"/>
        <v>408182.32000000007</v>
      </c>
      <c r="M160" s="119">
        <f t="shared" si="135"/>
        <v>6344</v>
      </c>
      <c r="N160" s="19"/>
      <c r="O160" s="19"/>
      <c r="P160" s="140"/>
      <c r="Q160" s="183"/>
      <c r="R160" s="183"/>
      <c r="S160" s="215"/>
      <c r="T160" s="179">
        <v>4</v>
      </c>
      <c r="U160" s="215"/>
      <c r="V160" s="228"/>
      <c r="W160" s="181">
        <f>J160-(T160*($M$2-$K$1)+(U160*($M$2-$M$1)))</f>
        <v>3853.9100000000003</v>
      </c>
      <c r="X160" s="178">
        <f>H160*$M$2</f>
        <v>4787.43</v>
      </c>
      <c r="Y160" s="166"/>
    </row>
    <row r="161" spans="1:25" ht="15" customHeight="1" x14ac:dyDescent="0.25">
      <c r="A161" s="368"/>
      <c r="B161" s="119">
        <v>29</v>
      </c>
      <c r="C161" s="119">
        <v>4</v>
      </c>
      <c r="D161" s="120">
        <f>'Data Ocupacion'!AV39</f>
        <v>22</v>
      </c>
      <c r="E161" s="120">
        <f>'Data Ocupacion'!AW39</f>
        <v>4</v>
      </c>
      <c r="F161" s="219" t="s">
        <v>36</v>
      </c>
      <c r="G161" s="220">
        <f t="shared" si="132"/>
        <v>30</v>
      </c>
      <c r="H161" s="119">
        <f t="shared" si="136"/>
        <v>37</v>
      </c>
      <c r="I161" s="119">
        <f t="shared" si="133"/>
        <v>26</v>
      </c>
      <c r="J161" s="119">
        <f>G161*M$1</f>
        <v>873.3</v>
      </c>
      <c r="K161" s="147">
        <f>I161*M$1</f>
        <v>756.86</v>
      </c>
      <c r="L161" s="119">
        <f t="shared" si="134"/>
        <v>90823.2</v>
      </c>
      <c r="M161" s="119">
        <f t="shared" si="135"/>
        <v>2704</v>
      </c>
      <c r="N161" s="19"/>
      <c r="O161" s="19"/>
      <c r="P161" s="140"/>
      <c r="Q161" s="182"/>
      <c r="R161" s="184"/>
      <c r="S161" s="204"/>
      <c r="T161" s="185"/>
      <c r="U161" s="186"/>
      <c r="V161" s="186"/>
      <c r="W161" s="178">
        <f>J161-(Q161*($M$1-$K$1))</f>
        <v>873.3</v>
      </c>
      <c r="X161" s="178">
        <f>H161*$M$1</f>
        <v>1077.07</v>
      </c>
    </row>
    <row r="162" spans="1:25" ht="15" customHeight="1" x14ac:dyDescent="0.25">
      <c r="A162" s="368"/>
      <c r="B162" s="119">
        <v>28</v>
      </c>
      <c r="C162" s="119">
        <v>4</v>
      </c>
      <c r="D162" s="120">
        <f>'Data Ocupacion'!AV40</f>
        <v>26</v>
      </c>
      <c r="E162" s="120">
        <f>'Data Ocupacion'!AW40</f>
        <v>4</v>
      </c>
      <c r="F162" s="219" t="s">
        <v>53</v>
      </c>
      <c r="G162" s="220">
        <f t="shared" si="132"/>
        <v>34</v>
      </c>
      <c r="H162" s="119">
        <f t="shared" si="136"/>
        <v>36</v>
      </c>
      <c r="I162" s="119">
        <f t="shared" si="133"/>
        <v>30</v>
      </c>
      <c r="J162" s="119">
        <f>G162*M$1</f>
        <v>989.74</v>
      </c>
      <c r="K162" s="147">
        <f>I162*M$1</f>
        <v>873.3</v>
      </c>
      <c r="L162" s="119">
        <f t="shared" si="134"/>
        <v>102932.96</v>
      </c>
      <c r="M162" s="119">
        <f t="shared" si="135"/>
        <v>3120</v>
      </c>
      <c r="N162" s="19"/>
      <c r="O162" s="19"/>
      <c r="P162" s="140"/>
      <c r="Q162" s="186"/>
      <c r="R162" s="186"/>
      <c r="S162" s="186"/>
      <c r="T162" s="186"/>
      <c r="U162" s="186"/>
      <c r="V162" s="186"/>
      <c r="W162" s="178">
        <f>J162</f>
        <v>989.74</v>
      </c>
      <c r="X162" s="178">
        <f>H162*$M$1</f>
        <v>1047.96</v>
      </c>
    </row>
    <row r="163" spans="1:25" ht="13.5" customHeight="1" x14ac:dyDescent="0.25">
      <c r="A163" s="368"/>
      <c r="B163" s="119">
        <v>0</v>
      </c>
      <c r="C163" s="119">
        <v>0</v>
      </c>
      <c r="D163" s="120">
        <f>'Data Ocupacion'!AV41</f>
        <v>0</v>
      </c>
      <c r="E163" s="120">
        <f>'Data Ocupacion'!AW41</f>
        <v>0</v>
      </c>
      <c r="F163" s="219" t="s">
        <v>122</v>
      </c>
      <c r="G163" s="220">
        <f t="shared" si="132"/>
        <v>0</v>
      </c>
      <c r="H163" s="119">
        <f t="shared" si="136"/>
        <v>0</v>
      </c>
      <c r="I163" s="119">
        <f t="shared" si="133"/>
        <v>0</v>
      </c>
      <c r="J163" s="222">
        <f>G163*K$1</f>
        <v>0</v>
      </c>
      <c r="K163" s="147">
        <f>I163*K$1</f>
        <v>0</v>
      </c>
      <c r="L163" s="119">
        <f t="shared" si="134"/>
        <v>0</v>
      </c>
      <c r="M163" s="119">
        <f t="shared" si="135"/>
        <v>0</v>
      </c>
      <c r="N163" s="19"/>
      <c r="O163" s="19"/>
      <c r="P163" s="140"/>
      <c r="Q163" s="186"/>
      <c r="R163" s="186"/>
      <c r="S163" s="186"/>
      <c r="T163" s="186"/>
      <c r="U163" s="186"/>
      <c r="V163" s="186"/>
      <c r="W163" s="178">
        <f>J163</f>
        <v>0</v>
      </c>
      <c r="X163" s="178">
        <f>H163*$K$1</f>
        <v>0</v>
      </c>
    </row>
    <row r="164" spans="1:25" ht="12.6" customHeight="1" x14ac:dyDescent="0.25">
      <c r="A164" s="368"/>
      <c r="B164" s="119">
        <v>1</v>
      </c>
      <c r="C164" s="119">
        <v>0</v>
      </c>
      <c r="D164" s="120">
        <f>'Data Ocupacion'!AV42</f>
        <v>1</v>
      </c>
      <c r="E164" s="120">
        <f>'Data Ocupacion'!AW42</f>
        <v>0</v>
      </c>
      <c r="F164" s="219" t="s">
        <v>35</v>
      </c>
      <c r="G164" s="220">
        <f t="shared" si="132"/>
        <v>1</v>
      </c>
      <c r="H164" s="119">
        <f t="shared" si="136"/>
        <v>1</v>
      </c>
      <c r="I164" s="119">
        <f t="shared" si="133"/>
        <v>1</v>
      </c>
      <c r="J164" s="119">
        <f>G164*K$1</f>
        <v>25.4</v>
      </c>
      <c r="K164" s="147">
        <f>I164*K$1</f>
        <v>25.4</v>
      </c>
      <c r="L164" s="119">
        <f t="shared" si="134"/>
        <v>2641.6</v>
      </c>
      <c r="M164" s="119">
        <f t="shared" si="135"/>
        <v>104</v>
      </c>
      <c r="N164" s="19"/>
      <c r="O164" s="19"/>
      <c r="P164" s="140"/>
      <c r="Q164" s="186"/>
      <c r="R164" s="186"/>
      <c r="S164" s="186"/>
      <c r="T164" s="186"/>
      <c r="U164" s="186"/>
      <c r="V164" s="186"/>
      <c r="W164" s="178">
        <f>J164</f>
        <v>25.4</v>
      </c>
      <c r="X164" s="178">
        <f>H164*$K$1</f>
        <v>25.4</v>
      </c>
    </row>
    <row r="165" spans="1:25" s="118" customFormat="1" ht="12.6" customHeight="1" x14ac:dyDescent="0.25">
      <c r="A165" s="368"/>
      <c r="B165" s="119">
        <v>0</v>
      </c>
      <c r="C165" s="119">
        <v>0</v>
      </c>
      <c r="D165" s="120">
        <f>'Data Ocupacion'!AV43</f>
        <v>10</v>
      </c>
      <c r="E165" s="120">
        <f>'Data Ocupacion'!AW43</f>
        <v>2</v>
      </c>
      <c r="F165" s="119" t="s">
        <v>172</v>
      </c>
      <c r="G165" s="220">
        <f t="shared" ref="G165:G166" si="137">D165+E165*2</f>
        <v>14</v>
      </c>
      <c r="H165" s="119">
        <f t="shared" ref="H165:H166" si="138">B165+C165*2</f>
        <v>0</v>
      </c>
      <c r="I165" s="119">
        <f t="shared" ref="I165:I166" si="139">D165+E165</f>
        <v>12</v>
      </c>
      <c r="J165" s="119">
        <f>G165*O$2</f>
        <v>500.21999999999997</v>
      </c>
      <c r="K165" s="147">
        <f>I165*O$2</f>
        <v>428.76</v>
      </c>
      <c r="L165" s="119">
        <f t="shared" ref="L165:L166" si="140">J165*104</f>
        <v>52022.879999999997</v>
      </c>
      <c r="M165" s="119">
        <f t="shared" ref="M165:M166" si="141">I165*104</f>
        <v>1248</v>
      </c>
      <c r="N165" s="19"/>
      <c r="O165" s="19"/>
      <c r="P165" s="140"/>
      <c r="Q165" s="186"/>
      <c r="R165" s="186"/>
      <c r="S165" s="186"/>
      <c r="T165" s="186"/>
      <c r="U165" s="186"/>
      <c r="V165" s="186"/>
      <c r="W165" s="178">
        <f t="shared" ref="W165:W166" si="142">J165</f>
        <v>500.21999999999997</v>
      </c>
      <c r="X165" s="178">
        <f>H165*$O$2</f>
        <v>0</v>
      </c>
    </row>
    <row r="166" spans="1:25" s="118" customFormat="1" ht="12.6" customHeight="1" x14ac:dyDescent="0.25">
      <c r="A166" s="368"/>
      <c r="B166" s="119">
        <v>0</v>
      </c>
      <c r="C166" s="119">
        <v>0</v>
      </c>
      <c r="D166" s="120">
        <f>'Data Ocupacion'!AV44</f>
        <v>13</v>
      </c>
      <c r="E166" s="120">
        <f>'Data Ocupacion'!AW44</f>
        <v>2</v>
      </c>
      <c r="F166" s="119" t="s">
        <v>173</v>
      </c>
      <c r="G166" s="220">
        <f t="shared" si="137"/>
        <v>17</v>
      </c>
      <c r="H166" s="119">
        <f t="shared" si="138"/>
        <v>0</v>
      </c>
      <c r="I166" s="119">
        <f t="shared" si="139"/>
        <v>15</v>
      </c>
      <c r="J166" s="119">
        <f>G166*O$2</f>
        <v>607.41</v>
      </c>
      <c r="K166" s="147">
        <f>I166*O$2</f>
        <v>535.94999999999993</v>
      </c>
      <c r="L166" s="119">
        <f t="shared" si="140"/>
        <v>63170.64</v>
      </c>
      <c r="M166" s="119">
        <f t="shared" si="141"/>
        <v>1560</v>
      </c>
      <c r="N166" s="19"/>
      <c r="O166" s="19"/>
      <c r="P166" s="140"/>
      <c r="Q166" s="186"/>
      <c r="R166" s="186"/>
      <c r="S166" s="186"/>
      <c r="T166" s="186"/>
      <c r="U166" s="186"/>
      <c r="V166" s="186"/>
      <c r="W166" s="178">
        <f t="shared" si="142"/>
        <v>607.41</v>
      </c>
      <c r="X166" s="178">
        <f>H166*$O$2</f>
        <v>0</v>
      </c>
    </row>
    <row r="167" spans="1:25" s="118" customFormat="1" ht="12.6" customHeight="1" x14ac:dyDescent="0.25">
      <c r="A167" s="368"/>
      <c r="B167" s="119">
        <v>0</v>
      </c>
      <c r="C167" s="119">
        <v>0</v>
      </c>
      <c r="D167" s="120">
        <f>'Data Ocupacion'!AV45</f>
        <v>2</v>
      </c>
      <c r="E167" s="120">
        <f>'Data Ocupacion'!AW45</f>
        <v>2</v>
      </c>
      <c r="F167" s="119" t="s">
        <v>179</v>
      </c>
      <c r="G167" s="220">
        <f t="shared" ref="G167:G169" si="143">D167+E167*2</f>
        <v>6</v>
      </c>
      <c r="H167" s="119">
        <f t="shared" ref="H167:H169" si="144">B167+C167*2</f>
        <v>0</v>
      </c>
      <c r="I167" s="119">
        <f t="shared" ref="I167:I169" si="145">D167+E167</f>
        <v>4</v>
      </c>
      <c r="J167" s="119">
        <f>G167*Z$1</f>
        <v>36</v>
      </c>
      <c r="K167" s="147">
        <f>I167*Z$1</f>
        <v>24</v>
      </c>
      <c r="L167" s="119">
        <f t="shared" ref="L167:L169" si="146">J167*104</f>
        <v>3744</v>
      </c>
      <c r="M167" s="119">
        <f t="shared" ref="M167:M169" si="147">I167*104</f>
        <v>416</v>
      </c>
      <c r="N167" s="19"/>
      <c r="O167" s="19"/>
      <c r="P167" s="140"/>
      <c r="Q167" s="186"/>
      <c r="R167" s="186"/>
      <c r="S167" s="186"/>
      <c r="T167" s="186"/>
      <c r="U167" s="186"/>
      <c r="V167" s="186"/>
      <c r="W167" s="178">
        <f t="shared" ref="W167:W169" si="148">J167</f>
        <v>36</v>
      </c>
      <c r="X167" s="178">
        <f t="shared" ref="X167:X169" si="149">H167*$O$2</f>
        <v>0</v>
      </c>
    </row>
    <row r="168" spans="1:25" s="118" customFormat="1" ht="12.6" customHeight="1" x14ac:dyDescent="0.25">
      <c r="A168" s="368"/>
      <c r="B168" s="119">
        <v>0</v>
      </c>
      <c r="C168" s="119">
        <v>0</v>
      </c>
      <c r="D168" s="120">
        <f>'Data Ocupacion'!AV46</f>
        <v>1</v>
      </c>
      <c r="E168" s="120">
        <f>'Data Ocupacion'!AW46</f>
        <v>0</v>
      </c>
      <c r="F168" s="119" t="s">
        <v>160</v>
      </c>
      <c r="G168" s="220">
        <f t="shared" si="143"/>
        <v>1</v>
      </c>
      <c r="H168" s="119">
        <f t="shared" si="144"/>
        <v>0</v>
      </c>
      <c r="I168" s="119">
        <f t="shared" si="145"/>
        <v>1</v>
      </c>
      <c r="J168" s="119">
        <f>G168*I$1</f>
        <v>21.7</v>
      </c>
      <c r="K168" s="147">
        <f>I168*I$1</f>
        <v>21.7</v>
      </c>
      <c r="L168" s="119">
        <f t="shared" si="146"/>
        <v>2256.7999999999997</v>
      </c>
      <c r="M168" s="119">
        <f t="shared" si="147"/>
        <v>104</v>
      </c>
      <c r="N168" s="19"/>
      <c r="O168" s="19"/>
      <c r="P168" s="140"/>
      <c r="Q168" s="186"/>
      <c r="R168" s="186"/>
      <c r="S168" s="186"/>
      <c r="T168" s="186"/>
      <c r="U168" s="186"/>
      <c r="V168" s="186"/>
      <c r="W168" s="178">
        <f t="shared" si="148"/>
        <v>21.7</v>
      </c>
      <c r="X168" s="178">
        <f t="shared" si="149"/>
        <v>0</v>
      </c>
    </row>
    <row r="169" spans="1:25" s="118" customFormat="1" ht="12.6" customHeight="1" thickBot="1" x14ac:dyDescent="0.3">
      <c r="A169" s="368"/>
      <c r="B169" s="119">
        <v>0</v>
      </c>
      <c r="C169" s="119">
        <v>0</v>
      </c>
      <c r="D169" s="120">
        <f>'Data Ocupacion'!AV47</f>
        <v>1</v>
      </c>
      <c r="E169" s="120">
        <f>'Data Ocupacion'!AW47</f>
        <v>0</v>
      </c>
      <c r="F169" s="119" t="s">
        <v>125</v>
      </c>
      <c r="G169" s="220">
        <f t="shared" si="143"/>
        <v>1</v>
      </c>
      <c r="H169" s="119">
        <f t="shared" si="144"/>
        <v>0</v>
      </c>
      <c r="I169" s="223">
        <f t="shared" si="145"/>
        <v>1</v>
      </c>
      <c r="J169" s="223">
        <f>G169*I$1</f>
        <v>21.7</v>
      </c>
      <c r="K169" s="147">
        <f>I169*I$1</f>
        <v>21.7</v>
      </c>
      <c r="L169" s="119">
        <f t="shared" si="146"/>
        <v>2256.7999999999997</v>
      </c>
      <c r="M169" s="119">
        <f t="shared" si="147"/>
        <v>104</v>
      </c>
      <c r="N169" s="19"/>
      <c r="O169" s="19"/>
      <c r="P169" s="140"/>
      <c r="Q169" s="186"/>
      <c r="R169" s="186"/>
      <c r="S169" s="186"/>
      <c r="T169" s="186"/>
      <c r="U169" s="186"/>
      <c r="V169" s="186"/>
      <c r="W169" s="178">
        <f t="shared" si="148"/>
        <v>21.7</v>
      </c>
      <c r="X169" s="178">
        <f t="shared" si="149"/>
        <v>0</v>
      </c>
    </row>
    <row r="170" spans="1:25" s="118" customFormat="1" ht="15" customHeight="1" thickBot="1" x14ac:dyDescent="0.3">
      <c r="A170" s="20"/>
      <c r="B170" s="216">
        <f>SUM(B159:B166)</f>
        <v>150</v>
      </c>
      <c r="C170" s="216">
        <f>SUM(C159:C166)</f>
        <v>73</v>
      </c>
      <c r="D170" s="142">
        <f>SUM(D159:D169)</f>
        <v>141</v>
      </c>
      <c r="E170" s="142">
        <f>SUM(E159:E169)</f>
        <v>72</v>
      </c>
      <c r="F170" s="113"/>
      <c r="G170" s="113">
        <f t="shared" ref="G170:M170" si="150">SUM(G159:G169)</f>
        <v>285</v>
      </c>
      <c r="H170" s="113">
        <f t="shared" si="150"/>
        <v>296</v>
      </c>
      <c r="I170" s="113">
        <f t="shared" si="150"/>
        <v>213</v>
      </c>
      <c r="J170" s="114">
        <f t="shared" si="150"/>
        <v>10882</v>
      </c>
      <c r="K170" s="113">
        <f t="shared" si="150"/>
        <v>7992.6599999999989</v>
      </c>
      <c r="L170" s="113">
        <f t="shared" si="150"/>
        <v>1131728</v>
      </c>
      <c r="M170" s="113">
        <f t="shared" si="150"/>
        <v>22152</v>
      </c>
      <c r="N170" s="117">
        <f>'Odometro-Kilometraje'!X81</f>
        <v>11427</v>
      </c>
      <c r="O170" s="21">
        <f>(W170/N170)*100</f>
        <v>93.989323531985647</v>
      </c>
      <c r="P170" s="189"/>
      <c r="Q170" s="177"/>
      <c r="R170" s="177"/>
      <c r="S170" s="177"/>
      <c r="T170" s="177"/>
      <c r="U170" s="177"/>
      <c r="V170" s="177"/>
      <c r="W170" s="190">
        <f>SUM(W159:W169)</f>
        <v>10740.16</v>
      </c>
      <c r="X170" s="190">
        <f>SUM(X159:X169)</f>
        <v>11725.289999999999</v>
      </c>
    </row>
    <row r="171" spans="1:25" x14ac:dyDescent="0.25">
      <c r="A171" s="61">
        <f>A159+1</f>
        <v>45832</v>
      </c>
      <c r="B171" s="119">
        <v>47</v>
      </c>
      <c r="C171" s="119">
        <v>32</v>
      </c>
      <c r="D171" s="120">
        <f>'Data Ocupacion'!AX37</f>
        <v>47</v>
      </c>
      <c r="E171" s="120">
        <f>'Data Ocupacion'!AY37</f>
        <v>32</v>
      </c>
      <c r="F171" s="119" t="s">
        <v>38</v>
      </c>
      <c r="G171" s="119">
        <f t="shared" ref="G171:G176" si="151">D171+E171*2</f>
        <v>111</v>
      </c>
      <c r="H171" s="119">
        <f>B171+C171*2</f>
        <v>111</v>
      </c>
      <c r="I171" s="119">
        <f t="shared" ref="I171:I176" si="152">D171+E171</f>
        <v>79</v>
      </c>
      <c r="J171" s="119">
        <f>G171*M$2</f>
        <v>4787.43</v>
      </c>
      <c r="K171" s="147">
        <f>I171*M$2</f>
        <v>3407.27</v>
      </c>
      <c r="L171" s="119">
        <f t="shared" ref="L171:L176" si="153">J171*104</f>
        <v>497892.72000000003</v>
      </c>
      <c r="M171" s="119">
        <f t="shared" ref="M171:M176" si="154">I171*104</f>
        <v>8216</v>
      </c>
      <c r="N171" s="19"/>
      <c r="O171" s="19"/>
      <c r="P171" s="140"/>
      <c r="Q171" s="179">
        <v>5</v>
      </c>
      <c r="R171" s="179"/>
      <c r="S171" s="203"/>
      <c r="T171" s="243"/>
      <c r="U171" s="188"/>
      <c r="V171" s="227"/>
      <c r="W171" s="178">
        <f>J171-(Q171*($M$2-$K$1))-(R171*($M$2-$M$1))- (S171*($M$2-$I$2))+ (T171*($G$2))</f>
        <v>4698.7800000000007</v>
      </c>
      <c r="X171" s="178">
        <f>H171*$M$2</f>
        <v>4787.43</v>
      </c>
    </row>
    <row r="172" spans="1:25" ht="15" customHeight="1" x14ac:dyDescent="0.25">
      <c r="A172" s="254"/>
      <c r="B172" s="119">
        <v>45</v>
      </c>
      <c r="C172" s="119">
        <v>33</v>
      </c>
      <c r="D172" s="120">
        <f>'Data Ocupacion'!AX38</f>
        <v>45</v>
      </c>
      <c r="E172" s="120">
        <f>'Data Ocupacion'!AY38</f>
        <v>33</v>
      </c>
      <c r="F172" s="119" t="s">
        <v>52</v>
      </c>
      <c r="G172" s="119">
        <f t="shared" si="151"/>
        <v>111</v>
      </c>
      <c r="H172" s="119">
        <f t="shared" ref="H172:H176" si="155">B172+C172*2</f>
        <v>111</v>
      </c>
      <c r="I172" s="119">
        <f t="shared" si="152"/>
        <v>78</v>
      </c>
      <c r="J172" s="119">
        <f>G172*M$2</f>
        <v>4787.43</v>
      </c>
      <c r="K172" s="147">
        <f>I172*M$2</f>
        <v>3364.1400000000003</v>
      </c>
      <c r="L172" s="119">
        <f t="shared" si="153"/>
        <v>497892.72000000003</v>
      </c>
      <c r="M172" s="119">
        <f t="shared" si="154"/>
        <v>8112</v>
      </c>
      <c r="N172" s="19"/>
      <c r="O172" s="19"/>
      <c r="P172" s="140"/>
      <c r="Q172" s="183"/>
      <c r="R172" s="183"/>
      <c r="S172" s="215"/>
      <c r="T172" s="179">
        <v>6</v>
      </c>
      <c r="U172" s="215"/>
      <c r="V172" s="228"/>
      <c r="W172" s="181">
        <f>J172-(T172*($M$2-$K$1)+(U172*($M$2-$M$1)))</f>
        <v>4681.05</v>
      </c>
      <c r="X172" s="178">
        <f>H172*$M$2</f>
        <v>4787.43</v>
      </c>
      <c r="Y172" s="166"/>
    </row>
    <row r="173" spans="1:25" ht="15" customHeight="1" x14ac:dyDescent="0.25">
      <c r="A173" s="254"/>
      <c r="B173" s="119">
        <v>29</v>
      </c>
      <c r="C173" s="119">
        <v>4</v>
      </c>
      <c r="D173" s="120">
        <f>'Data Ocupacion'!AX39</f>
        <v>29</v>
      </c>
      <c r="E173" s="120">
        <f>'Data Ocupacion'!AY39</f>
        <v>4</v>
      </c>
      <c r="F173" s="119" t="s">
        <v>36</v>
      </c>
      <c r="G173" s="119">
        <f t="shared" si="151"/>
        <v>37</v>
      </c>
      <c r="H173" s="119">
        <f t="shared" si="155"/>
        <v>37</v>
      </c>
      <c r="I173" s="119">
        <f t="shared" si="152"/>
        <v>33</v>
      </c>
      <c r="J173" s="119">
        <f>G173*M$1</f>
        <v>1077.07</v>
      </c>
      <c r="K173" s="147">
        <f>I173*M$1</f>
        <v>960.63</v>
      </c>
      <c r="L173" s="119">
        <f t="shared" si="153"/>
        <v>112015.28</v>
      </c>
      <c r="M173" s="119">
        <f t="shared" si="154"/>
        <v>3432</v>
      </c>
      <c r="N173" s="19"/>
      <c r="O173" s="19"/>
      <c r="P173" s="140"/>
      <c r="Q173" s="182"/>
      <c r="R173" s="184"/>
      <c r="S173" s="204"/>
      <c r="T173" s="185"/>
      <c r="U173" s="186"/>
      <c r="V173" s="186"/>
      <c r="W173" s="178">
        <f>J173-(Q173*($M$1-$K$1))</f>
        <v>1077.07</v>
      </c>
      <c r="X173" s="178">
        <f>H173*$M$1</f>
        <v>1077.07</v>
      </c>
    </row>
    <row r="174" spans="1:25" ht="15" customHeight="1" x14ac:dyDescent="0.25">
      <c r="A174" s="254"/>
      <c r="B174" s="119">
        <v>28</v>
      </c>
      <c r="C174" s="119">
        <v>4</v>
      </c>
      <c r="D174" s="120">
        <f>'Data Ocupacion'!AX40</f>
        <v>28</v>
      </c>
      <c r="E174" s="120">
        <f>'Data Ocupacion'!AY40</f>
        <v>4</v>
      </c>
      <c r="F174" s="119" t="s">
        <v>53</v>
      </c>
      <c r="G174" s="119">
        <f t="shared" si="151"/>
        <v>36</v>
      </c>
      <c r="H174" s="119">
        <f t="shared" si="155"/>
        <v>36</v>
      </c>
      <c r="I174" s="119">
        <f t="shared" si="152"/>
        <v>32</v>
      </c>
      <c r="J174" s="119">
        <f>G174*M$1</f>
        <v>1047.96</v>
      </c>
      <c r="K174" s="147">
        <f>I174*M$1</f>
        <v>931.52</v>
      </c>
      <c r="L174" s="119">
        <f t="shared" si="153"/>
        <v>108987.84</v>
      </c>
      <c r="M174" s="119">
        <f t="shared" si="154"/>
        <v>3328</v>
      </c>
      <c r="N174" s="19"/>
      <c r="O174" s="19"/>
      <c r="P174" s="140"/>
      <c r="Q174" s="186"/>
      <c r="R174" s="186"/>
      <c r="S174" s="186"/>
      <c r="T174" s="186"/>
      <c r="U174" s="186"/>
      <c r="V174" s="186"/>
      <c r="W174" s="178">
        <f>J174</f>
        <v>1047.96</v>
      </c>
      <c r="X174" s="178">
        <f>H174*$M$1</f>
        <v>1047.96</v>
      </c>
    </row>
    <row r="175" spans="1:25" ht="15" customHeight="1" x14ac:dyDescent="0.25">
      <c r="A175" s="254"/>
      <c r="B175" s="119">
        <v>0</v>
      </c>
      <c r="C175" s="119">
        <v>0</v>
      </c>
      <c r="D175" s="120">
        <f>'Data Ocupacion'!AX41</f>
        <v>0</v>
      </c>
      <c r="E175" s="120">
        <f>'Data Ocupacion'!AY41</f>
        <v>0</v>
      </c>
      <c r="F175" s="119" t="s">
        <v>122</v>
      </c>
      <c r="G175" s="119">
        <f t="shared" si="151"/>
        <v>0</v>
      </c>
      <c r="H175" s="119">
        <f t="shared" si="155"/>
        <v>0</v>
      </c>
      <c r="I175" s="119">
        <f t="shared" si="152"/>
        <v>0</v>
      </c>
      <c r="J175" s="119">
        <f>G175*K$1</f>
        <v>0</v>
      </c>
      <c r="K175" s="147">
        <f>I175*K$1</f>
        <v>0</v>
      </c>
      <c r="L175" s="119">
        <f t="shared" si="153"/>
        <v>0</v>
      </c>
      <c r="M175" s="119">
        <f t="shared" si="154"/>
        <v>0</v>
      </c>
      <c r="N175" s="19"/>
      <c r="O175" s="19"/>
      <c r="P175" s="140"/>
      <c r="Q175" s="186"/>
      <c r="R175" s="186"/>
      <c r="S175" s="186"/>
      <c r="T175" s="186"/>
      <c r="U175" s="186"/>
      <c r="V175" s="186"/>
      <c r="W175" s="178">
        <f>J175</f>
        <v>0</v>
      </c>
      <c r="X175" s="178">
        <f>H175*$K$1</f>
        <v>0</v>
      </c>
    </row>
    <row r="176" spans="1:25" ht="15.75" thickBot="1" x14ac:dyDescent="0.3">
      <c r="A176" s="254"/>
      <c r="B176" s="119">
        <v>1</v>
      </c>
      <c r="C176" s="119">
        <v>0</v>
      </c>
      <c r="D176" s="120">
        <f>'Data Ocupacion'!AX42</f>
        <v>1</v>
      </c>
      <c r="E176" s="120">
        <f>'Data Ocupacion'!AY42</f>
        <v>0</v>
      </c>
      <c r="F176" s="119" t="s">
        <v>35</v>
      </c>
      <c r="G176" s="119">
        <f t="shared" si="151"/>
        <v>1</v>
      </c>
      <c r="H176" s="119">
        <f t="shared" si="155"/>
        <v>1</v>
      </c>
      <c r="I176" s="119">
        <f t="shared" si="152"/>
        <v>1</v>
      </c>
      <c r="J176" s="119">
        <f>G176*K$1</f>
        <v>25.4</v>
      </c>
      <c r="K176" s="147">
        <f>I176*K$1</f>
        <v>25.4</v>
      </c>
      <c r="L176" s="119">
        <f t="shared" si="153"/>
        <v>2641.6</v>
      </c>
      <c r="M176" s="119">
        <f t="shared" si="154"/>
        <v>104</v>
      </c>
      <c r="N176" s="19"/>
      <c r="O176" s="19"/>
      <c r="P176" s="140"/>
      <c r="Q176" s="186"/>
      <c r="R176" s="186"/>
      <c r="S176" s="186"/>
      <c r="T176" s="186"/>
      <c r="U176" s="186"/>
      <c r="V176" s="186"/>
      <c r="W176" s="178">
        <f>J176</f>
        <v>25.4</v>
      </c>
      <c r="X176" s="178">
        <f>H176*$K$1</f>
        <v>25.4</v>
      </c>
    </row>
    <row r="177" spans="1:25" s="118" customFormat="1" ht="15.75" thickBot="1" x14ac:dyDescent="0.3">
      <c r="A177" s="20"/>
      <c r="B177" s="216">
        <f>SUM(B171:B176)</f>
        <v>150</v>
      </c>
      <c r="C177" s="216">
        <f>SUM(C171:C176)</f>
        <v>73</v>
      </c>
      <c r="D177" s="142">
        <f>SUM(D171:D176)</f>
        <v>150</v>
      </c>
      <c r="E177" s="142">
        <f>SUM(E171:E176)</f>
        <v>73</v>
      </c>
      <c r="F177" s="113"/>
      <c r="G177" s="113">
        <f t="shared" ref="G177:M177" si="156">SUM(G171:G176)</f>
        <v>296</v>
      </c>
      <c r="H177" s="113">
        <f t="shared" si="156"/>
        <v>296</v>
      </c>
      <c r="I177" s="113">
        <f t="shared" si="156"/>
        <v>223</v>
      </c>
      <c r="J177" s="113">
        <f t="shared" si="156"/>
        <v>11725.289999999999</v>
      </c>
      <c r="K177" s="113">
        <f t="shared" si="156"/>
        <v>8688.9599999999991</v>
      </c>
      <c r="L177" s="113">
        <f t="shared" si="156"/>
        <v>1219430.1600000001</v>
      </c>
      <c r="M177" s="113">
        <f t="shared" si="156"/>
        <v>23192</v>
      </c>
      <c r="N177" s="117">
        <f>'Odometro-Kilometraje'!Y81</f>
        <v>11928</v>
      </c>
      <c r="O177" s="21">
        <f>(W177/N177)*100</f>
        <v>96.66549295774648</v>
      </c>
      <c r="P177" s="189"/>
      <c r="Q177" s="177"/>
      <c r="R177" s="177"/>
      <c r="S177" s="177"/>
      <c r="T177" s="177"/>
      <c r="U177" s="177"/>
      <c r="V177" s="177"/>
      <c r="W177" s="190">
        <f>SUM(W171:W176)</f>
        <v>11530.26</v>
      </c>
      <c r="X177" s="190">
        <f>SUM(X171:X176)</f>
        <v>11725.289999999999</v>
      </c>
    </row>
    <row r="178" spans="1:25" x14ac:dyDescent="0.25">
      <c r="A178" s="61">
        <f>A171+1</f>
        <v>45833</v>
      </c>
      <c r="B178" s="119">
        <v>47</v>
      </c>
      <c r="C178" s="119">
        <v>32</v>
      </c>
      <c r="D178" s="132">
        <f>'Data Ocupacion'!AZ37</f>
        <v>48</v>
      </c>
      <c r="E178" s="132">
        <f>'Data Ocupacion'!BA37</f>
        <v>31</v>
      </c>
      <c r="F178" s="119" t="s">
        <v>38</v>
      </c>
      <c r="G178" s="119">
        <f t="shared" ref="G178:G183" si="157">D178+E178*2</f>
        <v>110</v>
      </c>
      <c r="H178" s="119">
        <f>B178+C178*2</f>
        <v>111</v>
      </c>
      <c r="I178" s="119">
        <f t="shared" ref="I178:I183" si="158">D178+E178</f>
        <v>79</v>
      </c>
      <c r="J178" s="119">
        <f>G178*M$2</f>
        <v>4744.3</v>
      </c>
      <c r="K178" s="147">
        <f>I178*M$2</f>
        <v>3407.27</v>
      </c>
      <c r="L178" s="119">
        <f t="shared" ref="L178:L183" si="159">J178*104</f>
        <v>493407.2</v>
      </c>
      <c r="M178" s="119">
        <f t="shared" ref="M178:M183" si="160">I178*104</f>
        <v>8216</v>
      </c>
      <c r="N178" s="19"/>
      <c r="O178" s="19"/>
      <c r="P178" s="140"/>
      <c r="Q178" s="179">
        <v>5</v>
      </c>
      <c r="R178" s="179"/>
      <c r="S178" s="203"/>
      <c r="T178" s="243"/>
      <c r="U178" s="188"/>
      <c r="V178" s="227"/>
      <c r="W178" s="178">
        <f>J178-(Q178*($M$2-$K$1))-(R178*($M$2-$M$1))- (S178*($M$2-$I$2))+ (T178*($G$2))</f>
        <v>4655.6500000000005</v>
      </c>
      <c r="X178" s="178">
        <f>H178*$M$2</f>
        <v>4787.43</v>
      </c>
    </row>
    <row r="179" spans="1:25" ht="18" customHeight="1" x14ac:dyDescent="0.25">
      <c r="A179" s="199"/>
      <c r="B179" s="119">
        <v>45</v>
      </c>
      <c r="C179" s="119">
        <v>33</v>
      </c>
      <c r="D179" s="132">
        <f>'Data Ocupacion'!AZ38</f>
        <v>46</v>
      </c>
      <c r="E179" s="132">
        <f>'Data Ocupacion'!BA38</f>
        <v>32</v>
      </c>
      <c r="F179" s="119" t="s">
        <v>52</v>
      </c>
      <c r="G179" s="119">
        <f t="shared" si="157"/>
        <v>110</v>
      </c>
      <c r="H179" s="119">
        <f t="shared" ref="H179:H183" si="161">B179+C179*2</f>
        <v>111</v>
      </c>
      <c r="I179" s="119">
        <f t="shared" si="158"/>
        <v>78</v>
      </c>
      <c r="J179" s="119">
        <f>G179*M$2</f>
        <v>4744.3</v>
      </c>
      <c r="K179" s="147">
        <f>I179*M$2</f>
        <v>3364.1400000000003</v>
      </c>
      <c r="L179" s="119">
        <f t="shared" si="159"/>
        <v>493407.2</v>
      </c>
      <c r="M179" s="119">
        <f t="shared" si="160"/>
        <v>8112</v>
      </c>
      <c r="N179" s="19"/>
      <c r="O179" s="19"/>
      <c r="P179" s="140"/>
      <c r="Q179" s="183"/>
      <c r="R179" s="183"/>
      <c r="S179" s="215"/>
      <c r="T179" s="179">
        <v>4</v>
      </c>
      <c r="U179" s="215">
        <v>2</v>
      </c>
      <c r="V179" s="228"/>
      <c r="W179" s="181">
        <f>J179-(T179*($M$2-$K$1)+(U179*($M$2-$M$1)))</f>
        <v>4645.34</v>
      </c>
      <c r="X179" s="178">
        <f>H179*$M$2</f>
        <v>4787.43</v>
      </c>
      <c r="Y179" s="166"/>
    </row>
    <row r="180" spans="1:25" x14ac:dyDescent="0.25">
      <c r="A180" s="199"/>
      <c r="B180" s="119">
        <v>29</v>
      </c>
      <c r="C180" s="119">
        <v>4</v>
      </c>
      <c r="D180" s="120">
        <f>'Data Ocupacion'!AZ39</f>
        <v>29</v>
      </c>
      <c r="E180" s="120">
        <f>'Data Ocupacion'!BA39</f>
        <v>4</v>
      </c>
      <c r="F180" s="119" t="s">
        <v>36</v>
      </c>
      <c r="G180" s="119">
        <f t="shared" si="157"/>
        <v>37</v>
      </c>
      <c r="H180" s="119">
        <f t="shared" si="161"/>
        <v>37</v>
      </c>
      <c r="I180" s="119">
        <f t="shared" si="158"/>
        <v>33</v>
      </c>
      <c r="J180" s="119">
        <f>G180*M$1</f>
        <v>1077.07</v>
      </c>
      <c r="K180" s="147">
        <f>I180*M$1</f>
        <v>960.63</v>
      </c>
      <c r="L180" s="119">
        <f t="shared" si="159"/>
        <v>112015.28</v>
      </c>
      <c r="M180" s="119">
        <f t="shared" si="160"/>
        <v>3432</v>
      </c>
      <c r="N180" s="19"/>
      <c r="O180" s="19"/>
      <c r="P180" s="140"/>
      <c r="Q180" s="182"/>
      <c r="R180" s="184"/>
      <c r="S180" s="204"/>
      <c r="T180" s="185"/>
      <c r="U180" s="186"/>
      <c r="V180" s="186"/>
      <c r="W180" s="178">
        <f>J180-(Q180*($M$1-$K$1))</f>
        <v>1077.07</v>
      </c>
      <c r="X180" s="178">
        <f>H180*$M$1</f>
        <v>1077.07</v>
      </c>
    </row>
    <row r="181" spans="1:25" ht="15" customHeight="1" x14ac:dyDescent="0.25">
      <c r="A181" s="199"/>
      <c r="B181" s="119">
        <v>28</v>
      </c>
      <c r="C181" s="119">
        <v>4</v>
      </c>
      <c r="D181" s="120">
        <f>'Data Ocupacion'!AZ40</f>
        <v>28</v>
      </c>
      <c r="E181" s="120">
        <f>'Data Ocupacion'!BA40</f>
        <v>4</v>
      </c>
      <c r="F181" s="119" t="s">
        <v>53</v>
      </c>
      <c r="G181" s="119">
        <f t="shared" si="157"/>
        <v>36</v>
      </c>
      <c r="H181" s="119">
        <f t="shared" si="161"/>
        <v>36</v>
      </c>
      <c r="I181" s="119">
        <f t="shared" si="158"/>
        <v>32</v>
      </c>
      <c r="J181" s="119">
        <f>G181*M$1</f>
        <v>1047.96</v>
      </c>
      <c r="K181" s="147">
        <f>I181*M$1</f>
        <v>931.52</v>
      </c>
      <c r="L181" s="119">
        <f t="shared" si="159"/>
        <v>108987.84</v>
      </c>
      <c r="M181" s="119">
        <f t="shared" si="160"/>
        <v>3328</v>
      </c>
      <c r="N181" s="19"/>
      <c r="O181" s="19"/>
      <c r="P181" s="140"/>
      <c r="Q181" s="186"/>
      <c r="R181" s="186"/>
      <c r="S181" s="186"/>
      <c r="T181" s="186"/>
      <c r="U181" s="186"/>
      <c r="V181" s="186"/>
      <c r="W181" s="178">
        <f>J181</f>
        <v>1047.96</v>
      </c>
      <c r="X181" s="178">
        <f>H181*$M$1</f>
        <v>1047.96</v>
      </c>
    </row>
    <row r="182" spans="1:25" ht="15.95" customHeight="1" x14ac:dyDescent="0.25">
      <c r="A182" s="199"/>
      <c r="B182" s="119">
        <v>0</v>
      </c>
      <c r="C182" s="119">
        <v>0</v>
      </c>
      <c r="D182" s="120">
        <f>'Data Ocupacion'!AZ41</f>
        <v>0</v>
      </c>
      <c r="E182" s="120">
        <f>'Data Ocupacion'!BA41</f>
        <v>0</v>
      </c>
      <c r="F182" s="119" t="s">
        <v>122</v>
      </c>
      <c r="G182" s="119">
        <f t="shared" si="157"/>
        <v>0</v>
      </c>
      <c r="H182" s="119">
        <f t="shared" si="161"/>
        <v>0</v>
      </c>
      <c r="I182" s="119">
        <f t="shared" si="158"/>
        <v>0</v>
      </c>
      <c r="J182" s="119">
        <f>G182*K$1</f>
        <v>0</v>
      </c>
      <c r="K182" s="147">
        <f>I182*K$1</f>
        <v>0</v>
      </c>
      <c r="L182" s="119">
        <f t="shared" si="159"/>
        <v>0</v>
      </c>
      <c r="M182" s="119">
        <f t="shared" si="160"/>
        <v>0</v>
      </c>
      <c r="N182" s="19"/>
      <c r="O182" s="19"/>
      <c r="P182" s="140"/>
      <c r="Q182" s="186"/>
      <c r="R182" s="186"/>
      <c r="S182" s="186"/>
      <c r="T182" s="186"/>
      <c r="U182" s="186"/>
      <c r="V182" s="186"/>
      <c r="W182" s="178">
        <f>J182</f>
        <v>0</v>
      </c>
      <c r="X182" s="178">
        <f>H182*$K$1</f>
        <v>0</v>
      </c>
    </row>
    <row r="183" spans="1:25" ht="15.75" thickBot="1" x14ac:dyDescent="0.3">
      <c r="A183" s="199"/>
      <c r="B183" s="119">
        <v>1</v>
      </c>
      <c r="C183" s="119">
        <v>0</v>
      </c>
      <c r="D183" s="120">
        <f>'Data Ocupacion'!AZ42</f>
        <v>1</v>
      </c>
      <c r="E183" s="120">
        <f>'Data Ocupacion'!BA42</f>
        <v>0</v>
      </c>
      <c r="F183" s="119" t="s">
        <v>35</v>
      </c>
      <c r="G183" s="119">
        <f t="shared" si="157"/>
        <v>1</v>
      </c>
      <c r="H183" s="119">
        <f t="shared" si="161"/>
        <v>1</v>
      </c>
      <c r="I183" s="119">
        <f t="shared" si="158"/>
        <v>1</v>
      </c>
      <c r="J183" s="119">
        <f>G183*K$1</f>
        <v>25.4</v>
      </c>
      <c r="K183" s="147">
        <f>I183*K$1</f>
        <v>25.4</v>
      </c>
      <c r="L183" s="119">
        <f t="shared" si="159"/>
        <v>2641.6</v>
      </c>
      <c r="M183" s="119">
        <f t="shared" si="160"/>
        <v>104</v>
      </c>
      <c r="N183" s="19"/>
      <c r="O183" s="19"/>
      <c r="P183" s="140"/>
      <c r="Q183" s="186"/>
      <c r="R183" s="186"/>
      <c r="S183" s="186"/>
      <c r="T183" s="186"/>
      <c r="U183" s="186"/>
      <c r="V183" s="186"/>
      <c r="W183" s="178">
        <f>J183</f>
        <v>25.4</v>
      </c>
      <c r="X183" s="178">
        <f>H183*$K$1</f>
        <v>25.4</v>
      </c>
    </row>
    <row r="184" spans="1:25" s="118" customFormat="1" ht="15.75" thickBot="1" x14ac:dyDescent="0.3">
      <c r="A184" s="198"/>
      <c r="B184" s="216">
        <f>SUM(B178:B183)</f>
        <v>150</v>
      </c>
      <c r="C184" s="216">
        <f>SUM(C178:C183)</f>
        <v>73</v>
      </c>
      <c r="D184" s="146">
        <f>SUM(D178:D183)</f>
        <v>152</v>
      </c>
      <c r="E184" s="146">
        <f>SUM(E178:E183)</f>
        <v>71</v>
      </c>
      <c r="F184" s="113"/>
      <c r="G184" s="113">
        <f t="shared" ref="G184:M184" si="162">SUM(G178:G183)</f>
        <v>294</v>
      </c>
      <c r="H184" s="113">
        <f t="shared" si="162"/>
        <v>296</v>
      </c>
      <c r="I184" s="113">
        <f t="shared" si="162"/>
        <v>223</v>
      </c>
      <c r="J184" s="114">
        <f t="shared" si="162"/>
        <v>11639.03</v>
      </c>
      <c r="K184" s="113">
        <f t="shared" si="162"/>
        <v>8688.9599999999991</v>
      </c>
      <c r="L184" s="112">
        <f t="shared" si="162"/>
        <v>1210459.1200000001</v>
      </c>
      <c r="M184" s="145">
        <f t="shared" si="162"/>
        <v>23192</v>
      </c>
      <c r="N184" s="117">
        <f>'Odometro-Kilometraje'!Z81</f>
        <v>11760</v>
      </c>
      <c r="O184" s="21">
        <f>(W184/N184)*100</f>
        <v>97.376020408163271</v>
      </c>
      <c r="P184" s="189"/>
      <c r="Q184" s="177"/>
      <c r="R184" s="177"/>
      <c r="S184" s="177"/>
      <c r="T184" s="177"/>
      <c r="U184" s="177"/>
      <c r="V184" s="177"/>
      <c r="W184" s="190">
        <f>SUM(W178:W183)</f>
        <v>11451.42</v>
      </c>
      <c r="X184" s="190">
        <f>SUM(X178:X183)</f>
        <v>11725.289999999999</v>
      </c>
    </row>
    <row r="185" spans="1:25" x14ac:dyDescent="0.25">
      <c r="A185" s="61">
        <f>A178+1</f>
        <v>45834</v>
      </c>
      <c r="B185" s="119">
        <v>47</v>
      </c>
      <c r="C185" s="119">
        <v>32</v>
      </c>
      <c r="D185" s="141">
        <f>'Data Ocupacion'!BB37</f>
        <v>46</v>
      </c>
      <c r="E185" s="141">
        <f>'Data Ocupacion'!BC37</f>
        <v>33</v>
      </c>
      <c r="F185" s="119" t="s">
        <v>38</v>
      </c>
      <c r="G185" s="119">
        <f t="shared" ref="G185:G190" si="163">D185+E185*2</f>
        <v>112</v>
      </c>
      <c r="H185" s="119">
        <f>B185+C185*2</f>
        <v>111</v>
      </c>
      <c r="I185" s="119">
        <f t="shared" ref="I185:I190" si="164">D185+E185</f>
        <v>79</v>
      </c>
      <c r="J185" s="119">
        <f>G185*M$2</f>
        <v>4830.5600000000004</v>
      </c>
      <c r="K185" s="147">
        <f>I185*M$2</f>
        <v>3407.27</v>
      </c>
      <c r="L185" s="119">
        <f t="shared" ref="L185:L190" si="165">J185*104</f>
        <v>502378.24000000005</v>
      </c>
      <c r="M185" s="119">
        <f t="shared" ref="M185:M190" si="166">I185*104</f>
        <v>8216</v>
      </c>
      <c r="N185" s="19"/>
      <c r="O185" s="19"/>
      <c r="P185" s="140"/>
      <c r="Q185" s="179">
        <v>4</v>
      </c>
      <c r="R185" s="179"/>
      <c r="S185" s="203"/>
      <c r="T185" s="243"/>
      <c r="U185" s="188"/>
      <c r="V185" s="227"/>
      <c r="W185" s="178">
        <f>J185-(Q185*($M$2-$K$1))-(R185*($M$2-$M$1))- (S185*($M$2-$I$2))+ (T185*($G$2))</f>
        <v>4759.6400000000003</v>
      </c>
      <c r="X185" s="178">
        <f>H185*$M$2</f>
        <v>4787.43</v>
      </c>
    </row>
    <row r="186" spans="1:25" ht="15" customHeight="1" x14ac:dyDescent="0.25">
      <c r="A186" s="254"/>
      <c r="B186" s="119">
        <v>45</v>
      </c>
      <c r="C186" s="119">
        <v>33</v>
      </c>
      <c r="D186" s="141">
        <f>'Data Ocupacion'!BB38</f>
        <v>44</v>
      </c>
      <c r="E186" s="141">
        <f>'Data Ocupacion'!BC38</f>
        <v>34</v>
      </c>
      <c r="F186" s="119" t="s">
        <v>52</v>
      </c>
      <c r="G186" s="119">
        <f t="shared" si="163"/>
        <v>112</v>
      </c>
      <c r="H186" s="119">
        <f t="shared" ref="H186:H190" si="167">B186+C186*2</f>
        <v>111</v>
      </c>
      <c r="I186" s="119">
        <f t="shared" si="164"/>
        <v>78</v>
      </c>
      <c r="J186" s="119">
        <f>G186*M$2</f>
        <v>4830.5600000000004</v>
      </c>
      <c r="K186" s="147">
        <f>I186*M$2</f>
        <v>3364.1400000000003</v>
      </c>
      <c r="L186" s="119">
        <f t="shared" si="165"/>
        <v>502378.24000000005</v>
      </c>
      <c r="M186" s="119">
        <f t="shared" si="166"/>
        <v>8112</v>
      </c>
      <c r="N186" s="19"/>
      <c r="O186" s="19"/>
      <c r="P186" s="140"/>
      <c r="Q186" s="183"/>
      <c r="R186" s="183"/>
      <c r="S186" s="215"/>
      <c r="T186" s="243">
        <v>4</v>
      </c>
      <c r="U186" s="179"/>
      <c r="V186" s="203"/>
      <c r="W186" s="181">
        <f>J186-(T186*($M$2-$K$1)+(U186*($M$2-$M$1)))</f>
        <v>4759.6400000000003</v>
      </c>
      <c r="X186" s="178">
        <f>H186*$M$2</f>
        <v>4787.43</v>
      </c>
    </row>
    <row r="187" spans="1:25" x14ac:dyDescent="0.25">
      <c r="A187" s="254"/>
      <c r="B187" s="119">
        <v>29</v>
      </c>
      <c r="C187" s="119">
        <v>4</v>
      </c>
      <c r="D187" s="120">
        <f>'Data Ocupacion'!BB39</f>
        <v>29</v>
      </c>
      <c r="E187" s="120">
        <f>'Data Ocupacion'!BC39</f>
        <v>4</v>
      </c>
      <c r="F187" s="119" t="s">
        <v>36</v>
      </c>
      <c r="G187" s="119">
        <f t="shared" si="163"/>
        <v>37</v>
      </c>
      <c r="H187" s="119">
        <f t="shared" si="167"/>
        <v>37</v>
      </c>
      <c r="I187" s="119">
        <f t="shared" si="164"/>
        <v>33</v>
      </c>
      <c r="J187" s="119">
        <f>G187*M$1</f>
        <v>1077.07</v>
      </c>
      <c r="K187" s="147">
        <f>I187*M$1</f>
        <v>960.63</v>
      </c>
      <c r="L187" s="119">
        <f t="shared" si="165"/>
        <v>112015.28</v>
      </c>
      <c r="M187" s="119">
        <f t="shared" si="166"/>
        <v>3432</v>
      </c>
      <c r="N187" s="19"/>
      <c r="O187" s="19" t="s">
        <v>145</v>
      </c>
      <c r="P187" s="140"/>
      <c r="Q187" s="182"/>
      <c r="R187" s="184"/>
      <c r="S187" s="204"/>
      <c r="T187" s="185"/>
      <c r="U187" s="186"/>
      <c r="V187" s="186"/>
      <c r="W187" s="178">
        <f>J187-(Q187*($M$1-$K$1))</f>
        <v>1077.07</v>
      </c>
      <c r="X187" s="178">
        <f>H187*$M$1</f>
        <v>1077.07</v>
      </c>
    </row>
    <row r="188" spans="1:25" ht="15" customHeight="1" x14ac:dyDescent="0.25">
      <c r="A188" s="254"/>
      <c r="B188" s="119">
        <v>28</v>
      </c>
      <c r="C188" s="119">
        <v>4</v>
      </c>
      <c r="D188" s="120">
        <f>'Data Ocupacion'!BB40</f>
        <v>28</v>
      </c>
      <c r="E188" s="120">
        <f>'Data Ocupacion'!BC40</f>
        <v>4</v>
      </c>
      <c r="F188" s="119" t="s">
        <v>53</v>
      </c>
      <c r="G188" s="119">
        <f t="shared" si="163"/>
        <v>36</v>
      </c>
      <c r="H188" s="119">
        <f t="shared" si="167"/>
        <v>36</v>
      </c>
      <c r="I188" s="119">
        <f t="shared" si="164"/>
        <v>32</v>
      </c>
      <c r="J188" s="119">
        <f>G188*M$1</f>
        <v>1047.96</v>
      </c>
      <c r="K188" s="147">
        <f>I188*M$1</f>
        <v>931.52</v>
      </c>
      <c r="L188" s="119">
        <f t="shared" si="165"/>
        <v>108987.84</v>
      </c>
      <c r="M188" s="119">
        <f t="shared" si="166"/>
        <v>3328</v>
      </c>
      <c r="N188" s="19"/>
      <c r="O188" s="19"/>
      <c r="P188" s="140"/>
      <c r="Q188" s="186"/>
      <c r="R188" s="186"/>
      <c r="S188" s="186"/>
      <c r="T188" s="186"/>
      <c r="U188" s="186"/>
      <c r="V188" s="186"/>
      <c r="W188" s="178">
        <f>J188</f>
        <v>1047.96</v>
      </c>
      <c r="X188" s="178">
        <f>H188*$M$1</f>
        <v>1047.96</v>
      </c>
    </row>
    <row r="189" spans="1:25" ht="15" customHeight="1" x14ac:dyDescent="0.25">
      <c r="A189" s="254"/>
      <c r="B189" s="119">
        <v>0</v>
      </c>
      <c r="C189" s="119">
        <v>0</v>
      </c>
      <c r="D189" s="120">
        <f>'Data Ocupacion'!BB41</f>
        <v>0</v>
      </c>
      <c r="E189" s="120">
        <f>'Data Ocupacion'!BC41</f>
        <v>0</v>
      </c>
      <c r="F189" s="119" t="s">
        <v>122</v>
      </c>
      <c r="G189" s="119">
        <f t="shared" si="163"/>
        <v>0</v>
      </c>
      <c r="H189" s="119">
        <f t="shared" si="167"/>
        <v>0</v>
      </c>
      <c r="I189" s="119">
        <f t="shared" si="164"/>
        <v>0</v>
      </c>
      <c r="J189" s="119">
        <f>G189*K$1</f>
        <v>0</v>
      </c>
      <c r="K189" s="147">
        <f>I189*K$1</f>
        <v>0</v>
      </c>
      <c r="L189" s="119">
        <f t="shared" si="165"/>
        <v>0</v>
      </c>
      <c r="M189" s="119">
        <f t="shared" si="166"/>
        <v>0</v>
      </c>
      <c r="N189" s="19"/>
      <c r="O189" s="19"/>
      <c r="P189" s="140"/>
      <c r="Q189" s="186"/>
      <c r="R189" s="186"/>
      <c r="S189" s="186"/>
      <c r="T189" s="186"/>
      <c r="U189" s="186"/>
      <c r="V189" s="186"/>
      <c r="W189" s="178">
        <f>J189</f>
        <v>0</v>
      </c>
      <c r="X189" s="178">
        <f>H189*$K$1</f>
        <v>0</v>
      </c>
    </row>
    <row r="190" spans="1:25" ht="15" customHeight="1" thickBot="1" x14ac:dyDescent="0.3">
      <c r="A190" s="254"/>
      <c r="B190" s="119">
        <v>1</v>
      </c>
      <c r="C190" s="119">
        <v>0</v>
      </c>
      <c r="D190" s="120">
        <f>'Data Ocupacion'!BB42</f>
        <v>1</v>
      </c>
      <c r="E190" s="120">
        <f>'Data Ocupacion'!BC42</f>
        <v>0</v>
      </c>
      <c r="F190" s="119" t="s">
        <v>35</v>
      </c>
      <c r="G190" s="119">
        <f t="shared" si="163"/>
        <v>1</v>
      </c>
      <c r="H190" s="119">
        <f t="shared" si="167"/>
        <v>1</v>
      </c>
      <c r="I190" s="119">
        <f t="shared" si="164"/>
        <v>1</v>
      </c>
      <c r="J190" s="119">
        <f>G190*K$1</f>
        <v>25.4</v>
      </c>
      <c r="K190" s="147">
        <f>I190*K$1</f>
        <v>25.4</v>
      </c>
      <c r="L190" s="119">
        <f t="shared" si="165"/>
        <v>2641.6</v>
      </c>
      <c r="M190" s="119">
        <f t="shared" si="166"/>
        <v>104</v>
      </c>
      <c r="N190" s="19"/>
      <c r="O190" s="19"/>
      <c r="P190" s="140"/>
      <c r="Q190" s="186"/>
      <c r="R190" s="186"/>
      <c r="S190" s="186"/>
      <c r="T190" s="186"/>
      <c r="U190" s="186"/>
      <c r="V190" s="186"/>
      <c r="W190" s="178">
        <f>J190</f>
        <v>25.4</v>
      </c>
      <c r="X190" s="178">
        <f>H190*$K$1</f>
        <v>25.4</v>
      </c>
    </row>
    <row r="191" spans="1:25" s="118" customFormat="1" ht="15.75" thickBot="1" x14ac:dyDescent="0.3">
      <c r="A191" s="20"/>
      <c r="B191" s="216">
        <f>SUM(B185:B190)</f>
        <v>150</v>
      </c>
      <c r="C191" s="216">
        <f>SUM(C185:C190)</f>
        <v>73</v>
      </c>
      <c r="D191" s="146">
        <f>SUM(D185:D190)</f>
        <v>148</v>
      </c>
      <c r="E191" s="146">
        <f>SUM(E185:E190)</f>
        <v>75</v>
      </c>
      <c r="F191" s="113"/>
      <c r="G191" s="113">
        <f t="shared" ref="G191:M191" si="168">SUM(G185:G190)</f>
        <v>298</v>
      </c>
      <c r="H191" s="113">
        <f t="shared" si="168"/>
        <v>296</v>
      </c>
      <c r="I191" s="113">
        <f t="shared" si="168"/>
        <v>223</v>
      </c>
      <c r="J191" s="114">
        <f t="shared" si="168"/>
        <v>11811.550000000001</v>
      </c>
      <c r="K191" s="113">
        <f t="shared" si="168"/>
        <v>8688.9599999999991</v>
      </c>
      <c r="L191" s="112">
        <f t="shared" si="168"/>
        <v>1228401.2000000002</v>
      </c>
      <c r="M191" s="145">
        <f t="shared" si="168"/>
        <v>23192</v>
      </c>
      <c r="N191" s="117">
        <f>'Odometro-Kilometraje'!AA81</f>
        <v>12081</v>
      </c>
      <c r="O191" s="21">
        <f>(W191/N191)*100</f>
        <v>96.595563281185335</v>
      </c>
      <c r="P191" s="189"/>
      <c r="Q191" s="177"/>
      <c r="R191" s="177"/>
      <c r="S191" s="177"/>
      <c r="T191" s="177"/>
      <c r="U191" s="177"/>
      <c r="V191" s="177"/>
      <c r="W191" s="190">
        <f>SUM(W185:W190)</f>
        <v>11669.710000000001</v>
      </c>
      <c r="X191" s="190">
        <f>SUM(X185:X190)</f>
        <v>11725.289999999999</v>
      </c>
    </row>
    <row r="192" spans="1:25" x14ac:dyDescent="0.25">
      <c r="A192" s="61">
        <f>A185+1</f>
        <v>45835</v>
      </c>
      <c r="B192" s="119">
        <v>47</v>
      </c>
      <c r="C192" s="119">
        <v>32</v>
      </c>
      <c r="D192" s="120">
        <f>'Data Ocupacion'!BD37</f>
        <v>47</v>
      </c>
      <c r="E192" s="120">
        <f>'Data Ocupacion'!BE37</f>
        <v>32</v>
      </c>
      <c r="F192" s="119" t="s">
        <v>38</v>
      </c>
      <c r="G192" s="119">
        <f t="shared" ref="G192:G197" si="169">D192+E192*2</f>
        <v>111</v>
      </c>
      <c r="H192" s="119">
        <f>B192+C192*2</f>
        <v>111</v>
      </c>
      <c r="I192" s="119">
        <f t="shared" ref="I192:I197" si="170">D192+E192</f>
        <v>79</v>
      </c>
      <c r="J192" s="119">
        <f>G192*M$2</f>
        <v>4787.43</v>
      </c>
      <c r="K192" s="147">
        <f>I192*M$2</f>
        <v>3407.27</v>
      </c>
      <c r="L192" s="119">
        <f t="shared" ref="L192:L197" si="171">J192*104</f>
        <v>497892.72000000003</v>
      </c>
      <c r="M192" s="119">
        <f t="shared" ref="M192:M197" si="172">I192*104</f>
        <v>8216</v>
      </c>
      <c r="N192" s="19"/>
      <c r="O192" s="19"/>
      <c r="P192" s="140"/>
      <c r="Q192" s="179">
        <v>3</v>
      </c>
      <c r="R192" s="179"/>
      <c r="S192" s="203"/>
      <c r="T192" s="243"/>
      <c r="U192" s="188"/>
      <c r="V192" s="227"/>
      <c r="W192" s="178">
        <f>J192-(Q192*($M$2-$K$1))-(R192*($M$2-$M$1))- (S192*($M$2-$I$2))+ (T192*($G$2))</f>
        <v>4734.2400000000007</v>
      </c>
      <c r="X192" s="178">
        <f>H192*$M$2</f>
        <v>4787.43</v>
      </c>
    </row>
    <row r="193" spans="1:24" ht="18" customHeight="1" x14ac:dyDescent="0.25">
      <c r="A193" s="254"/>
      <c r="B193" s="119">
        <v>45</v>
      </c>
      <c r="C193" s="119">
        <v>33</v>
      </c>
      <c r="D193" s="120">
        <f>'Data Ocupacion'!BD38</f>
        <v>45</v>
      </c>
      <c r="E193" s="120">
        <f>'Data Ocupacion'!BE38</f>
        <v>33</v>
      </c>
      <c r="F193" s="119" t="s">
        <v>52</v>
      </c>
      <c r="G193" s="119">
        <f t="shared" si="169"/>
        <v>111</v>
      </c>
      <c r="H193" s="119">
        <f t="shared" ref="H193:H197" si="173">B193+C193*2</f>
        <v>111</v>
      </c>
      <c r="I193" s="119">
        <f t="shared" si="170"/>
        <v>78</v>
      </c>
      <c r="J193" s="119">
        <f>G193*M$2</f>
        <v>4787.43</v>
      </c>
      <c r="K193" s="147">
        <f>I193*M$2</f>
        <v>3364.1400000000003</v>
      </c>
      <c r="L193" s="119">
        <f t="shared" si="171"/>
        <v>497892.72000000003</v>
      </c>
      <c r="M193" s="119">
        <f t="shared" si="172"/>
        <v>8112</v>
      </c>
      <c r="N193" s="19"/>
      <c r="O193" s="19"/>
      <c r="P193" s="140"/>
      <c r="Q193" s="183"/>
      <c r="R193" s="183"/>
      <c r="S193" s="215"/>
      <c r="T193" s="243">
        <v>5</v>
      </c>
      <c r="U193" s="215"/>
      <c r="V193" s="228"/>
      <c r="W193" s="181">
        <f>J193-(T193*($M$2-$K$1)+(U193*($M$2-$M$1)))</f>
        <v>4698.7800000000007</v>
      </c>
      <c r="X193" s="178">
        <f>H193*$M$2</f>
        <v>4787.43</v>
      </c>
    </row>
    <row r="194" spans="1:24" ht="15" customHeight="1" x14ac:dyDescent="0.25">
      <c r="A194" s="254"/>
      <c r="B194" s="119">
        <v>29</v>
      </c>
      <c r="C194" s="119">
        <v>4</v>
      </c>
      <c r="D194" s="120">
        <f>'Data Ocupacion'!BD39</f>
        <v>29</v>
      </c>
      <c r="E194" s="120">
        <f>'Data Ocupacion'!BE39</f>
        <v>4</v>
      </c>
      <c r="F194" s="119" t="s">
        <v>36</v>
      </c>
      <c r="G194" s="119">
        <f t="shared" si="169"/>
        <v>37</v>
      </c>
      <c r="H194" s="119">
        <f t="shared" si="173"/>
        <v>37</v>
      </c>
      <c r="I194" s="119">
        <f t="shared" si="170"/>
        <v>33</v>
      </c>
      <c r="J194" s="119">
        <f>G194*M$1</f>
        <v>1077.07</v>
      </c>
      <c r="K194" s="147">
        <f>I194*M$1</f>
        <v>960.63</v>
      </c>
      <c r="L194" s="119">
        <f t="shared" si="171"/>
        <v>112015.28</v>
      </c>
      <c r="M194" s="119">
        <f t="shared" si="172"/>
        <v>3432</v>
      </c>
      <c r="N194" s="19"/>
      <c r="O194" s="19"/>
      <c r="P194" s="140"/>
      <c r="Q194" s="182"/>
      <c r="R194" s="184"/>
      <c r="S194" s="204"/>
      <c r="T194" s="185"/>
      <c r="U194" s="186"/>
      <c r="V194" s="186"/>
      <c r="W194" s="178">
        <f>J194-(Q194*($M$1-$K$1))</f>
        <v>1077.07</v>
      </c>
      <c r="X194" s="178">
        <f>H194*$M$1</f>
        <v>1077.07</v>
      </c>
    </row>
    <row r="195" spans="1:24" ht="15" customHeight="1" x14ac:dyDescent="0.25">
      <c r="A195" s="254"/>
      <c r="B195" s="119">
        <v>28</v>
      </c>
      <c r="C195" s="119">
        <v>4</v>
      </c>
      <c r="D195" s="120">
        <f>'Data Ocupacion'!BD40</f>
        <v>28</v>
      </c>
      <c r="E195" s="120">
        <f>'Data Ocupacion'!BE40</f>
        <v>4</v>
      </c>
      <c r="F195" s="119" t="s">
        <v>53</v>
      </c>
      <c r="G195" s="119">
        <f t="shared" si="169"/>
        <v>36</v>
      </c>
      <c r="H195" s="119">
        <f t="shared" si="173"/>
        <v>36</v>
      </c>
      <c r="I195" s="119">
        <f t="shared" si="170"/>
        <v>32</v>
      </c>
      <c r="J195" s="119">
        <f>G195*M$1</f>
        <v>1047.96</v>
      </c>
      <c r="K195" s="147">
        <f>I195*M$1</f>
        <v>931.52</v>
      </c>
      <c r="L195" s="119">
        <f t="shared" si="171"/>
        <v>108987.84</v>
      </c>
      <c r="M195" s="119">
        <f t="shared" si="172"/>
        <v>3328</v>
      </c>
      <c r="N195" s="19"/>
      <c r="O195" s="19"/>
      <c r="P195" s="140"/>
      <c r="Q195" s="186"/>
      <c r="R195" s="186"/>
      <c r="S195" s="186"/>
      <c r="T195" s="186"/>
      <c r="U195" s="186"/>
      <c r="V195" s="186"/>
      <c r="W195" s="178">
        <f>J195</f>
        <v>1047.96</v>
      </c>
      <c r="X195" s="178">
        <f>H195*$M$1</f>
        <v>1047.96</v>
      </c>
    </row>
    <row r="196" spans="1:24" ht="15" customHeight="1" x14ac:dyDescent="0.25">
      <c r="A196" s="254"/>
      <c r="B196" s="119">
        <v>0</v>
      </c>
      <c r="C196" s="119">
        <v>0</v>
      </c>
      <c r="D196" s="120">
        <f>'Data Ocupacion'!BD41</f>
        <v>0</v>
      </c>
      <c r="E196" s="120">
        <f>'Data Ocupacion'!BE41</f>
        <v>0</v>
      </c>
      <c r="F196" s="119" t="s">
        <v>122</v>
      </c>
      <c r="G196" s="119">
        <f t="shared" si="169"/>
        <v>0</v>
      </c>
      <c r="H196" s="119">
        <f t="shared" si="173"/>
        <v>0</v>
      </c>
      <c r="I196" s="119">
        <f t="shared" si="170"/>
        <v>0</v>
      </c>
      <c r="J196" s="119">
        <f>G196*K$1</f>
        <v>0</v>
      </c>
      <c r="K196" s="147">
        <f>I196*K$1</f>
        <v>0</v>
      </c>
      <c r="L196" s="119">
        <f t="shared" si="171"/>
        <v>0</v>
      </c>
      <c r="M196" s="119">
        <f t="shared" si="172"/>
        <v>0</v>
      </c>
      <c r="N196" s="19"/>
      <c r="O196" s="19"/>
      <c r="P196" s="140"/>
      <c r="Q196" s="186"/>
      <c r="R196" s="186"/>
      <c r="S196" s="186"/>
      <c r="T196" s="186"/>
      <c r="U196" s="186"/>
      <c r="V196" s="186"/>
      <c r="W196" s="178">
        <f>J196</f>
        <v>0</v>
      </c>
      <c r="X196" s="178">
        <f>H196*$K$1</f>
        <v>0</v>
      </c>
    </row>
    <row r="197" spans="1:24" ht="15.75" customHeight="1" thickBot="1" x14ac:dyDescent="0.3">
      <c r="A197" s="254"/>
      <c r="B197" s="119">
        <v>1</v>
      </c>
      <c r="C197" s="119">
        <v>0</v>
      </c>
      <c r="D197" s="120">
        <f>'Data Ocupacion'!BD42</f>
        <v>1</v>
      </c>
      <c r="E197" s="120">
        <f>'Data Ocupacion'!BE42</f>
        <v>0</v>
      </c>
      <c r="F197" s="119" t="s">
        <v>35</v>
      </c>
      <c r="G197" s="119">
        <f t="shared" si="169"/>
        <v>1</v>
      </c>
      <c r="H197" s="119">
        <f t="shared" si="173"/>
        <v>1</v>
      </c>
      <c r="I197" s="119">
        <f t="shared" si="170"/>
        <v>1</v>
      </c>
      <c r="J197" s="119">
        <f>G197*K$1</f>
        <v>25.4</v>
      </c>
      <c r="K197" s="147">
        <f>I197*K$1</f>
        <v>25.4</v>
      </c>
      <c r="L197" s="119">
        <f t="shared" si="171"/>
        <v>2641.6</v>
      </c>
      <c r="M197" s="119">
        <f t="shared" si="172"/>
        <v>104</v>
      </c>
      <c r="N197" s="19"/>
      <c r="O197" s="19"/>
      <c r="P197" s="140"/>
      <c r="Q197" s="186"/>
      <c r="R197" s="186"/>
      <c r="S197" s="186"/>
      <c r="T197" s="186"/>
      <c r="U197" s="186"/>
      <c r="V197" s="186"/>
      <c r="W197" s="178">
        <f>J197</f>
        <v>25.4</v>
      </c>
      <c r="X197" s="178">
        <f>H197*$K$1</f>
        <v>25.4</v>
      </c>
    </row>
    <row r="198" spans="1:24" s="118" customFormat="1" ht="15.75" thickBot="1" x14ac:dyDescent="0.3">
      <c r="A198" s="20"/>
      <c r="B198" s="216">
        <f>SUM(B192:B197)</f>
        <v>150</v>
      </c>
      <c r="C198" s="216">
        <f>SUM(C192:C197)</f>
        <v>73</v>
      </c>
      <c r="D198" s="146">
        <f>SUM(D192:D197)</f>
        <v>150</v>
      </c>
      <c r="E198" s="146">
        <f>SUM(E192:E197)</f>
        <v>73</v>
      </c>
      <c r="F198" s="113"/>
      <c r="G198" s="113">
        <f t="shared" ref="G198:M198" si="174">SUM(G192:G197)</f>
        <v>296</v>
      </c>
      <c r="H198" s="113">
        <f t="shared" si="174"/>
        <v>296</v>
      </c>
      <c r="I198" s="113">
        <f t="shared" si="174"/>
        <v>223</v>
      </c>
      <c r="J198" s="114">
        <f t="shared" si="174"/>
        <v>11725.289999999999</v>
      </c>
      <c r="K198" s="113">
        <f t="shared" si="174"/>
        <v>8688.9599999999991</v>
      </c>
      <c r="L198" s="112">
        <f t="shared" si="174"/>
        <v>1219430.1600000001</v>
      </c>
      <c r="M198" s="145">
        <f t="shared" si="174"/>
        <v>23192</v>
      </c>
      <c r="N198" s="117">
        <f>'Odometro-Kilometraje'!AB81</f>
        <v>11969</v>
      </c>
      <c r="O198" s="21">
        <f>(W198/N198)*100</f>
        <v>96.778761801320073</v>
      </c>
      <c r="P198" s="189"/>
      <c r="Q198" s="177"/>
      <c r="R198" s="177"/>
      <c r="S198" s="177"/>
      <c r="T198" s="177"/>
      <c r="U198" s="177"/>
      <c r="V198" s="177"/>
      <c r="W198" s="190">
        <f>SUM(W192:W197)</f>
        <v>11583.449999999999</v>
      </c>
      <c r="X198" s="190">
        <f>SUM(X192:X197)</f>
        <v>11725.289999999999</v>
      </c>
    </row>
    <row r="199" spans="1:24" x14ac:dyDescent="0.25">
      <c r="A199" s="61">
        <f>A192+1</f>
        <v>45836</v>
      </c>
      <c r="B199" s="110">
        <v>69</v>
      </c>
      <c r="C199" s="110">
        <v>3</v>
      </c>
      <c r="D199" s="141">
        <f>'Data Ocupacion'!BF37</f>
        <v>69</v>
      </c>
      <c r="E199" s="141">
        <f>'Data Ocupacion'!BG37</f>
        <v>3</v>
      </c>
      <c r="F199" s="308" t="s">
        <v>38</v>
      </c>
      <c r="G199" s="309">
        <f t="shared" ref="G199:G204" si="175">D199+E199*2</f>
        <v>75</v>
      </c>
      <c r="H199" s="110">
        <f>B199+C199*2</f>
        <v>75</v>
      </c>
      <c r="I199" s="310">
        <f t="shared" ref="I199:I204" si="176">D199+E199</f>
        <v>72</v>
      </c>
      <c r="J199" s="310">
        <f>G199*M$2</f>
        <v>3234.75</v>
      </c>
      <c r="K199" s="147">
        <f>I199*M$2</f>
        <v>3105.36</v>
      </c>
      <c r="L199" s="110">
        <f t="shared" ref="L199:L204" si="177">J199*104</f>
        <v>336414</v>
      </c>
      <c r="M199" s="110">
        <f t="shared" ref="M199:M204" si="178">I199*104</f>
        <v>7488</v>
      </c>
      <c r="N199" s="19"/>
      <c r="O199" s="19"/>
      <c r="P199" s="140"/>
      <c r="Q199" s="179"/>
      <c r="R199" s="179"/>
      <c r="S199" s="203"/>
      <c r="T199" s="179"/>
      <c r="U199" s="188"/>
      <c r="V199" s="227"/>
      <c r="W199" s="178">
        <f>J199-(Q199*($M$2-$K$1))-(R199*($M$2-$M$1))- (S199*($M$2-$I$2))+ (T199*($G$2))</f>
        <v>3234.75</v>
      </c>
      <c r="X199" s="178">
        <f>H199*$M$2</f>
        <v>3234.75</v>
      </c>
    </row>
    <row r="200" spans="1:24" ht="15" customHeight="1" x14ac:dyDescent="0.25">
      <c r="A200" s="199"/>
      <c r="B200" s="110">
        <v>75</v>
      </c>
      <c r="C200" s="110">
        <v>0</v>
      </c>
      <c r="D200" s="141">
        <f>'Data Ocupacion'!BF38</f>
        <v>75</v>
      </c>
      <c r="E200" s="141">
        <f>'Data Ocupacion'!BG38</f>
        <v>0</v>
      </c>
      <c r="F200" s="308" t="s">
        <v>52</v>
      </c>
      <c r="G200" s="309">
        <f t="shared" si="175"/>
        <v>75</v>
      </c>
      <c r="H200" s="110">
        <f t="shared" ref="H200:H204" si="179">B200+C200*2</f>
        <v>75</v>
      </c>
      <c r="I200" s="110">
        <f t="shared" si="176"/>
        <v>75</v>
      </c>
      <c r="J200" s="110">
        <f>G200*M$2</f>
        <v>3234.75</v>
      </c>
      <c r="K200" s="147">
        <f>I200*M$2</f>
        <v>3234.75</v>
      </c>
      <c r="L200" s="110">
        <f t="shared" si="177"/>
        <v>336414</v>
      </c>
      <c r="M200" s="110">
        <f t="shared" si="178"/>
        <v>7800</v>
      </c>
      <c r="N200" s="19"/>
      <c r="O200" s="19"/>
      <c r="P200" s="140"/>
      <c r="Q200" s="183"/>
      <c r="R200" s="183"/>
      <c r="S200" s="215"/>
      <c r="T200" s="179"/>
      <c r="U200" s="215"/>
      <c r="V200" s="228"/>
      <c r="W200" s="181">
        <f>J200-(T200*($M$2-$K$1)+(U200*($M$2-$M$1)))</f>
        <v>3234.75</v>
      </c>
      <c r="X200" s="178">
        <f>H200*$M$2</f>
        <v>3234.75</v>
      </c>
    </row>
    <row r="201" spans="1:24" ht="15" customHeight="1" x14ac:dyDescent="0.25">
      <c r="A201" s="199"/>
      <c r="B201" s="110">
        <v>0</v>
      </c>
      <c r="C201" s="110">
        <v>0</v>
      </c>
      <c r="D201" s="141">
        <f>'Data Ocupacion'!BF39</f>
        <v>0</v>
      </c>
      <c r="E201" s="141">
        <f>'Data Ocupacion'!BG39</f>
        <v>0</v>
      </c>
      <c r="F201" s="308" t="s">
        <v>36</v>
      </c>
      <c r="G201" s="309">
        <f t="shared" si="175"/>
        <v>0</v>
      </c>
      <c r="H201" s="110">
        <f t="shared" si="179"/>
        <v>0</v>
      </c>
      <c r="I201" s="110">
        <f t="shared" si="176"/>
        <v>0</v>
      </c>
      <c r="J201" s="110">
        <f>G201*M$1</f>
        <v>0</v>
      </c>
      <c r="K201" s="147">
        <f>I201*M$1</f>
        <v>0</v>
      </c>
      <c r="L201" s="110">
        <f t="shared" si="177"/>
        <v>0</v>
      </c>
      <c r="M201" s="110">
        <f t="shared" si="178"/>
        <v>0</v>
      </c>
      <c r="N201" s="19"/>
      <c r="O201" s="19" t="s">
        <v>145</v>
      </c>
      <c r="P201" s="140"/>
      <c r="Q201" s="182"/>
      <c r="R201" s="184"/>
      <c r="S201" s="204"/>
      <c r="T201" s="185"/>
      <c r="U201" s="186"/>
      <c r="V201" s="186"/>
      <c r="W201" s="178">
        <f>J201-(Q201*($M$1-$K$1))</f>
        <v>0</v>
      </c>
      <c r="X201" s="178">
        <f>H201*$M$1</f>
        <v>0</v>
      </c>
    </row>
    <row r="202" spans="1:24" ht="15" customHeight="1" x14ac:dyDescent="0.25">
      <c r="A202" s="199"/>
      <c r="B202" s="110">
        <v>0</v>
      </c>
      <c r="C202" s="110">
        <v>0</v>
      </c>
      <c r="D202" s="141">
        <f>'Data Ocupacion'!BF40</f>
        <v>0</v>
      </c>
      <c r="E202" s="141">
        <f>'Data Ocupacion'!BG40</f>
        <v>0</v>
      </c>
      <c r="F202" s="308" t="s">
        <v>53</v>
      </c>
      <c r="G202" s="309">
        <f t="shared" si="175"/>
        <v>0</v>
      </c>
      <c r="H202" s="110">
        <f t="shared" si="179"/>
        <v>0</v>
      </c>
      <c r="I202" s="110">
        <f t="shared" si="176"/>
        <v>0</v>
      </c>
      <c r="J202" s="110">
        <f>G202*M$1</f>
        <v>0</v>
      </c>
      <c r="K202" s="147">
        <f>I202*M$1</f>
        <v>0</v>
      </c>
      <c r="L202" s="110">
        <f t="shared" si="177"/>
        <v>0</v>
      </c>
      <c r="M202" s="110">
        <f t="shared" si="178"/>
        <v>0</v>
      </c>
      <c r="N202" s="19"/>
      <c r="O202" s="19" t="s">
        <v>145</v>
      </c>
      <c r="P202" s="140"/>
      <c r="Q202" s="186"/>
      <c r="R202" s="186"/>
      <c r="S202" s="186"/>
      <c r="T202" s="186"/>
      <c r="U202" s="186"/>
      <c r="V202" s="186"/>
      <c r="W202" s="178">
        <f>J202</f>
        <v>0</v>
      </c>
      <c r="X202" s="178">
        <f>H202*$M$1</f>
        <v>0</v>
      </c>
    </row>
    <row r="203" spans="1:24" ht="15" customHeight="1" x14ac:dyDescent="0.25">
      <c r="A203" s="199"/>
      <c r="B203" s="110">
        <v>0</v>
      </c>
      <c r="C203" s="110">
        <v>0</v>
      </c>
      <c r="D203" s="141">
        <f>'Data Ocupacion'!BF41</f>
        <v>0</v>
      </c>
      <c r="E203" s="141">
        <f>'Data Ocupacion'!BG41</f>
        <v>0</v>
      </c>
      <c r="F203" s="308" t="s">
        <v>122</v>
      </c>
      <c r="G203" s="309">
        <f t="shared" si="175"/>
        <v>0</v>
      </c>
      <c r="H203" s="110">
        <f t="shared" si="179"/>
        <v>0</v>
      </c>
      <c r="I203" s="110">
        <f t="shared" si="176"/>
        <v>0</v>
      </c>
      <c r="J203" s="311">
        <f>G203*K$1</f>
        <v>0</v>
      </c>
      <c r="K203" s="147">
        <f>I203*K$1</f>
        <v>0</v>
      </c>
      <c r="L203" s="110">
        <f t="shared" si="177"/>
        <v>0</v>
      </c>
      <c r="M203" s="110">
        <f t="shared" si="178"/>
        <v>0</v>
      </c>
      <c r="N203" s="19"/>
      <c r="O203" s="19"/>
      <c r="P203" s="140"/>
      <c r="Q203" s="186"/>
      <c r="R203" s="186"/>
      <c r="S203" s="186"/>
      <c r="T203" s="186"/>
      <c r="U203" s="186"/>
      <c r="V203" s="186"/>
      <c r="W203" s="178">
        <f>J203</f>
        <v>0</v>
      </c>
      <c r="X203" s="178">
        <f>H203*$K$1</f>
        <v>0</v>
      </c>
    </row>
    <row r="204" spans="1:24" ht="15.75" customHeight="1" thickBot="1" x14ac:dyDescent="0.3">
      <c r="A204" s="199"/>
      <c r="B204" s="110">
        <v>0</v>
      </c>
      <c r="C204" s="110">
        <v>0</v>
      </c>
      <c r="D204" s="141">
        <f>'Data Ocupacion'!BF42</f>
        <v>0</v>
      </c>
      <c r="E204" s="141">
        <f>'Data Ocupacion'!BG42</f>
        <v>0</v>
      </c>
      <c r="F204" s="308" t="s">
        <v>35</v>
      </c>
      <c r="G204" s="309">
        <f t="shared" si="175"/>
        <v>0</v>
      </c>
      <c r="H204" s="110">
        <f t="shared" si="179"/>
        <v>0</v>
      </c>
      <c r="I204" s="312">
        <f t="shared" si="176"/>
        <v>0</v>
      </c>
      <c r="J204" s="312">
        <f>G204*K$1</f>
        <v>0</v>
      </c>
      <c r="K204" s="147">
        <f>I204*K$1</f>
        <v>0</v>
      </c>
      <c r="L204" s="110">
        <f t="shared" si="177"/>
        <v>0</v>
      </c>
      <c r="M204" s="110">
        <f t="shared" si="178"/>
        <v>0</v>
      </c>
      <c r="N204" s="19"/>
      <c r="O204" s="19"/>
      <c r="P204" s="140"/>
      <c r="Q204" s="186"/>
      <c r="R204" s="186"/>
      <c r="S204" s="186"/>
      <c r="T204" s="186"/>
      <c r="U204" s="186"/>
      <c r="V204" s="186"/>
      <c r="W204" s="178">
        <f>J204</f>
        <v>0</v>
      </c>
      <c r="X204" s="178">
        <f>H204*$K$1</f>
        <v>0</v>
      </c>
    </row>
    <row r="205" spans="1:24" s="118" customFormat="1" ht="15.75" thickBot="1" x14ac:dyDescent="0.3">
      <c r="A205" s="20"/>
      <c r="B205" s="216">
        <f>SUM(B199:B204)</f>
        <v>144</v>
      </c>
      <c r="C205" s="216">
        <f>SUM(C199:C204)</f>
        <v>3</v>
      </c>
      <c r="D205" s="142">
        <f>SUM(D199:D204)</f>
        <v>144</v>
      </c>
      <c r="E205" s="142">
        <f>SUM(E199:E204)</f>
        <v>3</v>
      </c>
      <c r="F205" s="113"/>
      <c r="G205" s="113">
        <f t="shared" ref="G205:M205" si="180">SUM(G199:G204)</f>
        <v>150</v>
      </c>
      <c r="H205" s="113">
        <f t="shared" si="180"/>
        <v>150</v>
      </c>
      <c r="I205" s="113">
        <f t="shared" si="180"/>
        <v>147</v>
      </c>
      <c r="J205" s="113">
        <f t="shared" si="180"/>
        <v>6469.5</v>
      </c>
      <c r="K205" s="113">
        <f t="shared" si="180"/>
        <v>6340.1100000000006</v>
      </c>
      <c r="L205" s="113">
        <f t="shared" si="180"/>
        <v>672828</v>
      </c>
      <c r="M205" s="113">
        <f t="shared" si="180"/>
        <v>15288</v>
      </c>
      <c r="N205" s="117">
        <f>'Odometro-Kilometraje'!AC81</f>
        <v>6520</v>
      </c>
      <c r="O205" s="21">
        <f>(W205/N205)*100</f>
        <v>99.225460122699388</v>
      </c>
      <c r="P205" s="189"/>
      <c r="Q205" s="177"/>
      <c r="R205" s="177"/>
      <c r="S205" s="177"/>
      <c r="T205" s="177"/>
      <c r="U205" s="177"/>
      <c r="V205" s="177"/>
      <c r="W205" s="190">
        <f>SUM(W199:W204)</f>
        <v>6469.5</v>
      </c>
      <c r="X205" s="190">
        <f>SUM(X199:X204)</f>
        <v>6469.5</v>
      </c>
    </row>
    <row r="206" spans="1:24" x14ac:dyDescent="0.25">
      <c r="A206" s="61">
        <f>A199+1</f>
        <v>45837</v>
      </c>
      <c r="B206" s="217">
        <v>50</v>
      </c>
      <c r="C206" s="217">
        <v>11</v>
      </c>
      <c r="D206" s="132">
        <f>'Data Ocupacion'!BH37</f>
        <v>50</v>
      </c>
      <c r="E206" s="132">
        <f>'Data Ocupacion'!BI37</f>
        <v>11</v>
      </c>
      <c r="F206" s="303" t="s">
        <v>38</v>
      </c>
      <c r="G206" s="304">
        <f t="shared" ref="G206:G211" si="181">D206+E206*2</f>
        <v>72</v>
      </c>
      <c r="H206" s="217">
        <f>B206+C206*2</f>
        <v>72</v>
      </c>
      <c r="I206" s="305">
        <f t="shared" ref="I206:I211" si="182">D206+E206</f>
        <v>61</v>
      </c>
      <c r="J206" s="305">
        <f>G206*M$2</f>
        <v>3105.36</v>
      </c>
      <c r="K206" s="147">
        <f>I206*M$2</f>
        <v>2630.9300000000003</v>
      </c>
      <c r="L206" s="217">
        <f t="shared" ref="L206:L211" si="183">J206*104</f>
        <v>322957.44</v>
      </c>
      <c r="M206" s="217">
        <f t="shared" ref="M206:M211" si="184">I206*104</f>
        <v>6344</v>
      </c>
      <c r="N206" s="19"/>
      <c r="O206" s="19"/>
      <c r="P206" s="140"/>
      <c r="Q206" s="179"/>
      <c r="R206" s="179"/>
      <c r="S206" s="203"/>
      <c r="T206" s="243"/>
      <c r="U206" s="188"/>
      <c r="V206" s="227"/>
      <c r="W206" s="178">
        <f>J206-(Q206*($M$2-$K$1))-(R206*($M$2-$M$1))- (S206*($M$2-$I$2))+ (T206*($G$2))</f>
        <v>3105.36</v>
      </c>
      <c r="X206" s="178">
        <f>H206*$M$2</f>
        <v>3105.36</v>
      </c>
    </row>
    <row r="207" spans="1:24" ht="15" customHeight="1" x14ac:dyDescent="0.25">
      <c r="A207" s="370" t="s">
        <v>188</v>
      </c>
      <c r="B207" s="217">
        <v>50</v>
      </c>
      <c r="C207" s="217">
        <v>11</v>
      </c>
      <c r="D207" s="132">
        <f>'Data Ocupacion'!BH38</f>
        <v>50</v>
      </c>
      <c r="E207" s="132">
        <f>'Data Ocupacion'!BI38</f>
        <v>11</v>
      </c>
      <c r="F207" s="303" t="s">
        <v>52</v>
      </c>
      <c r="G207" s="304">
        <f t="shared" si="181"/>
        <v>72</v>
      </c>
      <c r="H207" s="217">
        <f t="shared" ref="H207:H211" si="185">B207+C207*2</f>
        <v>72</v>
      </c>
      <c r="I207" s="217">
        <f t="shared" si="182"/>
        <v>61</v>
      </c>
      <c r="J207" s="217">
        <f>G207*M$2</f>
        <v>3105.36</v>
      </c>
      <c r="K207" s="147">
        <f>I207*M$2</f>
        <v>2630.9300000000003</v>
      </c>
      <c r="L207" s="217">
        <f t="shared" si="183"/>
        <v>322957.44</v>
      </c>
      <c r="M207" s="217">
        <f t="shared" si="184"/>
        <v>6344</v>
      </c>
      <c r="N207" s="19"/>
      <c r="O207" s="19"/>
      <c r="P207" s="140"/>
      <c r="Q207" s="183"/>
      <c r="R207" s="183"/>
      <c r="S207" s="215"/>
      <c r="T207" s="179"/>
      <c r="U207" s="215"/>
      <c r="V207" s="228"/>
      <c r="W207" s="181">
        <f>J207-(T207*($M$2-$K$1)+(U207*($M$2-$M$1)))</f>
        <v>3105.36</v>
      </c>
      <c r="X207" s="178">
        <f>H207*$M$2</f>
        <v>3105.36</v>
      </c>
    </row>
    <row r="208" spans="1:24" s="118" customFormat="1" ht="16.149999999999999" customHeight="1" x14ac:dyDescent="0.25">
      <c r="A208" s="370"/>
      <c r="B208" s="217">
        <v>0</v>
      </c>
      <c r="C208" s="217">
        <v>0</v>
      </c>
      <c r="D208" s="132">
        <f>'Data Ocupacion'!BH39</f>
        <v>0</v>
      </c>
      <c r="E208" s="132">
        <f>'Data Ocupacion'!BI39</f>
        <v>0</v>
      </c>
      <c r="F208" s="303" t="s">
        <v>36</v>
      </c>
      <c r="G208" s="304">
        <f t="shared" si="181"/>
        <v>0</v>
      </c>
      <c r="H208" s="217">
        <f t="shared" si="185"/>
        <v>0</v>
      </c>
      <c r="I208" s="217">
        <f t="shared" si="182"/>
        <v>0</v>
      </c>
      <c r="J208" s="217">
        <f>G208*M$1</f>
        <v>0</v>
      </c>
      <c r="K208" s="147">
        <f>I208*M$1</f>
        <v>0</v>
      </c>
      <c r="L208" s="217">
        <f t="shared" si="183"/>
        <v>0</v>
      </c>
      <c r="M208" s="217">
        <f t="shared" si="184"/>
        <v>0</v>
      </c>
      <c r="N208" s="19"/>
      <c r="O208" s="19" t="s">
        <v>145</v>
      </c>
      <c r="P208" s="140"/>
      <c r="Q208" s="182"/>
      <c r="R208" s="184"/>
      <c r="S208" s="204"/>
      <c r="T208" s="185"/>
      <c r="U208" s="186"/>
      <c r="V208" s="186"/>
      <c r="W208" s="178">
        <f>J208-(Q208*($M$1-$K$1))</f>
        <v>0</v>
      </c>
      <c r="X208" s="178">
        <f>H208*$M$1</f>
        <v>0</v>
      </c>
    </row>
    <row r="209" spans="1:25" s="118" customFormat="1" ht="15" customHeight="1" x14ac:dyDescent="0.25">
      <c r="A209" s="370"/>
      <c r="B209" s="217">
        <v>0</v>
      </c>
      <c r="C209" s="217">
        <v>0</v>
      </c>
      <c r="D209" s="132">
        <f>'Data Ocupacion'!BH40</f>
        <v>0</v>
      </c>
      <c r="E209" s="132">
        <f>'Data Ocupacion'!BI40</f>
        <v>0</v>
      </c>
      <c r="F209" s="303" t="s">
        <v>53</v>
      </c>
      <c r="G209" s="304">
        <f t="shared" si="181"/>
        <v>0</v>
      </c>
      <c r="H209" s="217">
        <f t="shared" si="185"/>
        <v>0</v>
      </c>
      <c r="I209" s="217">
        <f t="shared" si="182"/>
        <v>0</v>
      </c>
      <c r="J209" s="217">
        <f>G209*M$1</f>
        <v>0</v>
      </c>
      <c r="K209" s="147">
        <f>I209*M$1</f>
        <v>0</v>
      </c>
      <c r="L209" s="217">
        <f t="shared" si="183"/>
        <v>0</v>
      </c>
      <c r="M209" s="217">
        <f t="shared" si="184"/>
        <v>0</v>
      </c>
      <c r="N209" s="19"/>
      <c r="O209" s="19" t="s">
        <v>145</v>
      </c>
      <c r="P209" s="140"/>
      <c r="Q209" s="186"/>
      <c r="R209" s="186"/>
      <c r="S209" s="186"/>
      <c r="T209" s="186"/>
      <c r="U209" s="186"/>
      <c r="V209" s="186"/>
      <c r="W209" s="178">
        <f>J209</f>
        <v>0</v>
      </c>
      <c r="X209" s="178">
        <f>H209*$M$1</f>
        <v>0</v>
      </c>
    </row>
    <row r="210" spans="1:25" s="118" customFormat="1" x14ac:dyDescent="0.25">
      <c r="A210" s="370"/>
      <c r="B210" s="217">
        <v>0</v>
      </c>
      <c r="C210" s="217">
        <v>0</v>
      </c>
      <c r="D210" s="132">
        <f>'Data Ocupacion'!BH41</f>
        <v>0</v>
      </c>
      <c r="E210" s="132">
        <f>'Data Ocupacion'!BI41</f>
        <v>0</v>
      </c>
      <c r="F210" s="303" t="s">
        <v>122</v>
      </c>
      <c r="G210" s="304">
        <f t="shared" si="181"/>
        <v>0</v>
      </c>
      <c r="H210" s="217">
        <f t="shared" si="185"/>
        <v>0</v>
      </c>
      <c r="I210" s="217">
        <f t="shared" si="182"/>
        <v>0</v>
      </c>
      <c r="J210" s="306">
        <f>G210*K$1</f>
        <v>0</v>
      </c>
      <c r="K210" s="147">
        <f>I210*K$1</f>
        <v>0</v>
      </c>
      <c r="L210" s="217">
        <f t="shared" si="183"/>
        <v>0</v>
      </c>
      <c r="M210" s="217">
        <f t="shared" si="184"/>
        <v>0</v>
      </c>
      <c r="N210" s="19"/>
      <c r="O210" s="19"/>
      <c r="P210" s="140"/>
      <c r="Q210" s="186"/>
      <c r="R210" s="186"/>
      <c r="S210" s="186"/>
      <c r="T210" s="186"/>
      <c r="U210" s="186"/>
      <c r="V210" s="186"/>
      <c r="W210" s="178">
        <f>J210</f>
        <v>0</v>
      </c>
      <c r="X210" s="178">
        <f>H210*$K$1</f>
        <v>0</v>
      </c>
    </row>
    <row r="211" spans="1:25" s="118" customFormat="1" ht="15.75" thickBot="1" x14ac:dyDescent="0.3">
      <c r="A211" s="370"/>
      <c r="B211" s="217">
        <v>0</v>
      </c>
      <c r="C211" s="217">
        <v>0</v>
      </c>
      <c r="D211" s="132">
        <f>'Data Ocupacion'!BH42</f>
        <v>0</v>
      </c>
      <c r="E211" s="132">
        <f>'Data Ocupacion'!BI42</f>
        <v>0</v>
      </c>
      <c r="F211" s="303" t="s">
        <v>35</v>
      </c>
      <c r="G211" s="304">
        <f t="shared" si="181"/>
        <v>0</v>
      </c>
      <c r="H211" s="217">
        <f t="shared" si="185"/>
        <v>0</v>
      </c>
      <c r="I211" s="307">
        <f t="shared" si="182"/>
        <v>0</v>
      </c>
      <c r="J211" s="307">
        <f>G211*K$1</f>
        <v>0</v>
      </c>
      <c r="K211" s="147">
        <f>I211*K$1</f>
        <v>0</v>
      </c>
      <c r="L211" s="217">
        <f t="shared" si="183"/>
        <v>0</v>
      </c>
      <c r="M211" s="217">
        <f t="shared" si="184"/>
        <v>0</v>
      </c>
      <c r="N211" s="19"/>
      <c r="O211" s="19"/>
      <c r="P211" s="140"/>
      <c r="Q211" s="186"/>
      <c r="R211" s="186"/>
      <c r="S211" s="186"/>
      <c r="T211" s="186"/>
      <c r="U211" s="186"/>
      <c r="V211" s="186"/>
      <c r="W211" s="178">
        <f>J211</f>
        <v>0</v>
      </c>
      <c r="X211" s="178">
        <f>H211*$K$1</f>
        <v>0</v>
      </c>
    </row>
    <row r="212" spans="1:25" s="118" customFormat="1" ht="14.25" customHeight="1" thickBot="1" x14ac:dyDescent="0.3">
      <c r="A212" s="20"/>
      <c r="B212" s="216">
        <f>SUM(B206:B211)</f>
        <v>100</v>
      </c>
      <c r="C212" s="216">
        <f>SUM(C206:C211)</f>
        <v>22</v>
      </c>
      <c r="D212" s="142">
        <f>SUM(D206:D211)</f>
        <v>100</v>
      </c>
      <c r="E212" s="142">
        <f>SUM(E206:E211)</f>
        <v>22</v>
      </c>
      <c r="F212" s="113"/>
      <c r="G212" s="113">
        <f t="shared" ref="G212:M212" si="186">SUM(G206:G211)</f>
        <v>144</v>
      </c>
      <c r="H212" s="113">
        <f t="shared" si="186"/>
        <v>144</v>
      </c>
      <c r="I212" s="113">
        <f t="shared" si="186"/>
        <v>122</v>
      </c>
      <c r="J212" s="113">
        <f t="shared" si="186"/>
        <v>6210.72</v>
      </c>
      <c r="K212" s="113">
        <f t="shared" si="186"/>
        <v>5261.8600000000006</v>
      </c>
      <c r="L212" s="113">
        <f t="shared" si="186"/>
        <v>645914.88</v>
      </c>
      <c r="M212" s="113">
        <f t="shared" si="186"/>
        <v>12688</v>
      </c>
      <c r="N212" s="117">
        <f>'Odometro-Kilometraje'!AD81</f>
        <v>6254</v>
      </c>
      <c r="O212" s="21">
        <f>(W212/N212)*100</f>
        <v>99.307962903741611</v>
      </c>
      <c r="P212" s="189"/>
      <c r="Q212" s="177"/>
      <c r="R212" s="177"/>
      <c r="S212" s="177"/>
      <c r="T212" s="177"/>
      <c r="U212" s="177"/>
      <c r="V212" s="177"/>
      <c r="W212" s="190">
        <f>SUM(W206:W211)</f>
        <v>6210.72</v>
      </c>
      <c r="X212" s="190">
        <f>SUM(X206:X211)</f>
        <v>6210.72</v>
      </c>
      <c r="Y212" s="242"/>
    </row>
    <row r="213" spans="1:25" s="118" customFormat="1" x14ac:dyDescent="0.25">
      <c r="A213" s="61">
        <f>A206+1</f>
        <v>45838</v>
      </c>
      <c r="B213" s="119">
        <v>55</v>
      </c>
      <c r="C213" s="119">
        <v>24</v>
      </c>
      <c r="D213" s="120">
        <f>'Data Ocupacion'!BJ37</f>
        <v>54</v>
      </c>
      <c r="E213" s="120">
        <f>'Data Ocupacion'!BK37</f>
        <v>25</v>
      </c>
      <c r="F213" s="219" t="s">
        <v>38</v>
      </c>
      <c r="G213" s="220">
        <f t="shared" ref="G213:G218" si="187">D213+E213*2</f>
        <v>104</v>
      </c>
      <c r="H213" s="119">
        <f>B213+C213*2</f>
        <v>103</v>
      </c>
      <c r="I213" s="221">
        <f t="shared" ref="I213:I218" si="188">D213+E213</f>
        <v>79</v>
      </c>
      <c r="J213" s="221">
        <f>G213*M$2</f>
        <v>4485.5200000000004</v>
      </c>
      <c r="K213" s="147">
        <f>I213*M$2</f>
        <v>3407.27</v>
      </c>
      <c r="L213" s="119">
        <f t="shared" ref="L213:L218" si="189">J213*104</f>
        <v>466494.08000000007</v>
      </c>
      <c r="M213" s="119">
        <f t="shared" ref="M213:M218" si="190">I213*104</f>
        <v>8216</v>
      </c>
      <c r="N213" s="19"/>
      <c r="O213" s="19"/>
      <c r="P213" s="140"/>
      <c r="Q213" s="179">
        <v>3</v>
      </c>
      <c r="R213" s="179"/>
      <c r="S213" s="203"/>
      <c r="T213" s="243"/>
      <c r="U213" s="188"/>
      <c r="V213" s="227"/>
      <c r="W213" s="178">
        <f>J213-(Q213*($M$2-$K$1))-(R213*($M$2-$M$1))- (S213*($M$2-$I$2))+ (T213*($G$2))</f>
        <v>4432.3300000000008</v>
      </c>
      <c r="X213" s="178">
        <f>H213*$M$2</f>
        <v>4442.3900000000003</v>
      </c>
    </row>
    <row r="214" spans="1:25" s="118" customFormat="1" x14ac:dyDescent="0.25">
      <c r="A214" s="369" t="s">
        <v>189</v>
      </c>
      <c r="B214" s="119">
        <v>53</v>
      </c>
      <c r="C214" s="119">
        <v>25</v>
      </c>
      <c r="D214" s="120">
        <f>'Data Ocupacion'!BJ38</f>
        <v>52</v>
      </c>
      <c r="E214" s="120">
        <f>'Data Ocupacion'!BK38</f>
        <v>26</v>
      </c>
      <c r="F214" s="219" t="s">
        <v>52</v>
      </c>
      <c r="G214" s="220">
        <f t="shared" si="187"/>
        <v>104</v>
      </c>
      <c r="H214" s="119">
        <f t="shared" ref="H214:H218" si="191">B214+C214*2</f>
        <v>103</v>
      </c>
      <c r="I214" s="119">
        <f t="shared" si="188"/>
        <v>78</v>
      </c>
      <c r="J214" s="119">
        <f>G214*M$2</f>
        <v>4485.5200000000004</v>
      </c>
      <c r="K214" s="147">
        <f>I214*M$2</f>
        <v>3364.1400000000003</v>
      </c>
      <c r="L214" s="119">
        <f t="shared" si="189"/>
        <v>466494.08000000007</v>
      </c>
      <c r="M214" s="119">
        <f t="shared" si="190"/>
        <v>8112</v>
      </c>
      <c r="N214" s="19"/>
      <c r="O214" s="19"/>
      <c r="P214" s="140"/>
      <c r="Q214" s="183"/>
      <c r="R214" s="183"/>
      <c r="S214" s="183"/>
      <c r="T214" s="179">
        <v>5</v>
      </c>
      <c r="U214" s="179"/>
      <c r="V214" s="203"/>
      <c r="W214" s="181">
        <f>J214-(T214*($M$2-$K$1)+(U214*($M$2-$M$1)))</f>
        <v>4396.8700000000008</v>
      </c>
      <c r="X214" s="178">
        <f>H214*$M$2</f>
        <v>4442.3900000000003</v>
      </c>
    </row>
    <row r="215" spans="1:25" s="118" customFormat="1" x14ac:dyDescent="0.25">
      <c r="A215" s="369"/>
      <c r="B215" s="119">
        <v>33</v>
      </c>
      <c r="C215" s="119">
        <v>0</v>
      </c>
      <c r="D215" s="120">
        <f>'Data Ocupacion'!BJ39</f>
        <v>30</v>
      </c>
      <c r="E215" s="120">
        <f>'Data Ocupacion'!BK39</f>
        <v>3</v>
      </c>
      <c r="F215" s="219" t="s">
        <v>36</v>
      </c>
      <c r="G215" s="220">
        <f t="shared" si="187"/>
        <v>36</v>
      </c>
      <c r="H215" s="119">
        <f t="shared" si="191"/>
        <v>33</v>
      </c>
      <c r="I215" s="119">
        <f t="shared" si="188"/>
        <v>33</v>
      </c>
      <c r="J215" s="119">
        <f>G215*M$1</f>
        <v>1047.96</v>
      </c>
      <c r="K215" s="147">
        <f>I215*M$1</f>
        <v>960.63</v>
      </c>
      <c r="L215" s="119">
        <f t="shared" si="189"/>
        <v>108987.84</v>
      </c>
      <c r="M215" s="119">
        <f t="shared" si="190"/>
        <v>3432</v>
      </c>
      <c r="N215" s="19"/>
      <c r="O215" s="19" t="s">
        <v>145</v>
      </c>
      <c r="P215" s="140"/>
      <c r="Q215" s="182"/>
      <c r="R215" s="184"/>
      <c r="S215" s="204"/>
      <c r="T215" s="185"/>
      <c r="U215" s="186"/>
      <c r="V215" s="186"/>
      <c r="W215" s="178">
        <f>J215-(Q215*($M$1-$K$1))</f>
        <v>1047.96</v>
      </c>
      <c r="X215" s="178">
        <f>H215*$M$1</f>
        <v>960.63</v>
      </c>
    </row>
    <row r="216" spans="1:25" s="118" customFormat="1" x14ac:dyDescent="0.25">
      <c r="A216" s="369"/>
      <c r="B216" s="119">
        <v>32</v>
      </c>
      <c r="C216" s="119">
        <v>0</v>
      </c>
      <c r="D216" s="120">
        <f>'Data Ocupacion'!BJ40</f>
        <v>29</v>
      </c>
      <c r="E216" s="120">
        <f>'Data Ocupacion'!BK40</f>
        <v>3</v>
      </c>
      <c r="F216" s="219" t="s">
        <v>53</v>
      </c>
      <c r="G216" s="220">
        <f t="shared" si="187"/>
        <v>35</v>
      </c>
      <c r="H216" s="119">
        <f t="shared" si="191"/>
        <v>32</v>
      </c>
      <c r="I216" s="119">
        <f t="shared" si="188"/>
        <v>32</v>
      </c>
      <c r="J216" s="119">
        <f>G216*M$1</f>
        <v>1018.85</v>
      </c>
      <c r="K216" s="147">
        <f>I216*M$1</f>
        <v>931.52</v>
      </c>
      <c r="L216" s="119">
        <f t="shared" si="189"/>
        <v>105960.40000000001</v>
      </c>
      <c r="M216" s="119">
        <f t="shared" si="190"/>
        <v>3328</v>
      </c>
      <c r="N216" s="19"/>
      <c r="O216" s="19" t="s">
        <v>145</v>
      </c>
      <c r="P216" s="140"/>
      <c r="Q216" s="186"/>
      <c r="R216" s="186"/>
      <c r="S216" s="186"/>
      <c r="T216" s="186"/>
      <c r="U216" s="186"/>
      <c r="V216" s="186"/>
      <c r="W216" s="178">
        <f>J216</f>
        <v>1018.85</v>
      </c>
      <c r="X216" s="178">
        <f>H216*$M$1</f>
        <v>931.52</v>
      </c>
    </row>
    <row r="217" spans="1:25" s="118" customFormat="1" x14ac:dyDescent="0.25">
      <c r="A217" s="369"/>
      <c r="B217" s="119">
        <v>0</v>
      </c>
      <c r="C217" s="119">
        <v>0</v>
      </c>
      <c r="D217" s="120">
        <f>'Data Ocupacion'!BJ41</f>
        <v>0</v>
      </c>
      <c r="E217" s="120">
        <f>'Data Ocupacion'!BK41</f>
        <v>0</v>
      </c>
      <c r="F217" s="219" t="s">
        <v>122</v>
      </c>
      <c r="G217" s="220">
        <f t="shared" si="187"/>
        <v>0</v>
      </c>
      <c r="H217" s="119">
        <f t="shared" si="191"/>
        <v>0</v>
      </c>
      <c r="I217" s="119">
        <f t="shared" si="188"/>
        <v>0</v>
      </c>
      <c r="J217" s="222">
        <f>G217*K$1</f>
        <v>0</v>
      </c>
      <c r="K217" s="147">
        <f>I217*K$1</f>
        <v>0</v>
      </c>
      <c r="L217" s="119">
        <f t="shared" si="189"/>
        <v>0</v>
      </c>
      <c r="M217" s="119">
        <f t="shared" si="190"/>
        <v>0</v>
      </c>
      <c r="N217" s="19"/>
      <c r="O217" s="19"/>
      <c r="P217" s="140"/>
      <c r="Q217" s="186"/>
      <c r="R217" s="186"/>
      <c r="S217" s="186"/>
      <c r="T217" s="186"/>
      <c r="U217" s="186"/>
      <c r="V217" s="186"/>
      <c r="W217" s="178">
        <f>J217</f>
        <v>0</v>
      </c>
      <c r="X217" s="178">
        <f>H217*$K$1</f>
        <v>0</v>
      </c>
    </row>
    <row r="218" spans="1:25" s="118" customFormat="1" ht="15.75" thickBot="1" x14ac:dyDescent="0.3">
      <c r="A218" s="369"/>
      <c r="B218" s="119">
        <v>1</v>
      </c>
      <c r="C218" s="119">
        <v>0</v>
      </c>
      <c r="D218" s="120">
        <f>'Data Ocupacion'!BJ42</f>
        <v>1</v>
      </c>
      <c r="E218" s="120">
        <f>'Data Ocupacion'!BK42</f>
        <v>0</v>
      </c>
      <c r="F218" s="219" t="s">
        <v>35</v>
      </c>
      <c r="G218" s="220">
        <f t="shared" si="187"/>
        <v>1</v>
      </c>
      <c r="H218" s="119">
        <f t="shared" si="191"/>
        <v>1</v>
      </c>
      <c r="I218" s="223">
        <f t="shared" si="188"/>
        <v>1</v>
      </c>
      <c r="J218" s="223">
        <f>G218*K$1</f>
        <v>25.4</v>
      </c>
      <c r="K218" s="147">
        <f>I218*K$1</f>
        <v>25.4</v>
      </c>
      <c r="L218" s="119">
        <f t="shared" si="189"/>
        <v>2641.6</v>
      </c>
      <c r="M218" s="119">
        <f t="shared" si="190"/>
        <v>104</v>
      </c>
      <c r="N218" s="19"/>
      <c r="O218" s="19"/>
      <c r="P218" s="140"/>
      <c r="Q218" s="186"/>
      <c r="R218" s="186"/>
      <c r="S218" s="186"/>
      <c r="T218" s="186"/>
      <c r="U218" s="186"/>
      <c r="V218" s="186"/>
      <c r="W218" s="178">
        <f>J218</f>
        <v>25.4</v>
      </c>
      <c r="X218" s="178">
        <f>H218*$K$1</f>
        <v>25.4</v>
      </c>
    </row>
    <row r="219" spans="1:25" s="118" customFormat="1" ht="15" customHeight="1" thickBot="1" x14ac:dyDescent="0.3">
      <c r="A219" s="20"/>
      <c r="B219" s="216">
        <f>SUM(B213:B218)</f>
        <v>174</v>
      </c>
      <c r="C219" s="216">
        <f>SUM(C213:C218)</f>
        <v>49</v>
      </c>
      <c r="D219" s="142">
        <f>SUM(D213:D218)</f>
        <v>166</v>
      </c>
      <c r="E219" s="142">
        <f>SUM(E213:E218)</f>
        <v>57</v>
      </c>
      <c r="F219" s="113"/>
      <c r="G219" s="113">
        <f t="shared" ref="G219:M219" si="192">SUM(G213:G218)</f>
        <v>280</v>
      </c>
      <c r="H219" s="113">
        <f t="shared" si="192"/>
        <v>272</v>
      </c>
      <c r="I219" s="113">
        <f t="shared" si="192"/>
        <v>223</v>
      </c>
      <c r="J219" s="113">
        <f t="shared" si="192"/>
        <v>11063.25</v>
      </c>
      <c r="K219" s="113">
        <f t="shared" si="192"/>
        <v>8688.9599999999991</v>
      </c>
      <c r="L219" s="113">
        <f t="shared" si="192"/>
        <v>1150578.0000000002</v>
      </c>
      <c r="M219" s="113">
        <f t="shared" si="192"/>
        <v>23192</v>
      </c>
      <c r="N219" s="117">
        <f>'Odometro-Kilometraje'!AE81</f>
        <v>11444</v>
      </c>
      <c r="O219" s="21">
        <f>(W219/N219)*100</f>
        <v>95.433502271932895</v>
      </c>
      <c r="P219" s="189"/>
      <c r="Q219" s="177"/>
      <c r="R219" s="177"/>
      <c r="S219" s="177"/>
      <c r="T219" s="177"/>
      <c r="U219" s="177"/>
      <c r="V219" s="177"/>
      <c r="W219" s="190">
        <f>SUM(W213:W218)</f>
        <v>10921.41</v>
      </c>
      <c r="X219" s="190">
        <f>SUM(X213:X218)</f>
        <v>10802.33</v>
      </c>
      <c r="Y219" s="259"/>
    </row>
    <row r="220" spans="1:25" s="118" customFormat="1" hidden="1" x14ac:dyDescent="0.25">
      <c r="A220" s="61"/>
      <c r="B220" s="110"/>
      <c r="C220" s="110"/>
      <c r="D220" s="141"/>
      <c r="E220" s="141"/>
      <c r="F220" s="308"/>
      <c r="G220" s="309"/>
      <c r="H220" s="110"/>
      <c r="I220" s="310"/>
      <c r="J220" s="310"/>
      <c r="K220" s="147"/>
      <c r="L220" s="110"/>
      <c r="M220" s="110"/>
      <c r="N220" s="19"/>
      <c r="O220" s="19"/>
      <c r="P220" s="140"/>
      <c r="Q220" s="179"/>
      <c r="R220" s="179"/>
      <c r="S220" s="203"/>
      <c r="T220" s="243"/>
      <c r="U220" s="188"/>
      <c r="V220" s="227"/>
      <c r="W220" s="178"/>
      <c r="X220" s="178"/>
      <c r="Y220" s="301"/>
    </row>
    <row r="221" spans="1:25" s="118" customFormat="1" hidden="1" x14ac:dyDescent="0.25">
      <c r="A221" s="199"/>
      <c r="B221" s="110"/>
      <c r="C221" s="110"/>
      <c r="D221" s="141"/>
      <c r="E221" s="141"/>
      <c r="F221" s="308"/>
      <c r="G221" s="309"/>
      <c r="H221" s="110"/>
      <c r="I221" s="110"/>
      <c r="J221" s="110"/>
      <c r="K221" s="147"/>
      <c r="L221" s="110"/>
      <c r="M221" s="110"/>
      <c r="N221" s="19"/>
      <c r="O221" s="19"/>
      <c r="P221" s="140"/>
      <c r="Q221" s="183"/>
      <c r="R221" s="183"/>
      <c r="S221" s="183"/>
      <c r="T221" s="179"/>
      <c r="U221" s="179"/>
      <c r="V221" s="203"/>
      <c r="W221" s="181"/>
      <c r="X221" s="178"/>
      <c r="Y221" s="301"/>
    </row>
    <row r="222" spans="1:25" s="118" customFormat="1" hidden="1" x14ac:dyDescent="0.25">
      <c r="A222" s="199"/>
      <c r="B222" s="110"/>
      <c r="C222" s="110"/>
      <c r="D222" s="141"/>
      <c r="E222" s="141"/>
      <c r="F222" s="308"/>
      <c r="G222" s="309"/>
      <c r="H222" s="110"/>
      <c r="I222" s="110"/>
      <c r="J222" s="110"/>
      <c r="K222" s="147"/>
      <c r="L222" s="110"/>
      <c r="M222" s="110"/>
      <c r="N222" s="19"/>
      <c r="O222" s="19"/>
      <c r="P222" s="140"/>
      <c r="Q222" s="182"/>
      <c r="R222" s="184"/>
      <c r="S222" s="204"/>
      <c r="T222" s="185"/>
      <c r="U222" s="186"/>
      <c r="V222" s="186"/>
      <c r="W222" s="178"/>
      <c r="X222" s="178"/>
      <c r="Y222" s="301"/>
    </row>
    <row r="223" spans="1:25" s="118" customFormat="1" hidden="1" x14ac:dyDescent="0.25">
      <c r="A223" s="199"/>
      <c r="B223" s="110"/>
      <c r="C223" s="110"/>
      <c r="D223" s="141"/>
      <c r="E223" s="141"/>
      <c r="F223" s="308"/>
      <c r="G223" s="309"/>
      <c r="H223" s="110"/>
      <c r="I223" s="110"/>
      <c r="J223" s="110"/>
      <c r="K223" s="147"/>
      <c r="L223" s="110"/>
      <c r="M223" s="110"/>
      <c r="N223" s="19"/>
      <c r="O223" s="19"/>
      <c r="P223" s="140"/>
      <c r="Q223" s="186"/>
      <c r="R223" s="186"/>
      <c r="S223" s="186"/>
      <c r="T223" s="186"/>
      <c r="U223" s="186"/>
      <c r="V223" s="186"/>
      <c r="W223" s="178"/>
      <c r="X223" s="178"/>
      <c r="Y223" s="301"/>
    </row>
    <row r="224" spans="1:25" s="118" customFormat="1" hidden="1" x14ac:dyDescent="0.25">
      <c r="A224" s="199"/>
      <c r="B224" s="110"/>
      <c r="C224" s="110"/>
      <c r="D224" s="141"/>
      <c r="E224" s="141"/>
      <c r="F224" s="308"/>
      <c r="G224" s="309"/>
      <c r="H224" s="110"/>
      <c r="I224" s="110"/>
      <c r="J224" s="311"/>
      <c r="K224" s="147"/>
      <c r="L224" s="110"/>
      <c r="M224" s="110"/>
      <c r="N224" s="19"/>
      <c r="O224" s="19"/>
      <c r="P224" s="140"/>
      <c r="Q224" s="186"/>
      <c r="R224" s="186"/>
      <c r="S224" s="186"/>
      <c r="T224" s="186"/>
      <c r="U224" s="186"/>
      <c r="V224" s="186"/>
      <c r="W224" s="178"/>
      <c r="X224" s="178"/>
      <c r="Y224" s="301"/>
    </row>
    <row r="225" spans="1:29" s="118" customFormat="1" hidden="1" x14ac:dyDescent="0.25">
      <c r="A225" s="199"/>
      <c r="B225" s="110"/>
      <c r="C225" s="110"/>
      <c r="D225" s="141"/>
      <c r="E225" s="141"/>
      <c r="F225" s="308"/>
      <c r="G225" s="309"/>
      <c r="H225" s="110"/>
      <c r="I225" s="312"/>
      <c r="J225" s="312"/>
      <c r="K225" s="147"/>
      <c r="L225" s="110"/>
      <c r="M225" s="110"/>
      <c r="N225" s="19"/>
      <c r="O225" s="19"/>
      <c r="P225" s="140"/>
      <c r="Q225" s="186"/>
      <c r="R225" s="186"/>
      <c r="S225" s="186"/>
      <c r="T225" s="186"/>
      <c r="U225" s="186"/>
      <c r="V225" s="186"/>
      <c r="W225" s="178"/>
      <c r="X225" s="178"/>
      <c r="Y225" s="301"/>
    </row>
    <row r="226" spans="1:29" s="118" customFormat="1" ht="15.75" hidden="1" thickBot="1" x14ac:dyDescent="0.3">
      <c r="A226" s="20"/>
      <c r="B226" s="216"/>
      <c r="C226" s="216"/>
      <c r="D226" s="142"/>
      <c r="E226" s="142"/>
      <c r="F226" s="113"/>
      <c r="G226" s="113"/>
      <c r="H226" s="113"/>
      <c r="I226" s="113"/>
      <c r="J226" s="113"/>
      <c r="K226" s="113"/>
      <c r="L226" s="113"/>
      <c r="M226" s="113"/>
      <c r="N226" s="117"/>
      <c r="O226" s="21"/>
      <c r="P226" s="189"/>
      <c r="Q226" s="177"/>
      <c r="R226" s="177"/>
      <c r="S226" s="177"/>
      <c r="T226" s="177"/>
      <c r="U226" s="177"/>
      <c r="V226" s="177"/>
      <c r="W226" s="190"/>
      <c r="X226" s="190"/>
      <c r="Y226" s="301"/>
    </row>
    <row r="227" spans="1:29" s="118" customFormat="1" ht="15.75" thickBot="1" x14ac:dyDescent="0.3"/>
    <row r="228" spans="1:29" s="118" customFormat="1" ht="15.75" thickBot="1" x14ac:dyDescent="0.3">
      <c r="A228"/>
      <c r="B228" s="361" t="s">
        <v>56</v>
      </c>
      <c r="C228" s="362"/>
      <c r="D228" s="362"/>
      <c r="E228" s="362"/>
      <c r="F228" s="362"/>
      <c r="G228" s="363"/>
      <c r="H228" s="315"/>
      <c r="I228" s="361" t="s">
        <v>57</v>
      </c>
      <c r="J228" s="362"/>
      <c r="K228" s="362"/>
      <c r="L228" s="362"/>
      <c r="M228" s="362"/>
      <c r="N228" s="363"/>
      <c r="P228" s="348" t="s">
        <v>140</v>
      </c>
      <c r="Q228" s="348"/>
      <c r="R228" s="348"/>
      <c r="S228" s="349"/>
      <c r="T228" s="345" t="s">
        <v>143</v>
      </c>
      <c r="U228" s="346"/>
      <c r="V228" s="347"/>
      <c r="W228" s="355" t="s">
        <v>144</v>
      </c>
      <c r="X228" s="355" t="s">
        <v>166</v>
      </c>
    </row>
    <row r="229" spans="1:29" s="118" customFormat="1" ht="24.75" thickBot="1" x14ac:dyDescent="0.3">
      <c r="A229" s="22" t="s">
        <v>56</v>
      </c>
      <c r="B229" s="174" t="s">
        <v>58</v>
      </c>
      <c r="C229" s="174" t="s">
        <v>59</v>
      </c>
      <c r="D229" s="174" t="s">
        <v>60</v>
      </c>
      <c r="E229" s="174" t="s">
        <v>61</v>
      </c>
      <c r="F229" s="174" t="s">
        <v>62</v>
      </c>
      <c r="G229" s="174" t="s">
        <v>63</v>
      </c>
      <c r="H229" s="174"/>
      <c r="I229" s="174" t="s">
        <v>58</v>
      </c>
      <c r="J229" s="174" t="s">
        <v>59</v>
      </c>
      <c r="K229" s="174" t="s">
        <v>60</v>
      </c>
      <c r="L229" s="174" t="s">
        <v>61</v>
      </c>
      <c r="M229" s="174" t="s">
        <v>62</v>
      </c>
      <c r="N229" s="174" t="s">
        <v>63</v>
      </c>
      <c r="P229" s="211" t="s">
        <v>141</v>
      </c>
      <c r="Q229" s="192" t="s">
        <v>142</v>
      </c>
      <c r="R229" s="210" t="s">
        <v>149</v>
      </c>
      <c r="S229" s="212" t="s">
        <v>147</v>
      </c>
      <c r="T229" s="193" t="s">
        <v>141</v>
      </c>
      <c r="U229" s="194" t="s">
        <v>142</v>
      </c>
      <c r="V229" s="226" t="s">
        <v>147</v>
      </c>
      <c r="W229" s="356"/>
      <c r="X229" s="356"/>
    </row>
    <row r="230" spans="1:29" ht="15.95" customHeight="1" x14ac:dyDescent="0.25">
      <c r="A230" s="23" t="s">
        <v>38</v>
      </c>
      <c r="B230" s="108">
        <f t="shared" ref="B230:C235" si="193">B5+B12+B19+B26+B33+B40+B47+B54+B61+B68+B75+B82+B89+B96+B103+B110+B117+B124+B131+B138+B145+B152+B159+B171+B178+B185+B192+B199+B206+B213</f>
        <v>1531</v>
      </c>
      <c r="C230" s="108">
        <f t="shared" si="193"/>
        <v>670</v>
      </c>
      <c r="D230" s="108">
        <f t="shared" ref="D230:D240" si="194">B230+C230</f>
        <v>2201</v>
      </c>
      <c r="E230" s="133">
        <f>D230*43.13</f>
        <v>94929.13</v>
      </c>
      <c r="F230" s="133">
        <f>B230*43.13+C230*86.26</f>
        <v>123826.23000000001</v>
      </c>
      <c r="G230" s="133">
        <f t="shared" ref="G230:G235" si="195">F230*104</f>
        <v>12877927.920000002</v>
      </c>
      <c r="H230" s="133"/>
      <c r="I230" s="108">
        <f t="shared" ref="I230:J232" si="196">D5+D12+D26+D33+D40+D47+D54+D61+D68+D75+D82+D89+D96+D103+D110+D117+D124+D131+D138+D145+D152+D159+D171+D178+D185+D192+D199+D206+D213+D19</f>
        <v>1486</v>
      </c>
      <c r="J230" s="108">
        <f t="shared" si="196"/>
        <v>669</v>
      </c>
      <c r="K230" s="108">
        <f t="shared" ref="K230:K240" si="197">I230+J230</f>
        <v>2155</v>
      </c>
      <c r="L230" s="133">
        <f>K230*43.13</f>
        <v>92945.150000000009</v>
      </c>
      <c r="M230" s="133">
        <f>I230*43.13+J230*86.26</f>
        <v>121799.12</v>
      </c>
      <c r="N230" s="133">
        <f t="shared" ref="N230:N235" si="198">M230*104</f>
        <v>12667108.48</v>
      </c>
      <c r="O230" s="118"/>
      <c r="P230" s="205">
        <f>SUM(Q199,Q192,Q185,Q178,Q171,Q159,Q152,Q145,Q138,Q131,Q124,Q117,Q110,Q103,Q96,Q89,Q82,Q75,Q68,Q61,Q54,Q47,Q40,Q33,Q26,Q19,Q12,Q5,Q206,Q213,Q220)</f>
        <v>70</v>
      </c>
      <c r="Q230" s="206">
        <f>SUM(R199,R192,R185,R178,R171,R159,R152,R145,R138,R131,R124,R117,R110,R103,R96,R89,R82,R75,R68,R61,R54,R47,R40,R33,R26,R19,R12,R5,R206,R213,R220)</f>
        <v>0</v>
      </c>
      <c r="R230" s="206">
        <f>SUM(S199,S192,S185,S178,S171,S159,S152,S145,S138,S131,S124,S117,S110,S103,S96,S89,S82,S75,S68,S61,S54,S47,S40,S33,S26,S19,S12,S5,S206,S213,S220)</f>
        <v>1</v>
      </c>
      <c r="S230" s="206">
        <f>SUM(S199,S192,S185,S178,S171,S159,S152,S145,S138,S131,S124,S117,S110,S103,S96,S89,S82,S75,S68,S61,S54,S47,S40,S33,S26,S19,S12,S5,S206,S213,S220)</f>
        <v>1</v>
      </c>
      <c r="T230" s="206">
        <f>SUM(T199,T192,T185,T178,T171,T159,T152,T145,T138,T131,T124,T117,T110,T103,T96,T89,T82,T75,T68,T61,T54,T47,T40,T33,T26,T19,T12,T5,T206,T213,T220)+T13+T20+T27+T34+T41+T62+T69+T76+T83+T90+T118+T125+T132+T160+T172+T179+T186+T193+T214</f>
        <v>88</v>
      </c>
      <c r="U230" s="206">
        <f>SUM(U199,U192,U185,U178,U171,U159,U152,U145,U138,U131,U124,U117,U110,U103,U96,U89,U82,U75,U68,U61,U54,U47,U40,U33,U26,U19,U12,U5,U206,U213,U221)+U179</f>
        <v>2</v>
      </c>
      <c r="V230" s="206">
        <f>SUM(V199,V192,V185,V178,V171,V159,V152,V145,V138,V131,V124,V117,V110,V103,V96,V89,V82,V75,V68,V61,V54,V47,V40,V33,V26,V19,V12,V5,V206,V213,V221)</f>
        <v>0</v>
      </c>
      <c r="W230" s="230">
        <f>W11+W18+W25+W32+W39+W46+W53+W60+W67+W74+W81+W88+W95+W102+W109+W116+W123+W130+W137+W144+W151+W158+W170+W177+W184+W191+W198+W205+W212+W219+W226</f>
        <v>282831.51000000007</v>
      </c>
      <c r="X230" s="230">
        <f>X11+X18+X25+X32+X39+X46+X53+X60+X67+X74+X81+X88+X95+X102+X109+X116+X123+X130+X137+X144+X151+X158+X170+X177+X184+X191+X198+X205+X212+X219+X226</f>
        <v>290428.18000000005</v>
      </c>
      <c r="AA230">
        <v>282831.51000000007</v>
      </c>
    </row>
    <row r="231" spans="1:29" ht="17.25" customHeight="1" x14ac:dyDescent="0.25">
      <c r="A231" s="23" t="s">
        <v>52</v>
      </c>
      <c r="B231" s="108">
        <f t="shared" si="193"/>
        <v>1545</v>
      </c>
      <c r="C231" s="108">
        <f t="shared" si="193"/>
        <v>663</v>
      </c>
      <c r="D231" s="108">
        <f t="shared" si="194"/>
        <v>2208</v>
      </c>
      <c r="E231" s="133">
        <f>D231*43.13</f>
        <v>95231.040000000008</v>
      </c>
      <c r="F231" s="133">
        <f>B231*43.13+C231*86.26</f>
        <v>123826.23000000001</v>
      </c>
      <c r="G231" s="133">
        <f t="shared" si="195"/>
        <v>12877927.920000002</v>
      </c>
      <c r="H231" s="133"/>
      <c r="I231" s="108">
        <f t="shared" si="196"/>
        <v>1502</v>
      </c>
      <c r="J231" s="108">
        <f t="shared" si="196"/>
        <v>660</v>
      </c>
      <c r="K231" s="108">
        <f t="shared" si="197"/>
        <v>2162</v>
      </c>
      <c r="L231" s="133">
        <f t="shared" ref="L231" si="199">K231*43.13</f>
        <v>93247.060000000012</v>
      </c>
      <c r="M231" s="133">
        <f>I231*43.13+J231*86.26</f>
        <v>121712.86000000002</v>
      </c>
      <c r="N231" s="133">
        <f t="shared" si="198"/>
        <v>12658137.440000001</v>
      </c>
      <c r="O231" s="118"/>
      <c r="W231" s="118"/>
      <c r="AA231" s="8"/>
    </row>
    <row r="232" spans="1:29" x14ac:dyDescent="0.25">
      <c r="A232" s="23" t="s">
        <v>36</v>
      </c>
      <c r="B232" s="108">
        <f t="shared" si="193"/>
        <v>584</v>
      </c>
      <c r="C232" s="108">
        <f t="shared" si="193"/>
        <v>76</v>
      </c>
      <c r="D232" s="108">
        <f t="shared" si="194"/>
        <v>660</v>
      </c>
      <c r="E232" s="133">
        <f>D232*29.11</f>
        <v>19212.599999999999</v>
      </c>
      <c r="F232" s="133">
        <f>B232*29.11+C232*58.22</f>
        <v>21424.959999999999</v>
      </c>
      <c r="G232" s="133">
        <f t="shared" si="195"/>
        <v>2228195.84</v>
      </c>
      <c r="H232" s="133"/>
      <c r="I232" s="108">
        <f t="shared" si="196"/>
        <v>549</v>
      </c>
      <c r="J232" s="108">
        <f t="shared" si="196"/>
        <v>76</v>
      </c>
      <c r="K232" s="108">
        <f t="shared" si="197"/>
        <v>625</v>
      </c>
      <c r="L232" s="133">
        <f>K232*29.11</f>
        <v>18193.75</v>
      </c>
      <c r="M232" s="133">
        <f>I232*29.11+J232*58.22</f>
        <v>20406.11</v>
      </c>
      <c r="N232" s="133">
        <f t="shared" si="198"/>
        <v>2122235.44</v>
      </c>
      <c r="O232" s="118"/>
      <c r="W232" s="118"/>
    </row>
    <row r="233" spans="1:29" x14ac:dyDescent="0.25">
      <c r="A233" s="23" t="s">
        <v>53</v>
      </c>
      <c r="B233" s="108">
        <f t="shared" si="193"/>
        <v>564</v>
      </c>
      <c r="C233" s="108">
        <f t="shared" si="193"/>
        <v>76</v>
      </c>
      <c r="D233" s="108">
        <f t="shared" si="194"/>
        <v>640</v>
      </c>
      <c r="E233" s="133">
        <f>D233*29.11</f>
        <v>18630.400000000001</v>
      </c>
      <c r="F233" s="133">
        <f>B233*29.11+C233*58.22</f>
        <v>20842.760000000002</v>
      </c>
      <c r="G233" s="133">
        <f t="shared" si="195"/>
        <v>2167647.04</v>
      </c>
      <c r="H233" s="133"/>
      <c r="I233" s="108">
        <f t="shared" ref="I233" si="200">D8+D15+D29+D36+D43+D50+D57+D64+D71+D78+D85+D92+D99+D106+D113+D120+D127+D134+D141+D148+D155+D162+D174+D181+D188+D195+D202+D209+D216+D223+D22</f>
        <v>534</v>
      </c>
      <c r="J233" s="108">
        <f>E8+E15+E29+E36+E43+E50+E57+E64+E71+E78+E85+E92+E99+E106+E113+E120+E127+E134+E141+E148+E155+E162+E174+E181+E188+E195+E202+E209+E216+E22</f>
        <v>78</v>
      </c>
      <c r="K233" s="108">
        <f t="shared" si="197"/>
        <v>612</v>
      </c>
      <c r="L233" s="133">
        <f>K233*29.11</f>
        <v>17815.32</v>
      </c>
      <c r="M233" s="133">
        <f>I233*29.11+J233*58.22</f>
        <v>20085.900000000001</v>
      </c>
      <c r="N233" s="133">
        <f t="shared" si="198"/>
        <v>2088933.6</v>
      </c>
      <c r="O233" s="118"/>
      <c r="W233" s="118"/>
      <c r="AA233" s="95"/>
      <c r="AB233" s="95"/>
      <c r="AC233" s="95"/>
    </row>
    <row r="234" spans="1:29" x14ac:dyDescent="0.25">
      <c r="A234" s="23" t="s">
        <v>122</v>
      </c>
      <c r="B234" s="108">
        <f t="shared" si="193"/>
        <v>0</v>
      </c>
      <c r="C234" s="108">
        <f t="shared" si="193"/>
        <v>0</v>
      </c>
      <c r="D234" s="108">
        <f t="shared" si="194"/>
        <v>0</v>
      </c>
      <c r="E234" s="133">
        <f>D234*25.4</f>
        <v>0</v>
      </c>
      <c r="F234" s="133">
        <f>B234*25.4+C234*50.8</f>
        <v>0</v>
      </c>
      <c r="G234" s="133">
        <f t="shared" si="195"/>
        <v>0</v>
      </c>
      <c r="H234" s="133"/>
      <c r="I234" s="108">
        <f>D9+D16+D30+D37+D44+D51+D58+D65+D72+D79+D86+D93+D100+D107+D114+D121+D128+D135+D142+D149+D156+D163+D175+D182+D189+D196+D203+D210+D217</f>
        <v>0</v>
      </c>
      <c r="J234" s="108">
        <f>E9+E16+E30+E37+E44+E51+E58+E65+E72+E79+E86+E93+E100+E107+E114+E121+E128+E135+E142+E149+E156+E163+E175+E182+E189+E196+E203+E210+E217</f>
        <v>0</v>
      </c>
      <c r="K234" s="108">
        <f t="shared" si="197"/>
        <v>0</v>
      </c>
      <c r="L234" s="133">
        <f>K234*25.4</f>
        <v>0</v>
      </c>
      <c r="M234" s="133">
        <f>I234*25.4+J234*50.8</f>
        <v>0</v>
      </c>
      <c r="N234" s="133">
        <f t="shared" si="198"/>
        <v>0</v>
      </c>
      <c r="O234" s="118"/>
      <c r="W234" s="118"/>
    </row>
    <row r="235" spans="1:29" x14ac:dyDescent="0.25">
      <c r="A235" s="23" t="s">
        <v>35</v>
      </c>
      <c r="B235" s="108">
        <f t="shared" si="193"/>
        <v>20</v>
      </c>
      <c r="C235" s="108">
        <f t="shared" si="193"/>
        <v>0</v>
      </c>
      <c r="D235" s="108">
        <f t="shared" si="194"/>
        <v>20</v>
      </c>
      <c r="E235" s="133">
        <f>D235*25.4</f>
        <v>508</v>
      </c>
      <c r="F235" s="133">
        <f>B235*25.4+C235*50.8</f>
        <v>508</v>
      </c>
      <c r="G235" s="133">
        <f t="shared" si="195"/>
        <v>52832</v>
      </c>
      <c r="H235" s="133"/>
      <c r="I235" s="108">
        <f>D10+D17+D31+D38+D45+D52+D59+D66+D73+D80+D87+D94+D101+D108+D115+D122+D129+D136+D143+D150+D157+D164+D176+D183+D190+D197+D204+D211+D218+D24</f>
        <v>19</v>
      </c>
      <c r="J235" s="108">
        <f>E10+E17+E31+E38+E45+E52+E59+E66+E73+E80+E87+E94+E101+E108+E115+E122+E129+E136+E143+E150+E157+E164+E176+E183+E190+E197+E204+E211+E218</f>
        <v>0</v>
      </c>
      <c r="K235" s="108">
        <f t="shared" si="197"/>
        <v>19</v>
      </c>
      <c r="L235" s="133">
        <f>K235*25.4</f>
        <v>482.59999999999997</v>
      </c>
      <c r="M235" s="133">
        <f>I235*25.4+J235*50.8</f>
        <v>482.59999999999997</v>
      </c>
      <c r="N235" s="133">
        <f t="shared" si="198"/>
        <v>50190.399999999994</v>
      </c>
      <c r="O235" s="118"/>
      <c r="P235" s="118"/>
      <c r="Q235" s="118"/>
      <c r="R235" s="118"/>
      <c r="T235" s="118"/>
      <c r="U235" s="118"/>
      <c r="W235" s="118"/>
      <c r="AA235" s="95"/>
      <c r="AB235" s="95"/>
      <c r="AC235" s="95"/>
    </row>
    <row r="236" spans="1:29" s="118" customFormat="1" x14ac:dyDescent="0.25">
      <c r="A236" s="23" t="s">
        <v>179</v>
      </c>
      <c r="B236" s="108">
        <f t="shared" ref="B236:C238" si="201">B167</f>
        <v>0</v>
      </c>
      <c r="C236" s="108">
        <f t="shared" si="201"/>
        <v>0</v>
      </c>
      <c r="D236" s="108">
        <f t="shared" si="194"/>
        <v>0</v>
      </c>
      <c r="E236" s="133">
        <f>D236*Z1</f>
        <v>0</v>
      </c>
      <c r="F236" s="133">
        <f>(B236*Z1)+(C236*2*Z1)</f>
        <v>0</v>
      </c>
      <c r="G236" s="133">
        <f>F236*104</f>
        <v>0</v>
      </c>
      <c r="H236" s="133"/>
      <c r="I236" s="108">
        <f t="shared" ref="I236:J238" si="202">D167</f>
        <v>2</v>
      </c>
      <c r="J236" s="108">
        <f t="shared" si="202"/>
        <v>2</v>
      </c>
      <c r="K236" s="108">
        <f t="shared" si="197"/>
        <v>4</v>
      </c>
      <c r="L236" s="133">
        <f>K236*Z1</f>
        <v>24</v>
      </c>
      <c r="M236" s="133">
        <f>(I236*Z1)+(J236*2*Z1)</f>
        <v>36</v>
      </c>
      <c r="N236" s="133">
        <f>M236*104</f>
        <v>3744</v>
      </c>
      <c r="AA236" s="95"/>
      <c r="AB236" s="95"/>
      <c r="AC236" s="95"/>
    </row>
    <row r="237" spans="1:29" s="118" customFormat="1" x14ac:dyDescent="0.25">
      <c r="A237" s="23" t="s">
        <v>160</v>
      </c>
      <c r="B237" s="108">
        <f t="shared" si="201"/>
        <v>0</v>
      </c>
      <c r="C237" s="108">
        <f t="shared" si="201"/>
        <v>0</v>
      </c>
      <c r="D237" s="108">
        <f t="shared" si="194"/>
        <v>0</v>
      </c>
      <c r="E237" s="133">
        <f>D237*X2</f>
        <v>0</v>
      </c>
      <c r="F237" s="133">
        <f>(B237*X2)+(C237*2*X2)</f>
        <v>0</v>
      </c>
      <c r="G237" s="133">
        <f t="shared" ref="G237:G240" si="203">F237*104</f>
        <v>0</v>
      </c>
      <c r="H237" s="133"/>
      <c r="I237" s="108">
        <f t="shared" si="202"/>
        <v>1</v>
      </c>
      <c r="J237" s="108">
        <f t="shared" si="202"/>
        <v>0</v>
      </c>
      <c r="K237" s="108">
        <f t="shared" si="197"/>
        <v>1</v>
      </c>
      <c r="L237" s="133">
        <f>K237*X2</f>
        <v>21.7</v>
      </c>
      <c r="M237" s="133">
        <f>(I237*X2)+(J237*2*X2)</f>
        <v>21.7</v>
      </c>
      <c r="N237" s="133">
        <f t="shared" ref="N237:N240" si="204">M237*104</f>
        <v>2256.7999999999997</v>
      </c>
      <c r="AA237" s="95"/>
      <c r="AB237" s="95"/>
      <c r="AC237" s="95"/>
    </row>
    <row r="238" spans="1:29" s="118" customFormat="1" x14ac:dyDescent="0.25">
      <c r="A238" s="23" t="s">
        <v>125</v>
      </c>
      <c r="B238" s="108">
        <f t="shared" si="201"/>
        <v>0</v>
      </c>
      <c r="C238" s="108">
        <f t="shared" si="201"/>
        <v>0</v>
      </c>
      <c r="D238" s="108">
        <f t="shared" si="194"/>
        <v>0</v>
      </c>
      <c r="E238" s="133">
        <f>D238*X2</f>
        <v>0</v>
      </c>
      <c r="F238" s="133">
        <f>(B238*I1)+(C238*2*I1)</f>
        <v>0</v>
      </c>
      <c r="G238" s="133">
        <f t="shared" si="203"/>
        <v>0</v>
      </c>
      <c r="H238" s="133"/>
      <c r="I238" s="108">
        <f t="shared" si="202"/>
        <v>1</v>
      </c>
      <c r="J238" s="108">
        <f t="shared" si="202"/>
        <v>0</v>
      </c>
      <c r="K238" s="108">
        <f t="shared" si="197"/>
        <v>1</v>
      </c>
      <c r="L238" s="133">
        <f>K238*I1</f>
        <v>21.7</v>
      </c>
      <c r="M238" s="133">
        <f>(I238*I1)+(J238*2*I1)</f>
        <v>21.7</v>
      </c>
      <c r="N238" s="133">
        <f t="shared" si="204"/>
        <v>2256.7999999999997</v>
      </c>
      <c r="AA238" s="95"/>
      <c r="AB238" s="95"/>
      <c r="AC238" s="95"/>
    </row>
    <row r="239" spans="1:29" s="118" customFormat="1" x14ac:dyDescent="0.25">
      <c r="A239" s="23" t="s">
        <v>172</v>
      </c>
      <c r="B239" s="108">
        <f>B165</f>
        <v>0</v>
      </c>
      <c r="C239" s="108">
        <f>C165</f>
        <v>0</v>
      </c>
      <c r="D239" s="108">
        <f t="shared" si="194"/>
        <v>0</v>
      </c>
      <c r="E239" s="133">
        <f>D239*O2</f>
        <v>0</v>
      </c>
      <c r="F239" s="133">
        <f>(B239*O2)+(C239*2*O2)</f>
        <v>0</v>
      </c>
      <c r="G239" s="133">
        <f t="shared" si="203"/>
        <v>0</v>
      </c>
      <c r="H239" s="133"/>
      <c r="I239" s="108">
        <f>D165</f>
        <v>10</v>
      </c>
      <c r="J239" s="108">
        <f>E165</f>
        <v>2</v>
      </c>
      <c r="K239" s="108">
        <f t="shared" si="197"/>
        <v>12</v>
      </c>
      <c r="L239" s="133">
        <f>K239*O2</f>
        <v>428.76</v>
      </c>
      <c r="M239" s="133">
        <f>(I239*O2)+(J239*2*O2)</f>
        <v>500.21999999999991</v>
      </c>
      <c r="N239" s="133">
        <f t="shared" si="204"/>
        <v>52022.87999999999</v>
      </c>
      <c r="AA239" s="95"/>
      <c r="AB239" s="95"/>
      <c r="AC239" s="95"/>
    </row>
    <row r="240" spans="1:29" s="118" customFormat="1" x14ac:dyDescent="0.25">
      <c r="A240" s="23" t="s">
        <v>173</v>
      </c>
      <c r="B240" s="108">
        <f>B166</f>
        <v>0</v>
      </c>
      <c r="C240" s="108">
        <f>C166</f>
        <v>0</v>
      </c>
      <c r="D240" s="108">
        <f t="shared" si="194"/>
        <v>0</v>
      </c>
      <c r="E240" s="133">
        <f>D240*O2</f>
        <v>0</v>
      </c>
      <c r="F240" s="133">
        <f>(B240*O2)+(C240*2*O2)</f>
        <v>0</v>
      </c>
      <c r="G240" s="133">
        <f t="shared" si="203"/>
        <v>0</v>
      </c>
      <c r="H240" s="133"/>
      <c r="I240" s="108">
        <f>D166</f>
        <v>13</v>
      </c>
      <c r="J240" s="108">
        <f>E166</f>
        <v>2</v>
      </c>
      <c r="K240" s="108">
        <f t="shared" si="197"/>
        <v>15</v>
      </c>
      <c r="L240" s="133">
        <f>K240*O2</f>
        <v>535.94999999999993</v>
      </c>
      <c r="M240" s="133">
        <f>(I240*O2)+(J240*2*O2)</f>
        <v>607.41</v>
      </c>
      <c r="N240" s="133">
        <f t="shared" si="204"/>
        <v>63170.64</v>
      </c>
      <c r="AA240" s="95"/>
      <c r="AB240" s="95"/>
      <c r="AC240" s="95"/>
    </row>
    <row r="241" spans="1:23" s="118" customForma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P241"/>
      <c r="Q241"/>
      <c r="R241"/>
      <c r="T241"/>
      <c r="U241"/>
    </row>
    <row r="242" spans="1:23" s="118" customFormat="1" x14ac:dyDescent="0.25">
      <c r="A242" s="173" t="s">
        <v>64</v>
      </c>
      <c r="B242" s="291">
        <f>SUM(B230:B241)</f>
        <v>4244</v>
      </c>
      <c r="C242" s="291">
        <f>SUM(C230:C241)</f>
        <v>1485</v>
      </c>
      <c r="D242" s="291">
        <f>SUM(D230:D241)</f>
        <v>5729</v>
      </c>
      <c r="E242" s="292">
        <f>SUM(E230:E240)</f>
        <v>228511.17</v>
      </c>
      <c r="F242" s="292">
        <f>SUM(F230:F240)</f>
        <v>290428.18000000005</v>
      </c>
      <c r="G242" s="292">
        <f>SUM(G230:G240)</f>
        <v>30204530.720000003</v>
      </c>
      <c r="H242" s="292"/>
      <c r="I242" s="291">
        <f t="shared" ref="I242:N242" si="205">SUM(I230:I240)</f>
        <v>4117</v>
      </c>
      <c r="J242" s="291">
        <f t="shared" si="205"/>
        <v>1489</v>
      </c>
      <c r="K242" s="291">
        <f t="shared" si="205"/>
        <v>5606</v>
      </c>
      <c r="L242" s="292">
        <f t="shared" si="205"/>
        <v>223715.99000000008</v>
      </c>
      <c r="M242" s="292">
        <f t="shared" si="205"/>
        <v>285673.62</v>
      </c>
      <c r="N242" s="292">
        <f t="shared" si="205"/>
        <v>29710056.480000004</v>
      </c>
      <c r="P242"/>
      <c r="Q242"/>
      <c r="R242"/>
      <c r="T242"/>
      <c r="U242"/>
    </row>
    <row r="243" spans="1:23" x14ac:dyDescent="0.25">
      <c r="A243" s="118"/>
      <c r="B243" s="118"/>
      <c r="C243" s="118"/>
      <c r="D243" s="118"/>
      <c r="E243" s="118"/>
      <c r="F243" s="118"/>
      <c r="G243" s="118"/>
      <c r="I243" s="118"/>
      <c r="J243" s="118"/>
      <c r="K243" s="118"/>
      <c r="L243" s="118"/>
      <c r="M243" s="205"/>
      <c r="N243" s="118"/>
      <c r="O243" s="118"/>
      <c r="W243" s="118"/>
    </row>
    <row r="244" spans="1:23" ht="42" customHeight="1" thickBot="1" x14ac:dyDescent="0.3">
      <c r="B244" s="118" t="s">
        <v>65</v>
      </c>
      <c r="C244" s="118">
        <f>(B242)+(C242*2)</f>
        <v>7214</v>
      </c>
      <c r="D244" s="118"/>
      <c r="E244" s="118"/>
      <c r="F244" s="118" t="s">
        <v>65</v>
      </c>
      <c r="G244" s="118">
        <f>(I242)+(J242*2)</f>
        <v>7095</v>
      </c>
      <c r="I244" s="118"/>
      <c r="J244" s="195"/>
      <c r="K244" s="118"/>
      <c r="L244" s="118"/>
      <c r="M244" s="205"/>
      <c r="N244" s="118"/>
      <c r="O244" s="118"/>
      <c r="W244" s="118"/>
    </row>
    <row r="245" spans="1:23" x14ac:dyDescent="0.25">
      <c r="A245" s="24"/>
      <c r="B245" s="365" t="s">
        <v>55</v>
      </c>
      <c r="C245" s="366"/>
      <c r="D245" s="25" t="s">
        <v>65</v>
      </c>
      <c r="E245" s="26"/>
      <c r="F245" s="27" t="s">
        <v>61</v>
      </c>
      <c r="G245" s="27" t="s">
        <v>66</v>
      </c>
      <c r="H245" s="25"/>
      <c r="I245" s="28" t="s">
        <v>67</v>
      </c>
      <c r="J245" s="118"/>
      <c r="K245" s="118"/>
      <c r="L245" s="118"/>
      <c r="M245" s="118"/>
      <c r="N245" s="118"/>
      <c r="O245" s="118"/>
      <c r="W245" s="118"/>
    </row>
    <row r="246" spans="1:23" x14ac:dyDescent="0.25">
      <c r="A246" s="29"/>
      <c r="B246" s="30" t="s">
        <v>58</v>
      </c>
      <c r="C246" s="30" t="s">
        <v>68</v>
      </c>
      <c r="D246" s="31"/>
      <c r="E246" s="32"/>
      <c r="F246" s="30"/>
      <c r="G246" s="30"/>
      <c r="H246" s="31"/>
      <c r="I246" s="33"/>
      <c r="J246" s="118"/>
      <c r="K246" s="118"/>
      <c r="L246" s="118"/>
      <c r="M246" s="118"/>
      <c r="N246" s="118"/>
      <c r="O246" s="118"/>
      <c r="W246" s="118"/>
    </row>
    <row r="247" spans="1:23" ht="15" hidden="1" customHeight="1" x14ac:dyDescent="0.25">
      <c r="A247" s="34" t="s">
        <v>69</v>
      </c>
      <c r="B247" s="138" t="e">
        <f>+#REF!</f>
        <v>#REF!</v>
      </c>
      <c r="C247" s="138" t="e">
        <f>+#REF!</f>
        <v>#REF!</v>
      </c>
      <c r="D247" s="138" t="e">
        <f>+B247+2*C247</f>
        <v>#REF!</v>
      </c>
      <c r="E247" s="35" t="s">
        <v>69</v>
      </c>
      <c r="F247" s="36">
        <f>+E242</f>
        <v>228511.17</v>
      </c>
      <c r="G247" s="36">
        <f>+F242</f>
        <v>290428.18000000005</v>
      </c>
      <c r="H247" s="316"/>
      <c r="I247" s="37">
        <f>+G242</f>
        <v>30204530.720000003</v>
      </c>
      <c r="J247" s="118"/>
      <c r="K247" s="118"/>
      <c r="L247" s="118"/>
      <c r="M247" s="118"/>
      <c r="N247" s="118"/>
      <c r="O247" s="118"/>
      <c r="W247" s="205"/>
    </row>
    <row r="248" spans="1:23" ht="15.75" hidden="1" customHeight="1" thickBot="1" x14ac:dyDescent="0.3">
      <c r="A248" s="38" t="s">
        <v>70</v>
      </c>
      <c r="B248" s="172" t="e">
        <f>+#REF!</f>
        <v>#REF!</v>
      </c>
      <c r="C248" s="172" t="e">
        <f>+#REF!</f>
        <v>#REF!</v>
      </c>
      <c r="D248" s="138" t="e">
        <f>+B248+2*C248</f>
        <v>#REF!</v>
      </c>
      <c r="E248" s="38" t="s">
        <v>70</v>
      </c>
      <c r="F248" s="39" t="e">
        <f>+#REF!</f>
        <v>#REF!</v>
      </c>
      <c r="G248" s="39" t="e">
        <f>+#REF!</f>
        <v>#REF!</v>
      </c>
      <c r="H248" s="317"/>
      <c r="I248" s="40" t="e">
        <f>+#REF!</f>
        <v>#REF!</v>
      </c>
      <c r="J248" s="118"/>
      <c r="K248" s="118"/>
      <c r="L248" s="118"/>
      <c r="M248" s="118"/>
      <c r="N248" s="118"/>
      <c r="O248" s="118"/>
      <c r="W248" s="205"/>
    </row>
    <row r="249" spans="1:23" ht="15" hidden="1" customHeight="1" x14ac:dyDescent="0.25">
      <c r="C249" s="118"/>
      <c r="D249" s="118"/>
      <c r="E249" s="118"/>
      <c r="F249" s="118"/>
      <c r="G249" s="118"/>
      <c r="I249" s="118" t="s">
        <v>65</v>
      </c>
      <c r="J249" s="218">
        <f>(I242)+(J242*2)</f>
        <v>7095</v>
      </c>
      <c r="K249" s="118"/>
      <c r="L249" s="118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</row>
    <row r="250" spans="1:23" ht="15" hidden="1" customHeight="1" x14ac:dyDescent="0.25">
      <c r="C250" s="118"/>
      <c r="D250" s="118"/>
      <c r="E250" s="118"/>
      <c r="F250" s="118"/>
      <c r="G250" s="118"/>
      <c r="I250" s="118"/>
      <c r="J250" s="118"/>
      <c r="K250" s="118"/>
      <c r="L250" s="118"/>
      <c r="M250" s="118"/>
      <c r="N250" s="118"/>
      <c r="O250" s="118"/>
    </row>
    <row r="251" spans="1:23" x14ac:dyDescent="0.25">
      <c r="C251" s="118"/>
    </row>
  </sheetData>
  <dataConsolidate>
    <dataRefs count="1">
      <dataRef name="=suma($G$5:$G$9)" r:id="rId1"/>
    </dataRefs>
  </dataConsolidate>
  <mergeCells count="31">
    <mergeCell ref="A6:A10"/>
    <mergeCell ref="B245:C245"/>
    <mergeCell ref="B228:G228"/>
    <mergeCell ref="F3:F4"/>
    <mergeCell ref="G3:G4"/>
    <mergeCell ref="A112:A114"/>
    <mergeCell ref="A160:A169"/>
    <mergeCell ref="A214:A218"/>
    <mergeCell ref="A207:A211"/>
    <mergeCell ref="X3:X4"/>
    <mergeCell ref="H3:H4"/>
    <mergeCell ref="X228:X229"/>
    <mergeCell ref="W228:W229"/>
    <mergeCell ref="W3:W4"/>
    <mergeCell ref="P3:P4"/>
    <mergeCell ref="O3:O4"/>
    <mergeCell ref="Q3:S3"/>
    <mergeCell ref="I228:N228"/>
    <mergeCell ref="I3:I4"/>
    <mergeCell ref="K3:K4"/>
    <mergeCell ref="L3:L4"/>
    <mergeCell ref="B2:C2"/>
    <mergeCell ref="D2:E2"/>
    <mergeCell ref="B3:C3"/>
    <mergeCell ref="D3:E3"/>
    <mergeCell ref="T228:V228"/>
    <mergeCell ref="T3:V3"/>
    <mergeCell ref="P228:S228"/>
    <mergeCell ref="M3:M4"/>
    <mergeCell ref="N3:N4"/>
    <mergeCell ref="J3:J4"/>
  </mergeCells>
  <conditionalFormatting sqref="D199:E204 D75:D80 D178:E183 D54:D59 D159:E169">
    <cfRule type="expression" dxfId="42" priority="310">
      <formula>AND($B54&lt;&gt;$D54)</formula>
    </cfRule>
  </conditionalFormatting>
  <conditionalFormatting sqref="E54:E59">
    <cfRule type="expression" dxfId="41" priority="184">
      <formula>AND($C54&lt;&gt;$E54)</formula>
    </cfRule>
  </conditionalFormatting>
  <conditionalFormatting sqref="D145:E150">
    <cfRule type="expression" dxfId="40" priority="100">
      <formula>AND($B145&lt;&gt;$D145)</formula>
    </cfRule>
  </conditionalFormatting>
  <conditionalFormatting sqref="D117:E122">
    <cfRule type="expression" dxfId="39" priority="71">
      <formula>AND($B117&lt;&gt;$D117)</formula>
    </cfRule>
  </conditionalFormatting>
  <conditionalFormatting sqref="D5:E10">
    <cfRule type="expression" dxfId="38" priority="42">
      <formula>AND($B5&lt;&gt;$D5)</formula>
    </cfRule>
  </conditionalFormatting>
  <conditionalFormatting sqref="D68:E73">
    <cfRule type="expression" dxfId="37" priority="56">
      <formula>AND($B68&lt;&gt;$D68)</formula>
    </cfRule>
  </conditionalFormatting>
  <conditionalFormatting sqref="D33:E38">
    <cfRule type="expression" dxfId="36" priority="40">
      <formula>AND($B33&lt;&gt;$D33)</formula>
    </cfRule>
  </conditionalFormatting>
  <conditionalFormatting sqref="E75:E80">
    <cfRule type="expression" dxfId="35" priority="47">
      <formula>AND($B75&lt;&gt;$D75)</formula>
    </cfRule>
  </conditionalFormatting>
  <conditionalFormatting sqref="D61:D66">
    <cfRule type="expression" dxfId="34" priority="32">
      <formula>AND($B61&lt;&gt;$D61)</formula>
    </cfRule>
  </conditionalFormatting>
  <conditionalFormatting sqref="D12:E17">
    <cfRule type="expression" dxfId="33" priority="41">
      <formula>AND($B12&lt;&gt;$D12)</formula>
    </cfRule>
  </conditionalFormatting>
  <conditionalFormatting sqref="D40:E45">
    <cfRule type="expression" dxfId="32" priority="39">
      <formula>AND($B40&lt;&gt;$D40)</formula>
    </cfRule>
  </conditionalFormatting>
  <conditionalFormatting sqref="D40:E45">
    <cfRule type="expression" dxfId="31" priority="38">
      <formula>AND($B40&lt;&gt;$D40)</formula>
    </cfRule>
  </conditionalFormatting>
  <conditionalFormatting sqref="D33:E38">
    <cfRule type="expression" dxfId="30" priority="37">
      <formula>AND($B33&lt;&gt;$D33)</formula>
    </cfRule>
  </conditionalFormatting>
  <conditionalFormatting sqref="E61:E66">
    <cfRule type="expression" dxfId="29" priority="31">
      <formula>AND($C61&lt;&gt;$E61)</formula>
    </cfRule>
  </conditionalFormatting>
  <conditionalFormatting sqref="E47:E52">
    <cfRule type="expression" dxfId="28" priority="35">
      <formula>AND($C47&lt;&gt;$E47)</formula>
    </cfRule>
  </conditionalFormatting>
  <conditionalFormatting sqref="D47:D52">
    <cfRule type="expression" dxfId="27" priority="36">
      <formula>AND($B47&lt;&gt;$D47)</formula>
    </cfRule>
  </conditionalFormatting>
  <conditionalFormatting sqref="D82:E87">
    <cfRule type="expression" dxfId="26" priority="30">
      <formula>AND($B82&lt;&gt;$D82)</formula>
    </cfRule>
  </conditionalFormatting>
  <conditionalFormatting sqref="D89:E94">
    <cfRule type="expression" dxfId="25" priority="29">
      <formula>AND($B89&lt;&gt;$D89)</formula>
    </cfRule>
  </conditionalFormatting>
  <conditionalFormatting sqref="D89:E94">
    <cfRule type="expression" dxfId="24" priority="28">
      <formula>AND($B89&lt;&gt;$D89)</formula>
    </cfRule>
  </conditionalFormatting>
  <conditionalFormatting sqref="D82:E87">
    <cfRule type="expression" dxfId="23" priority="27">
      <formula>AND($B82&lt;&gt;$D82)</formula>
    </cfRule>
  </conditionalFormatting>
  <conditionalFormatting sqref="D96:D101">
    <cfRule type="expression" dxfId="22" priority="26">
      <formula>AND($B96&lt;&gt;$D96)</formula>
    </cfRule>
  </conditionalFormatting>
  <conditionalFormatting sqref="E96:E101">
    <cfRule type="expression" dxfId="21" priority="25">
      <formula>AND($B96&lt;&gt;$D96)</formula>
    </cfRule>
  </conditionalFormatting>
  <conditionalFormatting sqref="D103:D108">
    <cfRule type="expression" dxfId="20" priority="24">
      <formula>AND($B103&lt;&gt;$D103)</formula>
    </cfRule>
  </conditionalFormatting>
  <conditionalFormatting sqref="E103:E108">
    <cfRule type="expression" dxfId="19" priority="23">
      <formula>AND($B103&lt;&gt;$D103)</formula>
    </cfRule>
  </conditionalFormatting>
  <conditionalFormatting sqref="D110:D115">
    <cfRule type="expression" dxfId="18" priority="22">
      <formula>AND($B110&lt;&gt;$D110)</formula>
    </cfRule>
  </conditionalFormatting>
  <conditionalFormatting sqref="E110:E115">
    <cfRule type="expression" dxfId="17" priority="21">
      <formula>AND($B110&lt;&gt;$D110)</formula>
    </cfRule>
  </conditionalFormatting>
  <conditionalFormatting sqref="D124:E129">
    <cfRule type="expression" dxfId="16" priority="20">
      <formula>AND($B124&lt;&gt;$D124)</formula>
    </cfRule>
  </conditionalFormatting>
  <conditionalFormatting sqref="D124:E129">
    <cfRule type="expression" dxfId="15" priority="19">
      <formula>AND($B124&lt;&gt;$D124)</formula>
    </cfRule>
  </conditionalFormatting>
  <conditionalFormatting sqref="D131:E136">
    <cfRule type="expression" dxfId="14" priority="18">
      <formula>AND($B131&lt;&gt;$D131)</formula>
    </cfRule>
  </conditionalFormatting>
  <conditionalFormatting sqref="D131:E136">
    <cfRule type="expression" dxfId="13" priority="17">
      <formula>AND($B131&lt;&gt;$D131)</formula>
    </cfRule>
  </conditionalFormatting>
  <conditionalFormatting sqref="D138:E143">
    <cfRule type="expression" dxfId="12" priority="16">
      <formula>AND($B138&lt;&gt;$D138)</formula>
    </cfRule>
  </conditionalFormatting>
  <conditionalFormatting sqref="D138:E143">
    <cfRule type="expression" dxfId="11" priority="15">
      <formula>AND($B138&lt;&gt;$D138)</formula>
    </cfRule>
  </conditionalFormatting>
  <conditionalFormatting sqref="D185:E190">
    <cfRule type="expression" dxfId="10" priority="12">
      <formula>AND($B185&lt;&gt;$D185)</formula>
    </cfRule>
  </conditionalFormatting>
  <conditionalFormatting sqref="D192:E197">
    <cfRule type="expression" dxfId="9" priority="11">
      <formula>AND($B192&lt;&gt;$D192)</formula>
    </cfRule>
  </conditionalFormatting>
  <conditionalFormatting sqref="D192:E197">
    <cfRule type="expression" dxfId="8" priority="10">
      <formula>AND($B192&lt;&gt;$D192)</formula>
    </cfRule>
  </conditionalFormatting>
  <conditionalFormatting sqref="D185:E190">
    <cfRule type="expression" dxfId="7" priority="9">
      <formula>AND($B185&lt;&gt;$D185)</formula>
    </cfRule>
  </conditionalFormatting>
  <conditionalFormatting sqref="D206:E211">
    <cfRule type="expression" dxfId="6" priority="8">
      <formula>AND($B206&lt;&gt;$D206)</formula>
    </cfRule>
  </conditionalFormatting>
  <conditionalFormatting sqref="D213:E218">
    <cfRule type="expression" dxfId="5" priority="7">
      <formula>AND($B213&lt;&gt;$D213)</formula>
    </cfRule>
  </conditionalFormatting>
  <conditionalFormatting sqref="D152:E157">
    <cfRule type="expression" dxfId="4" priority="6">
      <formula>AND($B152&lt;&gt;$D152)</formula>
    </cfRule>
  </conditionalFormatting>
  <conditionalFormatting sqref="D171:E176">
    <cfRule type="expression" dxfId="3" priority="4">
      <formula>AND($B171&lt;&gt;$D171)</formula>
    </cfRule>
  </conditionalFormatting>
  <conditionalFormatting sqref="D220:E225">
    <cfRule type="expression" dxfId="2" priority="3">
      <formula>AND($B220&lt;&gt;$D220)</formula>
    </cfRule>
  </conditionalFormatting>
  <conditionalFormatting sqref="D19:E24">
    <cfRule type="expression" dxfId="1" priority="2">
      <formula>AND($B19&lt;&gt;$D19)</formula>
    </cfRule>
  </conditionalFormatting>
  <conditionalFormatting sqref="D26:E31">
    <cfRule type="expression" dxfId="0" priority="1">
      <formula>AND($B26&lt;&gt;$D26)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9"/>
  <sheetViews>
    <sheetView topLeftCell="A13" zoomScale="130" zoomScaleNormal="130" workbookViewId="0">
      <selection activeCell="D47" sqref="D47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21" t="s">
        <v>168</v>
      </c>
      <c r="B1" s="71"/>
    </row>
    <row r="3" spans="1:32" x14ac:dyDescent="0.25">
      <c r="A3" s="72"/>
      <c r="B3" s="72"/>
      <c r="C3" s="87">
        <v>45809</v>
      </c>
      <c r="D3" s="87">
        <v>45810</v>
      </c>
      <c r="E3" s="87">
        <v>45811</v>
      </c>
      <c r="F3" s="87">
        <v>45812</v>
      </c>
      <c r="G3" s="87">
        <v>45813</v>
      </c>
      <c r="H3" s="87">
        <v>45814</v>
      </c>
      <c r="I3" s="87">
        <v>45815</v>
      </c>
      <c r="J3" s="87">
        <v>45816</v>
      </c>
      <c r="K3" s="87">
        <v>45817</v>
      </c>
      <c r="L3" s="87">
        <v>45818</v>
      </c>
      <c r="M3" s="87">
        <v>45819</v>
      </c>
      <c r="N3" s="87">
        <v>45820</v>
      </c>
      <c r="O3" s="87">
        <v>45821</v>
      </c>
      <c r="P3" s="87">
        <v>45822</v>
      </c>
      <c r="Q3" s="87">
        <v>45823</v>
      </c>
      <c r="R3" s="87">
        <v>45824</v>
      </c>
      <c r="S3" s="87">
        <v>45825</v>
      </c>
      <c r="T3" s="87">
        <v>45826</v>
      </c>
      <c r="U3" s="87">
        <v>45827</v>
      </c>
      <c r="V3" s="87">
        <v>45828</v>
      </c>
      <c r="W3" s="87">
        <v>45829</v>
      </c>
      <c r="X3" s="87">
        <v>45830</v>
      </c>
      <c r="Y3" s="87">
        <v>45831</v>
      </c>
      <c r="Z3" s="87">
        <v>45832</v>
      </c>
      <c r="AA3" s="87">
        <v>45833</v>
      </c>
      <c r="AB3" s="87">
        <v>45834</v>
      </c>
      <c r="AC3" s="87">
        <v>45835</v>
      </c>
      <c r="AD3" s="87">
        <v>45836</v>
      </c>
      <c r="AE3" s="87">
        <v>45837</v>
      </c>
      <c r="AF3" s="87">
        <v>45838</v>
      </c>
    </row>
    <row r="4" spans="1:32" x14ac:dyDescent="0.25">
      <c r="A4" s="73" t="s">
        <v>85</v>
      </c>
      <c r="B4" s="74" t="s">
        <v>86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</row>
    <row r="5" spans="1:32" s="79" customFormat="1" ht="14.25" x14ac:dyDescent="0.2">
      <c r="A5" s="75" t="s">
        <v>74</v>
      </c>
      <c r="B5" s="233">
        <v>43.13</v>
      </c>
      <c r="C5" s="89">
        <f>'Data Ocupacion'!D51</f>
        <v>56</v>
      </c>
      <c r="D5" s="89">
        <f>'Data Ocupacion'!F51</f>
        <v>79</v>
      </c>
      <c r="E5" s="89">
        <f>'Data Ocupacion'!H51</f>
        <v>79</v>
      </c>
      <c r="F5" s="89">
        <f>'Data Ocupacion'!J51</f>
        <v>79</v>
      </c>
      <c r="G5" s="89">
        <f>'Data Ocupacion'!L51</f>
        <v>79</v>
      </c>
      <c r="H5" s="89">
        <f>'Data Ocupacion'!N51</f>
        <v>79</v>
      </c>
      <c r="I5" s="89">
        <f>'Data Ocupacion'!P51</f>
        <v>72</v>
      </c>
      <c r="J5" s="89">
        <f>'Data Ocupacion'!R51</f>
        <v>54</v>
      </c>
      <c r="K5" s="89">
        <f>'Data Ocupacion'!T51</f>
        <v>79</v>
      </c>
      <c r="L5" s="89">
        <f>'Data Ocupacion'!V51</f>
        <v>79</v>
      </c>
      <c r="M5" s="89">
        <f>'Data Ocupacion'!X51</f>
        <v>79</v>
      </c>
      <c r="N5" s="89">
        <f>'Data Ocupacion'!Z51</f>
        <v>79</v>
      </c>
      <c r="O5" s="89">
        <f>'Data Ocupacion'!AB51</f>
        <v>79</v>
      </c>
      <c r="P5" s="89">
        <f>'Data Ocupacion'!AD51</f>
        <v>72</v>
      </c>
      <c r="Q5" s="89">
        <f>'Data Ocupacion'!AF51</f>
        <v>54</v>
      </c>
      <c r="R5" s="89">
        <f>'Data Ocupacion'!AH51</f>
        <v>50</v>
      </c>
      <c r="S5" s="89">
        <f>'Data Ocupacion'!AJ51</f>
        <v>79</v>
      </c>
      <c r="T5" s="89">
        <f>'Data Ocupacion'!AL51</f>
        <v>79</v>
      </c>
      <c r="U5" s="89">
        <f>'Data Ocupacion'!AN51</f>
        <v>79</v>
      </c>
      <c r="V5" s="89">
        <f>'Data Ocupacion'!AP51</f>
        <v>54</v>
      </c>
      <c r="W5" s="89">
        <f>'Data Ocupacion'!AR51</f>
        <v>72</v>
      </c>
      <c r="X5" s="89">
        <f>'Data Ocupacion'!AT51</f>
        <v>54</v>
      </c>
      <c r="Y5" s="89">
        <f>'Data Ocupacion'!AV51</f>
        <v>62</v>
      </c>
      <c r="Z5" s="89">
        <f>'Data Ocupacion'!AX51</f>
        <v>79</v>
      </c>
      <c r="AA5" s="89">
        <f>'Data Ocupacion'!AZ51</f>
        <v>79</v>
      </c>
      <c r="AB5" s="89">
        <f>'Data Ocupacion'!BB51</f>
        <v>79</v>
      </c>
      <c r="AC5" s="89">
        <f>'Data Ocupacion'!BD51</f>
        <v>79</v>
      </c>
      <c r="AD5" s="89">
        <f>'Data Ocupacion'!BF51</f>
        <v>72</v>
      </c>
      <c r="AE5" s="89">
        <f>'Data Ocupacion'!BH51</f>
        <v>61</v>
      </c>
      <c r="AF5" s="89">
        <f>'Data Ocupacion'!BJ51</f>
        <v>79</v>
      </c>
    </row>
    <row r="6" spans="1:32" s="79" customFormat="1" ht="14.25" x14ac:dyDescent="0.2">
      <c r="A6" s="75" t="s">
        <v>77</v>
      </c>
      <c r="B6" s="233">
        <v>43.13</v>
      </c>
      <c r="C6" s="89">
        <f>'Data Ocupacion'!D52</f>
        <v>59</v>
      </c>
      <c r="D6" s="89">
        <f>'Data Ocupacion'!F52</f>
        <v>78</v>
      </c>
      <c r="E6" s="89">
        <f>'Data Ocupacion'!H52</f>
        <v>78</v>
      </c>
      <c r="F6" s="89">
        <f>'Data Ocupacion'!J52</f>
        <v>78</v>
      </c>
      <c r="G6" s="89">
        <f>'Data Ocupacion'!L52</f>
        <v>78</v>
      </c>
      <c r="H6" s="89">
        <f>'Data Ocupacion'!N52</f>
        <v>78</v>
      </c>
      <c r="I6" s="89">
        <f>'Data Ocupacion'!P52</f>
        <v>75</v>
      </c>
      <c r="J6" s="89">
        <f>'Data Ocupacion'!R52</f>
        <v>57</v>
      </c>
      <c r="K6" s="89">
        <f>'Data Ocupacion'!T52</f>
        <v>78</v>
      </c>
      <c r="L6" s="89">
        <f>'Data Ocupacion'!V52</f>
        <v>78</v>
      </c>
      <c r="M6" s="89">
        <f>'Data Ocupacion'!X52</f>
        <v>78</v>
      </c>
      <c r="N6" s="89">
        <f>'Data Ocupacion'!Z52</f>
        <v>78</v>
      </c>
      <c r="O6" s="89">
        <f>'Data Ocupacion'!AB52</f>
        <v>78</v>
      </c>
      <c r="P6" s="89">
        <f>'Data Ocupacion'!AD52</f>
        <v>75</v>
      </c>
      <c r="Q6" s="89">
        <f>'Data Ocupacion'!AF52</f>
        <v>57</v>
      </c>
      <c r="R6" s="89">
        <f>'Data Ocupacion'!AH52</f>
        <v>49</v>
      </c>
      <c r="S6" s="89">
        <f>'Data Ocupacion'!AJ52</f>
        <v>78</v>
      </c>
      <c r="T6" s="89">
        <f>'Data Ocupacion'!AL52</f>
        <v>78</v>
      </c>
      <c r="U6" s="89">
        <f>'Data Ocupacion'!AN52</f>
        <v>78</v>
      </c>
      <c r="V6" s="89">
        <f>'Data Ocupacion'!AP52</f>
        <v>57</v>
      </c>
      <c r="W6" s="89">
        <f>'Data Ocupacion'!AR52</f>
        <v>75</v>
      </c>
      <c r="X6" s="89">
        <f>'Data Ocupacion'!AT52</f>
        <v>57</v>
      </c>
      <c r="Y6" s="89">
        <f>'Data Ocupacion'!AV52</f>
        <v>61</v>
      </c>
      <c r="Z6" s="89">
        <f>'Data Ocupacion'!AX52</f>
        <v>78</v>
      </c>
      <c r="AA6" s="89">
        <f>'Data Ocupacion'!AZ52</f>
        <v>78</v>
      </c>
      <c r="AB6" s="89">
        <f>'Data Ocupacion'!BB52</f>
        <v>78</v>
      </c>
      <c r="AC6" s="89">
        <f>'Data Ocupacion'!BD52</f>
        <v>78</v>
      </c>
      <c r="AD6" s="89">
        <f>'Data Ocupacion'!BF52</f>
        <v>75</v>
      </c>
      <c r="AE6" s="89">
        <f>'Data Ocupacion'!BH52</f>
        <v>61</v>
      </c>
      <c r="AF6" s="89">
        <f>'Data Ocupacion'!BJ52</f>
        <v>78</v>
      </c>
    </row>
    <row r="7" spans="1:32" s="79" customFormat="1" ht="14.25" x14ac:dyDescent="0.2">
      <c r="A7" s="75" t="s">
        <v>73</v>
      </c>
      <c r="B7" s="233">
        <v>29.11</v>
      </c>
      <c r="C7" s="89">
        <f>'Data Ocupacion'!D53</f>
        <v>0</v>
      </c>
      <c r="D7" s="89">
        <f>'Data Ocupacion'!F53</f>
        <v>33</v>
      </c>
      <c r="E7" s="89">
        <f>'Data Ocupacion'!H53</f>
        <v>33</v>
      </c>
      <c r="F7" s="89">
        <f>'Data Ocupacion'!J53</f>
        <v>33</v>
      </c>
      <c r="G7" s="89">
        <f>'Data Ocupacion'!L53</f>
        <v>33</v>
      </c>
      <c r="H7" s="89">
        <f>'Data Ocupacion'!N53</f>
        <v>33</v>
      </c>
      <c r="I7" s="89">
        <f>'Data Ocupacion'!P53</f>
        <v>0</v>
      </c>
      <c r="J7" s="89">
        <f>'Data Ocupacion'!R53</f>
        <v>0</v>
      </c>
      <c r="K7" s="89">
        <f>'Data Ocupacion'!T53</f>
        <v>33</v>
      </c>
      <c r="L7" s="89">
        <f>'Data Ocupacion'!V53</f>
        <v>33</v>
      </c>
      <c r="M7" s="89">
        <f>'Data Ocupacion'!X53</f>
        <v>33</v>
      </c>
      <c r="N7" s="89">
        <f>'Data Ocupacion'!Z53</f>
        <v>33</v>
      </c>
      <c r="O7" s="89">
        <f>'Data Ocupacion'!AB53</f>
        <v>33</v>
      </c>
      <c r="P7" s="89">
        <f>'Data Ocupacion'!AD53</f>
        <v>0</v>
      </c>
      <c r="Q7" s="89">
        <f>'Data Ocupacion'!AF53</f>
        <v>0</v>
      </c>
      <c r="R7" s="89">
        <f>'Data Ocupacion'!AH53</f>
        <v>5</v>
      </c>
      <c r="S7" s="89">
        <f>'Data Ocupacion'!AJ53</f>
        <v>33</v>
      </c>
      <c r="T7" s="89">
        <f>'Data Ocupacion'!AL53</f>
        <v>33</v>
      </c>
      <c r="U7" s="89">
        <f>'Data Ocupacion'!AN53</f>
        <v>33</v>
      </c>
      <c r="V7" s="89">
        <f>'Data Ocupacion'!AP53</f>
        <v>0</v>
      </c>
      <c r="W7" s="89">
        <f>'Data Ocupacion'!AR53</f>
        <v>0</v>
      </c>
      <c r="X7" s="89">
        <f>'Data Ocupacion'!AT53</f>
        <v>0</v>
      </c>
      <c r="Y7" s="89">
        <f>'Data Ocupacion'!AV53</f>
        <v>26</v>
      </c>
      <c r="Z7" s="89">
        <f>'Data Ocupacion'!AX53</f>
        <v>33</v>
      </c>
      <c r="AA7" s="89">
        <f>'Data Ocupacion'!AZ53</f>
        <v>33</v>
      </c>
      <c r="AB7" s="89">
        <f>'Data Ocupacion'!BB53</f>
        <v>33</v>
      </c>
      <c r="AC7" s="89">
        <f>'Data Ocupacion'!BD53</f>
        <v>33</v>
      </c>
      <c r="AD7" s="89">
        <f>'Data Ocupacion'!BF53</f>
        <v>0</v>
      </c>
      <c r="AE7" s="89">
        <f>'Data Ocupacion'!BH53</f>
        <v>0</v>
      </c>
      <c r="AF7" s="89">
        <f>'Data Ocupacion'!BJ53</f>
        <v>33</v>
      </c>
    </row>
    <row r="8" spans="1:32" s="79" customFormat="1" ht="14.25" x14ac:dyDescent="0.2">
      <c r="A8" s="75" t="s">
        <v>75</v>
      </c>
      <c r="B8" s="233">
        <v>29.11</v>
      </c>
      <c r="C8" s="89">
        <f>'Data Ocupacion'!D54</f>
        <v>0</v>
      </c>
      <c r="D8" s="89">
        <f>'Data Ocupacion'!F54</f>
        <v>32</v>
      </c>
      <c r="E8" s="89">
        <f>'Data Ocupacion'!H54</f>
        <v>32</v>
      </c>
      <c r="F8" s="89">
        <f>'Data Ocupacion'!J54</f>
        <v>32</v>
      </c>
      <c r="G8" s="89">
        <f>'Data Ocupacion'!L54</f>
        <v>32</v>
      </c>
      <c r="H8" s="89">
        <f>'Data Ocupacion'!N54</f>
        <v>32</v>
      </c>
      <c r="I8" s="89">
        <f>'Data Ocupacion'!P54</f>
        <v>0</v>
      </c>
      <c r="J8" s="89">
        <f>'Data Ocupacion'!R54</f>
        <v>0</v>
      </c>
      <c r="K8" s="89">
        <f>'Data Ocupacion'!T54</f>
        <v>32</v>
      </c>
      <c r="L8" s="89">
        <f>'Data Ocupacion'!V54</f>
        <v>32</v>
      </c>
      <c r="M8" s="89">
        <f>'Data Ocupacion'!X54</f>
        <v>32</v>
      </c>
      <c r="N8" s="89">
        <f>'Data Ocupacion'!Z54</f>
        <v>32</v>
      </c>
      <c r="O8" s="89">
        <f>'Data Ocupacion'!AB54</f>
        <v>32</v>
      </c>
      <c r="P8" s="89">
        <f>'Data Ocupacion'!AD54</f>
        <v>0</v>
      </c>
      <c r="Q8" s="89">
        <f>'Data Ocupacion'!AF54</f>
        <v>0</v>
      </c>
      <c r="R8" s="89">
        <f>'Data Ocupacion'!AH54</f>
        <v>6</v>
      </c>
      <c r="S8" s="89">
        <f>'Data Ocupacion'!AJ54</f>
        <v>32</v>
      </c>
      <c r="T8" s="89">
        <f>'Data Ocupacion'!AL54</f>
        <v>32</v>
      </c>
      <c r="U8" s="89">
        <f>'Data Ocupacion'!AN54</f>
        <v>32</v>
      </c>
      <c r="V8" s="89">
        <f>'Data Ocupacion'!AP54</f>
        <v>0</v>
      </c>
      <c r="W8" s="89">
        <f>'Data Ocupacion'!AR54</f>
        <v>0</v>
      </c>
      <c r="X8" s="89">
        <f>'Data Ocupacion'!AT54</f>
        <v>0</v>
      </c>
      <c r="Y8" s="89">
        <f>'Data Ocupacion'!AV54</f>
        <v>30</v>
      </c>
      <c r="Z8" s="89">
        <f>'Data Ocupacion'!AX54</f>
        <v>32</v>
      </c>
      <c r="AA8" s="89">
        <f>'Data Ocupacion'!AZ54</f>
        <v>32</v>
      </c>
      <c r="AB8" s="89">
        <f>'Data Ocupacion'!BB54</f>
        <v>32</v>
      </c>
      <c r="AC8" s="89">
        <f>'Data Ocupacion'!BD54</f>
        <v>32</v>
      </c>
      <c r="AD8" s="89">
        <f>'Data Ocupacion'!BF54</f>
        <v>0</v>
      </c>
      <c r="AE8" s="89">
        <f>'Data Ocupacion'!BH54</f>
        <v>0</v>
      </c>
      <c r="AF8" s="89">
        <f>'Data Ocupacion'!BJ54</f>
        <v>32</v>
      </c>
    </row>
    <row r="9" spans="1:32" s="79" customFormat="1" ht="14.25" x14ac:dyDescent="0.2">
      <c r="A9" s="75" t="s">
        <v>123</v>
      </c>
      <c r="B9" s="233">
        <v>25.4</v>
      </c>
      <c r="C9" s="89">
        <f>'Data Ocupacion'!D55</f>
        <v>0</v>
      </c>
      <c r="D9" s="89">
        <f>'Data Ocupacion'!F55</f>
        <v>0</v>
      </c>
      <c r="E9" s="89">
        <f>'Data Ocupacion'!H55</f>
        <v>0</v>
      </c>
      <c r="F9" s="89">
        <f>'Data Ocupacion'!J55</f>
        <v>0</v>
      </c>
      <c r="G9" s="89">
        <f>'Data Ocupacion'!L55</f>
        <v>0</v>
      </c>
      <c r="H9" s="89">
        <f>'Data Ocupacion'!N55</f>
        <v>0</v>
      </c>
      <c r="I9" s="89">
        <f>'Data Ocupacion'!P55</f>
        <v>0</v>
      </c>
      <c r="J9" s="89">
        <f>'Data Ocupacion'!R55</f>
        <v>0</v>
      </c>
      <c r="K9" s="89">
        <f>'Data Ocupacion'!T55</f>
        <v>0</v>
      </c>
      <c r="L9" s="89">
        <f>'Data Ocupacion'!V55</f>
        <v>0</v>
      </c>
      <c r="M9" s="89">
        <f>'Data Ocupacion'!X55</f>
        <v>0</v>
      </c>
      <c r="N9" s="89">
        <f>'Data Ocupacion'!Z55</f>
        <v>0</v>
      </c>
      <c r="O9" s="89">
        <f>'Data Ocupacion'!AB55</f>
        <v>0</v>
      </c>
      <c r="P9" s="89">
        <f>'Data Ocupacion'!AD55</f>
        <v>0</v>
      </c>
      <c r="Q9" s="89">
        <f>'Data Ocupacion'!AF55</f>
        <v>0</v>
      </c>
      <c r="R9" s="89">
        <f>'Data Ocupacion'!AH55</f>
        <v>0</v>
      </c>
      <c r="S9" s="89">
        <f>'Data Ocupacion'!AJ55</f>
        <v>0</v>
      </c>
      <c r="T9" s="89">
        <f>'Data Ocupacion'!AL55</f>
        <v>0</v>
      </c>
      <c r="U9" s="89">
        <f>'Data Ocupacion'!AN55</f>
        <v>0</v>
      </c>
      <c r="V9" s="89">
        <f>'Data Ocupacion'!AP55</f>
        <v>0</v>
      </c>
      <c r="W9" s="89">
        <f>'Data Ocupacion'!AR55</f>
        <v>0</v>
      </c>
      <c r="X9" s="89">
        <f>'Data Ocupacion'!AT55</f>
        <v>0</v>
      </c>
      <c r="Y9" s="89">
        <f>'Data Ocupacion'!AV55</f>
        <v>0</v>
      </c>
      <c r="Z9" s="89">
        <f>'Data Ocupacion'!AX55</f>
        <v>0</v>
      </c>
      <c r="AA9" s="89">
        <f>'Data Ocupacion'!AZ55</f>
        <v>0</v>
      </c>
      <c r="AB9" s="89">
        <f>'Data Ocupacion'!BB55</f>
        <v>0</v>
      </c>
      <c r="AC9" s="89">
        <f>'Data Ocupacion'!BD55</f>
        <v>0</v>
      </c>
      <c r="AD9" s="89">
        <f>'Data Ocupacion'!BF55</f>
        <v>0</v>
      </c>
      <c r="AE9" s="89">
        <f>'Data Ocupacion'!BH55</f>
        <v>0</v>
      </c>
      <c r="AF9" s="89">
        <f>'Data Ocupacion'!BJ55</f>
        <v>0</v>
      </c>
    </row>
    <row r="10" spans="1:32" s="79" customFormat="1" ht="14.25" x14ac:dyDescent="0.2">
      <c r="A10" s="208" t="s">
        <v>76</v>
      </c>
      <c r="B10" s="233">
        <v>25.4</v>
      </c>
      <c r="C10" s="89">
        <f>'Data Ocupacion'!D56</f>
        <v>0</v>
      </c>
      <c r="D10" s="89">
        <f>'Data Ocupacion'!F56</f>
        <v>1</v>
      </c>
      <c r="E10" s="89">
        <f>'Data Ocupacion'!H56</f>
        <v>1</v>
      </c>
      <c r="F10" s="89">
        <f>'Data Ocupacion'!J56</f>
        <v>1</v>
      </c>
      <c r="G10" s="89">
        <f>'Data Ocupacion'!L56</f>
        <v>1</v>
      </c>
      <c r="H10" s="89">
        <f>'Data Ocupacion'!N56</f>
        <v>1</v>
      </c>
      <c r="I10" s="89">
        <f>'Data Ocupacion'!P56</f>
        <v>0</v>
      </c>
      <c r="J10" s="89">
        <f>'Data Ocupacion'!R56</f>
        <v>0</v>
      </c>
      <c r="K10" s="89">
        <f>'Data Ocupacion'!T56</f>
        <v>1</v>
      </c>
      <c r="L10" s="89">
        <f>'Data Ocupacion'!V56</f>
        <v>1</v>
      </c>
      <c r="M10" s="89">
        <f>'Data Ocupacion'!X56</f>
        <v>1</v>
      </c>
      <c r="N10" s="89">
        <f>'Data Ocupacion'!Z56</f>
        <v>1</v>
      </c>
      <c r="O10" s="89">
        <f>'Data Ocupacion'!AB56</f>
        <v>1</v>
      </c>
      <c r="P10" s="89">
        <f>'Data Ocupacion'!AD56</f>
        <v>0</v>
      </c>
      <c r="Q10" s="89">
        <f>'Data Ocupacion'!AF56</f>
        <v>0</v>
      </c>
      <c r="R10" s="89">
        <f>'Data Ocupacion'!AH56</f>
        <v>0</v>
      </c>
      <c r="S10" s="89">
        <f>'Data Ocupacion'!AJ56</f>
        <v>1</v>
      </c>
      <c r="T10" s="89">
        <f>'Data Ocupacion'!AL56</f>
        <v>1</v>
      </c>
      <c r="U10" s="89">
        <f>'Data Ocupacion'!AN56</f>
        <v>1</v>
      </c>
      <c r="V10" s="89">
        <f>'Data Ocupacion'!AP56</f>
        <v>0</v>
      </c>
      <c r="W10" s="89">
        <f>'Data Ocupacion'!AR56</f>
        <v>0</v>
      </c>
      <c r="X10" s="89">
        <f>'Data Ocupacion'!AT56</f>
        <v>0</v>
      </c>
      <c r="Y10" s="89">
        <f>'Data Ocupacion'!AV56</f>
        <v>1</v>
      </c>
      <c r="Z10" s="89">
        <f>'Data Ocupacion'!AX56</f>
        <v>1</v>
      </c>
      <c r="AA10" s="89">
        <f>'Data Ocupacion'!AZ56</f>
        <v>1</v>
      </c>
      <c r="AB10" s="89">
        <f>'Data Ocupacion'!BB56</f>
        <v>1</v>
      </c>
      <c r="AC10" s="89">
        <f>'Data Ocupacion'!BD56</f>
        <v>1</v>
      </c>
      <c r="AD10" s="89">
        <f>'Data Ocupacion'!BF56</f>
        <v>0</v>
      </c>
      <c r="AE10" s="89">
        <f>'Data Ocupacion'!BH56</f>
        <v>0</v>
      </c>
      <c r="AF10" s="89">
        <f>'Data Ocupacion'!BJ56</f>
        <v>1</v>
      </c>
    </row>
    <row r="11" spans="1:32" s="79" customFormat="1" ht="14.25" x14ac:dyDescent="0.2">
      <c r="A11" s="208" t="s">
        <v>174</v>
      </c>
      <c r="B11" s="233">
        <v>35.729999999999997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>
        <f>'Data Ocupacion'!AV57</f>
        <v>12</v>
      </c>
      <c r="Z11" s="89"/>
      <c r="AA11" s="89"/>
      <c r="AB11" s="89"/>
      <c r="AC11" s="89"/>
      <c r="AD11" s="89"/>
      <c r="AE11" s="89"/>
      <c r="AF11" s="89"/>
    </row>
    <row r="12" spans="1:32" s="79" customFormat="1" ht="14.25" x14ac:dyDescent="0.2">
      <c r="A12" s="208" t="s">
        <v>175</v>
      </c>
      <c r="B12" s="233">
        <v>35.729999999999997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>
        <f>'Data Ocupacion'!AV58</f>
        <v>15</v>
      </c>
      <c r="Z12" s="89"/>
      <c r="AA12" s="89"/>
      <c r="AB12" s="89"/>
      <c r="AC12" s="89"/>
      <c r="AD12" s="89"/>
      <c r="AE12" s="89"/>
      <c r="AF12" s="89"/>
    </row>
    <row r="13" spans="1:32" s="79" customFormat="1" ht="14.25" x14ac:dyDescent="0.2">
      <c r="A13" s="208" t="s">
        <v>182</v>
      </c>
      <c r="B13" s="233">
        <v>6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>
        <f>'Data Ocupacion'!AV59</f>
        <v>4</v>
      </c>
      <c r="Z13" s="89"/>
      <c r="AA13" s="89"/>
      <c r="AB13" s="89"/>
      <c r="AC13" s="89"/>
      <c r="AD13" s="89"/>
      <c r="AE13" s="89"/>
      <c r="AF13" s="89"/>
    </row>
    <row r="14" spans="1:32" s="79" customFormat="1" ht="14.25" x14ac:dyDescent="0.2">
      <c r="A14" s="208" t="s">
        <v>184</v>
      </c>
      <c r="B14" s="233">
        <v>21.7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>
        <f>'Data Ocupacion'!AV60</f>
        <v>1</v>
      </c>
      <c r="Z14" s="89"/>
      <c r="AA14" s="89"/>
      <c r="AB14" s="89"/>
      <c r="AC14" s="89"/>
      <c r="AD14" s="89"/>
      <c r="AE14" s="89"/>
      <c r="AF14" s="89"/>
    </row>
    <row r="15" spans="1:32" s="79" customFormat="1" ht="14.25" x14ac:dyDescent="0.2">
      <c r="A15" s="208" t="s">
        <v>186</v>
      </c>
      <c r="B15" s="233">
        <v>21.7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>
        <f>'Data Ocupacion'!AV61</f>
        <v>1</v>
      </c>
      <c r="Z15" s="89"/>
      <c r="AA15" s="89"/>
      <c r="AB15" s="89"/>
      <c r="AC15" s="89"/>
      <c r="AD15" s="89"/>
      <c r="AE15" s="89"/>
      <c r="AF15" s="89"/>
    </row>
    <row r="16" spans="1:32" s="79" customFormat="1" ht="14.25" x14ac:dyDescent="0.2">
      <c r="A16" s="270"/>
      <c r="B16" s="76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T16" s="89"/>
      <c r="V16" s="89"/>
      <c r="X16" s="89"/>
      <c r="Z16" s="89"/>
      <c r="AB16" s="89"/>
      <c r="AD16" s="89"/>
      <c r="AE16" s="89"/>
      <c r="AF16" s="89"/>
    </row>
    <row r="17" spans="1:32" s="79" customFormat="1" ht="14.25" x14ac:dyDescent="0.2">
      <c r="A17" s="75" t="s">
        <v>87</v>
      </c>
      <c r="B17" s="233">
        <v>43.13</v>
      </c>
      <c r="C17" s="89">
        <f>'Data Ocupacion'!D63</f>
        <v>59</v>
      </c>
      <c r="D17" s="89">
        <f>'Data Ocupacion'!F63</f>
        <v>111</v>
      </c>
      <c r="E17" s="89">
        <f>'Data Ocupacion'!H63</f>
        <v>112</v>
      </c>
      <c r="F17" s="89">
        <f>'Data Ocupacion'!J63</f>
        <v>111</v>
      </c>
      <c r="G17" s="89">
        <f>'Data Ocupacion'!L63</f>
        <v>112</v>
      </c>
      <c r="H17" s="89">
        <f>'Data Ocupacion'!N63</f>
        <v>112</v>
      </c>
      <c r="I17" s="89">
        <f>'Data Ocupacion'!P63</f>
        <v>75</v>
      </c>
      <c r="J17" s="89">
        <f>'Data Ocupacion'!R63</f>
        <v>57</v>
      </c>
      <c r="K17" s="89">
        <f>'Data Ocupacion'!T63</f>
        <v>111</v>
      </c>
      <c r="L17" s="89">
        <f>'Data Ocupacion'!V63</f>
        <v>111</v>
      </c>
      <c r="M17" s="89">
        <f>'Data Ocupacion'!X63</f>
        <v>112</v>
      </c>
      <c r="N17" s="89">
        <f>'Data Ocupacion'!Z63</f>
        <v>110</v>
      </c>
      <c r="O17" s="89">
        <f>'Data Ocupacion'!AB63</f>
        <v>111</v>
      </c>
      <c r="P17" s="89">
        <f>'Data Ocupacion'!AD63</f>
        <v>75</v>
      </c>
      <c r="Q17" s="89">
        <f>'Data Ocupacion'!AF63</f>
        <v>56</v>
      </c>
      <c r="R17" s="89">
        <f>'Data Ocupacion'!AH63</f>
        <v>82</v>
      </c>
      <c r="S17" s="89">
        <f>'Data Ocupacion'!AJ63</f>
        <v>111</v>
      </c>
      <c r="T17" s="89">
        <f>'Data Ocupacion'!AL63</f>
        <v>111</v>
      </c>
      <c r="U17" s="89">
        <f>'Data Ocupacion'!AN63</f>
        <v>111</v>
      </c>
      <c r="V17" s="89">
        <f>'Data Ocupacion'!AP63</f>
        <v>57</v>
      </c>
      <c r="W17" s="89">
        <f>'Data Ocupacion'!AR63</f>
        <v>75</v>
      </c>
      <c r="X17" s="89">
        <f>'Data Ocupacion'!AT63</f>
        <v>57</v>
      </c>
      <c r="Y17" s="89">
        <f>'Data Ocupacion'!AV63</f>
        <v>90</v>
      </c>
      <c r="Z17" s="89">
        <f>'Data Ocupacion'!AX63</f>
        <v>111</v>
      </c>
      <c r="AA17" s="89">
        <f>'Data Ocupacion'!AZ63</f>
        <v>110</v>
      </c>
      <c r="AB17" s="89">
        <f>'Data Ocupacion'!BB63</f>
        <v>112</v>
      </c>
      <c r="AC17" s="89">
        <f>'Data Ocupacion'!BD63</f>
        <v>111</v>
      </c>
      <c r="AD17" s="89">
        <f>'Data Ocupacion'!BF63</f>
        <v>75</v>
      </c>
      <c r="AE17" s="89">
        <f>'Data Ocupacion'!BH63</f>
        <v>72</v>
      </c>
      <c r="AF17" s="89">
        <f>'Data Ocupacion'!BJ63</f>
        <v>104</v>
      </c>
    </row>
    <row r="18" spans="1:32" s="79" customFormat="1" ht="14.25" x14ac:dyDescent="0.2">
      <c r="A18" s="75" t="s">
        <v>88</v>
      </c>
      <c r="B18" s="233">
        <v>43.13</v>
      </c>
      <c r="C18" s="89">
        <f>'Data Ocupacion'!D64</f>
        <v>59</v>
      </c>
      <c r="D18" s="89">
        <f>'Data Ocupacion'!F64</f>
        <v>111</v>
      </c>
      <c r="E18" s="89">
        <f>'Data Ocupacion'!H64</f>
        <v>112</v>
      </c>
      <c r="F18" s="89">
        <f>'Data Ocupacion'!J64</f>
        <v>111</v>
      </c>
      <c r="G18" s="89">
        <f>'Data Ocupacion'!L64</f>
        <v>111</v>
      </c>
      <c r="H18" s="89">
        <f>'Data Ocupacion'!N64</f>
        <v>112</v>
      </c>
      <c r="I18" s="89">
        <f>'Data Ocupacion'!P64</f>
        <v>75</v>
      </c>
      <c r="J18" s="89">
        <f>'Data Ocupacion'!R64</f>
        <v>57</v>
      </c>
      <c r="K18" s="89">
        <f>'Data Ocupacion'!T64</f>
        <v>112</v>
      </c>
      <c r="L18" s="89">
        <f>'Data Ocupacion'!V64</f>
        <v>111</v>
      </c>
      <c r="M18" s="89">
        <f>'Data Ocupacion'!X64</f>
        <v>112</v>
      </c>
      <c r="N18" s="89">
        <f>'Data Ocupacion'!Z64</f>
        <v>110</v>
      </c>
      <c r="O18" s="89">
        <f>'Data Ocupacion'!AB64</f>
        <v>111</v>
      </c>
      <c r="P18" s="89">
        <f>'Data Ocupacion'!AD64</f>
        <v>75</v>
      </c>
      <c r="Q18" s="89">
        <f>'Data Ocupacion'!AF64</f>
        <v>57</v>
      </c>
      <c r="R18" s="89">
        <f>'Data Ocupacion'!AH64</f>
        <v>78</v>
      </c>
      <c r="S18" s="89">
        <f>'Data Ocupacion'!AJ64</f>
        <v>111</v>
      </c>
      <c r="T18" s="89">
        <f>'Data Ocupacion'!AL64</f>
        <v>111</v>
      </c>
      <c r="U18" s="89">
        <f>'Data Ocupacion'!AN64</f>
        <v>111</v>
      </c>
      <c r="V18" s="89">
        <f>'Data Ocupacion'!AP64</f>
        <v>57</v>
      </c>
      <c r="W18" s="89">
        <f>'Data Ocupacion'!AR64</f>
        <v>75</v>
      </c>
      <c r="X18" s="89">
        <f>'Data Ocupacion'!AT64</f>
        <v>57</v>
      </c>
      <c r="Y18" s="89">
        <f>'Data Ocupacion'!AV64</f>
        <v>91</v>
      </c>
      <c r="Z18" s="89">
        <f>'Data Ocupacion'!AX64</f>
        <v>111</v>
      </c>
      <c r="AA18" s="89">
        <f>'Data Ocupacion'!AZ64</f>
        <v>110</v>
      </c>
      <c r="AB18" s="89">
        <f>'Data Ocupacion'!BB64</f>
        <v>112</v>
      </c>
      <c r="AC18" s="89">
        <f>'Data Ocupacion'!BD64</f>
        <v>111</v>
      </c>
      <c r="AD18" s="89">
        <f>'Data Ocupacion'!BF64</f>
        <v>75</v>
      </c>
      <c r="AE18" s="89">
        <f>'Data Ocupacion'!BH64</f>
        <v>72</v>
      </c>
      <c r="AF18" s="89">
        <f>'Data Ocupacion'!BJ64</f>
        <v>104</v>
      </c>
    </row>
    <row r="19" spans="1:32" s="79" customFormat="1" ht="14.25" x14ac:dyDescent="0.2">
      <c r="A19" s="75" t="s">
        <v>89</v>
      </c>
      <c r="B19" s="233">
        <v>29.11</v>
      </c>
      <c r="C19" s="89">
        <f>'Data Ocupacion'!D65</f>
        <v>0</v>
      </c>
      <c r="D19" s="89">
        <f>'Data Ocupacion'!F65</f>
        <v>37</v>
      </c>
      <c r="E19" s="89">
        <f>'Data Ocupacion'!H65</f>
        <v>37</v>
      </c>
      <c r="F19" s="89">
        <f>'Data Ocupacion'!J65</f>
        <v>37</v>
      </c>
      <c r="G19" s="89">
        <f>'Data Ocupacion'!L65</f>
        <v>37</v>
      </c>
      <c r="H19" s="89">
        <f>'Data Ocupacion'!N65</f>
        <v>37</v>
      </c>
      <c r="I19" s="89">
        <f>'Data Ocupacion'!P65</f>
        <v>0</v>
      </c>
      <c r="J19" s="89">
        <f>'Data Ocupacion'!R65</f>
        <v>0</v>
      </c>
      <c r="K19" s="89">
        <f>'Data Ocupacion'!T65</f>
        <v>38</v>
      </c>
      <c r="L19" s="89">
        <f>'Data Ocupacion'!V65</f>
        <v>38</v>
      </c>
      <c r="M19" s="89">
        <f>'Data Ocupacion'!X65</f>
        <v>37</v>
      </c>
      <c r="N19" s="89">
        <f>'Data Ocupacion'!Z65</f>
        <v>35</v>
      </c>
      <c r="O19" s="89">
        <f>'Data Ocupacion'!AB65</f>
        <v>37</v>
      </c>
      <c r="P19" s="89">
        <f>'Data Ocupacion'!AD65</f>
        <v>0</v>
      </c>
      <c r="Q19" s="89">
        <f>'Data Ocupacion'!AF65</f>
        <v>0</v>
      </c>
      <c r="R19" s="89">
        <f>'Data Ocupacion'!AH65</f>
        <v>5</v>
      </c>
      <c r="S19" s="89">
        <f>'Data Ocupacion'!AJ65</f>
        <v>37</v>
      </c>
      <c r="T19" s="89">
        <f>'Data Ocupacion'!AL65</f>
        <v>37</v>
      </c>
      <c r="U19" s="89">
        <f>'Data Ocupacion'!AN65</f>
        <v>38</v>
      </c>
      <c r="V19" s="89">
        <f>'Data Ocupacion'!AP65</f>
        <v>0</v>
      </c>
      <c r="W19" s="89">
        <f>'Data Ocupacion'!AR65</f>
        <v>0</v>
      </c>
      <c r="X19" s="89">
        <f>'Data Ocupacion'!AT65</f>
        <v>0</v>
      </c>
      <c r="Y19" s="89">
        <f>'Data Ocupacion'!AV65</f>
        <v>30</v>
      </c>
      <c r="Z19" s="89">
        <f>'Data Ocupacion'!AX65</f>
        <v>37</v>
      </c>
      <c r="AA19" s="89">
        <f>'Data Ocupacion'!AZ65</f>
        <v>37</v>
      </c>
      <c r="AB19" s="89">
        <f>'Data Ocupacion'!BB65</f>
        <v>37</v>
      </c>
      <c r="AC19" s="89">
        <f>'Data Ocupacion'!BD65</f>
        <v>37</v>
      </c>
      <c r="AD19" s="89">
        <f>'Data Ocupacion'!BF65</f>
        <v>0</v>
      </c>
      <c r="AE19" s="89">
        <f>'Data Ocupacion'!BH65</f>
        <v>0</v>
      </c>
      <c r="AF19" s="89">
        <f>'Data Ocupacion'!BJ65</f>
        <v>36</v>
      </c>
    </row>
    <row r="20" spans="1:32" s="79" customFormat="1" ht="14.25" x14ac:dyDescent="0.2">
      <c r="A20" s="75" t="s">
        <v>90</v>
      </c>
      <c r="B20" s="233">
        <v>29.11</v>
      </c>
      <c r="C20" s="89">
        <f>'Data Ocupacion'!D66</f>
        <v>0</v>
      </c>
      <c r="D20" s="89">
        <f>'Data Ocupacion'!F66</f>
        <v>36</v>
      </c>
      <c r="E20" s="89">
        <f>'Data Ocupacion'!H66</f>
        <v>36</v>
      </c>
      <c r="F20" s="89">
        <f>'Data Ocupacion'!J66</f>
        <v>36</v>
      </c>
      <c r="G20" s="89">
        <f>'Data Ocupacion'!L66</f>
        <v>37</v>
      </c>
      <c r="H20" s="89">
        <f>'Data Ocupacion'!N66</f>
        <v>36</v>
      </c>
      <c r="I20" s="89">
        <f>'Data Ocupacion'!P66</f>
        <v>0</v>
      </c>
      <c r="J20" s="89">
        <f>'Data Ocupacion'!R66</f>
        <v>0</v>
      </c>
      <c r="K20" s="89">
        <f>'Data Ocupacion'!T66</f>
        <v>37</v>
      </c>
      <c r="L20" s="89">
        <f>'Data Ocupacion'!V66</f>
        <v>38</v>
      </c>
      <c r="M20" s="89">
        <f>'Data Ocupacion'!X66</f>
        <v>36</v>
      </c>
      <c r="N20" s="89">
        <f>'Data Ocupacion'!Z66</f>
        <v>34</v>
      </c>
      <c r="O20" s="89">
        <f>'Data Ocupacion'!AB66</f>
        <v>36</v>
      </c>
      <c r="P20" s="89">
        <f>'Data Ocupacion'!AD66</f>
        <v>0</v>
      </c>
      <c r="Q20" s="89">
        <f>'Data Ocupacion'!AF66</f>
        <v>0</v>
      </c>
      <c r="R20" s="89">
        <f>'Data Ocupacion'!AH66</f>
        <v>6</v>
      </c>
      <c r="S20" s="89">
        <f>'Data Ocupacion'!AJ66</f>
        <v>36</v>
      </c>
      <c r="T20" s="89">
        <f>'Data Ocupacion'!AL66</f>
        <v>36</v>
      </c>
      <c r="U20" s="89">
        <f>'Data Ocupacion'!AN66</f>
        <v>37</v>
      </c>
      <c r="V20" s="89">
        <f>'Data Ocupacion'!AP66</f>
        <v>0</v>
      </c>
      <c r="W20" s="89">
        <f>'Data Ocupacion'!AR66</f>
        <v>0</v>
      </c>
      <c r="X20" s="89">
        <f>'Data Ocupacion'!AT66</f>
        <v>0</v>
      </c>
      <c r="Y20" s="89">
        <f>'Data Ocupacion'!AV66</f>
        <v>34</v>
      </c>
      <c r="Z20" s="89">
        <f>'Data Ocupacion'!AX66</f>
        <v>36</v>
      </c>
      <c r="AA20" s="89">
        <f>'Data Ocupacion'!AZ66</f>
        <v>36</v>
      </c>
      <c r="AB20" s="89">
        <f>'Data Ocupacion'!BB66</f>
        <v>36</v>
      </c>
      <c r="AC20" s="89">
        <f>'Data Ocupacion'!BD66</f>
        <v>36</v>
      </c>
      <c r="AD20" s="89">
        <f>'Data Ocupacion'!BF66</f>
        <v>0</v>
      </c>
      <c r="AE20" s="89">
        <f>'Data Ocupacion'!BH66</f>
        <v>0</v>
      </c>
      <c r="AF20" s="89">
        <f>'Data Ocupacion'!BJ66</f>
        <v>35</v>
      </c>
    </row>
    <row r="21" spans="1:32" s="79" customFormat="1" ht="14.25" x14ac:dyDescent="0.2">
      <c r="A21" s="75" t="s">
        <v>91</v>
      </c>
      <c r="B21" s="233">
        <v>25.4</v>
      </c>
      <c r="C21" s="89">
        <f>'Data Ocupacion'!D68</f>
        <v>0</v>
      </c>
      <c r="D21" s="89">
        <f>'Data Ocupacion'!F68</f>
        <v>1</v>
      </c>
      <c r="E21" s="89">
        <f>'Data Ocupacion'!H68</f>
        <v>1</v>
      </c>
      <c r="F21" s="89">
        <f>'Data Ocupacion'!J68</f>
        <v>1</v>
      </c>
      <c r="G21" s="89">
        <f>'Data Ocupacion'!L68</f>
        <v>1</v>
      </c>
      <c r="H21" s="89">
        <f>'Data Ocupacion'!N68</f>
        <v>1</v>
      </c>
      <c r="I21" s="89">
        <f>'Data Ocupacion'!P68</f>
        <v>0</v>
      </c>
      <c r="J21" s="89">
        <f>'Data Ocupacion'!R68</f>
        <v>0</v>
      </c>
      <c r="K21" s="89">
        <f>'Data Ocupacion'!T68</f>
        <v>1</v>
      </c>
      <c r="L21" s="89">
        <f>'Data Ocupacion'!V68</f>
        <v>1</v>
      </c>
      <c r="M21" s="89">
        <f>'Data Ocupacion'!X68</f>
        <v>1</v>
      </c>
      <c r="N21" s="89">
        <f>'Data Ocupacion'!Z68</f>
        <v>1</v>
      </c>
      <c r="O21" s="89">
        <f>'Data Ocupacion'!AB68</f>
        <v>1</v>
      </c>
      <c r="P21" s="89">
        <f>'Data Ocupacion'!AD68</f>
        <v>0</v>
      </c>
      <c r="Q21" s="89">
        <f>'Data Ocupacion'!AF68</f>
        <v>0</v>
      </c>
      <c r="R21" s="89">
        <f>'Data Ocupacion'!AH68</f>
        <v>0</v>
      </c>
      <c r="S21" s="89">
        <f>'Data Ocupacion'!AJ68</f>
        <v>1</v>
      </c>
      <c r="T21" s="89">
        <f>'Data Ocupacion'!AL68</f>
        <v>1</v>
      </c>
      <c r="U21" s="89">
        <f>'Data Ocupacion'!AN68</f>
        <v>1</v>
      </c>
      <c r="V21" s="89">
        <f>'Data Ocupacion'!AP68</f>
        <v>0</v>
      </c>
      <c r="W21" s="89">
        <f>'Data Ocupacion'!AR68</f>
        <v>0</v>
      </c>
      <c r="X21" s="89">
        <f>'Data Ocupacion'!AT68</f>
        <v>0</v>
      </c>
      <c r="Y21" s="89">
        <f>'Data Ocupacion'!AV68</f>
        <v>1</v>
      </c>
      <c r="Z21" s="89">
        <f>'Data Ocupacion'!AX68</f>
        <v>1</v>
      </c>
      <c r="AA21" s="89">
        <f>'Data Ocupacion'!AZ68</f>
        <v>1</v>
      </c>
      <c r="AB21" s="89">
        <f>'Data Ocupacion'!BB68</f>
        <v>1</v>
      </c>
      <c r="AC21" s="89">
        <f>'Data Ocupacion'!BD68</f>
        <v>1</v>
      </c>
      <c r="AD21" s="89">
        <f>'Data Ocupacion'!BF68</f>
        <v>0</v>
      </c>
      <c r="AE21" s="89">
        <f>'Data Ocupacion'!BH68</f>
        <v>0</v>
      </c>
      <c r="AF21" s="89">
        <f>'Data Ocupacion'!BJ68</f>
        <v>1</v>
      </c>
    </row>
    <row r="22" spans="1:32" s="79" customFormat="1" ht="14.25" x14ac:dyDescent="0.2">
      <c r="A22" s="208" t="s">
        <v>124</v>
      </c>
      <c r="B22" s="233">
        <v>25.4</v>
      </c>
      <c r="C22" s="89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89"/>
      <c r="K22" s="77">
        <v>0</v>
      </c>
      <c r="L22" s="89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89">
        <v>0</v>
      </c>
      <c r="AA22" s="77">
        <v>0</v>
      </c>
      <c r="AB22" s="77">
        <v>0</v>
      </c>
      <c r="AC22" s="77">
        <v>0</v>
      </c>
      <c r="AD22" s="77">
        <v>0</v>
      </c>
      <c r="AE22" s="89">
        <v>0</v>
      </c>
      <c r="AF22" s="89">
        <v>0</v>
      </c>
    </row>
    <row r="23" spans="1:32" s="79" customFormat="1" ht="14.25" x14ac:dyDescent="0.2">
      <c r="A23" s="208" t="s">
        <v>176</v>
      </c>
      <c r="B23" s="233">
        <v>35.729999999999997</v>
      </c>
      <c r="C23" s="89"/>
      <c r="D23" s="77"/>
      <c r="E23" s="77"/>
      <c r="F23" s="77"/>
      <c r="G23" s="77"/>
      <c r="H23" s="77"/>
      <c r="I23" s="77"/>
      <c r="J23" s="89"/>
      <c r="K23" s="77"/>
      <c r="L23" s="89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89">
        <f>'Data Ocupacion'!AV69</f>
        <v>14</v>
      </c>
      <c r="Z23" s="89"/>
      <c r="AA23" s="77"/>
      <c r="AB23" s="77"/>
      <c r="AC23" s="77"/>
      <c r="AD23" s="77"/>
      <c r="AE23" s="89"/>
      <c r="AF23" s="89"/>
    </row>
    <row r="24" spans="1:32" s="79" customFormat="1" ht="14.25" x14ac:dyDescent="0.2">
      <c r="A24" s="208" t="s">
        <v>177</v>
      </c>
      <c r="B24" s="233">
        <v>35.729999999999997</v>
      </c>
      <c r="C24" s="89"/>
      <c r="D24" s="77"/>
      <c r="E24" s="77"/>
      <c r="F24" s="77"/>
      <c r="G24" s="77"/>
      <c r="H24" s="77"/>
      <c r="I24" s="77"/>
      <c r="J24" s="89"/>
      <c r="K24" s="77"/>
      <c r="L24" s="8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89">
        <f>'Data Ocupacion'!AV70</f>
        <v>17</v>
      </c>
      <c r="Z24" s="89"/>
      <c r="AA24" s="77"/>
      <c r="AB24" s="77"/>
      <c r="AC24" s="77"/>
      <c r="AD24" s="77"/>
      <c r="AE24" s="89"/>
      <c r="AF24" s="89"/>
    </row>
    <row r="25" spans="1:32" s="79" customFormat="1" ht="14.25" x14ac:dyDescent="0.2">
      <c r="A25" s="208" t="s">
        <v>183</v>
      </c>
      <c r="B25" s="233">
        <v>6</v>
      </c>
      <c r="C25" s="89"/>
      <c r="D25" s="77"/>
      <c r="E25" s="77"/>
      <c r="F25" s="77"/>
      <c r="G25" s="77"/>
      <c r="H25" s="77"/>
      <c r="I25" s="77"/>
      <c r="J25" s="89"/>
      <c r="K25" s="77"/>
      <c r="L25" s="8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89">
        <f>'Data Ocupacion'!AV71</f>
        <v>6</v>
      </c>
      <c r="Z25" s="89"/>
      <c r="AA25" s="77"/>
      <c r="AB25" s="77"/>
      <c r="AC25" s="77"/>
      <c r="AD25" s="77"/>
      <c r="AE25" s="89"/>
      <c r="AF25" s="89"/>
    </row>
    <row r="26" spans="1:32" s="79" customFormat="1" ht="14.25" x14ac:dyDescent="0.2">
      <c r="A26" s="208" t="s">
        <v>185</v>
      </c>
      <c r="B26" s="233">
        <v>21.7</v>
      </c>
      <c r="C26" s="89"/>
      <c r="D26" s="77"/>
      <c r="E26" s="77"/>
      <c r="F26" s="77"/>
      <c r="G26" s="77"/>
      <c r="H26" s="77"/>
      <c r="I26" s="77"/>
      <c r="J26" s="89"/>
      <c r="K26" s="77"/>
      <c r="L26" s="8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89">
        <f>'Data Ocupacion'!AV72</f>
        <v>1</v>
      </c>
      <c r="Z26" s="89"/>
      <c r="AA26" s="77"/>
      <c r="AB26" s="77"/>
      <c r="AC26" s="77"/>
      <c r="AD26" s="77"/>
      <c r="AE26" s="89"/>
      <c r="AF26" s="89"/>
    </row>
    <row r="27" spans="1:32" s="79" customFormat="1" ht="14.25" x14ac:dyDescent="0.2">
      <c r="A27" s="208" t="s">
        <v>187</v>
      </c>
      <c r="B27" s="233">
        <v>21.7</v>
      </c>
      <c r="C27" s="89"/>
      <c r="D27" s="77"/>
      <c r="E27" s="77"/>
      <c r="F27" s="77"/>
      <c r="G27" s="77"/>
      <c r="H27" s="77"/>
      <c r="I27" s="77"/>
      <c r="J27" s="89"/>
      <c r="K27" s="77"/>
      <c r="L27" s="8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89">
        <f>'Data Ocupacion'!AV73</f>
        <v>1</v>
      </c>
      <c r="Z27" s="89"/>
      <c r="AA27" s="77"/>
      <c r="AB27" s="77"/>
      <c r="AC27" s="77"/>
      <c r="AD27" s="77"/>
      <c r="AE27" s="89"/>
      <c r="AF27" s="89"/>
    </row>
    <row r="28" spans="1:32" s="79" customFormat="1" ht="14.25" x14ac:dyDescent="0.2">
      <c r="A28" s="270"/>
      <c r="B28" s="233"/>
      <c r="C28" s="77"/>
      <c r="D28" s="77"/>
      <c r="E28" s="77"/>
      <c r="F28" s="77"/>
      <c r="G28" s="77"/>
      <c r="H28" s="77"/>
      <c r="I28" s="77"/>
      <c r="J28" s="77"/>
      <c r="K28" s="77"/>
      <c r="L28" s="8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89"/>
      <c r="AA28" s="77"/>
      <c r="AB28" s="77"/>
      <c r="AC28" s="77"/>
      <c r="AD28" s="77"/>
      <c r="AE28" s="89"/>
      <c r="AF28" s="89"/>
    </row>
    <row r="29" spans="1:32" x14ac:dyDescent="0.25">
      <c r="A29" s="80" t="s">
        <v>150</v>
      </c>
      <c r="B29" s="233">
        <v>-17.73</v>
      </c>
      <c r="C29" s="77">
        <f>'KM-Servicio'!Q5</f>
        <v>0</v>
      </c>
      <c r="D29" s="77">
        <f>'KM-Servicio'!Q12</f>
        <v>3</v>
      </c>
      <c r="E29" s="77">
        <f>'KM-Servicio'!Q19</f>
        <v>4</v>
      </c>
      <c r="F29" s="77">
        <f>'KM-Servicio'!Q26</f>
        <v>3</v>
      </c>
      <c r="G29" s="77">
        <f>'KM-Servicio'!Q33</f>
        <v>5</v>
      </c>
      <c r="H29" s="77">
        <f>'KM-Servicio'!Q40</f>
        <v>4</v>
      </c>
      <c r="I29" s="77">
        <f>'KM-Servicio'!Q47</f>
        <v>0</v>
      </c>
      <c r="J29" s="77">
        <f>'KM-Servicio'!Q54</f>
        <v>0</v>
      </c>
      <c r="K29" s="77">
        <f>'KM-Servicio'!Q61</f>
        <v>4</v>
      </c>
      <c r="L29" s="77">
        <f>'KM-Servicio'!Q68</f>
        <v>3</v>
      </c>
      <c r="M29" s="77">
        <f>'KM-Servicio'!Q75</f>
        <v>3</v>
      </c>
      <c r="N29" s="77">
        <f>'KM-Servicio'!Q82</f>
        <v>0</v>
      </c>
      <c r="O29" s="77">
        <f>'KM-Servicio'!Q89</f>
        <v>1</v>
      </c>
      <c r="P29" s="77">
        <f>'KM-Servicio'!Q96</f>
        <v>0</v>
      </c>
      <c r="Q29" s="77">
        <f>'KM-Servicio'!Q103</f>
        <v>0</v>
      </c>
      <c r="R29" s="77">
        <f>'KM-Servicio'!Q110</f>
        <v>0</v>
      </c>
      <c r="S29" s="77">
        <f>'KM-Servicio'!Q117</f>
        <v>5</v>
      </c>
      <c r="T29" s="77">
        <f>'KM-Servicio'!Q124</f>
        <v>5</v>
      </c>
      <c r="U29" s="77">
        <f>'KM-Servicio'!Q131</f>
        <v>6</v>
      </c>
      <c r="V29" s="77">
        <f>'KM-Servicio'!Q138</f>
        <v>0</v>
      </c>
      <c r="W29" s="77">
        <f>'KM-Servicio'!Q145</f>
        <v>0</v>
      </c>
      <c r="X29" s="77">
        <f>'KM-Servicio'!Q152</f>
        <v>0</v>
      </c>
      <c r="Y29" s="77">
        <f>'KM-Servicio'!Q159</f>
        <v>4</v>
      </c>
      <c r="Z29" s="77">
        <f>'KM-Servicio'!Q171</f>
        <v>5</v>
      </c>
      <c r="AA29" s="77">
        <f>'KM-Servicio'!Q178</f>
        <v>5</v>
      </c>
      <c r="AB29" s="77">
        <f>'KM-Servicio'!Q185</f>
        <v>4</v>
      </c>
      <c r="AC29" s="77">
        <f>'KM-Servicio'!Q192</f>
        <v>3</v>
      </c>
      <c r="AD29" s="77">
        <f>'KM-Servicio'!Q199</f>
        <v>0</v>
      </c>
      <c r="AE29" s="77">
        <f>'KM-Servicio'!Q206</f>
        <v>0</v>
      </c>
      <c r="AF29" s="77">
        <f>'KM-Servicio'!Q213</f>
        <v>3</v>
      </c>
    </row>
    <row r="30" spans="1:32" x14ac:dyDescent="0.25">
      <c r="A30" s="80" t="s">
        <v>151</v>
      </c>
      <c r="B30" s="233">
        <v>-17.73</v>
      </c>
      <c r="C30" s="77">
        <f>'KM-Servicio'!T6</f>
        <v>0</v>
      </c>
      <c r="D30" s="77">
        <f>'KM-Servicio'!T13</f>
        <v>4</v>
      </c>
      <c r="E30" s="77">
        <f>'KM-Servicio'!T20</f>
        <v>2</v>
      </c>
      <c r="F30" s="77">
        <f>'KM-Servicio'!T27</f>
        <v>4</v>
      </c>
      <c r="G30" s="77">
        <f>'KM-Servicio'!T34</f>
        <v>7</v>
      </c>
      <c r="H30" s="77">
        <f>'KM-Servicio'!T41</f>
        <v>3</v>
      </c>
      <c r="I30" s="77">
        <f>'KM-Servicio'!T48</f>
        <v>0</v>
      </c>
      <c r="J30" s="77">
        <f>'KM-Servicio'!T55</f>
        <v>0</v>
      </c>
      <c r="K30" s="77">
        <f>'KM-Servicio'!T62</f>
        <v>6</v>
      </c>
      <c r="L30" s="77">
        <f>'KM-Servicio'!T69</f>
        <v>6</v>
      </c>
      <c r="M30" s="77">
        <f>'KM-Servicio'!T76</f>
        <v>5</v>
      </c>
      <c r="N30" s="77">
        <f>'KM-Servicio'!T83</f>
        <v>2</v>
      </c>
      <c r="O30" s="77">
        <f>'KM-Servicio'!T90</f>
        <v>3</v>
      </c>
      <c r="P30" s="77">
        <f>'KM-Servicio'!T97</f>
        <v>0</v>
      </c>
      <c r="Q30" s="77">
        <f>'KM-Servicio'!T104</f>
        <v>0</v>
      </c>
      <c r="R30" s="77">
        <f>'KM-Servicio'!T111</f>
        <v>0</v>
      </c>
      <c r="S30" s="77">
        <f>'KM-Servicio'!T118</f>
        <v>6</v>
      </c>
      <c r="T30" s="77">
        <f>'KM-Servicio'!T125</f>
        <v>6</v>
      </c>
      <c r="U30" s="77">
        <f>'KM-Servicio'!T132</f>
        <v>6</v>
      </c>
      <c r="V30" s="77">
        <f>'KM-Servicio'!T139</f>
        <v>0</v>
      </c>
      <c r="W30" s="77">
        <f>'KM-Servicio'!T146</f>
        <v>0</v>
      </c>
      <c r="X30" s="77">
        <f>'KM-Servicio'!T153</f>
        <v>0</v>
      </c>
      <c r="Y30" s="77">
        <f>'KM-Servicio'!T160</f>
        <v>4</v>
      </c>
      <c r="Z30" s="77">
        <f>'KM-Servicio'!T172</f>
        <v>6</v>
      </c>
      <c r="AA30" s="77">
        <f>'KM-Servicio'!T179</f>
        <v>4</v>
      </c>
      <c r="AB30" s="77">
        <f>'KM-Servicio'!T186</f>
        <v>4</v>
      </c>
      <c r="AC30" s="77">
        <f>'KM-Servicio'!T193</f>
        <v>5</v>
      </c>
      <c r="AD30" s="77">
        <f>'KM-Servicio'!T200</f>
        <v>0</v>
      </c>
      <c r="AE30" s="77">
        <f>'KM-Servicio'!T207</f>
        <v>0</v>
      </c>
      <c r="AF30" s="77">
        <f>'KM-Servicio'!T214</f>
        <v>5</v>
      </c>
    </row>
    <row r="31" spans="1:32" s="118" customFormat="1" x14ac:dyDescent="0.25">
      <c r="A31" s="80" t="s">
        <v>153</v>
      </c>
      <c r="B31" s="233">
        <v>-14.02</v>
      </c>
      <c r="C31" s="77">
        <f>'KM-Servicio'!U6</f>
        <v>0</v>
      </c>
      <c r="D31" s="77">
        <f>'KM-Servicio'!U13</f>
        <v>0</v>
      </c>
      <c r="E31" s="77">
        <f>'KM-Servicio'!U20</f>
        <v>0</v>
      </c>
      <c r="F31" s="77">
        <f>'KM-Servicio'!U27</f>
        <v>0</v>
      </c>
      <c r="G31" s="77">
        <f>'KM-Servicio'!U34</f>
        <v>0</v>
      </c>
      <c r="H31" s="77">
        <f>'KM-Servicio'!U41</f>
        <v>0</v>
      </c>
      <c r="I31" s="77">
        <f>'KM-Servicio'!U48</f>
        <v>0</v>
      </c>
      <c r="J31" s="77">
        <f>'KM-Servicio'!U55</f>
        <v>0</v>
      </c>
      <c r="K31" s="77">
        <f>'KM-Servicio'!U62</f>
        <v>0</v>
      </c>
      <c r="L31" s="77">
        <f>'KM-Servicio'!U69</f>
        <v>0</v>
      </c>
      <c r="M31" s="77">
        <f>'KM-Servicio'!U76</f>
        <v>0</v>
      </c>
      <c r="N31" s="77">
        <f>'KM-Servicio'!U83</f>
        <v>0</v>
      </c>
      <c r="O31" s="77">
        <f>'KM-Servicio'!U90</f>
        <v>0</v>
      </c>
      <c r="P31" s="77">
        <f>'KM-Servicio'!U97</f>
        <v>0</v>
      </c>
      <c r="Q31" s="77">
        <f>'KM-Servicio'!U104</f>
        <v>0</v>
      </c>
      <c r="R31" s="77">
        <f>'KM-Servicio'!U111</f>
        <v>0</v>
      </c>
      <c r="S31" s="77">
        <f>'KM-Servicio'!U118</f>
        <v>0</v>
      </c>
      <c r="T31" s="77">
        <f>'KM-Servicio'!U125</f>
        <v>0</v>
      </c>
      <c r="U31" s="77">
        <f>'KM-Servicio'!U132</f>
        <v>0</v>
      </c>
      <c r="V31" s="77">
        <f>'KM-Servicio'!U139</f>
        <v>0</v>
      </c>
      <c r="W31" s="77">
        <f>'KM-Servicio'!U146</f>
        <v>0</v>
      </c>
      <c r="X31" s="77">
        <f>'KM-Servicio'!U153</f>
        <v>0</v>
      </c>
      <c r="Y31" s="77">
        <f>'KM-Servicio'!U160</f>
        <v>0</v>
      </c>
      <c r="Z31" s="77">
        <f>'KM-Servicio'!U172</f>
        <v>0</v>
      </c>
      <c r="AA31" s="77">
        <f>'KM-Servicio'!U179</f>
        <v>2</v>
      </c>
      <c r="AB31" s="77">
        <f>'KM-Servicio'!U186</f>
        <v>0</v>
      </c>
      <c r="AC31" s="77">
        <f>'KM-Servicio'!U193</f>
        <v>0</v>
      </c>
      <c r="AD31" s="77">
        <f>'KM-Servicio'!U200</f>
        <v>0</v>
      </c>
      <c r="AE31" s="77">
        <f>'KM-Servicio'!U207</f>
        <v>0</v>
      </c>
      <c r="AF31" s="77">
        <f>'KM-Servicio'!U214</f>
        <v>0</v>
      </c>
    </row>
    <row r="32" spans="1:32" s="118" customFormat="1" x14ac:dyDescent="0.25">
      <c r="A32" s="207" t="s">
        <v>152</v>
      </c>
      <c r="B32" s="233">
        <v>-3.71</v>
      </c>
      <c r="C32" s="77"/>
      <c r="D32" s="77"/>
      <c r="E32" s="77">
        <f>'KM-Servicio'!Q21</f>
        <v>0</v>
      </c>
      <c r="F32" s="77"/>
      <c r="G32" s="77">
        <f>'KM-Servicio'!Q35</f>
        <v>0</v>
      </c>
      <c r="H32" s="77"/>
      <c r="I32" s="77"/>
      <c r="J32" s="77"/>
      <c r="K32" s="77"/>
      <c r="L32" s="77"/>
      <c r="M32" s="77"/>
      <c r="N32" s="77">
        <f>'KM-Servicio'!Q84</f>
        <v>0</v>
      </c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</row>
    <row r="33" spans="1:32" s="118" customFormat="1" x14ac:dyDescent="0.25">
      <c r="A33" s="213" t="s">
        <v>158</v>
      </c>
      <c r="B33" s="233">
        <v>17.73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</row>
    <row r="34" spans="1:32" s="118" customFormat="1" x14ac:dyDescent="0.25">
      <c r="A34" s="213" t="s">
        <v>163</v>
      </c>
      <c r="B34" s="233">
        <v>-12.73</v>
      </c>
      <c r="C34" s="77"/>
      <c r="D34" s="77"/>
      <c r="E34" s="77"/>
      <c r="F34" s="77"/>
      <c r="G34" s="77"/>
      <c r="H34" s="77">
        <v>1</v>
      </c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</row>
    <row r="35" spans="1:32" x14ac:dyDescent="0.25">
      <c r="A35" s="81"/>
      <c r="B35" s="76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</row>
    <row r="36" spans="1:32" x14ac:dyDescent="0.25">
      <c r="A36" s="82" t="s">
        <v>84</v>
      </c>
      <c r="B36" s="225">
        <f>SUM(C36:AF36)</f>
        <v>5606</v>
      </c>
      <c r="C36" s="85">
        <f t="shared" ref="C36:X36" si="0">SUM(C5:C10)</f>
        <v>115</v>
      </c>
      <c r="D36" s="85">
        <f t="shared" si="0"/>
        <v>223</v>
      </c>
      <c r="E36" s="85">
        <f t="shared" si="0"/>
        <v>223</v>
      </c>
      <c r="F36" s="85">
        <f t="shared" si="0"/>
        <v>223</v>
      </c>
      <c r="G36" s="85">
        <f t="shared" si="0"/>
        <v>223</v>
      </c>
      <c r="H36" s="85">
        <f t="shared" si="0"/>
        <v>223</v>
      </c>
      <c r="I36" s="85">
        <f t="shared" si="0"/>
        <v>147</v>
      </c>
      <c r="J36" s="85">
        <f t="shared" si="0"/>
        <v>111</v>
      </c>
      <c r="K36" s="85">
        <f t="shared" si="0"/>
        <v>223</v>
      </c>
      <c r="L36" s="85">
        <f t="shared" si="0"/>
        <v>223</v>
      </c>
      <c r="M36" s="85">
        <f t="shared" si="0"/>
        <v>223</v>
      </c>
      <c r="N36" s="85">
        <f t="shared" si="0"/>
        <v>223</v>
      </c>
      <c r="O36" s="85">
        <f t="shared" si="0"/>
        <v>223</v>
      </c>
      <c r="P36" s="85">
        <f t="shared" si="0"/>
        <v>147</v>
      </c>
      <c r="Q36" s="85">
        <f t="shared" si="0"/>
        <v>111</v>
      </c>
      <c r="R36" s="85">
        <f t="shared" si="0"/>
        <v>110</v>
      </c>
      <c r="S36" s="85">
        <f t="shared" si="0"/>
        <v>223</v>
      </c>
      <c r="T36" s="85">
        <f t="shared" si="0"/>
        <v>223</v>
      </c>
      <c r="U36" s="85">
        <f t="shared" si="0"/>
        <v>223</v>
      </c>
      <c r="V36" s="85">
        <f t="shared" si="0"/>
        <v>111</v>
      </c>
      <c r="W36" s="85">
        <f t="shared" si="0"/>
        <v>147</v>
      </c>
      <c r="X36" s="85">
        <f t="shared" si="0"/>
        <v>111</v>
      </c>
      <c r="Y36" s="85">
        <f>SUM(Y5:Y15)</f>
        <v>213</v>
      </c>
      <c r="Z36" s="85">
        <f t="shared" ref="Z36:AF36" si="1">SUM(Z5:Z10)</f>
        <v>223</v>
      </c>
      <c r="AA36" s="85">
        <f t="shared" si="1"/>
        <v>223</v>
      </c>
      <c r="AB36" s="85">
        <f t="shared" si="1"/>
        <v>223</v>
      </c>
      <c r="AC36" s="85">
        <f t="shared" si="1"/>
        <v>223</v>
      </c>
      <c r="AD36" s="85">
        <f t="shared" si="1"/>
        <v>147</v>
      </c>
      <c r="AE36" s="85">
        <f t="shared" si="1"/>
        <v>122</v>
      </c>
      <c r="AF36" s="85">
        <f t="shared" si="1"/>
        <v>223</v>
      </c>
    </row>
    <row r="37" spans="1:32" x14ac:dyDescent="0.25">
      <c r="A37" s="84" t="s">
        <v>65</v>
      </c>
      <c r="B37" s="225">
        <f t="shared" ref="B37:B43" si="2">SUM(C37:AF37)</f>
        <v>7095</v>
      </c>
      <c r="C37" s="85">
        <f t="shared" ref="C37:X37" si="3">SUM(C17:C22)</f>
        <v>118</v>
      </c>
      <c r="D37" s="85">
        <f t="shared" si="3"/>
        <v>296</v>
      </c>
      <c r="E37" s="85">
        <f t="shared" si="3"/>
        <v>298</v>
      </c>
      <c r="F37" s="85">
        <f t="shared" si="3"/>
        <v>296</v>
      </c>
      <c r="G37" s="85">
        <f t="shared" si="3"/>
        <v>298</v>
      </c>
      <c r="H37" s="85">
        <f t="shared" si="3"/>
        <v>298</v>
      </c>
      <c r="I37" s="85">
        <f t="shared" si="3"/>
        <v>150</v>
      </c>
      <c r="J37" s="85">
        <f t="shared" si="3"/>
        <v>114</v>
      </c>
      <c r="K37" s="85">
        <f t="shared" si="3"/>
        <v>299</v>
      </c>
      <c r="L37" s="85">
        <f t="shared" si="3"/>
        <v>299</v>
      </c>
      <c r="M37" s="85">
        <f t="shared" si="3"/>
        <v>298</v>
      </c>
      <c r="N37" s="85">
        <f t="shared" si="3"/>
        <v>290</v>
      </c>
      <c r="O37" s="85">
        <f t="shared" si="3"/>
        <v>296</v>
      </c>
      <c r="P37" s="85">
        <f t="shared" si="3"/>
        <v>150</v>
      </c>
      <c r="Q37" s="85">
        <f t="shared" si="3"/>
        <v>113</v>
      </c>
      <c r="R37" s="85">
        <f t="shared" si="3"/>
        <v>171</v>
      </c>
      <c r="S37" s="85">
        <f t="shared" si="3"/>
        <v>296</v>
      </c>
      <c r="T37" s="85">
        <f t="shared" si="3"/>
        <v>296</v>
      </c>
      <c r="U37" s="85">
        <f t="shared" si="3"/>
        <v>298</v>
      </c>
      <c r="V37" s="85">
        <f t="shared" si="3"/>
        <v>114</v>
      </c>
      <c r="W37" s="85">
        <f t="shared" si="3"/>
        <v>150</v>
      </c>
      <c r="X37" s="85">
        <f t="shared" si="3"/>
        <v>114</v>
      </c>
      <c r="Y37" s="85">
        <f>SUM(Y17:Y27)</f>
        <v>285</v>
      </c>
      <c r="Z37" s="85">
        <f t="shared" ref="Z37:AF37" si="4">SUM(Z17:Z22)</f>
        <v>296</v>
      </c>
      <c r="AA37" s="85">
        <f t="shared" si="4"/>
        <v>294</v>
      </c>
      <c r="AB37" s="85">
        <f t="shared" si="4"/>
        <v>298</v>
      </c>
      <c r="AC37" s="85">
        <f t="shared" si="4"/>
        <v>296</v>
      </c>
      <c r="AD37" s="85">
        <f t="shared" si="4"/>
        <v>150</v>
      </c>
      <c r="AE37" s="85">
        <f t="shared" si="4"/>
        <v>144</v>
      </c>
      <c r="AF37" s="85">
        <f t="shared" si="4"/>
        <v>280</v>
      </c>
    </row>
    <row r="38" spans="1:32" x14ac:dyDescent="0.25">
      <c r="A38" s="84" t="s">
        <v>92</v>
      </c>
      <c r="B38" s="225">
        <f t="shared" si="2"/>
        <v>282831.51000000007</v>
      </c>
      <c r="C38" s="85">
        <f>(C17*$B$17+C18*$B$18+C19*$B$19+C20*$B$20+C22*$B$22+C30*$B$30+C21*$B$21+C29*$B$29+C31*$B$31+C32*$B$32+C33*B33)</f>
        <v>5089.34</v>
      </c>
      <c r="D38" s="85">
        <f>(D17*$B$17+D18*$B$18+D19*$B$19+D20*$B$20+D22*$B$22+D30*$B$30+D21*$B$21+D29*$B$29+D31*$B$31+D32*$B$32+D33*B33)</f>
        <v>11601.179999999998</v>
      </c>
      <c r="E38" s="85">
        <f>(E17*$B$17+E18*$B$18+E19*$B$19+E20*$B$20+E22*$B$22+E30*$B$30+E21*$B$21+E29*$B$29+E31*$B$31+E32*$B$32+E33*B33)</f>
        <v>11705.170000000002</v>
      </c>
      <c r="F38" s="85">
        <f>(F17*$B$17+F18*$B$18+F19*$B$19+F20*$B$20+F22*$B$22+F30*$B$30+F21*$B$21+F29*$B$29+F31*$B$31+F32*$B$32+F33*B33)</f>
        <v>11601.179999999998</v>
      </c>
      <c r="G38" s="85">
        <f>(G17*$B$17+G18*$B$18+G19*$B$19+G20*$B$20+G22*$B$22+G30*$B$30+G21*$B$21+G29*$B$29+G31*$B$31+G32*$B$32+G33*B33)</f>
        <v>11584.77</v>
      </c>
      <c r="H38" s="85">
        <f>(H17*$B$17+H18*$B$18+H19*$B$19+H20*$B$20+H22*$B$22+H30*$B$30+H21*$B$21+H29*$B$29+H31*$B$31+H32*$B$32+H33*B33+H34*B34)</f>
        <v>11674.710000000001</v>
      </c>
      <c r="I38" s="85">
        <f>(I17*$B$17+I18*$B$18+I19*$B$19+I20*$B$20+I22*$B$22+I30*$B$30+I21*$B$21+I29*$B$29+I31*$B$31+I32*$B$32+I33*B33)</f>
        <v>6469.5</v>
      </c>
      <c r="J38" s="85">
        <f>(J17*$B$17+J18*$B$18+J19*$B$19+J20*$B$20+J22*$B$22+J30*$B$30+J21*$B$21+J29*$B$29+J31*$B$31+J32*$B$32+J33*B33)</f>
        <v>4916.8200000000006</v>
      </c>
      <c r="K38" s="85">
        <f>(K17*$B$17+K18*$B$18+K19*$B$19+K20*$B$20+K22*$B$22+K30*$B$30+K21*$B$21+K29*$B$29+K31*$B$31+K32*$B$32+K33*B33)</f>
        <v>11649.340000000002</v>
      </c>
      <c r="L38" s="85">
        <f>(L17*$B$17+L18*$B$18+L19*$B$19+L20*$B$20+L22*$B$22+L30*$B$30+L21*$B$21+L29*$B$29+L31*$B$31+L32*$B$32+L33*B33)</f>
        <v>11653.050000000001</v>
      </c>
      <c r="M38" s="85">
        <f>(M17*$B$17+M18*$B$18+M19*$B$19+M20*$B$20+M22*$B$22+M30*$B$30+M21*$B$21+M29*$B$29+M31*$B$31+M32*$B$32+M33*B33)</f>
        <v>11669.710000000001</v>
      </c>
      <c r="N38" s="85">
        <f>(N17*$B$17+N18*$B$18+N19*$B$19+N20*$B$20+N22*$B$22+N30*$B$30+N21*$B$21+N29*$B$29+N31*$B$31+N32*$B$32+N33*B33)</f>
        <v>11487.130000000001</v>
      </c>
      <c r="O38" s="85">
        <f>(O17*$B$17+O18*$B$18+O19*$B$19+O20*$B$20+O22*$B$22+O30*$B$30+O21*$B$21+O29*$B$29+O31*$B$31+O32*$B$32+O33*B33)</f>
        <v>11654.369999999999</v>
      </c>
      <c r="P38" s="85">
        <f>(P17*$B$17+P18*$B$18+P19*$B$19+P20*$B$20+P22*$B$22+P30*$B$30+P21*$B$21+P29*$B$29+P31*$B$31+P32*$B$32+P33*B33)</f>
        <v>6469.5</v>
      </c>
      <c r="Q38" s="85">
        <f>(Q17*$B$17+Q18*$B$18+Q19*$B$19+Q20*$B$20+Q22*$B$22+Q30*$B$30+Q21*$B$21+Q29*$B$29+Q31*$B$31+Q32*$B$32)</f>
        <v>4873.6900000000005</v>
      </c>
      <c r="R38" s="85">
        <f>(R17*$B$17+R18*$B$18+R19*$B$19+R20*$B$20+R22*$B$22+R30*$B$30+R21*$B$21+R29*$B$29+R31*$B$31+R33*$B$33)</f>
        <v>7221.0100000000011</v>
      </c>
      <c r="S38" s="85">
        <f>(S17*$B$17+S18*$B$18+S19*$B$19+S20*$B$20+S22*$B$22+S30*$B$30+S21*$B$21+S29*$B$29+S31*$B$31+S32*$B$32)</f>
        <v>11530.26</v>
      </c>
      <c r="T38" s="85">
        <f>(T17*$B$17+T18*$B$18+T19*$B$19+T20*$B$20+T22*$B$22+T30*$B$30+T21*$B$21+T29*$B$29+T31*$B$31+T32*$B$32)</f>
        <v>11530.26</v>
      </c>
      <c r="U38" s="85">
        <f>(U17*$B$17+U18*$B$18+U19*$B$19+U20*$B$20+U22*$B$22+U30*$B$30+U21*$B$21+U29*$B$29+U31*$B$31+U32*$B$32+U33*B33)</f>
        <v>11570.750000000002</v>
      </c>
      <c r="V38" s="85">
        <f>(V17*$B$17+V18*$B$18+V19*$B$19+V20*$B$20+V22*$B$22+V30*$B$30+V21*$B$21+V29*$B$29+V31*$B$31+V32*$B$32+V33*B33)</f>
        <v>4916.8200000000006</v>
      </c>
      <c r="W38" s="85">
        <f>(W17*$B$17+W18*$B$18+W19*$B$19+W20*$B$20+W22*$B$22+W30*$B$30+W21*$B$21+W29*$B$29+W31*$B$31+W33*$B$33)</f>
        <v>6469.5</v>
      </c>
      <c r="X38" s="85">
        <f>(X17*$B$17+X18*$B$18+X19*$B$19+X20*$B$20+X22*$B$22+X30*$B$30+X21*$B$21+X29*$B$29+X31*$B$31+X33*$B$33)</f>
        <v>4916.8200000000006</v>
      </c>
      <c r="Y38" s="85">
        <f>(Y17*$B$17+Y18*$B$18+Y19*$B$19+Y20*$B$20+Y22*$B$22+Y30*$B$30+Y21*$B$21+Y29*$B$29+Y31*$B$31+Y33*$B$33+Y23*B23+Y24*B24+Y25*B25+Y26*B26+Y27*B27)</f>
        <v>10740.16</v>
      </c>
      <c r="Z38" s="85">
        <f>(Z17*$B$17+Z18*$B$18+Z19*$B$19+Z20*$B$20+Z22*$B$22+Z30*$B$30+Z21*$B$21+Z29*$B$29+Z31*$B$31+Z33*$B$33)</f>
        <v>11530.26</v>
      </c>
      <c r="AA38" s="85">
        <f>(AA17*$B$17+AA18*$B$18+AA19*$B$19+AA20*$B$20+AA22*$B$22+AA30*$B$30+AA21*$B$21+AA29*$B$29+AA31*$B$31+AA33*$B$33)</f>
        <v>11451.42</v>
      </c>
      <c r="AB38" s="85">
        <f>(AB17*$B$17+AB18*$B$18+AB19*$B$19+AB20*$B$20+AB22*$B$22+AB30*$B$30+AB21*$B$21+AB29*$B$29+AB31*$B$31+AB33*$B$33)</f>
        <v>11669.710000000001</v>
      </c>
      <c r="AC38" s="85">
        <f>(AC17*$B$17+AC18*$B$18+AC19*$B$19+AC20*$B$20+AC22*$B$22+AC30*$B$30+AC21*$B$21+AC29*$B$29+AC31*$B$31+AC32*$B$32+AC33*B33)</f>
        <v>11583.449999999999</v>
      </c>
      <c r="AD38" s="85">
        <f>(AD17*$B$17+AD18*$B$18+AD19*$B$19+AD20*$B$20+AD22*$B$22+AD30*$B$30+AD21*$B$21+AD29*$B$29+AD31*$B$31+AD32*$B$32+AD33*B33)</f>
        <v>6469.5</v>
      </c>
      <c r="AE38" s="85">
        <f>(AE17*$B$17+AE18*$B$18+AE19*$B$19+AE20*$B$20+AE22*$B$22+AE30*$B$30+AE21*$B$21+AE29*$B$29+AE31*$B$31+AE33*$B$33)</f>
        <v>6210.72</v>
      </c>
      <c r="AF38" s="85">
        <f>(AF17*$B$17+AF18*$B$18+AF19*$B$19+AF20*$B$20+AF22*$B$22+AF30*$B$30+AF21*$B$21+AF29*$B$29+AF31*$B$31+AF32*$B$32)</f>
        <v>10921.41</v>
      </c>
    </row>
    <row r="39" spans="1:32" x14ac:dyDescent="0.25">
      <c r="A39" s="84" t="s">
        <v>93</v>
      </c>
      <c r="B39" s="225">
        <f t="shared" si="2"/>
        <v>223715.9899999999</v>
      </c>
      <c r="C39" s="85">
        <f t="shared" ref="C39:X39" si="5">$B$5*C5+$B$6*C6+$B$7*C7+$B$8*C8+$B$10*C10+$B$9*C9</f>
        <v>4959.9500000000007</v>
      </c>
      <c r="D39" s="85">
        <f t="shared" si="5"/>
        <v>8688.9599999999991</v>
      </c>
      <c r="E39" s="85">
        <f t="shared" si="5"/>
        <v>8688.9599999999991</v>
      </c>
      <c r="F39" s="85">
        <f t="shared" si="5"/>
        <v>8688.9599999999991</v>
      </c>
      <c r="G39" s="85">
        <f t="shared" si="5"/>
        <v>8688.9599999999991</v>
      </c>
      <c r="H39" s="85">
        <f t="shared" si="5"/>
        <v>8688.9599999999991</v>
      </c>
      <c r="I39" s="85">
        <f t="shared" si="5"/>
        <v>6340.1100000000006</v>
      </c>
      <c r="J39" s="85">
        <f t="shared" si="5"/>
        <v>4787.43</v>
      </c>
      <c r="K39" s="85">
        <f t="shared" si="5"/>
        <v>8688.9599999999991</v>
      </c>
      <c r="L39" s="85">
        <f t="shared" si="5"/>
        <v>8688.9599999999991</v>
      </c>
      <c r="M39" s="85">
        <f t="shared" si="5"/>
        <v>8688.9599999999991</v>
      </c>
      <c r="N39" s="85">
        <f t="shared" si="5"/>
        <v>8688.9599999999991</v>
      </c>
      <c r="O39" s="85">
        <f t="shared" si="5"/>
        <v>8688.9599999999991</v>
      </c>
      <c r="P39" s="85">
        <f t="shared" si="5"/>
        <v>6340.1100000000006</v>
      </c>
      <c r="Q39" s="85">
        <f t="shared" si="5"/>
        <v>4787.43</v>
      </c>
      <c r="R39" s="85">
        <f t="shared" si="5"/>
        <v>4590.0800000000008</v>
      </c>
      <c r="S39" s="85">
        <f t="shared" si="5"/>
        <v>8688.9599999999991</v>
      </c>
      <c r="T39" s="85">
        <f t="shared" si="5"/>
        <v>8688.9599999999991</v>
      </c>
      <c r="U39" s="85">
        <f t="shared" si="5"/>
        <v>8688.9599999999991</v>
      </c>
      <c r="V39" s="85">
        <f t="shared" si="5"/>
        <v>4787.43</v>
      </c>
      <c r="W39" s="85">
        <f t="shared" si="5"/>
        <v>6340.1100000000006</v>
      </c>
      <c r="X39" s="85">
        <f t="shared" si="5"/>
        <v>4787.43</v>
      </c>
      <c r="Y39" s="85">
        <f>$B$5*Y5+$B$6*Y6+$B$7*Y7+$B$8*Y8+$B$10*Y10+$B$9*Y9+Y11*B11+Y12*B12+Y13*B13+Y14*B14+Y15*B15</f>
        <v>7992.6599999999989</v>
      </c>
      <c r="Z39" s="85">
        <f t="shared" ref="Z39:AF39" si="6">$B$5*Z5+$B$6*Z6+$B$7*Z7+$B$8*Z8+$B$10*Z10+$B$9*Z9</f>
        <v>8688.9599999999991</v>
      </c>
      <c r="AA39" s="85">
        <f t="shared" si="6"/>
        <v>8688.9599999999991</v>
      </c>
      <c r="AB39" s="85">
        <f t="shared" si="6"/>
        <v>8688.9599999999991</v>
      </c>
      <c r="AC39" s="85">
        <f t="shared" si="6"/>
        <v>8688.9599999999991</v>
      </c>
      <c r="AD39" s="85">
        <f t="shared" si="6"/>
        <v>6340.1100000000006</v>
      </c>
      <c r="AE39" s="85">
        <f t="shared" si="6"/>
        <v>5261.8600000000006</v>
      </c>
      <c r="AF39" s="85">
        <f t="shared" si="6"/>
        <v>8688.9599999999991</v>
      </c>
    </row>
    <row r="40" spans="1:32" x14ac:dyDescent="0.25">
      <c r="A40" s="84" t="s">
        <v>94</v>
      </c>
      <c r="B40" s="225">
        <f t="shared" si="2"/>
        <v>29414477.039999999</v>
      </c>
      <c r="C40" s="85">
        <f t="shared" ref="C40:AF40" si="7">C38*104</f>
        <v>529291.36</v>
      </c>
      <c r="D40" s="85">
        <f t="shared" si="7"/>
        <v>1206522.7199999997</v>
      </c>
      <c r="E40" s="85">
        <f t="shared" si="7"/>
        <v>1217337.6800000002</v>
      </c>
      <c r="F40" s="85">
        <f t="shared" si="7"/>
        <v>1206522.7199999997</v>
      </c>
      <c r="G40" s="85">
        <f t="shared" si="7"/>
        <v>1204816.08</v>
      </c>
      <c r="H40" s="85">
        <f t="shared" si="7"/>
        <v>1214169.8400000001</v>
      </c>
      <c r="I40" s="85">
        <f t="shared" si="7"/>
        <v>672828</v>
      </c>
      <c r="J40" s="85">
        <f t="shared" si="7"/>
        <v>511349.28000000009</v>
      </c>
      <c r="K40" s="85">
        <f t="shared" si="7"/>
        <v>1211531.3600000001</v>
      </c>
      <c r="L40" s="85">
        <f t="shared" si="7"/>
        <v>1211917.2000000002</v>
      </c>
      <c r="M40" s="85">
        <f t="shared" si="7"/>
        <v>1213649.8400000001</v>
      </c>
      <c r="N40" s="85">
        <f t="shared" si="7"/>
        <v>1194661.52</v>
      </c>
      <c r="O40" s="85">
        <f t="shared" si="7"/>
        <v>1212054.48</v>
      </c>
      <c r="P40" s="85">
        <f t="shared" si="7"/>
        <v>672828</v>
      </c>
      <c r="Q40" s="85">
        <f t="shared" si="7"/>
        <v>506863.76000000007</v>
      </c>
      <c r="R40" s="85">
        <f t="shared" si="7"/>
        <v>750985.04000000015</v>
      </c>
      <c r="S40" s="85">
        <f t="shared" si="7"/>
        <v>1199147.04</v>
      </c>
      <c r="T40" s="85">
        <f t="shared" si="7"/>
        <v>1199147.04</v>
      </c>
      <c r="U40" s="85">
        <f t="shared" si="7"/>
        <v>1203358.0000000002</v>
      </c>
      <c r="V40" s="85">
        <f t="shared" si="7"/>
        <v>511349.28000000009</v>
      </c>
      <c r="W40" s="85">
        <f t="shared" si="7"/>
        <v>672828</v>
      </c>
      <c r="X40" s="85">
        <f t="shared" si="7"/>
        <v>511349.28000000009</v>
      </c>
      <c r="Y40" s="85">
        <f t="shared" si="7"/>
        <v>1116976.6399999999</v>
      </c>
      <c r="Z40" s="85">
        <f t="shared" si="7"/>
        <v>1199147.04</v>
      </c>
      <c r="AA40" s="85">
        <f t="shared" si="7"/>
        <v>1190947.68</v>
      </c>
      <c r="AB40" s="85">
        <f t="shared" si="7"/>
        <v>1213649.8400000001</v>
      </c>
      <c r="AC40" s="85">
        <f t="shared" si="7"/>
        <v>1204678.7999999998</v>
      </c>
      <c r="AD40" s="85">
        <f t="shared" si="7"/>
        <v>672828</v>
      </c>
      <c r="AE40" s="85">
        <f t="shared" si="7"/>
        <v>645914.88</v>
      </c>
      <c r="AF40" s="85">
        <f t="shared" si="7"/>
        <v>1135826.6399999999</v>
      </c>
    </row>
    <row r="41" spans="1:32" x14ac:dyDescent="0.25">
      <c r="A41" s="84" t="s">
        <v>95</v>
      </c>
      <c r="B41" s="83">
        <f t="shared" si="2"/>
        <v>565663.02000000014</v>
      </c>
      <c r="C41" s="85">
        <f>C38*2</f>
        <v>10178.68</v>
      </c>
      <c r="D41" s="85">
        <f t="shared" ref="D41:AD41" si="8">D38*2</f>
        <v>23202.359999999997</v>
      </c>
      <c r="E41" s="85">
        <f t="shared" si="8"/>
        <v>23410.340000000004</v>
      </c>
      <c r="F41" s="85">
        <f t="shared" si="8"/>
        <v>23202.359999999997</v>
      </c>
      <c r="G41" s="85">
        <f t="shared" si="8"/>
        <v>23169.54</v>
      </c>
      <c r="H41" s="85">
        <f t="shared" si="8"/>
        <v>23349.420000000002</v>
      </c>
      <c r="I41" s="85">
        <f t="shared" si="8"/>
        <v>12939</v>
      </c>
      <c r="J41" s="85">
        <f t="shared" si="8"/>
        <v>9833.6400000000012</v>
      </c>
      <c r="K41" s="85">
        <f t="shared" si="8"/>
        <v>23298.680000000004</v>
      </c>
      <c r="L41" s="85">
        <f t="shared" si="8"/>
        <v>23306.100000000002</v>
      </c>
      <c r="M41" s="85">
        <f t="shared" si="8"/>
        <v>23339.420000000002</v>
      </c>
      <c r="N41" s="85">
        <f t="shared" si="8"/>
        <v>22974.260000000002</v>
      </c>
      <c r="O41" s="85">
        <f t="shared" si="8"/>
        <v>23308.739999999998</v>
      </c>
      <c r="P41" s="85">
        <f t="shared" si="8"/>
        <v>12939</v>
      </c>
      <c r="Q41" s="85">
        <f t="shared" si="8"/>
        <v>9747.380000000001</v>
      </c>
      <c r="R41" s="85">
        <f t="shared" si="8"/>
        <v>14442.020000000002</v>
      </c>
      <c r="S41" s="85">
        <f t="shared" si="8"/>
        <v>23060.52</v>
      </c>
      <c r="T41" s="85">
        <f t="shared" si="8"/>
        <v>23060.52</v>
      </c>
      <c r="U41" s="85">
        <f t="shared" si="8"/>
        <v>23141.500000000004</v>
      </c>
      <c r="V41" s="85">
        <f t="shared" si="8"/>
        <v>9833.6400000000012</v>
      </c>
      <c r="W41" s="85">
        <f t="shared" si="8"/>
        <v>12939</v>
      </c>
      <c r="X41" s="85">
        <f t="shared" si="8"/>
        <v>9833.6400000000012</v>
      </c>
      <c r="Y41" s="85">
        <f t="shared" si="8"/>
        <v>21480.32</v>
      </c>
      <c r="Z41" s="85">
        <f t="shared" si="8"/>
        <v>23060.52</v>
      </c>
      <c r="AA41" s="85">
        <f t="shared" si="8"/>
        <v>22902.84</v>
      </c>
      <c r="AB41" s="85">
        <f t="shared" si="8"/>
        <v>23339.420000000002</v>
      </c>
      <c r="AC41" s="85">
        <f t="shared" si="8"/>
        <v>23166.899999999998</v>
      </c>
      <c r="AD41" s="85">
        <f t="shared" si="8"/>
        <v>12939</v>
      </c>
      <c r="AE41" s="85">
        <f>AE38*2</f>
        <v>12421.44</v>
      </c>
      <c r="AF41" s="85">
        <f>AF38*2</f>
        <v>21842.82</v>
      </c>
    </row>
    <row r="42" spans="1:32" x14ac:dyDescent="0.25">
      <c r="A42" s="84" t="s">
        <v>96</v>
      </c>
      <c r="B42" s="83">
        <f t="shared" si="2"/>
        <v>2568390</v>
      </c>
      <c r="C42" s="85">
        <f>+C37*362</f>
        <v>42716</v>
      </c>
      <c r="D42" s="85">
        <f t="shared" ref="D42:AD42" si="9">+D37*362</f>
        <v>107152</v>
      </c>
      <c r="E42" s="85">
        <f t="shared" si="9"/>
        <v>107876</v>
      </c>
      <c r="F42" s="85">
        <f t="shared" si="9"/>
        <v>107152</v>
      </c>
      <c r="G42" s="85">
        <f t="shared" si="9"/>
        <v>107876</v>
      </c>
      <c r="H42" s="85">
        <f t="shared" si="9"/>
        <v>107876</v>
      </c>
      <c r="I42" s="85">
        <f t="shared" si="9"/>
        <v>54300</v>
      </c>
      <c r="J42" s="85">
        <f t="shared" si="9"/>
        <v>41268</v>
      </c>
      <c r="K42" s="85">
        <f t="shared" si="9"/>
        <v>108238</v>
      </c>
      <c r="L42" s="85">
        <f t="shared" si="9"/>
        <v>108238</v>
      </c>
      <c r="M42" s="85">
        <f t="shared" si="9"/>
        <v>107876</v>
      </c>
      <c r="N42" s="85">
        <f t="shared" si="9"/>
        <v>104980</v>
      </c>
      <c r="O42" s="85">
        <f t="shared" si="9"/>
        <v>107152</v>
      </c>
      <c r="P42" s="85">
        <f t="shared" si="9"/>
        <v>54300</v>
      </c>
      <c r="Q42" s="85">
        <f t="shared" si="9"/>
        <v>40906</v>
      </c>
      <c r="R42" s="85">
        <f t="shared" si="9"/>
        <v>61902</v>
      </c>
      <c r="S42" s="85">
        <f t="shared" si="9"/>
        <v>107152</v>
      </c>
      <c r="T42" s="85">
        <f t="shared" si="9"/>
        <v>107152</v>
      </c>
      <c r="U42" s="85">
        <f t="shared" si="9"/>
        <v>107876</v>
      </c>
      <c r="V42" s="85">
        <f t="shared" si="9"/>
        <v>41268</v>
      </c>
      <c r="W42" s="85">
        <f t="shared" si="9"/>
        <v>54300</v>
      </c>
      <c r="X42" s="85">
        <f t="shared" si="9"/>
        <v>41268</v>
      </c>
      <c r="Y42" s="85">
        <f t="shared" si="9"/>
        <v>103170</v>
      </c>
      <c r="Z42" s="85">
        <f t="shared" si="9"/>
        <v>107152</v>
      </c>
      <c r="AA42" s="85">
        <f t="shared" si="9"/>
        <v>106428</v>
      </c>
      <c r="AB42" s="85">
        <f t="shared" si="9"/>
        <v>107876</v>
      </c>
      <c r="AC42" s="85">
        <f t="shared" si="9"/>
        <v>107152</v>
      </c>
      <c r="AD42" s="85">
        <f t="shared" si="9"/>
        <v>54300</v>
      </c>
      <c r="AE42" s="85">
        <f>+AE37*362</f>
        <v>52128</v>
      </c>
      <c r="AF42" s="85">
        <f>+AF37*362</f>
        <v>101360</v>
      </c>
    </row>
    <row r="43" spans="1:32" ht="14.25" customHeight="1" x14ac:dyDescent="0.25">
      <c r="A43" s="86" t="s">
        <v>97</v>
      </c>
      <c r="B43" s="225">
        <f t="shared" si="2"/>
        <v>22428538.743000001</v>
      </c>
      <c r="C43" s="85">
        <f>C38*79.3</f>
        <v>403584.66200000001</v>
      </c>
      <c r="D43" s="85">
        <f t="shared" ref="D43:AD43" si="10">D38*79.3</f>
        <v>919973.57399999979</v>
      </c>
      <c r="E43" s="85">
        <f t="shared" si="10"/>
        <v>928219.98100000015</v>
      </c>
      <c r="F43" s="85">
        <f t="shared" si="10"/>
        <v>919973.57399999979</v>
      </c>
      <c r="G43" s="85">
        <f t="shared" si="10"/>
        <v>918672.26100000006</v>
      </c>
      <c r="H43" s="85">
        <f t="shared" si="10"/>
        <v>925804.50300000003</v>
      </c>
      <c r="I43" s="85">
        <f t="shared" si="10"/>
        <v>513031.35</v>
      </c>
      <c r="J43" s="85">
        <f t="shared" si="10"/>
        <v>389903.82600000006</v>
      </c>
      <c r="K43" s="85">
        <f t="shared" si="10"/>
        <v>923792.66200000013</v>
      </c>
      <c r="L43" s="85">
        <f t="shared" si="10"/>
        <v>924086.86500000011</v>
      </c>
      <c r="M43" s="85">
        <f t="shared" si="10"/>
        <v>925408.00300000003</v>
      </c>
      <c r="N43" s="85">
        <f t="shared" si="10"/>
        <v>910929.4090000001</v>
      </c>
      <c r="O43" s="85">
        <f t="shared" si="10"/>
        <v>924191.54099999985</v>
      </c>
      <c r="P43" s="85">
        <f t="shared" si="10"/>
        <v>513031.35</v>
      </c>
      <c r="Q43" s="85">
        <f t="shared" si="10"/>
        <v>386483.61700000003</v>
      </c>
      <c r="R43" s="85">
        <f t="shared" si="10"/>
        <v>572626.09300000011</v>
      </c>
      <c r="S43" s="85">
        <f t="shared" si="10"/>
        <v>914349.61800000002</v>
      </c>
      <c r="T43" s="85">
        <f t="shared" si="10"/>
        <v>914349.61800000002</v>
      </c>
      <c r="U43" s="85">
        <f t="shared" si="10"/>
        <v>917560.47500000009</v>
      </c>
      <c r="V43" s="85">
        <f t="shared" si="10"/>
        <v>389903.82600000006</v>
      </c>
      <c r="W43" s="85">
        <f t="shared" si="10"/>
        <v>513031.35</v>
      </c>
      <c r="X43" s="85">
        <f t="shared" si="10"/>
        <v>389903.82600000006</v>
      </c>
      <c r="Y43" s="85">
        <f t="shared" si="10"/>
        <v>851694.68799999997</v>
      </c>
      <c r="Z43" s="85">
        <f t="shared" si="10"/>
        <v>914349.61800000002</v>
      </c>
      <c r="AA43" s="85">
        <f t="shared" si="10"/>
        <v>908097.60600000003</v>
      </c>
      <c r="AB43" s="85">
        <f t="shared" si="10"/>
        <v>925408.00300000003</v>
      </c>
      <c r="AC43" s="85">
        <f>AC38*79.3</f>
        <v>918567.58499999985</v>
      </c>
      <c r="AD43" s="85">
        <f t="shared" si="10"/>
        <v>513031.35</v>
      </c>
      <c r="AE43" s="85">
        <f>AE38*79.3</f>
        <v>492510.09600000002</v>
      </c>
      <c r="AF43" s="85">
        <f>AF38*79.3</f>
        <v>866067.81299999997</v>
      </c>
    </row>
    <row r="44" spans="1:32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5"/>
      <c r="O44" s="8"/>
    </row>
    <row r="45" spans="1:32" x14ac:dyDescent="0.25"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</row>
    <row r="47" spans="1:32" x14ac:dyDescent="0.25">
      <c r="C47" s="166"/>
      <c r="D47" s="118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</row>
    <row r="48" spans="1:32" x14ac:dyDescent="0.25">
      <c r="C48" s="195"/>
      <c r="E48" s="43"/>
      <c r="F48" s="127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7"/>
      <c r="Y48" s="43"/>
      <c r="AB48" s="8"/>
    </row>
    <row r="49" spans="3:32" x14ac:dyDescent="0.25">
      <c r="C49" s="118"/>
      <c r="E49" s="43"/>
      <c r="F49" s="43"/>
      <c r="G49" s="43"/>
      <c r="H49" s="118"/>
      <c r="I49" s="43"/>
      <c r="J49" s="43"/>
      <c r="K49" s="118"/>
      <c r="L49" s="43"/>
      <c r="M49" s="43"/>
      <c r="N49" s="43"/>
      <c r="O49" s="118"/>
      <c r="P49" s="43"/>
      <c r="Q49" s="43"/>
      <c r="R49" s="43"/>
      <c r="S49" s="118"/>
      <c r="T49" s="43"/>
      <c r="U49" s="43"/>
      <c r="V49" s="43"/>
      <c r="W49" s="118"/>
      <c r="X49" s="43"/>
      <c r="Y49" s="43"/>
      <c r="Z49" s="43"/>
      <c r="AA49" s="118"/>
      <c r="AB49" s="43"/>
      <c r="AD49" s="43"/>
      <c r="AE49" s="43"/>
      <c r="AF49" s="118"/>
    </row>
    <row r="50" spans="3:32" x14ac:dyDescent="0.25">
      <c r="P50" s="78"/>
      <c r="R50" s="166"/>
      <c r="AB50" s="8"/>
    </row>
    <row r="51" spans="3:32" x14ac:dyDescent="0.25">
      <c r="P51" s="78"/>
      <c r="R51" s="166"/>
      <c r="AB51" s="8"/>
    </row>
    <row r="52" spans="3:32" x14ac:dyDescent="0.25"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66"/>
      <c r="S52" s="118"/>
      <c r="T52" s="118"/>
      <c r="U52" s="118"/>
      <c r="V52" s="118"/>
      <c r="W52" s="118"/>
      <c r="X52" s="118"/>
      <c r="Y52" s="118"/>
      <c r="Z52" s="118"/>
      <c r="AA52" s="118"/>
      <c r="AB52" s="8"/>
      <c r="AD52" s="118"/>
      <c r="AE52" s="118"/>
      <c r="AF52" s="118"/>
    </row>
    <row r="53" spans="3:32" x14ac:dyDescent="0.25">
      <c r="P53" s="78"/>
      <c r="R53" s="166"/>
      <c r="AB53" s="8"/>
    </row>
    <row r="54" spans="3:32" x14ac:dyDescent="0.25">
      <c r="P54" s="78"/>
      <c r="R54" s="166"/>
      <c r="AB54" s="8"/>
    </row>
    <row r="55" spans="3:32" x14ac:dyDescent="0.25"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66"/>
      <c r="S55" s="118"/>
      <c r="T55" s="118"/>
      <c r="U55" s="118"/>
      <c r="V55" s="118"/>
      <c r="W55" s="118"/>
      <c r="X55" s="118"/>
      <c r="Y55" s="118"/>
      <c r="Z55" s="118"/>
      <c r="AA55" s="118"/>
      <c r="AB55" s="8"/>
      <c r="AD55" s="118"/>
      <c r="AE55" s="118"/>
      <c r="AF55" s="118"/>
    </row>
    <row r="56" spans="3:32" x14ac:dyDescent="0.25">
      <c r="Q56" s="78"/>
      <c r="R56" s="166"/>
      <c r="AB56" s="8"/>
    </row>
    <row r="57" spans="3:32" x14ac:dyDescent="0.25">
      <c r="Q57" s="78"/>
      <c r="R57" s="166"/>
    </row>
    <row r="58" spans="3:32" x14ac:dyDescent="0.25">
      <c r="Q58" s="78"/>
      <c r="R58" s="166"/>
    </row>
    <row r="59" spans="3:32" x14ac:dyDescent="0.25">
      <c r="Q59" s="78"/>
      <c r="R59" s="166"/>
    </row>
    <row r="60" spans="3:32" x14ac:dyDescent="0.25"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</row>
    <row r="61" spans="3:32" x14ac:dyDescent="0.25"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</row>
    <row r="62" spans="3:32" x14ac:dyDescent="0.25"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</row>
    <row r="63" spans="3:32" x14ac:dyDescent="0.25"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</row>
    <row r="64" spans="3:32" x14ac:dyDescent="0.25"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</row>
    <row r="65" spans="13:24" x14ac:dyDescent="0.25"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</row>
    <row r="66" spans="13:24" x14ac:dyDescent="0.25"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</row>
    <row r="67" spans="13:24" x14ac:dyDescent="0.25"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</row>
    <row r="68" spans="13:24" x14ac:dyDescent="0.25"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</row>
    <row r="69" spans="13:24" x14ac:dyDescent="0.25"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</row>
    <row r="70" spans="13:24" x14ac:dyDescent="0.25"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</row>
    <row r="71" spans="13:24" x14ac:dyDescent="0.25"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</row>
    <row r="72" spans="13:24" x14ac:dyDescent="0.25"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</row>
    <row r="73" spans="13:24" x14ac:dyDescent="0.25"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</row>
    <row r="74" spans="13:24" x14ac:dyDescent="0.25"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</row>
    <row r="75" spans="13:24" x14ac:dyDescent="0.25"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</row>
    <row r="76" spans="13:24" x14ac:dyDescent="0.25"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</row>
    <row r="77" spans="13:24" x14ac:dyDescent="0.25"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</row>
    <row r="78" spans="13:24" x14ac:dyDescent="0.25"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</row>
    <row r="79" spans="13:24" x14ac:dyDescent="0.25"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</row>
    <row r="80" spans="13:24" x14ac:dyDescent="0.25"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</row>
    <row r="81" spans="13:24" x14ac:dyDescent="0.25"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</row>
    <row r="82" spans="13:24" x14ac:dyDescent="0.25"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</row>
    <row r="83" spans="13:24" x14ac:dyDescent="0.25"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</row>
    <row r="84" spans="13:24" x14ac:dyDescent="0.25"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</row>
    <row r="85" spans="13:24" x14ac:dyDescent="0.25"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</row>
    <row r="86" spans="13:24" x14ac:dyDescent="0.25"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</row>
    <row r="87" spans="13:24" x14ac:dyDescent="0.25"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</row>
    <row r="88" spans="13:24" x14ac:dyDescent="0.25"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</row>
    <row r="89" spans="13:24" x14ac:dyDescent="0.25"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</row>
    <row r="90" spans="13:24" x14ac:dyDescent="0.25"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</row>
    <row r="91" spans="13:24" x14ac:dyDescent="0.25"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</row>
    <row r="92" spans="13:24" x14ac:dyDescent="0.25"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</row>
    <row r="93" spans="13:24" x14ac:dyDescent="0.25"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</row>
    <row r="94" spans="13:24" x14ac:dyDescent="0.25"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</row>
    <row r="95" spans="13:24" x14ac:dyDescent="0.25"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</row>
    <row r="96" spans="13:24" x14ac:dyDescent="0.25"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</row>
    <row r="97" spans="13:24" x14ac:dyDescent="0.25"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</row>
    <row r="98" spans="13:24" x14ac:dyDescent="0.25"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</row>
    <row r="99" spans="13:24" x14ac:dyDescent="0.25"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</row>
    <row r="100" spans="13:24" x14ac:dyDescent="0.25"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</row>
    <row r="101" spans="13:24" x14ac:dyDescent="0.25"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</row>
    <row r="102" spans="13:24" x14ac:dyDescent="0.25"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</row>
    <row r="103" spans="13:24" x14ac:dyDescent="0.25"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</row>
    <row r="104" spans="13:24" x14ac:dyDescent="0.25"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</row>
    <row r="105" spans="13:24" x14ac:dyDescent="0.25"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</row>
    <row r="106" spans="13:24" x14ac:dyDescent="0.25"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</row>
    <row r="107" spans="13:24" x14ac:dyDescent="0.25"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</row>
    <row r="108" spans="13:24" x14ac:dyDescent="0.25"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</row>
    <row r="109" spans="13:24" x14ac:dyDescent="0.25"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</row>
    <row r="110" spans="13:24" x14ac:dyDescent="0.25"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</row>
    <row r="111" spans="13:24" x14ac:dyDescent="0.25"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</row>
    <row r="112" spans="13:24" x14ac:dyDescent="0.25"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</row>
    <row r="113" spans="13:24" x14ac:dyDescent="0.25"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</row>
    <row r="114" spans="13:24" x14ac:dyDescent="0.25"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</row>
    <row r="115" spans="13:24" x14ac:dyDescent="0.25"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</row>
    <row r="116" spans="13:24" x14ac:dyDescent="0.25"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</row>
    <row r="117" spans="13:24" x14ac:dyDescent="0.25"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</row>
    <row r="118" spans="13:24" x14ac:dyDescent="0.25"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</row>
    <row r="119" spans="13:24" x14ac:dyDescent="0.25"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</row>
    <row r="120" spans="13:24" x14ac:dyDescent="0.25"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</row>
    <row r="121" spans="13:24" x14ac:dyDescent="0.25"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</row>
    <row r="122" spans="13:24" x14ac:dyDescent="0.25"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</row>
    <row r="123" spans="13:24" x14ac:dyDescent="0.25"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</row>
    <row r="124" spans="13:24" x14ac:dyDescent="0.25"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</row>
    <row r="125" spans="13:24" x14ac:dyDescent="0.25"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</row>
    <row r="126" spans="13:24" x14ac:dyDescent="0.25"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</row>
    <row r="127" spans="13:24" x14ac:dyDescent="0.25"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</row>
    <row r="128" spans="13:24" x14ac:dyDescent="0.25"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</row>
    <row r="129" spans="13:24" x14ac:dyDescent="0.25"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I83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9" sqref="H19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70" x14ac:dyDescent="0.25">
      <c r="C1" s="8"/>
      <c r="D1" s="371">
        <v>45809</v>
      </c>
      <c r="E1" s="371"/>
      <c r="F1" s="371">
        <v>45810</v>
      </c>
      <c r="G1" s="371"/>
      <c r="H1" s="371">
        <v>45811</v>
      </c>
      <c r="I1" s="371"/>
      <c r="J1" s="371">
        <v>45812</v>
      </c>
      <c r="K1" s="371"/>
      <c r="L1" s="371">
        <v>45813</v>
      </c>
      <c r="M1" s="371"/>
      <c r="N1" s="371">
        <v>45814</v>
      </c>
      <c r="O1" s="371"/>
      <c r="P1" s="371">
        <v>45815</v>
      </c>
      <c r="Q1" s="371"/>
      <c r="R1" s="371">
        <v>45816</v>
      </c>
      <c r="S1" s="371"/>
      <c r="T1" s="371">
        <v>45817</v>
      </c>
      <c r="U1" s="371"/>
      <c r="V1" s="371">
        <v>45818</v>
      </c>
      <c r="W1" s="371"/>
      <c r="X1" s="371">
        <v>45819</v>
      </c>
      <c r="Y1" s="371"/>
      <c r="Z1" s="371">
        <v>45820</v>
      </c>
      <c r="AA1" s="371"/>
      <c r="AB1" s="371">
        <v>45821</v>
      </c>
      <c r="AC1" s="371"/>
      <c r="AD1" s="371">
        <v>45822</v>
      </c>
      <c r="AE1" s="371"/>
      <c r="AF1" s="371">
        <v>45823</v>
      </c>
      <c r="AG1" s="371"/>
      <c r="AH1" s="371">
        <v>45824</v>
      </c>
      <c r="AI1" s="371"/>
      <c r="AJ1" s="371">
        <v>45825</v>
      </c>
      <c r="AK1" s="371"/>
      <c r="AL1" s="371">
        <v>45826</v>
      </c>
      <c r="AM1" s="371"/>
      <c r="AN1" s="371">
        <v>45827</v>
      </c>
      <c r="AO1" s="371"/>
      <c r="AP1" s="371">
        <v>45828</v>
      </c>
      <c r="AQ1" s="371"/>
      <c r="AR1" s="371">
        <v>45829</v>
      </c>
      <c r="AS1" s="371"/>
      <c r="AT1" s="371">
        <v>45830</v>
      </c>
      <c r="AU1" s="371"/>
      <c r="AV1" s="371">
        <v>45831</v>
      </c>
      <c r="AW1" s="371"/>
      <c r="AX1" s="371">
        <v>45832</v>
      </c>
      <c r="AY1" s="371"/>
      <c r="AZ1" s="371">
        <v>45833</v>
      </c>
      <c r="BA1" s="371"/>
      <c r="BB1" s="371">
        <v>45834</v>
      </c>
      <c r="BC1" s="371"/>
      <c r="BD1" s="371">
        <v>45835</v>
      </c>
      <c r="BE1" s="371"/>
      <c r="BF1" s="371">
        <v>45836</v>
      </c>
      <c r="BG1" s="371"/>
      <c r="BH1" s="371">
        <v>45837</v>
      </c>
      <c r="BI1" s="371"/>
      <c r="BJ1" s="371">
        <v>45838</v>
      </c>
      <c r="BK1" s="371"/>
    </row>
    <row r="2" spans="1:70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</row>
    <row r="3" spans="1:70" ht="15.75" thickBot="1" x14ac:dyDescent="0.3">
      <c r="A3" s="66" t="s">
        <v>73</v>
      </c>
      <c r="B3" s="67"/>
      <c r="C3" s="8"/>
      <c r="D3" s="130">
        <v>0</v>
      </c>
      <c r="E3" s="130">
        <v>0</v>
      </c>
      <c r="F3" s="150">
        <v>7</v>
      </c>
      <c r="G3" s="150">
        <v>3</v>
      </c>
      <c r="H3" s="150">
        <v>7</v>
      </c>
      <c r="I3" s="269">
        <v>3</v>
      </c>
      <c r="J3" s="150">
        <v>7</v>
      </c>
      <c r="K3" s="150">
        <v>3</v>
      </c>
      <c r="L3" s="150">
        <v>7</v>
      </c>
      <c r="M3" s="150">
        <v>3</v>
      </c>
      <c r="N3" s="150">
        <v>7</v>
      </c>
      <c r="O3" s="150">
        <v>3</v>
      </c>
      <c r="P3" s="129">
        <v>0</v>
      </c>
      <c r="Q3" s="129">
        <v>0</v>
      </c>
      <c r="R3" s="130">
        <v>0</v>
      </c>
      <c r="S3" s="130">
        <v>0</v>
      </c>
      <c r="T3" s="150">
        <v>6</v>
      </c>
      <c r="U3" s="269">
        <v>4</v>
      </c>
      <c r="V3" s="150">
        <v>6</v>
      </c>
      <c r="W3" s="150">
        <v>4</v>
      </c>
      <c r="X3" s="150">
        <v>7</v>
      </c>
      <c r="Y3" s="150">
        <v>3</v>
      </c>
      <c r="Z3" s="150">
        <v>9</v>
      </c>
      <c r="AA3" s="150">
        <v>1</v>
      </c>
      <c r="AB3" s="150">
        <v>7</v>
      </c>
      <c r="AC3" s="150">
        <v>3</v>
      </c>
      <c r="AD3" s="129">
        <v>0</v>
      </c>
      <c r="AE3" s="129">
        <v>0</v>
      </c>
      <c r="AF3" s="130">
        <v>0</v>
      </c>
      <c r="AG3" s="130">
        <v>0</v>
      </c>
      <c r="AH3" s="150">
        <v>0</v>
      </c>
      <c r="AI3" s="269">
        <v>0</v>
      </c>
      <c r="AJ3" s="150">
        <v>7</v>
      </c>
      <c r="AK3" s="150">
        <v>3</v>
      </c>
      <c r="AL3" s="150">
        <v>7</v>
      </c>
      <c r="AM3" s="150">
        <v>3</v>
      </c>
      <c r="AN3" s="150">
        <v>6</v>
      </c>
      <c r="AO3" s="150">
        <v>4</v>
      </c>
      <c r="AP3" s="130">
        <v>0</v>
      </c>
      <c r="AQ3" s="130">
        <v>0</v>
      </c>
      <c r="AR3" s="129">
        <v>0</v>
      </c>
      <c r="AS3" s="129">
        <v>0</v>
      </c>
      <c r="AT3" s="130">
        <v>0</v>
      </c>
      <c r="AU3" s="130">
        <v>0</v>
      </c>
      <c r="AV3" s="150">
        <v>7</v>
      </c>
      <c r="AW3" s="269">
        <v>3</v>
      </c>
      <c r="AX3" s="150">
        <v>7</v>
      </c>
      <c r="AY3" s="150">
        <v>3</v>
      </c>
      <c r="AZ3" s="150">
        <v>7</v>
      </c>
      <c r="BA3" s="150">
        <v>3</v>
      </c>
      <c r="BB3" s="150">
        <v>7</v>
      </c>
      <c r="BC3" s="150">
        <v>3</v>
      </c>
      <c r="BD3" s="150">
        <v>7</v>
      </c>
      <c r="BE3" s="150">
        <v>3</v>
      </c>
      <c r="BF3" s="129">
        <v>0</v>
      </c>
      <c r="BG3" s="129">
        <v>0</v>
      </c>
      <c r="BH3" s="130">
        <v>0</v>
      </c>
      <c r="BI3" s="130">
        <v>0</v>
      </c>
      <c r="BJ3" s="150">
        <v>7</v>
      </c>
      <c r="BK3" s="150">
        <v>3</v>
      </c>
      <c r="BL3" s="118"/>
      <c r="BM3" s="118"/>
      <c r="BN3" s="118"/>
      <c r="BO3" s="118"/>
    </row>
    <row r="4" spans="1:70" s="118" customFormat="1" x14ac:dyDescent="0.25">
      <c r="A4" s="66" t="s">
        <v>123</v>
      </c>
      <c r="B4" s="149"/>
      <c r="C4" s="8"/>
      <c r="D4" s="130">
        <v>0</v>
      </c>
      <c r="E4" s="130">
        <v>0</v>
      </c>
      <c r="F4" s="150">
        <v>0</v>
      </c>
      <c r="G4" s="150">
        <v>0</v>
      </c>
      <c r="H4" s="150">
        <v>0</v>
      </c>
      <c r="I4" s="269">
        <v>0</v>
      </c>
      <c r="J4" s="150">
        <v>0</v>
      </c>
      <c r="K4" s="150">
        <v>0</v>
      </c>
      <c r="L4" s="150">
        <v>0</v>
      </c>
      <c r="M4" s="150">
        <v>0</v>
      </c>
      <c r="N4" s="150">
        <v>0</v>
      </c>
      <c r="O4" s="150">
        <v>0</v>
      </c>
      <c r="P4" s="129">
        <v>0</v>
      </c>
      <c r="Q4" s="129">
        <v>0</v>
      </c>
      <c r="R4" s="130">
        <v>0</v>
      </c>
      <c r="S4" s="130">
        <v>0</v>
      </c>
      <c r="T4" s="150">
        <v>0</v>
      </c>
      <c r="U4" s="269">
        <v>0</v>
      </c>
      <c r="V4" s="150">
        <v>0</v>
      </c>
      <c r="W4" s="150">
        <v>0</v>
      </c>
      <c r="X4" s="150">
        <v>0</v>
      </c>
      <c r="Y4" s="150">
        <v>0</v>
      </c>
      <c r="Z4" s="150">
        <v>0</v>
      </c>
      <c r="AA4" s="150">
        <v>0</v>
      </c>
      <c r="AB4" s="150">
        <v>0</v>
      </c>
      <c r="AC4" s="150">
        <v>0</v>
      </c>
      <c r="AD4" s="129">
        <v>0</v>
      </c>
      <c r="AE4" s="129">
        <v>0</v>
      </c>
      <c r="AF4" s="130">
        <v>0</v>
      </c>
      <c r="AG4" s="130">
        <v>0</v>
      </c>
      <c r="AH4" s="150">
        <v>0</v>
      </c>
      <c r="AI4" s="269">
        <v>0</v>
      </c>
      <c r="AJ4" s="150">
        <v>0</v>
      </c>
      <c r="AK4" s="150">
        <v>0</v>
      </c>
      <c r="AL4" s="150">
        <v>0</v>
      </c>
      <c r="AM4" s="150">
        <v>0</v>
      </c>
      <c r="AN4" s="150">
        <v>0</v>
      </c>
      <c r="AO4" s="150">
        <v>0</v>
      </c>
      <c r="AP4" s="130">
        <v>0</v>
      </c>
      <c r="AQ4" s="130">
        <v>0</v>
      </c>
      <c r="AR4" s="129">
        <v>0</v>
      </c>
      <c r="AS4" s="129">
        <v>0</v>
      </c>
      <c r="AT4" s="130">
        <v>0</v>
      </c>
      <c r="AU4" s="130">
        <v>0</v>
      </c>
      <c r="AV4" s="150">
        <v>0</v>
      </c>
      <c r="AW4" s="269">
        <v>0</v>
      </c>
      <c r="AX4" s="150">
        <v>0</v>
      </c>
      <c r="AY4" s="150">
        <v>0</v>
      </c>
      <c r="AZ4" s="150">
        <v>0</v>
      </c>
      <c r="BA4" s="150">
        <v>0</v>
      </c>
      <c r="BB4" s="150">
        <v>0</v>
      </c>
      <c r="BC4" s="150">
        <v>0</v>
      </c>
      <c r="BD4" s="150">
        <v>0</v>
      </c>
      <c r="BE4" s="150">
        <v>0</v>
      </c>
      <c r="BF4" s="129">
        <v>0</v>
      </c>
      <c r="BG4" s="129">
        <v>0</v>
      </c>
      <c r="BH4" s="130">
        <v>0</v>
      </c>
      <c r="BI4" s="130">
        <v>0</v>
      </c>
      <c r="BJ4" s="150">
        <v>0</v>
      </c>
      <c r="BK4" s="150">
        <v>0</v>
      </c>
    </row>
    <row r="5" spans="1:70" x14ac:dyDescent="0.25">
      <c r="A5" s="68" t="s">
        <v>74</v>
      </c>
      <c r="B5" s="69"/>
      <c r="C5" s="8"/>
      <c r="D5" s="130">
        <v>0</v>
      </c>
      <c r="E5" s="130">
        <v>0</v>
      </c>
      <c r="F5" s="150">
        <v>1</v>
      </c>
      <c r="G5" s="150">
        <v>9</v>
      </c>
      <c r="H5" s="150">
        <v>1</v>
      </c>
      <c r="I5" s="269">
        <v>9</v>
      </c>
      <c r="J5" s="150">
        <v>1</v>
      </c>
      <c r="K5" s="150">
        <v>9</v>
      </c>
      <c r="L5" s="150">
        <v>1</v>
      </c>
      <c r="M5" s="150">
        <v>9</v>
      </c>
      <c r="N5" s="150">
        <v>0</v>
      </c>
      <c r="O5" s="150">
        <v>10</v>
      </c>
      <c r="P5" s="129">
        <v>0</v>
      </c>
      <c r="Q5" s="129">
        <v>0</v>
      </c>
      <c r="R5" s="130">
        <v>0</v>
      </c>
      <c r="S5" s="130">
        <v>0</v>
      </c>
      <c r="T5" s="150">
        <v>1</v>
      </c>
      <c r="U5" s="269">
        <v>9</v>
      </c>
      <c r="V5" s="150">
        <v>1</v>
      </c>
      <c r="W5" s="150">
        <v>9</v>
      </c>
      <c r="X5" s="150">
        <v>0</v>
      </c>
      <c r="Y5" s="150">
        <v>10</v>
      </c>
      <c r="Z5" s="150">
        <v>2</v>
      </c>
      <c r="AA5" s="150">
        <v>8</v>
      </c>
      <c r="AB5" s="150">
        <v>1</v>
      </c>
      <c r="AC5" s="150">
        <v>9</v>
      </c>
      <c r="AD5" s="129">
        <v>0</v>
      </c>
      <c r="AE5" s="129">
        <v>0</v>
      </c>
      <c r="AF5" s="130">
        <v>0</v>
      </c>
      <c r="AG5" s="130">
        <v>0</v>
      </c>
      <c r="AH5" s="150">
        <v>0</v>
      </c>
      <c r="AI5" s="269">
        <v>9</v>
      </c>
      <c r="AJ5" s="150">
        <v>1</v>
      </c>
      <c r="AK5" s="150">
        <v>9</v>
      </c>
      <c r="AL5" s="150">
        <v>1</v>
      </c>
      <c r="AM5" s="150">
        <v>9</v>
      </c>
      <c r="AN5" s="150">
        <v>1</v>
      </c>
      <c r="AO5" s="150">
        <v>9</v>
      </c>
      <c r="AP5" s="130">
        <v>2</v>
      </c>
      <c r="AQ5" s="130">
        <v>1</v>
      </c>
      <c r="AR5" s="129">
        <v>0</v>
      </c>
      <c r="AS5" s="129">
        <v>0</v>
      </c>
      <c r="AT5" s="130">
        <v>0</v>
      </c>
      <c r="AU5" s="130">
        <v>0</v>
      </c>
      <c r="AV5" s="150">
        <v>0</v>
      </c>
      <c r="AW5" s="269">
        <v>10</v>
      </c>
      <c r="AX5" s="150">
        <v>1</v>
      </c>
      <c r="AY5" s="150">
        <v>9</v>
      </c>
      <c r="AZ5" s="150">
        <v>2</v>
      </c>
      <c r="BA5" s="150">
        <v>8</v>
      </c>
      <c r="BB5" s="150">
        <v>0</v>
      </c>
      <c r="BC5" s="150">
        <v>10</v>
      </c>
      <c r="BD5" s="150">
        <v>1</v>
      </c>
      <c r="BE5" s="150">
        <v>9</v>
      </c>
      <c r="BF5" s="129">
        <v>0</v>
      </c>
      <c r="BG5" s="129">
        <v>0</v>
      </c>
      <c r="BH5" s="130">
        <v>0</v>
      </c>
      <c r="BI5" s="130">
        <v>0</v>
      </c>
      <c r="BJ5" s="150">
        <v>1</v>
      </c>
      <c r="BK5" s="150">
        <v>9</v>
      </c>
      <c r="BL5" s="118"/>
      <c r="BM5" s="118"/>
      <c r="BN5" s="118"/>
      <c r="BO5" s="118"/>
    </row>
    <row r="6" spans="1:70" x14ac:dyDescent="0.25">
      <c r="A6" s="68" t="s">
        <v>75</v>
      </c>
      <c r="B6" s="69"/>
      <c r="C6" s="8"/>
      <c r="D6" s="130">
        <v>0</v>
      </c>
      <c r="E6" s="130">
        <v>0</v>
      </c>
      <c r="F6" s="150">
        <v>9</v>
      </c>
      <c r="G6" s="150">
        <v>1</v>
      </c>
      <c r="H6" s="150">
        <v>9</v>
      </c>
      <c r="I6" s="269">
        <v>1</v>
      </c>
      <c r="J6" s="150">
        <v>9</v>
      </c>
      <c r="K6" s="150">
        <v>1</v>
      </c>
      <c r="L6" s="150">
        <v>8</v>
      </c>
      <c r="M6" s="150">
        <v>2</v>
      </c>
      <c r="N6" s="150">
        <v>9</v>
      </c>
      <c r="O6" s="150">
        <v>1</v>
      </c>
      <c r="P6" s="129">
        <v>0</v>
      </c>
      <c r="Q6" s="129">
        <v>0</v>
      </c>
      <c r="R6" s="130">
        <v>0</v>
      </c>
      <c r="S6" s="130">
        <v>0</v>
      </c>
      <c r="T6" s="150">
        <v>8</v>
      </c>
      <c r="U6" s="269">
        <v>2</v>
      </c>
      <c r="V6" s="150">
        <v>7</v>
      </c>
      <c r="W6" s="150">
        <v>3</v>
      </c>
      <c r="X6" s="150">
        <v>9</v>
      </c>
      <c r="Y6" s="150">
        <v>1</v>
      </c>
      <c r="Z6" s="150">
        <v>9</v>
      </c>
      <c r="AA6" s="150">
        <v>1</v>
      </c>
      <c r="AB6" s="150">
        <v>9</v>
      </c>
      <c r="AC6" s="150">
        <v>1</v>
      </c>
      <c r="AD6" s="129">
        <v>0</v>
      </c>
      <c r="AE6" s="129">
        <v>0</v>
      </c>
      <c r="AF6" s="130">
        <v>0</v>
      </c>
      <c r="AG6" s="130">
        <v>0</v>
      </c>
      <c r="AH6" s="150">
        <v>0</v>
      </c>
      <c r="AI6" s="269">
        <v>0</v>
      </c>
      <c r="AJ6" s="150">
        <v>9</v>
      </c>
      <c r="AK6" s="150">
        <v>1</v>
      </c>
      <c r="AL6" s="150">
        <v>9</v>
      </c>
      <c r="AM6" s="150">
        <v>1</v>
      </c>
      <c r="AN6" s="150">
        <v>8</v>
      </c>
      <c r="AO6" s="150">
        <v>2</v>
      </c>
      <c r="AP6" s="130">
        <v>0</v>
      </c>
      <c r="AQ6" s="130">
        <v>0</v>
      </c>
      <c r="AR6" s="129">
        <v>0</v>
      </c>
      <c r="AS6" s="129">
        <v>0</v>
      </c>
      <c r="AT6" s="130">
        <v>0</v>
      </c>
      <c r="AU6" s="130">
        <v>0</v>
      </c>
      <c r="AV6" s="150">
        <v>9</v>
      </c>
      <c r="AW6" s="269">
        <v>1</v>
      </c>
      <c r="AX6" s="150">
        <v>9</v>
      </c>
      <c r="AY6" s="150">
        <v>1</v>
      </c>
      <c r="AZ6" s="150">
        <v>9</v>
      </c>
      <c r="BA6" s="150">
        <v>1</v>
      </c>
      <c r="BB6" s="150">
        <v>9</v>
      </c>
      <c r="BC6" s="150">
        <v>1</v>
      </c>
      <c r="BD6" s="150">
        <v>9</v>
      </c>
      <c r="BE6" s="150">
        <v>1</v>
      </c>
      <c r="BF6" s="129">
        <v>0</v>
      </c>
      <c r="BG6" s="129">
        <v>0</v>
      </c>
      <c r="BH6" s="130">
        <v>0</v>
      </c>
      <c r="BI6" s="130">
        <v>0</v>
      </c>
      <c r="BJ6" s="150">
        <v>10</v>
      </c>
      <c r="BK6" s="150">
        <v>0</v>
      </c>
      <c r="BL6" s="118"/>
      <c r="BM6" s="118"/>
      <c r="BN6" s="118"/>
      <c r="BO6" s="118"/>
    </row>
    <row r="7" spans="1:70" x14ac:dyDescent="0.25">
      <c r="A7" s="68" t="s">
        <v>76</v>
      </c>
      <c r="B7" s="69"/>
      <c r="C7" s="8"/>
      <c r="D7" s="130">
        <v>0</v>
      </c>
      <c r="E7" s="130">
        <v>0</v>
      </c>
      <c r="F7" s="150">
        <v>0</v>
      </c>
      <c r="G7" s="150">
        <v>0</v>
      </c>
      <c r="H7" s="150">
        <v>0</v>
      </c>
      <c r="I7" s="269">
        <v>0</v>
      </c>
      <c r="J7" s="150">
        <v>0</v>
      </c>
      <c r="K7" s="150">
        <v>0</v>
      </c>
      <c r="L7" s="150">
        <v>0</v>
      </c>
      <c r="M7" s="150">
        <v>0</v>
      </c>
      <c r="N7" s="150">
        <v>0</v>
      </c>
      <c r="O7" s="150">
        <v>0</v>
      </c>
      <c r="P7" s="129">
        <v>0</v>
      </c>
      <c r="Q7" s="129">
        <v>0</v>
      </c>
      <c r="R7" s="130">
        <v>0</v>
      </c>
      <c r="S7" s="130">
        <v>0</v>
      </c>
      <c r="T7" s="150">
        <v>0</v>
      </c>
      <c r="U7" s="269">
        <v>0</v>
      </c>
      <c r="V7" s="150">
        <v>0</v>
      </c>
      <c r="W7" s="150">
        <v>0</v>
      </c>
      <c r="X7" s="150">
        <v>0</v>
      </c>
      <c r="Y7" s="150">
        <v>0</v>
      </c>
      <c r="Z7" s="150">
        <v>0</v>
      </c>
      <c r="AA7" s="150">
        <v>0</v>
      </c>
      <c r="AB7" s="150">
        <v>0</v>
      </c>
      <c r="AC7" s="150">
        <v>0</v>
      </c>
      <c r="AD7" s="129">
        <v>0</v>
      </c>
      <c r="AE7" s="129">
        <v>0</v>
      </c>
      <c r="AF7" s="130">
        <v>0</v>
      </c>
      <c r="AG7" s="130">
        <v>0</v>
      </c>
      <c r="AH7" s="150">
        <v>0</v>
      </c>
      <c r="AI7" s="269">
        <v>0</v>
      </c>
      <c r="AJ7" s="150">
        <v>0</v>
      </c>
      <c r="AK7" s="150">
        <v>0</v>
      </c>
      <c r="AL7" s="150">
        <v>0</v>
      </c>
      <c r="AM7" s="150">
        <v>0</v>
      </c>
      <c r="AN7" s="150">
        <v>0</v>
      </c>
      <c r="AO7" s="150">
        <v>0</v>
      </c>
      <c r="AP7" s="130">
        <v>0</v>
      </c>
      <c r="AQ7" s="130">
        <v>0</v>
      </c>
      <c r="AR7" s="129">
        <v>0</v>
      </c>
      <c r="AS7" s="129">
        <v>0</v>
      </c>
      <c r="AT7" s="130">
        <v>0</v>
      </c>
      <c r="AU7" s="130">
        <v>0</v>
      </c>
      <c r="AV7" s="150">
        <v>0</v>
      </c>
      <c r="AW7" s="269">
        <v>0</v>
      </c>
      <c r="AX7" s="150">
        <v>0</v>
      </c>
      <c r="AY7" s="150">
        <v>0</v>
      </c>
      <c r="AZ7" s="150">
        <v>0</v>
      </c>
      <c r="BA7" s="150">
        <v>0</v>
      </c>
      <c r="BB7" s="150">
        <v>0</v>
      </c>
      <c r="BC7" s="150">
        <v>0</v>
      </c>
      <c r="BD7" s="150">
        <v>0</v>
      </c>
      <c r="BE7" s="150">
        <v>0</v>
      </c>
      <c r="BF7" s="129">
        <v>0</v>
      </c>
      <c r="BG7" s="129">
        <v>0</v>
      </c>
      <c r="BH7" s="130">
        <v>0</v>
      </c>
      <c r="BI7" s="130">
        <v>0</v>
      </c>
      <c r="BJ7" s="150">
        <v>0</v>
      </c>
      <c r="BK7" s="150">
        <v>0</v>
      </c>
      <c r="BL7" s="118"/>
      <c r="BM7" s="118"/>
      <c r="BN7" s="118"/>
      <c r="BO7" s="118"/>
    </row>
    <row r="8" spans="1:70" ht="15.75" thickBot="1" x14ac:dyDescent="0.3">
      <c r="A8" s="68" t="s">
        <v>77</v>
      </c>
      <c r="B8" s="70"/>
      <c r="C8" s="8"/>
      <c r="D8" s="130">
        <v>0</v>
      </c>
      <c r="E8" s="130">
        <v>0</v>
      </c>
      <c r="F8" s="150">
        <v>4</v>
      </c>
      <c r="G8" s="150">
        <v>6</v>
      </c>
      <c r="H8" s="150">
        <v>4</v>
      </c>
      <c r="I8" s="269">
        <v>6</v>
      </c>
      <c r="J8" s="150">
        <v>4</v>
      </c>
      <c r="K8" s="150">
        <v>6</v>
      </c>
      <c r="L8" s="150">
        <v>4</v>
      </c>
      <c r="M8" s="150">
        <v>6</v>
      </c>
      <c r="N8" s="150">
        <v>3</v>
      </c>
      <c r="O8" s="150">
        <v>7</v>
      </c>
      <c r="P8" s="129">
        <v>0</v>
      </c>
      <c r="Q8" s="129">
        <v>0</v>
      </c>
      <c r="R8" s="130">
        <v>0</v>
      </c>
      <c r="S8" s="130">
        <v>0</v>
      </c>
      <c r="T8" s="150">
        <v>3</v>
      </c>
      <c r="U8" s="269">
        <v>7</v>
      </c>
      <c r="V8" s="150">
        <v>4</v>
      </c>
      <c r="W8" s="150">
        <v>6</v>
      </c>
      <c r="X8" s="150">
        <v>3</v>
      </c>
      <c r="Y8" s="150">
        <v>7</v>
      </c>
      <c r="Z8" s="150">
        <v>5</v>
      </c>
      <c r="AA8" s="150">
        <v>5</v>
      </c>
      <c r="AB8" s="150">
        <v>4</v>
      </c>
      <c r="AC8" s="150">
        <v>6</v>
      </c>
      <c r="AD8" s="129">
        <v>0</v>
      </c>
      <c r="AE8" s="129">
        <v>0</v>
      </c>
      <c r="AF8" s="130">
        <v>0</v>
      </c>
      <c r="AG8" s="130">
        <v>0</v>
      </c>
      <c r="AH8" s="150">
        <v>0</v>
      </c>
      <c r="AI8" s="269">
        <v>8</v>
      </c>
      <c r="AJ8" s="150">
        <v>4</v>
      </c>
      <c r="AK8" s="150">
        <v>6</v>
      </c>
      <c r="AL8" s="150">
        <v>4</v>
      </c>
      <c r="AM8" s="150">
        <v>6</v>
      </c>
      <c r="AN8" s="150">
        <v>4</v>
      </c>
      <c r="AO8" s="150">
        <v>6</v>
      </c>
      <c r="AP8" s="130">
        <v>6</v>
      </c>
      <c r="AQ8" s="130">
        <v>0</v>
      </c>
      <c r="AR8" s="129">
        <v>0</v>
      </c>
      <c r="AS8" s="129">
        <v>0</v>
      </c>
      <c r="AT8" s="130">
        <v>0</v>
      </c>
      <c r="AU8" s="130">
        <v>0</v>
      </c>
      <c r="AV8" s="150">
        <v>4</v>
      </c>
      <c r="AW8" s="269">
        <v>6</v>
      </c>
      <c r="AX8" s="150">
        <v>4</v>
      </c>
      <c r="AY8" s="150">
        <v>6</v>
      </c>
      <c r="AZ8" s="150">
        <v>5</v>
      </c>
      <c r="BA8" s="150">
        <v>5</v>
      </c>
      <c r="BB8" s="150">
        <v>3</v>
      </c>
      <c r="BC8" s="150">
        <v>7</v>
      </c>
      <c r="BD8" s="150">
        <v>4</v>
      </c>
      <c r="BE8" s="150">
        <v>6</v>
      </c>
      <c r="BF8" s="129">
        <v>0</v>
      </c>
      <c r="BG8" s="129">
        <v>0</v>
      </c>
      <c r="BH8" s="130">
        <v>0</v>
      </c>
      <c r="BI8" s="130">
        <v>0</v>
      </c>
      <c r="BJ8" s="150">
        <v>6</v>
      </c>
      <c r="BK8" s="150">
        <v>4</v>
      </c>
      <c r="BL8" s="118"/>
      <c r="BM8" s="118"/>
      <c r="BN8" s="118"/>
      <c r="BO8" s="118"/>
    </row>
    <row r="9" spans="1:70" ht="15.75" thickBot="1" x14ac:dyDescent="0.3">
      <c r="A9" s="54"/>
      <c r="B9" s="54"/>
      <c r="C9" s="8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 t="s">
        <v>145</v>
      </c>
      <c r="Q9" s="264" t="s">
        <v>145</v>
      </c>
      <c r="R9" s="264" t="s">
        <v>145</v>
      </c>
      <c r="S9" s="264" t="s">
        <v>145</v>
      </c>
      <c r="T9" s="264" t="s">
        <v>145</v>
      </c>
      <c r="U9" s="264" t="s">
        <v>145</v>
      </c>
      <c r="V9" s="264"/>
      <c r="W9" s="264"/>
      <c r="X9" s="264"/>
      <c r="Y9" s="264"/>
      <c r="Z9" s="264"/>
      <c r="AA9" s="264"/>
      <c r="AB9" s="264"/>
      <c r="AC9" s="264"/>
      <c r="AD9" s="264"/>
      <c r="AE9" s="264"/>
      <c r="AF9" s="264" t="s">
        <v>145</v>
      </c>
      <c r="AG9" s="264" t="s">
        <v>145</v>
      </c>
      <c r="AH9" s="264" t="s">
        <v>145</v>
      </c>
      <c r="AI9" s="264" t="s">
        <v>145</v>
      </c>
      <c r="AJ9" s="264"/>
      <c r="AK9" s="264"/>
      <c r="AL9" s="264" t="s">
        <v>145</v>
      </c>
      <c r="AM9" s="264" t="s">
        <v>145</v>
      </c>
      <c r="AN9" s="264" t="s">
        <v>145</v>
      </c>
      <c r="AO9" s="264" t="s">
        <v>145</v>
      </c>
      <c r="AP9" s="264" t="s">
        <v>145</v>
      </c>
      <c r="AQ9" s="264" t="s">
        <v>145</v>
      </c>
      <c r="AR9" s="264" t="s">
        <v>145</v>
      </c>
      <c r="AS9" s="264" t="s">
        <v>145</v>
      </c>
      <c r="AT9" s="264"/>
      <c r="AU9" s="264"/>
      <c r="AV9" s="264"/>
      <c r="AW9" s="264"/>
      <c r="AX9" s="264"/>
      <c r="AY9" s="264"/>
      <c r="AZ9" s="264" t="s">
        <v>145</v>
      </c>
      <c r="BA9" s="264" t="s">
        <v>145</v>
      </c>
      <c r="BB9" s="264"/>
      <c r="BC9" s="264"/>
      <c r="BD9" s="264" t="s">
        <v>145</v>
      </c>
      <c r="BE9" s="264" t="s">
        <v>145</v>
      </c>
      <c r="BF9" s="264"/>
      <c r="BG9" s="264"/>
      <c r="BH9" s="264"/>
      <c r="BI9" s="264"/>
      <c r="BJ9" s="264" t="s">
        <v>145</v>
      </c>
      <c r="BK9" s="264" t="s">
        <v>145</v>
      </c>
      <c r="BL9" s="118"/>
      <c r="BM9" s="118"/>
      <c r="BN9" s="118"/>
      <c r="BO9" s="118"/>
    </row>
    <row r="10" spans="1:70" x14ac:dyDescent="0.25">
      <c r="A10" s="328" t="s">
        <v>73</v>
      </c>
      <c r="B10" s="329"/>
      <c r="C10" s="8"/>
      <c r="D10" s="130">
        <v>0</v>
      </c>
      <c r="E10" s="130">
        <v>0</v>
      </c>
      <c r="F10" s="150">
        <v>15</v>
      </c>
      <c r="G10" s="150">
        <v>1</v>
      </c>
      <c r="H10" s="150">
        <v>15</v>
      </c>
      <c r="I10" s="269">
        <v>1</v>
      </c>
      <c r="J10" s="150">
        <v>15</v>
      </c>
      <c r="K10" s="150">
        <v>1</v>
      </c>
      <c r="L10" s="150">
        <v>15</v>
      </c>
      <c r="M10" s="150">
        <v>1</v>
      </c>
      <c r="N10" s="150">
        <v>15</v>
      </c>
      <c r="O10" s="150">
        <v>1</v>
      </c>
      <c r="P10" s="129">
        <v>0</v>
      </c>
      <c r="Q10" s="129">
        <v>0</v>
      </c>
      <c r="R10" s="130">
        <v>0</v>
      </c>
      <c r="S10" s="130">
        <v>0</v>
      </c>
      <c r="T10" s="150">
        <v>15</v>
      </c>
      <c r="U10" s="269">
        <v>1</v>
      </c>
      <c r="V10" s="150">
        <v>15</v>
      </c>
      <c r="W10" s="150">
        <v>1</v>
      </c>
      <c r="X10" s="150">
        <v>15</v>
      </c>
      <c r="Y10" s="150">
        <v>1</v>
      </c>
      <c r="Z10" s="150">
        <v>15</v>
      </c>
      <c r="AA10" s="150">
        <v>1</v>
      </c>
      <c r="AB10" s="150">
        <v>15</v>
      </c>
      <c r="AC10" s="150">
        <v>1</v>
      </c>
      <c r="AD10" s="129">
        <v>0</v>
      </c>
      <c r="AE10" s="129">
        <v>0</v>
      </c>
      <c r="AF10" s="130">
        <v>0</v>
      </c>
      <c r="AG10" s="130">
        <v>0</v>
      </c>
      <c r="AH10" s="150">
        <v>1</v>
      </c>
      <c r="AI10" s="269">
        <v>0</v>
      </c>
      <c r="AJ10" s="150">
        <v>15</v>
      </c>
      <c r="AK10" s="150">
        <v>1</v>
      </c>
      <c r="AL10" s="150">
        <v>15</v>
      </c>
      <c r="AM10" s="150">
        <v>1</v>
      </c>
      <c r="AN10" s="150">
        <v>15</v>
      </c>
      <c r="AO10" s="150">
        <v>1</v>
      </c>
      <c r="AP10" s="130">
        <v>0</v>
      </c>
      <c r="AQ10" s="130">
        <v>0</v>
      </c>
      <c r="AR10" s="129">
        <v>0</v>
      </c>
      <c r="AS10" s="129">
        <v>0</v>
      </c>
      <c r="AT10" s="130">
        <v>0</v>
      </c>
      <c r="AU10" s="130">
        <v>0</v>
      </c>
      <c r="AV10" s="150">
        <v>9</v>
      </c>
      <c r="AW10" s="269">
        <v>1</v>
      </c>
      <c r="AX10" s="150">
        <v>15</v>
      </c>
      <c r="AY10" s="150">
        <v>1</v>
      </c>
      <c r="AZ10" s="150">
        <v>15</v>
      </c>
      <c r="BA10" s="150">
        <v>1</v>
      </c>
      <c r="BB10" s="150">
        <v>15</v>
      </c>
      <c r="BC10" s="150">
        <v>1</v>
      </c>
      <c r="BD10" s="150">
        <v>15</v>
      </c>
      <c r="BE10" s="150">
        <v>1</v>
      </c>
      <c r="BF10" s="129">
        <v>0</v>
      </c>
      <c r="BG10" s="129">
        <v>0</v>
      </c>
      <c r="BH10" s="130">
        <v>0</v>
      </c>
      <c r="BI10" s="130">
        <v>0</v>
      </c>
      <c r="BJ10" s="150">
        <v>16</v>
      </c>
      <c r="BK10" s="150">
        <v>0</v>
      </c>
      <c r="BL10" s="118"/>
      <c r="BM10" s="118"/>
      <c r="BN10" s="118"/>
      <c r="BO10" s="118"/>
    </row>
    <row r="11" spans="1:70" s="118" customFormat="1" x14ac:dyDescent="0.25">
      <c r="A11" s="330" t="s">
        <v>123</v>
      </c>
      <c r="B11" s="331"/>
      <c r="C11" s="8"/>
      <c r="D11" s="130">
        <v>0</v>
      </c>
      <c r="E11" s="130">
        <v>0</v>
      </c>
      <c r="F11" s="150">
        <v>0</v>
      </c>
      <c r="G11" s="150">
        <v>0</v>
      </c>
      <c r="H11" s="150">
        <v>0</v>
      </c>
      <c r="I11" s="269">
        <v>0</v>
      </c>
      <c r="J11" s="150">
        <v>0</v>
      </c>
      <c r="K11" s="150">
        <v>0</v>
      </c>
      <c r="L11" s="150">
        <v>0</v>
      </c>
      <c r="M11" s="150">
        <v>0</v>
      </c>
      <c r="N11" s="150">
        <v>0</v>
      </c>
      <c r="O11" s="150">
        <v>0</v>
      </c>
      <c r="P11" s="129">
        <v>0</v>
      </c>
      <c r="Q11" s="129">
        <v>0</v>
      </c>
      <c r="R11" s="130">
        <v>0</v>
      </c>
      <c r="S11" s="130">
        <v>0</v>
      </c>
      <c r="T11" s="150">
        <v>0</v>
      </c>
      <c r="U11" s="269">
        <v>0</v>
      </c>
      <c r="V11" s="150">
        <v>0</v>
      </c>
      <c r="W11" s="150">
        <v>0</v>
      </c>
      <c r="X11" s="150">
        <v>0</v>
      </c>
      <c r="Y11" s="150">
        <v>0</v>
      </c>
      <c r="Z11" s="150">
        <v>0</v>
      </c>
      <c r="AA11" s="150">
        <v>0</v>
      </c>
      <c r="AB11" s="150">
        <v>0</v>
      </c>
      <c r="AC11" s="150">
        <v>0</v>
      </c>
      <c r="AD11" s="129">
        <v>0</v>
      </c>
      <c r="AE11" s="129">
        <v>0</v>
      </c>
      <c r="AF11" s="130">
        <v>0</v>
      </c>
      <c r="AG11" s="130">
        <v>0</v>
      </c>
      <c r="AH11" s="150">
        <v>0</v>
      </c>
      <c r="AI11" s="269">
        <v>0</v>
      </c>
      <c r="AJ11" s="150">
        <v>0</v>
      </c>
      <c r="AK11" s="150">
        <v>0</v>
      </c>
      <c r="AL11" s="150">
        <v>0</v>
      </c>
      <c r="AM11" s="150">
        <v>0</v>
      </c>
      <c r="AN11" s="150">
        <v>0</v>
      </c>
      <c r="AO11" s="150">
        <v>0</v>
      </c>
      <c r="AP11" s="130">
        <v>0</v>
      </c>
      <c r="AQ11" s="130">
        <v>0</v>
      </c>
      <c r="AR11" s="129">
        <v>0</v>
      </c>
      <c r="AS11" s="129">
        <v>0</v>
      </c>
      <c r="AT11" s="130">
        <v>0</v>
      </c>
      <c r="AU11" s="130">
        <v>0</v>
      </c>
      <c r="AV11" s="150">
        <v>0</v>
      </c>
      <c r="AW11" s="269">
        <v>0</v>
      </c>
      <c r="AX11" s="150">
        <v>0</v>
      </c>
      <c r="AY11" s="150">
        <v>0</v>
      </c>
      <c r="AZ11" s="150">
        <v>0</v>
      </c>
      <c r="BA11" s="150">
        <v>0</v>
      </c>
      <c r="BB11" s="150">
        <v>0</v>
      </c>
      <c r="BC11" s="150">
        <v>0</v>
      </c>
      <c r="BD11" s="150">
        <v>0</v>
      </c>
      <c r="BE11" s="150">
        <v>0</v>
      </c>
      <c r="BF11" s="129">
        <v>0</v>
      </c>
      <c r="BG11" s="129">
        <v>0</v>
      </c>
      <c r="BH11" s="130">
        <v>0</v>
      </c>
      <c r="BI11" s="130">
        <v>0</v>
      </c>
      <c r="BJ11" s="150">
        <v>0</v>
      </c>
      <c r="BK11" s="150">
        <v>0</v>
      </c>
    </row>
    <row r="12" spans="1:70" x14ac:dyDescent="0.25">
      <c r="A12" s="332" t="s">
        <v>74</v>
      </c>
      <c r="B12" s="333"/>
      <c r="C12" s="8"/>
      <c r="D12" s="130">
        <v>53</v>
      </c>
      <c r="E12" s="130">
        <v>3</v>
      </c>
      <c r="F12" s="150">
        <v>44</v>
      </c>
      <c r="G12" s="150">
        <v>17</v>
      </c>
      <c r="H12" s="150">
        <v>43</v>
      </c>
      <c r="I12" s="269">
        <v>18</v>
      </c>
      <c r="J12" s="150">
        <v>44</v>
      </c>
      <c r="K12" s="150">
        <v>17</v>
      </c>
      <c r="L12" s="150">
        <v>43</v>
      </c>
      <c r="M12" s="150">
        <v>18</v>
      </c>
      <c r="N12" s="150">
        <v>44</v>
      </c>
      <c r="O12" s="150">
        <v>17</v>
      </c>
      <c r="P12" s="129">
        <v>69</v>
      </c>
      <c r="Q12" s="129">
        <v>3</v>
      </c>
      <c r="R12" s="130">
        <v>51</v>
      </c>
      <c r="S12" s="130">
        <v>3</v>
      </c>
      <c r="T12" s="150">
        <v>44</v>
      </c>
      <c r="U12" s="269">
        <v>17</v>
      </c>
      <c r="V12" s="150">
        <v>44</v>
      </c>
      <c r="W12" s="150">
        <v>17</v>
      </c>
      <c r="X12" s="150">
        <v>44</v>
      </c>
      <c r="Y12" s="150">
        <v>17</v>
      </c>
      <c r="Z12" s="150">
        <v>44</v>
      </c>
      <c r="AA12" s="150">
        <v>17</v>
      </c>
      <c r="AB12" s="150">
        <v>44</v>
      </c>
      <c r="AC12" s="150">
        <v>17</v>
      </c>
      <c r="AD12" s="129">
        <v>69</v>
      </c>
      <c r="AE12" s="129">
        <v>3</v>
      </c>
      <c r="AF12" s="130">
        <v>52</v>
      </c>
      <c r="AG12" s="130">
        <v>2</v>
      </c>
      <c r="AH12" s="150">
        <v>13</v>
      </c>
      <c r="AI12" s="269">
        <v>18</v>
      </c>
      <c r="AJ12" s="150">
        <v>44</v>
      </c>
      <c r="AK12" s="150">
        <v>17</v>
      </c>
      <c r="AL12" s="150">
        <v>44</v>
      </c>
      <c r="AM12" s="150">
        <v>17</v>
      </c>
      <c r="AN12" s="150">
        <v>44</v>
      </c>
      <c r="AO12" s="150">
        <v>17</v>
      </c>
      <c r="AP12" s="130">
        <v>43</v>
      </c>
      <c r="AQ12" s="130">
        <v>2</v>
      </c>
      <c r="AR12" s="129">
        <v>69</v>
      </c>
      <c r="AS12" s="129">
        <v>3</v>
      </c>
      <c r="AT12" s="130">
        <v>51</v>
      </c>
      <c r="AU12" s="130">
        <v>3</v>
      </c>
      <c r="AV12" s="150">
        <v>32</v>
      </c>
      <c r="AW12" s="269">
        <v>12</v>
      </c>
      <c r="AX12" s="150">
        <v>44</v>
      </c>
      <c r="AY12" s="150">
        <v>17</v>
      </c>
      <c r="AZ12" s="150">
        <v>44</v>
      </c>
      <c r="BA12" s="150">
        <v>17</v>
      </c>
      <c r="BB12" s="150">
        <v>44</v>
      </c>
      <c r="BC12" s="150">
        <v>17</v>
      </c>
      <c r="BD12" s="150">
        <v>44</v>
      </c>
      <c r="BE12" s="150">
        <v>17</v>
      </c>
      <c r="BF12" s="129">
        <v>69</v>
      </c>
      <c r="BG12" s="129">
        <v>3</v>
      </c>
      <c r="BH12" s="130">
        <v>50</v>
      </c>
      <c r="BI12" s="130">
        <v>11</v>
      </c>
      <c r="BJ12" s="150">
        <v>48</v>
      </c>
      <c r="BK12" s="150">
        <v>13</v>
      </c>
      <c r="BL12" s="118"/>
      <c r="BM12" s="118"/>
      <c r="BN12" s="118"/>
      <c r="BO12" s="118"/>
    </row>
    <row r="13" spans="1:70" x14ac:dyDescent="0.25">
      <c r="A13" s="332" t="s">
        <v>75</v>
      </c>
      <c r="B13" s="333"/>
      <c r="C13" s="8"/>
      <c r="D13" s="130">
        <v>0</v>
      </c>
      <c r="E13" s="130">
        <v>0</v>
      </c>
      <c r="F13" s="150">
        <v>13</v>
      </c>
      <c r="G13" s="150">
        <v>3</v>
      </c>
      <c r="H13" s="150">
        <v>13</v>
      </c>
      <c r="I13" s="269">
        <v>3</v>
      </c>
      <c r="J13" s="150">
        <v>13</v>
      </c>
      <c r="K13" s="150">
        <v>3</v>
      </c>
      <c r="L13" s="150">
        <v>13</v>
      </c>
      <c r="M13" s="150">
        <v>3</v>
      </c>
      <c r="N13" s="150">
        <v>13</v>
      </c>
      <c r="O13" s="150">
        <v>3</v>
      </c>
      <c r="P13" s="129">
        <v>0</v>
      </c>
      <c r="Q13" s="129">
        <v>0</v>
      </c>
      <c r="R13" s="130">
        <v>0</v>
      </c>
      <c r="S13" s="130">
        <v>0</v>
      </c>
      <c r="T13" s="150">
        <v>13</v>
      </c>
      <c r="U13" s="269">
        <v>3</v>
      </c>
      <c r="V13" s="150">
        <v>13</v>
      </c>
      <c r="W13" s="150">
        <v>3</v>
      </c>
      <c r="X13" s="150">
        <v>13</v>
      </c>
      <c r="Y13" s="150">
        <v>3</v>
      </c>
      <c r="Z13" s="150">
        <v>15</v>
      </c>
      <c r="AA13" s="150">
        <v>1</v>
      </c>
      <c r="AB13" s="150">
        <v>13</v>
      </c>
      <c r="AC13" s="150">
        <v>3</v>
      </c>
      <c r="AD13" s="129">
        <v>0</v>
      </c>
      <c r="AE13" s="129">
        <v>0</v>
      </c>
      <c r="AF13" s="130">
        <v>0</v>
      </c>
      <c r="AG13" s="130">
        <v>0</v>
      </c>
      <c r="AH13" s="150">
        <v>3</v>
      </c>
      <c r="AI13" s="269">
        <v>0</v>
      </c>
      <c r="AJ13" s="150">
        <v>13</v>
      </c>
      <c r="AK13" s="150">
        <v>3</v>
      </c>
      <c r="AL13" s="150">
        <v>13</v>
      </c>
      <c r="AM13" s="150">
        <v>3</v>
      </c>
      <c r="AN13" s="150">
        <v>13</v>
      </c>
      <c r="AO13" s="150">
        <v>3</v>
      </c>
      <c r="AP13" s="130">
        <v>0</v>
      </c>
      <c r="AQ13" s="130">
        <v>0</v>
      </c>
      <c r="AR13" s="129">
        <v>0</v>
      </c>
      <c r="AS13" s="129">
        <v>0</v>
      </c>
      <c r="AT13" s="130">
        <v>0</v>
      </c>
      <c r="AU13" s="130">
        <v>0</v>
      </c>
      <c r="AV13" s="150">
        <v>12</v>
      </c>
      <c r="AW13" s="269">
        <v>3</v>
      </c>
      <c r="AX13" s="150">
        <v>13</v>
      </c>
      <c r="AY13" s="150">
        <v>3</v>
      </c>
      <c r="AZ13" s="150">
        <v>13</v>
      </c>
      <c r="BA13" s="150">
        <v>3</v>
      </c>
      <c r="BB13" s="150">
        <v>13</v>
      </c>
      <c r="BC13" s="150">
        <v>3</v>
      </c>
      <c r="BD13" s="150">
        <v>13</v>
      </c>
      <c r="BE13" s="150">
        <v>3</v>
      </c>
      <c r="BF13" s="129">
        <v>0</v>
      </c>
      <c r="BG13" s="129">
        <v>0</v>
      </c>
      <c r="BH13" s="130">
        <v>0</v>
      </c>
      <c r="BI13" s="130">
        <v>0</v>
      </c>
      <c r="BJ13" s="150">
        <v>13</v>
      </c>
      <c r="BK13" s="150">
        <v>3</v>
      </c>
      <c r="BL13" s="118"/>
      <c r="BM13" s="118"/>
      <c r="BN13" s="118"/>
      <c r="BO13" s="118"/>
    </row>
    <row r="14" spans="1:70" x14ac:dyDescent="0.25">
      <c r="A14" s="332" t="s">
        <v>76</v>
      </c>
      <c r="B14" s="333"/>
      <c r="C14" s="8"/>
      <c r="D14" s="130">
        <v>0</v>
      </c>
      <c r="E14" s="130">
        <v>0</v>
      </c>
      <c r="F14" s="150">
        <v>1</v>
      </c>
      <c r="G14" s="150">
        <v>0</v>
      </c>
      <c r="H14" s="150">
        <v>1</v>
      </c>
      <c r="I14" s="269">
        <v>0</v>
      </c>
      <c r="J14" s="150">
        <v>1</v>
      </c>
      <c r="K14" s="150">
        <v>0</v>
      </c>
      <c r="L14" s="150">
        <v>1</v>
      </c>
      <c r="M14" s="150">
        <v>0</v>
      </c>
      <c r="N14" s="150">
        <v>1</v>
      </c>
      <c r="O14" s="150">
        <v>0</v>
      </c>
      <c r="P14" s="129">
        <v>0</v>
      </c>
      <c r="Q14" s="129">
        <v>0</v>
      </c>
      <c r="R14" s="130">
        <v>0</v>
      </c>
      <c r="S14" s="130">
        <v>0</v>
      </c>
      <c r="T14" s="150">
        <v>1</v>
      </c>
      <c r="U14" s="269">
        <v>0</v>
      </c>
      <c r="V14" s="150">
        <v>1</v>
      </c>
      <c r="W14" s="150">
        <v>0</v>
      </c>
      <c r="X14" s="150">
        <v>1</v>
      </c>
      <c r="Y14" s="150">
        <v>0</v>
      </c>
      <c r="Z14" s="150">
        <v>1</v>
      </c>
      <c r="AA14" s="150">
        <v>0</v>
      </c>
      <c r="AB14" s="150">
        <v>1</v>
      </c>
      <c r="AC14" s="150">
        <v>0</v>
      </c>
      <c r="AD14" s="129">
        <v>0</v>
      </c>
      <c r="AE14" s="129">
        <v>0</v>
      </c>
      <c r="AF14" s="130">
        <v>0</v>
      </c>
      <c r="AG14" s="130">
        <v>0</v>
      </c>
      <c r="AH14" s="150">
        <v>0</v>
      </c>
      <c r="AI14" s="269">
        <v>0</v>
      </c>
      <c r="AJ14" s="150">
        <v>1</v>
      </c>
      <c r="AK14" s="150">
        <v>0</v>
      </c>
      <c r="AL14" s="150">
        <v>1</v>
      </c>
      <c r="AM14" s="150">
        <v>0</v>
      </c>
      <c r="AN14" s="150">
        <v>1</v>
      </c>
      <c r="AO14" s="150">
        <v>0</v>
      </c>
      <c r="AP14" s="130">
        <v>0</v>
      </c>
      <c r="AQ14" s="130">
        <v>0</v>
      </c>
      <c r="AR14" s="129">
        <v>0</v>
      </c>
      <c r="AS14" s="129">
        <v>0</v>
      </c>
      <c r="AT14" s="130">
        <v>0</v>
      </c>
      <c r="AU14" s="130">
        <v>0</v>
      </c>
      <c r="AV14" s="150">
        <v>1</v>
      </c>
      <c r="AW14" s="269">
        <v>0</v>
      </c>
      <c r="AX14" s="150">
        <v>1</v>
      </c>
      <c r="AY14" s="150">
        <v>0</v>
      </c>
      <c r="AZ14" s="150">
        <v>1</v>
      </c>
      <c r="BA14" s="150">
        <v>0</v>
      </c>
      <c r="BB14" s="150">
        <v>1</v>
      </c>
      <c r="BC14" s="150">
        <v>0</v>
      </c>
      <c r="BD14" s="150">
        <v>1</v>
      </c>
      <c r="BE14" s="150">
        <v>0</v>
      </c>
      <c r="BF14" s="129">
        <v>0</v>
      </c>
      <c r="BG14" s="129">
        <v>0</v>
      </c>
      <c r="BH14" s="130">
        <v>0</v>
      </c>
      <c r="BI14" s="130">
        <v>0</v>
      </c>
      <c r="BJ14" s="150">
        <v>1</v>
      </c>
      <c r="BK14" s="150">
        <v>0</v>
      </c>
      <c r="BL14" s="118"/>
      <c r="BM14" s="118"/>
      <c r="BN14" s="118"/>
      <c r="BO14" s="118"/>
    </row>
    <row r="15" spans="1:70" x14ac:dyDescent="0.25">
      <c r="A15" s="332" t="s">
        <v>77</v>
      </c>
      <c r="B15" s="333"/>
      <c r="C15" s="8"/>
      <c r="D15" s="130">
        <v>59</v>
      </c>
      <c r="E15" s="130">
        <v>0</v>
      </c>
      <c r="F15" s="150">
        <v>36</v>
      </c>
      <c r="G15" s="150">
        <v>25</v>
      </c>
      <c r="H15" s="150">
        <v>35</v>
      </c>
      <c r="I15" s="269">
        <v>26</v>
      </c>
      <c r="J15" s="150">
        <v>36</v>
      </c>
      <c r="K15" s="150">
        <v>25</v>
      </c>
      <c r="L15" s="150">
        <v>36</v>
      </c>
      <c r="M15" s="150">
        <v>25</v>
      </c>
      <c r="N15" s="150">
        <v>36</v>
      </c>
      <c r="O15" s="150">
        <v>25</v>
      </c>
      <c r="P15" s="129">
        <v>75</v>
      </c>
      <c r="Q15" s="129">
        <v>0</v>
      </c>
      <c r="R15" s="130">
        <v>57</v>
      </c>
      <c r="S15" s="130">
        <v>0</v>
      </c>
      <c r="T15" s="150">
        <v>36</v>
      </c>
      <c r="U15" s="269">
        <v>25</v>
      </c>
      <c r="V15" s="150">
        <v>36</v>
      </c>
      <c r="W15" s="150">
        <v>25</v>
      </c>
      <c r="X15" s="150">
        <v>36</v>
      </c>
      <c r="Y15" s="150">
        <v>25</v>
      </c>
      <c r="Z15" s="150">
        <v>36</v>
      </c>
      <c r="AA15" s="150">
        <v>25</v>
      </c>
      <c r="AB15" s="150">
        <v>36</v>
      </c>
      <c r="AC15" s="150">
        <v>25</v>
      </c>
      <c r="AD15" s="129">
        <v>75</v>
      </c>
      <c r="AE15" s="129">
        <v>0</v>
      </c>
      <c r="AF15" s="130">
        <v>57</v>
      </c>
      <c r="AG15" s="130">
        <v>0</v>
      </c>
      <c r="AH15" s="150">
        <v>15</v>
      </c>
      <c r="AI15" s="269">
        <v>20</v>
      </c>
      <c r="AJ15" s="150">
        <v>36</v>
      </c>
      <c r="AK15" s="150">
        <v>25</v>
      </c>
      <c r="AL15" s="150">
        <v>36</v>
      </c>
      <c r="AM15" s="150">
        <v>25</v>
      </c>
      <c r="AN15" s="150">
        <v>36</v>
      </c>
      <c r="AO15" s="150">
        <v>25</v>
      </c>
      <c r="AP15" s="130">
        <v>45</v>
      </c>
      <c r="AQ15" s="130">
        <v>0</v>
      </c>
      <c r="AR15" s="129">
        <v>75</v>
      </c>
      <c r="AS15" s="129">
        <v>0</v>
      </c>
      <c r="AT15" s="130">
        <v>57</v>
      </c>
      <c r="AU15" s="130">
        <v>0</v>
      </c>
      <c r="AV15" s="150">
        <v>22</v>
      </c>
      <c r="AW15" s="269">
        <v>23</v>
      </c>
      <c r="AX15" s="150">
        <v>36</v>
      </c>
      <c r="AY15" s="150">
        <v>25</v>
      </c>
      <c r="AZ15" s="150">
        <v>36</v>
      </c>
      <c r="BA15" s="150">
        <v>25</v>
      </c>
      <c r="BB15" s="150">
        <v>36</v>
      </c>
      <c r="BC15" s="150">
        <v>25</v>
      </c>
      <c r="BD15" s="150">
        <v>36</v>
      </c>
      <c r="BE15" s="150">
        <v>25</v>
      </c>
      <c r="BF15" s="129">
        <v>75</v>
      </c>
      <c r="BG15" s="129">
        <v>0</v>
      </c>
      <c r="BH15" s="130">
        <v>50</v>
      </c>
      <c r="BI15" s="130">
        <v>11</v>
      </c>
      <c r="BJ15" s="150">
        <v>41</v>
      </c>
      <c r="BK15" s="150">
        <v>20</v>
      </c>
      <c r="BL15" s="118"/>
      <c r="BM15" s="118"/>
      <c r="BN15" s="118"/>
      <c r="BO15" s="118"/>
    </row>
    <row r="16" spans="1:70" s="118" customFormat="1" x14ac:dyDescent="0.25">
      <c r="A16" s="332" t="s">
        <v>174</v>
      </c>
      <c r="B16" s="33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150">
        <v>10</v>
      </c>
      <c r="AW16" s="150">
        <v>2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 16311:16311" s="118" customFormat="1" x14ac:dyDescent="0.25">
      <c r="A17" s="332" t="s">
        <v>175</v>
      </c>
      <c r="B17" s="33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150">
        <v>13</v>
      </c>
      <c r="AW17" s="150">
        <v>2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</row>
    <row r="18" spans="1:70 16311:16311" s="118" customFormat="1" x14ac:dyDescent="0.25">
      <c r="A18" s="332" t="s">
        <v>182</v>
      </c>
      <c r="B18" s="333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150">
        <v>2</v>
      </c>
      <c r="AW18" s="150">
        <v>2</v>
      </c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 16311:16311" s="118" customFormat="1" x14ac:dyDescent="0.25">
      <c r="A19" s="332" t="s">
        <v>184</v>
      </c>
      <c r="B19" s="33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150">
        <v>1</v>
      </c>
      <c r="AW19" s="150">
        <v>0</v>
      </c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</row>
    <row r="20" spans="1:70 16311:16311" s="118" customFormat="1" ht="15.75" thickBot="1" x14ac:dyDescent="0.3">
      <c r="A20" s="334" t="s">
        <v>186</v>
      </c>
      <c r="B20" s="33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150">
        <v>1</v>
      </c>
      <c r="AW20" s="150">
        <v>0</v>
      </c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 16311:16311" s="118" customFormat="1" ht="15.75" thickBot="1" x14ac:dyDescent="0.3">
      <c r="A21" s="263"/>
      <c r="B21" s="263"/>
      <c r="C21" s="8"/>
      <c r="P21" s="118" t="s">
        <v>145</v>
      </c>
      <c r="Q21" s="118" t="s">
        <v>145</v>
      </c>
      <c r="R21" s="118" t="s">
        <v>145</v>
      </c>
      <c r="S21" s="118" t="s">
        <v>145</v>
      </c>
      <c r="T21" s="118" t="s">
        <v>145</v>
      </c>
      <c r="U21" s="118" t="s">
        <v>145</v>
      </c>
      <c r="AF21" s="118" t="s">
        <v>145</v>
      </c>
      <c r="AG21" s="118" t="s">
        <v>145</v>
      </c>
      <c r="AH21" s="118" t="s">
        <v>145</v>
      </c>
      <c r="AI21" s="118" t="s">
        <v>145</v>
      </c>
      <c r="AL21" s="118" t="s">
        <v>145</v>
      </c>
      <c r="AM21" s="118" t="s">
        <v>145</v>
      </c>
      <c r="AN21" s="118" t="s">
        <v>145</v>
      </c>
      <c r="AO21" s="118" t="s">
        <v>145</v>
      </c>
      <c r="AP21" s="118" t="s">
        <v>145</v>
      </c>
      <c r="AQ21" s="118" t="s">
        <v>145</v>
      </c>
      <c r="AR21" s="118" t="s">
        <v>145</v>
      </c>
      <c r="AS21" s="118" t="s">
        <v>145</v>
      </c>
    </row>
    <row r="22" spans="1:70 16311:16311" x14ac:dyDescent="0.25">
      <c r="A22" s="336" t="s">
        <v>73</v>
      </c>
      <c r="B22" s="337"/>
      <c r="C22" s="8"/>
      <c r="D22" s="299">
        <v>0</v>
      </c>
      <c r="E22" s="299">
        <v>0</v>
      </c>
      <c r="F22" s="273">
        <v>7</v>
      </c>
      <c r="G22" s="273">
        <v>0</v>
      </c>
      <c r="H22" s="150">
        <v>7</v>
      </c>
      <c r="I22" s="269">
        <v>0</v>
      </c>
      <c r="J22" s="273">
        <v>7</v>
      </c>
      <c r="K22" s="273">
        <v>0</v>
      </c>
      <c r="L22" s="150">
        <v>7</v>
      </c>
      <c r="M22" s="150">
        <v>0</v>
      </c>
      <c r="N22" s="150">
        <v>7</v>
      </c>
      <c r="O22" s="150">
        <v>0</v>
      </c>
      <c r="P22" s="320">
        <v>0</v>
      </c>
      <c r="Q22" s="320">
        <v>0</v>
      </c>
      <c r="R22" s="297">
        <v>0</v>
      </c>
      <c r="S22" s="321">
        <v>0</v>
      </c>
      <c r="T22" s="295">
        <v>7</v>
      </c>
      <c r="U22" s="296">
        <v>0</v>
      </c>
      <c r="V22" s="322">
        <v>7</v>
      </c>
      <c r="W22" s="322">
        <v>0</v>
      </c>
      <c r="X22" s="273">
        <v>7</v>
      </c>
      <c r="Y22" s="273">
        <v>0</v>
      </c>
      <c r="Z22" s="295">
        <v>7</v>
      </c>
      <c r="AA22" s="296">
        <v>0</v>
      </c>
      <c r="AB22" s="150">
        <v>7</v>
      </c>
      <c r="AC22" s="150">
        <v>0</v>
      </c>
      <c r="AD22" s="129">
        <v>0</v>
      </c>
      <c r="AE22" s="129">
        <v>0</v>
      </c>
      <c r="AF22" s="130">
        <v>0</v>
      </c>
      <c r="AG22" s="130">
        <v>0</v>
      </c>
      <c r="AH22" s="150">
        <v>4</v>
      </c>
      <c r="AI22" s="269">
        <v>0</v>
      </c>
      <c r="AJ22" s="322">
        <v>7</v>
      </c>
      <c r="AK22" s="322">
        <v>0</v>
      </c>
      <c r="AL22" s="295">
        <v>7</v>
      </c>
      <c r="AM22" s="295">
        <v>0</v>
      </c>
      <c r="AN22" s="150">
        <v>7</v>
      </c>
      <c r="AO22" s="150">
        <v>0</v>
      </c>
      <c r="AP22" s="130">
        <v>0</v>
      </c>
      <c r="AQ22" s="130">
        <v>0</v>
      </c>
      <c r="AR22" s="320">
        <v>0</v>
      </c>
      <c r="AS22" s="320">
        <v>0</v>
      </c>
      <c r="AT22" s="299">
        <v>0</v>
      </c>
      <c r="AU22" s="299">
        <v>0</v>
      </c>
      <c r="AV22" s="273">
        <v>6</v>
      </c>
      <c r="AW22" s="273">
        <v>0</v>
      </c>
      <c r="AX22" s="273">
        <v>7</v>
      </c>
      <c r="AY22" s="273">
        <v>0</v>
      </c>
      <c r="AZ22" s="273">
        <v>7</v>
      </c>
      <c r="BA22" s="273">
        <v>0</v>
      </c>
      <c r="BB22" s="273">
        <v>7</v>
      </c>
      <c r="BC22" s="273">
        <v>0</v>
      </c>
      <c r="BD22" s="150">
        <v>7</v>
      </c>
      <c r="BE22" s="150">
        <v>0</v>
      </c>
      <c r="BF22" s="320">
        <v>0</v>
      </c>
      <c r="BG22" s="320">
        <v>0</v>
      </c>
      <c r="BH22" s="299">
        <v>0</v>
      </c>
      <c r="BI22" s="299">
        <v>0</v>
      </c>
      <c r="BJ22" s="150">
        <v>7</v>
      </c>
      <c r="BK22" s="150">
        <v>0</v>
      </c>
      <c r="BL22" s="118"/>
      <c r="BM22" s="118"/>
      <c r="BN22" s="118"/>
      <c r="BO22" s="118"/>
    </row>
    <row r="23" spans="1:70 16311:16311" s="118" customFormat="1" x14ac:dyDescent="0.25">
      <c r="A23" s="338" t="s">
        <v>123</v>
      </c>
      <c r="B23" s="339"/>
      <c r="C23" s="8"/>
      <c r="D23" s="299">
        <v>0</v>
      </c>
      <c r="E23" s="299">
        <v>0</v>
      </c>
      <c r="F23" s="273">
        <v>0</v>
      </c>
      <c r="G23" s="273">
        <v>0</v>
      </c>
      <c r="H23" s="150">
        <v>0</v>
      </c>
      <c r="I23" s="269">
        <v>0</v>
      </c>
      <c r="J23" s="273">
        <v>0</v>
      </c>
      <c r="K23" s="273">
        <v>0</v>
      </c>
      <c r="L23" s="150">
        <v>0</v>
      </c>
      <c r="M23" s="150">
        <v>0</v>
      </c>
      <c r="N23" s="150">
        <v>0</v>
      </c>
      <c r="O23" s="150">
        <v>0</v>
      </c>
      <c r="P23" s="320">
        <v>0</v>
      </c>
      <c r="Q23" s="320">
        <v>0</v>
      </c>
      <c r="R23" s="297">
        <v>0</v>
      </c>
      <c r="S23" s="321">
        <v>0</v>
      </c>
      <c r="T23" s="295">
        <v>0</v>
      </c>
      <c r="U23" s="296">
        <v>0</v>
      </c>
      <c r="V23" s="322">
        <v>0</v>
      </c>
      <c r="W23" s="322">
        <v>0</v>
      </c>
      <c r="X23" s="273">
        <v>0</v>
      </c>
      <c r="Y23" s="273">
        <v>0</v>
      </c>
      <c r="Z23" s="295">
        <v>0</v>
      </c>
      <c r="AA23" s="296">
        <v>0</v>
      </c>
      <c r="AB23" s="150">
        <v>0</v>
      </c>
      <c r="AC23" s="150">
        <v>0</v>
      </c>
      <c r="AD23" s="129">
        <v>0</v>
      </c>
      <c r="AE23" s="129">
        <v>0</v>
      </c>
      <c r="AF23" s="130">
        <v>0</v>
      </c>
      <c r="AG23" s="130">
        <v>0</v>
      </c>
      <c r="AH23" s="150">
        <v>0</v>
      </c>
      <c r="AI23" s="269">
        <v>0</v>
      </c>
      <c r="AJ23" s="322">
        <v>0</v>
      </c>
      <c r="AK23" s="322">
        <v>0</v>
      </c>
      <c r="AL23" s="295">
        <v>0</v>
      </c>
      <c r="AM23" s="295">
        <v>0</v>
      </c>
      <c r="AN23" s="150">
        <v>0</v>
      </c>
      <c r="AO23" s="150">
        <v>0</v>
      </c>
      <c r="AP23" s="130">
        <v>0</v>
      </c>
      <c r="AQ23" s="130">
        <v>0</v>
      </c>
      <c r="AR23" s="320">
        <v>0</v>
      </c>
      <c r="AS23" s="320">
        <v>0</v>
      </c>
      <c r="AT23" s="299">
        <v>0</v>
      </c>
      <c r="AU23" s="299">
        <v>0</v>
      </c>
      <c r="AV23" s="273">
        <v>0</v>
      </c>
      <c r="AW23" s="273">
        <v>0</v>
      </c>
      <c r="AX23" s="273">
        <v>0</v>
      </c>
      <c r="AY23" s="273">
        <v>0</v>
      </c>
      <c r="AZ23" s="273">
        <v>0</v>
      </c>
      <c r="BA23" s="273">
        <v>0</v>
      </c>
      <c r="BB23" s="273">
        <v>0</v>
      </c>
      <c r="BC23" s="273">
        <v>0</v>
      </c>
      <c r="BD23" s="150">
        <v>0</v>
      </c>
      <c r="BE23" s="150">
        <v>0</v>
      </c>
      <c r="BF23" s="320">
        <v>0</v>
      </c>
      <c r="BG23" s="320">
        <v>0</v>
      </c>
      <c r="BH23" s="299">
        <v>0</v>
      </c>
      <c r="BI23" s="299">
        <v>0</v>
      </c>
      <c r="BJ23" s="150">
        <v>0</v>
      </c>
      <c r="BK23" s="150">
        <v>0</v>
      </c>
    </row>
    <row r="24" spans="1:70 16311:16311" x14ac:dyDescent="0.25">
      <c r="A24" s="338" t="s">
        <v>74</v>
      </c>
      <c r="B24" s="339"/>
      <c r="C24" s="8"/>
      <c r="D24" s="299">
        <v>0</v>
      </c>
      <c r="E24" s="299">
        <v>0</v>
      </c>
      <c r="F24" s="273">
        <v>2</v>
      </c>
      <c r="G24" s="273">
        <v>6</v>
      </c>
      <c r="H24" s="150">
        <v>2</v>
      </c>
      <c r="I24" s="269">
        <v>6</v>
      </c>
      <c r="J24" s="273">
        <v>2</v>
      </c>
      <c r="K24" s="273">
        <v>6</v>
      </c>
      <c r="L24" s="150">
        <v>2</v>
      </c>
      <c r="M24" s="150">
        <v>6</v>
      </c>
      <c r="N24" s="150">
        <v>2</v>
      </c>
      <c r="O24" s="150">
        <v>6</v>
      </c>
      <c r="P24" s="320">
        <v>0</v>
      </c>
      <c r="Q24" s="320">
        <v>0</v>
      </c>
      <c r="R24" s="297">
        <v>0</v>
      </c>
      <c r="S24" s="321">
        <v>0</v>
      </c>
      <c r="T24" s="295">
        <v>2</v>
      </c>
      <c r="U24" s="296">
        <v>6</v>
      </c>
      <c r="V24" s="322">
        <v>2</v>
      </c>
      <c r="W24" s="322">
        <v>6</v>
      </c>
      <c r="X24" s="273">
        <v>2</v>
      </c>
      <c r="Y24" s="273">
        <v>6</v>
      </c>
      <c r="Z24" s="295">
        <v>2</v>
      </c>
      <c r="AA24" s="296">
        <v>6</v>
      </c>
      <c r="AB24" s="150">
        <v>2</v>
      </c>
      <c r="AC24" s="150">
        <v>6</v>
      </c>
      <c r="AD24" s="129">
        <v>0</v>
      </c>
      <c r="AE24" s="129">
        <v>0</v>
      </c>
      <c r="AF24" s="130">
        <v>0</v>
      </c>
      <c r="AG24" s="130">
        <v>0</v>
      </c>
      <c r="AH24" s="150">
        <v>5</v>
      </c>
      <c r="AI24" s="269">
        <v>5</v>
      </c>
      <c r="AJ24" s="322">
        <v>2</v>
      </c>
      <c r="AK24" s="322">
        <v>6</v>
      </c>
      <c r="AL24" s="295">
        <v>2</v>
      </c>
      <c r="AM24" s="295">
        <v>6</v>
      </c>
      <c r="AN24" s="150">
        <v>2</v>
      </c>
      <c r="AO24" s="150">
        <v>6</v>
      </c>
      <c r="AP24" s="130">
        <v>6</v>
      </c>
      <c r="AQ24" s="130">
        <v>0</v>
      </c>
      <c r="AR24" s="320">
        <v>0</v>
      </c>
      <c r="AS24" s="320">
        <v>0</v>
      </c>
      <c r="AT24" s="299">
        <v>0</v>
      </c>
      <c r="AU24" s="299">
        <v>0</v>
      </c>
      <c r="AV24" s="273">
        <v>2</v>
      </c>
      <c r="AW24" s="273">
        <v>6</v>
      </c>
      <c r="AX24" s="322">
        <v>2</v>
      </c>
      <c r="AY24" s="322">
        <v>6</v>
      </c>
      <c r="AZ24" s="273">
        <v>2</v>
      </c>
      <c r="BA24" s="273">
        <v>6</v>
      </c>
      <c r="BB24" s="273">
        <v>2</v>
      </c>
      <c r="BC24" s="273">
        <v>6</v>
      </c>
      <c r="BD24" s="150">
        <v>2</v>
      </c>
      <c r="BE24" s="150">
        <v>6</v>
      </c>
      <c r="BF24" s="320">
        <v>0</v>
      </c>
      <c r="BG24" s="320">
        <v>0</v>
      </c>
      <c r="BH24" s="299">
        <v>0</v>
      </c>
      <c r="BI24" s="299">
        <v>0</v>
      </c>
      <c r="BJ24" s="150">
        <v>5</v>
      </c>
      <c r="BK24" s="150">
        <v>3</v>
      </c>
      <c r="BL24" s="118"/>
      <c r="BM24" s="118"/>
      <c r="BN24" s="118"/>
      <c r="BO24" s="118"/>
    </row>
    <row r="25" spans="1:70 16311:16311" x14ac:dyDescent="0.25">
      <c r="A25" s="338" t="s">
        <v>75</v>
      </c>
      <c r="B25" s="339"/>
      <c r="C25" s="8"/>
      <c r="D25" s="299">
        <v>0</v>
      </c>
      <c r="E25" s="299">
        <v>0</v>
      </c>
      <c r="F25" s="273">
        <v>6</v>
      </c>
      <c r="G25" s="273">
        <v>0</v>
      </c>
      <c r="H25" s="150">
        <v>6</v>
      </c>
      <c r="I25" s="269">
        <v>0</v>
      </c>
      <c r="J25" s="273">
        <v>6</v>
      </c>
      <c r="K25" s="273">
        <v>0</v>
      </c>
      <c r="L25" s="150">
        <v>6</v>
      </c>
      <c r="M25" s="150">
        <v>0</v>
      </c>
      <c r="N25" s="150">
        <v>6</v>
      </c>
      <c r="O25" s="150">
        <v>0</v>
      </c>
      <c r="P25" s="320">
        <v>0</v>
      </c>
      <c r="Q25" s="320">
        <v>0</v>
      </c>
      <c r="R25" s="297">
        <v>0</v>
      </c>
      <c r="S25" s="321">
        <v>0</v>
      </c>
      <c r="T25" s="295">
        <v>6</v>
      </c>
      <c r="U25" s="296">
        <v>0</v>
      </c>
      <c r="V25" s="322">
        <v>6</v>
      </c>
      <c r="W25" s="322">
        <v>0</v>
      </c>
      <c r="X25" s="273">
        <v>6</v>
      </c>
      <c r="Y25" s="273">
        <v>0</v>
      </c>
      <c r="Z25" s="295">
        <v>6</v>
      </c>
      <c r="AA25" s="296">
        <v>0</v>
      </c>
      <c r="AB25" s="150">
        <v>6</v>
      </c>
      <c r="AC25" s="150">
        <v>0</v>
      </c>
      <c r="AD25" s="129">
        <v>0</v>
      </c>
      <c r="AE25" s="129">
        <v>0</v>
      </c>
      <c r="AF25" s="130">
        <v>0</v>
      </c>
      <c r="AG25" s="130">
        <v>0</v>
      </c>
      <c r="AH25" s="150">
        <v>3</v>
      </c>
      <c r="AI25" s="269">
        <v>0</v>
      </c>
      <c r="AJ25" s="322">
        <v>6</v>
      </c>
      <c r="AK25" s="322">
        <v>0</v>
      </c>
      <c r="AL25" s="295">
        <v>6</v>
      </c>
      <c r="AM25" s="295">
        <v>0</v>
      </c>
      <c r="AN25" s="150">
        <v>6</v>
      </c>
      <c r="AO25" s="150">
        <v>0</v>
      </c>
      <c r="AP25" s="130">
        <v>0</v>
      </c>
      <c r="AQ25" s="130">
        <v>0</v>
      </c>
      <c r="AR25" s="320">
        <v>0</v>
      </c>
      <c r="AS25" s="320">
        <v>0</v>
      </c>
      <c r="AT25" s="299">
        <v>0</v>
      </c>
      <c r="AU25" s="299">
        <v>0</v>
      </c>
      <c r="AV25" s="273">
        <v>5</v>
      </c>
      <c r="AW25" s="273">
        <v>0</v>
      </c>
      <c r="AX25" s="322">
        <v>6</v>
      </c>
      <c r="AY25" s="322">
        <v>0</v>
      </c>
      <c r="AZ25" s="273">
        <v>6</v>
      </c>
      <c r="BA25" s="273">
        <v>0</v>
      </c>
      <c r="BB25" s="273">
        <v>6</v>
      </c>
      <c r="BC25" s="273">
        <v>0</v>
      </c>
      <c r="BD25" s="150">
        <v>6</v>
      </c>
      <c r="BE25" s="150">
        <v>0</v>
      </c>
      <c r="BF25" s="320">
        <v>0</v>
      </c>
      <c r="BG25" s="320">
        <v>0</v>
      </c>
      <c r="BH25" s="299">
        <v>0</v>
      </c>
      <c r="BI25" s="299">
        <v>0</v>
      </c>
      <c r="BJ25" s="150">
        <v>6</v>
      </c>
      <c r="BK25" s="150">
        <v>0</v>
      </c>
      <c r="BL25" s="118"/>
      <c r="BM25" s="118"/>
      <c r="BN25" s="118"/>
      <c r="BO25" s="118"/>
    </row>
    <row r="26" spans="1:70 16311:16311" x14ac:dyDescent="0.25">
      <c r="A26" s="338" t="s">
        <v>76</v>
      </c>
      <c r="B26" s="339"/>
      <c r="C26" s="8"/>
      <c r="D26" s="299">
        <v>0</v>
      </c>
      <c r="E26" s="299">
        <v>0</v>
      </c>
      <c r="F26" s="273">
        <v>0</v>
      </c>
      <c r="G26" s="273">
        <v>0</v>
      </c>
      <c r="H26" s="150">
        <v>0</v>
      </c>
      <c r="I26" s="269">
        <v>0</v>
      </c>
      <c r="J26" s="247">
        <v>0</v>
      </c>
      <c r="K26" s="247">
        <v>0</v>
      </c>
      <c r="L26" s="150">
        <v>0</v>
      </c>
      <c r="M26" s="150">
        <v>0</v>
      </c>
      <c r="N26" s="150">
        <v>0</v>
      </c>
      <c r="O26" s="150">
        <v>0</v>
      </c>
      <c r="P26" s="320">
        <v>0</v>
      </c>
      <c r="Q26" s="320">
        <v>0</v>
      </c>
      <c r="R26" s="297">
        <v>0</v>
      </c>
      <c r="S26" s="321">
        <v>0</v>
      </c>
      <c r="T26" s="295">
        <v>0</v>
      </c>
      <c r="U26" s="296">
        <v>0</v>
      </c>
      <c r="V26" s="322">
        <v>0</v>
      </c>
      <c r="W26" s="322">
        <v>0</v>
      </c>
      <c r="X26" s="247">
        <v>0</v>
      </c>
      <c r="Y26" s="247">
        <v>0</v>
      </c>
      <c r="Z26" s="295">
        <v>0</v>
      </c>
      <c r="AA26" s="296">
        <v>0</v>
      </c>
      <c r="AB26" s="150">
        <v>0</v>
      </c>
      <c r="AC26" s="150">
        <v>0</v>
      </c>
      <c r="AD26" s="129">
        <v>0</v>
      </c>
      <c r="AE26" s="129">
        <v>0</v>
      </c>
      <c r="AF26" s="130">
        <v>0</v>
      </c>
      <c r="AG26" s="130">
        <v>0</v>
      </c>
      <c r="AH26" s="150">
        <v>0</v>
      </c>
      <c r="AI26" s="269">
        <v>0</v>
      </c>
      <c r="AJ26" s="322">
        <v>0</v>
      </c>
      <c r="AK26" s="322">
        <v>0</v>
      </c>
      <c r="AL26" s="295">
        <v>0</v>
      </c>
      <c r="AM26" s="295">
        <v>0</v>
      </c>
      <c r="AN26" s="273">
        <v>0</v>
      </c>
      <c r="AO26" s="273">
        <v>0</v>
      </c>
      <c r="AP26" s="299">
        <v>0</v>
      </c>
      <c r="AQ26" s="299">
        <v>0</v>
      </c>
      <c r="AR26" s="320">
        <v>0</v>
      </c>
      <c r="AS26" s="320">
        <v>0</v>
      </c>
      <c r="AT26" s="300">
        <v>0</v>
      </c>
      <c r="AU26" s="300">
        <v>0</v>
      </c>
      <c r="AV26" s="247">
        <v>0</v>
      </c>
      <c r="AW26" s="247">
        <v>0</v>
      </c>
      <c r="AX26" s="322">
        <v>0</v>
      </c>
      <c r="AY26" s="322">
        <v>0</v>
      </c>
      <c r="AZ26" s="273">
        <v>0</v>
      </c>
      <c r="BA26" s="273">
        <v>0</v>
      </c>
      <c r="BB26" s="273">
        <v>0</v>
      </c>
      <c r="BC26" s="273">
        <v>0</v>
      </c>
      <c r="BD26" s="150">
        <v>0</v>
      </c>
      <c r="BE26" s="150">
        <v>0</v>
      </c>
      <c r="BF26" s="320">
        <v>0</v>
      </c>
      <c r="BG26" s="320">
        <v>0</v>
      </c>
      <c r="BH26" s="300">
        <v>0</v>
      </c>
      <c r="BI26" s="300">
        <v>0</v>
      </c>
      <c r="BJ26" s="273">
        <v>0</v>
      </c>
      <c r="BK26" s="273">
        <v>0</v>
      </c>
      <c r="BL26" s="118"/>
      <c r="BM26" s="118"/>
      <c r="BN26" s="118"/>
      <c r="BO26" s="118"/>
    </row>
    <row r="27" spans="1:70 16311:16311" ht="15.75" thickBot="1" x14ac:dyDescent="0.3">
      <c r="A27" s="340" t="s">
        <v>77</v>
      </c>
      <c r="B27" s="341"/>
      <c r="C27" s="8"/>
      <c r="D27" s="299">
        <v>0</v>
      </c>
      <c r="E27" s="299">
        <v>0</v>
      </c>
      <c r="F27" s="273">
        <v>5</v>
      </c>
      <c r="G27" s="273">
        <v>2</v>
      </c>
      <c r="H27" s="150">
        <v>5</v>
      </c>
      <c r="I27" s="269">
        <v>2</v>
      </c>
      <c r="J27" s="247">
        <v>5</v>
      </c>
      <c r="K27" s="247">
        <v>2</v>
      </c>
      <c r="L27" s="150">
        <v>5</v>
      </c>
      <c r="M27" s="150">
        <v>2</v>
      </c>
      <c r="N27" s="150">
        <v>5</v>
      </c>
      <c r="O27" s="150">
        <v>2</v>
      </c>
      <c r="P27" s="320">
        <v>0</v>
      </c>
      <c r="Q27" s="320">
        <v>0</v>
      </c>
      <c r="R27" s="297">
        <v>0</v>
      </c>
      <c r="S27" s="321">
        <v>0</v>
      </c>
      <c r="T27" s="295">
        <v>5</v>
      </c>
      <c r="U27" s="296">
        <v>2</v>
      </c>
      <c r="V27" s="322">
        <v>5</v>
      </c>
      <c r="W27" s="322">
        <v>2</v>
      </c>
      <c r="X27" s="247">
        <v>5</v>
      </c>
      <c r="Y27" s="247">
        <v>2</v>
      </c>
      <c r="Z27" s="295">
        <v>5</v>
      </c>
      <c r="AA27" s="296">
        <v>2</v>
      </c>
      <c r="AB27" s="150">
        <v>5</v>
      </c>
      <c r="AC27" s="150">
        <v>2</v>
      </c>
      <c r="AD27" s="129">
        <v>0</v>
      </c>
      <c r="AE27" s="129">
        <v>0</v>
      </c>
      <c r="AF27" s="130">
        <v>0</v>
      </c>
      <c r="AG27" s="130">
        <v>0</v>
      </c>
      <c r="AH27" s="150">
        <v>5</v>
      </c>
      <c r="AI27" s="269">
        <v>1</v>
      </c>
      <c r="AJ27" s="322">
        <v>5</v>
      </c>
      <c r="AK27" s="322">
        <v>2</v>
      </c>
      <c r="AL27" s="295">
        <v>5</v>
      </c>
      <c r="AM27" s="295">
        <v>2</v>
      </c>
      <c r="AN27" s="150">
        <v>5</v>
      </c>
      <c r="AO27" s="150">
        <v>2</v>
      </c>
      <c r="AP27" s="130">
        <v>6</v>
      </c>
      <c r="AQ27" s="130">
        <v>0</v>
      </c>
      <c r="AR27" s="320">
        <v>0</v>
      </c>
      <c r="AS27" s="320">
        <v>0</v>
      </c>
      <c r="AT27" s="300">
        <v>0</v>
      </c>
      <c r="AU27" s="300">
        <v>0</v>
      </c>
      <c r="AV27" s="247">
        <v>5</v>
      </c>
      <c r="AW27" s="247">
        <v>1</v>
      </c>
      <c r="AX27" s="322">
        <v>5</v>
      </c>
      <c r="AY27" s="322">
        <v>2</v>
      </c>
      <c r="AZ27" s="150">
        <v>5</v>
      </c>
      <c r="BA27" s="150">
        <v>2</v>
      </c>
      <c r="BB27" s="150">
        <v>5</v>
      </c>
      <c r="BC27" s="150">
        <v>2</v>
      </c>
      <c r="BD27" s="150">
        <v>5</v>
      </c>
      <c r="BE27" s="150">
        <v>2</v>
      </c>
      <c r="BF27" s="320">
        <v>0</v>
      </c>
      <c r="BG27" s="320">
        <v>0</v>
      </c>
      <c r="BH27" s="300">
        <v>0</v>
      </c>
      <c r="BI27" s="300">
        <v>0</v>
      </c>
      <c r="BJ27" s="150">
        <v>5</v>
      </c>
      <c r="BK27" s="150">
        <v>2</v>
      </c>
      <c r="BL27" s="118"/>
      <c r="BM27" s="118"/>
      <c r="BN27" s="118"/>
      <c r="BO27" s="118"/>
    </row>
    <row r="28" spans="1:70 16311:16311" x14ac:dyDescent="0.25">
      <c r="A28" s="263"/>
      <c r="B28" s="263"/>
      <c r="C28" s="8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118"/>
      <c r="BM28" s="118"/>
      <c r="BN28" s="118"/>
      <c r="BO28" s="118"/>
    </row>
    <row r="29" spans="1:70 16311:16311" ht="15.75" thickBot="1" x14ac:dyDescent="0.3">
      <c r="C29" s="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</row>
    <row r="30" spans="1:70 16311:16311" ht="15.75" thickBot="1" x14ac:dyDescent="0.3">
      <c r="C30" s="8"/>
      <c r="D30" s="64">
        <f t="shared" ref="D30:AI30" si="0">SUM(D3:D27)</f>
        <v>112</v>
      </c>
      <c r="E30" s="64">
        <f t="shared" si="0"/>
        <v>3</v>
      </c>
      <c r="F30" s="131">
        <f t="shared" si="0"/>
        <v>150</v>
      </c>
      <c r="G30" s="131">
        <f t="shared" si="0"/>
        <v>73</v>
      </c>
      <c r="H30" s="131">
        <f t="shared" si="0"/>
        <v>148</v>
      </c>
      <c r="I30" s="131">
        <f t="shared" si="0"/>
        <v>75</v>
      </c>
      <c r="J30" s="131">
        <f t="shared" si="0"/>
        <v>150</v>
      </c>
      <c r="K30" s="131">
        <f t="shared" si="0"/>
        <v>73</v>
      </c>
      <c r="L30" s="131">
        <f t="shared" si="0"/>
        <v>148</v>
      </c>
      <c r="M30" s="131">
        <f t="shared" si="0"/>
        <v>75</v>
      </c>
      <c r="N30" s="131">
        <f t="shared" si="0"/>
        <v>148</v>
      </c>
      <c r="O30" s="131">
        <f t="shared" si="0"/>
        <v>75</v>
      </c>
      <c r="P30" s="167">
        <f t="shared" si="0"/>
        <v>144</v>
      </c>
      <c r="Q30" s="167">
        <f t="shared" si="0"/>
        <v>3</v>
      </c>
      <c r="R30" s="64">
        <f t="shared" si="0"/>
        <v>108</v>
      </c>
      <c r="S30" s="64">
        <f t="shared" si="0"/>
        <v>3</v>
      </c>
      <c r="T30" s="131">
        <f t="shared" si="0"/>
        <v>147</v>
      </c>
      <c r="U30" s="131">
        <f t="shared" si="0"/>
        <v>76</v>
      </c>
      <c r="V30" s="131">
        <f t="shared" si="0"/>
        <v>147</v>
      </c>
      <c r="W30" s="131">
        <f t="shared" si="0"/>
        <v>76</v>
      </c>
      <c r="X30" s="131">
        <f t="shared" si="0"/>
        <v>148</v>
      </c>
      <c r="Y30" s="131">
        <f t="shared" si="0"/>
        <v>75</v>
      </c>
      <c r="Z30" s="131">
        <f t="shared" si="0"/>
        <v>156</v>
      </c>
      <c r="AA30" s="131">
        <f t="shared" si="0"/>
        <v>67</v>
      </c>
      <c r="AB30" s="131">
        <f t="shared" si="0"/>
        <v>150</v>
      </c>
      <c r="AC30" s="131">
        <f t="shared" si="0"/>
        <v>73</v>
      </c>
      <c r="AD30" s="167">
        <f t="shared" si="0"/>
        <v>144</v>
      </c>
      <c r="AE30" s="167">
        <f t="shared" si="0"/>
        <v>3</v>
      </c>
      <c r="AF30" s="64">
        <f t="shared" si="0"/>
        <v>109</v>
      </c>
      <c r="AG30" s="64">
        <f t="shared" si="0"/>
        <v>2</v>
      </c>
      <c r="AH30" s="131">
        <f t="shared" si="0"/>
        <v>49</v>
      </c>
      <c r="AI30" s="131">
        <f t="shared" si="0"/>
        <v>61</v>
      </c>
      <c r="AJ30" s="131">
        <f t="shared" ref="AJ30:BK30" si="1">SUM(AJ3:AJ27)</f>
        <v>150</v>
      </c>
      <c r="AK30" s="131">
        <f t="shared" si="1"/>
        <v>73</v>
      </c>
      <c r="AL30" s="131">
        <f t="shared" si="1"/>
        <v>150</v>
      </c>
      <c r="AM30" s="131">
        <f t="shared" si="1"/>
        <v>73</v>
      </c>
      <c r="AN30" s="131">
        <f t="shared" si="1"/>
        <v>148</v>
      </c>
      <c r="AO30" s="131">
        <f t="shared" si="1"/>
        <v>75</v>
      </c>
      <c r="AP30" s="64">
        <f t="shared" si="1"/>
        <v>108</v>
      </c>
      <c r="AQ30" s="64">
        <f t="shared" si="1"/>
        <v>3</v>
      </c>
      <c r="AR30" s="167">
        <f t="shared" si="1"/>
        <v>144</v>
      </c>
      <c r="AS30" s="167">
        <f t="shared" si="1"/>
        <v>3</v>
      </c>
      <c r="AT30" s="64">
        <f t="shared" si="1"/>
        <v>108</v>
      </c>
      <c r="AU30" s="64">
        <f t="shared" si="1"/>
        <v>3</v>
      </c>
      <c r="AV30" s="131">
        <f t="shared" si="1"/>
        <v>141</v>
      </c>
      <c r="AW30" s="131">
        <f t="shared" si="1"/>
        <v>72</v>
      </c>
      <c r="AX30" s="131">
        <f t="shared" si="1"/>
        <v>150</v>
      </c>
      <c r="AY30" s="131">
        <f t="shared" si="1"/>
        <v>73</v>
      </c>
      <c r="AZ30" s="131">
        <f t="shared" si="1"/>
        <v>152</v>
      </c>
      <c r="BA30" s="131">
        <f t="shared" si="1"/>
        <v>71</v>
      </c>
      <c r="BB30" s="131">
        <f t="shared" si="1"/>
        <v>148</v>
      </c>
      <c r="BC30" s="131">
        <f t="shared" si="1"/>
        <v>75</v>
      </c>
      <c r="BD30" s="131">
        <f t="shared" si="1"/>
        <v>150</v>
      </c>
      <c r="BE30" s="131">
        <f t="shared" si="1"/>
        <v>73</v>
      </c>
      <c r="BF30" s="167">
        <f t="shared" si="1"/>
        <v>144</v>
      </c>
      <c r="BG30" s="167">
        <f t="shared" si="1"/>
        <v>3</v>
      </c>
      <c r="BH30" s="64">
        <f t="shared" si="1"/>
        <v>100</v>
      </c>
      <c r="BI30" s="64">
        <f t="shared" si="1"/>
        <v>22</v>
      </c>
      <c r="BJ30" s="131">
        <f t="shared" si="1"/>
        <v>166</v>
      </c>
      <c r="BK30" s="131">
        <f t="shared" si="1"/>
        <v>57</v>
      </c>
      <c r="BL30" s="118"/>
      <c r="BM30" s="118"/>
      <c r="BN30" s="118"/>
      <c r="BO30" s="118"/>
      <c r="XCI30" s="65"/>
    </row>
    <row r="31" spans="1:70 16311:16311" x14ac:dyDescent="0.25">
      <c r="C31" s="8"/>
      <c r="L31" s="118"/>
      <c r="Z31" s="118"/>
      <c r="AA31" s="118"/>
      <c r="AB31" s="118"/>
      <c r="AC31" s="118"/>
      <c r="AG31" s="118"/>
      <c r="AH31" s="118"/>
      <c r="AI31" s="118"/>
      <c r="AR31" s="55"/>
      <c r="AS31" s="55"/>
      <c r="AT31" s="55"/>
      <c r="AU31" s="55"/>
      <c r="AV31" s="55"/>
      <c r="AW31" s="55"/>
      <c r="AX31" s="55"/>
      <c r="AY31" s="55"/>
      <c r="AZ31" s="55"/>
      <c r="BH31" s="55"/>
      <c r="BI31" s="55"/>
      <c r="BJ31" s="55"/>
      <c r="BK31" s="55"/>
      <c r="BL31" s="118"/>
      <c r="BM31" s="118"/>
      <c r="BN31" s="118"/>
      <c r="BO31" s="118"/>
    </row>
    <row r="32" spans="1:70 16311:16311" ht="18" x14ac:dyDescent="0.25">
      <c r="C32" s="8"/>
      <c r="L32" s="118"/>
      <c r="Z32" s="56"/>
      <c r="AR32" s="55"/>
      <c r="AS32" s="55"/>
      <c r="AT32" s="55"/>
      <c r="AU32" s="55"/>
      <c r="AV32" s="55"/>
      <c r="AW32" s="55"/>
      <c r="AX32" s="55"/>
      <c r="AY32" s="55"/>
      <c r="AZ32" s="55"/>
      <c r="BH32" s="55"/>
      <c r="BI32" s="55"/>
      <c r="BJ32" s="55"/>
      <c r="BK32" s="55"/>
    </row>
    <row r="33" spans="1:63" x14ac:dyDescent="0.25">
      <c r="C33" s="8"/>
      <c r="F33" s="118"/>
      <c r="G33" s="118"/>
      <c r="H33" s="118"/>
      <c r="I33" s="118"/>
      <c r="J33" s="8"/>
      <c r="K33" s="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</row>
    <row r="34" spans="1:63" x14ac:dyDescent="0.25">
      <c r="C34" s="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</row>
    <row r="35" spans="1:63" x14ac:dyDescent="0.25">
      <c r="C35" s="8"/>
      <c r="L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</row>
    <row r="36" spans="1:63" x14ac:dyDescent="0.25">
      <c r="A36" s="57" t="s">
        <v>78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</row>
    <row r="37" spans="1:63" x14ac:dyDescent="0.25">
      <c r="A37" t="s">
        <v>79</v>
      </c>
      <c r="C37" s="8"/>
      <c r="D37" s="58">
        <f t="shared" ref="D37:AI37" si="2">D5+D12+D24</f>
        <v>53</v>
      </c>
      <c r="E37" s="58">
        <f t="shared" si="2"/>
        <v>3</v>
      </c>
      <c r="F37" s="58">
        <f t="shared" si="2"/>
        <v>47</v>
      </c>
      <c r="G37" s="58">
        <f t="shared" si="2"/>
        <v>32</v>
      </c>
      <c r="H37" s="58">
        <f t="shared" si="2"/>
        <v>46</v>
      </c>
      <c r="I37" s="58">
        <f t="shared" si="2"/>
        <v>33</v>
      </c>
      <c r="J37" s="58">
        <f t="shared" si="2"/>
        <v>47</v>
      </c>
      <c r="K37" s="58">
        <f t="shared" si="2"/>
        <v>32</v>
      </c>
      <c r="L37" s="144">
        <f t="shared" si="2"/>
        <v>46</v>
      </c>
      <c r="M37" s="58">
        <f t="shared" si="2"/>
        <v>33</v>
      </c>
      <c r="N37" s="283">
        <f t="shared" si="2"/>
        <v>46</v>
      </c>
      <c r="O37" s="283">
        <f t="shared" si="2"/>
        <v>33</v>
      </c>
      <c r="P37" s="284">
        <f t="shared" si="2"/>
        <v>69</v>
      </c>
      <c r="Q37" s="284">
        <f t="shared" si="2"/>
        <v>3</v>
      </c>
      <c r="R37" s="260">
        <f t="shared" si="2"/>
        <v>51</v>
      </c>
      <c r="S37" s="260">
        <f t="shared" si="2"/>
        <v>3</v>
      </c>
      <c r="T37" s="58">
        <f t="shared" si="2"/>
        <v>47</v>
      </c>
      <c r="U37" s="58">
        <f t="shared" si="2"/>
        <v>32</v>
      </c>
      <c r="V37" s="271">
        <f t="shared" si="2"/>
        <v>47</v>
      </c>
      <c r="W37" s="271">
        <f t="shared" si="2"/>
        <v>32</v>
      </c>
      <c r="X37" s="272">
        <f t="shared" si="2"/>
        <v>46</v>
      </c>
      <c r="Y37" s="272">
        <f t="shared" si="2"/>
        <v>33</v>
      </c>
      <c r="Z37" s="274">
        <f t="shared" si="2"/>
        <v>48</v>
      </c>
      <c r="AA37" s="274">
        <f t="shared" si="2"/>
        <v>31</v>
      </c>
      <c r="AB37" s="275">
        <f t="shared" si="2"/>
        <v>47</v>
      </c>
      <c r="AC37" s="275">
        <f t="shared" si="2"/>
        <v>32</v>
      </c>
      <c r="AD37" s="58">
        <f t="shared" si="2"/>
        <v>69</v>
      </c>
      <c r="AE37" s="58">
        <f t="shared" si="2"/>
        <v>3</v>
      </c>
      <c r="AF37" s="58">
        <f t="shared" si="2"/>
        <v>52</v>
      </c>
      <c r="AG37" s="248">
        <f t="shared" si="2"/>
        <v>2</v>
      </c>
      <c r="AH37" s="58">
        <f t="shared" si="2"/>
        <v>18</v>
      </c>
      <c r="AI37" s="58">
        <f t="shared" si="2"/>
        <v>32</v>
      </c>
      <c r="AJ37" s="265">
        <f t="shared" ref="AJ37:BK37" si="3">AJ5+AJ12+AJ24</f>
        <v>47</v>
      </c>
      <c r="AK37" s="265">
        <f t="shared" si="3"/>
        <v>32</v>
      </c>
      <c r="AL37" s="286">
        <f t="shared" si="3"/>
        <v>47</v>
      </c>
      <c r="AM37" s="286">
        <f t="shared" si="3"/>
        <v>32</v>
      </c>
      <c r="AN37" s="277">
        <f t="shared" si="3"/>
        <v>47</v>
      </c>
      <c r="AO37" s="277">
        <f t="shared" si="3"/>
        <v>32</v>
      </c>
      <c r="AP37" s="286">
        <f t="shared" si="3"/>
        <v>51</v>
      </c>
      <c r="AQ37" s="286">
        <f t="shared" si="3"/>
        <v>3</v>
      </c>
      <c r="AR37" s="278">
        <f t="shared" si="3"/>
        <v>69</v>
      </c>
      <c r="AS37" s="278">
        <f t="shared" si="3"/>
        <v>3</v>
      </c>
      <c r="AT37" s="279">
        <f t="shared" si="3"/>
        <v>51</v>
      </c>
      <c r="AU37" s="279">
        <f t="shared" si="3"/>
        <v>3</v>
      </c>
      <c r="AV37" s="280">
        <f t="shared" si="3"/>
        <v>34</v>
      </c>
      <c r="AW37" s="280">
        <f t="shared" si="3"/>
        <v>28</v>
      </c>
      <c r="AX37" s="281">
        <f t="shared" si="3"/>
        <v>47</v>
      </c>
      <c r="AY37" s="281">
        <f t="shared" si="3"/>
        <v>32</v>
      </c>
      <c r="AZ37" s="58">
        <f t="shared" si="3"/>
        <v>48</v>
      </c>
      <c r="BA37" s="251">
        <f t="shared" si="3"/>
        <v>31</v>
      </c>
      <c r="BB37" s="109">
        <f t="shared" si="3"/>
        <v>46</v>
      </c>
      <c r="BC37" s="252">
        <f t="shared" si="3"/>
        <v>33</v>
      </c>
      <c r="BD37" s="266">
        <f t="shared" si="3"/>
        <v>47</v>
      </c>
      <c r="BE37" s="266">
        <f t="shared" si="3"/>
        <v>32</v>
      </c>
      <c r="BF37" s="168">
        <f t="shared" si="3"/>
        <v>69</v>
      </c>
      <c r="BG37" s="168">
        <f t="shared" si="3"/>
        <v>3</v>
      </c>
      <c r="BH37" s="267">
        <f t="shared" si="3"/>
        <v>50</v>
      </c>
      <c r="BI37" s="267">
        <f t="shared" si="3"/>
        <v>11</v>
      </c>
      <c r="BJ37" s="268">
        <f t="shared" si="3"/>
        <v>54</v>
      </c>
      <c r="BK37" s="268">
        <f t="shared" si="3"/>
        <v>25</v>
      </c>
    </row>
    <row r="38" spans="1:63" x14ac:dyDescent="0.25">
      <c r="A38" t="s">
        <v>80</v>
      </c>
      <c r="C38" s="8"/>
      <c r="D38" s="58">
        <f t="shared" ref="D38:AI38" si="4">D8+D15+D27</f>
        <v>59</v>
      </c>
      <c r="E38" s="58">
        <f t="shared" si="4"/>
        <v>0</v>
      </c>
      <c r="F38" s="58">
        <f t="shared" si="4"/>
        <v>45</v>
      </c>
      <c r="G38" s="58">
        <f t="shared" si="4"/>
        <v>33</v>
      </c>
      <c r="H38" s="58">
        <f t="shared" si="4"/>
        <v>44</v>
      </c>
      <c r="I38" s="58">
        <f t="shared" si="4"/>
        <v>34</v>
      </c>
      <c r="J38" s="58">
        <f t="shared" si="4"/>
        <v>45</v>
      </c>
      <c r="K38" s="58">
        <f t="shared" si="4"/>
        <v>33</v>
      </c>
      <c r="L38" s="144">
        <f t="shared" si="4"/>
        <v>45</v>
      </c>
      <c r="M38" s="58">
        <f t="shared" si="4"/>
        <v>33</v>
      </c>
      <c r="N38" s="283">
        <f t="shared" si="4"/>
        <v>44</v>
      </c>
      <c r="O38" s="283">
        <f t="shared" si="4"/>
        <v>34</v>
      </c>
      <c r="P38" s="284">
        <f t="shared" si="4"/>
        <v>75</v>
      </c>
      <c r="Q38" s="284">
        <f t="shared" si="4"/>
        <v>0</v>
      </c>
      <c r="R38" s="260">
        <f t="shared" si="4"/>
        <v>57</v>
      </c>
      <c r="S38" s="260">
        <f t="shared" si="4"/>
        <v>0</v>
      </c>
      <c r="T38" s="58">
        <f t="shared" si="4"/>
        <v>44</v>
      </c>
      <c r="U38" s="58">
        <f t="shared" si="4"/>
        <v>34</v>
      </c>
      <c r="V38" s="271">
        <f t="shared" si="4"/>
        <v>45</v>
      </c>
      <c r="W38" s="271">
        <f t="shared" si="4"/>
        <v>33</v>
      </c>
      <c r="X38" s="272">
        <f t="shared" si="4"/>
        <v>44</v>
      </c>
      <c r="Y38" s="272">
        <f t="shared" si="4"/>
        <v>34</v>
      </c>
      <c r="Z38" s="274">
        <f t="shared" si="4"/>
        <v>46</v>
      </c>
      <c r="AA38" s="274">
        <f t="shared" si="4"/>
        <v>32</v>
      </c>
      <c r="AB38" s="275">
        <f t="shared" si="4"/>
        <v>45</v>
      </c>
      <c r="AC38" s="275">
        <f t="shared" si="4"/>
        <v>33</v>
      </c>
      <c r="AD38" s="58">
        <f t="shared" si="4"/>
        <v>75</v>
      </c>
      <c r="AE38" s="246">
        <f t="shared" si="4"/>
        <v>0</v>
      </c>
      <c r="AF38" s="248">
        <f t="shared" si="4"/>
        <v>57</v>
      </c>
      <c r="AG38" s="248">
        <f t="shared" si="4"/>
        <v>0</v>
      </c>
      <c r="AH38" s="58">
        <f t="shared" si="4"/>
        <v>20</v>
      </c>
      <c r="AI38" s="58">
        <f t="shared" si="4"/>
        <v>29</v>
      </c>
      <c r="AJ38" s="265">
        <f t="shared" ref="AJ38:BK38" si="5">AJ8+AJ15+AJ27</f>
        <v>45</v>
      </c>
      <c r="AK38" s="265">
        <f t="shared" si="5"/>
        <v>33</v>
      </c>
      <c r="AL38" s="286">
        <f t="shared" si="5"/>
        <v>45</v>
      </c>
      <c r="AM38" s="286">
        <f t="shared" si="5"/>
        <v>33</v>
      </c>
      <c r="AN38" s="277">
        <f t="shared" si="5"/>
        <v>45</v>
      </c>
      <c r="AO38" s="277">
        <f t="shared" si="5"/>
        <v>33</v>
      </c>
      <c r="AP38" s="286">
        <f t="shared" si="5"/>
        <v>57</v>
      </c>
      <c r="AQ38" s="286">
        <f t="shared" si="5"/>
        <v>0</v>
      </c>
      <c r="AR38" s="278">
        <f t="shared" si="5"/>
        <v>75</v>
      </c>
      <c r="AS38" s="278">
        <f t="shared" si="5"/>
        <v>0</v>
      </c>
      <c r="AT38" s="279">
        <f t="shared" si="5"/>
        <v>57</v>
      </c>
      <c r="AU38" s="279">
        <f t="shared" si="5"/>
        <v>0</v>
      </c>
      <c r="AV38" s="280">
        <f t="shared" si="5"/>
        <v>31</v>
      </c>
      <c r="AW38" s="280">
        <f t="shared" si="5"/>
        <v>30</v>
      </c>
      <c r="AX38" s="281">
        <f t="shared" si="5"/>
        <v>45</v>
      </c>
      <c r="AY38" s="281">
        <f t="shared" si="5"/>
        <v>33</v>
      </c>
      <c r="AZ38" s="251">
        <f t="shared" si="5"/>
        <v>46</v>
      </c>
      <c r="BA38" s="251">
        <f t="shared" si="5"/>
        <v>32</v>
      </c>
      <c r="BB38" s="252">
        <f t="shared" si="5"/>
        <v>44</v>
      </c>
      <c r="BC38" s="252">
        <f t="shared" si="5"/>
        <v>34</v>
      </c>
      <c r="BD38" s="266">
        <f t="shared" si="5"/>
        <v>45</v>
      </c>
      <c r="BE38" s="266">
        <f t="shared" si="5"/>
        <v>33</v>
      </c>
      <c r="BF38" s="168">
        <f t="shared" si="5"/>
        <v>75</v>
      </c>
      <c r="BG38" s="168">
        <f t="shared" si="5"/>
        <v>0</v>
      </c>
      <c r="BH38" s="267">
        <f t="shared" si="5"/>
        <v>50</v>
      </c>
      <c r="BI38" s="267">
        <f t="shared" si="5"/>
        <v>11</v>
      </c>
      <c r="BJ38" s="268">
        <f t="shared" si="5"/>
        <v>52</v>
      </c>
      <c r="BK38" s="268">
        <f t="shared" si="5"/>
        <v>26</v>
      </c>
    </row>
    <row r="39" spans="1:63" x14ac:dyDescent="0.25">
      <c r="A39" t="s">
        <v>81</v>
      </c>
      <c r="C39" s="8"/>
      <c r="D39" s="58">
        <f t="shared" ref="D39:AI39" si="6">D3+D10+D22</f>
        <v>0</v>
      </c>
      <c r="E39" s="58">
        <f t="shared" si="6"/>
        <v>0</v>
      </c>
      <c r="F39" s="58">
        <f t="shared" si="6"/>
        <v>29</v>
      </c>
      <c r="G39" s="58">
        <f t="shared" si="6"/>
        <v>4</v>
      </c>
      <c r="H39" s="58">
        <f t="shared" si="6"/>
        <v>29</v>
      </c>
      <c r="I39" s="58">
        <f t="shared" si="6"/>
        <v>4</v>
      </c>
      <c r="J39" s="58">
        <f t="shared" si="6"/>
        <v>29</v>
      </c>
      <c r="K39" s="58">
        <f t="shared" si="6"/>
        <v>4</v>
      </c>
      <c r="L39" s="144">
        <f t="shared" si="6"/>
        <v>29</v>
      </c>
      <c r="M39" s="58">
        <f t="shared" si="6"/>
        <v>4</v>
      </c>
      <c r="N39" s="283">
        <f t="shared" si="6"/>
        <v>29</v>
      </c>
      <c r="O39" s="283">
        <f t="shared" si="6"/>
        <v>4</v>
      </c>
      <c r="P39" s="284">
        <f t="shared" si="6"/>
        <v>0</v>
      </c>
      <c r="Q39" s="284">
        <f t="shared" si="6"/>
        <v>0</v>
      </c>
      <c r="R39" s="260">
        <f t="shared" si="6"/>
        <v>0</v>
      </c>
      <c r="S39" s="260">
        <f t="shared" si="6"/>
        <v>0</v>
      </c>
      <c r="T39" s="58">
        <f t="shared" si="6"/>
        <v>28</v>
      </c>
      <c r="U39" s="58">
        <f t="shared" si="6"/>
        <v>5</v>
      </c>
      <c r="V39" s="271">
        <f t="shared" si="6"/>
        <v>28</v>
      </c>
      <c r="W39" s="271">
        <f t="shared" si="6"/>
        <v>5</v>
      </c>
      <c r="X39" s="272">
        <f t="shared" si="6"/>
        <v>29</v>
      </c>
      <c r="Y39" s="272">
        <f t="shared" si="6"/>
        <v>4</v>
      </c>
      <c r="Z39" s="274">
        <f t="shared" si="6"/>
        <v>31</v>
      </c>
      <c r="AA39" s="274">
        <f t="shared" si="6"/>
        <v>2</v>
      </c>
      <c r="AB39" s="275">
        <f t="shared" si="6"/>
        <v>29</v>
      </c>
      <c r="AC39" s="275">
        <f t="shared" si="6"/>
        <v>4</v>
      </c>
      <c r="AD39" s="58">
        <f t="shared" si="6"/>
        <v>0</v>
      </c>
      <c r="AE39" s="246">
        <f t="shared" si="6"/>
        <v>0</v>
      </c>
      <c r="AF39" s="58">
        <f t="shared" si="6"/>
        <v>0</v>
      </c>
      <c r="AG39" s="248">
        <f t="shared" si="6"/>
        <v>0</v>
      </c>
      <c r="AH39" s="58">
        <f t="shared" si="6"/>
        <v>5</v>
      </c>
      <c r="AI39" s="58">
        <f t="shared" si="6"/>
        <v>0</v>
      </c>
      <c r="AJ39" s="265">
        <f t="shared" ref="AJ39:BK39" si="7">AJ3+AJ10+AJ22</f>
        <v>29</v>
      </c>
      <c r="AK39" s="265">
        <f t="shared" si="7"/>
        <v>4</v>
      </c>
      <c r="AL39" s="286">
        <f t="shared" si="7"/>
        <v>29</v>
      </c>
      <c r="AM39" s="286">
        <f t="shared" si="7"/>
        <v>4</v>
      </c>
      <c r="AN39" s="277">
        <f t="shared" si="7"/>
        <v>28</v>
      </c>
      <c r="AO39" s="277">
        <f t="shared" si="7"/>
        <v>5</v>
      </c>
      <c r="AP39" s="286">
        <f t="shared" si="7"/>
        <v>0</v>
      </c>
      <c r="AQ39" s="286">
        <f t="shared" si="7"/>
        <v>0</v>
      </c>
      <c r="AR39" s="278">
        <f t="shared" si="7"/>
        <v>0</v>
      </c>
      <c r="AS39" s="278">
        <f t="shared" si="7"/>
        <v>0</v>
      </c>
      <c r="AT39" s="279">
        <f t="shared" si="7"/>
        <v>0</v>
      </c>
      <c r="AU39" s="279">
        <f t="shared" si="7"/>
        <v>0</v>
      </c>
      <c r="AV39" s="280">
        <f t="shared" si="7"/>
        <v>22</v>
      </c>
      <c r="AW39" s="280">
        <f t="shared" si="7"/>
        <v>4</v>
      </c>
      <c r="AX39" s="281">
        <f t="shared" si="7"/>
        <v>29</v>
      </c>
      <c r="AY39" s="281">
        <f t="shared" si="7"/>
        <v>4</v>
      </c>
      <c r="AZ39" s="58">
        <f t="shared" si="7"/>
        <v>29</v>
      </c>
      <c r="BA39" s="251">
        <f t="shared" si="7"/>
        <v>4</v>
      </c>
      <c r="BB39" s="252">
        <f t="shared" si="7"/>
        <v>29</v>
      </c>
      <c r="BC39" s="252">
        <f t="shared" si="7"/>
        <v>4</v>
      </c>
      <c r="BD39" s="266">
        <f t="shared" si="7"/>
        <v>29</v>
      </c>
      <c r="BE39" s="266">
        <f t="shared" si="7"/>
        <v>4</v>
      </c>
      <c r="BF39" s="253">
        <f t="shared" si="7"/>
        <v>0</v>
      </c>
      <c r="BG39" s="168">
        <f t="shared" si="7"/>
        <v>0</v>
      </c>
      <c r="BH39" s="267">
        <f t="shared" si="7"/>
        <v>0</v>
      </c>
      <c r="BI39" s="267">
        <f t="shared" si="7"/>
        <v>0</v>
      </c>
      <c r="BJ39" s="268">
        <f t="shared" si="7"/>
        <v>30</v>
      </c>
      <c r="BK39" s="268">
        <f t="shared" si="7"/>
        <v>3</v>
      </c>
    </row>
    <row r="40" spans="1:63" x14ac:dyDescent="0.25">
      <c r="A40" t="s">
        <v>82</v>
      </c>
      <c r="C40" s="8"/>
      <c r="D40" s="58">
        <f t="shared" ref="D40:AI40" si="8">D6+D13+D25</f>
        <v>0</v>
      </c>
      <c r="E40" s="58">
        <f t="shared" si="8"/>
        <v>0</v>
      </c>
      <c r="F40" s="58">
        <f t="shared" si="8"/>
        <v>28</v>
      </c>
      <c r="G40" s="58">
        <f t="shared" si="8"/>
        <v>4</v>
      </c>
      <c r="H40" s="58">
        <f t="shared" si="8"/>
        <v>28</v>
      </c>
      <c r="I40" s="58">
        <f t="shared" si="8"/>
        <v>4</v>
      </c>
      <c r="J40" s="58">
        <f t="shared" si="8"/>
        <v>28</v>
      </c>
      <c r="K40" s="58">
        <f t="shared" si="8"/>
        <v>4</v>
      </c>
      <c r="L40" s="144">
        <f t="shared" si="8"/>
        <v>27</v>
      </c>
      <c r="M40" s="58">
        <f t="shared" si="8"/>
        <v>5</v>
      </c>
      <c r="N40" s="283">
        <f t="shared" si="8"/>
        <v>28</v>
      </c>
      <c r="O40" s="283">
        <f t="shared" si="8"/>
        <v>4</v>
      </c>
      <c r="P40" s="284">
        <f t="shared" si="8"/>
        <v>0</v>
      </c>
      <c r="Q40" s="284">
        <f t="shared" si="8"/>
        <v>0</v>
      </c>
      <c r="R40" s="260">
        <f t="shared" si="8"/>
        <v>0</v>
      </c>
      <c r="S40" s="260">
        <f t="shared" si="8"/>
        <v>0</v>
      </c>
      <c r="T40" s="58">
        <f t="shared" si="8"/>
        <v>27</v>
      </c>
      <c r="U40" s="58">
        <f t="shared" si="8"/>
        <v>5</v>
      </c>
      <c r="V40" s="271">
        <f t="shared" si="8"/>
        <v>26</v>
      </c>
      <c r="W40" s="271">
        <f t="shared" si="8"/>
        <v>6</v>
      </c>
      <c r="X40" s="272">
        <f t="shared" si="8"/>
        <v>28</v>
      </c>
      <c r="Y40" s="272">
        <f t="shared" si="8"/>
        <v>4</v>
      </c>
      <c r="Z40" s="274">
        <f t="shared" si="8"/>
        <v>30</v>
      </c>
      <c r="AA40" s="274">
        <f t="shared" si="8"/>
        <v>2</v>
      </c>
      <c r="AB40" s="275">
        <f t="shared" si="8"/>
        <v>28</v>
      </c>
      <c r="AC40" s="275">
        <f t="shared" si="8"/>
        <v>4</v>
      </c>
      <c r="AD40" s="58">
        <f t="shared" si="8"/>
        <v>0</v>
      </c>
      <c r="AE40" s="246">
        <f t="shared" si="8"/>
        <v>0</v>
      </c>
      <c r="AF40" s="58">
        <f t="shared" si="8"/>
        <v>0</v>
      </c>
      <c r="AG40" s="248">
        <f t="shared" si="8"/>
        <v>0</v>
      </c>
      <c r="AH40" s="58">
        <f t="shared" si="8"/>
        <v>6</v>
      </c>
      <c r="AI40" s="58">
        <f t="shared" si="8"/>
        <v>0</v>
      </c>
      <c r="AJ40" s="265">
        <f t="shared" ref="AJ40:BK40" si="9">AJ6+AJ13+AJ25</f>
        <v>28</v>
      </c>
      <c r="AK40" s="265">
        <f t="shared" si="9"/>
        <v>4</v>
      </c>
      <c r="AL40" s="286">
        <f t="shared" si="9"/>
        <v>28</v>
      </c>
      <c r="AM40" s="286">
        <f t="shared" si="9"/>
        <v>4</v>
      </c>
      <c r="AN40" s="277">
        <f t="shared" si="9"/>
        <v>27</v>
      </c>
      <c r="AO40" s="277">
        <f t="shared" si="9"/>
        <v>5</v>
      </c>
      <c r="AP40" s="286">
        <f t="shared" si="9"/>
        <v>0</v>
      </c>
      <c r="AQ40" s="286">
        <f t="shared" si="9"/>
        <v>0</v>
      </c>
      <c r="AR40" s="278">
        <f t="shared" si="9"/>
        <v>0</v>
      </c>
      <c r="AS40" s="278">
        <f t="shared" si="9"/>
        <v>0</v>
      </c>
      <c r="AT40" s="279">
        <f t="shared" si="9"/>
        <v>0</v>
      </c>
      <c r="AU40" s="279">
        <f t="shared" si="9"/>
        <v>0</v>
      </c>
      <c r="AV40" s="280">
        <f t="shared" si="9"/>
        <v>26</v>
      </c>
      <c r="AW40" s="280">
        <f t="shared" si="9"/>
        <v>4</v>
      </c>
      <c r="AX40" s="281">
        <f t="shared" si="9"/>
        <v>28</v>
      </c>
      <c r="AY40" s="281">
        <f t="shared" si="9"/>
        <v>4</v>
      </c>
      <c r="AZ40" s="58">
        <f t="shared" si="9"/>
        <v>28</v>
      </c>
      <c r="BA40" s="251">
        <f t="shared" si="9"/>
        <v>4</v>
      </c>
      <c r="BB40" s="109">
        <f t="shared" si="9"/>
        <v>28</v>
      </c>
      <c r="BC40" s="252">
        <f t="shared" si="9"/>
        <v>4</v>
      </c>
      <c r="BD40" s="266">
        <f t="shared" si="9"/>
        <v>28</v>
      </c>
      <c r="BE40" s="266">
        <f t="shared" si="9"/>
        <v>4</v>
      </c>
      <c r="BF40" s="168">
        <f t="shared" si="9"/>
        <v>0</v>
      </c>
      <c r="BG40" s="168">
        <f t="shared" si="9"/>
        <v>0</v>
      </c>
      <c r="BH40" s="267">
        <f t="shared" si="9"/>
        <v>0</v>
      </c>
      <c r="BI40" s="267">
        <f t="shared" si="9"/>
        <v>0</v>
      </c>
      <c r="BJ40" s="268">
        <f t="shared" si="9"/>
        <v>29</v>
      </c>
      <c r="BK40" s="268">
        <f t="shared" si="9"/>
        <v>3</v>
      </c>
    </row>
    <row r="41" spans="1:63" s="118" customFormat="1" x14ac:dyDescent="0.25">
      <c r="A41" s="118" t="s">
        <v>122</v>
      </c>
      <c r="C41" s="8"/>
      <c r="D41" s="148">
        <f t="shared" ref="D41:AI41" si="10">D4+D11+D23</f>
        <v>0</v>
      </c>
      <c r="E41" s="148">
        <f t="shared" si="10"/>
        <v>0</v>
      </c>
      <c r="F41" s="148">
        <f t="shared" si="10"/>
        <v>0</v>
      </c>
      <c r="G41" s="148">
        <f t="shared" si="10"/>
        <v>0</v>
      </c>
      <c r="H41" s="148">
        <f t="shared" si="10"/>
        <v>0</v>
      </c>
      <c r="I41" s="148">
        <f t="shared" si="10"/>
        <v>0</v>
      </c>
      <c r="J41" s="148">
        <f t="shared" si="10"/>
        <v>0</v>
      </c>
      <c r="K41" s="148">
        <f t="shared" si="10"/>
        <v>0</v>
      </c>
      <c r="L41" s="148">
        <f t="shared" si="10"/>
        <v>0</v>
      </c>
      <c r="M41" s="148">
        <f t="shared" si="10"/>
        <v>0</v>
      </c>
      <c r="N41" s="283">
        <f t="shared" si="10"/>
        <v>0</v>
      </c>
      <c r="O41" s="283">
        <f t="shared" si="10"/>
        <v>0</v>
      </c>
      <c r="P41" s="284">
        <f t="shared" si="10"/>
        <v>0</v>
      </c>
      <c r="Q41" s="284">
        <f t="shared" si="10"/>
        <v>0</v>
      </c>
      <c r="R41" s="260">
        <f t="shared" si="10"/>
        <v>0</v>
      </c>
      <c r="S41" s="260">
        <f t="shared" si="10"/>
        <v>0</v>
      </c>
      <c r="T41" s="148">
        <f t="shared" si="10"/>
        <v>0</v>
      </c>
      <c r="U41" s="148">
        <f t="shared" si="10"/>
        <v>0</v>
      </c>
      <c r="V41" s="271">
        <f t="shared" si="10"/>
        <v>0</v>
      </c>
      <c r="W41" s="271">
        <f t="shared" si="10"/>
        <v>0</v>
      </c>
      <c r="X41" s="272">
        <f t="shared" si="10"/>
        <v>0</v>
      </c>
      <c r="Y41" s="272">
        <f t="shared" si="10"/>
        <v>0</v>
      </c>
      <c r="Z41" s="274">
        <f t="shared" si="10"/>
        <v>0</v>
      </c>
      <c r="AA41" s="274">
        <f t="shared" si="10"/>
        <v>0</v>
      </c>
      <c r="AB41" s="275">
        <f t="shared" si="10"/>
        <v>0</v>
      </c>
      <c r="AC41" s="275">
        <f t="shared" si="10"/>
        <v>0</v>
      </c>
      <c r="AD41" s="148">
        <f t="shared" si="10"/>
        <v>0</v>
      </c>
      <c r="AE41" s="246">
        <f t="shared" si="10"/>
        <v>0</v>
      </c>
      <c r="AF41" s="148">
        <f t="shared" si="10"/>
        <v>0</v>
      </c>
      <c r="AG41" s="248">
        <f t="shared" si="10"/>
        <v>0</v>
      </c>
      <c r="AH41" s="148">
        <f t="shared" si="10"/>
        <v>0</v>
      </c>
      <c r="AI41" s="148">
        <f t="shared" si="10"/>
        <v>0</v>
      </c>
      <c r="AJ41" s="265">
        <f t="shared" ref="AJ41:BK41" si="11">AJ4+AJ11+AJ23</f>
        <v>0</v>
      </c>
      <c r="AK41" s="265">
        <f t="shared" si="11"/>
        <v>0</v>
      </c>
      <c r="AL41" s="286">
        <f t="shared" si="11"/>
        <v>0</v>
      </c>
      <c r="AM41" s="286">
        <f t="shared" si="11"/>
        <v>0</v>
      </c>
      <c r="AN41" s="277">
        <f t="shared" si="11"/>
        <v>0</v>
      </c>
      <c r="AO41" s="277">
        <f t="shared" si="11"/>
        <v>0</v>
      </c>
      <c r="AP41" s="286">
        <f t="shared" si="11"/>
        <v>0</v>
      </c>
      <c r="AQ41" s="286">
        <f t="shared" si="11"/>
        <v>0</v>
      </c>
      <c r="AR41" s="278">
        <f t="shared" si="11"/>
        <v>0</v>
      </c>
      <c r="AS41" s="278">
        <f t="shared" si="11"/>
        <v>0</v>
      </c>
      <c r="AT41" s="279">
        <f t="shared" si="11"/>
        <v>0</v>
      </c>
      <c r="AU41" s="279">
        <f t="shared" si="11"/>
        <v>0</v>
      </c>
      <c r="AV41" s="280">
        <f t="shared" si="11"/>
        <v>0</v>
      </c>
      <c r="AW41" s="280">
        <f t="shared" si="11"/>
        <v>0</v>
      </c>
      <c r="AX41" s="281">
        <f t="shared" si="11"/>
        <v>0</v>
      </c>
      <c r="AY41" s="281">
        <f t="shared" si="11"/>
        <v>0</v>
      </c>
      <c r="AZ41" s="148">
        <f t="shared" si="11"/>
        <v>0</v>
      </c>
      <c r="BA41" s="251">
        <f t="shared" si="11"/>
        <v>0</v>
      </c>
      <c r="BB41" s="148">
        <f t="shared" si="11"/>
        <v>0</v>
      </c>
      <c r="BC41" s="252">
        <f t="shared" si="11"/>
        <v>0</v>
      </c>
      <c r="BD41" s="266">
        <f t="shared" si="11"/>
        <v>0</v>
      </c>
      <c r="BE41" s="266">
        <f t="shared" si="11"/>
        <v>0</v>
      </c>
      <c r="BF41" s="168">
        <f t="shared" si="11"/>
        <v>0</v>
      </c>
      <c r="BG41" s="168">
        <f t="shared" si="11"/>
        <v>0</v>
      </c>
      <c r="BH41" s="267">
        <f t="shared" si="11"/>
        <v>0</v>
      </c>
      <c r="BI41" s="267">
        <f t="shared" si="11"/>
        <v>0</v>
      </c>
      <c r="BJ41" s="268">
        <f t="shared" si="11"/>
        <v>0</v>
      </c>
      <c r="BK41" s="268">
        <f t="shared" si="11"/>
        <v>0</v>
      </c>
    </row>
    <row r="42" spans="1:63" x14ac:dyDescent="0.25">
      <c r="A42" t="s">
        <v>35</v>
      </c>
      <c r="C42" s="8"/>
      <c r="D42" s="58">
        <f t="shared" ref="D42:AI42" si="12">D7+D14+D26</f>
        <v>0</v>
      </c>
      <c r="E42" s="58">
        <f t="shared" si="12"/>
        <v>0</v>
      </c>
      <c r="F42" s="58">
        <f t="shared" si="12"/>
        <v>1</v>
      </c>
      <c r="G42" s="58">
        <f t="shared" si="12"/>
        <v>0</v>
      </c>
      <c r="H42" s="58">
        <f t="shared" si="12"/>
        <v>1</v>
      </c>
      <c r="I42" s="58">
        <f t="shared" si="12"/>
        <v>0</v>
      </c>
      <c r="J42" s="58">
        <f t="shared" si="12"/>
        <v>1</v>
      </c>
      <c r="K42" s="58">
        <f t="shared" si="12"/>
        <v>0</v>
      </c>
      <c r="L42" s="144">
        <f t="shared" si="12"/>
        <v>1</v>
      </c>
      <c r="M42" s="58">
        <f t="shared" si="12"/>
        <v>0</v>
      </c>
      <c r="N42" s="283">
        <f t="shared" si="12"/>
        <v>1</v>
      </c>
      <c r="O42" s="283">
        <f t="shared" si="12"/>
        <v>0</v>
      </c>
      <c r="P42" s="284">
        <f t="shared" si="12"/>
        <v>0</v>
      </c>
      <c r="Q42" s="284">
        <f t="shared" si="12"/>
        <v>0</v>
      </c>
      <c r="R42" s="260">
        <f t="shared" si="12"/>
        <v>0</v>
      </c>
      <c r="S42" s="260">
        <f t="shared" si="12"/>
        <v>0</v>
      </c>
      <c r="T42" s="58">
        <f t="shared" si="12"/>
        <v>1</v>
      </c>
      <c r="U42" s="58">
        <f t="shared" si="12"/>
        <v>0</v>
      </c>
      <c r="V42" s="271">
        <f t="shared" si="12"/>
        <v>1</v>
      </c>
      <c r="W42" s="271">
        <f t="shared" si="12"/>
        <v>0</v>
      </c>
      <c r="X42" s="272">
        <f t="shared" si="12"/>
        <v>1</v>
      </c>
      <c r="Y42" s="272">
        <f t="shared" si="12"/>
        <v>0</v>
      </c>
      <c r="Z42" s="274">
        <f t="shared" si="12"/>
        <v>1</v>
      </c>
      <c r="AA42" s="274">
        <f t="shared" si="12"/>
        <v>0</v>
      </c>
      <c r="AB42" s="275">
        <f t="shared" si="12"/>
        <v>1</v>
      </c>
      <c r="AC42" s="275">
        <f t="shared" si="12"/>
        <v>0</v>
      </c>
      <c r="AD42" s="58">
        <f t="shared" si="12"/>
        <v>0</v>
      </c>
      <c r="AE42" s="246">
        <f t="shared" si="12"/>
        <v>0</v>
      </c>
      <c r="AF42" s="248">
        <f t="shared" si="12"/>
        <v>0</v>
      </c>
      <c r="AG42" s="248">
        <f t="shared" si="12"/>
        <v>0</v>
      </c>
      <c r="AH42" s="58">
        <f t="shared" si="12"/>
        <v>0</v>
      </c>
      <c r="AI42" s="58">
        <f t="shared" si="12"/>
        <v>0</v>
      </c>
      <c r="AJ42" s="265">
        <f t="shared" ref="AJ42:BK42" si="13">AJ7+AJ14+AJ26</f>
        <v>1</v>
      </c>
      <c r="AK42" s="265">
        <f t="shared" si="13"/>
        <v>0</v>
      </c>
      <c r="AL42" s="286">
        <f t="shared" si="13"/>
        <v>1</v>
      </c>
      <c r="AM42" s="286">
        <f t="shared" si="13"/>
        <v>0</v>
      </c>
      <c r="AN42" s="277">
        <f t="shared" si="13"/>
        <v>1</v>
      </c>
      <c r="AO42" s="277">
        <f t="shared" si="13"/>
        <v>0</v>
      </c>
      <c r="AP42" s="286">
        <f t="shared" si="13"/>
        <v>0</v>
      </c>
      <c r="AQ42" s="286">
        <f t="shared" si="13"/>
        <v>0</v>
      </c>
      <c r="AR42" s="278">
        <f t="shared" si="13"/>
        <v>0</v>
      </c>
      <c r="AS42" s="278">
        <f t="shared" si="13"/>
        <v>0</v>
      </c>
      <c r="AT42" s="279">
        <f t="shared" si="13"/>
        <v>0</v>
      </c>
      <c r="AU42" s="279">
        <f t="shared" si="13"/>
        <v>0</v>
      </c>
      <c r="AV42" s="280">
        <f t="shared" si="13"/>
        <v>1</v>
      </c>
      <c r="AW42" s="280">
        <f t="shared" si="13"/>
        <v>0</v>
      </c>
      <c r="AX42" s="281">
        <f t="shared" si="13"/>
        <v>1</v>
      </c>
      <c r="AY42" s="281">
        <f t="shared" si="13"/>
        <v>0</v>
      </c>
      <c r="AZ42" s="251">
        <f t="shared" si="13"/>
        <v>1</v>
      </c>
      <c r="BA42" s="251">
        <f t="shared" si="13"/>
        <v>0</v>
      </c>
      <c r="BB42" s="252">
        <f t="shared" si="13"/>
        <v>1</v>
      </c>
      <c r="BC42" s="252">
        <f t="shared" si="13"/>
        <v>0</v>
      </c>
      <c r="BD42" s="266">
        <f t="shared" si="13"/>
        <v>1</v>
      </c>
      <c r="BE42" s="266">
        <f t="shared" si="13"/>
        <v>0</v>
      </c>
      <c r="BF42" s="168">
        <f t="shared" si="13"/>
        <v>0</v>
      </c>
      <c r="BG42" s="168">
        <f t="shared" si="13"/>
        <v>0</v>
      </c>
      <c r="BH42" s="267">
        <f t="shared" si="13"/>
        <v>0</v>
      </c>
      <c r="BI42" s="267">
        <f t="shared" si="13"/>
        <v>0</v>
      </c>
      <c r="BJ42" s="268">
        <f t="shared" si="13"/>
        <v>1</v>
      </c>
      <c r="BK42" s="268">
        <f t="shared" si="13"/>
        <v>0</v>
      </c>
    </row>
    <row r="43" spans="1:63" s="118" customFormat="1" x14ac:dyDescent="0.25">
      <c r="A43" s="118" t="s">
        <v>172</v>
      </c>
      <c r="C43" s="8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  <c r="AF43" s="324"/>
      <c r="AG43" s="324"/>
      <c r="AH43" s="324"/>
      <c r="AI43" s="324"/>
      <c r="AJ43" s="324"/>
      <c r="AK43" s="324"/>
      <c r="AL43" s="324"/>
      <c r="AM43" s="324"/>
      <c r="AN43" s="324"/>
      <c r="AO43" s="324"/>
      <c r="AP43" s="324"/>
      <c r="AQ43" s="324"/>
      <c r="AR43" s="324"/>
      <c r="AS43" s="324"/>
      <c r="AT43" s="324"/>
      <c r="AU43" s="324"/>
      <c r="AV43" s="324">
        <f t="shared" ref="AV43:AW47" si="14">AV16</f>
        <v>10</v>
      </c>
      <c r="AW43" s="324">
        <f t="shared" si="14"/>
        <v>2</v>
      </c>
      <c r="AX43" s="324"/>
      <c r="AY43" s="324"/>
      <c r="AZ43" s="324"/>
      <c r="BA43" s="324"/>
      <c r="BB43" s="324"/>
      <c r="BC43" s="324"/>
      <c r="BD43" s="324"/>
      <c r="BE43" s="324"/>
      <c r="BF43" s="324"/>
      <c r="BG43" s="324"/>
      <c r="BH43" s="324"/>
      <c r="BI43" s="324"/>
      <c r="BJ43" s="324"/>
      <c r="BK43" s="324"/>
    </row>
    <row r="44" spans="1:63" s="118" customFormat="1" x14ac:dyDescent="0.25">
      <c r="A44" s="118" t="s">
        <v>173</v>
      </c>
      <c r="C44" s="8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  <c r="AG44" s="324"/>
      <c r="AH44" s="324"/>
      <c r="AI44" s="324"/>
      <c r="AJ44" s="324"/>
      <c r="AK44" s="324"/>
      <c r="AL44" s="324"/>
      <c r="AM44" s="324"/>
      <c r="AN44" s="324"/>
      <c r="AO44" s="324"/>
      <c r="AP44" s="324"/>
      <c r="AQ44" s="324"/>
      <c r="AR44" s="324"/>
      <c r="AS44" s="324"/>
      <c r="AT44" s="324"/>
      <c r="AU44" s="324"/>
      <c r="AV44" s="324">
        <f t="shared" si="14"/>
        <v>13</v>
      </c>
      <c r="AW44" s="324">
        <f t="shared" si="14"/>
        <v>2</v>
      </c>
      <c r="AX44" s="324"/>
      <c r="AY44" s="324"/>
      <c r="AZ44" s="324"/>
      <c r="BA44" s="324"/>
      <c r="BB44" s="324"/>
      <c r="BC44" s="324"/>
      <c r="BD44" s="324"/>
      <c r="BE44" s="324"/>
      <c r="BF44" s="324"/>
      <c r="BG44" s="324"/>
      <c r="BH44" s="324"/>
      <c r="BI44" s="324"/>
      <c r="BJ44" s="324"/>
      <c r="BK44" s="324"/>
    </row>
    <row r="45" spans="1:63" s="118" customFormat="1" x14ac:dyDescent="0.25">
      <c r="A45" s="118" t="s">
        <v>179</v>
      </c>
      <c r="C45" s="8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>
        <f t="shared" si="14"/>
        <v>2</v>
      </c>
      <c r="AW45" s="326">
        <f t="shared" si="14"/>
        <v>2</v>
      </c>
      <c r="AX45" s="326"/>
      <c r="AY45" s="326"/>
      <c r="AZ45" s="326"/>
      <c r="BA45" s="326"/>
      <c r="BB45" s="326"/>
      <c r="BC45" s="326"/>
      <c r="BD45" s="326"/>
      <c r="BE45" s="326"/>
      <c r="BF45" s="326"/>
      <c r="BG45" s="326"/>
      <c r="BH45" s="326"/>
      <c r="BI45" s="326"/>
      <c r="BJ45" s="326"/>
      <c r="BK45" s="326"/>
    </row>
    <row r="46" spans="1:63" s="118" customFormat="1" x14ac:dyDescent="0.25">
      <c r="A46" s="118" t="s">
        <v>160</v>
      </c>
      <c r="C46" s="8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26"/>
      <c r="AU46" s="326"/>
      <c r="AV46" s="326">
        <f t="shared" si="14"/>
        <v>1</v>
      </c>
      <c r="AW46" s="326">
        <f t="shared" si="14"/>
        <v>0</v>
      </c>
      <c r="AX46" s="326"/>
      <c r="AY46" s="326"/>
      <c r="AZ46" s="326"/>
      <c r="BA46" s="326"/>
      <c r="BB46" s="326"/>
      <c r="BC46" s="326"/>
      <c r="BD46" s="326"/>
      <c r="BE46" s="326"/>
      <c r="BF46" s="326"/>
      <c r="BG46" s="326"/>
      <c r="BH46" s="326"/>
      <c r="BI46" s="326"/>
      <c r="BJ46" s="326"/>
      <c r="BK46" s="326"/>
    </row>
    <row r="47" spans="1:63" s="118" customFormat="1" x14ac:dyDescent="0.25">
      <c r="A47" s="118" t="s">
        <v>125</v>
      </c>
      <c r="C47" s="8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26"/>
      <c r="AU47" s="326"/>
      <c r="AV47" s="326">
        <f t="shared" si="14"/>
        <v>1</v>
      </c>
      <c r="AW47" s="326">
        <f t="shared" si="14"/>
        <v>0</v>
      </c>
      <c r="AX47" s="326"/>
      <c r="AY47" s="326"/>
      <c r="AZ47" s="326"/>
      <c r="BA47" s="326"/>
      <c r="BB47" s="326"/>
      <c r="BC47" s="326"/>
      <c r="BD47" s="326"/>
      <c r="BE47" s="326"/>
      <c r="BF47" s="326"/>
      <c r="BG47" s="326"/>
      <c r="BH47" s="326"/>
      <c r="BI47" s="326"/>
      <c r="BJ47" s="326"/>
      <c r="BK47" s="326"/>
    </row>
    <row r="48" spans="1:63" x14ac:dyDescent="0.25">
      <c r="A48" s="372" t="s">
        <v>83</v>
      </c>
      <c r="B48" s="372"/>
      <c r="C48" s="8"/>
      <c r="D48" s="143">
        <f t="shared" ref="D48:Q48" si="15">SUM(D37:D42)</f>
        <v>112</v>
      </c>
      <c r="E48" s="232">
        <f t="shared" si="15"/>
        <v>3</v>
      </c>
      <c r="F48" s="232">
        <f t="shared" si="15"/>
        <v>150</v>
      </c>
      <c r="G48" s="232">
        <f t="shared" si="15"/>
        <v>73</v>
      </c>
      <c r="H48" s="232">
        <f t="shared" si="15"/>
        <v>148</v>
      </c>
      <c r="I48" s="232">
        <f t="shared" si="15"/>
        <v>75</v>
      </c>
      <c r="J48" s="232">
        <f t="shared" si="15"/>
        <v>150</v>
      </c>
      <c r="K48" s="232">
        <f t="shared" si="15"/>
        <v>73</v>
      </c>
      <c r="L48" s="232">
        <f t="shared" si="15"/>
        <v>148</v>
      </c>
      <c r="M48" s="232">
        <f t="shared" si="15"/>
        <v>75</v>
      </c>
      <c r="N48" s="232">
        <f t="shared" si="15"/>
        <v>148</v>
      </c>
      <c r="O48" s="232">
        <f t="shared" si="15"/>
        <v>75</v>
      </c>
      <c r="P48" s="232">
        <f t="shared" si="15"/>
        <v>144</v>
      </c>
      <c r="Q48" s="232">
        <f t="shared" si="15"/>
        <v>3</v>
      </c>
      <c r="R48" s="232">
        <f>SUM(R37:R42)</f>
        <v>108</v>
      </c>
      <c r="S48" s="313">
        <f>SUM(S37:S42)</f>
        <v>3</v>
      </c>
      <c r="T48" s="232">
        <f t="shared" ref="T48:AI48" si="16">SUM(T37:T42)</f>
        <v>147</v>
      </c>
      <c r="U48" s="232">
        <f t="shared" si="16"/>
        <v>76</v>
      </c>
      <c r="V48" s="262">
        <f t="shared" si="16"/>
        <v>147</v>
      </c>
      <c r="W48" s="262">
        <f t="shared" si="16"/>
        <v>76</v>
      </c>
      <c r="X48" s="232">
        <f t="shared" si="16"/>
        <v>148</v>
      </c>
      <c r="Y48" s="232">
        <f t="shared" si="16"/>
        <v>75</v>
      </c>
      <c r="Z48" s="232">
        <f t="shared" si="16"/>
        <v>156</v>
      </c>
      <c r="AA48" s="232">
        <f t="shared" si="16"/>
        <v>67</v>
      </c>
      <c r="AB48" s="232">
        <f t="shared" si="16"/>
        <v>150</v>
      </c>
      <c r="AC48" s="232">
        <f t="shared" si="16"/>
        <v>73</v>
      </c>
      <c r="AD48" s="232">
        <f t="shared" si="16"/>
        <v>144</v>
      </c>
      <c r="AE48" s="232">
        <f t="shared" si="16"/>
        <v>3</v>
      </c>
      <c r="AF48" s="232">
        <f t="shared" si="16"/>
        <v>109</v>
      </c>
      <c r="AG48" s="232">
        <f t="shared" si="16"/>
        <v>2</v>
      </c>
      <c r="AH48" s="232">
        <f t="shared" si="16"/>
        <v>49</v>
      </c>
      <c r="AI48" s="232">
        <f t="shared" si="16"/>
        <v>61</v>
      </c>
      <c r="AJ48" s="232">
        <f t="shared" ref="AJ48:BK48" si="17">SUM(AJ37:AJ42)</f>
        <v>150</v>
      </c>
      <c r="AK48" s="232">
        <f t="shared" si="17"/>
        <v>73</v>
      </c>
      <c r="AL48" s="232">
        <f t="shared" si="17"/>
        <v>150</v>
      </c>
      <c r="AM48" s="232">
        <f t="shared" si="17"/>
        <v>73</v>
      </c>
      <c r="AN48" s="232">
        <f t="shared" si="17"/>
        <v>148</v>
      </c>
      <c r="AO48" s="232">
        <f t="shared" si="17"/>
        <v>75</v>
      </c>
      <c r="AP48" s="232">
        <f t="shared" si="17"/>
        <v>108</v>
      </c>
      <c r="AQ48" s="232">
        <f t="shared" si="17"/>
        <v>3</v>
      </c>
      <c r="AR48" s="232">
        <f t="shared" si="17"/>
        <v>144</v>
      </c>
      <c r="AS48" s="232">
        <f t="shared" si="17"/>
        <v>3</v>
      </c>
      <c r="AT48" s="232">
        <f t="shared" si="17"/>
        <v>108</v>
      </c>
      <c r="AU48" s="232">
        <f t="shared" si="17"/>
        <v>3</v>
      </c>
      <c r="AV48" s="232">
        <f>SUM(AV37:AV47)</f>
        <v>141</v>
      </c>
      <c r="AW48" s="232">
        <f>SUM(AW37:AW47)</f>
        <v>72</v>
      </c>
      <c r="AX48" s="232">
        <f t="shared" si="17"/>
        <v>150</v>
      </c>
      <c r="AY48" s="279">
        <f t="shared" si="17"/>
        <v>73</v>
      </c>
      <c r="AZ48" s="279">
        <f t="shared" si="17"/>
        <v>152</v>
      </c>
      <c r="BA48" s="279">
        <f t="shared" si="17"/>
        <v>71</v>
      </c>
      <c r="BB48" s="279">
        <f t="shared" si="17"/>
        <v>148</v>
      </c>
      <c r="BC48" s="279">
        <f t="shared" si="17"/>
        <v>75</v>
      </c>
      <c r="BD48" s="279">
        <f t="shared" si="17"/>
        <v>150</v>
      </c>
      <c r="BE48" s="279">
        <f t="shared" si="17"/>
        <v>73</v>
      </c>
      <c r="BF48" s="279">
        <f t="shared" si="17"/>
        <v>144</v>
      </c>
      <c r="BG48" s="279">
        <f t="shared" si="17"/>
        <v>3</v>
      </c>
      <c r="BH48" s="232">
        <f t="shared" si="17"/>
        <v>100</v>
      </c>
      <c r="BI48" s="232">
        <f t="shared" si="17"/>
        <v>22</v>
      </c>
      <c r="BJ48" s="232">
        <f t="shared" si="17"/>
        <v>166</v>
      </c>
      <c r="BK48" s="232">
        <f t="shared" si="17"/>
        <v>57</v>
      </c>
    </row>
    <row r="49" spans="1:63" x14ac:dyDescent="0.25">
      <c r="C49" s="8"/>
      <c r="L49" s="118"/>
      <c r="AR49" s="55"/>
      <c r="AS49" s="55"/>
      <c r="AT49" s="55"/>
      <c r="AU49" s="55"/>
      <c r="AV49" s="55"/>
      <c r="AW49" s="55"/>
      <c r="AX49" s="55"/>
      <c r="AY49" s="55"/>
      <c r="AZ49" s="55"/>
      <c r="BB49" s="55"/>
      <c r="BD49" s="55"/>
      <c r="BH49" s="55"/>
      <c r="BI49" s="55"/>
      <c r="BJ49" s="55"/>
      <c r="BK49" s="55"/>
    </row>
    <row r="50" spans="1:63" x14ac:dyDescent="0.25">
      <c r="A50" s="57" t="s">
        <v>84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9"/>
      <c r="AS50" s="59"/>
      <c r="AT50" s="59"/>
      <c r="AU50" s="59"/>
      <c r="AV50" s="59"/>
      <c r="AW50" s="59"/>
      <c r="AX50" s="59"/>
      <c r="AY50" s="59"/>
      <c r="AZ50" s="59"/>
      <c r="BA50" s="57"/>
      <c r="BB50" s="59"/>
      <c r="BC50" s="57"/>
      <c r="BD50" s="59"/>
      <c r="BE50" s="57"/>
      <c r="BF50" s="57"/>
      <c r="BG50" s="57"/>
      <c r="BH50" s="59"/>
      <c r="BI50" s="59"/>
      <c r="BJ50" s="59"/>
      <c r="BK50" s="59"/>
    </row>
    <row r="51" spans="1:63" x14ac:dyDescent="0.25">
      <c r="A51" t="s">
        <v>79</v>
      </c>
      <c r="C51" s="8"/>
      <c r="D51" s="58">
        <f>D5+E5+D12+E12+D24+E24</f>
        <v>56</v>
      </c>
      <c r="E51" s="58"/>
      <c r="F51" s="58">
        <f>F5+G5+F12+G12+F24+G24</f>
        <v>79</v>
      </c>
      <c r="G51" s="58"/>
      <c r="H51" s="58">
        <f>H5+I5+H12+I12+H24+I24</f>
        <v>79</v>
      </c>
      <c r="I51" s="58"/>
      <c r="J51" s="58">
        <f>J5+K5+J12+K12+J24+K24</f>
        <v>79</v>
      </c>
      <c r="K51" s="58"/>
      <c r="L51" s="144">
        <f>L5+M5+L12+M12+L24+M24</f>
        <v>79</v>
      </c>
      <c r="M51" s="283"/>
      <c r="N51" s="283">
        <f>N5+O5+N12+O12+N24+O24</f>
        <v>79</v>
      </c>
      <c r="O51" s="284"/>
      <c r="P51" s="284">
        <f>P5+Q5+P12+Q12+P24+Q24</f>
        <v>72</v>
      </c>
      <c r="Q51" s="260"/>
      <c r="R51" s="260">
        <f>R5+S5+R12+S12+R24+S24</f>
        <v>54</v>
      </c>
      <c r="S51" s="58"/>
      <c r="T51" s="58">
        <f>T5+U5+T12+U12+T24+U24</f>
        <v>79</v>
      </c>
      <c r="U51" s="271"/>
      <c r="V51" s="271">
        <f>V5+W5+V12+W12+V24+W24</f>
        <v>79</v>
      </c>
      <c r="W51" s="272"/>
      <c r="X51" s="272">
        <f>X5+Y5+X12+Y12+X24+Y24</f>
        <v>79</v>
      </c>
      <c r="Y51" s="274"/>
      <c r="Z51" s="274">
        <f>Z5+AA5+Z12+AA12+Z24+AA24</f>
        <v>79</v>
      </c>
      <c r="AA51" s="275"/>
      <c r="AB51" s="275">
        <f>AB5+AC5+AB12+AC12+AB24+AC24</f>
        <v>79</v>
      </c>
      <c r="AC51" s="58"/>
      <c r="AD51" s="58">
        <f>AD5+AE5+AD12+AE12+AD24+AE24</f>
        <v>72</v>
      </c>
      <c r="AE51" s="58"/>
      <c r="AF51" s="58">
        <f>AF5+AG5+AF12+AG12+AF24+AG24</f>
        <v>54</v>
      </c>
      <c r="AG51" s="58"/>
      <c r="AH51" s="58">
        <f>AH5+AI5+AH12+AI12+AH24+AI24</f>
        <v>50</v>
      </c>
      <c r="AI51" s="265"/>
      <c r="AJ51" s="265">
        <f>AJ5+AK5+AJ12+AK12+AJ24+AK24</f>
        <v>79</v>
      </c>
      <c r="AK51" s="276"/>
      <c r="AL51" s="285">
        <f>AL5+AM5+AL12+AM12+AL24+AM24</f>
        <v>79</v>
      </c>
      <c r="AM51" s="277"/>
      <c r="AN51" s="277">
        <f>AN5+AO5+AN12+AO12+AN24+AO24</f>
        <v>79</v>
      </c>
      <c r="AO51" s="286"/>
      <c r="AP51" s="286">
        <f>AP5+AQ5+AP12+AQ12+AP24+AQ24</f>
        <v>54</v>
      </c>
      <c r="AQ51" s="278"/>
      <c r="AR51" s="278">
        <f>AR5+AS5+AR12+AS12+AR24+AS24</f>
        <v>72</v>
      </c>
      <c r="AS51" s="279"/>
      <c r="AT51" s="279">
        <f>AT5+AU5+AT12+AU12+AT24+AU24</f>
        <v>54</v>
      </c>
      <c r="AU51" s="280"/>
      <c r="AV51" s="280">
        <f>AV5+AW5+AV12+AW12+AV24+AW24</f>
        <v>62</v>
      </c>
      <c r="AW51" s="281"/>
      <c r="AX51" s="281">
        <f>AX5+AY5+AX12+AY12+AX24+AY24</f>
        <v>79</v>
      </c>
      <c r="AY51" s="58"/>
      <c r="AZ51" s="58">
        <f>AZ5+BA5+AZ12+BA12+AZ24+BA24</f>
        <v>79</v>
      </c>
      <c r="BA51" s="58"/>
      <c r="BB51" s="109">
        <f>BB5+BC5+BB12+BC12+BB24+BC24</f>
        <v>79</v>
      </c>
      <c r="BC51" s="266"/>
      <c r="BD51" s="266">
        <f>BD5+BE5+BD12+BE12+BD24+BE24</f>
        <v>79</v>
      </c>
      <c r="BE51" s="109"/>
      <c r="BF51" s="58">
        <f>BF5+BG5+BF12+BG12+BF24+BG24</f>
        <v>72</v>
      </c>
      <c r="BG51" s="267"/>
      <c r="BH51" s="267">
        <f>BH5+BI5+BH12+BI12+BH24+BI24</f>
        <v>61</v>
      </c>
      <c r="BI51" s="268"/>
      <c r="BJ51" s="268">
        <f>BJ5+BK5+BJ12+BK12+BJ24+BK24</f>
        <v>79</v>
      </c>
      <c r="BK51" s="319"/>
    </row>
    <row r="52" spans="1:63" x14ac:dyDescent="0.25">
      <c r="A52" t="s">
        <v>80</v>
      </c>
      <c r="C52" s="8"/>
      <c r="D52" s="58">
        <f>D8+E8+D15+E15+D27+E27</f>
        <v>59</v>
      </c>
      <c r="E52" s="58"/>
      <c r="F52" s="58">
        <f>F8+G8+F15+G15+F27+G27</f>
        <v>78</v>
      </c>
      <c r="G52" s="58"/>
      <c r="H52" s="58">
        <f>H8+I8+H15+I15+H27+I27</f>
        <v>78</v>
      </c>
      <c r="I52" s="58"/>
      <c r="J52" s="58">
        <f>J8+K8+J15+K15+J27+K27</f>
        <v>78</v>
      </c>
      <c r="K52" s="58"/>
      <c r="L52" s="58">
        <f>L8+M8+L15+M15+L27+M27</f>
        <v>78</v>
      </c>
      <c r="M52" s="283"/>
      <c r="N52" s="283">
        <f>N8+O8+N15+O15+N27+O27</f>
        <v>78</v>
      </c>
      <c r="O52" s="284"/>
      <c r="P52" s="284">
        <f>P8+Q8+P15+Q15+P27+Q27</f>
        <v>75</v>
      </c>
      <c r="Q52" s="260"/>
      <c r="R52" s="260">
        <f>R8+S8+R15+S15+R27+S27</f>
        <v>57</v>
      </c>
      <c r="S52" s="58"/>
      <c r="T52" s="58">
        <f>T8+U8+T15+U15+T27+U27</f>
        <v>78</v>
      </c>
      <c r="U52" s="271"/>
      <c r="V52" s="271">
        <f>V8+W8+V15+W15+V27+W27</f>
        <v>78</v>
      </c>
      <c r="W52" s="272"/>
      <c r="X52" s="272">
        <f>X8+Y8+X15+Y15+X27+Y27</f>
        <v>78</v>
      </c>
      <c r="Y52" s="274"/>
      <c r="Z52" s="274">
        <f>Z8+AA8+Z15+AA15+Z27+AA27</f>
        <v>78</v>
      </c>
      <c r="AA52" s="275"/>
      <c r="AB52" s="275">
        <f>AB8+AC8+AB15+AC15+AB27+AC27</f>
        <v>78</v>
      </c>
      <c r="AC52" s="58"/>
      <c r="AD52" s="58">
        <f>AD8+AE8+AD15+AE15+AD27+AE27</f>
        <v>75</v>
      </c>
      <c r="AE52" s="58"/>
      <c r="AF52" s="248">
        <f>AF8+AG8+AF15+AG15+AF27+AG27</f>
        <v>57</v>
      </c>
      <c r="AG52" s="58"/>
      <c r="AH52" s="58">
        <f>AH8+AI8+AH15+AI15+AH27+AI27</f>
        <v>49</v>
      </c>
      <c r="AI52" s="265"/>
      <c r="AJ52" s="265">
        <f>AJ8+AK8+AJ15+AK15+AJ27+AK27</f>
        <v>78</v>
      </c>
      <c r="AK52" s="276"/>
      <c r="AL52" s="285">
        <f>AL8+AM8+AL15+AM15+AL27+AM27</f>
        <v>78</v>
      </c>
      <c r="AM52" s="277"/>
      <c r="AN52" s="277">
        <f>AN8+AO8+AN15+AO15+AN27+AO27</f>
        <v>78</v>
      </c>
      <c r="AO52" s="286"/>
      <c r="AP52" s="286">
        <f>AP8+AQ8+AP15+AQ15+AP27+AQ27</f>
        <v>57</v>
      </c>
      <c r="AQ52" s="278"/>
      <c r="AR52" s="278">
        <f>AR8+AS8+AR15+AS15+AR27+AS27</f>
        <v>75</v>
      </c>
      <c r="AS52" s="279"/>
      <c r="AT52" s="279">
        <f>AT8+AU8+AT15+AU15+AT27+AU27</f>
        <v>57</v>
      </c>
      <c r="AU52" s="280"/>
      <c r="AV52" s="280">
        <f>AV8+AW8+AV15+AW15+AV27+AW27</f>
        <v>61</v>
      </c>
      <c r="AW52" s="281"/>
      <c r="AX52" s="281">
        <f>AX8+AY8+AX15+AY15+AX27+AY27</f>
        <v>78</v>
      </c>
      <c r="AY52" s="58"/>
      <c r="AZ52" s="251">
        <f>AZ8+BA8+AZ15+BA15+AZ27+BA27</f>
        <v>78</v>
      </c>
      <c r="BA52" s="58"/>
      <c r="BB52" s="252">
        <f>BB8+BC8+BB15+BC15+BB27+BC27</f>
        <v>78</v>
      </c>
      <c r="BC52" s="266"/>
      <c r="BD52" s="266">
        <f>BD8+BE8+BD15+BE15+BD27+BE27</f>
        <v>78</v>
      </c>
      <c r="BE52" s="109"/>
      <c r="BF52" s="58">
        <f>BF8+BG8+BF15+BG15+BF27+BG27</f>
        <v>75</v>
      </c>
      <c r="BG52" s="267"/>
      <c r="BH52" s="267">
        <f>BH8+BI8+BH15+BI15+BH27+BI27</f>
        <v>61</v>
      </c>
      <c r="BI52" s="268"/>
      <c r="BJ52" s="268">
        <f>BJ8+BK8+BJ15+BK15+BJ27+BK27</f>
        <v>78</v>
      </c>
      <c r="BK52" s="319"/>
    </row>
    <row r="53" spans="1:63" x14ac:dyDescent="0.25">
      <c r="A53" t="s">
        <v>81</v>
      </c>
      <c r="C53" s="8"/>
      <c r="D53" s="58">
        <f>D3+E3+D10+E10+D22+E22</f>
        <v>0</v>
      </c>
      <c r="E53" s="58"/>
      <c r="F53" s="58">
        <f>F3+G3+F10+G10+F22+G22</f>
        <v>33</v>
      </c>
      <c r="G53" s="58"/>
      <c r="H53" s="58">
        <f>H3+I3+H10+I10+H22+I22</f>
        <v>33</v>
      </c>
      <c r="I53" s="58"/>
      <c r="J53" s="58">
        <f>J3+K3+J10+K10+J22+K22</f>
        <v>33</v>
      </c>
      <c r="K53" s="58"/>
      <c r="L53" s="58">
        <f>L3+M3+L10+M10+L22+M22</f>
        <v>33</v>
      </c>
      <c r="M53" s="283"/>
      <c r="N53" s="283">
        <f>N3+O3+N10+O10+N22+O22</f>
        <v>33</v>
      </c>
      <c r="O53" s="284"/>
      <c r="P53" s="284">
        <f>P3+Q3+P10+Q10+P22+Q22</f>
        <v>0</v>
      </c>
      <c r="Q53" s="260"/>
      <c r="R53" s="260">
        <f>R3+S3+R10+S10+R22+S22</f>
        <v>0</v>
      </c>
      <c r="S53" s="58"/>
      <c r="T53" s="58">
        <f>T3+U3+T10+U10+T22+U22</f>
        <v>33</v>
      </c>
      <c r="U53" s="271"/>
      <c r="V53" s="271">
        <f>V3+W3+V10+W10+V22+W22</f>
        <v>33</v>
      </c>
      <c r="W53" s="272"/>
      <c r="X53" s="272">
        <f>X3+Y3+X10+Y10+X22+Y22</f>
        <v>33</v>
      </c>
      <c r="Y53" s="274"/>
      <c r="Z53" s="274">
        <f>Z3+AA3+Z10+AA10+Z22+AA22</f>
        <v>33</v>
      </c>
      <c r="AA53" s="275"/>
      <c r="AB53" s="275">
        <f>AB3+AC3+AB10+AC10+AB22+AC22</f>
        <v>33</v>
      </c>
      <c r="AC53" s="58"/>
      <c r="AD53" s="58">
        <f>AD3+AE3+AD10+AE10+AD22+AE22</f>
        <v>0</v>
      </c>
      <c r="AE53" s="58"/>
      <c r="AF53" s="58">
        <f>AF3+AG3+AF10+AG10+AF22+AG22</f>
        <v>0</v>
      </c>
      <c r="AG53" s="58"/>
      <c r="AH53" s="58">
        <f>AH3+AI3+AH10+AI10+AH22+AI22</f>
        <v>5</v>
      </c>
      <c r="AI53" s="265"/>
      <c r="AJ53" s="265">
        <f>AJ3+AK3+AJ10+AK10+AJ22+AK22</f>
        <v>33</v>
      </c>
      <c r="AK53" s="276"/>
      <c r="AL53" s="285">
        <f>AL3+AM3+AL10+AM10+AL22+AM22</f>
        <v>33</v>
      </c>
      <c r="AM53" s="277"/>
      <c r="AN53" s="277">
        <f>AN3+AO3+AN10+AO10+AN22+AO22</f>
        <v>33</v>
      </c>
      <c r="AO53" s="286"/>
      <c r="AP53" s="286">
        <f>AP3+AQ3+AP10+AQ10+AP22+AQ22</f>
        <v>0</v>
      </c>
      <c r="AQ53" s="278"/>
      <c r="AR53" s="278">
        <f>AR3+AS3+AR10+AS10+AR22+AS22</f>
        <v>0</v>
      </c>
      <c r="AS53" s="279"/>
      <c r="AT53" s="279">
        <f>AT3+AU3+AT10+AU10+AT22+AU22</f>
        <v>0</v>
      </c>
      <c r="AU53" s="280"/>
      <c r="AV53" s="280">
        <f>AV3+AW3+AV10+AW10+AV22+AW22</f>
        <v>26</v>
      </c>
      <c r="AW53" s="281"/>
      <c r="AX53" s="281">
        <f>AX3+AY3+AX10+AY10+AX22+AY22</f>
        <v>33</v>
      </c>
      <c r="AY53" s="58"/>
      <c r="AZ53" s="58">
        <f>AZ3+BA3+AZ10+BA10+AZ22+BA22</f>
        <v>33</v>
      </c>
      <c r="BA53" s="58"/>
      <c r="BB53" s="109">
        <f>BB3+BC3+BB10+BC10+BB22+BC22</f>
        <v>33</v>
      </c>
      <c r="BC53" s="266"/>
      <c r="BD53" s="266">
        <f>BD3+BE3+BD10+BE10+BD22+BE22</f>
        <v>33</v>
      </c>
      <c r="BE53" s="109"/>
      <c r="BF53" s="58">
        <f>BF3+BG3+BF10+BG10+BF22+BG22</f>
        <v>0</v>
      </c>
      <c r="BG53" s="267"/>
      <c r="BH53" s="267">
        <f>BH3+BI3+BH10+BI10+BH22+BI22</f>
        <v>0</v>
      </c>
      <c r="BI53" s="268"/>
      <c r="BJ53" s="268">
        <f>BJ3+BK3+BJ10+BK10+BJ22+BK22</f>
        <v>33</v>
      </c>
      <c r="BK53" s="319"/>
    </row>
    <row r="54" spans="1:63" x14ac:dyDescent="0.25">
      <c r="A54" t="s">
        <v>82</v>
      </c>
      <c r="C54" s="8"/>
      <c r="D54" s="58">
        <f>D6+E6+D13+E13+D25+E25</f>
        <v>0</v>
      </c>
      <c r="E54" s="58"/>
      <c r="F54" s="58">
        <f>F6+G6+F13+G13+F25+G25</f>
        <v>32</v>
      </c>
      <c r="G54" s="58"/>
      <c r="H54" s="58">
        <f>H6+I6+H13+I13+H25+I25</f>
        <v>32</v>
      </c>
      <c r="I54" s="58"/>
      <c r="J54" s="58">
        <f>J6+K6+J13+K13+J25+K25</f>
        <v>32</v>
      </c>
      <c r="K54" s="58"/>
      <c r="L54" s="58">
        <f>L6+M6+L13+M13+L25+M25</f>
        <v>32</v>
      </c>
      <c r="M54" s="283"/>
      <c r="N54" s="283">
        <f>N6+O6+N13+O13+N25+O25</f>
        <v>32</v>
      </c>
      <c r="O54" s="284"/>
      <c r="P54" s="284">
        <f>P6+Q6+P13+Q13+P25+Q25</f>
        <v>0</v>
      </c>
      <c r="Q54" s="260"/>
      <c r="R54" s="260">
        <f>R6+S6+R13+S13+R25+S25</f>
        <v>0</v>
      </c>
      <c r="S54" s="58"/>
      <c r="T54" s="58">
        <f>T6+U6+T13+U13+T25+U25</f>
        <v>32</v>
      </c>
      <c r="U54" s="271"/>
      <c r="V54" s="271">
        <f>V6+W6+V13+W13+V25+W25</f>
        <v>32</v>
      </c>
      <c r="W54" s="272"/>
      <c r="X54" s="272">
        <f>X6+Y6+X13+Y13+X25+Y25</f>
        <v>32</v>
      </c>
      <c r="Y54" s="274"/>
      <c r="Z54" s="274">
        <f>Z6+AA6+Z13+AA13+Z25+AA25</f>
        <v>32</v>
      </c>
      <c r="AA54" s="275"/>
      <c r="AB54" s="275">
        <f>AB6+AC6+AB13+AC13+AB25+AC25</f>
        <v>32</v>
      </c>
      <c r="AC54" s="58"/>
      <c r="AD54" s="58">
        <f>AD6+AE6+AD13+AE13+AD25+AE25</f>
        <v>0</v>
      </c>
      <c r="AE54" s="58"/>
      <c r="AF54" s="58">
        <f>AF6+AG6+AF13+AG13+AF25+AG25</f>
        <v>0</v>
      </c>
      <c r="AG54" s="58"/>
      <c r="AH54" s="58">
        <f>AH6+AI6+AH13+AI13+AH25+AI25</f>
        <v>6</v>
      </c>
      <c r="AI54" s="265"/>
      <c r="AJ54" s="265">
        <f>AJ6+AK6+AJ13+AK13+AJ25+AK25</f>
        <v>32</v>
      </c>
      <c r="AK54" s="276"/>
      <c r="AL54" s="285">
        <f>AL6+AM6+AL13+AM13+AL25+AM25</f>
        <v>32</v>
      </c>
      <c r="AM54" s="277"/>
      <c r="AN54" s="277">
        <f>AN6+AO6+AN13+AO13+AN25+AO25</f>
        <v>32</v>
      </c>
      <c r="AO54" s="286"/>
      <c r="AP54" s="286">
        <f>AP6+AQ6+AP13+AQ13+AP25+AQ25</f>
        <v>0</v>
      </c>
      <c r="AQ54" s="278"/>
      <c r="AR54" s="278">
        <f>AR6+AS6+AR13+AS13+AR25+AS25</f>
        <v>0</v>
      </c>
      <c r="AS54" s="279"/>
      <c r="AT54" s="279">
        <f>AT6+AU6+AT13+AU13+AT25+AU25</f>
        <v>0</v>
      </c>
      <c r="AU54" s="280"/>
      <c r="AV54" s="280">
        <f>AV6+AW6+AV13+AW13+AV25+AW25</f>
        <v>30</v>
      </c>
      <c r="AW54" s="281"/>
      <c r="AX54" s="281">
        <f>AX6+AY6+AX13+AY13+AX25+AY25</f>
        <v>32</v>
      </c>
      <c r="AY54" s="58"/>
      <c r="AZ54" s="58">
        <f>AZ6+BA6+AZ13+BA13+AZ25+BA25</f>
        <v>32</v>
      </c>
      <c r="BA54" s="58"/>
      <c r="BB54" s="109">
        <f>BB6+BC6+BB13+BC13+BB25+BC25</f>
        <v>32</v>
      </c>
      <c r="BC54" s="266"/>
      <c r="BD54" s="266">
        <f>BD6+BE6+BD13+BE13+BD25+BE25</f>
        <v>32</v>
      </c>
      <c r="BE54" s="109"/>
      <c r="BF54" s="58">
        <f>BF6+BG6+BF13+BG13+BF25+BG25</f>
        <v>0</v>
      </c>
      <c r="BG54" s="267"/>
      <c r="BH54" s="267">
        <f>BH6+BI6+BH13+BI13+BH25+BI25</f>
        <v>0</v>
      </c>
      <c r="BI54" s="268"/>
      <c r="BJ54" s="268">
        <f>BJ6+BK6+BJ13+BK13+BJ25+BK25</f>
        <v>32</v>
      </c>
      <c r="BK54" s="319"/>
    </row>
    <row r="55" spans="1:63" s="118" customFormat="1" x14ac:dyDescent="0.25">
      <c r="A55" s="118" t="s">
        <v>122</v>
      </c>
      <c r="C55" s="8"/>
      <c r="D55" s="148">
        <f>D4+E4+D11+E11+D23+E23</f>
        <v>0</v>
      </c>
      <c r="E55" s="148"/>
      <c r="F55" s="148">
        <f>F4+G4+F11+G11+F23+G23</f>
        <v>0</v>
      </c>
      <c r="G55" s="148"/>
      <c r="H55" s="148">
        <f>H4+I4+H11+I11+H23+I23</f>
        <v>0</v>
      </c>
      <c r="I55" s="148"/>
      <c r="J55" s="148">
        <f>J4+K4+J11+K11+J23+K23</f>
        <v>0</v>
      </c>
      <c r="K55" s="148"/>
      <c r="L55" s="148">
        <f>L4+M4+L11+M11+L23+M23</f>
        <v>0</v>
      </c>
      <c r="M55" s="283"/>
      <c r="N55" s="283">
        <f>N4+O4+N11+O11+N23+O23</f>
        <v>0</v>
      </c>
      <c r="O55" s="284"/>
      <c r="P55" s="284">
        <f>P4+Q4+P11+Q11+P23+Q23</f>
        <v>0</v>
      </c>
      <c r="Q55" s="260"/>
      <c r="R55" s="260">
        <f>R4+S4+R11+S11+R23+S23</f>
        <v>0</v>
      </c>
      <c r="S55" s="148"/>
      <c r="T55" s="148">
        <f>T4+U4+T11+U11+T23+U23</f>
        <v>0</v>
      </c>
      <c r="U55" s="271"/>
      <c r="V55" s="271">
        <f>V4+W4+V11+W11+V23+W23</f>
        <v>0</v>
      </c>
      <c r="W55" s="272"/>
      <c r="X55" s="272">
        <f>X4+Y4+X11+Y11+X23+Y23</f>
        <v>0</v>
      </c>
      <c r="Y55" s="274"/>
      <c r="Z55" s="274">
        <f>Z4+AA4+Z11+AA11+Z23+AA23</f>
        <v>0</v>
      </c>
      <c r="AA55" s="275"/>
      <c r="AB55" s="275">
        <f>AB4+AC4+AB11+AC11+AB23+AC23</f>
        <v>0</v>
      </c>
      <c r="AC55" s="148"/>
      <c r="AD55" s="148">
        <f>AD4+AE4+AD11+AE11+AD23+AE23</f>
        <v>0</v>
      </c>
      <c r="AE55" s="148"/>
      <c r="AF55" s="148">
        <f>AF4+AG4+AF11+AG11+AF23+AG23</f>
        <v>0</v>
      </c>
      <c r="AG55" s="148"/>
      <c r="AH55" s="148">
        <f>AH4+AI4+AH11+AI11+AH23+AI23</f>
        <v>0</v>
      </c>
      <c r="AI55" s="265"/>
      <c r="AJ55" s="265">
        <f>AJ4+AK4+AJ11+AK11+AJ23+AK23</f>
        <v>0</v>
      </c>
      <c r="AK55" s="276"/>
      <c r="AL55" s="285">
        <f>AL4+AM4+AL11+AM11+AL23+AM23</f>
        <v>0</v>
      </c>
      <c r="AM55" s="277"/>
      <c r="AN55" s="277">
        <f>AN4+AO4+AN11+AO11+AN23+AO23</f>
        <v>0</v>
      </c>
      <c r="AO55" s="286"/>
      <c r="AP55" s="286">
        <f>AP4+AQ4+AP11+AQ11+AP23+AQ23</f>
        <v>0</v>
      </c>
      <c r="AQ55" s="278"/>
      <c r="AR55" s="278">
        <f>AR4+AS4+AR11+AS11+AR23+AS23</f>
        <v>0</v>
      </c>
      <c r="AS55" s="279"/>
      <c r="AT55" s="279">
        <f>AT4+AU4+AT11+AU11+AT23+AU23</f>
        <v>0</v>
      </c>
      <c r="AU55" s="280"/>
      <c r="AV55" s="280">
        <f>AV4+AW4+AV11+AW11+AV23+AW23</f>
        <v>0</v>
      </c>
      <c r="AW55" s="281"/>
      <c r="AX55" s="281">
        <f>AX4+AY4+AX11+AY11+AX23+AY23</f>
        <v>0</v>
      </c>
      <c r="AY55" s="148"/>
      <c r="AZ55" s="148">
        <f>AZ4+BA4+AZ11+BA11+AZ23+BA23</f>
        <v>0</v>
      </c>
      <c r="BA55" s="148"/>
      <c r="BB55" s="148">
        <f>BB4+BC4+BB11+BC11+BB23+BC23</f>
        <v>0</v>
      </c>
      <c r="BC55" s="266"/>
      <c r="BD55" s="266">
        <f>BD4+BE4+BD11+BE11+BD23+BE23</f>
        <v>0</v>
      </c>
      <c r="BE55" s="148"/>
      <c r="BF55" s="148">
        <f>BF4+BG4+BF11+BG11+BF23+BG23</f>
        <v>0</v>
      </c>
      <c r="BG55" s="267"/>
      <c r="BH55" s="267">
        <f>BH4+BI4+BH11+BI11+BH23+BI23</f>
        <v>0</v>
      </c>
      <c r="BI55" s="268"/>
      <c r="BJ55" s="268">
        <f>BJ4+BK4+BJ11+BK11+BJ23+BK23</f>
        <v>0</v>
      </c>
      <c r="BK55" s="319"/>
    </row>
    <row r="56" spans="1:63" x14ac:dyDescent="0.25">
      <c r="A56" t="s">
        <v>35</v>
      </c>
      <c r="C56" s="8"/>
      <c r="D56" s="58">
        <f>D7+E7+D14+E14+D26+E26</f>
        <v>0</v>
      </c>
      <c r="E56" s="58"/>
      <c r="F56" s="58">
        <f>F7+G7+F14+G14+F26+G26</f>
        <v>1</v>
      </c>
      <c r="G56" s="58"/>
      <c r="H56" s="58">
        <f>H7+I7+H14+I14+H26+I26</f>
        <v>1</v>
      </c>
      <c r="I56" s="58"/>
      <c r="J56" s="58">
        <f>J7+K7+J14+K14+J26+K26</f>
        <v>1</v>
      </c>
      <c r="K56" s="58"/>
      <c r="L56" s="58">
        <f>L7+M7+L14+M14+L26+M26</f>
        <v>1</v>
      </c>
      <c r="M56" s="283"/>
      <c r="N56" s="283">
        <f>N7+O7+N14+O14+N26+O26</f>
        <v>1</v>
      </c>
      <c r="O56" s="284"/>
      <c r="P56" s="284">
        <f>P7+Q7+P14+Q14+P26+Q26</f>
        <v>0</v>
      </c>
      <c r="Q56" s="260"/>
      <c r="R56" s="260">
        <f>R7+S7+R14+S14+R26+S26</f>
        <v>0</v>
      </c>
      <c r="S56" s="58"/>
      <c r="T56" s="58">
        <f>T7+U7+T14+U14+T26+U26</f>
        <v>1</v>
      </c>
      <c r="U56" s="271"/>
      <c r="V56" s="271">
        <f>V7+W7+V14+W14+V26+W26</f>
        <v>1</v>
      </c>
      <c r="W56" s="272"/>
      <c r="X56" s="272">
        <f>X7+Y7+X14+Y14+X26+Y26</f>
        <v>1</v>
      </c>
      <c r="Y56" s="274"/>
      <c r="Z56" s="274">
        <f>Z7+AA7+Z14+AA14+Z26+AA26</f>
        <v>1</v>
      </c>
      <c r="AA56" s="275"/>
      <c r="AB56" s="275">
        <f>AB7+AC7+AB14+AC14+AB26+AC26</f>
        <v>1</v>
      </c>
      <c r="AC56" s="58"/>
      <c r="AD56" s="58">
        <f>AD7+AE7+AD14+AE14+AD26+AE26</f>
        <v>0</v>
      </c>
      <c r="AE56" s="58"/>
      <c r="AF56" s="248">
        <f>AF7+AG7+AF14+AG14+AF26+AG26</f>
        <v>0</v>
      </c>
      <c r="AG56" s="58"/>
      <c r="AH56" s="58">
        <f>AH7+AI7+AH14+AI14+AH26+AI26</f>
        <v>0</v>
      </c>
      <c r="AI56" s="265"/>
      <c r="AJ56" s="265">
        <f>AJ7+AK7+AJ14+AK14+AJ26+AK26</f>
        <v>1</v>
      </c>
      <c r="AK56" s="276"/>
      <c r="AL56" s="285">
        <f>AL7+AM7+AL14+AM14+AL26+AM26</f>
        <v>1</v>
      </c>
      <c r="AM56" s="277"/>
      <c r="AN56" s="277">
        <f>AN7+AO7+AN14+AO14+AN26+AO26</f>
        <v>1</v>
      </c>
      <c r="AO56" s="286"/>
      <c r="AP56" s="286">
        <f>AP7+AQ7+AP14+AQ14+AP26+AQ26</f>
        <v>0</v>
      </c>
      <c r="AQ56" s="278"/>
      <c r="AR56" s="278">
        <f>AR7+AS7+AR14+AS14+AR26+AS26</f>
        <v>0</v>
      </c>
      <c r="AS56" s="279"/>
      <c r="AT56" s="279">
        <f>AT7+AU7+AT14+AU14+AT26+AU26</f>
        <v>0</v>
      </c>
      <c r="AU56" s="280"/>
      <c r="AV56" s="280">
        <f>AV7+AW7+AV14+AW14+AV26+AW26</f>
        <v>1</v>
      </c>
      <c r="AW56" s="281"/>
      <c r="AX56" s="281">
        <f>AX7+AY7+AX14+AY14+AX26+AY26</f>
        <v>1</v>
      </c>
      <c r="AY56" s="58"/>
      <c r="AZ56" s="251">
        <f>AZ7+BA7+AZ14+BA14+AZ26+BA26</f>
        <v>1</v>
      </c>
      <c r="BA56" s="58"/>
      <c r="BB56" s="252">
        <f>BB7+BC7+BB14+BC14+BB26+BC26</f>
        <v>1</v>
      </c>
      <c r="BC56" s="266"/>
      <c r="BD56" s="266">
        <f>BD7+BE7+BD14+BE14+BD26+BE26</f>
        <v>1</v>
      </c>
      <c r="BE56" s="109"/>
      <c r="BF56" s="58">
        <f>BF7+BG7+BF14+BG14+BF26+BG26</f>
        <v>0</v>
      </c>
      <c r="BG56" s="267"/>
      <c r="BH56" s="267">
        <f>BH7+BI7+BH14+BI14+BH26+BI26</f>
        <v>0</v>
      </c>
      <c r="BI56" s="268"/>
      <c r="BJ56" s="268">
        <f>BJ7+BK7+BJ14+BK14+BJ26+BK26</f>
        <v>1</v>
      </c>
      <c r="BK56" s="319"/>
    </row>
    <row r="57" spans="1:63" s="118" customFormat="1" x14ac:dyDescent="0.25">
      <c r="A57" s="118" t="s">
        <v>172</v>
      </c>
      <c r="C57" s="8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  <c r="AG57" s="324"/>
      <c r="AH57" s="324"/>
      <c r="AI57" s="324"/>
      <c r="AJ57" s="324"/>
      <c r="AK57" s="324"/>
      <c r="AL57" s="324"/>
      <c r="AM57" s="324"/>
      <c r="AN57" s="324"/>
      <c r="AO57" s="324"/>
      <c r="AP57" s="324"/>
      <c r="AQ57" s="324"/>
      <c r="AR57" s="324"/>
      <c r="AS57" s="324"/>
      <c r="AT57" s="324"/>
      <c r="AU57" s="324"/>
      <c r="AV57" s="324">
        <f>AV16+AW16</f>
        <v>12</v>
      </c>
      <c r="AW57" s="324"/>
      <c r="AX57" s="324"/>
      <c r="AY57" s="324"/>
      <c r="AZ57" s="324"/>
      <c r="BA57" s="324"/>
      <c r="BB57" s="324"/>
      <c r="BC57" s="324"/>
      <c r="BD57" s="324"/>
      <c r="BE57" s="324"/>
      <c r="BF57" s="324"/>
      <c r="BG57" s="324"/>
      <c r="BH57" s="324"/>
      <c r="BI57" s="324"/>
      <c r="BJ57" s="324"/>
      <c r="BK57" s="324"/>
    </row>
    <row r="58" spans="1:63" x14ac:dyDescent="0.25">
      <c r="A58" t="s">
        <v>173</v>
      </c>
      <c r="C58" s="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284"/>
      <c r="P58" s="284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5"/>
      <c r="AS58" s="55"/>
      <c r="AT58" s="55"/>
      <c r="AU58" s="55"/>
      <c r="AV58" s="324">
        <f>AV17+AW17</f>
        <v>15</v>
      </c>
      <c r="AW58" s="55"/>
      <c r="AX58" s="55"/>
      <c r="AY58" s="55"/>
      <c r="AZ58" s="55"/>
      <c r="BA58" s="58"/>
      <c r="BB58" s="55"/>
      <c r="BC58" s="109"/>
      <c r="BD58" s="55"/>
      <c r="BE58" s="109"/>
      <c r="BF58" s="58"/>
      <c r="BG58" s="58"/>
      <c r="BH58" s="55"/>
      <c r="BI58" s="55"/>
      <c r="BJ58" s="55"/>
      <c r="BK58" s="55"/>
    </row>
    <row r="59" spans="1:63" s="118" customFormat="1" x14ac:dyDescent="0.25">
      <c r="A59" s="118" t="s">
        <v>179</v>
      </c>
      <c r="C59" s="8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55"/>
      <c r="AS59" s="55"/>
      <c r="AT59" s="55"/>
      <c r="AU59" s="55"/>
      <c r="AV59" s="326">
        <f>AV18+AW18</f>
        <v>4</v>
      </c>
      <c r="AW59" s="55"/>
      <c r="AX59" s="55"/>
      <c r="AY59" s="55"/>
      <c r="AZ59" s="55"/>
      <c r="BA59" s="326"/>
      <c r="BB59" s="55"/>
      <c r="BC59" s="326"/>
      <c r="BD59" s="55"/>
      <c r="BE59" s="326"/>
      <c r="BF59" s="326"/>
      <c r="BG59" s="326"/>
      <c r="BH59" s="55"/>
      <c r="BI59" s="55"/>
      <c r="BJ59" s="55"/>
      <c r="BK59" s="55"/>
    </row>
    <row r="60" spans="1:63" s="118" customFormat="1" x14ac:dyDescent="0.25">
      <c r="A60" s="118" t="s">
        <v>160</v>
      </c>
      <c r="C60" s="8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  <c r="AO60" s="326"/>
      <c r="AP60" s="326"/>
      <c r="AQ60" s="326"/>
      <c r="AR60" s="55"/>
      <c r="AS60" s="55"/>
      <c r="AT60" s="55"/>
      <c r="AU60" s="55"/>
      <c r="AV60" s="326">
        <f>AV19+AW19</f>
        <v>1</v>
      </c>
      <c r="AW60" s="55"/>
      <c r="AX60" s="55"/>
      <c r="AY60" s="55"/>
      <c r="AZ60" s="55"/>
      <c r="BA60" s="326"/>
      <c r="BB60" s="55"/>
      <c r="BC60" s="326"/>
      <c r="BD60" s="55"/>
      <c r="BE60" s="326"/>
      <c r="BF60" s="326"/>
      <c r="BG60" s="326"/>
      <c r="BH60" s="55"/>
      <c r="BI60" s="55"/>
      <c r="BJ60" s="55"/>
      <c r="BK60" s="55"/>
    </row>
    <row r="61" spans="1:63" s="118" customFormat="1" x14ac:dyDescent="0.25">
      <c r="A61" s="118" t="s">
        <v>125</v>
      </c>
      <c r="C61" s="8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  <c r="AR61" s="55"/>
      <c r="AS61" s="55"/>
      <c r="AT61" s="55"/>
      <c r="AU61" s="55"/>
      <c r="AV61" s="326">
        <f>AV20+AW20</f>
        <v>1</v>
      </c>
      <c r="AW61" s="55"/>
      <c r="AX61" s="55"/>
      <c r="AY61" s="55"/>
      <c r="AZ61" s="55"/>
      <c r="BA61" s="326"/>
      <c r="BB61" s="55"/>
      <c r="BC61" s="326"/>
      <c r="BD61" s="55"/>
      <c r="BE61" s="326"/>
      <c r="BF61" s="326"/>
      <c r="BG61" s="326"/>
      <c r="BH61" s="55"/>
      <c r="BI61" s="55"/>
      <c r="BJ61" s="55"/>
      <c r="BK61" s="55"/>
    </row>
    <row r="62" spans="1:63" x14ac:dyDescent="0.25">
      <c r="A62" s="57" t="s">
        <v>65</v>
      </c>
      <c r="B62" s="57"/>
      <c r="C62" s="57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59"/>
      <c r="AS62" s="59"/>
      <c r="AT62" s="59"/>
      <c r="AU62" s="59"/>
      <c r="AV62" s="59"/>
      <c r="AW62" s="59"/>
      <c r="AX62" s="59"/>
      <c r="AY62" s="59"/>
      <c r="AZ62" s="59"/>
      <c r="BA62" s="60"/>
      <c r="BB62" s="59"/>
      <c r="BC62" s="60"/>
      <c r="BD62" s="59"/>
      <c r="BE62" s="60"/>
      <c r="BF62" s="60"/>
      <c r="BG62" s="60"/>
      <c r="BH62" s="59"/>
      <c r="BI62" s="59"/>
      <c r="BJ62" s="59"/>
      <c r="BK62" s="59"/>
    </row>
    <row r="63" spans="1:63" x14ac:dyDescent="0.25">
      <c r="A63" t="s">
        <v>79</v>
      </c>
      <c r="C63" s="8"/>
      <c r="D63" s="58">
        <f>(D5+D12+D24)+2*(E5+E12+E24)</f>
        <v>59</v>
      </c>
      <c r="E63" s="58"/>
      <c r="F63" s="58">
        <f>(F5+F12+F24)+2*(G5+G12+G24)</f>
        <v>111</v>
      </c>
      <c r="G63" s="58"/>
      <c r="H63" s="58">
        <f>(H5+H12+H24)+2*(I5+I12+I24)</f>
        <v>112</v>
      </c>
      <c r="I63" s="58"/>
      <c r="J63" s="58">
        <f>(J5+J12+J24)+2*(K5+K12+K24)</f>
        <v>111</v>
      </c>
      <c r="K63" s="58"/>
      <c r="L63" s="58">
        <f>(L5+L12+L24)+2*(M5+M12+M24)</f>
        <v>112</v>
      </c>
      <c r="M63" s="283"/>
      <c r="N63" s="283">
        <f>(N5+N12+N24)+2*(O5+O12+O24)</f>
        <v>112</v>
      </c>
      <c r="O63" s="284"/>
      <c r="P63" s="284">
        <f>(P5+P12+P24)+2*(Q5+Q12+Q24)</f>
        <v>75</v>
      </c>
      <c r="Q63" s="260"/>
      <c r="R63" s="260">
        <f>(R5+R12+R24)+2*(S5+S12+S24)</f>
        <v>57</v>
      </c>
      <c r="S63" s="58"/>
      <c r="T63" s="58">
        <f>(T5+T12+T24)+2*(U5+U12+U24)</f>
        <v>111</v>
      </c>
      <c r="U63" s="271"/>
      <c r="V63" s="271">
        <f>(V5+V12+V24)+2*(W5+W12+W24)</f>
        <v>111</v>
      </c>
      <c r="W63" s="272"/>
      <c r="X63" s="272">
        <f>(X5+X12+X24)+2*(Y5+Y12+Y24)</f>
        <v>112</v>
      </c>
      <c r="Y63" s="274"/>
      <c r="Z63" s="274">
        <f>(Z5+Z12+Z24)+2*(AA5+AA12+AA24)</f>
        <v>110</v>
      </c>
      <c r="AA63" s="275"/>
      <c r="AB63" s="275">
        <f>(AB5+AB12+AB24)+2*(AC5+AC12+AC24)</f>
        <v>111</v>
      </c>
      <c r="AC63" s="58"/>
      <c r="AD63" s="58">
        <f>(AD5+AD12+AD24)+2*(AE5+AE12+AE24)</f>
        <v>75</v>
      </c>
      <c r="AE63" s="58"/>
      <c r="AF63" s="58">
        <f>(AF5+AF12+AF24)+2*(AG5+AG12+AG24)</f>
        <v>56</v>
      </c>
      <c r="AG63" s="58"/>
      <c r="AH63" s="58">
        <f>(AH5+AH12+AH24)+2*(AI5+AI12+AI24)</f>
        <v>82</v>
      </c>
      <c r="AI63" s="265"/>
      <c r="AJ63" s="265">
        <f>(AJ5+AJ12+AJ24)+2*(AK5+AK12+AK24)</f>
        <v>111</v>
      </c>
      <c r="AK63" s="276"/>
      <c r="AL63" s="285">
        <f>(AL5+AL12+AL24)+2*(AM5+AM12+AM24)</f>
        <v>111</v>
      </c>
      <c r="AM63" s="277"/>
      <c r="AN63" s="277">
        <f>(AN5+AN12+AN24)+2*(AO5+AO12+AO24)</f>
        <v>111</v>
      </c>
      <c r="AO63" s="286"/>
      <c r="AP63" s="286">
        <f>(AP5+AP12+AP24)+2*(AQ5+AQ12+AQ24)</f>
        <v>57</v>
      </c>
      <c r="AQ63" s="278"/>
      <c r="AR63" s="278">
        <f>(AR5+AR12+AR24)+2*(AS5+AS12+AS24)</f>
        <v>75</v>
      </c>
      <c r="AS63" s="279"/>
      <c r="AT63" s="279">
        <f>(AT5+AT12+AT24)+2*(AU5+AU12+AU24)</f>
        <v>57</v>
      </c>
      <c r="AU63" s="280"/>
      <c r="AV63" s="280">
        <f>(AV5+AV12+AV24)+2*(AW5+AW12+AW24)</f>
        <v>90</v>
      </c>
      <c r="AW63" s="281"/>
      <c r="AX63" s="281">
        <f>(AX5+AX12+AX24)+2*(AY5+AY12+AY24)</f>
        <v>111</v>
      </c>
      <c r="AY63" s="58"/>
      <c r="AZ63" s="58">
        <f>(AZ5+AZ12+AZ24)+2*(BA5+BA12+BA24)</f>
        <v>110</v>
      </c>
      <c r="BA63" s="111"/>
      <c r="BB63" s="109">
        <f>(BB5+BB12+BB24)+2*(BC5+BC12+BC24)</f>
        <v>112</v>
      </c>
      <c r="BC63" s="266"/>
      <c r="BD63" s="266">
        <f>(BD5+BD12+BD24)+2*(BE5+BE12+BE24)</f>
        <v>111</v>
      </c>
      <c r="BE63" s="111"/>
      <c r="BF63" s="58">
        <f>(BF5+BF12+BF24)+2*(BG5+BG12+BG24)</f>
        <v>75</v>
      </c>
      <c r="BG63" s="267"/>
      <c r="BH63" s="267">
        <f>(BH5+BH12+BH24)+2*(BI5+BI12+BI24)</f>
        <v>72</v>
      </c>
      <c r="BI63" s="268"/>
      <c r="BJ63" s="268">
        <f>(BJ5+BJ12+BJ24)+2*(BK5+BK12+BK24)</f>
        <v>104</v>
      </c>
      <c r="BK63" s="319"/>
    </row>
    <row r="64" spans="1:63" x14ac:dyDescent="0.25">
      <c r="A64" t="s">
        <v>80</v>
      </c>
      <c r="C64" s="8"/>
      <c r="D64" s="58">
        <f>(D8+D15+D27)+2*(E8+E15+E27)</f>
        <v>59</v>
      </c>
      <c r="E64" s="58"/>
      <c r="F64" s="58">
        <f>(F8+F15+F27)+2*(G8+G15+G27)</f>
        <v>111</v>
      </c>
      <c r="G64" s="58"/>
      <c r="H64" s="58">
        <f>(H8+H15+H27)+2*(I8+I15+I27)</f>
        <v>112</v>
      </c>
      <c r="I64" s="58"/>
      <c r="J64" s="58">
        <f>(J8+J15+J27)+2*(K8+K15+K27)</f>
        <v>111</v>
      </c>
      <c r="K64" s="58"/>
      <c r="L64" s="58">
        <f>(L8+L15+L27)+2*(M8+M15+M27)</f>
        <v>111</v>
      </c>
      <c r="M64" s="283"/>
      <c r="N64" s="283">
        <f>(N8+N15+N27)+2*(O8+O15+O27)</f>
        <v>112</v>
      </c>
      <c r="O64" s="284"/>
      <c r="P64" s="284">
        <f>(P8+P15+P27)+2*(Q8+Q15+Q27)</f>
        <v>75</v>
      </c>
      <c r="Q64" s="260"/>
      <c r="R64" s="260">
        <f>(R8+R15+R27)+2*(S8+S15+S27)</f>
        <v>57</v>
      </c>
      <c r="S64" s="58"/>
      <c r="T64" s="58">
        <f>(T8+T15+T27)+2*(U8+U15+U27)</f>
        <v>112</v>
      </c>
      <c r="U64" s="271"/>
      <c r="V64" s="271">
        <f>(V8+V15+V27)+2*(W8+W15+W27)</f>
        <v>111</v>
      </c>
      <c r="W64" s="272"/>
      <c r="X64" s="272">
        <f>(X8+X15+X27)+2*(Y8+Y15+Y27)</f>
        <v>112</v>
      </c>
      <c r="Y64" s="274"/>
      <c r="Z64" s="274">
        <f>(Z8+Z15+Z27)+2*(AA8+AA15+AA27)</f>
        <v>110</v>
      </c>
      <c r="AA64" s="275"/>
      <c r="AB64" s="275">
        <f>(AB8+AB15+AB27)+2*(AC8+AC15+AC27)</f>
        <v>111</v>
      </c>
      <c r="AC64" s="58"/>
      <c r="AD64" s="58">
        <f>(AD8+AD15+AD27)+2*(AE8+AE15+AE27)</f>
        <v>75</v>
      </c>
      <c r="AE64" s="58"/>
      <c r="AF64" s="248">
        <f>(AF8+AF15+AF27)+2*(AG8+AG15+AG27)</f>
        <v>57</v>
      </c>
      <c r="AG64" s="58"/>
      <c r="AH64" s="58">
        <f>(AH8+AH15+AH27)+2*(AI8+AI15+AI27)</f>
        <v>78</v>
      </c>
      <c r="AI64" s="265"/>
      <c r="AJ64" s="265">
        <f>(AJ8+AJ15+AJ27)+2*(AK8+AK15+AK27)</f>
        <v>111</v>
      </c>
      <c r="AK64" s="276"/>
      <c r="AL64" s="285">
        <f>(AL8+AL15+AL27)+2*(AM8+AM15+AM27)</f>
        <v>111</v>
      </c>
      <c r="AM64" s="277"/>
      <c r="AN64" s="277">
        <f>(AN8+AN15+AN27)+2*(AO8+AO15+AO27)</f>
        <v>111</v>
      </c>
      <c r="AO64" s="286"/>
      <c r="AP64" s="286">
        <f>(AP8+AP15+AP27)+2*(AQ8+AQ15+AQ27)</f>
        <v>57</v>
      </c>
      <c r="AQ64" s="278"/>
      <c r="AR64" s="278">
        <f>(AR8+AR15+AR27)+2*(AS8+AS15+AS27)</f>
        <v>75</v>
      </c>
      <c r="AS64" s="279"/>
      <c r="AT64" s="279">
        <f>(AT8+AT15+AT27)+2*(AU8+AU15+AU27)</f>
        <v>57</v>
      </c>
      <c r="AU64" s="280"/>
      <c r="AV64" s="280">
        <f>(AV8+AV15+AV27)+2*(AW8+AW15+AW27)</f>
        <v>91</v>
      </c>
      <c r="AW64" s="281"/>
      <c r="AX64" s="281">
        <f>(AX8+AX15+AX27)+2*(AY8+AY15+AY27)</f>
        <v>111</v>
      </c>
      <c r="AY64" s="58"/>
      <c r="AZ64" s="251">
        <f>(AZ8+AZ15+AZ27)+2*(BA8+BA15+BA27)</f>
        <v>110</v>
      </c>
      <c r="BA64" s="111"/>
      <c r="BB64" s="252">
        <f>(BB8+BB15+BB27)+2*(BC8+BC15+BC27)</f>
        <v>112</v>
      </c>
      <c r="BC64" s="266"/>
      <c r="BD64" s="266">
        <f>(BD8+BD15+BD27)+2*(BE8+BE15+BE27)</f>
        <v>111</v>
      </c>
      <c r="BE64" s="111"/>
      <c r="BF64" s="58">
        <f>(BF8+BF15+BF27)+2*(BG8+BG15+BG27)</f>
        <v>75</v>
      </c>
      <c r="BG64" s="267"/>
      <c r="BH64" s="267">
        <f>(BH8+BH15+BH27)+2*(BI8+BI15+BI27)</f>
        <v>72</v>
      </c>
      <c r="BI64" s="268"/>
      <c r="BJ64" s="268">
        <f>(BJ8+BJ15+BJ27)+2*(BK8+BK15+BK27)</f>
        <v>104</v>
      </c>
      <c r="BK64" s="319"/>
    </row>
    <row r="65" spans="1:71" x14ac:dyDescent="0.25">
      <c r="A65" t="s">
        <v>81</v>
      </c>
      <c r="C65" s="8"/>
      <c r="D65" s="58">
        <f>(D3+D10+D22)+2*(E3+E10+E22)</f>
        <v>0</v>
      </c>
      <c r="E65" s="58"/>
      <c r="F65" s="58">
        <f>(F3+F10+F22)+2*(G3+G10+G22)</f>
        <v>37</v>
      </c>
      <c r="G65" s="58"/>
      <c r="H65" s="58">
        <f>(H3+H10+H22)+2*(I3+I10+I22)</f>
        <v>37</v>
      </c>
      <c r="I65" s="58"/>
      <c r="J65" s="58">
        <f>(J3+J10+J22)+2*(K3+K10+K22)</f>
        <v>37</v>
      </c>
      <c r="K65" s="58"/>
      <c r="L65" s="58">
        <f>(L3+L10+L22)+2*(M3+M10+M22)</f>
        <v>37</v>
      </c>
      <c r="M65" s="283"/>
      <c r="N65" s="283">
        <f>(N3+N10+N22)+2*(O3+O10+O22)</f>
        <v>37</v>
      </c>
      <c r="O65" s="284"/>
      <c r="P65" s="284">
        <f>(P3+P10+P22)+2*(Q3+Q10+Q22)</f>
        <v>0</v>
      </c>
      <c r="Q65" s="260"/>
      <c r="R65" s="260">
        <f>(R3+R10+R22)+2*(S3+S10+S22)</f>
        <v>0</v>
      </c>
      <c r="S65" s="58"/>
      <c r="T65" s="58">
        <f>(T3+T10+T22)+2*(U3+U10+U22)</f>
        <v>38</v>
      </c>
      <c r="U65" s="271"/>
      <c r="V65" s="271">
        <f>(V3+V10+V22)+2*(W3+W10+W22)</f>
        <v>38</v>
      </c>
      <c r="W65" s="272"/>
      <c r="X65" s="272">
        <f>(X3+X10+X22)+2*(Y3+Y10+Y22)</f>
        <v>37</v>
      </c>
      <c r="Y65" s="274"/>
      <c r="Z65" s="274">
        <f>(Z3+Z10+Z22)+2*(AA3+AA10+AA22)</f>
        <v>35</v>
      </c>
      <c r="AA65" s="275"/>
      <c r="AB65" s="275">
        <f>(AB3+AB10+AB22)+2*(AC3+AC10+AC22)</f>
        <v>37</v>
      </c>
      <c r="AC65" s="58"/>
      <c r="AD65" s="58">
        <f>(AD3+AD10+AD22)+2*(AE3+AE10+AE22)</f>
        <v>0</v>
      </c>
      <c r="AE65" s="58"/>
      <c r="AF65" s="58">
        <f>(AF3+AF10+AF22)+2*(AG3+AG10+AG22)</f>
        <v>0</v>
      </c>
      <c r="AG65" s="58"/>
      <c r="AH65" s="58">
        <f>(AH3+AH10+AH22)+2*(AI3+AI10+AI22)</f>
        <v>5</v>
      </c>
      <c r="AI65" s="265"/>
      <c r="AJ65" s="265">
        <f>(AJ3+AJ10+AJ22)+2*(AK3+AK10+AK22)</f>
        <v>37</v>
      </c>
      <c r="AK65" s="276"/>
      <c r="AL65" s="285">
        <f>(AL3+AL10+AL22)+2*(AM3+AM10+AM22)</f>
        <v>37</v>
      </c>
      <c r="AM65" s="277"/>
      <c r="AN65" s="277">
        <f>(AN3+AN10+AN22)+2*(AO3+AO10+AO22)</f>
        <v>38</v>
      </c>
      <c r="AO65" s="286"/>
      <c r="AP65" s="286">
        <f>(AP3+AP10+AP22)+2*(AQ3+AQ10+AQ22)</f>
        <v>0</v>
      </c>
      <c r="AQ65" s="278"/>
      <c r="AR65" s="278">
        <f>(AR3+AR10+AR22)+2*(AS3+AS10+AS22)</f>
        <v>0</v>
      </c>
      <c r="AS65" s="279"/>
      <c r="AT65" s="279">
        <f>(AT3+AT10+AT22)+2*(AU3+AU10+AU22)</f>
        <v>0</v>
      </c>
      <c r="AU65" s="280"/>
      <c r="AV65" s="280">
        <f>(AV3+AV10+AV22)+2*(AW3+AW10+AW22)</f>
        <v>30</v>
      </c>
      <c r="AW65" s="281"/>
      <c r="AX65" s="281">
        <f>(AX3+AX10+AX22)+2*(AY3+AY10+AY22)</f>
        <v>37</v>
      </c>
      <c r="AY65" s="58"/>
      <c r="AZ65" s="58">
        <f>(AZ3+AZ10+AZ22)+2*(BA3+BA10+BA22)</f>
        <v>37</v>
      </c>
      <c r="BA65" s="111"/>
      <c r="BB65" s="109">
        <f>(BB3+BB10+BB22)+2*(BC3+BC10+BC22)</f>
        <v>37</v>
      </c>
      <c r="BC65" s="266"/>
      <c r="BD65" s="266">
        <f>(BD3+BD10+BD22)+2*(BE3+BE10+BE22)</f>
        <v>37</v>
      </c>
      <c r="BE65" s="111"/>
      <c r="BF65" s="58">
        <f>(BF3+BF10+BF22)+2*(BG3+BG10+BG22)</f>
        <v>0</v>
      </c>
      <c r="BG65" s="267"/>
      <c r="BH65" s="267">
        <f>(BH3+BH10+BH22)+2*(BI3+BI10+BI22)</f>
        <v>0</v>
      </c>
      <c r="BI65" s="268"/>
      <c r="BJ65" s="268">
        <f>(BJ3+BJ10+BJ22)+2*(BK3+BK10+BK22)</f>
        <v>36</v>
      </c>
      <c r="BK65" s="319"/>
    </row>
    <row r="66" spans="1:71" x14ac:dyDescent="0.25">
      <c r="A66" t="s">
        <v>82</v>
      </c>
      <c r="C66" s="8"/>
      <c r="D66" s="58">
        <f>(D6+D13+D25)+2*(E6+E13+E25)</f>
        <v>0</v>
      </c>
      <c r="E66" s="58"/>
      <c r="F66" s="58">
        <f>(F6+F13+F25)+2*(G6+G13+G25)</f>
        <v>36</v>
      </c>
      <c r="G66" s="58"/>
      <c r="H66" s="58">
        <f>(H6+H13+H25)+2*(I6+I13+I25)</f>
        <v>36</v>
      </c>
      <c r="I66" s="58"/>
      <c r="J66" s="58">
        <f>(J6+J13+J25)+2*(K6+K13+K25)</f>
        <v>36</v>
      </c>
      <c r="K66" s="58"/>
      <c r="L66" s="58">
        <f>(L6+L13+L25)+2*(M6+M13+M25)</f>
        <v>37</v>
      </c>
      <c r="M66" s="283"/>
      <c r="N66" s="283">
        <f>(N6+N13+N25)+2*(O6+O13+O25)</f>
        <v>36</v>
      </c>
      <c r="O66" s="284"/>
      <c r="P66" s="284">
        <f>(P6+P13+P25)+2*(Q6+Q13+Q25)</f>
        <v>0</v>
      </c>
      <c r="Q66" s="260"/>
      <c r="R66" s="260">
        <f>(R6+R13+R25)+2*(S6+S13+S25)</f>
        <v>0</v>
      </c>
      <c r="S66" s="58"/>
      <c r="T66" s="58">
        <f>(T6+T13+T25)+2*(U6+U13+U25)</f>
        <v>37</v>
      </c>
      <c r="U66" s="271"/>
      <c r="V66" s="271">
        <f>(V6+V13+V25)+2*(W6+W13+W25)</f>
        <v>38</v>
      </c>
      <c r="W66" s="272"/>
      <c r="X66" s="272">
        <f>(X6+X13+X25)+2*(Y6+Y13+Y25)</f>
        <v>36</v>
      </c>
      <c r="Y66" s="274"/>
      <c r="Z66" s="274">
        <f>(Z6+Z13+Z25)+2*(AA6+AA13+AA25)</f>
        <v>34</v>
      </c>
      <c r="AA66" s="275"/>
      <c r="AB66" s="275">
        <f>(AB6+AB13+AB25)+2*(AC6+AC13+AC25)</f>
        <v>36</v>
      </c>
      <c r="AC66" s="58"/>
      <c r="AD66" s="58">
        <f>(AD6+AD13+AD25)+2*(AE6+AE13+AE25)</f>
        <v>0</v>
      </c>
      <c r="AE66" s="58"/>
      <c r="AF66" s="58">
        <f>(AF6+AF13+AF25)+2*(AG6+AG13+AG25)</f>
        <v>0</v>
      </c>
      <c r="AG66" s="58"/>
      <c r="AH66" s="58">
        <f>(AH6+AH13+AH25)+2*(AI6+AI13+AI25)</f>
        <v>6</v>
      </c>
      <c r="AI66" s="265"/>
      <c r="AJ66" s="265">
        <f>(AJ6+AJ13+AJ25)+2*(AK6+AK13+AK25)</f>
        <v>36</v>
      </c>
      <c r="AK66" s="276"/>
      <c r="AL66" s="285">
        <f>(AL6+AL13+AL25)+2*(AM6+AM13+AM25)</f>
        <v>36</v>
      </c>
      <c r="AM66" s="277"/>
      <c r="AN66" s="277">
        <f>(AN6+AN13+AN25)+2*(AO6+AO13+AO25)</f>
        <v>37</v>
      </c>
      <c r="AO66" s="286"/>
      <c r="AP66" s="286">
        <f>(AP6+AP13+AP25)+2*(AQ6+AQ13+AQ25)</f>
        <v>0</v>
      </c>
      <c r="AQ66" s="278"/>
      <c r="AR66" s="278">
        <f>(AR6+AR13+AR25)+2*(AS6+AS13+AS25)</f>
        <v>0</v>
      </c>
      <c r="AS66" s="279"/>
      <c r="AT66" s="279">
        <f>(AT6+AT13+AT25)+2*(AU6+AU13+AU25)</f>
        <v>0</v>
      </c>
      <c r="AU66" s="280"/>
      <c r="AV66" s="280">
        <f>(AV6+AV13+AV25)+2*(AW6+AW13+AW25)</f>
        <v>34</v>
      </c>
      <c r="AW66" s="281"/>
      <c r="AX66" s="281">
        <f>(AX6+AX13+AX25)+2*(AY6+AY13+AY25)</f>
        <v>36</v>
      </c>
      <c r="AY66" s="58"/>
      <c r="AZ66" s="58">
        <f>(AZ6+AZ13+AZ25)+2*(BA6+BA13+BA25)</f>
        <v>36</v>
      </c>
      <c r="BA66" s="111"/>
      <c r="BB66" s="109">
        <f>(BB6+BB13+BB25)+2*(BC6+BC13+BC25)</f>
        <v>36</v>
      </c>
      <c r="BC66" s="266"/>
      <c r="BD66" s="266">
        <f>(BD6+BD13+BD25)+2*(BE6+BE13+BE25)</f>
        <v>36</v>
      </c>
      <c r="BE66" s="111"/>
      <c r="BF66" s="58">
        <f>(BF6+BF13+BF25)+2*(BG6+BG13+BG25)</f>
        <v>0</v>
      </c>
      <c r="BG66" s="267"/>
      <c r="BH66" s="267">
        <f>(BH6+BH13+BH25)+2*(BI6+BI13+BI25)</f>
        <v>0</v>
      </c>
      <c r="BI66" s="268"/>
      <c r="BJ66" s="268">
        <f>(BJ6+BJ13+BJ25)+2*(BK6+BK13+BK25)</f>
        <v>35</v>
      </c>
      <c r="BK66" s="319"/>
    </row>
    <row r="67" spans="1:71" s="118" customFormat="1" x14ac:dyDescent="0.25">
      <c r="A67" s="118" t="s">
        <v>122</v>
      </c>
      <c r="C67" s="8"/>
      <c r="D67" s="148">
        <f>(D4+D11+D23)+2*(E4+E11+E23)</f>
        <v>0</v>
      </c>
      <c r="E67" s="148"/>
      <c r="F67" s="148">
        <f>(F4+F11+F23)+2*(G4+G11+G23)</f>
        <v>0</v>
      </c>
      <c r="G67" s="148"/>
      <c r="H67" s="148">
        <f>(H4+H11+H23)+2*(I4+I11+I23)</f>
        <v>0</v>
      </c>
      <c r="I67" s="148"/>
      <c r="J67" s="148">
        <f>(J4+J11+J23)+2*(K4+K11+K23)</f>
        <v>0</v>
      </c>
      <c r="K67" s="148"/>
      <c r="L67" s="148">
        <f>(L4+L11+L23)+2*(M4+M11+M23)</f>
        <v>0</v>
      </c>
      <c r="M67" s="283"/>
      <c r="N67" s="283">
        <f>(N4+N11+N23)+2*(O4+O11+O23)</f>
        <v>0</v>
      </c>
      <c r="O67" s="284"/>
      <c r="P67" s="284">
        <f>(P4+P11+P23)+2*(Q4+Q11+Q23)</f>
        <v>0</v>
      </c>
      <c r="Q67" s="260"/>
      <c r="R67" s="260">
        <f>(R4+R11+R23)+2*(S4+S11+S23)</f>
        <v>0</v>
      </c>
      <c r="S67" s="148"/>
      <c r="T67" s="148">
        <f>(T4+T11+T23)+2*(U4+U11+U23)</f>
        <v>0</v>
      </c>
      <c r="U67" s="271"/>
      <c r="V67" s="271">
        <f>(V4+V11+V23)+2*(W4+W11+W23)</f>
        <v>0</v>
      </c>
      <c r="W67" s="272"/>
      <c r="X67" s="272">
        <f>(X4+X11+X23)+2*(Y4+Y11+Y23)</f>
        <v>0</v>
      </c>
      <c r="Y67" s="274"/>
      <c r="Z67" s="274">
        <f>(Z4+Z11+Z23)+2*(AA4+AA11+AA23)</f>
        <v>0</v>
      </c>
      <c r="AA67" s="275"/>
      <c r="AB67" s="275">
        <f>(AB4+AB11+AB23)+2*(AC4+AC11+AC23)</f>
        <v>0</v>
      </c>
      <c r="AC67" s="148"/>
      <c r="AD67" s="148">
        <f>(AD4+AD11+AD23)+2*(AE4+AE11+AE23)</f>
        <v>0</v>
      </c>
      <c r="AE67" s="148"/>
      <c r="AF67" s="148">
        <f>(AF4+AF11+AF23)+2*(AG4+AG11+AG23)</f>
        <v>0</v>
      </c>
      <c r="AG67" s="148"/>
      <c r="AH67" s="148">
        <f>(AH4+AH11+AH23)+2*(AI4+AI11+AI23)</f>
        <v>0</v>
      </c>
      <c r="AI67" s="265"/>
      <c r="AJ67" s="265">
        <f>(AJ4+AJ11+AJ23)+2*(AK4+AK11+AK23)</f>
        <v>0</v>
      </c>
      <c r="AK67" s="276"/>
      <c r="AL67" s="285">
        <f>(AL4+AL11+AL23)+2*(AM4+AM11+AM23)</f>
        <v>0</v>
      </c>
      <c r="AM67" s="277"/>
      <c r="AN67" s="277">
        <f>(AN4+AN11+AN23)+2*(AO4+AO11+AO23)</f>
        <v>0</v>
      </c>
      <c r="AO67" s="286"/>
      <c r="AP67" s="286">
        <f>(AP4+AP11+AP23)+2*(AQ4+AQ11+AQ23)</f>
        <v>0</v>
      </c>
      <c r="AQ67" s="278"/>
      <c r="AR67" s="278">
        <f>(AR4+AR11+AR23)+2*(AS4+AS11+AS23)</f>
        <v>0</v>
      </c>
      <c r="AS67" s="279"/>
      <c r="AT67" s="279">
        <f>(AT4+AT11+AT23)+2*(AU4+AU11+AU23)</f>
        <v>0</v>
      </c>
      <c r="AU67" s="280"/>
      <c r="AV67" s="280">
        <f>(AV4+AV11+AV23)+2*(AW4+AW11+AW23)</f>
        <v>0</v>
      </c>
      <c r="AW67" s="281"/>
      <c r="AX67" s="281">
        <f>(AX4+AX11+AX23)+2*(AY4+AY11+AY23)</f>
        <v>0</v>
      </c>
      <c r="AY67" s="148"/>
      <c r="AZ67" s="148">
        <f>(AZ4+AZ11+AZ23)+2*(BA4+BA11+BA23)</f>
        <v>0</v>
      </c>
      <c r="BA67" s="148"/>
      <c r="BB67" s="148">
        <f>(BB4+BB11+BB23)+2*(BC4+BC11+BC23)</f>
        <v>0</v>
      </c>
      <c r="BC67" s="266"/>
      <c r="BD67" s="266">
        <f>(BD4+BD11+BD23)+2*(BE4+BE11+BE23)</f>
        <v>0</v>
      </c>
      <c r="BE67" s="148"/>
      <c r="BF67" s="148">
        <f>(BF4+BF11+BF23)+2*(BG4+BG11+BG23)</f>
        <v>0</v>
      </c>
      <c r="BG67" s="267"/>
      <c r="BH67" s="267">
        <f>(BH4+BH11+BH23)+2*(BI4+BI11+BI23)</f>
        <v>0</v>
      </c>
      <c r="BI67" s="268"/>
      <c r="BJ67" s="268">
        <f>(BJ4+BJ11+BJ23)+2*(BK4+BK11+BK23)</f>
        <v>0</v>
      </c>
      <c r="BK67" s="319"/>
    </row>
    <row r="68" spans="1:71" x14ac:dyDescent="0.25">
      <c r="A68" t="s">
        <v>35</v>
      </c>
      <c r="C68" s="8"/>
      <c r="D68" s="58">
        <f>(D7+D14+D26)+2*(E7+E14+E26)</f>
        <v>0</v>
      </c>
      <c r="E68" s="58"/>
      <c r="F68" s="58">
        <f>(F7+F14+F26)+2*(G7+G14+G26)</f>
        <v>1</v>
      </c>
      <c r="G68" s="58"/>
      <c r="H68" s="58">
        <f>(H7+H14+H26)+2*(I7+I14+I26)</f>
        <v>1</v>
      </c>
      <c r="I68" s="58"/>
      <c r="J68" s="58">
        <f>(J7+J14+J26)+2*(K7+K14+K26)</f>
        <v>1</v>
      </c>
      <c r="K68" s="58"/>
      <c r="L68" s="58">
        <f>(L7+L14+L26)+2*(M7+M14+M26)</f>
        <v>1</v>
      </c>
      <c r="M68" s="283"/>
      <c r="N68" s="283">
        <f>(N7+N14+N26)+2*(O7+O14+O26)</f>
        <v>1</v>
      </c>
      <c r="O68" s="284"/>
      <c r="P68" s="284">
        <f>(P7+P14+P26)+2*(Q7+Q14+Q26)</f>
        <v>0</v>
      </c>
      <c r="Q68" s="260"/>
      <c r="R68" s="260">
        <f>(R7+R14+R26)+2*(S7+S14+S26)</f>
        <v>0</v>
      </c>
      <c r="S68" s="58"/>
      <c r="T68" s="58">
        <f>(T7+T14+T26)+2*(U7+U14+U26)</f>
        <v>1</v>
      </c>
      <c r="U68" s="271"/>
      <c r="V68" s="271">
        <f>(V7+V14+V26)+2*(W7+W14+W26)</f>
        <v>1</v>
      </c>
      <c r="W68" s="272"/>
      <c r="X68" s="272">
        <f>(X7+X14+X26)+2*(Y7+Y14+Y26)</f>
        <v>1</v>
      </c>
      <c r="Y68" s="274"/>
      <c r="Z68" s="274">
        <f>(Z7+Z14+Z26)+2*(AA7+AA14+AA26)</f>
        <v>1</v>
      </c>
      <c r="AA68" s="275"/>
      <c r="AB68" s="275">
        <f>(AB7+AB14+AB26)+2*(AC7+AC14+AC26)</f>
        <v>1</v>
      </c>
      <c r="AC68" s="58"/>
      <c r="AD68" s="58">
        <f>(AD7+AD14+AD26)+2*(AE7+AE14+AE26)</f>
        <v>0</v>
      </c>
      <c r="AE68" s="58"/>
      <c r="AF68" s="248">
        <f>(AF7+AF14+AF26)+2*(AG7+AG14+AG26)</f>
        <v>0</v>
      </c>
      <c r="AG68" s="58"/>
      <c r="AH68" s="58">
        <f>(AH7+AH14+AH26)+2*(AI7+AI14+AI26)</f>
        <v>0</v>
      </c>
      <c r="AI68" s="265"/>
      <c r="AJ68" s="265">
        <f>(AJ7+AJ14+AJ26)+2*(AK7+AK14+AK26)</f>
        <v>1</v>
      </c>
      <c r="AK68" s="276"/>
      <c r="AL68" s="285">
        <f>(AL7+AL14+AL26)+2*(AM7+AM14+AM26)</f>
        <v>1</v>
      </c>
      <c r="AM68" s="277"/>
      <c r="AN68" s="277">
        <f>(AN7+AN14+AN26)+2*(AO7+AO14+AO26)</f>
        <v>1</v>
      </c>
      <c r="AO68" s="286"/>
      <c r="AP68" s="286">
        <f>(AP7+AP14+AP26)+2*(AQ7+AQ14+AQ26)</f>
        <v>0</v>
      </c>
      <c r="AQ68" s="278"/>
      <c r="AR68" s="278">
        <f>(AR7+AR14+AR26)+2*(AS7+AS14+AS26)</f>
        <v>0</v>
      </c>
      <c r="AS68" s="279"/>
      <c r="AT68" s="279">
        <f>(AT7+AT14+AT26)+2*(AU7+AU14+AU26)</f>
        <v>0</v>
      </c>
      <c r="AU68" s="280"/>
      <c r="AV68" s="280">
        <f>(AV7+AV14+AV26)+2*(AW7+AW14+AW26)</f>
        <v>1</v>
      </c>
      <c r="AW68" s="281"/>
      <c r="AX68" s="281">
        <f>(AX7+AX14+AX26)+2*(AY7+AY14+AY26)</f>
        <v>1</v>
      </c>
      <c r="AY68" s="58"/>
      <c r="AZ68" s="251">
        <f>(AZ7+AZ14+AZ26)+2*(BA7+BA14+BA26)</f>
        <v>1</v>
      </c>
      <c r="BA68" s="111"/>
      <c r="BB68" s="252">
        <f>(BB7+BB14+BB26)+2*(BC7+BC14+BC26)</f>
        <v>1</v>
      </c>
      <c r="BC68" s="266"/>
      <c r="BD68" s="266">
        <f>(BD7+BD14+BD26)+2*(BE7+BE14+BE26)</f>
        <v>1</v>
      </c>
      <c r="BE68" s="111"/>
      <c r="BF68" s="58">
        <f>(BF7+BF14+BF26)+2*(BG7+BG14+BG26)</f>
        <v>0</v>
      </c>
      <c r="BG68" s="267"/>
      <c r="BH68" s="267">
        <f>(BH7+BH14+BH26)+2*(BI7+BI14+BI26)</f>
        <v>0</v>
      </c>
      <c r="BI68" s="268"/>
      <c r="BJ68" s="268">
        <f>(BJ7+BJ14+BJ26)+2*(BK7+BK14+BK26)</f>
        <v>1</v>
      </c>
      <c r="BK68" s="319"/>
    </row>
    <row r="69" spans="1:71" ht="12" customHeight="1" x14ac:dyDescent="0.25">
      <c r="A69" s="118" t="s">
        <v>172</v>
      </c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8"/>
      <c r="AU69" s="288"/>
      <c r="AV69" s="324">
        <f>(AV16)+2*(AW16)</f>
        <v>14</v>
      </c>
      <c r="AW69" s="288"/>
      <c r="AX69" s="288"/>
      <c r="AY69" s="288"/>
      <c r="AZ69" s="288"/>
      <c r="BA69" s="288"/>
      <c r="BB69" s="288"/>
      <c r="BC69" s="288"/>
      <c r="BD69" s="288"/>
      <c r="BE69" s="288"/>
      <c r="BF69" s="288"/>
      <c r="BG69" s="288"/>
      <c r="BH69" s="288"/>
      <c r="BI69" s="288"/>
      <c r="BJ69" s="288"/>
      <c r="BK69" s="288"/>
      <c r="BL69" s="288"/>
      <c r="BM69" s="288"/>
      <c r="BN69" s="288"/>
      <c r="BO69" s="288"/>
      <c r="BP69" s="288"/>
      <c r="BQ69" s="288"/>
      <c r="BR69" s="288"/>
      <c r="BS69" s="288"/>
    </row>
    <row r="70" spans="1:71" x14ac:dyDescent="0.25">
      <c r="A70" s="118" t="s">
        <v>173</v>
      </c>
      <c r="AV70" s="324">
        <f>(AV17)+2*(AW17)</f>
        <v>17</v>
      </c>
    </row>
    <row r="71" spans="1:71" x14ac:dyDescent="0.25">
      <c r="A71" t="s">
        <v>179</v>
      </c>
      <c r="AV71" s="326">
        <f>(AV18)+2*(AW18)</f>
        <v>6</v>
      </c>
    </row>
    <row r="72" spans="1:71" x14ac:dyDescent="0.25">
      <c r="A72" t="s">
        <v>160</v>
      </c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V72" s="326">
        <f>(AV19)+2*(AW19)</f>
        <v>1</v>
      </c>
    </row>
    <row r="73" spans="1:71" x14ac:dyDescent="0.25">
      <c r="A73" t="s">
        <v>125</v>
      </c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V73" s="326">
        <f>(AV20)+2*(AW20)</f>
        <v>1</v>
      </c>
    </row>
    <row r="74" spans="1:71" x14ac:dyDescent="0.25"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 spans="1:71" x14ac:dyDescent="0.25"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 spans="1:71" x14ac:dyDescent="0.25"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71" x14ac:dyDescent="0.25">
      <c r="AD77" s="327"/>
      <c r="AE77" s="327"/>
      <c r="AF77" s="327"/>
      <c r="AG77" s="327"/>
      <c r="AH77" s="327"/>
      <c r="AI77" s="327"/>
      <c r="AJ77" s="327"/>
      <c r="AK77" s="327"/>
      <c r="AL77" s="327"/>
      <c r="AM77" s="327"/>
      <c r="AN77" s="327"/>
      <c r="AO77" s="327"/>
      <c r="AP77" s="327"/>
      <c r="AQ77" s="327"/>
      <c r="AR77" s="327"/>
      <c r="AS77" s="327"/>
      <c r="AT77" s="327"/>
      <c r="AU77" s="327"/>
      <c r="AV77" s="327"/>
      <c r="AW77" s="327"/>
      <c r="AX77" s="327"/>
      <c r="AY77" s="327"/>
      <c r="AZ77" s="327"/>
      <c r="BA77" s="327"/>
      <c r="BB77" s="128"/>
      <c r="BC77" s="128"/>
      <c r="BD77" s="8"/>
      <c r="BE77" s="8"/>
      <c r="BF77" s="8"/>
      <c r="BG77" s="8"/>
      <c r="BH77" s="8"/>
      <c r="BI77" s="8"/>
      <c r="BJ77" s="8"/>
      <c r="BK77" s="118"/>
    </row>
    <row r="78" spans="1:71" x14ac:dyDescent="0.25">
      <c r="AD78" s="327"/>
      <c r="AE78" s="327"/>
      <c r="AF78" s="327"/>
      <c r="AG78" s="327"/>
      <c r="AH78" s="327"/>
      <c r="AI78" s="327"/>
      <c r="AJ78" s="327"/>
      <c r="AK78" s="327"/>
      <c r="AL78" s="327"/>
      <c r="AM78" s="327"/>
      <c r="AN78" s="327"/>
      <c r="AO78" s="327"/>
      <c r="AP78" s="327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128"/>
      <c r="BC78" s="128"/>
      <c r="BD78" s="8"/>
      <c r="BE78" s="8"/>
      <c r="BF78" s="8"/>
      <c r="BG78" s="8"/>
      <c r="BH78" s="8"/>
      <c r="BI78" s="8"/>
      <c r="BJ78" s="8"/>
      <c r="BK78" s="118"/>
    </row>
    <row r="79" spans="1:71" x14ac:dyDescent="0.25">
      <c r="U79" s="118"/>
      <c r="V79" s="118"/>
      <c r="W79" s="118"/>
      <c r="X79" s="118"/>
      <c r="Y79" s="118"/>
      <c r="Z79" s="118"/>
      <c r="AA79" s="118"/>
      <c r="AB79" s="118"/>
      <c r="AC79" s="118"/>
      <c r="AD79" s="327"/>
      <c r="AE79" s="327"/>
      <c r="AF79" s="327"/>
      <c r="AG79" s="327"/>
      <c r="AH79" s="327"/>
      <c r="AI79" s="327"/>
      <c r="AJ79" s="327"/>
      <c r="AK79" s="327"/>
      <c r="AL79" s="327"/>
      <c r="AM79" s="327"/>
      <c r="AN79" s="327"/>
      <c r="AO79" s="327"/>
      <c r="AP79" s="327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128"/>
      <c r="BC79" s="128"/>
      <c r="BD79" s="8"/>
      <c r="BE79" s="8"/>
      <c r="BF79" s="8"/>
      <c r="BG79" s="8"/>
      <c r="BH79" s="8"/>
      <c r="BI79" s="8"/>
      <c r="BJ79" s="8"/>
    </row>
    <row r="82" spans="54:73" x14ac:dyDescent="0.25"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</row>
    <row r="83" spans="54:73" x14ac:dyDescent="0.25"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</row>
  </sheetData>
  <mergeCells count="31"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AX1:AY1"/>
    <mergeCell ref="AV1:AW1"/>
    <mergeCell ref="A48:B48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" sqref="W1"/>
    </sheetView>
  </sheetViews>
  <sheetFormatPr baseColWidth="10" defaultColWidth="11.42578125" defaultRowHeight="15" x14ac:dyDescent="0.25"/>
  <cols>
    <col min="1" max="2" width="11.42578125" style="118"/>
    <col min="3" max="3" width="19.140625" style="118" customWidth="1"/>
    <col min="4" max="4" width="11.42578125" style="118"/>
    <col min="5" max="5" width="18.42578125" style="118" customWidth="1"/>
    <col min="6" max="6" width="14.140625" style="118" customWidth="1"/>
    <col min="7" max="7" width="23.85546875" style="118" customWidth="1"/>
    <col min="8" max="8" width="22.7109375" style="118" customWidth="1"/>
    <col min="9" max="9" width="18.5703125" style="118" customWidth="1"/>
    <col min="10" max="10" width="14.28515625" style="118" customWidth="1"/>
    <col min="11" max="11" width="25.5703125" style="118" customWidth="1"/>
    <col min="12" max="16384" width="11.42578125" style="118"/>
  </cols>
  <sheetData>
    <row r="1" spans="1:12" ht="44.25" x14ac:dyDescent="0.25">
      <c r="A1" s="373" t="s">
        <v>169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</row>
    <row r="2" spans="1:12" x14ac:dyDescent="0.25">
      <c r="A2" s="152" t="s">
        <v>126</v>
      </c>
      <c r="B2" s="152" t="s">
        <v>3</v>
      </c>
      <c r="C2" s="152" t="s">
        <v>127</v>
      </c>
      <c r="D2" s="152" t="s">
        <v>128</v>
      </c>
      <c r="E2" s="153" t="s">
        <v>129</v>
      </c>
      <c r="F2" s="153" t="s">
        <v>130</v>
      </c>
      <c r="G2" s="153" t="s">
        <v>131</v>
      </c>
      <c r="H2" s="153" t="s">
        <v>132</v>
      </c>
      <c r="I2" s="153" t="s">
        <v>133</v>
      </c>
      <c r="J2" s="153" t="s">
        <v>134</v>
      </c>
      <c r="K2" s="153" t="s">
        <v>135</v>
      </c>
    </row>
    <row r="3" spans="1:12" x14ac:dyDescent="0.25">
      <c r="A3" s="154">
        <v>45809</v>
      </c>
      <c r="B3" s="12">
        <f>'KM-Servicio'!N11</f>
        <v>5149</v>
      </c>
      <c r="C3" s="12">
        <f>B3</f>
        <v>5149</v>
      </c>
      <c r="D3" s="12">
        <f>'KM-Servicio'!W11</f>
        <v>5089.34</v>
      </c>
      <c r="E3" s="12">
        <f>D3</f>
        <v>5089.34</v>
      </c>
      <c r="F3" s="160">
        <f>'KM-Servicio'!O11</f>
        <v>98.841328413284131</v>
      </c>
      <c r="G3" s="161">
        <f>SUM('KM-Servicio'!B11:C11)</f>
        <v>115</v>
      </c>
      <c r="H3" s="161">
        <f>SUM('KM-Servicio'!D11:E11)</f>
        <v>115</v>
      </c>
      <c r="I3" s="12">
        <f>'Oferta Diaria'!C43</f>
        <v>403584.66200000001</v>
      </c>
      <c r="J3" s="169" t="s">
        <v>137</v>
      </c>
      <c r="K3" s="158"/>
      <c r="L3" s="156"/>
    </row>
    <row r="4" spans="1:12" x14ac:dyDescent="0.25">
      <c r="A4" s="154">
        <v>45810</v>
      </c>
      <c r="B4" s="12">
        <f>'KM-Servicio'!N18</f>
        <v>11955</v>
      </c>
      <c r="C4" s="12">
        <f>B4+C3</f>
        <v>17104</v>
      </c>
      <c r="D4" s="12">
        <f>'KM-Servicio'!W18</f>
        <v>11601.179999999998</v>
      </c>
      <c r="E4" s="12">
        <f>D4+E3</f>
        <v>16690.519999999997</v>
      </c>
      <c r="F4" s="160">
        <f>'KM-Servicio'!O18</f>
        <v>97.040401505646159</v>
      </c>
      <c r="G4" s="161">
        <f>SUM('KM-Servicio'!B18:C18)</f>
        <v>223</v>
      </c>
      <c r="H4" s="161">
        <f>SUM('KM-Servicio'!D18:E18)</f>
        <v>223</v>
      </c>
      <c r="I4" s="12">
        <f>'Oferta Diaria'!D43</f>
        <v>919973.57399999979</v>
      </c>
      <c r="J4" s="155" t="s">
        <v>138</v>
      </c>
      <c r="K4" s="158"/>
      <c r="L4" s="156"/>
    </row>
    <row r="5" spans="1:12" x14ac:dyDescent="0.25">
      <c r="A5" s="154">
        <v>45811</v>
      </c>
      <c r="B5" s="12">
        <f>'KM-Servicio'!N25</f>
        <v>12127</v>
      </c>
      <c r="C5" s="12">
        <f t="shared" ref="C5:C30" si="0">B5+C4</f>
        <v>29231</v>
      </c>
      <c r="D5" s="12">
        <f>'KM-Servicio'!W25</f>
        <v>11705.17</v>
      </c>
      <c r="E5" s="12">
        <f t="shared" ref="E5:E30" si="1">D5+E4</f>
        <v>28395.689999999995</v>
      </c>
      <c r="F5" s="160">
        <f>'KM-Servicio'!O25</f>
        <v>96.52156345345098</v>
      </c>
      <c r="G5" s="161">
        <f>SUM('KM-Servicio'!B25:C25)</f>
        <v>223</v>
      </c>
      <c r="H5" s="161">
        <f>SUM('KM-Servicio'!D25:E25)</f>
        <v>223</v>
      </c>
      <c r="I5" s="12">
        <f>'Oferta Diaria'!E43</f>
        <v>928219.98100000015</v>
      </c>
      <c r="J5" s="155" t="s">
        <v>138</v>
      </c>
      <c r="K5" s="158"/>
      <c r="L5" s="156"/>
    </row>
    <row r="6" spans="1:12" x14ac:dyDescent="0.25">
      <c r="A6" s="154">
        <v>45812</v>
      </c>
      <c r="B6" s="12">
        <f>'KM-Servicio'!N32</f>
        <v>11994</v>
      </c>
      <c r="C6" s="12">
        <f t="shared" si="0"/>
        <v>41225</v>
      </c>
      <c r="D6" s="12">
        <f>'KM-Servicio'!W32</f>
        <v>11601.179999999998</v>
      </c>
      <c r="E6" s="12">
        <f t="shared" si="1"/>
        <v>39996.869999999995</v>
      </c>
      <c r="F6" s="160">
        <f>'KM-Servicio'!O32</f>
        <v>96.724862431215598</v>
      </c>
      <c r="G6" s="161">
        <f>SUM('KM-Servicio'!B32:C32)</f>
        <v>223</v>
      </c>
      <c r="H6" s="161">
        <f>SUM('KM-Servicio'!D32:E32)</f>
        <v>223</v>
      </c>
      <c r="I6" s="12">
        <f>'Oferta Diaria'!F43</f>
        <v>919973.57399999979</v>
      </c>
      <c r="J6" s="155" t="s">
        <v>138</v>
      </c>
      <c r="K6" s="158"/>
      <c r="L6" s="156"/>
    </row>
    <row r="7" spans="1:12" ht="16.5" customHeight="1" x14ac:dyDescent="0.25">
      <c r="A7" s="154">
        <v>45813</v>
      </c>
      <c r="B7" s="12">
        <f>'KM-Servicio'!N39</f>
        <v>11903</v>
      </c>
      <c r="C7" s="12">
        <f t="shared" si="0"/>
        <v>53128</v>
      </c>
      <c r="D7" s="12">
        <f>'KM-Servicio'!W39</f>
        <v>11584.77</v>
      </c>
      <c r="E7" s="12">
        <f t="shared" si="1"/>
        <v>51581.64</v>
      </c>
      <c r="F7" s="160">
        <f>'KM-Servicio'!O39</f>
        <v>97.326472317903054</v>
      </c>
      <c r="G7" s="161">
        <f>SUM('KM-Servicio'!B39:C39)</f>
        <v>223</v>
      </c>
      <c r="H7" s="161">
        <f>SUM('KM-Servicio'!D39:E39)</f>
        <v>223</v>
      </c>
      <c r="I7" s="12">
        <f>'Oferta Diaria'!G43</f>
        <v>918672.26100000006</v>
      </c>
      <c r="J7" s="155" t="s">
        <v>138</v>
      </c>
      <c r="K7" s="171"/>
      <c r="L7" s="156"/>
    </row>
    <row r="8" spans="1:12" x14ac:dyDescent="0.25">
      <c r="A8" s="154">
        <v>45814</v>
      </c>
      <c r="B8" s="12">
        <f>'KM-Servicio'!N46</f>
        <v>12074</v>
      </c>
      <c r="C8" s="12">
        <f t="shared" si="0"/>
        <v>65202</v>
      </c>
      <c r="D8" s="12">
        <f>'KM-Servicio'!W46</f>
        <v>11674.710000000001</v>
      </c>
      <c r="E8" s="12">
        <f t="shared" si="1"/>
        <v>63256.35</v>
      </c>
      <c r="F8" s="160">
        <f>'KM-Servicio'!O46</f>
        <v>96.692976644028491</v>
      </c>
      <c r="G8" s="161">
        <f>SUM('KM-Servicio'!B46:C46)</f>
        <v>223</v>
      </c>
      <c r="H8" s="161">
        <f>SUM('KM-Servicio'!D46:E46)</f>
        <v>223</v>
      </c>
      <c r="I8" s="12">
        <f>'Oferta Diaria'!H43</f>
        <v>925804.50300000003</v>
      </c>
      <c r="J8" s="155" t="s">
        <v>138</v>
      </c>
      <c r="K8" s="158"/>
      <c r="L8" s="156"/>
    </row>
    <row r="9" spans="1:12" x14ac:dyDescent="0.25">
      <c r="A9" s="154">
        <v>45815</v>
      </c>
      <c r="B9" s="12">
        <f>'KM-Servicio'!N53</f>
        <v>6589</v>
      </c>
      <c r="C9" s="12">
        <f t="shared" si="0"/>
        <v>71791</v>
      </c>
      <c r="D9" s="12">
        <f>'KM-Servicio'!W53</f>
        <v>6469.5</v>
      </c>
      <c r="E9" s="12">
        <f t="shared" si="1"/>
        <v>69725.850000000006</v>
      </c>
      <c r="F9" s="160">
        <f>'KM-Servicio'!O53</f>
        <v>98.18637122476855</v>
      </c>
      <c r="G9" s="161">
        <f>SUM('KM-Servicio'!B53:C53)</f>
        <v>147</v>
      </c>
      <c r="H9" s="161">
        <f>SUM('KM-Servicio'!D53:E53)</f>
        <v>147</v>
      </c>
      <c r="I9" s="12">
        <f>'Oferta Diaria'!I43</f>
        <v>513031.35</v>
      </c>
      <c r="J9" s="169" t="s">
        <v>139</v>
      </c>
      <c r="K9" s="170"/>
      <c r="L9" s="156"/>
    </row>
    <row r="10" spans="1:12" x14ac:dyDescent="0.25">
      <c r="A10" s="154">
        <v>45816</v>
      </c>
      <c r="B10" s="12">
        <f>'KM-Servicio'!N60</f>
        <v>4964</v>
      </c>
      <c r="C10" s="12">
        <f t="shared" si="0"/>
        <v>76755</v>
      </c>
      <c r="D10" s="12">
        <f>'KM-Servicio'!W60</f>
        <v>4916.8200000000006</v>
      </c>
      <c r="E10" s="12">
        <f t="shared" si="1"/>
        <v>74642.670000000013</v>
      </c>
      <c r="F10" s="160">
        <f>'KM-Servicio'!O60</f>
        <v>99.049556809024992</v>
      </c>
      <c r="G10" s="161">
        <f>SUM('KM-Servicio'!B60:C60)</f>
        <v>111</v>
      </c>
      <c r="H10" s="161">
        <f>SUM('KM-Servicio'!D60:E60)</f>
        <v>111</v>
      </c>
      <c r="I10" s="12">
        <f>'Oferta Diaria'!J43</f>
        <v>389903.82600000006</v>
      </c>
      <c r="J10" s="169" t="s">
        <v>137</v>
      </c>
      <c r="K10" s="158"/>
      <c r="L10" s="156"/>
    </row>
    <row r="11" spans="1:12" x14ac:dyDescent="0.25">
      <c r="A11" s="154">
        <v>45817</v>
      </c>
      <c r="B11" s="12">
        <f>'KM-Servicio'!N67</f>
        <v>12027</v>
      </c>
      <c r="C11" s="12">
        <f t="shared" si="0"/>
        <v>88782</v>
      </c>
      <c r="D11" s="12">
        <f>'KM-Servicio'!W67</f>
        <v>11649.34</v>
      </c>
      <c r="E11" s="12">
        <f t="shared" si="1"/>
        <v>86292.010000000009</v>
      </c>
      <c r="F11" s="160">
        <f>'KM-Servicio'!O67</f>
        <v>96.859898561569807</v>
      </c>
      <c r="G11" s="161">
        <f>SUM('KM-Servicio'!B67:C67)</f>
        <v>223</v>
      </c>
      <c r="H11" s="161">
        <f>SUM('KM-Servicio'!D67:E67)</f>
        <v>223</v>
      </c>
      <c r="I11" s="12">
        <f>'Oferta Diaria'!K43</f>
        <v>923792.66200000013</v>
      </c>
      <c r="J11" s="155" t="s">
        <v>138</v>
      </c>
      <c r="K11" s="158"/>
      <c r="L11" s="156"/>
    </row>
    <row r="12" spans="1:12" x14ac:dyDescent="0.25">
      <c r="A12" s="154">
        <v>45818</v>
      </c>
      <c r="B12" s="12">
        <f>'KM-Servicio'!N74</f>
        <v>12002</v>
      </c>
      <c r="C12" s="12">
        <f t="shared" si="0"/>
        <v>100784</v>
      </c>
      <c r="D12" s="12">
        <f>'KM-Servicio'!W74</f>
        <v>11653.050000000001</v>
      </c>
      <c r="E12" s="12">
        <f t="shared" si="1"/>
        <v>97945.060000000012</v>
      </c>
      <c r="F12" s="160">
        <f>'KM-Servicio'!O74</f>
        <v>97.092567905349114</v>
      </c>
      <c r="G12" s="161">
        <f>SUM('KM-Servicio'!B74:C74)</f>
        <v>223</v>
      </c>
      <c r="H12" s="161">
        <f>SUM('KM-Servicio'!D74:E74)</f>
        <v>223</v>
      </c>
      <c r="I12" s="12">
        <f>'Oferta Diaria'!L43</f>
        <v>924086.86500000011</v>
      </c>
      <c r="J12" s="155" t="s">
        <v>138</v>
      </c>
      <c r="K12" s="158"/>
      <c r="L12" s="156"/>
    </row>
    <row r="13" spans="1:12" x14ac:dyDescent="0.25">
      <c r="A13" s="154">
        <v>45819</v>
      </c>
      <c r="B13" s="12">
        <f>'KM-Servicio'!N81</f>
        <v>11996</v>
      </c>
      <c r="C13" s="12">
        <f t="shared" si="0"/>
        <v>112780</v>
      </c>
      <c r="D13" s="12">
        <f>'KM-Servicio'!W81</f>
        <v>11669.710000000001</v>
      </c>
      <c r="E13" s="12">
        <f t="shared" si="1"/>
        <v>109614.77000000002</v>
      </c>
      <c r="F13" s="160">
        <f>'KM-Servicio'!O81</f>
        <v>97.280010003334453</v>
      </c>
      <c r="G13" s="161">
        <f>SUM('KM-Servicio'!B81:C81)</f>
        <v>223</v>
      </c>
      <c r="H13" s="161">
        <f>SUM('KM-Servicio'!D81:E81)</f>
        <v>223</v>
      </c>
      <c r="I13" s="12">
        <f>'Oferta Diaria'!M43</f>
        <v>925408.00300000003</v>
      </c>
      <c r="J13" s="155" t="s">
        <v>138</v>
      </c>
      <c r="K13" s="158"/>
      <c r="L13" s="156"/>
    </row>
    <row r="14" spans="1:12" x14ac:dyDescent="0.25">
      <c r="A14" s="154">
        <v>45820</v>
      </c>
      <c r="B14" s="12">
        <f>'KM-Servicio'!N88</f>
        <v>11984</v>
      </c>
      <c r="C14" s="12">
        <f t="shared" si="0"/>
        <v>124764</v>
      </c>
      <c r="D14" s="12">
        <f>'KM-Servicio'!W88</f>
        <v>11487.13</v>
      </c>
      <c r="E14" s="12">
        <f t="shared" si="1"/>
        <v>121101.90000000002</v>
      </c>
      <c r="F14" s="160">
        <f>'KM-Servicio'!O88</f>
        <v>95.853888518024021</v>
      </c>
      <c r="G14" s="161">
        <f>SUM('KM-Servicio'!B88:C88)</f>
        <v>223</v>
      </c>
      <c r="H14" s="161">
        <f>SUM('KM-Servicio'!D88:E88)</f>
        <v>223</v>
      </c>
      <c r="I14" s="12">
        <f>'Oferta Diaria'!N43</f>
        <v>910929.4090000001</v>
      </c>
      <c r="J14" s="155" t="s">
        <v>138</v>
      </c>
      <c r="K14" s="158"/>
      <c r="L14" s="156"/>
    </row>
    <row r="15" spans="1:12" ht="16.5" customHeight="1" x14ac:dyDescent="0.25">
      <c r="A15" s="154">
        <v>45821</v>
      </c>
      <c r="B15" s="12">
        <f>'KM-Servicio'!N95</f>
        <v>12098</v>
      </c>
      <c r="C15" s="12">
        <f t="shared" si="0"/>
        <v>136862</v>
      </c>
      <c r="D15" s="12">
        <f>'KM-Servicio'!W95</f>
        <v>11654.37</v>
      </c>
      <c r="E15" s="12">
        <f t="shared" si="1"/>
        <v>132756.27000000002</v>
      </c>
      <c r="F15" s="160">
        <f>'KM-Servicio'!O95</f>
        <v>96.333030252934364</v>
      </c>
      <c r="G15" s="161">
        <f>SUM('KM-Servicio'!B95:C95)</f>
        <v>223</v>
      </c>
      <c r="H15" s="161">
        <f>SUM('KM-Servicio'!D95:E95)</f>
        <v>223</v>
      </c>
      <c r="I15" s="12">
        <f>'Oferta Diaria'!O43</f>
        <v>924191.54099999985</v>
      </c>
      <c r="J15" s="155" t="s">
        <v>138</v>
      </c>
      <c r="K15" s="158"/>
      <c r="L15" s="156"/>
    </row>
    <row r="16" spans="1:12" x14ac:dyDescent="0.25">
      <c r="A16" s="154">
        <v>45822</v>
      </c>
      <c r="B16" s="12">
        <f>'KM-Servicio'!N102</f>
        <v>6492</v>
      </c>
      <c r="C16" s="12">
        <f t="shared" si="0"/>
        <v>143354</v>
      </c>
      <c r="D16" s="12">
        <f>'KM-Servicio'!W102</f>
        <v>6469.5</v>
      </c>
      <c r="E16" s="12">
        <f t="shared" si="1"/>
        <v>139225.77000000002</v>
      </c>
      <c r="F16" s="160">
        <f>'KM-Servicio'!O102</f>
        <v>99.65341959334566</v>
      </c>
      <c r="G16" s="161">
        <f>SUM('KM-Servicio'!B102:C102)</f>
        <v>147</v>
      </c>
      <c r="H16" s="161">
        <f>SUM('KM-Servicio'!D102:E102)</f>
        <v>147</v>
      </c>
      <c r="I16" s="12">
        <f>'Oferta Diaria'!P43</f>
        <v>513031.35</v>
      </c>
      <c r="J16" s="169" t="s">
        <v>139</v>
      </c>
      <c r="K16" s="158"/>
      <c r="L16" s="156"/>
    </row>
    <row r="17" spans="1:14" x14ac:dyDescent="0.25">
      <c r="A17" s="154">
        <v>45823</v>
      </c>
      <c r="B17" s="12">
        <f>'KM-Servicio'!N109</f>
        <v>5029</v>
      </c>
      <c r="C17" s="12">
        <f t="shared" si="0"/>
        <v>148383</v>
      </c>
      <c r="D17" s="12">
        <f>'KM-Servicio'!W109</f>
        <v>4873.6900000000005</v>
      </c>
      <c r="E17" s="12">
        <f t="shared" si="1"/>
        <v>144099.46000000002</v>
      </c>
      <c r="F17" s="160">
        <f>'KM-Servicio'!O109</f>
        <v>96.911712069994053</v>
      </c>
      <c r="G17" s="161">
        <f>SUM('KM-Servicio'!B109:C109)</f>
        <v>111</v>
      </c>
      <c r="H17" s="161">
        <f>SUM('KM-Servicio'!D109:E109)</f>
        <v>111</v>
      </c>
      <c r="I17" s="12">
        <f>'Oferta Diaria'!Q43</f>
        <v>386483.61700000003</v>
      </c>
      <c r="J17" s="169" t="s">
        <v>137</v>
      </c>
      <c r="K17" s="158"/>
      <c r="L17" s="156"/>
    </row>
    <row r="18" spans="1:14" ht="14.25" customHeight="1" x14ac:dyDescent="0.25">
      <c r="A18" s="154">
        <v>45824</v>
      </c>
      <c r="B18" s="12">
        <f>'KM-Servicio'!$N$116</f>
        <v>7865</v>
      </c>
      <c r="C18" s="12">
        <f t="shared" si="0"/>
        <v>156248</v>
      </c>
      <c r="D18" s="12">
        <f>'KM-Servicio'!$W$116</f>
        <v>7221.0100000000011</v>
      </c>
      <c r="E18" s="12">
        <f t="shared" si="1"/>
        <v>151320.47000000003</v>
      </c>
      <c r="F18" s="160">
        <f>'KM-Servicio'!O116</f>
        <v>91.811951684678974</v>
      </c>
      <c r="G18" s="161">
        <f>SUM('KM-Servicio'!B116:C116)</f>
        <v>223</v>
      </c>
      <c r="H18" s="161">
        <f>SUM('KM-Servicio'!D116:E116)</f>
        <v>110</v>
      </c>
      <c r="I18" s="12">
        <f>'Oferta Diaria'!R43</f>
        <v>572626.09300000011</v>
      </c>
      <c r="J18" s="155" t="s">
        <v>138</v>
      </c>
      <c r="K18" s="138"/>
    </row>
    <row r="19" spans="1:14" x14ac:dyDescent="0.25">
      <c r="A19" s="154">
        <v>45825</v>
      </c>
      <c r="B19" s="12">
        <f>'KM-Servicio'!$N$123</f>
        <v>11915</v>
      </c>
      <c r="C19" s="12">
        <f t="shared" si="0"/>
        <v>168163</v>
      </c>
      <c r="D19" s="12">
        <f>'KM-Servicio'!$W$123</f>
        <v>11530.26</v>
      </c>
      <c r="E19" s="12">
        <f t="shared" si="1"/>
        <v>162850.73000000004</v>
      </c>
      <c r="F19" s="160">
        <f>'KM-Servicio'!O123</f>
        <v>96.770960973562737</v>
      </c>
      <c r="G19" s="161">
        <f>SUM('KM-Servicio'!B123:C123)</f>
        <v>223</v>
      </c>
      <c r="H19" s="161">
        <f>SUM('KM-Servicio'!D123:E123)</f>
        <v>223</v>
      </c>
      <c r="I19" s="12">
        <f>'Oferta Diaria'!S43</f>
        <v>914349.61800000002</v>
      </c>
      <c r="J19" s="155" t="s">
        <v>138</v>
      </c>
      <c r="K19" s="158"/>
      <c r="L19" s="156"/>
    </row>
    <row r="20" spans="1:14" x14ac:dyDescent="0.25">
      <c r="A20" s="154">
        <v>45826</v>
      </c>
      <c r="B20" s="12">
        <f>'KM-Servicio'!N130</f>
        <v>11923</v>
      </c>
      <c r="C20" s="12">
        <f t="shared" si="0"/>
        <v>180086</v>
      </c>
      <c r="D20" s="12">
        <f>'KM-Servicio'!$W$130</f>
        <v>11530.26</v>
      </c>
      <c r="E20" s="12">
        <f t="shared" si="1"/>
        <v>174380.99000000005</v>
      </c>
      <c r="F20" s="160">
        <f>'KM-Servicio'!O130</f>
        <v>96.706030361486199</v>
      </c>
      <c r="G20" s="161">
        <f>SUM('KM-Servicio'!B130:C130)</f>
        <v>223</v>
      </c>
      <c r="H20" s="161">
        <f>SUM('KM-Servicio'!D130:E130)</f>
        <v>223</v>
      </c>
      <c r="I20" s="12">
        <f>'Oferta Diaria'!T43</f>
        <v>914349.61800000002</v>
      </c>
      <c r="J20" s="155" t="s">
        <v>138</v>
      </c>
      <c r="K20" s="158"/>
      <c r="L20" s="156"/>
    </row>
    <row r="21" spans="1:14" x14ac:dyDescent="0.25">
      <c r="A21" s="154">
        <v>45827</v>
      </c>
      <c r="B21" s="12">
        <f>'KM-Servicio'!N137</f>
        <v>12083</v>
      </c>
      <c r="C21" s="12">
        <f t="shared" si="0"/>
        <v>192169</v>
      </c>
      <c r="D21" s="12">
        <f>'KM-Servicio'!$W$137</f>
        <v>11570.75</v>
      </c>
      <c r="E21" s="12">
        <f t="shared" si="1"/>
        <v>185951.74000000005</v>
      </c>
      <c r="F21" s="165">
        <f>'KM-Servicio'!O137</f>
        <v>95.760572705453939</v>
      </c>
      <c r="G21" s="161">
        <f>SUM('KM-Servicio'!B137:C137)</f>
        <v>223</v>
      </c>
      <c r="H21" s="161">
        <f>SUM('KM-Servicio'!D137:E137)</f>
        <v>223</v>
      </c>
      <c r="I21" s="12">
        <f>'Oferta Diaria'!U43</f>
        <v>917560.47500000009</v>
      </c>
      <c r="J21" s="155" t="s">
        <v>138</v>
      </c>
      <c r="K21" s="158"/>
      <c r="L21" s="156"/>
    </row>
    <row r="22" spans="1:14" x14ac:dyDescent="0.25">
      <c r="A22" s="154">
        <v>45828</v>
      </c>
      <c r="B22" s="12">
        <f>'KM-Servicio'!N144</f>
        <v>4935</v>
      </c>
      <c r="C22" s="12">
        <f t="shared" si="0"/>
        <v>197104</v>
      </c>
      <c r="D22" s="12">
        <f>'KM-Servicio'!$W$144</f>
        <v>4916.8200000000006</v>
      </c>
      <c r="E22" s="12">
        <f t="shared" si="1"/>
        <v>190868.56000000006</v>
      </c>
      <c r="F22" s="165">
        <f>'KM-Servicio'!O144</f>
        <v>99.631610942249253</v>
      </c>
      <c r="G22" s="161">
        <f>SUM('KM-Servicio'!B144:C144)</f>
        <v>111</v>
      </c>
      <c r="H22" s="161">
        <f>SUM('KM-Servicio'!D144:E144)</f>
        <v>111</v>
      </c>
      <c r="I22" s="12">
        <f>'Oferta Diaria'!V43</f>
        <v>389903.82600000006</v>
      </c>
      <c r="J22" s="169" t="s">
        <v>137</v>
      </c>
      <c r="K22" s="158"/>
      <c r="L22" s="156"/>
    </row>
    <row r="23" spans="1:14" x14ac:dyDescent="0.25">
      <c r="A23" s="154">
        <v>45829</v>
      </c>
      <c r="B23" s="12">
        <f>'KM-Servicio'!N151</f>
        <v>6501</v>
      </c>
      <c r="C23" s="12">
        <f t="shared" si="0"/>
        <v>203605</v>
      </c>
      <c r="D23" s="12">
        <f>'KM-Servicio'!$W$151</f>
        <v>6469.5</v>
      </c>
      <c r="E23" s="12">
        <f t="shared" si="1"/>
        <v>197338.06000000006</v>
      </c>
      <c r="F23" s="160">
        <f>'KM-Servicio'!O151</f>
        <v>99.515459160129211</v>
      </c>
      <c r="G23" s="161">
        <f>SUM('KM-Servicio'!B151:C151)</f>
        <v>147</v>
      </c>
      <c r="H23" s="161">
        <f>SUM('KM-Servicio'!D151:E151)</f>
        <v>147</v>
      </c>
      <c r="I23" s="12">
        <f>'Oferta Diaria'!W43</f>
        <v>513031.35</v>
      </c>
      <c r="J23" s="169" t="s">
        <v>139</v>
      </c>
      <c r="K23" s="158"/>
      <c r="L23" s="156"/>
    </row>
    <row r="24" spans="1:14" x14ac:dyDescent="0.25">
      <c r="A24" s="154">
        <v>45830</v>
      </c>
      <c r="B24" s="12">
        <f>'KM-Servicio'!N158</f>
        <v>4992</v>
      </c>
      <c r="C24" s="12">
        <f t="shared" si="0"/>
        <v>208597</v>
      </c>
      <c r="D24" s="12">
        <f>'KM-Servicio'!$W$158</f>
        <v>4916.8200000000006</v>
      </c>
      <c r="E24" s="12">
        <f t="shared" si="1"/>
        <v>202254.88000000006</v>
      </c>
      <c r="F24" s="160">
        <f>'KM-Servicio'!O158</f>
        <v>98.493990384615387</v>
      </c>
      <c r="G24" s="161">
        <f>SUM('KM-Servicio'!B158:C158)</f>
        <v>111</v>
      </c>
      <c r="H24" s="161">
        <f>SUM('KM-Servicio'!D158:E158)</f>
        <v>111</v>
      </c>
      <c r="I24" s="12">
        <f>'Oferta Diaria'!X43</f>
        <v>389903.82600000006</v>
      </c>
      <c r="J24" s="169" t="s">
        <v>137</v>
      </c>
      <c r="K24" s="158"/>
      <c r="L24" s="156"/>
    </row>
    <row r="25" spans="1:14" x14ac:dyDescent="0.25">
      <c r="A25" s="154">
        <v>45831</v>
      </c>
      <c r="B25" s="12">
        <f>'KM-Servicio'!N170</f>
        <v>11427</v>
      </c>
      <c r="C25" s="12">
        <f t="shared" si="0"/>
        <v>220024</v>
      </c>
      <c r="D25" s="12">
        <f>'KM-Servicio'!$W$170</f>
        <v>10740.16</v>
      </c>
      <c r="E25" s="12">
        <f t="shared" si="1"/>
        <v>212995.04000000007</v>
      </c>
      <c r="F25" s="160">
        <f>'KM-Servicio'!O170</f>
        <v>93.989323531985647</v>
      </c>
      <c r="G25" s="161">
        <f>SUM('KM-Servicio'!B170:C170)</f>
        <v>223</v>
      </c>
      <c r="H25" s="161">
        <f>SUM('KM-Servicio'!D170:E170)</f>
        <v>213</v>
      </c>
      <c r="I25" s="12">
        <f>'Oferta Diaria'!Y43</f>
        <v>851694.68799999997</v>
      </c>
      <c r="J25" s="155" t="s">
        <v>138</v>
      </c>
      <c r="K25" s="158"/>
      <c r="L25" s="156"/>
    </row>
    <row r="26" spans="1:14" x14ac:dyDescent="0.25">
      <c r="A26" s="154">
        <v>45832</v>
      </c>
      <c r="B26" s="12">
        <f>'KM-Servicio'!N177</f>
        <v>11928</v>
      </c>
      <c r="C26" s="12">
        <f t="shared" si="0"/>
        <v>231952</v>
      </c>
      <c r="D26" s="12">
        <f>'KM-Servicio'!$W$177</f>
        <v>11530.26</v>
      </c>
      <c r="E26" s="12">
        <f t="shared" si="1"/>
        <v>224525.30000000008</v>
      </c>
      <c r="F26" s="160">
        <f>'KM-Servicio'!O177</f>
        <v>96.66549295774648</v>
      </c>
      <c r="G26" s="161">
        <f>SUM('KM-Servicio'!B177:C177)</f>
        <v>223</v>
      </c>
      <c r="H26" s="161">
        <f>SUM('KM-Servicio'!D177:E177)</f>
        <v>223</v>
      </c>
      <c r="I26" s="12">
        <f>'Oferta Diaria'!Z43</f>
        <v>914349.61800000002</v>
      </c>
      <c r="J26" s="155" t="s">
        <v>138</v>
      </c>
      <c r="K26" s="158"/>
      <c r="L26" s="156"/>
    </row>
    <row r="27" spans="1:14" x14ac:dyDescent="0.25">
      <c r="A27" s="154">
        <v>45833</v>
      </c>
      <c r="B27" s="12">
        <f>'KM-Servicio'!N184</f>
        <v>11760</v>
      </c>
      <c r="C27" s="12">
        <f t="shared" si="0"/>
        <v>243712</v>
      </c>
      <c r="D27" s="12">
        <f>'KM-Servicio'!$W$184</f>
        <v>11451.42</v>
      </c>
      <c r="E27" s="12">
        <f t="shared" si="1"/>
        <v>235976.72000000009</v>
      </c>
      <c r="F27" s="160">
        <f>'KM-Servicio'!O184</f>
        <v>97.376020408163271</v>
      </c>
      <c r="G27" s="161">
        <f>SUM('KM-Servicio'!B184:C184)</f>
        <v>223</v>
      </c>
      <c r="H27" s="161">
        <f>SUM('KM-Servicio'!D184:E184)</f>
        <v>223</v>
      </c>
      <c r="I27" s="12">
        <f>'Oferta Diaria'!AA43</f>
        <v>908097.60600000003</v>
      </c>
      <c r="J27" s="155" t="s">
        <v>138</v>
      </c>
      <c r="K27" s="158"/>
      <c r="L27" s="156"/>
    </row>
    <row r="28" spans="1:14" x14ac:dyDescent="0.25">
      <c r="A28" s="154">
        <v>45834</v>
      </c>
      <c r="B28" s="12">
        <f>'KM-Servicio'!N191</f>
        <v>12081</v>
      </c>
      <c r="C28" s="12">
        <f t="shared" si="0"/>
        <v>255793</v>
      </c>
      <c r="D28" s="12">
        <f>'KM-Servicio'!$W$191</f>
        <v>11669.710000000001</v>
      </c>
      <c r="E28" s="12">
        <f t="shared" si="1"/>
        <v>247646.43000000008</v>
      </c>
      <c r="F28" s="160">
        <f>'KM-Servicio'!O191</f>
        <v>96.595563281185335</v>
      </c>
      <c r="G28" s="161">
        <f>SUM('KM-Servicio'!B191:C191)</f>
        <v>223</v>
      </c>
      <c r="H28" s="161">
        <f>SUM('KM-Servicio'!D191:E191)</f>
        <v>223</v>
      </c>
      <c r="I28" s="12">
        <f>'Oferta Diaria'!AB43</f>
        <v>925408.00300000003</v>
      </c>
      <c r="J28" s="155" t="s">
        <v>138</v>
      </c>
      <c r="K28" s="158"/>
      <c r="L28" s="156"/>
    </row>
    <row r="29" spans="1:14" x14ac:dyDescent="0.25">
      <c r="A29" s="154">
        <v>45835</v>
      </c>
      <c r="B29" s="12">
        <f>'KM-Servicio'!N198</f>
        <v>11969</v>
      </c>
      <c r="C29" s="12">
        <f t="shared" si="0"/>
        <v>267762</v>
      </c>
      <c r="D29" s="12">
        <f>'KM-Servicio'!$W$198</f>
        <v>11583.449999999999</v>
      </c>
      <c r="E29" s="12">
        <f t="shared" si="1"/>
        <v>259229.88000000009</v>
      </c>
      <c r="F29" s="160">
        <f>'KM-Servicio'!O198</f>
        <v>96.778761801320073</v>
      </c>
      <c r="G29" s="161">
        <f>SUM('KM-Servicio'!B198:C198)</f>
        <v>223</v>
      </c>
      <c r="H29" s="161">
        <f>SUM('KM-Servicio'!D198:E198)</f>
        <v>223</v>
      </c>
      <c r="I29" s="12">
        <f>'Oferta Diaria'!AC43</f>
        <v>918567.58499999985</v>
      </c>
      <c r="J29" s="155" t="s">
        <v>138</v>
      </c>
      <c r="K29" s="158"/>
      <c r="L29" s="156"/>
    </row>
    <row r="30" spans="1:14" x14ac:dyDescent="0.25">
      <c r="A30" s="154">
        <v>45836</v>
      </c>
      <c r="B30" s="12">
        <f>'KM-Servicio'!N205</f>
        <v>6520</v>
      </c>
      <c r="C30" s="12">
        <f t="shared" si="0"/>
        <v>274282</v>
      </c>
      <c r="D30" s="12">
        <f>'KM-Servicio'!$W$205</f>
        <v>6469.5</v>
      </c>
      <c r="E30" s="12">
        <f t="shared" si="1"/>
        <v>265699.38000000012</v>
      </c>
      <c r="F30" s="160">
        <f>'KM-Servicio'!O205</f>
        <v>99.225460122699388</v>
      </c>
      <c r="G30" s="161">
        <f>SUM('KM-Servicio'!B205:C205)</f>
        <v>147</v>
      </c>
      <c r="H30" s="161">
        <f>SUM('KM-Servicio'!D205:E205)</f>
        <v>147</v>
      </c>
      <c r="I30" s="12">
        <f>'Oferta Diaria'!AD43</f>
        <v>513031.35</v>
      </c>
      <c r="J30" s="169" t="s">
        <v>139</v>
      </c>
      <c r="K30" s="158"/>
      <c r="L30" s="157"/>
    </row>
    <row r="31" spans="1:14" x14ac:dyDescent="0.25">
      <c r="A31" s="154">
        <v>45837</v>
      </c>
      <c r="B31" s="12">
        <f>'KM-Servicio'!N212</f>
        <v>6254</v>
      </c>
      <c r="C31" s="12">
        <f>B31+C30</f>
        <v>280536</v>
      </c>
      <c r="D31" s="12">
        <f>'KM-Servicio'!$W$212</f>
        <v>6210.72</v>
      </c>
      <c r="E31" s="12">
        <f>D31+E30</f>
        <v>271910.10000000009</v>
      </c>
      <c r="F31" s="160">
        <f>'KM-Servicio'!O212</f>
        <v>99.307962903741611</v>
      </c>
      <c r="G31" s="161">
        <f>SUM('KM-Servicio'!B212:C212)</f>
        <v>122</v>
      </c>
      <c r="H31" s="161">
        <f>SUM('KM-Servicio'!D212:E212)</f>
        <v>122</v>
      </c>
      <c r="I31" s="12">
        <f>'Oferta Diaria'!AE43</f>
        <v>492510.09600000002</v>
      </c>
      <c r="J31" s="169" t="s">
        <v>137</v>
      </c>
      <c r="K31" s="158"/>
      <c r="L31" s="157"/>
    </row>
    <row r="32" spans="1:14" x14ac:dyDescent="0.25">
      <c r="A32" s="154">
        <v>45838</v>
      </c>
      <c r="B32" s="12">
        <f>'KM-Servicio'!N219</f>
        <v>11444</v>
      </c>
      <c r="C32" s="12">
        <f>B32+C31</f>
        <v>291980</v>
      </c>
      <c r="D32" s="12">
        <f>'KM-Servicio'!$W$219</f>
        <v>10921.41</v>
      </c>
      <c r="E32" s="12">
        <f>D32+E31</f>
        <v>282831.51000000007</v>
      </c>
      <c r="F32" s="160">
        <f>'KM-Servicio'!O219</f>
        <v>95.433502271932895</v>
      </c>
      <c r="G32" s="161">
        <f>SUM('KM-Servicio'!B219:C219)</f>
        <v>223</v>
      </c>
      <c r="H32" s="161">
        <f>SUM('KM-Servicio'!D219:E219)</f>
        <v>223</v>
      </c>
      <c r="I32" s="12">
        <f>'Oferta Diaria'!AF43</f>
        <v>866067.81299999997</v>
      </c>
      <c r="J32" s="155" t="s">
        <v>138</v>
      </c>
      <c r="K32" s="158"/>
      <c r="L32" s="157"/>
      <c r="M32" s="244"/>
      <c r="N32" s="244"/>
    </row>
    <row r="33" spans="1:14" x14ac:dyDescent="0.25">
      <c r="A33" s="162" t="s">
        <v>136</v>
      </c>
      <c r="B33" s="163">
        <f>SUM(B3:B32)</f>
        <v>291980</v>
      </c>
      <c r="C33" s="163">
        <f>SUM(C3:C32)</f>
        <v>4587307</v>
      </c>
      <c r="D33" s="163">
        <f>SUM(D3:D32)</f>
        <v>282831.51000000007</v>
      </c>
      <c r="E33" s="163">
        <f>SUM(E3:E32)</f>
        <v>4446193.9600000009</v>
      </c>
      <c r="F33" s="164">
        <f>AVERAGE(F3:F32)</f>
        <v>97.147690773160789</v>
      </c>
      <c r="G33" s="163">
        <f>SUM(G3:G32)</f>
        <v>5729</v>
      </c>
      <c r="H33" s="163">
        <f>SUM(H3:H32)</f>
        <v>5606</v>
      </c>
      <c r="I33" s="163">
        <f>SUM(I3:I32)</f>
        <v>22428538.743000001</v>
      </c>
      <c r="J33" s="30"/>
      <c r="K33" s="162"/>
      <c r="L33" s="244"/>
      <c r="M33" s="244"/>
      <c r="N33" s="244"/>
    </row>
    <row r="37" spans="1:14" x14ac:dyDescent="0.25">
      <c r="F37" s="156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6" t="s">
        <v>98</v>
      </c>
      <c r="B3" s="377"/>
      <c r="C3" s="377"/>
      <c r="D3" s="378"/>
    </row>
    <row r="4" spans="1:15" x14ac:dyDescent="0.25">
      <c r="A4" s="90" t="s">
        <v>99</v>
      </c>
      <c r="B4" s="91" t="s">
        <v>100</v>
      </c>
      <c r="C4" s="92" t="s">
        <v>54</v>
      </c>
      <c r="D4" s="92" t="s">
        <v>101</v>
      </c>
    </row>
    <row r="5" spans="1:15" x14ac:dyDescent="0.25">
      <c r="A5" s="34" t="s">
        <v>102</v>
      </c>
      <c r="B5" s="123">
        <f>C5/30</f>
        <v>236.5</v>
      </c>
      <c r="C5" s="124">
        <f>'KM-Servicio'!J249</f>
        <v>7095</v>
      </c>
      <c r="D5" s="124">
        <f>'KM-Servicio'!C244</f>
        <v>7214</v>
      </c>
    </row>
    <row r="6" spans="1:15" x14ac:dyDescent="0.25">
      <c r="A6" s="34" t="s">
        <v>103</v>
      </c>
      <c r="B6" s="123">
        <f>C6/30</f>
        <v>186.86666666666667</v>
      </c>
      <c r="C6" s="124">
        <f>'KM-Servicio'!K242</f>
        <v>5606</v>
      </c>
      <c r="D6" s="124">
        <f>'KM-Servicio'!D242</f>
        <v>5729</v>
      </c>
    </row>
    <row r="7" spans="1:15" x14ac:dyDescent="0.25">
      <c r="A7" s="34" t="s">
        <v>66</v>
      </c>
      <c r="B7" s="123">
        <f>C7/30</f>
        <v>9522.4539999999997</v>
      </c>
      <c r="C7" s="124">
        <f>'KM-Servicio'!M242</f>
        <v>285673.62</v>
      </c>
      <c r="D7" s="124">
        <f>'KM-Servicio'!F242</f>
        <v>290428.18000000005</v>
      </c>
    </row>
    <row r="8" spans="1:15" x14ac:dyDescent="0.25">
      <c r="A8" s="34" t="s">
        <v>104</v>
      </c>
      <c r="B8" s="123">
        <f>C8/30</f>
        <v>7457.1996666666691</v>
      </c>
      <c r="C8" s="124">
        <f>'KM-Servicio'!L242</f>
        <v>223715.99000000008</v>
      </c>
      <c r="D8" s="124">
        <f>'KM-Servicio'!E242</f>
        <v>228511.17</v>
      </c>
    </row>
    <row r="9" spans="1:15" x14ac:dyDescent="0.25">
      <c r="A9" s="34" t="s">
        <v>105</v>
      </c>
      <c r="B9" s="123">
        <f>C9/30</f>
        <v>990335.21600000013</v>
      </c>
      <c r="C9" s="124">
        <f>'KM-Servicio'!N242</f>
        <v>29710056.480000004</v>
      </c>
      <c r="D9" s="124">
        <f>'KM-Servicio'!G242</f>
        <v>30204530.720000003</v>
      </c>
    </row>
    <row r="10" spans="1:15" x14ac:dyDescent="0.25">
      <c r="A10" s="34" t="s">
        <v>106</v>
      </c>
      <c r="B10" s="123"/>
      <c r="C10" s="125"/>
      <c r="J10" s="95"/>
    </row>
    <row r="11" spans="1:15" x14ac:dyDescent="0.25">
      <c r="A11" s="34" t="s">
        <v>107</v>
      </c>
      <c r="B11" s="123">
        <f>C11/30</f>
        <v>40531.73333333333</v>
      </c>
      <c r="C11" s="196">
        <v>1215952</v>
      </c>
      <c r="D11" s="126" t="s">
        <v>146</v>
      </c>
      <c r="E11" s="93"/>
      <c r="H11" s="95"/>
      <c r="I11" s="95"/>
      <c r="J11" s="95"/>
      <c r="K11" s="95"/>
      <c r="L11" s="98"/>
      <c r="M11" s="94"/>
      <c r="N11" s="94"/>
    </row>
    <row r="12" spans="1:15" ht="15.75" thickBot="1" x14ac:dyDescent="0.3">
      <c r="A12" s="34" t="s">
        <v>108</v>
      </c>
      <c r="B12" s="126"/>
      <c r="C12" s="123"/>
      <c r="D12" s="126"/>
      <c r="F12" s="94"/>
      <c r="G12" s="95"/>
      <c r="H12" s="95"/>
      <c r="I12" s="95"/>
      <c r="J12" s="95"/>
    </row>
    <row r="13" spans="1:15" ht="15.75" thickBot="1" x14ac:dyDescent="0.3">
      <c r="A13" s="379" t="s">
        <v>109</v>
      </c>
      <c r="B13" s="380"/>
      <c r="C13" s="380"/>
      <c r="D13" s="381"/>
      <c r="F13" s="134"/>
      <c r="G13" s="135"/>
      <c r="H13" s="135"/>
      <c r="I13" s="135"/>
      <c r="J13" s="135"/>
      <c r="K13" s="134"/>
      <c r="L13" s="135"/>
      <c r="M13" s="135"/>
      <c r="N13" s="43"/>
    </row>
    <row r="14" spans="1:15" x14ac:dyDescent="0.25">
      <c r="A14" s="96"/>
      <c r="B14" s="91"/>
      <c r="C14" s="92"/>
      <c r="D14" s="92"/>
      <c r="F14" s="136"/>
      <c r="G14" s="136"/>
      <c r="H14" s="134"/>
      <c r="I14" s="134"/>
      <c r="J14" s="134"/>
      <c r="K14" s="134"/>
      <c r="L14" s="134"/>
      <c r="M14" s="43"/>
      <c r="N14" s="43"/>
    </row>
    <row r="15" spans="1:15" x14ac:dyDescent="0.25">
      <c r="A15" s="99"/>
      <c r="B15" s="138"/>
      <c r="C15" s="138"/>
      <c r="D15" s="101"/>
      <c r="F15" s="134"/>
      <c r="G15" s="134"/>
      <c r="H15" s="134"/>
      <c r="I15" s="134"/>
      <c r="J15" s="134"/>
      <c r="K15" s="135"/>
      <c r="L15" s="135"/>
      <c r="M15" s="135"/>
      <c r="N15" s="135"/>
    </row>
    <row r="16" spans="1:15" x14ac:dyDescent="0.25">
      <c r="A16" s="99"/>
      <c r="B16" s="100"/>
      <c r="C16" s="100"/>
      <c r="D16" s="101"/>
      <c r="F16" s="134"/>
      <c r="G16" s="375"/>
      <c r="H16" s="375"/>
      <c r="I16" s="134"/>
      <c r="J16" s="134"/>
      <c r="K16" s="134"/>
      <c r="L16" s="135"/>
      <c r="M16" s="135"/>
      <c r="N16" s="135"/>
      <c r="O16" s="94"/>
    </row>
    <row r="17" spans="1:15" x14ac:dyDescent="0.25">
      <c r="A17" s="99"/>
      <c r="B17" s="100"/>
      <c r="C17" s="100"/>
      <c r="D17" s="101"/>
      <c r="F17" s="134"/>
      <c r="G17" s="375"/>
      <c r="H17" s="375"/>
      <c r="I17" s="134"/>
      <c r="J17" s="135"/>
      <c r="K17" s="135"/>
      <c r="L17" s="135"/>
      <c r="M17" s="135"/>
      <c r="N17" s="135"/>
      <c r="O17" s="95"/>
    </row>
    <row r="18" spans="1:15" x14ac:dyDescent="0.25">
      <c r="A18" s="99"/>
      <c r="B18" s="100"/>
      <c r="C18" s="100"/>
      <c r="D18" s="101"/>
      <c r="F18" s="134"/>
      <c r="G18" s="375"/>
      <c r="H18" s="375"/>
      <c r="I18" s="135"/>
      <c r="J18" s="135"/>
      <c r="K18" s="43"/>
      <c r="L18" s="43"/>
      <c r="M18" s="43"/>
      <c r="N18" s="43"/>
    </row>
    <row r="19" spans="1:15" x14ac:dyDescent="0.25">
      <c r="A19" s="99"/>
      <c r="B19" s="105"/>
      <c r="C19" s="105"/>
      <c r="D19" s="101"/>
      <c r="F19" s="134"/>
      <c r="G19" s="375"/>
      <c r="H19" s="375"/>
      <c r="I19" s="135"/>
      <c r="J19" s="135"/>
      <c r="K19" s="43"/>
      <c r="L19" s="43"/>
      <c r="M19" s="43"/>
      <c r="N19" s="43"/>
    </row>
    <row r="20" spans="1:15" x14ac:dyDescent="0.25">
      <c r="A20" s="99"/>
      <c r="B20" s="100"/>
      <c r="C20" s="100"/>
      <c r="D20" s="101"/>
      <c r="F20" s="134"/>
      <c r="G20" s="375"/>
      <c r="H20" s="375"/>
      <c r="I20" s="135"/>
      <c r="J20" s="135"/>
      <c r="K20" s="43"/>
      <c r="L20" s="43"/>
      <c r="M20" s="43"/>
      <c r="N20" s="43"/>
    </row>
    <row r="21" spans="1:15" x14ac:dyDescent="0.25">
      <c r="A21" s="99"/>
      <c r="B21" s="100"/>
      <c r="C21" s="100"/>
      <c r="D21" s="101"/>
      <c r="F21" s="134"/>
      <c r="G21" s="375"/>
      <c r="H21" s="375"/>
      <c r="I21" s="134"/>
      <c r="J21" s="43"/>
      <c r="K21" s="43"/>
      <c r="L21" s="43"/>
      <c r="M21" s="43"/>
      <c r="N21" s="43"/>
    </row>
    <row r="22" spans="1:15" x14ac:dyDescent="0.25">
      <c r="A22" s="99"/>
      <c r="B22" s="100"/>
      <c r="C22" s="100"/>
      <c r="D22" s="101"/>
      <c r="F22" s="134"/>
      <c r="G22" s="135"/>
      <c r="H22" s="135"/>
      <c r="I22" s="135"/>
      <c r="J22" s="135"/>
      <c r="K22" s="134"/>
      <c r="L22" s="136"/>
      <c r="M22" s="134"/>
      <c r="N22" s="43"/>
    </row>
    <row r="23" spans="1:15" ht="15.75" thickBot="1" x14ac:dyDescent="0.3">
      <c r="A23" s="102"/>
      <c r="B23" s="382"/>
      <c r="C23" s="383"/>
      <c r="D23" s="384"/>
      <c r="F23" s="137"/>
      <c r="G23" s="135"/>
      <c r="H23" s="135"/>
      <c r="I23" s="135"/>
      <c r="J23" s="43"/>
      <c r="K23" s="43"/>
      <c r="L23" s="43"/>
      <c r="M23" s="43"/>
      <c r="N23" s="43"/>
    </row>
    <row r="24" spans="1:15" ht="15.75" thickBot="1" x14ac:dyDescent="0.3">
      <c r="A24" s="379"/>
      <c r="B24" s="380"/>
      <c r="C24" s="380"/>
      <c r="D24" s="381"/>
      <c r="F24" s="135"/>
      <c r="G24" s="135"/>
      <c r="H24" s="135"/>
      <c r="I24" s="134"/>
      <c r="J24" s="136"/>
      <c r="K24" s="134"/>
      <c r="L24" s="135"/>
      <c r="M24" s="135"/>
      <c r="N24" s="43"/>
    </row>
    <row r="25" spans="1:15" x14ac:dyDescent="0.25">
      <c r="A25" s="96"/>
      <c r="B25" s="91"/>
      <c r="C25" s="92"/>
      <c r="D25" s="92"/>
      <c r="F25" s="134"/>
      <c r="G25" s="94"/>
      <c r="H25" s="94"/>
      <c r="I25" s="97"/>
      <c r="J25" s="94"/>
      <c r="K25" s="95"/>
      <c r="L25" s="95"/>
      <c r="M25" s="95"/>
    </row>
    <row r="26" spans="1:15" x14ac:dyDescent="0.25">
      <c r="A26" s="99"/>
      <c r="B26" s="30"/>
      <c r="C26" s="30"/>
      <c r="D26" s="101"/>
      <c r="F26" s="139"/>
      <c r="G26" s="97"/>
      <c r="H26" s="97"/>
      <c r="I26" s="94"/>
      <c r="J26" s="95"/>
      <c r="K26" s="95"/>
      <c r="L26" s="95"/>
      <c r="M26" s="95"/>
    </row>
    <row r="27" spans="1:15" x14ac:dyDescent="0.25">
      <c r="A27" s="99"/>
      <c r="B27" s="122"/>
      <c r="C27" s="122"/>
      <c r="D27" s="101"/>
      <c r="F27" s="139"/>
      <c r="G27" s="94"/>
      <c r="H27" s="94"/>
      <c r="I27" s="94"/>
      <c r="J27" s="94"/>
      <c r="K27" s="94"/>
      <c r="L27" s="94"/>
    </row>
    <row r="28" spans="1:15" x14ac:dyDescent="0.25">
      <c r="A28" s="99"/>
      <c r="B28" s="103"/>
      <c r="C28" s="103"/>
      <c r="D28" s="101"/>
      <c r="F28" s="139"/>
      <c r="G28" s="95"/>
      <c r="H28" s="95"/>
      <c r="I28" s="95"/>
      <c r="J28" s="95"/>
      <c r="K28" s="95"/>
      <c r="L28" s="95"/>
      <c r="M28" s="95"/>
    </row>
    <row r="29" spans="1:15" x14ac:dyDescent="0.25">
      <c r="A29" s="99"/>
      <c r="B29" s="103"/>
      <c r="C29" s="103"/>
      <c r="D29" s="101"/>
      <c r="F29" s="139"/>
      <c r="G29" s="95"/>
      <c r="I29" s="104"/>
    </row>
    <row r="30" spans="1:15" x14ac:dyDescent="0.25">
      <c r="A30" s="99"/>
      <c r="B30" s="105"/>
      <c r="C30" s="105"/>
      <c r="D30" s="101"/>
      <c r="F30" s="139"/>
      <c r="G30" s="95"/>
      <c r="I30" s="94"/>
    </row>
    <row r="31" spans="1:15" x14ac:dyDescent="0.25">
      <c r="A31" s="99"/>
      <c r="B31" s="122"/>
      <c r="C31" s="122"/>
      <c r="D31" s="101"/>
      <c r="F31" s="139"/>
      <c r="G31" s="95"/>
      <c r="I31" s="94"/>
    </row>
    <row r="32" spans="1:15" x14ac:dyDescent="0.25">
      <c r="A32" s="99"/>
      <c r="B32" s="103"/>
      <c r="C32" s="103"/>
      <c r="D32" s="101"/>
      <c r="F32" s="134"/>
      <c r="G32" s="95"/>
      <c r="I32" s="94"/>
    </row>
    <row r="33" spans="1:9" x14ac:dyDescent="0.25">
      <c r="A33" s="106"/>
      <c r="B33" s="103"/>
      <c r="C33" s="103"/>
      <c r="D33" s="107"/>
      <c r="F33" s="104"/>
      <c r="G33" s="95"/>
      <c r="I33" s="94"/>
    </row>
    <row r="34" spans="1:9" ht="15.75" thickBot="1" x14ac:dyDescent="0.3">
      <c r="A34" s="100"/>
      <c r="B34" s="382"/>
      <c r="C34" s="383"/>
      <c r="D34" s="384"/>
      <c r="F34" s="94"/>
      <c r="I34" s="104"/>
    </row>
    <row r="35" spans="1:9" x14ac:dyDescent="0.25">
      <c r="F35" s="94"/>
      <c r="I35" s="94"/>
    </row>
    <row r="36" spans="1:9" x14ac:dyDescent="0.25">
      <c r="F36" s="94"/>
      <c r="I36" s="94"/>
    </row>
    <row r="37" spans="1:9" x14ac:dyDescent="0.25">
      <c r="F37" s="58"/>
      <c r="I37" s="58"/>
    </row>
    <row r="38" spans="1:9" x14ac:dyDescent="0.25">
      <c r="F38" s="94"/>
      <c r="I38" s="94"/>
    </row>
    <row r="39" spans="1:9" x14ac:dyDescent="0.25">
      <c r="F39" s="94"/>
      <c r="I39" s="94"/>
    </row>
    <row r="40" spans="1:9" x14ac:dyDescent="0.25">
      <c r="F40" s="94"/>
      <c r="I40" s="104"/>
    </row>
    <row r="41" spans="1:9" x14ac:dyDescent="0.25">
      <c r="F41" s="94"/>
      <c r="I41" s="94"/>
    </row>
    <row r="42" spans="1:9" x14ac:dyDescent="0.25">
      <c r="F42" s="58"/>
      <c r="I42" s="94"/>
    </row>
    <row r="43" spans="1:9" x14ac:dyDescent="0.25">
      <c r="F43" s="58"/>
      <c r="I43" s="94"/>
    </row>
    <row r="44" spans="1:9" x14ac:dyDescent="0.25">
      <c r="F44" s="58"/>
      <c r="I44" s="94"/>
    </row>
    <row r="45" spans="1:9" x14ac:dyDescent="0.25">
      <c r="F45" s="104"/>
    </row>
    <row r="46" spans="1:9" x14ac:dyDescent="0.25">
      <c r="F46" s="94"/>
    </row>
    <row r="47" spans="1:9" x14ac:dyDescent="0.25">
      <c r="F47" s="94"/>
    </row>
    <row r="48" spans="1:9" x14ac:dyDescent="0.25">
      <c r="F48" s="94"/>
    </row>
    <row r="49" spans="6:6" x14ac:dyDescent="0.25">
      <c r="F49" s="94"/>
    </row>
    <row r="50" spans="6:6" x14ac:dyDescent="0.25">
      <c r="F50" s="94"/>
    </row>
    <row r="51" spans="6:6" x14ac:dyDescent="0.25">
      <c r="F51" s="94"/>
    </row>
    <row r="52" spans="6:6" x14ac:dyDescent="0.25">
      <c r="F52" s="104"/>
    </row>
    <row r="53" spans="6:6" x14ac:dyDescent="0.25">
      <c r="F53" s="94"/>
    </row>
    <row r="54" spans="6:6" x14ac:dyDescent="0.25">
      <c r="F54" s="94"/>
    </row>
    <row r="55" spans="6:6" x14ac:dyDescent="0.25">
      <c r="F55" s="94"/>
    </row>
    <row r="56" spans="6:6" x14ac:dyDescent="0.25">
      <c r="F56" s="58"/>
    </row>
    <row r="57" spans="6:6" x14ac:dyDescent="0.25">
      <c r="F57" s="94"/>
    </row>
    <row r="58" spans="6:6" x14ac:dyDescent="0.25">
      <c r="F58" s="94"/>
    </row>
    <row r="59" spans="6:6" x14ac:dyDescent="0.25">
      <c r="F59" s="94"/>
    </row>
    <row r="60" spans="6:6" x14ac:dyDescent="0.25">
      <c r="F60" s="94"/>
    </row>
    <row r="61" spans="6:6" x14ac:dyDescent="0.25">
      <c r="F61" s="58"/>
    </row>
    <row r="62" spans="6:6" x14ac:dyDescent="0.25">
      <c r="F62" s="58"/>
    </row>
    <row r="63" spans="6:6" x14ac:dyDescent="0.25">
      <c r="F63" s="58"/>
    </row>
    <row r="64" spans="6:6" x14ac:dyDescent="0.25">
      <c r="F64" s="104"/>
    </row>
    <row r="65" spans="6:6" x14ac:dyDescent="0.25">
      <c r="F65" s="94"/>
    </row>
    <row r="66" spans="6:6" x14ac:dyDescent="0.25">
      <c r="F66" s="94"/>
    </row>
    <row r="67" spans="6:6" x14ac:dyDescent="0.25">
      <c r="F67" s="94"/>
    </row>
    <row r="68" spans="6:6" x14ac:dyDescent="0.25">
      <c r="F68" s="94"/>
    </row>
    <row r="69" spans="6:6" x14ac:dyDescent="0.25">
      <c r="F69" s="94"/>
    </row>
    <row r="70" spans="6:6" x14ac:dyDescent="0.25">
      <c r="F70" s="94"/>
    </row>
    <row r="71" spans="6:6" x14ac:dyDescent="0.25">
      <c r="F71" s="58"/>
    </row>
    <row r="73" spans="6:6" x14ac:dyDescent="0.25">
      <c r="F73" s="58"/>
    </row>
    <row r="74" spans="6:6" x14ac:dyDescent="0.25">
      <c r="F74" s="58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D78AA-A891-4CC1-896A-0A7BDFDFE182}"/>
</file>

<file path=customXml/itemProps2.xml><?xml version="1.0" encoding="utf-8"?>
<ds:datastoreItem xmlns:ds="http://schemas.openxmlformats.org/officeDocument/2006/customXml" ds:itemID="{87D47C53-A51A-4412-BE25-07B64E3396E9}"/>
</file>

<file path=customXml/itemProps3.xml><?xml version="1.0" encoding="utf-8"?>
<ds:datastoreItem xmlns:ds="http://schemas.openxmlformats.org/officeDocument/2006/customXml" ds:itemID="{282CC78C-0A95-4185-85F2-ADA6568E4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2025-07-02T14:49:41Z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