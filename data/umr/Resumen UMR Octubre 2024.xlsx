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0" yWindow="0" windowWidth="29844" windowHeight="10524" tabRatio="462" activeTab="1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calcPr calcId="152511"/>
</workbook>
</file>

<file path=xl/calcChain.xml><?xml version="1.0" encoding="utf-8"?>
<calcChain xmlns="http://schemas.openxmlformats.org/spreadsheetml/2006/main">
  <c r="C38" i="4" l="1"/>
  <c r="U5" i="2"/>
  <c r="AA38" i="4"/>
  <c r="U173" i="2"/>
  <c r="K33" i="13" l="1"/>
  <c r="H33" i="13"/>
  <c r="G33" i="13"/>
  <c r="F33" i="13"/>
  <c r="D33" i="13"/>
  <c r="B33" i="13"/>
  <c r="AG17" i="4" l="1"/>
  <c r="AG18" i="4"/>
  <c r="AG19" i="4"/>
  <c r="AG20" i="4"/>
  <c r="AG21" i="4"/>
  <c r="AG16" i="4"/>
  <c r="AG6" i="4"/>
  <c r="AG7" i="4"/>
  <c r="AG8" i="4"/>
  <c r="AG9" i="4"/>
  <c r="AG10" i="4"/>
  <c r="AG5" i="4"/>
  <c r="O226" i="2"/>
  <c r="AG29" i="4" l="1"/>
  <c r="AG28" i="4"/>
  <c r="AG27" i="4"/>
  <c r="C207" i="2" l="1"/>
  <c r="B207" i="2"/>
  <c r="AD29" i="4" l="1"/>
  <c r="AD28" i="4"/>
  <c r="AD27" i="4"/>
  <c r="C231" i="2" l="1"/>
  <c r="C230" i="2"/>
  <c r="C229" i="2"/>
  <c r="C228" i="2"/>
  <c r="C227" i="2"/>
  <c r="C226" i="2"/>
  <c r="B231" i="2"/>
  <c r="B230" i="2"/>
  <c r="B229" i="2"/>
  <c r="B228" i="2"/>
  <c r="B227" i="2"/>
  <c r="AN54" i="3"/>
  <c r="AN46" i="3"/>
  <c r="AO35" i="3"/>
  <c r="C179" i="2" l="1"/>
  <c r="B179" i="2"/>
  <c r="C172" i="2" l="1"/>
  <c r="B172" i="2"/>
  <c r="S29" i="4" l="1"/>
  <c r="S28" i="4"/>
  <c r="S27" i="4"/>
  <c r="R29" i="4"/>
  <c r="R28" i="4"/>
  <c r="R27" i="4"/>
  <c r="H29" i="4" l="1"/>
  <c r="H28" i="4"/>
  <c r="H27" i="4"/>
  <c r="C60" i="2" l="1"/>
  <c r="B60" i="2"/>
  <c r="B32" i="2" l="1"/>
  <c r="C32" i="2"/>
  <c r="C221" i="2" l="1"/>
  <c r="B221" i="2"/>
  <c r="C200" i="2"/>
  <c r="B200" i="2"/>
  <c r="C193" i="2"/>
  <c r="B193" i="2"/>
  <c r="C186" i="2"/>
  <c r="B186" i="2"/>
  <c r="C158" i="2"/>
  <c r="B158" i="2"/>
  <c r="C151" i="2"/>
  <c r="B151" i="2"/>
  <c r="C144" i="2"/>
  <c r="B144" i="2"/>
  <c r="C137" i="2"/>
  <c r="B137" i="2"/>
  <c r="C109" i="2"/>
  <c r="B109" i="2"/>
  <c r="C102" i="2"/>
  <c r="B102" i="2"/>
  <c r="C95" i="2"/>
  <c r="B95" i="2"/>
  <c r="C88" i="2"/>
  <c r="B88" i="2"/>
  <c r="C25" i="2"/>
  <c r="B25" i="2"/>
  <c r="C18" i="2"/>
  <c r="B18" i="2"/>
  <c r="C11" i="2"/>
  <c r="B11" i="2"/>
  <c r="C53" i="2"/>
  <c r="B53" i="2"/>
  <c r="C46" i="2"/>
  <c r="B46" i="2"/>
  <c r="C39" i="2"/>
  <c r="B39" i="2"/>
  <c r="A215" i="2"/>
  <c r="AF29" i="4"/>
  <c r="AF28" i="4"/>
  <c r="AF27" i="4"/>
  <c r="BM25" i="3"/>
  <c r="BL25" i="3"/>
  <c r="BG25" i="3"/>
  <c r="BF25" i="3"/>
  <c r="BE25" i="3"/>
  <c r="BD25" i="3"/>
  <c r="BC25" i="3"/>
  <c r="BB25" i="3"/>
  <c r="AU25" i="3"/>
  <c r="AT25" i="3"/>
  <c r="AS25" i="3"/>
  <c r="AR25" i="3"/>
  <c r="AQ25" i="3"/>
  <c r="AP25" i="3"/>
  <c r="AO25" i="3"/>
  <c r="AN25" i="3"/>
  <c r="AM25" i="3"/>
  <c r="AL25" i="3"/>
  <c r="AG25" i="3"/>
  <c r="AF25" i="3"/>
  <c r="AE25" i="3"/>
  <c r="AD25" i="3"/>
  <c r="AC25" i="3"/>
  <c r="AB25" i="3"/>
  <c r="AA25" i="3"/>
  <c r="Z25" i="3"/>
  <c r="S25" i="3"/>
  <c r="R25" i="3"/>
  <c r="Q25" i="3"/>
  <c r="P25" i="3"/>
  <c r="O25" i="3"/>
  <c r="N25" i="3"/>
  <c r="M25" i="3"/>
  <c r="L25" i="3"/>
  <c r="F25" i="3"/>
  <c r="E25" i="3"/>
  <c r="D25" i="3"/>
  <c r="BL54" i="3"/>
  <c r="BL53" i="3"/>
  <c r="BL52" i="3"/>
  <c r="BL51" i="3"/>
  <c r="BL50" i="3"/>
  <c r="BL49" i="3"/>
  <c r="BL46" i="3"/>
  <c r="BL45" i="3"/>
  <c r="BL44" i="3"/>
  <c r="BL43" i="3"/>
  <c r="BL42" i="3"/>
  <c r="BL41" i="3"/>
  <c r="BM37" i="3"/>
  <c r="E220" i="2" s="1"/>
  <c r="BL37" i="3"/>
  <c r="BM36" i="3"/>
  <c r="E219" i="2" s="1"/>
  <c r="BL36" i="3"/>
  <c r="BM35" i="3"/>
  <c r="E218" i="2" s="1"/>
  <c r="BL35" i="3"/>
  <c r="BM34" i="3"/>
  <c r="E217" i="2" s="1"/>
  <c r="BL34" i="3"/>
  <c r="BM33" i="3"/>
  <c r="E216" i="2" s="1"/>
  <c r="BL33" i="3"/>
  <c r="BM32" i="3"/>
  <c r="E215" i="2" s="1"/>
  <c r="BL32" i="3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D215" i="2" l="1"/>
  <c r="D219" i="2"/>
  <c r="D220" i="2"/>
  <c r="D218" i="2"/>
  <c r="D216" i="2"/>
  <c r="AG36" i="4"/>
  <c r="D217" i="2"/>
  <c r="AG39" i="4"/>
  <c r="AG38" i="4"/>
  <c r="AG41" i="4" s="1"/>
  <c r="AF81" i="1"/>
  <c r="M221" i="2" s="1"/>
  <c r="AG37" i="4"/>
  <c r="AG42" i="4" s="1"/>
  <c r="BM38" i="3"/>
  <c r="BL38" i="3"/>
  <c r="AG43" i="4" l="1"/>
  <c r="AG40" i="4"/>
  <c r="C165" i="2" l="1"/>
  <c r="B165" i="2"/>
  <c r="AO37" i="3" l="1"/>
  <c r="AN37" i="3"/>
  <c r="AO33" i="3"/>
  <c r="AN33" i="3"/>
  <c r="B226" i="2" l="1"/>
  <c r="AN42" i="3" l="1"/>
  <c r="AN50" i="3"/>
  <c r="AL49" i="3"/>
  <c r="AL52" i="3"/>
  <c r="AL51" i="3"/>
  <c r="AL50" i="3"/>
  <c r="AL41" i="3"/>
  <c r="AL46" i="3"/>
  <c r="AL45" i="3"/>
  <c r="AL43" i="3"/>
  <c r="AL42" i="3"/>
  <c r="AM33" i="3" l="1"/>
  <c r="AL33" i="3"/>
  <c r="AM32" i="3"/>
  <c r="AL32" i="3"/>
  <c r="C123" i="2" l="1"/>
  <c r="B123" i="2"/>
  <c r="BA25" i="3" l="1"/>
  <c r="AZ25" i="3"/>
  <c r="AY25" i="3"/>
  <c r="AX25" i="3"/>
  <c r="AK25" i="3"/>
  <c r="AJ25" i="3"/>
  <c r="Y25" i="3"/>
  <c r="X25" i="3"/>
  <c r="W25" i="3"/>
  <c r="V25" i="3"/>
  <c r="H220" i="2" l="1"/>
  <c r="L220" i="2" s="1"/>
  <c r="H219" i="2"/>
  <c r="J219" i="2" s="1"/>
  <c r="G217" i="2"/>
  <c r="I217" i="2" s="1"/>
  <c r="U217" i="2" s="1"/>
  <c r="H218" i="2"/>
  <c r="L218" i="2" s="1"/>
  <c r="G216" i="2"/>
  <c r="I216" i="2" s="1"/>
  <c r="G220" i="2"/>
  <c r="I220" i="2" s="1"/>
  <c r="U220" i="2" s="1"/>
  <c r="G218" i="2"/>
  <c r="I218" i="2" s="1"/>
  <c r="U218" i="2" s="1"/>
  <c r="H217" i="2"/>
  <c r="J217" i="2" s="1"/>
  <c r="D221" i="2"/>
  <c r="E221" i="2"/>
  <c r="H216" i="2"/>
  <c r="J216" i="2" s="1"/>
  <c r="G219" i="2"/>
  <c r="I219" i="2" s="1"/>
  <c r="K219" i="2" s="1"/>
  <c r="G215" i="2"/>
  <c r="I215" i="2" s="1"/>
  <c r="K215" i="2" s="1"/>
  <c r="H215" i="2"/>
  <c r="J215" i="2" s="1"/>
  <c r="L219" i="2" l="1"/>
  <c r="J220" i="2"/>
  <c r="K217" i="2"/>
  <c r="J218" i="2"/>
  <c r="L216" i="2"/>
  <c r="L217" i="2"/>
  <c r="U219" i="2"/>
  <c r="K218" i="2"/>
  <c r="K220" i="2"/>
  <c r="G221" i="2"/>
  <c r="U215" i="2"/>
  <c r="H221" i="2"/>
  <c r="L215" i="2"/>
  <c r="K216" i="2"/>
  <c r="U216" i="2"/>
  <c r="I221" i="2"/>
  <c r="S226" i="2"/>
  <c r="J221" i="2" l="1"/>
  <c r="L221" i="2"/>
  <c r="U221" i="2"/>
  <c r="K221" i="2"/>
  <c r="B214" i="2"/>
  <c r="C214" i="2"/>
  <c r="G32" i="13" l="1"/>
  <c r="N221" i="2"/>
  <c r="K25" i="3" l="1"/>
  <c r="J25" i="3"/>
  <c r="C130" i="2"/>
  <c r="B130" i="2"/>
  <c r="C81" i="2"/>
  <c r="B81" i="2"/>
  <c r="C74" i="2" l="1"/>
  <c r="B74" i="2"/>
  <c r="C67" i="2"/>
  <c r="B67" i="2"/>
  <c r="AE79" i="1" l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BJ54" i="3"/>
  <c r="AF20" i="4" s="1"/>
  <c r="BJ53" i="3"/>
  <c r="BJ52" i="3"/>
  <c r="AF19" i="4" s="1"/>
  <c r="BJ51" i="3"/>
  <c r="AF18" i="4" s="1"/>
  <c r="BJ50" i="3"/>
  <c r="AF17" i="4" s="1"/>
  <c r="BJ49" i="3"/>
  <c r="AF16" i="4" s="1"/>
  <c r="BJ46" i="3"/>
  <c r="AF10" i="4" s="1"/>
  <c r="BJ45" i="3"/>
  <c r="AF9" i="4" s="1"/>
  <c r="BJ44" i="3"/>
  <c r="AF8" i="4" s="1"/>
  <c r="BJ43" i="3"/>
  <c r="AF7" i="4" s="1"/>
  <c r="BJ42" i="3"/>
  <c r="AF6" i="4" s="1"/>
  <c r="BJ41" i="3"/>
  <c r="AF5" i="4" s="1"/>
  <c r="BK37" i="3"/>
  <c r="E213" i="2" s="1"/>
  <c r="BJ37" i="3"/>
  <c r="D213" i="2" s="1"/>
  <c r="BK36" i="3"/>
  <c r="E212" i="2" s="1"/>
  <c r="BJ36" i="3"/>
  <c r="D212" i="2" s="1"/>
  <c r="BK35" i="3"/>
  <c r="E211" i="2" s="1"/>
  <c r="BJ35" i="3"/>
  <c r="D211" i="2" s="1"/>
  <c r="BK34" i="3"/>
  <c r="E210" i="2" s="1"/>
  <c r="BJ34" i="3"/>
  <c r="D210" i="2" s="1"/>
  <c r="BK33" i="3"/>
  <c r="E209" i="2" s="1"/>
  <c r="BJ33" i="3"/>
  <c r="D209" i="2" s="1"/>
  <c r="BK32" i="3"/>
  <c r="E208" i="2" s="1"/>
  <c r="BJ32" i="3"/>
  <c r="D208" i="2" s="1"/>
  <c r="BK25" i="3"/>
  <c r="BJ25" i="3"/>
  <c r="AF38" i="4" l="1"/>
  <c r="AE81" i="1"/>
  <c r="BK38" i="3"/>
  <c r="BJ38" i="3"/>
  <c r="AF36" i="4"/>
  <c r="AF37" i="4"/>
  <c r="AF42" i="4" s="1"/>
  <c r="D54" i="3" l="1"/>
  <c r="D53" i="3"/>
  <c r="D52" i="3"/>
  <c r="D51" i="3"/>
  <c r="D50" i="3"/>
  <c r="D49" i="3"/>
  <c r="D46" i="3"/>
  <c r="D45" i="3"/>
  <c r="D44" i="3"/>
  <c r="D43" i="3"/>
  <c r="D42" i="3"/>
  <c r="D41" i="3"/>
  <c r="E37" i="3"/>
  <c r="E10" i="2" s="1"/>
  <c r="D37" i="3"/>
  <c r="D10" i="2" s="1"/>
  <c r="E36" i="3"/>
  <c r="E9" i="2" s="1"/>
  <c r="D36" i="3"/>
  <c r="D9" i="2" s="1"/>
  <c r="E35" i="3"/>
  <c r="E8" i="2" s="1"/>
  <c r="D35" i="3"/>
  <c r="D8" i="2" s="1"/>
  <c r="E34" i="3"/>
  <c r="E7" i="2" s="1"/>
  <c r="D34" i="3"/>
  <c r="D7" i="2" s="1"/>
  <c r="E33" i="3"/>
  <c r="E6" i="2" s="1"/>
  <c r="D33" i="3"/>
  <c r="D6" i="2" s="1"/>
  <c r="E32" i="3"/>
  <c r="E5" i="2" s="1"/>
  <c r="D32" i="3"/>
  <c r="D5" i="2" s="1"/>
  <c r="U33" i="3"/>
  <c r="U35" i="3"/>
  <c r="E11" i="2" l="1"/>
  <c r="G5" i="2"/>
  <c r="I5" i="2" s="1"/>
  <c r="H5" i="2"/>
  <c r="D11" i="2"/>
  <c r="G6" i="2"/>
  <c r="H6" i="2"/>
  <c r="G7" i="2"/>
  <c r="I7" i="2" s="1"/>
  <c r="K7" i="2" s="1"/>
  <c r="H7" i="2"/>
  <c r="G8" i="2"/>
  <c r="I8" i="2" s="1"/>
  <c r="K8" i="2" s="1"/>
  <c r="H8" i="2"/>
  <c r="H9" i="2"/>
  <c r="G9" i="2"/>
  <c r="I9" i="2" s="1"/>
  <c r="K9" i="2" s="1"/>
  <c r="H10" i="2"/>
  <c r="G10" i="2"/>
  <c r="I10" i="2" s="1"/>
  <c r="K10" i="2" s="1"/>
  <c r="AF39" i="4"/>
  <c r="D38" i="3"/>
  <c r="E38" i="3"/>
  <c r="BB49" i="3"/>
  <c r="BB50" i="3"/>
  <c r="BB51" i="3"/>
  <c r="BB52" i="3"/>
  <c r="BB53" i="3"/>
  <c r="BB54" i="3"/>
  <c r="BB41" i="3"/>
  <c r="BB42" i="3"/>
  <c r="BB43" i="3"/>
  <c r="BB44" i="3"/>
  <c r="BB45" i="3"/>
  <c r="BB46" i="3"/>
  <c r="BB32" i="3"/>
  <c r="BC32" i="3"/>
  <c r="BB33" i="3"/>
  <c r="BC33" i="3"/>
  <c r="BB34" i="3"/>
  <c r="BC34" i="3"/>
  <c r="BB35" i="3"/>
  <c r="BC35" i="3"/>
  <c r="BB36" i="3"/>
  <c r="BC36" i="3"/>
  <c r="BB37" i="3"/>
  <c r="BC37" i="3"/>
  <c r="J8" i="2" l="1"/>
  <c r="L8" i="2"/>
  <c r="J10" i="2"/>
  <c r="L10" i="2"/>
  <c r="J9" i="2"/>
  <c r="L9" i="2"/>
  <c r="J7" i="2"/>
  <c r="L7" i="2"/>
  <c r="J6" i="2"/>
  <c r="J11" i="2" s="1"/>
  <c r="L6" i="2"/>
  <c r="L11" i="2" s="1"/>
  <c r="G11" i="2"/>
  <c r="I6" i="2"/>
  <c r="K6" i="2" s="1"/>
  <c r="K11" i="2" s="1"/>
  <c r="L5" i="2"/>
  <c r="J5" i="2"/>
  <c r="H11" i="2"/>
  <c r="K5" i="2"/>
  <c r="BC38" i="3"/>
  <c r="BB38" i="3"/>
  <c r="BD32" i="3"/>
  <c r="BE32" i="3"/>
  <c r="BD33" i="3"/>
  <c r="BE33" i="3"/>
  <c r="BD49" i="3"/>
  <c r="BD50" i="3"/>
  <c r="BD51" i="3"/>
  <c r="BD52" i="3"/>
  <c r="BD53" i="3"/>
  <c r="BD54" i="3"/>
  <c r="BD41" i="3"/>
  <c r="BD42" i="3"/>
  <c r="BD43" i="3"/>
  <c r="BD44" i="3"/>
  <c r="BD45" i="3"/>
  <c r="BD46" i="3"/>
  <c r="BD34" i="3"/>
  <c r="BE34" i="3"/>
  <c r="BD35" i="3"/>
  <c r="BE35" i="3"/>
  <c r="BD36" i="3"/>
  <c r="BE36" i="3"/>
  <c r="BD37" i="3"/>
  <c r="BE37" i="3"/>
  <c r="I11" i="2" l="1"/>
  <c r="BD38" i="3"/>
  <c r="BE38" i="3"/>
  <c r="P32" i="3" l="1"/>
  <c r="AJ32" i="3" l="1"/>
  <c r="AJ33" i="3"/>
  <c r="AJ34" i="3"/>
  <c r="AJ35" i="3"/>
  <c r="AJ36" i="3"/>
  <c r="AJ37" i="3"/>
  <c r="AJ38" i="3" l="1"/>
  <c r="J72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3" i="1"/>
  <c r="J74" i="1"/>
  <c r="J75" i="1"/>
  <c r="J76" i="1"/>
  <c r="J77" i="1"/>
  <c r="J78" i="1"/>
  <c r="J79" i="1"/>
  <c r="H208" i="2" l="1"/>
  <c r="G208" i="2"/>
  <c r="I208" i="2" s="1"/>
  <c r="G209" i="2"/>
  <c r="I209" i="2" s="1"/>
  <c r="K209" i="2" s="1"/>
  <c r="H209" i="2"/>
  <c r="H210" i="2"/>
  <c r="G210" i="2"/>
  <c r="I210" i="2" s="1"/>
  <c r="K210" i="2" s="1"/>
  <c r="H211" i="2"/>
  <c r="G211" i="2"/>
  <c r="I211" i="2" s="1"/>
  <c r="K211" i="2" s="1"/>
  <c r="H212" i="2"/>
  <c r="G212" i="2"/>
  <c r="I212" i="2" s="1"/>
  <c r="K212" i="2" s="1"/>
  <c r="H213" i="2"/>
  <c r="G213" i="2"/>
  <c r="I213" i="2" s="1"/>
  <c r="K213" i="2" s="1"/>
  <c r="K208" i="2" l="1"/>
  <c r="U208" i="2"/>
  <c r="J213" i="2"/>
  <c r="L213" i="2"/>
  <c r="L212" i="2"/>
  <c r="J212" i="2"/>
  <c r="L211" i="2"/>
  <c r="J211" i="2"/>
  <c r="J210" i="2"/>
  <c r="L210" i="2"/>
  <c r="L209" i="2"/>
  <c r="J209" i="2"/>
  <c r="L208" i="2"/>
  <c r="J208" i="2"/>
  <c r="E192" i="2" l="1"/>
  <c r="D192" i="2"/>
  <c r="E191" i="2"/>
  <c r="D191" i="2"/>
  <c r="E190" i="2"/>
  <c r="D190" i="2"/>
  <c r="E189" i="2"/>
  <c r="D189" i="2"/>
  <c r="BF34" i="3"/>
  <c r="D196" i="2" s="1"/>
  <c r="E188" i="2"/>
  <c r="D188" i="2"/>
  <c r="E187" i="2"/>
  <c r="D187" i="2"/>
  <c r="E193" i="2" l="1"/>
  <c r="D193" i="2"/>
  <c r="H192" i="2"/>
  <c r="G192" i="2"/>
  <c r="I192" i="2" s="1"/>
  <c r="H189" i="2"/>
  <c r="G189" i="2"/>
  <c r="I189" i="2" s="1"/>
  <c r="K189" i="2" s="1"/>
  <c r="H188" i="2"/>
  <c r="G188" i="2"/>
  <c r="I188" i="2" s="1"/>
  <c r="U188" i="2" s="1"/>
  <c r="H190" i="2"/>
  <c r="G190" i="2"/>
  <c r="I190" i="2" s="1"/>
  <c r="K190" i="2" s="1"/>
  <c r="H191" i="2"/>
  <c r="G191" i="2"/>
  <c r="I191" i="2" s="1"/>
  <c r="K191" i="2" s="1"/>
  <c r="G187" i="2"/>
  <c r="H187" i="2"/>
  <c r="AB10" i="4"/>
  <c r="AB9" i="4"/>
  <c r="I187" i="2" l="1"/>
  <c r="G193" i="2"/>
  <c r="H193" i="2"/>
  <c r="K192" i="2"/>
  <c r="U192" i="2"/>
  <c r="K188" i="2"/>
  <c r="L191" i="2"/>
  <c r="J191" i="2"/>
  <c r="L192" i="2"/>
  <c r="J192" i="2"/>
  <c r="J189" i="2"/>
  <c r="L189" i="2"/>
  <c r="J190" i="2"/>
  <c r="L190" i="2"/>
  <c r="J187" i="2"/>
  <c r="L187" i="2"/>
  <c r="L188" i="2"/>
  <c r="J188" i="2"/>
  <c r="AZ54" i="3"/>
  <c r="AZ53" i="3"/>
  <c r="AZ52" i="3"/>
  <c r="AZ51" i="3"/>
  <c r="AZ50" i="3"/>
  <c r="AZ49" i="3"/>
  <c r="AZ46" i="3"/>
  <c r="AA10" i="4" s="1"/>
  <c r="AZ45" i="3"/>
  <c r="AA9" i="4" s="1"/>
  <c r="AZ44" i="3"/>
  <c r="AZ43" i="3"/>
  <c r="AZ42" i="3"/>
  <c r="AZ41" i="3"/>
  <c r="BA37" i="3"/>
  <c r="E178" i="2" s="1"/>
  <c r="AZ37" i="3"/>
  <c r="D178" i="2" s="1"/>
  <c r="BA36" i="3"/>
  <c r="E177" i="2" s="1"/>
  <c r="AZ36" i="3"/>
  <c r="D177" i="2" s="1"/>
  <c r="BA35" i="3"/>
  <c r="E176" i="2" s="1"/>
  <c r="AZ35" i="3"/>
  <c r="D176" i="2" s="1"/>
  <c r="BA34" i="3"/>
  <c r="E175" i="2" s="1"/>
  <c r="AZ34" i="3"/>
  <c r="D175" i="2" s="1"/>
  <c r="BA33" i="3"/>
  <c r="E174" i="2" s="1"/>
  <c r="AZ33" i="3"/>
  <c r="D174" i="2" s="1"/>
  <c r="BA32" i="3"/>
  <c r="E173" i="2" s="1"/>
  <c r="AZ32" i="3"/>
  <c r="D173" i="2" s="1"/>
  <c r="K187" i="2" l="1"/>
  <c r="K193" i="2" s="1"/>
  <c r="U187" i="2"/>
  <c r="L193" i="2"/>
  <c r="J193" i="2"/>
  <c r="I193" i="2"/>
  <c r="H173" i="2"/>
  <c r="G173" i="2"/>
  <c r="I173" i="2" s="1"/>
  <c r="G174" i="2"/>
  <c r="I174" i="2" s="1"/>
  <c r="U174" i="2" s="1"/>
  <c r="H174" i="2"/>
  <c r="H176" i="2"/>
  <c r="G176" i="2"/>
  <c r="I176" i="2" s="1"/>
  <c r="K176" i="2" s="1"/>
  <c r="H175" i="2"/>
  <c r="G175" i="2"/>
  <c r="I175" i="2" s="1"/>
  <c r="K175" i="2" s="1"/>
  <c r="H177" i="2"/>
  <c r="G177" i="2"/>
  <c r="I177" i="2" s="1"/>
  <c r="K177" i="2" s="1"/>
  <c r="H178" i="2"/>
  <c r="G178" i="2"/>
  <c r="I178" i="2" s="1"/>
  <c r="K178" i="2" s="1"/>
  <c r="AX54" i="3"/>
  <c r="AX53" i="3"/>
  <c r="AX52" i="3"/>
  <c r="AX51" i="3"/>
  <c r="AX50" i="3"/>
  <c r="AX49" i="3"/>
  <c r="AX46" i="3"/>
  <c r="AX45" i="3"/>
  <c r="AX44" i="3"/>
  <c r="AX43" i="3"/>
  <c r="AX42" i="3"/>
  <c r="AX41" i="3"/>
  <c r="AY37" i="3"/>
  <c r="E171" i="2" s="1"/>
  <c r="AX37" i="3"/>
  <c r="D171" i="2" s="1"/>
  <c r="AY36" i="3"/>
  <c r="E170" i="2" s="1"/>
  <c r="AX36" i="3"/>
  <c r="D170" i="2" s="1"/>
  <c r="AY35" i="3"/>
  <c r="E169" i="2" s="1"/>
  <c r="AX35" i="3"/>
  <c r="D169" i="2" s="1"/>
  <c r="AY34" i="3"/>
  <c r="E168" i="2" s="1"/>
  <c r="AX34" i="3"/>
  <c r="D168" i="2" s="1"/>
  <c r="AY33" i="3"/>
  <c r="E167" i="2" s="1"/>
  <c r="AX33" i="3"/>
  <c r="D167" i="2" s="1"/>
  <c r="AY32" i="3"/>
  <c r="E166" i="2" s="1"/>
  <c r="AX32" i="3"/>
  <c r="D166" i="2" s="1"/>
  <c r="K173" i="2" l="1"/>
  <c r="K174" i="2"/>
  <c r="L176" i="2"/>
  <c r="J176" i="2"/>
  <c r="L174" i="2"/>
  <c r="J174" i="2"/>
  <c r="J177" i="2"/>
  <c r="L177" i="2"/>
  <c r="J178" i="2"/>
  <c r="L178" i="2"/>
  <c r="J175" i="2"/>
  <c r="L175" i="2"/>
  <c r="L173" i="2"/>
  <c r="J173" i="2"/>
  <c r="G168" i="2"/>
  <c r="I168" i="2" s="1"/>
  <c r="K168" i="2" s="1"/>
  <c r="H168" i="2"/>
  <c r="H169" i="2"/>
  <c r="G169" i="2"/>
  <c r="I169" i="2" s="1"/>
  <c r="K169" i="2" s="1"/>
  <c r="H167" i="2"/>
  <c r="G167" i="2"/>
  <c r="I167" i="2" s="1"/>
  <c r="K167" i="2" s="1"/>
  <c r="H170" i="2"/>
  <c r="G170" i="2"/>
  <c r="I170" i="2" s="1"/>
  <c r="K170" i="2" s="1"/>
  <c r="H166" i="2"/>
  <c r="G166" i="2"/>
  <c r="I166" i="2" s="1"/>
  <c r="U166" i="2" s="1"/>
  <c r="H171" i="2"/>
  <c r="G171" i="2"/>
  <c r="I171" i="2" s="1"/>
  <c r="K171" i="2" s="1"/>
  <c r="AN53" i="3"/>
  <c r="AN52" i="3"/>
  <c r="AN51" i="3"/>
  <c r="AN49" i="3"/>
  <c r="U10" i="4"/>
  <c r="AN45" i="3"/>
  <c r="U9" i="4" s="1"/>
  <c r="AN44" i="3"/>
  <c r="AN43" i="3"/>
  <c r="AN41" i="3"/>
  <c r="AO36" i="3"/>
  <c r="AN36" i="3"/>
  <c r="AN35" i="3"/>
  <c r="AO34" i="3"/>
  <c r="AN34" i="3"/>
  <c r="AO32" i="3"/>
  <c r="AN32" i="3"/>
  <c r="D131" i="2" s="1"/>
  <c r="AN38" i="3" l="1"/>
  <c r="AO38" i="3"/>
  <c r="K166" i="2"/>
  <c r="L167" i="2"/>
  <c r="J167" i="2"/>
  <c r="J171" i="2"/>
  <c r="L171" i="2"/>
  <c r="L166" i="2"/>
  <c r="J166" i="2"/>
  <c r="L169" i="2"/>
  <c r="J169" i="2"/>
  <c r="J170" i="2"/>
  <c r="L170" i="2"/>
  <c r="J168" i="2"/>
  <c r="L168" i="2"/>
  <c r="AL54" i="3"/>
  <c r="AL53" i="3"/>
  <c r="T10" i="4"/>
  <c r="T9" i="4"/>
  <c r="AL44" i="3"/>
  <c r="AM37" i="3"/>
  <c r="AL37" i="3"/>
  <c r="AM36" i="3"/>
  <c r="AL36" i="3"/>
  <c r="AM35" i="3"/>
  <c r="AL35" i="3"/>
  <c r="AM34" i="3"/>
  <c r="AL34" i="3"/>
  <c r="AF54" i="3" l="1"/>
  <c r="AF53" i="3"/>
  <c r="AF52" i="3"/>
  <c r="AF51" i="3"/>
  <c r="AF50" i="3"/>
  <c r="AF49" i="3"/>
  <c r="AF46" i="3"/>
  <c r="AF45" i="3"/>
  <c r="AF44" i="3"/>
  <c r="AF43" i="3"/>
  <c r="AF42" i="3"/>
  <c r="AF41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E103" i="2" l="1"/>
  <c r="AD54" i="3"/>
  <c r="AD53" i="3"/>
  <c r="AD52" i="3"/>
  <c r="AD51" i="3"/>
  <c r="AD50" i="3"/>
  <c r="AD49" i="3"/>
  <c r="AD46" i="3"/>
  <c r="AD45" i="3"/>
  <c r="AD44" i="3"/>
  <c r="AD43" i="3"/>
  <c r="AD42" i="3"/>
  <c r="AD41" i="3"/>
  <c r="AE37" i="3"/>
  <c r="E101" i="2" s="1"/>
  <c r="AD37" i="3"/>
  <c r="D101" i="2" s="1"/>
  <c r="AE36" i="3"/>
  <c r="E100" i="2" s="1"/>
  <c r="AD36" i="3"/>
  <c r="D100" i="2" s="1"/>
  <c r="AE35" i="3"/>
  <c r="E99" i="2" s="1"/>
  <c r="AD35" i="3"/>
  <c r="D99" i="2" s="1"/>
  <c r="AE34" i="3"/>
  <c r="E98" i="2" s="1"/>
  <c r="AD34" i="3"/>
  <c r="D98" i="2" s="1"/>
  <c r="AE33" i="3"/>
  <c r="E97" i="2" s="1"/>
  <c r="AD33" i="3"/>
  <c r="D97" i="2" s="1"/>
  <c r="AE32" i="3"/>
  <c r="E96" i="2" s="1"/>
  <c r="AD32" i="3"/>
  <c r="D96" i="2" s="1"/>
  <c r="H97" i="2" l="1"/>
  <c r="G97" i="2"/>
  <c r="I97" i="2" s="1"/>
  <c r="K97" i="2" s="1"/>
  <c r="H96" i="2"/>
  <c r="G96" i="2"/>
  <c r="I96" i="2" s="1"/>
  <c r="G98" i="2"/>
  <c r="I98" i="2" s="1"/>
  <c r="K98" i="2" s="1"/>
  <c r="H98" i="2"/>
  <c r="H99" i="2"/>
  <c r="G99" i="2"/>
  <c r="I99" i="2" s="1"/>
  <c r="K99" i="2" s="1"/>
  <c r="G100" i="2"/>
  <c r="I100" i="2" s="1"/>
  <c r="K100" i="2" s="1"/>
  <c r="H100" i="2"/>
  <c r="H101" i="2"/>
  <c r="G101" i="2"/>
  <c r="I101" i="2" s="1"/>
  <c r="K101" i="2" s="1"/>
  <c r="K96" i="2" l="1"/>
  <c r="U96" i="2"/>
  <c r="L97" i="2"/>
  <c r="J97" i="2"/>
  <c r="L100" i="2"/>
  <c r="J100" i="2"/>
  <c r="L98" i="2"/>
  <c r="J98" i="2"/>
  <c r="J96" i="2"/>
  <c r="L96" i="2"/>
  <c r="L101" i="2"/>
  <c r="J101" i="2"/>
  <c r="L99" i="2"/>
  <c r="J99" i="2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C79" i="1" l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V45" i="1" l="1"/>
  <c r="AT49" i="3" l="1"/>
  <c r="AT50" i="3"/>
  <c r="AT41" i="3"/>
  <c r="AT42" i="3"/>
  <c r="J34" i="13"/>
  <c r="I34" i="13"/>
  <c r="T226" i="2" l="1"/>
  <c r="P226" i="2"/>
  <c r="AT32" i="3" l="1"/>
  <c r="AT33" i="3"/>
  <c r="D153" i="2" s="1"/>
  <c r="D152" i="2" l="1"/>
  <c r="F228" i="2"/>
  <c r="F229" i="2"/>
  <c r="R226" i="2" l="1"/>
  <c r="Q226" i="2"/>
  <c r="C233" i="2" l="1"/>
  <c r="B233" i="2"/>
  <c r="AE29" i="4" l="1"/>
  <c r="AE28" i="4"/>
  <c r="AE27" i="4"/>
  <c r="Z27" i="4"/>
  <c r="Z29" i="4"/>
  <c r="Z28" i="4"/>
  <c r="BI25" i="3" l="1"/>
  <c r="BH25" i="3"/>
  <c r="AD81" i="1" l="1"/>
  <c r="M207" i="2" s="1"/>
  <c r="B31" i="13" s="1"/>
  <c r="M214" i="2"/>
  <c r="B32" i="13" s="1"/>
  <c r="G31" i="13" l="1"/>
  <c r="BH54" i="3"/>
  <c r="AE20" i="4" s="1"/>
  <c r="BH53" i="3"/>
  <c r="BH52" i="3"/>
  <c r="AE19" i="4" s="1"/>
  <c r="BH51" i="3"/>
  <c r="AE18" i="4" s="1"/>
  <c r="BH50" i="3"/>
  <c r="AE17" i="4" s="1"/>
  <c r="BH49" i="3"/>
  <c r="AE16" i="4" s="1"/>
  <c r="BH46" i="3"/>
  <c r="AE10" i="4" s="1"/>
  <c r="BH45" i="3"/>
  <c r="BH44" i="3"/>
  <c r="BH43" i="3"/>
  <c r="AE7" i="4" s="1"/>
  <c r="BH42" i="3"/>
  <c r="AE6" i="4" s="1"/>
  <c r="BH41" i="3"/>
  <c r="AE5" i="4" s="1"/>
  <c r="BI37" i="3"/>
  <c r="E206" i="2" s="1"/>
  <c r="BH37" i="3"/>
  <c r="D206" i="2" s="1"/>
  <c r="BI36" i="3"/>
  <c r="E205" i="2" s="1"/>
  <c r="BH36" i="3"/>
  <c r="D205" i="2" s="1"/>
  <c r="BI35" i="3"/>
  <c r="E204" i="2" s="1"/>
  <c r="BH35" i="3"/>
  <c r="D204" i="2" s="1"/>
  <c r="BI34" i="3"/>
  <c r="E203" i="2" s="1"/>
  <c r="BH34" i="3"/>
  <c r="D203" i="2" s="1"/>
  <c r="BI33" i="3"/>
  <c r="E202" i="2" s="1"/>
  <c r="BH33" i="3"/>
  <c r="D202" i="2" s="1"/>
  <c r="BI32" i="3"/>
  <c r="BH32" i="3"/>
  <c r="AE38" i="4" l="1"/>
  <c r="E201" i="2"/>
  <c r="E207" i="2" s="1"/>
  <c r="BI38" i="3"/>
  <c r="AE37" i="4"/>
  <c r="D201" i="2"/>
  <c r="D207" i="2" s="1"/>
  <c r="BH38" i="3"/>
  <c r="H202" i="2"/>
  <c r="G202" i="2"/>
  <c r="I202" i="2" s="1"/>
  <c r="G204" i="2"/>
  <c r="I204" i="2" s="1"/>
  <c r="K204" i="2" s="1"/>
  <c r="H204" i="2"/>
  <c r="G203" i="2"/>
  <c r="I203" i="2" s="1"/>
  <c r="K203" i="2" s="1"/>
  <c r="H203" i="2"/>
  <c r="H205" i="2"/>
  <c r="G205" i="2"/>
  <c r="I205" i="2" s="1"/>
  <c r="K205" i="2" s="1"/>
  <c r="G206" i="2"/>
  <c r="I206" i="2" s="1"/>
  <c r="K206" i="2" s="1"/>
  <c r="H206" i="2"/>
  <c r="AE8" i="4"/>
  <c r="AE9" i="4"/>
  <c r="H201" i="2" l="1"/>
  <c r="H207" i="2" s="1"/>
  <c r="G201" i="2"/>
  <c r="I201" i="2" s="1"/>
  <c r="AE39" i="4"/>
  <c r="AE36" i="4"/>
  <c r="K202" i="2"/>
  <c r="U202" i="2"/>
  <c r="J206" i="2"/>
  <c r="L206" i="2"/>
  <c r="L205" i="2"/>
  <c r="J205" i="2"/>
  <c r="L203" i="2"/>
  <c r="J203" i="2"/>
  <c r="J202" i="2"/>
  <c r="L202" i="2"/>
  <c r="L204" i="2"/>
  <c r="J204" i="2"/>
  <c r="U210" i="2"/>
  <c r="U212" i="2"/>
  <c r="AE42" i="4"/>
  <c r="H31" i="13"/>
  <c r="U209" i="2"/>
  <c r="U211" i="2"/>
  <c r="U201" i="2" l="1"/>
  <c r="K201" i="2"/>
  <c r="K207" i="2" s="1"/>
  <c r="G207" i="2"/>
  <c r="J201" i="2"/>
  <c r="J207" i="2" s="1"/>
  <c r="L201" i="2"/>
  <c r="L207" i="2" s="1"/>
  <c r="I207" i="2"/>
  <c r="C116" i="2" l="1"/>
  <c r="B116" i="2"/>
  <c r="L76" i="1" l="1"/>
  <c r="L77" i="1"/>
  <c r="L78" i="1"/>
  <c r="L79" i="1"/>
  <c r="K76" i="1" l="1"/>
  <c r="K77" i="1"/>
  <c r="K78" i="1"/>
  <c r="K79" i="1"/>
  <c r="E46" i="1" l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AW25" i="3" l="1"/>
  <c r="AV25" i="3"/>
  <c r="AI25" i="3"/>
  <c r="AH25" i="3"/>
  <c r="U25" i="3"/>
  <c r="T25" i="3"/>
  <c r="I25" i="3"/>
  <c r="H25" i="3"/>
  <c r="G25" i="3"/>
  <c r="G3" i="13" l="1"/>
  <c r="D29" i="4"/>
  <c r="B11" i="11" l="1"/>
  <c r="D28" i="4" l="1"/>
  <c r="R37" i="3" l="1"/>
  <c r="D59" i="2" s="1"/>
  <c r="R36" i="3"/>
  <c r="D58" i="2" s="1"/>
  <c r="R35" i="3"/>
  <c r="D57" i="2" s="1"/>
  <c r="R34" i="3"/>
  <c r="D56" i="2" s="1"/>
  <c r="R33" i="3"/>
  <c r="D55" i="2" s="1"/>
  <c r="R32" i="3"/>
  <c r="D54" i="2" s="1"/>
  <c r="D60" i="2" l="1"/>
  <c r="R38" i="3"/>
  <c r="D27" i="4" l="1"/>
  <c r="R60" i="1" l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Q61" i="1" l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E45" i="1" l="1"/>
  <c r="AC29" i="4" l="1"/>
  <c r="AB29" i="4"/>
  <c r="AA29" i="4"/>
  <c r="Y29" i="4"/>
  <c r="X29" i="4"/>
  <c r="W29" i="4"/>
  <c r="V29" i="4"/>
  <c r="U29" i="4"/>
  <c r="T29" i="4"/>
  <c r="Q29" i="4"/>
  <c r="P29" i="4"/>
  <c r="O29" i="4"/>
  <c r="N29" i="4"/>
  <c r="M29" i="4"/>
  <c r="L29" i="4"/>
  <c r="K29" i="4"/>
  <c r="J29" i="4"/>
  <c r="G29" i="4"/>
  <c r="F29" i="4"/>
  <c r="E29" i="4"/>
  <c r="I29" i="4"/>
  <c r="C29" i="4"/>
  <c r="AF40" i="4" l="1"/>
  <c r="AF43" i="4"/>
  <c r="K32" i="13" s="1"/>
  <c r="AF41" i="4"/>
  <c r="AE40" i="4"/>
  <c r="AE43" i="4"/>
  <c r="AE41" i="4"/>
  <c r="T45" i="1"/>
  <c r="U45" i="1"/>
  <c r="W45" i="1"/>
  <c r="X45" i="1"/>
  <c r="Y45" i="1"/>
  <c r="Z45" i="1"/>
  <c r="AA45" i="1"/>
  <c r="T46" i="1"/>
  <c r="U46" i="1"/>
  <c r="V46" i="1"/>
  <c r="W46" i="1"/>
  <c r="X46" i="1"/>
  <c r="Y46" i="1"/>
  <c r="Z46" i="1"/>
  <c r="AA46" i="1"/>
  <c r="T47" i="1"/>
  <c r="U47" i="1"/>
  <c r="V47" i="1"/>
  <c r="W47" i="1"/>
  <c r="X47" i="1"/>
  <c r="Y47" i="1"/>
  <c r="Z47" i="1"/>
  <c r="AA47" i="1"/>
  <c r="T48" i="1"/>
  <c r="U48" i="1"/>
  <c r="V48" i="1"/>
  <c r="W48" i="1"/>
  <c r="X48" i="1"/>
  <c r="Y48" i="1"/>
  <c r="Z48" i="1"/>
  <c r="AA48" i="1"/>
  <c r="T49" i="1"/>
  <c r="U49" i="1"/>
  <c r="V49" i="1"/>
  <c r="W49" i="1"/>
  <c r="X49" i="1"/>
  <c r="Y49" i="1"/>
  <c r="Z49" i="1"/>
  <c r="AA49" i="1"/>
  <c r="T50" i="1"/>
  <c r="U50" i="1"/>
  <c r="V50" i="1"/>
  <c r="W50" i="1"/>
  <c r="X50" i="1"/>
  <c r="Y50" i="1"/>
  <c r="Z50" i="1"/>
  <c r="AA50" i="1"/>
  <c r="T51" i="1"/>
  <c r="U51" i="1"/>
  <c r="V51" i="1"/>
  <c r="W51" i="1"/>
  <c r="X51" i="1"/>
  <c r="Y51" i="1"/>
  <c r="Z51" i="1"/>
  <c r="AA51" i="1"/>
  <c r="T52" i="1"/>
  <c r="U52" i="1"/>
  <c r="V52" i="1"/>
  <c r="W52" i="1"/>
  <c r="X52" i="1"/>
  <c r="Y52" i="1"/>
  <c r="Z52" i="1"/>
  <c r="AA52" i="1"/>
  <c r="T53" i="1"/>
  <c r="U53" i="1"/>
  <c r="V53" i="1"/>
  <c r="W53" i="1"/>
  <c r="X53" i="1"/>
  <c r="Y53" i="1"/>
  <c r="Z53" i="1"/>
  <c r="AA53" i="1"/>
  <c r="T54" i="1"/>
  <c r="U54" i="1"/>
  <c r="V54" i="1"/>
  <c r="W54" i="1"/>
  <c r="X54" i="1"/>
  <c r="Y54" i="1"/>
  <c r="Z54" i="1"/>
  <c r="AA54" i="1"/>
  <c r="T55" i="1"/>
  <c r="U55" i="1"/>
  <c r="V55" i="1"/>
  <c r="W55" i="1"/>
  <c r="X55" i="1"/>
  <c r="Y55" i="1"/>
  <c r="Z55" i="1"/>
  <c r="AA55" i="1"/>
  <c r="T56" i="1"/>
  <c r="U56" i="1"/>
  <c r="V56" i="1"/>
  <c r="W56" i="1"/>
  <c r="X56" i="1"/>
  <c r="Y56" i="1"/>
  <c r="Z56" i="1"/>
  <c r="AA56" i="1"/>
  <c r="T57" i="1"/>
  <c r="U57" i="1"/>
  <c r="V57" i="1"/>
  <c r="W57" i="1"/>
  <c r="X57" i="1"/>
  <c r="Y57" i="1"/>
  <c r="Z57" i="1"/>
  <c r="AA57" i="1"/>
  <c r="T58" i="1"/>
  <c r="U58" i="1"/>
  <c r="V58" i="1"/>
  <c r="W58" i="1"/>
  <c r="X58" i="1"/>
  <c r="Y58" i="1"/>
  <c r="Z58" i="1"/>
  <c r="AA58" i="1"/>
  <c r="T59" i="1"/>
  <c r="U59" i="1"/>
  <c r="V59" i="1"/>
  <c r="W59" i="1"/>
  <c r="X59" i="1"/>
  <c r="Y59" i="1"/>
  <c r="Z59" i="1"/>
  <c r="AA59" i="1"/>
  <c r="T60" i="1"/>
  <c r="U60" i="1"/>
  <c r="V60" i="1"/>
  <c r="W60" i="1"/>
  <c r="X60" i="1"/>
  <c r="Y60" i="1"/>
  <c r="Z60" i="1"/>
  <c r="AA60" i="1"/>
  <c r="T61" i="1"/>
  <c r="U61" i="1"/>
  <c r="V61" i="1"/>
  <c r="W61" i="1"/>
  <c r="X61" i="1"/>
  <c r="Y61" i="1"/>
  <c r="Z61" i="1"/>
  <c r="AA61" i="1"/>
  <c r="T62" i="1"/>
  <c r="U62" i="1"/>
  <c r="V62" i="1"/>
  <c r="W62" i="1"/>
  <c r="X62" i="1"/>
  <c r="Y62" i="1"/>
  <c r="Z62" i="1"/>
  <c r="AA62" i="1"/>
  <c r="T63" i="1"/>
  <c r="U63" i="1"/>
  <c r="V63" i="1"/>
  <c r="W63" i="1"/>
  <c r="X63" i="1"/>
  <c r="Y63" i="1"/>
  <c r="Z63" i="1"/>
  <c r="AA63" i="1"/>
  <c r="T64" i="1"/>
  <c r="U64" i="1"/>
  <c r="V64" i="1"/>
  <c r="W64" i="1"/>
  <c r="X64" i="1"/>
  <c r="Y64" i="1"/>
  <c r="Z64" i="1"/>
  <c r="AA64" i="1"/>
  <c r="T65" i="1"/>
  <c r="U65" i="1"/>
  <c r="V65" i="1"/>
  <c r="W65" i="1"/>
  <c r="X65" i="1"/>
  <c r="Y65" i="1"/>
  <c r="Z65" i="1"/>
  <c r="AA65" i="1"/>
  <c r="T66" i="1"/>
  <c r="U66" i="1"/>
  <c r="V66" i="1"/>
  <c r="W66" i="1"/>
  <c r="X66" i="1"/>
  <c r="Y66" i="1"/>
  <c r="Z66" i="1"/>
  <c r="AA66" i="1"/>
  <c r="T67" i="1"/>
  <c r="U67" i="1"/>
  <c r="V67" i="1"/>
  <c r="W67" i="1"/>
  <c r="X67" i="1"/>
  <c r="Y67" i="1"/>
  <c r="Z67" i="1"/>
  <c r="AA67" i="1"/>
  <c r="T68" i="1"/>
  <c r="U68" i="1"/>
  <c r="V68" i="1"/>
  <c r="W68" i="1"/>
  <c r="X68" i="1"/>
  <c r="Y68" i="1"/>
  <c r="Z68" i="1"/>
  <c r="AA68" i="1"/>
  <c r="T69" i="1"/>
  <c r="U69" i="1"/>
  <c r="V69" i="1"/>
  <c r="W69" i="1"/>
  <c r="X69" i="1"/>
  <c r="Y69" i="1"/>
  <c r="Z69" i="1"/>
  <c r="AA69" i="1"/>
  <c r="T70" i="1"/>
  <c r="U70" i="1"/>
  <c r="V70" i="1"/>
  <c r="W70" i="1"/>
  <c r="X70" i="1"/>
  <c r="Y70" i="1"/>
  <c r="Z70" i="1"/>
  <c r="AA70" i="1"/>
  <c r="T71" i="1"/>
  <c r="U71" i="1"/>
  <c r="V71" i="1"/>
  <c r="W71" i="1"/>
  <c r="X71" i="1"/>
  <c r="Y71" i="1"/>
  <c r="Z71" i="1"/>
  <c r="AA71" i="1"/>
  <c r="T72" i="1"/>
  <c r="U72" i="1"/>
  <c r="V72" i="1"/>
  <c r="W72" i="1"/>
  <c r="X72" i="1"/>
  <c r="Y72" i="1"/>
  <c r="Z72" i="1"/>
  <c r="AA72" i="1"/>
  <c r="T73" i="1"/>
  <c r="U73" i="1"/>
  <c r="V73" i="1"/>
  <c r="W73" i="1"/>
  <c r="X73" i="1"/>
  <c r="Y73" i="1"/>
  <c r="Z73" i="1"/>
  <c r="AA73" i="1"/>
  <c r="T74" i="1"/>
  <c r="U74" i="1"/>
  <c r="V74" i="1"/>
  <c r="W74" i="1"/>
  <c r="X74" i="1"/>
  <c r="Y74" i="1"/>
  <c r="Z74" i="1"/>
  <c r="AA74" i="1"/>
  <c r="T75" i="1"/>
  <c r="U75" i="1"/>
  <c r="V75" i="1"/>
  <c r="W75" i="1"/>
  <c r="X75" i="1"/>
  <c r="Y75" i="1"/>
  <c r="Z75" i="1"/>
  <c r="AA75" i="1"/>
  <c r="T76" i="1"/>
  <c r="U76" i="1"/>
  <c r="V76" i="1"/>
  <c r="W76" i="1"/>
  <c r="X76" i="1"/>
  <c r="Y76" i="1"/>
  <c r="Z76" i="1"/>
  <c r="AA76" i="1"/>
  <c r="T77" i="1"/>
  <c r="U77" i="1"/>
  <c r="V77" i="1"/>
  <c r="W77" i="1"/>
  <c r="X77" i="1"/>
  <c r="Y77" i="1"/>
  <c r="Z77" i="1"/>
  <c r="AA77" i="1"/>
  <c r="T78" i="1"/>
  <c r="U78" i="1"/>
  <c r="V78" i="1"/>
  <c r="W78" i="1"/>
  <c r="X78" i="1"/>
  <c r="Y78" i="1"/>
  <c r="Z78" i="1"/>
  <c r="AA78" i="1"/>
  <c r="T79" i="1"/>
  <c r="U79" i="1"/>
  <c r="V79" i="1"/>
  <c r="W79" i="1"/>
  <c r="X79" i="1"/>
  <c r="Y79" i="1"/>
  <c r="Z79" i="1"/>
  <c r="AA79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45" i="1"/>
  <c r="K31" i="13" l="1"/>
  <c r="G10" i="13" l="1"/>
  <c r="G11" i="13" l="1"/>
  <c r="C45" i="1" l="1"/>
  <c r="D45" i="1"/>
  <c r="F45" i="1"/>
  <c r="G45" i="1"/>
  <c r="H45" i="1"/>
  <c r="I45" i="1"/>
  <c r="K45" i="1"/>
  <c r="L45" i="1"/>
  <c r="M45" i="1"/>
  <c r="N45" i="1"/>
  <c r="O45" i="1"/>
  <c r="P45" i="1"/>
  <c r="Q45" i="1"/>
  <c r="C46" i="1"/>
  <c r="D46" i="1"/>
  <c r="F46" i="1"/>
  <c r="G46" i="1"/>
  <c r="H46" i="1"/>
  <c r="I46" i="1"/>
  <c r="K46" i="1"/>
  <c r="L46" i="1"/>
  <c r="M46" i="1"/>
  <c r="N46" i="1"/>
  <c r="O46" i="1"/>
  <c r="P46" i="1"/>
  <c r="Q46" i="1"/>
  <c r="C47" i="1"/>
  <c r="D47" i="1"/>
  <c r="F47" i="1"/>
  <c r="G47" i="1"/>
  <c r="H47" i="1"/>
  <c r="I47" i="1"/>
  <c r="K47" i="1"/>
  <c r="L47" i="1"/>
  <c r="M47" i="1"/>
  <c r="N47" i="1"/>
  <c r="O47" i="1"/>
  <c r="P47" i="1"/>
  <c r="Q47" i="1"/>
  <c r="C48" i="1"/>
  <c r="D48" i="1"/>
  <c r="F48" i="1"/>
  <c r="G48" i="1"/>
  <c r="H48" i="1"/>
  <c r="I48" i="1"/>
  <c r="K48" i="1"/>
  <c r="L48" i="1"/>
  <c r="M48" i="1"/>
  <c r="N48" i="1"/>
  <c r="O48" i="1"/>
  <c r="P48" i="1"/>
  <c r="Q48" i="1"/>
  <c r="C49" i="1"/>
  <c r="D49" i="1"/>
  <c r="F49" i="1"/>
  <c r="G49" i="1"/>
  <c r="H49" i="1"/>
  <c r="I49" i="1"/>
  <c r="K49" i="1"/>
  <c r="L49" i="1"/>
  <c r="M49" i="1"/>
  <c r="N49" i="1"/>
  <c r="O49" i="1"/>
  <c r="P49" i="1"/>
  <c r="Q49" i="1"/>
  <c r="C50" i="1"/>
  <c r="D50" i="1"/>
  <c r="F50" i="1"/>
  <c r="G50" i="1"/>
  <c r="H50" i="1"/>
  <c r="I50" i="1"/>
  <c r="K50" i="1"/>
  <c r="L50" i="1"/>
  <c r="M50" i="1"/>
  <c r="N50" i="1"/>
  <c r="O50" i="1"/>
  <c r="P50" i="1"/>
  <c r="Q50" i="1"/>
  <c r="C51" i="1"/>
  <c r="D51" i="1"/>
  <c r="F51" i="1"/>
  <c r="G51" i="1"/>
  <c r="H51" i="1"/>
  <c r="I51" i="1"/>
  <c r="K51" i="1"/>
  <c r="L51" i="1"/>
  <c r="M51" i="1"/>
  <c r="N51" i="1"/>
  <c r="O51" i="1"/>
  <c r="P51" i="1"/>
  <c r="Q51" i="1"/>
  <c r="C52" i="1"/>
  <c r="D52" i="1"/>
  <c r="F52" i="1"/>
  <c r="G52" i="1"/>
  <c r="H52" i="1"/>
  <c r="I52" i="1"/>
  <c r="K52" i="1"/>
  <c r="L52" i="1"/>
  <c r="M52" i="1"/>
  <c r="N52" i="1"/>
  <c r="O52" i="1"/>
  <c r="P52" i="1"/>
  <c r="Q52" i="1"/>
  <c r="C53" i="1"/>
  <c r="D53" i="1"/>
  <c r="F53" i="1"/>
  <c r="G53" i="1"/>
  <c r="H53" i="1"/>
  <c r="I53" i="1"/>
  <c r="K53" i="1"/>
  <c r="L53" i="1"/>
  <c r="M53" i="1"/>
  <c r="N53" i="1"/>
  <c r="O53" i="1"/>
  <c r="P53" i="1"/>
  <c r="Q53" i="1"/>
  <c r="C54" i="1"/>
  <c r="D54" i="1"/>
  <c r="F54" i="1"/>
  <c r="G54" i="1"/>
  <c r="H54" i="1"/>
  <c r="I54" i="1"/>
  <c r="K54" i="1"/>
  <c r="L54" i="1"/>
  <c r="M54" i="1"/>
  <c r="N54" i="1"/>
  <c r="O54" i="1"/>
  <c r="P54" i="1"/>
  <c r="Q54" i="1"/>
  <c r="C55" i="1"/>
  <c r="D55" i="1"/>
  <c r="F55" i="1"/>
  <c r="G55" i="1"/>
  <c r="H55" i="1"/>
  <c r="I55" i="1"/>
  <c r="K55" i="1"/>
  <c r="L55" i="1"/>
  <c r="M55" i="1"/>
  <c r="N55" i="1"/>
  <c r="O55" i="1"/>
  <c r="P55" i="1"/>
  <c r="Q55" i="1"/>
  <c r="C56" i="1"/>
  <c r="D56" i="1"/>
  <c r="F56" i="1"/>
  <c r="G56" i="1"/>
  <c r="H56" i="1"/>
  <c r="I56" i="1"/>
  <c r="K56" i="1"/>
  <c r="L56" i="1"/>
  <c r="M56" i="1"/>
  <c r="N56" i="1"/>
  <c r="O56" i="1"/>
  <c r="P56" i="1"/>
  <c r="Q56" i="1"/>
  <c r="C57" i="1"/>
  <c r="D57" i="1"/>
  <c r="F57" i="1"/>
  <c r="G57" i="1"/>
  <c r="H57" i="1"/>
  <c r="I57" i="1"/>
  <c r="K57" i="1"/>
  <c r="L57" i="1"/>
  <c r="M57" i="1"/>
  <c r="N57" i="1"/>
  <c r="O57" i="1"/>
  <c r="P57" i="1"/>
  <c r="Q57" i="1"/>
  <c r="C58" i="1"/>
  <c r="D58" i="1"/>
  <c r="F58" i="1"/>
  <c r="G58" i="1"/>
  <c r="H58" i="1"/>
  <c r="I58" i="1"/>
  <c r="K58" i="1"/>
  <c r="L58" i="1"/>
  <c r="M58" i="1"/>
  <c r="N58" i="1"/>
  <c r="O58" i="1"/>
  <c r="P58" i="1"/>
  <c r="Q58" i="1"/>
  <c r="C59" i="1"/>
  <c r="D59" i="1"/>
  <c r="F59" i="1"/>
  <c r="G59" i="1"/>
  <c r="H59" i="1"/>
  <c r="I59" i="1"/>
  <c r="K59" i="1"/>
  <c r="L59" i="1"/>
  <c r="M59" i="1"/>
  <c r="N59" i="1"/>
  <c r="O59" i="1"/>
  <c r="P59" i="1"/>
  <c r="Q59" i="1"/>
  <c r="C60" i="1"/>
  <c r="D60" i="1"/>
  <c r="F60" i="1"/>
  <c r="G60" i="1"/>
  <c r="H60" i="1"/>
  <c r="I60" i="1"/>
  <c r="K60" i="1"/>
  <c r="L60" i="1"/>
  <c r="M60" i="1"/>
  <c r="N60" i="1"/>
  <c r="O60" i="1"/>
  <c r="P60" i="1"/>
  <c r="Q60" i="1"/>
  <c r="C61" i="1"/>
  <c r="D61" i="1"/>
  <c r="F61" i="1"/>
  <c r="G61" i="1"/>
  <c r="H61" i="1"/>
  <c r="I61" i="1"/>
  <c r="K61" i="1"/>
  <c r="L61" i="1"/>
  <c r="M61" i="1"/>
  <c r="N61" i="1"/>
  <c r="O61" i="1"/>
  <c r="P61" i="1"/>
  <c r="C62" i="1"/>
  <c r="D62" i="1"/>
  <c r="F62" i="1"/>
  <c r="G62" i="1"/>
  <c r="H62" i="1"/>
  <c r="I62" i="1"/>
  <c r="K62" i="1"/>
  <c r="L62" i="1"/>
  <c r="M62" i="1"/>
  <c r="N62" i="1"/>
  <c r="O62" i="1"/>
  <c r="P62" i="1"/>
  <c r="C63" i="1"/>
  <c r="D63" i="1"/>
  <c r="F63" i="1"/>
  <c r="G63" i="1"/>
  <c r="H63" i="1"/>
  <c r="I63" i="1"/>
  <c r="K63" i="1"/>
  <c r="L63" i="1"/>
  <c r="M63" i="1"/>
  <c r="N63" i="1"/>
  <c r="O63" i="1"/>
  <c r="P63" i="1"/>
  <c r="C64" i="1"/>
  <c r="D64" i="1"/>
  <c r="F64" i="1"/>
  <c r="G64" i="1"/>
  <c r="H64" i="1"/>
  <c r="I64" i="1"/>
  <c r="K64" i="1"/>
  <c r="L64" i="1"/>
  <c r="M64" i="1"/>
  <c r="N64" i="1"/>
  <c r="O64" i="1"/>
  <c r="P64" i="1"/>
  <c r="C65" i="1"/>
  <c r="D65" i="1"/>
  <c r="F65" i="1"/>
  <c r="G65" i="1"/>
  <c r="H65" i="1"/>
  <c r="I65" i="1"/>
  <c r="K65" i="1"/>
  <c r="L65" i="1"/>
  <c r="M65" i="1"/>
  <c r="N65" i="1"/>
  <c r="O65" i="1"/>
  <c r="P65" i="1"/>
  <c r="C66" i="1"/>
  <c r="D66" i="1"/>
  <c r="F66" i="1"/>
  <c r="G66" i="1"/>
  <c r="H66" i="1"/>
  <c r="I66" i="1"/>
  <c r="K66" i="1"/>
  <c r="L66" i="1"/>
  <c r="M66" i="1"/>
  <c r="N66" i="1"/>
  <c r="O66" i="1"/>
  <c r="P66" i="1"/>
  <c r="C67" i="1"/>
  <c r="D67" i="1"/>
  <c r="F67" i="1"/>
  <c r="G67" i="1"/>
  <c r="H67" i="1"/>
  <c r="I67" i="1"/>
  <c r="K67" i="1"/>
  <c r="L67" i="1"/>
  <c r="M67" i="1"/>
  <c r="N67" i="1"/>
  <c r="O67" i="1"/>
  <c r="P67" i="1"/>
  <c r="C68" i="1"/>
  <c r="D68" i="1"/>
  <c r="F68" i="1"/>
  <c r="G68" i="1"/>
  <c r="H68" i="1"/>
  <c r="I68" i="1"/>
  <c r="K68" i="1"/>
  <c r="L68" i="1"/>
  <c r="M68" i="1"/>
  <c r="N68" i="1"/>
  <c r="O68" i="1"/>
  <c r="P68" i="1"/>
  <c r="C69" i="1"/>
  <c r="D69" i="1"/>
  <c r="F69" i="1"/>
  <c r="G69" i="1"/>
  <c r="H69" i="1"/>
  <c r="I69" i="1"/>
  <c r="K69" i="1"/>
  <c r="L69" i="1"/>
  <c r="M69" i="1"/>
  <c r="N69" i="1"/>
  <c r="O69" i="1"/>
  <c r="P69" i="1"/>
  <c r="C70" i="1"/>
  <c r="D70" i="1"/>
  <c r="F70" i="1"/>
  <c r="G70" i="1"/>
  <c r="H70" i="1"/>
  <c r="I70" i="1"/>
  <c r="K70" i="1"/>
  <c r="L70" i="1"/>
  <c r="M70" i="1"/>
  <c r="N70" i="1"/>
  <c r="O70" i="1"/>
  <c r="P70" i="1"/>
  <c r="C71" i="1"/>
  <c r="D71" i="1"/>
  <c r="F71" i="1"/>
  <c r="G71" i="1"/>
  <c r="H71" i="1"/>
  <c r="I71" i="1"/>
  <c r="K71" i="1"/>
  <c r="L71" i="1"/>
  <c r="M71" i="1"/>
  <c r="N71" i="1"/>
  <c r="O71" i="1"/>
  <c r="P71" i="1"/>
  <c r="C72" i="1"/>
  <c r="D72" i="1"/>
  <c r="F72" i="1"/>
  <c r="G72" i="1"/>
  <c r="H72" i="1"/>
  <c r="I72" i="1"/>
  <c r="K72" i="1"/>
  <c r="L72" i="1"/>
  <c r="M72" i="1"/>
  <c r="N72" i="1"/>
  <c r="O72" i="1"/>
  <c r="P72" i="1"/>
  <c r="C73" i="1"/>
  <c r="D73" i="1"/>
  <c r="F73" i="1"/>
  <c r="G73" i="1"/>
  <c r="H73" i="1"/>
  <c r="I73" i="1"/>
  <c r="K73" i="1"/>
  <c r="L73" i="1"/>
  <c r="M73" i="1"/>
  <c r="N73" i="1"/>
  <c r="O73" i="1"/>
  <c r="P73" i="1"/>
  <c r="C74" i="1"/>
  <c r="D74" i="1"/>
  <c r="F74" i="1"/>
  <c r="G74" i="1"/>
  <c r="H74" i="1"/>
  <c r="I74" i="1"/>
  <c r="K74" i="1"/>
  <c r="L74" i="1"/>
  <c r="M74" i="1"/>
  <c r="N74" i="1"/>
  <c r="O74" i="1"/>
  <c r="P74" i="1"/>
  <c r="C75" i="1"/>
  <c r="D75" i="1"/>
  <c r="F75" i="1"/>
  <c r="G75" i="1"/>
  <c r="H75" i="1"/>
  <c r="I75" i="1"/>
  <c r="K75" i="1"/>
  <c r="L75" i="1"/>
  <c r="M75" i="1"/>
  <c r="N75" i="1"/>
  <c r="O75" i="1"/>
  <c r="P75" i="1"/>
  <c r="C76" i="1"/>
  <c r="D76" i="1"/>
  <c r="F76" i="1"/>
  <c r="G76" i="1"/>
  <c r="H76" i="1"/>
  <c r="I76" i="1"/>
  <c r="M76" i="1"/>
  <c r="N76" i="1"/>
  <c r="O76" i="1"/>
  <c r="P76" i="1"/>
  <c r="C77" i="1"/>
  <c r="D77" i="1"/>
  <c r="F77" i="1"/>
  <c r="G77" i="1"/>
  <c r="H77" i="1"/>
  <c r="I77" i="1"/>
  <c r="M77" i="1"/>
  <c r="N77" i="1"/>
  <c r="O77" i="1"/>
  <c r="P77" i="1"/>
  <c r="C78" i="1"/>
  <c r="D78" i="1"/>
  <c r="F78" i="1"/>
  <c r="G78" i="1"/>
  <c r="H78" i="1"/>
  <c r="I78" i="1"/>
  <c r="M78" i="1"/>
  <c r="N78" i="1"/>
  <c r="O78" i="1"/>
  <c r="P78" i="1"/>
  <c r="C79" i="1"/>
  <c r="D79" i="1"/>
  <c r="F79" i="1"/>
  <c r="G79" i="1"/>
  <c r="H79" i="1"/>
  <c r="I79" i="1"/>
  <c r="M79" i="1"/>
  <c r="N79" i="1"/>
  <c r="O79" i="1"/>
  <c r="P79" i="1"/>
  <c r="AC28" i="4" l="1"/>
  <c r="AC27" i="4"/>
  <c r="AB28" i="4" l="1"/>
  <c r="AB27" i="4"/>
  <c r="AA28" i="4" l="1"/>
  <c r="AA27" i="4"/>
  <c r="Y28" i="4" l="1"/>
  <c r="Y27" i="4"/>
  <c r="X28" i="4"/>
  <c r="W28" i="4"/>
  <c r="X27" i="4"/>
  <c r="W27" i="4"/>
  <c r="V28" i="4" l="1"/>
  <c r="V27" i="4"/>
  <c r="U28" i="4"/>
  <c r="T28" i="4"/>
  <c r="U27" i="4"/>
  <c r="T27" i="4"/>
  <c r="Q28" i="4" l="1"/>
  <c r="Q27" i="4"/>
  <c r="P28" i="4" l="1"/>
  <c r="P27" i="4"/>
  <c r="O28" i="4" l="1"/>
  <c r="O27" i="4"/>
  <c r="N28" i="4" l="1"/>
  <c r="N27" i="4"/>
  <c r="M27" i="4" l="1"/>
  <c r="L27" i="4"/>
  <c r="M28" i="4"/>
  <c r="L28" i="4"/>
  <c r="K28" i="4"/>
  <c r="K27" i="4"/>
  <c r="J28" i="4"/>
  <c r="J27" i="4"/>
  <c r="I28" i="4" l="1"/>
  <c r="I27" i="4"/>
  <c r="G28" i="4" l="1"/>
  <c r="G27" i="4"/>
  <c r="F28" i="4"/>
  <c r="F27" i="4"/>
  <c r="E28" i="4"/>
  <c r="E27" i="4"/>
  <c r="C28" i="4"/>
  <c r="C27" i="4"/>
  <c r="E214" i="2" l="1"/>
  <c r="B81" i="1"/>
  <c r="M11" i="2" s="1"/>
  <c r="C81" i="1" l="1"/>
  <c r="M18" i="2" s="1"/>
  <c r="Q81" i="1"/>
  <c r="M116" i="2" s="1"/>
  <c r="B18" i="13" s="1"/>
  <c r="AC81" i="1"/>
  <c r="O81" i="1"/>
  <c r="M102" i="2" s="1"/>
  <c r="K81" i="1"/>
  <c r="M74" i="2" s="1"/>
  <c r="B12" i="13" s="1"/>
  <c r="G81" i="1"/>
  <c r="F81" i="1"/>
  <c r="M39" i="2" s="1"/>
  <c r="N81" i="1"/>
  <c r="M95" i="2" s="1"/>
  <c r="B15" i="13" s="1"/>
  <c r="J81" i="1"/>
  <c r="M67" i="2" s="1"/>
  <c r="M81" i="1"/>
  <c r="M88" i="2" s="1"/>
  <c r="I81" i="1"/>
  <c r="E81" i="1"/>
  <c r="M32" i="2" s="1"/>
  <c r="P81" i="1"/>
  <c r="M109" i="2" s="1"/>
  <c r="L81" i="1"/>
  <c r="M81" i="2" s="1"/>
  <c r="H81" i="1"/>
  <c r="M53" i="2" s="1"/>
  <c r="B9" i="13" s="1"/>
  <c r="D81" i="1"/>
  <c r="M25" i="2" s="1"/>
  <c r="AB81" i="1"/>
  <c r="AA81" i="1"/>
  <c r="M186" i="2" s="1"/>
  <c r="Z81" i="1"/>
  <c r="M179" i="2" s="1"/>
  <c r="Y81" i="1"/>
  <c r="M172" i="2" s="1"/>
  <c r="X81" i="1"/>
  <c r="M165" i="2" s="1"/>
  <c r="W81" i="1"/>
  <c r="M158" i="2" s="1"/>
  <c r="R81" i="1"/>
  <c r="M123" i="2" s="1"/>
  <c r="B19" i="13" s="1"/>
  <c r="V81" i="1"/>
  <c r="M151" i="2" s="1"/>
  <c r="U81" i="1"/>
  <c r="M144" i="2" s="1"/>
  <c r="T81" i="1"/>
  <c r="M137" i="2" s="1"/>
  <c r="S81" i="1"/>
  <c r="M200" i="2" l="1"/>
  <c r="B30" i="13" s="1"/>
  <c r="M60" i="2"/>
  <c r="B10" i="13" s="1"/>
  <c r="B11" i="13"/>
  <c r="M130" i="2"/>
  <c r="B20" i="13" s="1"/>
  <c r="B27" i="13"/>
  <c r="B26" i="13"/>
  <c r="B24" i="13"/>
  <c r="B23" i="13"/>
  <c r="M46" i="2"/>
  <c r="B8" i="13" s="1"/>
  <c r="B25" i="13"/>
  <c r="B17" i="13"/>
  <c r="B6" i="13"/>
  <c r="B7" i="13"/>
  <c r="B5" i="13"/>
  <c r="B4" i="13"/>
  <c r="G29" i="13"/>
  <c r="G8" i="13" l="1"/>
  <c r="G7" i="13"/>
  <c r="AP44" i="3" l="1"/>
  <c r="V8" i="4" s="1"/>
  <c r="C238" i="2" l="1"/>
  <c r="B3" i="13" l="1"/>
  <c r="T32" i="3" l="1"/>
  <c r="D61" i="2" s="1"/>
  <c r="G25" i="13" l="1"/>
  <c r="G24" i="13" l="1"/>
  <c r="G21" i="13" l="1"/>
  <c r="G20" i="13" l="1"/>
  <c r="G19" i="13" l="1"/>
  <c r="G17" i="13" l="1"/>
  <c r="G14" i="13" l="1"/>
  <c r="G13" i="13" l="1"/>
  <c r="G12" i="13" l="1"/>
  <c r="G9" i="13" l="1"/>
  <c r="G6" i="13" l="1"/>
  <c r="G5" i="13" l="1"/>
  <c r="G4" i="13" l="1"/>
  <c r="G30" i="13" l="1"/>
  <c r="G23" i="13"/>
  <c r="G22" i="13"/>
  <c r="G15" i="13" l="1"/>
  <c r="G16" i="13"/>
  <c r="G27" i="13" l="1"/>
  <c r="G28" i="13" l="1"/>
  <c r="G18" i="13" l="1"/>
  <c r="G26" i="13" l="1"/>
  <c r="G34" i="13" s="1"/>
  <c r="B238" i="2"/>
  <c r="V34" i="3"/>
  <c r="D70" i="2" s="1"/>
  <c r="BF53" i="3"/>
  <c r="AV53" i="3"/>
  <c r="AT53" i="3"/>
  <c r="AR53" i="3"/>
  <c r="AP53" i="3"/>
  <c r="AJ53" i="3"/>
  <c r="AH53" i="3"/>
  <c r="AB53" i="3"/>
  <c r="Z53" i="3"/>
  <c r="X53" i="3"/>
  <c r="V53" i="3"/>
  <c r="T53" i="3"/>
  <c r="K21" i="4" s="1"/>
  <c r="R53" i="3"/>
  <c r="J21" i="4" s="1"/>
  <c r="P53" i="3"/>
  <c r="I21" i="4" s="1"/>
  <c r="N53" i="3"/>
  <c r="H21" i="4" s="1"/>
  <c r="L53" i="3"/>
  <c r="J53" i="3"/>
  <c r="H53" i="3"/>
  <c r="F53" i="3"/>
  <c r="BF45" i="3"/>
  <c r="AD9" i="4" s="1"/>
  <c r="AC9" i="4"/>
  <c r="Z9" i="4"/>
  <c r="AV45" i="3"/>
  <c r="Y9" i="4" s="1"/>
  <c r="AT45" i="3"/>
  <c r="X9" i="4" s="1"/>
  <c r="AR45" i="3"/>
  <c r="W9" i="4" s="1"/>
  <c r="AP45" i="3"/>
  <c r="V9" i="4" s="1"/>
  <c r="AJ45" i="3"/>
  <c r="S9" i="4" s="1"/>
  <c r="AH45" i="3"/>
  <c r="R9" i="4" s="1"/>
  <c r="Q9" i="4"/>
  <c r="P9" i="4"/>
  <c r="AB45" i="3"/>
  <c r="O9" i="4" s="1"/>
  <c r="Z45" i="3"/>
  <c r="N9" i="4" s="1"/>
  <c r="X45" i="3"/>
  <c r="M9" i="4" s="1"/>
  <c r="V45" i="3"/>
  <c r="L9" i="4" s="1"/>
  <c r="T45" i="3"/>
  <c r="K9" i="4" s="1"/>
  <c r="R45" i="3"/>
  <c r="J9" i="4" s="1"/>
  <c r="P45" i="3"/>
  <c r="I9" i="4" s="1"/>
  <c r="N45" i="3"/>
  <c r="H9" i="4" s="1"/>
  <c r="L45" i="3"/>
  <c r="G9" i="4" s="1"/>
  <c r="J45" i="3"/>
  <c r="F9" i="4" s="1"/>
  <c r="H45" i="3"/>
  <c r="E9" i="4" s="1"/>
  <c r="F45" i="3"/>
  <c r="D9" i="4" s="1"/>
  <c r="C9" i="4"/>
  <c r="BG36" i="3"/>
  <c r="E198" i="2" s="1"/>
  <c r="BF36" i="3"/>
  <c r="D198" i="2" s="1"/>
  <c r="E184" i="2"/>
  <c r="D184" i="2"/>
  <c r="AW36" i="3"/>
  <c r="E163" i="2" s="1"/>
  <c r="AV36" i="3"/>
  <c r="D163" i="2" s="1"/>
  <c r="AU36" i="3"/>
  <c r="E156" i="2" s="1"/>
  <c r="AT36" i="3"/>
  <c r="D156" i="2" s="1"/>
  <c r="AS36" i="3"/>
  <c r="E149" i="2" s="1"/>
  <c r="AR36" i="3"/>
  <c r="D149" i="2" s="1"/>
  <c r="AQ36" i="3"/>
  <c r="E142" i="2" s="1"/>
  <c r="AP36" i="3"/>
  <c r="D142" i="2" s="1"/>
  <c r="E135" i="2"/>
  <c r="D135" i="2"/>
  <c r="E128" i="2"/>
  <c r="D128" i="2"/>
  <c r="AK36" i="3"/>
  <c r="E121" i="2" s="1"/>
  <c r="D121" i="2"/>
  <c r="AI36" i="3"/>
  <c r="E114" i="2" s="1"/>
  <c r="AH36" i="3"/>
  <c r="D114" i="2" s="1"/>
  <c r="E107" i="2"/>
  <c r="D107" i="2"/>
  <c r="AC36" i="3"/>
  <c r="E93" i="2" s="1"/>
  <c r="AB36" i="3"/>
  <c r="D93" i="2" s="1"/>
  <c r="AA36" i="3"/>
  <c r="E86" i="2" s="1"/>
  <c r="Z36" i="3"/>
  <c r="D86" i="2" s="1"/>
  <c r="Y36" i="3"/>
  <c r="E79" i="2" s="1"/>
  <c r="X36" i="3"/>
  <c r="D79" i="2" s="1"/>
  <c r="W36" i="3"/>
  <c r="E72" i="2" s="1"/>
  <c r="V36" i="3"/>
  <c r="D72" i="2" s="1"/>
  <c r="U36" i="3"/>
  <c r="E65" i="2" s="1"/>
  <c r="T36" i="3"/>
  <c r="D65" i="2" s="1"/>
  <c r="S36" i="3"/>
  <c r="E58" i="2" s="1"/>
  <c r="Q36" i="3"/>
  <c r="E51" i="2" s="1"/>
  <c r="P36" i="3"/>
  <c r="D51" i="2" s="1"/>
  <c r="O36" i="3"/>
  <c r="E44" i="2" s="1"/>
  <c r="N36" i="3"/>
  <c r="D44" i="2" s="1"/>
  <c r="M36" i="3"/>
  <c r="E37" i="2" s="1"/>
  <c r="L36" i="3"/>
  <c r="D37" i="2" s="1"/>
  <c r="K36" i="3"/>
  <c r="E30" i="2" s="1"/>
  <c r="J36" i="3"/>
  <c r="D30" i="2" s="1"/>
  <c r="I36" i="3"/>
  <c r="E23" i="2" s="1"/>
  <c r="H36" i="3"/>
  <c r="D23" i="2" s="1"/>
  <c r="G36" i="3"/>
  <c r="E16" i="2" s="1"/>
  <c r="F36" i="3"/>
  <c r="D16" i="2" s="1"/>
  <c r="D132" i="2"/>
  <c r="E132" i="2"/>
  <c r="D133" i="2"/>
  <c r="E133" i="2"/>
  <c r="D134" i="2"/>
  <c r="E134" i="2"/>
  <c r="D136" i="2"/>
  <c r="E136" i="2"/>
  <c r="L32" i="3"/>
  <c r="D33" i="2" s="1"/>
  <c r="L33" i="3"/>
  <c r="D34" i="2" s="1"/>
  <c r="L34" i="3"/>
  <c r="D35" i="2" s="1"/>
  <c r="L35" i="3"/>
  <c r="D36" i="2" s="1"/>
  <c r="L37" i="3"/>
  <c r="D38" i="2" s="1"/>
  <c r="L41" i="3"/>
  <c r="BG33" i="3"/>
  <c r="E195" i="2" s="1"/>
  <c r="BF33" i="3"/>
  <c r="D195" i="2" s="1"/>
  <c r="A12" i="2"/>
  <c r="A19" i="2" s="1"/>
  <c r="A26" i="2" s="1"/>
  <c r="A33" i="2" s="1"/>
  <c r="A40" i="2" s="1"/>
  <c r="AV32" i="3"/>
  <c r="D159" i="2" s="1"/>
  <c r="AB46" i="3"/>
  <c r="O10" i="4" s="1"/>
  <c r="AB44" i="3"/>
  <c r="O8" i="4" s="1"/>
  <c r="AB43" i="3"/>
  <c r="O7" i="4" s="1"/>
  <c r="AB42" i="3"/>
  <c r="O6" i="4" s="1"/>
  <c r="Z54" i="3"/>
  <c r="N20" i="4" s="1"/>
  <c r="Z52" i="3"/>
  <c r="N19" i="4" s="1"/>
  <c r="Z51" i="3"/>
  <c r="N18" i="4" s="1"/>
  <c r="Z50" i="3"/>
  <c r="N17" i="4" s="1"/>
  <c r="Z49" i="3"/>
  <c r="N16" i="4" s="1"/>
  <c r="Z46" i="3"/>
  <c r="N10" i="4" s="1"/>
  <c r="Z44" i="3"/>
  <c r="N8" i="4" s="1"/>
  <c r="Z43" i="3"/>
  <c r="N7" i="4" s="1"/>
  <c r="Z42" i="3"/>
  <c r="N6" i="4" s="1"/>
  <c r="Z41" i="3"/>
  <c r="N5" i="4" s="1"/>
  <c r="T49" i="3"/>
  <c r="K16" i="4" s="1"/>
  <c r="AB54" i="3"/>
  <c r="O20" i="4" s="1"/>
  <c r="AB52" i="3"/>
  <c r="O19" i="4" s="1"/>
  <c r="AB51" i="3"/>
  <c r="O18" i="4" s="1"/>
  <c r="AB50" i="3"/>
  <c r="O17" i="4" s="1"/>
  <c r="AB49" i="3"/>
  <c r="O16" i="4" s="1"/>
  <c r="AC37" i="3"/>
  <c r="E94" i="2" s="1"/>
  <c r="AB37" i="3"/>
  <c r="D94" i="2" s="1"/>
  <c r="AC35" i="3"/>
  <c r="E92" i="2" s="1"/>
  <c r="AB35" i="3"/>
  <c r="D92" i="2" s="1"/>
  <c r="AC34" i="3"/>
  <c r="E91" i="2" s="1"/>
  <c r="AB34" i="3"/>
  <c r="D91" i="2" s="1"/>
  <c r="AC33" i="3"/>
  <c r="E90" i="2" s="1"/>
  <c r="AB33" i="3"/>
  <c r="D90" i="2" s="1"/>
  <c r="AC32" i="3"/>
  <c r="E89" i="2" s="1"/>
  <c r="AB32" i="3"/>
  <c r="D89" i="2" s="1"/>
  <c r="AA37" i="3"/>
  <c r="E87" i="2" s="1"/>
  <c r="Z37" i="3"/>
  <c r="D87" i="2" s="1"/>
  <c r="AA35" i="3"/>
  <c r="E85" i="2" s="1"/>
  <c r="Z35" i="3"/>
  <c r="D85" i="2" s="1"/>
  <c r="AA34" i="3"/>
  <c r="E84" i="2" s="1"/>
  <c r="Z34" i="3"/>
  <c r="D84" i="2" s="1"/>
  <c r="AA33" i="3"/>
  <c r="E83" i="2" s="1"/>
  <c r="Z33" i="3"/>
  <c r="D83" i="2" s="1"/>
  <c r="AA32" i="3"/>
  <c r="Z32" i="3"/>
  <c r="AB41" i="3"/>
  <c r="O5" i="4" s="1"/>
  <c r="AC20" i="4"/>
  <c r="AC19" i="4"/>
  <c r="AC18" i="4"/>
  <c r="AC17" i="4"/>
  <c r="AC16" i="4"/>
  <c r="AC10" i="4"/>
  <c r="AC8" i="4"/>
  <c r="AC7" i="4"/>
  <c r="AC6" i="4"/>
  <c r="AC5" i="4"/>
  <c r="AB20" i="4"/>
  <c r="AB19" i="4"/>
  <c r="AB18" i="4"/>
  <c r="AB17" i="4"/>
  <c r="AB16" i="4"/>
  <c r="AB8" i="4"/>
  <c r="AB7" i="4"/>
  <c r="AB6" i="4"/>
  <c r="AB5" i="4"/>
  <c r="E185" i="2"/>
  <c r="D185" i="2"/>
  <c r="E183" i="2"/>
  <c r="D183" i="2"/>
  <c r="E182" i="2"/>
  <c r="D182" i="2"/>
  <c r="E181" i="2"/>
  <c r="D181" i="2"/>
  <c r="AP32" i="3"/>
  <c r="D138" i="2" s="1"/>
  <c r="BF54" i="3"/>
  <c r="AA20" i="4"/>
  <c r="Z20" i="4"/>
  <c r="AV54" i="3"/>
  <c r="Y20" i="4" s="1"/>
  <c r="AT54" i="3"/>
  <c r="X20" i="4" s="1"/>
  <c r="AR54" i="3"/>
  <c r="W20" i="4" s="1"/>
  <c r="AP54" i="3"/>
  <c r="V20" i="4" s="1"/>
  <c r="U20" i="4"/>
  <c r="T20" i="4"/>
  <c r="AJ54" i="3"/>
  <c r="S20" i="4" s="1"/>
  <c r="AH54" i="3"/>
  <c r="R20" i="4" s="1"/>
  <c r="Q20" i="4"/>
  <c r="P20" i="4"/>
  <c r="X54" i="3"/>
  <c r="M20" i="4" s="1"/>
  <c r="V54" i="3"/>
  <c r="L20" i="4" s="1"/>
  <c r="T54" i="3"/>
  <c r="K20" i="4" s="1"/>
  <c r="R54" i="3"/>
  <c r="J20" i="4" s="1"/>
  <c r="P54" i="3"/>
  <c r="I20" i="4" s="1"/>
  <c r="N54" i="3"/>
  <c r="H20" i="4" s="1"/>
  <c r="L54" i="3"/>
  <c r="G20" i="4" s="1"/>
  <c r="J54" i="3"/>
  <c r="F20" i="4" s="1"/>
  <c r="H54" i="3"/>
  <c r="E20" i="4" s="1"/>
  <c r="F54" i="3"/>
  <c r="D20" i="4" s="1"/>
  <c r="C20" i="4"/>
  <c r="BF52" i="3"/>
  <c r="AA19" i="4"/>
  <c r="Z19" i="4"/>
  <c r="AV52" i="3"/>
  <c r="Y19" i="4" s="1"/>
  <c r="AT52" i="3"/>
  <c r="X19" i="4" s="1"/>
  <c r="AR52" i="3"/>
  <c r="W19" i="4" s="1"/>
  <c r="AP52" i="3"/>
  <c r="V19" i="4" s="1"/>
  <c r="U19" i="4"/>
  <c r="T19" i="4"/>
  <c r="AJ52" i="3"/>
  <c r="S19" i="4" s="1"/>
  <c r="AH52" i="3"/>
  <c r="R19" i="4" s="1"/>
  <c r="Q19" i="4"/>
  <c r="P19" i="4"/>
  <c r="X52" i="3"/>
  <c r="M19" i="4" s="1"/>
  <c r="V52" i="3"/>
  <c r="L19" i="4" s="1"/>
  <c r="T52" i="3"/>
  <c r="K19" i="4" s="1"/>
  <c r="R52" i="3"/>
  <c r="J19" i="4" s="1"/>
  <c r="P52" i="3"/>
  <c r="I19" i="4" s="1"/>
  <c r="N52" i="3"/>
  <c r="H19" i="4" s="1"/>
  <c r="L52" i="3"/>
  <c r="G19" i="4" s="1"/>
  <c r="J52" i="3"/>
  <c r="F19" i="4" s="1"/>
  <c r="H52" i="3"/>
  <c r="E19" i="4" s="1"/>
  <c r="F52" i="3"/>
  <c r="C19" i="4"/>
  <c r="BF51" i="3"/>
  <c r="AA18" i="4"/>
  <c r="Z18" i="4"/>
  <c r="AV51" i="3"/>
  <c r="Y18" i="4" s="1"/>
  <c r="AT51" i="3"/>
  <c r="X18" i="4" s="1"/>
  <c r="AR51" i="3"/>
  <c r="W18" i="4" s="1"/>
  <c r="AP51" i="3"/>
  <c r="V18" i="4" s="1"/>
  <c r="U18" i="4"/>
  <c r="T18" i="4"/>
  <c r="AJ51" i="3"/>
  <c r="S18" i="4" s="1"/>
  <c r="AH51" i="3"/>
  <c r="R18" i="4" s="1"/>
  <c r="Q18" i="4"/>
  <c r="P18" i="4"/>
  <c r="X51" i="3"/>
  <c r="M18" i="4" s="1"/>
  <c r="V51" i="3"/>
  <c r="L18" i="4" s="1"/>
  <c r="T51" i="3"/>
  <c r="K18" i="4" s="1"/>
  <c r="R51" i="3"/>
  <c r="J18" i="4" s="1"/>
  <c r="P51" i="3"/>
  <c r="I18" i="4" s="1"/>
  <c r="N51" i="3"/>
  <c r="H18" i="4" s="1"/>
  <c r="L51" i="3"/>
  <c r="G18" i="4" s="1"/>
  <c r="J51" i="3"/>
  <c r="F18" i="4" s="1"/>
  <c r="H51" i="3"/>
  <c r="E18" i="4" s="1"/>
  <c r="F51" i="3"/>
  <c r="C18" i="4"/>
  <c r="BF50" i="3"/>
  <c r="AD17" i="4" s="1"/>
  <c r="AA17" i="4"/>
  <c r="Z17" i="4"/>
  <c r="AV50" i="3"/>
  <c r="Y17" i="4" s="1"/>
  <c r="X17" i="4"/>
  <c r="AR50" i="3"/>
  <c r="W17" i="4" s="1"/>
  <c r="AP50" i="3"/>
  <c r="V17" i="4" s="1"/>
  <c r="U17" i="4"/>
  <c r="T17" i="4"/>
  <c r="AJ50" i="3"/>
  <c r="S17" i="4" s="1"/>
  <c r="AH50" i="3"/>
  <c r="R17" i="4" s="1"/>
  <c r="Q17" i="4"/>
  <c r="P17" i="4"/>
  <c r="X50" i="3"/>
  <c r="M17" i="4" s="1"/>
  <c r="V50" i="3"/>
  <c r="L17" i="4" s="1"/>
  <c r="T50" i="3"/>
  <c r="K17" i="4" s="1"/>
  <c r="R50" i="3"/>
  <c r="J17" i="4" s="1"/>
  <c r="P50" i="3"/>
  <c r="I17" i="4" s="1"/>
  <c r="N50" i="3"/>
  <c r="H17" i="4" s="1"/>
  <c r="L50" i="3"/>
  <c r="G17" i="4" s="1"/>
  <c r="J50" i="3"/>
  <c r="F17" i="4" s="1"/>
  <c r="H50" i="3"/>
  <c r="E17" i="4" s="1"/>
  <c r="F50" i="3"/>
  <c r="D17" i="4" s="1"/>
  <c r="C17" i="4"/>
  <c r="BF49" i="3"/>
  <c r="AA16" i="4"/>
  <c r="Z16" i="4"/>
  <c r="AV49" i="3"/>
  <c r="Y16" i="4" s="1"/>
  <c r="X16" i="4"/>
  <c r="AR49" i="3"/>
  <c r="W16" i="4" s="1"/>
  <c r="AP49" i="3"/>
  <c r="V16" i="4" s="1"/>
  <c r="U16" i="4"/>
  <c r="U38" i="4" s="1"/>
  <c r="T16" i="4"/>
  <c r="AJ49" i="3"/>
  <c r="S16" i="4" s="1"/>
  <c r="AH49" i="3"/>
  <c r="R16" i="4" s="1"/>
  <c r="Q16" i="4"/>
  <c r="P16" i="4"/>
  <c r="P38" i="4" s="1"/>
  <c r="X49" i="3"/>
  <c r="M16" i="4" s="1"/>
  <c r="V49" i="3"/>
  <c r="L16" i="4" s="1"/>
  <c r="R49" i="3"/>
  <c r="J16" i="4" s="1"/>
  <c r="P49" i="3"/>
  <c r="N49" i="3"/>
  <c r="L49" i="3"/>
  <c r="J49" i="3"/>
  <c r="F16" i="4" s="1"/>
  <c r="H49" i="3"/>
  <c r="E16" i="4" s="1"/>
  <c r="F49" i="3"/>
  <c r="D16" i="4" s="1"/>
  <c r="C16" i="4"/>
  <c r="BF46" i="3"/>
  <c r="AD10" i="4" s="1"/>
  <c r="Z10" i="4"/>
  <c r="AV46" i="3"/>
  <c r="Y10" i="4" s="1"/>
  <c r="AT46" i="3"/>
  <c r="X10" i="4" s="1"/>
  <c r="AR46" i="3"/>
  <c r="W10" i="4" s="1"/>
  <c r="AP46" i="3"/>
  <c r="V10" i="4" s="1"/>
  <c r="AJ46" i="3"/>
  <c r="S10" i="4" s="1"/>
  <c r="AH46" i="3"/>
  <c r="R10" i="4" s="1"/>
  <c r="Q10" i="4"/>
  <c r="P10" i="4"/>
  <c r="X46" i="3"/>
  <c r="M10" i="4" s="1"/>
  <c r="V46" i="3"/>
  <c r="L10" i="4" s="1"/>
  <c r="T46" i="3"/>
  <c r="K10" i="4" s="1"/>
  <c r="R46" i="3"/>
  <c r="J10" i="4" s="1"/>
  <c r="P46" i="3"/>
  <c r="N46" i="3"/>
  <c r="L46" i="3"/>
  <c r="J46" i="3"/>
  <c r="F10" i="4" s="1"/>
  <c r="H46" i="3"/>
  <c r="E10" i="4" s="1"/>
  <c r="F46" i="3"/>
  <c r="D10" i="4" s="1"/>
  <c r="C10" i="4"/>
  <c r="BF44" i="3"/>
  <c r="AA8" i="4"/>
  <c r="Z8" i="4"/>
  <c r="AV44" i="3"/>
  <c r="Y8" i="4" s="1"/>
  <c r="AT44" i="3"/>
  <c r="X8" i="4" s="1"/>
  <c r="AR44" i="3"/>
  <c r="W8" i="4" s="1"/>
  <c r="U8" i="4"/>
  <c r="T8" i="4"/>
  <c r="AJ44" i="3"/>
  <c r="S8" i="4" s="1"/>
  <c r="AH44" i="3"/>
  <c r="R8" i="4" s="1"/>
  <c r="Q8" i="4"/>
  <c r="P8" i="4"/>
  <c r="X44" i="3"/>
  <c r="M8" i="4" s="1"/>
  <c r="V44" i="3"/>
  <c r="L8" i="4" s="1"/>
  <c r="T44" i="3"/>
  <c r="K8" i="4" s="1"/>
  <c r="R44" i="3"/>
  <c r="J8" i="4" s="1"/>
  <c r="P44" i="3"/>
  <c r="N44" i="3"/>
  <c r="L44" i="3"/>
  <c r="J44" i="3"/>
  <c r="F8" i="4" s="1"/>
  <c r="H44" i="3"/>
  <c r="E8" i="4" s="1"/>
  <c r="F44" i="3"/>
  <c r="D8" i="4" s="1"/>
  <c r="C8" i="4"/>
  <c r="BF43" i="3"/>
  <c r="AA7" i="4"/>
  <c r="Z7" i="4"/>
  <c r="AV43" i="3"/>
  <c r="Y7" i="4" s="1"/>
  <c r="AT43" i="3"/>
  <c r="X7" i="4" s="1"/>
  <c r="AR43" i="3"/>
  <c r="W7" i="4" s="1"/>
  <c r="AP43" i="3"/>
  <c r="V7" i="4" s="1"/>
  <c r="U7" i="4"/>
  <c r="T7" i="4"/>
  <c r="AJ43" i="3"/>
  <c r="S7" i="4" s="1"/>
  <c r="AH43" i="3"/>
  <c r="R7" i="4" s="1"/>
  <c r="Q7" i="4"/>
  <c r="P7" i="4"/>
  <c r="X43" i="3"/>
  <c r="M7" i="4" s="1"/>
  <c r="V43" i="3"/>
  <c r="L7" i="4" s="1"/>
  <c r="T43" i="3"/>
  <c r="K7" i="4" s="1"/>
  <c r="R43" i="3"/>
  <c r="J7" i="4" s="1"/>
  <c r="P43" i="3"/>
  <c r="N43" i="3"/>
  <c r="L43" i="3"/>
  <c r="J43" i="3"/>
  <c r="F7" i="4" s="1"/>
  <c r="H43" i="3"/>
  <c r="E7" i="4" s="1"/>
  <c r="F43" i="3"/>
  <c r="D7" i="4" s="1"/>
  <c r="C7" i="4"/>
  <c r="BF42" i="3"/>
  <c r="AA6" i="4"/>
  <c r="Z6" i="4"/>
  <c r="AV42" i="3"/>
  <c r="Y6" i="4" s="1"/>
  <c r="X6" i="4"/>
  <c r="AR42" i="3"/>
  <c r="W6" i="4" s="1"/>
  <c r="AP42" i="3"/>
  <c r="V6" i="4" s="1"/>
  <c r="U6" i="4"/>
  <c r="T6" i="4"/>
  <c r="AJ42" i="3"/>
  <c r="S6" i="4" s="1"/>
  <c r="AH42" i="3"/>
  <c r="R6" i="4" s="1"/>
  <c r="Q6" i="4"/>
  <c r="P6" i="4"/>
  <c r="X42" i="3"/>
  <c r="M6" i="4" s="1"/>
  <c r="V42" i="3"/>
  <c r="L6" i="4" s="1"/>
  <c r="T42" i="3"/>
  <c r="K6" i="4" s="1"/>
  <c r="R42" i="3"/>
  <c r="J6" i="4" s="1"/>
  <c r="P42" i="3"/>
  <c r="N42" i="3"/>
  <c r="L42" i="3"/>
  <c r="J42" i="3"/>
  <c r="F6" i="4" s="1"/>
  <c r="H42" i="3"/>
  <c r="E6" i="4" s="1"/>
  <c r="F42" i="3"/>
  <c r="D6" i="4" s="1"/>
  <c r="C6" i="4"/>
  <c r="BF41" i="3"/>
  <c r="AA5" i="4"/>
  <c r="Z5" i="4"/>
  <c r="AV41" i="3"/>
  <c r="Y5" i="4" s="1"/>
  <c r="X5" i="4"/>
  <c r="AR41" i="3"/>
  <c r="W5" i="4" s="1"/>
  <c r="AP41" i="3"/>
  <c r="V5" i="4" s="1"/>
  <c r="U5" i="4"/>
  <c r="T5" i="4"/>
  <c r="AJ41" i="3"/>
  <c r="S5" i="4" s="1"/>
  <c r="AH41" i="3"/>
  <c r="R5" i="4" s="1"/>
  <c r="Q5" i="4"/>
  <c r="P5" i="4"/>
  <c r="X41" i="3"/>
  <c r="M5" i="4" s="1"/>
  <c r="V41" i="3"/>
  <c r="L5" i="4" s="1"/>
  <c r="T41" i="3"/>
  <c r="K5" i="4" s="1"/>
  <c r="R41" i="3"/>
  <c r="J5" i="4" s="1"/>
  <c r="P41" i="3"/>
  <c r="N41" i="3"/>
  <c r="J41" i="3"/>
  <c r="F5" i="4" s="1"/>
  <c r="H41" i="3"/>
  <c r="E5" i="4" s="1"/>
  <c r="F41" i="3"/>
  <c r="D5" i="4" s="1"/>
  <c r="C5" i="4"/>
  <c r="BG37" i="3"/>
  <c r="E199" i="2" s="1"/>
  <c r="BF37" i="3"/>
  <c r="D199" i="2" s="1"/>
  <c r="AW37" i="3"/>
  <c r="E164" i="2" s="1"/>
  <c r="AV37" i="3"/>
  <c r="D164" i="2" s="1"/>
  <c r="AU37" i="3"/>
  <c r="E157" i="2" s="1"/>
  <c r="AT37" i="3"/>
  <c r="D157" i="2" s="1"/>
  <c r="AS37" i="3"/>
  <c r="E150" i="2" s="1"/>
  <c r="AR37" i="3"/>
  <c r="D150" i="2" s="1"/>
  <c r="AQ37" i="3"/>
  <c r="E143" i="2" s="1"/>
  <c r="AP37" i="3"/>
  <c r="D143" i="2" s="1"/>
  <c r="E129" i="2"/>
  <c r="D129" i="2"/>
  <c r="AK37" i="3"/>
  <c r="D122" i="2"/>
  <c r="AI37" i="3"/>
  <c r="E115" i="2" s="1"/>
  <c r="AH37" i="3"/>
  <c r="D115" i="2" s="1"/>
  <c r="E108" i="2"/>
  <c r="D108" i="2"/>
  <c r="Y37" i="3"/>
  <c r="E80" i="2" s="1"/>
  <c r="X37" i="3"/>
  <c r="D80" i="2" s="1"/>
  <c r="W37" i="3"/>
  <c r="E73" i="2" s="1"/>
  <c r="V37" i="3"/>
  <c r="D73" i="2" s="1"/>
  <c r="U37" i="3"/>
  <c r="E66" i="2" s="1"/>
  <c r="T37" i="3"/>
  <c r="D66" i="2" s="1"/>
  <c r="S37" i="3"/>
  <c r="E59" i="2" s="1"/>
  <c r="Q37" i="3"/>
  <c r="E52" i="2" s="1"/>
  <c r="P37" i="3"/>
  <c r="D52" i="2" s="1"/>
  <c r="O37" i="3"/>
  <c r="E45" i="2" s="1"/>
  <c r="N37" i="3"/>
  <c r="D45" i="2" s="1"/>
  <c r="M37" i="3"/>
  <c r="E38" i="2" s="1"/>
  <c r="K37" i="3"/>
  <c r="E31" i="2" s="1"/>
  <c r="J37" i="3"/>
  <c r="D31" i="2" s="1"/>
  <c r="I37" i="3"/>
  <c r="E24" i="2" s="1"/>
  <c r="H37" i="3"/>
  <c r="D24" i="2" s="1"/>
  <c r="G37" i="3"/>
  <c r="E17" i="2" s="1"/>
  <c r="F37" i="3"/>
  <c r="D17" i="2" s="1"/>
  <c r="BG35" i="3"/>
  <c r="E197" i="2" s="1"/>
  <c r="BF35" i="3"/>
  <c r="D197" i="2" s="1"/>
  <c r="AW35" i="3"/>
  <c r="E162" i="2" s="1"/>
  <c r="AV35" i="3"/>
  <c r="D162" i="2" s="1"/>
  <c r="AU35" i="3"/>
  <c r="E155" i="2" s="1"/>
  <c r="AT35" i="3"/>
  <c r="D155" i="2" s="1"/>
  <c r="AS35" i="3"/>
  <c r="E148" i="2" s="1"/>
  <c r="AR35" i="3"/>
  <c r="D148" i="2" s="1"/>
  <c r="AQ35" i="3"/>
  <c r="E141" i="2" s="1"/>
  <c r="AP35" i="3"/>
  <c r="D141" i="2" s="1"/>
  <c r="E127" i="2"/>
  <c r="D127" i="2"/>
  <c r="AK35" i="3"/>
  <c r="E120" i="2" s="1"/>
  <c r="D120" i="2"/>
  <c r="AI35" i="3"/>
  <c r="E113" i="2" s="1"/>
  <c r="AH35" i="3"/>
  <c r="D113" i="2" s="1"/>
  <c r="E106" i="2"/>
  <c r="D106" i="2"/>
  <c r="Y35" i="3"/>
  <c r="E78" i="2" s="1"/>
  <c r="X35" i="3"/>
  <c r="D78" i="2" s="1"/>
  <c r="W35" i="3"/>
  <c r="E71" i="2" s="1"/>
  <c r="V35" i="3"/>
  <c r="D71" i="2" s="1"/>
  <c r="E64" i="2"/>
  <c r="T35" i="3"/>
  <c r="D64" i="2" s="1"/>
  <c r="S35" i="3"/>
  <c r="E57" i="2" s="1"/>
  <c r="Q35" i="3"/>
  <c r="E50" i="2" s="1"/>
  <c r="P35" i="3"/>
  <c r="D50" i="2" s="1"/>
  <c r="O35" i="3"/>
  <c r="E43" i="2" s="1"/>
  <c r="N35" i="3"/>
  <c r="D43" i="2" s="1"/>
  <c r="M35" i="3"/>
  <c r="E36" i="2" s="1"/>
  <c r="H36" i="2" s="1"/>
  <c r="K35" i="3"/>
  <c r="E29" i="2" s="1"/>
  <c r="J35" i="3"/>
  <c r="D29" i="2" s="1"/>
  <c r="I35" i="3"/>
  <c r="E22" i="2" s="1"/>
  <c r="H35" i="3"/>
  <c r="D22" i="2" s="1"/>
  <c r="G35" i="3"/>
  <c r="E15" i="2" s="1"/>
  <c r="F35" i="3"/>
  <c r="D15" i="2" s="1"/>
  <c r="BG34" i="3"/>
  <c r="E196" i="2" s="1"/>
  <c r="AW34" i="3"/>
  <c r="E161" i="2" s="1"/>
  <c r="AV34" i="3"/>
  <c r="D161" i="2" s="1"/>
  <c r="AU34" i="3"/>
  <c r="E154" i="2" s="1"/>
  <c r="AT34" i="3"/>
  <c r="AS34" i="3"/>
  <c r="E147" i="2" s="1"/>
  <c r="AR34" i="3"/>
  <c r="D147" i="2" s="1"/>
  <c r="AQ34" i="3"/>
  <c r="E140" i="2" s="1"/>
  <c r="AP34" i="3"/>
  <c r="D140" i="2" s="1"/>
  <c r="E126" i="2"/>
  <c r="D126" i="2"/>
  <c r="AK34" i="3"/>
  <c r="E119" i="2" s="1"/>
  <c r="D119" i="2"/>
  <c r="AI34" i="3"/>
  <c r="E112" i="2" s="1"/>
  <c r="AH34" i="3"/>
  <c r="D112" i="2" s="1"/>
  <c r="E105" i="2"/>
  <c r="D105" i="2"/>
  <c r="Y34" i="3"/>
  <c r="E77" i="2" s="1"/>
  <c r="X34" i="3"/>
  <c r="D77" i="2" s="1"/>
  <c r="W34" i="3"/>
  <c r="E70" i="2" s="1"/>
  <c r="U34" i="3"/>
  <c r="E63" i="2" s="1"/>
  <c r="T34" i="3"/>
  <c r="D63" i="2" s="1"/>
  <c r="S34" i="3"/>
  <c r="E56" i="2" s="1"/>
  <c r="Q34" i="3"/>
  <c r="E49" i="2" s="1"/>
  <c r="P34" i="3"/>
  <c r="D49" i="2" s="1"/>
  <c r="O34" i="3"/>
  <c r="E42" i="2" s="1"/>
  <c r="N34" i="3"/>
  <c r="D42" i="2" s="1"/>
  <c r="M34" i="3"/>
  <c r="E35" i="2" s="1"/>
  <c r="K34" i="3"/>
  <c r="E28" i="2" s="1"/>
  <c r="J34" i="3"/>
  <c r="D28" i="2" s="1"/>
  <c r="I34" i="3"/>
  <c r="E21" i="2" s="1"/>
  <c r="H34" i="3"/>
  <c r="D21" i="2" s="1"/>
  <c r="G34" i="3"/>
  <c r="E14" i="2" s="1"/>
  <c r="F34" i="3"/>
  <c r="D14" i="2" s="1"/>
  <c r="AW33" i="3"/>
  <c r="E160" i="2" s="1"/>
  <c r="AV33" i="3"/>
  <c r="D160" i="2" s="1"/>
  <c r="AU33" i="3"/>
  <c r="E153" i="2" s="1"/>
  <c r="AS33" i="3"/>
  <c r="E146" i="2" s="1"/>
  <c r="AR33" i="3"/>
  <c r="D146" i="2" s="1"/>
  <c r="AQ33" i="3"/>
  <c r="E139" i="2" s="1"/>
  <c r="AP33" i="3"/>
  <c r="D139" i="2" s="1"/>
  <c r="E125" i="2"/>
  <c r="D125" i="2"/>
  <c r="AK33" i="3"/>
  <c r="E118" i="2" s="1"/>
  <c r="D118" i="2"/>
  <c r="AI33" i="3"/>
  <c r="E111" i="2" s="1"/>
  <c r="AH33" i="3"/>
  <c r="D111" i="2" s="1"/>
  <c r="E104" i="2"/>
  <c r="D104" i="2"/>
  <c r="Y33" i="3"/>
  <c r="E76" i="2" s="1"/>
  <c r="X33" i="3"/>
  <c r="D76" i="2" s="1"/>
  <c r="W33" i="3"/>
  <c r="E69" i="2" s="1"/>
  <c r="V33" i="3"/>
  <c r="D69" i="2" s="1"/>
  <c r="E62" i="2"/>
  <c r="T33" i="3"/>
  <c r="D62" i="2" s="1"/>
  <c r="S33" i="3"/>
  <c r="E55" i="2" s="1"/>
  <c r="Q33" i="3"/>
  <c r="E48" i="2" s="1"/>
  <c r="P33" i="3"/>
  <c r="D48" i="2" s="1"/>
  <c r="O33" i="3"/>
  <c r="E41" i="2" s="1"/>
  <c r="N33" i="3"/>
  <c r="D41" i="2" s="1"/>
  <c r="M33" i="3"/>
  <c r="E34" i="2" s="1"/>
  <c r="K33" i="3"/>
  <c r="E27" i="2" s="1"/>
  <c r="J33" i="3"/>
  <c r="D27" i="2" s="1"/>
  <c r="I33" i="3"/>
  <c r="E20" i="2" s="1"/>
  <c r="H33" i="3"/>
  <c r="D20" i="2" s="1"/>
  <c r="G33" i="3"/>
  <c r="E13" i="2" s="1"/>
  <c r="F33" i="3"/>
  <c r="D13" i="2" s="1"/>
  <c r="BG32" i="3"/>
  <c r="BF32" i="3"/>
  <c r="AW32" i="3"/>
  <c r="E159" i="2" s="1"/>
  <c r="AU32" i="3"/>
  <c r="AS32" i="3"/>
  <c r="E145" i="2" s="1"/>
  <c r="AR32" i="3"/>
  <c r="D145" i="2" s="1"/>
  <c r="AQ32" i="3"/>
  <c r="E138" i="2" s="1"/>
  <c r="E124" i="2"/>
  <c r="D124" i="2"/>
  <c r="AK32" i="3"/>
  <c r="E117" i="2" s="1"/>
  <c r="D117" i="2"/>
  <c r="AI32" i="3"/>
  <c r="E110" i="2" s="1"/>
  <c r="AH32" i="3"/>
  <c r="D110" i="2" s="1"/>
  <c r="Y32" i="3"/>
  <c r="X32" i="3"/>
  <c r="W32" i="3"/>
  <c r="V32" i="3"/>
  <c r="U32" i="3"/>
  <c r="E61" i="2" s="1"/>
  <c r="S32" i="3"/>
  <c r="E54" i="2" s="1"/>
  <c r="Q32" i="3"/>
  <c r="O32" i="3"/>
  <c r="E40" i="2" s="1"/>
  <c r="N32" i="3"/>
  <c r="D40" i="2" s="1"/>
  <c r="M32" i="3"/>
  <c r="E33" i="2" s="1"/>
  <c r="K32" i="3"/>
  <c r="J32" i="3"/>
  <c r="D26" i="2" s="1"/>
  <c r="I32" i="3"/>
  <c r="H32" i="3"/>
  <c r="D19" i="2" s="1"/>
  <c r="G32" i="3"/>
  <c r="F32" i="3"/>
  <c r="I227" i="2" l="1"/>
  <c r="H229" i="2"/>
  <c r="H231" i="2"/>
  <c r="I228" i="2"/>
  <c r="I229" i="2"/>
  <c r="H230" i="2"/>
  <c r="I230" i="2"/>
  <c r="M38" i="4"/>
  <c r="M40" i="4" s="1"/>
  <c r="T39" i="4"/>
  <c r="E46" i="2"/>
  <c r="G40" i="2"/>
  <c r="H40" i="2"/>
  <c r="D46" i="2"/>
  <c r="G43" i="2"/>
  <c r="I43" i="2" s="1"/>
  <c r="K43" i="2" s="1"/>
  <c r="H43" i="2"/>
  <c r="G45" i="2"/>
  <c r="I45" i="2" s="1"/>
  <c r="K45" i="2" s="1"/>
  <c r="H45" i="2"/>
  <c r="G42" i="2"/>
  <c r="I42" i="2" s="1"/>
  <c r="K42" i="2" s="1"/>
  <c r="H42" i="2"/>
  <c r="G44" i="2"/>
  <c r="I44" i="2" s="1"/>
  <c r="K44" i="2" s="1"/>
  <c r="H44" i="2"/>
  <c r="H41" i="2"/>
  <c r="G41" i="2"/>
  <c r="I41" i="2" s="1"/>
  <c r="K41" i="2" s="1"/>
  <c r="J36" i="2"/>
  <c r="L36" i="2"/>
  <c r="G38" i="2"/>
  <c r="I38" i="2" s="1"/>
  <c r="K38" i="2" s="1"/>
  <c r="H38" i="2"/>
  <c r="G36" i="2"/>
  <c r="I36" i="2" s="1"/>
  <c r="K36" i="2" s="1"/>
  <c r="G35" i="2"/>
  <c r="I35" i="2" s="1"/>
  <c r="K35" i="2" s="1"/>
  <c r="H35" i="2"/>
  <c r="E39" i="2"/>
  <c r="D39" i="2"/>
  <c r="H34" i="2"/>
  <c r="G34" i="2"/>
  <c r="I34" i="2" s="1"/>
  <c r="K34" i="2" s="1"/>
  <c r="G33" i="2"/>
  <c r="H33" i="2"/>
  <c r="G37" i="2"/>
  <c r="I37" i="2" s="1"/>
  <c r="K37" i="2" s="1"/>
  <c r="H37" i="2"/>
  <c r="H142" i="2"/>
  <c r="G142" i="2"/>
  <c r="I142" i="2" s="1"/>
  <c r="K142" i="2" s="1"/>
  <c r="H149" i="2"/>
  <c r="L149" i="2" s="1"/>
  <c r="G149" i="2"/>
  <c r="I149" i="2" s="1"/>
  <c r="G140" i="2"/>
  <c r="I140" i="2" s="1"/>
  <c r="K140" i="2" s="1"/>
  <c r="H140" i="2"/>
  <c r="G141" i="2"/>
  <c r="I141" i="2" s="1"/>
  <c r="K141" i="2" s="1"/>
  <c r="H141" i="2"/>
  <c r="H147" i="2"/>
  <c r="L147" i="2" s="1"/>
  <c r="G147" i="2"/>
  <c r="I147" i="2" s="1"/>
  <c r="K147" i="2" s="1"/>
  <c r="H148" i="2"/>
  <c r="L148" i="2" s="1"/>
  <c r="G148" i="2"/>
  <c r="I148" i="2" s="1"/>
  <c r="H143" i="2"/>
  <c r="G143" i="2"/>
  <c r="I143" i="2" s="1"/>
  <c r="K143" i="2" s="1"/>
  <c r="G145" i="2"/>
  <c r="I145" i="2" s="1"/>
  <c r="K145" i="2" s="1"/>
  <c r="H145" i="2"/>
  <c r="L145" i="2" s="1"/>
  <c r="G146" i="2"/>
  <c r="I146" i="2" s="1"/>
  <c r="K146" i="2" s="1"/>
  <c r="H146" i="2"/>
  <c r="L146" i="2" s="1"/>
  <c r="H138" i="2"/>
  <c r="G138" i="2"/>
  <c r="I138" i="2" s="1"/>
  <c r="K138" i="2" s="1"/>
  <c r="H139" i="2"/>
  <c r="G139" i="2"/>
  <c r="I139" i="2" s="1"/>
  <c r="K139" i="2" s="1"/>
  <c r="H150" i="2"/>
  <c r="L150" i="2" s="1"/>
  <c r="G150" i="2"/>
  <c r="I150" i="2" s="1"/>
  <c r="AQ38" i="3"/>
  <c r="AS38" i="3"/>
  <c r="H227" i="2"/>
  <c r="AP38" i="3"/>
  <c r="W37" i="4"/>
  <c r="W42" i="4" s="1"/>
  <c r="W38" i="4"/>
  <c r="AR38" i="3"/>
  <c r="D154" i="2"/>
  <c r="D158" i="2" s="1"/>
  <c r="AT38" i="3"/>
  <c r="V36" i="4"/>
  <c r="V39" i="4"/>
  <c r="W36" i="4"/>
  <c r="W39" i="4"/>
  <c r="X39" i="4"/>
  <c r="X36" i="4"/>
  <c r="X37" i="4"/>
  <c r="X38" i="4"/>
  <c r="X40" i="4" s="1"/>
  <c r="AU38" i="3"/>
  <c r="E152" i="2"/>
  <c r="E158" i="2" s="1"/>
  <c r="V37" i="4"/>
  <c r="V42" i="4" s="1"/>
  <c r="V38" i="4"/>
  <c r="U40" i="4"/>
  <c r="U37" i="4"/>
  <c r="U42" i="4" s="1"/>
  <c r="U39" i="4"/>
  <c r="U36" i="4"/>
  <c r="S37" i="4"/>
  <c r="S42" i="4" s="1"/>
  <c r="S38" i="4"/>
  <c r="S40" i="4" s="1"/>
  <c r="S39" i="4"/>
  <c r="S36" i="4"/>
  <c r="E122" i="2"/>
  <c r="E123" i="2" s="1"/>
  <c r="AK38" i="3"/>
  <c r="D123" i="2"/>
  <c r="G22" i="2"/>
  <c r="I22" i="2" s="1"/>
  <c r="K22" i="2" s="1"/>
  <c r="R38" i="4"/>
  <c r="R40" i="4" s="1"/>
  <c r="F38" i="4"/>
  <c r="F40" i="4" s="1"/>
  <c r="Z38" i="4"/>
  <c r="Y38" i="4"/>
  <c r="T38" i="4"/>
  <c r="T40" i="4" s="1"/>
  <c r="E38" i="4"/>
  <c r="E40" i="4" s="1"/>
  <c r="AB38" i="4"/>
  <c r="AB40" i="4" s="1"/>
  <c r="AC38" i="4"/>
  <c r="Q38" i="4"/>
  <c r="Q40" i="4" s="1"/>
  <c r="K38" i="4"/>
  <c r="K40" i="4" s="1"/>
  <c r="L38" i="4"/>
  <c r="L40" i="4" s="1"/>
  <c r="N38" i="4"/>
  <c r="N40" i="4" s="1"/>
  <c r="J38" i="4"/>
  <c r="H49" i="2"/>
  <c r="J49" i="2" s="1"/>
  <c r="G49" i="2"/>
  <c r="I49" i="2" s="1"/>
  <c r="K49" i="2" s="1"/>
  <c r="H50" i="2"/>
  <c r="J50" i="2" s="1"/>
  <c r="G50" i="2"/>
  <c r="I50" i="2" s="1"/>
  <c r="K50" i="2" s="1"/>
  <c r="G48" i="2"/>
  <c r="I48" i="2" s="1"/>
  <c r="K48" i="2" s="1"/>
  <c r="H48" i="2"/>
  <c r="J48" i="2" s="1"/>
  <c r="G52" i="2"/>
  <c r="I52" i="2" s="1"/>
  <c r="K52" i="2" s="1"/>
  <c r="H52" i="2"/>
  <c r="J52" i="2" s="1"/>
  <c r="G51" i="2"/>
  <c r="I51" i="2" s="1"/>
  <c r="K51" i="2" s="1"/>
  <c r="H51" i="2"/>
  <c r="J51" i="2" s="1"/>
  <c r="D39" i="4"/>
  <c r="D36" i="4"/>
  <c r="E12" i="2"/>
  <c r="E18" i="2" s="1"/>
  <c r="G38" i="3"/>
  <c r="D12" i="2"/>
  <c r="D18" i="2" s="1"/>
  <c r="F38" i="3"/>
  <c r="C37" i="4"/>
  <c r="C39" i="4"/>
  <c r="C36" i="4"/>
  <c r="AB37" i="4"/>
  <c r="AB42" i="4" s="1"/>
  <c r="AB39" i="4"/>
  <c r="AB36" i="4"/>
  <c r="AC39" i="4"/>
  <c r="AC36" i="4"/>
  <c r="AC37" i="4"/>
  <c r="AC42" i="4" s="1"/>
  <c r="E194" i="2"/>
  <c r="E200" i="2" s="1"/>
  <c r="BG38" i="3"/>
  <c r="D194" i="2"/>
  <c r="D200" i="2" s="1"/>
  <c r="BF38" i="3"/>
  <c r="H199" i="2"/>
  <c r="G199" i="2"/>
  <c r="I199" i="2" s="1"/>
  <c r="K199" i="2" s="1"/>
  <c r="H65" i="2"/>
  <c r="J65" i="2" s="1"/>
  <c r="G65" i="2"/>
  <c r="I65" i="2" s="1"/>
  <c r="K65" i="2" s="1"/>
  <c r="H66" i="2"/>
  <c r="J66" i="2" s="1"/>
  <c r="G66" i="2"/>
  <c r="I66" i="2" s="1"/>
  <c r="G61" i="2"/>
  <c r="I61" i="2" s="1"/>
  <c r="U61" i="2" s="1"/>
  <c r="H61" i="2"/>
  <c r="H62" i="2"/>
  <c r="L62" i="2" s="1"/>
  <c r="G62" i="2"/>
  <c r="I62" i="2" s="1"/>
  <c r="H57" i="2"/>
  <c r="G57" i="2"/>
  <c r="I57" i="2" s="1"/>
  <c r="K57" i="2" s="1"/>
  <c r="G55" i="2"/>
  <c r="H55" i="2"/>
  <c r="J55" i="2" s="1"/>
  <c r="H56" i="2"/>
  <c r="G56" i="2"/>
  <c r="I56" i="2" s="1"/>
  <c r="K56" i="2" s="1"/>
  <c r="G59" i="2"/>
  <c r="H59" i="2"/>
  <c r="J59" i="2" s="1"/>
  <c r="H58" i="2"/>
  <c r="G58" i="2"/>
  <c r="I58" i="2" s="1"/>
  <c r="K58" i="2" s="1"/>
  <c r="E60" i="2"/>
  <c r="G54" i="2"/>
  <c r="I54" i="2" s="1"/>
  <c r="U54" i="2" s="1"/>
  <c r="H54" i="2"/>
  <c r="J54" i="2" s="1"/>
  <c r="H197" i="2"/>
  <c r="G197" i="2"/>
  <c r="I197" i="2" s="1"/>
  <c r="K197" i="2" s="1"/>
  <c r="H196" i="2"/>
  <c r="G196" i="2"/>
  <c r="I196" i="2" s="1"/>
  <c r="K196" i="2" s="1"/>
  <c r="H195" i="2"/>
  <c r="G195" i="2"/>
  <c r="I195" i="2" s="1"/>
  <c r="U195" i="2" s="1"/>
  <c r="G198" i="2"/>
  <c r="I198" i="2" s="1"/>
  <c r="K198" i="2" s="1"/>
  <c r="H198" i="2"/>
  <c r="H164" i="2"/>
  <c r="G164" i="2"/>
  <c r="I164" i="2" s="1"/>
  <c r="K164" i="2" s="1"/>
  <c r="G163" i="2"/>
  <c r="I163" i="2" s="1"/>
  <c r="K163" i="2" s="1"/>
  <c r="H163" i="2"/>
  <c r="G160" i="2"/>
  <c r="I160" i="2" s="1"/>
  <c r="K160" i="2" s="1"/>
  <c r="H160" i="2"/>
  <c r="G161" i="2"/>
  <c r="I161" i="2" s="1"/>
  <c r="K161" i="2" s="1"/>
  <c r="H161" i="2"/>
  <c r="G159" i="2"/>
  <c r="I159" i="2" s="1"/>
  <c r="H159" i="2"/>
  <c r="H162" i="2"/>
  <c r="G162" i="2"/>
  <c r="I162" i="2" s="1"/>
  <c r="K162" i="2" s="1"/>
  <c r="H120" i="2"/>
  <c r="G120" i="2"/>
  <c r="I120" i="2" s="1"/>
  <c r="K120" i="2" s="1"/>
  <c r="G121" i="2"/>
  <c r="I121" i="2" s="1"/>
  <c r="K121" i="2" s="1"/>
  <c r="H121" i="2"/>
  <c r="G119" i="2"/>
  <c r="I119" i="2" s="1"/>
  <c r="K119" i="2" s="1"/>
  <c r="H119" i="2"/>
  <c r="G117" i="2"/>
  <c r="H117" i="2"/>
  <c r="G118" i="2"/>
  <c r="I118" i="2" s="1"/>
  <c r="K118" i="2" s="1"/>
  <c r="H118" i="2"/>
  <c r="H115" i="2"/>
  <c r="G115" i="2"/>
  <c r="I115" i="2" s="1"/>
  <c r="K115" i="2" s="1"/>
  <c r="H114" i="2"/>
  <c r="G114" i="2"/>
  <c r="I114" i="2" s="1"/>
  <c r="K114" i="2" s="1"/>
  <c r="G110" i="2"/>
  <c r="I110" i="2" s="1"/>
  <c r="U110" i="2" s="1"/>
  <c r="H110" i="2"/>
  <c r="G111" i="2"/>
  <c r="I111" i="2" s="1"/>
  <c r="K111" i="2" s="1"/>
  <c r="H111" i="2"/>
  <c r="H112" i="2"/>
  <c r="G112" i="2"/>
  <c r="I112" i="2" s="1"/>
  <c r="K112" i="2" s="1"/>
  <c r="H113" i="2"/>
  <c r="G113" i="2"/>
  <c r="I113" i="2" s="1"/>
  <c r="K113" i="2" s="1"/>
  <c r="G93" i="2"/>
  <c r="I93" i="2" s="1"/>
  <c r="K93" i="2" s="1"/>
  <c r="H93" i="2"/>
  <c r="H89" i="2"/>
  <c r="G89" i="2"/>
  <c r="I89" i="2" s="1"/>
  <c r="H90" i="2"/>
  <c r="G90" i="2"/>
  <c r="I90" i="2" s="1"/>
  <c r="K90" i="2" s="1"/>
  <c r="G91" i="2"/>
  <c r="I91" i="2" s="1"/>
  <c r="K91" i="2" s="1"/>
  <c r="H91" i="2"/>
  <c r="H92" i="2"/>
  <c r="G92" i="2"/>
  <c r="I92" i="2" s="1"/>
  <c r="K92" i="2" s="1"/>
  <c r="H94" i="2"/>
  <c r="G94" i="2"/>
  <c r="I94" i="2" s="1"/>
  <c r="K94" i="2" s="1"/>
  <c r="P39" i="4"/>
  <c r="O39" i="4"/>
  <c r="Q39" i="4"/>
  <c r="Y39" i="4"/>
  <c r="R39" i="4"/>
  <c r="Z39" i="4"/>
  <c r="M39" i="4"/>
  <c r="AA39" i="4"/>
  <c r="N39" i="4"/>
  <c r="L39" i="4"/>
  <c r="K39" i="4"/>
  <c r="J39" i="4"/>
  <c r="F39" i="4"/>
  <c r="E39" i="4"/>
  <c r="N37" i="4"/>
  <c r="N42" i="4" s="1"/>
  <c r="G125" i="2"/>
  <c r="I125" i="2" s="1"/>
  <c r="K125" i="2" s="1"/>
  <c r="H125" i="2"/>
  <c r="H128" i="2"/>
  <c r="G128" i="2"/>
  <c r="I128" i="2" s="1"/>
  <c r="K128" i="2" s="1"/>
  <c r="H126" i="2"/>
  <c r="G126" i="2"/>
  <c r="I126" i="2" s="1"/>
  <c r="K126" i="2" s="1"/>
  <c r="H124" i="2"/>
  <c r="G124" i="2"/>
  <c r="D130" i="2"/>
  <c r="H127" i="2"/>
  <c r="G127" i="2"/>
  <c r="I127" i="2" s="1"/>
  <c r="K127" i="2" s="1"/>
  <c r="E130" i="2"/>
  <c r="H129" i="2"/>
  <c r="G129" i="2"/>
  <c r="I129" i="2" s="1"/>
  <c r="K129" i="2" s="1"/>
  <c r="H13" i="2"/>
  <c r="G13" i="2"/>
  <c r="I13" i="2" s="1"/>
  <c r="K13" i="2" s="1"/>
  <c r="G16" i="2"/>
  <c r="I16" i="2" s="1"/>
  <c r="K16" i="2" s="1"/>
  <c r="H16" i="2"/>
  <c r="G15" i="2"/>
  <c r="I15" i="2" s="1"/>
  <c r="K15" i="2" s="1"/>
  <c r="H15" i="2"/>
  <c r="H14" i="2"/>
  <c r="G14" i="2"/>
  <c r="I14" i="2" s="1"/>
  <c r="K14" i="2" s="1"/>
  <c r="H17" i="2"/>
  <c r="G17" i="2"/>
  <c r="I17" i="2" s="1"/>
  <c r="K17" i="2" s="1"/>
  <c r="E67" i="2"/>
  <c r="D67" i="2"/>
  <c r="M38" i="3"/>
  <c r="E47" i="2"/>
  <c r="E53" i="2" s="1"/>
  <c r="Q38" i="3"/>
  <c r="D68" i="2"/>
  <c r="D74" i="2" s="1"/>
  <c r="V38" i="3"/>
  <c r="D116" i="2"/>
  <c r="AH38" i="3"/>
  <c r="AY38" i="3"/>
  <c r="T38" i="3"/>
  <c r="E82" i="2"/>
  <c r="E88" i="2" s="1"/>
  <c r="AA38" i="3"/>
  <c r="AV38" i="3"/>
  <c r="N38" i="3"/>
  <c r="E68" i="2"/>
  <c r="E74" i="2" s="1"/>
  <c r="W38" i="3"/>
  <c r="E116" i="2"/>
  <c r="AI38" i="3"/>
  <c r="D144" i="2"/>
  <c r="AB38" i="3"/>
  <c r="D32" i="2"/>
  <c r="J38" i="3"/>
  <c r="O38" i="3"/>
  <c r="S38" i="3"/>
  <c r="D75" i="2"/>
  <c r="D81" i="2" s="1"/>
  <c r="X38" i="3"/>
  <c r="D103" i="2"/>
  <c r="D109" i="2" s="1"/>
  <c r="AF38" i="3"/>
  <c r="E144" i="2"/>
  <c r="AW38" i="3"/>
  <c r="AC38" i="3"/>
  <c r="E131" i="2"/>
  <c r="E137" i="2" s="1"/>
  <c r="H38" i="3"/>
  <c r="D102" i="2"/>
  <c r="AD38" i="3"/>
  <c r="AL38" i="3"/>
  <c r="E151" i="2"/>
  <c r="E19" i="2"/>
  <c r="E25" i="2" s="1"/>
  <c r="I38" i="3"/>
  <c r="AE38" i="3"/>
  <c r="AM38" i="3"/>
  <c r="L38" i="3"/>
  <c r="E26" i="2"/>
  <c r="E32" i="2" s="1"/>
  <c r="K38" i="3"/>
  <c r="D47" i="2"/>
  <c r="P38" i="3"/>
  <c r="U38" i="3"/>
  <c r="E75" i="2"/>
  <c r="E81" i="2" s="1"/>
  <c r="Y38" i="3"/>
  <c r="E109" i="2"/>
  <c r="AG38" i="3"/>
  <c r="D172" i="2"/>
  <c r="AX38" i="3"/>
  <c r="D82" i="2"/>
  <c r="D88" i="2" s="1"/>
  <c r="Z38" i="3"/>
  <c r="D137" i="2"/>
  <c r="K37" i="4"/>
  <c r="K42" i="4" s="1"/>
  <c r="K36" i="4"/>
  <c r="D180" i="2"/>
  <c r="D186" i="2" s="1"/>
  <c r="E180" i="2"/>
  <c r="AZ38" i="3"/>
  <c r="BA38" i="3"/>
  <c r="AD5" i="4"/>
  <c r="AD6" i="4"/>
  <c r="AD7" i="4"/>
  <c r="AD8" i="4"/>
  <c r="AD16" i="4"/>
  <c r="AD18" i="4"/>
  <c r="AD19" i="4"/>
  <c r="AD20" i="4"/>
  <c r="H23" i="2"/>
  <c r="L23" i="2" s="1"/>
  <c r="G23" i="2"/>
  <c r="I23" i="2" s="1"/>
  <c r="K23" i="2" s="1"/>
  <c r="H20" i="2"/>
  <c r="L20" i="2" s="1"/>
  <c r="G20" i="2"/>
  <c r="I20" i="2" s="1"/>
  <c r="K20" i="2" s="1"/>
  <c r="H22" i="2"/>
  <c r="L22" i="2" s="1"/>
  <c r="H21" i="2"/>
  <c r="L21" i="2" s="1"/>
  <c r="G21" i="2"/>
  <c r="I21" i="2" s="1"/>
  <c r="K21" i="2" s="1"/>
  <c r="G24" i="2"/>
  <c r="I24" i="2" s="1"/>
  <c r="K24" i="2" s="1"/>
  <c r="H24" i="2"/>
  <c r="L24" i="2" s="1"/>
  <c r="O38" i="4"/>
  <c r="D18" i="4"/>
  <c r="D19" i="4"/>
  <c r="G64" i="2"/>
  <c r="I64" i="2" s="1"/>
  <c r="H64" i="2"/>
  <c r="J64" i="2" s="1"/>
  <c r="G63" i="2"/>
  <c r="I63" i="2" s="1"/>
  <c r="H63" i="2"/>
  <c r="J63" i="2" s="1"/>
  <c r="I5" i="4"/>
  <c r="I6" i="4"/>
  <c r="I7" i="4"/>
  <c r="I8" i="4"/>
  <c r="I10" i="4"/>
  <c r="I16" i="4"/>
  <c r="I38" i="4" s="1"/>
  <c r="O37" i="4"/>
  <c r="Y37" i="4"/>
  <c r="Y42" i="4" s="1"/>
  <c r="AA40" i="4"/>
  <c r="AA37" i="4"/>
  <c r="AA42" i="4" s="1"/>
  <c r="L37" i="4"/>
  <c r="L42" i="4" s="1"/>
  <c r="Q37" i="4"/>
  <c r="Q42" i="4" s="1"/>
  <c r="F37" i="4"/>
  <c r="T37" i="4"/>
  <c r="T42" i="4" s="1"/>
  <c r="Z37" i="4"/>
  <c r="Z42" i="4" s="1"/>
  <c r="M37" i="4"/>
  <c r="M42" i="4" s="1"/>
  <c r="P37" i="4"/>
  <c r="R37" i="4"/>
  <c r="E37" i="4"/>
  <c r="E42" i="4" s="1"/>
  <c r="J37" i="4"/>
  <c r="J42" i="4" s="1"/>
  <c r="H105" i="2"/>
  <c r="L105" i="2" s="1"/>
  <c r="G105" i="2"/>
  <c r="I105" i="2" s="1"/>
  <c r="K105" i="2" s="1"/>
  <c r="H106" i="2"/>
  <c r="L106" i="2" s="1"/>
  <c r="G106" i="2"/>
  <c r="I106" i="2" s="1"/>
  <c r="K106" i="2" s="1"/>
  <c r="H108" i="2"/>
  <c r="L108" i="2" s="1"/>
  <c r="G108" i="2"/>
  <c r="I108" i="2" s="1"/>
  <c r="K108" i="2" s="1"/>
  <c r="H104" i="2"/>
  <c r="L104" i="2" s="1"/>
  <c r="G104" i="2"/>
  <c r="I104" i="2" s="1"/>
  <c r="K104" i="2" s="1"/>
  <c r="H107" i="2"/>
  <c r="L107" i="2" s="1"/>
  <c r="G107" i="2"/>
  <c r="I107" i="2" s="1"/>
  <c r="K107" i="2" s="1"/>
  <c r="A47" i="2"/>
  <c r="U97" i="2"/>
  <c r="H29" i="2"/>
  <c r="L29" i="2" s="1"/>
  <c r="G29" i="2"/>
  <c r="I29" i="2" s="1"/>
  <c r="K29" i="2" s="1"/>
  <c r="G28" i="2"/>
  <c r="I28" i="2" s="1"/>
  <c r="K28" i="2" s="1"/>
  <c r="H28" i="2"/>
  <c r="L28" i="2" s="1"/>
  <c r="G31" i="2"/>
  <c r="I31" i="2" s="1"/>
  <c r="K31" i="2" s="1"/>
  <c r="H31" i="2"/>
  <c r="L31" i="2" s="1"/>
  <c r="H27" i="2"/>
  <c r="L27" i="2" s="1"/>
  <c r="G27" i="2"/>
  <c r="I27" i="2" s="1"/>
  <c r="U27" i="2" s="1"/>
  <c r="H30" i="2"/>
  <c r="L30" i="2" s="1"/>
  <c r="G30" i="2"/>
  <c r="I30" i="2" s="1"/>
  <c r="K30" i="2" s="1"/>
  <c r="H5" i="4"/>
  <c r="H6" i="4"/>
  <c r="H7" i="4"/>
  <c r="H8" i="4"/>
  <c r="H10" i="4"/>
  <c r="H16" i="4"/>
  <c r="G6" i="4"/>
  <c r="G7" i="4"/>
  <c r="G8" i="4"/>
  <c r="G10" i="4"/>
  <c r="G16" i="4"/>
  <c r="G38" i="4" s="1"/>
  <c r="G5" i="4"/>
  <c r="D238" i="2"/>
  <c r="G71" i="2"/>
  <c r="I71" i="2" s="1"/>
  <c r="K71" i="2" s="1"/>
  <c r="D231" i="2"/>
  <c r="E231" i="2" s="1"/>
  <c r="H70" i="2"/>
  <c r="G184" i="2"/>
  <c r="I184" i="2" s="1"/>
  <c r="G85" i="2"/>
  <c r="I85" i="2" s="1"/>
  <c r="K85" i="2" s="1"/>
  <c r="H71" i="2"/>
  <c r="H80" i="2"/>
  <c r="L80" i="2" s="1"/>
  <c r="G73" i="2"/>
  <c r="I73" i="2" s="1"/>
  <c r="K73" i="2" s="1"/>
  <c r="H73" i="2"/>
  <c r="M36" i="4"/>
  <c r="H76" i="2"/>
  <c r="G183" i="2"/>
  <c r="I183" i="2" s="1"/>
  <c r="F231" i="2"/>
  <c r="G231" i="2" s="1"/>
  <c r="D227" i="2"/>
  <c r="E227" i="2" s="1"/>
  <c r="P36" i="4"/>
  <c r="G76" i="2"/>
  <c r="I76" i="2" s="1"/>
  <c r="G80" i="2"/>
  <c r="I80" i="2" s="1"/>
  <c r="K80" i="2" s="1"/>
  <c r="D228" i="2"/>
  <c r="E228" i="2" s="1"/>
  <c r="N36" i="4"/>
  <c r="E36" i="4"/>
  <c r="H83" i="2"/>
  <c r="L83" i="2" s="1"/>
  <c r="G83" i="2"/>
  <c r="I83" i="2" s="1"/>
  <c r="H77" i="2"/>
  <c r="L77" i="2" s="1"/>
  <c r="G77" i="2"/>
  <c r="I77" i="2" s="1"/>
  <c r="K77" i="2" s="1"/>
  <c r="F36" i="4"/>
  <c r="H69" i="2"/>
  <c r="L69" i="2" s="1"/>
  <c r="G72" i="2"/>
  <c r="I72" i="2" s="1"/>
  <c r="K72" i="2" s="1"/>
  <c r="L36" i="4"/>
  <c r="G70" i="2"/>
  <c r="I70" i="2" s="1"/>
  <c r="K70" i="2" s="1"/>
  <c r="H155" i="2"/>
  <c r="L155" i="2" s="1"/>
  <c r="G155" i="2"/>
  <c r="I155" i="2" s="1"/>
  <c r="H153" i="2"/>
  <c r="L153" i="2" s="1"/>
  <c r="G153" i="2"/>
  <c r="I153" i="2" s="1"/>
  <c r="U153" i="2" s="1"/>
  <c r="H157" i="2"/>
  <c r="L157" i="2" s="1"/>
  <c r="G157" i="2"/>
  <c r="I157" i="2" s="1"/>
  <c r="H156" i="2"/>
  <c r="L156" i="2" s="1"/>
  <c r="G156" i="2"/>
  <c r="I156" i="2" s="1"/>
  <c r="D226" i="2"/>
  <c r="E226" i="2" s="1"/>
  <c r="F227" i="2"/>
  <c r="G227" i="2" s="1"/>
  <c r="G228" i="2"/>
  <c r="H185" i="2"/>
  <c r="L185" i="2" s="1"/>
  <c r="G185" i="2"/>
  <c r="I185" i="2" s="1"/>
  <c r="H86" i="2"/>
  <c r="L86" i="2" s="1"/>
  <c r="G86" i="2"/>
  <c r="I86" i="2" s="1"/>
  <c r="K86" i="2" s="1"/>
  <c r="G69" i="2"/>
  <c r="I69" i="2" s="1"/>
  <c r="H79" i="2"/>
  <c r="L79" i="2" s="1"/>
  <c r="G79" i="2"/>
  <c r="I79" i="2" s="1"/>
  <c r="K79" i="2" s="1"/>
  <c r="H72" i="2"/>
  <c r="L72" i="2" s="1"/>
  <c r="J36" i="4"/>
  <c r="H181" i="2"/>
  <c r="L181" i="2" s="1"/>
  <c r="G181" i="2"/>
  <c r="I181" i="2" s="1"/>
  <c r="U181" i="2" s="1"/>
  <c r="H183" i="2"/>
  <c r="L183" i="2" s="1"/>
  <c r="H84" i="2"/>
  <c r="L84" i="2" s="1"/>
  <c r="G84" i="2"/>
  <c r="I84" i="2" s="1"/>
  <c r="K84" i="2" s="1"/>
  <c r="O36" i="4"/>
  <c r="H87" i="2"/>
  <c r="L87" i="2" s="1"/>
  <c r="G87" i="2"/>
  <c r="I87" i="2" s="1"/>
  <c r="K87" i="2" s="1"/>
  <c r="H85" i="2"/>
  <c r="L85" i="2" s="1"/>
  <c r="B21" i="13"/>
  <c r="M193" i="2"/>
  <c r="B28" i="13"/>
  <c r="B14" i="13"/>
  <c r="B13" i="13"/>
  <c r="Y36" i="4"/>
  <c r="Z36" i="4"/>
  <c r="AA36" i="4"/>
  <c r="H184" i="2"/>
  <c r="L184" i="2" s="1"/>
  <c r="B22" i="13"/>
  <c r="F226" i="2"/>
  <c r="F230" i="2"/>
  <c r="G229" i="2"/>
  <c r="D229" i="2"/>
  <c r="E229" i="2" s="1"/>
  <c r="D230" i="2"/>
  <c r="H134" i="2"/>
  <c r="L134" i="2" s="1"/>
  <c r="G134" i="2"/>
  <c r="G132" i="2"/>
  <c r="I132" i="2" s="1"/>
  <c r="U132" i="2" s="1"/>
  <c r="H132" i="2"/>
  <c r="L132" i="2" s="1"/>
  <c r="G133" i="2"/>
  <c r="H133" i="2"/>
  <c r="L133" i="2" s="1"/>
  <c r="G135" i="2"/>
  <c r="I135" i="2" s="1"/>
  <c r="K135" i="2" s="1"/>
  <c r="H135" i="2"/>
  <c r="L135" i="2" s="1"/>
  <c r="T36" i="4"/>
  <c r="R36" i="4"/>
  <c r="Q36" i="4"/>
  <c r="J147" i="2" l="1"/>
  <c r="K149" i="2"/>
  <c r="U149" i="2"/>
  <c r="I231" i="2"/>
  <c r="K150" i="2"/>
  <c r="U150" i="2"/>
  <c r="K148" i="2"/>
  <c r="U148" i="2"/>
  <c r="H228" i="2"/>
  <c r="L228" i="2" s="1"/>
  <c r="E186" i="2"/>
  <c r="I226" i="2"/>
  <c r="J150" i="2"/>
  <c r="P42" i="4"/>
  <c r="J145" i="2"/>
  <c r="L41" i="2"/>
  <c r="J41" i="2"/>
  <c r="L44" i="2"/>
  <c r="J44" i="2"/>
  <c r="L42" i="2"/>
  <c r="J42" i="2"/>
  <c r="J45" i="2"/>
  <c r="L45" i="2"/>
  <c r="J43" i="2"/>
  <c r="L43" i="2"/>
  <c r="J40" i="2"/>
  <c r="H46" i="2"/>
  <c r="L40" i="2"/>
  <c r="G46" i="2"/>
  <c r="I40" i="2"/>
  <c r="U40" i="2" s="1"/>
  <c r="I33" i="2"/>
  <c r="G39" i="2"/>
  <c r="J34" i="2"/>
  <c r="L34" i="2"/>
  <c r="J35" i="2"/>
  <c r="L35" i="2"/>
  <c r="J38" i="2"/>
  <c r="L38" i="2"/>
  <c r="J37" i="2"/>
  <c r="L37" i="2"/>
  <c r="J33" i="2"/>
  <c r="L33" i="2"/>
  <c r="H39" i="2"/>
  <c r="J146" i="2"/>
  <c r="L139" i="2"/>
  <c r="J139" i="2"/>
  <c r="L141" i="2"/>
  <c r="J141" i="2"/>
  <c r="L138" i="2"/>
  <c r="J138" i="2"/>
  <c r="L140" i="2"/>
  <c r="J140" i="2"/>
  <c r="L143" i="2"/>
  <c r="J143" i="2"/>
  <c r="L142" i="2"/>
  <c r="J142" i="2"/>
  <c r="L231" i="2"/>
  <c r="M231" i="2" s="1"/>
  <c r="H226" i="2"/>
  <c r="G122" i="2"/>
  <c r="I122" i="2" s="1"/>
  <c r="K122" i="2" s="1"/>
  <c r="H122" i="2"/>
  <c r="J122" i="2" s="1"/>
  <c r="G226" i="2"/>
  <c r="F233" i="2"/>
  <c r="I117" i="2"/>
  <c r="F42" i="4"/>
  <c r="D38" i="4"/>
  <c r="D40" i="4" s="1"/>
  <c r="U138" i="2"/>
  <c r="U145" i="2"/>
  <c r="AD38" i="4"/>
  <c r="K159" i="2"/>
  <c r="U159" i="2"/>
  <c r="G12" i="2"/>
  <c r="I12" i="2" s="1"/>
  <c r="U12" i="2" s="1"/>
  <c r="I59" i="2"/>
  <c r="K59" i="2" s="1"/>
  <c r="K89" i="2"/>
  <c r="U89" i="2"/>
  <c r="K110" i="2"/>
  <c r="I55" i="2"/>
  <c r="U55" i="2" s="1"/>
  <c r="H12" i="2"/>
  <c r="L12" i="2" s="1"/>
  <c r="H47" i="2"/>
  <c r="J47" i="2" s="1"/>
  <c r="G47" i="2"/>
  <c r="I47" i="2" s="1"/>
  <c r="L51" i="2"/>
  <c r="L52" i="2"/>
  <c r="L48" i="2"/>
  <c r="L50" i="2"/>
  <c r="L49" i="2"/>
  <c r="D37" i="4"/>
  <c r="D42" i="4" s="1"/>
  <c r="L65" i="2"/>
  <c r="H194" i="2"/>
  <c r="H200" i="2" s="1"/>
  <c r="G194" i="2"/>
  <c r="I194" i="2" s="1"/>
  <c r="L66" i="2"/>
  <c r="AD37" i="4"/>
  <c r="AD42" i="4" s="1"/>
  <c r="AD39" i="4"/>
  <c r="AD36" i="4"/>
  <c r="K195" i="2"/>
  <c r="I37" i="4"/>
  <c r="I42" i="4" s="1"/>
  <c r="K64" i="2"/>
  <c r="A54" i="2"/>
  <c r="A61" i="2" s="1"/>
  <c r="A68" i="2" s="1"/>
  <c r="A75" i="2" s="1"/>
  <c r="A82" i="2" s="1"/>
  <c r="A89" i="2" s="1"/>
  <c r="A96" i="2" s="1"/>
  <c r="A103" i="2" s="1"/>
  <c r="A110" i="2" s="1"/>
  <c r="A117" i="2" s="1"/>
  <c r="L64" i="2"/>
  <c r="L63" i="2"/>
  <c r="K63" i="2"/>
  <c r="U44" i="2"/>
  <c r="G60" i="2"/>
  <c r="L58" i="2"/>
  <c r="J58" i="2"/>
  <c r="L59" i="2"/>
  <c r="J56" i="2"/>
  <c r="L56" i="2"/>
  <c r="L55" i="2"/>
  <c r="L54" i="2"/>
  <c r="H60" i="2"/>
  <c r="J57" i="2"/>
  <c r="L57" i="2"/>
  <c r="J195" i="2"/>
  <c r="L195" i="2"/>
  <c r="L196" i="2"/>
  <c r="J196" i="2"/>
  <c r="J198" i="2"/>
  <c r="L198" i="2"/>
  <c r="L197" i="2"/>
  <c r="J197" i="2"/>
  <c r="L199" i="2"/>
  <c r="J199" i="2"/>
  <c r="L162" i="2"/>
  <c r="J162" i="2"/>
  <c r="L159" i="2"/>
  <c r="J159" i="2"/>
  <c r="L161" i="2"/>
  <c r="J161" i="2"/>
  <c r="J160" i="2"/>
  <c r="L160" i="2"/>
  <c r="L163" i="2"/>
  <c r="J163" i="2"/>
  <c r="J164" i="2"/>
  <c r="L164" i="2"/>
  <c r="J117" i="2"/>
  <c r="L117" i="2"/>
  <c r="J119" i="2"/>
  <c r="L119" i="2"/>
  <c r="L118" i="2"/>
  <c r="J118" i="2"/>
  <c r="L121" i="2"/>
  <c r="J121" i="2"/>
  <c r="L120" i="2"/>
  <c r="J120" i="2"/>
  <c r="J113" i="2"/>
  <c r="L113" i="2"/>
  <c r="L112" i="2"/>
  <c r="J112" i="2"/>
  <c r="J111" i="2"/>
  <c r="L111" i="2"/>
  <c r="J110" i="2"/>
  <c r="L110" i="2"/>
  <c r="L114" i="2"/>
  <c r="J114" i="2"/>
  <c r="L115" i="2"/>
  <c r="J115" i="2"/>
  <c r="L94" i="2"/>
  <c r="J94" i="2"/>
  <c r="J92" i="2"/>
  <c r="L92" i="2"/>
  <c r="J91" i="2"/>
  <c r="L91" i="2"/>
  <c r="J90" i="2"/>
  <c r="L90" i="2"/>
  <c r="L89" i="2"/>
  <c r="J89" i="2"/>
  <c r="J93" i="2"/>
  <c r="L93" i="2"/>
  <c r="U139" i="2"/>
  <c r="H39" i="4"/>
  <c r="G39" i="4"/>
  <c r="I39" i="4"/>
  <c r="L229" i="2"/>
  <c r="O40" i="4"/>
  <c r="J127" i="2"/>
  <c r="L127" i="2"/>
  <c r="G130" i="2"/>
  <c r="I124" i="2"/>
  <c r="U124" i="2" s="1"/>
  <c r="L124" i="2"/>
  <c r="J124" i="2"/>
  <c r="H130" i="2"/>
  <c r="L126" i="2"/>
  <c r="J126" i="2"/>
  <c r="L128" i="2"/>
  <c r="J128" i="2"/>
  <c r="L129" i="2"/>
  <c r="J129" i="2"/>
  <c r="L125" i="2"/>
  <c r="J125" i="2"/>
  <c r="L17" i="2"/>
  <c r="J17" i="2"/>
  <c r="L15" i="2"/>
  <c r="J15" i="2"/>
  <c r="J16" i="2"/>
  <c r="L16" i="2"/>
  <c r="J14" i="2"/>
  <c r="L14" i="2"/>
  <c r="L13" i="2"/>
  <c r="J13" i="2"/>
  <c r="H131" i="2"/>
  <c r="H82" i="2"/>
  <c r="U62" i="2"/>
  <c r="G131" i="2"/>
  <c r="I131" i="2" s="1"/>
  <c r="U131" i="2" s="1"/>
  <c r="G75" i="2"/>
  <c r="I75" i="2" s="1"/>
  <c r="U75" i="2" s="1"/>
  <c r="H75" i="2"/>
  <c r="L75" i="2" s="1"/>
  <c r="G180" i="2"/>
  <c r="H8" i="13"/>
  <c r="H19" i="2"/>
  <c r="L19" i="2" s="1"/>
  <c r="G152" i="2"/>
  <c r="H103" i="2"/>
  <c r="L103" i="2" s="1"/>
  <c r="G26" i="2"/>
  <c r="I26" i="2" s="1"/>
  <c r="U26" i="2" s="1"/>
  <c r="E172" i="2"/>
  <c r="H26" i="13" s="1"/>
  <c r="H14" i="13"/>
  <c r="H152" i="2"/>
  <c r="H26" i="2"/>
  <c r="L26" i="2" s="1"/>
  <c r="G82" i="2"/>
  <c r="G88" i="2" s="1"/>
  <c r="H154" i="2"/>
  <c r="L154" i="2" s="1"/>
  <c r="G103" i="2"/>
  <c r="I103" i="2" s="1"/>
  <c r="U103" i="2" s="1"/>
  <c r="H24" i="13"/>
  <c r="D25" i="2"/>
  <c r="H5" i="13" s="1"/>
  <c r="G19" i="2"/>
  <c r="I19" i="2" s="1"/>
  <c r="G154" i="2"/>
  <c r="I154" i="2" s="1"/>
  <c r="U154" i="2" s="1"/>
  <c r="H30" i="13"/>
  <c r="H180" i="2"/>
  <c r="C40" i="4"/>
  <c r="E179" i="2"/>
  <c r="U176" i="2"/>
  <c r="P43" i="4"/>
  <c r="K16" i="13" s="1"/>
  <c r="P40" i="4"/>
  <c r="U127" i="2"/>
  <c r="U168" i="2"/>
  <c r="U91" i="2"/>
  <c r="K181" i="2"/>
  <c r="U157" i="2"/>
  <c r="K157" i="2"/>
  <c r="U155" i="2"/>
  <c r="K155" i="2"/>
  <c r="U198" i="2"/>
  <c r="U94" i="2"/>
  <c r="U177" i="2"/>
  <c r="U178" i="2"/>
  <c r="U76" i="2"/>
  <c r="K76" i="2"/>
  <c r="J73" i="2"/>
  <c r="L73" i="2"/>
  <c r="J70" i="2"/>
  <c r="L70" i="2"/>
  <c r="Z43" i="4"/>
  <c r="K26" i="13" s="1"/>
  <c r="Z40" i="4"/>
  <c r="Y41" i="4"/>
  <c r="Y40" i="4"/>
  <c r="U128" i="2"/>
  <c r="U126" i="2"/>
  <c r="U190" i="2"/>
  <c r="U129" i="2"/>
  <c r="U93" i="2"/>
  <c r="J76" i="2"/>
  <c r="L76" i="2"/>
  <c r="J71" i="2"/>
  <c r="L71" i="2"/>
  <c r="J41" i="4"/>
  <c r="J40" i="4"/>
  <c r="W41" i="4"/>
  <c r="W40" i="4"/>
  <c r="U90" i="2"/>
  <c r="U83" i="2"/>
  <c r="K83" i="2"/>
  <c r="U164" i="2"/>
  <c r="K27" i="2"/>
  <c r="U191" i="2"/>
  <c r="U92" i="2"/>
  <c r="U69" i="2"/>
  <c r="K69" i="2"/>
  <c r="U185" i="2"/>
  <c r="K185" i="2"/>
  <c r="U156" i="2"/>
  <c r="K156" i="2"/>
  <c r="K153" i="2"/>
  <c r="U199" i="2"/>
  <c r="U183" i="2"/>
  <c r="K183" i="2"/>
  <c r="U184" i="2"/>
  <c r="K184" i="2"/>
  <c r="U143" i="2"/>
  <c r="U48" i="2"/>
  <c r="V41" i="4"/>
  <c r="V40" i="4"/>
  <c r="AC43" i="4"/>
  <c r="K29" i="13" s="1"/>
  <c r="AC40" i="4"/>
  <c r="E230" i="2"/>
  <c r="D233" i="2"/>
  <c r="D6" i="11" s="1"/>
  <c r="G230" i="2"/>
  <c r="X42" i="4"/>
  <c r="X43" i="4"/>
  <c r="O42" i="4"/>
  <c r="D214" i="2"/>
  <c r="H32" i="13" s="1"/>
  <c r="B29" i="13"/>
  <c r="U24" i="2"/>
  <c r="J24" i="2"/>
  <c r="J22" i="2"/>
  <c r="U20" i="2"/>
  <c r="J20" i="2"/>
  <c r="U21" i="2"/>
  <c r="U23" i="2"/>
  <c r="U22" i="2"/>
  <c r="J21" i="2"/>
  <c r="J23" i="2"/>
  <c r="I133" i="2"/>
  <c r="K132" i="2"/>
  <c r="I134" i="2"/>
  <c r="K134" i="2" s="1"/>
  <c r="G37" i="4"/>
  <c r="G42" i="4" s="1"/>
  <c r="U104" i="2"/>
  <c r="U118" i="2"/>
  <c r="U111" i="2"/>
  <c r="H7" i="13"/>
  <c r="I36" i="4"/>
  <c r="J62" i="2"/>
  <c r="H11" i="13"/>
  <c r="H67" i="2"/>
  <c r="K66" i="2"/>
  <c r="H37" i="4"/>
  <c r="H42" i="4" s="1"/>
  <c r="J106" i="2"/>
  <c r="J105" i="2"/>
  <c r="J108" i="2"/>
  <c r="J107" i="2"/>
  <c r="J104" i="2"/>
  <c r="B16" i="13"/>
  <c r="U135" i="2"/>
  <c r="C235" i="2"/>
  <c r="D5" i="11" s="1"/>
  <c r="U77" i="2"/>
  <c r="U38" i="2"/>
  <c r="U28" i="2"/>
  <c r="U114" i="2"/>
  <c r="U115" i="2"/>
  <c r="U87" i="2"/>
  <c r="U79" i="2"/>
  <c r="U108" i="2"/>
  <c r="U73" i="2"/>
  <c r="U30" i="2"/>
  <c r="U31" i="2"/>
  <c r="U37" i="2"/>
  <c r="U98" i="2"/>
  <c r="U112" i="2"/>
  <c r="U65" i="2"/>
  <c r="U70" i="2"/>
  <c r="U72" i="2"/>
  <c r="U105" i="2"/>
  <c r="U29" i="2"/>
  <c r="U113" i="2"/>
  <c r="U107" i="2"/>
  <c r="U84" i="2"/>
  <c r="U86" i="2"/>
  <c r="U80" i="2"/>
  <c r="U85" i="2"/>
  <c r="U71" i="2"/>
  <c r="U100" i="2"/>
  <c r="U99" i="2"/>
  <c r="U101" i="2"/>
  <c r="U16" i="2"/>
  <c r="U14" i="2"/>
  <c r="U17" i="2"/>
  <c r="U15" i="2"/>
  <c r="U9" i="2"/>
  <c r="U8" i="2"/>
  <c r="U10" i="2"/>
  <c r="U7" i="2"/>
  <c r="H36" i="4"/>
  <c r="J27" i="2"/>
  <c r="J28" i="2"/>
  <c r="J29" i="2"/>
  <c r="J30" i="2"/>
  <c r="J31" i="2"/>
  <c r="D53" i="2"/>
  <c r="H9" i="13" s="1"/>
  <c r="H13" i="13"/>
  <c r="G36" i="4"/>
  <c r="H21" i="13"/>
  <c r="H22" i="13"/>
  <c r="H12" i="13"/>
  <c r="H4" i="13"/>
  <c r="C42" i="4"/>
  <c r="C41" i="4"/>
  <c r="C43" i="4"/>
  <c r="G78" i="2"/>
  <c r="I78" i="2" s="1"/>
  <c r="K78" i="2" s="1"/>
  <c r="H18" i="13"/>
  <c r="E165" i="2"/>
  <c r="H78" i="2"/>
  <c r="L78" i="2" s="1"/>
  <c r="D179" i="2"/>
  <c r="D95" i="2"/>
  <c r="P41" i="4"/>
  <c r="J80" i="2"/>
  <c r="R43" i="4"/>
  <c r="K18" i="13" s="1"/>
  <c r="R41" i="4"/>
  <c r="Q41" i="4"/>
  <c r="Q43" i="4"/>
  <c r="K17" i="13" s="1"/>
  <c r="N41" i="4"/>
  <c r="N43" i="4"/>
  <c r="K14" i="13" s="1"/>
  <c r="M43" i="4"/>
  <c r="K13" i="13" s="1"/>
  <c r="M41" i="4"/>
  <c r="D165" i="2"/>
  <c r="J69" i="2"/>
  <c r="K41" i="4"/>
  <c r="K43" i="4"/>
  <c r="K11" i="13" s="1"/>
  <c r="J43" i="4"/>
  <c r="K10" i="13" s="1"/>
  <c r="Z41" i="4"/>
  <c r="J77" i="2"/>
  <c r="J83" i="2"/>
  <c r="H136" i="2"/>
  <c r="H68" i="2"/>
  <c r="L68" i="2" s="1"/>
  <c r="E43" i="4"/>
  <c r="K5" i="13" s="1"/>
  <c r="E41" i="4"/>
  <c r="J157" i="2"/>
  <c r="J153" i="2"/>
  <c r="X41" i="4"/>
  <c r="J156" i="2"/>
  <c r="J155" i="2"/>
  <c r="L43" i="4"/>
  <c r="K12" i="13" s="1"/>
  <c r="L41" i="4"/>
  <c r="J72" i="2"/>
  <c r="J87" i="2"/>
  <c r="J185" i="2"/>
  <c r="Y43" i="4"/>
  <c r="K25" i="13" s="1"/>
  <c r="E95" i="2"/>
  <c r="F43" i="4"/>
  <c r="F41" i="4"/>
  <c r="E102" i="2"/>
  <c r="H16" i="13" s="1"/>
  <c r="H6" i="13"/>
  <c r="O43" i="4"/>
  <c r="O41" i="4"/>
  <c r="J181" i="2"/>
  <c r="G136" i="2"/>
  <c r="J85" i="2"/>
  <c r="J84" i="2"/>
  <c r="J183" i="2"/>
  <c r="J79" i="2"/>
  <c r="G68" i="2"/>
  <c r="J86" i="2"/>
  <c r="W43" i="4"/>
  <c r="K23" i="13" s="1"/>
  <c r="V43" i="4"/>
  <c r="K22" i="13" s="1"/>
  <c r="AC41" i="4"/>
  <c r="AB43" i="4"/>
  <c r="K28" i="13" s="1"/>
  <c r="AB41" i="4"/>
  <c r="D151" i="2"/>
  <c r="H23" i="13" s="1"/>
  <c r="G182" i="2"/>
  <c r="H182" i="2"/>
  <c r="L182" i="2" s="1"/>
  <c r="AA43" i="4"/>
  <c r="K27" i="13" s="1"/>
  <c r="AA41" i="4"/>
  <c r="J184" i="2"/>
  <c r="C3" i="13"/>
  <c r="U43" i="4"/>
  <c r="K21" i="13" s="1"/>
  <c r="U41" i="4"/>
  <c r="J133" i="2"/>
  <c r="J132" i="2"/>
  <c r="J135" i="2"/>
  <c r="J134" i="2"/>
  <c r="H20" i="13"/>
  <c r="T43" i="4"/>
  <c r="K20" i="13" s="1"/>
  <c r="T41" i="4"/>
  <c r="S43" i="4"/>
  <c r="K19" i="13" s="1"/>
  <c r="S41" i="4"/>
  <c r="R42" i="4"/>
  <c r="B36" i="4" l="1"/>
  <c r="B39" i="4"/>
  <c r="B37" i="4"/>
  <c r="B42" i="4"/>
  <c r="J46" i="2"/>
  <c r="K40" i="2"/>
  <c r="K46" i="2" s="1"/>
  <c r="I46" i="2"/>
  <c r="J39" i="2"/>
  <c r="L46" i="2"/>
  <c r="L39" i="2"/>
  <c r="K33" i="2"/>
  <c r="K39" i="2" s="1"/>
  <c r="I39" i="2"/>
  <c r="U146" i="2"/>
  <c r="I233" i="2"/>
  <c r="L152" i="2"/>
  <c r="L158" i="2" s="1"/>
  <c r="H158" i="2"/>
  <c r="I152" i="2"/>
  <c r="K152" i="2" s="1"/>
  <c r="G158" i="2"/>
  <c r="H123" i="2"/>
  <c r="U142" i="2"/>
  <c r="U144" i="2" s="1"/>
  <c r="D22" i="13" s="1"/>
  <c r="G123" i="2"/>
  <c r="I123" i="2"/>
  <c r="L122" i="2"/>
  <c r="L123" i="2" s="1"/>
  <c r="G137" i="2"/>
  <c r="L131" i="2"/>
  <c r="H137" i="2"/>
  <c r="G233" i="2"/>
  <c r="H238" i="2" s="1"/>
  <c r="E233" i="2"/>
  <c r="D8" i="11" s="1"/>
  <c r="U117" i="2"/>
  <c r="J123" i="2"/>
  <c r="K117" i="2"/>
  <c r="K123" i="2" s="1"/>
  <c r="A124" i="2"/>
  <c r="A131" i="2" s="1"/>
  <c r="A138" i="2" s="1"/>
  <c r="A145" i="2" s="1"/>
  <c r="A152" i="2" s="1"/>
  <c r="A159" i="2" s="1"/>
  <c r="A166" i="2" s="1"/>
  <c r="A173" i="2" s="1"/>
  <c r="A180" i="2" s="1"/>
  <c r="A187" i="2" s="1"/>
  <c r="A194" i="2" s="1"/>
  <c r="A201" i="2" s="1"/>
  <c r="A208" i="2" s="1"/>
  <c r="K6" i="13"/>
  <c r="K19" i="2"/>
  <c r="K25" i="2" s="1"/>
  <c r="U19" i="2"/>
  <c r="U25" i="2" s="1"/>
  <c r="N25" i="2" s="1"/>
  <c r="K47" i="2"/>
  <c r="U47" i="2"/>
  <c r="L194" i="2"/>
  <c r="L200" i="2" s="1"/>
  <c r="J194" i="2"/>
  <c r="J200" i="2" s="1"/>
  <c r="K194" i="2"/>
  <c r="K200" i="2" s="1"/>
  <c r="U194" i="2"/>
  <c r="G18" i="2"/>
  <c r="H18" i="2"/>
  <c r="J12" i="2"/>
  <c r="J18" i="2" s="1"/>
  <c r="K55" i="2"/>
  <c r="L47" i="2"/>
  <c r="U34" i="2"/>
  <c r="H38" i="4" s="1"/>
  <c r="L18" i="2"/>
  <c r="G200" i="2"/>
  <c r="K12" i="2"/>
  <c r="K18" i="2" s="1"/>
  <c r="I18" i="2"/>
  <c r="I180" i="2"/>
  <c r="U180" i="2" s="1"/>
  <c r="G186" i="2"/>
  <c r="L180" i="2"/>
  <c r="L186" i="2" s="1"/>
  <c r="H186" i="2"/>
  <c r="U64" i="2"/>
  <c r="I200" i="2"/>
  <c r="U63" i="2"/>
  <c r="L60" i="2"/>
  <c r="U41" i="2"/>
  <c r="U51" i="2"/>
  <c r="I60" i="2"/>
  <c r="K54" i="2"/>
  <c r="J60" i="2"/>
  <c r="K131" i="2"/>
  <c r="B34" i="13"/>
  <c r="L82" i="2"/>
  <c r="L88" i="2" s="1"/>
  <c r="H88" i="2"/>
  <c r="I102" i="2"/>
  <c r="U102" i="2"/>
  <c r="D16" i="13" s="1"/>
  <c r="K124" i="2"/>
  <c r="K130" i="2" s="1"/>
  <c r="I130" i="2"/>
  <c r="J130" i="2"/>
  <c r="L130" i="2"/>
  <c r="J116" i="2"/>
  <c r="H165" i="2"/>
  <c r="I82" i="2"/>
  <c r="U82" i="2" s="1"/>
  <c r="G109" i="2"/>
  <c r="J75" i="2"/>
  <c r="J172" i="2"/>
  <c r="H27" i="13"/>
  <c r="J82" i="2"/>
  <c r="J88" i="2" s="1"/>
  <c r="J131" i="2"/>
  <c r="G116" i="2"/>
  <c r="J165" i="2"/>
  <c r="G144" i="2"/>
  <c r="H172" i="2"/>
  <c r="G32" i="2"/>
  <c r="J19" i="2"/>
  <c r="J25" i="2" s="1"/>
  <c r="K62" i="2"/>
  <c r="H32" i="2"/>
  <c r="G67" i="2"/>
  <c r="H116" i="2"/>
  <c r="J152" i="2"/>
  <c r="K102" i="2"/>
  <c r="G172" i="2"/>
  <c r="H109" i="2"/>
  <c r="J103" i="2"/>
  <c r="J109" i="2" s="1"/>
  <c r="H10" i="13"/>
  <c r="K154" i="2"/>
  <c r="J144" i="2"/>
  <c r="H144" i="2"/>
  <c r="J26" i="2"/>
  <c r="J32" i="2" s="1"/>
  <c r="J154" i="2"/>
  <c r="H28" i="13"/>
  <c r="J180" i="2"/>
  <c r="G179" i="2"/>
  <c r="U189" i="2"/>
  <c r="U162" i="2"/>
  <c r="U161" i="2"/>
  <c r="K103" i="2"/>
  <c r="K109" i="2" s="1"/>
  <c r="L61" i="2"/>
  <c r="L67" i="2" s="1"/>
  <c r="G43" i="4"/>
  <c r="K7" i="13" s="1"/>
  <c r="G40" i="4"/>
  <c r="U196" i="2"/>
  <c r="U6" i="2"/>
  <c r="H179" i="2"/>
  <c r="L179" i="2"/>
  <c r="K144" i="2"/>
  <c r="U169" i="2"/>
  <c r="U170" i="2"/>
  <c r="I41" i="4"/>
  <c r="I40" i="4"/>
  <c r="U133" i="2"/>
  <c r="K133" i="2"/>
  <c r="U125" i="2"/>
  <c r="U160" i="2"/>
  <c r="U171" i="2"/>
  <c r="AD41" i="4"/>
  <c r="AD40" i="4"/>
  <c r="U175" i="2"/>
  <c r="K75" i="2"/>
  <c r="U13" i="2"/>
  <c r="U95" i="2"/>
  <c r="D15" i="13" s="1"/>
  <c r="L136" i="2"/>
  <c r="U197" i="2"/>
  <c r="U163" i="2"/>
  <c r="U32" i="2"/>
  <c r="N32" i="2" s="1"/>
  <c r="K26" i="2"/>
  <c r="K32" i="2" s="1"/>
  <c r="U167" i="2"/>
  <c r="U116" i="2"/>
  <c r="D18" i="13" s="1"/>
  <c r="K116" i="2"/>
  <c r="K24" i="13"/>
  <c r="K15" i="13"/>
  <c r="AD43" i="4"/>
  <c r="K30" i="13" s="1"/>
  <c r="G214" i="2"/>
  <c r="U206" i="2"/>
  <c r="U205" i="2"/>
  <c r="U204" i="2"/>
  <c r="H214" i="2"/>
  <c r="U213" i="2"/>
  <c r="C4" i="13"/>
  <c r="U122" i="2"/>
  <c r="U119" i="2"/>
  <c r="U120" i="2"/>
  <c r="I136" i="2"/>
  <c r="U134" i="2"/>
  <c r="U121" i="2"/>
  <c r="D43" i="4"/>
  <c r="K4" i="13" s="1"/>
  <c r="I95" i="2"/>
  <c r="D41" i="4"/>
  <c r="I116" i="2"/>
  <c r="L116" i="2"/>
  <c r="U57" i="2"/>
  <c r="U58" i="2"/>
  <c r="U36" i="2"/>
  <c r="U33" i="2"/>
  <c r="U35" i="2"/>
  <c r="I43" i="4"/>
  <c r="K9" i="13" s="1"/>
  <c r="U66" i="2"/>
  <c r="J61" i="2"/>
  <c r="J67" i="2" s="1"/>
  <c r="L109" i="2"/>
  <c r="I109" i="2"/>
  <c r="G41" i="4"/>
  <c r="I172" i="2"/>
  <c r="H29" i="13"/>
  <c r="M229" i="2"/>
  <c r="I144" i="2"/>
  <c r="U106" i="2"/>
  <c r="U45" i="2"/>
  <c r="U78" i="2"/>
  <c r="U50" i="2"/>
  <c r="U59" i="2"/>
  <c r="U43" i="2"/>
  <c r="I32" i="2"/>
  <c r="L32" i="2"/>
  <c r="H53" i="2"/>
  <c r="G53" i="2"/>
  <c r="B239" i="2"/>
  <c r="C239" i="2"/>
  <c r="H25" i="13"/>
  <c r="H15" i="13"/>
  <c r="H19" i="13"/>
  <c r="H17" i="13"/>
  <c r="H3" i="13"/>
  <c r="K3" i="13"/>
  <c r="H81" i="2"/>
  <c r="J78" i="2"/>
  <c r="G102" i="2"/>
  <c r="G81" i="2"/>
  <c r="H74" i="2"/>
  <c r="J230" i="2"/>
  <c r="I25" i="2"/>
  <c r="J229" i="2"/>
  <c r="K229" i="2" s="1"/>
  <c r="H25" i="2"/>
  <c r="L25" i="2"/>
  <c r="J136" i="2"/>
  <c r="L230" i="2"/>
  <c r="G25" i="2"/>
  <c r="M228" i="2"/>
  <c r="J68" i="2"/>
  <c r="J74" i="2" s="1"/>
  <c r="G165" i="2"/>
  <c r="J231" i="2"/>
  <c r="K231" i="2" s="1"/>
  <c r="I81" i="2"/>
  <c r="G74" i="2"/>
  <c r="I68" i="2"/>
  <c r="U68" i="2" s="1"/>
  <c r="H102" i="2"/>
  <c r="L144" i="2" s="1"/>
  <c r="J227" i="2"/>
  <c r="K227" i="2" s="1"/>
  <c r="L81" i="2"/>
  <c r="H95" i="2"/>
  <c r="L74" i="2"/>
  <c r="L165" i="2"/>
  <c r="G95" i="2"/>
  <c r="L227" i="2"/>
  <c r="M227" i="2" s="1"/>
  <c r="J182" i="2"/>
  <c r="J228" i="2"/>
  <c r="K228" i="2" s="1"/>
  <c r="I179" i="2"/>
  <c r="I165" i="2"/>
  <c r="L172" i="2"/>
  <c r="G151" i="2"/>
  <c r="I182" i="2"/>
  <c r="U182" i="2" s="1"/>
  <c r="H151" i="2"/>
  <c r="L151" i="2"/>
  <c r="D7" i="11"/>
  <c r="G238" i="2"/>
  <c r="H40" i="4" l="1"/>
  <c r="B40" i="4" s="1"/>
  <c r="B38" i="4"/>
  <c r="H43" i="4"/>
  <c r="H41" i="4"/>
  <c r="B41" i="4" s="1"/>
  <c r="J158" i="2"/>
  <c r="I158" i="2"/>
  <c r="U152" i="2"/>
  <c r="U158" i="2" s="1"/>
  <c r="D24" i="13" s="1"/>
  <c r="K158" i="2"/>
  <c r="D9" i="11"/>
  <c r="L137" i="2"/>
  <c r="J137" i="2"/>
  <c r="I137" i="2"/>
  <c r="F238" i="2"/>
  <c r="U123" i="2"/>
  <c r="K180" i="2"/>
  <c r="U186" i="2"/>
  <c r="K60" i="2"/>
  <c r="I88" i="2"/>
  <c r="U52" i="2"/>
  <c r="U18" i="2"/>
  <c r="N18" i="2" s="1"/>
  <c r="F4" i="13" s="1"/>
  <c r="U11" i="2"/>
  <c r="N11" i="2" s="1"/>
  <c r="U67" i="2"/>
  <c r="N67" i="2" s="1"/>
  <c r="J186" i="2"/>
  <c r="I186" i="2"/>
  <c r="U193" i="2"/>
  <c r="D29" i="13" s="1"/>
  <c r="U200" i="2"/>
  <c r="D30" i="13" s="1"/>
  <c r="H34" i="13"/>
  <c r="U81" i="2"/>
  <c r="D13" i="13" s="1"/>
  <c r="K82" i="2"/>
  <c r="K88" i="2" s="1"/>
  <c r="J81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J151" i="2"/>
  <c r="K61" i="2"/>
  <c r="K67" i="2" s="1"/>
  <c r="I67" i="2"/>
  <c r="J95" i="2"/>
  <c r="J179" i="2"/>
  <c r="U165" i="2"/>
  <c r="N165" i="2" s="1"/>
  <c r="F25" i="13" s="1"/>
  <c r="U130" i="2"/>
  <c r="U172" i="2"/>
  <c r="N172" i="2" s="1"/>
  <c r="F26" i="13" s="1"/>
  <c r="U179" i="2"/>
  <c r="D27" i="13" s="1"/>
  <c r="K182" i="2"/>
  <c r="U74" i="2"/>
  <c r="K68" i="2"/>
  <c r="K74" i="2" s="1"/>
  <c r="K136" i="2"/>
  <c r="K137" i="2" s="1"/>
  <c r="U39" i="2"/>
  <c r="D7" i="13" s="1"/>
  <c r="I151" i="2"/>
  <c r="K151" i="2"/>
  <c r="M230" i="2"/>
  <c r="K230" i="2"/>
  <c r="L214" i="2"/>
  <c r="J214" i="2"/>
  <c r="U203" i="2"/>
  <c r="U207" i="2" s="1"/>
  <c r="K214" i="2"/>
  <c r="I214" i="2"/>
  <c r="U214" i="2"/>
  <c r="D6" i="13"/>
  <c r="D5" i="13"/>
  <c r="U136" i="2"/>
  <c r="N102" i="2"/>
  <c r="F16" i="13" s="1"/>
  <c r="U56" i="2"/>
  <c r="N116" i="2"/>
  <c r="F18" i="13" s="1"/>
  <c r="F6" i="13"/>
  <c r="K179" i="2"/>
  <c r="N144" i="2"/>
  <c r="F22" i="13" s="1"/>
  <c r="K165" i="2"/>
  <c r="K172" i="2"/>
  <c r="I74" i="2"/>
  <c r="U49" i="2"/>
  <c r="I53" i="2"/>
  <c r="U42" i="2"/>
  <c r="U46" i="2" s="1"/>
  <c r="U109" i="2"/>
  <c r="D17" i="13" s="1"/>
  <c r="F5" i="13"/>
  <c r="K81" i="2"/>
  <c r="U147" i="2"/>
  <c r="L53" i="2"/>
  <c r="J53" i="2"/>
  <c r="L95" i="2"/>
  <c r="J102" i="2"/>
  <c r="L102" i="2"/>
  <c r="D239" i="2"/>
  <c r="D32" i="13" l="1"/>
  <c r="K8" i="13"/>
  <c r="K34" i="13" s="1"/>
  <c r="B43" i="4"/>
  <c r="N158" i="2"/>
  <c r="F24" i="13" s="1"/>
  <c r="U137" i="2"/>
  <c r="D21" i="13" s="1"/>
  <c r="K186" i="2"/>
  <c r="D12" i="13"/>
  <c r="N74" i="2"/>
  <c r="F12" i="13" s="1"/>
  <c r="U53" i="2"/>
  <c r="D9" i="13" s="1"/>
  <c r="D8" i="13"/>
  <c r="N46" i="2"/>
  <c r="F8" i="13" s="1"/>
  <c r="C32" i="13"/>
  <c r="C33" i="13" s="1"/>
  <c r="K53" i="2"/>
  <c r="N193" i="2"/>
  <c r="F29" i="13" s="1"/>
  <c r="D28" i="13"/>
  <c r="U88" i="2"/>
  <c r="D14" i="13" s="1"/>
  <c r="D20" i="13"/>
  <c r="N130" i="2"/>
  <c r="F20" i="13" s="1"/>
  <c r="N81" i="2"/>
  <c r="F13" i="13" s="1"/>
  <c r="F11" i="13"/>
  <c r="D4" i="13"/>
  <c r="N200" i="2"/>
  <c r="F30" i="13" s="1"/>
  <c r="D25" i="13"/>
  <c r="D26" i="13"/>
  <c r="N186" i="2"/>
  <c r="F28" i="13" s="1"/>
  <c r="N179" i="2"/>
  <c r="F27" i="13" s="1"/>
  <c r="N214" i="2"/>
  <c r="F32" i="13" s="1"/>
  <c r="D3" i="13"/>
  <c r="D19" i="13"/>
  <c r="N123" i="2"/>
  <c r="F19" i="13" s="1"/>
  <c r="N39" i="2"/>
  <c r="F7" i="13" s="1"/>
  <c r="U60" i="2"/>
  <c r="N109" i="2"/>
  <c r="F17" i="13" s="1"/>
  <c r="U151" i="2"/>
  <c r="F3" i="13"/>
  <c r="G239" i="2"/>
  <c r="F239" i="2"/>
  <c r="H239" i="2"/>
  <c r="N137" i="2" l="1"/>
  <c r="F21" i="13" s="1"/>
  <c r="U226" i="2"/>
  <c r="N53" i="2"/>
  <c r="F9" i="13" s="1"/>
  <c r="C34" i="13"/>
  <c r="D10" i="13"/>
  <c r="N60" i="2"/>
  <c r="F10" i="13" s="1"/>
  <c r="N88" i="2"/>
  <c r="F14" i="13" s="1"/>
  <c r="D11" i="13"/>
  <c r="N207" i="2"/>
  <c r="F31" i="13" s="1"/>
  <c r="D31" i="13"/>
  <c r="D23" i="13"/>
  <c r="N151" i="2"/>
  <c r="F23" i="13" s="1"/>
  <c r="E3" i="13"/>
  <c r="K95" i="2"/>
  <c r="N95" i="2"/>
  <c r="E4" i="13" l="1"/>
  <c r="E5" i="13" s="1"/>
  <c r="E6" i="13" s="1"/>
  <c r="E7" i="13" s="1"/>
  <c r="E8" i="13" s="1"/>
  <c r="E9" i="13" s="1"/>
  <c r="E10" i="13" s="1"/>
  <c r="E11" i="13" s="1"/>
  <c r="F15" i="13"/>
  <c r="E12" i="13" l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H233" i="2" l="1"/>
  <c r="I240" i="2" l="1"/>
  <c r="C5" i="11" s="1"/>
  <c r="B5" i="11" s="1"/>
  <c r="G235" i="2"/>
  <c r="J226" i="2"/>
  <c r="J233" i="2" s="1"/>
  <c r="L226" i="2"/>
  <c r="L233" i="2" s="1"/>
  <c r="K226" i="2" l="1"/>
  <c r="C6" i="11"/>
  <c r="B6" i="11" s="1"/>
  <c r="M226" i="2"/>
  <c r="C7" i="11"/>
  <c r="B7" i="11" s="1"/>
  <c r="M233" i="2" l="1"/>
  <c r="C9" i="11" s="1"/>
  <c r="B9" i="11" s="1"/>
  <c r="K233" i="2"/>
  <c r="C8" i="11" s="1"/>
  <c r="B8" i="11" s="1"/>
  <c r="F34" i="13"/>
  <c r="D34" i="13" l="1"/>
  <c r="E34" i="13"/>
</calcChain>
</file>

<file path=xl/comments1.xml><?xml version="1.0" encoding="utf-8"?>
<comments xmlns="http://schemas.openxmlformats.org/spreadsheetml/2006/main">
  <authors>
    <author>Autor</author>
  </authors>
  <commentList>
    <comment ref="S47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8599
Estación El Belloto, anden 1. Servicio 611 XT-31-28 ( viaje 88) es acoplado para cumplir con oferta de equipos en unidad múltiple.</t>
        </r>
      </text>
    </comment>
    <comment ref="S5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8625
Estación El Belloto, anden 1. Servicio 610 XT-23-12 (viaje 86) es acoplado para cumplir con oferta de equipos en unidad múltiple.</t>
        </r>
      </text>
    </comment>
    <comment ref="P166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9165 Estación El Belloto, andén 1. Servicio 658 XT 31-32 (viaje 30), 661 XT 05-02 (viaje 36), 651 XT 26-06 (viaje 42), 654 XT 23- 27 (viaje 48), son desacoplados</t>
        </r>
      </text>
    </comment>
    <comment ref="S167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Incidentes 9166 Estación El Belloto, anden 2. Servicio 659 XT-34-30 (viaje 77) es acoplado para cumplir con oferta de equipos en unidad múltiple.</t>
        </r>
      </text>
    </comment>
    <comment ref="P173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9212 Estación El Belloto, anden 1. Servicio 454 XT 17-19 (viaje 24), 657 XT 33-31 (viaje 28), 660 XT 16-09 (viaje 34), 661 XT 06- 24 (viaje 36), 662 XT 07-19 (viaje 38)653 XT 10-04 (viaje 46) son desacoplados.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9226 Estación El Belloto, anden 2. Servicio 655 XT-34-28 (viaje 121) es acoplado para cumplir con oferta de equipos en unidad múltiple.</t>
        </r>
      </text>
    </comment>
    <comment ref="P20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9312 Estación El Belloto, anden 1. Servicio 658 XT-35-33 (viaje 30), 660 XT-16-27 (viaje 34), 652 XT-01-13 (viaje 44), 654 XT-15-21 (viaje 48), 655 XT-06-11 (viaje 50) y 657 XT-09-08 (viaje 54) son desacoplados.</t>
        </r>
      </text>
    </comment>
  </commentList>
</comments>
</file>

<file path=xl/sharedStrings.xml><?xml version="1.0" encoding="utf-8"?>
<sst xmlns="http://schemas.openxmlformats.org/spreadsheetml/2006/main" count="766" uniqueCount="226">
  <si>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</si>
  <si>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</si>
  <si>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</si>
  <si>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</si>
  <si>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</si>
  <si>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</si>
  <si>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</si>
  <si>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</si>
  <si>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</si>
  <si>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</si>
  <si>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</si>
  <si>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</si>
  <si>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</si>
  <si>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</si>
  <si>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</si>
  <si>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</si>
  <si>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</si>
  <si>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</si>
  <si>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</si>
  <si>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</si>
  <si>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</si>
  <si>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</si>
  <si>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</si>
  <si>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</si>
  <si>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</si>
  <si>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</si>
  <si>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</si>
  <si>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</si>
  <si>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</si>
  <si>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</si>
  <si>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</si>
  <si>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</si>
  <si>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</si>
  <si>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</si>
  <si>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</si>
  <si>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</si>
  <si>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</si>
  <si>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</si>
  <si>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</si>
  <si>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</si>
  <si>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</si>
  <si>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</si>
  <si>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</si>
  <si>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</si>
  <si>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</si>
  <si>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</si>
  <si>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</si>
  <si>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</si>
  <si>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</si>
  <si>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</si>
  <si>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</si>
  <si>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</si>
  <si>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</si>
  <si>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</si>
  <si>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</si>
  <si>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</si>
  <si>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</si>
  <si>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</si>
  <si>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</si>
  <si>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</si>
  <si>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</si>
  <si>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</si>
  <si>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</si>
  <si>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</si>
  <si>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</si>
  <si>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</si>
  <si>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</si>
  <si>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</si>
  <si>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</si>
  <si>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</si>
  <si>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</si>
  <si>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</si>
  <si>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</si>
  <si>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</si>
  <si>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</si>
  <si>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</si>
  <si>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</si>
  <si>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</si>
  <si>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</si>
  <si>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</si>
  <si>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</si>
  <si>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</si>
  <si>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</si>
  <si>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</si>
  <si>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</si>
  <si>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</si>
  <si>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</si>
  <si>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</si>
  <si>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</si>
  <si>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</si>
  <si>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</si>
  <si>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</si>
  <si>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</si>
  <si>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</si>
  <si>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</si>
  <si>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</si>
  <si>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</si>
  <si>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</si>
  <si>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</si>
  <si>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</si>
  <si>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</si>
  <si>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</si>
  <si>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</si>
  <si>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</si>
  <si>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</si>
  <si>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</si>
  <si>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</si>
  <si>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</si>
  <si>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</si>
  <si>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</si>
  <si>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</si>
  <si>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</si>
  <si>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</si>
  <si>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</si>
  <si>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</si>
  <si>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</si>
  <si>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</si>
  <si>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</si>
  <si>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</si>
  <si>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</si>
  <si>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</si>
  <si>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</si>
  <si>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</si>
  <si>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</si>
  <si>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</si>
  <si>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</si>
  <si>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</si>
  <si>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</si>
  <si>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</si>
  <si>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</si>
  <si>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</si>
  <si>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</si>
  <si>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</si>
  <si>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IR</t>
  </si>
  <si>
    <t>Indice Regularidad (QU-via 2) 7:10am a 8:10am</t>
  </si>
  <si>
    <t>TKB (no TKBC)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</si>
  <si>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</si>
  <si>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</si>
  <si>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</si>
  <si>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</si>
  <si>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</si>
  <si>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</si>
  <si>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</si>
  <si>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</si>
  <si>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</si>
  <si>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</si>
  <si>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</si>
  <si>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</si>
  <si>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</si>
  <si>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</si>
  <si>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</si>
  <si>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</si>
  <si>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Corte EB (600)</t>
  </si>
  <si>
    <t>Acople EB (600)</t>
  </si>
  <si>
    <t>Corte EB (400)</t>
  </si>
  <si>
    <t>Acople/Corte SA (600)</t>
  </si>
  <si>
    <t>HO-LI/LI-HO</t>
  </si>
  <si>
    <t>VM-PU</t>
  </si>
  <si>
    <t>VM-LI</t>
  </si>
  <si>
    <t>PU-MI</t>
  </si>
  <si>
    <t>Acople EB (600) vía 1</t>
  </si>
  <si>
    <t>PU-ES</t>
  </si>
  <si>
    <t>Trenes PU-ES</t>
  </si>
  <si>
    <t>Trenes LI-QU</t>
  </si>
  <si>
    <t>Corte PE (600) vía 1</t>
  </si>
  <si>
    <t>Corte PE (600)</t>
  </si>
  <si>
    <t>Corte EB (600) vía 2</t>
  </si>
  <si>
    <t>PE-LI</t>
  </si>
  <si>
    <t>Servicios PU-ES</t>
  </si>
  <si>
    <t>Servicios ES-PU</t>
  </si>
  <si>
    <t>Servicios LI-QU</t>
  </si>
  <si>
    <t>Servicios QU-LI</t>
  </si>
  <si>
    <t>Trenes ES-PU</t>
  </si>
  <si>
    <t>Trenes QU-LI</t>
  </si>
  <si>
    <t>PU-QU</t>
  </si>
  <si>
    <t>Octubre  2024</t>
  </si>
  <si>
    <t>Oferta Octubre 2024</t>
  </si>
  <si>
    <t>PLANILLA SABADO NUEVA</t>
  </si>
  <si>
    <t>PLANILLA DOMINGO NUEVA</t>
  </si>
  <si>
    <t>XT-1</t>
  </si>
  <si>
    <t>2.39</t>
  </si>
  <si>
    <t>XT-2</t>
  </si>
  <si>
    <t>-0.3</t>
  </si>
  <si>
    <t>XT-3</t>
  </si>
  <si>
    <t>0.7</t>
  </si>
  <si>
    <t>XT-4</t>
  </si>
  <si>
    <t>XT-5</t>
  </si>
  <si>
    <t>XT-6</t>
  </si>
  <si>
    <t>XT-7</t>
  </si>
  <si>
    <t>XT-8</t>
  </si>
  <si>
    <t>1.48</t>
  </si>
  <si>
    <t>XT-9</t>
  </si>
  <si>
    <t>-0.26</t>
  </si>
  <si>
    <t>XT-10</t>
  </si>
  <si>
    <t>1.7</t>
  </si>
  <si>
    <t>XT-11</t>
  </si>
  <si>
    <t>XT-12</t>
  </si>
  <si>
    <t>XT-13</t>
  </si>
  <si>
    <t>XT-14</t>
  </si>
  <si>
    <t>XT-15</t>
  </si>
  <si>
    <t>XT-16</t>
  </si>
  <si>
    <t>1.17</t>
  </si>
  <si>
    <t>XT-17</t>
  </si>
  <si>
    <t>XT-18</t>
  </si>
  <si>
    <t>-1.3</t>
  </si>
  <si>
    <t>XT-19</t>
  </si>
  <si>
    <t>XT-20</t>
  </si>
  <si>
    <t>1.83</t>
  </si>
  <si>
    <t>XT-21</t>
  </si>
  <si>
    <t>XT-22</t>
  </si>
  <si>
    <t>XT-23</t>
  </si>
  <si>
    <t>-0.13</t>
  </si>
  <si>
    <t>XT-24</t>
  </si>
  <si>
    <t>4.04</t>
  </si>
  <si>
    <t>XT-25</t>
  </si>
  <si>
    <t>XT-26</t>
  </si>
  <si>
    <t>-0.17</t>
  </si>
  <si>
    <t>XT-27</t>
  </si>
  <si>
    <t>XT-28</t>
  </si>
  <si>
    <t>XT-29</t>
  </si>
  <si>
    <t>XT-30</t>
  </si>
  <si>
    <t>XT-31</t>
  </si>
  <si>
    <t>XT-32</t>
  </si>
  <si>
    <t>XT-33</t>
  </si>
  <si>
    <t>XT-34</t>
  </si>
  <si>
    <t>XT-35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</si>
</sst>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d/mmm/yy"/>
    <numFmt numFmtId="166" formatCode="d/m/yy;@"/>
    <numFmt numFmtId="167" formatCode="0.0"/>
    <numFmt numFmtId="168" formatCode="dd/mm/yy;@"/>
    <numFmt numFmtId="169" formatCode="_-* #,##0\ _€_-;\-* #,##0\ _€_-;_-* &quot;-&quot;??\ _€_-;_-@_-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8"/>
      <color rgb="FF6E6B7B"/>
      <name val="Helvetica"/>
      <family val="2"/>
    </font>
  </fonts>
  <fills count="66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49"/>
      </patternFill>
    </fill>
    <fill>
      <patternFill patternType="solid">
        <fgColor rgb="FFFFC000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F5C3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EBE9F1"/>
      </left>
      <right style="medium">
        <color rgb="FFEBE9F1"/>
      </right>
      <top style="medium">
        <color rgb="FFEBE9F1"/>
      </top>
      <bottom style="medium">
        <color rgb="FFEBE9F1"/>
      </bottom>
      <diagonal/>
    </border>
    <border>
      <left/>
      <right style="medium">
        <color rgb="FFEBE9F1"/>
      </right>
      <top/>
      <bottom style="medium">
        <color rgb="FFEBE9F1"/>
      </bottom>
      <diagonal/>
    </border>
  </borders>
  <cellStyleXfs count="84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12" borderId="0" applyNumberFormat="0" applyBorder="0" applyAlignment="0" applyProtection="0"/>
    <xf numFmtId="0" fontId="12" fillId="25" borderId="0" applyNumberFormat="0" applyBorder="0" applyAlignment="0" applyProtection="0"/>
    <xf numFmtId="0" fontId="12" fillId="11" borderId="0" applyNumberFormat="0" applyBorder="0" applyAlignment="0" applyProtection="0"/>
    <xf numFmtId="0" fontId="12" fillId="2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24" fillId="26" borderId="0" applyNumberFormat="0" applyBorder="0" applyAlignment="0" applyProtection="0"/>
    <xf numFmtId="0" fontId="24" fillId="25" borderId="0" applyNumberFormat="0" applyBorder="0" applyAlignment="0" applyProtection="0"/>
    <xf numFmtId="0" fontId="24" fillId="11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5" fillId="16" borderId="0" applyNumberFormat="0" applyBorder="0" applyAlignment="0" applyProtection="0"/>
    <xf numFmtId="0" fontId="28" fillId="10" borderId="51" applyNumberFormat="0" applyAlignment="0" applyProtection="0"/>
    <xf numFmtId="0" fontId="26" fillId="30" borderId="52" applyNumberFormat="0" applyAlignment="0" applyProtection="0"/>
    <xf numFmtId="0" fontId="27" fillId="0" borderId="53" applyNumberFormat="0" applyFill="0" applyAlignment="0" applyProtection="0"/>
    <xf numFmtId="0" fontId="29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4" fillId="6" borderId="0" applyNumberFormat="0" applyBorder="0" applyAlignment="0" applyProtection="0"/>
    <xf numFmtId="0" fontId="24" fillId="32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33" borderId="0" applyNumberFormat="0" applyBorder="0" applyAlignment="0" applyProtection="0"/>
    <xf numFmtId="0" fontId="30" fillId="24" borderId="51" applyNumberFormat="0" applyAlignment="0" applyProtection="0"/>
    <xf numFmtId="0" fontId="31" fillId="21" borderId="0" applyNumberFormat="0" applyBorder="0" applyAlignment="0" applyProtection="0"/>
    <xf numFmtId="0" fontId="32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2" fillId="35" borderId="54" applyNumberFormat="0" applyAlignment="0" applyProtection="0"/>
    <xf numFmtId="0" fontId="33" fillId="10" borderId="55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6" applyNumberFormat="0" applyFill="0" applyAlignment="0" applyProtection="0"/>
    <xf numFmtId="0" fontId="38" fillId="0" borderId="57" applyNumberFormat="0" applyFill="0" applyAlignment="0" applyProtection="0"/>
    <xf numFmtId="0" fontId="29" fillId="0" borderId="58" applyNumberFormat="0" applyFill="0" applyAlignment="0" applyProtection="0"/>
    <xf numFmtId="0" fontId="11" fillId="0" borderId="59" applyNumberFormat="0" applyFill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8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" fillId="0" borderId="0"/>
    <xf numFmtId="0" fontId="4" fillId="0" borderId="0"/>
  </cellStyleXfs>
  <cellXfs count="369">
    <xf numFmtId="0" fontId="0" fillId="0" borderId="0" xfId="0"/>
    <xf numFmtId="17" fontId="4" fillId="0" borderId="0" xfId="2" applyNumberFormat="1"/>
    <xf numFmtId="0" fontId="4" fillId="0" borderId="0" xfId="2"/>
    <xf numFmtId="0" fontId="6" fillId="2" borderId="0" xfId="2" applyFont="1" applyFill="1" applyAlignment="1">
      <alignment horizontal="center"/>
    </xf>
    <xf numFmtId="0" fontId="6" fillId="0" borderId="0" xfId="2" applyFont="1" applyFill="1" applyAlignment="1">
      <alignment horizontal="center"/>
    </xf>
    <xf numFmtId="3" fontId="6" fillId="3" borderId="1" xfId="2" applyNumberFormat="1" applyFont="1" applyFill="1" applyBorder="1" applyAlignment="1">
      <alignment horizontal="center" wrapText="1"/>
    </xf>
    <xf numFmtId="3" fontId="7" fillId="3" borderId="1" xfId="2" applyNumberFormat="1" applyFont="1" applyFill="1" applyBorder="1" applyAlignment="1">
      <alignment horizontal="center" wrapText="1"/>
    </xf>
    <xf numFmtId="3" fontId="6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10" fillId="0" borderId="0" xfId="4" applyFont="1"/>
    <xf numFmtId="0" fontId="4" fillId="4" borderId="0" xfId="4" applyFont="1" applyFill="1" applyAlignment="1">
      <alignment horizontal="center"/>
    </xf>
    <xf numFmtId="3" fontId="4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8" fillId="5" borderId="2" xfId="4" applyNumberFormat="1" applyFont="1" applyFill="1" applyBorder="1" applyAlignment="1">
      <alignment horizontal="center" wrapText="1"/>
    </xf>
    <xf numFmtId="0" fontId="4" fillId="0" borderId="0" xfId="4" applyFont="1"/>
    <xf numFmtId="0" fontId="4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6" fillId="0" borderId="0" xfId="2" applyFont="1"/>
    <xf numFmtId="0" fontId="6" fillId="0" borderId="0" xfId="2" applyFont="1" applyBorder="1"/>
    <xf numFmtId="0" fontId="6" fillId="0" borderId="0" xfId="0" applyFont="1" applyAlignment="1">
      <alignment horizontal="center"/>
    </xf>
    <xf numFmtId="0" fontId="15" fillId="12" borderId="8" xfId="2" applyFont="1" applyFill="1" applyBorder="1" applyAlignment="1">
      <alignment horizontal="center"/>
    </xf>
    <xf numFmtId="167" fontId="6" fillId="13" borderId="0" xfId="2" applyNumberFormat="1" applyFont="1" applyFill="1" applyAlignment="1">
      <alignment horizontal="center"/>
    </xf>
    <xf numFmtId="0" fontId="16" fillId="0" borderId="2" xfId="0" applyFont="1" applyBorder="1"/>
    <xf numFmtId="0" fontId="17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5" fillId="0" borderId="0" xfId="2" applyFont="1" applyBorder="1"/>
    <xf numFmtId="0" fontId="14" fillId="7" borderId="5" xfId="2" applyFont="1" applyFill="1" applyBorder="1" applyAlignment="1">
      <alignment horizontal="center" vertical="center"/>
    </xf>
    <xf numFmtId="0" fontId="14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8" fillId="0" borderId="28" xfId="0" applyFont="1" applyFill="1" applyBorder="1" applyAlignment="1" applyProtection="1">
      <alignment horizontal="center"/>
      <protection locked="0"/>
    </xf>
    <xf numFmtId="0" fontId="8" fillId="0" borderId="29" xfId="0" applyFont="1" applyFill="1" applyBorder="1" applyAlignment="1" applyProtection="1">
      <alignment horizontal="center"/>
      <protection locked="0"/>
    </xf>
    <xf numFmtId="0" fontId="8" fillId="0" borderId="30" xfId="0" applyFont="1" applyFill="1" applyBorder="1" applyAlignment="1" applyProtection="1">
      <alignment horizontal="center"/>
      <protection locked="0"/>
    </xf>
    <xf numFmtId="0" fontId="8" fillId="0" borderId="31" xfId="0" applyFont="1" applyFill="1" applyBorder="1" applyAlignment="1" applyProtection="1">
      <alignment horizontal="center"/>
      <protection locked="0"/>
    </xf>
    <xf numFmtId="0" fontId="8" fillId="0" borderId="32" xfId="0" applyFont="1" applyFill="1" applyBorder="1" applyAlignment="1" applyProtection="1">
      <alignment horizontal="center"/>
      <protection locked="0"/>
    </xf>
    <xf numFmtId="0" fontId="8" fillId="0" borderId="33" xfId="0" applyFont="1" applyFill="1" applyBorder="1" applyAlignment="1" applyProtection="1">
      <alignment horizontal="center"/>
      <protection locked="0"/>
    </xf>
    <xf numFmtId="0" fontId="8" fillId="0" borderId="34" xfId="0" applyFont="1" applyFill="1" applyBorder="1" applyAlignment="1" applyProtection="1">
      <alignment horizontal="center"/>
      <protection locked="0"/>
    </xf>
    <xf numFmtId="0" fontId="8" fillId="0" borderId="35" xfId="0" applyFont="1" applyFill="1" applyBorder="1" applyAlignment="1" applyProtection="1">
      <alignment horizontal="center"/>
      <protection locked="0"/>
    </xf>
    <xf numFmtId="0" fontId="8" fillId="0" borderId="36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8" fillId="0" borderId="37" xfId="0" applyFont="1" applyFill="1" applyBorder="1" applyAlignment="1"/>
    <xf numFmtId="167" fontId="4" fillId="0" borderId="0" xfId="0" applyNumberFormat="1" applyFont="1" applyFill="1" applyAlignment="1">
      <alignment horizontal="center"/>
    </xf>
    <xf numFmtId="0" fontId="19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7" fontId="4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8" fontId="14" fillId="6" borderId="7" xfId="2" applyNumberFormat="1" applyFont="1" applyFill="1" applyBorder="1" applyAlignment="1" applyProtection="1">
      <alignment horizontal="center"/>
      <protection locked="0"/>
    </xf>
    <xf numFmtId="165" fontId="6" fillId="2" borderId="0" xfId="2" applyNumberFormat="1" applyFont="1" applyFill="1" applyAlignment="1" applyProtection="1">
      <alignment horizontal="center"/>
      <protection locked="0"/>
    </xf>
    <xf numFmtId="14" fontId="4" fillId="4" borderId="0" xfId="4" applyNumberFormat="1" applyFont="1" applyFill="1" applyAlignment="1" applyProtection="1">
      <alignment horizontal="center"/>
      <protection locked="0"/>
    </xf>
    <xf numFmtId="0" fontId="8" fillId="17" borderId="45" xfId="0" applyFont="1" applyFill="1" applyBorder="1" applyAlignment="1" applyProtection="1">
      <alignment horizontal="center"/>
    </xf>
    <xf numFmtId="0" fontId="8" fillId="15" borderId="38" xfId="0" applyFont="1" applyFill="1" applyBorder="1" applyAlignment="1" applyProtection="1"/>
    <xf numFmtId="0" fontId="8" fillId="15" borderId="39" xfId="0" applyFont="1" applyFill="1" applyBorder="1" applyAlignment="1" applyProtection="1"/>
    <xf numFmtId="0" fontId="8" fillId="15" borderId="40" xfId="0" applyFont="1" applyFill="1" applyBorder="1" applyAlignment="1" applyProtection="1"/>
    <xf numFmtId="0" fontId="8" fillId="15" borderId="41" xfId="0" applyFont="1" applyFill="1" applyBorder="1" applyAlignment="1" applyProtection="1"/>
    <xf numFmtId="0" fontId="8" fillId="15" borderId="42" xfId="0" applyFont="1" applyFill="1" applyBorder="1" applyAlignment="1" applyProtection="1">
      <alignment horizontal="left"/>
    </xf>
    <xf numFmtId="0" fontId="8" fillId="16" borderId="40" xfId="0" applyFont="1" applyFill="1" applyBorder="1" applyAlignment="1" applyProtection="1"/>
    <xf numFmtId="0" fontId="8" fillId="16" borderId="41" xfId="0" applyFont="1" applyFill="1" applyBorder="1" applyAlignment="1" applyProtection="1"/>
    <xf numFmtId="0" fontId="8" fillId="16" borderId="43" xfId="0" applyFont="1" applyFill="1" applyBorder="1" applyAlignment="1" applyProtection="1">
      <alignment horizontal="left"/>
    </xf>
    <xf numFmtId="0" fontId="8" fillId="16" borderId="29" xfId="0" applyFont="1" applyFill="1" applyBorder="1" applyAlignment="1" applyProtection="1">
      <alignment horizontal="left"/>
    </xf>
    <xf numFmtId="0" fontId="8" fillId="16" borderId="36" xfId="0" applyFont="1" applyFill="1" applyBorder="1" applyAlignment="1" applyProtection="1">
      <alignment horizontal="left"/>
    </xf>
    <xf numFmtId="0" fontId="8" fillId="16" borderId="31" xfId="0" applyFont="1" applyFill="1" applyBorder="1" applyAlignment="1" applyProtection="1">
      <alignment horizontal="left"/>
    </xf>
    <xf numFmtId="0" fontId="8" fillId="15" borderId="0" xfId="0" applyFont="1" applyFill="1" applyBorder="1" applyAlignment="1" applyProtection="1">
      <alignment horizontal="left"/>
    </xf>
    <xf numFmtId="0" fontId="20" fillId="0" borderId="0" xfId="0" applyFont="1" applyAlignment="1"/>
    <xf numFmtId="1" fontId="4" fillId="0" borderId="0" xfId="0" applyNumberFormat="1" applyFont="1"/>
    <xf numFmtId="1" fontId="13" fillId="0" borderId="0" xfId="0" applyNumberFormat="1" applyFont="1"/>
    <xf numFmtId="1" fontId="13" fillId="0" borderId="0" xfId="0" applyNumberFormat="1" applyFont="1" applyAlignment="1">
      <alignment horizontal="center"/>
    </xf>
    <xf numFmtId="1" fontId="4" fillId="10" borderId="43" xfId="0" applyNumberFormat="1" applyFont="1" applyFill="1" applyBorder="1" applyAlignment="1">
      <alignment horizontal="left"/>
    </xf>
    <xf numFmtId="167" fontId="4" fillId="0" borderId="0" xfId="0" applyNumberFormat="1" applyFont="1" applyAlignment="1">
      <alignment horizontal="center"/>
    </xf>
    <xf numFmtId="0" fontId="9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9" fillId="0" borderId="0" xfId="0" applyFont="1"/>
    <xf numFmtId="1" fontId="4" fillId="12" borderId="43" xfId="0" applyNumberFormat="1" applyFont="1" applyFill="1" applyBorder="1" applyAlignment="1">
      <alignment horizontal="left"/>
    </xf>
    <xf numFmtId="0" fontId="9" fillId="0" borderId="0" xfId="0" applyFont="1" applyFill="1" applyBorder="1"/>
    <xf numFmtId="1" fontId="4" fillId="0" borderId="0" xfId="0" applyNumberFormat="1" applyFont="1" applyFill="1"/>
    <xf numFmtId="1" fontId="13" fillId="10" borderId="43" xfId="0" applyNumberFormat="1" applyFont="1" applyFill="1" applyBorder="1"/>
    <xf numFmtId="3" fontId="13" fillId="10" borderId="43" xfId="0" applyNumberFormat="1" applyFont="1" applyFill="1" applyBorder="1" applyAlignment="1">
      <alignment horizontal="left"/>
    </xf>
    <xf numFmtId="3" fontId="4" fillId="0" borderId="0" xfId="0" applyNumberFormat="1" applyFont="1" applyFill="1"/>
    <xf numFmtId="1" fontId="13" fillId="10" borderId="43" xfId="0" applyNumberFormat="1" applyFont="1" applyFill="1" applyBorder="1" applyAlignment="1">
      <alignment horizontal="left"/>
    </xf>
    <xf numFmtId="14" fontId="4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9" fillId="0" borderId="0" xfId="2" applyFont="1" applyFill="1" applyBorder="1" applyAlignment="1" applyProtection="1">
      <alignment horizontal="center"/>
      <protection locked="0"/>
    </xf>
    <xf numFmtId="0" fontId="22" fillId="0" borderId="23" xfId="0" applyFont="1" applyBorder="1" applyAlignment="1">
      <alignment horizontal="center"/>
    </xf>
    <xf numFmtId="17" fontId="22" fillId="0" borderId="16" xfId="0" applyNumberFormat="1" applyFont="1" applyBorder="1" applyAlignment="1">
      <alignment horizontal="center"/>
    </xf>
    <xf numFmtId="17" fontId="22" fillId="0" borderId="46" xfId="0" applyNumberFormat="1" applyFont="1" applyBorder="1" applyAlignment="1">
      <alignment horizontal="center"/>
    </xf>
    <xf numFmtId="169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2" fillId="0" borderId="23" xfId="0" applyNumberFormat="1" applyFont="1" applyBorder="1" applyAlignment="1">
      <alignment horizontal="center"/>
    </xf>
    <xf numFmtId="21" fontId="11" fillId="0" borderId="0" xfId="0" applyNumberFormat="1" applyFont="1" applyAlignment="1">
      <alignment horizontal="center"/>
    </xf>
    <xf numFmtId="21" fontId="12" fillId="0" borderId="0" xfId="0" applyNumberFormat="1" applyFont="1" applyAlignment="1">
      <alignment horizontal="center"/>
    </xf>
    <xf numFmtId="0" fontId="22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9" xfId="0" applyBorder="1"/>
    <xf numFmtId="0" fontId="1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60" xfId="2" applyFont="1" applyFill="1" applyBorder="1" applyAlignment="1">
      <alignment horizontal="center"/>
    </xf>
    <xf numFmtId="0" fontId="6" fillId="12" borderId="11" xfId="2" applyFont="1" applyFill="1" applyBorder="1" applyAlignment="1">
      <alignment horizontal="center"/>
    </xf>
    <xf numFmtId="2" fontId="6" fillId="12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4" fillId="6" borderId="8" xfId="2" applyNumberFormat="1" applyFont="1" applyFill="1" applyBorder="1" applyAlignment="1" applyProtection="1">
      <alignment horizontal="center"/>
      <protection locked="0"/>
    </xf>
    <xf numFmtId="0" fontId="15" fillId="12" borderId="10" xfId="2" applyFont="1" applyFill="1" applyBorder="1" applyAlignment="1">
      <alignment horizontal="center"/>
    </xf>
    <xf numFmtId="3" fontId="6" fillId="12" borderId="12" xfId="2" applyNumberFormat="1" applyFont="1" applyFill="1" applyBorder="1" applyAlignment="1">
      <alignment horizontal="center"/>
    </xf>
    <xf numFmtId="0" fontId="0" fillId="0" borderId="0" xfId="0"/>
    <xf numFmtId="0" fontId="6" fillId="38" borderId="0" xfId="0" applyFont="1" applyFill="1" applyBorder="1" applyAlignment="1">
      <alignment horizontal="center"/>
    </xf>
    <xf numFmtId="0" fontId="6" fillId="38" borderId="2" xfId="0" applyFont="1" applyFill="1" applyBorder="1" applyAlignment="1">
      <alignment horizontal="center"/>
    </xf>
    <xf numFmtId="0" fontId="41" fillId="0" borderId="0" xfId="0" applyFont="1"/>
    <xf numFmtId="21" fontId="23" fillId="0" borderId="2" xfId="0" applyNumberFormat="1" applyFont="1" applyBorder="1" applyAlignment="1">
      <alignment horizontal="center"/>
    </xf>
    <xf numFmtId="169" fontId="23" fillId="0" borderId="2" xfId="1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9" fontId="23" fillId="0" borderId="21" xfId="1" applyNumberFormat="1" applyFont="1" applyBorder="1" applyAlignment="1">
      <alignment horizontal="center"/>
    </xf>
    <xf numFmtId="0" fontId="40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4" fillId="37" borderId="2" xfId="6" applyFill="1" applyBorder="1" applyAlignment="1" applyProtection="1">
      <alignment horizontal="center"/>
      <protection locked="0"/>
    </xf>
    <xf numFmtId="0" fontId="8" fillId="39" borderId="45" xfId="0" applyFont="1" applyFill="1" applyBorder="1" applyAlignment="1" applyProtection="1">
      <alignment horizontal="center"/>
    </xf>
    <xf numFmtId="0" fontId="6" fillId="9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1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6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12" borderId="44" xfId="2" applyFont="1" applyFill="1" applyBorder="1" applyAlignment="1">
      <alignment horizontal="center"/>
    </xf>
    <xf numFmtId="0" fontId="6" fillId="12" borderId="64" xfId="2" applyFont="1" applyFill="1" applyBorder="1" applyAlignment="1" applyProtection="1">
      <alignment horizontal="center"/>
    </xf>
    <xf numFmtId="0" fontId="6" fillId="4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15" borderId="68" xfId="0" applyFont="1" applyFill="1" applyBorder="1" applyAlignment="1" applyProtection="1"/>
    <xf numFmtId="0" fontId="4" fillId="41" borderId="2" xfId="6" applyFill="1" applyBorder="1" applyAlignment="1" applyProtection="1">
      <alignment horizontal="center"/>
      <protection locked="0"/>
    </xf>
    <xf numFmtId="0" fontId="14" fillId="6" borderId="5" xfId="2" applyFont="1" applyFill="1" applyBorder="1" applyAlignment="1">
      <alignment horizontal="center"/>
    </xf>
    <xf numFmtId="0" fontId="44" fillId="43" borderId="15" xfId="0" applyFont="1" applyFill="1" applyBorder="1" applyAlignment="1">
      <alignment horizontal="center" vertical="center"/>
    </xf>
    <xf numFmtId="0" fontId="44" fillId="43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5" fillId="0" borderId="2" xfId="0" applyFon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Border="1"/>
    <xf numFmtId="0" fontId="42" fillId="0" borderId="2" xfId="0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167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40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67" fontId="40" fillId="0" borderId="2" xfId="0" applyNumberFormat="1" applyFont="1" applyBorder="1" applyAlignment="1">
      <alignment horizontal="center" vertical="center"/>
    </xf>
    <xf numFmtId="167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8" fillId="44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wrapText="1"/>
    </xf>
    <xf numFmtId="0" fontId="42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7" fillId="14" borderId="2" xfId="0" applyFont="1" applyFill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3" fontId="6" fillId="12" borderId="47" xfId="2" applyNumberFormat="1" applyFont="1" applyFill="1" applyBorder="1" applyAlignment="1">
      <alignment horizontal="center"/>
    </xf>
    <xf numFmtId="0" fontId="0" fillId="47" borderId="0" xfId="0" applyFill="1"/>
    <xf numFmtId="0" fontId="0" fillId="41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1" borderId="72" xfId="0" applyFill="1" applyBorder="1" applyAlignment="1">
      <alignment horizontal="center"/>
    </xf>
    <xf numFmtId="0" fontId="0" fillId="0" borderId="75" xfId="0" applyBorder="1"/>
    <xf numFmtId="0" fontId="0" fillId="46" borderId="71" xfId="0" applyFill="1" applyBorder="1" applyAlignment="1">
      <alignment horizontal="center"/>
    </xf>
    <xf numFmtId="0" fontId="0" fillId="46" borderId="72" xfId="0" applyFill="1" applyBorder="1"/>
    <xf numFmtId="0" fontId="0" fillId="46" borderId="71" xfId="0" applyFill="1" applyBorder="1"/>
    <xf numFmtId="0" fontId="0" fillId="46" borderId="0" xfId="0" applyFill="1"/>
    <xf numFmtId="0" fontId="0" fillId="46" borderId="72" xfId="0" applyFill="1" applyBorder="1" applyAlignment="1">
      <alignment horizontal="center"/>
    </xf>
    <xf numFmtId="0" fontId="0" fillId="46" borderId="73" xfId="0" applyFill="1" applyBorder="1" applyAlignment="1">
      <alignment horizontal="center"/>
    </xf>
    <xf numFmtId="0" fontId="0" fillId="47" borderId="0" xfId="0" applyFill="1" applyAlignment="1">
      <alignment vertical="center" wrapText="1"/>
    </xf>
    <xf numFmtId="3" fontId="6" fillId="48" borderId="2" xfId="2" applyNumberFormat="1" applyFont="1" applyFill="1" applyBorder="1" applyAlignment="1">
      <alignment horizontal="center"/>
    </xf>
    <xf numFmtId="0" fontId="6" fillId="49" borderId="24" xfId="2" applyFont="1" applyFill="1" applyBorder="1" applyAlignment="1">
      <alignment horizontal="center" vertical="center" wrapText="1"/>
    </xf>
    <xf numFmtId="0" fontId="6" fillId="49" borderId="25" xfId="2" applyFont="1" applyFill="1" applyBorder="1" applyAlignment="1">
      <alignment horizontal="center" vertical="center" wrapText="1"/>
    </xf>
    <xf numFmtId="0" fontId="0" fillId="50" borderId="25" xfId="0" applyFont="1" applyFill="1" applyBorder="1" applyAlignment="1">
      <alignment horizontal="center" vertical="center"/>
    </xf>
    <xf numFmtId="0" fontId="0" fillId="50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5" fillId="12" borderId="8" xfId="2" applyFont="1" applyFill="1" applyBorder="1" applyAlignment="1">
      <alignment horizontal="center" vertical="center" wrapText="1"/>
    </xf>
    <xf numFmtId="0" fontId="15" fillId="12" borderId="8" xfId="2" applyFont="1" applyFill="1" applyBorder="1" applyAlignment="1">
      <alignment horizontal="center" wrapText="1"/>
    </xf>
    <xf numFmtId="0" fontId="15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45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6" fontId="14" fillId="51" borderId="7" xfId="2" applyNumberFormat="1" applyFont="1" applyFill="1" applyBorder="1" applyAlignment="1" applyProtection="1">
      <alignment horizontal="center"/>
      <protection locked="0"/>
    </xf>
    <xf numFmtId="0" fontId="0" fillId="0" borderId="74" xfId="0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6" borderId="0" xfId="0" applyFill="1" applyBorder="1"/>
    <xf numFmtId="0" fontId="0" fillId="37" borderId="0" xfId="0" applyFill="1"/>
    <xf numFmtId="0" fontId="0" fillId="52" borderId="0" xfId="0" applyFill="1"/>
    <xf numFmtId="1" fontId="4" fillId="12" borderId="0" xfId="0" applyNumberFormat="1" applyFont="1" applyFill="1" applyBorder="1" applyAlignment="1">
      <alignment horizontal="left"/>
    </xf>
    <xf numFmtId="1" fontId="4" fillId="53" borderId="43" xfId="0" applyNumberFormat="1" applyFont="1" applyFill="1" applyBorder="1" applyAlignment="1">
      <alignment horizontal="left"/>
    </xf>
    <xf numFmtId="0" fontId="5" fillId="0" borderId="0" xfId="2" applyFont="1" applyFill="1" applyAlignment="1"/>
    <xf numFmtId="0" fontId="6" fillId="49" borderId="61" xfId="2" applyFont="1" applyFill="1" applyBorder="1" applyAlignment="1">
      <alignment horizontal="center" vertical="center" wrapText="1"/>
    </xf>
    <xf numFmtId="0" fontId="6" fillId="49" borderId="2" xfId="2" applyFont="1" applyFill="1" applyBorder="1" applyAlignment="1">
      <alignment vertical="center" wrapText="1"/>
    </xf>
    <xf numFmtId="0" fontId="0" fillId="50" borderId="2" xfId="0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73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6" fillId="12" borderId="11" xfId="2" applyFont="1" applyFill="1" applyBorder="1" applyAlignment="1" applyProtection="1">
      <alignment horizontal="center"/>
    </xf>
    <xf numFmtId="0" fontId="6" fillId="9" borderId="0" xfId="0" applyFont="1" applyFill="1" applyBorder="1" applyAlignment="1">
      <alignment horizontal="center"/>
    </xf>
    <xf numFmtId="0" fontId="16" fillId="54" borderId="2" xfId="0" applyFont="1" applyFill="1" applyBorder="1" applyAlignment="1">
      <alignment horizontal="center" vertical="center"/>
    </xf>
    <xf numFmtId="3" fontId="16" fillId="54" borderId="2" xfId="0" applyNumberFormat="1" applyFont="1" applyFill="1" applyBorder="1" applyAlignment="1">
      <alignment horizontal="center" vertical="center"/>
    </xf>
    <xf numFmtId="0" fontId="0" fillId="54" borderId="0" xfId="0" applyFill="1"/>
    <xf numFmtId="0" fontId="6" fillId="38" borderId="66" xfId="0" applyFont="1" applyFill="1" applyBorder="1" applyAlignment="1">
      <alignment horizontal="center"/>
    </xf>
    <xf numFmtId="0" fontId="6" fillId="38" borderId="17" xfId="0" applyFont="1" applyFill="1" applyBorder="1" applyAlignment="1">
      <alignment horizontal="center"/>
    </xf>
    <xf numFmtId="0" fontId="6" fillId="38" borderId="65" xfId="0" applyFont="1" applyFill="1" applyBorder="1" applyAlignment="1">
      <alignment horizontal="center"/>
    </xf>
    <xf numFmtId="0" fontId="6" fillId="38" borderId="9" xfId="0" applyFont="1" applyFill="1" applyBorder="1" applyAlignment="1">
      <alignment horizontal="center"/>
    </xf>
    <xf numFmtId="0" fontId="6" fillId="38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6" fillId="56" borderId="2" xfId="0" applyFont="1" applyFill="1" applyBorder="1" applyAlignment="1">
      <alignment horizontal="center" vertical="center"/>
    </xf>
    <xf numFmtId="0" fontId="16" fillId="37" borderId="2" xfId="0" applyFont="1" applyFill="1" applyBorder="1" applyAlignment="1">
      <alignment horizontal="center" vertical="center"/>
    </xf>
    <xf numFmtId="3" fontId="21" fillId="56" borderId="0" xfId="0" applyNumberFormat="1" applyFont="1" applyFill="1" applyAlignment="1">
      <alignment horizontal="right"/>
    </xf>
    <xf numFmtId="0" fontId="0" fillId="46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4" fillId="6" borderId="5" xfId="2" applyFont="1" applyFill="1" applyBorder="1" applyAlignment="1">
      <alignment horizontal="center"/>
    </xf>
    <xf numFmtId="3" fontId="39" fillId="52" borderId="0" xfId="0" applyNumberFormat="1" applyFont="1" applyFill="1"/>
    <xf numFmtId="0" fontId="49" fillId="55" borderId="2" xfId="0" applyFont="1" applyFill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50" borderId="6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0" xfId="0" applyAlignment="1">
      <alignment horizontal="center"/>
    </xf>
    <xf numFmtId="0" fontId="0" fillId="0" borderId="70" xfId="0" applyFill="1" applyBorder="1" applyAlignment="1">
      <alignment horizontal="center"/>
    </xf>
    <xf numFmtId="0" fontId="0" fillId="52" borderId="72" xfId="0" applyFill="1" applyBorder="1"/>
    <xf numFmtId="0" fontId="4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8" fillId="57" borderId="0" xfId="0" applyFont="1" applyFill="1" applyBorder="1" applyAlignment="1" applyProtection="1">
      <alignment horizontal="center"/>
      <protection locked="0"/>
    </xf>
    <xf numFmtId="0" fontId="0" fillId="0" borderId="0" xfId="0" applyFill="1" applyAlignment="1">
      <alignment horizontal="center" vertical="center" wrapText="1"/>
    </xf>
    <xf numFmtId="4" fontId="39" fillId="52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4" fillId="6" borderId="5" xfId="2" applyFont="1" applyFill="1" applyBorder="1" applyAlignment="1">
      <alignment horizontal="center"/>
    </xf>
    <xf numFmtId="0" fontId="4" fillId="41" borderId="0" xfId="6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57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46" borderId="0" xfId="0" applyFill="1" applyAlignment="1">
      <alignment horizontal="center"/>
    </xf>
    <xf numFmtId="0" fontId="0" fillId="4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3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/>
    <xf numFmtId="0" fontId="14" fillId="6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52" borderId="0" xfId="0" applyFill="1" applyAlignment="1">
      <alignment horizontal="center"/>
    </xf>
    <xf numFmtId="0" fontId="6" fillId="36" borderId="6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36" borderId="0" xfId="0" applyFont="1" applyFill="1" applyBorder="1" applyAlignment="1">
      <alignment horizontal="center"/>
    </xf>
    <xf numFmtId="0" fontId="6" fillId="36" borderId="2" xfId="0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2" borderId="7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9" borderId="66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9" borderId="65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9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8" borderId="2" xfId="6" applyFill="1" applyBorder="1" applyAlignment="1" applyProtection="1">
      <alignment horizontal="center"/>
      <protection locked="0"/>
    </xf>
    <xf numFmtId="0" fontId="8" fillId="59" borderId="45" xfId="0" applyFont="1" applyFill="1" applyBorder="1" applyAlignment="1" applyProtection="1">
      <alignment horizontal="center"/>
    </xf>
    <xf numFmtId="0" fontId="8" fillId="60" borderId="2" xfId="0" applyFont="1" applyFill="1" applyBorder="1" applyAlignment="1" applyProtection="1">
      <alignment horizontal="center"/>
      <protection locked="0"/>
    </xf>
    <xf numFmtId="0" fontId="8" fillId="16" borderId="78" xfId="0" applyFont="1" applyFill="1" applyBorder="1" applyAlignment="1" applyProtection="1">
      <alignment horizontal="left"/>
    </xf>
    <xf numFmtId="0" fontId="8" fillId="0" borderId="0" xfId="0" applyFont="1" applyFill="1" applyBorder="1" applyAlignment="1"/>
    <xf numFmtId="0" fontId="6" fillId="12" borderId="2" xfId="2" applyFont="1" applyFill="1" applyBorder="1" applyAlignment="1">
      <alignment horizontal="center"/>
    </xf>
    <xf numFmtId="2" fontId="6" fillId="12" borderId="2" xfId="2" applyNumberFormat="1" applyFont="1" applyFill="1" applyBorder="1" applyAlignment="1">
      <alignment horizontal="center"/>
    </xf>
    <xf numFmtId="0" fontId="0" fillId="61" borderId="10" xfId="0" applyFill="1" applyBorder="1"/>
    <xf numFmtId="0" fontId="0" fillId="61" borderId="1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55" borderId="0" xfId="0" applyFont="1" applyFill="1" applyAlignment="1">
      <alignment horizontal="center"/>
    </xf>
    <xf numFmtId="0" fontId="53" fillId="40" borderId="2" xfId="0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41" borderId="0" xfId="0" applyFill="1" applyBorder="1" applyAlignment="1">
      <alignment horizontal="center"/>
    </xf>
    <xf numFmtId="0" fontId="51" fillId="0" borderId="0" xfId="2" applyFont="1" applyFill="1" applyAlignment="1">
      <alignment vertical="center" wrapText="1"/>
    </xf>
    <xf numFmtId="0" fontId="52" fillId="0" borderId="0" xfId="2" applyFont="1" applyFill="1" applyAlignment="1">
      <alignment vertical="center" wrapText="1"/>
    </xf>
    <xf numFmtId="0" fontId="8" fillId="57" borderId="16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8" fillId="64" borderId="85" xfId="0" applyFont="1" applyFill="1" applyBorder="1" applyAlignment="1">
      <alignment horizontal="center" vertical="top" wrapText="1"/>
    </xf>
    <xf numFmtId="0" fontId="58" fillId="65" borderId="85" xfId="0" applyFont="1" applyFill="1" applyBorder="1" applyAlignment="1">
      <alignment horizontal="center" vertical="top" wrapText="1"/>
    </xf>
    <xf numFmtId="0" fontId="0" fillId="64" borderId="86" xfId="0" applyFill="1" applyBorder="1"/>
    <xf numFmtId="0" fontId="0" fillId="62" borderId="75" xfId="0" applyFill="1" applyBorder="1" applyAlignment="1">
      <alignment horizontal="center"/>
    </xf>
    <xf numFmtId="14" fontId="0" fillId="62" borderId="2" xfId="0" applyNumberFormat="1" applyFill="1" applyBorder="1"/>
    <xf numFmtId="3" fontId="0" fillId="62" borderId="2" xfId="0" applyNumberFormat="1" applyFill="1" applyBorder="1" applyAlignment="1">
      <alignment horizontal="center"/>
    </xf>
    <xf numFmtId="167" fontId="0" fillId="62" borderId="2" xfId="0" applyNumberFormat="1" applyFill="1" applyBorder="1" applyAlignment="1">
      <alignment horizontal="center"/>
    </xf>
    <xf numFmtId="0" fontId="0" fillId="62" borderId="2" xfId="0" applyNumberFormat="1" applyFill="1" applyBorder="1" applyAlignment="1">
      <alignment horizontal="center"/>
    </xf>
    <xf numFmtId="0" fontId="0" fillId="62" borderId="2" xfId="0" applyFill="1" applyBorder="1" applyAlignment="1">
      <alignment horizontal="center"/>
    </xf>
    <xf numFmtId="0" fontId="2" fillId="62" borderId="2" xfId="0" applyFont="1" applyFill="1" applyBorder="1" applyAlignment="1">
      <alignment horizontal="center" vertical="center"/>
    </xf>
    <xf numFmtId="0" fontId="0" fillId="52" borderId="75" xfId="0" applyFill="1" applyBorder="1" applyAlignment="1">
      <alignment horizontal="center"/>
    </xf>
    <xf numFmtId="0" fontId="5" fillId="0" borderId="0" xfId="2" applyFont="1" applyFill="1" applyAlignment="1">
      <alignment horizontal="center"/>
    </xf>
    <xf numFmtId="0" fontId="0" fillId="50" borderId="78" xfId="0" applyFill="1" applyBorder="1" applyAlignment="1">
      <alignment horizontal="center" vertical="center" wrapText="1"/>
    </xf>
    <xf numFmtId="0" fontId="0" fillId="50" borderId="79" xfId="0" applyFill="1" applyBorder="1" applyAlignment="1">
      <alignment horizontal="center" vertical="center" wrapText="1"/>
    </xf>
    <xf numFmtId="0" fontId="0" fillId="50" borderId="50" xfId="0" applyFill="1" applyBorder="1" applyAlignment="1">
      <alignment horizontal="center" vertical="center" wrapText="1"/>
    </xf>
    <xf numFmtId="0" fontId="0" fillId="50" borderId="77" xfId="0" applyFill="1" applyBorder="1" applyAlignment="1">
      <alignment horizontal="center" vertical="center" wrapText="1"/>
    </xf>
    <xf numFmtId="0" fontId="15" fillId="8" borderId="76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4" fillId="7" borderId="5" xfId="2" applyFont="1" applyFill="1" applyBorder="1" applyAlignment="1">
      <alignment horizontal="center" vertical="center"/>
    </xf>
    <xf numFmtId="0" fontId="11" fillId="45" borderId="10" xfId="0" applyFont="1" applyFill="1" applyBorder="1" applyAlignment="1">
      <alignment horizontal="center"/>
    </xf>
    <xf numFmtId="0" fontId="11" fillId="45" borderId="11" xfId="0" applyFont="1" applyFill="1" applyBorder="1" applyAlignment="1">
      <alignment horizontal="center"/>
    </xf>
    <xf numFmtId="0" fontId="11" fillId="45" borderId="12" xfId="0" applyFont="1" applyFill="1" applyBorder="1" applyAlignment="1">
      <alignment horizontal="center"/>
    </xf>
    <xf numFmtId="0" fontId="40" fillId="50" borderId="83" xfId="0" applyFont="1" applyFill="1" applyBorder="1" applyAlignment="1">
      <alignment horizontal="center"/>
    </xf>
    <xf numFmtId="0" fontId="40" fillId="50" borderId="84" xfId="0" applyFont="1" applyFill="1" applyBorder="1" applyAlignment="1">
      <alignment horizontal="center"/>
    </xf>
    <xf numFmtId="0" fontId="15" fillId="62" borderId="0" xfId="2" applyFont="1" applyFill="1" applyAlignment="1">
      <alignment horizontal="center" vertical="center" wrapText="1"/>
    </xf>
    <xf numFmtId="0" fontId="15" fillId="63" borderId="0" xfId="2" applyFont="1" applyFill="1" applyAlignment="1">
      <alignment horizontal="center" vertical="center" wrapText="1"/>
    </xf>
    <xf numFmtId="0" fontId="14" fillId="7" borderId="5" xfId="2" applyFont="1" applyFill="1" applyBorder="1" applyAlignment="1">
      <alignment horizontal="center"/>
    </xf>
    <xf numFmtId="0" fontId="14" fillId="6" borderId="5" xfId="2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5" fillId="49" borderId="80" xfId="2" applyFont="1" applyFill="1" applyBorder="1" applyAlignment="1">
      <alignment horizontal="center" vertical="top"/>
    </xf>
    <xf numFmtId="0" fontId="15" fillId="49" borderId="81" xfId="2" applyFont="1" applyFill="1" applyBorder="1" applyAlignment="1">
      <alignment horizontal="center" vertical="top"/>
    </xf>
    <xf numFmtId="0" fontId="15" fillId="49" borderId="82" xfId="2" applyFont="1" applyFill="1" applyBorder="1" applyAlignment="1">
      <alignment horizontal="center" vertical="top"/>
    </xf>
    <xf numFmtId="0" fontId="15" fillId="49" borderId="0" xfId="2" applyFont="1" applyFill="1" applyBorder="1" applyAlignment="1">
      <alignment horizontal="center" vertical="top"/>
    </xf>
    <xf numFmtId="0" fontId="15" fillId="49" borderId="17" xfId="2" applyFont="1" applyFill="1" applyBorder="1" applyAlignment="1">
      <alignment horizontal="center" vertical="top"/>
    </xf>
    <xf numFmtId="0" fontId="14" fillId="7" borderId="6" xfId="2" applyFont="1" applyFill="1" applyBorder="1" applyAlignment="1">
      <alignment horizontal="center" vertical="center"/>
    </xf>
    <xf numFmtId="14" fontId="18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3" fillId="42" borderId="69" xfId="0" applyNumberFormat="1" applyFont="1" applyFill="1" applyBorder="1" applyAlignment="1">
      <alignment horizontal="center" vertical="center"/>
    </xf>
    <xf numFmtId="49" fontId="43" fillId="42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2" fillId="18" borderId="10" xfId="0" applyNumberFormat="1" applyFont="1" applyFill="1" applyBorder="1" applyAlignment="1">
      <alignment horizontal="center"/>
    </xf>
    <xf numFmtId="17" fontId="22" fillId="18" borderId="11" xfId="0" applyNumberFormat="1" applyFont="1" applyFill="1" applyBorder="1" applyAlignment="1">
      <alignment horizontal="center"/>
    </xf>
    <xf numFmtId="17" fontId="22" fillId="18" borderId="12" xfId="0" applyNumberFormat="1" applyFont="1" applyFill="1" applyBorder="1" applyAlignment="1">
      <alignment horizontal="center"/>
    </xf>
    <xf numFmtId="17" fontId="22" fillId="19" borderId="10" xfId="0" applyNumberFormat="1" applyFont="1" applyFill="1" applyBorder="1" applyAlignment="1">
      <alignment horizontal="center"/>
    </xf>
    <xf numFmtId="17" fontId="22" fillId="19" borderId="11" xfId="0" applyNumberFormat="1" applyFont="1" applyFill="1" applyBorder="1" applyAlignment="1">
      <alignment horizontal="center"/>
    </xf>
    <xf numFmtId="17" fontId="22" fillId="19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Énfasis1 2" xfId="15"/>
    <cellStyle name="40% - Énfasis2 2" xfId="16"/>
    <cellStyle name="40% - Énfasis3 2" xfId="17"/>
    <cellStyle name="40% - Énfasis4 2" xfId="18"/>
    <cellStyle name="40% - Énfasis5 2" xfId="19"/>
    <cellStyle name="40% - Énfasis6 2" xfId="20"/>
    <cellStyle name="60% - Énfasis1 2" xfId="21"/>
    <cellStyle name="60% - Énfasis2 2" xfId="22"/>
    <cellStyle name="60% - Énfasis3 2" xfId="23"/>
    <cellStyle name="60% - Énfasis4 2" xfId="24"/>
    <cellStyle name="60% - Énfasis5 2" xfId="25"/>
    <cellStyle name="60% - Énfasis6 2" xfId="26"/>
    <cellStyle name="Buena 2" xfId="27"/>
    <cellStyle name="Cálculo 2" xfId="28"/>
    <cellStyle name="Celda de comprobación 2" xfId="29"/>
    <cellStyle name="Celda vinculada 2" xfId="30"/>
    <cellStyle name="Encabezado 4 2" xfId="31"/>
    <cellStyle name="Énfasis1 2" xfId="32"/>
    <cellStyle name="Énfasis2 2" xfId="33"/>
    <cellStyle name="Énfasis3 2" xfId="34"/>
    <cellStyle name="Énfasis4 2" xfId="35"/>
    <cellStyle name="Énfasis5 2" xfId="36"/>
    <cellStyle name="Énfasis6 2" xfId="37"/>
    <cellStyle name="Entrada 2" xfId="38"/>
    <cellStyle name="Incorrecto 2" xfId="39"/>
    <cellStyle name="Millares" xfId="1" builtinId="3"/>
    <cellStyle name="Millares 2" xfId="53"/>
    <cellStyle name="Millares 2 2" xfId="56"/>
    <cellStyle name="Millares 2 2 2" xfId="60"/>
    <cellStyle name="Millares 2 2 2 2" xfId="75"/>
    <cellStyle name="Millares 2 2 3" xfId="71"/>
    <cellStyle name="Millares 2 3" xfId="59"/>
    <cellStyle name="Millares 2 3 2" xfId="74"/>
    <cellStyle name="Millares 2 4" xfId="63"/>
    <cellStyle name="Millares 2 4 2" xfId="78"/>
    <cellStyle name="Millares 2 5" xfId="65"/>
    <cellStyle name="Millares 2 5 2" xfId="80"/>
    <cellStyle name="Millares 2 6" xfId="70"/>
    <cellStyle name="Millares 3" xfId="57"/>
    <cellStyle name="Millares 3 2" xfId="61"/>
    <cellStyle name="Millares 3 2 2" xfId="76"/>
    <cellStyle name="Millares 3 3" xfId="64"/>
    <cellStyle name="Millares 3 3 2" xfId="79"/>
    <cellStyle name="Millares 3 4" xfId="66"/>
    <cellStyle name="Millares 3 4 2" xfId="81"/>
    <cellStyle name="Millares 3 5" xfId="72"/>
    <cellStyle name="Millares 4" xfId="58"/>
    <cellStyle name="Millares 4 2" xfId="73"/>
    <cellStyle name="Millares 5" xfId="69"/>
    <cellStyle name="Neutral 2" xfId="40"/>
    <cellStyle name="Normal" xfId="0" builtinId="0"/>
    <cellStyle name="Normal 10" xfId="54"/>
    <cellStyle name="Normal 11" xfId="5"/>
    <cellStyle name="Normal 12" xfId="55"/>
    <cellStyle name="Normal 13" xfId="62"/>
    <cellStyle name="Normal 13 2" xfId="77"/>
    <cellStyle name="Normal 14" xfId="67"/>
    <cellStyle name="Normal 14 2" xfId="82"/>
    <cellStyle name="Normal 15" xfId="68"/>
    <cellStyle name="Normal 15 2" xfId="83"/>
    <cellStyle name="Normal 2" xfId="2"/>
    <cellStyle name="Normal 3" xfId="4"/>
    <cellStyle name="Normal 4" xfId="41"/>
    <cellStyle name="Normal 5" xfId="42"/>
    <cellStyle name="Normal 6" xfId="43"/>
    <cellStyle name="Normal 7" xfId="7"/>
    <cellStyle name="Normal 8" xfId="3"/>
    <cellStyle name="Normal 9" xfId="8"/>
    <cellStyle name="Normal_Data Ocupacion" xfId="6"/>
    <cellStyle name="Notas 2" xfId="44"/>
    <cellStyle name="Salida 2" xfId="45"/>
    <cellStyle name="Texto de advertencia 2" xfId="46"/>
    <cellStyle name="Texto explicativo 2" xfId="47"/>
    <cellStyle name="Título 1" xfId="49"/>
    <cellStyle name="Título 2 2" xfId="50"/>
    <cellStyle name="Título 3 2" xfId="51"/>
    <cellStyle name="Título 4" xfId="48"/>
    <cellStyle name="Total 2" xfId="52"/>
  </cellStyles>
  <dxfs count="3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CCECFF"/>
      <color rgb="FF99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F120"/>
  <sheetViews>
    <sheetView zoomScaleNormal="100" workbookViewId="0">
      <selection activeCell="AH35" sqref="AH35"/>
    </sheetView>
  </sheetViews>
  <sheetFormatPr baseColWidth="10" defaultRowHeight="14.4" x14ac:dyDescent="0.3"/>
  <cols>
    <col min="1" max="1" width="15.5546875" customWidth="1"/>
    <col min="2" max="4" width="10.33203125" customWidth="1"/>
    <col min="5" max="5" width="10.88671875" customWidth="1"/>
    <col min="6" max="14" width="10.33203125" customWidth="1"/>
    <col min="15" max="15" width="10.6640625" customWidth="1"/>
    <col min="16" max="22" width="10.33203125" customWidth="1"/>
    <col min="23" max="23" width="10.44140625" customWidth="1"/>
    <col min="24" max="28" width="10.33203125" customWidth="1"/>
    <col min="29" max="29" width="10.33203125" bestFit="1" customWidth="1"/>
    <col min="30" max="30" width="11.33203125" customWidth="1"/>
    <col min="31" max="31" width="11" customWidth="1"/>
  </cols>
  <sheetData>
    <row r="1" spans="1:32" ht="17.399999999999999" x14ac:dyDescent="0.3">
      <c r="A1" s="330" t="s">
        <v>0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</row>
    <row r="2" spans="1:32" x14ac:dyDescent="0.3">
      <c r="A2" s="1"/>
      <c r="B2" s="63">
        <v>45566</v>
      </c>
      <c r="C2" s="63">
        <v>45567</v>
      </c>
      <c r="D2" s="63">
        <v>45568</v>
      </c>
      <c r="E2" s="63">
        <v>45569</v>
      </c>
      <c r="F2" s="63">
        <v>45570</v>
      </c>
      <c r="G2" s="63">
        <v>45571</v>
      </c>
      <c r="H2" s="63">
        <v>45572</v>
      </c>
      <c r="I2" s="63">
        <v>45573</v>
      </c>
      <c r="J2" s="63">
        <v>45574</v>
      </c>
      <c r="K2" s="63">
        <v>45575</v>
      </c>
      <c r="L2" s="63">
        <v>45576</v>
      </c>
      <c r="M2" s="63">
        <v>45577</v>
      </c>
      <c r="N2" s="63">
        <v>45578</v>
      </c>
      <c r="O2" s="63">
        <v>45579</v>
      </c>
      <c r="P2" s="63">
        <v>45580</v>
      </c>
      <c r="Q2" s="63">
        <v>45581</v>
      </c>
      <c r="R2" s="63">
        <v>45582</v>
      </c>
      <c r="S2" s="63">
        <v>45583</v>
      </c>
      <c r="T2" s="63">
        <v>45584</v>
      </c>
      <c r="U2" s="63">
        <v>45585</v>
      </c>
      <c r="V2" s="63">
        <v>45586</v>
      </c>
      <c r="W2" s="63">
        <v>45587</v>
      </c>
      <c r="X2" s="63">
        <v>45588</v>
      </c>
      <c r="Y2" s="63">
        <v>45589</v>
      </c>
      <c r="Z2" s="63">
        <v>45590</v>
      </c>
      <c r="AA2" s="63">
        <v>45591</v>
      </c>
      <c r="AB2" s="63">
        <v>45592</v>
      </c>
      <c r="AC2" s="63">
        <v>45593</v>
      </c>
      <c r="AD2" s="63">
        <v>45594</v>
      </c>
      <c r="AE2" s="63">
        <v>45595</v>
      </c>
      <c r="AF2" s="63">
        <v>45596</v>
      </c>
    </row>
    <row r="3" spans="1:32" x14ac:dyDescent="0.3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3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3">
      <c r="A5" s="5" t="s">
        <v>4</v>
      </c>
      <c r="B5" s="278">
        <v>1939579</v>
      </c>
      <c r="C5" s="278">
        <v>1939930</v>
      </c>
      <c r="D5" s="278">
        <v>1940491</v>
      </c>
      <c r="E5" s="278">
        <v>1940797</v>
      </c>
      <c r="F5" s="278">
        <v>1941316</v>
      </c>
      <c r="G5" s="278">
        <v>1941752</v>
      </c>
      <c r="H5" s="278">
        <v>1942016</v>
      </c>
      <c r="I5" s="278">
        <v>1942579</v>
      </c>
      <c r="J5" s="278">
        <v>1942727</v>
      </c>
      <c r="K5" s="278">
        <v>1943264</v>
      </c>
      <c r="L5" s="278">
        <v>1943648</v>
      </c>
      <c r="M5" s="278">
        <v>1944085</v>
      </c>
      <c r="N5" s="278">
        <v>1944260</v>
      </c>
      <c r="O5" s="278">
        <v>1944778</v>
      </c>
      <c r="P5" s="278">
        <v>1945349</v>
      </c>
      <c r="Q5" s="278">
        <v>1945688</v>
      </c>
      <c r="R5" s="278">
        <v>1946085</v>
      </c>
      <c r="S5" s="278">
        <v>1946393</v>
      </c>
      <c r="T5" s="278">
        <v>1946456</v>
      </c>
      <c r="U5" s="278">
        <v>1946456</v>
      </c>
      <c r="V5" s="278">
        <v>1946822</v>
      </c>
      <c r="W5" s="278">
        <v>1947299</v>
      </c>
      <c r="X5" s="278">
        <v>1947653</v>
      </c>
      <c r="Y5" s="278">
        <v>1948085</v>
      </c>
      <c r="Z5" s="278">
        <v>1948346</v>
      </c>
      <c r="AA5" s="278">
        <v>1948736</v>
      </c>
      <c r="AB5" s="278">
        <v>1949211</v>
      </c>
      <c r="AC5" s="278">
        <v>1949728</v>
      </c>
      <c r="AD5" s="278">
        <v>1950009</v>
      </c>
      <c r="AE5" s="278">
        <v>1950194</v>
      </c>
      <c r="AF5" s="278">
        <v>1950473</v>
      </c>
    </row>
    <row r="6" spans="1:32" x14ac:dyDescent="0.3">
      <c r="A6" s="5" t="s">
        <v>5</v>
      </c>
      <c r="B6" s="278">
        <v>1923188</v>
      </c>
      <c r="C6" s="278">
        <v>1923538</v>
      </c>
      <c r="D6" s="278">
        <v>1923716</v>
      </c>
      <c r="E6" s="278">
        <v>1924238</v>
      </c>
      <c r="F6" s="278">
        <v>1924714</v>
      </c>
      <c r="G6" s="278">
        <v>1925147</v>
      </c>
      <c r="H6" s="278">
        <v>1925666</v>
      </c>
      <c r="I6" s="278">
        <v>1926141</v>
      </c>
      <c r="J6" s="278">
        <v>1926613</v>
      </c>
      <c r="K6" s="278">
        <v>1927176</v>
      </c>
      <c r="L6" s="278">
        <v>1927568</v>
      </c>
      <c r="M6" s="278">
        <v>1928006</v>
      </c>
      <c r="N6" s="278">
        <v>1928008</v>
      </c>
      <c r="O6" s="278">
        <v>1928377</v>
      </c>
      <c r="P6" s="278">
        <v>1928657</v>
      </c>
      <c r="Q6" s="278">
        <v>1928938</v>
      </c>
      <c r="R6" s="278">
        <v>1929193</v>
      </c>
      <c r="S6" s="278">
        <v>1929629</v>
      </c>
      <c r="T6" s="278">
        <v>1930149</v>
      </c>
      <c r="U6" s="278">
        <v>1930585</v>
      </c>
      <c r="V6" s="278">
        <v>1931037</v>
      </c>
      <c r="W6" s="278">
        <v>1931282</v>
      </c>
      <c r="X6" s="278">
        <v>1931715</v>
      </c>
      <c r="Y6" s="278">
        <v>1932168</v>
      </c>
      <c r="Z6" s="278">
        <v>1932354</v>
      </c>
      <c r="AA6" s="278">
        <v>1932528</v>
      </c>
      <c r="AB6" s="278">
        <v>1932848</v>
      </c>
      <c r="AC6" s="278">
        <v>1933049</v>
      </c>
      <c r="AD6" s="278">
        <v>1933146</v>
      </c>
      <c r="AE6" s="278">
        <v>1933641</v>
      </c>
      <c r="AF6" s="278">
        <v>1934072</v>
      </c>
    </row>
    <row r="7" spans="1:32" x14ac:dyDescent="0.3">
      <c r="A7" s="5" t="s">
        <v>6</v>
      </c>
      <c r="B7" s="278">
        <v>1997183</v>
      </c>
      <c r="C7" s="278">
        <v>1997438</v>
      </c>
      <c r="D7" s="278">
        <v>1997956</v>
      </c>
      <c r="E7" s="278">
        <v>1998430</v>
      </c>
      <c r="F7" s="278">
        <v>1998905</v>
      </c>
      <c r="G7" s="278">
        <v>1998906</v>
      </c>
      <c r="H7" s="278">
        <v>1999014</v>
      </c>
      <c r="I7" s="278">
        <v>1999111</v>
      </c>
      <c r="J7" s="278">
        <v>1999399</v>
      </c>
      <c r="K7" s="278">
        <v>1999893</v>
      </c>
      <c r="L7" s="278">
        <v>2000138</v>
      </c>
      <c r="M7" s="278">
        <v>2000553</v>
      </c>
      <c r="N7" s="278">
        <v>2000918</v>
      </c>
      <c r="O7" s="278">
        <v>2001439</v>
      </c>
      <c r="P7" s="278">
        <v>2001870</v>
      </c>
      <c r="Q7" s="278">
        <v>2002321</v>
      </c>
      <c r="R7" s="278">
        <v>2002471</v>
      </c>
      <c r="S7" s="278">
        <v>2002886</v>
      </c>
      <c r="T7" s="278">
        <v>2003017</v>
      </c>
      <c r="U7" s="278">
        <v>2003148</v>
      </c>
      <c r="V7" s="278">
        <v>2003516</v>
      </c>
      <c r="W7" s="278">
        <v>2003685</v>
      </c>
      <c r="X7" s="278">
        <v>2003998</v>
      </c>
      <c r="Y7" s="278">
        <v>2004450</v>
      </c>
      <c r="Z7" s="278">
        <v>2004747</v>
      </c>
      <c r="AA7" s="278">
        <v>2005050</v>
      </c>
      <c r="AB7" s="278">
        <v>2005484</v>
      </c>
      <c r="AC7" s="278">
        <v>2005934</v>
      </c>
      <c r="AD7" s="278">
        <v>2006153</v>
      </c>
      <c r="AE7" s="278">
        <v>2006628</v>
      </c>
      <c r="AF7" s="278">
        <v>2007060</v>
      </c>
    </row>
    <row r="8" spans="1:32" x14ac:dyDescent="0.3">
      <c r="A8" s="6" t="s">
        <v>7</v>
      </c>
      <c r="B8" s="278">
        <v>2001332</v>
      </c>
      <c r="C8" s="278">
        <v>2001741</v>
      </c>
      <c r="D8" s="278">
        <v>2001929</v>
      </c>
      <c r="E8" s="278">
        <v>2002086</v>
      </c>
      <c r="F8" s="278">
        <v>2002604</v>
      </c>
      <c r="G8" s="278">
        <v>2003036</v>
      </c>
      <c r="H8" s="278">
        <v>2003514</v>
      </c>
      <c r="I8" s="278">
        <v>2003987</v>
      </c>
      <c r="J8" s="278">
        <v>2004437</v>
      </c>
      <c r="K8" s="278">
        <v>2004665</v>
      </c>
      <c r="L8" s="278">
        <v>2005097</v>
      </c>
      <c r="M8" s="278">
        <v>2005097</v>
      </c>
      <c r="N8" s="278">
        <v>2005097</v>
      </c>
      <c r="O8" s="278">
        <v>2005571</v>
      </c>
      <c r="P8" s="278">
        <v>2006062</v>
      </c>
      <c r="Q8" s="278">
        <v>2006309</v>
      </c>
      <c r="R8" s="278">
        <v>2006826</v>
      </c>
      <c r="S8" s="278">
        <v>2007277</v>
      </c>
      <c r="T8" s="278">
        <v>2007277</v>
      </c>
      <c r="U8" s="278">
        <v>2007277</v>
      </c>
      <c r="V8" s="278">
        <v>2007814</v>
      </c>
      <c r="W8" s="278">
        <v>2008041</v>
      </c>
      <c r="X8" s="278">
        <v>2008493</v>
      </c>
      <c r="Y8" s="278">
        <v>2008748</v>
      </c>
      <c r="Z8" s="278">
        <v>2009197</v>
      </c>
      <c r="AA8" s="278">
        <v>2009603</v>
      </c>
      <c r="AB8" s="278">
        <v>2010120</v>
      </c>
      <c r="AC8" s="278">
        <v>2010552</v>
      </c>
      <c r="AD8" s="278">
        <v>2010941</v>
      </c>
      <c r="AE8" s="278">
        <v>2011461</v>
      </c>
      <c r="AF8" s="278">
        <v>2011893</v>
      </c>
    </row>
    <row r="9" spans="1:32" x14ac:dyDescent="0.3">
      <c r="A9" s="6" t="s">
        <v>8</v>
      </c>
      <c r="B9" s="278">
        <v>1904425</v>
      </c>
      <c r="C9" s="278">
        <v>1904875</v>
      </c>
      <c r="D9" s="278">
        <v>1905026</v>
      </c>
      <c r="E9" s="278">
        <v>1905212</v>
      </c>
      <c r="F9" s="278">
        <v>1905212</v>
      </c>
      <c r="G9" s="278">
        <v>1905212</v>
      </c>
      <c r="H9" s="278">
        <v>1905580</v>
      </c>
      <c r="I9" s="278">
        <v>1906101</v>
      </c>
      <c r="J9" s="278">
        <v>1906381</v>
      </c>
      <c r="K9" s="278">
        <v>1906767</v>
      </c>
      <c r="L9" s="278">
        <v>1907329</v>
      </c>
      <c r="M9" s="278">
        <v>1907761</v>
      </c>
      <c r="N9" s="278">
        <v>1907847</v>
      </c>
      <c r="O9" s="278">
        <v>1908366</v>
      </c>
      <c r="P9" s="278">
        <v>1908785</v>
      </c>
      <c r="Q9" s="278">
        <v>1908882</v>
      </c>
      <c r="R9" s="278">
        <v>1908965</v>
      </c>
      <c r="S9" s="278">
        <v>1909485</v>
      </c>
      <c r="T9" s="278">
        <v>1909918</v>
      </c>
      <c r="U9" s="278">
        <v>1910350</v>
      </c>
      <c r="V9" s="278">
        <v>1910629</v>
      </c>
      <c r="W9" s="278">
        <v>1910840</v>
      </c>
      <c r="X9" s="278">
        <v>1911316</v>
      </c>
      <c r="Y9" s="278">
        <v>1911460</v>
      </c>
      <c r="Z9" s="278">
        <v>1911896</v>
      </c>
      <c r="AA9" s="278">
        <v>1912175</v>
      </c>
      <c r="AB9" s="278">
        <v>1912281</v>
      </c>
      <c r="AC9" s="278">
        <v>1912733</v>
      </c>
      <c r="AD9" s="278">
        <v>1912832</v>
      </c>
      <c r="AE9" s="278">
        <v>1912992</v>
      </c>
      <c r="AF9" s="278">
        <v>1912992</v>
      </c>
    </row>
    <row r="10" spans="1:32" x14ac:dyDescent="0.3">
      <c r="A10" s="6" t="s">
        <v>9</v>
      </c>
      <c r="B10" s="278">
        <v>2017118</v>
      </c>
      <c r="C10" s="278">
        <v>2017642</v>
      </c>
      <c r="D10" s="278">
        <v>2018098</v>
      </c>
      <c r="E10" s="278">
        <v>2018259</v>
      </c>
      <c r="F10" s="278">
        <v>2018259</v>
      </c>
      <c r="G10" s="278">
        <v>2018259</v>
      </c>
      <c r="H10" s="278">
        <v>2018517</v>
      </c>
      <c r="I10" s="278">
        <v>2018866</v>
      </c>
      <c r="J10" s="278">
        <v>2019306</v>
      </c>
      <c r="K10" s="278">
        <v>2019468</v>
      </c>
      <c r="L10" s="278">
        <v>2019967</v>
      </c>
      <c r="M10" s="278">
        <v>2020360</v>
      </c>
      <c r="N10" s="278">
        <v>2020796</v>
      </c>
      <c r="O10" s="278">
        <v>2021251</v>
      </c>
      <c r="P10" s="278">
        <v>2021352</v>
      </c>
      <c r="Q10" s="278">
        <v>2021424</v>
      </c>
      <c r="R10" s="278">
        <v>2021949</v>
      </c>
      <c r="S10" s="278">
        <v>2022473</v>
      </c>
      <c r="T10" s="278">
        <v>2022999</v>
      </c>
      <c r="U10" s="278">
        <v>2023129</v>
      </c>
      <c r="V10" s="278">
        <v>2023653</v>
      </c>
      <c r="W10" s="278">
        <v>2024137</v>
      </c>
      <c r="X10" s="278">
        <v>2024595</v>
      </c>
      <c r="Y10" s="278">
        <v>2024966</v>
      </c>
      <c r="Z10" s="278">
        <v>2025147</v>
      </c>
      <c r="AA10" s="278">
        <v>2025147</v>
      </c>
      <c r="AB10" s="278">
        <v>2025172</v>
      </c>
      <c r="AC10" s="278">
        <v>2025271</v>
      </c>
      <c r="AD10" s="278">
        <v>2025726</v>
      </c>
      <c r="AE10" s="278">
        <v>2026094</v>
      </c>
      <c r="AF10" s="278">
        <v>2026094</v>
      </c>
    </row>
    <row r="11" spans="1:32" x14ac:dyDescent="0.3">
      <c r="A11" s="6" t="s">
        <v>10</v>
      </c>
      <c r="B11" s="278">
        <v>2043835</v>
      </c>
      <c r="C11" s="278">
        <v>2044287</v>
      </c>
      <c r="D11" s="278">
        <v>2044485</v>
      </c>
      <c r="E11" s="278">
        <v>2044645</v>
      </c>
      <c r="F11" s="278">
        <v>2044645</v>
      </c>
      <c r="G11" s="278">
        <v>2044645</v>
      </c>
      <c r="H11" s="278">
        <v>2045031</v>
      </c>
      <c r="I11" s="278">
        <v>2045217</v>
      </c>
      <c r="J11" s="278">
        <v>2045319</v>
      </c>
      <c r="K11" s="278">
        <v>2045688</v>
      </c>
      <c r="L11" s="278">
        <v>2046143</v>
      </c>
      <c r="M11" s="278">
        <v>2046534</v>
      </c>
      <c r="N11" s="278">
        <v>2046967</v>
      </c>
      <c r="O11" s="278">
        <v>2047445</v>
      </c>
      <c r="P11" s="278">
        <v>2047899</v>
      </c>
      <c r="Q11" s="278">
        <v>2048182</v>
      </c>
      <c r="R11" s="278">
        <v>2048659</v>
      </c>
      <c r="S11" s="278">
        <v>2049154</v>
      </c>
      <c r="T11" s="278">
        <v>2049154</v>
      </c>
      <c r="U11" s="278">
        <v>2049173</v>
      </c>
      <c r="V11" s="278">
        <v>2049626</v>
      </c>
      <c r="W11" s="278">
        <v>2049951</v>
      </c>
      <c r="X11" s="278">
        <v>2050472</v>
      </c>
      <c r="Y11" s="278">
        <v>2050992</v>
      </c>
      <c r="Z11" s="278">
        <v>2051262</v>
      </c>
      <c r="AA11" s="278">
        <v>2051438</v>
      </c>
      <c r="AB11" s="278">
        <v>2051526</v>
      </c>
      <c r="AC11" s="278">
        <v>2051963</v>
      </c>
      <c r="AD11" s="278">
        <v>2052417</v>
      </c>
      <c r="AE11" s="278">
        <v>2052768</v>
      </c>
      <c r="AF11" s="278">
        <v>2052768</v>
      </c>
    </row>
    <row r="12" spans="1:32" x14ac:dyDescent="0.3">
      <c r="A12" s="5" t="s">
        <v>11</v>
      </c>
      <c r="B12" s="278">
        <v>1952905</v>
      </c>
      <c r="C12" s="278">
        <v>1953422</v>
      </c>
      <c r="D12" s="278">
        <v>1953939</v>
      </c>
      <c r="E12" s="278">
        <v>1954390</v>
      </c>
      <c r="F12" s="278">
        <v>1954390</v>
      </c>
      <c r="G12" s="278">
        <v>1954390</v>
      </c>
      <c r="H12" s="278">
        <v>1954542</v>
      </c>
      <c r="I12" s="278">
        <v>1954729</v>
      </c>
      <c r="J12" s="278">
        <v>1955026</v>
      </c>
      <c r="K12" s="278">
        <v>1955264</v>
      </c>
      <c r="L12" s="278">
        <v>1955526</v>
      </c>
      <c r="M12" s="278">
        <v>1955526</v>
      </c>
      <c r="N12" s="278">
        <v>1955526</v>
      </c>
      <c r="O12" s="278">
        <v>1955958</v>
      </c>
      <c r="P12" s="278">
        <v>1956223</v>
      </c>
      <c r="Q12" s="278">
        <v>1956590</v>
      </c>
      <c r="R12" s="278">
        <v>1956768</v>
      </c>
      <c r="S12" s="278">
        <v>1957065</v>
      </c>
      <c r="T12" s="278">
        <v>1957196</v>
      </c>
      <c r="U12" s="278">
        <v>1957216</v>
      </c>
      <c r="V12" s="278">
        <v>1957322</v>
      </c>
      <c r="W12" s="278">
        <v>1957840</v>
      </c>
      <c r="X12" s="278">
        <v>1958276</v>
      </c>
      <c r="Y12" s="278">
        <v>1958708</v>
      </c>
      <c r="Z12" s="278">
        <v>1958970</v>
      </c>
      <c r="AA12" s="278">
        <v>1959405</v>
      </c>
      <c r="AB12" s="278">
        <v>1959922</v>
      </c>
      <c r="AC12" s="278">
        <v>1960373</v>
      </c>
      <c r="AD12" s="278">
        <v>1960738</v>
      </c>
      <c r="AE12" s="278">
        <v>1961257</v>
      </c>
      <c r="AF12" s="278">
        <v>1961431</v>
      </c>
    </row>
    <row r="13" spans="1:32" x14ac:dyDescent="0.3">
      <c r="A13" s="5" t="s">
        <v>12</v>
      </c>
      <c r="B13" s="278">
        <v>1935608</v>
      </c>
      <c r="C13" s="278">
        <v>1936064</v>
      </c>
      <c r="D13" s="278">
        <v>1936234</v>
      </c>
      <c r="E13" s="278">
        <v>1936691</v>
      </c>
      <c r="F13" s="278">
        <v>1936929</v>
      </c>
      <c r="G13" s="278">
        <v>1937371</v>
      </c>
      <c r="H13" s="278">
        <v>1937680</v>
      </c>
      <c r="I13" s="278">
        <v>1938136</v>
      </c>
      <c r="J13" s="278">
        <v>1938394</v>
      </c>
      <c r="K13" s="278">
        <v>1938850</v>
      </c>
      <c r="L13" s="278">
        <v>1939110</v>
      </c>
      <c r="M13" s="278">
        <v>1939547</v>
      </c>
      <c r="N13" s="278">
        <v>1939984</v>
      </c>
      <c r="O13" s="278">
        <v>1940303</v>
      </c>
      <c r="P13" s="278">
        <v>1940742</v>
      </c>
      <c r="Q13" s="278">
        <v>1941181</v>
      </c>
      <c r="R13" s="278">
        <v>1941533</v>
      </c>
      <c r="S13" s="278">
        <v>1941989</v>
      </c>
      <c r="T13" s="278">
        <v>1941989</v>
      </c>
      <c r="U13" s="278">
        <v>1941989</v>
      </c>
      <c r="V13" s="278">
        <v>1942246</v>
      </c>
      <c r="W13" s="278">
        <v>1942684</v>
      </c>
      <c r="X13" s="278">
        <v>1943003</v>
      </c>
      <c r="Y13" s="278">
        <v>1943357</v>
      </c>
      <c r="Z13" s="278">
        <v>1943542</v>
      </c>
      <c r="AA13" s="278">
        <v>1943825</v>
      </c>
      <c r="AB13" s="278">
        <v>1944194</v>
      </c>
      <c r="AC13" s="278">
        <v>1944442</v>
      </c>
      <c r="AD13" s="278">
        <v>1944899</v>
      </c>
      <c r="AE13" s="278">
        <v>1945427</v>
      </c>
      <c r="AF13" s="278">
        <v>1945513</v>
      </c>
    </row>
    <row r="14" spans="1:32" x14ac:dyDescent="0.3">
      <c r="A14" s="5" t="s">
        <v>13</v>
      </c>
      <c r="B14" s="278">
        <v>2009033</v>
      </c>
      <c r="C14" s="278">
        <v>2009260</v>
      </c>
      <c r="D14" s="278">
        <v>2009711</v>
      </c>
      <c r="E14" s="278">
        <v>2009964</v>
      </c>
      <c r="F14" s="278">
        <v>2010442</v>
      </c>
      <c r="G14" s="278">
        <v>2010485</v>
      </c>
      <c r="H14" s="278">
        <v>2010933</v>
      </c>
      <c r="I14" s="278">
        <v>2011152</v>
      </c>
      <c r="J14" s="278">
        <v>2011669</v>
      </c>
      <c r="K14" s="278">
        <v>2012186</v>
      </c>
      <c r="L14" s="278">
        <v>2012359</v>
      </c>
      <c r="M14" s="278">
        <v>2012359</v>
      </c>
      <c r="N14" s="278">
        <v>2012379</v>
      </c>
      <c r="O14" s="278">
        <v>2012565</v>
      </c>
      <c r="P14" s="278">
        <v>2012742</v>
      </c>
      <c r="Q14" s="278">
        <v>2012839</v>
      </c>
      <c r="R14" s="278">
        <v>2013382</v>
      </c>
      <c r="S14" s="278">
        <v>2013790</v>
      </c>
      <c r="T14" s="278">
        <v>2013790</v>
      </c>
      <c r="U14" s="278">
        <v>2013790</v>
      </c>
      <c r="V14" s="278">
        <v>2013998</v>
      </c>
      <c r="W14" s="278">
        <v>2014430</v>
      </c>
      <c r="X14" s="278">
        <v>2014882</v>
      </c>
      <c r="Y14" s="278">
        <v>2015138</v>
      </c>
      <c r="Z14" s="278">
        <v>2015450</v>
      </c>
      <c r="AA14" s="278">
        <v>2015605</v>
      </c>
      <c r="AB14" s="278">
        <v>2015712</v>
      </c>
      <c r="AC14" s="278">
        <v>2016228</v>
      </c>
      <c r="AD14" s="278">
        <v>2016792</v>
      </c>
      <c r="AE14" s="278">
        <v>2017181</v>
      </c>
      <c r="AF14" s="278">
        <v>2017614</v>
      </c>
    </row>
    <row r="15" spans="1:32" x14ac:dyDescent="0.3">
      <c r="A15" s="6" t="s">
        <v>14</v>
      </c>
      <c r="B15" s="278">
        <v>2026006</v>
      </c>
      <c r="C15" s="278">
        <v>2026192</v>
      </c>
      <c r="D15" s="278">
        <v>2026536</v>
      </c>
      <c r="E15" s="278">
        <v>2027061</v>
      </c>
      <c r="F15" s="278">
        <v>2027582</v>
      </c>
      <c r="G15" s="278">
        <v>2028017</v>
      </c>
      <c r="H15" s="278">
        <v>2028470</v>
      </c>
      <c r="I15" s="278">
        <v>2028941</v>
      </c>
      <c r="J15" s="278">
        <v>2029120</v>
      </c>
      <c r="K15" s="278">
        <v>2029674</v>
      </c>
      <c r="L15" s="278">
        <v>2029876</v>
      </c>
      <c r="M15" s="278">
        <v>2029876</v>
      </c>
      <c r="N15" s="278">
        <v>2029876</v>
      </c>
      <c r="O15" s="278">
        <v>2030064</v>
      </c>
      <c r="P15" s="278">
        <v>2030320</v>
      </c>
      <c r="Q15" s="278">
        <v>2030585</v>
      </c>
      <c r="R15" s="278">
        <v>2030674</v>
      </c>
      <c r="S15" s="278">
        <v>2031108</v>
      </c>
      <c r="T15" s="278">
        <v>2031628</v>
      </c>
      <c r="U15" s="278">
        <v>2031889</v>
      </c>
      <c r="V15" s="278">
        <v>2032365</v>
      </c>
      <c r="W15" s="278">
        <v>2032756</v>
      </c>
      <c r="X15" s="278">
        <v>2032985</v>
      </c>
      <c r="Y15" s="278">
        <v>2033466</v>
      </c>
      <c r="Z15" s="278">
        <v>2033943</v>
      </c>
      <c r="AA15" s="278">
        <v>2034118</v>
      </c>
      <c r="AB15" s="278">
        <v>2034423</v>
      </c>
      <c r="AC15" s="278">
        <v>2034918</v>
      </c>
      <c r="AD15" s="278">
        <v>2035250</v>
      </c>
      <c r="AE15" s="278">
        <v>2035701</v>
      </c>
      <c r="AF15" s="278">
        <v>2035701</v>
      </c>
    </row>
    <row r="16" spans="1:32" x14ac:dyDescent="0.3">
      <c r="A16" s="6" t="s">
        <v>15</v>
      </c>
      <c r="B16" s="278">
        <v>1863761</v>
      </c>
      <c r="C16" s="278">
        <v>1863902</v>
      </c>
      <c r="D16" s="278">
        <v>1864423</v>
      </c>
      <c r="E16" s="278">
        <v>1864898</v>
      </c>
      <c r="F16" s="278">
        <v>1865115</v>
      </c>
      <c r="G16" s="278">
        <v>1865116</v>
      </c>
      <c r="H16" s="278">
        <v>1865226</v>
      </c>
      <c r="I16" s="278">
        <v>1865506</v>
      </c>
      <c r="J16" s="278">
        <v>1866024</v>
      </c>
      <c r="K16" s="278">
        <v>1866239</v>
      </c>
      <c r="L16" s="278">
        <v>1866800</v>
      </c>
      <c r="M16" s="278">
        <v>1867104</v>
      </c>
      <c r="N16" s="278">
        <v>1867540</v>
      </c>
      <c r="O16" s="278">
        <v>1867841</v>
      </c>
      <c r="P16" s="278">
        <v>1868262</v>
      </c>
      <c r="Q16" s="278">
        <v>1868449</v>
      </c>
      <c r="R16" s="278">
        <v>1868874</v>
      </c>
      <c r="S16" s="278">
        <v>1869325</v>
      </c>
      <c r="T16" s="278">
        <v>1869325</v>
      </c>
      <c r="U16" s="278">
        <v>1869325</v>
      </c>
      <c r="V16" s="278">
        <v>1869483</v>
      </c>
      <c r="W16" s="278">
        <v>1870000</v>
      </c>
      <c r="X16" s="278">
        <v>1870435</v>
      </c>
      <c r="Y16" s="278">
        <v>1870888</v>
      </c>
      <c r="Z16" s="278">
        <v>1871346</v>
      </c>
      <c r="AA16" s="278">
        <v>1871780</v>
      </c>
      <c r="AB16" s="278">
        <v>1872298</v>
      </c>
      <c r="AC16" s="278">
        <v>1872816</v>
      </c>
      <c r="AD16" s="278">
        <v>1873335</v>
      </c>
      <c r="AE16" s="278">
        <v>1873643</v>
      </c>
      <c r="AF16" s="278">
        <v>1874075</v>
      </c>
    </row>
    <row r="17" spans="1:32" x14ac:dyDescent="0.3">
      <c r="A17" s="6" t="s">
        <v>16</v>
      </c>
      <c r="B17" s="278">
        <v>1981744</v>
      </c>
      <c r="C17" s="278">
        <v>1981843</v>
      </c>
      <c r="D17" s="278">
        <v>1982039</v>
      </c>
      <c r="E17" s="278">
        <v>1982560</v>
      </c>
      <c r="F17" s="278">
        <v>1983079</v>
      </c>
      <c r="G17" s="278">
        <v>1983554</v>
      </c>
      <c r="H17" s="278">
        <v>1984115</v>
      </c>
      <c r="I17" s="278">
        <v>1984508</v>
      </c>
      <c r="J17" s="278">
        <v>1985026</v>
      </c>
      <c r="K17" s="278">
        <v>1985519</v>
      </c>
      <c r="L17" s="278">
        <v>1985680</v>
      </c>
      <c r="M17" s="278">
        <v>1985680</v>
      </c>
      <c r="N17" s="278">
        <v>1985680</v>
      </c>
      <c r="O17" s="278">
        <v>1986130</v>
      </c>
      <c r="P17" s="278">
        <v>1986729</v>
      </c>
      <c r="Q17" s="278">
        <v>1987185</v>
      </c>
      <c r="R17" s="278">
        <v>1987484</v>
      </c>
      <c r="S17" s="278">
        <v>1987704</v>
      </c>
      <c r="T17" s="278">
        <v>1988183</v>
      </c>
      <c r="U17" s="278">
        <v>1988573</v>
      </c>
      <c r="V17" s="278">
        <v>1989052</v>
      </c>
      <c r="W17" s="278">
        <v>1989530</v>
      </c>
      <c r="X17" s="278">
        <v>1989847</v>
      </c>
      <c r="Y17" s="278">
        <v>1990360</v>
      </c>
      <c r="Z17" s="278">
        <v>1990835</v>
      </c>
      <c r="AA17" s="278">
        <v>1991054</v>
      </c>
      <c r="AB17" s="278">
        <v>1991334</v>
      </c>
      <c r="AC17" s="278">
        <v>1991837</v>
      </c>
      <c r="AD17" s="278">
        <v>1992081</v>
      </c>
      <c r="AE17" s="278">
        <v>1992179</v>
      </c>
      <c r="AF17" s="278">
        <v>1992179</v>
      </c>
    </row>
    <row r="18" spans="1:32" x14ac:dyDescent="0.3">
      <c r="A18" s="6" t="s">
        <v>17</v>
      </c>
      <c r="B18" s="278">
        <v>1959795</v>
      </c>
      <c r="C18" s="278">
        <v>1960092</v>
      </c>
      <c r="D18" s="278">
        <v>1960566</v>
      </c>
      <c r="E18" s="278">
        <v>1960999</v>
      </c>
      <c r="F18" s="278">
        <v>1961517</v>
      </c>
      <c r="G18" s="278">
        <v>1961949</v>
      </c>
      <c r="H18" s="278">
        <v>1962384</v>
      </c>
      <c r="I18" s="278">
        <v>1962610</v>
      </c>
      <c r="J18" s="278">
        <v>1963044</v>
      </c>
      <c r="K18" s="278">
        <v>1963217</v>
      </c>
      <c r="L18" s="278">
        <v>1963666</v>
      </c>
      <c r="M18" s="278">
        <v>1963666</v>
      </c>
      <c r="N18" s="278">
        <v>1963666</v>
      </c>
      <c r="O18" s="278">
        <v>1963828</v>
      </c>
      <c r="P18" s="278">
        <v>1964278</v>
      </c>
      <c r="Q18" s="278">
        <v>1964447</v>
      </c>
      <c r="R18" s="278">
        <v>1964899</v>
      </c>
      <c r="S18" s="278">
        <v>1965239</v>
      </c>
      <c r="T18" s="278">
        <v>1965757</v>
      </c>
      <c r="U18" s="278">
        <v>1966190</v>
      </c>
      <c r="V18" s="278">
        <v>1966501</v>
      </c>
      <c r="W18" s="278">
        <v>1966932</v>
      </c>
      <c r="X18" s="278">
        <v>1967384</v>
      </c>
      <c r="Y18" s="278">
        <v>1967803</v>
      </c>
      <c r="Z18" s="278">
        <v>1968196</v>
      </c>
      <c r="AA18" s="278">
        <v>1968713</v>
      </c>
      <c r="AB18" s="278">
        <v>1969187</v>
      </c>
      <c r="AC18" s="278">
        <v>1969635</v>
      </c>
      <c r="AD18" s="278">
        <v>1970135</v>
      </c>
      <c r="AE18" s="278">
        <v>1970483</v>
      </c>
      <c r="AF18" s="278">
        <v>1970483</v>
      </c>
    </row>
    <row r="19" spans="1:32" x14ac:dyDescent="0.3">
      <c r="A19" s="6" t="s">
        <v>18</v>
      </c>
      <c r="B19" s="278">
        <v>2041751</v>
      </c>
      <c r="C19" s="278">
        <v>2042034</v>
      </c>
      <c r="D19" s="278">
        <v>2042451</v>
      </c>
      <c r="E19" s="278">
        <v>2042904</v>
      </c>
      <c r="F19" s="278">
        <v>2042904</v>
      </c>
      <c r="G19" s="278">
        <v>2042904</v>
      </c>
      <c r="H19" s="278">
        <v>2043091</v>
      </c>
      <c r="I19" s="278">
        <v>2043189</v>
      </c>
      <c r="J19" s="278">
        <v>2043375</v>
      </c>
      <c r="K19" s="278">
        <v>2043632</v>
      </c>
      <c r="L19" s="278">
        <v>2044066</v>
      </c>
      <c r="M19" s="278">
        <v>2044066</v>
      </c>
      <c r="N19" s="278">
        <v>2044066</v>
      </c>
      <c r="O19" s="278">
        <v>2044543</v>
      </c>
      <c r="P19" s="278">
        <v>2044761</v>
      </c>
      <c r="Q19" s="278">
        <v>2045216</v>
      </c>
      <c r="R19" s="278">
        <v>2045387</v>
      </c>
      <c r="S19" s="278">
        <v>2045840</v>
      </c>
      <c r="T19" s="278">
        <v>2045840</v>
      </c>
      <c r="U19" s="278">
        <v>2045840</v>
      </c>
      <c r="V19" s="278">
        <v>2046025</v>
      </c>
      <c r="W19" s="278">
        <v>2046368</v>
      </c>
      <c r="X19" s="278">
        <v>2046846</v>
      </c>
      <c r="Y19" s="278">
        <v>2047322</v>
      </c>
      <c r="Z19" s="278">
        <v>2047775</v>
      </c>
      <c r="AA19" s="278">
        <v>2048140</v>
      </c>
      <c r="AB19" s="278">
        <v>2048420</v>
      </c>
      <c r="AC19" s="278">
        <v>2048876</v>
      </c>
      <c r="AD19" s="278">
        <v>2049385</v>
      </c>
      <c r="AE19" s="278">
        <v>2049779</v>
      </c>
      <c r="AF19" s="278">
        <v>2049865</v>
      </c>
    </row>
    <row r="20" spans="1:32" x14ac:dyDescent="0.3">
      <c r="A20" s="6" t="s">
        <v>19</v>
      </c>
      <c r="B20" s="278">
        <v>1999091</v>
      </c>
      <c r="C20" s="278">
        <v>1999597</v>
      </c>
      <c r="D20" s="278">
        <v>2000075</v>
      </c>
      <c r="E20" s="278">
        <v>2000638</v>
      </c>
      <c r="F20" s="278">
        <v>2001158</v>
      </c>
      <c r="G20" s="278">
        <v>2001593</v>
      </c>
      <c r="H20" s="278">
        <v>2002072</v>
      </c>
      <c r="I20" s="278">
        <v>2002342</v>
      </c>
      <c r="J20" s="278">
        <v>2002864</v>
      </c>
      <c r="K20" s="278">
        <v>2003297</v>
      </c>
      <c r="L20" s="278">
        <v>2003778</v>
      </c>
      <c r="M20" s="278">
        <v>2003828</v>
      </c>
      <c r="N20" s="278">
        <v>2004264</v>
      </c>
      <c r="O20" s="278">
        <v>2004715</v>
      </c>
      <c r="P20" s="278">
        <v>2004881</v>
      </c>
      <c r="Q20" s="278">
        <v>2005187</v>
      </c>
      <c r="R20" s="278">
        <v>2005682</v>
      </c>
      <c r="S20" s="278">
        <v>2006100</v>
      </c>
      <c r="T20" s="278">
        <v>2006536</v>
      </c>
      <c r="U20" s="278">
        <v>2006885</v>
      </c>
      <c r="V20" s="278">
        <v>2007319</v>
      </c>
      <c r="W20" s="278">
        <v>2007516</v>
      </c>
      <c r="X20" s="278">
        <v>2008029</v>
      </c>
      <c r="Y20" s="278">
        <v>2008116</v>
      </c>
      <c r="Z20" s="278">
        <v>2008381</v>
      </c>
      <c r="AA20" s="278">
        <v>2008381</v>
      </c>
      <c r="AB20" s="278">
        <v>2008403</v>
      </c>
      <c r="AC20" s="278">
        <v>2008501</v>
      </c>
      <c r="AD20" s="278">
        <v>2008953</v>
      </c>
      <c r="AE20" s="278">
        <v>2009405</v>
      </c>
      <c r="AF20" s="278">
        <v>2009424</v>
      </c>
    </row>
    <row r="21" spans="1:32" x14ac:dyDescent="0.3">
      <c r="A21" s="6" t="s">
        <v>20</v>
      </c>
      <c r="B21" s="278">
        <v>2008529</v>
      </c>
      <c r="C21" s="278">
        <v>2008791</v>
      </c>
      <c r="D21" s="278">
        <v>2009353</v>
      </c>
      <c r="E21" s="278">
        <v>2009829</v>
      </c>
      <c r="F21" s="278">
        <v>2010264</v>
      </c>
      <c r="G21" s="278">
        <v>2010264</v>
      </c>
      <c r="H21" s="278">
        <v>2010526</v>
      </c>
      <c r="I21" s="278">
        <v>2010980</v>
      </c>
      <c r="J21" s="278">
        <v>2011432</v>
      </c>
      <c r="K21" s="278">
        <v>2011883</v>
      </c>
      <c r="L21" s="278">
        <v>2012129</v>
      </c>
      <c r="M21" s="278">
        <v>2012547</v>
      </c>
      <c r="N21" s="278">
        <v>2012565</v>
      </c>
      <c r="O21" s="278">
        <v>2013127</v>
      </c>
      <c r="P21" s="278">
        <v>2013646</v>
      </c>
      <c r="Q21" s="278">
        <v>2014209</v>
      </c>
      <c r="R21" s="278">
        <v>2014695</v>
      </c>
      <c r="S21" s="278">
        <v>2015257</v>
      </c>
      <c r="T21" s="278">
        <v>2015388</v>
      </c>
      <c r="U21" s="278">
        <v>2015474</v>
      </c>
      <c r="V21" s="278">
        <v>2015927</v>
      </c>
      <c r="W21" s="278">
        <v>2016140</v>
      </c>
      <c r="X21" s="278">
        <v>2016327</v>
      </c>
      <c r="Y21" s="278">
        <v>2016516</v>
      </c>
      <c r="Z21" s="278">
        <v>2016666</v>
      </c>
      <c r="AA21" s="278">
        <v>2016666</v>
      </c>
      <c r="AB21" s="278">
        <v>2016988</v>
      </c>
      <c r="AC21" s="278">
        <v>2017507</v>
      </c>
      <c r="AD21" s="278">
        <v>2017985</v>
      </c>
      <c r="AE21" s="278">
        <v>2018437</v>
      </c>
      <c r="AF21" s="278">
        <v>2018437</v>
      </c>
    </row>
    <row r="22" spans="1:32" x14ac:dyDescent="0.3">
      <c r="A22" s="6" t="s">
        <v>21</v>
      </c>
      <c r="B22" s="278">
        <v>1935573</v>
      </c>
      <c r="C22" s="278">
        <v>1936092</v>
      </c>
      <c r="D22" s="278">
        <v>1936544</v>
      </c>
      <c r="E22" s="278">
        <v>1936875</v>
      </c>
      <c r="F22" s="278">
        <v>1937351</v>
      </c>
      <c r="G22" s="278">
        <v>1937394</v>
      </c>
      <c r="H22" s="278">
        <v>1937953</v>
      </c>
      <c r="I22" s="278">
        <v>1938209</v>
      </c>
      <c r="J22" s="278">
        <v>1938683</v>
      </c>
      <c r="K22" s="278">
        <v>1938989</v>
      </c>
      <c r="L22" s="278">
        <v>1939440</v>
      </c>
      <c r="M22" s="278">
        <v>1939440</v>
      </c>
      <c r="N22" s="278">
        <v>1939440</v>
      </c>
      <c r="O22" s="278">
        <v>1939537</v>
      </c>
      <c r="P22" s="278">
        <v>1940038</v>
      </c>
      <c r="Q22" s="278">
        <v>1940177</v>
      </c>
      <c r="R22" s="278">
        <v>1940612</v>
      </c>
      <c r="S22" s="278">
        <v>1941090</v>
      </c>
      <c r="T22" s="278">
        <v>1941565</v>
      </c>
      <c r="U22" s="278">
        <v>1941998</v>
      </c>
      <c r="V22" s="278">
        <v>1942311</v>
      </c>
      <c r="W22" s="278">
        <v>1942764</v>
      </c>
      <c r="X22" s="278">
        <v>1942951</v>
      </c>
      <c r="Y22" s="278">
        <v>1943245</v>
      </c>
      <c r="Z22" s="278">
        <v>1943718</v>
      </c>
      <c r="AA22" s="278">
        <v>1943873</v>
      </c>
      <c r="AB22" s="278">
        <v>1943996</v>
      </c>
      <c r="AC22" s="278">
        <v>1944449</v>
      </c>
      <c r="AD22" s="278">
        <v>1944965</v>
      </c>
      <c r="AE22" s="278">
        <v>1945396</v>
      </c>
      <c r="AF22" s="278">
        <v>1945826</v>
      </c>
    </row>
    <row r="23" spans="1:32" x14ac:dyDescent="0.3">
      <c r="A23" s="6" t="s">
        <v>22</v>
      </c>
      <c r="B23" s="278">
        <v>1979588</v>
      </c>
      <c r="C23" s="278">
        <v>1980105</v>
      </c>
      <c r="D23" s="278">
        <v>1980664</v>
      </c>
      <c r="E23" s="278">
        <v>1981115</v>
      </c>
      <c r="F23" s="278">
        <v>1981115</v>
      </c>
      <c r="G23" s="278">
        <v>1981115</v>
      </c>
      <c r="H23" s="278">
        <v>1981412</v>
      </c>
      <c r="I23" s="278">
        <v>1981802</v>
      </c>
      <c r="J23" s="278">
        <v>1981949</v>
      </c>
      <c r="K23" s="278">
        <v>1982030</v>
      </c>
      <c r="L23" s="278">
        <v>1982461</v>
      </c>
      <c r="M23" s="278">
        <v>1982461</v>
      </c>
      <c r="N23" s="278">
        <v>1982935</v>
      </c>
      <c r="O23" s="278">
        <v>1983450</v>
      </c>
      <c r="P23" s="278">
        <v>1983754</v>
      </c>
      <c r="Q23" s="278">
        <v>1984270</v>
      </c>
      <c r="R23" s="278">
        <v>1984744</v>
      </c>
      <c r="S23" s="278">
        <v>1984946</v>
      </c>
      <c r="T23" s="278">
        <v>1984946</v>
      </c>
      <c r="U23" s="278">
        <v>1984946</v>
      </c>
      <c r="V23" s="278">
        <v>1985114</v>
      </c>
      <c r="W23" s="278">
        <v>1985563</v>
      </c>
      <c r="X23" s="278">
        <v>1985775</v>
      </c>
      <c r="Y23" s="278">
        <v>1986010</v>
      </c>
      <c r="Z23" s="278">
        <v>1986349</v>
      </c>
      <c r="AA23" s="278">
        <v>1986866</v>
      </c>
      <c r="AB23" s="278">
        <v>1987382</v>
      </c>
      <c r="AC23" s="278">
        <v>1987899</v>
      </c>
      <c r="AD23" s="278">
        <v>1988332</v>
      </c>
      <c r="AE23" s="278">
        <v>1988763</v>
      </c>
      <c r="AF23" s="278">
        <v>1989194</v>
      </c>
    </row>
    <row r="24" spans="1:32" x14ac:dyDescent="0.3">
      <c r="A24" s="5" t="s">
        <v>23</v>
      </c>
      <c r="B24" s="278">
        <v>2004709</v>
      </c>
      <c r="C24" s="278">
        <v>2005161</v>
      </c>
      <c r="D24" s="278">
        <v>2005338</v>
      </c>
      <c r="E24" s="278">
        <v>2005547</v>
      </c>
      <c r="F24" s="278">
        <v>2005850</v>
      </c>
      <c r="G24" s="278">
        <v>2006282</v>
      </c>
      <c r="H24" s="278">
        <v>2006800</v>
      </c>
      <c r="I24" s="278">
        <v>2007251</v>
      </c>
      <c r="J24" s="278">
        <v>2007412</v>
      </c>
      <c r="K24" s="278">
        <v>2007933</v>
      </c>
      <c r="L24" s="278">
        <v>2008452</v>
      </c>
      <c r="M24" s="278">
        <v>2008712</v>
      </c>
      <c r="N24" s="278">
        <v>2009147</v>
      </c>
      <c r="O24" s="278">
        <v>2009580</v>
      </c>
      <c r="P24" s="278">
        <v>2009761</v>
      </c>
      <c r="Q24" s="278">
        <v>2010323</v>
      </c>
      <c r="R24" s="278">
        <v>2010453</v>
      </c>
      <c r="S24" s="278">
        <v>2010701</v>
      </c>
      <c r="T24" s="278">
        <v>2010701</v>
      </c>
      <c r="U24" s="278">
        <v>2010721</v>
      </c>
      <c r="V24" s="278">
        <v>2011239</v>
      </c>
      <c r="W24" s="278">
        <v>2011690</v>
      </c>
      <c r="X24" s="278">
        <v>2012203</v>
      </c>
      <c r="Y24" s="278">
        <v>2012484</v>
      </c>
      <c r="Z24" s="278">
        <v>2012986</v>
      </c>
      <c r="AA24" s="278">
        <v>2013505</v>
      </c>
      <c r="AB24" s="278">
        <v>2013783</v>
      </c>
      <c r="AC24" s="278">
        <v>2013869</v>
      </c>
      <c r="AD24" s="278">
        <v>2014395</v>
      </c>
      <c r="AE24" s="278">
        <v>2014649</v>
      </c>
      <c r="AF24" s="278">
        <v>2015039</v>
      </c>
    </row>
    <row r="25" spans="1:32" x14ac:dyDescent="0.3">
      <c r="A25" s="6" t="s">
        <v>24</v>
      </c>
      <c r="B25" s="278">
        <v>2020060</v>
      </c>
      <c r="C25" s="278">
        <v>2020621</v>
      </c>
      <c r="D25" s="278">
        <v>2021141</v>
      </c>
      <c r="E25" s="278">
        <v>2021548</v>
      </c>
      <c r="F25" s="278">
        <v>2021548</v>
      </c>
      <c r="G25" s="278">
        <v>2021548</v>
      </c>
      <c r="H25" s="278">
        <v>2021735</v>
      </c>
      <c r="I25" s="278">
        <v>2022034</v>
      </c>
      <c r="J25" s="278">
        <v>2022469</v>
      </c>
      <c r="K25" s="278">
        <v>2022905</v>
      </c>
      <c r="L25" s="278">
        <v>2023383</v>
      </c>
      <c r="M25" s="278">
        <v>2023772</v>
      </c>
      <c r="N25" s="278">
        <v>2024205</v>
      </c>
      <c r="O25" s="278">
        <v>2024518</v>
      </c>
      <c r="P25" s="278">
        <v>2025036</v>
      </c>
      <c r="Q25" s="278">
        <v>2025472</v>
      </c>
      <c r="R25" s="278">
        <v>2025822</v>
      </c>
      <c r="S25" s="278">
        <v>2025913</v>
      </c>
      <c r="T25" s="278">
        <v>2026391</v>
      </c>
      <c r="U25" s="278">
        <v>2026824</v>
      </c>
      <c r="V25" s="278">
        <v>2027299</v>
      </c>
      <c r="W25" s="278">
        <v>2027666</v>
      </c>
      <c r="X25" s="278">
        <v>2027854</v>
      </c>
      <c r="Y25" s="278">
        <v>2028023</v>
      </c>
      <c r="Z25" s="278">
        <v>2028218</v>
      </c>
      <c r="AA25" s="278">
        <v>2028671</v>
      </c>
      <c r="AB25" s="278">
        <v>2028952</v>
      </c>
      <c r="AC25" s="278">
        <v>2029123</v>
      </c>
      <c r="AD25" s="278">
        <v>2029369</v>
      </c>
      <c r="AE25" s="278">
        <v>2029529</v>
      </c>
      <c r="AF25" s="278">
        <v>2029529</v>
      </c>
    </row>
    <row r="26" spans="1:32" x14ac:dyDescent="0.3">
      <c r="A26" s="6" t="s">
        <v>25</v>
      </c>
      <c r="B26" s="278">
        <v>2032610</v>
      </c>
      <c r="C26" s="278">
        <v>2033080</v>
      </c>
      <c r="D26" s="278">
        <v>2033381</v>
      </c>
      <c r="E26" s="278">
        <v>2033547</v>
      </c>
      <c r="F26" s="278">
        <v>2033808</v>
      </c>
      <c r="G26" s="278">
        <v>2033809</v>
      </c>
      <c r="H26" s="278">
        <v>2033901</v>
      </c>
      <c r="I26" s="278">
        <v>2034352</v>
      </c>
      <c r="J26" s="278">
        <v>2034511</v>
      </c>
      <c r="K26" s="278">
        <v>2034863</v>
      </c>
      <c r="L26" s="278">
        <v>2035317</v>
      </c>
      <c r="M26" s="278">
        <v>2035317</v>
      </c>
      <c r="N26" s="278">
        <v>2035317</v>
      </c>
      <c r="O26" s="278">
        <v>2035787</v>
      </c>
      <c r="P26" s="278">
        <v>2035965</v>
      </c>
      <c r="Q26" s="278">
        <v>2036046</v>
      </c>
      <c r="R26" s="278">
        <v>2036546</v>
      </c>
      <c r="S26" s="278">
        <v>2036733</v>
      </c>
      <c r="T26" s="278">
        <v>2036733</v>
      </c>
      <c r="U26" s="278">
        <v>2036733</v>
      </c>
      <c r="V26" s="278">
        <v>2037015</v>
      </c>
      <c r="W26" s="278">
        <v>2037329</v>
      </c>
      <c r="X26" s="278">
        <v>2037526</v>
      </c>
      <c r="Y26" s="278">
        <v>2037607</v>
      </c>
      <c r="Z26" s="278">
        <v>2037954</v>
      </c>
      <c r="AA26" s="278">
        <v>2038130</v>
      </c>
      <c r="AB26" s="278">
        <v>2038564</v>
      </c>
      <c r="AC26" s="278">
        <v>2038761</v>
      </c>
      <c r="AD26" s="278">
        <v>2038946</v>
      </c>
      <c r="AE26" s="278">
        <v>2039131</v>
      </c>
      <c r="AF26" s="278">
        <v>2039131</v>
      </c>
    </row>
    <row r="27" spans="1:32" x14ac:dyDescent="0.3">
      <c r="A27" s="6" t="s">
        <v>26</v>
      </c>
      <c r="B27" s="278">
        <v>1990310</v>
      </c>
      <c r="C27" s="278">
        <v>1990847</v>
      </c>
      <c r="D27" s="278">
        <v>1991284</v>
      </c>
      <c r="E27" s="278">
        <v>1991458</v>
      </c>
      <c r="F27" s="278">
        <v>1991458</v>
      </c>
      <c r="G27" s="278">
        <v>1991458</v>
      </c>
      <c r="H27" s="278">
        <v>1991890</v>
      </c>
      <c r="I27" s="278">
        <v>1992325</v>
      </c>
      <c r="J27" s="278">
        <v>1992587</v>
      </c>
      <c r="K27" s="278">
        <v>1992849</v>
      </c>
      <c r="L27" s="278">
        <v>1993300</v>
      </c>
      <c r="M27" s="278">
        <v>1993300</v>
      </c>
      <c r="N27" s="278">
        <v>1993300</v>
      </c>
      <c r="O27" s="278">
        <v>1993686</v>
      </c>
      <c r="P27" s="278">
        <v>1993895</v>
      </c>
      <c r="Q27" s="278">
        <v>1994413</v>
      </c>
      <c r="R27" s="278">
        <v>1994543</v>
      </c>
      <c r="S27" s="278">
        <v>1994807</v>
      </c>
      <c r="T27" s="278">
        <v>1994809</v>
      </c>
      <c r="U27" s="278">
        <v>1994943</v>
      </c>
      <c r="V27" s="278">
        <v>1995421</v>
      </c>
      <c r="W27" s="278">
        <v>1995982</v>
      </c>
      <c r="X27" s="278">
        <v>1996456</v>
      </c>
      <c r="Y27" s="278">
        <v>1996769</v>
      </c>
      <c r="Z27" s="278">
        <v>1997290</v>
      </c>
      <c r="AA27" s="278">
        <v>1997809</v>
      </c>
      <c r="AB27" s="278">
        <v>1997984</v>
      </c>
      <c r="AC27" s="278">
        <v>1998505</v>
      </c>
      <c r="AD27" s="278">
        <v>1999023</v>
      </c>
      <c r="AE27" s="278">
        <v>1999498</v>
      </c>
      <c r="AF27" s="278">
        <v>1999545</v>
      </c>
    </row>
    <row r="28" spans="1:32" x14ac:dyDescent="0.3">
      <c r="A28" s="6" t="s">
        <v>27</v>
      </c>
      <c r="B28" s="278">
        <v>2000290</v>
      </c>
      <c r="C28" s="278">
        <v>2000478</v>
      </c>
      <c r="D28" s="278">
        <v>2000579</v>
      </c>
      <c r="E28" s="278">
        <v>2000920</v>
      </c>
      <c r="F28" s="278">
        <v>2000920</v>
      </c>
      <c r="G28" s="278">
        <v>2000920</v>
      </c>
      <c r="H28" s="278">
        <v>2001431</v>
      </c>
      <c r="I28" s="278">
        <v>2001864</v>
      </c>
      <c r="J28" s="278">
        <v>2002315</v>
      </c>
      <c r="K28" s="278">
        <v>2002491</v>
      </c>
      <c r="L28" s="278">
        <v>2002678</v>
      </c>
      <c r="M28" s="278">
        <v>2002678</v>
      </c>
      <c r="N28" s="278">
        <v>2002678</v>
      </c>
      <c r="O28" s="278">
        <v>2003127</v>
      </c>
      <c r="P28" s="278">
        <v>2003644</v>
      </c>
      <c r="Q28" s="278">
        <v>2004075</v>
      </c>
      <c r="R28" s="278">
        <v>2004592</v>
      </c>
      <c r="S28" s="278">
        <v>2004749</v>
      </c>
      <c r="T28" s="278">
        <v>2004749</v>
      </c>
      <c r="U28" s="278">
        <v>2004749</v>
      </c>
      <c r="V28" s="278">
        <v>2004872</v>
      </c>
      <c r="W28" s="278">
        <v>2005090</v>
      </c>
      <c r="X28" s="278">
        <v>2005520</v>
      </c>
      <c r="Y28" s="278">
        <v>2005972</v>
      </c>
      <c r="Z28" s="278">
        <v>2006467</v>
      </c>
      <c r="AA28" s="278">
        <v>2006940</v>
      </c>
      <c r="AB28" s="278">
        <v>2007026</v>
      </c>
      <c r="AC28" s="278">
        <v>2007308</v>
      </c>
      <c r="AD28" s="278">
        <v>2007845</v>
      </c>
      <c r="AE28" s="278">
        <v>2008404</v>
      </c>
      <c r="AF28" s="278">
        <v>2008469</v>
      </c>
    </row>
    <row r="29" spans="1:32" x14ac:dyDescent="0.3">
      <c r="A29" s="5" t="s">
        <v>28</v>
      </c>
      <c r="B29" s="278">
        <v>1918469</v>
      </c>
      <c r="C29" s="278">
        <v>1918549</v>
      </c>
      <c r="D29" s="278">
        <v>1918813</v>
      </c>
      <c r="E29" s="278">
        <v>1919249</v>
      </c>
      <c r="F29" s="278">
        <v>1919338</v>
      </c>
      <c r="G29" s="278">
        <v>1919774</v>
      </c>
      <c r="H29" s="278">
        <v>1920124</v>
      </c>
      <c r="I29" s="278">
        <v>1920388</v>
      </c>
      <c r="J29" s="278">
        <v>1920910</v>
      </c>
      <c r="K29" s="278">
        <v>1921281</v>
      </c>
      <c r="L29" s="278">
        <v>1921738</v>
      </c>
      <c r="M29" s="278">
        <v>1922175</v>
      </c>
      <c r="N29" s="278">
        <v>1922436</v>
      </c>
      <c r="O29" s="278">
        <v>1922615</v>
      </c>
      <c r="P29" s="278">
        <v>1922891</v>
      </c>
      <c r="Q29" s="278">
        <v>1923086</v>
      </c>
      <c r="R29" s="278">
        <v>1923419</v>
      </c>
      <c r="S29" s="278">
        <v>1923940</v>
      </c>
      <c r="T29" s="278">
        <v>1924418</v>
      </c>
      <c r="U29" s="278">
        <v>1924856</v>
      </c>
      <c r="V29" s="278">
        <v>1925336</v>
      </c>
      <c r="W29" s="278">
        <v>1925603</v>
      </c>
      <c r="X29" s="278">
        <v>1925911</v>
      </c>
      <c r="Y29" s="278">
        <v>1926347</v>
      </c>
      <c r="Z29" s="278">
        <v>1926824</v>
      </c>
      <c r="AA29" s="278">
        <v>1926998</v>
      </c>
      <c r="AB29" s="278">
        <v>1926998</v>
      </c>
      <c r="AC29" s="278">
        <v>1927306</v>
      </c>
      <c r="AD29" s="278">
        <v>1927783</v>
      </c>
      <c r="AE29" s="278">
        <v>1928220</v>
      </c>
      <c r="AF29" s="278">
        <v>1928220</v>
      </c>
    </row>
    <row r="30" spans="1:32" x14ac:dyDescent="0.3">
      <c r="A30" s="6" t="s">
        <v>29</v>
      </c>
      <c r="B30" s="278">
        <v>1651429</v>
      </c>
      <c r="C30" s="278">
        <v>1651590</v>
      </c>
      <c r="D30" s="278">
        <v>1652110</v>
      </c>
      <c r="E30" s="278">
        <v>1652585</v>
      </c>
      <c r="F30" s="278">
        <v>1652628</v>
      </c>
      <c r="G30" s="278">
        <v>1653103</v>
      </c>
      <c r="H30" s="278">
        <v>1653493</v>
      </c>
      <c r="I30" s="278">
        <v>1653859</v>
      </c>
      <c r="J30" s="278">
        <v>1654302</v>
      </c>
      <c r="K30" s="278">
        <v>1654753</v>
      </c>
      <c r="L30" s="278">
        <v>1655204</v>
      </c>
      <c r="M30" s="278">
        <v>1655204</v>
      </c>
      <c r="N30" s="278">
        <v>1655204</v>
      </c>
      <c r="O30" s="278">
        <v>1655422</v>
      </c>
      <c r="P30" s="278">
        <v>1655853</v>
      </c>
      <c r="Q30" s="278">
        <v>1656287</v>
      </c>
      <c r="R30" s="278">
        <v>1656635</v>
      </c>
      <c r="S30" s="278">
        <v>1656919</v>
      </c>
      <c r="T30" s="278">
        <v>1656919</v>
      </c>
      <c r="U30" s="278">
        <v>1656919</v>
      </c>
      <c r="V30" s="278">
        <v>1657086</v>
      </c>
      <c r="W30" s="278">
        <v>1657605</v>
      </c>
      <c r="X30" s="278">
        <v>1657953</v>
      </c>
      <c r="Y30" s="278">
        <v>1658267</v>
      </c>
      <c r="Z30" s="278">
        <v>1658719</v>
      </c>
      <c r="AA30" s="278">
        <v>1659170</v>
      </c>
      <c r="AB30" s="278">
        <v>1659518</v>
      </c>
      <c r="AC30" s="278">
        <v>1660081</v>
      </c>
      <c r="AD30" s="278">
        <v>1660513</v>
      </c>
      <c r="AE30" s="278">
        <v>1660734</v>
      </c>
      <c r="AF30" s="278">
        <v>1661122</v>
      </c>
    </row>
    <row r="31" spans="1:32" x14ac:dyDescent="0.3">
      <c r="A31" s="7" t="s">
        <v>30</v>
      </c>
      <c r="B31" s="278">
        <v>1962318</v>
      </c>
      <c r="C31" s="278">
        <v>1962599</v>
      </c>
      <c r="D31" s="278">
        <v>1962767</v>
      </c>
      <c r="E31" s="278">
        <v>1963217</v>
      </c>
      <c r="F31" s="278">
        <v>1963217</v>
      </c>
      <c r="G31" s="278">
        <v>1963217</v>
      </c>
      <c r="H31" s="278">
        <v>1963405</v>
      </c>
      <c r="I31" s="278">
        <v>1963593</v>
      </c>
      <c r="J31" s="278">
        <v>1963807</v>
      </c>
      <c r="K31" s="278">
        <v>1964082</v>
      </c>
      <c r="L31" s="278">
        <v>1964576</v>
      </c>
      <c r="M31" s="278">
        <v>1964622</v>
      </c>
      <c r="N31" s="278">
        <v>1965100</v>
      </c>
      <c r="O31" s="278">
        <v>1965338</v>
      </c>
      <c r="P31" s="278">
        <v>1965757</v>
      </c>
      <c r="Q31" s="278">
        <v>1966276</v>
      </c>
      <c r="R31" s="278">
        <v>1966708</v>
      </c>
      <c r="S31" s="278">
        <v>1967232</v>
      </c>
      <c r="T31" s="278">
        <v>1967579</v>
      </c>
      <c r="U31" s="278">
        <v>1967582</v>
      </c>
      <c r="V31" s="278">
        <v>1967974</v>
      </c>
      <c r="W31" s="278">
        <v>1968364</v>
      </c>
      <c r="X31" s="278">
        <v>1968842</v>
      </c>
      <c r="Y31" s="278">
        <v>1969361</v>
      </c>
      <c r="Z31" s="278">
        <v>1969727</v>
      </c>
      <c r="AA31" s="278">
        <v>1970136</v>
      </c>
      <c r="AB31" s="278">
        <v>1970457</v>
      </c>
      <c r="AC31" s="278">
        <v>1970645</v>
      </c>
      <c r="AD31" s="278">
        <v>1970970</v>
      </c>
      <c r="AE31" s="278">
        <v>1971448</v>
      </c>
      <c r="AF31" s="278">
        <v>1971881</v>
      </c>
    </row>
    <row r="32" spans="1:32" s="127" customFormat="1" x14ac:dyDescent="0.3">
      <c r="A32" s="6" t="s">
        <v>111</v>
      </c>
      <c r="B32" s="278">
        <v>613297</v>
      </c>
      <c r="C32" s="278">
        <v>613730</v>
      </c>
      <c r="D32" s="278">
        <v>614096</v>
      </c>
      <c r="E32" s="278">
        <v>614221</v>
      </c>
      <c r="F32" s="278">
        <v>614221</v>
      </c>
      <c r="G32" s="278">
        <v>614221</v>
      </c>
      <c r="H32" s="278">
        <v>614503</v>
      </c>
      <c r="I32" s="278">
        <v>615021</v>
      </c>
      <c r="J32" s="278">
        <v>615453</v>
      </c>
      <c r="K32" s="278">
        <v>615630</v>
      </c>
      <c r="L32" s="278">
        <v>615741</v>
      </c>
      <c r="M32" s="278">
        <v>615803</v>
      </c>
      <c r="N32" s="278">
        <v>615848</v>
      </c>
      <c r="O32" s="278">
        <v>615938</v>
      </c>
      <c r="P32" s="278">
        <v>616286</v>
      </c>
      <c r="Q32" s="278">
        <v>616718</v>
      </c>
      <c r="R32" s="278">
        <v>617168</v>
      </c>
      <c r="S32" s="278">
        <v>617239</v>
      </c>
      <c r="T32" s="278">
        <v>617239</v>
      </c>
      <c r="U32" s="278">
        <v>617244</v>
      </c>
      <c r="V32" s="278">
        <v>617695</v>
      </c>
      <c r="W32" s="278">
        <v>618061</v>
      </c>
      <c r="X32" s="278">
        <v>618235</v>
      </c>
      <c r="Y32" s="278">
        <v>618586</v>
      </c>
      <c r="Z32" s="278">
        <v>618781</v>
      </c>
      <c r="AA32" s="278">
        <v>618781</v>
      </c>
      <c r="AB32" s="278">
        <v>618781</v>
      </c>
      <c r="AC32" s="278">
        <v>618889</v>
      </c>
      <c r="AD32" s="278">
        <v>618893</v>
      </c>
      <c r="AE32" s="278">
        <v>618895</v>
      </c>
      <c r="AF32" s="278">
        <v>618895</v>
      </c>
    </row>
    <row r="33" spans="1:32" s="127" customFormat="1" x14ac:dyDescent="0.3">
      <c r="A33" s="5" t="s">
        <v>112</v>
      </c>
      <c r="B33" s="278">
        <v>609597</v>
      </c>
      <c r="C33" s="278">
        <v>609597</v>
      </c>
      <c r="D33" s="278">
        <v>609597</v>
      </c>
      <c r="E33" s="278">
        <v>609597</v>
      </c>
      <c r="F33" s="278">
        <v>609597</v>
      </c>
      <c r="G33" s="278">
        <v>609597</v>
      </c>
      <c r="H33" s="278">
        <v>609597</v>
      </c>
      <c r="I33" s="278">
        <v>609597</v>
      </c>
      <c r="J33" s="278">
        <v>609597</v>
      </c>
      <c r="K33" s="278">
        <v>609597</v>
      </c>
      <c r="L33" s="278">
        <v>609597</v>
      </c>
      <c r="M33" s="278">
        <v>609597</v>
      </c>
      <c r="N33" s="278">
        <v>609597</v>
      </c>
      <c r="O33" s="278">
        <v>609597</v>
      </c>
      <c r="P33" s="278">
        <v>609597</v>
      </c>
      <c r="Q33" s="278">
        <v>609597</v>
      </c>
      <c r="R33" s="278">
        <v>609597</v>
      </c>
      <c r="S33" s="278">
        <v>609597</v>
      </c>
      <c r="T33" s="278">
        <v>609597</v>
      </c>
      <c r="U33" s="278">
        <v>609597</v>
      </c>
      <c r="V33" s="278">
        <v>609597</v>
      </c>
      <c r="W33" s="278">
        <v>609597</v>
      </c>
      <c r="X33" s="278">
        <v>609597</v>
      </c>
      <c r="Y33" s="278">
        <v>609597</v>
      </c>
      <c r="Z33" s="278">
        <v>609597</v>
      </c>
      <c r="AA33" s="278">
        <v>609597</v>
      </c>
      <c r="AB33" s="278">
        <v>609597</v>
      </c>
      <c r="AC33" s="278">
        <v>609597</v>
      </c>
      <c r="AD33" s="278">
        <v>609597</v>
      </c>
      <c r="AE33" s="278">
        <v>609597</v>
      </c>
      <c r="AF33" s="278">
        <v>609597</v>
      </c>
    </row>
    <row r="34" spans="1:32" s="127" customFormat="1" x14ac:dyDescent="0.3">
      <c r="A34" s="6" t="s">
        <v>113</v>
      </c>
      <c r="B34" s="278">
        <v>594867</v>
      </c>
      <c r="C34" s="278">
        <v>595257</v>
      </c>
      <c r="D34" s="278">
        <v>595779</v>
      </c>
      <c r="E34" s="278">
        <v>596039</v>
      </c>
      <c r="F34" s="278">
        <v>596039</v>
      </c>
      <c r="G34" s="278">
        <v>596039</v>
      </c>
      <c r="H34" s="278">
        <v>596472</v>
      </c>
      <c r="I34" s="278">
        <v>596651</v>
      </c>
      <c r="J34" s="278">
        <v>597083</v>
      </c>
      <c r="K34" s="278">
        <v>597450</v>
      </c>
      <c r="L34" s="278">
        <v>597547</v>
      </c>
      <c r="M34" s="278">
        <v>597547</v>
      </c>
      <c r="N34" s="278">
        <v>597547</v>
      </c>
      <c r="O34" s="278">
        <v>597846</v>
      </c>
      <c r="P34" s="278">
        <v>597976</v>
      </c>
      <c r="Q34" s="278">
        <v>598409</v>
      </c>
      <c r="R34" s="278">
        <v>598841</v>
      </c>
      <c r="S34" s="278">
        <v>599069</v>
      </c>
      <c r="T34" s="278">
        <v>599069</v>
      </c>
      <c r="U34" s="278">
        <v>599071</v>
      </c>
      <c r="V34" s="278">
        <v>599520</v>
      </c>
      <c r="W34" s="278">
        <v>599990</v>
      </c>
      <c r="X34" s="278">
        <v>600010</v>
      </c>
      <c r="Y34" s="278">
        <v>600274</v>
      </c>
      <c r="Z34" s="278">
        <v>600555</v>
      </c>
      <c r="AA34" s="278">
        <v>600555</v>
      </c>
      <c r="AB34" s="278">
        <v>600748</v>
      </c>
      <c r="AC34" s="278">
        <v>601114</v>
      </c>
      <c r="AD34" s="278">
        <v>601300</v>
      </c>
      <c r="AE34" s="278">
        <v>601477</v>
      </c>
      <c r="AF34" s="278">
        <v>601477</v>
      </c>
    </row>
    <row r="35" spans="1:32" s="127" customFormat="1" x14ac:dyDescent="0.3">
      <c r="A35" s="7" t="s">
        <v>114</v>
      </c>
      <c r="B35" s="278">
        <v>608649</v>
      </c>
      <c r="C35" s="278">
        <v>609039</v>
      </c>
      <c r="D35" s="278">
        <v>609232</v>
      </c>
      <c r="E35" s="278">
        <v>609617</v>
      </c>
      <c r="F35" s="278">
        <v>609617</v>
      </c>
      <c r="G35" s="278">
        <v>609617</v>
      </c>
      <c r="H35" s="278">
        <v>610068</v>
      </c>
      <c r="I35" s="278">
        <v>610331</v>
      </c>
      <c r="J35" s="278">
        <v>610763</v>
      </c>
      <c r="K35" s="278">
        <v>611130</v>
      </c>
      <c r="L35" s="278">
        <v>611227</v>
      </c>
      <c r="M35" s="278">
        <v>611227</v>
      </c>
      <c r="N35" s="278">
        <v>611227</v>
      </c>
      <c r="O35" s="278">
        <v>611420</v>
      </c>
      <c r="P35" s="278">
        <v>611757</v>
      </c>
      <c r="Q35" s="278">
        <v>612199</v>
      </c>
      <c r="R35" s="278">
        <v>612649</v>
      </c>
      <c r="S35" s="278">
        <v>612980</v>
      </c>
      <c r="T35" s="278">
        <v>613412</v>
      </c>
      <c r="U35" s="278">
        <v>613844</v>
      </c>
      <c r="V35" s="278">
        <v>614260</v>
      </c>
      <c r="W35" s="278">
        <v>614340</v>
      </c>
      <c r="X35" s="278">
        <v>614686</v>
      </c>
      <c r="Y35" s="278">
        <v>614881</v>
      </c>
      <c r="Z35" s="278">
        <v>615324</v>
      </c>
      <c r="AA35" s="278">
        <v>615324</v>
      </c>
      <c r="AB35" s="278">
        <v>615448</v>
      </c>
      <c r="AC35" s="278">
        <v>615546</v>
      </c>
      <c r="AD35" s="278">
        <v>615742</v>
      </c>
      <c r="AE35" s="278">
        <v>615987</v>
      </c>
      <c r="AF35" s="278">
        <v>615987</v>
      </c>
    </row>
    <row r="36" spans="1:32" s="127" customFormat="1" x14ac:dyDescent="0.3">
      <c r="A36" s="5" t="s">
        <v>115</v>
      </c>
      <c r="B36" s="278">
        <v>593147</v>
      </c>
      <c r="C36" s="278">
        <v>593325</v>
      </c>
      <c r="D36" s="278">
        <v>593412</v>
      </c>
      <c r="E36" s="278">
        <v>593695</v>
      </c>
      <c r="F36" s="278">
        <v>593695</v>
      </c>
      <c r="G36" s="278">
        <v>593695</v>
      </c>
      <c r="H36" s="278">
        <v>593716</v>
      </c>
      <c r="I36" s="278">
        <v>593807</v>
      </c>
      <c r="J36" s="278">
        <v>594069</v>
      </c>
      <c r="K36" s="278">
        <v>594415</v>
      </c>
      <c r="L36" s="278">
        <v>594695</v>
      </c>
      <c r="M36" s="278">
        <v>594695</v>
      </c>
      <c r="N36" s="278">
        <v>594695</v>
      </c>
      <c r="O36" s="278">
        <v>594775</v>
      </c>
      <c r="P36" s="278">
        <v>595208</v>
      </c>
      <c r="Q36" s="278">
        <v>595659</v>
      </c>
      <c r="R36" s="278">
        <v>595786</v>
      </c>
      <c r="S36" s="278">
        <v>595885</v>
      </c>
      <c r="T36" s="278">
        <v>595885</v>
      </c>
      <c r="U36" s="278">
        <v>595885</v>
      </c>
      <c r="V36" s="278">
        <v>595965</v>
      </c>
      <c r="W36" s="278">
        <v>596072</v>
      </c>
      <c r="X36" s="278">
        <v>596304</v>
      </c>
      <c r="Y36" s="278">
        <v>596737</v>
      </c>
      <c r="Z36" s="278">
        <v>596862</v>
      </c>
      <c r="AA36" s="278">
        <v>596862</v>
      </c>
      <c r="AB36" s="278">
        <v>596862</v>
      </c>
      <c r="AC36" s="278">
        <v>596862</v>
      </c>
      <c r="AD36" s="278">
        <v>596862</v>
      </c>
      <c r="AE36" s="278">
        <v>596950</v>
      </c>
      <c r="AF36" s="278">
        <v>596950</v>
      </c>
    </row>
    <row r="37" spans="1:32" s="127" customFormat="1" x14ac:dyDescent="0.3">
      <c r="A37" s="6" t="s">
        <v>116</v>
      </c>
      <c r="B37" s="278">
        <v>637624</v>
      </c>
      <c r="C37" s="278">
        <v>637751</v>
      </c>
      <c r="D37" s="278">
        <v>637839</v>
      </c>
      <c r="E37" s="278">
        <v>638101</v>
      </c>
      <c r="F37" s="278">
        <v>638101</v>
      </c>
      <c r="G37" s="278">
        <v>638101</v>
      </c>
      <c r="H37" s="278">
        <v>638533</v>
      </c>
      <c r="I37" s="278">
        <v>638965</v>
      </c>
      <c r="J37" s="278">
        <v>639397</v>
      </c>
      <c r="K37" s="278">
        <v>639468</v>
      </c>
      <c r="L37" s="278">
        <v>639646</v>
      </c>
      <c r="M37" s="278">
        <v>639646</v>
      </c>
      <c r="N37" s="278">
        <v>639646</v>
      </c>
      <c r="O37" s="278">
        <v>639725</v>
      </c>
      <c r="P37" s="278">
        <v>640158</v>
      </c>
      <c r="Q37" s="278">
        <v>640316</v>
      </c>
      <c r="R37" s="278">
        <v>640404</v>
      </c>
      <c r="S37" s="278">
        <v>640685</v>
      </c>
      <c r="T37" s="278">
        <v>640685</v>
      </c>
      <c r="U37" s="278">
        <v>640688</v>
      </c>
      <c r="V37" s="278">
        <v>640775</v>
      </c>
      <c r="W37" s="278">
        <v>641040</v>
      </c>
      <c r="X37" s="278">
        <v>641213</v>
      </c>
      <c r="Y37" s="278">
        <v>641665</v>
      </c>
      <c r="Z37" s="278">
        <v>641939</v>
      </c>
      <c r="AA37" s="278">
        <v>641939</v>
      </c>
      <c r="AB37" s="278">
        <v>641939</v>
      </c>
      <c r="AC37" s="278">
        <v>642391</v>
      </c>
      <c r="AD37" s="278">
        <v>642571</v>
      </c>
      <c r="AE37" s="278">
        <v>642852</v>
      </c>
      <c r="AF37" s="278">
        <v>642852</v>
      </c>
    </row>
    <row r="38" spans="1:32" x14ac:dyDescent="0.3">
      <c r="A38" s="7" t="s">
        <v>117</v>
      </c>
      <c r="B38" s="278">
        <v>278172</v>
      </c>
      <c r="C38" s="278">
        <v>278606</v>
      </c>
      <c r="D38" s="278">
        <v>279075</v>
      </c>
      <c r="E38" s="278">
        <v>279506</v>
      </c>
      <c r="F38" s="278">
        <v>279506</v>
      </c>
      <c r="G38" s="278">
        <v>279506</v>
      </c>
      <c r="H38" s="278">
        <v>279940</v>
      </c>
      <c r="I38" s="278">
        <v>280462</v>
      </c>
      <c r="J38" s="278">
        <v>280538</v>
      </c>
      <c r="K38" s="278">
        <v>280817</v>
      </c>
      <c r="L38" s="278">
        <v>281165</v>
      </c>
      <c r="M38" s="278">
        <v>281165</v>
      </c>
      <c r="N38" s="278">
        <v>281165</v>
      </c>
      <c r="O38" s="278">
        <v>281616</v>
      </c>
      <c r="P38" s="278">
        <v>281690</v>
      </c>
      <c r="Q38" s="278">
        <v>282118</v>
      </c>
      <c r="R38" s="278">
        <v>282552</v>
      </c>
      <c r="S38" s="278">
        <v>282984</v>
      </c>
      <c r="T38" s="278">
        <v>283415</v>
      </c>
      <c r="U38" s="278">
        <v>283846</v>
      </c>
      <c r="V38" s="278">
        <v>284278</v>
      </c>
      <c r="W38" s="278">
        <v>284542</v>
      </c>
      <c r="X38" s="278">
        <v>284908</v>
      </c>
      <c r="Y38" s="278">
        <v>285447</v>
      </c>
      <c r="Z38" s="278">
        <v>285898</v>
      </c>
      <c r="AA38" s="278">
        <v>285898</v>
      </c>
      <c r="AB38" s="278">
        <v>286093</v>
      </c>
      <c r="AC38" s="278">
        <v>286251</v>
      </c>
      <c r="AD38" s="278">
        <v>286438</v>
      </c>
      <c r="AE38" s="278">
        <v>286803</v>
      </c>
      <c r="AF38" s="278">
        <v>286803</v>
      </c>
    </row>
    <row r="39" spans="1:32" x14ac:dyDescent="0.3">
      <c r="A39" s="5" t="s">
        <v>118</v>
      </c>
      <c r="B39" s="278">
        <v>612757</v>
      </c>
      <c r="C39" s="278">
        <v>613019</v>
      </c>
      <c r="D39" s="278">
        <v>613196</v>
      </c>
      <c r="E39" s="278">
        <v>613321</v>
      </c>
      <c r="F39" s="278">
        <v>613321</v>
      </c>
      <c r="G39" s="278">
        <v>613321</v>
      </c>
      <c r="H39" s="278">
        <v>613753</v>
      </c>
      <c r="I39" s="278">
        <v>614228</v>
      </c>
      <c r="J39" s="278">
        <v>614619</v>
      </c>
      <c r="K39" s="278">
        <v>615051</v>
      </c>
      <c r="L39" s="278">
        <v>615228</v>
      </c>
      <c r="M39" s="278">
        <v>615316</v>
      </c>
      <c r="N39" s="278">
        <v>615318</v>
      </c>
      <c r="O39" s="278">
        <v>615768</v>
      </c>
      <c r="P39" s="278">
        <v>615867</v>
      </c>
      <c r="Q39" s="278">
        <v>616302</v>
      </c>
      <c r="R39" s="278">
        <v>616480</v>
      </c>
      <c r="S39" s="278">
        <v>616577</v>
      </c>
      <c r="T39" s="278">
        <v>616577</v>
      </c>
      <c r="U39" s="278">
        <v>616577</v>
      </c>
      <c r="V39" s="278">
        <v>616935</v>
      </c>
      <c r="W39" s="278">
        <v>617032</v>
      </c>
      <c r="X39" s="278">
        <v>617298</v>
      </c>
      <c r="Y39" s="278">
        <v>617423</v>
      </c>
      <c r="Z39" s="278">
        <v>617805</v>
      </c>
      <c r="AA39" s="278">
        <v>617805</v>
      </c>
      <c r="AB39" s="278">
        <v>617930</v>
      </c>
      <c r="AC39" s="278">
        <v>618270</v>
      </c>
      <c r="AD39" s="278">
        <v>618619</v>
      </c>
      <c r="AE39" s="278">
        <v>619070</v>
      </c>
      <c r="AF39" s="278">
        <v>619070</v>
      </c>
    </row>
    <row r="40" spans="1:32" s="127" customFormat="1" ht="17.399999999999999" x14ac:dyDescent="0.3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L40" s="222"/>
      <c r="M40" s="222"/>
      <c r="N40" s="222"/>
      <c r="O40" s="222"/>
      <c r="P40" s="222"/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</row>
    <row r="41" spans="1:32" ht="17.399999999999999" x14ac:dyDescent="0.3">
      <c r="A41" s="330" t="s">
        <v>31</v>
      </c>
      <c r="B41" s="330"/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/>
      <c r="W41" s="330"/>
      <c r="X41" s="330"/>
      <c r="Y41" s="330"/>
      <c r="Z41" s="330"/>
      <c r="AA41" s="330"/>
      <c r="AB41" s="330"/>
      <c r="AC41" s="330"/>
    </row>
    <row r="42" spans="1:32" x14ac:dyDescent="0.3">
      <c r="A42" s="9"/>
      <c r="B42" s="64">
        <v>45566</v>
      </c>
      <c r="C42" s="64">
        <v>45567</v>
      </c>
      <c r="D42" s="64">
        <v>45568</v>
      </c>
      <c r="E42" s="64">
        <v>45569</v>
      </c>
      <c r="F42" s="64">
        <v>45570</v>
      </c>
      <c r="G42" s="64">
        <v>45571</v>
      </c>
      <c r="H42" s="64">
        <v>45572</v>
      </c>
      <c r="I42" s="64">
        <v>45573</v>
      </c>
      <c r="J42" s="64">
        <v>45574</v>
      </c>
      <c r="K42" s="64">
        <v>45575</v>
      </c>
      <c r="L42" s="64">
        <v>45576</v>
      </c>
      <c r="M42" s="64">
        <v>45577</v>
      </c>
      <c r="N42" s="64">
        <v>45578</v>
      </c>
      <c r="O42" s="64">
        <v>45579</v>
      </c>
      <c r="P42" s="64">
        <v>45580</v>
      </c>
      <c r="Q42" s="64">
        <v>45581</v>
      </c>
      <c r="R42" s="64">
        <v>45582</v>
      </c>
      <c r="S42" s="64">
        <v>45583</v>
      </c>
      <c r="T42" s="64">
        <v>45584</v>
      </c>
      <c r="U42" s="64">
        <v>45585</v>
      </c>
      <c r="V42" s="64">
        <v>45586</v>
      </c>
      <c r="W42" s="64">
        <v>45587</v>
      </c>
      <c r="X42" s="64">
        <v>45588</v>
      </c>
      <c r="Y42" s="64">
        <v>45589</v>
      </c>
      <c r="Z42" s="64">
        <v>45590</v>
      </c>
      <c r="AA42" s="64">
        <v>45591</v>
      </c>
      <c r="AB42" s="64">
        <v>45592</v>
      </c>
      <c r="AC42" s="64">
        <v>45593</v>
      </c>
      <c r="AD42" s="64">
        <v>45594</v>
      </c>
      <c r="AE42" s="64">
        <v>45595</v>
      </c>
      <c r="AF42" s="64">
        <v>45596</v>
      </c>
    </row>
    <row r="43" spans="1:32" x14ac:dyDescent="0.3">
      <c r="A43" s="9"/>
      <c r="B43" s="10" t="s">
        <v>32</v>
      </c>
      <c r="C43" s="10" t="s">
        <v>32</v>
      </c>
      <c r="D43" s="10" t="s">
        <v>32</v>
      </c>
      <c r="E43" s="10" t="s">
        <v>32</v>
      </c>
      <c r="F43" s="10" t="s">
        <v>32</v>
      </c>
      <c r="G43" s="10" t="s">
        <v>32</v>
      </c>
      <c r="H43" s="10" t="s">
        <v>32</v>
      </c>
      <c r="I43" s="10" t="s">
        <v>32</v>
      </c>
      <c r="J43" s="10" t="s">
        <v>32</v>
      </c>
      <c r="K43" s="10" t="s">
        <v>32</v>
      </c>
      <c r="L43" s="10" t="s">
        <v>32</v>
      </c>
      <c r="M43" s="10" t="s">
        <v>32</v>
      </c>
      <c r="N43" s="10" t="s">
        <v>32</v>
      </c>
      <c r="O43" s="10" t="s">
        <v>32</v>
      </c>
      <c r="P43" s="10" t="s">
        <v>32</v>
      </c>
      <c r="Q43" s="10" t="s">
        <v>32</v>
      </c>
      <c r="R43" s="10" t="s">
        <v>32</v>
      </c>
      <c r="S43" s="10" t="s">
        <v>32</v>
      </c>
      <c r="T43" s="10" t="s">
        <v>32</v>
      </c>
      <c r="U43" s="10" t="s">
        <v>32</v>
      </c>
      <c r="V43" s="10" t="s">
        <v>32</v>
      </c>
      <c r="W43" s="10" t="s">
        <v>32</v>
      </c>
      <c r="X43" s="10" t="s">
        <v>32</v>
      </c>
      <c r="Y43" s="10" t="s">
        <v>32</v>
      </c>
      <c r="Z43" s="10" t="s">
        <v>32</v>
      </c>
      <c r="AA43" s="10" t="s">
        <v>32</v>
      </c>
      <c r="AB43" s="10" t="s">
        <v>32</v>
      </c>
      <c r="AC43" s="10" t="s">
        <v>32</v>
      </c>
      <c r="AD43" s="10" t="s">
        <v>32</v>
      </c>
      <c r="AE43" s="10" t="s">
        <v>32</v>
      </c>
      <c r="AF43" s="10" t="s">
        <v>32</v>
      </c>
    </row>
    <row r="44" spans="1:32" x14ac:dyDescent="0.3">
      <c r="A44" s="9" t="s">
        <v>2</v>
      </c>
      <c r="B44" s="10" t="s">
        <v>33</v>
      </c>
      <c r="C44" s="10" t="s">
        <v>33</v>
      </c>
      <c r="D44" s="10" t="s">
        <v>33</v>
      </c>
      <c r="E44" s="10" t="s">
        <v>33</v>
      </c>
      <c r="F44" s="10" t="s">
        <v>33</v>
      </c>
      <c r="G44" s="10" t="s">
        <v>33</v>
      </c>
      <c r="H44" s="10" t="s">
        <v>33</v>
      </c>
      <c r="I44" s="10" t="s">
        <v>33</v>
      </c>
      <c r="J44" s="10" t="s">
        <v>33</v>
      </c>
      <c r="K44" s="10" t="s">
        <v>33</v>
      </c>
      <c r="L44" s="10" t="s">
        <v>33</v>
      </c>
      <c r="M44" s="10" t="s">
        <v>33</v>
      </c>
      <c r="N44" s="10" t="s">
        <v>33</v>
      </c>
      <c r="O44" s="10" t="s">
        <v>33</v>
      </c>
      <c r="P44" s="10" t="s">
        <v>33</v>
      </c>
      <c r="Q44" s="10" t="s">
        <v>33</v>
      </c>
      <c r="R44" s="10" t="s">
        <v>33</v>
      </c>
      <c r="S44" s="10" t="s">
        <v>33</v>
      </c>
      <c r="T44" s="10" t="s">
        <v>33</v>
      </c>
      <c r="U44" s="10" t="s">
        <v>33</v>
      </c>
      <c r="V44" s="10" t="s">
        <v>33</v>
      </c>
      <c r="W44" s="10" t="s">
        <v>33</v>
      </c>
      <c r="X44" s="10" t="s">
        <v>33</v>
      </c>
      <c r="Y44" s="10" t="s">
        <v>33</v>
      </c>
      <c r="Z44" s="10" t="s">
        <v>33</v>
      </c>
      <c r="AA44" s="10" t="s">
        <v>33</v>
      </c>
      <c r="AB44" s="10" t="s">
        <v>33</v>
      </c>
      <c r="AC44" s="10" t="s">
        <v>33</v>
      </c>
      <c r="AD44" s="10" t="s">
        <v>33</v>
      </c>
      <c r="AE44" s="10" t="s">
        <v>33</v>
      </c>
      <c r="AF44" s="10" t="s">
        <v>33</v>
      </c>
    </row>
    <row r="45" spans="1:32" x14ac:dyDescent="0.3">
      <c r="A45" s="11" t="s">
        <v>4</v>
      </c>
      <c r="B45" s="240">
        <v>245</v>
      </c>
      <c r="C45" s="12">
        <f t="shared" ref="C45:D64" si="0">C5-B5</f>
        <v>351</v>
      </c>
      <c r="D45" s="12">
        <f t="shared" si="0"/>
        <v>561</v>
      </c>
      <c r="E45" s="12">
        <f t="shared" ref="E45:F64" si="1">E5-D5</f>
        <v>306</v>
      </c>
      <c r="F45" s="12">
        <f t="shared" si="1"/>
        <v>519</v>
      </c>
      <c r="G45" s="12">
        <f t="shared" ref="G45:P45" si="2">G5-F5</f>
        <v>436</v>
      </c>
      <c r="H45" s="12">
        <f t="shared" si="2"/>
        <v>264</v>
      </c>
      <c r="I45" s="12">
        <f t="shared" si="2"/>
        <v>563</v>
      </c>
      <c r="J45" s="12">
        <f t="shared" si="2"/>
        <v>148</v>
      </c>
      <c r="K45" s="12">
        <f t="shared" si="2"/>
        <v>537</v>
      </c>
      <c r="L45" s="12">
        <f t="shared" si="2"/>
        <v>384</v>
      </c>
      <c r="M45" s="12">
        <f t="shared" si="2"/>
        <v>437</v>
      </c>
      <c r="N45" s="12">
        <f t="shared" si="2"/>
        <v>175</v>
      </c>
      <c r="O45" s="12">
        <f t="shared" si="2"/>
        <v>518</v>
      </c>
      <c r="P45" s="12">
        <f t="shared" si="2"/>
        <v>571</v>
      </c>
      <c r="Q45" s="12">
        <f>Q5-P5</f>
        <v>339</v>
      </c>
      <c r="R45" s="12">
        <f>R5-Q5</f>
        <v>397</v>
      </c>
      <c r="S45" s="12">
        <f>S5-R5</f>
        <v>308</v>
      </c>
      <c r="T45" s="12">
        <f t="shared" ref="T45:AF45" si="3">T5-S5</f>
        <v>63</v>
      </c>
      <c r="U45" s="12">
        <f t="shared" si="3"/>
        <v>0</v>
      </c>
      <c r="V45" s="12">
        <f>V5-U5</f>
        <v>366</v>
      </c>
      <c r="W45" s="12">
        <f t="shared" si="3"/>
        <v>477</v>
      </c>
      <c r="X45" s="12">
        <f t="shared" si="3"/>
        <v>354</v>
      </c>
      <c r="Y45" s="12">
        <f t="shared" si="3"/>
        <v>432</v>
      </c>
      <c r="Z45" s="12">
        <f t="shared" si="3"/>
        <v>261</v>
      </c>
      <c r="AA45" s="12">
        <f t="shared" si="3"/>
        <v>390</v>
      </c>
      <c r="AB45" s="12">
        <f t="shared" si="3"/>
        <v>475</v>
      </c>
      <c r="AC45" s="12">
        <f t="shared" si="3"/>
        <v>517</v>
      </c>
      <c r="AD45" s="12">
        <f t="shared" si="3"/>
        <v>281</v>
      </c>
      <c r="AE45" s="12">
        <f t="shared" si="3"/>
        <v>185</v>
      </c>
      <c r="AF45" s="12">
        <f t="shared" si="3"/>
        <v>279</v>
      </c>
    </row>
    <row r="46" spans="1:32" x14ac:dyDescent="0.3">
      <c r="A46" s="11" t="s">
        <v>5</v>
      </c>
      <c r="B46" s="240">
        <v>167</v>
      </c>
      <c r="C46" s="12">
        <f t="shared" si="0"/>
        <v>350</v>
      </c>
      <c r="D46" s="12">
        <f t="shared" si="0"/>
        <v>178</v>
      </c>
      <c r="E46" s="12">
        <f t="shared" si="1"/>
        <v>522</v>
      </c>
      <c r="F46" s="12">
        <f t="shared" si="1"/>
        <v>476</v>
      </c>
      <c r="G46" s="12">
        <f t="shared" ref="G46:P62" si="4">G6-F6</f>
        <v>433</v>
      </c>
      <c r="H46" s="12">
        <f t="shared" si="4"/>
        <v>519</v>
      </c>
      <c r="I46" s="12">
        <f t="shared" si="4"/>
        <v>475</v>
      </c>
      <c r="J46" s="12">
        <f t="shared" si="4"/>
        <v>472</v>
      </c>
      <c r="K46" s="12">
        <f t="shared" si="4"/>
        <v>563</v>
      </c>
      <c r="L46" s="12">
        <f t="shared" si="4"/>
        <v>392</v>
      </c>
      <c r="M46" s="12">
        <f t="shared" si="4"/>
        <v>438</v>
      </c>
      <c r="N46" s="12">
        <f t="shared" si="4"/>
        <v>2</v>
      </c>
      <c r="O46" s="12">
        <f t="shared" si="4"/>
        <v>369</v>
      </c>
      <c r="P46" s="12">
        <f t="shared" si="4"/>
        <v>280</v>
      </c>
      <c r="Q46" s="12">
        <f t="shared" ref="Q46:Q79" si="5">Q6-P6</f>
        <v>281</v>
      </c>
      <c r="R46" s="12">
        <f t="shared" ref="R46:S79" si="6">R6-Q6</f>
        <v>255</v>
      </c>
      <c r="S46" s="12">
        <f t="shared" si="6"/>
        <v>436</v>
      </c>
      <c r="T46" s="12">
        <f t="shared" ref="T46:AF46" si="7">T6-S6</f>
        <v>520</v>
      </c>
      <c r="U46" s="12">
        <f t="shared" si="7"/>
        <v>436</v>
      </c>
      <c r="V46" s="12">
        <f t="shared" si="7"/>
        <v>452</v>
      </c>
      <c r="W46" s="12">
        <f t="shared" si="7"/>
        <v>245</v>
      </c>
      <c r="X46" s="12">
        <f t="shared" si="7"/>
        <v>433</v>
      </c>
      <c r="Y46" s="12">
        <f t="shared" si="7"/>
        <v>453</v>
      </c>
      <c r="Z46" s="12">
        <f t="shared" si="7"/>
        <v>186</v>
      </c>
      <c r="AA46" s="12">
        <f t="shared" si="7"/>
        <v>174</v>
      </c>
      <c r="AB46" s="12">
        <f t="shared" si="7"/>
        <v>320</v>
      </c>
      <c r="AC46" s="12">
        <f t="shared" si="7"/>
        <v>201</v>
      </c>
      <c r="AD46" s="12">
        <f t="shared" si="7"/>
        <v>97</v>
      </c>
      <c r="AE46" s="12">
        <f t="shared" si="7"/>
        <v>495</v>
      </c>
      <c r="AF46" s="12">
        <f t="shared" si="7"/>
        <v>431</v>
      </c>
    </row>
    <row r="47" spans="1:32" x14ac:dyDescent="0.3">
      <c r="A47" s="11" t="s">
        <v>6</v>
      </c>
      <c r="B47" s="240">
        <v>202</v>
      </c>
      <c r="C47" s="12">
        <f t="shared" si="0"/>
        <v>255</v>
      </c>
      <c r="D47" s="12">
        <f t="shared" si="0"/>
        <v>518</v>
      </c>
      <c r="E47" s="12">
        <f t="shared" si="1"/>
        <v>474</v>
      </c>
      <c r="F47" s="12">
        <f t="shared" si="1"/>
        <v>475</v>
      </c>
      <c r="G47" s="12">
        <f t="shared" si="4"/>
        <v>1</v>
      </c>
      <c r="H47" s="12">
        <f t="shared" si="4"/>
        <v>108</v>
      </c>
      <c r="I47" s="12">
        <f t="shared" si="4"/>
        <v>97</v>
      </c>
      <c r="J47" s="12">
        <f t="shared" si="4"/>
        <v>288</v>
      </c>
      <c r="K47" s="12">
        <f t="shared" si="4"/>
        <v>494</v>
      </c>
      <c r="L47" s="12">
        <f t="shared" si="4"/>
        <v>245</v>
      </c>
      <c r="M47" s="12">
        <f t="shared" si="4"/>
        <v>415</v>
      </c>
      <c r="N47" s="12">
        <f t="shared" si="4"/>
        <v>365</v>
      </c>
      <c r="O47" s="12">
        <f t="shared" si="4"/>
        <v>521</v>
      </c>
      <c r="P47" s="12">
        <f t="shared" si="4"/>
        <v>431</v>
      </c>
      <c r="Q47" s="12">
        <f t="shared" si="5"/>
        <v>451</v>
      </c>
      <c r="R47" s="12">
        <f t="shared" si="6"/>
        <v>150</v>
      </c>
      <c r="S47" s="12">
        <f t="shared" si="6"/>
        <v>415</v>
      </c>
      <c r="T47" s="12">
        <f t="shared" ref="T47:AF47" si="8">T7-S7</f>
        <v>131</v>
      </c>
      <c r="U47" s="12">
        <f t="shared" si="8"/>
        <v>131</v>
      </c>
      <c r="V47" s="12">
        <f t="shared" si="8"/>
        <v>368</v>
      </c>
      <c r="W47" s="12">
        <f t="shared" si="8"/>
        <v>169</v>
      </c>
      <c r="X47" s="12">
        <f t="shared" si="8"/>
        <v>313</v>
      </c>
      <c r="Y47" s="12">
        <f t="shared" si="8"/>
        <v>452</v>
      </c>
      <c r="Z47" s="12">
        <f t="shared" si="8"/>
        <v>297</v>
      </c>
      <c r="AA47" s="12">
        <f t="shared" si="8"/>
        <v>303</v>
      </c>
      <c r="AB47" s="12">
        <f t="shared" si="8"/>
        <v>434</v>
      </c>
      <c r="AC47" s="12">
        <f t="shared" si="8"/>
        <v>450</v>
      </c>
      <c r="AD47" s="12">
        <f t="shared" si="8"/>
        <v>219</v>
      </c>
      <c r="AE47" s="12">
        <f t="shared" si="8"/>
        <v>475</v>
      </c>
      <c r="AF47" s="12">
        <f t="shared" si="8"/>
        <v>432</v>
      </c>
    </row>
    <row r="48" spans="1:32" x14ac:dyDescent="0.3">
      <c r="A48" s="13" t="s">
        <v>7</v>
      </c>
      <c r="B48" s="240">
        <v>475</v>
      </c>
      <c r="C48" s="12">
        <f t="shared" si="0"/>
        <v>409</v>
      </c>
      <c r="D48" s="12">
        <f t="shared" si="0"/>
        <v>188</v>
      </c>
      <c r="E48" s="12">
        <f t="shared" si="1"/>
        <v>157</v>
      </c>
      <c r="F48" s="12">
        <f t="shared" si="1"/>
        <v>518</v>
      </c>
      <c r="G48" s="12">
        <f t="shared" si="4"/>
        <v>432</v>
      </c>
      <c r="H48" s="12">
        <f t="shared" si="4"/>
        <v>478</v>
      </c>
      <c r="I48" s="12">
        <f t="shared" si="4"/>
        <v>473</v>
      </c>
      <c r="J48" s="12">
        <f t="shared" si="4"/>
        <v>450</v>
      </c>
      <c r="K48" s="12">
        <f t="shared" si="4"/>
        <v>228</v>
      </c>
      <c r="L48" s="12">
        <f t="shared" si="4"/>
        <v>432</v>
      </c>
      <c r="M48" s="12">
        <f t="shared" si="4"/>
        <v>0</v>
      </c>
      <c r="N48" s="12">
        <f t="shared" si="4"/>
        <v>0</v>
      </c>
      <c r="O48" s="12">
        <f t="shared" si="4"/>
        <v>474</v>
      </c>
      <c r="P48" s="12">
        <f t="shared" si="4"/>
        <v>491</v>
      </c>
      <c r="Q48" s="12">
        <f t="shared" si="5"/>
        <v>247</v>
      </c>
      <c r="R48" s="12">
        <f t="shared" si="6"/>
        <v>517</v>
      </c>
      <c r="S48" s="12">
        <f t="shared" si="6"/>
        <v>451</v>
      </c>
      <c r="T48" s="12">
        <f t="shared" ref="T48:AF48" si="9">T8-S8</f>
        <v>0</v>
      </c>
      <c r="U48" s="12">
        <f t="shared" si="9"/>
        <v>0</v>
      </c>
      <c r="V48" s="12">
        <f t="shared" si="9"/>
        <v>537</v>
      </c>
      <c r="W48" s="12">
        <f t="shared" si="9"/>
        <v>227</v>
      </c>
      <c r="X48" s="12">
        <f t="shared" si="9"/>
        <v>452</v>
      </c>
      <c r="Y48" s="12">
        <f t="shared" si="9"/>
        <v>255</v>
      </c>
      <c r="Z48" s="12">
        <f t="shared" si="9"/>
        <v>449</v>
      </c>
      <c r="AA48" s="12">
        <f t="shared" si="9"/>
        <v>406</v>
      </c>
      <c r="AB48" s="12">
        <f t="shared" si="9"/>
        <v>517</v>
      </c>
      <c r="AC48" s="12">
        <f t="shared" si="9"/>
        <v>432</v>
      </c>
      <c r="AD48" s="12">
        <f t="shared" si="9"/>
        <v>389</v>
      </c>
      <c r="AE48" s="12">
        <f t="shared" si="9"/>
        <v>520</v>
      </c>
      <c r="AF48" s="12">
        <f t="shared" si="9"/>
        <v>432</v>
      </c>
    </row>
    <row r="49" spans="1:32" x14ac:dyDescent="0.3">
      <c r="A49" s="13" t="s">
        <v>8</v>
      </c>
      <c r="B49" s="240">
        <v>560</v>
      </c>
      <c r="C49" s="12">
        <f t="shared" si="0"/>
        <v>450</v>
      </c>
      <c r="D49" s="12">
        <f t="shared" si="0"/>
        <v>151</v>
      </c>
      <c r="E49" s="12">
        <f t="shared" si="1"/>
        <v>186</v>
      </c>
      <c r="F49" s="12">
        <f t="shared" si="1"/>
        <v>0</v>
      </c>
      <c r="G49" s="12">
        <f t="shared" si="4"/>
        <v>0</v>
      </c>
      <c r="H49" s="12">
        <f t="shared" si="4"/>
        <v>368</v>
      </c>
      <c r="I49" s="12">
        <f t="shared" si="4"/>
        <v>521</v>
      </c>
      <c r="J49" s="12">
        <f t="shared" si="4"/>
        <v>280</v>
      </c>
      <c r="K49" s="12">
        <f t="shared" si="4"/>
        <v>386</v>
      </c>
      <c r="L49" s="12">
        <f t="shared" si="4"/>
        <v>562</v>
      </c>
      <c r="M49" s="12">
        <f t="shared" si="4"/>
        <v>432</v>
      </c>
      <c r="N49" s="12">
        <f t="shared" si="4"/>
        <v>86</v>
      </c>
      <c r="O49" s="12">
        <f t="shared" si="4"/>
        <v>519</v>
      </c>
      <c r="P49" s="12">
        <f t="shared" si="4"/>
        <v>419</v>
      </c>
      <c r="Q49" s="12">
        <f t="shared" si="5"/>
        <v>97</v>
      </c>
      <c r="R49" s="12">
        <f t="shared" si="6"/>
        <v>83</v>
      </c>
      <c r="S49" s="12">
        <f t="shared" si="6"/>
        <v>520</v>
      </c>
      <c r="T49" s="12">
        <f t="shared" ref="T49:AF49" si="10">T9-S9</f>
        <v>433</v>
      </c>
      <c r="U49" s="12">
        <f t="shared" si="10"/>
        <v>432</v>
      </c>
      <c r="V49" s="12">
        <f t="shared" si="10"/>
        <v>279</v>
      </c>
      <c r="W49" s="12">
        <f t="shared" si="10"/>
        <v>211</v>
      </c>
      <c r="X49" s="12">
        <f t="shared" si="10"/>
        <v>476</v>
      </c>
      <c r="Y49" s="12">
        <f t="shared" si="10"/>
        <v>144</v>
      </c>
      <c r="Z49" s="12">
        <f t="shared" si="10"/>
        <v>436</v>
      </c>
      <c r="AA49" s="12">
        <f t="shared" si="10"/>
        <v>279</v>
      </c>
      <c r="AB49" s="12">
        <f t="shared" si="10"/>
        <v>106</v>
      </c>
      <c r="AC49" s="12">
        <f t="shared" si="10"/>
        <v>452</v>
      </c>
      <c r="AD49" s="12">
        <f t="shared" si="10"/>
        <v>99</v>
      </c>
      <c r="AE49" s="12">
        <f t="shared" si="10"/>
        <v>160</v>
      </c>
      <c r="AF49" s="12">
        <f t="shared" si="10"/>
        <v>0</v>
      </c>
    </row>
    <row r="50" spans="1:32" x14ac:dyDescent="0.3">
      <c r="A50" s="13" t="s">
        <v>9</v>
      </c>
      <c r="B50" s="240">
        <v>352</v>
      </c>
      <c r="C50" s="12">
        <f t="shared" si="0"/>
        <v>524</v>
      </c>
      <c r="D50" s="12">
        <f t="shared" si="0"/>
        <v>456</v>
      </c>
      <c r="E50" s="12">
        <f t="shared" si="1"/>
        <v>161</v>
      </c>
      <c r="F50" s="12">
        <f t="shared" si="1"/>
        <v>0</v>
      </c>
      <c r="G50" s="12">
        <f t="shared" si="4"/>
        <v>0</v>
      </c>
      <c r="H50" s="12">
        <f t="shared" si="4"/>
        <v>258</v>
      </c>
      <c r="I50" s="12">
        <f t="shared" si="4"/>
        <v>349</v>
      </c>
      <c r="J50" s="12">
        <f t="shared" si="4"/>
        <v>440</v>
      </c>
      <c r="K50" s="12">
        <f t="shared" si="4"/>
        <v>162</v>
      </c>
      <c r="L50" s="12">
        <f t="shared" si="4"/>
        <v>499</v>
      </c>
      <c r="M50" s="12">
        <f t="shared" si="4"/>
        <v>393</v>
      </c>
      <c r="N50" s="12">
        <f t="shared" si="4"/>
        <v>436</v>
      </c>
      <c r="O50" s="12">
        <f t="shared" si="4"/>
        <v>455</v>
      </c>
      <c r="P50" s="12">
        <f t="shared" si="4"/>
        <v>101</v>
      </c>
      <c r="Q50" s="12">
        <f t="shared" si="5"/>
        <v>72</v>
      </c>
      <c r="R50" s="12">
        <f t="shared" si="6"/>
        <v>525</v>
      </c>
      <c r="S50" s="12">
        <f t="shared" si="6"/>
        <v>524</v>
      </c>
      <c r="T50" s="12">
        <f t="shared" ref="T50:AF50" si="11">T10-S10</f>
        <v>526</v>
      </c>
      <c r="U50" s="12">
        <f t="shared" si="11"/>
        <v>130</v>
      </c>
      <c r="V50" s="12">
        <f t="shared" si="11"/>
        <v>524</v>
      </c>
      <c r="W50" s="12">
        <f t="shared" si="11"/>
        <v>484</v>
      </c>
      <c r="X50" s="12">
        <f t="shared" si="11"/>
        <v>458</v>
      </c>
      <c r="Y50" s="12">
        <f t="shared" si="11"/>
        <v>371</v>
      </c>
      <c r="Z50" s="12">
        <f t="shared" si="11"/>
        <v>181</v>
      </c>
      <c r="AA50" s="12">
        <f t="shared" si="11"/>
        <v>0</v>
      </c>
      <c r="AB50" s="12">
        <f t="shared" si="11"/>
        <v>25</v>
      </c>
      <c r="AC50" s="12">
        <f t="shared" si="11"/>
        <v>99</v>
      </c>
      <c r="AD50" s="12">
        <f t="shared" si="11"/>
        <v>455</v>
      </c>
      <c r="AE50" s="12">
        <f t="shared" si="11"/>
        <v>368</v>
      </c>
      <c r="AF50" s="12">
        <f t="shared" si="11"/>
        <v>0</v>
      </c>
    </row>
    <row r="51" spans="1:32" x14ac:dyDescent="0.3">
      <c r="A51" s="13" t="s">
        <v>10</v>
      </c>
      <c r="B51" s="240">
        <v>325</v>
      </c>
      <c r="C51" s="12">
        <f t="shared" si="0"/>
        <v>452</v>
      </c>
      <c r="D51" s="12">
        <f t="shared" si="0"/>
        <v>198</v>
      </c>
      <c r="E51" s="12">
        <f t="shared" si="1"/>
        <v>160</v>
      </c>
      <c r="F51" s="12">
        <f t="shared" si="1"/>
        <v>0</v>
      </c>
      <c r="G51" s="12">
        <f t="shared" si="4"/>
        <v>0</v>
      </c>
      <c r="H51" s="12">
        <f t="shared" si="4"/>
        <v>386</v>
      </c>
      <c r="I51" s="12">
        <f t="shared" si="4"/>
        <v>186</v>
      </c>
      <c r="J51" s="12">
        <f t="shared" si="4"/>
        <v>102</v>
      </c>
      <c r="K51" s="12">
        <f t="shared" si="4"/>
        <v>369</v>
      </c>
      <c r="L51" s="12">
        <f t="shared" si="4"/>
        <v>455</v>
      </c>
      <c r="M51" s="12">
        <f t="shared" si="4"/>
        <v>391</v>
      </c>
      <c r="N51" s="12">
        <f t="shared" si="4"/>
        <v>433</v>
      </c>
      <c r="O51" s="12">
        <f t="shared" si="4"/>
        <v>478</v>
      </c>
      <c r="P51" s="12">
        <f t="shared" si="4"/>
        <v>454</v>
      </c>
      <c r="Q51" s="12">
        <f t="shared" si="5"/>
        <v>283</v>
      </c>
      <c r="R51" s="12">
        <f t="shared" si="6"/>
        <v>477</v>
      </c>
      <c r="S51" s="12">
        <f t="shared" si="6"/>
        <v>495</v>
      </c>
      <c r="T51" s="12">
        <f t="shared" ref="T51:AF51" si="12">T11-S11</f>
        <v>0</v>
      </c>
      <c r="U51" s="12">
        <f t="shared" si="12"/>
        <v>19</v>
      </c>
      <c r="V51" s="12">
        <f t="shared" si="12"/>
        <v>453</v>
      </c>
      <c r="W51" s="12">
        <f t="shared" si="12"/>
        <v>325</v>
      </c>
      <c r="X51" s="12">
        <f t="shared" si="12"/>
        <v>521</v>
      </c>
      <c r="Y51" s="12">
        <f t="shared" si="12"/>
        <v>520</v>
      </c>
      <c r="Z51" s="12">
        <f t="shared" si="12"/>
        <v>270</v>
      </c>
      <c r="AA51" s="12">
        <f t="shared" si="12"/>
        <v>176</v>
      </c>
      <c r="AB51" s="12">
        <f t="shared" si="12"/>
        <v>88</v>
      </c>
      <c r="AC51" s="12">
        <f t="shared" si="12"/>
        <v>437</v>
      </c>
      <c r="AD51" s="12">
        <f t="shared" si="12"/>
        <v>454</v>
      </c>
      <c r="AE51" s="12">
        <f t="shared" si="12"/>
        <v>351</v>
      </c>
      <c r="AF51" s="12">
        <f t="shared" si="12"/>
        <v>0</v>
      </c>
    </row>
    <row r="52" spans="1:32" x14ac:dyDescent="0.3">
      <c r="A52" s="11" t="s">
        <v>11</v>
      </c>
      <c r="B52" s="240">
        <v>132</v>
      </c>
      <c r="C52" s="12">
        <f t="shared" si="0"/>
        <v>517</v>
      </c>
      <c r="D52" s="12">
        <f t="shared" si="0"/>
        <v>517</v>
      </c>
      <c r="E52" s="12">
        <f t="shared" si="1"/>
        <v>451</v>
      </c>
      <c r="F52" s="12">
        <f t="shared" si="1"/>
        <v>0</v>
      </c>
      <c r="G52" s="12">
        <f t="shared" si="4"/>
        <v>0</v>
      </c>
      <c r="H52" s="12">
        <f t="shared" si="4"/>
        <v>152</v>
      </c>
      <c r="I52" s="12">
        <f t="shared" si="4"/>
        <v>187</v>
      </c>
      <c r="J52" s="12">
        <f t="shared" si="4"/>
        <v>297</v>
      </c>
      <c r="K52" s="12">
        <f t="shared" si="4"/>
        <v>238</v>
      </c>
      <c r="L52" s="12">
        <f t="shared" si="4"/>
        <v>262</v>
      </c>
      <c r="M52" s="12">
        <f t="shared" si="4"/>
        <v>0</v>
      </c>
      <c r="N52" s="12">
        <f t="shared" si="4"/>
        <v>0</v>
      </c>
      <c r="O52" s="12">
        <f t="shared" si="4"/>
        <v>432</v>
      </c>
      <c r="P52" s="12">
        <f t="shared" si="4"/>
        <v>265</v>
      </c>
      <c r="Q52" s="12">
        <f t="shared" si="5"/>
        <v>367</v>
      </c>
      <c r="R52" s="12">
        <f t="shared" si="6"/>
        <v>178</v>
      </c>
      <c r="S52" s="12">
        <f t="shared" si="6"/>
        <v>297</v>
      </c>
      <c r="T52" s="12">
        <f t="shared" ref="T52:AF52" si="13">T12-S12</f>
        <v>131</v>
      </c>
      <c r="U52" s="12">
        <f t="shared" si="13"/>
        <v>20</v>
      </c>
      <c r="V52" s="12">
        <f t="shared" si="13"/>
        <v>106</v>
      </c>
      <c r="W52" s="12">
        <f t="shared" si="13"/>
        <v>518</v>
      </c>
      <c r="X52" s="12">
        <f t="shared" si="13"/>
        <v>436</v>
      </c>
      <c r="Y52" s="12">
        <f t="shared" si="13"/>
        <v>432</v>
      </c>
      <c r="Z52" s="12">
        <f t="shared" si="13"/>
        <v>262</v>
      </c>
      <c r="AA52" s="12">
        <f t="shared" si="13"/>
        <v>435</v>
      </c>
      <c r="AB52" s="12">
        <f t="shared" si="13"/>
        <v>517</v>
      </c>
      <c r="AC52" s="12">
        <f t="shared" si="13"/>
        <v>451</v>
      </c>
      <c r="AD52" s="12">
        <f t="shared" si="13"/>
        <v>365</v>
      </c>
      <c r="AE52" s="12">
        <f t="shared" si="13"/>
        <v>519</v>
      </c>
      <c r="AF52" s="12">
        <f t="shared" si="13"/>
        <v>174</v>
      </c>
    </row>
    <row r="53" spans="1:32" x14ac:dyDescent="0.3">
      <c r="A53" s="11" t="s">
        <v>12</v>
      </c>
      <c r="B53" s="240">
        <v>228</v>
      </c>
      <c r="C53" s="12">
        <f t="shared" si="0"/>
        <v>456</v>
      </c>
      <c r="D53" s="12">
        <f t="shared" si="0"/>
        <v>170</v>
      </c>
      <c r="E53" s="12">
        <f t="shared" si="1"/>
        <v>457</v>
      </c>
      <c r="F53" s="12">
        <f t="shared" si="1"/>
        <v>238</v>
      </c>
      <c r="G53" s="12">
        <f t="shared" si="4"/>
        <v>442</v>
      </c>
      <c r="H53" s="12">
        <f t="shared" si="4"/>
        <v>309</v>
      </c>
      <c r="I53" s="12">
        <f t="shared" si="4"/>
        <v>456</v>
      </c>
      <c r="J53" s="12">
        <f t="shared" si="4"/>
        <v>258</v>
      </c>
      <c r="K53" s="12">
        <f t="shared" si="4"/>
        <v>456</v>
      </c>
      <c r="L53" s="12">
        <f t="shared" si="4"/>
        <v>260</v>
      </c>
      <c r="M53" s="12">
        <f t="shared" si="4"/>
        <v>437</v>
      </c>
      <c r="N53" s="12">
        <f t="shared" si="4"/>
        <v>437</v>
      </c>
      <c r="O53" s="12">
        <f t="shared" si="4"/>
        <v>319</v>
      </c>
      <c r="P53" s="12">
        <f t="shared" si="4"/>
        <v>439</v>
      </c>
      <c r="Q53" s="12">
        <f t="shared" si="5"/>
        <v>439</v>
      </c>
      <c r="R53" s="12">
        <f t="shared" si="6"/>
        <v>352</v>
      </c>
      <c r="S53" s="12">
        <f t="shared" si="6"/>
        <v>456</v>
      </c>
      <c r="T53" s="12">
        <f t="shared" ref="T53:AF53" si="14">T13-S13</f>
        <v>0</v>
      </c>
      <c r="U53" s="12">
        <f t="shared" si="14"/>
        <v>0</v>
      </c>
      <c r="V53" s="12">
        <f t="shared" si="14"/>
        <v>257</v>
      </c>
      <c r="W53" s="12">
        <f t="shared" si="14"/>
        <v>438</v>
      </c>
      <c r="X53" s="12">
        <f t="shared" si="14"/>
        <v>319</v>
      </c>
      <c r="Y53" s="12">
        <f t="shared" si="14"/>
        <v>354</v>
      </c>
      <c r="Z53" s="12">
        <f t="shared" si="14"/>
        <v>185</v>
      </c>
      <c r="AA53" s="12">
        <f t="shared" si="14"/>
        <v>283</v>
      </c>
      <c r="AB53" s="12">
        <f t="shared" si="14"/>
        <v>369</v>
      </c>
      <c r="AC53" s="12">
        <f t="shared" si="14"/>
        <v>248</v>
      </c>
      <c r="AD53" s="12">
        <f t="shared" si="14"/>
        <v>457</v>
      </c>
      <c r="AE53" s="12">
        <f t="shared" si="14"/>
        <v>528</v>
      </c>
      <c r="AF53" s="12">
        <f t="shared" si="14"/>
        <v>86</v>
      </c>
    </row>
    <row r="54" spans="1:32" x14ac:dyDescent="0.3">
      <c r="A54" s="11" t="s">
        <v>13</v>
      </c>
      <c r="B54" s="240">
        <v>79</v>
      </c>
      <c r="C54" s="12">
        <f t="shared" si="0"/>
        <v>227</v>
      </c>
      <c r="D54" s="12">
        <f t="shared" si="0"/>
        <v>451</v>
      </c>
      <c r="E54" s="12">
        <f t="shared" si="1"/>
        <v>253</v>
      </c>
      <c r="F54" s="12">
        <f t="shared" si="1"/>
        <v>478</v>
      </c>
      <c r="G54" s="12">
        <f t="shared" si="4"/>
        <v>43</v>
      </c>
      <c r="H54" s="12">
        <f t="shared" si="4"/>
        <v>448</v>
      </c>
      <c r="I54" s="12">
        <f t="shared" si="4"/>
        <v>219</v>
      </c>
      <c r="J54" s="12">
        <f t="shared" si="4"/>
        <v>517</v>
      </c>
      <c r="K54" s="12">
        <f t="shared" si="4"/>
        <v>517</v>
      </c>
      <c r="L54" s="12">
        <f t="shared" si="4"/>
        <v>173</v>
      </c>
      <c r="M54" s="12">
        <f t="shared" si="4"/>
        <v>0</v>
      </c>
      <c r="N54" s="12">
        <f t="shared" si="4"/>
        <v>20</v>
      </c>
      <c r="O54" s="12">
        <f t="shared" si="4"/>
        <v>186</v>
      </c>
      <c r="P54" s="12">
        <f t="shared" si="4"/>
        <v>177</v>
      </c>
      <c r="Q54" s="12">
        <f t="shared" si="5"/>
        <v>97</v>
      </c>
      <c r="R54" s="12">
        <f t="shared" si="6"/>
        <v>543</v>
      </c>
      <c r="S54" s="12">
        <f t="shared" si="6"/>
        <v>408</v>
      </c>
      <c r="T54" s="12">
        <f t="shared" ref="T54:AF54" si="15">T14-S14</f>
        <v>0</v>
      </c>
      <c r="U54" s="12">
        <f t="shared" si="15"/>
        <v>0</v>
      </c>
      <c r="V54" s="12">
        <f t="shared" si="15"/>
        <v>208</v>
      </c>
      <c r="W54" s="12">
        <f t="shared" si="15"/>
        <v>432</v>
      </c>
      <c r="X54" s="12">
        <f t="shared" si="15"/>
        <v>452</v>
      </c>
      <c r="Y54" s="12">
        <f t="shared" si="15"/>
        <v>256</v>
      </c>
      <c r="Z54" s="12">
        <f t="shared" si="15"/>
        <v>312</v>
      </c>
      <c r="AA54" s="12">
        <f t="shared" si="15"/>
        <v>155</v>
      </c>
      <c r="AB54" s="12">
        <f t="shared" si="15"/>
        <v>107</v>
      </c>
      <c r="AC54" s="12">
        <f t="shared" si="15"/>
        <v>516</v>
      </c>
      <c r="AD54" s="12">
        <f t="shared" si="15"/>
        <v>564</v>
      </c>
      <c r="AE54" s="12">
        <f t="shared" si="15"/>
        <v>389</v>
      </c>
      <c r="AF54" s="12">
        <f t="shared" si="15"/>
        <v>433</v>
      </c>
    </row>
    <row r="55" spans="1:32" x14ac:dyDescent="0.3">
      <c r="A55" s="13" t="s">
        <v>14</v>
      </c>
      <c r="B55" s="240">
        <v>471</v>
      </c>
      <c r="C55" s="12">
        <f t="shared" si="0"/>
        <v>186</v>
      </c>
      <c r="D55" s="12">
        <f t="shared" si="0"/>
        <v>344</v>
      </c>
      <c r="E55" s="12">
        <f t="shared" si="1"/>
        <v>525</v>
      </c>
      <c r="F55" s="12">
        <f t="shared" si="1"/>
        <v>521</v>
      </c>
      <c r="G55" s="12">
        <f t="shared" si="4"/>
        <v>435</v>
      </c>
      <c r="H55" s="12">
        <f t="shared" si="4"/>
        <v>453</v>
      </c>
      <c r="I55" s="12">
        <f t="shared" si="4"/>
        <v>471</v>
      </c>
      <c r="J55" s="12">
        <f t="shared" si="4"/>
        <v>179</v>
      </c>
      <c r="K55" s="12">
        <f t="shared" si="4"/>
        <v>554</v>
      </c>
      <c r="L55" s="12">
        <f t="shared" si="4"/>
        <v>202</v>
      </c>
      <c r="M55" s="12">
        <f t="shared" si="4"/>
        <v>0</v>
      </c>
      <c r="N55" s="12">
        <f t="shared" si="4"/>
        <v>0</v>
      </c>
      <c r="O55" s="12">
        <f t="shared" si="4"/>
        <v>188</v>
      </c>
      <c r="P55" s="12">
        <f t="shared" si="4"/>
        <v>256</v>
      </c>
      <c r="Q55" s="12">
        <f t="shared" si="5"/>
        <v>265</v>
      </c>
      <c r="R55" s="12">
        <f t="shared" si="6"/>
        <v>89</v>
      </c>
      <c r="S55" s="12">
        <f t="shared" si="6"/>
        <v>434</v>
      </c>
      <c r="T55" s="12">
        <f t="shared" ref="T55:AF55" si="16">T15-S15</f>
        <v>520</v>
      </c>
      <c r="U55" s="12">
        <f t="shared" si="16"/>
        <v>261</v>
      </c>
      <c r="V55" s="12">
        <f t="shared" si="16"/>
        <v>476</v>
      </c>
      <c r="W55" s="12">
        <f t="shared" si="16"/>
        <v>391</v>
      </c>
      <c r="X55" s="12">
        <f t="shared" si="16"/>
        <v>229</v>
      </c>
      <c r="Y55" s="12">
        <f t="shared" si="16"/>
        <v>481</v>
      </c>
      <c r="Z55" s="12">
        <f t="shared" si="16"/>
        <v>477</v>
      </c>
      <c r="AA55" s="12">
        <f t="shared" si="16"/>
        <v>175</v>
      </c>
      <c r="AB55" s="12">
        <f t="shared" si="16"/>
        <v>305</v>
      </c>
      <c r="AC55" s="12">
        <f t="shared" si="16"/>
        <v>495</v>
      </c>
      <c r="AD55" s="12">
        <f t="shared" si="16"/>
        <v>332</v>
      </c>
      <c r="AE55" s="12">
        <f t="shared" si="16"/>
        <v>451</v>
      </c>
      <c r="AF55" s="12">
        <f t="shared" si="16"/>
        <v>0</v>
      </c>
    </row>
    <row r="56" spans="1:32" x14ac:dyDescent="0.3">
      <c r="A56" s="13" t="s">
        <v>15</v>
      </c>
      <c r="B56" s="240">
        <v>298</v>
      </c>
      <c r="C56" s="12">
        <f t="shared" si="0"/>
        <v>141</v>
      </c>
      <c r="D56" s="12">
        <f t="shared" si="0"/>
        <v>521</v>
      </c>
      <c r="E56" s="12">
        <f t="shared" si="1"/>
        <v>475</v>
      </c>
      <c r="F56" s="12">
        <f t="shared" si="1"/>
        <v>217</v>
      </c>
      <c r="G56" s="12">
        <f t="shared" si="4"/>
        <v>1</v>
      </c>
      <c r="H56" s="12">
        <f t="shared" si="4"/>
        <v>110</v>
      </c>
      <c r="I56" s="12">
        <f t="shared" si="4"/>
        <v>280</v>
      </c>
      <c r="J56" s="12">
        <f t="shared" si="4"/>
        <v>518</v>
      </c>
      <c r="K56" s="12">
        <f t="shared" si="4"/>
        <v>215</v>
      </c>
      <c r="L56" s="12">
        <f t="shared" si="4"/>
        <v>561</v>
      </c>
      <c r="M56" s="12">
        <f t="shared" si="4"/>
        <v>304</v>
      </c>
      <c r="N56" s="12">
        <f t="shared" si="4"/>
        <v>436</v>
      </c>
      <c r="O56" s="12">
        <f t="shared" si="4"/>
        <v>301</v>
      </c>
      <c r="P56" s="12">
        <f t="shared" si="4"/>
        <v>421</v>
      </c>
      <c r="Q56" s="12">
        <f t="shared" si="5"/>
        <v>187</v>
      </c>
      <c r="R56" s="12">
        <f t="shared" si="6"/>
        <v>425</v>
      </c>
      <c r="S56" s="12">
        <f t="shared" si="6"/>
        <v>451</v>
      </c>
      <c r="T56" s="12">
        <f t="shared" ref="T56:AF56" si="17">T16-S16</f>
        <v>0</v>
      </c>
      <c r="U56" s="12">
        <f t="shared" si="17"/>
        <v>0</v>
      </c>
      <c r="V56" s="12">
        <f t="shared" si="17"/>
        <v>158</v>
      </c>
      <c r="W56" s="12">
        <f t="shared" si="17"/>
        <v>517</v>
      </c>
      <c r="X56" s="12">
        <f t="shared" si="17"/>
        <v>435</v>
      </c>
      <c r="Y56" s="12">
        <f t="shared" si="17"/>
        <v>453</v>
      </c>
      <c r="Z56" s="12">
        <f t="shared" si="17"/>
        <v>458</v>
      </c>
      <c r="AA56" s="12">
        <f t="shared" si="17"/>
        <v>434</v>
      </c>
      <c r="AB56" s="12">
        <f t="shared" si="17"/>
        <v>518</v>
      </c>
      <c r="AC56" s="12">
        <f t="shared" si="17"/>
        <v>518</v>
      </c>
      <c r="AD56" s="12">
        <f t="shared" si="17"/>
        <v>519</v>
      </c>
      <c r="AE56" s="12">
        <f t="shared" si="17"/>
        <v>308</v>
      </c>
      <c r="AF56" s="12">
        <f t="shared" si="17"/>
        <v>432</v>
      </c>
    </row>
    <row r="57" spans="1:32" x14ac:dyDescent="0.3">
      <c r="A57" s="13" t="s">
        <v>16</v>
      </c>
      <c r="B57" s="240">
        <v>454</v>
      </c>
      <c r="C57" s="12">
        <f t="shared" si="0"/>
        <v>99</v>
      </c>
      <c r="D57" s="12">
        <f t="shared" si="0"/>
        <v>196</v>
      </c>
      <c r="E57" s="12">
        <f t="shared" si="1"/>
        <v>521</v>
      </c>
      <c r="F57" s="12">
        <f t="shared" si="1"/>
        <v>519</v>
      </c>
      <c r="G57" s="12">
        <f t="shared" si="4"/>
        <v>475</v>
      </c>
      <c r="H57" s="12">
        <f t="shared" si="4"/>
        <v>561</v>
      </c>
      <c r="I57" s="12">
        <f t="shared" si="4"/>
        <v>393</v>
      </c>
      <c r="J57" s="12">
        <f t="shared" si="4"/>
        <v>518</v>
      </c>
      <c r="K57" s="12">
        <f t="shared" si="4"/>
        <v>493</v>
      </c>
      <c r="L57" s="12">
        <f t="shared" si="4"/>
        <v>161</v>
      </c>
      <c r="M57" s="12">
        <f t="shared" si="4"/>
        <v>0</v>
      </c>
      <c r="N57" s="12">
        <f t="shared" si="4"/>
        <v>0</v>
      </c>
      <c r="O57" s="12">
        <f t="shared" si="4"/>
        <v>450</v>
      </c>
      <c r="P57" s="12">
        <f t="shared" si="4"/>
        <v>599</v>
      </c>
      <c r="Q57" s="12">
        <f t="shared" si="5"/>
        <v>456</v>
      </c>
      <c r="R57" s="12">
        <f t="shared" si="6"/>
        <v>299</v>
      </c>
      <c r="S57" s="12">
        <f t="shared" si="6"/>
        <v>220</v>
      </c>
      <c r="T57" s="12">
        <f t="shared" ref="T57:AF57" si="18">T17-S17</f>
        <v>479</v>
      </c>
      <c r="U57" s="12">
        <f t="shared" si="18"/>
        <v>390</v>
      </c>
      <c r="V57" s="12">
        <f t="shared" si="18"/>
        <v>479</v>
      </c>
      <c r="W57" s="12">
        <f t="shared" si="18"/>
        <v>478</v>
      </c>
      <c r="X57" s="12">
        <f t="shared" si="18"/>
        <v>317</v>
      </c>
      <c r="Y57" s="12">
        <f t="shared" si="18"/>
        <v>513</v>
      </c>
      <c r="Z57" s="12">
        <f t="shared" si="18"/>
        <v>475</v>
      </c>
      <c r="AA57" s="12">
        <f t="shared" si="18"/>
        <v>219</v>
      </c>
      <c r="AB57" s="12">
        <f t="shared" si="18"/>
        <v>280</v>
      </c>
      <c r="AC57" s="12">
        <f t="shared" si="18"/>
        <v>503</v>
      </c>
      <c r="AD57" s="12">
        <f t="shared" si="18"/>
        <v>244</v>
      </c>
      <c r="AE57" s="12">
        <f t="shared" si="18"/>
        <v>98</v>
      </c>
      <c r="AF57" s="12">
        <f t="shared" si="18"/>
        <v>0</v>
      </c>
    </row>
    <row r="58" spans="1:32" x14ac:dyDescent="0.3">
      <c r="A58" s="13" t="s">
        <v>17</v>
      </c>
      <c r="B58" s="240">
        <v>468</v>
      </c>
      <c r="C58" s="12">
        <f t="shared" si="0"/>
        <v>297</v>
      </c>
      <c r="D58" s="12">
        <f t="shared" si="0"/>
        <v>474</v>
      </c>
      <c r="E58" s="12">
        <f t="shared" si="1"/>
        <v>433</v>
      </c>
      <c r="F58" s="12">
        <f t="shared" si="1"/>
        <v>518</v>
      </c>
      <c r="G58" s="12">
        <f t="shared" si="4"/>
        <v>432</v>
      </c>
      <c r="H58" s="12">
        <f t="shared" si="4"/>
        <v>435</v>
      </c>
      <c r="I58" s="12">
        <f t="shared" si="4"/>
        <v>226</v>
      </c>
      <c r="J58" s="12">
        <f t="shared" si="4"/>
        <v>434</v>
      </c>
      <c r="K58" s="12">
        <f t="shared" si="4"/>
        <v>173</v>
      </c>
      <c r="L58" s="12">
        <f t="shared" si="4"/>
        <v>449</v>
      </c>
      <c r="M58" s="12">
        <f t="shared" si="4"/>
        <v>0</v>
      </c>
      <c r="N58" s="12">
        <f t="shared" si="4"/>
        <v>0</v>
      </c>
      <c r="O58" s="12">
        <f t="shared" si="4"/>
        <v>162</v>
      </c>
      <c r="P58" s="12">
        <f t="shared" si="4"/>
        <v>450</v>
      </c>
      <c r="Q58" s="12">
        <f t="shared" si="5"/>
        <v>169</v>
      </c>
      <c r="R58" s="12">
        <f t="shared" si="6"/>
        <v>452</v>
      </c>
      <c r="S58" s="12">
        <f t="shared" si="6"/>
        <v>340</v>
      </c>
      <c r="T58" s="12">
        <f t="shared" ref="T58:AF58" si="19">T18-S18</f>
        <v>518</v>
      </c>
      <c r="U58" s="12">
        <f t="shared" si="19"/>
        <v>433</v>
      </c>
      <c r="V58" s="12">
        <f t="shared" si="19"/>
        <v>311</v>
      </c>
      <c r="W58" s="12">
        <f t="shared" si="19"/>
        <v>431</v>
      </c>
      <c r="X58" s="12">
        <f t="shared" si="19"/>
        <v>452</v>
      </c>
      <c r="Y58" s="12">
        <f t="shared" si="19"/>
        <v>419</v>
      </c>
      <c r="Z58" s="12">
        <f t="shared" si="19"/>
        <v>393</v>
      </c>
      <c r="AA58" s="12">
        <f t="shared" si="19"/>
        <v>517</v>
      </c>
      <c r="AB58" s="12">
        <f t="shared" si="19"/>
        <v>474</v>
      </c>
      <c r="AC58" s="12">
        <f t="shared" si="19"/>
        <v>448</v>
      </c>
      <c r="AD58" s="12">
        <f t="shared" si="19"/>
        <v>500</v>
      </c>
      <c r="AE58" s="12">
        <f t="shared" si="19"/>
        <v>348</v>
      </c>
      <c r="AF58" s="12">
        <f t="shared" si="19"/>
        <v>0</v>
      </c>
    </row>
    <row r="59" spans="1:32" x14ac:dyDescent="0.3">
      <c r="A59" s="13" t="s">
        <v>18</v>
      </c>
      <c r="B59" s="240">
        <v>341</v>
      </c>
      <c r="C59" s="12">
        <f t="shared" si="0"/>
        <v>283</v>
      </c>
      <c r="D59" s="12">
        <f t="shared" si="0"/>
        <v>417</v>
      </c>
      <c r="E59" s="12">
        <f t="shared" si="1"/>
        <v>453</v>
      </c>
      <c r="F59" s="12">
        <f t="shared" si="1"/>
        <v>0</v>
      </c>
      <c r="G59" s="12">
        <f t="shared" si="4"/>
        <v>0</v>
      </c>
      <c r="H59" s="12">
        <f t="shared" si="4"/>
        <v>187</v>
      </c>
      <c r="I59" s="12">
        <f t="shared" si="4"/>
        <v>98</v>
      </c>
      <c r="J59" s="12">
        <f t="shared" si="4"/>
        <v>186</v>
      </c>
      <c r="K59" s="12">
        <f t="shared" si="4"/>
        <v>257</v>
      </c>
      <c r="L59" s="12">
        <f t="shared" si="4"/>
        <v>434</v>
      </c>
      <c r="M59" s="12">
        <f t="shared" si="4"/>
        <v>0</v>
      </c>
      <c r="N59" s="12">
        <f t="shared" si="4"/>
        <v>0</v>
      </c>
      <c r="O59" s="12">
        <f t="shared" si="4"/>
        <v>477</v>
      </c>
      <c r="P59" s="12">
        <f t="shared" si="4"/>
        <v>218</v>
      </c>
      <c r="Q59" s="12">
        <f t="shared" si="5"/>
        <v>455</v>
      </c>
      <c r="R59" s="12">
        <f t="shared" si="6"/>
        <v>171</v>
      </c>
      <c r="S59" s="12">
        <f t="shared" si="6"/>
        <v>453</v>
      </c>
      <c r="T59" s="12">
        <f t="shared" ref="T59:AF59" si="20">T19-S19</f>
        <v>0</v>
      </c>
      <c r="U59" s="12">
        <f t="shared" si="20"/>
        <v>0</v>
      </c>
      <c r="V59" s="12">
        <f t="shared" si="20"/>
        <v>185</v>
      </c>
      <c r="W59" s="12">
        <f t="shared" si="20"/>
        <v>343</v>
      </c>
      <c r="X59" s="12">
        <f t="shared" si="20"/>
        <v>478</v>
      </c>
      <c r="Y59" s="12">
        <f t="shared" si="20"/>
        <v>476</v>
      </c>
      <c r="Z59" s="12">
        <f t="shared" si="20"/>
        <v>453</v>
      </c>
      <c r="AA59" s="12">
        <f t="shared" si="20"/>
        <v>365</v>
      </c>
      <c r="AB59" s="12">
        <f t="shared" si="20"/>
        <v>280</v>
      </c>
      <c r="AC59" s="12">
        <f t="shared" si="20"/>
        <v>456</v>
      </c>
      <c r="AD59" s="12">
        <f t="shared" si="20"/>
        <v>509</v>
      </c>
      <c r="AE59" s="12">
        <f t="shared" si="20"/>
        <v>394</v>
      </c>
      <c r="AF59" s="12">
        <f t="shared" si="20"/>
        <v>86</v>
      </c>
    </row>
    <row r="60" spans="1:32" x14ac:dyDescent="0.3">
      <c r="A60" s="13" t="s">
        <v>19</v>
      </c>
      <c r="B60" s="240">
        <v>331</v>
      </c>
      <c r="C60" s="12">
        <f t="shared" si="0"/>
        <v>506</v>
      </c>
      <c r="D60" s="12">
        <f t="shared" si="0"/>
        <v>478</v>
      </c>
      <c r="E60" s="12">
        <f t="shared" si="1"/>
        <v>563</v>
      </c>
      <c r="F60" s="12">
        <f t="shared" si="1"/>
        <v>520</v>
      </c>
      <c r="G60" s="12">
        <f t="shared" si="4"/>
        <v>435</v>
      </c>
      <c r="H60" s="12">
        <f t="shared" si="4"/>
        <v>479</v>
      </c>
      <c r="I60" s="12">
        <f t="shared" si="4"/>
        <v>270</v>
      </c>
      <c r="J60" s="12">
        <f t="shared" si="4"/>
        <v>522</v>
      </c>
      <c r="K60" s="12">
        <f t="shared" si="4"/>
        <v>433</v>
      </c>
      <c r="L60" s="12">
        <f t="shared" si="4"/>
        <v>481</v>
      </c>
      <c r="M60" s="12">
        <f t="shared" si="4"/>
        <v>50</v>
      </c>
      <c r="N60" s="12">
        <f t="shared" si="4"/>
        <v>436</v>
      </c>
      <c r="O60" s="12">
        <f t="shared" si="4"/>
        <v>451</v>
      </c>
      <c r="P60" s="12">
        <f t="shared" si="4"/>
        <v>166</v>
      </c>
      <c r="Q60" s="12">
        <f t="shared" si="5"/>
        <v>306</v>
      </c>
      <c r="R60" s="12">
        <f t="shared" si="6"/>
        <v>495</v>
      </c>
      <c r="S60" s="12">
        <f t="shared" si="6"/>
        <v>418</v>
      </c>
      <c r="T60" s="12">
        <f t="shared" ref="T60:AF60" si="21">T20-S20</f>
        <v>436</v>
      </c>
      <c r="U60" s="12">
        <f t="shared" si="21"/>
        <v>349</v>
      </c>
      <c r="V60" s="12">
        <f t="shared" si="21"/>
        <v>434</v>
      </c>
      <c r="W60" s="12">
        <f t="shared" si="21"/>
        <v>197</v>
      </c>
      <c r="X60" s="12">
        <f t="shared" si="21"/>
        <v>513</v>
      </c>
      <c r="Y60" s="12">
        <f t="shared" si="21"/>
        <v>87</v>
      </c>
      <c r="Z60" s="12">
        <f t="shared" si="21"/>
        <v>265</v>
      </c>
      <c r="AA60" s="12">
        <f t="shared" si="21"/>
        <v>0</v>
      </c>
      <c r="AB60" s="12">
        <f t="shared" si="21"/>
        <v>22</v>
      </c>
      <c r="AC60" s="12">
        <f t="shared" si="21"/>
        <v>98</v>
      </c>
      <c r="AD60" s="12">
        <f t="shared" si="21"/>
        <v>452</v>
      </c>
      <c r="AE60" s="12">
        <f t="shared" si="21"/>
        <v>452</v>
      </c>
      <c r="AF60" s="12">
        <f t="shared" si="21"/>
        <v>19</v>
      </c>
    </row>
    <row r="61" spans="1:32" x14ac:dyDescent="0.3">
      <c r="A61" s="13" t="s">
        <v>20</v>
      </c>
      <c r="B61" s="240">
        <v>434</v>
      </c>
      <c r="C61" s="12">
        <f t="shared" si="0"/>
        <v>262</v>
      </c>
      <c r="D61" s="12">
        <f t="shared" si="0"/>
        <v>562</v>
      </c>
      <c r="E61" s="12">
        <f t="shared" si="1"/>
        <v>476</v>
      </c>
      <c r="F61" s="12">
        <f t="shared" si="1"/>
        <v>435</v>
      </c>
      <c r="G61" s="12">
        <f t="shared" si="4"/>
        <v>0</v>
      </c>
      <c r="H61" s="12">
        <f t="shared" si="4"/>
        <v>262</v>
      </c>
      <c r="I61" s="12">
        <f t="shared" si="4"/>
        <v>454</v>
      </c>
      <c r="J61" s="12">
        <f t="shared" si="4"/>
        <v>452</v>
      </c>
      <c r="K61" s="12">
        <f t="shared" si="4"/>
        <v>451</v>
      </c>
      <c r="L61" s="12">
        <f t="shared" si="4"/>
        <v>246</v>
      </c>
      <c r="M61" s="12">
        <f t="shared" si="4"/>
        <v>418</v>
      </c>
      <c r="N61" s="12">
        <f t="shared" si="4"/>
        <v>18</v>
      </c>
      <c r="O61" s="12">
        <f t="shared" si="4"/>
        <v>562</v>
      </c>
      <c r="P61" s="12">
        <f t="shared" si="4"/>
        <v>519</v>
      </c>
      <c r="Q61" s="12">
        <f t="shared" si="5"/>
        <v>563</v>
      </c>
      <c r="R61" s="12">
        <f t="shared" si="6"/>
        <v>486</v>
      </c>
      <c r="S61" s="12">
        <f t="shared" si="6"/>
        <v>562</v>
      </c>
      <c r="T61" s="12">
        <f t="shared" ref="T61:AF61" si="22">T21-S21</f>
        <v>131</v>
      </c>
      <c r="U61" s="12">
        <f t="shared" si="22"/>
        <v>86</v>
      </c>
      <c r="V61" s="12">
        <f t="shared" si="22"/>
        <v>453</v>
      </c>
      <c r="W61" s="12">
        <f t="shared" si="22"/>
        <v>213</v>
      </c>
      <c r="X61" s="12">
        <f t="shared" si="22"/>
        <v>187</v>
      </c>
      <c r="Y61" s="12">
        <f t="shared" si="22"/>
        <v>189</v>
      </c>
      <c r="Z61" s="12">
        <f t="shared" si="22"/>
        <v>150</v>
      </c>
      <c r="AA61" s="12">
        <f t="shared" si="22"/>
        <v>0</v>
      </c>
      <c r="AB61" s="12">
        <f t="shared" si="22"/>
        <v>322</v>
      </c>
      <c r="AC61" s="12">
        <f t="shared" si="22"/>
        <v>519</v>
      </c>
      <c r="AD61" s="12">
        <f t="shared" si="22"/>
        <v>478</v>
      </c>
      <c r="AE61" s="12">
        <f t="shared" si="22"/>
        <v>452</v>
      </c>
      <c r="AF61" s="12">
        <f t="shared" si="22"/>
        <v>0</v>
      </c>
    </row>
    <row r="62" spans="1:32" x14ac:dyDescent="0.3">
      <c r="A62" s="13" t="s">
        <v>21</v>
      </c>
      <c r="B62" s="240">
        <v>432</v>
      </c>
      <c r="C62" s="12">
        <f t="shared" si="0"/>
        <v>519</v>
      </c>
      <c r="D62" s="12">
        <f t="shared" si="0"/>
        <v>452</v>
      </c>
      <c r="E62" s="12">
        <f t="shared" si="1"/>
        <v>331</v>
      </c>
      <c r="F62" s="12">
        <f t="shared" si="1"/>
        <v>476</v>
      </c>
      <c r="G62" s="12">
        <f t="shared" si="4"/>
        <v>43</v>
      </c>
      <c r="H62" s="12">
        <f t="shared" si="4"/>
        <v>559</v>
      </c>
      <c r="I62" s="12">
        <f t="shared" si="4"/>
        <v>256</v>
      </c>
      <c r="J62" s="12">
        <f t="shared" si="4"/>
        <v>474</v>
      </c>
      <c r="K62" s="12">
        <f t="shared" si="4"/>
        <v>306</v>
      </c>
      <c r="L62" s="12">
        <f t="shared" si="4"/>
        <v>451</v>
      </c>
      <c r="M62" s="12">
        <f t="shared" si="4"/>
        <v>0</v>
      </c>
      <c r="N62" s="12">
        <f t="shared" si="4"/>
        <v>0</v>
      </c>
      <c r="O62" s="12">
        <f t="shared" si="4"/>
        <v>97</v>
      </c>
      <c r="P62" s="12">
        <f t="shared" si="4"/>
        <v>501</v>
      </c>
      <c r="Q62" s="12">
        <f t="shared" si="5"/>
        <v>139</v>
      </c>
      <c r="R62" s="12">
        <f t="shared" si="6"/>
        <v>435</v>
      </c>
      <c r="S62" s="12">
        <f t="shared" si="6"/>
        <v>478</v>
      </c>
      <c r="T62" s="12">
        <f t="shared" ref="T62:AF62" si="23">T22-S22</f>
        <v>475</v>
      </c>
      <c r="U62" s="12">
        <f t="shared" si="23"/>
        <v>433</v>
      </c>
      <c r="V62" s="12">
        <f t="shared" si="23"/>
        <v>313</v>
      </c>
      <c r="W62" s="12">
        <f t="shared" si="23"/>
        <v>453</v>
      </c>
      <c r="X62" s="12">
        <f t="shared" si="23"/>
        <v>187</v>
      </c>
      <c r="Y62" s="12">
        <f t="shared" si="23"/>
        <v>294</v>
      </c>
      <c r="Z62" s="12">
        <f t="shared" si="23"/>
        <v>473</v>
      </c>
      <c r="AA62" s="12">
        <f t="shared" si="23"/>
        <v>155</v>
      </c>
      <c r="AB62" s="12">
        <f t="shared" si="23"/>
        <v>123</v>
      </c>
      <c r="AC62" s="12">
        <f t="shared" si="23"/>
        <v>453</v>
      </c>
      <c r="AD62" s="12">
        <f t="shared" si="23"/>
        <v>516</v>
      </c>
      <c r="AE62" s="12">
        <f t="shared" si="23"/>
        <v>431</v>
      </c>
      <c r="AF62" s="12">
        <f t="shared" si="23"/>
        <v>430</v>
      </c>
    </row>
    <row r="63" spans="1:32" x14ac:dyDescent="0.3">
      <c r="A63" s="13" t="s">
        <v>22</v>
      </c>
      <c r="B63" s="240">
        <v>516</v>
      </c>
      <c r="C63" s="12">
        <f t="shared" si="0"/>
        <v>517</v>
      </c>
      <c r="D63" s="12">
        <f t="shared" si="0"/>
        <v>559</v>
      </c>
      <c r="E63" s="12">
        <f t="shared" si="1"/>
        <v>451</v>
      </c>
      <c r="F63" s="12">
        <f t="shared" si="1"/>
        <v>0</v>
      </c>
      <c r="G63" s="12">
        <f t="shared" ref="G63:P78" si="24">G23-F23</f>
        <v>0</v>
      </c>
      <c r="H63" s="12">
        <f t="shared" si="24"/>
        <v>297</v>
      </c>
      <c r="I63" s="12">
        <f t="shared" si="24"/>
        <v>390</v>
      </c>
      <c r="J63" s="12">
        <f t="shared" si="24"/>
        <v>147</v>
      </c>
      <c r="K63" s="12">
        <f t="shared" si="24"/>
        <v>81</v>
      </c>
      <c r="L63" s="12">
        <f t="shared" si="24"/>
        <v>431</v>
      </c>
      <c r="M63" s="12">
        <f t="shared" si="24"/>
        <v>0</v>
      </c>
      <c r="N63" s="12">
        <f t="shared" si="24"/>
        <v>474</v>
      </c>
      <c r="O63" s="12">
        <f t="shared" si="24"/>
        <v>515</v>
      </c>
      <c r="P63" s="12">
        <f t="shared" si="24"/>
        <v>304</v>
      </c>
      <c r="Q63" s="12">
        <f t="shared" si="5"/>
        <v>516</v>
      </c>
      <c r="R63" s="12">
        <f t="shared" si="6"/>
        <v>474</v>
      </c>
      <c r="S63" s="12">
        <f t="shared" si="6"/>
        <v>202</v>
      </c>
      <c r="T63" s="12">
        <f t="shared" ref="T63:AF63" si="25">T23-S23</f>
        <v>0</v>
      </c>
      <c r="U63" s="12">
        <f t="shared" si="25"/>
        <v>0</v>
      </c>
      <c r="V63" s="12">
        <f t="shared" si="25"/>
        <v>168</v>
      </c>
      <c r="W63" s="12">
        <f t="shared" si="25"/>
        <v>449</v>
      </c>
      <c r="X63" s="12">
        <f t="shared" si="25"/>
        <v>212</v>
      </c>
      <c r="Y63" s="12">
        <f t="shared" si="25"/>
        <v>235</v>
      </c>
      <c r="Z63" s="12">
        <f t="shared" si="25"/>
        <v>339</v>
      </c>
      <c r="AA63" s="12">
        <f t="shared" si="25"/>
        <v>517</v>
      </c>
      <c r="AB63" s="12">
        <f t="shared" si="25"/>
        <v>516</v>
      </c>
      <c r="AC63" s="12">
        <f t="shared" si="25"/>
        <v>517</v>
      </c>
      <c r="AD63" s="12">
        <f t="shared" si="25"/>
        <v>433</v>
      </c>
      <c r="AE63" s="12">
        <f t="shared" si="25"/>
        <v>431</v>
      </c>
      <c r="AF63" s="12">
        <f t="shared" si="25"/>
        <v>431</v>
      </c>
    </row>
    <row r="64" spans="1:32" x14ac:dyDescent="0.3">
      <c r="A64" s="11" t="s">
        <v>23</v>
      </c>
      <c r="B64" s="240">
        <v>522</v>
      </c>
      <c r="C64" s="12">
        <f t="shared" si="0"/>
        <v>452</v>
      </c>
      <c r="D64" s="12">
        <f t="shared" si="0"/>
        <v>177</v>
      </c>
      <c r="E64" s="12">
        <f t="shared" si="1"/>
        <v>209</v>
      </c>
      <c r="F64" s="12">
        <f t="shared" si="1"/>
        <v>303</v>
      </c>
      <c r="G64" s="12">
        <f t="shared" si="24"/>
        <v>432</v>
      </c>
      <c r="H64" s="12">
        <f t="shared" si="24"/>
        <v>518</v>
      </c>
      <c r="I64" s="12">
        <f t="shared" si="24"/>
        <v>451</v>
      </c>
      <c r="J64" s="12">
        <f t="shared" si="24"/>
        <v>161</v>
      </c>
      <c r="K64" s="12">
        <f t="shared" si="24"/>
        <v>521</v>
      </c>
      <c r="L64" s="12">
        <f t="shared" si="24"/>
        <v>519</v>
      </c>
      <c r="M64" s="12">
        <f t="shared" si="24"/>
        <v>260</v>
      </c>
      <c r="N64" s="12">
        <f t="shared" si="24"/>
        <v>435</v>
      </c>
      <c r="O64" s="12">
        <f t="shared" si="24"/>
        <v>433</v>
      </c>
      <c r="P64" s="12">
        <f t="shared" si="24"/>
        <v>181</v>
      </c>
      <c r="Q64" s="12">
        <f t="shared" si="5"/>
        <v>562</v>
      </c>
      <c r="R64" s="12">
        <f t="shared" si="6"/>
        <v>130</v>
      </c>
      <c r="S64" s="12">
        <f t="shared" si="6"/>
        <v>248</v>
      </c>
      <c r="T64" s="12">
        <f t="shared" ref="T64:AF64" si="26">T24-S24</f>
        <v>0</v>
      </c>
      <c r="U64" s="12">
        <f t="shared" si="26"/>
        <v>20</v>
      </c>
      <c r="V64" s="12">
        <f t="shared" si="26"/>
        <v>518</v>
      </c>
      <c r="W64" s="12">
        <f t="shared" si="26"/>
        <v>451</v>
      </c>
      <c r="X64" s="12">
        <f t="shared" si="26"/>
        <v>513</v>
      </c>
      <c r="Y64" s="12">
        <f t="shared" si="26"/>
        <v>281</v>
      </c>
      <c r="Z64" s="12">
        <f t="shared" si="26"/>
        <v>502</v>
      </c>
      <c r="AA64" s="12">
        <f t="shared" si="26"/>
        <v>519</v>
      </c>
      <c r="AB64" s="12">
        <f t="shared" si="26"/>
        <v>278</v>
      </c>
      <c r="AC64" s="12">
        <f t="shared" si="26"/>
        <v>86</v>
      </c>
      <c r="AD64" s="12">
        <f t="shared" si="26"/>
        <v>526</v>
      </c>
      <c r="AE64" s="12">
        <f t="shared" si="26"/>
        <v>254</v>
      </c>
      <c r="AF64" s="12">
        <f t="shared" si="26"/>
        <v>390</v>
      </c>
    </row>
    <row r="65" spans="1:32" x14ac:dyDescent="0.3">
      <c r="A65" s="13" t="s">
        <v>24</v>
      </c>
      <c r="B65" s="240">
        <v>437</v>
      </c>
      <c r="C65" s="12">
        <f t="shared" ref="C65:D79" si="27">C25-B25</f>
        <v>561</v>
      </c>
      <c r="D65" s="12">
        <f t="shared" si="27"/>
        <v>520</v>
      </c>
      <c r="E65" s="12">
        <f t="shared" ref="E65:F79" si="28">E25-D25</f>
        <v>407</v>
      </c>
      <c r="F65" s="12">
        <f t="shared" si="28"/>
        <v>0</v>
      </c>
      <c r="G65" s="12">
        <f t="shared" si="24"/>
        <v>0</v>
      </c>
      <c r="H65" s="12">
        <f t="shared" si="24"/>
        <v>187</v>
      </c>
      <c r="I65" s="12">
        <f t="shared" si="24"/>
        <v>299</v>
      </c>
      <c r="J65" s="12">
        <f t="shared" si="24"/>
        <v>435</v>
      </c>
      <c r="K65" s="12">
        <f t="shared" si="24"/>
        <v>436</v>
      </c>
      <c r="L65" s="12">
        <f t="shared" si="24"/>
        <v>478</v>
      </c>
      <c r="M65" s="12">
        <f t="shared" si="24"/>
        <v>389</v>
      </c>
      <c r="N65" s="12">
        <f t="shared" si="24"/>
        <v>433</v>
      </c>
      <c r="O65" s="12">
        <f t="shared" si="24"/>
        <v>313</v>
      </c>
      <c r="P65" s="12">
        <f t="shared" si="24"/>
        <v>518</v>
      </c>
      <c r="Q65" s="12">
        <f t="shared" si="5"/>
        <v>436</v>
      </c>
      <c r="R65" s="12">
        <f t="shared" si="6"/>
        <v>350</v>
      </c>
      <c r="S65" s="12">
        <f t="shared" si="6"/>
        <v>91</v>
      </c>
      <c r="T65" s="12">
        <f t="shared" ref="T65:AF65" si="29">T25-S25</f>
        <v>478</v>
      </c>
      <c r="U65" s="12">
        <f t="shared" si="29"/>
        <v>433</v>
      </c>
      <c r="V65" s="12">
        <f t="shared" si="29"/>
        <v>475</v>
      </c>
      <c r="W65" s="12">
        <f t="shared" si="29"/>
        <v>367</v>
      </c>
      <c r="X65" s="12">
        <f t="shared" si="29"/>
        <v>188</v>
      </c>
      <c r="Y65" s="12">
        <f t="shared" si="29"/>
        <v>169</v>
      </c>
      <c r="Z65" s="12">
        <f t="shared" si="29"/>
        <v>195</v>
      </c>
      <c r="AA65" s="12">
        <f t="shared" si="29"/>
        <v>453</v>
      </c>
      <c r="AB65" s="12">
        <f t="shared" si="29"/>
        <v>281</v>
      </c>
      <c r="AC65" s="12">
        <f t="shared" si="29"/>
        <v>171</v>
      </c>
      <c r="AD65" s="12">
        <f t="shared" si="29"/>
        <v>246</v>
      </c>
      <c r="AE65" s="12">
        <f t="shared" si="29"/>
        <v>160</v>
      </c>
      <c r="AF65" s="12">
        <f t="shared" si="29"/>
        <v>0</v>
      </c>
    </row>
    <row r="66" spans="1:32" x14ac:dyDescent="0.3">
      <c r="A66" s="13" t="s">
        <v>25</v>
      </c>
      <c r="B66" s="240">
        <v>364</v>
      </c>
      <c r="C66" s="12">
        <f t="shared" si="27"/>
        <v>470</v>
      </c>
      <c r="D66" s="12">
        <f t="shared" si="27"/>
        <v>301</v>
      </c>
      <c r="E66" s="12">
        <f t="shared" si="28"/>
        <v>166</v>
      </c>
      <c r="F66" s="12">
        <f t="shared" si="28"/>
        <v>261</v>
      </c>
      <c r="G66" s="12">
        <f t="shared" si="24"/>
        <v>1</v>
      </c>
      <c r="H66" s="12">
        <f t="shared" si="24"/>
        <v>92</v>
      </c>
      <c r="I66" s="12">
        <f t="shared" si="24"/>
        <v>451</v>
      </c>
      <c r="J66" s="12">
        <f t="shared" si="24"/>
        <v>159</v>
      </c>
      <c r="K66" s="12">
        <f t="shared" si="24"/>
        <v>352</v>
      </c>
      <c r="L66" s="12">
        <f t="shared" si="24"/>
        <v>454</v>
      </c>
      <c r="M66" s="12">
        <f t="shared" si="24"/>
        <v>0</v>
      </c>
      <c r="N66" s="12">
        <f t="shared" si="24"/>
        <v>0</v>
      </c>
      <c r="O66" s="12">
        <f t="shared" si="24"/>
        <v>470</v>
      </c>
      <c r="P66" s="12">
        <f t="shared" si="24"/>
        <v>178</v>
      </c>
      <c r="Q66" s="12">
        <f t="shared" si="5"/>
        <v>81</v>
      </c>
      <c r="R66" s="12">
        <f t="shared" si="6"/>
        <v>500</v>
      </c>
      <c r="S66" s="12">
        <f t="shared" si="6"/>
        <v>187</v>
      </c>
      <c r="T66" s="12">
        <f t="shared" ref="T66:AF66" si="30">T26-S26</f>
        <v>0</v>
      </c>
      <c r="U66" s="12">
        <f t="shared" si="30"/>
        <v>0</v>
      </c>
      <c r="V66" s="12">
        <f t="shared" si="30"/>
        <v>282</v>
      </c>
      <c r="W66" s="12">
        <f t="shared" si="30"/>
        <v>314</v>
      </c>
      <c r="X66" s="12">
        <f t="shared" si="30"/>
        <v>197</v>
      </c>
      <c r="Y66" s="12">
        <f t="shared" si="30"/>
        <v>81</v>
      </c>
      <c r="Z66" s="12">
        <f t="shared" si="30"/>
        <v>347</v>
      </c>
      <c r="AA66" s="12">
        <f t="shared" si="30"/>
        <v>176</v>
      </c>
      <c r="AB66" s="12">
        <f t="shared" si="30"/>
        <v>434</v>
      </c>
      <c r="AC66" s="12">
        <f t="shared" si="30"/>
        <v>197</v>
      </c>
      <c r="AD66" s="12">
        <f t="shared" si="30"/>
        <v>185</v>
      </c>
      <c r="AE66" s="12">
        <f t="shared" si="30"/>
        <v>185</v>
      </c>
      <c r="AF66" s="12">
        <f t="shared" si="30"/>
        <v>0</v>
      </c>
    </row>
    <row r="67" spans="1:32" x14ac:dyDescent="0.3">
      <c r="A67" s="13" t="s">
        <v>26</v>
      </c>
      <c r="B67" s="240">
        <v>363</v>
      </c>
      <c r="C67" s="12">
        <f t="shared" si="27"/>
        <v>537</v>
      </c>
      <c r="D67" s="12">
        <f t="shared" si="27"/>
        <v>437</v>
      </c>
      <c r="E67" s="12">
        <f t="shared" si="28"/>
        <v>174</v>
      </c>
      <c r="F67" s="12">
        <f t="shared" si="28"/>
        <v>0</v>
      </c>
      <c r="G67" s="12">
        <f t="shared" si="24"/>
        <v>0</v>
      </c>
      <c r="H67" s="12">
        <f t="shared" si="24"/>
        <v>432</v>
      </c>
      <c r="I67" s="12">
        <f t="shared" si="24"/>
        <v>435</v>
      </c>
      <c r="J67" s="12">
        <f t="shared" si="24"/>
        <v>262</v>
      </c>
      <c r="K67" s="12">
        <f t="shared" si="24"/>
        <v>262</v>
      </c>
      <c r="L67" s="12">
        <f t="shared" si="24"/>
        <v>451</v>
      </c>
      <c r="M67" s="12">
        <f t="shared" si="24"/>
        <v>0</v>
      </c>
      <c r="N67" s="12">
        <f t="shared" si="24"/>
        <v>0</v>
      </c>
      <c r="O67" s="12">
        <f t="shared" si="24"/>
        <v>386</v>
      </c>
      <c r="P67" s="12">
        <f t="shared" si="24"/>
        <v>209</v>
      </c>
      <c r="Q67" s="12">
        <f t="shared" si="5"/>
        <v>518</v>
      </c>
      <c r="R67" s="12">
        <f t="shared" si="6"/>
        <v>130</v>
      </c>
      <c r="S67" s="12">
        <f t="shared" si="6"/>
        <v>264</v>
      </c>
      <c r="T67" s="12">
        <f t="shared" ref="T67:AF67" si="31">T27-S27</f>
        <v>2</v>
      </c>
      <c r="U67" s="12">
        <f t="shared" si="31"/>
        <v>134</v>
      </c>
      <c r="V67" s="12">
        <f t="shared" si="31"/>
        <v>478</v>
      </c>
      <c r="W67" s="12">
        <f t="shared" si="31"/>
        <v>561</v>
      </c>
      <c r="X67" s="12">
        <f t="shared" si="31"/>
        <v>474</v>
      </c>
      <c r="Y67" s="12">
        <f t="shared" si="31"/>
        <v>313</v>
      </c>
      <c r="Z67" s="12">
        <f t="shared" si="31"/>
        <v>521</v>
      </c>
      <c r="AA67" s="12">
        <f t="shared" si="31"/>
        <v>519</v>
      </c>
      <c r="AB67" s="12">
        <f t="shared" si="31"/>
        <v>175</v>
      </c>
      <c r="AC67" s="12">
        <f t="shared" si="31"/>
        <v>521</v>
      </c>
      <c r="AD67" s="12">
        <f t="shared" si="31"/>
        <v>518</v>
      </c>
      <c r="AE67" s="12">
        <f t="shared" si="31"/>
        <v>475</v>
      </c>
      <c r="AF67" s="12">
        <f t="shared" si="31"/>
        <v>47</v>
      </c>
    </row>
    <row r="68" spans="1:32" x14ac:dyDescent="0.3">
      <c r="A68" s="13" t="s">
        <v>27</v>
      </c>
      <c r="B68" s="240">
        <v>435</v>
      </c>
      <c r="C68" s="12">
        <f t="shared" si="27"/>
        <v>188</v>
      </c>
      <c r="D68" s="12">
        <f t="shared" si="27"/>
        <v>101</v>
      </c>
      <c r="E68" s="12">
        <f t="shared" si="28"/>
        <v>341</v>
      </c>
      <c r="F68" s="12">
        <f t="shared" si="28"/>
        <v>0</v>
      </c>
      <c r="G68" s="12">
        <f t="shared" si="24"/>
        <v>0</v>
      </c>
      <c r="H68" s="12">
        <f t="shared" si="24"/>
        <v>511</v>
      </c>
      <c r="I68" s="12">
        <f t="shared" si="24"/>
        <v>433</v>
      </c>
      <c r="J68" s="12">
        <f t="shared" si="24"/>
        <v>451</v>
      </c>
      <c r="K68" s="12">
        <f t="shared" si="24"/>
        <v>176</v>
      </c>
      <c r="L68" s="12">
        <f t="shared" si="24"/>
        <v>187</v>
      </c>
      <c r="M68" s="12">
        <f t="shared" si="24"/>
        <v>0</v>
      </c>
      <c r="N68" s="12">
        <f t="shared" si="24"/>
        <v>0</v>
      </c>
      <c r="O68" s="12">
        <f t="shared" si="24"/>
        <v>449</v>
      </c>
      <c r="P68" s="12">
        <f t="shared" si="24"/>
        <v>517</v>
      </c>
      <c r="Q68" s="12">
        <f t="shared" si="5"/>
        <v>431</v>
      </c>
      <c r="R68" s="12">
        <f t="shared" si="6"/>
        <v>517</v>
      </c>
      <c r="S68" s="12">
        <f t="shared" si="6"/>
        <v>157</v>
      </c>
      <c r="T68" s="12">
        <f t="shared" ref="T68:AF68" si="32">T28-S28</f>
        <v>0</v>
      </c>
      <c r="U68" s="12">
        <f t="shared" si="32"/>
        <v>0</v>
      </c>
      <c r="V68" s="12">
        <f t="shared" si="32"/>
        <v>123</v>
      </c>
      <c r="W68" s="12">
        <f t="shared" si="32"/>
        <v>218</v>
      </c>
      <c r="X68" s="12">
        <f t="shared" si="32"/>
        <v>430</v>
      </c>
      <c r="Y68" s="12">
        <f t="shared" si="32"/>
        <v>452</v>
      </c>
      <c r="Z68" s="12">
        <f t="shared" si="32"/>
        <v>495</v>
      </c>
      <c r="AA68" s="12">
        <f t="shared" si="32"/>
        <v>473</v>
      </c>
      <c r="AB68" s="12">
        <f t="shared" si="32"/>
        <v>86</v>
      </c>
      <c r="AC68" s="12">
        <f t="shared" si="32"/>
        <v>282</v>
      </c>
      <c r="AD68" s="12">
        <f t="shared" si="32"/>
        <v>537</v>
      </c>
      <c r="AE68" s="12">
        <f t="shared" si="32"/>
        <v>559</v>
      </c>
      <c r="AF68" s="12">
        <f t="shared" si="32"/>
        <v>65</v>
      </c>
    </row>
    <row r="69" spans="1:32" x14ac:dyDescent="0.3">
      <c r="A69" s="11" t="s">
        <v>28</v>
      </c>
      <c r="B69" s="240">
        <v>366</v>
      </c>
      <c r="C69" s="12">
        <f t="shared" si="27"/>
        <v>80</v>
      </c>
      <c r="D69" s="12">
        <f t="shared" si="27"/>
        <v>264</v>
      </c>
      <c r="E69" s="12">
        <f t="shared" si="28"/>
        <v>436</v>
      </c>
      <c r="F69" s="12">
        <f t="shared" si="28"/>
        <v>89</v>
      </c>
      <c r="G69" s="12">
        <f t="shared" si="24"/>
        <v>436</v>
      </c>
      <c r="H69" s="12">
        <f t="shared" si="24"/>
        <v>350</v>
      </c>
      <c r="I69" s="12">
        <f t="shared" si="24"/>
        <v>264</v>
      </c>
      <c r="J69" s="12">
        <f t="shared" si="24"/>
        <v>522</v>
      </c>
      <c r="K69" s="12">
        <f t="shared" si="24"/>
        <v>371</v>
      </c>
      <c r="L69" s="12">
        <f t="shared" si="24"/>
        <v>457</v>
      </c>
      <c r="M69" s="12">
        <f t="shared" si="24"/>
        <v>437</v>
      </c>
      <c r="N69" s="12">
        <f t="shared" si="24"/>
        <v>261</v>
      </c>
      <c r="O69" s="12">
        <f t="shared" si="24"/>
        <v>179</v>
      </c>
      <c r="P69" s="12">
        <f t="shared" si="24"/>
        <v>276</v>
      </c>
      <c r="Q69" s="12">
        <f t="shared" si="5"/>
        <v>195</v>
      </c>
      <c r="R69" s="12">
        <f t="shared" si="6"/>
        <v>333</v>
      </c>
      <c r="S69" s="12">
        <f t="shared" si="6"/>
        <v>521</v>
      </c>
      <c r="T69" s="12">
        <f t="shared" ref="T69:AF69" si="33">T29-S29</f>
        <v>478</v>
      </c>
      <c r="U69" s="12">
        <f t="shared" si="33"/>
        <v>438</v>
      </c>
      <c r="V69" s="12">
        <f t="shared" si="33"/>
        <v>480</v>
      </c>
      <c r="W69" s="12">
        <f t="shared" si="33"/>
        <v>267</v>
      </c>
      <c r="X69" s="12">
        <f t="shared" si="33"/>
        <v>308</v>
      </c>
      <c r="Y69" s="12">
        <f t="shared" si="33"/>
        <v>436</v>
      </c>
      <c r="Z69" s="12">
        <f t="shared" si="33"/>
        <v>477</v>
      </c>
      <c r="AA69" s="12">
        <f t="shared" si="33"/>
        <v>174</v>
      </c>
      <c r="AB69" s="12">
        <f t="shared" si="33"/>
        <v>0</v>
      </c>
      <c r="AC69" s="12">
        <f t="shared" si="33"/>
        <v>308</v>
      </c>
      <c r="AD69" s="12">
        <f t="shared" si="33"/>
        <v>477</v>
      </c>
      <c r="AE69" s="12">
        <f t="shared" si="33"/>
        <v>437</v>
      </c>
      <c r="AF69" s="12">
        <f t="shared" si="33"/>
        <v>0</v>
      </c>
    </row>
    <row r="70" spans="1:32" x14ac:dyDescent="0.3">
      <c r="A70" s="13" t="s">
        <v>29</v>
      </c>
      <c r="B70" s="240">
        <v>185</v>
      </c>
      <c r="C70" s="12">
        <f t="shared" si="27"/>
        <v>161</v>
      </c>
      <c r="D70" s="12">
        <f t="shared" si="27"/>
        <v>520</v>
      </c>
      <c r="E70" s="12">
        <f t="shared" si="28"/>
        <v>475</v>
      </c>
      <c r="F70" s="12">
        <f t="shared" si="28"/>
        <v>43</v>
      </c>
      <c r="G70" s="12">
        <f t="shared" si="24"/>
        <v>475</v>
      </c>
      <c r="H70" s="12">
        <f t="shared" si="24"/>
        <v>390</v>
      </c>
      <c r="I70" s="12">
        <f t="shared" si="24"/>
        <v>366</v>
      </c>
      <c r="J70" s="12">
        <f t="shared" si="24"/>
        <v>443</v>
      </c>
      <c r="K70" s="12">
        <f t="shared" si="24"/>
        <v>451</v>
      </c>
      <c r="L70" s="12">
        <f t="shared" si="24"/>
        <v>451</v>
      </c>
      <c r="M70" s="12">
        <f t="shared" si="24"/>
        <v>0</v>
      </c>
      <c r="N70" s="12">
        <f t="shared" si="24"/>
        <v>0</v>
      </c>
      <c r="O70" s="12">
        <f t="shared" si="24"/>
        <v>218</v>
      </c>
      <c r="P70" s="12">
        <f t="shared" si="24"/>
        <v>431</v>
      </c>
      <c r="Q70" s="12">
        <f t="shared" si="5"/>
        <v>434</v>
      </c>
      <c r="R70" s="12">
        <f t="shared" si="6"/>
        <v>348</v>
      </c>
      <c r="S70" s="12">
        <f t="shared" si="6"/>
        <v>284</v>
      </c>
      <c r="T70" s="12">
        <f t="shared" ref="T70:AF70" si="34">T30-S30</f>
        <v>0</v>
      </c>
      <c r="U70" s="12">
        <f t="shared" si="34"/>
        <v>0</v>
      </c>
      <c r="V70" s="12">
        <f t="shared" si="34"/>
        <v>167</v>
      </c>
      <c r="W70" s="12">
        <f t="shared" si="34"/>
        <v>519</v>
      </c>
      <c r="X70" s="12">
        <f t="shared" si="34"/>
        <v>348</v>
      </c>
      <c r="Y70" s="12">
        <f t="shared" si="34"/>
        <v>314</v>
      </c>
      <c r="Z70" s="12">
        <f t="shared" si="34"/>
        <v>452</v>
      </c>
      <c r="AA70" s="12">
        <f t="shared" si="34"/>
        <v>451</v>
      </c>
      <c r="AB70" s="12">
        <f t="shared" si="34"/>
        <v>348</v>
      </c>
      <c r="AC70" s="12">
        <f t="shared" si="34"/>
        <v>563</v>
      </c>
      <c r="AD70" s="12">
        <f t="shared" si="34"/>
        <v>432</v>
      </c>
      <c r="AE70" s="12">
        <f t="shared" si="34"/>
        <v>221</v>
      </c>
      <c r="AF70" s="12">
        <f t="shared" si="34"/>
        <v>388</v>
      </c>
    </row>
    <row r="71" spans="1:32" x14ac:dyDescent="0.3">
      <c r="A71" s="11" t="s">
        <v>30</v>
      </c>
      <c r="B71" s="240">
        <v>425</v>
      </c>
      <c r="C71" s="12">
        <f t="shared" si="27"/>
        <v>281</v>
      </c>
      <c r="D71" s="12">
        <f t="shared" si="27"/>
        <v>168</v>
      </c>
      <c r="E71" s="12">
        <f t="shared" si="28"/>
        <v>450</v>
      </c>
      <c r="F71" s="12">
        <f t="shared" si="28"/>
        <v>0</v>
      </c>
      <c r="G71" s="12">
        <f t="shared" si="24"/>
        <v>0</v>
      </c>
      <c r="H71" s="12">
        <f t="shared" si="24"/>
        <v>188</v>
      </c>
      <c r="I71" s="12">
        <f t="shared" si="24"/>
        <v>188</v>
      </c>
      <c r="J71" s="12">
        <f t="shared" si="24"/>
        <v>214</v>
      </c>
      <c r="K71" s="12">
        <f t="shared" si="24"/>
        <v>275</v>
      </c>
      <c r="L71" s="12">
        <f t="shared" si="24"/>
        <v>494</v>
      </c>
      <c r="M71" s="12">
        <f t="shared" si="24"/>
        <v>46</v>
      </c>
      <c r="N71" s="12">
        <f t="shared" si="24"/>
        <v>478</v>
      </c>
      <c r="O71" s="12">
        <f t="shared" si="24"/>
        <v>238</v>
      </c>
      <c r="P71" s="12">
        <f t="shared" si="24"/>
        <v>419</v>
      </c>
      <c r="Q71" s="12">
        <f t="shared" si="5"/>
        <v>519</v>
      </c>
      <c r="R71" s="12">
        <f t="shared" si="6"/>
        <v>432</v>
      </c>
      <c r="S71" s="12">
        <f t="shared" si="6"/>
        <v>524</v>
      </c>
      <c r="T71" s="12">
        <f t="shared" ref="T71:AF71" si="35">T31-S31</f>
        <v>347</v>
      </c>
      <c r="U71" s="12">
        <f t="shared" si="35"/>
        <v>3</v>
      </c>
      <c r="V71" s="12">
        <f t="shared" si="35"/>
        <v>392</v>
      </c>
      <c r="W71" s="12">
        <f t="shared" si="35"/>
        <v>390</v>
      </c>
      <c r="X71" s="12">
        <f t="shared" si="35"/>
        <v>478</v>
      </c>
      <c r="Y71" s="12">
        <f t="shared" si="35"/>
        <v>519</v>
      </c>
      <c r="Z71" s="12">
        <f t="shared" si="35"/>
        <v>366</v>
      </c>
      <c r="AA71" s="12">
        <f t="shared" si="35"/>
        <v>409</v>
      </c>
      <c r="AB71" s="12">
        <f t="shared" si="35"/>
        <v>321</v>
      </c>
      <c r="AC71" s="12">
        <f t="shared" si="35"/>
        <v>188</v>
      </c>
      <c r="AD71" s="12">
        <f t="shared" si="35"/>
        <v>325</v>
      </c>
      <c r="AE71" s="12">
        <f t="shared" si="35"/>
        <v>478</v>
      </c>
      <c r="AF71" s="12">
        <f t="shared" si="35"/>
        <v>433</v>
      </c>
    </row>
    <row r="72" spans="1:32" s="127" customFormat="1" x14ac:dyDescent="0.3">
      <c r="A72" s="13" t="s">
        <v>111</v>
      </c>
      <c r="B72" s="240">
        <v>214</v>
      </c>
      <c r="C72" s="12">
        <f t="shared" si="27"/>
        <v>433</v>
      </c>
      <c r="D72" s="12">
        <f t="shared" si="27"/>
        <v>366</v>
      </c>
      <c r="E72" s="12">
        <f t="shared" si="28"/>
        <v>125</v>
      </c>
      <c r="F72" s="12">
        <f t="shared" si="28"/>
        <v>0</v>
      </c>
      <c r="G72" s="12">
        <f t="shared" si="24"/>
        <v>0</v>
      </c>
      <c r="H72" s="12">
        <f t="shared" si="24"/>
        <v>282</v>
      </c>
      <c r="I72" s="12">
        <f t="shared" si="24"/>
        <v>518</v>
      </c>
      <c r="J72" s="12">
        <f t="shared" si="24"/>
        <v>432</v>
      </c>
      <c r="K72" s="12">
        <f t="shared" si="24"/>
        <v>177</v>
      </c>
      <c r="L72" s="12">
        <f t="shared" si="24"/>
        <v>111</v>
      </c>
      <c r="M72" s="12">
        <f t="shared" si="24"/>
        <v>62</v>
      </c>
      <c r="N72" s="12">
        <f t="shared" si="24"/>
        <v>45</v>
      </c>
      <c r="O72" s="12">
        <f t="shared" si="24"/>
        <v>90</v>
      </c>
      <c r="P72" s="12">
        <f t="shared" si="24"/>
        <v>348</v>
      </c>
      <c r="Q72" s="12">
        <f t="shared" si="5"/>
        <v>432</v>
      </c>
      <c r="R72" s="12">
        <f t="shared" si="6"/>
        <v>450</v>
      </c>
      <c r="S72" s="12">
        <f t="shared" si="6"/>
        <v>71</v>
      </c>
      <c r="T72" s="12">
        <f t="shared" ref="T72:AF72" si="36">T32-S32</f>
        <v>0</v>
      </c>
      <c r="U72" s="12">
        <f t="shared" si="36"/>
        <v>5</v>
      </c>
      <c r="V72" s="12">
        <f t="shared" si="36"/>
        <v>451</v>
      </c>
      <c r="W72" s="12">
        <f t="shared" si="36"/>
        <v>366</v>
      </c>
      <c r="X72" s="12">
        <f t="shared" si="36"/>
        <v>174</v>
      </c>
      <c r="Y72" s="12">
        <f t="shared" si="36"/>
        <v>351</v>
      </c>
      <c r="Z72" s="12">
        <f t="shared" si="36"/>
        <v>195</v>
      </c>
      <c r="AA72" s="12">
        <f t="shared" si="36"/>
        <v>0</v>
      </c>
      <c r="AB72" s="12">
        <f t="shared" si="36"/>
        <v>0</v>
      </c>
      <c r="AC72" s="12">
        <f t="shared" si="36"/>
        <v>108</v>
      </c>
      <c r="AD72" s="12">
        <f t="shared" si="36"/>
        <v>4</v>
      </c>
      <c r="AE72" s="12">
        <f t="shared" si="36"/>
        <v>2</v>
      </c>
      <c r="AF72" s="12">
        <f t="shared" si="36"/>
        <v>0</v>
      </c>
    </row>
    <row r="73" spans="1:32" s="127" customFormat="1" x14ac:dyDescent="0.3">
      <c r="A73" s="11" t="s">
        <v>112</v>
      </c>
      <c r="B73" s="240">
        <v>0</v>
      </c>
      <c r="C73" s="12">
        <f t="shared" si="27"/>
        <v>0</v>
      </c>
      <c r="D73" s="12">
        <f t="shared" si="27"/>
        <v>0</v>
      </c>
      <c r="E73" s="12">
        <f t="shared" si="28"/>
        <v>0</v>
      </c>
      <c r="F73" s="12">
        <f t="shared" si="28"/>
        <v>0</v>
      </c>
      <c r="G73" s="12">
        <f t="shared" si="24"/>
        <v>0</v>
      </c>
      <c r="H73" s="12">
        <f t="shared" si="24"/>
        <v>0</v>
      </c>
      <c r="I73" s="12">
        <f t="shared" si="24"/>
        <v>0</v>
      </c>
      <c r="J73" s="12">
        <f t="shared" si="24"/>
        <v>0</v>
      </c>
      <c r="K73" s="12">
        <f t="shared" si="24"/>
        <v>0</v>
      </c>
      <c r="L73" s="12">
        <f t="shared" si="24"/>
        <v>0</v>
      </c>
      <c r="M73" s="12">
        <f t="shared" si="24"/>
        <v>0</v>
      </c>
      <c r="N73" s="12">
        <f t="shared" si="24"/>
        <v>0</v>
      </c>
      <c r="O73" s="12">
        <f t="shared" si="24"/>
        <v>0</v>
      </c>
      <c r="P73" s="12">
        <f t="shared" si="24"/>
        <v>0</v>
      </c>
      <c r="Q73" s="12">
        <f t="shared" si="5"/>
        <v>0</v>
      </c>
      <c r="R73" s="12">
        <f t="shared" si="6"/>
        <v>0</v>
      </c>
      <c r="S73" s="12">
        <f t="shared" si="6"/>
        <v>0</v>
      </c>
      <c r="T73" s="12">
        <f t="shared" ref="T73:AF73" si="37">T33-S33</f>
        <v>0</v>
      </c>
      <c r="U73" s="12">
        <f t="shared" si="37"/>
        <v>0</v>
      </c>
      <c r="V73" s="12">
        <f t="shared" si="37"/>
        <v>0</v>
      </c>
      <c r="W73" s="12">
        <f t="shared" si="37"/>
        <v>0</v>
      </c>
      <c r="X73" s="12">
        <f t="shared" si="37"/>
        <v>0</v>
      </c>
      <c r="Y73" s="12">
        <f t="shared" si="37"/>
        <v>0</v>
      </c>
      <c r="Z73" s="12">
        <f t="shared" si="37"/>
        <v>0</v>
      </c>
      <c r="AA73" s="12">
        <f t="shared" si="37"/>
        <v>0</v>
      </c>
      <c r="AB73" s="12">
        <f t="shared" si="37"/>
        <v>0</v>
      </c>
      <c r="AC73" s="12">
        <f t="shared" si="37"/>
        <v>0</v>
      </c>
      <c r="AD73" s="12">
        <f t="shared" si="37"/>
        <v>0</v>
      </c>
      <c r="AE73" s="12">
        <f t="shared" si="37"/>
        <v>0</v>
      </c>
      <c r="AF73" s="12">
        <f t="shared" si="37"/>
        <v>0</v>
      </c>
    </row>
    <row r="74" spans="1:32" s="127" customFormat="1" x14ac:dyDescent="0.3">
      <c r="A74" s="13" t="s">
        <v>113</v>
      </c>
      <c r="B74" s="240">
        <v>473</v>
      </c>
      <c r="C74" s="12">
        <f t="shared" si="27"/>
        <v>390</v>
      </c>
      <c r="D74" s="12">
        <f t="shared" si="27"/>
        <v>522</v>
      </c>
      <c r="E74" s="12">
        <f t="shared" si="28"/>
        <v>260</v>
      </c>
      <c r="F74" s="12">
        <f t="shared" si="28"/>
        <v>0</v>
      </c>
      <c r="G74" s="12">
        <f t="shared" si="24"/>
        <v>0</v>
      </c>
      <c r="H74" s="12">
        <f t="shared" si="24"/>
        <v>433</v>
      </c>
      <c r="I74" s="12">
        <f t="shared" si="24"/>
        <v>179</v>
      </c>
      <c r="J74" s="12">
        <f t="shared" si="24"/>
        <v>432</v>
      </c>
      <c r="K74" s="12">
        <f t="shared" si="24"/>
        <v>367</v>
      </c>
      <c r="L74" s="12">
        <f t="shared" si="24"/>
        <v>97</v>
      </c>
      <c r="M74" s="12">
        <f t="shared" si="24"/>
        <v>0</v>
      </c>
      <c r="N74" s="12">
        <f t="shared" si="24"/>
        <v>0</v>
      </c>
      <c r="O74" s="12">
        <f t="shared" si="24"/>
        <v>299</v>
      </c>
      <c r="P74" s="12">
        <f t="shared" si="24"/>
        <v>130</v>
      </c>
      <c r="Q74" s="12">
        <f t="shared" si="5"/>
        <v>433</v>
      </c>
      <c r="R74" s="12">
        <f t="shared" si="6"/>
        <v>432</v>
      </c>
      <c r="S74" s="12">
        <f t="shared" si="6"/>
        <v>228</v>
      </c>
      <c r="T74" s="12">
        <f t="shared" ref="T74:AF74" si="38">T34-S34</f>
        <v>0</v>
      </c>
      <c r="U74" s="12">
        <f t="shared" si="38"/>
        <v>2</v>
      </c>
      <c r="V74" s="12">
        <f t="shared" si="38"/>
        <v>449</v>
      </c>
      <c r="W74" s="12">
        <f t="shared" si="38"/>
        <v>470</v>
      </c>
      <c r="X74" s="12">
        <f t="shared" si="38"/>
        <v>20</v>
      </c>
      <c r="Y74" s="12">
        <f t="shared" si="38"/>
        <v>264</v>
      </c>
      <c r="Z74" s="12">
        <f t="shared" si="38"/>
        <v>281</v>
      </c>
      <c r="AA74" s="12">
        <f t="shared" si="38"/>
        <v>0</v>
      </c>
      <c r="AB74" s="12">
        <f t="shared" si="38"/>
        <v>193</v>
      </c>
      <c r="AC74" s="12">
        <f t="shared" si="38"/>
        <v>366</v>
      </c>
      <c r="AD74" s="12">
        <f t="shared" si="38"/>
        <v>186</v>
      </c>
      <c r="AE74" s="12">
        <f t="shared" si="38"/>
        <v>177</v>
      </c>
      <c r="AF74" s="12">
        <f t="shared" si="38"/>
        <v>0</v>
      </c>
    </row>
    <row r="75" spans="1:32" s="127" customFormat="1" x14ac:dyDescent="0.3">
      <c r="A75" s="11" t="s">
        <v>114</v>
      </c>
      <c r="B75" s="240">
        <v>475</v>
      </c>
      <c r="C75" s="12">
        <f t="shared" si="27"/>
        <v>390</v>
      </c>
      <c r="D75" s="12">
        <f t="shared" si="27"/>
        <v>193</v>
      </c>
      <c r="E75" s="12">
        <f t="shared" si="28"/>
        <v>385</v>
      </c>
      <c r="F75" s="12">
        <f t="shared" si="28"/>
        <v>0</v>
      </c>
      <c r="G75" s="12">
        <f t="shared" si="24"/>
        <v>0</v>
      </c>
      <c r="H75" s="12">
        <f t="shared" si="24"/>
        <v>451</v>
      </c>
      <c r="I75" s="12">
        <f t="shared" si="24"/>
        <v>263</v>
      </c>
      <c r="J75" s="12">
        <f t="shared" si="24"/>
        <v>432</v>
      </c>
      <c r="K75" s="12">
        <f t="shared" si="24"/>
        <v>367</v>
      </c>
      <c r="L75" s="12">
        <f t="shared" si="24"/>
        <v>97</v>
      </c>
      <c r="M75" s="12">
        <f t="shared" si="24"/>
        <v>0</v>
      </c>
      <c r="N75" s="12">
        <f t="shared" si="24"/>
        <v>0</v>
      </c>
      <c r="O75" s="12">
        <f t="shared" si="24"/>
        <v>193</v>
      </c>
      <c r="P75" s="12">
        <f t="shared" si="24"/>
        <v>337</v>
      </c>
      <c r="Q75" s="12">
        <f t="shared" si="5"/>
        <v>442</v>
      </c>
      <c r="R75" s="12">
        <f t="shared" si="6"/>
        <v>450</v>
      </c>
      <c r="S75" s="12">
        <f t="shared" si="6"/>
        <v>331</v>
      </c>
      <c r="T75" s="12">
        <f t="shared" ref="T75:AF75" si="39">T35-S35</f>
        <v>432</v>
      </c>
      <c r="U75" s="12">
        <f t="shared" si="39"/>
        <v>432</v>
      </c>
      <c r="V75" s="12">
        <f t="shared" si="39"/>
        <v>416</v>
      </c>
      <c r="W75" s="12">
        <f t="shared" si="39"/>
        <v>80</v>
      </c>
      <c r="X75" s="12">
        <f t="shared" si="39"/>
        <v>346</v>
      </c>
      <c r="Y75" s="12">
        <f t="shared" si="39"/>
        <v>195</v>
      </c>
      <c r="Z75" s="12">
        <f t="shared" si="39"/>
        <v>443</v>
      </c>
      <c r="AA75" s="12">
        <f t="shared" si="39"/>
        <v>0</v>
      </c>
      <c r="AB75" s="12">
        <f t="shared" si="39"/>
        <v>124</v>
      </c>
      <c r="AC75" s="12">
        <f t="shared" si="39"/>
        <v>98</v>
      </c>
      <c r="AD75" s="12">
        <f t="shared" si="39"/>
        <v>196</v>
      </c>
      <c r="AE75" s="12">
        <f t="shared" si="39"/>
        <v>245</v>
      </c>
      <c r="AF75" s="12">
        <f t="shared" si="39"/>
        <v>0</v>
      </c>
    </row>
    <row r="76" spans="1:32" s="127" customFormat="1" x14ac:dyDescent="0.3">
      <c r="A76" s="13" t="s">
        <v>115</v>
      </c>
      <c r="B76" s="240">
        <v>432</v>
      </c>
      <c r="C76" s="12">
        <f t="shared" si="27"/>
        <v>178</v>
      </c>
      <c r="D76" s="12">
        <f t="shared" si="27"/>
        <v>87</v>
      </c>
      <c r="E76" s="12">
        <f t="shared" si="28"/>
        <v>283</v>
      </c>
      <c r="F76" s="12">
        <f t="shared" si="28"/>
        <v>0</v>
      </c>
      <c r="G76" s="12">
        <f t="shared" si="24"/>
        <v>0</v>
      </c>
      <c r="H76" s="12">
        <f t="shared" si="24"/>
        <v>21</v>
      </c>
      <c r="I76" s="12">
        <f t="shared" si="24"/>
        <v>91</v>
      </c>
      <c r="J76" s="12">
        <f t="shared" si="24"/>
        <v>262</v>
      </c>
      <c r="K76" s="12">
        <f t="shared" si="24"/>
        <v>346</v>
      </c>
      <c r="L76" s="12">
        <f t="shared" si="24"/>
        <v>280</v>
      </c>
      <c r="M76" s="12">
        <f t="shared" si="24"/>
        <v>0</v>
      </c>
      <c r="N76" s="12">
        <f t="shared" si="24"/>
        <v>0</v>
      </c>
      <c r="O76" s="12">
        <f t="shared" si="24"/>
        <v>80</v>
      </c>
      <c r="P76" s="12">
        <f t="shared" si="24"/>
        <v>433</v>
      </c>
      <c r="Q76" s="12">
        <f t="shared" si="5"/>
        <v>451</v>
      </c>
      <c r="R76" s="12">
        <f t="shared" si="6"/>
        <v>127</v>
      </c>
      <c r="S76" s="12">
        <f t="shared" si="6"/>
        <v>99</v>
      </c>
      <c r="T76" s="12">
        <f t="shared" ref="T76:AF76" si="40">T36-S36</f>
        <v>0</v>
      </c>
      <c r="U76" s="12">
        <f t="shared" si="40"/>
        <v>0</v>
      </c>
      <c r="V76" s="12">
        <f t="shared" si="40"/>
        <v>80</v>
      </c>
      <c r="W76" s="12">
        <f t="shared" si="40"/>
        <v>107</v>
      </c>
      <c r="X76" s="12">
        <f t="shared" si="40"/>
        <v>232</v>
      </c>
      <c r="Y76" s="12">
        <f t="shared" si="40"/>
        <v>433</v>
      </c>
      <c r="Z76" s="12">
        <f t="shared" si="40"/>
        <v>125</v>
      </c>
      <c r="AA76" s="12">
        <f t="shared" si="40"/>
        <v>0</v>
      </c>
      <c r="AB76" s="12">
        <f t="shared" si="40"/>
        <v>0</v>
      </c>
      <c r="AC76" s="12">
        <f t="shared" si="40"/>
        <v>0</v>
      </c>
      <c r="AD76" s="12">
        <f t="shared" si="40"/>
        <v>0</v>
      </c>
      <c r="AE76" s="12">
        <f t="shared" si="40"/>
        <v>88</v>
      </c>
      <c r="AF76" s="12">
        <f t="shared" si="40"/>
        <v>0</v>
      </c>
    </row>
    <row r="77" spans="1:32" s="127" customFormat="1" x14ac:dyDescent="0.3">
      <c r="A77" s="11" t="s">
        <v>116</v>
      </c>
      <c r="B77" s="240">
        <v>0</v>
      </c>
      <c r="C77" s="12">
        <f t="shared" si="27"/>
        <v>127</v>
      </c>
      <c r="D77" s="12">
        <f t="shared" si="27"/>
        <v>88</v>
      </c>
      <c r="E77" s="12">
        <f t="shared" si="28"/>
        <v>262</v>
      </c>
      <c r="F77" s="12">
        <f t="shared" si="28"/>
        <v>0</v>
      </c>
      <c r="G77" s="12">
        <f t="shared" si="24"/>
        <v>0</v>
      </c>
      <c r="H77" s="12">
        <f t="shared" si="24"/>
        <v>432</v>
      </c>
      <c r="I77" s="12">
        <f t="shared" si="24"/>
        <v>432</v>
      </c>
      <c r="J77" s="12">
        <f t="shared" si="24"/>
        <v>432</v>
      </c>
      <c r="K77" s="12">
        <f t="shared" si="24"/>
        <v>71</v>
      </c>
      <c r="L77" s="12">
        <f t="shared" si="24"/>
        <v>178</v>
      </c>
      <c r="M77" s="12">
        <f t="shared" si="24"/>
        <v>0</v>
      </c>
      <c r="N77" s="12">
        <f t="shared" si="24"/>
        <v>0</v>
      </c>
      <c r="O77" s="12">
        <f t="shared" si="24"/>
        <v>79</v>
      </c>
      <c r="P77" s="12">
        <f t="shared" si="24"/>
        <v>433</v>
      </c>
      <c r="Q77" s="12">
        <f t="shared" si="5"/>
        <v>158</v>
      </c>
      <c r="R77" s="12">
        <f t="shared" si="6"/>
        <v>88</v>
      </c>
      <c r="S77" s="12">
        <f t="shared" si="6"/>
        <v>281</v>
      </c>
      <c r="T77" s="12">
        <f t="shared" ref="T77:AF77" si="41">T37-S37</f>
        <v>0</v>
      </c>
      <c r="U77" s="12">
        <f t="shared" si="41"/>
        <v>3</v>
      </c>
      <c r="V77" s="12">
        <f t="shared" si="41"/>
        <v>87</v>
      </c>
      <c r="W77" s="12">
        <f t="shared" si="41"/>
        <v>265</v>
      </c>
      <c r="X77" s="12">
        <f t="shared" si="41"/>
        <v>173</v>
      </c>
      <c r="Y77" s="12">
        <f t="shared" si="41"/>
        <v>452</v>
      </c>
      <c r="Z77" s="12">
        <f t="shared" si="41"/>
        <v>274</v>
      </c>
      <c r="AA77" s="12">
        <f t="shared" si="41"/>
        <v>0</v>
      </c>
      <c r="AB77" s="12">
        <f t="shared" si="41"/>
        <v>0</v>
      </c>
      <c r="AC77" s="12">
        <f t="shared" si="41"/>
        <v>452</v>
      </c>
      <c r="AD77" s="12">
        <f t="shared" si="41"/>
        <v>180</v>
      </c>
      <c r="AE77" s="12">
        <f t="shared" si="41"/>
        <v>281</v>
      </c>
      <c r="AF77" s="12">
        <f t="shared" si="41"/>
        <v>0</v>
      </c>
    </row>
    <row r="78" spans="1:32" s="127" customFormat="1" x14ac:dyDescent="0.3">
      <c r="A78" s="13" t="s">
        <v>117</v>
      </c>
      <c r="B78" s="240">
        <v>433</v>
      </c>
      <c r="C78" s="12">
        <f t="shared" si="27"/>
        <v>434</v>
      </c>
      <c r="D78" s="12">
        <f t="shared" si="27"/>
        <v>469</v>
      </c>
      <c r="E78" s="12">
        <f t="shared" si="28"/>
        <v>431</v>
      </c>
      <c r="F78" s="12">
        <f t="shared" si="28"/>
        <v>0</v>
      </c>
      <c r="G78" s="12">
        <f t="shared" si="24"/>
        <v>0</v>
      </c>
      <c r="H78" s="12">
        <f t="shared" si="24"/>
        <v>434</v>
      </c>
      <c r="I78" s="12">
        <f t="shared" si="24"/>
        <v>522</v>
      </c>
      <c r="J78" s="12">
        <f t="shared" si="24"/>
        <v>76</v>
      </c>
      <c r="K78" s="12">
        <f t="shared" si="24"/>
        <v>279</v>
      </c>
      <c r="L78" s="12">
        <f t="shared" si="24"/>
        <v>348</v>
      </c>
      <c r="M78" s="12">
        <f t="shared" si="24"/>
        <v>0</v>
      </c>
      <c r="N78" s="12">
        <f t="shared" si="24"/>
        <v>0</v>
      </c>
      <c r="O78" s="12">
        <f t="shared" si="24"/>
        <v>451</v>
      </c>
      <c r="P78" s="12">
        <f t="shared" si="24"/>
        <v>74</v>
      </c>
      <c r="Q78" s="12">
        <f t="shared" si="5"/>
        <v>428</v>
      </c>
      <c r="R78" s="12">
        <f t="shared" si="6"/>
        <v>434</v>
      </c>
      <c r="S78" s="12">
        <f t="shared" si="6"/>
        <v>432</v>
      </c>
      <c r="T78" s="12">
        <f t="shared" ref="T78:AF78" si="42">T38-S38</f>
        <v>431</v>
      </c>
      <c r="U78" s="12">
        <f t="shared" si="42"/>
        <v>431</v>
      </c>
      <c r="V78" s="12">
        <f t="shared" si="42"/>
        <v>432</v>
      </c>
      <c r="W78" s="12">
        <f t="shared" si="42"/>
        <v>264</v>
      </c>
      <c r="X78" s="12">
        <f t="shared" si="42"/>
        <v>366</v>
      </c>
      <c r="Y78" s="12">
        <f t="shared" si="42"/>
        <v>539</v>
      </c>
      <c r="Z78" s="12">
        <f t="shared" si="42"/>
        <v>451</v>
      </c>
      <c r="AA78" s="12">
        <f t="shared" si="42"/>
        <v>0</v>
      </c>
      <c r="AB78" s="12">
        <f t="shared" si="42"/>
        <v>195</v>
      </c>
      <c r="AC78" s="12">
        <f t="shared" si="42"/>
        <v>158</v>
      </c>
      <c r="AD78" s="12">
        <f t="shared" si="42"/>
        <v>187</v>
      </c>
      <c r="AE78" s="12">
        <f t="shared" si="42"/>
        <v>365</v>
      </c>
      <c r="AF78" s="12">
        <f t="shared" si="42"/>
        <v>0</v>
      </c>
    </row>
    <row r="79" spans="1:32" s="127" customFormat="1" x14ac:dyDescent="0.3">
      <c r="A79" s="11" t="s">
        <v>118</v>
      </c>
      <c r="B79" s="240">
        <v>177</v>
      </c>
      <c r="C79" s="12">
        <f t="shared" si="27"/>
        <v>262</v>
      </c>
      <c r="D79" s="12">
        <f t="shared" si="27"/>
        <v>177</v>
      </c>
      <c r="E79" s="12">
        <f t="shared" si="28"/>
        <v>125</v>
      </c>
      <c r="F79" s="12">
        <f t="shared" si="28"/>
        <v>0</v>
      </c>
      <c r="G79" s="12">
        <f t="shared" ref="G79:P79" si="43">G39-F39</f>
        <v>0</v>
      </c>
      <c r="H79" s="12">
        <f t="shared" si="43"/>
        <v>432</v>
      </c>
      <c r="I79" s="12">
        <f t="shared" si="43"/>
        <v>475</v>
      </c>
      <c r="J79" s="12">
        <f t="shared" si="43"/>
        <v>391</v>
      </c>
      <c r="K79" s="12">
        <f t="shared" si="43"/>
        <v>432</v>
      </c>
      <c r="L79" s="12">
        <f t="shared" si="43"/>
        <v>177</v>
      </c>
      <c r="M79" s="12">
        <f t="shared" si="43"/>
        <v>88</v>
      </c>
      <c r="N79" s="12">
        <f t="shared" si="43"/>
        <v>2</v>
      </c>
      <c r="O79" s="12">
        <f t="shared" si="43"/>
        <v>450</v>
      </c>
      <c r="P79" s="12">
        <f t="shared" si="43"/>
        <v>99</v>
      </c>
      <c r="Q79" s="12">
        <f t="shared" si="5"/>
        <v>435</v>
      </c>
      <c r="R79" s="12">
        <f t="shared" si="6"/>
        <v>178</v>
      </c>
      <c r="S79" s="12">
        <f t="shared" si="6"/>
        <v>97</v>
      </c>
      <c r="T79" s="12">
        <f t="shared" ref="T79:AF79" si="44">T39-S39</f>
        <v>0</v>
      </c>
      <c r="U79" s="12">
        <f t="shared" si="44"/>
        <v>0</v>
      </c>
      <c r="V79" s="12">
        <f t="shared" si="44"/>
        <v>358</v>
      </c>
      <c r="W79" s="12">
        <f t="shared" si="44"/>
        <v>97</v>
      </c>
      <c r="X79" s="12">
        <f t="shared" si="44"/>
        <v>266</v>
      </c>
      <c r="Y79" s="12">
        <f t="shared" si="44"/>
        <v>125</v>
      </c>
      <c r="Z79" s="12">
        <f t="shared" si="44"/>
        <v>382</v>
      </c>
      <c r="AA79" s="12">
        <f t="shared" si="44"/>
        <v>0</v>
      </c>
      <c r="AB79" s="12">
        <f t="shared" si="44"/>
        <v>125</v>
      </c>
      <c r="AC79" s="12">
        <f t="shared" si="44"/>
        <v>340</v>
      </c>
      <c r="AD79" s="12">
        <f t="shared" si="44"/>
        <v>349</v>
      </c>
      <c r="AE79" s="12">
        <f t="shared" si="44"/>
        <v>451</v>
      </c>
      <c r="AF79" s="12">
        <f t="shared" si="44"/>
        <v>0</v>
      </c>
    </row>
    <row r="80" spans="1:32" ht="15" thickBot="1" x14ac:dyDescent="0.35">
      <c r="A80" s="14"/>
      <c r="B80" s="175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E80" s="127"/>
      <c r="AF80" s="127"/>
    </row>
    <row r="81" spans="1:32" ht="15" thickBot="1" x14ac:dyDescent="0.35">
      <c r="A81" s="15" t="s">
        <v>34</v>
      </c>
      <c r="B81" s="16">
        <f t="shared" ref="B81:P81" si="45">SUM(B45:B79)</f>
        <v>11811</v>
      </c>
      <c r="C81" s="16">
        <f t="shared" si="45"/>
        <v>11745</v>
      </c>
      <c r="D81" s="16">
        <f t="shared" si="45"/>
        <v>11781</v>
      </c>
      <c r="E81" s="16">
        <f t="shared" si="45"/>
        <v>11884</v>
      </c>
      <c r="F81" s="16">
        <f t="shared" si="45"/>
        <v>6606</v>
      </c>
      <c r="G81" s="16">
        <f t="shared" si="45"/>
        <v>4952</v>
      </c>
      <c r="H81" s="16">
        <f t="shared" si="45"/>
        <v>11786</v>
      </c>
      <c r="I81" s="16">
        <f t="shared" si="45"/>
        <v>11731</v>
      </c>
      <c r="J81" s="16">
        <f t="shared" si="45"/>
        <v>11786</v>
      </c>
      <c r="K81" s="16">
        <f t="shared" si="45"/>
        <v>11796</v>
      </c>
      <c r="L81" s="16">
        <f t="shared" si="45"/>
        <v>11859</v>
      </c>
      <c r="M81" s="16">
        <f t="shared" si="45"/>
        <v>4997</v>
      </c>
      <c r="N81" s="16">
        <f t="shared" si="45"/>
        <v>4972</v>
      </c>
      <c r="O81" s="16">
        <f t="shared" si="45"/>
        <v>11802</v>
      </c>
      <c r="P81" s="16">
        <f t="shared" si="45"/>
        <v>11645</v>
      </c>
      <c r="Q81" s="16">
        <f>SUM(Q45:Q79)</f>
        <v>11684</v>
      </c>
      <c r="R81" s="16">
        <f t="shared" ref="R81:AD81" si="46">SUM(R45:R79)</f>
        <v>11702</v>
      </c>
      <c r="S81" s="16">
        <f t="shared" si="46"/>
        <v>11683</v>
      </c>
      <c r="T81" s="16">
        <f t="shared" si="46"/>
        <v>6531</v>
      </c>
      <c r="U81" s="16">
        <f t="shared" si="46"/>
        <v>5021</v>
      </c>
      <c r="V81" s="16">
        <f t="shared" si="46"/>
        <v>11715</v>
      </c>
      <c r="W81" s="16">
        <f t="shared" si="46"/>
        <v>11734</v>
      </c>
      <c r="X81" s="16">
        <f t="shared" si="46"/>
        <v>11737</v>
      </c>
      <c r="Y81" s="16">
        <f t="shared" si="46"/>
        <v>11740</v>
      </c>
      <c r="Z81" s="16">
        <f t="shared" si="46"/>
        <v>11828</v>
      </c>
      <c r="AA81" s="16">
        <f t="shared" si="46"/>
        <v>8157</v>
      </c>
      <c r="AB81" s="16">
        <f t="shared" si="46"/>
        <v>8358</v>
      </c>
      <c r="AC81" s="16">
        <f t="shared" si="46"/>
        <v>11648</v>
      </c>
      <c r="AD81" s="16">
        <f t="shared" si="46"/>
        <v>11711</v>
      </c>
      <c r="AE81" s="16">
        <f t="shared" ref="AE81:AF81" si="47">SUM(AE45:AE79)</f>
        <v>11733</v>
      </c>
      <c r="AF81" s="16">
        <f t="shared" si="47"/>
        <v>4988</v>
      </c>
    </row>
    <row r="82" spans="1:32" s="127" customFormat="1" x14ac:dyDescent="0.3">
      <c r="A82" s="258"/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</row>
    <row r="85" spans="1:32" ht="15" thickBot="1" x14ac:dyDescent="0.35"/>
    <row r="86" spans="1:32" ht="15" thickBot="1" x14ac:dyDescent="0.35">
      <c r="W86" s="319" t="s">
        <v>179</v>
      </c>
      <c r="X86" s="319">
        <v>1950194</v>
      </c>
      <c r="Y86" s="319">
        <v>1950473</v>
      </c>
      <c r="Z86" s="319">
        <v>279</v>
      </c>
      <c r="AA86" s="319">
        <v>17.829999999999998</v>
      </c>
      <c r="AB86" s="319">
        <v>258.77999999999997</v>
      </c>
      <c r="AC86" s="319" t="s">
        <v>180</v>
      </c>
      <c r="AD86" s="319"/>
    </row>
    <row r="87" spans="1:32" ht="15" thickBot="1" x14ac:dyDescent="0.35">
      <c r="W87" s="319" t="s">
        <v>181</v>
      </c>
      <c r="X87" s="319">
        <v>1933641</v>
      </c>
      <c r="Y87" s="319">
        <v>1934072</v>
      </c>
      <c r="Z87" s="319">
        <v>431</v>
      </c>
      <c r="AA87" s="319">
        <v>0</v>
      </c>
      <c r="AB87" s="319">
        <v>431.3</v>
      </c>
      <c r="AC87" s="319" t="s">
        <v>182</v>
      </c>
      <c r="AD87" s="319"/>
    </row>
    <row r="88" spans="1:32" ht="15" thickBot="1" x14ac:dyDescent="0.35">
      <c r="W88" s="319" t="s">
        <v>183</v>
      </c>
      <c r="X88" s="319">
        <v>2006628</v>
      </c>
      <c r="Y88" s="319">
        <v>2007060</v>
      </c>
      <c r="Z88" s="319">
        <v>432</v>
      </c>
      <c r="AA88" s="319">
        <v>0</v>
      </c>
      <c r="AB88" s="319">
        <v>431.3</v>
      </c>
      <c r="AC88" s="319" t="s">
        <v>184</v>
      </c>
      <c r="AD88" s="319"/>
    </row>
    <row r="89" spans="1:32" ht="15" thickBot="1" x14ac:dyDescent="0.35">
      <c r="W89" s="319" t="s">
        <v>185</v>
      </c>
      <c r="X89" s="319">
        <v>2011461</v>
      </c>
      <c r="Y89" s="319">
        <v>2011893</v>
      </c>
      <c r="Z89" s="319">
        <v>432</v>
      </c>
      <c r="AA89" s="319">
        <v>0</v>
      </c>
      <c r="AB89" s="319">
        <v>431.3</v>
      </c>
      <c r="AC89" s="319" t="s">
        <v>184</v>
      </c>
      <c r="AD89" s="319"/>
    </row>
    <row r="90" spans="1:32" ht="15" thickBot="1" x14ac:dyDescent="0.35">
      <c r="W90" s="319" t="s">
        <v>186</v>
      </c>
      <c r="X90" s="319">
        <v>1912992</v>
      </c>
      <c r="Y90" s="319">
        <v>1912992</v>
      </c>
      <c r="Z90" s="319">
        <v>0</v>
      </c>
      <c r="AA90" s="319">
        <v>0</v>
      </c>
      <c r="AB90" s="319">
        <v>0</v>
      </c>
      <c r="AC90" s="319">
        <v>0</v>
      </c>
      <c r="AD90" s="319"/>
    </row>
    <row r="91" spans="1:32" ht="15" thickBot="1" x14ac:dyDescent="0.35">
      <c r="W91" s="319" t="s">
        <v>187</v>
      </c>
      <c r="X91" s="319">
        <v>2026094</v>
      </c>
      <c r="Y91" s="319">
        <v>2026094</v>
      </c>
      <c r="Z91" s="319">
        <v>0</v>
      </c>
      <c r="AA91" s="319">
        <v>0</v>
      </c>
      <c r="AB91" s="319">
        <v>0</v>
      </c>
      <c r="AC91" s="319">
        <v>0</v>
      </c>
      <c r="AD91" s="319"/>
    </row>
    <row r="92" spans="1:32" ht="15" thickBot="1" x14ac:dyDescent="0.35">
      <c r="W92" s="319" t="s">
        <v>188</v>
      </c>
      <c r="X92" s="319">
        <v>2052768</v>
      </c>
      <c r="Y92" s="319">
        <v>2052768</v>
      </c>
      <c r="Z92" s="319">
        <v>0</v>
      </c>
      <c r="AA92" s="319">
        <v>0</v>
      </c>
      <c r="AB92" s="319">
        <v>0</v>
      </c>
      <c r="AC92" s="319">
        <v>0</v>
      </c>
      <c r="AD92" s="319"/>
    </row>
    <row r="93" spans="1:32" ht="15" thickBot="1" x14ac:dyDescent="0.35">
      <c r="W93" s="319" t="s">
        <v>189</v>
      </c>
      <c r="X93" s="319">
        <v>1961257</v>
      </c>
      <c r="Y93" s="319">
        <v>1961431</v>
      </c>
      <c r="Z93" s="319">
        <v>174</v>
      </c>
      <c r="AA93" s="319">
        <v>0</v>
      </c>
      <c r="AB93" s="319">
        <v>172.52</v>
      </c>
      <c r="AC93" s="319" t="s">
        <v>190</v>
      </c>
      <c r="AD93" s="319"/>
    </row>
    <row r="94" spans="1:32" ht="15" thickBot="1" x14ac:dyDescent="0.35">
      <c r="W94" s="319" t="s">
        <v>191</v>
      </c>
      <c r="X94" s="319">
        <v>1945427</v>
      </c>
      <c r="Y94" s="319">
        <v>1945513</v>
      </c>
      <c r="Z94" s="319">
        <v>86</v>
      </c>
      <c r="AA94" s="319">
        <v>0</v>
      </c>
      <c r="AB94" s="319">
        <v>86.26</v>
      </c>
      <c r="AC94" s="319" t="s">
        <v>192</v>
      </c>
      <c r="AD94" s="319"/>
    </row>
    <row r="95" spans="1:32" ht="15" thickBot="1" x14ac:dyDescent="0.35">
      <c r="W95" s="319" t="s">
        <v>193</v>
      </c>
      <c r="X95" s="319">
        <v>2017181</v>
      </c>
      <c r="Y95" s="319">
        <v>2017614</v>
      </c>
      <c r="Z95" s="319">
        <v>433</v>
      </c>
      <c r="AA95" s="319">
        <v>0</v>
      </c>
      <c r="AB95" s="319">
        <v>431.3</v>
      </c>
      <c r="AC95" s="319" t="s">
        <v>194</v>
      </c>
      <c r="AD95" s="319"/>
    </row>
    <row r="96" spans="1:32" ht="15" thickBot="1" x14ac:dyDescent="0.35">
      <c r="W96" s="319" t="s">
        <v>195</v>
      </c>
      <c r="X96" s="319">
        <v>2035701</v>
      </c>
      <c r="Y96" s="319">
        <v>2035701</v>
      </c>
      <c r="Z96" s="319">
        <v>0</v>
      </c>
      <c r="AA96" s="319">
        <v>0</v>
      </c>
      <c r="AB96" s="319">
        <v>0</v>
      </c>
      <c r="AC96" s="319">
        <v>0</v>
      </c>
      <c r="AD96" s="319"/>
    </row>
    <row r="97" spans="23:30" ht="15" thickBot="1" x14ac:dyDescent="0.35">
      <c r="W97" s="319" t="s">
        <v>196</v>
      </c>
      <c r="X97" s="319">
        <v>1873643</v>
      </c>
      <c r="Y97" s="319">
        <v>1874075</v>
      </c>
      <c r="Z97" s="319">
        <v>432</v>
      </c>
      <c r="AA97" s="319">
        <v>0</v>
      </c>
      <c r="AB97" s="319">
        <v>431.3</v>
      </c>
      <c r="AC97" s="319" t="s">
        <v>184</v>
      </c>
      <c r="AD97" s="319"/>
    </row>
    <row r="98" spans="23:30" ht="15" thickBot="1" x14ac:dyDescent="0.35">
      <c r="W98" s="319" t="s">
        <v>197</v>
      </c>
      <c r="X98" s="319">
        <v>1992179</v>
      </c>
      <c r="Y98" s="319">
        <v>1992179</v>
      </c>
      <c r="Z98" s="319">
        <v>0</v>
      </c>
      <c r="AA98" s="319">
        <v>0</v>
      </c>
      <c r="AB98" s="319">
        <v>0</v>
      </c>
      <c r="AC98" s="319">
        <v>0</v>
      </c>
      <c r="AD98" s="319"/>
    </row>
    <row r="99" spans="23:30" ht="15" thickBot="1" x14ac:dyDescent="0.35">
      <c r="W99" s="319" t="s">
        <v>198</v>
      </c>
      <c r="X99" s="319">
        <v>1970483</v>
      </c>
      <c r="Y99" s="319">
        <v>1970483</v>
      </c>
      <c r="Z99" s="319">
        <v>0</v>
      </c>
      <c r="AA99" s="319">
        <v>0</v>
      </c>
      <c r="AB99" s="319">
        <v>0</v>
      </c>
      <c r="AC99" s="319">
        <v>0</v>
      </c>
      <c r="AD99" s="319"/>
    </row>
    <row r="100" spans="23:30" ht="15" thickBot="1" x14ac:dyDescent="0.35">
      <c r="W100" s="319" t="s">
        <v>199</v>
      </c>
      <c r="X100" s="319">
        <v>2049779</v>
      </c>
      <c r="Y100" s="319">
        <v>2049865</v>
      </c>
      <c r="Z100" s="319">
        <v>86</v>
      </c>
      <c r="AA100" s="319">
        <v>0</v>
      </c>
      <c r="AB100" s="319">
        <v>86.26</v>
      </c>
      <c r="AC100" s="319" t="s">
        <v>192</v>
      </c>
      <c r="AD100" s="319"/>
    </row>
    <row r="101" spans="23:30" ht="15" thickBot="1" x14ac:dyDescent="0.35">
      <c r="W101" s="319" t="s">
        <v>200</v>
      </c>
      <c r="X101" s="319">
        <v>2009405</v>
      </c>
      <c r="Y101" s="319">
        <v>2009424</v>
      </c>
      <c r="Z101" s="319">
        <v>19</v>
      </c>
      <c r="AA101" s="319">
        <v>17.829999999999998</v>
      </c>
      <c r="AB101" s="319">
        <v>0</v>
      </c>
      <c r="AC101" s="319" t="s">
        <v>201</v>
      </c>
      <c r="AD101" s="319"/>
    </row>
    <row r="102" spans="23:30" ht="15" thickBot="1" x14ac:dyDescent="0.35">
      <c r="W102" s="319" t="s">
        <v>202</v>
      </c>
      <c r="X102" s="319">
        <v>2018437</v>
      </c>
      <c r="Y102" s="319">
        <v>2018437</v>
      </c>
      <c r="Z102" s="319">
        <v>0</v>
      </c>
      <c r="AA102" s="319">
        <v>0</v>
      </c>
      <c r="AB102" s="319">
        <v>0</v>
      </c>
      <c r="AC102" s="319">
        <v>0</v>
      </c>
      <c r="AD102" s="319"/>
    </row>
    <row r="103" spans="23:30" ht="15" thickBot="1" x14ac:dyDescent="0.35">
      <c r="W103" s="319" t="s">
        <v>203</v>
      </c>
      <c r="X103" s="319">
        <v>1945396</v>
      </c>
      <c r="Y103" s="319">
        <v>1945826</v>
      </c>
      <c r="Z103" s="319">
        <v>430</v>
      </c>
      <c r="AA103" s="319">
        <v>0</v>
      </c>
      <c r="AB103" s="319">
        <v>431.3</v>
      </c>
      <c r="AC103" s="319" t="s">
        <v>204</v>
      </c>
      <c r="AD103" s="319"/>
    </row>
    <row r="104" spans="23:30" ht="15" thickBot="1" x14ac:dyDescent="0.35">
      <c r="W104" s="319" t="s">
        <v>205</v>
      </c>
      <c r="X104" s="319">
        <v>1988763</v>
      </c>
      <c r="Y104" s="319">
        <v>1989194</v>
      </c>
      <c r="Z104" s="319">
        <v>431</v>
      </c>
      <c r="AA104" s="319">
        <v>0</v>
      </c>
      <c r="AB104" s="319">
        <v>431.3</v>
      </c>
      <c r="AC104" s="319" t="s">
        <v>182</v>
      </c>
      <c r="AD104" s="319"/>
    </row>
    <row r="105" spans="23:30" ht="15" thickBot="1" x14ac:dyDescent="0.35">
      <c r="W105" s="319" t="s">
        <v>206</v>
      </c>
      <c r="X105" s="319">
        <v>2014649</v>
      </c>
      <c r="Y105" s="319">
        <v>2015039</v>
      </c>
      <c r="Z105" s="319">
        <v>390</v>
      </c>
      <c r="AA105" s="319">
        <v>0</v>
      </c>
      <c r="AB105" s="319">
        <v>388.17</v>
      </c>
      <c r="AC105" s="319" t="s">
        <v>207</v>
      </c>
      <c r="AD105" s="319"/>
    </row>
    <row r="106" spans="23:30" ht="15" thickBot="1" x14ac:dyDescent="0.35">
      <c r="W106" s="319" t="s">
        <v>208</v>
      </c>
      <c r="X106" s="319">
        <v>2029529</v>
      </c>
      <c r="Y106" s="319">
        <v>2029529</v>
      </c>
      <c r="Z106" s="319">
        <v>0</v>
      </c>
      <c r="AA106" s="319">
        <v>0</v>
      </c>
      <c r="AB106" s="319">
        <v>0</v>
      </c>
      <c r="AC106" s="319">
        <v>0</v>
      </c>
      <c r="AD106" s="319"/>
    </row>
    <row r="107" spans="23:30" ht="15" thickBot="1" x14ac:dyDescent="0.35">
      <c r="W107" s="319" t="s">
        <v>209</v>
      </c>
      <c r="X107" s="319">
        <v>2039131</v>
      </c>
      <c r="Y107" s="319">
        <v>2039131</v>
      </c>
      <c r="Z107" s="319">
        <v>0</v>
      </c>
      <c r="AA107" s="319">
        <v>0</v>
      </c>
      <c r="AB107" s="319">
        <v>0</v>
      </c>
      <c r="AC107" s="319">
        <v>0</v>
      </c>
      <c r="AD107" s="319"/>
    </row>
    <row r="108" spans="23:30" ht="15" thickBot="1" x14ac:dyDescent="0.35">
      <c r="W108" s="319" t="s">
        <v>210</v>
      </c>
      <c r="X108" s="319">
        <v>1999498</v>
      </c>
      <c r="Y108" s="319">
        <v>1999545</v>
      </c>
      <c r="Z108" s="319">
        <v>47</v>
      </c>
      <c r="AA108" s="319">
        <v>4</v>
      </c>
      <c r="AB108" s="319">
        <v>43.13</v>
      </c>
      <c r="AC108" s="319" t="s">
        <v>211</v>
      </c>
      <c r="AD108" s="319"/>
    </row>
    <row r="109" spans="23:30" ht="15" thickBot="1" x14ac:dyDescent="0.35">
      <c r="W109" s="319" t="s">
        <v>212</v>
      </c>
      <c r="X109" s="319">
        <v>2008404</v>
      </c>
      <c r="Y109" s="319">
        <v>2008469</v>
      </c>
      <c r="Z109" s="319">
        <v>65</v>
      </c>
      <c r="AA109" s="319">
        <v>17.829999999999998</v>
      </c>
      <c r="AB109" s="319">
        <v>43.13</v>
      </c>
      <c r="AC109" s="319" t="s">
        <v>213</v>
      </c>
      <c r="AD109" s="319"/>
    </row>
    <row r="110" spans="23:30" ht="15" thickBot="1" x14ac:dyDescent="0.35">
      <c r="W110" s="319" t="s">
        <v>214</v>
      </c>
      <c r="X110" s="319">
        <v>1928220</v>
      </c>
      <c r="Y110" s="319">
        <v>1928220</v>
      </c>
      <c r="Z110" s="319">
        <v>0</v>
      </c>
      <c r="AA110" s="319">
        <v>0</v>
      </c>
      <c r="AB110" s="319">
        <v>0</v>
      </c>
      <c r="AC110" s="319">
        <v>0</v>
      </c>
      <c r="AD110" s="319"/>
    </row>
    <row r="111" spans="23:30" ht="15" thickBot="1" x14ac:dyDescent="0.35">
      <c r="W111" s="319" t="s">
        <v>215</v>
      </c>
      <c r="X111" s="319">
        <v>1660734</v>
      </c>
      <c r="Y111" s="319">
        <v>1661122</v>
      </c>
      <c r="Z111" s="319">
        <v>388</v>
      </c>
      <c r="AA111" s="319">
        <v>0</v>
      </c>
      <c r="AB111" s="319">
        <v>388.17</v>
      </c>
      <c r="AC111" s="319" t="s">
        <v>216</v>
      </c>
      <c r="AD111" s="319"/>
    </row>
    <row r="112" spans="23:30" ht="15" thickBot="1" x14ac:dyDescent="0.35">
      <c r="W112" s="319" t="s">
        <v>217</v>
      </c>
      <c r="X112" s="319">
        <v>1971448</v>
      </c>
      <c r="Y112" s="319">
        <v>1971881</v>
      </c>
      <c r="Z112" s="319">
        <v>433</v>
      </c>
      <c r="AA112" s="319">
        <v>0</v>
      </c>
      <c r="AB112" s="319">
        <v>431.3</v>
      </c>
      <c r="AC112" s="319" t="s">
        <v>194</v>
      </c>
      <c r="AD112" s="319"/>
    </row>
    <row r="113" spans="23:30" ht="15" thickBot="1" x14ac:dyDescent="0.35">
      <c r="W113" s="319" t="s">
        <v>218</v>
      </c>
      <c r="X113" s="319">
        <v>618895</v>
      </c>
      <c r="Y113" s="319">
        <v>618895</v>
      </c>
      <c r="Z113" s="319">
        <v>0</v>
      </c>
      <c r="AA113" s="319">
        <v>0</v>
      </c>
      <c r="AB113" s="319">
        <v>0</v>
      </c>
      <c r="AC113" s="319">
        <v>0</v>
      </c>
      <c r="AD113" s="319"/>
    </row>
    <row r="114" spans="23:30" ht="15" thickBot="1" x14ac:dyDescent="0.35">
      <c r="W114" s="319" t="s">
        <v>219</v>
      </c>
      <c r="X114" s="319">
        <v>609597</v>
      </c>
      <c r="Y114" s="319">
        <v>609597</v>
      </c>
      <c r="Z114" s="319">
        <v>0</v>
      </c>
      <c r="AA114" s="319">
        <v>0</v>
      </c>
      <c r="AB114" s="319">
        <v>0</v>
      </c>
      <c r="AC114" s="319">
        <v>0</v>
      </c>
      <c r="AD114" s="319"/>
    </row>
    <row r="115" spans="23:30" ht="15" thickBot="1" x14ac:dyDescent="0.35">
      <c r="W115" s="319" t="s">
        <v>220</v>
      </c>
      <c r="X115" s="319">
        <v>601477</v>
      </c>
      <c r="Y115" s="319">
        <v>601477</v>
      </c>
      <c r="Z115" s="319">
        <v>0</v>
      </c>
      <c r="AA115" s="319">
        <v>0</v>
      </c>
      <c r="AB115" s="319">
        <v>0</v>
      </c>
      <c r="AC115" s="319">
        <v>0</v>
      </c>
      <c r="AD115" s="319"/>
    </row>
    <row r="116" spans="23:30" ht="15" thickBot="1" x14ac:dyDescent="0.35">
      <c r="W116" s="319" t="s">
        <v>221</v>
      </c>
      <c r="X116" s="319">
        <v>615987</v>
      </c>
      <c r="Y116" s="319">
        <v>615987</v>
      </c>
      <c r="Z116" s="319">
        <v>0</v>
      </c>
      <c r="AA116" s="319">
        <v>0</v>
      </c>
      <c r="AB116" s="319">
        <v>0</v>
      </c>
      <c r="AC116" s="319">
        <v>0</v>
      </c>
      <c r="AD116" s="319"/>
    </row>
    <row r="117" spans="23:30" ht="15" thickBot="1" x14ac:dyDescent="0.35">
      <c r="W117" s="319" t="s">
        <v>222</v>
      </c>
      <c r="X117" s="319">
        <v>596950</v>
      </c>
      <c r="Y117" s="319">
        <v>596950</v>
      </c>
      <c r="Z117" s="319">
        <v>0</v>
      </c>
      <c r="AA117" s="319">
        <v>0</v>
      </c>
      <c r="AB117" s="319">
        <v>0</v>
      </c>
      <c r="AC117" s="319">
        <v>0</v>
      </c>
      <c r="AD117" s="319"/>
    </row>
    <row r="118" spans="23:30" ht="15" thickBot="1" x14ac:dyDescent="0.35">
      <c r="W118" s="319" t="s">
        <v>223</v>
      </c>
      <c r="X118" s="319">
        <v>642852</v>
      </c>
      <c r="Y118" s="319">
        <v>642852</v>
      </c>
      <c r="Z118" s="319">
        <v>0</v>
      </c>
      <c r="AA118" s="319">
        <v>0</v>
      </c>
      <c r="AB118" s="319">
        <v>0</v>
      </c>
      <c r="AC118" s="319">
        <v>0</v>
      </c>
      <c r="AD118" s="319"/>
    </row>
    <row r="119" spans="23:30" ht="15" thickBot="1" x14ac:dyDescent="0.35">
      <c r="W119" s="319" t="s">
        <v>224</v>
      </c>
      <c r="X119" s="319">
        <v>286803</v>
      </c>
      <c r="Y119" s="319">
        <v>286803</v>
      </c>
      <c r="Z119" s="319">
        <v>0</v>
      </c>
      <c r="AA119" s="319">
        <v>0</v>
      </c>
      <c r="AB119" s="319">
        <v>0</v>
      </c>
      <c r="AC119" s="319">
        <v>0</v>
      </c>
      <c r="AD119" s="319"/>
    </row>
    <row r="120" spans="23:30" ht="15" thickBot="1" x14ac:dyDescent="0.35">
      <c r="W120" s="320" t="s">
        <v>225</v>
      </c>
      <c r="X120" s="320">
        <v>619070</v>
      </c>
      <c r="Y120" s="320">
        <v>619070</v>
      </c>
      <c r="Z120" s="320">
        <v>0</v>
      </c>
      <c r="AA120" s="320">
        <v>0</v>
      </c>
      <c r="AB120" s="320">
        <v>0</v>
      </c>
      <c r="AC120" s="320">
        <v>0</v>
      </c>
      <c r="AD120" s="321"/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1:AC41"/>
  </mergeCell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K242"/>
  <sheetViews>
    <sheetView tabSelected="1" zoomScaleNormal="100" workbookViewId="0">
      <pane ySplit="4" topLeftCell="A128" activePane="bottomLeft" state="frozen"/>
      <selection pane="bottomLeft" activeCell="C34" sqref="C34"/>
    </sheetView>
  </sheetViews>
  <sheetFormatPr baseColWidth="10" defaultRowHeight="14.4" x14ac:dyDescent="0.3"/>
  <cols>
    <col min="1" max="1" width="23.88671875" customWidth="1"/>
    <col min="2" max="2" width="11.6640625" customWidth="1"/>
    <col min="3" max="3" width="10.88671875" customWidth="1"/>
    <col min="4" max="4" width="10.33203125" customWidth="1"/>
    <col min="5" max="5" width="14.33203125" customWidth="1"/>
    <col min="6" max="6" width="13" customWidth="1"/>
    <col min="7" max="7" width="16" customWidth="1"/>
    <col min="8" max="8" width="13.33203125" customWidth="1"/>
    <col min="11" max="11" width="14.109375" customWidth="1"/>
    <col min="13" max="13" width="15.109375" customWidth="1"/>
    <col min="15" max="15" width="12" customWidth="1"/>
    <col min="16" max="16" width="6.6640625" customWidth="1"/>
    <col min="17" max="17" width="6.33203125" customWidth="1"/>
    <col min="18" max="18" width="6" style="127" customWidth="1"/>
    <col min="19" max="19" width="7.109375" customWidth="1"/>
    <col min="20" max="20" width="7" customWidth="1"/>
  </cols>
  <sheetData>
    <row r="1" spans="1:21" x14ac:dyDescent="0.3">
      <c r="A1" s="17"/>
      <c r="B1" s="18"/>
      <c r="C1" s="18"/>
      <c r="D1" s="18"/>
      <c r="E1" s="18"/>
      <c r="F1" s="18"/>
      <c r="G1" s="160" t="s">
        <v>125</v>
      </c>
      <c r="H1" s="160">
        <v>21.7</v>
      </c>
      <c r="I1" s="160" t="s">
        <v>35</v>
      </c>
      <c r="J1" s="160">
        <v>25.4</v>
      </c>
      <c r="K1" s="160" t="s">
        <v>36</v>
      </c>
      <c r="L1" s="160">
        <v>29.11</v>
      </c>
      <c r="M1" s="160" t="s">
        <v>119</v>
      </c>
      <c r="N1" s="160">
        <v>21.7</v>
      </c>
      <c r="O1" s="249" t="s">
        <v>157</v>
      </c>
      <c r="P1" s="265">
        <v>8.3000000000000007</v>
      </c>
      <c r="Q1" s="249" t="s">
        <v>158</v>
      </c>
      <c r="R1" s="265">
        <v>34.83</v>
      </c>
      <c r="S1" s="249" t="s">
        <v>161</v>
      </c>
      <c r="T1" s="281">
        <v>11.7</v>
      </c>
      <c r="U1" s="310" t="s">
        <v>174</v>
      </c>
    </row>
    <row r="2" spans="1:21" ht="15" thickBot="1" x14ac:dyDescent="0.35">
      <c r="A2" s="17"/>
      <c r="B2" s="345" t="s">
        <v>37</v>
      </c>
      <c r="C2" s="345"/>
      <c r="D2" s="346" t="s">
        <v>37</v>
      </c>
      <c r="E2" s="346"/>
      <c r="F2" s="41"/>
      <c r="G2" s="215" t="s">
        <v>150</v>
      </c>
      <c r="H2" s="215">
        <v>30.4</v>
      </c>
      <c r="I2" s="160" t="s">
        <v>121</v>
      </c>
      <c r="J2" s="160">
        <v>25.4</v>
      </c>
      <c r="K2" s="160" t="s">
        <v>38</v>
      </c>
      <c r="L2" s="160">
        <v>43.13</v>
      </c>
      <c r="M2" s="160" t="s">
        <v>110</v>
      </c>
      <c r="N2" s="160">
        <v>35.729999999999997</v>
      </c>
      <c r="O2" s="249" t="s">
        <v>156</v>
      </c>
      <c r="P2" s="247">
        <v>33.97</v>
      </c>
      <c r="Q2" s="249" t="s">
        <v>159</v>
      </c>
      <c r="R2" s="280">
        <v>7.4</v>
      </c>
      <c r="S2" s="249" t="s">
        <v>167</v>
      </c>
      <c r="T2" s="287">
        <v>12.73</v>
      </c>
      <c r="U2" s="310">
        <v>21.4</v>
      </c>
    </row>
    <row r="3" spans="1:21" ht="14.1" customHeight="1" x14ac:dyDescent="0.3">
      <c r="A3" s="17"/>
      <c r="B3" s="345" t="s">
        <v>39</v>
      </c>
      <c r="C3" s="345"/>
      <c r="D3" s="346" t="s">
        <v>40</v>
      </c>
      <c r="E3" s="346"/>
      <c r="F3" s="337" t="s">
        <v>41</v>
      </c>
      <c r="G3" s="337" t="s">
        <v>42</v>
      </c>
      <c r="H3" s="337" t="s">
        <v>43</v>
      </c>
      <c r="I3" s="337" t="s">
        <v>44</v>
      </c>
      <c r="J3" s="337" t="s">
        <v>45</v>
      </c>
      <c r="K3" s="337" t="s">
        <v>46</v>
      </c>
      <c r="L3" s="337" t="s">
        <v>47</v>
      </c>
      <c r="M3" s="336" t="s">
        <v>48</v>
      </c>
      <c r="N3" s="336" t="s">
        <v>49</v>
      </c>
      <c r="O3" s="335"/>
      <c r="P3" s="349" t="s">
        <v>142</v>
      </c>
      <c r="Q3" s="350"/>
      <c r="R3" s="351"/>
      <c r="S3" s="341" t="s">
        <v>145</v>
      </c>
      <c r="T3" s="342"/>
      <c r="U3" s="333" t="s">
        <v>146</v>
      </c>
    </row>
    <row r="4" spans="1:21" ht="17.25" customHeight="1" thickBot="1" x14ac:dyDescent="0.35">
      <c r="A4" s="17"/>
      <c r="B4" s="42" t="s">
        <v>50</v>
      </c>
      <c r="C4" s="42" t="s">
        <v>51</v>
      </c>
      <c r="D4" s="43" t="s">
        <v>50</v>
      </c>
      <c r="E4" s="43" t="s">
        <v>51</v>
      </c>
      <c r="F4" s="337"/>
      <c r="G4" s="354"/>
      <c r="H4" s="337"/>
      <c r="I4" s="337"/>
      <c r="J4" s="337"/>
      <c r="K4" s="337"/>
      <c r="L4" s="337"/>
      <c r="M4" s="336"/>
      <c r="N4" s="336"/>
      <c r="O4" s="335"/>
      <c r="P4" s="201" t="s">
        <v>143</v>
      </c>
      <c r="Q4" s="202" t="s">
        <v>144</v>
      </c>
      <c r="R4" s="202" t="s">
        <v>149</v>
      </c>
      <c r="S4" s="203" t="s">
        <v>143</v>
      </c>
      <c r="T4" s="252" t="s">
        <v>144</v>
      </c>
      <c r="U4" s="334"/>
    </row>
    <row r="5" spans="1:21" x14ac:dyDescent="0.3">
      <c r="A5" s="213">
        <v>45566</v>
      </c>
      <c r="B5" s="128">
        <v>36</v>
      </c>
      <c r="C5" s="128">
        <v>47</v>
      </c>
      <c r="D5" s="129">
        <f>'Data Ocupacion'!D32</f>
        <v>35</v>
      </c>
      <c r="E5" s="129">
        <f>'Data Ocupacion'!E32</f>
        <v>48</v>
      </c>
      <c r="F5" s="128" t="s">
        <v>38</v>
      </c>
      <c r="G5" s="128">
        <f t="shared" ref="G5:G10" si="0">D5+E5*2</f>
        <v>131</v>
      </c>
      <c r="H5" s="128">
        <f t="shared" ref="H5:H10" si="1">D5+E5</f>
        <v>83</v>
      </c>
      <c r="I5" s="128">
        <f>G5*L$2</f>
        <v>5650.0300000000007</v>
      </c>
      <c r="J5" s="156">
        <f>H5*L$2</f>
        <v>3579.7900000000004</v>
      </c>
      <c r="K5" s="128">
        <f t="shared" ref="K5:K10" si="2">I5*104</f>
        <v>587603.12000000011</v>
      </c>
      <c r="L5" s="128">
        <f t="shared" ref="L5:L10" si="3">H5*104</f>
        <v>8632</v>
      </c>
      <c r="M5" s="19"/>
      <c r="N5" s="19"/>
      <c r="O5" s="149"/>
      <c r="P5" s="189">
        <v>5</v>
      </c>
      <c r="Q5" s="189"/>
      <c r="R5" s="216"/>
      <c r="S5" s="289"/>
      <c r="T5" s="198"/>
      <c r="U5" s="191">
        <f>I5-((P5*($L$2-$J$1)))-(S5*($J$1))</f>
        <v>5561.380000000001</v>
      </c>
    </row>
    <row r="6" spans="1:21" ht="15" customHeight="1" x14ac:dyDescent="0.3">
      <c r="A6" s="277"/>
      <c r="B6" s="128">
        <v>35</v>
      </c>
      <c r="C6" s="128">
        <v>44</v>
      </c>
      <c r="D6" s="129">
        <f>'Data Ocupacion'!D33</f>
        <v>34</v>
      </c>
      <c r="E6" s="129">
        <f>'Data Ocupacion'!E33</f>
        <v>45</v>
      </c>
      <c r="F6" s="128" t="s">
        <v>52</v>
      </c>
      <c r="G6" s="128">
        <f t="shared" si="0"/>
        <v>124</v>
      </c>
      <c r="H6" s="128">
        <f t="shared" si="1"/>
        <v>79</v>
      </c>
      <c r="I6" s="128">
        <f>G6*L$2</f>
        <v>5348.12</v>
      </c>
      <c r="J6" s="156">
        <f>H6*L$2</f>
        <v>3407.27</v>
      </c>
      <c r="K6" s="128">
        <f t="shared" si="2"/>
        <v>556204.48</v>
      </c>
      <c r="L6" s="128">
        <f t="shared" si="3"/>
        <v>8216</v>
      </c>
      <c r="M6" s="19"/>
      <c r="N6" s="19"/>
      <c r="O6" s="149"/>
      <c r="P6" s="193"/>
      <c r="Q6" s="193"/>
      <c r="R6" s="193"/>
      <c r="S6" s="189"/>
      <c r="T6" s="214"/>
      <c r="U6" s="191">
        <f>I6-(S6*($L$2-$J$1)+(T6*($L$2-$L$1)))</f>
        <v>5348.12</v>
      </c>
    </row>
    <row r="7" spans="1:21" ht="15" customHeight="1" x14ac:dyDescent="0.3">
      <c r="A7" s="277"/>
      <c r="B7" s="128">
        <v>0</v>
      </c>
      <c r="C7" s="128">
        <v>2</v>
      </c>
      <c r="D7" s="129">
        <f>'Data Ocupacion'!D34</f>
        <v>0</v>
      </c>
      <c r="E7" s="129">
        <f>'Data Ocupacion'!E34</f>
        <v>2</v>
      </c>
      <c r="F7" s="128" t="s">
        <v>36</v>
      </c>
      <c r="G7" s="128">
        <f t="shared" si="0"/>
        <v>4</v>
      </c>
      <c r="H7" s="128">
        <f t="shared" si="1"/>
        <v>2</v>
      </c>
      <c r="I7" s="128">
        <f>G7*L$1</f>
        <v>116.44</v>
      </c>
      <c r="J7" s="156">
        <f>H7*L$1</f>
        <v>58.22</v>
      </c>
      <c r="K7" s="128">
        <f t="shared" si="2"/>
        <v>12109.76</v>
      </c>
      <c r="L7" s="128">
        <f t="shared" si="3"/>
        <v>208</v>
      </c>
      <c r="M7" s="19"/>
      <c r="N7" s="19"/>
      <c r="O7" s="149"/>
      <c r="P7" s="192">
        <v>1</v>
      </c>
      <c r="Q7" s="194"/>
      <c r="R7" s="217"/>
      <c r="S7" s="195"/>
      <c r="T7" s="196"/>
      <c r="U7" s="188">
        <f>I7-(P7*($L$1-$J$1))</f>
        <v>112.72999999999999</v>
      </c>
    </row>
    <row r="8" spans="1:21" ht="15" customHeight="1" x14ac:dyDescent="0.3">
      <c r="A8" s="277"/>
      <c r="B8" s="128">
        <v>0</v>
      </c>
      <c r="C8" s="128">
        <v>3</v>
      </c>
      <c r="D8" s="129">
        <f>'Data Ocupacion'!D35</f>
        <v>0</v>
      </c>
      <c r="E8" s="129">
        <f>'Data Ocupacion'!E35</f>
        <v>3</v>
      </c>
      <c r="F8" s="128" t="s">
        <v>53</v>
      </c>
      <c r="G8" s="128">
        <f t="shared" si="0"/>
        <v>6</v>
      </c>
      <c r="H8" s="128">
        <f t="shared" si="1"/>
        <v>3</v>
      </c>
      <c r="I8" s="128">
        <f>G8*L$1</f>
        <v>174.66</v>
      </c>
      <c r="J8" s="156">
        <f>H8*L$1</f>
        <v>87.33</v>
      </c>
      <c r="K8" s="128">
        <f t="shared" si="2"/>
        <v>18164.64</v>
      </c>
      <c r="L8" s="128">
        <f t="shared" si="3"/>
        <v>312</v>
      </c>
      <c r="M8" s="168"/>
      <c r="N8" s="19"/>
      <c r="O8" s="149"/>
      <c r="P8" s="196"/>
      <c r="Q8" s="196"/>
      <c r="R8" s="196"/>
      <c r="S8" s="196"/>
      <c r="T8" s="196"/>
      <c r="U8" s="188">
        <f t="shared" ref="U8:U9" si="4">I8</f>
        <v>174.66</v>
      </c>
    </row>
    <row r="9" spans="1:21" s="127" customFormat="1" ht="15" customHeight="1" x14ac:dyDescent="0.3">
      <c r="A9" s="277"/>
      <c r="B9" s="128">
        <v>0</v>
      </c>
      <c r="C9" s="128">
        <v>0</v>
      </c>
      <c r="D9" s="129">
        <f>'Data Ocupacion'!D36</f>
        <v>0</v>
      </c>
      <c r="E9" s="129">
        <f>'Data Ocupacion'!E36</f>
        <v>0</v>
      </c>
      <c r="F9" s="128" t="s">
        <v>122</v>
      </c>
      <c r="G9" s="128">
        <f t="shared" si="0"/>
        <v>0</v>
      </c>
      <c r="H9" s="128">
        <f t="shared" si="1"/>
        <v>0</v>
      </c>
      <c r="I9" s="128">
        <f>G9*J$1</f>
        <v>0</v>
      </c>
      <c r="J9" s="156">
        <f>H9*J$1</f>
        <v>0</v>
      </c>
      <c r="K9" s="128">
        <f t="shared" si="2"/>
        <v>0</v>
      </c>
      <c r="L9" s="128">
        <f t="shared" si="3"/>
        <v>0</v>
      </c>
      <c r="M9" s="168"/>
      <c r="N9" s="19"/>
      <c r="O9" s="149"/>
      <c r="P9" s="196"/>
      <c r="Q9" s="196"/>
      <c r="R9" s="196"/>
      <c r="S9" s="196"/>
      <c r="T9" s="196"/>
      <c r="U9" s="188">
        <f t="shared" si="4"/>
        <v>0</v>
      </c>
    </row>
    <row r="10" spans="1:21" ht="15.75" customHeight="1" thickBot="1" x14ac:dyDescent="0.35">
      <c r="A10" s="277"/>
      <c r="B10" s="128">
        <v>1</v>
      </c>
      <c r="C10" s="128">
        <v>2</v>
      </c>
      <c r="D10" s="129">
        <f>'Data Ocupacion'!D37</f>
        <v>1</v>
      </c>
      <c r="E10" s="129">
        <f>'Data Ocupacion'!E37</f>
        <v>2</v>
      </c>
      <c r="F10" s="128" t="s">
        <v>35</v>
      </c>
      <c r="G10" s="128">
        <f t="shared" si="0"/>
        <v>5</v>
      </c>
      <c r="H10" s="128">
        <f t="shared" si="1"/>
        <v>3</v>
      </c>
      <c r="I10" s="128">
        <f>G10*J$1</f>
        <v>127</v>
      </c>
      <c r="J10" s="156">
        <f>H10*J$1</f>
        <v>76.199999999999989</v>
      </c>
      <c r="K10" s="128">
        <f t="shared" si="2"/>
        <v>13208</v>
      </c>
      <c r="L10" s="128">
        <f t="shared" si="3"/>
        <v>312</v>
      </c>
      <c r="M10" s="19"/>
      <c r="N10" s="19"/>
      <c r="O10" s="149"/>
      <c r="P10" s="196"/>
      <c r="Q10" s="196"/>
      <c r="R10" s="196"/>
      <c r="S10" s="196"/>
      <c r="T10" s="196"/>
      <c r="U10" s="188">
        <f>I10</f>
        <v>127</v>
      </c>
    </row>
    <row r="11" spans="1:21" ht="15" thickBot="1" x14ac:dyDescent="0.35">
      <c r="A11" s="20"/>
      <c r="B11" s="230">
        <f>SUM(B5:B10)</f>
        <v>72</v>
      </c>
      <c r="C11" s="230">
        <f>SUM(C5:C10)</f>
        <v>98</v>
      </c>
      <c r="D11" s="155">
        <f>SUM(D5:D10)</f>
        <v>70</v>
      </c>
      <c r="E11" s="155">
        <f>SUM(E5:E10)</f>
        <v>100</v>
      </c>
      <c r="F11" s="121"/>
      <c r="G11" s="121">
        <f t="shared" ref="G11:L11" si="5">SUM(G5:G10)</f>
        <v>270</v>
      </c>
      <c r="H11" s="121">
        <f t="shared" si="5"/>
        <v>170</v>
      </c>
      <c r="I11" s="121">
        <f t="shared" si="5"/>
        <v>11416.250000000002</v>
      </c>
      <c r="J11" s="121">
        <f t="shared" si="5"/>
        <v>7208.81</v>
      </c>
      <c r="K11" s="120">
        <f t="shared" si="5"/>
        <v>1187290</v>
      </c>
      <c r="L11" s="154">
        <f t="shared" si="5"/>
        <v>17680</v>
      </c>
      <c r="M11" s="126">
        <f>'Odometro-Kilometraje'!B81</f>
        <v>11811</v>
      </c>
      <c r="N11" s="21">
        <f>(U11/M11)*100</f>
        <v>95.875793751587508</v>
      </c>
      <c r="O11" s="199"/>
      <c r="P11" s="187"/>
      <c r="Q11" s="187"/>
      <c r="R11" s="187"/>
      <c r="S11" s="187"/>
      <c r="T11" s="187"/>
      <c r="U11" s="200">
        <f>SUM(U5:U10)</f>
        <v>11323.89</v>
      </c>
    </row>
    <row r="12" spans="1:21" x14ac:dyDescent="0.3">
      <c r="A12" s="62">
        <f>A5+1</f>
        <v>45567</v>
      </c>
      <c r="B12" s="128">
        <v>36</v>
      </c>
      <c r="C12" s="128">
        <v>47</v>
      </c>
      <c r="D12" s="129">
        <f>'Data Ocupacion'!F32</f>
        <v>36</v>
      </c>
      <c r="E12" s="129">
        <f>'Data Ocupacion'!G32</f>
        <v>47</v>
      </c>
      <c r="F12" s="128" t="s">
        <v>38</v>
      </c>
      <c r="G12" s="128">
        <f t="shared" ref="G12:G17" si="6">D12+E12*2</f>
        <v>130</v>
      </c>
      <c r="H12" s="128">
        <f t="shared" ref="H12:H17" si="7">D12+E12</f>
        <v>83</v>
      </c>
      <c r="I12" s="128">
        <f>G12*L$2</f>
        <v>5606.9000000000005</v>
      </c>
      <c r="J12" s="156">
        <f>H12*L$2</f>
        <v>3579.7900000000004</v>
      </c>
      <c r="K12" s="128">
        <f t="shared" ref="K12:K17" si="8">I12*104</f>
        <v>583117.60000000009</v>
      </c>
      <c r="L12" s="128">
        <f t="shared" ref="L12:L17" si="9">H12*104</f>
        <v>8632</v>
      </c>
      <c r="M12" s="19"/>
      <c r="N12" s="19"/>
      <c r="O12" s="149"/>
      <c r="P12" s="189">
        <v>3</v>
      </c>
      <c r="Q12" s="189"/>
      <c r="R12" s="216"/>
      <c r="S12" s="189"/>
      <c r="T12" s="198"/>
      <c r="U12" s="191">
        <f>I12-((P12*($L$2-$J$1)))-(S12*($J$1))</f>
        <v>5553.7100000000009</v>
      </c>
    </row>
    <row r="13" spans="1:21" ht="15" customHeight="1" x14ac:dyDescent="0.3">
      <c r="A13" s="277"/>
      <c r="B13" s="128">
        <v>35</v>
      </c>
      <c r="C13" s="128">
        <v>44</v>
      </c>
      <c r="D13" s="129">
        <f>'Data Ocupacion'!F33</f>
        <v>35</v>
      </c>
      <c r="E13" s="129">
        <f>'Data Ocupacion'!G33</f>
        <v>44</v>
      </c>
      <c r="F13" s="128" t="s">
        <v>52</v>
      </c>
      <c r="G13" s="128">
        <f t="shared" si="6"/>
        <v>123</v>
      </c>
      <c r="H13" s="128">
        <f t="shared" si="7"/>
        <v>79</v>
      </c>
      <c r="I13" s="128">
        <f>G13*L$2</f>
        <v>5304.9900000000007</v>
      </c>
      <c r="J13" s="156">
        <f>H13*L$2</f>
        <v>3407.27</v>
      </c>
      <c r="K13" s="128">
        <f t="shared" si="8"/>
        <v>551718.96000000008</v>
      </c>
      <c r="L13" s="128">
        <f t="shared" si="9"/>
        <v>8216</v>
      </c>
      <c r="M13" s="19"/>
      <c r="N13" s="19"/>
      <c r="O13" s="149"/>
      <c r="P13" s="193"/>
      <c r="Q13" s="193"/>
      <c r="R13" s="193"/>
      <c r="S13" s="189"/>
      <c r="T13" s="189"/>
      <c r="U13" s="191">
        <f>I13-(S13*($L$2-$J$1)+(T13*($L$2-$L$1)))</f>
        <v>5304.9900000000007</v>
      </c>
    </row>
    <row r="14" spans="1:21" ht="15.75" customHeight="1" x14ac:dyDescent="0.3">
      <c r="A14" s="277"/>
      <c r="B14" s="128">
        <v>0</v>
      </c>
      <c r="C14" s="128">
        <v>2</v>
      </c>
      <c r="D14" s="129">
        <f>'Data Ocupacion'!F34</f>
        <v>0</v>
      </c>
      <c r="E14" s="129">
        <f>'Data Ocupacion'!G34</f>
        <v>2</v>
      </c>
      <c r="F14" s="128" t="s">
        <v>36</v>
      </c>
      <c r="G14" s="128">
        <f t="shared" si="6"/>
        <v>4</v>
      </c>
      <c r="H14" s="128">
        <f t="shared" si="7"/>
        <v>2</v>
      </c>
      <c r="I14" s="128">
        <f>G14*L$1</f>
        <v>116.44</v>
      </c>
      <c r="J14" s="156">
        <f>H14*L$1</f>
        <v>58.22</v>
      </c>
      <c r="K14" s="128">
        <f t="shared" si="8"/>
        <v>12109.76</v>
      </c>
      <c r="L14" s="128">
        <f t="shared" si="9"/>
        <v>208</v>
      </c>
      <c r="M14" s="19"/>
      <c r="N14" s="19"/>
      <c r="O14" s="149"/>
      <c r="P14" s="192"/>
      <c r="Q14" s="194"/>
      <c r="R14" s="217"/>
      <c r="S14" s="195"/>
      <c r="T14" s="196"/>
      <c r="U14" s="188">
        <f>I14-(P14*($L$1-$J$1))</f>
        <v>116.44</v>
      </c>
    </row>
    <row r="15" spans="1:21" ht="15" customHeight="1" x14ac:dyDescent="0.3">
      <c r="A15" s="277"/>
      <c r="B15" s="128">
        <v>0</v>
      </c>
      <c r="C15" s="128">
        <v>3</v>
      </c>
      <c r="D15" s="129">
        <f>'Data Ocupacion'!F35</f>
        <v>0</v>
      </c>
      <c r="E15" s="129">
        <f>'Data Ocupacion'!G35</f>
        <v>3</v>
      </c>
      <c r="F15" s="128" t="s">
        <v>53</v>
      </c>
      <c r="G15" s="128">
        <f t="shared" si="6"/>
        <v>6</v>
      </c>
      <c r="H15" s="128">
        <f t="shared" si="7"/>
        <v>3</v>
      </c>
      <c r="I15" s="128">
        <f>G15*L$1</f>
        <v>174.66</v>
      </c>
      <c r="J15" s="156">
        <f>H15*L$1</f>
        <v>87.33</v>
      </c>
      <c r="K15" s="128">
        <f t="shared" si="8"/>
        <v>18164.64</v>
      </c>
      <c r="L15" s="128">
        <f t="shared" si="9"/>
        <v>312</v>
      </c>
      <c r="M15" s="168"/>
      <c r="N15" s="19"/>
      <c r="O15" s="149"/>
      <c r="P15" s="196"/>
      <c r="Q15" s="196"/>
      <c r="R15" s="196"/>
      <c r="S15" s="196"/>
      <c r="T15" s="196"/>
      <c r="U15" s="188">
        <f t="shared" ref="U15:U16" si="10">I15</f>
        <v>174.66</v>
      </c>
    </row>
    <row r="16" spans="1:21" s="127" customFormat="1" ht="15" customHeight="1" x14ac:dyDescent="0.3">
      <c r="A16" s="277"/>
      <c r="B16" s="128">
        <v>0</v>
      </c>
      <c r="C16" s="128">
        <v>0</v>
      </c>
      <c r="D16" s="129">
        <f>'Data Ocupacion'!F36</f>
        <v>0</v>
      </c>
      <c r="E16" s="129">
        <f>'Data Ocupacion'!G36</f>
        <v>0</v>
      </c>
      <c r="F16" s="128" t="s">
        <v>122</v>
      </c>
      <c r="G16" s="128">
        <f t="shared" si="6"/>
        <v>0</v>
      </c>
      <c r="H16" s="128">
        <f t="shared" si="7"/>
        <v>0</v>
      </c>
      <c r="I16" s="128">
        <f>G16*J$1</f>
        <v>0</v>
      </c>
      <c r="J16" s="156">
        <f>H16*J$1</f>
        <v>0</v>
      </c>
      <c r="K16" s="128">
        <f t="shared" si="8"/>
        <v>0</v>
      </c>
      <c r="L16" s="128">
        <f t="shared" si="9"/>
        <v>0</v>
      </c>
      <c r="M16" s="168"/>
      <c r="N16" s="19"/>
      <c r="O16" s="149"/>
      <c r="P16" s="196"/>
      <c r="Q16" s="196"/>
      <c r="R16" s="196"/>
      <c r="S16" s="196"/>
      <c r="T16" s="196"/>
      <c r="U16" s="188">
        <f t="shared" si="10"/>
        <v>0</v>
      </c>
    </row>
    <row r="17" spans="1:22" ht="15.75" customHeight="1" thickBot="1" x14ac:dyDescent="0.35">
      <c r="A17" s="277"/>
      <c r="B17" s="128">
        <v>1</v>
      </c>
      <c r="C17" s="128">
        <v>2</v>
      </c>
      <c r="D17" s="129">
        <f>'Data Ocupacion'!F37</f>
        <v>1</v>
      </c>
      <c r="E17" s="129">
        <f>'Data Ocupacion'!G37</f>
        <v>2</v>
      </c>
      <c r="F17" s="128" t="s">
        <v>35</v>
      </c>
      <c r="G17" s="128">
        <f t="shared" si="6"/>
        <v>5</v>
      </c>
      <c r="H17" s="128">
        <f t="shared" si="7"/>
        <v>3</v>
      </c>
      <c r="I17" s="128">
        <f>G17*J$1</f>
        <v>127</v>
      </c>
      <c r="J17" s="156">
        <f>H17*J$1</f>
        <v>76.199999999999989</v>
      </c>
      <c r="K17" s="128">
        <f t="shared" si="8"/>
        <v>13208</v>
      </c>
      <c r="L17" s="128">
        <f t="shared" si="9"/>
        <v>312</v>
      </c>
      <c r="M17" s="19"/>
      <c r="N17" s="19"/>
      <c r="O17" s="149"/>
      <c r="P17" s="196"/>
      <c r="Q17" s="196"/>
      <c r="R17" s="196"/>
      <c r="S17" s="196"/>
      <c r="T17" s="196"/>
      <c r="U17" s="188">
        <f>I17</f>
        <v>127</v>
      </c>
    </row>
    <row r="18" spans="1:22" ht="15" thickBot="1" x14ac:dyDescent="0.35">
      <c r="A18" s="20"/>
      <c r="B18" s="230">
        <f>SUM(B12:B17)</f>
        <v>72</v>
      </c>
      <c r="C18" s="230">
        <f>SUM(C12:C17)</f>
        <v>98</v>
      </c>
      <c r="D18" s="155">
        <f>SUM(D12:D17)</f>
        <v>72</v>
      </c>
      <c r="E18" s="155">
        <f>SUM(E12:E17)</f>
        <v>98</v>
      </c>
      <c r="F18" s="121"/>
      <c r="G18" s="121">
        <f t="shared" ref="G18:L18" si="11">SUM(G12:G17)</f>
        <v>268</v>
      </c>
      <c r="H18" s="121">
        <f t="shared" si="11"/>
        <v>170</v>
      </c>
      <c r="I18" s="121">
        <f t="shared" si="11"/>
        <v>11329.990000000002</v>
      </c>
      <c r="J18" s="121">
        <f t="shared" si="11"/>
        <v>7208.81</v>
      </c>
      <c r="K18" s="120">
        <f t="shared" si="11"/>
        <v>1178318.96</v>
      </c>
      <c r="L18" s="154">
        <f t="shared" si="11"/>
        <v>17680</v>
      </c>
      <c r="M18" s="126">
        <f>'Odometro-Kilometraje'!C81</f>
        <v>11745</v>
      </c>
      <c r="N18" s="21">
        <f>(U18/M18)*100</f>
        <v>96.013622818220526</v>
      </c>
      <c r="O18" s="199"/>
      <c r="P18" s="187"/>
      <c r="Q18" s="187"/>
      <c r="R18" s="187"/>
      <c r="S18" s="187"/>
      <c r="T18" s="187"/>
      <c r="U18" s="200">
        <f>SUM(U12:U17)</f>
        <v>11276.800000000001</v>
      </c>
    </row>
    <row r="19" spans="1:22" x14ac:dyDescent="0.3">
      <c r="A19" s="62">
        <f>A12+1</f>
        <v>45568</v>
      </c>
      <c r="B19" s="128">
        <v>36</v>
      </c>
      <c r="C19" s="128">
        <v>47</v>
      </c>
      <c r="D19" s="129">
        <f>'Data Ocupacion'!H32</f>
        <v>36</v>
      </c>
      <c r="E19" s="129">
        <f>'Data Ocupacion'!I32</f>
        <v>48</v>
      </c>
      <c r="F19" s="128" t="s">
        <v>38</v>
      </c>
      <c r="G19" s="128">
        <f t="shared" ref="G19:G24" si="12">D19+E19*2</f>
        <v>132</v>
      </c>
      <c r="H19" s="128">
        <f t="shared" ref="H19:H24" si="13">D19+E19</f>
        <v>84</v>
      </c>
      <c r="I19" s="128">
        <f>G19*L$2</f>
        <v>5693.1600000000008</v>
      </c>
      <c r="J19" s="156">
        <f>H19*L$2</f>
        <v>3622.92</v>
      </c>
      <c r="K19" s="128">
        <f t="shared" ref="K19:K24" si="14">I19*104</f>
        <v>592088.64000000013</v>
      </c>
      <c r="L19" s="128">
        <f t="shared" ref="L19:L24" si="15">H19*104</f>
        <v>8736</v>
      </c>
      <c r="M19" s="19"/>
      <c r="N19" s="19"/>
      <c r="O19" s="149"/>
      <c r="P19" s="189">
        <v>3</v>
      </c>
      <c r="Q19" s="189"/>
      <c r="R19" s="216"/>
      <c r="S19" s="210">
        <v>2</v>
      </c>
      <c r="T19" s="198"/>
      <c r="U19" s="191">
        <f>I19-((P19*($L$2-$J$1)))-(S19*($J$1))</f>
        <v>5589.170000000001</v>
      </c>
    </row>
    <row r="20" spans="1:22" ht="15.75" customHeight="1" x14ac:dyDescent="0.3">
      <c r="A20" s="277"/>
      <c r="B20" s="128">
        <v>35</v>
      </c>
      <c r="C20" s="128">
        <v>44</v>
      </c>
      <c r="D20" s="129">
        <f>'Data Ocupacion'!H33</f>
        <v>36</v>
      </c>
      <c r="E20" s="129">
        <f>'Data Ocupacion'!I33</f>
        <v>43</v>
      </c>
      <c r="F20" s="128" t="s">
        <v>52</v>
      </c>
      <c r="G20" s="128">
        <f t="shared" si="12"/>
        <v>122</v>
      </c>
      <c r="H20" s="128">
        <f t="shared" si="13"/>
        <v>79</v>
      </c>
      <c r="I20" s="128">
        <f>G20*L$2</f>
        <v>5261.8600000000006</v>
      </c>
      <c r="J20" s="156">
        <f>H20*L$2</f>
        <v>3407.27</v>
      </c>
      <c r="K20" s="128">
        <f t="shared" si="14"/>
        <v>547233.44000000006</v>
      </c>
      <c r="L20" s="128">
        <f t="shared" si="15"/>
        <v>8216</v>
      </c>
      <c r="M20" s="19"/>
      <c r="N20" s="19"/>
      <c r="O20" s="149"/>
      <c r="P20" s="193"/>
      <c r="Q20" s="193"/>
      <c r="R20" s="193"/>
      <c r="S20" s="189"/>
      <c r="T20" s="190"/>
      <c r="U20" s="191">
        <f>I20-(S20*($L$2-$J$1)+(T20*($L$2-$L$1)))</f>
        <v>5261.8600000000006</v>
      </c>
    </row>
    <row r="21" spans="1:22" ht="15" customHeight="1" x14ac:dyDescent="0.3">
      <c r="A21" s="277"/>
      <c r="B21" s="128">
        <v>0</v>
      </c>
      <c r="C21" s="128">
        <v>2</v>
      </c>
      <c r="D21" s="129">
        <f>'Data Ocupacion'!H34</f>
        <v>0</v>
      </c>
      <c r="E21" s="129">
        <f>'Data Ocupacion'!I34</f>
        <v>2</v>
      </c>
      <c r="F21" s="128" t="s">
        <v>36</v>
      </c>
      <c r="G21" s="128">
        <f t="shared" si="12"/>
        <v>4</v>
      </c>
      <c r="H21" s="128">
        <f t="shared" si="13"/>
        <v>2</v>
      </c>
      <c r="I21" s="128">
        <f>G21*L$1</f>
        <v>116.44</v>
      </c>
      <c r="J21" s="156">
        <f>H21*L$1</f>
        <v>58.22</v>
      </c>
      <c r="K21" s="128">
        <f t="shared" si="14"/>
        <v>12109.76</v>
      </c>
      <c r="L21" s="128">
        <f t="shared" si="15"/>
        <v>208</v>
      </c>
      <c r="M21" s="19"/>
      <c r="N21" s="19"/>
      <c r="O21" s="149"/>
      <c r="P21" s="192"/>
      <c r="Q21" s="194"/>
      <c r="R21" s="217"/>
      <c r="S21" s="195"/>
      <c r="T21" s="196"/>
      <c r="U21" s="188">
        <f>I21-(P21*($L$1-$J$1))</f>
        <v>116.44</v>
      </c>
    </row>
    <row r="22" spans="1:22" ht="15" customHeight="1" x14ac:dyDescent="0.3">
      <c r="A22" s="277"/>
      <c r="B22" s="128">
        <v>0</v>
      </c>
      <c r="C22" s="128">
        <v>3</v>
      </c>
      <c r="D22" s="129">
        <f>'Data Ocupacion'!H35</f>
        <v>0</v>
      </c>
      <c r="E22" s="129">
        <f>'Data Ocupacion'!I35</f>
        <v>3</v>
      </c>
      <c r="F22" s="128" t="s">
        <v>53</v>
      </c>
      <c r="G22" s="128">
        <f t="shared" si="12"/>
        <v>6</v>
      </c>
      <c r="H22" s="128">
        <f t="shared" si="13"/>
        <v>3</v>
      </c>
      <c r="I22" s="128">
        <f>G22*L$1</f>
        <v>174.66</v>
      </c>
      <c r="J22" s="156">
        <f>H22*L$1</f>
        <v>87.33</v>
      </c>
      <c r="K22" s="128">
        <f t="shared" si="14"/>
        <v>18164.64</v>
      </c>
      <c r="L22" s="128">
        <f t="shared" si="15"/>
        <v>312</v>
      </c>
      <c r="M22" s="19"/>
      <c r="N22" s="19"/>
      <c r="O22" s="149"/>
      <c r="P22" s="196"/>
      <c r="Q22" s="196"/>
      <c r="R22" s="196"/>
      <c r="S22" s="196"/>
      <c r="T22" s="196"/>
      <c r="U22" s="188">
        <f t="shared" ref="U22:U23" si="16">I22</f>
        <v>174.66</v>
      </c>
    </row>
    <row r="23" spans="1:22" s="127" customFormat="1" ht="15" customHeight="1" x14ac:dyDescent="0.3">
      <c r="A23" s="277"/>
      <c r="B23" s="128">
        <v>0</v>
      </c>
      <c r="C23" s="128">
        <v>0</v>
      </c>
      <c r="D23" s="129">
        <f>'Data Ocupacion'!H36</f>
        <v>0</v>
      </c>
      <c r="E23" s="129">
        <f>'Data Ocupacion'!I36</f>
        <v>0</v>
      </c>
      <c r="F23" s="128" t="s">
        <v>122</v>
      </c>
      <c r="G23" s="128">
        <f t="shared" si="12"/>
        <v>0</v>
      </c>
      <c r="H23" s="128">
        <f t="shared" si="13"/>
        <v>0</v>
      </c>
      <c r="I23" s="128">
        <f>G23*J$1</f>
        <v>0</v>
      </c>
      <c r="J23" s="156">
        <f>H23*J$1</f>
        <v>0</v>
      </c>
      <c r="K23" s="128">
        <f t="shared" si="14"/>
        <v>0</v>
      </c>
      <c r="L23" s="128">
        <f t="shared" si="15"/>
        <v>0</v>
      </c>
      <c r="M23" s="19"/>
      <c r="N23" s="19"/>
      <c r="O23" s="149"/>
      <c r="P23" s="196"/>
      <c r="Q23" s="196"/>
      <c r="R23" s="196"/>
      <c r="S23" s="196"/>
      <c r="T23" s="196"/>
      <c r="U23" s="188">
        <f t="shared" si="16"/>
        <v>0</v>
      </c>
    </row>
    <row r="24" spans="1:22" ht="13.5" customHeight="1" thickBot="1" x14ac:dyDescent="0.35">
      <c r="A24" s="277"/>
      <c r="B24" s="128">
        <v>1</v>
      </c>
      <c r="C24" s="128">
        <v>2</v>
      </c>
      <c r="D24" s="129">
        <f>'Data Ocupacion'!H37</f>
        <v>1</v>
      </c>
      <c r="E24" s="129">
        <f>'Data Ocupacion'!I37</f>
        <v>2</v>
      </c>
      <c r="F24" s="128" t="s">
        <v>35</v>
      </c>
      <c r="G24" s="128">
        <f t="shared" si="12"/>
        <v>5</v>
      </c>
      <c r="H24" s="128">
        <f t="shared" si="13"/>
        <v>3</v>
      </c>
      <c r="I24" s="128">
        <f>G24*J$1</f>
        <v>127</v>
      </c>
      <c r="J24" s="156">
        <f>H24*J$1</f>
        <v>76.199999999999989</v>
      </c>
      <c r="K24" s="128">
        <f t="shared" si="14"/>
        <v>13208</v>
      </c>
      <c r="L24" s="128">
        <f t="shared" si="15"/>
        <v>312</v>
      </c>
      <c r="M24" s="19"/>
      <c r="N24" s="19"/>
      <c r="O24" s="149"/>
      <c r="P24" s="196"/>
      <c r="Q24" s="196"/>
      <c r="R24" s="196"/>
      <c r="S24" s="196"/>
      <c r="T24" s="196"/>
      <c r="U24" s="188">
        <f>I24</f>
        <v>127</v>
      </c>
    </row>
    <row r="25" spans="1:22" ht="15.75" customHeight="1" thickBot="1" x14ac:dyDescent="0.35">
      <c r="A25" s="20"/>
      <c r="B25" s="230">
        <f>SUM(B19:B24)</f>
        <v>72</v>
      </c>
      <c r="C25" s="230">
        <f>SUM(C19:C24)</f>
        <v>98</v>
      </c>
      <c r="D25" s="155">
        <f>SUM(D19:D24)</f>
        <v>73</v>
      </c>
      <c r="E25" s="155">
        <f>SUM(E19:E24)</f>
        <v>98</v>
      </c>
      <c r="F25" s="121"/>
      <c r="G25" s="121">
        <f t="shared" ref="G25:L25" si="17">SUM(G19:G24)</f>
        <v>269</v>
      </c>
      <c r="H25" s="121">
        <f t="shared" si="17"/>
        <v>171</v>
      </c>
      <c r="I25" s="122">
        <f t="shared" si="17"/>
        <v>11373.12</v>
      </c>
      <c r="J25" s="121">
        <f t="shared" si="17"/>
        <v>7251.9400000000005</v>
      </c>
      <c r="K25" s="120">
        <f t="shared" si="17"/>
        <v>1182804.48</v>
      </c>
      <c r="L25" s="154">
        <f t="shared" si="17"/>
        <v>17784</v>
      </c>
      <c r="M25" s="186">
        <f>'Odometro-Kilometraje'!D81</f>
        <v>11781</v>
      </c>
      <c r="N25" s="21">
        <f>(U25/M25)*100</f>
        <v>95.655122655122682</v>
      </c>
      <c r="O25" s="199"/>
      <c r="P25" s="187"/>
      <c r="Q25" s="187"/>
      <c r="R25" s="187"/>
      <c r="S25" s="187"/>
      <c r="T25" s="187"/>
      <c r="U25" s="200">
        <f>SUM(U19:U24)</f>
        <v>11269.130000000003</v>
      </c>
    </row>
    <row r="26" spans="1:22" x14ac:dyDescent="0.3">
      <c r="A26" s="62">
        <f>A19+1</f>
        <v>45569</v>
      </c>
      <c r="B26" s="128">
        <v>36</v>
      </c>
      <c r="C26" s="128">
        <v>47</v>
      </c>
      <c r="D26" s="129">
        <f>'Data Ocupacion'!J32</f>
        <v>33</v>
      </c>
      <c r="E26" s="129">
        <f>'Data Ocupacion'!K32</f>
        <v>50</v>
      </c>
      <c r="F26" s="128" t="s">
        <v>38</v>
      </c>
      <c r="G26" s="236">
        <f t="shared" ref="G26:G31" si="18">D26+E26*2</f>
        <v>133</v>
      </c>
      <c r="H26" s="237">
        <f t="shared" ref="H26:H31" si="19">D26+E26</f>
        <v>83</v>
      </c>
      <c r="I26" s="128">
        <f>G26*L$2</f>
        <v>5736.29</v>
      </c>
      <c r="J26" s="156">
        <f>H26*L$2</f>
        <v>3579.7900000000004</v>
      </c>
      <c r="K26" s="128">
        <f t="shared" ref="K26:K31" si="20">I26*104</f>
        <v>596574.16</v>
      </c>
      <c r="L26" s="128">
        <f t="shared" ref="L26:L31" si="21">H26*104</f>
        <v>8632</v>
      </c>
      <c r="M26" s="19"/>
      <c r="N26" s="19"/>
      <c r="O26" s="149"/>
      <c r="P26" s="189">
        <v>2</v>
      </c>
      <c r="Q26" s="189"/>
      <c r="R26" s="216"/>
      <c r="S26" s="289">
        <v>3</v>
      </c>
      <c r="T26" s="198"/>
      <c r="U26" s="191">
        <f>I26-((P26*($L$2-$J$1)))-(S26*($J$1))</f>
        <v>5624.63</v>
      </c>
    </row>
    <row r="27" spans="1:22" ht="17.25" customHeight="1" x14ac:dyDescent="0.3">
      <c r="A27" s="277"/>
      <c r="B27" s="128">
        <v>35</v>
      </c>
      <c r="C27" s="128">
        <v>44</v>
      </c>
      <c r="D27" s="129">
        <f>'Data Ocupacion'!J33</f>
        <v>35</v>
      </c>
      <c r="E27" s="129">
        <f>'Data Ocupacion'!K33</f>
        <v>44</v>
      </c>
      <c r="F27" s="128" t="s">
        <v>52</v>
      </c>
      <c r="G27" s="236">
        <f t="shared" si="18"/>
        <v>123</v>
      </c>
      <c r="H27" s="128">
        <f t="shared" si="19"/>
        <v>79</v>
      </c>
      <c r="I27" s="128">
        <f>G27*L$2</f>
        <v>5304.9900000000007</v>
      </c>
      <c r="J27" s="156">
        <f>H27*L$2</f>
        <v>3407.27</v>
      </c>
      <c r="K27" s="128">
        <f t="shared" si="20"/>
        <v>551718.96000000008</v>
      </c>
      <c r="L27" s="128">
        <f t="shared" si="21"/>
        <v>8216</v>
      </c>
      <c r="M27" s="19"/>
      <c r="N27" s="19"/>
      <c r="O27" s="149"/>
      <c r="P27" s="193"/>
      <c r="Q27" s="193"/>
      <c r="R27" s="193"/>
      <c r="S27" s="189"/>
      <c r="T27" s="214"/>
      <c r="U27" s="191">
        <f>I27-(S27*($L$2-$J$1)+(T27*($L$2-$L$1)))</f>
        <v>5304.9900000000007</v>
      </c>
    </row>
    <row r="28" spans="1:22" ht="15" customHeight="1" x14ac:dyDescent="0.3">
      <c r="A28" s="277"/>
      <c r="B28" s="128">
        <v>0</v>
      </c>
      <c r="C28" s="128">
        <v>2</v>
      </c>
      <c r="D28" s="129">
        <f>'Data Ocupacion'!J34</f>
        <v>0</v>
      </c>
      <c r="E28" s="129">
        <f>'Data Ocupacion'!K34</f>
        <v>2</v>
      </c>
      <c r="F28" s="235" t="s">
        <v>36</v>
      </c>
      <c r="G28" s="236">
        <f t="shared" si="18"/>
        <v>4</v>
      </c>
      <c r="H28" s="128">
        <f t="shared" si="19"/>
        <v>2</v>
      </c>
      <c r="I28" s="128">
        <f>G28*L$1</f>
        <v>116.44</v>
      </c>
      <c r="J28" s="156">
        <f>H28*L$1</f>
        <v>58.22</v>
      </c>
      <c r="K28" s="128">
        <f t="shared" si="20"/>
        <v>12109.76</v>
      </c>
      <c r="L28" s="128">
        <f t="shared" si="21"/>
        <v>208</v>
      </c>
      <c r="M28" s="19"/>
      <c r="N28" s="19"/>
      <c r="O28" s="149"/>
      <c r="P28" s="192"/>
      <c r="Q28" s="194"/>
      <c r="R28" s="217"/>
      <c r="S28" s="195"/>
      <c r="T28" s="196"/>
      <c r="U28" s="188">
        <f>I28-(P28*($L$1-$J$1))</f>
        <v>116.44</v>
      </c>
    </row>
    <row r="29" spans="1:22" ht="15" customHeight="1" x14ac:dyDescent="0.3">
      <c r="A29" s="277"/>
      <c r="B29" s="128">
        <v>0</v>
      </c>
      <c r="C29" s="128">
        <v>3</v>
      </c>
      <c r="D29" s="129">
        <f>'Data Ocupacion'!J35</f>
        <v>0</v>
      </c>
      <c r="E29" s="129">
        <f>'Data Ocupacion'!K35</f>
        <v>3</v>
      </c>
      <c r="F29" s="235" t="s">
        <v>53</v>
      </c>
      <c r="G29" s="236">
        <f t="shared" si="18"/>
        <v>6</v>
      </c>
      <c r="H29" s="128">
        <f t="shared" si="19"/>
        <v>3</v>
      </c>
      <c r="I29" s="128">
        <f>G29*L$1</f>
        <v>174.66</v>
      </c>
      <c r="J29" s="156">
        <f>H29*L$1</f>
        <v>87.33</v>
      </c>
      <c r="K29" s="128">
        <f t="shared" si="20"/>
        <v>18164.64</v>
      </c>
      <c r="L29" s="128">
        <f t="shared" si="21"/>
        <v>312</v>
      </c>
      <c r="M29" s="19"/>
      <c r="N29" s="19"/>
      <c r="O29" s="149"/>
      <c r="P29" s="196"/>
      <c r="Q29" s="196"/>
      <c r="R29" s="196"/>
      <c r="S29" s="196"/>
      <c r="T29" s="196"/>
      <c r="U29" s="188">
        <f t="shared" ref="U29:U30" si="22">I29</f>
        <v>174.66</v>
      </c>
    </row>
    <row r="30" spans="1:22" s="127" customFormat="1" ht="15" customHeight="1" x14ac:dyDescent="0.3">
      <c r="A30" s="277"/>
      <c r="B30" s="128">
        <v>0</v>
      </c>
      <c r="C30" s="128">
        <v>0</v>
      </c>
      <c r="D30" s="129">
        <f>'Data Ocupacion'!J36</f>
        <v>0</v>
      </c>
      <c r="E30" s="129">
        <f>'Data Ocupacion'!K36</f>
        <v>0</v>
      </c>
      <c r="F30" s="128" t="s">
        <v>122</v>
      </c>
      <c r="G30" s="236">
        <f t="shared" si="18"/>
        <v>0</v>
      </c>
      <c r="H30" s="128">
        <f t="shared" si="19"/>
        <v>0</v>
      </c>
      <c r="I30" s="238">
        <f>G30*J$1</f>
        <v>0</v>
      </c>
      <c r="J30" s="156">
        <f>H30*J$1</f>
        <v>0</v>
      </c>
      <c r="K30" s="128">
        <f t="shared" si="20"/>
        <v>0</v>
      </c>
      <c r="L30" s="128">
        <f t="shared" si="21"/>
        <v>0</v>
      </c>
      <c r="M30" s="19"/>
      <c r="O30" s="149"/>
      <c r="P30" s="196"/>
      <c r="Q30" s="196"/>
      <c r="R30" s="196"/>
      <c r="S30" s="196"/>
      <c r="T30" s="196"/>
      <c r="U30" s="188">
        <f t="shared" si="22"/>
        <v>0</v>
      </c>
    </row>
    <row r="31" spans="1:22" ht="15.75" customHeight="1" thickBot="1" x14ac:dyDescent="0.35">
      <c r="A31" s="277"/>
      <c r="B31" s="128">
        <v>1</v>
      </c>
      <c r="C31" s="128">
        <v>2</v>
      </c>
      <c r="D31" s="129">
        <f>'Data Ocupacion'!J37</f>
        <v>1</v>
      </c>
      <c r="E31" s="129">
        <f>'Data Ocupacion'!K37</f>
        <v>2</v>
      </c>
      <c r="F31" s="128" t="s">
        <v>35</v>
      </c>
      <c r="G31" s="236">
        <f t="shared" si="18"/>
        <v>5</v>
      </c>
      <c r="H31" s="239">
        <f t="shared" si="19"/>
        <v>3</v>
      </c>
      <c r="I31" s="239">
        <f>G31*J$1</f>
        <v>127</v>
      </c>
      <c r="J31" s="156">
        <f>H31*J$1</f>
        <v>76.199999999999989</v>
      </c>
      <c r="K31" s="128">
        <f t="shared" si="20"/>
        <v>13208</v>
      </c>
      <c r="L31" s="128">
        <f t="shared" si="21"/>
        <v>312</v>
      </c>
      <c r="M31" s="19"/>
      <c r="O31" s="149"/>
      <c r="P31" s="196"/>
      <c r="Q31" s="196"/>
      <c r="R31" s="196"/>
      <c r="S31" s="196"/>
      <c r="T31" s="196"/>
      <c r="U31" s="188">
        <f>I31</f>
        <v>127</v>
      </c>
    </row>
    <row r="32" spans="1:22" ht="15" thickBot="1" x14ac:dyDescent="0.35">
      <c r="A32" s="20"/>
      <c r="B32" s="230">
        <f>SUM(B26:B31)</f>
        <v>72</v>
      </c>
      <c r="C32" s="230">
        <f>SUM(C26:C31)</f>
        <v>98</v>
      </c>
      <c r="D32" s="151">
        <f>SUM(D26:D31)</f>
        <v>69</v>
      </c>
      <c r="E32" s="151">
        <f>SUM(E26:E31)</f>
        <v>101</v>
      </c>
      <c r="F32" s="121"/>
      <c r="G32" s="121">
        <f t="shared" ref="G32:L32" si="23">SUM(G26:G31)</f>
        <v>271</v>
      </c>
      <c r="H32" s="121">
        <f t="shared" si="23"/>
        <v>170</v>
      </c>
      <c r="I32" s="122">
        <f t="shared" si="23"/>
        <v>11459.380000000001</v>
      </c>
      <c r="J32" s="121">
        <f t="shared" si="23"/>
        <v>7208.81</v>
      </c>
      <c r="K32" s="121">
        <f t="shared" si="23"/>
        <v>1191775.52</v>
      </c>
      <c r="L32" s="121">
        <f t="shared" si="23"/>
        <v>17680</v>
      </c>
      <c r="M32" s="126">
        <f>'Odometro-Kilometraje'!E81</f>
        <v>11884</v>
      </c>
      <c r="N32" s="21">
        <f>(U32/M32)*100</f>
        <v>95.487377987209697</v>
      </c>
      <c r="O32" s="199"/>
      <c r="P32" s="187"/>
      <c r="Q32" s="187"/>
      <c r="R32" s="187"/>
      <c r="S32" s="187"/>
      <c r="T32" s="187"/>
      <c r="U32" s="200">
        <f>SUM(U26:U31)</f>
        <v>11347.720000000001</v>
      </c>
      <c r="V32" s="127"/>
    </row>
    <row r="33" spans="1:30" x14ac:dyDescent="0.3">
      <c r="A33" s="62">
        <f>A26+1</f>
        <v>45570</v>
      </c>
      <c r="B33" s="285">
        <v>69</v>
      </c>
      <c r="C33" s="285">
        <v>3</v>
      </c>
      <c r="D33" s="286">
        <f>'Data Ocupacion'!L32</f>
        <v>69</v>
      </c>
      <c r="E33" s="286">
        <f>'Data Ocupacion'!M32</f>
        <v>3</v>
      </c>
      <c r="F33" s="285" t="s">
        <v>38</v>
      </c>
      <c r="G33" s="285">
        <f t="shared" ref="G33:G38" si="24">D33+E33*2</f>
        <v>75</v>
      </c>
      <c r="H33" s="285">
        <f t="shared" ref="H33:H38" si="25">D33+E33</f>
        <v>72</v>
      </c>
      <c r="I33" s="285">
        <f>G33*L$2</f>
        <v>3234.75</v>
      </c>
      <c r="J33" s="156">
        <f>H33*L$2</f>
        <v>3105.36</v>
      </c>
      <c r="K33" s="285">
        <f t="shared" ref="K33:K38" si="26">I33*104</f>
        <v>336414</v>
      </c>
      <c r="L33" s="285">
        <f t="shared" ref="L33:L38" si="27">H33*104</f>
        <v>7488</v>
      </c>
      <c r="M33" s="19"/>
      <c r="N33" s="19"/>
      <c r="O33" s="149"/>
      <c r="P33" s="189"/>
      <c r="Q33" s="193"/>
      <c r="R33" s="193"/>
      <c r="S33" s="256"/>
      <c r="T33" s="198"/>
      <c r="U33" s="191">
        <f>I33-((P33*($L$2-$J$1)))-(S33*($J$1))</f>
        <v>3234.75</v>
      </c>
    </row>
    <row r="34" spans="1:30" ht="15" customHeight="1" x14ac:dyDescent="0.3">
      <c r="A34" s="209"/>
      <c r="B34" s="285">
        <v>75</v>
      </c>
      <c r="C34" s="285">
        <v>0</v>
      </c>
      <c r="D34" s="286">
        <f>'Data Ocupacion'!L33</f>
        <v>74</v>
      </c>
      <c r="E34" s="286">
        <f>'Data Ocupacion'!M33</f>
        <v>1</v>
      </c>
      <c r="F34" s="285" t="s">
        <v>52</v>
      </c>
      <c r="G34" s="285">
        <f t="shared" si="24"/>
        <v>76</v>
      </c>
      <c r="H34" s="285">
        <f t="shared" si="25"/>
        <v>75</v>
      </c>
      <c r="I34" s="285">
        <f>G34*L$2</f>
        <v>3277.88</v>
      </c>
      <c r="J34" s="156">
        <f>H34*L$2</f>
        <v>3234.75</v>
      </c>
      <c r="K34" s="285">
        <f t="shared" si="26"/>
        <v>340899.52</v>
      </c>
      <c r="L34" s="285">
        <f t="shared" si="27"/>
        <v>7800</v>
      </c>
      <c r="M34" s="19"/>
      <c r="N34" s="19"/>
      <c r="O34" s="149"/>
      <c r="P34" s="193"/>
      <c r="Q34" s="193"/>
      <c r="R34" s="193"/>
      <c r="S34" s="256"/>
      <c r="T34" s="229"/>
      <c r="U34" s="191">
        <f>I34-(S34*($L$2-$J$1)+(T34*($L$2-$L$1)))</f>
        <v>3277.88</v>
      </c>
    </row>
    <row r="35" spans="1:30" ht="15" customHeight="1" x14ac:dyDescent="0.3">
      <c r="A35" s="209"/>
      <c r="B35" s="285">
        <v>0</v>
      </c>
      <c r="C35" s="285">
        <v>0</v>
      </c>
      <c r="D35" s="286">
        <f>'Data Ocupacion'!L34</f>
        <v>0</v>
      </c>
      <c r="E35" s="286">
        <f>'Data Ocupacion'!M34</f>
        <v>0</v>
      </c>
      <c r="F35" s="285" t="s">
        <v>36</v>
      </c>
      <c r="G35" s="285">
        <f t="shared" si="24"/>
        <v>0</v>
      </c>
      <c r="H35" s="285">
        <f t="shared" si="25"/>
        <v>0</v>
      </c>
      <c r="I35" s="285">
        <f>G35*L$1</f>
        <v>0</v>
      </c>
      <c r="J35" s="156">
        <f>H35*L$1</f>
        <v>0</v>
      </c>
      <c r="K35" s="285">
        <f t="shared" si="26"/>
        <v>0</v>
      </c>
      <c r="L35" s="285">
        <f t="shared" si="27"/>
        <v>0</v>
      </c>
      <c r="M35" s="19"/>
      <c r="N35" s="19"/>
      <c r="O35" s="149"/>
      <c r="P35" s="193"/>
      <c r="Q35" s="257"/>
      <c r="R35" s="217"/>
      <c r="S35" s="195"/>
      <c r="T35" s="196"/>
      <c r="U35" s="188">
        <f>I35-(P35*($L$1-$J$1))</f>
        <v>0</v>
      </c>
    </row>
    <row r="36" spans="1:30" ht="15" customHeight="1" x14ac:dyDescent="0.3">
      <c r="A36" s="209"/>
      <c r="B36" s="285">
        <v>0</v>
      </c>
      <c r="C36" s="285">
        <v>0</v>
      </c>
      <c r="D36" s="286">
        <f>'Data Ocupacion'!L35</f>
        <v>0</v>
      </c>
      <c r="E36" s="286">
        <f>'Data Ocupacion'!M35</f>
        <v>0</v>
      </c>
      <c r="F36" s="285" t="s">
        <v>53</v>
      </c>
      <c r="G36" s="285">
        <f t="shared" si="24"/>
        <v>0</v>
      </c>
      <c r="H36" s="285">
        <f t="shared" si="25"/>
        <v>0</v>
      </c>
      <c r="I36" s="285">
        <f>G36*L$1</f>
        <v>0</v>
      </c>
      <c r="J36" s="156">
        <f>H36*L$1</f>
        <v>0</v>
      </c>
      <c r="K36" s="285">
        <f t="shared" si="26"/>
        <v>0</v>
      </c>
      <c r="L36" s="285">
        <f t="shared" si="27"/>
        <v>0</v>
      </c>
      <c r="M36" s="19"/>
      <c r="N36" s="19"/>
      <c r="O36" s="149"/>
      <c r="P36" s="196"/>
      <c r="Q36" s="196"/>
      <c r="R36" s="196"/>
      <c r="S36" s="196"/>
      <c r="T36" s="196"/>
      <c r="U36" s="188">
        <f t="shared" ref="U36:U37" si="28">I36</f>
        <v>0</v>
      </c>
    </row>
    <row r="37" spans="1:30" s="127" customFormat="1" ht="15" customHeight="1" x14ac:dyDescent="0.3">
      <c r="A37" s="209"/>
      <c r="B37" s="285">
        <v>0</v>
      </c>
      <c r="C37" s="285">
        <v>0</v>
      </c>
      <c r="D37" s="286">
        <f>'Data Ocupacion'!L36</f>
        <v>0</v>
      </c>
      <c r="E37" s="286">
        <f>'Data Ocupacion'!M36</f>
        <v>0</v>
      </c>
      <c r="F37" s="285" t="s">
        <v>122</v>
      </c>
      <c r="G37" s="285">
        <f t="shared" si="24"/>
        <v>0</v>
      </c>
      <c r="H37" s="285">
        <f t="shared" si="25"/>
        <v>0</v>
      </c>
      <c r="I37" s="285">
        <f>G37*J$1</f>
        <v>0</v>
      </c>
      <c r="J37" s="156">
        <f>H37*J$1</f>
        <v>0</v>
      </c>
      <c r="K37" s="285">
        <f t="shared" si="26"/>
        <v>0</v>
      </c>
      <c r="L37" s="285">
        <f t="shared" si="27"/>
        <v>0</v>
      </c>
      <c r="M37" s="19"/>
      <c r="N37" s="19"/>
      <c r="O37" s="149"/>
      <c r="P37" s="196"/>
      <c r="Q37" s="196"/>
      <c r="R37" s="196"/>
      <c r="S37" s="196"/>
      <c r="T37" s="196"/>
      <c r="U37" s="188">
        <f t="shared" si="28"/>
        <v>0</v>
      </c>
    </row>
    <row r="38" spans="1:30" ht="15.75" customHeight="1" thickBot="1" x14ac:dyDescent="0.35">
      <c r="A38" s="209"/>
      <c r="B38" s="285">
        <v>0</v>
      </c>
      <c r="C38" s="285">
        <v>0</v>
      </c>
      <c r="D38" s="286">
        <f>'Data Ocupacion'!L37</f>
        <v>0</v>
      </c>
      <c r="E38" s="286">
        <f>'Data Ocupacion'!M37</f>
        <v>0</v>
      </c>
      <c r="F38" s="285" t="s">
        <v>35</v>
      </c>
      <c r="G38" s="285">
        <f t="shared" si="24"/>
        <v>0</v>
      </c>
      <c r="H38" s="285">
        <f t="shared" si="25"/>
        <v>0</v>
      </c>
      <c r="I38" s="285">
        <f>G38*J$1</f>
        <v>0</v>
      </c>
      <c r="J38" s="156">
        <f>H38*J$1</f>
        <v>0</v>
      </c>
      <c r="K38" s="285">
        <f t="shared" si="26"/>
        <v>0</v>
      </c>
      <c r="L38" s="285">
        <f t="shared" si="27"/>
        <v>0</v>
      </c>
      <c r="M38" s="19"/>
      <c r="N38" s="19"/>
      <c r="O38" s="149"/>
      <c r="P38" s="196"/>
      <c r="Q38" s="196"/>
      <c r="R38" s="196"/>
      <c r="S38" s="196"/>
      <c r="T38" s="196"/>
      <c r="U38" s="188">
        <f>I38</f>
        <v>0</v>
      </c>
    </row>
    <row r="39" spans="1:30" ht="15" thickBot="1" x14ac:dyDescent="0.35">
      <c r="A39" s="20"/>
      <c r="B39" s="230">
        <f>SUM(B33:B38)</f>
        <v>144</v>
      </c>
      <c r="C39" s="230">
        <f>SUM(C33:C38)</f>
        <v>3</v>
      </c>
      <c r="D39" s="155">
        <f>SUM(D33:D38)</f>
        <v>143</v>
      </c>
      <c r="E39" s="155">
        <f>SUM(E33:E38)</f>
        <v>4</v>
      </c>
      <c r="F39" s="121"/>
      <c r="G39" s="121">
        <f t="shared" ref="G39:L39" si="29">SUM(G33:G38)</f>
        <v>151</v>
      </c>
      <c r="H39" s="121">
        <f t="shared" si="29"/>
        <v>147</v>
      </c>
      <c r="I39" s="122">
        <f t="shared" si="29"/>
        <v>6512.63</v>
      </c>
      <c r="J39" s="121">
        <f t="shared" si="29"/>
        <v>6340.1100000000006</v>
      </c>
      <c r="K39" s="120">
        <f t="shared" si="29"/>
        <v>677313.52</v>
      </c>
      <c r="L39" s="154">
        <f t="shared" si="29"/>
        <v>15288</v>
      </c>
      <c r="M39" s="126">
        <f>'Odometro-Kilometraje'!F81</f>
        <v>6606</v>
      </c>
      <c r="N39" s="21">
        <f>(U39/M39)*100</f>
        <v>98.586587950348175</v>
      </c>
      <c r="O39" s="199"/>
      <c r="P39" s="187"/>
      <c r="Q39" s="187"/>
      <c r="R39" s="187"/>
      <c r="S39" s="187"/>
      <c r="T39" s="187"/>
      <c r="U39" s="200">
        <f>SUM(U33:U38)</f>
        <v>6512.63</v>
      </c>
    </row>
    <row r="40" spans="1:30" x14ac:dyDescent="0.3">
      <c r="A40" s="62">
        <f>A33+1</f>
        <v>45571</v>
      </c>
      <c r="B40" s="231">
        <v>51</v>
      </c>
      <c r="C40" s="231">
        <v>3</v>
      </c>
      <c r="D40" s="140">
        <f>'Data Ocupacion'!N32</f>
        <v>51</v>
      </c>
      <c r="E40" s="140">
        <f>'Data Ocupacion'!O32</f>
        <v>3</v>
      </c>
      <c r="F40" s="231" t="s">
        <v>38</v>
      </c>
      <c r="G40" s="294">
        <f t="shared" ref="G40:G45" si="30">D40+E40*2</f>
        <v>57</v>
      </c>
      <c r="H40" s="295">
        <f t="shared" ref="H40:H45" si="31">D40+E40</f>
        <v>54</v>
      </c>
      <c r="I40" s="295">
        <f>G40*L$2</f>
        <v>2458.4100000000003</v>
      </c>
      <c r="J40" s="156">
        <f>H40*L$2</f>
        <v>2329.02</v>
      </c>
      <c r="K40" s="231">
        <f t="shared" ref="K40:K45" si="32">I40*104</f>
        <v>255674.64000000004</v>
      </c>
      <c r="L40" s="231">
        <f t="shared" ref="L40:L45" si="33">H40*104</f>
        <v>5616</v>
      </c>
      <c r="M40" s="19"/>
      <c r="N40" s="19"/>
      <c r="O40" s="149"/>
      <c r="P40" s="210"/>
      <c r="Q40" s="189"/>
      <c r="R40" s="216"/>
      <c r="S40" s="216"/>
      <c r="T40" s="228"/>
      <c r="U40" s="191">
        <f>I40-((P40*($L$2-$J$1)))-(S40*($J$1))</f>
        <v>2458.4100000000003</v>
      </c>
    </row>
    <row r="41" spans="1:30" ht="15" customHeight="1" x14ac:dyDescent="0.3">
      <c r="A41" s="209"/>
      <c r="B41" s="231">
        <v>57</v>
      </c>
      <c r="C41" s="231">
        <v>0</v>
      </c>
      <c r="D41" s="140">
        <f>'Data Ocupacion'!N33</f>
        <v>57</v>
      </c>
      <c r="E41" s="140">
        <f>'Data Ocupacion'!O33</f>
        <v>0</v>
      </c>
      <c r="F41" s="231" t="s">
        <v>52</v>
      </c>
      <c r="G41" s="294">
        <f t="shared" si="30"/>
        <v>57</v>
      </c>
      <c r="H41" s="231">
        <f t="shared" si="31"/>
        <v>57</v>
      </c>
      <c r="I41" s="231">
        <f>G41*L$2</f>
        <v>2458.4100000000003</v>
      </c>
      <c r="J41" s="156">
        <f>H41*L$2</f>
        <v>2458.4100000000003</v>
      </c>
      <c r="K41" s="231">
        <f t="shared" si="32"/>
        <v>255674.64000000004</v>
      </c>
      <c r="L41" s="231">
        <f t="shared" si="33"/>
        <v>5928</v>
      </c>
      <c r="M41" s="19"/>
      <c r="N41" s="19"/>
      <c r="O41" s="149"/>
      <c r="P41" s="193"/>
      <c r="Q41" s="229"/>
      <c r="R41" s="193"/>
      <c r="S41" s="189"/>
      <c r="T41" s="214"/>
      <c r="U41" s="191">
        <f>I41-(S41*($L$2-$J$1)+(T41*($L$2-$L$1)))</f>
        <v>2458.4100000000003</v>
      </c>
    </row>
    <row r="42" spans="1:30" ht="15" customHeight="1" x14ac:dyDescent="0.3">
      <c r="A42" s="209"/>
      <c r="B42" s="231">
        <v>0</v>
      </c>
      <c r="C42" s="231">
        <v>0</v>
      </c>
      <c r="D42" s="140">
        <f>'Data Ocupacion'!N34</f>
        <v>0</v>
      </c>
      <c r="E42" s="140">
        <f>'Data Ocupacion'!O34</f>
        <v>0</v>
      </c>
      <c r="F42" s="231" t="s">
        <v>36</v>
      </c>
      <c r="G42" s="294">
        <f t="shared" si="30"/>
        <v>0</v>
      </c>
      <c r="H42" s="231">
        <f t="shared" si="31"/>
        <v>0</v>
      </c>
      <c r="I42" s="231">
        <f>G42*L$1</f>
        <v>0</v>
      </c>
      <c r="J42" s="156">
        <f>H42*L$1</f>
        <v>0</v>
      </c>
      <c r="K42" s="231">
        <f t="shared" si="32"/>
        <v>0</v>
      </c>
      <c r="L42" s="231">
        <f t="shared" si="33"/>
        <v>0</v>
      </c>
      <c r="M42" s="19"/>
      <c r="N42" s="19"/>
      <c r="O42" s="149"/>
      <c r="P42" s="192"/>
      <c r="Q42" s="194"/>
      <c r="R42" s="217"/>
      <c r="S42" s="195"/>
      <c r="T42" s="196"/>
      <c r="U42" s="188">
        <f>I42-(P42*($L$1-$J$1))</f>
        <v>0</v>
      </c>
      <c r="X42" s="279"/>
      <c r="Y42" s="279"/>
      <c r="Z42" s="279"/>
      <c r="AA42" s="279"/>
      <c r="AB42" s="279"/>
      <c r="AC42" s="279"/>
      <c r="AD42" s="279"/>
    </row>
    <row r="43" spans="1:30" x14ac:dyDescent="0.3">
      <c r="A43" s="209"/>
      <c r="B43" s="231">
        <v>0</v>
      </c>
      <c r="C43" s="231">
        <v>0</v>
      </c>
      <c r="D43" s="140">
        <f>'Data Ocupacion'!N35</f>
        <v>0</v>
      </c>
      <c r="E43" s="140">
        <f>'Data Ocupacion'!O35</f>
        <v>0</v>
      </c>
      <c r="F43" s="231" t="s">
        <v>53</v>
      </c>
      <c r="G43" s="294">
        <f t="shared" si="30"/>
        <v>0</v>
      </c>
      <c r="H43" s="231">
        <f t="shared" si="31"/>
        <v>0</v>
      </c>
      <c r="I43" s="231">
        <f>G43*L$1</f>
        <v>0</v>
      </c>
      <c r="J43" s="156">
        <f>H43*L$1</f>
        <v>0</v>
      </c>
      <c r="K43" s="231">
        <f t="shared" si="32"/>
        <v>0</v>
      </c>
      <c r="L43" s="231">
        <f t="shared" si="33"/>
        <v>0</v>
      </c>
      <c r="M43" s="168"/>
      <c r="N43" s="19"/>
      <c r="O43" s="149"/>
      <c r="P43" s="196"/>
      <c r="Q43" s="196"/>
      <c r="R43" s="196"/>
      <c r="S43" s="196"/>
      <c r="T43" s="196"/>
      <c r="U43" s="188">
        <f t="shared" ref="U43:U44" si="34">I43</f>
        <v>0</v>
      </c>
      <c r="X43" s="279"/>
      <c r="Y43" s="279"/>
      <c r="Z43" s="279"/>
      <c r="AA43" s="279"/>
      <c r="AB43" s="279"/>
      <c r="AC43" s="279"/>
      <c r="AD43" s="279"/>
    </row>
    <row r="44" spans="1:30" s="127" customFormat="1" x14ac:dyDescent="0.3">
      <c r="A44" s="209"/>
      <c r="B44" s="231">
        <v>0</v>
      </c>
      <c r="C44" s="231">
        <v>0</v>
      </c>
      <c r="D44" s="140">
        <f>'Data Ocupacion'!N36</f>
        <v>0</v>
      </c>
      <c r="E44" s="140">
        <f>'Data Ocupacion'!O36</f>
        <v>0</v>
      </c>
      <c r="F44" s="231" t="s">
        <v>122</v>
      </c>
      <c r="G44" s="294">
        <f t="shared" si="30"/>
        <v>0</v>
      </c>
      <c r="H44" s="231">
        <f t="shared" si="31"/>
        <v>0</v>
      </c>
      <c r="I44" s="296">
        <f>G44*J$1</f>
        <v>0</v>
      </c>
      <c r="J44" s="156">
        <f>H44*J$1</f>
        <v>0</v>
      </c>
      <c r="K44" s="231">
        <f t="shared" si="32"/>
        <v>0</v>
      </c>
      <c r="L44" s="231">
        <f t="shared" si="33"/>
        <v>0</v>
      </c>
      <c r="M44" s="168"/>
      <c r="N44" s="19"/>
      <c r="O44" s="149"/>
      <c r="P44" s="196"/>
      <c r="Q44" s="196"/>
      <c r="R44" s="196"/>
      <c r="S44" s="196"/>
      <c r="T44" s="196"/>
      <c r="U44" s="188">
        <f t="shared" si="34"/>
        <v>0</v>
      </c>
      <c r="X44" s="279"/>
      <c r="Y44" s="279"/>
      <c r="Z44" s="279"/>
      <c r="AA44" s="279"/>
      <c r="AB44" s="279"/>
      <c r="AC44" s="279"/>
      <c r="AD44" s="279"/>
    </row>
    <row r="45" spans="1:30" ht="15" thickBot="1" x14ac:dyDescent="0.35">
      <c r="A45" s="209"/>
      <c r="B45" s="231">
        <v>0</v>
      </c>
      <c r="C45" s="231">
        <v>0</v>
      </c>
      <c r="D45" s="140">
        <f>'Data Ocupacion'!N37</f>
        <v>0</v>
      </c>
      <c r="E45" s="140">
        <f>'Data Ocupacion'!O37</f>
        <v>0</v>
      </c>
      <c r="F45" s="231" t="s">
        <v>35</v>
      </c>
      <c r="G45" s="294">
        <f t="shared" si="30"/>
        <v>0</v>
      </c>
      <c r="H45" s="297">
        <f t="shared" si="31"/>
        <v>0</v>
      </c>
      <c r="I45" s="297">
        <f>G45*J$1</f>
        <v>0</v>
      </c>
      <c r="J45" s="156">
        <f>H45*J$1</f>
        <v>0</v>
      </c>
      <c r="K45" s="231">
        <f t="shared" si="32"/>
        <v>0</v>
      </c>
      <c r="L45" s="231">
        <f t="shared" si="33"/>
        <v>0</v>
      </c>
      <c r="M45" s="19"/>
      <c r="N45" s="19"/>
      <c r="O45" s="149"/>
      <c r="P45" s="196"/>
      <c r="Q45" s="196"/>
      <c r="R45" s="196"/>
      <c r="S45" s="196"/>
      <c r="T45" s="196"/>
      <c r="U45" s="188">
        <f>I45</f>
        <v>0</v>
      </c>
      <c r="X45" s="279"/>
      <c r="Y45" s="279"/>
      <c r="Z45" s="279"/>
      <c r="AA45" s="279"/>
      <c r="AB45" s="279"/>
      <c r="AC45" s="279"/>
      <c r="AD45" s="279"/>
    </row>
    <row r="46" spans="1:30" ht="15" thickBot="1" x14ac:dyDescent="0.35">
      <c r="A46" s="207"/>
      <c r="B46" s="230">
        <f>SUM(B40:B45)</f>
        <v>108</v>
      </c>
      <c r="C46" s="230">
        <f>SUM(C40:C45)</f>
        <v>3</v>
      </c>
      <c r="D46" s="151">
        <f>SUM(D40:D45)</f>
        <v>108</v>
      </c>
      <c r="E46" s="151">
        <f>SUM(E40:E45)</f>
        <v>3</v>
      </c>
      <c r="F46" s="121"/>
      <c r="G46" s="121">
        <f t="shared" ref="G46:L46" si="35">SUM(G40:G45)</f>
        <v>114</v>
      </c>
      <c r="H46" s="121">
        <f t="shared" si="35"/>
        <v>111</v>
      </c>
      <c r="I46" s="122">
        <f t="shared" si="35"/>
        <v>4916.8200000000006</v>
      </c>
      <c r="J46" s="121">
        <f t="shared" si="35"/>
        <v>4787.43</v>
      </c>
      <c r="K46" s="121">
        <f t="shared" si="35"/>
        <v>511349.28000000009</v>
      </c>
      <c r="L46" s="121">
        <f t="shared" si="35"/>
        <v>11544</v>
      </c>
      <c r="M46" s="126">
        <f>'Odometro-Kilometraje'!G81</f>
        <v>4952</v>
      </c>
      <c r="N46" s="21">
        <f>(U46/M46)*100</f>
        <v>99.289579967689832</v>
      </c>
      <c r="O46" s="199"/>
      <c r="P46" s="187"/>
      <c r="Q46" s="187"/>
      <c r="R46" s="187"/>
      <c r="S46" s="187"/>
      <c r="T46" s="187"/>
      <c r="U46" s="200">
        <f>SUM(U40:U45)</f>
        <v>4916.8200000000006</v>
      </c>
      <c r="X46" s="279"/>
      <c r="Y46" s="279"/>
      <c r="Z46" s="279"/>
      <c r="AA46" s="279"/>
      <c r="AB46" s="279"/>
      <c r="AC46" s="279"/>
      <c r="AD46" s="279"/>
    </row>
    <row r="47" spans="1:30" x14ac:dyDescent="0.3">
      <c r="A47" s="62">
        <f>A40+1</f>
        <v>45572</v>
      </c>
      <c r="B47" s="128">
        <v>36</v>
      </c>
      <c r="C47" s="128">
        <v>47</v>
      </c>
      <c r="D47" s="129">
        <f>'Data Ocupacion'!P32</f>
        <v>36</v>
      </c>
      <c r="E47" s="129">
        <f>'Data Ocupacion'!Q32</f>
        <v>47</v>
      </c>
      <c r="F47" s="128" t="s">
        <v>38</v>
      </c>
      <c r="G47" s="236">
        <f t="shared" ref="G47:G52" si="36">D47+E47*2</f>
        <v>130</v>
      </c>
      <c r="H47" s="237">
        <f t="shared" ref="H47:H52" si="37">D47+E47</f>
        <v>83</v>
      </c>
      <c r="I47" s="128">
        <f>G47*L$2</f>
        <v>5606.9000000000005</v>
      </c>
      <c r="J47" s="156">
        <f>H47*L$2</f>
        <v>3579.7900000000004</v>
      </c>
      <c r="K47" s="128">
        <f t="shared" ref="K47:K52" si="38">I47*104</f>
        <v>583117.60000000009</v>
      </c>
      <c r="L47" s="128">
        <f t="shared" ref="L47:L52" si="39">H47*104</f>
        <v>8632</v>
      </c>
      <c r="M47" s="19"/>
      <c r="N47" s="19"/>
      <c r="O47" s="149"/>
      <c r="P47" s="189"/>
      <c r="Q47" s="189"/>
      <c r="R47" s="216"/>
      <c r="S47" s="216">
        <v>1</v>
      </c>
      <c r="T47" s="198"/>
      <c r="U47" s="191">
        <f>I47-((P47*($L$2-$J$1)))-(S47*($J$1))</f>
        <v>5581.5000000000009</v>
      </c>
      <c r="X47" s="279"/>
      <c r="Y47" s="279"/>
      <c r="Z47" s="279"/>
      <c r="AA47" s="279"/>
      <c r="AB47" s="279"/>
      <c r="AC47" s="279"/>
      <c r="AD47" s="279"/>
    </row>
    <row r="48" spans="1:30" ht="15" customHeight="1" x14ac:dyDescent="0.3">
      <c r="A48" s="277"/>
      <c r="B48" s="128">
        <v>35</v>
      </c>
      <c r="C48" s="128">
        <v>44</v>
      </c>
      <c r="D48" s="129">
        <f>'Data Ocupacion'!P33</f>
        <v>35</v>
      </c>
      <c r="E48" s="129">
        <f>'Data Ocupacion'!Q33</f>
        <v>44</v>
      </c>
      <c r="F48" s="128" t="s">
        <v>52</v>
      </c>
      <c r="G48" s="236">
        <f t="shared" si="36"/>
        <v>123</v>
      </c>
      <c r="H48" s="128">
        <f t="shared" si="37"/>
        <v>79</v>
      </c>
      <c r="I48" s="128">
        <f>G48*L$2</f>
        <v>5304.9900000000007</v>
      </c>
      <c r="J48" s="156">
        <f>H48*L$2</f>
        <v>3407.27</v>
      </c>
      <c r="K48" s="128">
        <f t="shared" si="38"/>
        <v>551718.96000000008</v>
      </c>
      <c r="L48" s="128">
        <f t="shared" si="39"/>
        <v>8216</v>
      </c>
      <c r="M48" s="19"/>
      <c r="N48" s="19"/>
      <c r="O48" s="149"/>
      <c r="P48" s="193"/>
      <c r="Q48" s="193"/>
      <c r="R48" s="193"/>
      <c r="S48" s="216"/>
      <c r="T48" s="214"/>
      <c r="U48" s="191">
        <f>I48-(S48*($L$2-$J$1)+(T48*($L$2-$L$1)))</f>
        <v>5304.9900000000007</v>
      </c>
    </row>
    <row r="49" spans="1:63" ht="16.5" customHeight="1" x14ac:dyDescent="0.3">
      <c r="A49" s="277"/>
      <c r="B49" s="128">
        <v>0</v>
      </c>
      <c r="C49" s="128">
        <v>2</v>
      </c>
      <c r="D49" s="129">
        <f>'Data Ocupacion'!P34</f>
        <v>0</v>
      </c>
      <c r="E49" s="129">
        <f>'Data Ocupacion'!Q34</f>
        <v>2</v>
      </c>
      <c r="F49" s="235" t="s">
        <v>36</v>
      </c>
      <c r="G49" s="236">
        <f t="shared" si="36"/>
        <v>4</v>
      </c>
      <c r="H49" s="128">
        <f t="shared" si="37"/>
        <v>2</v>
      </c>
      <c r="I49" s="128">
        <f>G49*L$1</f>
        <v>116.44</v>
      </c>
      <c r="J49" s="156">
        <f>H49*L$1</f>
        <v>58.22</v>
      </c>
      <c r="K49" s="128">
        <f t="shared" si="38"/>
        <v>12109.76</v>
      </c>
      <c r="L49" s="128">
        <f t="shared" si="39"/>
        <v>208</v>
      </c>
      <c r="M49" s="19"/>
      <c r="N49" s="19"/>
      <c r="O49" s="149"/>
      <c r="P49" s="193"/>
      <c r="Q49" s="194"/>
      <c r="R49" s="217"/>
      <c r="S49" s="195"/>
      <c r="T49" s="196"/>
      <c r="U49" s="188">
        <f>I49-(P49*($L$1-$J$1))</f>
        <v>116.44</v>
      </c>
    </row>
    <row r="50" spans="1:63" x14ac:dyDescent="0.3">
      <c r="A50" s="277"/>
      <c r="B50" s="128">
        <v>0</v>
      </c>
      <c r="C50" s="128">
        <v>3</v>
      </c>
      <c r="D50" s="129">
        <f>'Data Ocupacion'!P35</f>
        <v>0</v>
      </c>
      <c r="E50" s="129">
        <f>'Data Ocupacion'!Q35</f>
        <v>3</v>
      </c>
      <c r="F50" s="235" t="s">
        <v>53</v>
      </c>
      <c r="G50" s="236">
        <f t="shared" si="36"/>
        <v>6</v>
      </c>
      <c r="H50" s="128">
        <f t="shared" si="37"/>
        <v>3</v>
      </c>
      <c r="I50" s="128">
        <f>G50*L$1</f>
        <v>174.66</v>
      </c>
      <c r="J50" s="156">
        <f>H50*L$1</f>
        <v>87.33</v>
      </c>
      <c r="K50" s="128">
        <f t="shared" si="38"/>
        <v>18164.64</v>
      </c>
      <c r="L50" s="128">
        <f t="shared" si="39"/>
        <v>312</v>
      </c>
      <c r="M50" s="19"/>
      <c r="N50" s="19"/>
      <c r="O50" s="149"/>
      <c r="P50" s="196"/>
      <c r="Q50" s="196"/>
      <c r="R50" s="196"/>
      <c r="S50" s="196"/>
      <c r="T50" s="196"/>
      <c r="U50" s="188">
        <f t="shared" ref="U50:U51" si="40">I50</f>
        <v>174.66</v>
      </c>
    </row>
    <row r="51" spans="1:63" s="127" customFormat="1" x14ac:dyDescent="0.3">
      <c r="A51" s="277"/>
      <c r="B51" s="128">
        <v>0</v>
      </c>
      <c r="C51" s="128">
        <v>0</v>
      </c>
      <c r="D51" s="129">
        <f>'Data Ocupacion'!P36</f>
        <v>0</v>
      </c>
      <c r="E51" s="129">
        <f>'Data Ocupacion'!Q36</f>
        <v>0</v>
      </c>
      <c r="F51" s="128" t="s">
        <v>122</v>
      </c>
      <c r="G51" s="236">
        <f t="shared" si="36"/>
        <v>0</v>
      </c>
      <c r="H51" s="128">
        <f t="shared" si="37"/>
        <v>0</v>
      </c>
      <c r="I51" s="238">
        <f>G51*J$1</f>
        <v>0</v>
      </c>
      <c r="J51" s="156">
        <f>H51*J$1</f>
        <v>0</v>
      </c>
      <c r="K51" s="128">
        <f t="shared" si="38"/>
        <v>0</v>
      </c>
      <c r="L51" s="128">
        <f t="shared" si="39"/>
        <v>0</v>
      </c>
      <c r="M51" s="19"/>
      <c r="N51" s="19"/>
      <c r="O51" s="149"/>
      <c r="P51" s="196"/>
      <c r="Q51" s="196"/>
      <c r="R51" s="196"/>
      <c r="S51" s="196"/>
      <c r="T51" s="196"/>
      <c r="U51" s="188">
        <f t="shared" si="40"/>
        <v>0</v>
      </c>
    </row>
    <row r="52" spans="1:63" ht="15" thickBot="1" x14ac:dyDescent="0.35">
      <c r="A52" s="277"/>
      <c r="B52" s="128">
        <v>1</v>
      </c>
      <c r="C52" s="128">
        <v>2</v>
      </c>
      <c r="D52" s="129">
        <f>'Data Ocupacion'!P37</f>
        <v>1</v>
      </c>
      <c r="E52" s="129">
        <f>'Data Ocupacion'!Q37</f>
        <v>2</v>
      </c>
      <c r="F52" s="128" t="s">
        <v>35</v>
      </c>
      <c r="G52" s="236">
        <f t="shared" si="36"/>
        <v>5</v>
      </c>
      <c r="H52" s="239">
        <f t="shared" si="37"/>
        <v>3</v>
      </c>
      <c r="I52" s="239">
        <f>G52*J$1</f>
        <v>127</v>
      </c>
      <c r="J52" s="156">
        <f>H52*J$1</f>
        <v>76.199999999999989</v>
      </c>
      <c r="K52" s="128">
        <f t="shared" si="38"/>
        <v>13208</v>
      </c>
      <c r="L52" s="128">
        <f t="shared" si="39"/>
        <v>312</v>
      </c>
      <c r="M52" s="19"/>
      <c r="N52" s="19"/>
      <c r="O52" s="149"/>
      <c r="P52" s="196"/>
      <c r="Q52" s="196"/>
      <c r="R52" s="196"/>
      <c r="S52" s="196"/>
      <c r="T52" s="196"/>
      <c r="U52" s="188">
        <f>I52</f>
        <v>127</v>
      </c>
    </row>
    <row r="53" spans="1:63" ht="18" customHeight="1" thickBot="1" x14ac:dyDescent="0.35">
      <c r="A53" s="20"/>
      <c r="B53" s="230">
        <f>SUM(B47:B52)</f>
        <v>72</v>
      </c>
      <c r="C53" s="230">
        <f>SUM(C47:C52)</f>
        <v>98</v>
      </c>
      <c r="D53" s="151">
        <f>SUM(D47:D52)</f>
        <v>72</v>
      </c>
      <c r="E53" s="151">
        <f>SUM(E47:E52)</f>
        <v>98</v>
      </c>
      <c r="F53" s="121"/>
      <c r="G53" s="121">
        <f t="shared" ref="G53:L53" si="41">SUM(G47:G52)</f>
        <v>268</v>
      </c>
      <c r="H53" s="121">
        <f t="shared" si="41"/>
        <v>170</v>
      </c>
      <c r="I53" s="122">
        <f t="shared" si="41"/>
        <v>11329.990000000002</v>
      </c>
      <c r="J53" s="121">
        <f t="shared" si="41"/>
        <v>7208.81</v>
      </c>
      <c r="K53" s="121">
        <f t="shared" si="41"/>
        <v>1178318.96</v>
      </c>
      <c r="L53" s="121">
        <f t="shared" si="41"/>
        <v>17680</v>
      </c>
      <c r="M53" s="126">
        <f>'Odometro-Kilometraje'!H81</f>
        <v>11786</v>
      </c>
      <c r="N53" s="21">
        <f>(U53/M53)*100</f>
        <v>95.915408111318527</v>
      </c>
      <c r="O53" s="199"/>
      <c r="P53" s="187"/>
      <c r="Q53" s="187"/>
      <c r="R53" s="187"/>
      <c r="S53" s="187"/>
      <c r="T53" s="187"/>
      <c r="U53" s="200">
        <f>SUM(U47:U52)</f>
        <v>11304.590000000002</v>
      </c>
    </row>
    <row r="54" spans="1:63" x14ac:dyDescent="0.3">
      <c r="A54" s="62">
        <f>A47+1</f>
        <v>45573</v>
      </c>
      <c r="B54" s="128">
        <v>36</v>
      </c>
      <c r="C54" s="128">
        <v>47</v>
      </c>
      <c r="D54" s="129">
        <f>'Data Ocupacion'!R32</f>
        <v>36</v>
      </c>
      <c r="E54" s="129">
        <f>'Data Ocupacion'!S32</f>
        <v>47</v>
      </c>
      <c r="F54" s="128" t="s">
        <v>38</v>
      </c>
      <c r="G54" s="236">
        <f t="shared" ref="G54:G59" si="42">D54+E54*2</f>
        <v>130</v>
      </c>
      <c r="H54" s="237">
        <f t="shared" ref="H54:H59" si="43">D54+E54</f>
        <v>83</v>
      </c>
      <c r="I54" s="128">
        <f>G54*L2</f>
        <v>5606.9000000000005</v>
      </c>
      <c r="J54" s="156">
        <f>H54*L$2</f>
        <v>3579.7900000000004</v>
      </c>
      <c r="K54" s="128">
        <f t="shared" ref="K54:K59" si="44">I54*104</f>
        <v>583117.60000000009</v>
      </c>
      <c r="L54" s="128">
        <f t="shared" ref="L54:L59" si="45">H54*104</f>
        <v>8632</v>
      </c>
      <c r="M54" s="19"/>
      <c r="N54" s="19"/>
      <c r="O54" s="149"/>
      <c r="P54" s="263"/>
      <c r="Q54" s="189"/>
      <c r="R54" s="216"/>
      <c r="S54" s="263">
        <v>1</v>
      </c>
      <c r="T54" s="198"/>
      <c r="U54" s="191">
        <f>I54-((P54*($L$2-$J$1)))-(S54*($J$1))</f>
        <v>5581.5000000000009</v>
      </c>
    </row>
    <row r="55" spans="1:63" ht="15" customHeight="1" x14ac:dyDescent="0.3">
      <c r="A55" s="209"/>
      <c r="B55" s="128">
        <v>35</v>
      </c>
      <c r="C55" s="128">
        <v>44</v>
      </c>
      <c r="D55" s="129">
        <f>'Data Ocupacion'!R33</f>
        <v>35</v>
      </c>
      <c r="E55" s="129">
        <f>'Data Ocupacion'!S33</f>
        <v>44</v>
      </c>
      <c r="F55" s="128" t="s">
        <v>52</v>
      </c>
      <c r="G55" s="236">
        <f t="shared" si="42"/>
        <v>123</v>
      </c>
      <c r="H55" s="128">
        <f t="shared" si="43"/>
        <v>79</v>
      </c>
      <c r="I55" s="128">
        <f>G55*L2</f>
        <v>5304.9900000000007</v>
      </c>
      <c r="J55" s="156">
        <f>H55*L$2</f>
        <v>3407.27</v>
      </c>
      <c r="K55" s="128">
        <f t="shared" si="44"/>
        <v>551718.96000000008</v>
      </c>
      <c r="L55" s="128">
        <f t="shared" si="45"/>
        <v>8216</v>
      </c>
      <c r="M55" s="19"/>
      <c r="N55" s="19"/>
      <c r="O55" s="149"/>
      <c r="P55" s="193"/>
      <c r="Q55" s="193"/>
      <c r="R55" s="193"/>
      <c r="S55" s="189"/>
      <c r="T55" s="190"/>
      <c r="U55" s="191">
        <f>I55-(S55*($L$2-$J$1)+(T55*($L$2-$L$1)))</f>
        <v>5304.9900000000007</v>
      </c>
    </row>
    <row r="56" spans="1:63" ht="15" customHeight="1" x14ac:dyDescent="0.3">
      <c r="A56" s="209"/>
      <c r="B56" s="128">
        <v>0</v>
      </c>
      <c r="C56" s="128">
        <v>2</v>
      </c>
      <c r="D56" s="129">
        <f>'Data Ocupacion'!R34</f>
        <v>0</v>
      </c>
      <c r="E56" s="129">
        <f>'Data Ocupacion'!S34</f>
        <v>2</v>
      </c>
      <c r="F56" s="235" t="s">
        <v>36</v>
      </c>
      <c r="G56" s="236">
        <f t="shared" si="42"/>
        <v>4</v>
      </c>
      <c r="H56" s="128">
        <f t="shared" si="43"/>
        <v>2</v>
      </c>
      <c r="I56" s="128">
        <f>G56*L$1</f>
        <v>116.44</v>
      </c>
      <c r="J56" s="156">
        <f>H56*L$1</f>
        <v>58.22</v>
      </c>
      <c r="K56" s="128">
        <f t="shared" si="44"/>
        <v>12109.76</v>
      </c>
      <c r="L56" s="128">
        <f t="shared" si="45"/>
        <v>208</v>
      </c>
      <c r="M56" s="19"/>
      <c r="N56" s="19"/>
      <c r="O56" s="149"/>
      <c r="P56" s="192"/>
      <c r="Q56" s="194"/>
      <c r="R56" s="217"/>
      <c r="S56" s="195"/>
      <c r="T56" s="196"/>
      <c r="U56" s="188">
        <f>I56-(P56*($L$1-$J$1))</f>
        <v>116.44</v>
      </c>
    </row>
    <row r="57" spans="1:63" x14ac:dyDescent="0.3">
      <c r="A57" s="209"/>
      <c r="B57" s="128">
        <v>0</v>
      </c>
      <c r="C57" s="128">
        <v>3</v>
      </c>
      <c r="D57" s="129">
        <f>'Data Ocupacion'!R35</f>
        <v>0</v>
      </c>
      <c r="E57" s="129">
        <f>'Data Ocupacion'!S35</f>
        <v>3</v>
      </c>
      <c r="F57" s="235" t="s">
        <v>53</v>
      </c>
      <c r="G57" s="236">
        <f t="shared" si="42"/>
        <v>6</v>
      </c>
      <c r="H57" s="128">
        <f t="shared" si="43"/>
        <v>3</v>
      </c>
      <c r="I57" s="128">
        <f>G57*L$1</f>
        <v>174.66</v>
      </c>
      <c r="J57" s="156">
        <f>H57*L$1</f>
        <v>87.33</v>
      </c>
      <c r="K57" s="128">
        <f t="shared" si="44"/>
        <v>18164.64</v>
      </c>
      <c r="L57" s="128">
        <f t="shared" si="45"/>
        <v>312</v>
      </c>
      <c r="M57" s="19"/>
      <c r="N57" s="19"/>
      <c r="O57" s="149"/>
      <c r="P57" s="196"/>
      <c r="Q57" s="196"/>
      <c r="R57" s="196"/>
      <c r="S57" s="196"/>
      <c r="T57" s="196"/>
      <c r="U57" s="188">
        <f t="shared" ref="U57:U58" si="46">I57</f>
        <v>174.66</v>
      </c>
      <c r="BK57" t="s">
        <v>120</v>
      </c>
    </row>
    <row r="58" spans="1:63" s="127" customFormat="1" ht="15" customHeight="1" x14ac:dyDescent="0.3">
      <c r="A58" s="209"/>
      <c r="B58" s="128">
        <v>0</v>
      </c>
      <c r="C58" s="128">
        <v>0</v>
      </c>
      <c r="D58" s="129">
        <f>'Data Ocupacion'!R36</f>
        <v>0</v>
      </c>
      <c r="E58" s="129">
        <f>'Data Ocupacion'!S36</f>
        <v>0</v>
      </c>
      <c r="F58" s="128" t="s">
        <v>122</v>
      </c>
      <c r="G58" s="236">
        <f t="shared" si="42"/>
        <v>0</v>
      </c>
      <c r="H58" s="128">
        <f t="shared" si="43"/>
        <v>0</v>
      </c>
      <c r="I58" s="238">
        <f>G58*T$1</f>
        <v>0</v>
      </c>
      <c r="J58" s="156">
        <f>H58*T$1</f>
        <v>0</v>
      </c>
      <c r="K58" s="128">
        <f t="shared" si="44"/>
        <v>0</v>
      </c>
      <c r="L58" s="128">
        <f t="shared" si="45"/>
        <v>0</v>
      </c>
      <c r="M58" s="19"/>
      <c r="N58" s="19"/>
      <c r="O58" s="149"/>
      <c r="P58" s="196"/>
      <c r="Q58" s="196"/>
      <c r="R58" s="196"/>
      <c r="S58" s="196"/>
      <c r="T58" s="196"/>
      <c r="U58" s="188">
        <f t="shared" si="46"/>
        <v>0</v>
      </c>
    </row>
    <row r="59" spans="1:63" ht="15" thickBot="1" x14ac:dyDescent="0.35">
      <c r="A59" s="209"/>
      <c r="B59" s="128">
        <v>1</v>
      </c>
      <c r="C59" s="128">
        <v>2</v>
      </c>
      <c r="D59" s="129">
        <f>'Data Ocupacion'!R37</f>
        <v>1</v>
      </c>
      <c r="E59" s="129">
        <f>'Data Ocupacion'!S37</f>
        <v>2</v>
      </c>
      <c r="F59" s="128" t="s">
        <v>35</v>
      </c>
      <c r="G59" s="236">
        <f t="shared" si="42"/>
        <v>5</v>
      </c>
      <c r="H59" s="239">
        <f t="shared" si="43"/>
        <v>3</v>
      </c>
      <c r="I59" s="239">
        <f>G59*J$1</f>
        <v>127</v>
      </c>
      <c r="J59" s="156">
        <f>H59*J$1</f>
        <v>76.199999999999989</v>
      </c>
      <c r="K59" s="128">
        <f t="shared" si="44"/>
        <v>13208</v>
      </c>
      <c r="L59" s="128">
        <f t="shared" si="45"/>
        <v>312</v>
      </c>
      <c r="M59" s="19"/>
      <c r="N59" s="19"/>
      <c r="O59" s="149"/>
      <c r="P59" s="196"/>
      <c r="Q59" s="196"/>
      <c r="R59" s="196"/>
      <c r="S59" s="196"/>
      <c r="T59" s="196"/>
      <c r="U59" s="188">
        <f>I59</f>
        <v>127</v>
      </c>
    </row>
    <row r="60" spans="1:63" ht="15" thickBot="1" x14ac:dyDescent="0.35">
      <c r="A60" s="20"/>
      <c r="B60" s="230">
        <f>SUM(B54:B59)</f>
        <v>72</v>
      </c>
      <c r="C60" s="230">
        <f>SUM(C54:C59)</f>
        <v>98</v>
      </c>
      <c r="D60" s="151">
        <f>SUM(D54:D59)</f>
        <v>72</v>
      </c>
      <c r="E60" s="151">
        <f>SUM(E54:E59)</f>
        <v>98</v>
      </c>
      <c r="F60" s="121"/>
      <c r="G60" s="121">
        <f t="shared" ref="G60:L60" si="47">SUM(G54:G59)</f>
        <v>268</v>
      </c>
      <c r="H60" s="121">
        <f t="shared" si="47"/>
        <v>170</v>
      </c>
      <c r="I60" s="122">
        <f t="shared" si="47"/>
        <v>11329.990000000002</v>
      </c>
      <c r="J60" s="121">
        <f t="shared" si="47"/>
        <v>7208.81</v>
      </c>
      <c r="K60" s="121">
        <f t="shared" si="47"/>
        <v>1178318.96</v>
      </c>
      <c r="L60" s="121">
        <f t="shared" si="47"/>
        <v>17680</v>
      </c>
      <c r="M60" s="126">
        <f>'Odometro-Kilometraje'!I81</f>
        <v>11731</v>
      </c>
      <c r="N60" s="21">
        <f>(U60/M60)*100</f>
        <v>96.365101014406292</v>
      </c>
      <c r="O60" s="199"/>
      <c r="P60" s="187"/>
      <c r="Q60" s="187"/>
      <c r="R60" s="187"/>
      <c r="S60" s="187"/>
      <c r="T60" s="187"/>
      <c r="U60" s="200">
        <f>SUM(U54:U59)</f>
        <v>11304.590000000002</v>
      </c>
    </row>
    <row r="61" spans="1:63" x14ac:dyDescent="0.3">
      <c r="A61" s="62">
        <f>A54+1</f>
        <v>45574</v>
      </c>
      <c r="B61" s="128">
        <v>36</v>
      </c>
      <c r="C61" s="128">
        <v>47</v>
      </c>
      <c r="D61" s="129">
        <f>'Data Ocupacion'!T32</f>
        <v>36</v>
      </c>
      <c r="E61" s="129">
        <f>'Data Ocupacion'!U32</f>
        <v>47</v>
      </c>
      <c r="F61" s="128" t="s">
        <v>38</v>
      </c>
      <c r="G61" s="236">
        <f t="shared" ref="G61:G62" si="48">D61+E61*2</f>
        <v>130</v>
      </c>
      <c r="H61" s="237">
        <f t="shared" ref="H61:H62" si="49">D61+E61</f>
        <v>83</v>
      </c>
      <c r="I61" s="237">
        <f>G61*L$2</f>
        <v>5606.9000000000005</v>
      </c>
      <c r="J61" s="156">
        <f>H61*L$2</f>
        <v>3579.7900000000004</v>
      </c>
      <c r="K61" s="128">
        <f>I61*104</f>
        <v>583117.60000000009</v>
      </c>
      <c r="L61" s="128">
        <f t="shared" ref="L61:L66" si="50">H61*104</f>
        <v>8632</v>
      </c>
      <c r="M61" s="19"/>
      <c r="N61" s="19"/>
      <c r="O61" s="149"/>
      <c r="P61" s="189"/>
      <c r="Q61" s="189"/>
      <c r="R61" s="216"/>
      <c r="S61" s="289">
        <v>1</v>
      </c>
      <c r="T61" s="198"/>
      <c r="U61" s="191">
        <f>I61-((P61*($L$2-$J$1)))-(S61*($J$1))</f>
        <v>5581.5000000000009</v>
      </c>
    </row>
    <row r="62" spans="1:63" ht="15" customHeight="1" x14ac:dyDescent="0.3">
      <c r="A62" s="209"/>
      <c r="B62" s="128">
        <v>35</v>
      </c>
      <c r="C62" s="128">
        <v>44</v>
      </c>
      <c r="D62" s="129">
        <f>'Data Ocupacion'!T33</f>
        <v>35</v>
      </c>
      <c r="E62" s="129">
        <f>'Data Ocupacion'!U33</f>
        <v>44</v>
      </c>
      <c r="F62" s="128" t="s">
        <v>52</v>
      </c>
      <c r="G62" s="236">
        <f t="shared" si="48"/>
        <v>123</v>
      </c>
      <c r="H62" s="128">
        <f t="shared" si="49"/>
        <v>79</v>
      </c>
      <c r="I62" s="128">
        <f>G62*L$2</f>
        <v>5304.9900000000007</v>
      </c>
      <c r="J62" s="156">
        <f>H62*L$2</f>
        <v>3407.27</v>
      </c>
      <c r="K62" s="128">
        <f>I62*104</f>
        <v>551718.96000000008</v>
      </c>
      <c r="L62" s="128">
        <f t="shared" si="50"/>
        <v>8216</v>
      </c>
      <c r="M62" s="19"/>
      <c r="N62" s="19"/>
      <c r="O62" s="149"/>
      <c r="P62" s="193"/>
      <c r="Q62" s="193"/>
      <c r="R62" s="193"/>
      <c r="S62" s="189"/>
      <c r="T62" s="189"/>
      <c r="U62" s="191">
        <f>I62-(S62*($L$2-$J$1)+(T62*($L$2-$L$1)))</f>
        <v>5304.9900000000007</v>
      </c>
      <c r="W62" s="253"/>
      <c r="Y62" s="127"/>
      <c r="Z62" s="127"/>
    </row>
    <row r="63" spans="1:63" x14ac:dyDescent="0.3">
      <c r="A63" s="209"/>
      <c r="B63" s="128">
        <v>0</v>
      </c>
      <c r="C63" s="128">
        <v>2</v>
      </c>
      <c r="D63" s="129">
        <f>'Data Ocupacion'!T34</f>
        <v>0</v>
      </c>
      <c r="E63" s="129">
        <f>'Data Ocupacion'!U34</f>
        <v>2</v>
      </c>
      <c r="F63" s="128" t="s">
        <v>36</v>
      </c>
      <c r="G63" s="236">
        <f t="shared" ref="G63:G66" si="51">D63+E63*2</f>
        <v>4</v>
      </c>
      <c r="H63" s="128">
        <f t="shared" ref="H63:H66" si="52">D63+E63</f>
        <v>2</v>
      </c>
      <c r="I63" s="128">
        <f>G63*L$1</f>
        <v>116.44</v>
      </c>
      <c r="J63" s="156">
        <f>H63*L$1</f>
        <v>58.22</v>
      </c>
      <c r="K63" s="128">
        <f>I63*104</f>
        <v>12109.76</v>
      </c>
      <c r="L63" s="128">
        <f t="shared" si="50"/>
        <v>208</v>
      </c>
      <c r="M63" s="19"/>
      <c r="N63" s="19"/>
      <c r="O63" s="149"/>
      <c r="P63" s="192"/>
      <c r="Q63" s="194"/>
      <c r="R63" s="217"/>
      <c r="S63" s="195"/>
      <c r="T63" s="196"/>
      <c r="U63" s="188">
        <f>I63-(P63*($L$1-$J$1))</f>
        <v>116.44</v>
      </c>
      <c r="W63" s="253"/>
    </row>
    <row r="64" spans="1:63" x14ac:dyDescent="0.3">
      <c r="A64" s="209"/>
      <c r="B64" s="128">
        <v>0</v>
      </c>
      <c r="C64" s="128">
        <v>3</v>
      </c>
      <c r="D64" s="129">
        <f>'Data Ocupacion'!T35</f>
        <v>0</v>
      </c>
      <c r="E64" s="129">
        <f>'Data Ocupacion'!U35</f>
        <v>3</v>
      </c>
      <c r="F64" s="128" t="s">
        <v>53</v>
      </c>
      <c r="G64" s="236">
        <f t="shared" si="51"/>
        <v>6</v>
      </c>
      <c r="H64" s="128">
        <f t="shared" si="52"/>
        <v>3</v>
      </c>
      <c r="I64" s="128">
        <f>G64*L$1</f>
        <v>174.66</v>
      </c>
      <c r="J64" s="156">
        <f>H64*L$1</f>
        <v>87.33</v>
      </c>
      <c r="K64" s="128">
        <f>I64*104</f>
        <v>18164.64</v>
      </c>
      <c r="L64" s="128">
        <f t="shared" si="50"/>
        <v>312</v>
      </c>
      <c r="M64" s="19"/>
      <c r="N64" s="19"/>
      <c r="O64" s="149"/>
      <c r="P64" s="196"/>
      <c r="Q64" s="196"/>
      <c r="R64" s="196"/>
      <c r="S64" s="196"/>
      <c r="T64" s="196"/>
      <c r="U64" s="188">
        <f t="shared" ref="U64:U65" si="53">I64</f>
        <v>174.66</v>
      </c>
    </row>
    <row r="65" spans="1:23" s="127" customFormat="1" x14ac:dyDescent="0.3">
      <c r="A65" s="209"/>
      <c r="B65" s="128">
        <v>0</v>
      </c>
      <c r="C65" s="128">
        <v>0</v>
      </c>
      <c r="D65" s="129">
        <f>'Data Ocupacion'!T36</f>
        <v>0</v>
      </c>
      <c r="E65" s="129">
        <f>'Data Ocupacion'!U36</f>
        <v>0</v>
      </c>
      <c r="F65" s="128" t="s">
        <v>122</v>
      </c>
      <c r="G65" s="236">
        <f t="shared" si="51"/>
        <v>0</v>
      </c>
      <c r="H65" s="128">
        <f t="shared" si="52"/>
        <v>0</v>
      </c>
      <c r="I65" s="238">
        <f>G65*T$1</f>
        <v>0</v>
      </c>
      <c r="J65" s="156">
        <f>H65*T$1</f>
        <v>0</v>
      </c>
      <c r="K65" s="128">
        <f t="shared" ref="K65" si="54">I65*104</f>
        <v>0</v>
      </c>
      <c r="L65" s="128">
        <f t="shared" si="50"/>
        <v>0</v>
      </c>
      <c r="M65" s="19"/>
      <c r="N65" s="19"/>
      <c r="O65" s="149"/>
      <c r="P65" s="196"/>
      <c r="Q65" s="196"/>
      <c r="R65" s="196"/>
      <c r="S65" s="196"/>
      <c r="T65" s="196"/>
      <c r="U65" s="188">
        <f t="shared" si="53"/>
        <v>0</v>
      </c>
    </row>
    <row r="66" spans="1:23" ht="15" thickBot="1" x14ac:dyDescent="0.35">
      <c r="A66" s="209"/>
      <c r="B66" s="128">
        <v>1</v>
      </c>
      <c r="C66" s="128">
        <v>2</v>
      </c>
      <c r="D66" s="129">
        <f>'Data Ocupacion'!T37</f>
        <v>1</v>
      </c>
      <c r="E66" s="129">
        <f>'Data Ocupacion'!U37</f>
        <v>2</v>
      </c>
      <c r="F66" s="128" t="s">
        <v>35</v>
      </c>
      <c r="G66" s="236">
        <f t="shared" si="51"/>
        <v>5</v>
      </c>
      <c r="H66" s="239">
        <f t="shared" si="52"/>
        <v>3</v>
      </c>
      <c r="I66" s="239">
        <f>G66*J$1</f>
        <v>127</v>
      </c>
      <c r="J66" s="156">
        <f>H66*J$1</f>
        <v>76.199999999999989</v>
      </c>
      <c r="K66" s="128">
        <f>I66*104</f>
        <v>13208</v>
      </c>
      <c r="L66" s="128">
        <f t="shared" si="50"/>
        <v>312</v>
      </c>
      <c r="M66" s="19"/>
      <c r="N66" s="19"/>
      <c r="O66" s="149"/>
      <c r="P66" s="196"/>
      <c r="Q66" s="196"/>
      <c r="R66" s="196"/>
      <c r="S66" s="196"/>
      <c r="T66" s="196"/>
      <c r="U66" s="188">
        <f>I66</f>
        <v>127</v>
      </c>
    </row>
    <row r="67" spans="1:23" s="127" customFormat="1" ht="18.75" customHeight="1" thickBot="1" x14ac:dyDescent="0.35">
      <c r="A67" s="20"/>
      <c r="B67" s="230">
        <f>SUM(B61:B66)</f>
        <v>72</v>
      </c>
      <c r="C67" s="230">
        <f>SUM(C61:C66)</f>
        <v>98</v>
      </c>
      <c r="D67" s="151">
        <f>SUM(D61:D66)</f>
        <v>72</v>
      </c>
      <c r="E67" s="151">
        <f>SUM(E61:E66)</f>
        <v>98</v>
      </c>
      <c r="F67" s="121"/>
      <c r="G67" s="121">
        <f t="shared" ref="G67:L67" si="55">SUM(G61:G66)</f>
        <v>268</v>
      </c>
      <c r="H67" s="121">
        <f t="shared" si="55"/>
        <v>170</v>
      </c>
      <c r="I67" s="122">
        <f t="shared" si="55"/>
        <v>11329.990000000002</v>
      </c>
      <c r="J67" s="121">
        <f t="shared" si="55"/>
        <v>7208.81</v>
      </c>
      <c r="K67" s="121">
        <f t="shared" si="55"/>
        <v>1178318.96</v>
      </c>
      <c r="L67" s="121">
        <f t="shared" si="55"/>
        <v>17680</v>
      </c>
      <c r="M67" s="126">
        <f>'Odometro-Kilometraje'!J81</f>
        <v>11786</v>
      </c>
      <c r="N67" s="21">
        <f>(U67/M67)*100</f>
        <v>95.915408111318527</v>
      </c>
      <c r="O67" s="199"/>
      <c r="P67" s="187"/>
      <c r="Q67" s="187"/>
      <c r="R67" s="187"/>
      <c r="S67" s="187"/>
      <c r="T67" s="187"/>
      <c r="U67" s="200">
        <f>SUM(U61:U66)</f>
        <v>11304.590000000002</v>
      </c>
      <c r="W67" s="254"/>
    </row>
    <row r="68" spans="1:23" s="127" customFormat="1" x14ac:dyDescent="0.3">
      <c r="A68" s="62">
        <f>A61+1</f>
        <v>45575</v>
      </c>
      <c r="B68" s="128">
        <v>36</v>
      </c>
      <c r="C68" s="128">
        <v>47</v>
      </c>
      <c r="D68" s="129">
        <f>'Data Ocupacion'!V32</f>
        <v>36</v>
      </c>
      <c r="E68" s="129">
        <f>'Data Ocupacion'!W32</f>
        <v>47</v>
      </c>
      <c r="F68" s="128" t="s">
        <v>38</v>
      </c>
      <c r="G68" s="236">
        <f t="shared" ref="G68:G73" si="56">D68+E68*2</f>
        <v>130</v>
      </c>
      <c r="H68" s="237">
        <f t="shared" ref="H68:H73" si="57">D68+E68</f>
        <v>83</v>
      </c>
      <c r="I68" s="237">
        <f>G68*L$2</f>
        <v>5606.9000000000005</v>
      </c>
      <c r="J68" s="156">
        <f>H68*L$2</f>
        <v>3579.7900000000004</v>
      </c>
      <c r="K68" s="128">
        <f t="shared" ref="K68:K73" si="58">I68*104</f>
        <v>583117.60000000009</v>
      </c>
      <c r="L68" s="128">
        <f t="shared" ref="L68:L73" si="59">H68*104</f>
        <v>8632</v>
      </c>
      <c r="M68" s="19"/>
      <c r="N68" s="19"/>
      <c r="O68" s="149"/>
      <c r="P68" s="189">
        <v>3</v>
      </c>
      <c r="Q68" s="189"/>
      <c r="R68" s="216"/>
      <c r="S68" s="289">
        <v>1</v>
      </c>
      <c r="T68" s="198"/>
      <c r="U68" s="191">
        <f>I68-((P68*($L$2-$J$1)))-(S68*($J$1))</f>
        <v>5528.3100000000013</v>
      </c>
    </row>
    <row r="69" spans="1:23" ht="15" customHeight="1" x14ac:dyDescent="0.3">
      <c r="A69" s="209"/>
      <c r="B69" s="128">
        <v>35</v>
      </c>
      <c r="C69" s="128">
        <v>44</v>
      </c>
      <c r="D69" s="129">
        <f>'Data Ocupacion'!V33</f>
        <v>35</v>
      </c>
      <c r="E69" s="129">
        <f>'Data Ocupacion'!W33</f>
        <v>44</v>
      </c>
      <c r="F69" s="128" t="s">
        <v>52</v>
      </c>
      <c r="G69" s="236">
        <f t="shared" si="56"/>
        <v>123</v>
      </c>
      <c r="H69" s="128">
        <f t="shared" si="57"/>
        <v>79</v>
      </c>
      <c r="I69" s="128">
        <f>G69*L$2</f>
        <v>5304.9900000000007</v>
      </c>
      <c r="J69" s="156">
        <f>H69*L$2</f>
        <v>3407.27</v>
      </c>
      <c r="K69" s="128">
        <f t="shared" si="58"/>
        <v>551718.96000000008</v>
      </c>
      <c r="L69" s="128">
        <f t="shared" si="59"/>
        <v>8216</v>
      </c>
      <c r="M69" s="19"/>
      <c r="N69" s="19"/>
      <c r="O69" s="149"/>
      <c r="P69" s="193"/>
      <c r="Q69" s="193"/>
      <c r="R69" s="193"/>
      <c r="S69" s="189"/>
      <c r="T69" s="190"/>
      <c r="U69" s="191">
        <f>I69-(S69*($L$2-$J$1)+(T69*($L$2-$L$1)))</f>
        <v>5304.9900000000007</v>
      </c>
    </row>
    <row r="70" spans="1:23" x14ac:dyDescent="0.3">
      <c r="A70" s="209"/>
      <c r="B70" s="128">
        <v>0</v>
      </c>
      <c r="C70" s="128">
        <v>2</v>
      </c>
      <c r="D70" s="129">
        <f>'Data Ocupacion'!V34</f>
        <v>0</v>
      </c>
      <c r="E70" s="129">
        <f>'Data Ocupacion'!W34</f>
        <v>2</v>
      </c>
      <c r="F70" s="128" t="s">
        <v>36</v>
      </c>
      <c r="G70" s="236">
        <f t="shared" si="56"/>
        <v>4</v>
      </c>
      <c r="H70" s="128">
        <f t="shared" si="57"/>
        <v>2</v>
      </c>
      <c r="I70" s="128">
        <f>G70*L$1</f>
        <v>116.44</v>
      </c>
      <c r="J70" s="156">
        <f>H70*L$1</f>
        <v>58.22</v>
      </c>
      <c r="K70" s="128">
        <f t="shared" si="58"/>
        <v>12109.76</v>
      </c>
      <c r="L70" s="128">
        <f t="shared" si="59"/>
        <v>208</v>
      </c>
      <c r="M70" s="19"/>
      <c r="N70" s="19"/>
      <c r="O70" s="149"/>
      <c r="P70" s="192"/>
      <c r="Q70" s="194"/>
      <c r="R70" s="217"/>
      <c r="S70" s="195"/>
      <c r="T70" s="196"/>
      <c r="U70" s="188">
        <f>I70-(P70*($L$1-$J$1))</f>
        <v>116.44</v>
      </c>
    </row>
    <row r="71" spans="1:23" ht="15" customHeight="1" x14ac:dyDescent="0.3">
      <c r="A71" s="209"/>
      <c r="B71" s="128">
        <v>0</v>
      </c>
      <c r="C71" s="128">
        <v>3</v>
      </c>
      <c r="D71" s="129">
        <f>'Data Ocupacion'!V35</f>
        <v>0</v>
      </c>
      <c r="E71" s="129">
        <f>'Data Ocupacion'!W35</f>
        <v>3</v>
      </c>
      <c r="F71" s="128" t="s">
        <v>53</v>
      </c>
      <c r="G71" s="236">
        <f t="shared" si="56"/>
        <v>6</v>
      </c>
      <c r="H71" s="128">
        <f t="shared" si="57"/>
        <v>3</v>
      </c>
      <c r="I71" s="128">
        <f>G71*L$1</f>
        <v>174.66</v>
      </c>
      <c r="J71" s="156">
        <f>H71*L$1</f>
        <v>87.33</v>
      </c>
      <c r="K71" s="128">
        <f t="shared" si="58"/>
        <v>18164.64</v>
      </c>
      <c r="L71" s="128">
        <f t="shared" si="59"/>
        <v>312</v>
      </c>
      <c r="M71" s="19"/>
      <c r="N71" s="19"/>
      <c r="O71" s="149"/>
      <c r="P71" s="196"/>
      <c r="Q71" s="196"/>
      <c r="R71" s="196"/>
      <c r="S71" s="196"/>
      <c r="T71" s="196"/>
      <c r="U71" s="188">
        <f t="shared" ref="U71:U72" si="60">I71</f>
        <v>174.66</v>
      </c>
    </row>
    <row r="72" spans="1:23" ht="15" customHeight="1" x14ac:dyDescent="0.3">
      <c r="A72" s="209"/>
      <c r="B72" s="128">
        <v>0</v>
      </c>
      <c r="C72" s="128">
        <v>0</v>
      </c>
      <c r="D72" s="129">
        <f>'Data Ocupacion'!V36</f>
        <v>0</v>
      </c>
      <c r="E72" s="129">
        <f>'Data Ocupacion'!W36</f>
        <v>0</v>
      </c>
      <c r="F72" s="128" t="s">
        <v>122</v>
      </c>
      <c r="G72" s="236">
        <f t="shared" si="56"/>
        <v>0</v>
      </c>
      <c r="H72" s="128">
        <f t="shared" si="57"/>
        <v>0</v>
      </c>
      <c r="I72" s="238">
        <f>G72*J$1</f>
        <v>0</v>
      </c>
      <c r="J72" s="156">
        <f>H72*J$1</f>
        <v>0</v>
      </c>
      <c r="K72" s="128">
        <f t="shared" si="58"/>
        <v>0</v>
      </c>
      <c r="L72" s="128">
        <f t="shared" si="59"/>
        <v>0</v>
      </c>
      <c r="M72" s="19"/>
      <c r="N72" s="19"/>
      <c r="O72" s="149"/>
      <c r="P72" s="196"/>
      <c r="Q72" s="196"/>
      <c r="R72" s="196"/>
      <c r="S72" s="196"/>
      <c r="T72" s="196"/>
      <c r="U72" s="188">
        <f t="shared" si="60"/>
        <v>0</v>
      </c>
    </row>
    <row r="73" spans="1:23" ht="14.25" customHeight="1" thickBot="1" x14ac:dyDescent="0.35">
      <c r="A73" s="209"/>
      <c r="B73" s="128">
        <v>1</v>
      </c>
      <c r="C73" s="128">
        <v>2</v>
      </c>
      <c r="D73" s="129">
        <f>'Data Ocupacion'!V37</f>
        <v>1</v>
      </c>
      <c r="E73" s="129">
        <f>'Data Ocupacion'!W37</f>
        <v>2</v>
      </c>
      <c r="F73" s="128" t="s">
        <v>35</v>
      </c>
      <c r="G73" s="236">
        <f t="shared" si="56"/>
        <v>5</v>
      </c>
      <c r="H73" s="239">
        <f t="shared" si="57"/>
        <v>3</v>
      </c>
      <c r="I73" s="239">
        <f>G73*J$1</f>
        <v>127</v>
      </c>
      <c r="J73" s="156">
        <f>H73*J$1</f>
        <v>76.199999999999989</v>
      </c>
      <c r="K73" s="128">
        <f t="shared" si="58"/>
        <v>13208</v>
      </c>
      <c r="L73" s="128">
        <f t="shared" si="59"/>
        <v>312</v>
      </c>
      <c r="M73" s="19"/>
      <c r="N73" s="19"/>
      <c r="O73" s="149"/>
      <c r="P73" s="196"/>
      <c r="Q73" s="196"/>
      <c r="R73" s="196"/>
      <c r="S73" s="196"/>
      <c r="T73" s="196"/>
      <c r="U73" s="188">
        <f>I73</f>
        <v>127</v>
      </c>
    </row>
    <row r="74" spans="1:23" s="127" customFormat="1" ht="15" thickBot="1" x14ac:dyDescent="0.35">
      <c r="A74" s="20"/>
      <c r="B74" s="230">
        <f>SUM(B68:B73)</f>
        <v>72</v>
      </c>
      <c r="C74" s="230">
        <f>SUM(C68:C73)</f>
        <v>98</v>
      </c>
      <c r="D74" s="151">
        <f>SUM(D68:D73)</f>
        <v>72</v>
      </c>
      <c r="E74" s="151">
        <f>SUM(E68:E73)</f>
        <v>98</v>
      </c>
      <c r="F74" s="121"/>
      <c r="G74" s="121">
        <f t="shared" ref="G74:L74" si="61">SUM(G68:G73)</f>
        <v>268</v>
      </c>
      <c r="H74" s="121">
        <f t="shared" si="61"/>
        <v>170</v>
      </c>
      <c r="I74" s="122">
        <f>SUM(I68:I73)</f>
        <v>11329.990000000002</v>
      </c>
      <c r="J74" s="121">
        <f t="shared" si="61"/>
        <v>7208.81</v>
      </c>
      <c r="K74" s="121">
        <f t="shared" si="61"/>
        <v>1178318.96</v>
      </c>
      <c r="L74" s="121">
        <f t="shared" si="61"/>
        <v>17680</v>
      </c>
      <c r="M74" s="126">
        <f>'Odometro-Kilometraje'!K81</f>
        <v>11796</v>
      </c>
      <c r="N74" s="21">
        <f>(U74/M74)*100</f>
        <v>95.383180739233666</v>
      </c>
      <c r="O74" s="199"/>
      <c r="P74" s="187"/>
      <c r="Q74" s="187"/>
      <c r="R74" s="187"/>
      <c r="S74" s="187"/>
      <c r="T74" s="187"/>
      <c r="U74" s="200">
        <f>SUM(U68:U73)</f>
        <v>11251.400000000003</v>
      </c>
    </row>
    <row r="75" spans="1:23" x14ac:dyDescent="0.3">
      <c r="A75" s="62">
        <f>A68+1</f>
        <v>45576</v>
      </c>
      <c r="B75" s="128">
        <v>36</v>
      </c>
      <c r="C75" s="128">
        <v>47</v>
      </c>
      <c r="D75" s="129">
        <f>'Data Ocupacion'!X32</f>
        <v>36</v>
      </c>
      <c r="E75" s="129">
        <f>'Data Ocupacion'!Y32</f>
        <v>47</v>
      </c>
      <c r="F75" s="128" t="s">
        <v>38</v>
      </c>
      <c r="G75" s="128">
        <f t="shared" ref="G75:G80" si="62">D75+E75*2</f>
        <v>130</v>
      </c>
      <c r="H75" s="128">
        <f t="shared" ref="H75:H80" si="63">D75+E75</f>
        <v>83</v>
      </c>
      <c r="I75" s="128">
        <f>G75*L$2</f>
        <v>5606.9000000000005</v>
      </c>
      <c r="J75" s="156">
        <f>H75*L$2</f>
        <v>3579.7900000000004</v>
      </c>
      <c r="K75" s="128">
        <f t="shared" ref="K75:K80" si="64">I75*104</f>
        <v>583117.60000000009</v>
      </c>
      <c r="L75" s="128">
        <f t="shared" ref="L75:L80" si="65">H75*104</f>
        <v>8632</v>
      </c>
      <c r="M75" s="19"/>
      <c r="N75" s="19"/>
      <c r="O75" s="149"/>
      <c r="P75" s="322"/>
      <c r="Q75" s="189"/>
      <c r="R75" s="216"/>
      <c r="S75" s="263">
        <v>2</v>
      </c>
      <c r="T75" s="198"/>
      <c r="U75" s="191">
        <f>I75-((P75*($L$2-$J$1)))-(S75*($J$1))</f>
        <v>5556.1</v>
      </c>
    </row>
    <row r="76" spans="1:23" ht="15" customHeight="1" x14ac:dyDescent="0.3">
      <c r="A76" s="185"/>
      <c r="B76" s="128">
        <v>35</v>
      </c>
      <c r="C76" s="128">
        <v>44</v>
      </c>
      <c r="D76" s="129">
        <f>'Data Ocupacion'!X33</f>
        <v>35</v>
      </c>
      <c r="E76" s="129">
        <f>'Data Ocupacion'!Y33</f>
        <v>44</v>
      </c>
      <c r="F76" s="128" t="s">
        <v>52</v>
      </c>
      <c r="G76" s="128">
        <f t="shared" si="62"/>
        <v>123</v>
      </c>
      <c r="H76" s="128">
        <f t="shared" si="63"/>
        <v>79</v>
      </c>
      <c r="I76" s="128">
        <f>G76*L$2</f>
        <v>5304.9900000000007</v>
      </c>
      <c r="J76" s="156">
        <f>H76*L$2</f>
        <v>3407.27</v>
      </c>
      <c r="K76" s="128">
        <f t="shared" si="64"/>
        <v>551718.96000000008</v>
      </c>
      <c r="L76" s="128">
        <f t="shared" si="65"/>
        <v>8216</v>
      </c>
      <c r="M76" s="19"/>
      <c r="N76" s="19"/>
      <c r="O76" s="149"/>
      <c r="P76" s="193"/>
      <c r="Q76" s="193"/>
      <c r="R76" s="193"/>
      <c r="S76" s="263"/>
      <c r="T76" s="214"/>
      <c r="U76" s="191">
        <f>I76-(S76*($L$2-$J$1)+(T76*($L$2-$L$1)))</f>
        <v>5304.9900000000007</v>
      </c>
    </row>
    <row r="77" spans="1:23" ht="15" customHeight="1" x14ac:dyDescent="0.3">
      <c r="A77" s="185"/>
      <c r="B77" s="128">
        <v>0</v>
      </c>
      <c r="C77" s="128">
        <v>2</v>
      </c>
      <c r="D77" s="129">
        <f>'Data Ocupacion'!X34</f>
        <v>0</v>
      </c>
      <c r="E77" s="129">
        <f>'Data Ocupacion'!Y34</f>
        <v>2</v>
      </c>
      <c r="F77" s="128" t="s">
        <v>36</v>
      </c>
      <c r="G77" s="128">
        <f t="shared" si="62"/>
        <v>4</v>
      </c>
      <c r="H77" s="128">
        <f t="shared" si="63"/>
        <v>2</v>
      </c>
      <c r="I77" s="128">
        <f>G77*L$1</f>
        <v>116.44</v>
      </c>
      <c r="J77" s="156">
        <f>H77*L$1</f>
        <v>58.22</v>
      </c>
      <c r="K77" s="128">
        <f t="shared" si="64"/>
        <v>12109.76</v>
      </c>
      <c r="L77" s="128">
        <f t="shared" si="65"/>
        <v>208</v>
      </c>
      <c r="M77" s="19"/>
      <c r="N77" s="19"/>
      <c r="O77" s="149"/>
      <c r="P77" s="192"/>
      <c r="Q77" s="194"/>
      <c r="R77" s="217"/>
      <c r="S77" s="195"/>
      <c r="T77" s="196"/>
      <c r="U77" s="188">
        <f>I77-(P77*($L$1-$J$1))</f>
        <v>116.44</v>
      </c>
    </row>
    <row r="78" spans="1:23" ht="13.5" customHeight="1" x14ac:dyDescent="0.3">
      <c r="A78" s="185"/>
      <c r="B78" s="128">
        <v>0</v>
      </c>
      <c r="C78" s="128">
        <v>3</v>
      </c>
      <c r="D78" s="129">
        <f>'Data Ocupacion'!X35</f>
        <v>0</v>
      </c>
      <c r="E78" s="129">
        <f>'Data Ocupacion'!Y35</f>
        <v>3</v>
      </c>
      <c r="F78" s="128" t="s">
        <v>53</v>
      </c>
      <c r="G78" s="128">
        <f t="shared" si="62"/>
        <v>6</v>
      </c>
      <c r="H78" s="128">
        <f t="shared" si="63"/>
        <v>3</v>
      </c>
      <c r="I78" s="128">
        <f>G78*L$1</f>
        <v>174.66</v>
      </c>
      <c r="J78" s="156">
        <f>H78*L$1</f>
        <v>87.33</v>
      </c>
      <c r="K78" s="128">
        <f t="shared" si="64"/>
        <v>18164.64</v>
      </c>
      <c r="L78" s="128">
        <f t="shared" si="65"/>
        <v>312</v>
      </c>
      <c r="M78" s="19"/>
      <c r="N78" s="19"/>
      <c r="O78" s="149"/>
      <c r="P78" s="196"/>
      <c r="Q78" s="196"/>
      <c r="R78" s="196"/>
      <c r="S78" s="196"/>
      <c r="T78" s="196"/>
      <c r="U78" s="188">
        <f t="shared" ref="U78:U79" si="66">I78</f>
        <v>174.66</v>
      </c>
    </row>
    <row r="79" spans="1:23" s="127" customFormat="1" ht="15" customHeight="1" x14ac:dyDescent="0.3">
      <c r="A79" s="185"/>
      <c r="B79" s="128">
        <v>0</v>
      </c>
      <c r="C79" s="128">
        <v>0</v>
      </c>
      <c r="D79" s="129">
        <f>'Data Ocupacion'!X36</f>
        <v>0</v>
      </c>
      <c r="E79" s="129">
        <f>'Data Ocupacion'!Y36</f>
        <v>0</v>
      </c>
      <c r="F79" s="128" t="s">
        <v>122</v>
      </c>
      <c r="G79" s="128">
        <f t="shared" si="62"/>
        <v>0</v>
      </c>
      <c r="H79" s="128">
        <f>D79+E79</f>
        <v>0</v>
      </c>
      <c r="I79" s="128">
        <f>G79*J$1</f>
        <v>0</v>
      </c>
      <c r="J79" s="156">
        <f>H79*J$1</f>
        <v>0</v>
      </c>
      <c r="K79" s="128">
        <f t="shared" si="64"/>
        <v>0</v>
      </c>
      <c r="L79" s="128">
        <f t="shared" si="65"/>
        <v>0</v>
      </c>
      <c r="M79" s="19"/>
      <c r="N79" s="19"/>
      <c r="O79" s="149"/>
      <c r="P79" s="196"/>
      <c r="Q79" s="196"/>
      <c r="R79" s="196"/>
      <c r="S79" s="196"/>
      <c r="T79" s="196"/>
      <c r="U79" s="188">
        <f t="shared" si="66"/>
        <v>0</v>
      </c>
    </row>
    <row r="80" spans="1:23" s="127" customFormat="1" ht="15" customHeight="1" thickBot="1" x14ac:dyDescent="0.35">
      <c r="A80" s="185"/>
      <c r="B80" s="128">
        <v>1</v>
      </c>
      <c r="C80" s="128">
        <v>2</v>
      </c>
      <c r="D80" s="129">
        <f>'Data Ocupacion'!X37</f>
        <v>1</v>
      </c>
      <c r="E80" s="129">
        <f>'Data Ocupacion'!Y37</f>
        <v>2</v>
      </c>
      <c r="F80" s="128" t="s">
        <v>35</v>
      </c>
      <c r="G80" s="128">
        <f t="shared" si="62"/>
        <v>5</v>
      </c>
      <c r="H80" s="128">
        <f t="shared" si="63"/>
        <v>3</v>
      </c>
      <c r="I80" s="128">
        <f>G80*J$1</f>
        <v>127</v>
      </c>
      <c r="J80" s="156">
        <f>H80*J$1</f>
        <v>76.199999999999989</v>
      </c>
      <c r="K80" s="128">
        <f t="shared" si="64"/>
        <v>13208</v>
      </c>
      <c r="L80" s="128">
        <f t="shared" si="65"/>
        <v>312</v>
      </c>
      <c r="M80" s="19"/>
      <c r="N80" s="19"/>
      <c r="O80" s="149"/>
      <c r="P80" s="196"/>
      <c r="Q80" s="196"/>
      <c r="R80" s="196"/>
      <c r="S80" s="196"/>
      <c r="T80" s="196"/>
      <c r="U80" s="188">
        <f>I80</f>
        <v>127</v>
      </c>
    </row>
    <row r="81" spans="1:21" ht="15" customHeight="1" thickBot="1" x14ac:dyDescent="0.35">
      <c r="A81" s="20"/>
      <c r="B81" s="230">
        <f>SUM(B75:B80)</f>
        <v>72</v>
      </c>
      <c r="C81" s="230">
        <f>SUM(C75:C80)</f>
        <v>98</v>
      </c>
      <c r="D81" s="155">
        <f>SUM(D75:D80)</f>
        <v>72</v>
      </c>
      <c r="E81" s="155">
        <f>SUM(E75:E80)</f>
        <v>98</v>
      </c>
      <c r="F81" s="121"/>
      <c r="G81" s="121">
        <f t="shared" ref="G81:L81" si="67">SUM(G75:G80)</f>
        <v>268</v>
      </c>
      <c r="H81" s="121">
        <f t="shared" si="67"/>
        <v>170</v>
      </c>
      <c r="I81" s="122">
        <f t="shared" si="67"/>
        <v>11329.990000000002</v>
      </c>
      <c r="J81" s="121">
        <f t="shared" si="67"/>
        <v>7208.81</v>
      </c>
      <c r="K81" s="120">
        <f t="shared" si="67"/>
        <v>1178318.96</v>
      </c>
      <c r="L81" s="154">
        <f t="shared" si="67"/>
        <v>17680</v>
      </c>
      <c r="M81" s="126">
        <f>'Odometro-Kilometraje'!L81</f>
        <v>11859</v>
      </c>
      <c r="N81" s="21">
        <f>(U81/M81)*100</f>
        <v>95.11080192259044</v>
      </c>
      <c r="O81" s="199"/>
      <c r="P81" s="187"/>
      <c r="Q81" s="187"/>
      <c r="R81" s="187"/>
      <c r="S81" s="187"/>
      <c r="T81" s="187"/>
      <c r="U81" s="200">
        <f>SUM(U75:U80)</f>
        <v>11279.19</v>
      </c>
    </row>
    <row r="82" spans="1:21" ht="15.75" customHeight="1" x14ac:dyDescent="0.3">
      <c r="A82" s="62">
        <f>A75+1</f>
        <v>45577</v>
      </c>
      <c r="B82" s="231">
        <v>51</v>
      </c>
      <c r="C82" s="231">
        <v>3</v>
      </c>
      <c r="D82" s="140">
        <f>'Data Ocupacion'!Z32</f>
        <v>52</v>
      </c>
      <c r="E82" s="140">
        <f>'Data Ocupacion'!AA32</f>
        <v>2</v>
      </c>
      <c r="F82" s="231" t="s">
        <v>38</v>
      </c>
      <c r="G82" s="294">
        <f t="shared" ref="G82:G87" si="68">D82+E82*2</f>
        <v>56</v>
      </c>
      <c r="H82" s="295">
        <f t="shared" ref="H82:H87" si="69">D82+E82</f>
        <v>54</v>
      </c>
      <c r="I82" s="295">
        <f>G82*L$2</f>
        <v>2415.2800000000002</v>
      </c>
      <c r="J82" s="156">
        <f>H82*L$2</f>
        <v>2329.02</v>
      </c>
      <c r="K82" s="231">
        <f t="shared" ref="K82:K87" si="70">I82*104</f>
        <v>251189.12000000002</v>
      </c>
      <c r="L82" s="231">
        <f t="shared" ref="L82:L87" si="71">H82*104</f>
        <v>5616</v>
      </c>
      <c r="M82" s="19"/>
      <c r="N82" s="19"/>
      <c r="O82" s="149"/>
      <c r="P82" s="263"/>
      <c r="Q82" s="189"/>
      <c r="R82" s="216"/>
      <c r="S82" s="289"/>
      <c r="T82" s="198"/>
      <c r="U82" s="191">
        <f>I82-((P82*($L$2-$J$1)))-(S82*($J$1))</f>
        <v>2415.2800000000002</v>
      </c>
    </row>
    <row r="83" spans="1:21" ht="15" customHeight="1" x14ac:dyDescent="0.3">
      <c r="A83" s="185"/>
      <c r="B83" s="231">
        <v>57</v>
      </c>
      <c r="C83" s="231">
        <v>0</v>
      </c>
      <c r="D83" s="140">
        <f>'Data Ocupacion'!Z33</f>
        <v>57</v>
      </c>
      <c r="E83" s="140">
        <f>'Data Ocupacion'!AA33</f>
        <v>0</v>
      </c>
      <c r="F83" s="231" t="s">
        <v>52</v>
      </c>
      <c r="G83" s="294">
        <f t="shared" si="68"/>
        <v>57</v>
      </c>
      <c r="H83" s="231">
        <f t="shared" si="69"/>
        <v>57</v>
      </c>
      <c r="I83" s="231">
        <f>G83*L$2</f>
        <v>2458.4100000000003</v>
      </c>
      <c r="J83" s="156">
        <f>H83*L$2</f>
        <v>2458.4100000000003</v>
      </c>
      <c r="K83" s="231">
        <f t="shared" si="70"/>
        <v>255674.64000000004</v>
      </c>
      <c r="L83" s="231">
        <f t="shared" si="71"/>
        <v>5928</v>
      </c>
      <c r="M83" s="19"/>
      <c r="N83" s="19"/>
      <c r="O83" s="149"/>
      <c r="P83" s="193"/>
      <c r="Q83" s="193"/>
      <c r="R83" s="193"/>
      <c r="S83" s="263"/>
      <c r="T83" s="189"/>
      <c r="U83" s="191">
        <f>I83-(S83*($L$2-$J$1)+(T83*($L$2-$L$1)))</f>
        <v>2458.4100000000003</v>
      </c>
    </row>
    <row r="84" spans="1:21" ht="15" customHeight="1" x14ac:dyDescent="0.3">
      <c r="A84" s="185"/>
      <c r="B84" s="231">
        <v>0</v>
      </c>
      <c r="C84" s="231">
        <v>0</v>
      </c>
      <c r="D84" s="140">
        <f>'Data Ocupacion'!Z34</f>
        <v>0</v>
      </c>
      <c r="E84" s="140">
        <f>'Data Ocupacion'!AA34</f>
        <v>0</v>
      </c>
      <c r="F84" s="231" t="s">
        <v>36</v>
      </c>
      <c r="G84" s="294">
        <f t="shared" si="68"/>
        <v>0</v>
      </c>
      <c r="H84" s="231">
        <f t="shared" si="69"/>
        <v>0</v>
      </c>
      <c r="I84" s="231">
        <f>G84*L$1</f>
        <v>0</v>
      </c>
      <c r="J84" s="156">
        <f>H84*L$1</f>
        <v>0</v>
      </c>
      <c r="K84" s="231">
        <f t="shared" si="70"/>
        <v>0</v>
      </c>
      <c r="L84" s="231">
        <f t="shared" si="71"/>
        <v>0</v>
      </c>
      <c r="M84" s="19"/>
      <c r="N84" s="19"/>
      <c r="O84" s="149"/>
      <c r="P84" s="192"/>
      <c r="Q84" s="194"/>
      <c r="R84" s="217"/>
      <c r="S84" s="195"/>
      <c r="T84" s="196"/>
      <c r="U84" s="188">
        <f>I84-(P84*($L$1-$J$1))</f>
        <v>0</v>
      </c>
    </row>
    <row r="85" spans="1:21" ht="15" customHeight="1" x14ac:dyDescent="0.3">
      <c r="A85" s="185"/>
      <c r="B85" s="231">
        <v>0</v>
      </c>
      <c r="C85" s="231">
        <v>0</v>
      </c>
      <c r="D85" s="140">
        <f>'Data Ocupacion'!Z35</f>
        <v>0</v>
      </c>
      <c r="E85" s="140">
        <f>'Data Ocupacion'!AA35</f>
        <v>0</v>
      </c>
      <c r="F85" s="231" t="s">
        <v>53</v>
      </c>
      <c r="G85" s="294">
        <f t="shared" si="68"/>
        <v>0</v>
      </c>
      <c r="H85" s="231">
        <f t="shared" si="69"/>
        <v>0</v>
      </c>
      <c r="I85" s="231">
        <f>G85*L$1</f>
        <v>0</v>
      </c>
      <c r="J85" s="156">
        <f>H85*L$1</f>
        <v>0</v>
      </c>
      <c r="K85" s="231">
        <f t="shared" si="70"/>
        <v>0</v>
      </c>
      <c r="L85" s="231">
        <f t="shared" si="71"/>
        <v>0</v>
      </c>
      <c r="M85" s="19"/>
      <c r="N85" s="19"/>
      <c r="O85" s="149"/>
      <c r="P85" s="196"/>
      <c r="Q85" s="196"/>
      <c r="R85" s="196"/>
      <c r="S85" s="196"/>
      <c r="T85" s="196"/>
      <c r="U85" s="188">
        <f t="shared" ref="U85:U86" si="72">I85</f>
        <v>0</v>
      </c>
    </row>
    <row r="86" spans="1:21" ht="15" customHeight="1" x14ac:dyDescent="0.3">
      <c r="A86" s="185"/>
      <c r="B86" s="231">
        <v>0</v>
      </c>
      <c r="C86" s="231">
        <v>0</v>
      </c>
      <c r="D86" s="140">
        <f>'Data Ocupacion'!Z36</f>
        <v>0</v>
      </c>
      <c r="E86" s="140">
        <f>'Data Ocupacion'!AA36</f>
        <v>0</v>
      </c>
      <c r="F86" s="231" t="s">
        <v>122</v>
      </c>
      <c r="G86" s="294">
        <f t="shared" si="68"/>
        <v>0</v>
      </c>
      <c r="H86" s="231">
        <f t="shared" si="69"/>
        <v>0</v>
      </c>
      <c r="I86" s="296">
        <f>G86*J$1</f>
        <v>0</v>
      </c>
      <c r="J86" s="156">
        <f>H86*J$1</f>
        <v>0</v>
      </c>
      <c r="K86" s="231">
        <f t="shared" si="70"/>
        <v>0</v>
      </c>
      <c r="L86" s="231">
        <f t="shared" si="71"/>
        <v>0</v>
      </c>
      <c r="M86" s="19"/>
      <c r="N86" s="19"/>
      <c r="O86" s="149"/>
      <c r="P86" s="196"/>
      <c r="Q86" s="196"/>
      <c r="R86" s="196"/>
      <c r="S86" s="196"/>
      <c r="T86" s="196"/>
      <c r="U86" s="188">
        <f t="shared" si="72"/>
        <v>0</v>
      </c>
    </row>
    <row r="87" spans="1:21" ht="15" thickBot="1" x14ac:dyDescent="0.35">
      <c r="A87" s="185"/>
      <c r="B87" s="231">
        <v>0</v>
      </c>
      <c r="C87" s="231">
        <v>0</v>
      </c>
      <c r="D87" s="140">
        <f>'Data Ocupacion'!Z37</f>
        <v>0</v>
      </c>
      <c r="E87" s="140">
        <f>'Data Ocupacion'!AA37</f>
        <v>0</v>
      </c>
      <c r="F87" s="231" t="s">
        <v>35</v>
      </c>
      <c r="G87" s="294">
        <f t="shared" si="68"/>
        <v>0</v>
      </c>
      <c r="H87" s="297">
        <f t="shared" si="69"/>
        <v>0</v>
      </c>
      <c r="I87" s="297">
        <f>G87*J$1</f>
        <v>0</v>
      </c>
      <c r="J87" s="156">
        <f>H87*J$1</f>
        <v>0</v>
      </c>
      <c r="K87" s="231">
        <f t="shared" si="70"/>
        <v>0</v>
      </c>
      <c r="L87" s="231">
        <f t="shared" si="71"/>
        <v>0</v>
      </c>
      <c r="M87" s="19"/>
      <c r="N87" s="19"/>
      <c r="O87" s="149"/>
      <c r="P87" s="196"/>
      <c r="Q87" s="196"/>
      <c r="R87" s="196"/>
      <c r="S87" s="196"/>
      <c r="T87" s="196"/>
      <c r="U87" s="188">
        <f>I87</f>
        <v>0</v>
      </c>
    </row>
    <row r="88" spans="1:21" s="127" customFormat="1" ht="15" thickBot="1" x14ac:dyDescent="0.35">
      <c r="A88" s="125"/>
      <c r="B88" s="230">
        <f>SUM(B82:B87)</f>
        <v>108</v>
      </c>
      <c r="C88" s="230">
        <f>SUM(C82:C87)</f>
        <v>3</v>
      </c>
      <c r="D88" s="151">
        <f>SUM(D82:D87)</f>
        <v>109</v>
      </c>
      <c r="E88" s="151">
        <f>SUM(E82:E87)</f>
        <v>2</v>
      </c>
      <c r="F88" s="121"/>
      <c r="G88" s="121">
        <f t="shared" ref="G88:L88" si="73">SUM(G82:G87)</f>
        <v>113</v>
      </c>
      <c r="H88" s="121">
        <f t="shared" si="73"/>
        <v>111</v>
      </c>
      <c r="I88" s="122">
        <f t="shared" si="73"/>
        <v>4873.6900000000005</v>
      </c>
      <c r="J88" s="121">
        <f t="shared" si="73"/>
        <v>4787.43</v>
      </c>
      <c r="K88" s="121">
        <f t="shared" si="73"/>
        <v>506863.76000000007</v>
      </c>
      <c r="L88" s="121">
        <f t="shared" si="73"/>
        <v>11544</v>
      </c>
      <c r="M88" s="126">
        <f>'Odometro-Kilometraje'!M81</f>
        <v>4997</v>
      </c>
      <c r="N88" s="21">
        <f>(U88/M88)*100</f>
        <v>97.532319391634985</v>
      </c>
      <c r="O88" s="199"/>
      <c r="P88" s="187"/>
      <c r="Q88" s="187"/>
      <c r="R88" s="187"/>
      <c r="S88" s="187"/>
      <c r="T88" s="187"/>
      <c r="U88" s="200">
        <f>SUM(U82:U87)</f>
        <v>4873.6900000000005</v>
      </c>
    </row>
    <row r="89" spans="1:21" x14ac:dyDescent="0.3">
      <c r="A89" s="124">
        <f>A82+1</f>
        <v>45578</v>
      </c>
      <c r="B89" s="231">
        <v>51</v>
      </c>
      <c r="C89" s="231">
        <v>3</v>
      </c>
      <c r="D89" s="140">
        <f>'Data Ocupacion'!AB32</f>
        <v>52</v>
      </c>
      <c r="E89" s="140">
        <f>'Data Ocupacion'!AC32</f>
        <v>2</v>
      </c>
      <c r="F89" s="231" t="s">
        <v>38</v>
      </c>
      <c r="G89" s="294">
        <f t="shared" ref="G89:G94" si="74">D89+E89*2</f>
        <v>56</v>
      </c>
      <c r="H89" s="295">
        <f t="shared" ref="H89:H94" si="75">D89+E89</f>
        <v>54</v>
      </c>
      <c r="I89" s="295">
        <f>G89*L$2</f>
        <v>2415.2800000000002</v>
      </c>
      <c r="J89" s="156">
        <f>H89*L$2</f>
        <v>2329.02</v>
      </c>
      <c r="K89" s="231">
        <f t="shared" ref="K89:K94" si="76">I89*104</f>
        <v>251189.12000000002</v>
      </c>
      <c r="L89" s="231">
        <f t="shared" ref="L89:L94" si="77">H89*104</f>
        <v>5616</v>
      </c>
      <c r="M89" s="19"/>
      <c r="N89" s="19"/>
      <c r="O89" s="149"/>
      <c r="P89" s="189"/>
      <c r="Q89" s="189"/>
      <c r="R89" s="216"/>
      <c r="S89" s="289"/>
      <c r="T89" s="198"/>
      <c r="U89" s="191">
        <f>I89-((P89*($L$2-$J$1)))-(S89*($J$1))</f>
        <v>2415.2800000000002</v>
      </c>
    </row>
    <row r="90" spans="1:21" ht="17.25" customHeight="1" x14ac:dyDescent="0.3">
      <c r="A90" s="185"/>
      <c r="B90" s="231">
        <v>57</v>
      </c>
      <c r="C90" s="231">
        <v>0</v>
      </c>
      <c r="D90" s="140">
        <f>'Data Ocupacion'!AB33</f>
        <v>57</v>
      </c>
      <c r="E90" s="140">
        <f>'Data Ocupacion'!AC33</f>
        <v>0</v>
      </c>
      <c r="F90" s="231" t="s">
        <v>52</v>
      </c>
      <c r="G90" s="294">
        <f t="shared" si="74"/>
        <v>57</v>
      </c>
      <c r="H90" s="231">
        <f t="shared" si="75"/>
        <v>57</v>
      </c>
      <c r="I90" s="231">
        <f>G90*L$2</f>
        <v>2458.4100000000003</v>
      </c>
      <c r="J90" s="156">
        <f>H90*L$2</f>
        <v>2458.4100000000003</v>
      </c>
      <c r="K90" s="231">
        <f t="shared" si="76"/>
        <v>255674.64000000004</v>
      </c>
      <c r="L90" s="231">
        <f t="shared" si="77"/>
        <v>5928</v>
      </c>
      <c r="M90" s="19"/>
      <c r="N90" s="19"/>
      <c r="O90" s="149"/>
      <c r="P90" s="193"/>
      <c r="Q90" s="193"/>
      <c r="R90" s="193"/>
      <c r="S90" s="263"/>
      <c r="T90" s="190"/>
      <c r="U90" s="191">
        <f>I90-(S90*($L$2-$J$1)+(T90*($L$2-$L$1)))</f>
        <v>2458.4100000000003</v>
      </c>
    </row>
    <row r="91" spans="1:21" x14ac:dyDescent="0.3">
      <c r="A91" s="185"/>
      <c r="B91" s="231">
        <v>0</v>
      </c>
      <c r="C91" s="231">
        <v>0</v>
      </c>
      <c r="D91" s="140">
        <f>'Data Ocupacion'!AB34</f>
        <v>0</v>
      </c>
      <c r="E91" s="140">
        <f>'Data Ocupacion'!AC34</f>
        <v>0</v>
      </c>
      <c r="F91" s="231" t="s">
        <v>36</v>
      </c>
      <c r="G91" s="294">
        <f t="shared" si="74"/>
        <v>0</v>
      </c>
      <c r="H91" s="231">
        <f t="shared" si="75"/>
        <v>0</v>
      </c>
      <c r="I91" s="231">
        <f>G91*L$1</f>
        <v>0</v>
      </c>
      <c r="J91" s="156">
        <f>H91*L$1</f>
        <v>0</v>
      </c>
      <c r="K91" s="231">
        <f t="shared" si="76"/>
        <v>0</v>
      </c>
      <c r="L91" s="231">
        <f t="shared" si="77"/>
        <v>0</v>
      </c>
      <c r="M91" s="19"/>
      <c r="N91" s="19"/>
      <c r="O91" s="149"/>
      <c r="P91" s="263"/>
      <c r="Q91" s="197"/>
      <c r="R91" s="244"/>
      <c r="S91" s="193"/>
      <c r="T91" s="196"/>
      <c r="U91" s="188">
        <f>I91-(P91*($L$1-$J$1))</f>
        <v>0</v>
      </c>
    </row>
    <row r="92" spans="1:21" ht="15" customHeight="1" x14ac:dyDescent="0.3">
      <c r="A92" s="185"/>
      <c r="B92" s="231">
        <v>0</v>
      </c>
      <c r="C92" s="231">
        <v>0</v>
      </c>
      <c r="D92" s="140">
        <f>'Data Ocupacion'!AB35</f>
        <v>0</v>
      </c>
      <c r="E92" s="140">
        <f>'Data Ocupacion'!AC35</f>
        <v>0</v>
      </c>
      <c r="F92" s="231" t="s">
        <v>53</v>
      </c>
      <c r="G92" s="294">
        <f t="shared" si="74"/>
        <v>0</v>
      </c>
      <c r="H92" s="231">
        <f t="shared" si="75"/>
        <v>0</v>
      </c>
      <c r="I92" s="231">
        <f>G92*L$1</f>
        <v>0</v>
      </c>
      <c r="J92" s="156">
        <f>H92*L$1</f>
        <v>0</v>
      </c>
      <c r="K92" s="231">
        <f t="shared" si="76"/>
        <v>0</v>
      </c>
      <c r="L92" s="231">
        <f t="shared" si="77"/>
        <v>0</v>
      </c>
      <c r="M92" s="19"/>
      <c r="N92" s="19"/>
      <c r="O92" s="149"/>
      <c r="P92" s="270"/>
      <c r="Q92" s="270"/>
      <c r="R92" s="270"/>
      <c r="S92" s="270"/>
      <c r="T92" s="196"/>
      <c r="U92" s="188">
        <f t="shared" ref="U92:U93" si="78">I92</f>
        <v>0</v>
      </c>
    </row>
    <row r="93" spans="1:21" ht="15" customHeight="1" x14ac:dyDescent="0.3">
      <c r="A93" s="185"/>
      <c r="B93" s="231">
        <v>0</v>
      </c>
      <c r="C93" s="231">
        <v>0</v>
      </c>
      <c r="D93" s="140">
        <f>'Data Ocupacion'!AB36</f>
        <v>0</v>
      </c>
      <c r="E93" s="140">
        <f>'Data Ocupacion'!AC36</f>
        <v>0</v>
      </c>
      <c r="F93" s="231" t="s">
        <v>122</v>
      </c>
      <c r="G93" s="294">
        <f t="shared" si="74"/>
        <v>0</v>
      </c>
      <c r="H93" s="231">
        <f t="shared" si="75"/>
        <v>0</v>
      </c>
      <c r="I93" s="296">
        <f>G93*J$1</f>
        <v>0</v>
      </c>
      <c r="J93" s="156">
        <f>H93*J$1</f>
        <v>0</v>
      </c>
      <c r="K93" s="231">
        <f t="shared" si="76"/>
        <v>0</v>
      </c>
      <c r="L93" s="231">
        <f t="shared" si="77"/>
        <v>0</v>
      </c>
      <c r="M93" s="19"/>
      <c r="N93" s="19"/>
      <c r="O93" s="149"/>
      <c r="P93" s="270"/>
      <c r="Q93" s="270"/>
      <c r="R93" s="270"/>
      <c r="S93" s="270"/>
      <c r="T93" s="196"/>
      <c r="U93" s="188">
        <f t="shared" si="78"/>
        <v>0</v>
      </c>
    </row>
    <row r="94" spans="1:21" ht="15" thickBot="1" x14ac:dyDescent="0.35">
      <c r="A94" s="185"/>
      <c r="B94" s="231">
        <v>0</v>
      </c>
      <c r="C94" s="231">
        <v>0</v>
      </c>
      <c r="D94" s="140">
        <f>'Data Ocupacion'!AB37</f>
        <v>0</v>
      </c>
      <c r="E94" s="140">
        <f>'Data Ocupacion'!AC37</f>
        <v>0</v>
      </c>
      <c r="F94" s="231" t="s">
        <v>35</v>
      </c>
      <c r="G94" s="294">
        <f t="shared" si="74"/>
        <v>0</v>
      </c>
      <c r="H94" s="297">
        <f t="shared" si="75"/>
        <v>0</v>
      </c>
      <c r="I94" s="297">
        <f>G94*J$1</f>
        <v>0</v>
      </c>
      <c r="J94" s="156">
        <f>H94*J$1</f>
        <v>0</v>
      </c>
      <c r="K94" s="231">
        <f t="shared" si="76"/>
        <v>0</v>
      </c>
      <c r="L94" s="231">
        <f t="shared" si="77"/>
        <v>0</v>
      </c>
      <c r="M94" s="19"/>
      <c r="N94" s="19"/>
      <c r="O94" s="149"/>
      <c r="P94" s="270"/>
      <c r="Q94" s="270"/>
      <c r="R94" s="270"/>
      <c r="S94" s="270"/>
      <c r="T94" s="196"/>
      <c r="U94" s="188">
        <f>I94</f>
        <v>0</v>
      </c>
    </row>
    <row r="95" spans="1:21" s="127" customFormat="1" ht="15" thickBot="1" x14ac:dyDescent="0.35">
      <c r="A95" s="20"/>
      <c r="B95" s="230">
        <f>SUM(B89:B94)</f>
        <v>108</v>
      </c>
      <c r="C95" s="230">
        <f>SUM(C89:C94)</f>
        <v>3</v>
      </c>
      <c r="D95" s="151">
        <f>SUM(D89:D94)</f>
        <v>109</v>
      </c>
      <c r="E95" s="151">
        <f>SUM(E89:E94)</f>
        <v>2</v>
      </c>
      <c r="F95" s="121"/>
      <c r="G95" s="121">
        <f t="shared" ref="G95:L95" si="79">SUM(G89:G94)</f>
        <v>113</v>
      </c>
      <c r="H95" s="121">
        <f t="shared" si="79"/>
        <v>111</v>
      </c>
      <c r="I95" s="122">
        <f t="shared" si="79"/>
        <v>4873.6900000000005</v>
      </c>
      <c r="J95" s="121">
        <f t="shared" si="79"/>
        <v>4787.43</v>
      </c>
      <c r="K95" s="121">
        <f t="shared" si="79"/>
        <v>506863.76000000007</v>
      </c>
      <c r="L95" s="121">
        <f t="shared" si="79"/>
        <v>11544</v>
      </c>
      <c r="M95" s="126">
        <f>'Odometro-Kilometraje'!N81</f>
        <v>4972</v>
      </c>
      <c r="N95" s="21">
        <f>(U95/M95)*100</f>
        <v>98.02272727272728</v>
      </c>
      <c r="O95" s="199"/>
      <c r="P95" s="271"/>
      <c r="Q95" s="271"/>
      <c r="R95" s="271"/>
      <c r="S95" s="271"/>
      <c r="T95" s="187"/>
      <c r="U95" s="200">
        <f>SUM(U89:U94)</f>
        <v>4873.6900000000005</v>
      </c>
    </row>
    <row r="96" spans="1:21" ht="17.25" customHeight="1" x14ac:dyDescent="0.3">
      <c r="A96" s="62">
        <f>A89+1</f>
        <v>45579</v>
      </c>
      <c r="B96" s="128">
        <v>36</v>
      </c>
      <c r="C96" s="128">
        <v>47</v>
      </c>
      <c r="D96" s="129">
        <f>'Data Ocupacion'!AD32</f>
        <v>35</v>
      </c>
      <c r="E96" s="129">
        <f>'Data Ocupacion'!AE32</f>
        <v>48</v>
      </c>
      <c r="F96" s="128" t="s">
        <v>38</v>
      </c>
      <c r="G96" s="128">
        <f t="shared" ref="G96:G101" si="80">D96+E96*2</f>
        <v>131</v>
      </c>
      <c r="H96" s="128">
        <f t="shared" ref="H96:H101" si="81">D96+E96</f>
        <v>83</v>
      </c>
      <c r="I96" s="128">
        <f>G96*L$2</f>
        <v>5650.0300000000007</v>
      </c>
      <c r="J96" s="156">
        <f>H96*L$2</f>
        <v>3579.7900000000004</v>
      </c>
      <c r="K96" s="128">
        <f t="shared" ref="K96:K101" si="82">I96*104</f>
        <v>587603.12000000011</v>
      </c>
      <c r="L96" s="128">
        <f t="shared" ref="L96:L101" si="83">H96*104</f>
        <v>8632</v>
      </c>
      <c r="M96" s="19"/>
      <c r="N96" s="19"/>
      <c r="O96" s="149"/>
      <c r="P96" s="263">
        <v>5</v>
      </c>
      <c r="Q96" s="189"/>
      <c r="R96" s="216"/>
      <c r="S96" s="289">
        <v>1</v>
      </c>
      <c r="T96" s="198"/>
      <c r="U96" s="191">
        <f>I96-((P96*($L$2-$J$1)))-(S96*($J$1))</f>
        <v>5535.9800000000014</v>
      </c>
    </row>
    <row r="97" spans="1:23" ht="15" customHeight="1" x14ac:dyDescent="0.3">
      <c r="A97" s="277"/>
      <c r="B97" s="128">
        <v>35</v>
      </c>
      <c r="C97" s="128">
        <v>44</v>
      </c>
      <c r="D97" s="129">
        <f>'Data Ocupacion'!AD33</f>
        <v>35</v>
      </c>
      <c r="E97" s="129">
        <f>'Data Ocupacion'!AE33</f>
        <v>44</v>
      </c>
      <c r="F97" s="128" t="s">
        <v>52</v>
      </c>
      <c r="G97" s="128">
        <f t="shared" si="80"/>
        <v>123</v>
      </c>
      <c r="H97" s="128">
        <f t="shared" si="81"/>
        <v>79</v>
      </c>
      <c r="I97" s="128">
        <f>G97*L$2</f>
        <v>5304.9900000000007</v>
      </c>
      <c r="J97" s="156">
        <f>H97*L$2</f>
        <v>3407.27</v>
      </c>
      <c r="K97" s="128">
        <f t="shared" si="82"/>
        <v>551718.96000000008</v>
      </c>
      <c r="L97" s="128">
        <f t="shared" si="83"/>
        <v>8216</v>
      </c>
      <c r="M97" s="19"/>
      <c r="N97" s="19"/>
      <c r="O97" s="149"/>
      <c r="P97" s="193"/>
      <c r="Q97" s="193"/>
      <c r="R97" s="193"/>
      <c r="S97" s="263"/>
      <c r="T97" s="214"/>
      <c r="U97" s="191">
        <f>I97-(S97*($L$2-$J$1)+(T97*($L$2-$L$1)))</f>
        <v>5304.9900000000007</v>
      </c>
    </row>
    <row r="98" spans="1:23" ht="15" customHeight="1" x14ac:dyDescent="0.3">
      <c r="A98" s="277"/>
      <c r="B98" s="128">
        <v>0</v>
      </c>
      <c r="C98" s="128">
        <v>2</v>
      </c>
      <c r="D98" s="129">
        <f>'Data Ocupacion'!AD34</f>
        <v>0</v>
      </c>
      <c r="E98" s="129">
        <f>'Data Ocupacion'!AE34</f>
        <v>2</v>
      </c>
      <c r="F98" s="128" t="s">
        <v>36</v>
      </c>
      <c r="G98" s="128">
        <f t="shared" si="80"/>
        <v>4</v>
      </c>
      <c r="H98" s="128">
        <f t="shared" si="81"/>
        <v>2</v>
      </c>
      <c r="I98" s="128">
        <f>G98*L$1</f>
        <v>116.44</v>
      </c>
      <c r="J98" s="156">
        <f>H98*L$1</f>
        <v>58.22</v>
      </c>
      <c r="K98" s="128">
        <f t="shared" si="82"/>
        <v>12109.76</v>
      </c>
      <c r="L98" s="128">
        <f t="shared" si="83"/>
        <v>208</v>
      </c>
      <c r="M98" s="19"/>
      <c r="N98" s="19"/>
      <c r="O98" s="149"/>
      <c r="P98" s="192"/>
      <c r="Q98" s="194"/>
      <c r="R98" s="217"/>
      <c r="S98" s="195"/>
      <c r="T98" s="196"/>
      <c r="U98" s="188">
        <f>I98-(P98*($L$1-$J$1))</f>
        <v>116.44</v>
      </c>
    </row>
    <row r="99" spans="1:23" ht="15" customHeight="1" x14ac:dyDescent="0.3">
      <c r="A99" s="277"/>
      <c r="B99" s="128">
        <v>0</v>
      </c>
      <c r="C99" s="128">
        <v>3</v>
      </c>
      <c r="D99" s="129">
        <f>'Data Ocupacion'!AD35</f>
        <v>0</v>
      </c>
      <c r="E99" s="129">
        <f>'Data Ocupacion'!AE35</f>
        <v>3</v>
      </c>
      <c r="F99" s="128" t="s">
        <v>53</v>
      </c>
      <c r="G99" s="128">
        <f t="shared" si="80"/>
        <v>6</v>
      </c>
      <c r="H99" s="128">
        <f t="shared" si="81"/>
        <v>3</v>
      </c>
      <c r="I99" s="128">
        <f>G99*L$1</f>
        <v>174.66</v>
      </c>
      <c r="J99" s="156">
        <f>H99*L$1</f>
        <v>87.33</v>
      </c>
      <c r="K99" s="128">
        <f t="shared" si="82"/>
        <v>18164.64</v>
      </c>
      <c r="L99" s="128">
        <f t="shared" si="83"/>
        <v>312</v>
      </c>
      <c r="M99" s="19"/>
      <c r="N99" s="19"/>
      <c r="O99" s="149"/>
      <c r="P99" s="196"/>
      <c r="Q99" s="196"/>
      <c r="R99" s="196"/>
      <c r="S99" s="196"/>
      <c r="T99" s="196"/>
      <c r="U99" s="188">
        <f t="shared" ref="U99:U100" si="84">I99</f>
        <v>174.66</v>
      </c>
    </row>
    <row r="100" spans="1:23" ht="15" customHeight="1" x14ac:dyDescent="0.3">
      <c r="A100" s="277"/>
      <c r="B100" s="128">
        <v>0</v>
      </c>
      <c r="C100" s="128">
        <v>0</v>
      </c>
      <c r="D100" s="129">
        <f>'Data Ocupacion'!AD36</f>
        <v>0</v>
      </c>
      <c r="E100" s="129">
        <f>'Data Ocupacion'!AE36</f>
        <v>0</v>
      </c>
      <c r="F100" s="128" t="s">
        <v>122</v>
      </c>
      <c r="G100" s="128">
        <f t="shared" si="80"/>
        <v>0</v>
      </c>
      <c r="H100" s="128">
        <f t="shared" si="81"/>
        <v>0</v>
      </c>
      <c r="I100" s="128">
        <f>G100*J$1</f>
        <v>0</v>
      </c>
      <c r="J100" s="156">
        <f>H100*J$1</f>
        <v>0</v>
      </c>
      <c r="K100" s="128">
        <f t="shared" si="82"/>
        <v>0</v>
      </c>
      <c r="L100" s="128">
        <f t="shared" si="83"/>
        <v>0</v>
      </c>
      <c r="M100" s="19"/>
      <c r="N100" s="19"/>
      <c r="O100" s="149"/>
      <c r="P100" s="196"/>
      <c r="Q100" s="196"/>
      <c r="R100" s="196"/>
      <c r="S100" s="196"/>
      <c r="T100" s="196"/>
      <c r="U100" s="188">
        <f t="shared" si="84"/>
        <v>0</v>
      </c>
    </row>
    <row r="101" spans="1:23" ht="15" customHeight="1" thickBot="1" x14ac:dyDescent="0.35">
      <c r="A101" s="277"/>
      <c r="B101" s="128">
        <v>1</v>
      </c>
      <c r="C101" s="128">
        <v>2</v>
      </c>
      <c r="D101" s="129">
        <f>'Data Ocupacion'!AD37</f>
        <v>1</v>
      </c>
      <c r="E101" s="129">
        <f>'Data Ocupacion'!AE37</f>
        <v>2</v>
      </c>
      <c r="F101" s="128" t="s">
        <v>35</v>
      </c>
      <c r="G101" s="128">
        <f t="shared" si="80"/>
        <v>5</v>
      </c>
      <c r="H101" s="128">
        <f t="shared" si="81"/>
        <v>3</v>
      </c>
      <c r="I101" s="128">
        <f>G101*J$1</f>
        <v>127</v>
      </c>
      <c r="J101" s="156">
        <f>H101*J$1</f>
        <v>76.199999999999989</v>
      </c>
      <c r="K101" s="128">
        <f t="shared" si="82"/>
        <v>13208</v>
      </c>
      <c r="L101" s="128">
        <f t="shared" si="83"/>
        <v>312</v>
      </c>
      <c r="M101" s="19"/>
      <c r="N101" s="19"/>
      <c r="O101" s="149"/>
      <c r="P101" s="196"/>
      <c r="Q101" s="196"/>
      <c r="R101" s="196"/>
      <c r="S101" s="196"/>
      <c r="T101" s="196"/>
      <c r="U101" s="188">
        <f>I101</f>
        <v>127</v>
      </c>
    </row>
    <row r="102" spans="1:23" s="127" customFormat="1" ht="15" customHeight="1" thickBot="1" x14ac:dyDescent="0.35">
      <c r="A102" s="20"/>
      <c r="B102" s="230">
        <f>SUM(B96:B101)</f>
        <v>72</v>
      </c>
      <c r="C102" s="230">
        <f>SUM(C96:C101)</f>
        <v>98</v>
      </c>
      <c r="D102" s="155">
        <f>SUM(D96:D101)</f>
        <v>71</v>
      </c>
      <c r="E102" s="155">
        <f>SUM(E96:E101)</f>
        <v>99</v>
      </c>
      <c r="F102" s="121"/>
      <c r="G102" s="121">
        <f t="shared" ref="G102:L102" si="85">SUM(G96:G101)</f>
        <v>269</v>
      </c>
      <c r="H102" s="121">
        <f t="shared" si="85"/>
        <v>170</v>
      </c>
      <c r="I102" s="122">
        <f t="shared" si="85"/>
        <v>11373.12</v>
      </c>
      <c r="J102" s="121">
        <f t="shared" si="85"/>
        <v>7208.81</v>
      </c>
      <c r="K102" s="120">
        <f t="shared" si="85"/>
        <v>1182804.48</v>
      </c>
      <c r="L102" s="154">
        <f t="shared" si="85"/>
        <v>17680</v>
      </c>
      <c r="M102" s="126">
        <f>'Odometro-Kilometraje'!O81</f>
        <v>11802</v>
      </c>
      <c r="N102" s="21">
        <f>(U102/M102)*100</f>
        <v>95.399678020674472</v>
      </c>
      <c r="O102" s="199"/>
      <c r="P102" s="187"/>
      <c r="Q102" s="187"/>
      <c r="R102" s="187"/>
      <c r="S102" s="187"/>
      <c r="T102" s="187"/>
      <c r="U102" s="200">
        <f>SUM(U96:U101)</f>
        <v>11259.070000000002</v>
      </c>
    </row>
    <row r="103" spans="1:23" ht="15.75" customHeight="1" x14ac:dyDescent="0.3">
      <c r="A103" s="62">
        <f>A96+1</f>
        <v>45580</v>
      </c>
      <c r="B103" s="128">
        <v>36</v>
      </c>
      <c r="C103" s="128">
        <v>47</v>
      </c>
      <c r="D103" s="129">
        <f>'Data Ocupacion'!AF32</f>
        <v>35</v>
      </c>
      <c r="E103" s="129">
        <f>'Data Ocupacion'!AG32</f>
        <v>48</v>
      </c>
      <c r="F103" s="128" t="s">
        <v>38</v>
      </c>
      <c r="G103" s="128">
        <f t="shared" ref="G103:G108" si="86">D103+E103*2</f>
        <v>131</v>
      </c>
      <c r="H103" s="128">
        <f t="shared" ref="H103:H108" si="87">D103+E103</f>
        <v>83</v>
      </c>
      <c r="I103" s="128">
        <f>G103*L$2</f>
        <v>5650.0300000000007</v>
      </c>
      <c r="J103" s="156">
        <f>H103*L$2</f>
        <v>3579.7900000000004</v>
      </c>
      <c r="K103" s="128">
        <f t="shared" ref="K103:K108" si="88">I103*104</f>
        <v>587603.12000000011</v>
      </c>
      <c r="L103" s="128">
        <f t="shared" ref="L103:L108" si="89">H103*104</f>
        <v>8632</v>
      </c>
      <c r="M103" s="19"/>
      <c r="N103" s="19"/>
      <c r="O103" s="149"/>
      <c r="P103" s="263">
        <v>5</v>
      </c>
      <c r="Q103" s="189"/>
      <c r="R103" s="216"/>
      <c r="S103" s="289">
        <v>1</v>
      </c>
      <c r="T103" s="198"/>
      <c r="U103" s="191">
        <f>I103-((P103*($L$2-$J$1)))-(S103*($J$1))</f>
        <v>5535.9800000000014</v>
      </c>
    </row>
    <row r="104" spans="1:23" ht="15" customHeight="1" x14ac:dyDescent="0.3">
      <c r="A104" s="277"/>
      <c r="B104" s="128">
        <v>35</v>
      </c>
      <c r="C104" s="128">
        <v>44</v>
      </c>
      <c r="D104" s="129">
        <f>'Data Ocupacion'!AF33</f>
        <v>35</v>
      </c>
      <c r="E104" s="129">
        <f>'Data Ocupacion'!AG33</f>
        <v>44</v>
      </c>
      <c r="F104" s="128" t="s">
        <v>52</v>
      </c>
      <c r="G104" s="128">
        <f t="shared" si="86"/>
        <v>123</v>
      </c>
      <c r="H104" s="128">
        <f t="shared" si="87"/>
        <v>79</v>
      </c>
      <c r="I104" s="128">
        <f>G104*L$2</f>
        <v>5304.9900000000007</v>
      </c>
      <c r="J104" s="156">
        <f>H104*L$2</f>
        <v>3407.27</v>
      </c>
      <c r="K104" s="128">
        <f t="shared" si="88"/>
        <v>551718.96000000008</v>
      </c>
      <c r="L104" s="128">
        <f t="shared" si="89"/>
        <v>8216</v>
      </c>
      <c r="M104" s="19"/>
      <c r="N104" s="19"/>
      <c r="O104" s="149"/>
      <c r="P104" s="193"/>
      <c r="Q104" s="193"/>
      <c r="R104" s="193"/>
      <c r="S104" s="256">
        <v>2</v>
      </c>
      <c r="T104" s="190"/>
      <c r="U104" s="191">
        <f>I104-(S104*($L$2-$J$1)+(T104*($L$2-$L$1)))</f>
        <v>5269.5300000000007</v>
      </c>
    </row>
    <row r="105" spans="1:23" ht="14.25" customHeight="1" x14ac:dyDescent="0.3">
      <c r="A105" s="277"/>
      <c r="B105" s="128">
        <v>0</v>
      </c>
      <c r="C105" s="128">
        <v>2</v>
      </c>
      <c r="D105" s="129">
        <f>'Data Ocupacion'!AF34</f>
        <v>0</v>
      </c>
      <c r="E105" s="129">
        <f>'Data Ocupacion'!AG34</f>
        <v>2</v>
      </c>
      <c r="F105" s="128" t="s">
        <v>36</v>
      </c>
      <c r="G105" s="128">
        <f t="shared" si="86"/>
        <v>4</v>
      </c>
      <c r="H105" s="128">
        <f t="shared" si="87"/>
        <v>2</v>
      </c>
      <c r="I105" s="128">
        <f>G105*L$1</f>
        <v>116.44</v>
      </c>
      <c r="J105" s="156">
        <f>H105*L$1</f>
        <v>58.22</v>
      </c>
      <c r="K105" s="128">
        <f t="shared" si="88"/>
        <v>12109.76</v>
      </c>
      <c r="L105" s="128">
        <f t="shared" si="89"/>
        <v>208</v>
      </c>
      <c r="M105" s="19"/>
      <c r="N105" s="19"/>
      <c r="O105" s="149"/>
      <c r="P105" s="192"/>
      <c r="Q105" s="194"/>
      <c r="R105" s="217"/>
      <c r="S105" s="195"/>
      <c r="T105" s="196"/>
      <c r="U105" s="188">
        <f>I105-(P105*($L$1-$J$1))</f>
        <v>116.44</v>
      </c>
    </row>
    <row r="106" spans="1:23" ht="15" customHeight="1" x14ac:dyDescent="0.3">
      <c r="A106" s="277"/>
      <c r="B106" s="128">
        <v>0</v>
      </c>
      <c r="C106" s="128">
        <v>3</v>
      </c>
      <c r="D106" s="129">
        <f>'Data Ocupacion'!AF35</f>
        <v>0</v>
      </c>
      <c r="E106" s="129">
        <f>'Data Ocupacion'!AG35</f>
        <v>3</v>
      </c>
      <c r="F106" s="128" t="s">
        <v>53</v>
      </c>
      <c r="G106" s="128">
        <f t="shared" si="86"/>
        <v>6</v>
      </c>
      <c r="H106" s="128">
        <f t="shared" si="87"/>
        <v>3</v>
      </c>
      <c r="I106" s="128">
        <f>G106*L$1</f>
        <v>174.66</v>
      </c>
      <c r="J106" s="156">
        <f>H106*L$1</f>
        <v>87.33</v>
      </c>
      <c r="K106" s="128">
        <f t="shared" si="88"/>
        <v>18164.64</v>
      </c>
      <c r="L106" s="128">
        <f t="shared" si="89"/>
        <v>312</v>
      </c>
      <c r="M106" s="19"/>
      <c r="N106" s="19"/>
      <c r="O106" s="149"/>
      <c r="P106" s="196"/>
      <c r="Q106" s="196"/>
      <c r="R106" s="196"/>
      <c r="S106" s="196"/>
      <c r="T106" s="196"/>
      <c r="U106" s="188">
        <f t="shared" ref="U106:U107" si="90">I106</f>
        <v>174.66</v>
      </c>
    </row>
    <row r="107" spans="1:23" ht="15" customHeight="1" x14ac:dyDescent="0.3">
      <c r="A107" s="277"/>
      <c r="B107" s="128">
        <v>0</v>
      </c>
      <c r="C107" s="128">
        <v>0</v>
      </c>
      <c r="D107" s="129">
        <f>'Data Ocupacion'!AF36</f>
        <v>0</v>
      </c>
      <c r="E107" s="129">
        <f>'Data Ocupacion'!AG36</f>
        <v>0</v>
      </c>
      <c r="F107" s="128" t="s">
        <v>122</v>
      </c>
      <c r="G107" s="128">
        <f t="shared" si="86"/>
        <v>0</v>
      </c>
      <c r="H107" s="128">
        <f t="shared" si="87"/>
        <v>0</v>
      </c>
      <c r="I107" s="128">
        <f>G107*J$1</f>
        <v>0</v>
      </c>
      <c r="J107" s="156">
        <f>H107*J$1</f>
        <v>0</v>
      </c>
      <c r="K107" s="128">
        <f t="shared" si="88"/>
        <v>0</v>
      </c>
      <c r="L107" s="128">
        <f t="shared" si="89"/>
        <v>0</v>
      </c>
      <c r="M107" s="19"/>
      <c r="N107" s="19"/>
      <c r="O107" s="149"/>
      <c r="P107" s="196"/>
      <c r="Q107" s="196"/>
      <c r="R107" s="196"/>
      <c r="S107" s="196"/>
      <c r="T107" s="196"/>
      <c r="U107" s="188">
        <f t="shared" si="90"/>
        <v>0</v>
      </c>
    </row>
    <row r="108" spans="1:23" ht="15" customHeight="1" thickBot="1" x14ac:dyDescent="0.35">
      <c r="A108" s="277"/>
      <c r="B108" s="128">
        <v>1</v>
      </c>
      <c r="C108" s="128">
        <v>2</v>
      </c>
      <c r="D108" s="129">
        <f>'Data Ocupacion'!AF37</f>
        <v>1</v>
      </c>
      <c r="E108" s="129">
        <f>'Data Ocupacion'!AG37</f>
        <v>2</v>
      </c>
      <c r="F108" s="128" t="s">
        <v>35</v>
      </c>
      <c r="G108" s="128">
        <f t="shared" si="86"/>
        <v>5</v>
      </c>
      <c r="H108" s="128">
        <f t="shared" si="87"/>
        <v>3</v>
      </c>
      <c r="I108" s="128">
        <f>G108*J$1</f>
        <v>127</v>
      </c>
      <c r="J108" s="156">
        <f>H108*J$1</f>
        <v>76.199999999999989</v>
      </c>
      <c r="K108" s="128">
        <f t="shared" si="88"/>
        <v>13208</v>
      </c>
      <c r="L108" s="128">
        <f t="shared" si="89"/>
        <v>312</v>
      </c>
      <c r="M108" s="19"/>
      <c r="N108" s="19"/>
      <c r="O108" s="149"/>
      <c r="P108" s="196"/>
      <c r="Q108" s="196"/>
      <c r="R108" s="196"/>
      <c r="S108" s="196"/>
      <c r="T108" s="196"/>
      <c r="U108" s="188">
        <f>I108</f>
        <v>127</v>
      </c>
    </row>
    <row r="109" spans="1:23" s="127" customFormat="1" ht="15" customHeight="1" thickBot="1" x14ac:dyDescent="0.35">
      <c r="A109" s="20"/>
      <c r="B109" s="230">
        <f>SUM(B103:B108)</f>
        <v>72</v>
      </c>
      <c r="C109" s="230">
        <f>SUM(C103:C108)</f>
        <v>98</v>
      </c>
      <c r="D109" s="155">
        <f>SUM(D103:D108)</f>
        <v>71</v>
      </c>
      <c r="E109" s="155">
        <f>SUM(E103:E108)</f>
        <v>99</v>
      </c>
      <c r="F109" s="121"/>
      <c r="G109" s="121">
        <f t="shared" ref="G109:L109" si="91">SUM(G103:G108)</f>
        <v>269</v>
      </c>
      <c r="H109" s="121">
        <f t="shared" si="91"/>
        <v>170</v>
      </c>
      <c r="I109" s="122">
        <f t="shared" si="91"/>
        <v>11373.12</v>
      </c>
      <c r="J109" s="121">
        <f t="shared" si="91"/>
        <v>7208.81</v>
      </c>
      <c r="K109" s="120">
        <f t="shared" si="91"/>
        <v>1182804.48</v>
      </c>
      <c r="L109" s="154">
        <f t="shared" si="91"/>
        <v>17680</v>
      </c>
      <c r="M109" s="126">
        <f>'Odometro-Kilometraje'!P81</f>
        <v>11645</v>
      </c>
      <c r="N109" s="21">
        <f>(U109/M109)*100</f>
        <v>96.381365392872496</v>
      </c>
      <c r="O109" s="199"/>
      <c r="P109" s="187"/>
      <c r="Q109" s="187"/>
      <c r="R109" s="187"/>
      <c r="S109" s="187"/>
      <c r="T109" s="187"/>
      <c r="U109" s="200">
        <f>SUM(U103:U108)</f>
        <v>11223.610000000002</v>
      </c>
    </row>
    <row r="110" spans="1:23" ht="15.75" customHeight="1" x14ac:dyDescent="0.3">
      <c r="A110" s="62">
        <f>A103+1</f>
        <v>45581</v>
      </c>
      <c r="B110" s="128">
        <v>36</v>
      </c>
      <c r="C110" s="128">
        <v>47</v>
      </c>
      <c r="D110" s="140">
        <f>'Data Ocupacion'!AH32</f>
        <v>35</v>
      </c>
      <c r="E110" s="140">
        <f>'Data Ocupacion'!AI32</f>
        <v>48</v>
      </c>
      <c r="F110" s="235" t="s">
        <v>38</v>
      </c>
      <c r="G110" s="236">
        <f t="shared" ref="G110:G115" si="92">D110+E110*2</f>
        <v>131</v>
      </c>
      <c r="H110" s="237">
        <f t="shared" ref="H110:H115" si="93">D110+E110</f>
        <v>83</v>
      </c>
      <c r="I110" s="237">
        <f>G110*L$2</f>
        <v>5650.0300000000007</v>
      </c>
      <c r="J110" s="156">
        <f>H110*L$2</f>
        <v>3579.7900000000004</v>
      </c>
      <c r="K110" s="128">
        <f t="shared" ref="K110:K115" si="94">I110*104</f>
        <v>587603.12000000011</v>
      </c>
      <c r="L110" s="128">
        <f t="shared" ref="L110:L115" si="95">H110*104</f>
        <v>8632</v>
      </c>
      <c r="M110" s="19"/>
      <c r="N110" s="19"/>
      <c r="O110" s="149"/>
      <c r="P110" s="189">
        <v>4</v>
      </c>
      <c r="Q110" s="189"/>
      <c r="R110" s="216"/>
      <c r="S110" s="289">
        <v>1</v>
      </c>
      <c r="T110" s="198"/>
      <c r="U110" s="191">
        <f>I110-((P110*($L$2-$J$1)))-(S110*($J$1))</f>
        <v>5553.7100000000009</v>
      </c>
    </row>
    <row r="111" spans="1:23" ht="15" customHeight="1" x14ac:dyDescent="0.3">
      <c r="A111" s="277"/>
      <c r="B111" s="128">
        <v>35</v>
      </c>
      <c r="C111" s="128">
        <v>44</v>
      </c>
      <c r="D111" s="129">
        <f>'Data Ocupacion'!AH33</f>
        <v>35</v>
      </c>
      <c r="E111" s="129">
        <f>'Data Ocupacion'!AI33</f>
        <v>44</v>
      </c>
      <c r="F111" s="235" t="s">
        <v>52</v>
      </c>
      <c r="G111" s="236">
        <f t="shared" si="92"/>
        <v>123</v>
      </c>
      <c r="H111" s="128">
        <f t="shared" si="93"/>
        <v>79</v>
      </c>
      <c r="I111" s="128">
        <f>G111*L$2</f>
        <v>5304.9900000000007</v>
      </c>
      <c r="J111" s="156">
        <f>H111*L$2</f>
        <v>3407.27</v>
      </c>
      <c r="K111" s="128">
        <f t="shared" si="94"/>
        <v>551718.96000000008</v>
      </c>
      <c r="L111" s="128">
        <f t="shared" si="95"/>
        <v>8216</v>
      </c>
      <c r="M111" s="19"/>
      <c r="N111" s="19"/>
      <c r="O111" s="149"/>
      <c r="P111" s="193"/>
      <c r="Q111" s="193"/>
      <c r="R111" s="193"/>
      <c r="S111" s="189"/>
      <c r="T111" s="190"/>
      <c r="U111" s="191">
        <f>I111-(S111*($L$2-$J$1)+(T111*($L$2-$L$1)))</f>
        <v>5304.9900000000007</v>
      </c>
      <c r="W111" s="175"/>
    </row>
    <row r="112" spans="1:23" x14ac:dyDescent="0.3">
      <c r="A112" s="277"/>
      <c r="B112" s="128">
        <v>0</v>
      </c>
      <c r="C112" s="128">
        <v>2</v>
      </c>
      <c r="D112" s="129">
        <f>'Data Ocupacion'!AH34</f>
        <v>0</v>
      </c>
      <c r="E112" s="129">
        <f>'Data Ocupacion'!AI34</f>
        <v>2</v>
      </c>
      <c r="F112" s="235" t="s">
        <v>36</v>
      </c>
      <c r="G112" s="236">
        <f t="shared" si="92"/>
        <v>4</v>
      </c>
      <c r="H112" s="128">
        <f t="shared" si="93"/>
        <v>2</v>
      </c>
      <c r="I112" s="128">
        <f>G112*L$1</f>
        <v>116.44</v>
      </c>
      <c r="J112" s="156">
        <f>H112*L$1</f>
        <v>58.22</v>
      </c>
      <c r="K112" s="128">
        <f t="shared" si="94"/>
        <v>12109.76</v>
      </c>
      <c r="L112" s="128">
        <f t="shared" si="95"/>
        <v>208</v>
      </c>
      <c r="M112" s="19"/>
      <c r="N112" s="19"/>
      <c r="O112" s="149"/>
      <c r="P112" s="192"/>
      <c r="Q112" s="194"/>
      <c r="R112" s="217"/>
      <c r="S112" s="195"/>
      <c r="T112" s="196"/>
      <c r="U112" s="188">
        <f>I112-(P112*($L$1-$J$1))</f>
        <v>116.44</v>
      </c>
    </row>
    <row r="113" spans="1:24" ht="15.75" customHeight="1" x14ac:dyDescent="0.3">
      <c r="A113" s="277"/>
      <c r="B113" s="128">
        <v>0</v>
      </c>
      <c r="C113" s="128">
        <v>3</v>
      </c>
      <c r="D113" s="129">
        <f>'Data Ocupacion'!AH35</f>
        <v>0</v>
      </c>
      <c r="E113" s="129">
        <f>'Data Ocupacion'!AI35</f>
        <v>3</v>
      </c>
      <c r="F113" s="235" t="s">
        <v>53</v>
      </c>
      <c r="G113" s="236">
        <f t="shared" si="92"/>
        <v>6</v>
      </c>
      <c r="H113" s="128">
        <f t="shared" si="93"/>
        <v>3</v>
      </c>
      <c r="I113" s="128">
        <f>G113*L$1</f>
        <v>174.66</v>
      </c>
      <c r="J113" s="156">
        <f>H113*L$1</f>
        <v>87.33</v>
      </c>
      <c r="K113" s="128">
        <f t="shared" si="94"/>
        <v>18164.64</v>
      </c>
      <c r="L113" s="128">
        <f t="shared" si="95"/>
        <v>312</v>
      </c>
      <c r="M113" s="19"/>
      <c r="N113" s="19"/>
      <c r="O113" s="149"/>
      <c r="P113" s="196"/>
      <c r="Q113" s="196"/>
      <c r="R113" s="196"/>
      <c r="S113" s="196"/>
      <c r="T113" s="196"/>
      <c r="U113" s="188">
        <f t="shared" ref="U113:U114" si="96">I113</f>
        <v>174.66</v>
      </c>
    </row>
    <row r="114" spans="1:24" ht="15" customHeight="1" x14ac:dyDescent="0.3">
      <c r="A114" s="277"/>
      <c r="B114" s="128">
        <v>0</v>
      </c>
      <c r="C114" s="128">
        <v>0</v>
      </c>
      <c r="D114" s="129">
        <f>'Data Ocupacion'!AH36</f>
        <v>0</v>
      </c>
      <c r="E114" s="129">
        <f>'Data Ocupacion'!AI36</f>
        <v>0</v>
      </c>
      <c r="F114" s="235" t="s">
        <v>122</v>
      </c>
      <c r="G114" s="236">
        <f t="shared" si="92"/>
        <v>0</v>
      </c>
      <c r="H114" s="128">
        <f t="shared" si="93"/>
        <v>0</v>
      </c>
      <c r="I114" s="238">
        <f>G114*J$1</f>
        <v>0</v>
      </c>
      <c r="J114" s="156">
        <f>H114*J$1</f>
        <v>0</v>
      </c>
      <c r="K114" s="128">
        <f t="shared" si="94"/>
        <v>0</v>
      </c>
      <c r="L114" s="128">
        <f t="shared" si="95"/>
        <v>0</v>
      </c>
      <c r="M114" s="19"/>
      <c r="N114" s="19"/>
      <c r="O114" s="149"/>
      <c r="P114" s="196"/>
      <c r="Q114" s="196"/>
      <c r="R114" s="196"/>
      <c r="S114" s="196"/>
      <c r="T114" s="196"/>
      <c r="U114" s="188">
        <f t="shared" si="96"/>
        <v>0</v>
      </c>
    </row>
    <row r="115" spans="1:24" ht="15" customHeight="1" thickBot="1" x14ac:dyDescent="0.35">
      <c r="A115" s="277"/>
      <c r="B115" s="128">
        <v>1</v>
      </c>
      <c r="C115" s="128">
        <v>2</v>
      </c>
      <c r="D115" s="129">
        <f>'Data Ocupacion'!AH37</f>
        <v>1</v>
      </c>
      <c r="E115" s="129">
        <f>'Data Ocupacion'!AI37</f>
        <v>2</v>
      </c>
      <c r="F115" s="235" t="s">
        <v>35</v>
      </c>
      <c r="G115" s="236">
        <f t="shared" si="92"/>
        <v>5</v>
      </c>
      <c r="H115" s="239">
        <f t="shared" si="93"/>
        <v>3</v>
      </c>
      <c r="I115" s="239">
        <f>G115*J$1</f>
        <v>127</v>
      </c>
      <c r="J115" s="156">
        <f>H115*J$1</f>
        <v>76.199999999999989</v>
      </c>
      <c r="K115" s="128">
        <f t="shared" si="94"/>
        <v>13208</v>
      </c>
      <c r="L115" s="128">
        <f t="shared" si="95"/>
        <v>312</v>
      </c>
      <c r="M115" s="19"/>
      <c r="N115" s="19"/>
      <c r="O115" s="149"/>
      <c r="P115" s="196"/>
      <c r="Q115" s="196"/>
      <c r="R115" s="196"/>
      <c r="S115" s="196"/>
      <c r="T115" s="196"/>
      <c r="U115" s="188">
        <f>I115</f>
        <v>127</v>
      </c>
    </row>
    <row r="116" spans="1:24" s="127" customFormat="1" ht="15" customHeight="1" thickBot="1" x14ac:dyDescent="0.35">
      <c r="A116" s="20"/>
      <c r="B116" s="230">
        <f>SUM(B110:B115)</f>
        <v>72</v>
      </c>
      <c r="C116" s="230">
        <f>SUM(C110:C115)</f>
        <v>98</v>
      </c>
      <c r="D116" s="151">
        <f>SUM(D110:D115)</f>
        <v>71</v>
      </c>
      <c r="E116" s="151">
        <f>SUM(E110:E115)</f>
        <v>99</v>
      </c>
      <c r="F116" s="121"/>
      <c r="G116" s="121">
        <f t="shared" ref="G116:L116" si="97">SUM(G110:G115)</f>
        <v>269</v>
      </c>
      <c r="H116" s="121">
        <f t="shared" si="97"/>
        <v>170</v>
      </c>
      <c r="I116" s="122">
        <f t="shared" si="97"/>
        <v>11373.12</v>
      </c>
      <c r="J116" s="121">
        <f t="shared" si="97"/>
        <v>7208.81</v>
      </c>
      <c r="K116" s="121">
        <f t="shared" si="97"/>
        <v>1182804.48</v>
      </c>
      <c r="L116" s="121">
        <f t="shared" si="97"/>
        <v>17680</v>
      </c>
      <c r="M116" s="126">
        <f>'Odometro-Kilometraje'!Q81</f>
        <v>11684</v>
      </c>
      <c r="N116" s="21">
        <f>(U116/M116)*100</f>
        <v>96.514892160219119</v>
      </c>
      <c r="O116" s="199"/>
      <c r="P116" s="187"/>
      <c r="Q116" s="187"/>
      <c r="R116" s="187"/>
      <c r="S116" s="187"/>
      <c r="T116" s="187"/>
      <c r="U116" s="200">
        <f>SUM(U110:U115)</f>
        <v>11276.800000000001</v>
      </c>
    </row>
    <row r="117" spans="1:24" ht="15.75" customHeight="1" x14ac:dyDescent="0.3">
      <c r="A117" s="62">
        <f>A110+1</f>
        <v>45582</v>
      </c>
      <c r="B117" s="128">
        <v>36</v>
      </c>
      <c r="C117" s="128">
        <v>47</v>
      </c>
      <c r="D117" s="129">
        <f>'Data Ocupacion'!AJ32</f>
        <v>35</v>
      </c>
      <c r="E117" s="129">
        <f>'Data Ocupacion'!AK32</f>
        <v>48</v>
      </c>
      <c r="F117" s="235" t="s">
        <v>38</v>
      </c>
      <c r="G117" s="236">
        <f t="shared" ref="G117:G122" si="98">D117+E117*2</f>
        <v>131</v>
      </c>
      <c r="H117" s="237">
        <f t="shared" ref="H117:H122" si="99">D117+E117</f>
        <v>83</v>
      </c>
      <c r="I117" s="237">
        <f>G117*L$2</f>
        <v>5650.0300000000007</v>
      </c>
      <c r="J117" s="156">
        <f>H117*L$2</f>
        <v>3579.7900000000004</v>
      </c>
      <c r="K117" s="128">
        <f t="shared" ref="K117:K122" si="100">I117*104</f>
        <v>587603.12000000011</v>
      </c>
      <c r="L117" s="128">
        <f t="shared" ref="L117:L122" si="101">H117*104</f>
        <v>8632</v>
      </c>
      <c r="M117" s="19"/>
      <c r="N117" s="19"/>
      <c r="O117" s="149"/>
      <c r="P117" s="189">
        <v>5</v>
      </c>
      <c r="Q117" s="189"/>
      <c r="R117" s="216"/>
      <c r="S117" s="210"/>
      <c r="T117" s="198"/>
      <c r="U117" s="191">
        <f>I117-((P117*($L$2-$J$1)))-(S117*($J$1))</f>
        <v>5561.380000000001</v>
      </c>
    </row>
    <row r="118" spans="1:24" ht="15" customHeight="1" x14ac:dyDescent="0.3">
      <c r="A118" s="277"/>
      <c r="B118" s="128">
        <v>35</v>
      </c>
      <c r="C118" s="128">
        <v>44</v>
      </c>
      <c r="D118" s="129">
        <f>'Data Ocupacion'!AJ33</f>
        <v>35</v>
      </c>
      <c r="E118" s="129">
        <f>'Data Ocupacion'!AK33</f>
        <v>44</v>
      </c>
      <c r="F118" s="235" t="s">
        <v>52</v>
      </c>
      <c r="G118" s="236">
        <f t="shared" si="98"/>
        <v>123</v>
      </c>
      <c r="H118" s="128">
        <f t="shared" si="99"/>
        <v>79</v>
      </c>
      <c r="I118" s="128">
        <f>G118*L$2</f>
        <v>5304.9900000000007</v>
      </c>
      <c r="J118" s="156">
        <f>H118*L$2</f>
        <v>3407.27</v>
      </c>
      <c r="K118" s="128">
        <f t="shared" si="100"/>
        <v>551718.96000000008</v>
      </c>
      <c r="L118" s="128">
        <f t="shared" si="101"/>
        <v>8216</v>
      </c>
      <c r="M118" s="19"/>
      <c r="N118" s="19"/>
      <c r="O118" s="149"/>
      <c r="P118" s="193"/>
      <c r="Q118" s="193"/>
      <c r="R118" s="193"/>
      <c r="S118" s="189">
        <v>2</v>
      </c>
      <c r="T118" s="190"/>
      <c r="U118" s="191">
        <f>I118-(S118*($L$2-$J$1)+(T118*($L$2-$L$1)))</f>
        <v>5269.5300000000007</v>
      </c>
      <c r="W118" s="175"/>
    </row>
    <row r="119" spans="1:24" ht="15" customHeight="1" x14ac:dyDescent="0.3">
      <c r="A119" s="277"/>
      <c r="B119" s="128">
        <v>0</v>
      </c>
      <c r="C119" s="128">
        <v>2</v>
      </c>
      <c r="D119" s="129">
        <f>'Data Ocupacion'!AJ34</f>
        <v>0</v>
      </c>
      <c r="E119" s="129">
        <f>'Data Ocupacion'!AK34</f>
        <v>2</v>
      </c>
      <c r="F119" s="235" t="s">
        <v>36</v>
      </c>
      <c r="G119" s="236">
        <f t="shared" si="98"/>
        <v>4</v>
      </c>
      <c r="H119" s="128">
        <f t="shared" si="99"/>
        <v>2</v>
      </c>
      <c r="I119" s="128">
        <f>G119*L$1</f>
        <v>116.44</v>
      </c>
      <c r="J119" s="156">
        <f>H119*L$1</f>
        <v>58.22</v>
      </c>
      <c r="K119" s="128">
        <f t="shared" si="100"/>
        <v>12109.76</v>
      </c>
      <c r="L119" s="128">
        <f t="shared" si="101"/>
        <v>208</v>
      </c>
      <c r="M119" s="19"/>
      <c r="N119" s="19"/>
      <c r="O119" s="149"/>
      <c r="P119" s="192"/>
      <c r="Q119" s="194"/>
      <c r="R119" s="217"/>
      <c r="S119" s="195"/>
      <c r="T119" s="196"/>
      <c r="U119" s="188">
        <f>I119-(P119*($L$1-$J$1))</f>
        <v>116.44</v>
      </c>
    </row>
    <row r="120" spans="1:24" ht="15" customHeight="1" x14ac:dyDescent="0.3">
      <c r="A120" s="277"/>
      <c r="B120" s="128">
        <v>0</v>
      </c>
      <c r="C120" s="128">
        <v>3</v>
      </c>
      <c r="D120" s="129">
        <f>'Data Ocupacion'!AJ35</f>
        <v>0</v>
      </c>
      <c r="E120" s="129">
        <f>'Data Ocupacion'!AK35</f>
        <v>3</v>
      </c>
      <c r="F120" s="235" t="s">
        <v>53</v>
      </c>
      <c r="G120" s="236">
        <f t="shared" si="98"/>
        <v>6</v>
      </c>
      <c r="H120" s="128">
        <f t="shared" si="99"/>
        <v>3</v>
      </c>
      <c r="I120" s="128">
        <f>G120*L$1</f>
        <v>174.66</v>
      </c>
      <c r="J120" s="156">
        <f>H120*L$1</f>
        <v>87.33</v>
      </c>
      <c r="K120" s="128">
        <f t="shared" si="100"/>
        <v>18164.64</v>
      </c>
      <c r="L120" s="128">
        <f t="shared" si="101"/>
        <v>312</v>
      </c>
      <c r="M120" s="19"/>
      <c r="N120" s="19"/>
      <c r="O120" s="149"/>
      <c r="P120" s="196"/>
      <c r="Q120" s="196"/>
      <c r="R120" s="196"/>
      <c r="S120" s="196"/>
      <c r="T120" s="196"/>
      <c r="U120" s="188">
        <f t="shared" ref="U120:U121" si="102">I120</f>
        <v>174.66</v>
      </c>
      <c r="X120" s="205"/>
    </row>
    <row r="121" spans="1:24" ht="15" customHeight="1" x14ac:dyDescent="0.3">
      <c r="A121" s="277"/>
      <c r="B121" s="128">
        <v>0</v>
      </c>
      <c r="C121" s="128">
        <v>0</v>
      </c>
      <c r="D121" s="129">
        <f>'Data Ocupacion'!AJ36</f>
        <v>0</v>
      </c>
      <c r="E121" s="129">
        <f>'Data Ocupacion'!AK36</f>
        <v>0</v>
      </c>
      <c r="F121" s="235" t="s">
        <v>122</v>
      </c>
      <c r="G121" s="236">
        <f t="shared" si="98"/>
        <v>0</v>
      </c>
      <c r="H121" s="128">
        <f t="shared" si="99"/>
        <v>0</v>
      </c>
      <c r="I121" s="238">
        <f>G121*J$1</f>
        <v>0</v>
      </c>
      <c r="J121" s="156">
        <f>H121*J$1</f>
        <v>0</v>
      </c>
      <c r="K121" s="128">
        <f t="shared" si="100"/>
        <v>0</v>
      </c>
      <c r="L121" s="128">
        <f t="shared" si="101"/>
        <v>0</v>
      </c>
      <c r="M121" s="19"/>
      <c r="N121" s="19"/>
      <c r="O121" s="149"/>
      <c r="P121" s="196"/>
      <c r="Q121" s="196"/>
      <c r="R121" s="196"/>
      <c r="S121" s="196"/>
      <c r="T121" s="196"/>
      <c r="U121" s="188">
        <f t="shared" si="102"/>
        <v>0</v>
      </c>
    </row>
    <row r="122" spans="1:24" ht="14.25" customHeight="1" thickBot="1" x14ac:dyDescent="0.35">
      <c r="A122" s="277"/>
      <c r="B122" s="128">
        <v>1</v>
      </c>
      <c r="C122" s="128">
        <v>2</v>
      </c>
      <c r="D122" s="129">
        <f>'Data Ocupacion'!AJ37</f>
        <v>1</v>
      </c>
      <c r="E122" s="129">
        <f>'Data Ocupacion'!AK37</f>
        <v>2</v>
      </c>
      <c r="F122" s="235" t="s">
        <v>35</v>
      </c>
      <c r="G122" s="128">
        <f t="shared" si="98"/>
        <v>5</v>
      </c>
      <c r="H122" s="128">
        <f t="shared" si="99"/>
        <v>3</v>
      </c>
      <c r="I122" s="128">
        <f>G122*J$1</f>
        <v>127</v>
      </c>
      <c r="J122" s="156">
        <f>H122*J$1</f>
        <v>76.199999999999989</v>
      </c>
      <c r="K122" s="128">
        <f t="shared" si="100"/>
        <v>13208</v>
      </c>
      <c r="L122" s="128">
        <f t="shared" si="101"/>
        <v>312</v>
      </c>
      <c r="M122" s="19"/>
      <c r="N122" s="19"/>
      <c r="O122" s="149"/>
      <c r="P122" s="196"/>
      <c r="Q122" s="196"/>
      <c r="R122" s="196"/>
      <c r="S122" s="196"/>
      <c r="T122" s="196"/>
      <c r="U122" s="188">
        <f>I122</f>
        <v>127</v>
      </c>
    </row>
    <row r="123" spans="1:24" s="127" customFormat="1" ht="15" customHeight="1" thickBot="1" x14ac:dyDescent="0.35">
      <c r="A123" s="20"/>
      <c r="B123" s="230">
        <f>SUM(B117:B122)</f>
        <v>72</v>
      </c>
      <c r="C123" s="230">
        <f>SUM(C117:C122)</f>
        <v>98</v>
      </c>
      <c r="D123" s="151">
        <f>SUM(D117:D122)</f>
        <v>71</v>
      </c>
      <c r="E123" s="151">
        <f>SUM(E117:E122)</f>
        <v>99</v>
      </c>
      <c r="F123" s="121"/>
      <c r="G123" s="121">
        <f t="shared" ref="G123:L123" si="103">SUM(G117:G122)</f>
        <v>269</v>
      </c>
      <c r="H123" s="304">
        <f t="shared" si="103"/>
        <v>170</v>
      </c>
      <c r="I123" s="305">
        <f t="shared" si="103"/>
        <v>11373.12</v>
      </c>
      <c r="J123" s="121">
        <f t="shared" si="103"/>
        <v>7208.81</v>
      </c>
      <c r="K123" s="121">
        <f t="shared" si="103"/>
        <v>1182804.48</v>
      </c>
      <c r="L123" s="121">
        <f t="shared" si="103"/>
        <v>17680</v>
      </c>
      <c r="M123" s="126">
        <f>'Odometro-Kilometraje'!R81</f>
        <v>11702</v>
      </c>
      <c r="N123" s="21">
        <f>(U123/M123)*100</f>
        <v>96.128952315843463</v>
      </c>
      <c r="O123" s="199"/>
      <c r="P123" s="187"/>
      <c r="Q123" s="187"/>
      <c r="R123" s="187"/>
      <c r="S123" s="187"/>
      <c r="T123" s="187"/>
      <c r="U123" s="200">
        <f>SUM(U117:U122)</f>
        <v>11249.010000000002</v>
      </c>
    </row>
    <row r="124" spans="1:24" ht="15.75" customHeight="1" x14ac:dyDescent="0.3">
      <c r="A124" s="62">
        <f>A117+1</f>
        <v>45583</v>
      </c>
      <c r="B124" s="128">
        <v>36</v>
      </c>
      <c r="C124" s="128">
        <v>47</v>
      </c>
      <c r="D124" s="129">
        <f>'Data Ocupacion'!AL32</f>
        <v>36</v>
      </c>
      <c r="E124" s="129">
        <f>'Data Ocupacion'!AM32</f>
        <v>47</v>
      </c>
      <c r="F124" s="235" t="s">
        <v>38</v>
      </c>
      <c r="G124" s="236">
        <f t="shared" ref="G124:G129" si="104">D124+E124*2</f>
        <v>130</v>
      </c>
      <c r="H124" s="237">
        <f t="shared" ref="H124:H127" si="105">D124+E124</f>
        <v>83</v>
      </c>
      <c r="I124" s="237">
        <f>G124*L$2</f>
        <v>5606.9000000000005</v>
      </c>
      <c r="J124" s="156">
        <f>H124*L$2</f>
        <v>3579.7900000000004</v>
      </c>
      <c r="K124" s="128">
        <f t="shared" ref="K124:K129" si="106">I124*104</f>
        <v>583117.60000000009</v>
      </c>
      <c r="L124" s="128">
        <f t="shared" ref="L124:L129" si="107">H124*104</f>
        <v>8632</v>
      </c>
      <c r="M124" s="19"/>
      <c r="N124" s="19"/>
      <c r="O124" s="149"/>
      <c r="P124" s="189">
        <v>6</v>
      </c>
      <c r="Q124" s="189"/>
      <c r="R124" s="216"/>
      <c r="S124" s="289"/>
      <c r="T124" s="198"/>
      <c r="U124" s="191">
        <f>I124-((P124*($L$2-$J$1)))-(S124*($J$1))</f>
        <v>5500.52</v>
      </c>
    </row>
    <row r="125" spans="1:24" ht="15" customHeight="1" x14ac:dyDescent="0.3">
      <c r="A125" s="209"/>
      <c r="B125" s="128">
        <v>35</v>
      </c>
      <c r="C125" s="128">
        <v>44</v>
      </c>
      <c r="D125" s="129">
        <f>'Data Ocupacion'!AL33</f>
        <v>35</v>
      </c>
      <c r="E125" s="129">
        <f>'Data Ocupacion'!AM33</f>
        <v>44</v>
      </c>
      <c r="F125" s="235" t="s">
        <v>52</v>
      </c>
      <c r="G125" s="236">
        <f t="shared" si="104"/>
        <v>123</v>
      </c>
      <c r="H125" s="128">
        <f t="shared" si="105"/>
        <v>79</v>
      </c>
      <c r="I125" s="128">
        <f>G125*L$2</f>
        <v>5304.9900000000007</v>
      </c>
      <c r="J125" s="156">
        <f>H125*L$2</f>
        <v>3407.27</v>
      </c>
      <c r="K125" s="128">
        <f t="shared" si="106"/>
        <v>551718.96000000008</v>
      </c>
      <c r="L125" s="128">
        <f t="shared" si="107"/>
        <v>8216</v>
      </c>
      <c r="M125" s="19"/>
      <c r="N125" s="19"/>
      <c r="O125" s="149"/>
      <c r="P125" s="193"/>
      <c r="Q125" s="193"/>
      <c r="R125" s="193"/>
      <c r="S125" s="189">
        <v>2</v>
      </c>
      <c r="T125" s="190"/>
      <c r="U125" s="191">
        <f>I125-(S125*($L$2-$J$1)+(T125*($L$2-$L$1)))</f>
        <v>5269.5300000000007</v>
      </c>
      <c r="V125" s="175"/>
    </row>
    <row r="126" spans="1:24" ht="15" customHeight="1" x14ac:dyDescent="0.3">
      <c r="A126" s="209"/>
      <c r="B126" s="128">
        <v>0</v>
      </c>
      <c r="C126" s="128">
        <v>2</v>
      </c>
      <c r="D126" s="129">
        <f>'Data Ocupacion'!AL34</f>
        <v>0</v>
      </c>
      <c r="E126" s="129">
        <f>'Data Ocupacion'!AM34</f>
        <v>2</v>
      </c>
      <c r="F126" s="235" t="s">
        <v>36</v>
      </c>
      <c r="G126" s="236">
        <f t="shared" si="104"/>
        <v>4</v>
      </c>
      <c r="H126" s="128">
        <f t="shared" si="105"/>
        <v>2</v>
      </c>
      <c r="I126" s="128">
        <f>G126*L$1</f>
        <v>116.44</v>
      </c>
      <c r="J126" s="156">
        <f>H126*L$1</f>
        <v>58.22</v>
      </c>
      <c r="K126" s="128">
        <f t="shared" si="106"/>
        <v>12109.76</v>
      </c>
      <c r="L126" s="128">
        <f t="shared" si="107"/>
        <v>208</v>
      </c>
      <c r="M126" s="19"/>
      <c r="N126" s="19"/>
      <c r="O126" s="149"/>
      <c r="P126" s="192"/>
      <c r="Q126" s="194"/>
      <c r="R126" s="217"/>
      <c r="S126" s="195"/>
      <c r="T126" s="196"/>
      <c r="U126" s="188">
        <f>I126-(P126*($L$1-$J$1))</f>
        <v>116.44</v>
      </c>
    </row>
    <row r="127" spans="1:24" ht="15" customHeight="1" x14ac:dyDescent="0.3">
      <c r="A127" s="209"/>
      <c r="B127" s="128">
        <v>0</v>
      </c>
      <c r="C127" s="128">
        <v>3</v>
      </c>
      <c r="D127" s="129">
        <f>'Data Ocupacion'!AL35</f>
        <v>0</v>
      </c>
      <c r="E127" s="129">
        <f>'Data Ocupacion'!AM35</f>
        <v>3</v>
      </c>
      <c r="F127" s="235" t="s">
        <v>53</v>
      </c>
      <c r="G127" s="236">
        <f t="shared" si="104"/>
        <v>6</v>
      </c>
      <c r="H127" s="128">
        <f t="shared" si="105"/>
        <v>3</v>
      </c>
      <c r="I127" s="128">
        <f>G127*L$1</f>
        <v>174.66</v>
      </c>
      <c r="J127" s="156">
        <f>H127*L$1</f>
        <v>87.33</v>
      </c>
      <c r="K127" s="128">
        <f t="shared" si="106"/>
        <v>18164.64</v>
      </c>
      <c r="L127" s="128">
        <f t="shared" si="107"/>
        <v>312</v>
      </c>
      <c r="M127" s="19"/>
      <c r="N127" s="19"/>
      <c r="O127" s="149"/>
      <c r="P127" s="196"/>
      <c r="Q127" s="196"/>
      <c r="R127" s="196"/>
      <c r="S127" s="196"/>
      <c r="T127" s="196"/>
      <c r="U127" s="188">
        <f t="shared" ref="U127:U128" si="108">I127</f>
        <v>174.66</v>
      </c>
    </row>
    <row r="128" spans="1:24" s="127" customFormat="1" ht="15" customHeight="1" x14ac:dyDescent="0.3">
      <c r="A128" s="209"/>
      <c r="B128" s="128">
        <v>0</v>
      </c>
      <c r="C128" s="128">
        <v>0</v>
      </c>
      <c r="D128" s="129">
        <f>'Data Ocupacion'!AL36</f>
        <v>0</v>
      </c>
      <c r="E128" s="129">
        <f>'Data Ocupacion'!AM36</f>
        <v>0</v>
      </c>
      <c r="F128" s="235" t="s">
        <v>122</v>
      </c>
      <c r="G128" s="236">
        <f t="shared" si="104"/>
        <v>0</v>
      </c>
      <c r="H128" s="128">
        <f>D128+E128</f>
        <v>0</v>
      </c>
      <c r="I128" s="238">
        <f>G128*J$1</f>
        <v>0</v>
      </c>
      <c r="J128" s="156">
        <f>H128*J$1</f>
        <v>0</v>
      </c>
      <c r="K128" s="128">
        <f t="shared" si="106"/>
        <v>0</v>
      </c>
      <c r="L128" s="128">
        <f t="shared" si="107"/>
        <v>0</v>
      </c>
      <c r="M128" s="19"/>
      <c r="N128" s="19"/>
      <c r="O128" s="149"/>
      <c r="P128" s="196"/>
      <c r="Q128" s="196"/>
      <c r="R128" s="196"/>
      <c r="S128" s="196"/>
      <c r="T128" s="196"/>
      <c r="U128" s="188">
        <f t="shared" si="108"/>
        <v>0</v>
      </c>
    </row>
    <row r="129" spans="1:21" s="127" customFormat="1" ht="15" customHeight="1" thickBot="1" x14ac:dyDescent="0.35">
      <c r="A129" s="209"/>
      <c r="B129" s="128">
        <v>1</v>
      </c>
      <c r="C129" s="128">
        <v>2</v>
      </c>
      <c r="D129" s="129">
        <f>'Data Ocupacion'!AL37</f>
        <v>1</v>
      </c>
      <c r="E129" s="129">
        <f>'Data Ocupacion'!AM37</f>
        <v>2</v>
      </c>
      <c r="F129" s="235" t="s">
        <v>35</v>
      </c>
      <c r="G129" s="128">
        <f t="shared" si="104"/>
        <v>5</v>
      </c>
      <c r="H129" s="128">
        <f t="shared" ref="H129" si="109">D129+E129</f>
        <v>3</v>
      </c>
      <c r="I129" s="128">
        <f>G129*J$1</f>
        <v>127</v>
      </c>
      <c r="J129" s="156">
        <f>H129*J$1</f>
        <v>76.199999999999989</v>
      </c>
      <c r="K129" s="128">
        <f t="shared" si="106"/>
        <v>13208</v>
      </c>
      <c r="L129" s="128">
        <f t="shared" si="107"/>
        <v>312</v>
      </c>
      <c r="M129" s="19"/>
      <c r="N129" s="19"/>
      <c r="O129" s="149"/>
      <c r="P129" s="196"/>
      <c r="Q129" s="196"/>
      <c r="R129" s="196"/>
      <c r="S129" s="196"/>
      <c r="T129" s="196"/>
      <c r="U129" s="188">
        <f>I129</f>
        <v>127</v>
      </c>
    </row>
    <row r="130" spans="1:21" s="127" customFormat="1" ht="15" customHeight="1" thickBot="1" x14ac:dyDescent="0.35">
      <c r="A130" s="20"/>
      <c r="B130" s="230">
        <f>SUM(B124:B129)</f>
        <v>72</v>
      </c>
      <c r="C130" s="230">
        <f>SUM(C124:C129)</f>
        <v>98</v>
      </c>
      <c r="D130" s="151">
        <f>SUM(D124:D129)</f>
        <v>72</v>
      </c>
      <c r="E130" s="151">
        <f>SUM(E124:E129)</f>
        <v>98</v>
      </c>
      <c r="F130" s="121"/>
      <c r="G130" s="121">
        <f t="shared" ref="G130:L130" si="110">SUM(G124:G129)</f>
        <v>268</v>
      </c>
      <c r="H130" s="304">
        <f t="shared" si="110"/>
        <v>170</v>
      </c>
      <c r="I130" s="305">
        <f t="shared" si="110"/>
        <v>11329.990000000002</v>
      </c>
      <c r="J130" s="121">
        <f t="shared" si="110"/>
        <v>7208.81</v>
      </c>
      <c r="K130" s="121">
        <f t="shared" si="110"/>
        <v>1178318.96</v>
      </c>
      <c r="L130" s="121">
        <f t="shared" si="110"/>
        <v>17680</v>
      </c>
      <c r="M130" s="126">
        <f>'Odometro-Kilometraje'!S81</f>
        <v>11683</v>
      </c>
      <c r="N130" s="21">
        <f>(U130/M130)*100</f>
        <v>95.764358469571192</v>
      </c>
      <c r="O130" s="199"/>
      <c r="P130" s="187"/>
      <c r="Q130" s="187"/>
      <c r="R130" s="187"/>
      <c r="S130" s="187"/>
      <c r="T130" s="187"/>
      <c r="U130" s="200">
        <f>SUM(U124:U129)</f>
        <v>11188.150000000001</v>
      </c>
    </row>
    <row r="131" spans="1:21" ht="15" customHeight="1" x14ac:dyDescent="0.3">
      <c r="A131" s="62">
        <f>A124+1</f>
        <v>45584</v>
      </c>
      <c r="B131" s="285">
        <v>69</v>
      </c>
      <c r="C131" s="285">
        <v>3</v>
      </c>
      <c r="D131" s="286">
        <f>'Data Ocupacion'!AN32</f>
        <v>69</v>
      </c>
      <c r="E131" s="286">
        <f>'Data Ocupacion'!AO32</f>
        <v>3</v>
      </c>
      <c r="F131" s="283" t="s">
        <v>38</v>
      </c>
      <c r="G131" s="285">
        <f t="shared" ref="G131:G136" si="111">D131+E131*2</f>
        <v>75</v>
      </c>
      <c r="H131" s="285">
        <f t="shared" ref="H131:H136" si="112">D131+E131</f>
        <v>72</v>
      </c>
      <c r="I131" s="285">
        <f>G131*L$2</f>
        <v>3234.75</v>
      </c>
      <c r="J131" s="156">
        <f>H131*L$2</f>
        <v>3105.36</v>
      </c>
      <c r="K131" s="285">
        <f t="shared" ref="K131:K136" si="113">I131*104</f>
        <v>336414</v>
      </c>
      <c r="L131" s="285">
        <f t="shared" ref="L131:L136" si="114">H131*104</f>
        <v>7488</v>
      </c>
      <c r="M131" s="19"/>
      <c r="N131" s="19"/>
      <c r="O131" s="149"/>
      <c r="P131" s="189"/>
      <c r="Q131" s="189"/>
      <c r="R131" s="216"/>
      <c r="S131" s="210"/>
      <c r="T131" s="198"/>
      <c r="U131" s="191">
        <f>I131-((P131*($L$2-$J$1)))-(S131*($J$1))</f>
        <v>3234.75</v>
      </c>
    </row>
    <row r="132" spans="1:21" ht="15" customHeight="1" x14ac:dyDescent="0.3">
      <c r="A132" s="209"/>
      <c r="B132" s="285">
        <v>75</v>
      </c>
      <c r="C132" s="285">
        <v>0</v>
      </c>
      <c r="D132" s="286">
        <f>'Data Ocupacion'!AN33</f>
        <v>75</v>
      </c>
      <c r="E132" s="286">
        <f>'Data Ocupacion'!AO33</f>
        <v>0</v>
      </c>
      <c r="F132" s="283" t="s">
        <v>52</v>
      </c>
      <c r="G132" s="285">
        <f t="shared" si="111"/>
        <v>75</v>
      </c>
      <c r="H132" s="285">
        <f t="shared" si="112"/>
        <v>75</v>
      </c>
      <c r="I132" s="285">
        <f>G132*L$2</f>
        <v>3234.75</v>
      </c>
      <c r="J132" s="156">
        <f>H132*L$2</f>
        <v>3234.75</v>
      </c>
      <c r="K132" s="285">
        <f t="shared" si="113"/>
        <v>336414</v>
      </c>
      <c r="L132" s="285">
        <f t="shared" si="114"/>
        <v>7800</v>
      </c>
      <c r="M132" s="19"/>
      <c r="N132" s="19"/>
      <c r="O132" s="149"/>
      <c r="P132" s="193"/>
      <c r="Q132" s="193"/>
      <c r="R132" s="193"/>
      <c r="S132" s="189"/>
      <c r="T132" s="190"/>
      <c r="U132" s="191">
        <f>I132-(S132*($L$2-$J$1)+(T132*($L$2-$L$1)))</f>
        <v>3234.75</v>
      </c>
    </row>
    <row r="133" spans="1:21" ht="15" customHeight="1" x14ac:dyDescent="0.3">
      <c r="A133" s="209"/>
      <c r="B133" s="285">
        <v>0</v>
      </c>
      <c r="C133" s="285">
        <v>0</v>
      </c>
      <c r="D133" s="286">
        <f>'Data Ocupacion'!AN34</f>
        <v>0</v>
      </c>
      <c r="E133" s="286">
        <f>'Data Ocupacion'!AO34</f>
        <v>0</v>
      </c>
      <c r="F133" s="283" t="s">
        <v>36</v>
      </c>
      <c r="G133" s="285">
        <f t="shared" si="111"/>
        <v>0</v>
      </c>
      <c r="H133" s="285">
        <f t="shared" si="112"/>
        <v>0</v>
      </c>
      <c r="I133" s="285">
        <f>G133*L$1</f>
        <v>0</v>
      </c>
      <c r="J133" s="156">
        <f>H133*L$1</f>
        <v>0</v>
      </c>
      <c r="K133" s="285">
        <f t="shared" si="113"/>
        <v>0</v>
      </c>
      <c r="L133" s="285">
        <f t="shared" si="114"/>
        <v>0</v>
      </c>
      <c r="M133" s="19"/>
      <c r="N133" s="19"/>
      <c r="O133" s="149"/>
      <c r="P133" s="192"/>
      <c r="Q133" s="194"/>
      <c r="R133" s="217"/>
      <c r="S133" s="195"/>
      <c r="T133" s="196"/>
      <c r="U133" s="188">
        <f>I133-(P133*($L$1-$J$1))</f>
        <v>0</v>
      </c>
    </row>
    <row r="134" spans="1:21" ht="15" customHeight="1" x14ac:dyDescent="0.3">
      <c r="A134" s="209"/>
      <c r="B134" s="285">
        <v>0</v>
      </c>
      <c r="C134" s="285">
        <v>0</v>
      </c>
      <c r="D134" s="286">
        <f>'Data Ocupacion'!AN35</f>
        <v>0</v>
      </c>
      <c r="E134" s="286">
        <f>'Data Ocupacion'!AO35</f>
        <v>0</v>
      </c>
      <c r="F134" s="283" t="s">
        <v>53</v>
      </c>
      <c r="G134" s="285">
        <f t="shared" si="111"/>
        <v>0</v>
      </c>
      <c r="H134" s="285">
        <f t="shared" si="112"/>
        <v>0</v>
      </c>
      <c r="I134" s="285">
        <f>G134*L$1</f>
        <v>0</v>
      </c>
      <c r="J134" s="156">
        <f>H134*L$1</f>
        <v>0</v>
      </c>
      <c r="K134" s="285">
        <f t="shared" si="113"/>
        <v>0</v>
      </c>
      <c r="L134" s="285">
        <f t="shared" si="114"/>
        <v>0</v>
      </c>
      <c r="M134" s="19"/>
      <c r="N134" s="19"/>
      <c r="O134" s="149"/>
      <c r="P134" s="196"/>
      <c r="Q134" s="196"/>
      <c r="R134" s="196"/>
      <c r="S134" s="196"/>
      <c r="T134" s="196"/>
      <c r="U134" s="188">
        <f t="shared" ref="U134:U135" si="115">I134</f>
        <v>0</v>
      </c>
    </row>
    <row r="135" spans="1:21" ht="15" customHeight="1" x14ac:dyDescent="0.3">
      <c r="A135" s="209"/>
      <c r="B135" s="285">
        <v>0</v>
      </c>
      <c r="C135" s="285">
        <v>0</v>
      </c>
      <c r="D135" s="286">
        <f>'Data Ocupacion'!AN36</f>
        <v>0</v>
      </c>
      <c r="E135" s="286">
        <f>'Data Ocupacion'!AO36</f>
        <v>0</v>
      </c>
      <c r="F135" s="283" t="s">
        <v>122</v>
      </c>
      <c r="G135" s="285">
        <f t="shared" si="111"/>
        <v>0</v>
      </c>
      <c r="H135" s="285">
        <f t="shared" si="112"/>
        <v>0</v>
      </c>
      <c r="I135" s="285">
        <f>G135*J$1</f>
        <v>0</v>
      </c>
      <c r="J135" s="156">
        <f>H135*J$1</f>
        <v>0</v>
      </c>
      <c r="K135" s="285">
        <f t="shared" si="113"/>
        <v>0</v>
      </c>
      <c r="L135" s="285">
        <f t="shared" si="114"/>
        <v>0</v>
      </c>
      <c r="M135" s="19"/>
      <c r="N135" s="19"/>
      <c r="O135" s="149"/>
      <c r="P135" s="196"/>
      <c r="Q135" s="196"/>
      <c r="R135" s="196"/>
      <c r="S135" s="196"/>
      <c r="T135" s="196"/>
      <c r="U135" s="188">
        <f t="shared" si="115"/>
        <v>0</v>
      </c>
    </row>
    <row r="136" spans="1:21" ht="15" customHeight="1" thickBot="1" x14ac:dyDescent="0.35">
      <c r="A136" s="209"/>
      <c r="B136" s="285">
        <v>0</v>
      </c>
      <c r="C136" s="285">
        <v>0</v>
      </c>
      <c r="D136" s="286">
        <f>'Data Ocupacion'!AN37</f>
        <v>0</v>
      </c>
      <c r="E136" s="286">
        <f>'Data Ocupacion'!AO37</f>
        <v>0</v>
      </c>
      <c r="F136" s="283" t="s">
        <v>35</v>
      </c>
      <c r="G136" s="285">
        <f t="shared" si="111"/>
        <v>0</v>
      </c>
      <c r="H136" s="285">
        <f t="shared" si="112"/>
        <v>0</v>
      </c>
      <c r="I136" s="285">
        <f>G136*J$1</f>
        <v>0</v>
      </c>
      <c r="J136" s="156">
        <f>H136*J$1</f>
        <v>0</v>
      </c>
      <c r="K136" s="285">
        <f t="shared" si="113"/>
        <v>0</v>
      </c>
      <c r="L136" s="285">
        <f t="shared" si="114"/>
        <v>0</v>
      </c>
      <c r="M136" s="19"/>
      <c r="N136" s="19"/>
      <c r="O136" s="149"/>
      <c r="P136" s="196"/>
      <c r="Q136" s="196"/>
      <c r="R136" s="196"/>
      <c r="S136" s="196"/>
      <c r="T136" s="196"/>
      <c r="U136" s="188">
        <f>I136</f>
        <v>0</v>
      </c>
    </row>
    <row r="137" spans="1:21" s="127" customFormat="1" ht="15" customHeight="1" thickBot="1" x14ac:dyDescent="0.35">
      <c r="A137" s="20"/>
      <c r="B137" s="230">
        <f>SUM(B131:B136)</f>
        <v>144</v>
      </c>
      <c r="C137" s="230">
        <f>SUM(C131:C136)</f>
        <v>3</v>
      </c>
      <c r="D137" s="151">
        <f>SUM(D131:D136)</f>
        <v>144</v>
      </c>
      <c r="E137" s="151">
        <f>SUM(E131:E136)</f>
        <v>3</v>
      </c>
      <c r="F137" s="121"/>
      <c r="G137" s="121">
        <f t="shared" ref="G137:L137" si="116">SUM(G131:G136)</f>
        <v>150</v>
      </c>
      <c r="H137" s="121">
        <f t="shared" si="116"/>
        <v>147</v>
      </c>
      <c r="I137" s="122">
        <f t="shared" si="116"/>
        <v>6469.5</v>
      </c>
      <c r="J137" s="121">
        <f t="shared" si="116"/>
        <v>6340.1100000000006</v>
      </c>
      <c r="K137" s="121">
        <f t="shared" si="116"/>
        <v>672828</v>
      </c>
      <c r="L137" s="121">
        <f t="shared" si="116"/>
        <v>15288</v>
      </c>
      <c r="M137" s="126">
        <f>'Odometro-Kilometraje'!T81</f>
        <v>6531</v>
      </c>
      <c r="N137" s="21">
        <f>(U137/M137)*100</f>
        <v>99.058337161231051</v>
      </c>
      <c r="O137" s="199"/>
      <c r="P137" s="187"/>
      <c r="Q137" s="187"/>
      <c r="R137" s="187"/>
      <c r="S137" s="187"/>
      <c r="T137" s="187"/>
      <c r="U137" s="200">
        <f>SUM(U131:U136)</f>
        <v>6469.5</v>
      </c>
    </row>
    <row r="138" spans="1:21" ht="15.75" customHeight="1" x14ac:dyDescent="0.3">
      <c r="A138" s="62">
        <f>A131+1</f>
        <v>45585</v>
      </c>
      <c r="B138" s="231">
        <v>51</v>
      </c>
      <c r="C138" s="231">
        <v>3</v>
      </c>
      <c r="D138" s="140">
        <f>'Data Ocupacion'!AP32</f>
        <v>51</v>
      </c>
      <c r="E138" s="140">
        <f>'Data Ocupacion'!AQ32</f>
        <v>3</v>
      </c>
      <c r="F138" s="293" t="s">
        <v>38</v>
      </c>
      <c r="G138" s="294">
        <f t="shared" ref="G138:G143" si="117">D138+E138*2</f>
        <v>57</v>
      </c>
      <c r="H138" s="295">
        <f t="shared" ref="H138:H143" si="118">D138+E138</f>
        <v>54</v>
      </c>
      <c r="I138" s="295">
        <f>G138*L$2</f>
        <v>2458.4100000000003</v>
      </c>
      <c r="J138" s="156">
        <f>H138*L$2</f>
        <v>2329.02</v>
      </c>
      <c r="K138" s="231">
        <f t="shared" ref="K138:K143" si="119">I138*104</f>
        <v>255674.64000000004</v>
      </c>
      <c r="L138" s="231">
        <f t="shared" ref="L138:L143" si="120">H138*104</f>
        <v>5616</v>
      </c>
      <c r="M138" s="19"/>
      <c r="N138" s="19"/>
      <c r="O138" s="149"/>
      <c r="P138" s="263"/>
      <c r="Q138" s="189"/>
      <c r="R138" s="216"/>
      <c r="S138" s="197"/>
      <c r="T138" s="198"/>
      <c r="U138" s="191">
        <f>I138-((P138*($L$2-$J$1)))-(S138*($J$1))</f>
        <v>2458.4100000000003</v>
      </c>
    </row>
    <row r="139" spans="1:21" ht="15" customHeight="1" x14ac:dyDescent="0.3">
      <c r="A139" s="277"/>
      <c r="B139" s="231">
        <v>57</v>
      </c>
      <c r="C139" s="231">
        <v>0</v>
      </c>
      <c r="D139" s="140">
        <f>'Data Ocupacion'!AP33</f>
        <v>57</v>
      </c>
      <c r="E139" s="140">
        <f>'Data Ocupacion'!AQ33</f>
        <v>0</v>
      </c>
      <c r="F139" s="293" t="s">
        <v>52</v>
      </c>
      <c r="G139" s="294">
        <f t="shared" si="117"/>
        <v>57</v>
      </c>
      <c r="H139" s="231">
        <f t="shared" si="118"/>
        <v>57</v>
      </c>
      <c r="I139" s="231">
        <f>G139*L$2</f>
        <v>2458.4100000000003</v>
      </c>
      <c r="J139" s="156">
        <f>H139*L$2</f>
        <v>2458.4100000000003</v>
      </c>
      <c r="K139" s="231">
        <f t="shared" si="119"/>
        <v>255674.64000000004</v>
      </c>
      <c r="L139" s="231">
        <f t="shared" si="120"/>
        <v>5928</v>
      </c>
      <c r="M139" s="19"/>
      <c r="N139" s="19"/>
      <c r="O139" s="149"/>
      <c r="P139" s="193"/>
      <c r="Q139" s="193"/>
      <c r="R139" s="193"/>
      <c r="S139" s="263"/>
      <c r="T139" s="190"/>
      <c r="U139" s="191">
        <f>I139-(S139*($L$2-$J$1)+(T139*($L$2-$L$1)))</f>
        <v>2458.4100000000003</v>
      </c>
    </row>
    <row r="140" spans="1:21" s="127" customFormat="1" ht="15" customHeight="1" x14ac:dyDescent="0.3">
      <c r="A140" s="277"/>
      <c r="B140" s="231">
        <v>0</v>
      </c>
      <c r="C140" s="231">
        <v>0</v>
      </c>
      <c r="D140" s="140">
        <f>'Data Ocupacion'!AP34</f>
        <v>0</v>
      </c>
      <c r="E140" s="140">
        <f>'Data Ocupacion'!AQ34</f>
        <v>0</v>
      </c>
      <c r="F140" s="293" t="s">
        <v>36</v>
      </c>
      <c r="G140" s="294">
        <f t="shared" si="117"/>
        <v>0</v>
      </c>
      <c r="H140" s="231">
        <f t="shared" si="118"/>
        <v>0</v>
      </c>
      <c r="I140" s="231">
        <f>G140*L$1</f>
        <v>0</v>
      </c>
      <c r="J140" s="156">
        <f>H140*L$1</f>
        <v>0</v>
      </c>
      <c r="K140" s="231">
        <f t="shared" si="119"/>
        <v>0</v>
      </c>
      <c r="L140" s="231">
        <f t="shared" si="120"/>
        <v>0</v>
      </c>
      <c r="M140" s="19"/>
      <c r="N140" s="19"/>
      <c r="O140" s="149"/>
      <c r="P140" s="193"/>
      <c r="Q140" s="244"/>
      <c r="R140" s="244"/>
      <c r="S140" s="312"/>
      <c r="T140" s="264"/>
      <c r="U140" s="313"/>
    </row>
    <row r="141" spans="1:21" s="127" customFormat="1" ht="15" customHeight="1" x14ac:dyDescent="0.3">
      <c r="A141" s="277"/>
      <c r="B141" s="231">
        <v>0</v>
      </c>
      <c r="C141" s="231">
        <v>0</v>
      </c>
      <c r="D141" s="140">
        <f>'Data Ocupacion'!AP35</f>
        <v>0</v>
      </c>
      <c r="E141" s="140">
        <f>'Data Ocupacion'!AQ35</f>
        <v>0</v>
      </c>
      <c r="F141" s="293" t="s">
        <v>53</v>
      </c>
      <c r="G141" s="294">
        <f t="shared" si="117"/>
        <v>0</v>
      </c>
      <c r="H141" s="231">
        <f t="shared" si="118"/>
        <v>0</v>
      </c>
      <c r="I141" s="231">
        <f>G141*L$1</f>
        <v>0</v>
      </c>
      <c r="J141" s="156">
        <f>H141*L$1</f>
        <v>0</v>
      </c>
      <c r="K141" s="231">
        <f t="shared" si="119"/>
        <v>0</v>
      </c>
      <c r="L141" s="231">
        <f t="shared" si="120"/>
        <v>0</v>
      </c>
      <c r="M141" s="19"/>
      <c r="N141" s="19"/>
      <c r="O141" s="149"/>
      <c r="P141" s="193"/>
      <c r="Q141" s="244"/>
      <c r="R141" s="244"/>
      <c r="S141" s="312"/>
      <c r="T141" s="264"/>
      <c r="U141" s="313"/>
    </row>
    <row r="142" spans="1:21" ht="15" customHeight="1" x14ac:dyDescent="0.3">
      <c r="A142" s="277"/>
      <c r="B142" s="231">
        <v>0</v>
      </c>
      <c r="C142" s="231">
        <v>0</v>
      </c>
      <c r="D142" s="140">
        <f>'Data Ocupacion'!AP36</f>
        <v>0</v>
      </c>
      <c r="E142" s="140">
        <f>'Data Ocupacion'!AQ36</f>
        <v>0</v>
      </c>
      <c r="F142" s="293" t="s">
        <v>122</v>
      </c>
      <c r="G142" s="294">
        <f t="shared" si="117"/>
        <v>0</v>
      </c>
      <c r="H142" s="231">
        <f t="shared" si="118"/>
        <v>0</v>
      </c>
      <c r="I142" s="296">
        <f>G142*J$1</f>
        <v>0</v>
      </c>
      <c r="J142" s="156">
        <f>H142*J$1</f>
        <v>0</v>
      </c>
      <c r="K142" s="231">
        <f t="shared" si="119"/>
        <v>0</v>
      </c>
      <c r="L142" s="231">
        <f t="shared" si="120"/>
        <v>0</v>
      </c>
      <c r="M142" s="19"/>
      <c r="N142" s="19"/>
      <c r="O142" s="149"/>
      <c r="P142" s="192"/>
      <c r="Q142" s="194"/>
      <c r="R142" s="217"/>
      <c r="S142" s="195"/>
      <c r="T142" s="196"/>
      <c r="U142" s="188">
        <f>I142-(P142*($L$1-$J$1))</f>
        <v>0</v>
      </c>
    </row>
    <row r="143" spans="1:21" ht="15" customHeight="1" thickBot="1" x14ac:dyDescent="0.35">
      <c r="A143" s="277"/>
      <c r="B143" s="231">
        <v>0</v>
      </c>
      <c r="C143" s="231">
        <v>0</v>
      </c>
      <c r="D143" s="140">
        <f>'Data Ocupacion'!AP37</f>
        <v>0</v>
      </c>
      <c r="E143" s="140">
        <f>'Data Ocupacion'!AQ37</f>
        <v>0</v>
      </c>
      <c r="F143" s="293" t="s">
        <v>35</v>
      </c>
      <c r="G143" s="294">
        <f t="shared" si="117"/>
        <v>0</v>
      </c>
      <c r="H143" s="297">
        <f t="shared" si="118"/>
        <v>0</v>
      </c>
      <c r="I143" s="297">
        <f>G143*J$1</f>
        <v>0</v>
      </c>
      <c r="J143" s="156">
        <f>H143*J$1</f>
        <v>0</v>
      </c>
      <c r="K143" s="231">
        <f t="shared" si="119"/>
        <v>0</v>
      </c>
      <c r="L143" s="231">
        <f t="shared" si="120"/>
        <v>0</v>
      </c>
      <c r="M143" s="19"/>
      <c r="N143" s="19"/>
      <c r="O143" s="149"/>
      <c r="P143" s="196"/>
      <c r="Q143" s="196"/>
      <c r="R143" s="196"/>
      <c r="S143" s="196"/>
      <c r="T143" s="196"/>
      <c r="U143" s="188">
        <f t="shared" ref="U143" si="121">I143</f>
        <v>0</v>
      </c>
    </row>
    <row r="144" spans="1:21" s="127" customFormat="1" ht="15" customHeight="1" thickBot="1" x14ac:dyDescent="0.35">
      <c r="A144" s="20"/>
      <c r="B144" s="230">
        <f>SUM(B138:B143)</f>
        <v>108</v>
      </c>
      <c r="C144" s="230">
        <f>SUM(C138:C143)</f>
        <v>3</v>
      </c>
      <c r="D144" s="151">
        <f>SUM(D138:D143)</f>
        <v>108</v>
      </c>
      <c r="E144" s="151">
        <f>SUM(E138:E143)</f>
        <v>3</v>
      </c>
      <c r="F144" s="121"/>
      <c r="G144" s="121">
        <f t="shared" ref="G144:L144" si="122">SUM(G138:G143)</f>
        <v>114</v>
      </c>
      <c r="H144" s="121">
        <f t="shared" si="122"/>
        <v>111</v>
      </c>
      <c r="I144" s="122">
        <f t="shared" si="122"/>
        <v>4916.8200000000006</v>
      </c>
      <c r="J144" s="121">
        <f t="shared" si="122"/>
        <v>4787.43</v>
      </c>
      <c r="K144" s="121">
        <f t="shared" si="122"/>
        <v>511349.28000000009</v>
      </c>
      <c r="L144" s="121">
        <f t="shared" si="122"/>
        <v>11544</v>
      </c>
      <c r="M144" s="126">
        <f>'Odometro-Kilometraje'!U81</f>
        <v>5021</v>
      </c>
      <c r="N144" s="21">
        <f>(U144/M144)*100</f>
        <v>97.925114519020127</v>
      </c>
      <c r="O144" s="199"/>
      <c r="P144" s="187"/>
      <c r="Q144" s="187"/>
      <c r="R144" s="187"/>
      <c r="S144" s="187"/>
      <c r="T144" s="187"/>
      <c r="U144" s="200">
        <f>SUM(U138:U143)</f>
        <v>4916.8200000000006</v>
      </c>
    </row>
    <row r="145" spans="1:24" x14ac:dyDescent="0.3">
      <c r="A145" s="62">
        <f>A138+1</f>
        <v>45586</v>
      </c>
      <c r="B145" s="128">
        <v>36</v>
      </c>
      <c r="C145" s="128">
        <v>47</v>
      </c>
      <c r="D145" s="129">
        <f>'Data Ocupacion'!AR32</f>
        <v>36</v>
      </c>
      <c r="E145" s="129">
        <f>'Data Ocupacion'!AS32</f>
        <v>47</v>
      </c>
      <c r="F145" s="128" t="s">
        <v>38</v>
      </c>
      <c r="G145" s="128">
        <f t="shared" ref="G145:G150" si="123">D145+E145*2</f>
        <v>130</v>
      </c>
      <c r="H145" s="128">
        <f t="shared" ref="H145:H150" si="124">D145+E145</f>
        <v>83</v>
      </c>
      <c r="I145" s="128">
        <f>G145*L$2</f>
        <v>5606.9000000000005</v>
      </c>
      <c r="J145" s="156">
        <f>H145*T$1</f>
        <v>971.09999999999991</v>
      </c>
      <c r="K145" s="128">
        <f t="shared" ref="K145:K150" si="125">I145*104</f>
        <v>583117.60000000009</v>
      </c>
      <c r="L145" s="128">
        <f t="shared" ref="L145:L150" si="126">H145*104</f>
        <v>8632</v>
      </c>
      <c r="M145" s="19"/>
      <c r="N145" s="19"/>
      <c r="O145" s="149"/>
      <c r="P145" s="263">
        <v>8</v>
      </c>
      <c r="Q145" s="189"/>
      <c r="R145" s="216"/>
      <c r="S145" s="322">
        <v>2</v>
      </c>
      <c r="T145" s="198"/>
      <c r="U145" s="191">
        <f>I145-((P145*($L$2-$J$1)))-(S145*($J$1))</f>
        <v>5414.26</v>
      </c>
    </row>
    <row r="146" spans="1:24" ht="15" customHeight="1" x14ac:dyDescent="0.3">
      <c r="A146" s="277"/>
      <c r="B146" s="128">
        <v>35</v>
      </c>
      <c r="C146" s="128">
        <v>44</v>
      </c>
      <c r="D146" s="129">
        <f>'Data Ocupacion'!AR33</f>
        <v>35</v>
      </c>
      <c r="E146" s="129">
        <f>'Data Ocupacion'!AS33</f>
        <v>44</v>
      </c>
      <c r="F146" s="128" t="s">
        <v>52</v>
      </c>
      <c r="G146" s="128">
        <f t="shared" si="123"/>
        <v>123</v>
      </c>
      <c r="H146" s="128">
        <f t="shared" si="124"/>
        <v>79</v>
      </c>
      <c r="I146" s="128">
        <f>G146*L$2</f>
        <v>5304.9900000000007</v>
      </c>
      <c r="J146" s="156">
        <f>H146*T$1</f>
        <v>924.3</v>
      </c>
      <c r="K146" s="128">
        <f t="shared" si="125"/>
        <v>551718.96000000008</v>
      </c>
      <c r="L146" s="128">
        <f t="shared" si="126"/>
        <v>8216</v>
      </c>
      <c r="M146" s="19"/>
      <c r="N146" s="19"/>
      <c r="O146" s="149"/>
      <c r="P146" s="193"/>
      <c r="Q146" s="193"/>
      <c r="R146" s="193"/>
      <c r="S146" s="322">
        <v>1</v>
      </c>
      <c r="T146" s="190"/>
      <c r="U146" s="191">
        <f>I146-(S146*($L$2-$J$1)+(T146*($L$2-$L$1)))</f>
        <v>5287.2600000000011</v>
      </c>
    </row>
    <row r="147" spans="1:24" ht="15.75" customHeight="1" x14ac:dyDescent="0.3">
      <c r="A147" s="277"/>
      <c r="B147" s="128">
        <v>0</v>
      </c>
      <c r="C147" s="128">
        <v>2</v>
      </c>
      <c r="D147" s="129">
        <f>'Data Ocupacion'!AR34</f>
        <v>0</v>
      </c>
      <c r="E147" s="129">
        <f>'Data Ocupacion'!AS34</f>
        <v>2</v>
      </c>
      <c r="F147" s="128" t="s">
        <v>36</v>
      </c>
      <c r="G147" s="128">
        <f t="shared" si="123"/>
        <v>4</v>
      </c>
      <c r="H147" s="128">
        <f t="shared" si="124"/>
        <v>2</v>
      </c>
      <c r="I147" s="128">
        <f>G147*L$1</f>
        <v>116.44</v>
      </c>
      <c r="J147" s="156">
        <f>H147*N$1</f>
        <v>43.4</v>
      </c>
      <c r="K147" s="128">
        <f t="shared" si="125"/>
        <v>12109.76</v>
      </c>
      <c r="L147" s="128">
        <f t="shared" si="126"/>
        <v>208</v>
      </c>
      <c r="M147" s="19"/>
      <c r="N147" s="19"/>
      <c r="O147" s="149"/>
      <c r="P147" s="192"/>
      <c r="Q147" s="194"/>
      <c r="R147" s="217"/>
      <c r="S147" s="195"/>
      <c r="T147" s="196"/>
      <c r="U147" s="188">
        <f>I147-(P147*($L$1-$J$1))</f>
        <v>116.44</v>
      </c>
    </row>
    <row r="148" spans="1:24" s="127" customFormat="1" ht="15.75" customHeight="1" x14ac:dyDescent="0.3">
      <c r="A148" s="277"/>
      <c r="B148" s="128">
        <v>0</v>
      </c>
      <c r="C148" s="128">
        <v>3</v>
      </c>
      <c r="D148" s="129">
        <f>'Data Ocupacion'!AR35</f>
        <v>0</v>
      </c>
      <c r="E148" s="129">
        <f>'Data Ocupacion'!AS35</f>
        <v>3</v>
      </c>
      <c r="F148" s="128" t="s">
        <v>53</v>
      </c>
      <c r="G148" s="128">
        <f t="shared" si="123"/>
        <v>6</v>
      </c>
      <c r="H148" s="128">
        <f t="shared" si="124"/>
        <v>3</v>
      </c>
      <c r="I148" s="128">
        <f>G148*L$1</f>
        <v>174.66</v>
      </c>
      <c r="J148" s="156"/>
      <c r="K148" s="128">
        <f t="shared" si="125"/>
        <v>18164.64</v>
      </c>
      <c r="L148" s="128">
        <f t="shared" si="126"/>
        <v>312</v>
      </c>
      <c r="M148" s="19"/>
      <c r="N148" s="19"/>
      <c r="O148" s="149"/>
      <c r="P148" s="264"/>
      <c r="Q148" s="217"/>
      <c r="R148" s="217"/>
      <c r="S148" s="217"/>
      <c r="T148" s="196"/>
      <c r="U148" s="188">
        <f t="shared" ref="U148:U150" si="127">I148-(P148*($L$1-$J$1))</f>
        <v>174.66</v>
      </c>
    </row>
    <row r="149" spans="1:24" s="127" customFormat="1" ht="15.75" customHeight="1" x14ac:dyDescent="0.3">
      <c r="A149" s="277"/>
      <c r="B149" s="128">
        <v>0</v>
      </c>
      <c r="C149" s="128">
        <v>0</v>
      </c>
      <c r="D149" s="129">
        <f>'Data Ocupacion'!AR36</f>
        <v>0</v>
      </c>
      <c r="E149" s="129">
        <f>'Data Ocupacion'!AS36</f>
        <v>0</v>
      </c>
      <c r="F149" s="128" t="s">
        <v>122</v>
      </c>
      <c r="G149" s="128">
        <f t="shared" si="123"/>
        <v>0</v>
      </c>
      <c r="H149" s="128">
        <f t="shared" si="124"/>
        <v>0</v>
      </c>
      <c r="I149" s="128">
        <f>G149*J$1</f>
        <v>0</v>
      </c>
      <c r="J149" s="156"/>
      <c r="K149" s="128">
        <f t="shared" si="125"/>
        <v>0</v>
      </c>
      <c r="L149" s="128">
        <f t="shared" si="126"/>
        <v>0</v>
      </c>
      <c r="M149" s="19"/>
      <c r="N149" s="19"/>
      <c r="O149" s="149"/>
      <c r="P149" s="264"/>
      <c r="Q149" s="217"/>
      <c r="R149" s="217"/>
      <c r="S149" s="217"/>
      <c r="T149" s="196"/>
      <c r="U149" s="188">
        <f t="shared" si="127"/>
        <v>0</v>
      </c>
    </row>
    <row r="150" spans="1:24" ht="15" thickBot="1" x14ac:dyDescent="0.35">
      <c r="A150" s="277"/>
      <c r="B150" s="128">
        <v>1</v>
      </c>
      <c r="C150" s="128">
        <v>2</v>
      </c>
      <c r="D150" s="129">
        <f>'Data Ocupacion'!AR37</f>
        <v>1</v>
      </c>
      <c r="E150" s="129">
        <f>'Data Ocupacion'!AS37</f>
        <v>2</v>
      </c>
      <c r="F150" s="128" t="s">
        <v>35</v>
      </c>
      <c r="G150" s="128">
        <f t="shared" si="123"/>
        <v>5</v>
      </c>
      <c r="H150" s="128">
        <f t="shared" si="124"/>
        <v>3</v>
      </c>
      <c r="I150" s="128">
        <f>G150*J$1</f>
        <v>127</v>
      </c>
      <c r="J150" s="156">
        <f>H150*N$1</f>
        <v>65.099999999999994</v>
      </c>
      <c r="K150" s="128">
        <f t="shared" si="125"/>
        <v>13208</v>
      </c>
      <c r="L150" s="128">
        <f t="shared" si="126"/>
        <v>312</v>
      </c>
      <c r="M150" s="19"/>
      <c r="N150" s="19"/>
      <c r="O150" s="261"/>
      <c r="P150" s="196"/>
      <c r="Q150" s="196"/>
      <c r="R150" s="196"/>
      <c r="S150" s="196"/>
      <c r="T150" s="196"/>
      <c r="U150" s="188">
        <f t="shared" si="127"/>
        <v>127</v>
      </c>
    </row>
    <row r="151" spans="1:24" s="127" customFormat="1" ht="15" thickBot="1" x14ac:dyDescent="0.35">
      <c r="A151" s="20"/>
      <c r="B151" s="230">
        <f>SUM(B145:B150)</f>
        <v>72</v>
      </c>
      <c r="C151" s="230">
        <f>SUM(C145:C150)</f>
        <v>98</v>
      </c>
      <c r="D151" s="151">
        <f>SUM(D145:D150)</f>
        <v>72</v>
      </c>
      <c r="E151" s="151">
        <f>SUM(E145:E150)</f>
        <v>98</v>
      </c>
      <c r="F151" s="121"/>
      <c r="G151" s="121">
        <f t="shared" ref="G151:L151" si="128">SUM(G145:G150)</f>
        <v>268</v>
      </c>
      <c r="H151" s="121">
        <f t="shared" si="128"/>
        <v>170</v>
      </c>
      <c r="I151" s="122">
        <f t="shared" si="128"/>
        <v>11329.990000000002</v>
      </c>
      <c r="J151" s="121">
        <f t="shared" si="128"/>
        <v>2003.8999999999999</v>
      </c>
      <c r="K151" s="121">
        <f t="shared" si="128"/>
        <v>1178318.96</v>
      </c>
      <c r="L151" s="121">
        <f t="shared" si="128"/>
        <v>17680</v>
      </c>
      <c r="M151" s="126">
        <f>'Odometro-Kilometraje'!V81</f>
        <v>11715</v>
      </c>
      <c r="N151" s="21">
        <f>(U151/M151)*100</f>
        <v>94.917797695262493</v>
      </c>
      <c r="O151" s="199"/>
      <c r="P151" s="187"/>
      <c r="Q151" s="187"/>
      <c r="R151" s="187"/>
      <c r="S151" s="187"/>
      <c r="T151" s="187"/>
      <c r="U151" s="200">
        <f>SUM(U145:U150)</f>
        <v>11119.62</v>
      </c>
    </row>
    <row r="152" spans="1:24" x14ac:dyDescent="0.3">
      <c r="A152" s="62">
        <f>A145+1</f>
        <v>45587</v>
      </c>
      <c r="B152" s="128">
        <v>36</v>
      </c>
      <c r="C152" s="128">
        <v>47</v>
      </c>
      <c r="D152" s="129">
        <f>'Data Ocupacion'!AT32</f>
        <v>36</v>
      </c>
      <c r="E152" s="129">
        <f>'Data Ocupacion'!AU32</f>
        <v>47</v>
      </c>
      <c r="F152" s="128" t="s">
        <v>38</v>
      </c>
      <c r="G152" s="128">
        <f>D152+E152*2</f>
        <v>130</v>
      </c>
      <c r="H152" s="128">
        <f>D152+E152</f>
        <v>83</v>
      </c>
      <c r="I152" s="128">
        <f>G152*L$2</f>
        <v>5606.9000000000005</v>
      </c>
      <c r="J152" s="156">
        <f>H152*L$2</f>
        <v>3579.7900000000004</v>
      </c>
      <c r="K152" s="128">
        <f t="shared" ref="K152:K157" si="129">I152*104</f>
        <v>583117.60000000009</v>
      </c>
      <c r="L152" s="128">
        <f t="shared" ref="L152:L157" si="130">H152*104</f>
        <v>8632</v>
      </c>
      <c r="M152" s="19"/>
      <c r="N152" s="19"/>
      <c r="O152" s="149"/>
      <c r="P152" s="263">
        <v>4</v>
      </c>
      <c r="Q152" s="189"/>
      <c r="R152" s="216"/>
      <c r="S152" s="210">
        <v>1</v>
      </c>
      <c r="T152" s="198"/>
      <c r="U152" s="191">
        <f>I152-((P152*($L$2-$J$1)))-(S152*($J$1))</f>
        <v>5510.5800000000008</v>
      </c>
    </row>
    <row r="153" spans="1:24" ht="15" customHeight="1" x14ac:dyDescent="0.3">
      <c r="A153" s="314"/>
      <c r="B153" s="128">
        <v>35</v>
      </c>
      <c r="C153" s="128">
        <v>44</v>
      </c>
      <c r="D153" s="129">
        <f>'Data Ocupacion'!AT33</f>
        <v>35</v>
      </c>
      <c r="E153" s="129">
        <f>'Data Ocupacion'!AU33</f>
        <v>44</v>
      </c>
      <c r="F153" s="128" t="s">
        <v>52</v>
      </c>
      <c r="G153" s="128">
        <f>D153+E153*2</f>
        <v>123</v>
      </c>
      <c r="H153" s="128">
        <f>D153+E153</f>
        <v>79</v>
      </c>
      <c r="I153" s="128">
        <f>G153*L$2</f>
        <v>5304.9900000000007</v>
      </c>
      <c r="J153" s="156">
        <f>H153*L$2</f>
        <v>3407.27</v>
      </c>
      <c r="K153" s="128">
        <f t="shared" si="129"/>
        <v>551718.96000000008</v>
      </c>
      <c r="L153" s="128">
        <f t="shared" si="130"/>
        <v>8216</v>
      </c>
      <c r="M153" s="19"/>
      <c r="N153" s="19"/>
      <c r="O153" s="149"/>
      <c r="P153" s="193"/>
      <c r="Q153" s="193"/>
      <c r="R153" s="193"/>
      <c r="S153" s="263">
        <v>1</v>
      </c>
      <c r="T153" s="214"/>
      <c r="U153" s="191">
        <f>I153-(S153*($L$2-$J$1)+(T153*($L$2-$L$1)))</f>
        <v>5287.2600000000011</v>
      </c>
      <c r="V153" s="127"/>
      <c r="W153" s="127"/>
      <c r="X153" s="127"/>
    </row>
    <row r="154" spans="1:24" ht="15.75" customHeight="1" x14ac:dyDescent="0.3">
      <c r="A154" s="314"/>
      <c r="B154" s="128">
        <v>0</v>
      </c>
      <c r="C154" s="128">
        <v>2</v>
      </c>
      <c r="D154" s="129">
        <f>'Data Ocupacion'!AT34</f>
        <v>0</v>
      </c>
      <c r="E154" s="129">
        <f>'Data Ocupacion'!AU34</f>
        <v>2</v>
      </c>
      <c r="F154" s="128" t="s">
        <v>36</v>
      </c>
      <c r="G154" s="128">
        <f t="shared" ref="G154:G157" si="131">D154+E154*2</f>
        <v>4</v>
      </c>
      <c r="H154" s="128">
        <f t="shared" ref="H154:H157" si="132">D154+E154</f>
        <v>2</v>
      </c>
      <c r="I154" s="128">
        <f>G154*L$1</f>
        <v>116.44</v>
      </c>
      <c r="J154" s="156">
        <f>H154*L$1</f>
        <v>58.22</v>
      </c>
      <c r="K154" s="128">
        <f t="shared" si="129"/>
        <v>12109.76</v>
      </c>
      <c r="L154" s="128">
        <f t="shared" si="130"/>
        <v>208</v>
      </c>
      <c r="M154" s="19"/>
      <c r="N154" s="19"/>
      <c r="O154" s="149"/>
      <c r="P154" s="192"/>
      <c r="Q154" s="194"/>
      <c r="R154" s="217"/>
      <c r="S154" s="195"/>
      <c r="T154" s="196"/>
      <c r="U154" s="188">
        <f>I154-(P154*($L$1-$J$1))</f>
        <v>116.44</v>
      </c>
      <c r="V154" s="127"/>
      <c r="W154" s="127"/>
      <c r="X154" s="127"/>
    </row>
    <row r="155" spans="1:24" ht="15" customHeight="1" x14ac:dyDescent="0.3">
      <c r="A155" s="314"/>
      <c r="B155" s="128">
        <v>0</v>
      </c>
      <c r="C155" s="128">
        <v>3</v>
      </c>
      <c r="D155" s="129">
        <f>'Data Ocupacion'!AT35</f>
        <v>0</v>
      </c>
      <c r="E155" s="129">
        <f>'Data Ocupacion'!AU35</f>
        <v>3</v>
      </c>
      <c r="F155" s="128" t="s">
        <v>53</v>
      </c>
      <c r="G155" s="128">
        <f t="shared" si="131"/>
        <v>6</v>
      </c>
      <c r="H155" s="128">
        <f t="shared" si="132"/>
        <v>3</v>
      </c>
      <c r="I155" s="128">
        <f>G155*L$1</f>
        <v>174.66</v>
      </c>
      <c r="J155" s="156">
        <f>H155*L$1</f>
        <v>87.33</v>
      </c>
      <c r="K155" s="128">
        <f t="shared" si="129"/>
        <v>18164.64</v>
      </c>
      <c r="L155" s="128">
        <f t="shared" si="130"/>
        <v>312</v>
      </c>
      <c r="M155" s="19"/>
      <c r="N155" s="19"/>
      <c r="O155" s="149"/>
      <c r="P155" s="196"/>
      <c r="Q155" s="196"/>
      <c r="R155" s="196"/>
      <c r="S155" s="196"/>
      <c r="T155" s="196"/>
      <c r="U155" s="188">
        <f t="shared" ref="U155:U156" si="133">I155</f>
        <v>174.66</v>
      </c>
      <c r="V155" s="127"/>
      <c r="W155" s="127"/>
      <c r="X155" s="127"/>
    </row>
    <row r="156" spans="1:24" ht="13.5" customHeight="1" x14ac:dyDescent="0.3">
      <c r="A156" s="314"/>
      <c r="B156" s="128">
        <v>0</v>
      </c>
      <c r="C156" s="128">
        <v>0</v>
      </c>
      <c r="D156" s="129">
        <f>'Data Ocupacion'!AT36</f>
        <v>0</v>
      </c>
      <c r="E156" s="129">
        <f>'Data Ocupacion'!AU36</f>
        <v>0</v>
      </c>
      <c r="F156" s="128" t="s">
        <v>122</v>
      </c>
      <c r="G156" s="128">
        <f t="shared" si="131"/>
        <v>0</v>
      </c>
      <c r="H156" s="128">
        <f t="shared" si="132"/>
        <v>0</v>
      </c>
      <c r="I156" s="128">
        <f>G156*J$1</f>
        <v>0</v>
      </c>
      <c r="J156" s="156">
        <f>H156*L$1</f>
        <v>0</v>
      </c>
      <c r="K156" s="128">
        <f t="shared" si="129"/>
        <v>0</v>
      </c>
      <c r="L156" s="128">
        <f t="shared" si="130"/>
        <v>0</v>
      </c>
      <c r="M156" s="19"/>
      <c r="N156" s="19"/>
      <c r="O156" s="149"/>
      <c r="P156" s="196"/>
      <c r="Q156" s="196"/>
      <c r="R156" s="196"/>
      <c r="S156" s="196"/>
      <c r="T156" s="196"/>
      <c r="U156" s="188">
        <f t="shared" si="133"/>
        <v>0</v>
      </c>
      <c r="V156" s="127"/>
      <c r="W156" s="127"/>
      <c r="X156" s="127"/>
    </row>
    <row r="157" spans="1:24" ht="15.75" customHeight="1" thickBot="1" x14ac:dyDescent="0.35">
      <c r="A157" s="314"/>
      <c r="B157" s="128">
        <v>1</v>
      </c>
      <c r="C157" s="128">
        <v>2</v>
      </c>
      <c r="D157" s="129">
        <f>'Data Ocupacion'!AT37</f>
        <v>1</v>
      </c>
      <c r="E157" s="129">
        <f>'Data Ocupacion'!AU37</f>
        <v>2</v>
      </c>
      <c r="F157" s="128" t="s">
        <v>35</v>
      </c>
      <c r="G157" s="128">
        <f t="shared" si="131"/>
        <v>5</v>
      </c>
      <c r="H157" s="128">
        <f t="shared" si="132"/>
        <v>3</v>
      </c>
      <c r="I157" s="128">
        <f>G157*J$1</f>
        <v>127</v>
      </c>
      <c r="J157" s="156">
        <f>H157*J$1</f>
        <v>76.199999999999989</v>
      </c>
      <c r="K157" s="128">
        <f t="shared" si="129"/>
        <v>13208</v>
      </c>
      <c r="L157" s="128">
        <f t="shared" si="130"/>
        <v>312</v>
      </c>
      <c r="M157" s="19"/>
      <c r="N157" s="19"/>
      <c r="O157" s="149"/>
      <c r="P157" s="196"/>
      <c r="Q157" s="196"/>
      <c r="R157" s="196"/>
      <c r="S157" s="196"/>
      <c r="T157" s="196"/>
      <c r="U157" s="188">
        <f>I157</f>
        <v>127</v>
      </c>
    </row>
    <row r="158" spans="1:24" s="127" customFormat="1" ht="15" thickBot="1" x14ac:dyDescent="0.35">
      <c r="A158" s="20"/>
      <c r="B158" s="230">
        <f>SUM(B152:B157)</f>
        <v>72</v>
      </c>
      <c r="C158" s="230">
        <f>SUM(C152:C157)</f>
        <v>98</v>
      </c>
      <c r="D158" s="151">
        <f>SUM(D152:D157)</f>
        <v>72</v>
      </c>
      <c r="E158" s="151">
        <f>SUM(E152:E157)</f>
        <v>98</v>
      </c>
      <c r="F158" s="121"/>
      <c r="G158" s="121">
        <f t="shared" ref="G158:L158" si="134">SUM(G152:G157)</f>
        <v>268</v>
      </c>
      <c r="H158" s="121">
        <f t="shared" si="134"/>
        <v>170</v>
      </c>
      <c r="I158" s="122">
        <f t="shared" si="134"/>
        <v>11329.990000000002</v>
      </c>
      <c r="J158" s="121">
        <f t="shared" si="134"/>
        <v>7208.81</v>
      </c>
      <c r="K158" s="121">
        <f t="shared" si="134"/>
        <v>1178318.96</v>
      </c>
      <c r="L158" s="121">
        <f t="shared" si="134"/>
        <v>17680</v>
      </c>
      <c r="M158" s="126">
        <f>'Odometro-Kilometraje'!W81</f>
        <v>11734</v>
      </c>
      <c r="N158" s="21">
        <f>(U158/M158)*100</f>
        <v>95.584966763252112</v>
      </c>
      <c r="O158" s="199"/>
      <c r="P158" s="187"/>
      <c r="Q158" s="187"/>
      <c r="R158" s="187"/>
      <c r="S158" s="187"/>
      <c r="T158" s="187"/>
      <c r="U158" s="200">
        <f>SUM(U152:U157)</f>
        <v>11215.940000000002</v>
      </c>
    </row>
    <row r="159" spans="1:24" s="127" customFormat="1" x14ac:dyDescent="0.3">
      <c r="A159" s="62">
        <f>A152+1</f>
        <v>45588</v>
      </c>
      <c r="B159" s="128">
        <v>36</v>
      </c>
      <c r="C159" s="128">
        <v>47</v>
      </c>
      <c r="D159" s="129">
        <f>'Data Ocupacion'!AV32</f>
        <v>36</v>
      </c>
      <c r="E159" s="129">
        <f>'Data Ocupacion'!AW32</f>
        <v>47</v>
      </c>
      <c r="F159" s="128" t="s">
        <v>38</v>
      </c>
      <c r="G159" s="128">
        <f t="shared" ref="G159:G164" si="135">D159+E159*2</f>
        <v>130</v>
      </c>
      <c r="H159" s="128">
        <f t="shared" ref="H159:H164" si="136">D159+E159</f>
        <v>83</v>
      </c>
      <c r="I159" s="128">
        <f>G159*L$2</f>
        <v>5606.9000000000005</v>
      </c>
      <c r="J159" s="156">
        <f>H159*L$2</f>
        <v>3579.7900000000004</v>
      </c>
      <c r="K159" s="128">
        <f t="shared" ref="K159:K164" si="137">I159*104</f>
        <v>583117.60000000009</v>
      </c>
      <c r="L159" s="128">
        <f t="shared" ref="L159:L164" si="138">H159*104</f>
        <v>8632</v>
      </c>
      <c r="M159" s="19"/>
      <c r="N159" s="19"/>
      <c r="O159" s="149"/>
      <c r="P159" s="329"/>
      <c r="Q159" s="189"/>
      <c r="R159" s="216"/>
      <c r="S159" s="189">
        <v>1</v>
      </c>
      <c r="T159" s="198"/>
      <c r="U159" s="191">
        <f>I159-((P159*($L$2-$J$1)))-(S159*($J$1))</f>
        <v>5581.5000000000009</v>
      </c>
    </row>
    <row r="160" spans="1:24" ht="15" customHeight="1" x14ac:dyDescent="0.3">
      <c r="A160" s="209"/>
      <c r="B160" s="128">
        <v>35</v>
      </c>
      <c r="C160" s="128">
        <v>44</v>
      </c>
      <c r="D160" s="129">
        <f>'Data Ocupacion'!AV33</f>
        <v>35</v>
      </c>
      <c r="E160" s="129">
        <f>'Data Ocupacion'!AW33</f>
        <v>44</v>
      </c>
      <c r="F160" s="128" t="s">
        <v>52</v>
      </c>
      <c r="G160" s="128">
        <f t="shared" si="135"/>
        <v>123</v>
      </c>
      <c r="H160" s="128">
        <f t="shared" si="136"/>
        <v>79</v>
      </c>
      <c r="I160" s="128">
        <f>G160*L$2</f>
        <v>5304.9900000000007</v>
      </c>
      <c r="J160" s="156">
        <f>H160*L$2</f>
        <v>3407.27</v>
      </c>
      <c r="K160" s="128">
        <f t="shared" si="137"/>
        <v>551718.96000000008</v>
      </c>
      <c r="L160" s="128">
        <f t="shared" si="138"/>
        <v>8216</v>
      </c>
      <c r="M160" s="19"/>
      <c r="N160" s="19"/>
      <c r="O160" s="149"/>
      <c r="P160" s="193"/>
      <c r="Q160" s="193"/>
      <c r="R160" s="229"/>
      <c r="S160" s="189"/>
      <c r="T160" s="229"/>
      <c r="U160" s="191">
        <f>I160-(S160*($L$2-$J$1)+(T160*($L$2-$L$1)))</f>
        <v>5304.9900000000007</v>
      </c>
      <c r="W160" s="175"/>
    </row>
    <row r="161" spans="1:23" x14ac:dyDescent="0.3">
      <c r="A161" s="209"/>
      <c r="B161" s="128">
        <v>0</v>
      </c>
      <c r="C161" s="128">
        <v>2</v>
      </c>
      <c r="D161" s="129">
        <f>'Data Ocupacion'!AV34</f>
        <v>0</v>
      </c>
      <c r="E161" s="129">
        <f>'Data Ocupacion'!AW34</f>
        <v>2</v>
      </c>
      <c r="F161" s="128" t="s">
        <v>36</v>
      </c>
      <c r="G161" s="128">
        <f t="shared" si="135"/>
        <v>4</v>
      </c>
      <c r="H161" s="128">
        <f t="shared" si="136"/>
        <v>2</v>
      </c>
      <c r="I161" s="128">
        <f>G161*L$1</f>
        <v>116.44</v>
      </c>
      <c r="J161" s="156">
        <f>H161*L$1</f>
        <v>58.22</v>
      </c>
      <c r="K161" s="128">
        <f t="shared" si="137"/>
        <v>12109.76</v>
      </c>
      <c r="L161" s="128">
        <f t="shared" si="138"/>
        <v>208</v>
      </c>
      <c r="M161" s="19"/>
      <c r="N161" s="19"/>
      <c r="O161" s="149"/>
      <c r="P161" s="192"/>
      <c r="Q161" s="194"/>
      <c r="R161" s="217"/>
      <c r="S161" s="195"/>
      <c r="T161" s="196"/>
      <c r="U161" s="188">
        <f>I161-(P161*($L$1-$J$1))</f>
        <v>116.44</v>
      </c>
    </row>
    <row r="162" spans="1:23" ht="15" customHeight="1" x14ac:dyDescent="0.3">
      <c r="A162" s="209"/>
      <c r="B162" s="128">
        <v>0</v>
      </c>
      <c r="C162" s="128">
        <v>3</v>
      </c>
      <c r="D162" s="129">
        <f>'Data Ocupacion'!AV35</f>
        <v>0</v>
      </c>
      <c r="E162" s="129">
        <f>'Data Ocupacion'!AW35</f>
        <v>3</v>
      </c>
      <c r="F162" s="128" t="s">
        <v>53</v>
      </c>
      <c r="G162" s="128">
        <f t="shared" si="135"/>
        <v>6</v>
      </c>
      <c r="H162" s="128">
        <f t="shared" si="136"/>
        <v>3</v>
      </c>
      <c r="I162" s="128">
        <f>G162*L$1</f>
        <v>174.66</v>
      </c>
      <c r="J162" s="156">
        <f>H162*L$1</f>
        <v>87.33</v>
      </c>
      <c r="K162" s="128">
        <f t="shared" si="137"/>
        <v>18164.64</v>
      </c>
      <c r="L162" s="128">
        <f t="shared" si="138"/>
        <v>312</v>
      </c>
      <c r="M162" s="19"/>
      <c r="N162" s="19"/>
      <c r="O162" s="149"/>
      <c r="P162" s="196"/>
      <c r="Q162" s="196"/>
      <c r="R162" s="196"/>
      <c r="S162" s="196"/>
      <c r="T162" s="196"/>
      <c r="U162" s="188">
        <f t="shared" ref="U162:U163" si="139">I162</f>
        <v>174.66</v>
      </c>
    </row>
    <row r="163" spans="1:23" ht="13.5" customHeight="1" x14ac:dyDescent="0.3">
      <c r="A163" s="209"/>
      <c r="B163" s="128">
        <v>0</v>
      </c>
      <c r="C163" s="128">
        <v>0</v>
      </c>
      <c r="D163" s="129">
        <f>'Data Ocupacion'!AV36</f>
        <v>0</v>
      </c>
      <c r="E163" s="129">
        <f>'Data Ocupacion'!AW36</f>
        <v>0</v>
      </c>
      <c r="F163" s="128" t="s">
        <v>122</v>
      </c>
      <c r="G163" s="128">
        <f t="shared" si="135"/>
        <v>0</v>
      </c>
      <c r="H163" s="128">
        <f t="shared" si="136"/>
        <v>0</v>
      </c>
      <c r="I163" s="128">
        <f>G163*J$1</f>
        <v>0</v>
      </c>
      <c r="J163" s="156">
        <f>H163*J$1</f>
        <v>0</v>
      </c>
      <c r="K163" s="128">
        <f t="shared" si="137"/>
        <v>0</v>
      </c>
      <c r="L163" s="128">
        <f t="shared" si="138"/>
        <v>0</v>
      </c>
      <c r="M163" s="19"/>
      <c r="N163" s="19"/>
      <c r="O163" s="149"/>
      <c r="P163" s="196"/>
      <c r="Q163" s="196"/>
      <c r="R163" s="196"/>
      <c r="S163" s="196"/>
      <c r="T163" s="196"/>
      <c r="U163" s="188">
        <f t="shared" si="139"/>
        <v>0</v>
      </c>
    </row>
    <row r="164" spans="1:23" ht="15" thickBot="1" x14ac:dyDescent="0.35">
      <c r="A164" s="209"/>
      <c r="B164" s="128">
        <v>1</v>
      </c>
      <c r="C164" s="128">
        <v>2</v>
      </c>
      <c r="D164" s="129">
        <f>'Data Ocupacion'!AV37</f>
        <v>1</v>
      </c>
      <c r="E164" s="129">
        <f>'Data Ocupacion'!AW37</f>
        <v>2</v>
      </c>
      <c r="F164" s="128" t="s">
        <v>35</v>
      </c>
      <c r="G164" s="128">
        <f t="shared" si="135"/>
        <v>5</v>
      </c>
      <c r="H164" s="128">
        <f t="shared" si="136"/>
        <v>3</v>
      </c>
      <c r="I164" s="128">
        <f>G164*J$1</f>
        <v>127</v>
      </c>
      <c r="J164" s="156">
        <f>H164*J$1</f>
        <v>76.199999999999989</v>
      </c>
      <c r="K164" s="128">
        <f t="shared" si="137"/>
        <v>13208</v>
      </c>
      <c r="L164" s="128">
        <f t="shared" si="138"/>
        <v>312</v>
      </c>
      <c r="M164" s="19"/>
      <c r="N164" s="19"/>
      <c r="O164" s="149"/>
      <c r="P164" s="196"/>
      <c r="Q164" s="196"/>
      <c r="R164" s="196"/>
      <c r="S164" s="196"/>
      <c r="T164" s="196"/>
      <c r="U164" s="188">
        <f>I164</f>
        <v>127</v>
      </c>
    </row>
    <row r="165" spans="1:23" s="127" customFormat="1" ht="15" customHeight="1" thickBot="1" x14ac:dyDescent="0.35">
      <c r="A165" s="20"/>
      <c r="B165" s="230">
        <f>SUM(B159:B164)</f>
        <v>72</v>
      </c>
      <c r="C165" s="230">
        <f>SUM(C159:C164)</f>
        <v>98</v>
      </c>
      <c r="D165" s="151">
        <f>SUM(D159:D164)</f>
        <v>72</v>
      </c>
      <c r="E165" s="151">
        <f>SUM(E159:E164)</f>
        <v>98</v>
      </c>
      <c r="F165" s="121"/>
      <c r="G165" s="121">
        <f t="shared" ref="G165:L165" si="140">SUM(G159:G164)</f>
        <v>268</v>
      </c>
      <c r="H165" s="121">
        <f t="shared" si="140"/>
        <v>170</v>
      </c>
      <c r="I165" s="122">
        <f t="shared" si="140"/>
        <v>11329.990000000002</v>
      </c>
      <c r="J165" s="121">
        <f t="shared" si="140"/>
        <v>7208.81</v>
      </c>
      <c r="K165" s="121">
        <f t="shared" si="140"/>
        <v>1178318.96</v>
      </c>
      <c r="L165" s="121">
        <f t="shared" si="140"/>
        <v>17680</v>
      </c>
      <c r="M165" s="126">
        <f>'Odometro-Kilometraje'!X81</f>
        <v>11737</v>
      </c>
      <c r="N165" s="21">
        <f>(U165/M165)*100</f>
        <v>96.315838800374891</v>
      </c>
      <c r="O165" s="199"/>
      <c r="P165" s="187"/>
      <c r="Q165" s="187"/>
      <c r="R165" s="187"/>
      <c r="S165" s="187"/>
      <c r="T165" s="187"/>
      <c r="U165" s="200">
        <f>SUM(U159:U164)</f>
        <v>11304.590000000002</v>
      </c>
    </row>
    <row r="166" spans="1:23" x14ac:dyDescent="0.3">
      <c r="A166" s="62">
        <f>A159+1</f>
        <v>45589</v>
      </c>
      <c r="B166" s="128">
        <v>36</v>
      </c>
      <c r="C166" s="128">
        <v>47</v>
      </c>
      <c r="D166" s="129">
        <f>'Data Ocupacion'!AX32</f>
        <v>36</v>
      </c>
      <c r="E166" s="129">
        <f>'Data Ocupacion'!AY32</f>
        <v>47</v>
      </c>
      <c r="F166" s="128" t="s">
        <v>38</v>
      </c>
      <c r="G166" s="128">
        <f t="shared" ref="G166:G171" si="141">D166+E166*2</f>
        <v>130</v>
      </c>
      <c r="H166" s="128">
        <f t="shared" ref="H166:H171" si="142">D166+E166</f>
        <v>83</v>
      </c>
      <c r="I166" s="128">
        <f>G166*L$2</f>
        <v>5606.9000000000005</v>
      </c>
      <c r="J166" s="156">
        <f>H166*L$2</f>
        <v>3579.7900000000004</v>
      </c>
      <c r="K166" s="128">
        <f t="shared" ref="K166:K171" si="143">I166*104</f>
        <v>583117.60000000009</v>
      </c>
      <c r="L166" s="128">
        <f t="shared" ref="L166:L171" si="144">H166*104</f>
        <v>8632</v>
      </c>
      <c r="M166" s="19"/>
      <c r="N166" s="19"/>
      <c r="O166" s="149"/>
      <c r="P166" s="189">
        <v>4</v>
      </c>
      <c r="Q166" s="189"/>
      <c r="R166" s="216"/>
      <c r="S166" s="210"/>
      <c r="T166" s="198"/>
      <c r="U166" s="191">
        <f>I166-((P166*($L$2-$J$1)))-(S166*($J$1))</f>
        <v>5535.9800000000005</v>
      </c>
    </row>
    <row r="167" spans="1:23" ht="15" customHeight="1" x14ac:dyDescent="0.3">
      <c r="A167" s="209"/>
      <c r="B167" s="128">
        <v>35</v>
      </c>
      <c r="C167" s="128">
        <v>44</v>
      </c>
      <c r="D167" s="129">
        <f>'Data Ocupacion'!AX33</f>
        <v>35</v>
      </c>
      <c r="E167" s="129">
        <f>'Data Ocupacion'!AY33</f>
        <v>44</v>
      </c>
      <c r="F167" s="128" t="s">
        <v>52</v>
      </c>
      <c r="G167" s="128">
        <f t="shared" si="141"/>
        <v>123</v>
      </c>
      <c r="H167" s="128">
        <f t="shared" si="142"/>
        <v>79</v>
      </c>
      <c r="I167" s="128">
        <f>G167*L$2</f>
        <v>5304.9900000000007</v>
      </c>
      <c r="J167" s="156">
        <f>H167*L$2</f>
        <v>3407.27</v>
      </c>
      <c r="K167" s="128">
        <f t="shared" si="143"/>
        <v>551718.96000000008</v>
      </c>
      <c r="L167" s="128">
        <f t="shared" si="144"/>
        <v>8216</v>
      </c>
      <c r="M167" s="19"/>
      <c r="N167" s="19"/>
      <c r="O167" s="149"/>
      <c r="P167" s="193"/>
      <c r="Q167" s="193"/>
      <c r="R167" s="193"/>
      <c r="S167" s="210">
        <v>1</v>
      </c>
      <c r="T167" s="214"/>
      <c r="U167" s="191">
        <f>I167-(S167*($L$2-$J$1)+(T167*($L$2-$L$1)))</f>
        <v>5287.2600000000011</v>
      </c>
      <c r="W167" s="175"/>
    </row>
    <row r="168" spans="1:23" x14ac:dyDescent="0.3">
      <c r="A168" s="209"/>
      <c r="B168" s="128">
        <v>0</v>
      </c>
      <c r="C168" s="128">
        <v>2</v>
      </c>
      <c r="D168" s="129">
        <f>'Data Ocupacion'!AX34</f>
        <v>0</v>
      </c>
      <c r="E168" s="129">
        <f>'Data Ocupacion'!AY34</f>
        <v>2</v>
      </c>
      <c r="F168" s="128" t="s">
        <v>36</v>
      </c>
      <c r="G168" s="128">
        <f t="shared" si="141"/>
        <v>4</v>
      </c>
      <c r="H168" s="128">
        <f t="shared" si="142"/>
        <v>2</v>
      </c>
      <c r="I168" s="128">
        <f>G168*L$1</f>
        <v>116.44</v>
      </c>
      <c r="J168" s="156">
        <f>H168*L$1</f>
        <v>58.22</v>
      </c>
      <c r="K168" s="128">
        <f t="shared" si="143"/>
        <v>12109.76</v>
      </c>
      <c r="L168" s="128">
        <f t="shared" si="144"/>
        <v>208</v>
      </c>
      <c r="M168" s="19"/>
      <c r="N168" s="19"/>
      <c r="O168" s="149"/>
      <c r="P168" s="192"/>
      <c r="Q168" s="194"/>
      <c r="R168" s="217"/>
      <c r="S168" s="195"/>
      <c r="T168" s="196"/>
      <c r="U168" s="188">
        <f>I168-(P168*($L$1-$J$1))</f>
        <v>116.44</v>
      </c>
    </row>
    <row r="169" spans="1:23" ht="15" customHeight="1" x14ac:dyDescent="0.3">
      <c r="A169" s="209"/>
      <c r="B169" s="128">
        <v>0</v>
      </c>
      <c r="C169" s="128">
        <v>3</v>
      </c>
      <c r="D169" s="129">
        <f>'Data Ocupacion'!AX35</f>
        <v>0</v>
      </c>
      <c r="E169" s="129">
        <f>'Data Ocupacion'!AY35</f>
        <v>3</v>
      </c>
      <c r="F169" s="128" t="s">
        <v>53</v>
      </c>
      <c r="G169" s="128">
        <f t="shared" si="141"/>
        <v>6</v>
      </c>
      <c r="H169" s="128">
        <f t="shared" si="142"/>
        <v>3</v>
      </c>
      <c r="I169" s="128">
        <f>G169*L$1</f>
        <v>174.66</v>
      </c>
      <c r="J169" s="156">
        <f>H169*L$1</f>
        <v>87.33</v>
      </c>
      <c r="K169" s="128">
        <f t="shared" si="143"/>
        <v>18164.64</v>
      </c>
      <c r="L169" s="128">
        <f t="shared" si="144"/>
        <v>312</v>
      </c>
      <c r="M169" s="19"/>
      <c r="N169" s="19"/>
      <c r="O169" s="149"/>
      <c r="P169" s="196"/>
      <c r="Q169" s="196"/>
      <c r="R169" s="196"/>
      <c r="S169" s="196"/>
      <c r="T169" s="196"/>
      <c r="U169" s="188">
        <f t="shared" ref="U169:U170" si="145">I169</f>
        <v>174.66</v>
      </c>
    </row>
    <row r="170" spans="1:23" ht="15" customHeight="1" x14ac:dyDescent="0.3">
      <c r="A170" s="209"/>
      <c r="B170" s="128">
        <v>0</v>
      </c>
      <c r="C170" s="128">
        <v>0</v>
      </c>
      <c r="D170" s="129">
        <f>'Data Ocupacion'!AX36</f>
        <v>0</v>
      </c>
      <c r="E170" s="129">
        <f>'Data Ocupacion'!AY36</f>
        <v>0</v>
      </c>
      <c r="F170" s="128" t="s">
        <v>122</v>
      </c>
      <c r="G170" s="128">
        <f t="shared" si="141"/>
        <v>0</v>
      </c>
      <c r="H170" s="128">
        <f t="shared" si="142"/>
        <v>0</v>
      </c>
      <c r="I170" s="128">
        <f>G170*J$1</f>
        <v>0</v>
      </c>
      <c r="J170" s="156">
        <f>H170*J$1</f>
        <v>0</v>
      </c>
      <c r="K170" s="128">
        <f t="shared" si="143"/>
        <v>0</v>
      </c>
      <c r="L170" s="128">
        <f t="shared" si="144"/>
        <v>0</v>
      </c>
      <c r="M170" s="19"/>
      <c r="N170" s="19"/>
      <c r="O170" s="149"/>
      <c r="P170" s="196"/>
      <c r="Q170" s="196"/>
      <c r="R170" s="196"/>
      <c r="S170" s="196"/>
      <c r="T170" s="196"/>
      <c r="U170" s="188">
        <f t="shared" si="145"/>
        <v>0</v>
      </c>
    </row>
    <row r="171" spans="1:23" ht="15" thickBot="1" x14ac:dyDescent="0.35">
      <c r="A171" s="209"/>
      <c r="B171" s="128">
        <v>1</v>
      </c>
      <c r="C171" s="128">
        <v>2</v>
      </c>
      <c r="D171" s="129">
        <f>'Data Ocupacion'!AX37</f>
        <v>1</v>
      </c>
      <c r="E171" s="129">
        <f>'Data Ocupacion'!AY37</f>
        <v>2</v>
      </c>
      <c r="F171" s="128" t="s">
        <v>35</v>
      </c>
      <c r="G171" s="128">
        <f t="shared" si="141"/>
        <v>5</v>
      </c>
      <c r="H171" s="128">
        <f t="shared" si="142"/>
        <v>3</v>
      </c>
      <c r="I171" s="128">
        <f>G171*J$1</f>
        <v>127</v>
      </c>
      <c r="J171" s="156">
        <f>H171*J$1</f>
        <v>76.199999999999989</v>
      </c>
      <c r="K171" s="128">
        <f t="shared" si="143"/>
        <v>13208</v>
      </c>
      <c r="L171" s="128">
        <f t="shared" si="144"/>
        <v>312</v>
      </c>
      <c r="M171" s="19"/>
      <c r="N171" s="19"/>
      <c r="O171" s="149"/>
      <c r="P171" s="196"/>
      <c r="Q171" s="196"/>
      <c r="R171" s="196"/>
      <c r="S171" s="196"/>
      <c r="T171" s="196"/>
      <c r="U171" s="188">
        <f>I171</f>
        <v>127</v>
      </c>
    </row>
    <row r="172" spans="1:23" s="127" customFormat="1" ht="15" thickBot="1" x14ac:dyDescent="0.35">
      <c r="A172" s="20"/>
      <c r="B172" s="230">
        <f>SUM(B166:B171)</f>
        <v>72</v>
      </c>
      <c r="C172" s="230">
        <f>SUM(C166:C171)</f>
        <v>98</v>
      </c>
      <c r="D172" s="151">
        <f>SUM(D166:D171)</f>
        <v>72</v>
      </c>
      <c r="E172" s="151">
        <f>SUM(E166:E171)</f>
        <v>98</v>
      </c>
      <c r="F172" s="121"/>
      <c r="G172" s="121">
        <f t="shared" ref="G172:L172" si="146">SUM(G166:G171)</f>
        <v>268</v>
      </c>
      <c r="H172" s="121">
        <f t="shared" si="146"/>
        <v>170</v>
      </c>
      <c r="I172" s="121">
        <f t="shared" si="146"/>
        <v>11329.990000000002</v>
      </c>
      <c r="J172" s="121">
        <f t="shared" si="146"/>
        <v>7208.81</v>
      </c>
      <c r="K172" s="121">
        <f t="shared" si="146"/>
        <v>1178318.96</v>
      </c>
      <c r="L172" s="121">
        <f t="shared" si="146"/>
        <v>17680</v>
      </c>
      <c r="M172" s="126">
        <f>'Odometro-Kilometraje'!Y81</f>
        <v>11740</v>
      </c>
      <c r="N172" s="21">
        <f>(U172/M172)*100</f>
        <v>95.752470187393541</v>
      </c>
      <c r="O172" s="199"/>
      <c r="P172" s="187"/>
      <c r="Q172" s="187"/>
      <c r="R172" s="187"/>
      <c r="S172" s="187"/>
      <c r="T172" s="187"/>
      <c r="U172" s="200">
        <f>SUM(U166:U171)</f>
        <v>11241.340000000002</v>
      </c>
    </row>
    <row r="173" spans="1:23" x14ac:dyDescent="0.3">
      <c r="A173" s="62">
        <f>A166+1</f>
        <v>45590</v>
      </c>
      <c r="B173" s="128">
        <v>36</v>
      </c>
      <c r="C173" s="128">
        <v>47</v>
      </c>
      <c r="D173" s="129">
        <f>'Data Ocupacion'!AZ32</f>
        <v>38</v>
      </c>
      <c r="E173" s="129">
        <f>'Data Ocupacion'!BA32</f>
        <v>46</v>
      </c>
      <c r="F173" s="128" t="s">
        <v>38</v>
      </c>
      <c r="G173" s="128">
        <f t="shared" ref="G173:G178" si="147">D173+E173*2</f>
        <v>130</v>
      </c>
      <c r="H173" s="128">
        <f t="shared" ref="H173:H178" si="148">D173+E173</f>
        <v>84</v>
      </c>
      <c r="I173" s="128">
        <f>G173*L$2</f>
        <v>5606.9000000000005</v>
      </c>
      <c r="J173" s="156">
        <f>H173*L$2</f>
        <v>3622.92</v>
      </c>
      <c r="K173" s="128">
        <f t="shared" ref="K173:K178" si="149">I173*104</f>
        <v>583117.60000000009</v>
      </c>
      <c r="L173" s="128">
        <f t="shared" ref="L173:L178" si="150">H173*104</f>
        <v>8736</v>
      </c>
      <c r="M173" s="19"/>
      <c r="N173" s="19"/>
      <c r="O173" s="149"/>
      <c r="P173" s="263">
        <v>5</v>
      </c>
      <c r="Q173" s="189"/>
      <c r="R173" s="210"/>
      <c r="S173" s="329"/>
      <c r="T173" s="198"/>
      <c r="U173" s="191">
        <f>I173-((P173*($L$2-$J$1)))-(S173*($J$1))</f>
        <v>5518.2500000000009</v>
      </c>
    </row>
    <row r="174" spans="1:23" ht="18" customHeight="1" x14ac:dyDescent="0.3">
      <c r="A174" s="209"/>
      <c r="B174" s="128">
        <v>35</v>
      </c>
      <c r="C174" s="128">
        <v>44</v>
      </c>
      <c r="D174" s="129">
        <f>'Data Ocupacion'!AZ33</f>
        <v>34</v>
      </c>
      <c r="E174" s="129">
        <f>'Data Ocupacion'!BA33</f>
        <v>45</v>
      </c>
      <c r="F174" s="128" t="s">
        <v>52</v>
      </c>
      <c r="G174" s="128">
        <f t="shared" si="147"/>
        <v>124</v>
      </c>
      <c r="H174" s="128">
        <f t="shared" si="148"/>
        <v>79</v>
      </c>
      <c r="I174" s="128">
        <f>G174*L$2</f>
        <v>5348.12</v>
      </c>
      <c r="J174" s="156">
        <f>H174*L$2</f>
        <v>3407.27</v>
      </c>
      <c r="K174" s="128">
        <f t="shared" si="149"/>
        <v>556204.48</v>
      </c>
      <c r="L174" s="128">
        <f t="shared" si="150"/>
        <v>8216</v>
      </c>
      <c r="M174" s="19"/>
      <c r="N174" s="19"/>
      <c r="O174" s="149"/>
      <c r="P174" s="193"/>
      <c r="Q174" s="193"/>
      <c r="R174" s="229"/>
      <c r="S174" s="263">
        <v>1</v>
      </c>
      <c r="T174" s="190"/>
      <c r="U174" s="191">
        <f>I174-((S174*($L$2-$J$1)+(T174*($L$2-$L$1)))-(R174*($L$2-$H$2)))</f>
        <v>5330.39</v>
      </c>
      <c r="W174" s="175"/>
    </row>
    <row r="175" spans="1:23" x14ac:dyDescent="0.3">
      <c r="A175" s="209"/>
      <c r="B175" s="128">
        <v>0</v>
      </c>
      <c r="C175" s="128">
        <v>2</v>
      </c>
      <c r="D175" s="129">
        <f>'Data Ocupacion'!AZ34</f>
        <v>0</v>
      </c>
      <c r="E175" s="129">
        <f>'Data Ocupacion'!BA34</f>
        <v>2</v>
      </c>
      <c r="F175" s="128" t="s">
        <v>36</v>
      </c>
      <c r="G175" s="128">
        <f t="shared" si="147"/>
        <v>4</v>
      </c>
      <c r="H175" s="128">
        <f t="shared" si="148"/>
        <v>2</v>
      </c>
      <c r="I175" s="128">
        <f>G175*L$1</f>
        <v>116.44</v>
      </c>
      <c r="J175" s="156">
        <f>H175*L$1</f>
        <v>58.22</v>
      </c>
      <c r="K175" s="128">
        <f t="shared" si="149"/>
        <v>12109.76</v>
      </c>
      <c r="L175" s="128">
        <f t="shared" si="150"/>
        <v>208</v>
      </c>
      <c r="M175" s="19"/>
      <c r="N175" s="19"/>
      <c r="O175" s="149"/>
      <c r="P175" s="192">
        <v>1</v>
      </c>
      <c r="Q175" s="194"/>
      <c r="R175" s="217"/>
      <c r="S175" s="195"/>
      <c r="T175" s="196"/>
      <c r="U175" s="188">
        <f>I175-(P175*($L$1-$J$1))</f>
        <v>112.72999999999999</v>
      </c>
    </row>
    <row r="176" spans="1:23" ht="15" customHeight="1" x14ac:dyDescent="0.3">
      <c r="A176" s="209"/>
      <c r="B176" s="128">
        <v>0</v>
      </c>
      <c r="C176" s="128">
        <v>3</v>
      </c>
      <c r="D176" s="129">
        <f>'Data Ocupacion'!AZ35</f>
        <v>0</v>
      </c>
      <c r="E176" s="129">
        <f>'Data Ocupacion'!BA35</f>
        <v>3</v>
      </c>
      <c r="F176" s="128" t="s">
        <v>53</v>
      </c>
      <c r="G176" s="128">
        <f t="shared" si="147"/>
        <v>6</v>
      </c>
      <c r="H176" s="128">
        <f t="shared" si="148"/>
        <v>3</v>
      </c>
      <c r="I176" s="128">
        <f>G176*L$1</f>
        <v>174.66</v>
      </c>
      <c r="J176" s="156">
        <f>H176*L$1</f>
        <v>87.33</v>
      </c>
      <c r="K176" s="128">
        <f t="shared" si="149"/>
        <v>18164.64</v>
      </c>
      <c r="L176" s="128">
        <f t="shared" si="150"/>
        <v>312</v>
      </c>
      <c r="M176" s="19"/>
      <c r="N176" s="19"/>
      <c r="O176" s="149"/>
      <c r="P176" s="196"/>
      <c r="Q176" s="196"/>
      <c r="R176" s="196"/>
      <c r="S176" s="196"/>
      <c r="T176" s="196"/>
      <c r="U176" s="188">
        <f t="shared" ref="U176:U177" si="151">I176</f>
        <v>174.66</v>
      </c>
    </row>
    <row r="177" spans="1:21" ht="15.75" customHeight="1" x14ac:dyDescent="0.3">
      <c r="A177" s="209"/>
      <c r="B177" s="128">
        <v>0</v>
      </c>
      <c r="C177" s="128">
        <v>0</v>
      </c>
      <c r="D177" s="129">
        <f>'Data Ocupacion'!AZ36</f>
        <v>0</v>
      </c>
      <c r="E177" s="129">
        <f>'Data Ocupacion'!BA36</f>
        <v>0</v>
      </c>
      <c r="F177" s="128" t="s">
        <v>122</v>
      </c>
      <c r="G177" s="128">
        <f t="shared" si="147"/>
        <v>0</v>
      </c>
      <c r="H177" s="128">
        <f t="shared" si="148"/>
        <v>0</v>
      </c>
      <c r="I177" s="128">
        <f>G177*J$1</f>
        <v>0</v>
      </c>
      <c r="J177" s="156">
        <f>H177*J$1</f>
        <v>0</v>
      </c>
      <c r="K177" s="128">
        <f t="shared" si="149"/>
        <v>0</v>
      </c>
      <c r="L177" s="128">
        <f t="shared" si="150"/>
        <v>0</v>
      </c>
      <c r="M177" s="19"/>
      <c r="N177" s="19"/>
      <c r="O177" s="149"/>
      <c r="P177" s="196"/>
      <c r="Q177" s="196"/>
      <c r="R177" s="196"/>
      <c r="S177" s="196"/>
      <c r="T177" s="196"/>
      <c r="U177" s="188">
        <f t="shared" si="151"/>
        <v>0</v>
      </c>
    </row>
    <row r="178" spans="1:21" ht="15" thickBot="1" x14ac:dyDescent="0.35">
      <c r="A178" s="209"/>
      <c r="B178" s="128">
        <v>1</v>
      </c>
      <c r="C178" s="128">
        <v>2</v>
      </c>
      <c r="D178" s="129">
        <f>'Data Ocupacion'!AZ37</f>
        <v>2</v>
      </c>
      <c r="E178" s="129">
        <f>'Data Ocupacion'!BA37</f>
        <v>1</v>
      </c>
      <c r="F178" s="128" t="s">
        <v>35</v>
      </c>
      <c r="G178" s="128">
        <f t="shared" si="147"/>
        <v>4</v>
      </c>
      <c r="H178" s="128">
        <f t="shared" si="148"/>
        <v>3</v>
      </c>
      <c r="I178" s="128">
        <f>G178*J$1</f>
        <v>101.6</v>
      </c>
      <c r="J178" s="156">
        <f>H178*J$1</f>
        <v>76.199999999999989</v>
      </c>
      <c r="K178" s="128">
        <f t="shared" si="149"/>
        <v>10566.4</v>
      </c>
      <c r="L178" s="128">
        <f t="shared" si="150"/>
        <v>312</v>
      </c>
      <c r="M178" s="19"/>
      <c r="N178" s="19"/>
      <c r="O178" s="149"/>
      <c r="P178" s="196"/>
      <c r="Q178" s="196"/>
      <c r="R178" s="196"/>
      <c r="S178" s="196"/>
      <c r="T178" s="196"/>
      <c r="U178" s="188">
        <f>I178</f>
        <v>101.6</v>
      </c>
    </row>
    <row r="179" spans="1:21" s="127" customFormat="1" ht="15" thickBot="1" x14ac:dyDescent="0.35">
      <c r="A179" s="208"/>
      <c r="B179" s="230">
        <f>SUM(B173:B178)</f>
        <v>72</v>
      </c>
      <c r="C179" s="230">
        <f>SUM(C173:C178)</f>
        <v>98</v>
      </c>
      <c r="D179" s="155">
        <f>SUM(D173:D178)</f>
        <v>74</v>
      </c>
      <c r="E179" s="155">
        <f>SUM(E173:E178)</f>
        <v>97</v>
      </c>
      <c r="F179" s="121"/>
      <c r="G179" s="121">
        <f t="shared" ref="G179:L179" si="152">SUM(G173:G178)</f>
        <v>268</v>
      </c>
      <c r="H179" s="121">
        <f t="shared" si="152"/>
        <v>171</v>
      </c>
      <c r="I179" s="122">
        <f t="shared" si="152"/>
        <v>11347.720000000001</v>
      </c>
      <c r="J179" s="121">
        <f t="shared" si="152"/>
        <v>7251.9400000000005</v>
      </c>
      <c r="K179" s="120">
        <f t="shared" si="152"/>
        <v>1180162.8799999999</v>
      </c>
      <c r="L179" s="154">
        <f t="shared" si="152"/>
        <v>17784</v>
      </c>
      <c r="M179" s="126">
        <f>'Odometro-Kilometraje'!Z81</f>
        <v>11828</v>
      </c>
      <c r="N179" s="21">
        <f>(U179/M179)*100</f>
        <v>95.008708150152188</v>
      </c>
      <c r="O179" s="199"/>
      <c r="P179" s="187"/>
      <c r="Q179" s="187"/>
      <c r="R179" s="187"/>
      <c r="S179" s="187"/>
      <c r="T179" s="187"/>
      <c r="U179" s="200">
        <f>SUM(U173:U178)</f>
        <v>11237.630000000001</v>
      </c>
    </row>
    <row r="180" spans="1:21" x14ac:dyDescent="0.3">
      <c r="A180" s="62">
        <f>A173+1</f>
        <v>45591</v>
      </c>
      <c r="B180" s="285">
        <v>58</v>
      </c>
      <c r="C180" s="285">
        <v>17</v>
      </c>
      <c r="D180" s="140">
        <f>'Data Ocupacion'!BB32</f>
        <v>59</v>
      </c>
      <c r="E180" s="140">
        <f>'Data Ocupacion'!BC32</f>
        <v>16</v>
      </c>
      <c r="F180" s="285" t="s">
        <v>38</v>
      </c>
      <c r="G180" s="285">
        <f t="shared" ref="G180:G185" si="153">D180+E180*2</f>
        <v>91</v>
      </c>
      <c r="H180" s="285">
        <f t="shared" ref="H180:H185" si="154">D180+E180</f>
        <v>75</v>
      </c>
      <c r="I180" s="285">
        <f>G180*L$2</f>
        <v>3924.8300000000004</v>
      </c>
      <c r="J180" s="156">
        <f>H180*L$2</f>
        <v>3234.75</v>
      </c>
      <c r="K180" s="285">
        <f t="shared" ref="K180:K185" si="155">I180*104</f>
        <v>408182.32000000007</v>
      </c>
      <c r="L180" s="285">
        <f t="shared" ref="L180:L185" si="156">H180*104</f>
        <v>7800</v>
      </c>
      <c r="M180" s="19"/>
      <c r="N180" s="19"/>
      <c r="O180" s="149"/>
      <c r="P180" s="263">
        <v>3</v>
      </c>
      <c r="Q180" s="189"/>
      <c r="R180" s="216"/>
      <c r="S180" s="263"/>
      <c r="T180" s="198"/>
      <c r="U180" s="191">
        <f>I180-((P180*($L$2-$J$1)))-(S180*($J$1))</f>
        <v>3871.6400000000003</v>
      </c>
    </row>
    <row r="181" spans="1:21" ht="15" customHeight="1" x14ac:dyDescent="0.3">
      <c r="A181" s="343" t="s">
        <v>177</v>
      </c>
      <c r="B181" s="285">
        <v>58</v>
      </c>
      <c r="C181" s="285">
        <v>17</v>
      </c>
      <c r="D181" s="286">
        <f>'Data Ocupacion'!BB33</f>
        <v>57</v>
      </c>
      <c r="E181" s="286">
        <f>'Data Ocupacion'!BC33</f>
        <v>18</v>
      </c>
      <c r="F181" s="285" t="s">
        <v>52</v>
      </c>
      <c r="G181" s="285">
        <f t="shared" si="153"/>
        <v>93</v>
      </c>
      <c r="H181" s="285">
        <f t="shared" si="154"/>
        <v>75</v>
      </c>
      <c r="I181" s="285">
        <f>G181*L$2</f>
        <v>4011.09</v>
      </c>
      <c r="J181" s="156">
        <f>H181*L$2</f>
        <v>3234.75</v>
      </c>
      <c r="K181" s="285">
        <f t="shared" si="155"/>
        <v>417153.36</v>
      </c>
      <c r="L181" s="285">
        <f t="shared" si="156"/>
        <v>7800</v>
      </c>
      <c r="M181" s="19"/>
      <c r="N181" s="19"/>
      <c r="O181" s="149"/>
      <c r="P181" s="193"/>
      <c r="Q181" s="193"/>
      <c r="R181" s="193"/>
      <c r="S181" s="263"/>
      <c r="T181" s="189"/>
      <c r="U181" s="191">
        <f>I181-(S181*($L$2-$J$1)+(T181*($L$2-$L$1)))</f>
        <v>4011.09</v>
      </c>
    </row>
    <row r="182" spans="1:21" x14ac:dyDescent="0.3">
      <c r="A182" s="343"/>
      <c r="B182" s="285">
        <v>0</v>
      </c>
      <c r="C182" s="285">
        <v>0</v>
      </c>
      <c r="D182" s="286">
        <f>'Data Ocupacion'!BB34</f>
        <v>0</v>
      </c>
      <c r="E182" s="286">
        <f>'Data Ocupacion'!BC34</f>
        <v>0</v>
      </c>
      <c r="F182" s="285" t="s">
        <v>36</v>
      </c>
      <c r="G182" s="285">
        <f t="shared" si="153"/>
        <v>0</v>
      </c>
      <c r="H182" s="285">
        <f t="shared" si="154"/>
        <v>0</v>
      </c>
      <c r="I182" s="285">
        <f>G182*L$1</f>
        <v>0</v>
      </c>
      <c r="J182" s="156">
        <f>H182*L$1</f>
        <v>0</v>
      </c>
      <c r="K182" s="285">
        <f t="shared" si="155"/>
        <v>0</v>
      </c>
      <c r="L182" s="285">
        <f t="shared" si="156"/>
        <v>0</v>
      </c>
      <c r="M182" s="19"/>
      <c r="N182" s="19" t="s">
        <v>147</v>
      </c>
      <c r="O182" s="149"/>
      <c r="P182" s="192"/>
      <c r="Q182" s="194"/>
      <c r="R182" s="217"/>
      <c r="S182" s="195"/>
      <c r="T182" s="196"/>
      <c r="U182" s="188">
        <f>I182-(P182*($L$1-$J$1))</f>
        <v>0</v>
      </c>
    </row>
    <row r="183" spans="1:21" ht="15" customHeight="1" x14ac:dyDescent="0.3">
      <c r="A183" s="343"/>
      <c r="B183" s="285">
        <v>0</v>
      </c>
      <c r="C183" s="285">
        <v>0</v>
      </c>
      <c r="D183" s="286">
        <f>'Data Ocupacion'!BB35</f>
        <v>0</v>
      </c>
      <c r="E183" s="286">
        <f>'Data Ocupacion'!BC35</f>
        <v>0</v>
      </c>
      <c r="F183" s="285" t="s">
        <v>53</v>
      </c>
      <c r="G183" s="285">
        <f t="shared" si="153"/>
        <v>0</v>
      </c>
      <c r="H183" s="285">
        <f t="shared" si="154"/>
        <v>0</v>
      </c>
      <c r="I183" s="285">
        <f>G183*L$1</f>
        <v>0</v>
      </c>
      <c r="J183" s="156">
        <f>H183*L$1</f>
        <v>0</v>
      </c>
      <c r="K183" s="285">
        <f t="shared" si="155"/>
        <v>0</v>
      </c>
      <c r="L183" s="285">
        <f t="shared" si="156"/>
        <v>0</v>
      </c>
      <c r="M183" s="19"/>
      <c r="N183" s="19"/>
      <c r="O183" s="149"/>
      <c r="P183" s="196"/>
      <c r="Q183" s="196"/>
      <c r="R183" s="196"/>
      <c r="S183" s="196"/>
      <c r="T183" s="196"/>
      <c r="U183" s="188">
        <f t="shared" ref="U183:U184" si="157">I183</f>
        <v>0</v>
      </c>
    </row>
    <row r="184" spans="1:21" ht="15" customHeight="1" x14ac:dyDescent="0.3">
      <c r="A184" s="343"/>
      <c r="B184" s="285">
        <v>0</v>
      </c>
      <c r="C184" s="285">
        <v>0</v>
      </c>
      <c r="D184" s="286">
        <f>'Data Ocupacion'!BB36</f>
        <v>0</v>
      </c>
      <c r="E184" s="286">
        <f>'Data Ocupacion'!BC36</f>
        <v>0</v>
      </c>
      <c r="F184" s="285" t="s">
        <v>122</v>
      </c>
      <c r="G184" s="285">
        <f t="shared" si="153"/>
        <v>0</v>
      </c>
      <c r="H184" s="285">
        <f t="shared" si="154"/>
        <v>0</v>
      </c>
      <c r="I184" s="285">
        <f>G184*J$1</f>
        <v>0</v>
      </c>
      <c r="J184" s="156">
        <f>H184*J$1</f>
        <v>0</v>
      </c>
      <c r="K184" s="285">
        <f t="shared" si="155"/>
        <v>0</v>
      </c>
      <c r="L184" s="285">
        <f t="shared" si="156"/>
        <v>0</v>
      </c>
      <c r="M184" s="19"/>
      <c r="N184" s="19"/>
      <c r="O184" s="149"/>
      <c r="P184" s="196"/>
      <c r="Q184" s="196"/>
      <c r="R184" s="196"/>
      <c r="S184" s="196"/>
      <c r="T184" s="196"/>
      <c r="U184" s="188">
        <f t="shared" si="157"/>
        <v>0</v>
      </c>
    </row>
    <row r="185" spans="1:21" ht="15" customHeight="1" thickBot="1" x14ac:dyDescent="0.35">
      <c r="A185" s="343"/>
      <c r="B185" s="285">
        <v>0</v>
      </c>
      <c r="C185" s="285">
        <v>0</v>
      </c>
      <c r="D185" s="286">
        <f>'Data Ocupacion'!BB37</f>
        <v>0</v>
      </c>
      <c r="E185" s="286">
        <f>'Data Ocupacion'!BC37</f>
        <v>0</v>
      </c>
      <c r="F185" s="285" t="s">
        <v>35</v>
      </c>
      <c r="G185" s="285">
        <f t="shared" si="153"/>
        <v>0</v>
      </c>
      <c r="H185" s="285">
        <f t="shared" si="154"/>
        <v>0</v>
      </c>
      <c r="I185" s="285">
        <f>G185*J$1</f>
        <v>0</v>
      </c>
      <c r="J185" s="156">
        <f>H185*J$1</f>
        <v>0</v>
      </c>
      <c r="K185" s="285">
        <f t="shared" si="155"/>
        <v>0</v>
      </c>
      <c r="L185" s="285">
        <f t="shared" si="156"/>
        <v>0</v>
      </c>
      <c r="M185" s="19"/>
      <c r="N185" s="19"/>
      <c r="O185" s="149"/>
      <c r="P185" s="196"/>
      <c r="Q185" s="196"/>
      <c r="R185" s="196"/>
      <c r="S185" s="196"/>
      <c r="T185" s="196"/>
      <c r="U185" s="188">
        <f>I185</f>
        <v>0</v>
      </c>
    </row>
    <row r="186" spans="1:21" s="127" customFormat="1" ht="15" thickBot="1" x14ac:dyDescent="0.35">
      <c r="A186" s="20"/>
      <c r="B186" s="230">
        <f>SUM(B180:B185)</f>
        <v>116</v>
      </c>
      <c r="C186" s="230">
        <f>SUM(C180:C185)</f>
        <v>34</v>
      </c>
      <c r="D186" s="151">
        <f>SUM(D180:D185)</f>
        <v>116</v>
      </c>
      <c r="E186" s="151">
        <f>SUM(E180:E185)</f>
        <v>34</v>
      </c>
      <c r="F186" s="121"/>
      <c r="G186" s="121">
        <f t="shared" ref="G186:L186" si="158">SUM(G180:G185)</f>
        <v>184</v>
      </c>
      <c r="H186" s="121">
        <f t="shared" si="158"/>
        <v>150</v>
      </c>
      <c r="I186" s="121">
        <f t="shared" si="158"/>
        <v>7935.92</v>
      </c>
      <c r="J186" s="121">
        <f t="shared" si="158"/>
        <v>6469.5</v>
      </c>
      <c r="K186" s="121">
        <f t="shared" si="158"/>
        <v>825335.68</v>
      </c>
      <c r="L186" s="121">
        <f t="shared" si="158"/>
        <v>15600</v>
      </c>
      <c r="M186" s="126">
        <f>'Odometro-Kilometraje'!AA81</f>
        <v>8157</v>
      </c>
      <c r="N186" s="21">
        <f>(U186/M186)*100</f>
        <v>96.637611867108006</v>
      </c>
      <c r="O186" s="199"/>
      <c r="P186" s="187"/>
      <c r="Q186" s="187"/>
      <c r="R186" s="187"/>
      <c r="S186" s="187"/>
      <c r="T186" s="187"/>
      <c r="U186" s="200">
        <f>SUM(U180:U185)</f>
        <v>7882.7300000000005</v>
      </c>
    </row>
    <row r="187" spans="1:21" x14ac:dyDescent="0.3">
      <c r="A187" s="62">
        <f>A180+1</f>
        <v>45592</v>
      </c>
      <c r="B187" s="231">
        <v>56</v>
      </c>
      <c r="C187" s="231">
        <v>18</v>
      </c>
      <c r="D187" s="140">
        <f>'Data Ocupacion'!BD32</f>
        <v>56</v>
      </c>
      <c r="E187" s="140">
        <f>'Data Ocupacion'!BE32</f>
        <v>18</v>
      </c>
      <c r="F187" s="231" t="s">
        <v>38</v>
      </c>
      <c r="G187" s="231">
        <f t="shared" ref="G187:G192" si="159">D187+E187*2</f>
        <v>92</v>
      </c>
      <c r="H187" s="231">
        <f t="shared" ref="H187:H192" si="160">D187+E187</f>
        <v>74</v>
      </c>
      <c r="I187" s="231">
        <f>G187*L$2</f>
        <v>3967.96</v>
      </c>
      <c r="J187" s="156">
        <f>H187*L$2</f>
        <v>3191.6200000000003</v>
      </c>
      <c r="K187" s="231">
        <f t="shared" ref="K187:K192" si="161">I187*104</f>
        <v>412667.84</v>
      </c>
      <c r="L187" s="231">
        <f t="shared" ref="L187:L192" si="162">H187*104</f>
        <v>7696</v>
      </c>
      <c r="M187" s="19"/>
      <c r="N187" s="19"/>
      <c r="O187" s="149"/>
      <c r="P187" s="263">
        <v>6</v>
      </c>
      <c r="Q187" s="189"/>
      <c r="R187" s="216"/>
      <c r="S187" s="263"/>
      <c r="T187" s="198"/>
      <c r="U187" s="191">
        <f>I187-((P187*($L$2-$J$1)))-(S187*($J$1))</f>
        <v>3861.58</v>
      </c>
    </row>
    <row r="188" spans="1:21" ht="18" customHeight="1" x14ac:dyDescent="0.3">
      <c r="A188" s="344" t="s">
        <v>178</v>
      </c>
      <c r="B188" s="231">
        <v>56</v>
      </c>
      <c r="C188" s="231">
        <v>18</v>
      </c>
      <c r="D188" s="140">
        <f>'Data Ocupacion'!BD33</f>
        <v>56</v>
      </c>
      <c r="E188" s="140">
        <f>'Data Ocupacion'!BE33</f>
        <v>18</v>
      </c>
      <c r="F188" s="231" t="s">
        <v>52</v>
      </c>
      <c r="G188" s="231">
        <f t="shared" si="159"/>
        <v>92</v>
      </c>
      <c r="H188" s="231">
        <f t="shared" si="160"/>
        <v>74</v>
      </c>
      <c r="I188" s="231">
        <f>G188*L$2</f>
        <v>3967.96</v>
      </c>
      <c r="J188" s="156">
        <f>H188*L$2</f>
        <v>3191.6200000000003</v>
      </c>
      <c r="K188" s="231">
        <f t="shared" si="161"/>
        <v>412667.84</v>
      </c>
      <c r="L188" s="231">
        <f t="shared" si="162"/>
        <v>7696</v>
      </c>
      <c r="M188" s="19"/>
      <c r="N188" s="19"/>
      <c r="O188" s="149"/>
      <c r="P188" s="263"/>
      <c r="Q188" s="193"/>
      <c r="R188" s="193"/>
      <c r="S188" s="192"/>
      <c r="T188" s="214"/>
      <c r="U188" s="191">
        <f>I188-(S188*($L$2-$J$1)+(T188*($L$2-$L$1)))</f>
        <v>3967.96</v>
      </c>
    </row>
    <row r="189" spans="1:21" ht="15" customHeight="1" x14ac:dyDescent="0.3">
      <c r="A189" s="344"/>
      <c r="B189" s="231">
        <v>0</v>
      </c>
      <c r="C189" s="231">
        <v>0</v>
      </c>
      <c r="D189" s="140">
        <f>'Data Ocupacion'!BD34</f>
        <v>0</v>
      </c>
      <c r="E189" s="140">
        <f>'Data Ocupacion'!BE34</f>
        <v>0</v>
      </c>
      <c r="F189" s="231" t="s">
        <v>36</v>
      </c>
      <c r="G189" s="231">
        <f t="shared" si="159"/>
        <v>0</v>
      </c>
      <c r="H189" s="231">
        <f t="shared" si="160"/>
        <v>0</v>
      </c>
      <c r="I189" s="231">
        <f>G189*L$1</f>
        <v>0</v>
      </c>
      <c r="J189" s="156">
        <f>H189*L$1</f>
        <v>0</v>
      </c>
      <c r="K189" s="231">
        <f t="shared" si="161"/>
        <v>0</v>
      </c>
      <c r="L189" s="231">
        <f t="shared" si="162"/>
        <v>0</v>
      </c>
      <c r="M189" s="19"/>
      <c r="N189" s="19"/>
      <c r="O189" s="149"/>
      <c r="P189" s="192"/>
      <c r="Q189" s="194"/>
      <c r="R189" s="217"/>
      <c r="S189" s="195"/>
      <c r="T189" s="196"/>
      <c r="U189" s="188">
        <f>I189-(P189*($L$1-$J$1))</f>
        <v>0</v>
      </c>
    </row>
    <row r="190" spans="1:21" ht="15" customHeight="1" x14ac:dyDescent="0.3">
      <c r="A190" s="344"/>
      <c r="B190" s="231">
        <v>0</v>
      </c>
      <c r="C190" s="231">
        <v>0</v>
      </c>
      <c r="D190" s="140">
        <f>'Data Ocupacion'!BD35</f>
        <v>0</v>
      </c>
      <c r="E190" s="140">
        <f>'Data Ocupacion'!BE35</f>
        <v>0</v>
      </c>
      <c r="F190" s="231" t="s">
        <v>53</v>
      </c>
      <c r="G190" s="231">
        <f t="shared" si="159"/>
        <v>0</v>
      </c>
      <c r="H190" s="231">
        <f t="shared" si="160"/>
        <v>0</v>
      </c>
      <c r="I190" s="231">
        <f>G190*L$1</f>
        <v>0</v>
      </c>
      <c r="J190" s="156">
        <f>H190*L$1</f>
        <v>0</v>
      </c>
      <c r="K190" s="231">
        <f t="shared" si="161"/>
        <v>0</v>
      </c>
      <c r="L190" s="231">
        <f t="shared" si="162"/>
        <v>0</v>
      </c>
      <c r="M190" s="19"/>
      <c r="N190" s="19"/>
      <c r="O190" s="149"/>
      <c r="P190" s="196"/>
      <c r="Q190" s="196"/>
      <c r="R190" s="196"/>
      <c r="S190" s="196"/>
      <c r="T190" s="196"/>
      <c r="U190" s="188">
        <f t="shared" ref="U190:U191" si="163">I190</f>
        <v>0</v>
      </c>
    </row>
    <row r="191" spans="1:21" ht="15" customHeight="1" x14ac:dyDescent="0.3">
      <c r="A191" s="344"/>
      <c r="B191" s="231">
        <v>0</v>
      </c>
      <c r="C191" s="231">
        <v>0</v>
      </c>
      <c r="D191" s="140">
        <f>'Data Ocupacion'!BD36</f>
        <v>0</v>
      </c>
      <c r="E191" s="140">
        <f>'Data Ocupacion'!BE36</f>
        <v>0</v>
      </c>
      <c r="F191" s="231" t="s">
        <v>122</v>
      </c>
      <c r="G191" s="231">
        <f t="shared" si="159"/>
        <v>0</v>
      </c>
      <c r="H191" s="231">
        <f t="shared" si="160"/>
        <v>0</v>
      </c>
      <c r="I191" s="231">
        <f>G191*J$1</f>
        <v>0</v>
      </c>
      <c r="J191" s="156">
        <f>H191*J$1</f>
        <v>0</v>
      </c>
      <c r="K191" s="231">
        <f t="shared" si="161"/>
        <v>0</v>
      </c>
      <c r="L191" s="231">
        <f t="shared" si="162"/>
        <v>0</v>
      </c>
      <c r="M191" s="19"/>
      <c r="N191" s="19"/>
      <c r="O191" s="149"/>
      <c r="P191" s="196"/>
      <c r="Q191" s="196"/>
      <c r="R191" s="196"/>
      <c r="S191" s="196"/>
      <c r="T191" s="196"/>
      <c r="U191" s="188">
        <f t="shared" si="163"/>
        <v>0</v>
      </c>
    </row>
    <row r="192" spans="1:21" ht="15.75" customHeight="1" thickBot="1" x14ac:dyDescent="0.35">
      <c r="A192" s="344"/>
      <c r="B192" s="231">
        <v>0</v>
      </c>
      <c r="C192" s="231">
        <v>0</v>
      </c>
      <c r="D192" s="140">
        <f>'Data Ocupacion'!BD37</f>
        <v>0</v>
      </c>
      <c r="E192" s="140">
        <f>'Data Ocupacion'!BE37</f>
        <v>0</v>
      </c>
      <c r="F192" s="231" t="s">
        <v>35</v>
      </c>
      <c r="G192" s="231">
        <f t="shared" si="159"/>
        <v>0</v>
      </c>
      <c r="H192" s="231">
        <f t="shared" si="160"/>
        <v>0</v>
      </c>
      <c r="I192" s="231">
        <f>G192*J$1</f>
        <v>0</v>
      </c>
      <c r="J192" s="156">
        <f>H192*J$1</f>
        <v>0</v>
      </c>
      <c r="K192" s="231">
        <f t="shared" si="161"/>
        <v>0</v>
      </c>
      <c r="L192" s="231">
        <f t="shared" si="162"/>
        <v>0</v>
      </c>
      <c r="M192" s="19"/>
      <c r="N192" s="19"/>
      <c r="O192" s="149"/>
      <c r="P192" s="196"/>
      <c r="Q192" s="196"/>
      <c r="R192" s="196"/>
      <c r="S192" s="196"/>
      <c r="T192" s="196"/>
      <c r="U192" s="188">
        <f>I192</f>
        <v>0</v>
      </c>
    </row>
    <row r="193" spans="1:23" s="127" customFormat="1" ht="15" thickBot="1" x14ac:dyDescent="0.35">
      <c r="A193" s="20"/>
      <c r="B193" s="230">
        <f>SUM(B187:B192)</f>
        <v>112</v>
      </c>
      <c r="C193" s="230">
        <f>SUM(C187:C192)</f>
        <v>36</v>
      </c>
      <c r="D193" s="151">
        <f>SUM(D187:D192)</f>
        <v>112</v>
      </c>
      <c r="E193" s="151">
        <f>SUM(E187:E192)</f>
        <v>36</v>
      </c>
      <c r="F193" s="121"/>
      <c r="G193" s="121">
        <f t="shared" ref="G193:L193" si="164">SUM(G187:G192)</f>
        <v>184</v>
      </c>
      <c r="H193" s="121">
        <f t="shared" si="164"/>
        <v>148</v>
      </c>
      <c r="I193" s="121">
        <f t="shared" si="164"/>
        <v>7935.92</v>
      </c>
      <c r="J193" s="121">
        <f t="shared" si="164"/>
        <v>6383.2400000000007</v>
      </c>
      <c r="K193" s="121">
        <f t="shared" si="164"/>
        <v>825335.68</v>
      </c>
      <c r="L193" s="121">
        <f t="shared" si="164"/>
        <v>15392</v>
      </c>
      <c r="M193" s="126">
        <f>'Odometro-Kilometraje'!AB81</f>
        <v>8358</v>
      </c>
      <c r="N193" s="21">
        <f>(U193/M193)*100</f>
        <v>93.677195501316106</v>
      </c>
      <c r="O193" s="199"/>
      <c r="P193" s="187"/>
      <c r="Q193" s="187"/>
      <c r="R193" s="187"/>
      <c r="S193" s="187"/>
      <c r="T193" s="187"/>
      <c r="U193" s="200">
        <f>SUM(U187:U192)</f>
        <v>7829.54</v>
      </c>
    </row>
    <row r="194" spans="1:23" x14ac:dyDescent="0.3">
      <c r="A194" s="62">
        <f>A187+1</f>
        <v>45593</v>
      </c>
      <c r="B194" s="128">
        <v>36</v>
      </c>
      <c r="C194" s="128">
        <v>47</v>
      </c>
      <c r="D194" s="129">
        <f>'Data Ocupacion'!BF32</f>
        <v>37</v>
      </c>
      <c r="E194" s="311">
        <f>'Data Ocupacion'!BG32</f>
        <v>46</v>
      </c>
      <c r="F194" s="128" t="s">
        <v>38</v>
      </c>
      <c r="G194" s="128">
        <f t="shared" ref="G194:G199" si="165">D194+E194*2</f>
        <v>129</v>
      </c>
      <c r="H194" s="128">
        <f t="shared" ref="H194:H199" si="166">D194+E194</f>
        <v>83</v>
      </c>
      <c r="I194" s="128">
        <f>G194*L$2</f>
        <v>5563.77</v>
      </c>
      <c r="J194" s="156">
        <f>H194*L$2</f>
        <v>3579.7900000000004</v>
      </c>
      <c r="K194" s="128">
        <f t="shared" ref="K194:K199" si="167">I194*104</f>
        <v>578632.08000000007</v>
      </c>
      <c r="L194" s="128">
        <f t="shared" ref="L194:L199" si="168">H194*104</f>
        <v>8632</v>
      </c>
      <c r="M194" s="19"/>
      <c r="N194" s="19"/>
      <c r="O194" s="149"/>
      <c r="P194" s="192">
        <v>5</v>
      </c>
      <c r="Q194" s="189"/>
      <c r="R194" s="216"/>
      <c r="S194" s="289"/>
      <c r="T194" s="198"/>
      <c r="U194" s="191">
        <f>I194-((P194*($L$2-$J$1)))-(S194*($J$1))</f>
        <v>5475.1200000000008</v>
      </c>
    </row>
    <row r="195" spans="1:23" ht="15" customHeight="1" x14ac:dyDescent="0.3">
      <c r="A195" s="209"/>
      <c r="B195" s="128">
        <v>35</v>
      </c>
      <c r="C195" s="128">
        <v>44</v>
      </c>
      <c r="D195" s="129">
        <f>'Data Ocupacion'!BF33</f>
        <v>37</v>
      </c>
      <c r="E195" s="129">
        <f>'Data Ocupacion'!BG33</f>
        <v>42</v>
      </c>
      <c r="F195" s="128" t="s">
        <v>52</v>
      </c>
      <c r="G195" s="128">
        <f t="shared" si="165"/>
        <v>121</v>
      </c>
      <c r="H195" s="128">
        <f t="shared" si="166"/>
        <v>79</v>
      </c>
      <c r="I195" s="128">
        <f>G195*L$2</f>
        <v>5218.7300000000005</v>
      </c>
      <c r="J195" s="156">
        <f>H195*L$2</f>
        <v>3407.27</v>
      </c>
      <c r="K195" s="128">
        <f t="shared" si="167"/>
        <v>542747.92000000004</v>
      </c>
      <c r="L195" s="128">
        <f t="shared" si="168"/>
        <v>8216</v>
      </c>
      <c r="M195" s="19"/>
      <c r="N195" s="19"/>
      <c r="O195" s="149"/>
      <c r="P195" s="193"/>
      <c r="Q195" s="193"/>
      <c r="R195" s="193"/>
      <c r="S195" s="263"/>
      <c r="T195" s="189"/>
      <c r="U195" s="191">
        <f>I195-(S195*($L$2-$J$1)+(T195*($L$2-$L$1)))</f>
        <v>5218.7300000000005</v>
      </c>
    </row>
    <row r="196" spans="1:23" ht="15" customHeight="1" x14ac:dyDescent="0.3">
      <c r="A196" s="209"/>
      <c r="B196" s="128">
        <v>0</v>
      </c>
      <c r="C196" s="128">
        <v>2</v>
      </c>
      <c r="D196" s="129">
        <f>'Data Ocupacion'!BF34</f>
        <v>0</v>
      </c>
      <c r="E196" s="129">
        <f>'Data Ocupacion'!BG34</f>
        <v>2</v>
      </c>
      <c r="F196" s="128" t="s">
        <v>36</v>
      </c>
      <c r="G196" s="128">
        <f t="shared" si="165"/>
        <v>4</v>
      </c>
      <c r="H196" s="128">
        <f t="shared" si="166"/>
        <v>2</v>
      </c>
      <c r="I196" s="128">
        <f>G196*L$1</f>
        <v>116.44</v>
      </c>
      <c r="J196" s="156">
        <f>H196*L$1</f>
        <v>58.22</v>
      </c>
      <c r="K196" s="128">
        <f t="shared" si="167"/>
        <v>12109.76</v>
      </c>
      <c r="L196" s="128">
        <f t="shared" si="168"/>
        <v>208</v>
      </c>
      <c r="M196" s="19"/>
      <c r="N196" s="19" t="s">
        <v>147</v>
      </c>
      <c r="O196" s="149"/>
      <c r="P196" s="192"/>
      <c r="Q196" s="194"/>
      <c r="R196" s="217"/>
      <c r="S196" s="195"/>
      <c r="T196" s="196"/>
      <c r="U196" s="188">
        <f>I196-(P196*($L$1-$J$1))</f>
        <v>116.44</v>
      </c>
    </row>
    <row r="197" spans="1:23" ht="15" customHeight="1" x14ac:dyDescent="0.3">
      <c r="A197" s="209"/>
      <c r="B197" s="128">
        <v>0</v>
      </c>
      <c r="C197" s="128">
        <v>3</v>
      </c>
      <c r="D197" s="129">
        <f>'Data Ocupacion'!BF35</f>
        <v>0</v>
      </c>
      <c r="E197" s="129">
        <f>'Data Ocupacion'!BG35</f>
        <v>3</v>
      </c>
      <c r="F197" s="128" t="s">
        <v>53</v>
      </c>
      <c r="G197" s="128">
        <f t="shared" si="165"/>
        <v>6</v>
      </c>
      <c r="H197" s="128">
        <f t="shared" si="166"/>
        <v>3</v>
      </c>
      <c r="I197" s="128">
        <f>G197*L$1</f>
        <v>174.66</v>
      </c>
      <c r="J197" s="156">
        <f>H197*L$1</f>
        <v>87.33</v>
      </c>
      <c r="K197" s="128">
        <f t="shared" si="167"/>
        <v>18164.64</v>
      </c>
      <c r="L197" s="128">
        <f t="shared" si="168"/>
        <v>312</v>
      </c>
      <c r="M197" s="19"/>
      <c r="N197" s="19" t="s">
        <v>147</v>
      </c>
      <c r="O197" s="149"/>
      <c r="P197" s="196"/>
      <c r="Q197" s="196"/>
      <c r="R197" s="196"/>
      <c r="S197" s="196"/>
      <c r="T197" s="196"/>
      <c r="U197" s="188">
        <f t="shared" ref="U197:U198" si="169">I197</f>
        <v>174.66</v>
      </c>
    </row>
    <row r="198" spans="1:23" ht="15" customHeight="1" x14ac:dyDescent="0.3">
      <c r="A198" s="209"/>
      <c r="B198" s="128">
        <v>0</v>
      </c>
      <c r="C198" s="128">
        <v>0</v>
      </c>
      <c r="D198" s="129">
        <f>'Data Ocupacion'!BF36</f>
        <v>0</v>
      </c>
      <c r="E198" s="129">
        <f>'Data Ocupacion'!BG36</f>
        <v>0</v>
      </c>
      <c r="F198" s="128" t="s">
        <v>122</v>
      </c>
      <c r="G198" s="128">
        <f t="shared" si="165"/>
        <v>0</v>
      </c>
      <c r="H198" s="128">
        <f t="shared" si="166"/>
        <v>0</v>
      </c>
      <c r="I198" s="128">
        <f>G198*J$1</f>
        <v>0</v>
      </c>
      <c r="J198" s="156">
        <f>H198*J$1</f>
        <v>0</v>
      </c>
      <c r="K198" s="128">
        <f t="shared" si="167"/>
        <v>0</v>
      </c>
      <c r="L198" s="128">
        <f t="shared" si="168"/>
        <v>0</v>
      </c>
      <c r="M198" s="19"/>
      <c r="N198" s="19"/>
      <c r="O198" s="149"/>
      <c r="P198" s="196"/>
      <c r="Q198" s="196"/>
      <c r="R198" s="196"/>
      <c r="S198" s="196"/>
      <c r="T198" s="196"/>
      <c r="U198" s="188">
        <f t="shared" si="169"/>
        <v>0</v>
      </c>
    </row>
    <row r="199" spans="1:23" ht="15.75" customHeight="1" thickBot="1" x14ac:dyDescent="0.35">
      <c r="A199" s="209"/>
      <c r="B199" s="128">
        <v>1</v>
      </c>
      <c r="C199" s="128">
        <v>2</v>
      </c>
      <c r="D199" s="129">
        <f>'Data Ocupacion'!BF37</f>
        <v>1</v>
      </c>
      <c r="E199" s="129">
        <f>'Data Ocupacion'!BG37</f>
        <v>2</v>
      </c>
      <c r="F199" s="128" t="s">
        <v>35</v>
      </c>
      <c r="G199" s="128">
        <f t="shared" si="165"/>
        <v>5</v>
      </c>
      <c r="H199" s="128">
        <f t="shared" si="166"/>
        <v>3</v>
      </c>
      <c r="I199" s="128">
        <f>G199*J$1</f>
        <v>127</v>
      </c>
      <c r="J199" s="156">
        <f>H199*J$1</f>
        <v>76.199999999999989</v>
      </c>
      <c r="K199" s="128">
        <f t="shared" si="167"/>
        <v>13208</v>
      </c>
      <c r="L199" s="128">
        <f t="shared" si="168"/>
        <v>312</v>
      </c>
      <c r="M199" s="19"/>
      <c r="N199" s="19"/>
      <c r="O199" s="149"/>
      <c r="P199" s="196"/>
      <c r="Q199" s="196"/>
      <c r="R199" s="196"/>
      <c r="S199" s="196"/>
      <c r="T199" s="196"/>
      <c r="U199" s="188">
        <f>I199</f>
        <v>127</v>
      </c>
    </row>
    <row r="200" spans="1:23" s="127" customFormat="1" ht="15" thickBot="1" x14ac:dyDescent="0.35">
      <c r="A200" s="20"/>
      <c r="B200" s="230">
        <f>SUM(B194:B199)</f>
        <v>72</v>
      </c>
      <c r="C200" s="230">
        <f>SUM(C194:C199)</f>
        <v>98</v>
      </c>
      <c r="D200" s="151">
        <f>SUM(D194:D199)</f>
        <v>75</v>
      </c>
      <c r="E200" s="151">
        <f>SUM(E194:E199)</f>
        <v>95</v>
      </c>
      <c r="F200" s="121"/>
      <c r="G200" s="121">
        <f t="shared" ref="G200:L200" si="170">SUM(G194:G199)</f>
        <v>265</v>
      </c>
      <c r="H200" s="121">
        <f t="shared" si="170"/>
        <v>170</v>
      </c>
      <c r="I200" s="121">
        <f t="shared" si="170"/>
        <v>11200.6</v>
      </c>
      <c r="J200" s="121">
        <f t="shared" si="170"/>
        <v>7208.81</v>
      </c>
      <c r="K200" s="121">
        <f t="shared" si="170"/>
        <v>1164862.3999999999</v>
      </c>
      <c r="L200" s="121">
        <f t="shared" si="170"/>
        <v>17680</v>
      </c>
      <c r="M200" s="126">
        <f>'Odometro-Kilometraje'!AC81</f>
        <v>11648</v>
      </c>
      <c r="N200" s="21">
        <f>(U200/M200)*100</f>
        <v>95.397922390109912</v>
      </c>
      <c r="O200" s="199"/>
      <c r="P200" s="187"/>
      <c r="Q200" s="187"/>
      <c r="R200" s="187"/>
      <c r="S200" s="187"/>
      <c r="T200" s="187"/>
      <c r="U200" s="200">
        <f>SUM(U194:U199)</f>
        <v>11111.950000000003</v>
      </c>
    </row>
    <row r="201" spans="1:23" x14ac:dyDescent="0.3">
      <c r="A201" s="62">
        <f>A194+1</f>
        <v>45594</v>
      </c>
      <c r="B201" s="128">
        <v>36</v>
      </c>
      <c r="C201" s="128">
        <v>47</v>
      </c>
      <c r="D201" s="129">
        <f>'Data Ocupacion'!BH32</f>
        <v>38</v>
      </c>
      <c r="E201" s="311">
        <f>'Data Ocupacion'!BI32</f>
        <v>45</v>
      </c>
      <c r="F201" s="128" t="s">
        <v>38</v>
      </c>
      <c r="G201" s="128">
        <f>D201+E201*2</f>
        <v>128</v>
      </c>
      <c r="H201" s="128">
        <f>D201+E201</f>
        <v>83</v>
      </c>
      <c r="I201" s="128">
        <f>G201*L$2</f>
        <v>5520.64</v>
      </c>
      <c r="J201" s="156">
        <f>H201*L$2</f>
        <v>3579.7900000000004</v>
      </c>
      <c r="K201" s="128">
        <f t="shared" ref="K201:K206" si="171">I201*104</f>
        <v>574146.56000000006</v>
      </c>
      <c r="L201" s="128">
        <f t="shared" ref="L201:L206" si="172">H201*104</f>
        <v>8632</v>
      </c>
      <c r="M201" s="19"/>
      <c r="N201" s="19"/>
      <c r="O201" s="149"/>
      <c r="P201" s="263">
        <v>6</v>
      </c>
      <c r="Q201" s="189"/>
      <c r="R201" s="216"/>
      <c r="S201" s="289"/>
      <c r="T201" s="198"/>
      <c r="U201" s="191">
        <f>I201-((P201*($L$2-$J$1)))-(S201*($J$1))</f>
        <v>5414.26</v>
      </c>
    </row>
    <row r="202" spans="1:23" ht="15" customHeight="1" x14ac:dyDescent="0.3">
      <c r="A202" s="209"/>
      <c r="B202" s="128">
        <v>35</v>
      </c>
      <c r="C202" s="128">
        <v>44</v>
      </c>
      <c r="D202" s="129">
        <f>'Data Ocupacion'!BH33</f>
        <v>37</v>
      </c>
      <c r="E202" s="129">
        <f>'Data Ocupacion'!BI33</f>
        <v>42</v>
      </c>
      <c r="F202" s="128" t="s">
        <v>52</v>
      </c>
      <c r="G202" s="128">
        <f t="shared" ref="G202:G206" si="173">D202+E202*2</f>
        <v>121</v>
      </c>
      <c r="H202" s="128">
        <f t="shared" ref="H202:H206" si="174">D202+E202</f>
        <v>79</v>
      </c>
      <c r="I202" s="128">
        <f>G202*L$2</f>
        <v>5218.7300000000005</v>
      </c>
      <c r="J202" s="156">
        <f>H202*L$2</f>
        <v>3407.27</v>
      </c>
      <c r="K202" s="128">
        <f t="shared" si="171"/>
        <v>542747.92000000004</v>
      </c>
      <c r="L202" s="128">
        <f t="shared" si="172"/>
        <v>8216</v>
      </c>
      <c r="M202" s="19"/>
      <c r="N202" s="19"/>
      <c r="O202" s="149"/>
      <c r="P202" s="193"/>
      <c r="Q202" s="193"/>
      <c r="R202" s="193"/>
      <c r="S202" s="192"/>
      <c r="T202" s="189"/>
      <c r="U202" s="191">
        <f>I202-(S202*($L$2-$J$1)+(T202*($L$2-$L$1)))</f>
        <v>5218.7300000000005</v>
      </c>
    </row>
    <row r="203" spans="1:23" s="127" customFormat="1" x14ac:dyDescent="0.3">
      <c r="A203" s="209"/>
      <c r="B203" s="128">
        <v>0</v>
      </c>
      <c r="C203" s="128">
        <v>2</v>
      </c>
      <c r="D203" s="129">
        <f>'Data Ocupacion'!BH34</f>
        <v>0</v>
      </c>
      <c r="E203" s="129">
        <f>'Data Ocupacion'!BI34</f>
        <v>2</v>
      </c>
      <c r="F203" s="128" t="s">
        <v>36</v>
      </c>
      <c r="G203" s="128">
        <f t="shared" si="173"/>
        <v>4</v>
      </c>
      <c r="H203" s="128">
        <f t="shared" si="174"/>
        <v>2</v>
      </c>
      <c r="I203" s="128">
        <f>G203*L$1</f>
        <v>116.44</v>
      </c>
      <c r="J203" s="156">
        <f>H203*L$1</f>
        <v>58.22</v>
      </c>
      <c r="K203" s="128">
        <f t="shared" si="171"/>
        <v>12109.76</v>
      </c>
      <c r="L203" s="128">
        <f t="shared" si="172"/>
        <v>208</v>
      </c>
      <c r="M203" s="19"/>
      <c r="N203" s="19" t="s">
        <v>147</v>
      </c>
      <c r="O203" s="149"/>
      <c r="P203" s="192"/>
      <c r="Q203" s="194"/>
      <c r="R203" s="217"/>
      <c r="S203" s="195"/>
      <c r="T203" s="196"/>
      <c r="U203" s="188">
        <f>I203-(P203*($L$1-$J$1))</f>
        <v>116.44</v>
      </c>
    </row>
    <row r="204" spans="1:23" s="127" customFormat="1" ht="15" customHeight="1" x14ac:dyDescent="0.3">
      <c r="A204" s="209"/>
      <c r="B204" s="128">
        <v>0</v>
      </c>
      <c r="C204" s="128">
        <v>3</v>
      </c>
      <c r="D204" s="129">
        <f>'Data Ocupacion'!BH35</f>
        <v>0</v>
      </c>
      <c r="E204" s="129">
        <f>'Data Ocupacion'!BI35</f>
        <v>3</v>
      </c>
      <c r="F204" s="128" t="s">
        <v>53</v>
      </c>
      <c r="G204" s="128">
        <f>D204+E204*2</f>
        <v>6</v>
      </c>
      <c r="H204" s="128">
        <f>D204+E204</f>
        <v>3</v>
      </c>
      <c r="I204" s="128">
        <f>G204*L$1</f>
        <v>174.66</v>
      </c>
      <c r="J204" s="156">
        <f>H204*L$1</f>
        <v>87.33</v>
      </c>
      <c r="K204" s="128">
        <f t="shared" si="171"/>
        <v>18164.64</v>
      </c>
      <c r="L204" s="128">
        <f t="shared" si="172"/>
        <v>312</v>
      </c>
      <c r="M204" s="19"/>
      <c r="N204" s="19" t="s">
        <v>147</v>
      </c>
      <c r="O204" s="149"/>
      <c r="P204" s="196"/>
      <c r="Q204" s="196"/>
      <c r="R204" s="196"/>
      <c r="S204" s="196"/>
      <c r="T204" s="196"/>
      <c r="U204" s="188">
        <f t="shared" ref="U204:U205" si="175">I204</f>
        <v>174.66</v>
      </c>
    </row>
    <row r="205" spans="1:23" s="127" customFormat="1" x14ac:dyDescent="0.3">
      <c r="A205" s="209"/>
      <c r="B205" s="128">
        <v>0</v>
      </c>
      <c r="C205" s="128">
        <v>0</v>
      </c>
      <c r="D205" s="129">
        <f>'Data Ocupacion'!BH36</f>
        <v>0</v>
      </c>
      <c r="E205" s="129">
        <f>'Data Ocupacion'!BI36</f>
        <v>0</v>
      </c>
      <c r="F205" s="128" t="s">
        <v>122</v>
      </c>
      <c r="G205" s="128">
        <f t="shared" si="173"/>
        <v>0</v>
      </c>
      <c r="H205" s="128">
        <f t="shared" si="174"/>
        <v>0</v>
      </c>
      <c r="I205" s="128">
        <f>G205*J$1</f>
        <v>0</v>
      </c>
      <c r="J205" s="156">
        <f>H205*J$1</f>
        <v>0</v>
      </c>
      <c r="K205" s="128">
        <f t="shared" si="171"/>
        <v>0</v>
      </c>
      <c r="L205" s="128">
        <f t="shared" si="172"/>
        <v>0</v>
      </c>
      <c r="M205" s="19"/>
      <c r="N205" s="19"/>
      <c r="O205" s="149"/>
      <c r="P205" s="196"/>
      <c r="Q205" s="196"/>
      <c r="R205" s="196"/>
      <c r="S205" s="196"/>
      <c r="T205" s="196"/>
      <c r="U205" s="188">
        <f t="shared" si="175"/>
        <v>0</v>
      </c>
    </row>
    <row r="206" spans="1:23" s="127" customFormat="1" ht="15" thickBot="1" x14ac:dyDescent="0.35">
      <c r="A206" s="209"/>
      <c r="B206" s="128">
        <v>1</v>
      </c>
      <c r="C206" s="128">
        <v>2</v>
      </c>
      <c r="D206" s="129">
        <f>'Data Ocupacion'!BH37</f>
        <v>1</v>
      </c>
      <c r="E206" s="129">
        <f>'Data Ocupacion'!BI37</f>
        <v>2</v>
      </c>
      <c r="F206" s="128" t="s">
        <v>35</v>
      </c>
      <c r="G206" s="128">
        <f t="shared" si="173"/>
        <v>5</v>
      </c>
      <c r="H206" s="128">
        <f t="shared" si="174"/>
        <v>3</v>
      </c>
      <c r="I206" s="128">
        <f>G206*J$1</f>
        <v>127</v>
      </c>
      <c r="J206" s="156">
        <f>H206*J$1</f>
        <v>76.199999999999989</v>
      </c>
      <c r="K206" s="128">
        <f t="shared" si="171"/>
        <v>13208</v>
      </c>
      <c r="L206" s="128">
        <f t="shared" si="172"/>
        <v>312</v>
      </c>
      <c r="M206" s="19"/>
      <c r="N206" s="19"/>
      <c r="O206" s="149"/>
      <c r="P206" s="196"/>
      <c r="Q206" s="196"/>
      <c r="R206" s="196"/>
      <c r="S206" s="196"/>
      <c r="T206" s="196"/>
      <c r="U206" s="188">
        <f>I206</f>
        <v>127</v>
      </c>
    </row>
    <row r="207" spans="1:23" s="127" customFormat="1" ht="15" thickBot="1" x14ac:dyDescent="0.35">
      <c r="A207" s="20"/>
      <c r="B207" s="230">
        <f>SUM(B201:B206)</f>
        <v>72</v>
      </c>
      <c r="C207" s="230">
        <f>SUM(C201:C206)</f>
        <v>98</v>
      </c>
      <c r="D207" s="151">
        <f>SUM(D201:D206)</f>
        <v>76</v>
      </c>
      <c r="E207" s="151">
        <f>SUM(E201:E206)</f>
        <v>94</v>
      </c>
      <c r="F207" s="121"/>
      <c r="G207" s="121">
        <f t="shared" ref="G207:L207" si="176">SUM(G201:G206)</f>
        <v>264</v>
      </c>
      <c r="H207" s="121">
        <f t="shared" si="176"/>
        <v>170</v>
      </c>
      <c r="I207" s="121">
        <f t="shared" si="176"/>
        <v>11157.470000000001</v>
      </c>
      <c r="J207" s="121">
        <f t="shared" si="176"/>
        <v>7208.81</v>
      </c>
      <c r="K207" s="121">
        <f t="shared" si="176"/>
        <v>1160376.8799999999</v>
      </c>
      <c r="L207" s="121">
        <f t="shared" si="176"/>
        <v>17680</v>
      </c>
      <c r="M207" s="126">
        <f>'Odometro-Kilometraje'!AD81</f>
        <v>11711</v>
      </c>
      <c r="N207" s="21">
        <f>(U207/M207)*100</f>
        <v>94.365041414055185</v>
      </c>
      <c r="O207" s="199"/>
      <c r="P207" s="187"/>
      <c r="Q207" s="187"/>
      <c r="R207" s="187"/>
      <c r="S207" s="187"/>
      <c r="T207" s="187"/>
      <c r="U207" s="200">
        <f>SUM(U201:U206)</f>
        <v>11051.090000000002</v>
      </c>
      <c r="W207" s="262"/>
    </row>
    <row r="208" spans="1:23" s="127" customFormat="1" x14ac:dyDescent="0.3">
      <c r="A208" s="62">
        <f>A201+1</f>
        <v>45595</v>
      </c>
      <c r="B208" s="128">
        <v>36</v>
      </c>
      <c r="C208" s="128">
        <v>47</v>
      </c>
      <c r="D208" s="129">
        <f>'Data Ocupacion'!BJ32</f>
        <v>37</v>
      </c>
      <c r="E208" s="311">
        <f>'Data Ocupacion'!BK32</f>
        <v>46</v>
      </c>
      <c r="F208" s="128" t="s">
        <v>38</v>
      </c>
      <c r="G208" s="128">
        <f t="shared" ref="G208:G213" si="177">D208+E208*2</f>
        <v>129</v>
      </c>
      <c r="H208" s="128">
        <f t="shared" ref="H208:H213" si="178">D208+E208</f>
        <v>83</v>
      </c>
      <c r="I208" s="128">
        <f>G208*L$2</f>
        <v>5563.77</v>
      </c>
      <c r="J208" s="156">
        <f>H208*L$2</f>
        <v>3579.7900000000004</v>
      </c>
      <c r="K208" s="128">
        <f t="shared" ref="K208:K213" si="179">I208*104</f>
        <v>578632.08000000007</v>
      </c>
      <c r="L208" s="128">
        <f t="shared" ref="L208:L213" si="180">H208*104</f>
        <v>8632</v>
      </c>
      <c r="M208" s="19"/>
      <c r="N208" s="19"/>
      <c r="O208" s="149"/>
      <c r="P208" s="189"/>
      <c r="Q208" s="189"/>
      <c r="R208" s="216"/>
      <c r="S208" s="289"/>
      <c r="T208" s="198"/>
      <c r="U208" s="191">
        <f>I208-((P208*($L$2-$J$1)))-(S208*($J$1))</f>
        <v>5563.77</v>
      </c>
    </row>
    <row r="209" spans="1:23" s="127" customFormat="1" ht="15" customHeight="1" x14ac:dyDescent="0.3">
      <c r="A209" s="209"/>
      <c r="B209" s="128">
        <v>35</v>
      </c>
      <c r="C209" s="128">
        <v>44</v>
      </c>
      <c r="D209" s="129">
        <f>'Data Ocupacion'!BJ33</f>
        <v>36</v>
      </c>
      <c r="E209" s="129">
        <f>'Data Ocupacion'!BK33</f>
        <v>43</v>
      </c>
      <c r="F209" s="128" t="s">
        <v>52</v>
      </c>
      <c r="G209" s="128">
        <f t="shared" si="177"/>
        <v>122</v>
      </c>
      <c r="H209" s="128">
        <f t="shared" si="178"/>
        <v>79</v>
      </c>
      <c r="I209" s="128">
        <f>G209*L$2</f>
        <v>5261.8600000000006</v>
      </c>
      <c r="J209" s="156">
        <f>H209*L$2</f>
        <v>3407.27</v>
      </c>
      <c r="K209" s="128">
        <f t="shared" si="179"/>
        <v>547233.44000000006</v>
      </c>
      <c r="L209" s="128">
        <f t="shared" si="180"/>
        <v>8216</v>
      </c>
      <c r="M209" s="19"/>
      <c r="N209" s="19"/>
      <c r="O209" s="149"/>
      <c r="P209" s="193"/>
      <c r="Q209" s="193"/>
      <c r="R209" s="193"/>
      <c r="S209" s="189"/>
      <c r="T209" s="189"/>
      <c r="U209" s="191">
        <f>I209-(S209*($L$2-$J$1)+(T209*($L$2-$L$1)))</f>
        <v>5261.8600000000006</v>
      </c>
    </row>
    <row r="210" spans="1:23" s="127" customFormat="1" x14ac:dyDescent="0.3">
      <c r="A210" s="209"/>
      <c r="B210" s="128">
        <v>0</v>
      </c>
      <c r="C210" s="128">
        <v>2</v>
      </c>
      <c r="D210" s="129">
        <f>'Data Ocupacion'!BJ34</f>
        <v>0</v>
      </c>
      <c r="E210" s="129">
        <f>'Data Ocupacion'!BK34</f>
        <v>2</v>
      </c>
      <c r="F210" s="128" t="s">
        <v>36</v>
      </c>
      <c r="G210" s="128">
        <f t="shared" si="177"/>
        <v>4</v>
      </c>
      <c r="H210" s="128">
        <f t="shared" si="178"/>
        <v>2</v>
      </c>
      <c r="I210" s="128">
        <f>G210*L$1</f>
        <v>116.44</v>
      </c>
      <c r="J210" s="156">
        <f>H210*L$1</f>
        <v>58.22</v>
      </c>
      <c r="K210" s="128">
        <f t="shared" si="179"/>
        <v>12109.76</v>
      </c>
      <c r="L210" s="128">
        <f t="shared" si="180"/>
        <v>208</v>
      </c>
      <c r="M210" s="19"/>
      <c r="N210" s="19" t="s">
        <v>147</v>
      </c>
      <c r="O210" s="149"/>
      <c r="P210" s="192"/>
      <c r="Q210" s="194"/>
      <c r="R210" s="217"/>
      <c r="S210" s="195"/>
      <c r="T210" s="196"/>
      <c r="U210" s="188">
        <f>I210-(P210*($L$1-$J$1))</f>
        <v>116.44</v>
      </c>
    </row>
    <row r="211" spans="1:23" s="127" customFormat="1" x14ac:dyDescent="0.3">
      <c r="A211" s="209"/>
      <c r="B211" s="128">
        <v>0</v>
      </c>
      <c r="C211" s="128">
        <v>3</v>
      </c>
      <c r="D211" s="129">
        <f>'Data Ocupacion'!BJ35</f>
        <v>0</v>
      </c>
      <c r="E211" s="129">
        <f>'Data Ocupacion'!BK35</f>
        <v>3</v>
      </c>
      <c r="F211" s="128" t="s">
        <v>53</v>
      </c>
      <c r="G211" s="128">
        <f t="shared" si="177"/>
        <v>6</v>
      </c>
      <c r="H211" s="128">
        <f t="shared" si="178"/>
        <v>3</v>
      </c>
      <c r="I211" s="128">
        <f>G211*L$1</f>
        <v>174.66</v>
      </c>
      <c r="J211" s="156">
        <f>H211*L$1</f>
        <v>87.33</v>
      </c>
      <c r="K211" s="128">
        <f t="shared" si="179"/>
        <v>18164.64</v>
      </c>
      <c r="L211" s="128">
        <f t="shared" si="180"/>
        <v>312</v>
      </c>
      <c r="M211" s="19"/>
      <c r="N211" s="19" t="s">
        <v>147</v>
      </c>
      <c r="O211" s="149"/>
      <c r="P211" s="196"/>
      <c r="Q211" s="196"/>
      <c r="R211" s="196"/>
      <c r="S211" s="196"/>
      <c r="T211" s="196"/>
      <c r="U211" s="188">
        <f t="shared" ref="U211:U212" si="181">I211</f>
        <v>174.66</v>
      </c>
    </row>
    <row r="212" spans="1:23" s="127" customFormat="1" x14ac:dyDescent="0.3">
      <c r="A212" s="209"/>
      <c r="B212" s="128">
        <v>0</v>
      </c>
      <c r="C212" s="128">
        <v>0</v>
      </c>
      <c r="D212" s="129">
        <f>'Data Ocupacion'!BJ36</f>
        <v>0</v>
      </c>
      <c r="E212" s="129">
        <f>'Data Ocupacion'!BK36</f>
        <v>0</v>
      </c>
      <c r="F212" s="128" t="s">
        <v>122</v>
      </c>
      <c r="G212" s="128">
        <f t="shared" si="177"/>
        <v>0</v>
      </c>
      <c r="H212" s="128">
        <f t="shared" si="178"/>
        <v>0</v>
      </c>
      <c r="I212" s="128">
        <f>G212*J$1</f>
        <v>0</v>
      </c>
      <c r="J212" s="156">
        <f>H212*J$1</f>
        <v>0</v>
      </c>
      <c r="K212" s="128">
        <f t="shared" si="179"/>
        <v>0</v>
      </c>
      <c r="L212" s="128">
        <f t="shared" si="180"/>
        <v>0</v>
      </c>
      <c r="M212" s="19"/>
      <c r="N212" s="19"/>
      <c r="O212" s="149"/>
      <c r="P212" s="196"/>
      <c r="Q212" s="196"/>
      <c r="R212" s="196"/>
      <c r="S212" s="196"/>
      <c r="T212" s="196"/>
      <c r="U212" s="188">
        <f t="shared" si="181"/>
        <v>0</v>
      </c>
    </row>
    <row r="213" spans="1:23" s="127" customFormat="1" ht="15" thickBot="1" x14ac:dyDescent="0.35">
      <c r="A213" s="209"/>
      <c r="B213" s="128">
        <v>1</v>
      </c>
      <c r="C213" s="128">
        <v>2</v>
      </c>
      <c r="D213" s="129">
        <f>'Data Ocupacion'!BJ37</f>
        <v>1</v>
      </c>
      <c r="E213" s="129">
        <f>'Data Ocupacion'!BK37</f>
        <v>2</v>
      </c>
      <c r="F213" s="128" t="s">
        <v>35</v>
      </c>
      <c r="G213" s="128">
        <f t="shared" si="177"/>
        <v>5</v>
      </c>
      <c r="H213" s="128">
        <f t="shared" si="178"/>
        <v>3</v>
      </c>
      <c r="I213" s="128">
        <f>G213*J$1</f>
        <v>127</v>
      </c>
      <c r="J213" s="156">
        <f>H213*J$1</f>
        <v>76.199999999999989</v>
      </c>
      <c r="K213" s="128">
        <f t="shared" si="179"/>
        <v>13208</v>
      </c>
      <c r="L213" s="128">
        <f t="shared" si="180"/>
        <v>312</v>
      </c>
      <c r="M213" s="19"/>
      <c r="N213" s="19"/>
      <c r="O213" s="149"/>
      <c r="P213" s="196"/>
      <c r="Q213" s="196"/>
      <c r="R213" s="196"/>
      <c r="S213" s="196"/>
      <c r="T213" s="196"/>
      <c r="U213" s="188">
        <f>I213</f>
        <v>127</v>
      </c>
    </row>
    <row r="214" spans="1:23" s="127" customFormat="1" ht="15" thickBot="1" x14ac:dyDescent="0.35">
      <c r="A214" s="20"/>
      <c r="B214" s="230">
        <f>SUM(B208:B213)</f>
        <v>72</v>
      </c>
      <c r="C214" s="230">
        <f>SUM(C208:C213)</f>
        <v>98</v>
      </c>
      <c r="D214" s="151">
        <f>SUM(D208:D213)</f>
        <v>74</v>
      </c>
      <c r="E214" s="151">
        <f>SUM(E208:E213)</f>
        <v>96</v>
      </c>
      <c r="F214" s="121"/>
      <c r="G214" s="121">
        <f t="shared" ref="G214:L214" si="182">SUM(G208:G213)</f>
        <v>266</v>
      </c>
      <c r="H214" s="121">
        <f t="shared" si="182"/>
        <v>170</v>
      </c>
      <c r="I214" s="121">
        <f t="shared" si="182"/>
        <v>11243.730000000001</v>
      </c>
      <c r="J214" s="121">
        <f t="shared" si="182"/>
        <v>7208.81</v>
      </c>
      <c r="K214" s="121">
        <f t="shared" si="182"/>
        <v>1169347.92</v>
      </c>
      <c r="L214" s="121">
        <f t="shared" si="182"/>
        <v>17680</v>
      </c>
      <c r="M214" s="126">
        <f>'Odometro-Kilometraje'!AE81</f>
        <v>11733</v>
      </c>
      <c r="N214" s="21">
        <f>(U214/M214)*100</f>
        <v>95.829966760419339</v>
      </c>
      <c r="O214" s="199"/>
      <c r="P214" s="187"/>
      <c r="Q214" s="187"/>
      <c r="R214" s="187"/>
      <c r="S214" s="187"/>
      <c r="T214" s="187"/>
      <c r="U214" s="200">
        <f>SUM(U208:U213)</f>
        <v>11243.730000000001</v>
      </c>
    </row>
    <row r="215" spans="1:23" s="127" customFormat="1" x14ac:dyDescent="0.3">
      <c r="A215" s="62">
        <f>A208+1</f>
        <v>45596</v>
      </c>
      <c r="B215" s="231">
        <v>51</v>
      </c>
      <c r="C215" s="231">
        <v>3</v>
      </c>
      <c r="D215" s="140">
        <f>'Data Ocupacion'!BL32</f>
        <v>51</v>
      </c>
      <c r="E215" s="140">
        <f>'Data Ocupacion'!BM32</f>
        <v>3</v>
      </c>
      <c r="F215" s="231" t="s">
        <v>38</v>
      </c>
      <c r="G215" s="231">
        <f t="shared" ref="G215:G220" si="183">D215+E215*2</f>
        <v>57</v>
      </c>
      <c r="H215" s="231">
        <f t="shared" ref="H215:H220" si="184">D215+E215</f>
        <v>54</v>
      </c>
      <c r="I215" s="231">
        <f>G215*L$2</f>
        <v>2458.4100000000003</v>
      </c>
      <c r="J215" s="156">
        <f>H215*L$2</f>
        <v>2329.02</v>
      </c>
      <c r="K215" s="231">
        <f t="shared" ref="K215:K220" si="185">I215*104</f>
        <v>255674.64000000004</v>
      </c>
      <c r="L215" s="231">
        <f t="shared" ref="L215:L220" si="186">H215*104</f>
        <v>5616</v>
      </c>
      <c r="M215" s="19"/>
      <c r="N215" s="19"/>
      <c r="O215" s="149"/>
      <c r="P215" s="256"/>
      <c r="Q215" s="189"/>
      <c r="R215" s="216"/>
      <c r="S215" s="210"/>
      <c r="T215" s="198"/>
      <c r="U215" s="191">
        <f>I215-((P215*($L$2-$J$1)))-(S215*($J$1))</f>
        <v>2458.4100000000003</v>
      </c>
    </row>
    <row r="216" spans="1:23" s="127" customFormat="1" ht="17.399999999999999" x14ac:dyDescent="0.3">
      <c r="A216" s="315"/>
      <c r="B216" s="231">
        <v>57</v>
      </c>
      <c r="C216" s="231">
        <v>0</v>
      </c>
      <c r="D216" s="140">
        <f>'Data Ocupacion'!BL33</f>
        <v>57</v>
      </c>
      <c r="E216" s="140">
        <f>'Data Ocupacion'!BM33</f>
        <v>0</v>
      </c>
      <c r="F216" s="231" t="s">
        <v>52</v>
      </c>
      <c r="G216" s="231">
        <f t="shared" si="183"/>
        <v>57</v>
      </c>
      <c r="H216" s="231">
        <f t="shared" si="184"/>
        <v>57</v>
      </c>
      <c r="I216" s="231">
        <f>G216*L$2</f>
        <v>2458.4100000000003</v>
      </c>
      <c r="J216" s="156">
        <f>H216*L$2</f>
        <v>2458.4100000000003</v>
      </c>
      <c r="K216" s="231">
        <f t="shared" si="185"/>
        <v>255674.64000000004</v>
      </c>
      <c r="L216" s="231">
        <f t="shared" si="186"/>
        <v>5928</v>
      </c>
      <c r="M216" s="19"/>
      <c r="N216" s="19"/>
      <c r="O216" s="149"/>
      <c r="P216" s="193"/>
      <c r="Q216" s="193"/>
      <c r="R216" s="193"/>
      <c r="S216" s="189"/>
      <c r="T216" s="189"/>
      <c r="U216" s="191">
        <f>I216-(S216*($L$2-$J$1)+(T216*($L$2-$L$1)))</f>
        <v>2458.4100000000003</v>
      </c>
    </row>
    <row r="217" spans="1:23" s="127" customFormat="1" ht="17.399999999999999" x14ac:dyDescent="0.3">
      <c r="A217" s="315"/>
      <c r="B217" s="231">
        <v>0</v>
      </c>
      <c r="C217" s="231">
        <v>0</v>
      </c>
      <c r="D217" s="140">
        <f>'Data Ocupacion'!BL34</f>
        <v>0</v>
      </c>
      <c r="E217" s="140">
        <f>'Data Ocupacion'!BM34</f>
        <v>0</v>
      </c>
      <c r="F217" s="231" t="s">
        <v>36</v>
      </c>
      <c r="G217" s="231">
        <f t="shared" si="183"/>
        <v>0</v>
      </c>
      <c r="H217" s="231">
        <f t="shared" si="184"/>
        <v>0</v>
      </c>
      <c r="I217" s="231">
        <f>G217*L$1</f>
        <v>0</v>
      </c>
      <c r="J217" s="156">
        <f>H217*L$1</f>
        <v>0</v>
      </c>
      <c r="K217" s="231">
        <f t="shared" si="185"/>
        <v>0</v>
      </c>
      <c r="L217" s="231">
        <f t="shared" si="186"/>
        <v>0</v>
      </c>
      <c r="M217" s="19"/>
      <c r="N217" s="19"/>
      <c r="O217" s="149"/>
      <c r="P217" s="192"/>
      <c r="Q217" s="194"/>
      <c r="R217" s="217"/>
      <c r="S217" s="195"/>
      <c r="T217" s="196"/>
      <c r="U217" s="188">
        <f>I217-(P217*($L$1-$J$1))</f>
        <v>0</v>
      </c>
    </row>
    <row r="218" spans="1:23" s="127" customFormat="1" ht="17.399999999999999" x14ac:dyDescent="0.3">
      <c r="A218" s="315"/>
      <c r="B218" s="231">
        <v>0</v>
      </c>
      <c r="C218" s="231">
        <v>0</v>
      </c>
      <c r="D218" s="140">
        <f>'Data Ocupacion'!BL35</f>
        <v>0</v>
      </c>
      <c r="E218" s="140">
        <f>'Data Ocupacion'!BM35</f>
        <v>0</v>
      </c>
      <c r="F218" s="231" t="s">
        <v>53</v>
      </c>
      <c r="G218" s="231">
        <f t="shared" si="183"/>
        <v>0</v>
      </c>
      <c r="H218" s="231">
        <f t="shared" si="184"/>
        <v>0</v>
      </c>
      <c r="I218" s="231">
        <f>G218*L$1</f>
        <v>0</v>
      </c>
      <c r="J218" s="156">
        <f>H218*L$1</f>
        <v>0</v>
      </c>
      <c r="K218" s="231">
        <f t="shared" si="185"/>
        <v>0</v>
      </c>
      <c r="L218" s="231">
        <f t="shared" si="186"/>
        <v>0</v>
      </c>
      <c r="M218" s="19"/>
      <c r="N218" s="19"/>
      <c r="O218" s="149"/>
      <c r="P218" s="196"/>
      <c r="Q218" s="196"/>
      <c r="R218" s="196"/>
      <c r="S218" s="196"/>
      <c r="T218" s="196"/>
      <c r="U218" s="188">
        <f t="shared" ref="U218:U219" si="187">I218</f>
        <v>0</v>
      </c>
    </row>
    <row r="219" spans="1:23" s="127" customFormat="1" ht="17.399999999999999" x14ac:dyDescent="0.3">
      <c r="A219" s="315"/>
      <c r="B219" s="231">
        <v>0</v>
      </c>
      <c r="C219" s="231">
        <v>0</v>
      </c>
      <c r="D219" s="140">
        <f>'Data Ocupacion'!BL36</f>
        <v>0</v>
      </c>
      <c r="E219" s="140">
        <f>'Data Ocupacion'!BM36</f>
        <v>0</v>
      </c>
      <c r="F219" s="231" t="s">
        <v>122</v>
      </c>
      <c r="G219" s="231">
        <f t="shared" si="183"/>
        <v>0</v>
      </c>
      <c r="H219" s="231">
        <f t="shared" si="184"/>
        <v>0</v>
      </c>
      <c r="I219" s="231">
        <f>G219*J$1</f>
        <v>0</v>
      </c>
      <c r="J219" s="156">
        <f>H219*J$1</f>
        <v>0</v>
      </c>
      <c r="K219" s="231">
        <f t="shared" si="185"/>
        <v>0</v>
      </c>
      <c r="L219" s="231">
        <f t="shared" si="186"/>
        <v>0</v>
      </c>
      <c r="M219" s="19"/>
      <c r="N219" s="19"/>
      <c r="O219" s="149"/>
      <c r="P219" s="196"/>
      <c r="Q219" s="196"/>
      <c r="R219" s="196"/>
      <c r="S219" s="196"/>
      <c r="T219" s="196"/>
      <c r="U219" s="188">
        <f t="shared" si="187"/>
        <v>0</v>
      </c>
    </row>
    <row r="220" spans="1:23" s="127" customFormat="1" ht="18" thickBot="1" x14ac:dyDescent="0.35">
      <c r="A220" s="315"/>
      <c r="B220" s="231">
        <v>0</v>
      </c>
      <c r="C220" s="231">
        <v>0</v>
      </c>
      <c r="D220" s="140">
        <f>'Data Ocupacion'!BL37</f>
        <v>0</v>
      </c>
      <c r="E220" s="140">
        <f>'Data Ocupacion'!BM37</f>
        <v>0</v>
      </c>
      <c r="F220" s="231" t="s">
        <v>35</v>
      </c>
      <c r="G220" s="231">
        <f t="shared" si="183"/>
        <v>0</v>
      </c>
      <c r="H220" s="231">
        <f t="shared" si="184"/>
        <v>0</v>
      </c>
      <c r="I220" s="231">
        <f>G220*J$1</f>
        <v>0</v>
      </c>
      <c r="J220" s="156">
        <f>H220*J$1</f>
        <v>0</v>
      </c>
      <c r="K220" s="231">
        <f t="shared" si="185"/>
        <v>0</v>
      </c>
      <c r="L220" s="231">
        <f t="shared" si="186"/>
        <v>0</v>
      </c>
      <c r="M220" s="19"/>
      <c r="N220" s="19"/>
      <c r="O220" s="149"/>
      <c r="P220" s="196"/>
      <c r="Q220" s="196"/>
      <c r="R220" s="196"/>
      <c r="S220" s="196"/>
      <c r="T220" s="196"/>
      <c r="U220" s="188">
        <f>I220</f>
        <v>0</v>
      </c>
    </row>
    <row r="221" spans="1:23" s="127" customFormat="1" ht="15" thickBot="1" x14ac:dyDescent="0.35">
      <c r="A221" s="20"/>
      <c r="B221" s="230">
        <f>SUM(B215:B220)</f>
        <v>108</v>
      </c>
      <c r="C221" s="230">
        <f>SUM(C215:C220)</f>
        <v>3</v>
      </c>
      <c r="D221" s="151">
        <f>SUM(D215:D220)</f>
        <v>108</v>
      </c>
      <c r="E221" s="151">
        <f>SUM(E215:E220)</f>
        <v>3</v>
      </c>
      <c r="F221" s="121"/>
      <c r="G221" s="121">
        <f t="shared" ref="G221:L221" si="188">SUM(G215:G220)</f>
        <v>114</v>
      </c>
      <c r="H221" s="121">
        <f t="shared" si="188"/>
        <v>111</v>
      </c>
      <c r="I221" s="121">
        <f t="shared" si="188"/>
        <v>4916.8200000000006</v>
      </c>
      <c r="J221" s="121">
        <f t="shared" si="188"/>
        <v>4787.43</v>
      </c>
      <c r="K221" s="121">
        <f t="shared" si="188"/>
        <v>511349.28000000009</v>
      </c>
      <c r="L221" s="121">
        <f t="shared" si="188"/>
        <v>11544</v>
      </c>
      <c r="M221" s="126">
        <f>'Odometro-Kilometraje'!AF81</f>
        <v>4988</v>
      </c>
      <c r="N221" s="21">
        <f>(U221/M221)*100</f>
        <v>98.572975140336823</v>
      </c>
      <c r="O221" s="199"/>
      <c r="P221" s="187"/>
      <c r="Q221" s="187"/>
      <c r="R221" s="187"/>
      <c r="S221" s="187"/>
      <c r="T221" s="187"/>
      <c r="U221" s="200">
        <f>SUM(U215:U220)</f>
        <v>4916.8200000000006</v>
      </c>
    </row>
    <row r="222" spans="1:23" s="127" customFormat="1" x14ac:dyDescent="0.3"/>
    <row r="223" spans="1:23" s="127" customFormat="1" ht="15" thickBot="1" x14ac:dyDescent="0.35">
      <c r="W223" s="127">
        <v>300414.46000000008</v>
      </c>
    </row>
    <row r="224" spans="1:23" s="127" customFormat="1" ht="15" thickBot="1" x14ac:dyDescent="0.35">
      <c r="A224"/>
      <c r="B224" s="338" t="s">
        <v>56</v>
      </c>
      <c r="C224" s="339"/>
      <c r="D224" s="339"/>
      <c r="E224" s="339"/>
      <c r="F224" s="339"/>
      <c r="G224" s="340"/>
      <c r="H224" s="338" t="s">
        <v>57</v>
      </c>
      <c r="I224" s="339"/>
      <c r="J224" s="339"/>
      <c r="K224" s="339"/>
      <c r="L224" s="339"/>
      <c r="M224" s="340"/>
      <c r="O224" s="352" t="s">
        <v>142</v>
      </c>
      <c r="P224" s="352"/>
      <c r="Q224" s="352"/>
      <c r="R224" s="353"/>
      <c r="S224" s="341" t="s">
        <v>145</v>
      </c>
      <c r="T224" s="342"/>
      <c r="U224" s="331" t="s">
        <v>146</v>
      </c>
    </row>
    <row r="225" spans="1:27" s="127" customFormat="1" ht="23.4" thickBot="1" x14ac:dyDescent="0.35">
      <c r="A225" s="22" t="s">
        <v>56</v>
      </c>
      <c r="B225" s="184" t="s">
        <v>58</v>
      </c>
      <c r="C225" s="184" t="s">
        <v>59</v>
      </c>
      <c r="D225" s="184" t="s">
        <v>60</v>
      </c>
      <c r="E225" s="184" t="s">
        <v>61</v>
      </c>
      <c r="F225" s="184" t="s">
        <v>62</v>
      </c>
      <c r="G225" s="184" t="s">
        <v>63</v>
      </c>
      <c r="H225" s="184" t="s">
        <v>58</v>
      </c>
      <c r="I225" s="184" t="s">
        <v>59</v>
      </c>
      <c r="J225" s="184" t="s">
        <v>60</v>
      </c>
      <c r="K225" s="184" t="s">
        <v>61</v>
      </c>
      <c r="L225" s="184" t="s">
        <v>62</v>
      </c>
      <c r="M225" s="184" t="s">
        <v>63</v>
      </c>
      <c r="O225" s="224" t="s">
        <v>143</v>
      </c>
      <c r="P225" s="202" t="s">
        <v>144</v>
      </c>
      <c r="Q225" s="223" t="s">
        <v>151</v>
      </c>
      <c r="R225" s="225" t="s">
        <v>149</v>
      </c>
      <c r="S225" s="203" t="s">
        <v>143</v>
      </c>
      <c r="T225" s="204" t="s">
        <v>144</v>
      </c>
      <c r="U225" s="332"/>
    </row>
    <row r="226" spans="1:27" ht="15.75" customHeight="1" x14ac:dyDescent="0.3">
      <c r="A226" s="23" t="s">
        <v>38</v>
      </c>
      <c r="B226" s="115">
        <f t="shared" ref="B226:C231" si="189">B5+B12+B19+B26+B33+B40+B47+B54+B61+B68+B75+B82+B89+B96+B103+B110+B117+B124+B131+B138+B145+B152+B159+B166+B173+B180+B187+B194+B201+B208+B215</f>
        <v>1299</v>
      </c>
      <c r="C226" s="115">
        <f t="shared" si="189"/>
        <v>1090</v>
      </c>
      <c r="D226" s="115">
        <f t="shared" ref="D226:D231" si="190">B226+C226</f>
        <v>2389</v>
      </c>
      <c r="E226" s="142">
        <f>D226*43.13</f>
        <v>103037.57</v>
      </c>
      <c r="F226" s="142">
        <f>B226*43.13+C226*86.26</f>
        <v>150049.27000000002</v>
      </c>
      <c r="G226" s="142">
        <f t="shared" ref="G226:G231" si="191">F226*104</f>
        <v>15605124.080000002</v>
      </c>
      <c r="H226" s="115">
        <f t="shared" ref="H226:I231" si="192">D5+D12+D19+D26+D33+D40+D47+D54+D61+D68+D75+D82+D89+D96+D103+D110+D117+D124+D131+D138+D145+D152+D159+D166+D173+D180+D187+D194+D201+D208+D215</f>
        <v>1300</v>
      </c>
      <c r="I226" s="115">
        <f t="shared" si="192"/>
        <v>1091</v>
      </c>
      <c r="J226" s="141">
        <f>H226+I226</f>
        <v>2391</v>
      </c>
      <c r="K226" s="142">
        <f>J226*43.13</f>
        <v>103123.83</v>
      </c>
      <c r="L226" s="142">
        <f>H226*43.13+I226*86.26</f>
        <v>150178.66</v>
      </c>
      <c r="M226" s="142">
        <f t="shared" ref="M226:M231" si="193">L226*104</f>
        <v>15618580.640000001</v>
      </c>
      <c r="N226" s="127"/>
      <c r="O226" s="8">
        <f>SUM(P194,P187,P180,P173,P166,P159,P152,P145,P138,P131,P124,P117,P110,P103,P96,P89,P82,P75,P68,P61,P54,P47,P40,P33,P26,P19,P12,P5,P201,P208,P215)</f>
        <v>82</v>
      </c>
      <c r="P226" s="219">
        <f>SUM(Q194,Q187,Q180,Q173,Q166,Q159,Q152,Q145,Q138,Q131,Q124,Q117,Q110,Q103,Q96,Q89,Q82,Q75,Q68,Q61,Q54,Q47,Q40,Q33,Q26,Q19,Q12,Q5,Q201,Q208,Q215)</f>
        <v>0</v>
      </c>
      <c r="Q226" s="127">
        <f>SUM(P196,P189,P182,P175,P168,P161,P154,P147,P142,P133,P126,P119,P112,P105,P98,P91,P84,P77,P70,P63,P56,P49,P42,P35,P28,P21,P14,P7,P203,P210,P217)</f>
        <v>2</v>
      </c>
      <c r="R226" s="127">
        <f>SUM(R194,R187,R180,R173,R166,R159,R152,R145,R138,R131,R124,R117,R110,R103,R96,R89,R82,R75,R68,R61,R54,R47,R40,R33,R26,R19,R12,R5,R201,R208,R215)</f>
        <v>0</v>
      </c>
      <c r="S226" s="127">
        <f>SUM(S195,S188,S181,S174,S167,S160,S153,S146,S139,S132,S125,S118,S111,S104,S97,S90,S83,S76,S69,S62,S55,S48,S41,S34,S27,S20,S13,S6,S202,S209,S216)+SUM(S5,S12,S19,S26,S33,S40,S47,S54,S61,S68,S75,S82,S89,S96,S103,S110,S117,S124,S131,S138,S145,S152,S159,S166,S173,S180,S187,S194,S201,S208,S215)</f>
        <v>28</v>
      </c>
      <c r="T226" s="127">
        <f>SUM(T195,T188,T181,T174,T167,T160,T153,T146,T139,T132,T125,T118,T111,T104,T97,T90,T83,T76,T69,T62,T55,T48,T41,T34,T27,T20,T13,T6,T202,T209,T216)</f>
        <v>0</v>
      </c>
      <c r="U226" s="248">
        <f>U11+U18+U25+U32+U39+U46+U53+U60+U67+U74+U81+U88+U95+U102+U109+U116+U123+U130+U137+U144+U151+U158+U165+U172+U179+U186+U193+U200+U207+U214+U221</f>
        <v>300576.67000000004</v>
      </c>
    </row>
    <row r="227" spans="1:27" ht="17.25" customHeight="1" x14ac:dyDescent="0.3">
      <c r="A227" s="23" t="s">
        <v>52</v>
      </c>
      <c r="B227" s="115">
        <f t="shared" si="189"/>
        <v>1319</v>
      </c>
      <c r="C227" s="115">
        <f t="shared" si="189"/>
        <v>1003</v>
      </c>
      <c r="D227" s="115">
        <f t="shared" si="190"/>
        <v>2322</v>
      </c>
      <c r="E227" s="142">
        <f>D227*43.13</f>
        <v>100147.86</v>
      </c>
      <c r="F227" s="142">
        <f>B227*43.13+C227*86.26</f>
        <v>143407.25</v>
      </c>
      <c r="G227" s="142">
        <f t="shared" si="191"/>
        <v>14914354</v>
      </c>
      <c r="H227" s="115">
        <f t="shared" si="192"/>
        <v>1321</v>
      </c>
      <c r="I227" s="115">
        <f t="shared" si="192"/>
        <v>1001</v>
      </c>
      <c r="J227" s="141">
        <f t="shared" ref="J227:J231" si="194">H227+I227</f>
        <v>2322</v>
      </c>
      <c r="K227" s="142">
        <f>J227*43.13</f>
        <v>100147.86</v>
      </c>
      <c r="L227" s="142">
        <f>H227*43.13+I227*86.26</f>
        <v>143320.99000000002</v>
      </c>
      <c r="M227" s="142">
        <f t="shared" si="193"/>
        <v>14905382.960000003</v>
      </c>
      <c r="N227" s="127"/>
      <c r="U227" s="218"/>
      <c r="Y227" s="8"/>
    </row>
    <row r="228" spans="1:27" x14ac:dyDescent="0.3">
      <c r="A228" s="23" t="s">
        <v>36</v>
      </c>
      <c r="B228" s="115">
        <f t="shared" si="189"/>
        <v>0</v>
      </c>
      <c r="C228" s="115">
        <f t="shared" si="189"/>
        <v>44</v>
      </c>
      <c r="D228" s="115">
        <f t="shared" si="190"/>
        <v>44</v>
      </c>
      <c r="E228" s="142">
        <f>D228*29.11</f>
        <v>1280.8399999999999</v>
      </c>
      <c r="F228" s="142">
        <f>B228*29.11+C228*58.22</f>
        <v>2561.6799999999998</v>
      </c>
      <c r="G228" s="142">
        <f t="shared" si="191"/>
        <v>266414.71999999997</v>
      </c>
      <c r="H228" s="115">
        <f t="shared" si="192"/>
        <v>0</v>
      </c>
      <c r="I228" s="115">
        <f t="shared" si="192"/>
        <v>44</v>
      </c>
      <c r="J228" s="141">
        <f t="shared" si="194"/>
        <v>44</v>
      </c>
      <c r="K228" s="142">
        <f>J228*29.11</f>
        <v>1280.8399999999999</v>
      </c>
      <c r="L228" s="142">
        <f>H228*29.11+I228*58.22</f>
        <v>2561.6799999999998</v>
      </c>
      <c r="M228" s="142">
        <f t="shared" si="193"/>
        <v>266414.71999999997</v>
      </c>
      <c r="N228" s="127"/>
      <c r="U228" s="218"/>
    </row>
    <row r="229" spans="1:27" x14ac:dyDescent="0.3">
      <c r="A229" s="23" t="s">
        <v>53</v>
      </c>
      <c r="B229" s="115">
        <f t="shared" si="189"/>
        <v>0</v>
      </c>
      <c r="C229" s="115">
        <f t="shared" si="189"/>
        <v>66</v>
      </c>
      <c r="D229" s="115">
        <f t="shared" si="190"/>
        <v>66</v>
      </c>
      <c r="E229" s="142">
        <f>D229*29.11</f>
        <v>1921.26</v>
      </c>
      <c r="F229" s="142">
        <f>B229*29.11+C229*58.22</f>
        <v>3842.52</v>
      </c>
      <c r="G229" s="142">
        <f t="shared" si="191"/>
        <v>399622.08</v>
      </c>
      <c r="H229" s="115">
        <f t="shared" si="192"/>
        <v>0</v>
      </c>
      <c r="I229" s="115">
        <f t="shared" si="192"/>
        <v>66</v>
      </c>
      <c r="J229" s="141">
        <f t="shared" si="194"/>
        <v>66</v>
      </c>
      <c r="K229" s="142">
        <f>J229*29.11</f>
        <v>1921.26</v>
      </c>
      <c r="L229" s="142">
        <f>H229*29.11+I229*58.22</f>
        <v>3842.52</v>
      </c>
      <c r="M229" s="142">
        <f t="shared" si="193"/>
        <v>399622.08</v>
      </c>
      <c r="N229" s="127"/>
      <c r="U229" s="218"/>
      <c r="Y229" s="102"/>
      <c r="Z229" s="102"/>
      <c r="AA229" s="102"/>
    </row>
    <row r="230" spans="1:27" x14ac:dyDescent="0.3">
      <c r="A230" s="23" t="s">
        <v>122</v>
      </c>
      <c r="B230" s="115">
        <f t="shared" si="189"/>
        <v>0</v>
      </c>
      <c r="C230" s="115">
        <f t="shared" si="189"/>
        <v>0</v>
      </c>
      <c r="D230" s="115">
        <f t="shared" si="190"/>
        <v>0</v>
      </c>
      <c r="E230" s="142">
        <f>D230*25.4</f>
        <v>0</v>
      </c>
      <c r="F230" s="142">
        <f>B230*25.4+C230*50.8</f>
        <v>0</v>
      </c>
      <c r="G230" s="142">
        <f t="shared" si="191"/>
        <v>0</v>
      </c>
      <c r="H230" s="115">
        <f t="shared" si="192"/>
        <v>0</v>
      </c>
      <c r="I230" s="115">
        <f t="shared" si="192"/>
        <v>0</v>
      </c>
      <c r="J230" s="141">
        <f t="shared" si="194"/>
        <v>0</v>
      </c>
      <c r="K230" s="142">
        <f>J230*25.4</f>
        <v>0</v>
      </c>
      <c r="L230" s="142">
        <f>H230*25.4+I230*50.8</f>
        <v>0</v>
      </c>
      <c r="M230" s="142">
        <f t="shared" si="193"/>
        <v>0</v>
      </c>
      <c r="N230" s="127"/>
      <c r="U230" s="218"/>
    </row>
    <row r="231" spans="1:27" x14ac:dyDescent="0.3">
      <c r="A231" s="23" t="s">
        <v>35</v>
      </c>
      <c r="B231" s="115">
        <f t="shared" si="189"/>
        <v>22</v>
      </c>
      <c r="C231" s="115">
        <f t="shared" si="189"/>
        <v>44</v>
      </c>
      <c r="D231" s="115">
        <f t="shared" si="190"/>
        <v>66</v>
      </c>
      <c r="E231" s="142">
        <f>D231*25.4</f>
        <v>1676.3999999999999</v>
      </c>
      <c r="F231" s="142">
        <f>B231*25.4+C231*50.8</f>
        <v>2794</v>
      </c>
      <c r="G231" s="142">
        <f t="shared" si="191"/>
        <v>290576</v>
      </c>
      <c r="H231" s="115">
        <f t="shared" si="192"/>
        <v>23</v>
      </c>
      <c r="I231" s="115">
        <f t="shared" si="192"/>
        <v>43</v>
      </c>
      <c r="J231" s="141">
        <f t="shared" si="194"/>
        <v>66</v>
      </c>
      <c r="K231" s="142">
        <f>J231*25.4</f>
        <v>1676.3999999999999</v>
      </c>
      <c r="L231" s="142">
        <f>H231*25.4+I231*50.8</f>
        <v>2768.6</v>
      </c>
      <c r="M231" s="142">
        <f t="shared" si="193"/>
        <v>287934.39999999997</v>
      </c>
      <c r="N231" s="127"/>
      <c r="O231" s="127"/>
      <c r="P231" s="127"/>
      <c r="Q231" s="127"/>
      <c r="S231" s="127"/>
      <c r="T231" s="127"/>
      <c r="U231" s="218"/>
      <c r="Y231" s="102"/>
      <c r="Z231" s="102"/>
      <c r="AA231" s="102"/>
    </row>
    <row r="232" spans="1:27" s="127" customFormat="1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O232"/>
      <c r="P232"/>
      <c r="Q232"/>
      <c r="S232"/>
      <c r="T232"/>
      <c r="U232" s="218"/>
    </row>
    <row r="233" spans="1:27" s="127" customFormat="1" x14ac:dyDescent="0.3">
      <c r="A233" s="182" t="s">
        <v>64</v>
      </c>
      <c r="B233" s="242">
        <f>SUM(B226:B232)</f>
        <v>2640</v>
      </c>
      <c r="C233" s="242">
        <f>SUM(C226:C232)</f>
        <v>2247</v>
      </c>
      <c r="D233" s="242">
        <f>SUM(D226:D232)</f>
        <v>4887</v>
      </c>
      <c r="E233" s="183">
        <f t="shared" ref="E233:M233" si="195">SUM(E226:E231)</f>
        <v>208063.93</v>
      </c>
      <c r="F233" s="183">
        <f t="shared" si="195"/>
        <v>302654.72000000003</v>
      </c>
      <c r="G233" s="183">
        <f t="shared" si="195"/>
        <v>31476090.879999999</v>
      </c>
      <c r="H233" s="241">
        <f t="shared" si="195"/>
        <v>2644</v>
      </c>
      <c r="I233" s="241">
        <f t="shared" si="195"/>
        <v>2245</v>
      </c>
      <c r="J233" s="232">
        <f t="shared" si="195"/>
        <v>4889</v>
      </c>
      <c r="K233" s="233">
        <f t="shared" si="195"/>
        <v>208150.19</v>
      </c>
      <c r="L233" s="233">
        <f t="shared" si="195"/>
        <v>302672.45</v>
      </c>
      <c r="M233" s="233">
        <f t="shared" si="195"/>
        <v>31477934.799999997</v>
      </c>
      <c r="O233"/>
      <c r="P233"/>
      <c r="Q233"/>
      <c r="S233"/>
      <c r="T233"/>
      <c r="U233" s="218"/>
    </row>
    <row r="234" spans="1:27" x14ac:dyDescent="0.3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218"/>
      <c r="M234" s="127"/>
      <c r="N234" s="127"/>
      <c r="U234" s="218"/>
    </row>
    <row r="235" spans="1:27" ht="42" customHeight="1" thickBot="1" x14ac:dyDescent="0.35">
      <c r="B235" s="127" t="s">
        <v>65</v>
      </c>
      <c r="C235" s="127">
        <f>(B233)+(C233*2)</f>
        <v>7134</v>
      </c>
      <c r="D235" s="127"/>
      <c r="E235" s="127"/>
      <c r="F235" s="127" t="s">
        <v>65</v>
      </c>
      <c r="G235" s="127">
        <f>(H233)+(I233*2)</f>
        <v>7134</v>
      </c>
      <c r="H235" s="127"/>
      <c r="I235" s="205"/>
      <c r="J235" s="127"/>
      <c r="K235" s="127"/>
      <c r="L235" s="218"/>
      <c r="M235" s="127"/>
      <c r="N235" s="127"/>
      <c r="U235" s="218"/>
    </row>
    <row r="236" spans="1:27" x14ac:dyDescent="0.3">
      <c r="A236" s="24"/>
      <c r="B236" s="347" t="s">
        <v>55</v>
      </c>
      <c r="C236" s="348"/>
      <c r="D236" s="25" t="s">
        <v>65</v>
      </c>
      <c r="E236" s="26"/>
      <c r="F236" s="27" t="s">
        <v>61</v>
      </c>
      <c r="G236" s="27" t="s">
        <v>66</v>
      </c>
      <c r="H236" s="28" t="s">
        <v>67</v>
      </c>
      <c r="I236" s="127"/>
      <c r="J236" s="127"/>
      <c r="K236" s="127"/>
      <c r="L236" s="127"/>
      <c r="M236" s="127"/>
      <c r="N236" s="127"/>
      <c r="U236" s="218"/>
    </row>
    <row r="237" spans="1:27" x14ac:dyDescent="0.3">
      <c r="A237" s="29"/>
      <c r="B237" s="30" t="s">
        <v>58</v>
      </c>
      <c r="C237" s="30" t="s">
        <v>68</v>
      </c>
      <c r="D237" s="31"/>
      <c r="E237" s="32"/>
      <c r="F237" s="30"/>
      <c r="G237" s="30"/>
      <c r="H237" s="33"/>
      <c r="I237" s="127"/>
      <c r="J237" s="127"/>
      <c r="K237" s="127"/>
      <c r="L237" s="127"/>
      <c r="M237" s="127"/>
      <c r="N237" s="127"/>
      <c r="U237" s="218"/>
    </row>
    <row r="238" spans="1:27" ht="15" hidden="1" customHeight="1" x14ac:dyDescent="0.3">
      <c r="A238" s="34" t="s">
        <v>69</v>
      </c>
      <c r="B238" s="147" t="e">
        <f>+#REF!</f>
        <v>#REF!</v>
      </c>
      <c r="C238" s="147" t="e">
        <f>+#REF!</f>
        <v>#REF!</v>
      </c>
      <c r="D238" s="147" t="e">
        <f>+B238+2*C238</f>
        <v>#REF!</v>
      </c>
      <c r="E238" s="35" t="s">
        <v>69</v>
      </c>
      <c r="F238" s="36">
        <f>+E233</f>
        <v>208063.93</v>
      </c>
      <c r="G238" s="36">
        <f>+F233</f>
        <v>302654.72000000003</v>
      </c>
      <c r="H238" s="37">
        <f>+G233</f>
        <v>31476090.879999999</v>
      </c>
      <c r="I238" s="127"/>
      <c r="J238" s="127"/>
      <c r="K238" s="127"/>
      <c r="L238" s="127"/>
      <c r="M238" s="127"/>
      <c r="N238" s="127"/>
      <c r="U238" s="218"/>
    </row>
    <row r="239" spans="1:27" ht="15.75" hidden="1" customHeight="1" thickBot="1" x14ac:dyDescent="0.35">
      <c r="A239" s="38" t="s">
        <v>70</v>
      </c>
      <c r="B239" s="181" t="e">
        <f>+#REF!</f>
        <v>#REF!</v>
      </c>
      <c r="C239" s="181" t="e">
        <f>+#REF!</f>
        <v>#REF!</v>
      </c>
      <c r="D239" s="147" t="e">
        <f>+B239+2*C239</f>
        <v>#REF!</v>
      </c>
      <c r="E239" s="38" t="s">
        <v>70</v>
      </c>
      <c r="F239" s="39" t="e">
        <f>+#REF!</f>
        <v>#REF!</v>
      </c>
      <c r="G239" s="39" t="e">
        <f>+#REF!</f>
        <v>#REF!</v>
      </c>
      <c r="H239" s="40" t="e">
        <f>+#REF!</f>
        <v>#REF!</v>
      </c>
      <c r="I239" s="127"/>
      <c r="J239" s="127"/>
      <c r="K239" s="127"/>
      <c r="L239" s="127"/>
      <c r="M239" s="127"/>
      <c r="N239" s="127"/>
      <c r="U239" s="218"/>
    </row>
    <row r="240" spans="1:27" ht="15" hidden="1" customHeight="1" x14ac:dyDescent="0.3">
      <c r="C240" s="127"/>
      <c r="D240" s="127"/>
      <c r="E240" s="127"/>
      <c r="F240" s="127"/>
      <c r="G240" s="127"/>
      <c r="H240" s="127" t="s">
        <v>65</v>
      </c>
      <c r="I240" s="234">
        <f>(H233)+(I233*2)</f>
        <v>7134</v>
      </c>
      <c r="J240" s="127"/>
      <c r="K240" s="127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</row>
    <row r="241" spans="3:14" ht="15" hidden="1" customHeight="1" x14ac:dyDescent="0.3"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</row>
    <row r="242" spans="3:14" x14ac:dyDescent="0.3">
      <c r="C242" s="127"/>
    </row>
  </sheetData>
  <dataConsolidate>
    <dataRefs count="1">
      <dataRef name="=suma($G$5:$G$9)" r:id="rId1"/>
    </dataRefs>
  </dataConsolidate>
  <mergeCells count="25">
    <mergeCell ref="B236:C236"/>
    <mergeCell ref="B224:G224"/>
    <mergeCell ref="P3:R3"/>
    <mergeCell ref="S224:T224"/>
    <mergeCell ref="O224:R224"/>
    <mergeCell ref="G3:G4"/>
    <mergeCell ref="A181:A185"/>
    <mergeCell ref="A188:A192"/>
    <mergeCell ref="B2:C2"/>
    <mergeCell ref="D2:E2"/>
    <mergeCell ref="B3:C3"/>
    <mergeCell ref="D3:E3"/>
    <mergeCell ref="U224:U225"/>
    <mergeCell ref="U3:U4"/>
    <mergeCell ref="O3:O4"/>
    <mergeCell ref="N3:N4"/>
    <mergeCell ref="F3:F4"/>
    <mergeCell ref="H224:M224"/>
    <mergeCell ref="H3:H4"/>
    <mergeCell ref="J3:J4"/>
    <mergeCell ref="K3:K4"/>
    <mergeCell ref="L3:L4"/>
    <mergeCell ref="M3:M4"/>
    <mergeCell ref="I3:I4"/>
    <mergeCell ref="S3:T3"/>
  </mergeCells>
  <conditionalFormatting sqref="D12:D17 D117:E122">
    <cfRule type="expression" dxfId="35" priority="356">
      <formula>AND($B12&lt;&gt;$D12)</formula>
    </cfRule>
  </conditionalFormatting>
  <conditionalFormatting sqref="E12:E17">
    <cfRule type="expression" dxfId="34" priority="230">
      <formula>AND($C12&lt;&gt;$E12)</formula>
    </cfRule>
  </conditionalFormatting>
  <conditionalFormatting sqref="D166:E171">
    <cfRule type="expression" dxfId="33" priority="138">
      <formula>AND($B166&lt;&gt;$D166)</formula>
    </cfRule>
  </conditionalFormatting>
  <conditionalFormatting sqref="D110:E115">
    <cfRule type="expression" dxfId="32" priority="118">
      <formula>AND($B110&lt;&gt;$D110)</formula>
    </cfRule>
  </conditionalFormatting>
  <conditionalFormatting sqref="D209:E213 D208">
    <cfRule type="expression" dxfId="31" priority="77">
      <formula>AND($B208&lt;&gt;$D208)</formula>
    </cfRule>
  </conditionalFormatting>
  <conditionalFormatting sqref="D19:D24">
    <cfRule type="expression" dxfId="30" priority="76">
      <formula>AND($B19&lt;&gt;$D19)</formula>
    </cfRule>
  </conditionalFormatting>
  <conditionalFormatting sqref="E19:E24">
    <cfRule type="expression" dxfId="29" priority="75">
      <formula>AND($C19&lt;&gt;$E19)</formula>
    </cfRule>
  </conditionalFormatting>
  <conditionalFormatting sqref="D61:E66">
    <cfRule type="expression" dxfId="28" priority="72">
      <formula>AND($B61&lt;&gt;$D61)</formula>
    </cfRule>
  </conditionalFormatting>
  <conditionalFormatting sqref="D159:E164">
    <cfRule type="expression" dxfId="27" priority="68">
      <formula>AND($B159&lt;&gt;$D159)</formula>
    </cfRule>
  </conditionalFormatting>
  <conditionalFormatting sqref="D26:E31">
    <cfRule type="expression" dxfId="26" priority="65">
      <formula>AND($B26&lt;&gt;$D26)</formula>
    </cfRule>
  </conditionalFormatting>
  <conditionalFormatting sqref="E208">
    <cfRule type="expression" dxfId="25" priority="27">
      <formula>AND($B208&lt;&gt;$D208)</formula>
    </cfRule>
  </conditionalFormatting>
  <conditionalFormatting sqref="D75:E80">
    <cfRule type="expression" dxfId="24" priority="26">
      <formula>AND($B75&lt;&gt;$D75)</formula>
    </cfRule>
  </conditionalFormatting>
  <conditionalFormatting sqref="D68:E73">
    <cfRule type="expression" dxfId="23" priority="25">
      <formula>AND($B68&lt;&gt;$D68)</formula>
    </cfRule>
  </conditionalFormatting>
  <conditionalFormatting sqref="D173:E178">
    <cfRule type="expression" dxfId="22" priority="24">
      <formula>AND($B173&lt;&gt;$D173)</formula>
    </cfRule>
  </conditionalFormatting>
  <conditionalFormatting sqref="D5:D10">
    <cfRule type="expression" dxfId="21" priority="23">
      <formula>AND($B5&lt;&gt;$D5)</formula>
    </cfRule>
  </conditionalFormatting>
  <conditionalFormatting sqref="E5:E10">
    <cfRule type="expression" dxfId="20" priority="22">
      <formula>AND($C5&lt;&gt;$E5)</formula>
    </cfRule>
  </conditionalFormatting>
  <conditionalFormatting sqref="D40:E45">
    <cfRule type="expression" dxfId="19" priority="21">
      <formula>AND($B40&lt;&gt;$D40)</formula>
    </cfRule>
  </conditionalFormatting>
  <conditionalFormatting sqref="D33:E38">
    <cfRule type="expression" dxfId="18" priority="20">
      <formula>AND($B33&lt;&gt;$D33)</formula>
    </cfRule>
  </conditionalFormatting>
  <conditionalFormatting sqref="D47:E52">
    <cfRule type="expression" dxfId="17" priority="19">
      <formula>AND($B47&lt;&gt;$D47)</formula>
    </cfRule>
  </conditionalFormatting>
  <conditionalFormatting sqref="D54:E59">
    <cfRule type="expression" dxfId="16" priority="18">
      <formula>AND($B54&lt;&gt;$D54)</formula>
    </cfRule>
  </conditionalFormatting>
  <conditionalFormatting sqref="D82:E87">
    <cfRule type="expression" dxfId="15" priority="17">
      <formula>AND($B82&lt;&gt;$D82)</formula>
    </cfRule>
  </conditionalFormatting>
  <conditionalFormatting sqref="D89:E94">
    <cfRule type="expression" dxfId="14" priority="16">
      <formula>AND($B89&lt;&gt;$D89)</formula>
    </cfRule>
  </conditionalFormatting>
  <conditionalFormatting sqref="D96:E101">
    <cfRule type="expression" dxfId="13" priority="15">
      <formula>AND($B96&lt;&gt;$D96)</formula>
    </cfRule>
  </conditionalFormatting>
  <conditionalFormatting sqref="D103:E108">
    <cfRule type="expression" dxfId="12" priority="14">
      <formula>AND($B103&lt;&gt;$D103)</formula>
    </cfRule>
  </conditionalFormatting>
  <conditionalFormatting sqref="D124:E129">
    <cfRule type="expression" dxfId="11" priority="13">
      <formula>AND($B124&lt;&gt;$D124)</formula>
    </cfRule>
  </conditionalFormatting>
  <conditionalFormatting sqref="D138:E143">
    <cfRule type="expression" dxfId="10" priority="12">
      <formula>AND($B138&lt;&gt;$D138)</formula>
    </cfRule>
  </conditionalFormatting>
  <conditionalFormatting sqref="D131:E136">
    <cfRule type="expression" dxfId="9" priority="11">
      <formula>AND($B131&lt;&gt;$D131)</formula>
    </cfRule>
  </conditionalFormatting>
  <conditionalFormatting sqref="D145:E150">
    <cfRule type="expression" dxfId="8" priority="10">
      <formula>AND($B145&lt;&gt;$D145)</formula>
    </cfRule>
  </conditionalFormatting>
  <conditionalFormatting sqref="D152:E157">
    <cfRule type="expression" dxfId="7" priority="9">
      <formula>AND($B152&lt;&gt;$D152)</formula>
    </cfRule>
  </conditionalFormatting>
  <conditionalFormatting sqref="D187:E192">
    <cfRule type="expression" dxfId="6" priority="8">
      <formula>AND($B187&lt;&gt;$D187)</formula>
    </cfRule>
  </conditionalFormatting>
  <conditionalFormatting sqref="D180:E185">
    <cfRule type="expression" dxfId="5" priority="7">
      <formula>AND($B180&lt;&gt;$D180)</formula>
    </cfRule>
  </conditionalFormatting>
  <conditionalFormatting sqref="D195:E199 D194">
    <cfRule type="expression" dxfId="4" priority="6">
      <formula>AND($B194&lt;&gt;$D194)</formula>
    </cfRule>
  </conditionalFormatting>
  <conditionalFormatting sqref="E194">
    <cfRule type="expression" dxfId="3" priority="5">
      <formula>AND($B194&lt;&gt;$D194)</formula>
    </cfRule>
  </conditionalFormatting>
  <conditionalFormatting sqref="D202:E206 D201">
    <cfRule type="expression" dxfId="2" priority="4">
      <formula>AND($B201&lt;&gt;$D201)</formula>
    </cfRule>
  </conditionalFormatting>
  <conditionalFormatting sqref="E201">
    <cfRule type="expression" dxfId="1" priority="3">
      <formula>AND($B201&lt;&gt;$D201)</formula>
    </cfRule>
  </conditionalFormatting>
  <conditionalFormatting sqref="D215:E220">
    <cfRule type="expression" dxfId="0" priority="1">
      <formula>AND($B215&lt;&gt;$D215)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1"/>
  <sheetViews>
    <sheetView zoomScaleNormal="100" workbookViewId="0">
      <selection activeCell="C42" sqref="C42"/>
    </sheetView>
  </sheetViews>
  <sheetFormatPr baseColWidth="10" defaultColWidth="15.109375" defaultRowHeight="14.4" x14ac:dyDescent="0.3"/>
  <cols>
    <col min="1" max="1" width="39.33203125" customWidth="1"/>
    <col min="2" max="2" width="15.33203125" customWidth="1"/>
    <col min="3" max="21" width="10.6640625" customWidth="1"/>
    <col min="22" max="22" width="10.88671875" customWidth="1"/>
    <col min="23" max="30" width="10.6640625" customWidth="1"/>
    <col min="31" max="31" width="11.33203125" customWidth="1"/>
    <col min="32" max="32" width="10.6640625" customWidth="1"/>
    <col min="33" max="33" width="10.109375" bestFit="1" customWidth="1"/>
  </cols>
  <sheetData>
    <row r="1" spans="1:33" ht="24" x14ac:dyDescent="0.5">
      <c r="A1" s="130" t="s">
        <v>176</v>
      </c>
      <c r="B1" s="78"/>
    </row>
    <row r="3" spans="1:33" x14ac:dyDescent="0.3">
      <c r="A3" s="79"/>
      <c r="B3" s="79"/>
      <c r="C3" s="94">
        <v>45566</v>
      </c>
      <c r="D3" s="94">
        <v>45567</v>
      </c>
      <c r="E3" s="94">
        <v>45568</v>
      </c>
      <c r="F3" s="94">
        <v>45569</v>
      </c>
      <c r="G3" s="94">
        <v>45570</v>
      </c>
      <c r="H3" s="94">
        <v>45571</v>
      </c>
      <c r="I3" s="94">
        <v>45572</v>
      </c>
      <c r="J3" s="94">
        <v>45573</v>
      </c>
      <c r="K3" s="94">
        <v>45574</v>
      </c>
      <c r="L3" s="94">
        <v>45575</v>
      </c>
      <c r="M3" s="94">
        <v>45576</v>
      </c>
      <c r="N3" s="94">
        <v>45577</v>
      </c>
      <c r="O3" s="94">
        <v>45578</v>
      </c>
      <c r="P3" s="94">
        <v>45579</v>
      </c>
      <c r="Q3" s="94">
        <v>45580</v>
      </c>
      <c r="R3" s="94">
        <v>45581</v>
      </c>
      <c r="S3" s="94">
        <v>45582</v>
      </c>
      <c r="T3" s="94">
        <v>45583</v>
      </c>
      <c r="U3" s="94">
        <v>45584</v>
      </c>
      <c r="V3" s="94">
        <v>45585</v>
      </c>
      <c r="W3" s="94">
        <v>45586</v>
      </c>
      <c r="X3" s="94">
        <v>45587</v>
      </c>
      <c r="Y3" s="94">
        <v>45588</v>
      </c>
      <c r="Z3" s="94">
        <v>45589</v>
      </c>
      <c r="AA3" s="94">
        <v>45590</v>
      </c>
      <c r="AB3" s="94">
        <v>45591</v>
      </c>
      <c r="AC3" s="94">
        <v>45592</v>
      </c>
      <c r="AD3" s="94">
        <v>45593</v>
      </c>
      <c r="AE3" s="94">
        <v>45594</v>
      </c>
      <c r="AF3" s="94">
        <v>45595</v>
      </c>
      <c r="AG3" s="94">
        <v>45596</v>
      </c>
    </row>
    <row r="4" spans="1:33" x14ac:dyDescent="0.3">
      <c r="A4" s="80" t="s">
        <v>85</v>
      </c>
      <c r="B4" s="81" t="s">
        <v>86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</row>
    <row r="5" spans="1:33" s="86" customFormat="1" ht="13.8" x14ac:dyDescent="0.25">
      <c r="A5" s="82" t="s">
        <v>74</v>
      </c>
      <c r="B5" s="83">
        <v>43.13</v>
      </c>
      <c r="C5" s="96">
        <f>'Data Ocupacion'!D41</f>
        <v>83</v>
      </c>
      <c r="D5" s="96">
        <f>'Data Ocupacion'!F41</f>
        <v>83</v>
      </c>
      <c r="E5" s="96">
        <f>'Data Ocupacion'!H41</f>
        <v>84</v>
      </c>
      <c r="F5" s="96">
        <f>'Data Ocupacion'!J41</f>
        <v>83</v>
      </c>
      <c r="G5" s="96">
        <f>'Data Ocupacion'!L41</f>
        <v>72</v>
      </c>
      <c r="H5" s="96">
        <f>'Data Ocupacion'!N41</f>
        <v>54</v>
      </c>
      <c r="I5" s="96">
        <f>'Data Ocupacion'!P41</f>
        <v>83</v>
      </c>
      <c r="J5" s="96">
        <f>'Data Ocupacion'!R41</f>
        <v>83</v>
      </c>
      <c r="K5" s="96">
        <f>'Data Ocupacion'!T41</f>
        <v>83</v>
      </c>
      <c r="L5" s="96">
        <f>'Data Ocupacion'!V41</f>
        <v>83</v>
      </c>
      <c r="M5" s="96">
        <f>'Data Ocupacion'!X41</f>
        <v>83</v>
      </c>
      <c r="N5" s="96">
        <f>'Data Ocupacion'!Z41</f>
        <v>54</v>
      </c>
      <c r="O5" s="96">
        <f>'Data Ocupacion'!AB41</f>
        <v>54</v>
      </c>
      <c r="P5" s="96">
        <f>'Data Ocupacion'!AD41</f>
        <v>83</v>
      </c>
      <c r="Q5" s="96">
        <f>'Data Ocupacion'!AF41</f>
        <v>83</v>
      </c>
      <c r="R5" s="96">
        <f>'Data Ocupacion'!AH41</f>
        <v>83</v>
      </c>
      <c r="S5" s="96">
        <f>'Data Ocupacion'!AJ41</f>
        <v>83</v>
      </c>
      <c r="T5" s="96">
        <f>'Data Ocupacion'!AL41</f>
        <v>83</v>
      </c>
      <c r="U5" s="96">
        <f>'Data Ocupacion'!AN41</f>
        <v>72</v>
      </c>
      <c r="V5" s="96">
        <f>'Data Ocupacion'!AP41</f>
        <v>54</v>
      </c>
      <c r="W5" s="96">
        <f>'Data Ocupacion'!AR41</f>
        <v>83</v>
      </c>
      <c r="X5" s="96">
        <f>'Data Ocupacion'!AT41</f>
        <v>83</v>
      </c>
      <c r="Y5" s="96">
        <f>'Data Ocupacion'!AV41</f>
        <v>83</v>
      </c>
      <c r="Z5" s="96">
        <f>'Data Ocupacion'!AX41</f>
        <v>83</v>
      </c>
      <c r="AA5" s="96">
        <f>'Data Ocupacion'!AZ41</f>
        <v>84</v>
      </c>
      <c r="AB5" s="96">
        <f>'Data Ocupacion'!BB41</f>
        <v>75</v>
      </c>
      <c r="AC5" s="96">
        <f>'Data Ocupacion'!BD41</f>
        <v>74</v>
      </c>
      <c r="AD5" s="96">
        <f>'Data Ocupacion'!BF41</f>
        <v>83</v>
      </c>
      <c r="AE5" s="96">
        <f>'Data Ocupacion'!BH41</f>
        <v>83</v>
      </c>
      <c r="AF5" s="96">
        <f>'Data Ocupacion'!BJ41</f>
        <v>83</v>
      </c>
      <c r="AG5" s="96">
        <f>'Data Ocupacion'!BL41</f>
        <v>54</v>
      </c>
    </row>
    <row r="6" spans="1:33" s="86" customFormat="1" ht="13.8" x14ac:dyDescent="0.25">
      <c r="A6" s="82" t="s">
        <v>77</v>
      </c>
      <c r="B6" s="83">
        <v>43.13</v>
      </c>
      <c r="C6" s="96">
        <f>'Data Ocupacion'!D42</f>
        <v>79</v>
      </c>
      <c r="D6" s="96">
        <f>'Data Ocupacion'!F42</f>
        <v>79</v>
      </c>
      <c r="E6" s="96">
        <f>'Data Ocupacion'!H42</f>
        <v>79</v>
      </c>
      <c r="F6" s="96">
        <f>'Data Ocupacion'!J42</f>
        <v>79</v>
      </c>
      <c r="G6" s="96">
        <f>'Data Ocupacion'!L42</f>
        <v>75</v>
      </c>
      <c r="H6" s="96">
        <f>'Data Ocupacion'!N42</f>
        <v>57</v>
      </c>
      <c r="I6" s="96">
        <f>'Data Ocupacion'!P42</f>
        <v>79</v>
      </c>
      <c r="J6" s="96">
        <f>'Data Ocupacion'!R42</f>
        <v>79</v>
      </c>
      <c r="K6" s="96">
        <f>'Data Ocupacion'!T42</f>
        <v>79</v>
      </c>
      <c r="L6" s="96">
        <f>'Data Ocupacion'!V42</f>
        <v>79</v>
      </c>
      <c r="M6" s="96">
        <f>'Data Ocupacion'!X42</f>
        <v>79</v>
      </c>
      <c r="N6" s="96">
        <f>'Data Ocupacion'!Z42</f>
        <v>57</v>
      </c>
      <c r="O6" s="96">
        <f>'Data Ocupacion'!AB42</f>
        <v>57</v>
      </c>
      <c r="P6" s="96">
        <f>'Data Ocupacion'!AD42</f>
        <v>79</v>
      </c>
      <c r="Q6" s="96">
        <f>'Data Ocupacion'!AF42</f>
        <v>79</v>
      </c>
      <c r="R6" s="96">
        <f>'Data Ocupacion'!AH42</f>
        <v>79</v>
      </c>
      <c r="S6" s="96">
        <f>'Data Ocupacion'!AJ42</f>
        <v>79</v>
      </c>
      <c r="T6" s="96">
        <f>'Data Ocupacion'!AL42</f>
        <v>79</v>
      </c>
      <c r="U6" s="96">
        <f>'Data Ocupacion'!AN42</f>
        <v>75</v>
      </c>
      <c r="V6" s="96">
        <f>'Data Ocupacion'!AP42</f>
        <v>57</v>
      </c>
      <c r="W6" s="96">
        <f>'Data Ocupacion'!AR42</f>
        <v>79</v>
      </c>
      <c r="X6" s="96">
        <f>'Data Ocupacion'!AT42</f>
        <v>79</v>
      </c>
      <c r="Y6" s="96">
        <f>'Data Ocupacion'!AV42</f>
        <v>79</v>
      </c>
      <c r="Z6" s="96">
        <f>'Data Ocupacion'!AX42</f>
        <v>79</v>
      </c>
      <c r="AA6" s="96">
        <f>'Data Ocupacion'!AZ42</f>
        <v>79</v>
      </c>
      <c r="AB6" s="96">
        <f>'Data Ocupacion'!BB42</f>
        <v>75</v>
      </c>
      <c r="AC6" s="96">
        <f>'Data Ocupacion'!BD42</f>
        <v>74</v>
      </c>
      <c r="AD6" s="96">
        <f>'Data Ocupacion'!BF42</f>
        <v>79</v>
      </c>
      <c r="AE6" s="96">
        <f>'Data Ocupacion'!BH42</f>
        <v>79</v>
      </c>
      <c r="AF6" s="96">
        <f>'Data Ocupacion'!BJ42</f>
        <v>79</v>
      </c>
      <c r="AG6" s="96">
        <f>'Data Ocupacion'!BL42</f>
        <v>57</v>
      </c>
    </row>
    <row r="7" spans="1:33" s="86" customFormat="1" ht="13.8" x14ac:dyDescent="0.25">
      <c r="A7" s="82" t="s">
        <v>73</v>
      </c>
      <c r="B7" s="83">
        <v>29.11</v>
      </c>
      <c r="C7" s="96">
        <f>'Data Ocupacion'!D43</f>
        <v>2</v>
      </c>
      <c r="D7" s="96">
        <f>'Data Ocupacion'!F43</f>
        <v>2</v>
      </c>
      <c r="E7" s="96">
        <f>'Data Ocupacion'!H43</f>
        <v>2</v>
      </c>
      <c r="F7" s="96">
        <f>'Data Ocupacion'!J43</f>
        <v>2</v>
      </c>
      <c r="G7" s="96">
        <f>'Data Ocupacion'!L43</f>
        <v>0</v>
      </c>
      <c r="H7" s="96">
        <f>'Data Ocupacion'!N43</f>
        <v>0</v>
      </c>
      <c r="I7" s="96">
        <f>'Data Ocupacion'!P43</f>
        <v>2</v>
      </c>
      <c r="J7" s="96">
        <f>'Data Ocupacion'!R43</f>
        <v>2</v>
      </c>
      <c r="K7" s="96">
        <f>'Data Ocupacion'!T43</f>
        <v>2</v>
      </c>
      <c r="L7" s="96">
        <f>'Data Ocupacion'!V43</f>
        <v>2</v>
      </c>
      <c r="M7" s="96">
        <f>'Data Ocupacion'!X43</f>
        <v>2</v>
      </c>
      <c r="N7" s="96">
        <f>'Data Ocupacion'!Z43</f>
        <v>0</v>
      </c>
      <c r="O7" s="96">
        <f>'Data Ocupacion'!AB43</f>
        <v>0</v>
      </c>
      <c r="P7" s="96">
        <f>'Data Ocupacion'!AD43</f>
        <v>2</v>
      </c>
      <c r="Q7" s="96">
        <f>'Data Ocupacion'!AF43</f>
        <v>2</v>
      </c>
      <c r="R7" s="96">
        <f>'Data Ocupacion'!AH43</f>
        <v>2</v>
      </c>
      <c r="S7" s="96">
        <f>'Data Ocupacion'!AJ43</f>
        <v>2</v>
      </c>
      <c r="T7" s="96">
        <f>'Data Ocupacion'!AL43</f>
        <v>2</v>
      </c>
      <c r="U7" s="96">
        <f>'Data Ocupacion'!AN43</f>
        <v>0</v>
      </c>
      <c r="V7" s="96">
        <f>'Data Ocupacion'!AP43</f>
        <v>0</v>
      </c>
      <c r="W7" s="96">
        <f>'Data Ocupacion'!AR43</f>
        <v>2</v>
      </c>
      <c r="X7" s="96">
        <f>'Data Ocupacion'!AT43</f>
        <v>2</v>
      </c>
      <c r="Y7" s="96">
        <f>'Data Ocupacion'!AV43</f>
        <v>2</v>
      </c>
      <c r="Z7" s="96">
        <f>'Data Ocupacion'!AX43</f>
        <v>2</v>
      </c>
      <c r="AA7" s="96">
        <f>'Data Ocupacion'!AZ43</f>
        <v>2</v>
      </c>
      <c r="AB7" s="96">
        <f>'Data Ocupacion'!BB43</f>
        <v>0</v>
      </c>
      <c r="AC7" s="96">
        <f>'Data Ocupacion'!BD43</f>
        <v>0</v>
      </c>
      <c r="AD7" s="96">
        <f>'Data Ocupacion'!BF43</f>
        <v>2</v>
      </c>
      <c r="AE7" s="96">
        <f>'Data Ocupacion'!BH43</f>
        <v>2</v>
      </c>
      <c r="AF7" s="96">
        <f>'Data Ocupacion'!BJ43</f>
        <v>2</v>
      </c>
      <c r="AG7" s="96">
        <f>'Data Ocupacion'!BL43</f>
        <v>0</v>
      </c>
    </row>
    <row r="8" spans="1:33" s="86" customFormat="1" ht="13.8" x14ac:dyDescent="0.25">
      <c r="A8" s="82" t="s">
        <v>75</v>
      </c>
      <c r="B8" s="83">
        <v>29.11</v>
      </c>
      <c r="C8" s="96">
        <f>'Data Ocupacion'!D44</f>
        <v>3</v>
      </c>
      <c r="D8" s="96">
        <f>'Data Ocupacion'!F44</f>
        <v>3</v>
      </c>
      <c r="E8" s="96">
        <f>'Data Ocupacion'!H44</f>
        <v>3</v>
      </c>
      <c r="F8" s="96">
        <f>'Data Ocupacion'!J44</f>
        <v>3</v>
      </c>
      <c r="G8" s="96">
        <f>'Data Ocupacion'!L44</f>
        <v>0</v>
      </c>
      <c r="H8" s="96">
        <f>'Data Ocupacion'!N44</f>
        <v>0</v>
      </c>
      <c r="I8" s="96">
        <f>'Data Ocupacion'!P44</f>
        <v>3</v>
      </c>
      <c r="J8" s="96">
        <f>'Data Ocupacion'!R44</f>
        <v>3</v>
      </c>
      <c r="K8" s="96">
        <f>'Data Ocupacion'!T44</f>
        <v>3</v>
      </c>
      <c r="L8" s="96">
        <f>'Data Ocupacion'!V44</f>
        <v>3</v>
      </c>
      <c r="M8" s="96">
        <f>'Data Ocupacion'!X44</f>
        <v>3</v>
      </c>
      <c r="N8" s="96">
        <f>'Data Ocupacion'!Z44</f>
        <v>0</v>
      </c>
      <c r="O8" s="96">
        <f>'Data Ocupacion'!AB44</f>
        <v>0</v>
      </c>
      <c r="P8" s="96">
        <f>'Data Ocupacion'!AD44</f>
        <v>3</v>
      </c>
      <c r="Q8" s="96">
        <f>'Data Ocupacion'!AF44</f>
        <v>3</v>
      </c>
      <c r="R8" s="96">
        <f>'Data Ocupacion'!AH44</f>
        <v>3</v>
      </c>
      <c r="S8" s="96">
        <f>'Data Ocupacion'!AJ44</f>
        <v>3</v>
      </c>
      <c r="T8" s="96">
        <f>'Data Ocupacion'!AL44</f>
        <v>3</v>
      </c>
      <c r="U8" s="96">
        <f>'Data Ocupacion'!AN44</f>
        <v>0</v>
      </c>
      <c r="V8" s="96">
        <f>'Data Ocupacion'!AP44</f>
        <v>0</v>
      </c>
      <c r="W8" s="96">
        <f>'Data Ocupacion'!AR44</f>
        <v>3</v>
      </c>
      <c r="X8" s="96">
        <f>'Data Ocupacion'!AT44</f>
        <v>3</v>
      </c>
      <c r="Y8" s="96">
        <f>'Data Ocupacion'!AV44</f>
        <v>3</v>
      </c>
      <c r="Z8" s="96">
        <f>'Data Ocupacion'!AX44</f>
        <v>3</v>
      </c>
      <c r="AA8" s="96">
        <f>'Data Ocupacion'!AZ44</f>
        <v>3</v>
      </c>
      <c r="AB8" s="96">
        <f>'Data Ocupacion'!BB44</f>
        <v>0</v>
      </c>
      <c r="AC8" s="96">
        <f>'Data Ocupacion'!BD44</f>
        <v>0</v>
      </c>
      <c r="AD8" s="96">
        <f>'Data Ocupacion'!BF44</f>
        <v>3</v>
      </c>
      <c r="AE8" s="96">
        <f>'Data Ocupacion'!BH44</f>
        <v>3</v>
      </c>
      <c r="AF8" s="96">
        <f>'Data Ocupacion'!BJ44</f>
        <v>3</v>
      </c>
      <c r="AG8" s="96">
        <f>'Data Ocupacion'!BL44</f>
        <v>0</v>
      </c>
    </row>
    <row r="9" spans="1:33" s="86" customFormat="1" ht="13.8" x14ac:dyDescent="0.25">
      <c r="A9" s="82" t="s">
        <v>123</v>
      </c>
      <c r="B9" s="83">
        <v>25.4</v>
      </c>
      <c r="C9" s="96">
        <f>'Data Ocupacion'!D45</f>
        <v>0</v>
      </c>
      <c r="D9" s="96">
        <f>'Data Ocupacion'!F45</f>
        <v>0</v>
      </c>
      <c r="E9" s="96">
        <f>'Data Ocupacion'!H45</f>
        <v>0</v>
      </c>
      <c r="F9" s="96">
        <f>'Data Ocupacion'!J45</f>
        <v>0</v>
      </c>
      <c r="G9" s="96">
        <f>'Data Ocupacion'!L45</f>
        <v>0</v>
      </c>
      <c r="H9" s="96">
        <f>'Data Ocupacion'!N45</f>
        <v>0</v>
      </c>
      <c r="I9" s="96">
        <f>'Data Ocupacion'!P45</f>
        <v>0</v>
      </c>
      <c r="J9" s="96">
        <f>'Data Ocupacion'!R45</f>
        <v>0</v>
      </c>
      <c r="K9" s="96">
        <f>'Data Ocupacion'!T45</f>
        <v>0</v>
      </c>
      <c r="L9" s="96">
        <f>'Data Ocupacion'!V45</f>
        <v>0</v>
      </c>
      <c r="M9" s="96">
        <f>'Data Ocupacion'!X45</f>
        <v>0</v>
      </c>
      <c r="N9" s="96">
        <f>'Data Ocupacion'!Z45</f>
        <v>0</v>
      </c>
      <c r="O9" s="96">
        <f>'Data Ocupacion'!AB45</f>
        <v>0</v>
      </c>
      <c r="P9" s="96">
        <f>'Data Ocupacion'!AD45</f>
        <v>0</v>
      </c>
      <c r="Q9" s="96">
        <f>'Data Ocupacion'!AF45</f>
        <v>0</v>
      </c>
      <c r="R9" s="96">
        <f>'Data Ocupacion'!AH45</f>
        <v>0</v>
      </c>
      <c r="S9" s="96">
        <f>'Data Ocupacion'!AJ45</f>
        <v>0</v>
      </c>
      <c r="T9" s="96">
        <f>'Data Ocupacion'!AL45</f>
        <v>0</v>
      </c>
      <c r="U9" s="96">
        <f>'Data Ocupacion'!AN45</f>
        <v>0</v>
      </c>
      <c r="V9" s="96">
        <f>'Data Ocupacion'!AP45</f>
        <v>0</v>
      </c>
      <c r="W9" s="96">
        <f>'Data Ocupacion'!AR45</f>
        <v>0</v>
      </c>
      <c r="X9" s="96">
        <f>'Data Ocupacion'!AT45</f>
        <v>0</v>
      </c>
      <c r="Y9" s="96">
        <f>'Data Ocupacion'!AV45</f>
        <v>0</v>
      </c>
      <c r="Z9" s="96">
        <f>'Data Ocupacion'!AX45</f>
        <v>0</v>
      </c>
      <c r="AA9" s="96">
        <f>'Data Ocupacion'!AZ45</f>
        <v>0</v>
      </c>
      <c r="AB9" s="96">
        <f>'Data Ocupacion'!BB45</f>
        <v>0</v>
      </c>
      <c r="AC9" s="96">
        <f>'Data Ocupacion'!BD45</f>
        <v>0</v>
      </c>
      <c r="AD9" s="96">
        <f>'Data Ocupacion'!BF45</f>
        <v>0</v>
      </c>
      <c r="AE9" s="96">
        <f>'Data Ocupacion'!BH45</f>
        <v>0</v>
      </c>
      <c r="AF9" s="96">
        <f>'Data Ocupacion'!BJ45</f>
        <v>0</v>
      </c>
      <c r="AG9" s="96">
        <f>'Data Ocupacion'!BL45</f>
        <v>0</v>
      </c>
    </row>
    <row r="10" spans="1:33" s="86" customFormat="1" ht="13.8" x14ac:dyDescent="0.25">
      <c r="A10" s="221" t="s">
        <v>76</v>
      </c>
      <c r="B10" s="83">
        <v>25.4</v>
      </c>
      <c r="C10" s="96">
        <f>'Data Ocupacion'!D46</f>
        <v>3</v>
      </c>
      <c r="D10" s="96">
        <f>'Data Ocupacion'!F46</f>
        <v>3</v>
      </c>
      <c r="E10" s="96">
        <f>'Data Ocupacion'!H46</f>
        <v>3</v>
      </c>
      <c r="F10" s="96">
        <f>'Data Ocupacion'!J46</f>
        <v>3</v>
      </c>
      <c r="G10" s="96">
        <f>'Data Ocupacion'!L46</f>
        <v>0</v>
      </c>
      <c r="H10" s="96">
        <f>'Data Ocupacion'!N46</f>
        <v>0</v>
      </c>
      <c r="I10" s="96">
        <f>'Data Ocupacion'!P46</f>
        <v>3</v>
      </c>
      <c r="J10" s="96">
        <f>'Data Ocupacion'!R46</f>
        <v>3</v>
      </c>
      <c r="K10" s="96">
        <f>'Data Ocupacion'!T46</f>
        <v>3</v>
      </c>
      <c r="L10" s="96">
        <f>'Data Ocupacion'!V46</f>
        <v>3</v>
      </c>
      <c r="M10" s="96">
        <f>'Data Ocupacion'!X46</f>
        <v>3</v>
      </c>
      <c r="N10" s="96">
        <f>'Data Ocupacion'!Z46</f>
        <v>0</v>
      </c>
      <c r="O10" s="96">
        <f>'Data Ocupacion'!AB46</f>
        <v>0</v>
      </c>
      <c r="P10" s="96">
        <f>'Data Ocupacion'!AD46</f>
        <v>3</v>
      </c>
      <c r="Q10" s="96">
        <f>'Data Ocupacion'!AF46</f>
        <v>3</v>
      </c>
      <c r="R10" s="96">
        <f>'Data Ocupacion'!AH46</f>
        <v>3</v>
      </c>
      <c r="S10" s="96">
        <f>'Data Ocupacion'!AJ46</f>
        <v>3</v>
      </c>
      <c r="T10" s="96">
        <f>'Data Ocupacion'!AL46</f>
        <v>3</v>
      </c>
      <c r="U10" s="96">
        <f>'Data Ocupacion'!AN46</f>
        <v>0</v>
      </c>
      <c r="V10" s="96">
        <f>'Data Ocupacion'!AP46</f>
        <v>0</v>
      </c>
      <c r="W10" s="96">
        <f>'Data Ocupacion'!AR46</f>
        <v>3</v>
      </c>
      <c r="X10" s="96">
        <f>'Data Ocupacion'!AT46</f>
        <v>3</v>
      </c>
      <c r="Y10" s="96">
        <f>'Data Ocupacion'!AV46</f>
        <v>3</v>
      </c>
      <c r="Z10" s="96">
        <f>'Data Ocupacion'!AX46</f>
        <v>3</v>
      </c>
      <c r="AA10" s="96">
        <f>'Data Ocupacion'!AZ46</f>
        <v>3</v>
      </c>
      <c r="AB10" s="96">
        <f>'Data Ocupacion'!BB46</f>
        <v>0</v>
      </c>
      <c r="AC10" s="96">
        <f>'Data Ocupacion'!BD46</f>
        <v>0</v>
      </c>
      <c r="AD10" s="96">
        <f>'Data Ocupacion'!BF46</f>
        <v>3</v>
      </c>
      <c r="AE10" s="96">
        <f>'Data Ocupacion'!BH46</f>
        <v>3</v>
      </c>
      <c r="AF10" s="96">
        <f>'Data Ocupacion'!BJ46</f>
        <v>3</v>
      </c>
      <c r="AG10" s="96">
        <f>'Data Ocupacion'!BL46</f>
        <v>0</v>
      </c>
    </row>
    <row r="11" spans="1:33" s="86" customFormat="1" ht="14.25" customHeight="1" x14ac:dyDescent="0.25">
      <c r="A11" s="221" t="s">
        <v>168</v>
      </c>
      <c r="B11" s="251">
        <v>11.7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Z11" s="96"/>
      <c r="AB11" s="96"/>
      <c r="AC11" s="96"/>
      <c r="AD11" s="96"/>
      <c r="AE11" s="96"/>
      <c r="AF11" s="96"/>
      <c r="AG11" s="96"/>
    </row>
    <row r="12" spans="1:33" s="86" customFormat="1" ht="14.25" customHeight="1" x14ac:dyDescent="0.25">
      <c r="A12" s="221" t="s">
        <v>169</v>
      </c>
      <c r="B12" s="251">
        <v>11.7</v>
      </c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Z12" s="96"/>
      <c r="AB12" s="96"/>
      <c r="AC12" s="96"/>
      <c r="AD12" s="96"/>
      <c r="AE12" s="96"/>
      <c r="AF12" s="96"/>
      <c r="AG12" s="96"/>
    </row>
    <row r="13" spans="1:33" s="86" customFormat="1" ht="14.25" customHeight="1" x14ac:dyDescent="0.25">
      <c r="A13" s="221" t="s">
        <v>170</v>
      </c>
      <c r="B13" s="251">
        <v>21.7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Z13" s="96"/>
      <c r="AB13" s="96"/>
      <c r="AC13" s="96"/>
      <c r="AD13" s="96"/>
      <c r="AE13" s="96"/>
      <c r="AF13" s="96"/>
      <c r="AG13" s="96"/>
    </row>
    <row r="14" spans="1:33" s="86" customFormat="1" ht="14.25" customHeight="1" x14ac:dyDescent="0.25">
      <c r="A14" s="221" t="s">
        <v>171</v>
      </c>
      <c r="B14" s="251">
        <v>21.7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Z14" s="96"/>
      <c r="AB14" s="96"/>
      <c r="AC14" s="96"/>
      <c r="AD14" s="96"/>
      <c r="AE14" s="96"/>
      <c r="AF14" s="96"/>
      <c r="AG14" s="96"/>
    </row>
    <row r="15" spans="1:33" s="86" customFormat="1" ht="13.8" x14ac:dyDescent="0.25">
      <c r="A15" s="82"/>
      <c r="B15" s="83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T15" s="96"/>
      <c r="V15" s="96"/>
      <c r="X15" s="96"/>
      <c r="Z15" s="96"/>
      <c r="AB15" s="96"/>
      <c r="AD15" s="96"/>
      <c r="AE15" s="96"/>
      <c r="AF15" s="96"/>
      <c r="AG15" s="96"/>
    </row>
    <row r="16" spans="1:33" s="86" customFormat="1" ht="13.8" x14ac:dyDescent="0.25">
      <c r="A16" s="82" t="s">
        <v>87</v>
      </c>
      <c r="B16" s="83">
        <v>43.13</v>
      </c>
      <c r="C16" s="96">
        <f>'Data Ocupacion'!D49</f>
        <v>131</v>
      </c>
      <c r="D16" s="96">
        <f>'Data Ocupacion'!F49</f>
        <v>130</v>
      </c>
      <c r="E16" s="96">
        <f>'Data Ocupacion'!H49</f>
        <v>132</v>
      </c>
      <c r="F16" s="96">
        <f>'Data Ocupacion'!J49</f>
        <v>133</v>
      </c>
      <c r="G16" s="96">
        <f>'Data Ocupacion'!L49</f>
        <v>75</v>
      </c>
      <c r="H16" s="96">
        <f>'Data Ocupacion'!N49</f>
        <v>57</v>
      </c>
      <c r="I16" s="96">
        <f>'Data Ocupacion'!P49</f>
        <v>130</v>
      </c>
      <c r="J16" s="96">
        <f>'Data Ocupacion'!R49</f>
        <v>130</v>
      </c>
      <c r="K16" s="96">
        <f>'Data Ocupacion'!T49</f>
        <v>130</v>
      </c>
      <c r="L16" s="96">
        <f>'Data Ocupacion'!V49</f>
        <v>130</v>
      </c>
      <c r="M16" s="96">
        <f>'Data Ocupacion'!X49</f>
        <v>130</v>
      </c>
      <c r="N16" s="96">
        <f>'Data Ocupacion'!Z49</f>
        <v>56</v>
      </c>
      <c r="O16" s="96">
        <f>'Data Ocupacion'!AB49</f>
        <v>56</v>
      </c>
      <c r="P16" s="96">
        <f>'Data Ocupacion'!AD49</f>
        <v>131</v>
      </c>
      <c r="Q16" s="96">
        <f>'Data Ocupacion'!AF49</f>
        <v>131</v>
      </c>
      <c r="R16" s="96">
        <f>'Data Ocupacion'!AH49</f>
        <v>131</v>
      </c>
      <c r="S16" s="96">
        <f>'Data Ocupacion'!AJ49</f>
        <v>131</v>
      </c>
      <c r="T16" s="96">
        <f>'Data Ocupacion'!AL49</f>
        <v>130</v>
      </c>
      <c r="U16" s="96">
        <f>'Data Ocupacion'!AN49</f>
        <v>75</v>
      </c>
      <c r="V16" s="96">
        <f>'Data Ocupacion'!AP49</f>
        <v>57</v>
      </c>
      <c r="W16" s="96">
        <f>'Data Ocupacion'!AR49</f>
        <v>130</v>
      </c>
      <c r="X16" s="96">
        <f>'Data Ocupacion'!AT49</f>
        <v>130</v>
      </c>
      <c r="Y16" s="96">
        <f>'Data Ocupacion'!AV49</f>
        <v>130</v>
      </c>
      <c r="Z16" s="96">
        <f>'Data Ocupacion'!AX49</f>
        <v>130</v>
      </c>
      <c r="AA16" s="96">
        <f>'Data Ocupacion'!AZ49</f>
        <v>130</v>
      </c>
      <c r="AB16" s="96">
        <f>'Data Ocupacion'!BB49</f>
        <v>91</v>
      </c>
      <c r="AC16" s="96">
        <f>'Data Ocupacion'!BD49</f>
        <v>92</v>
      </c>
      <c r="AD16" s="96">
        <f>'Data Ocupacion'!BF49</f>
        <v>129</v>
      </c>
      <c r="AE16" s="96">
        <f>'Data Ocupacion'!BH49</f>
        <v>128</v>
      </c>
      <c r="AF16" s="96">
        <f>'Data Ocupacion'!BJ49</f>
        <v>129</v>
      </c>
      <c r="AG16" s="96">
        <f>'Data Ocupacion'!BL49</f>
        <v>57</v>
      </c>
    </row>
    <row r="17" spans="1:33" s="86" customFormat="1" ht="13.8" x14ac:dyDescent="0.25">
      <c r="A17" s="82" t="s">
        <v>88</v>
      </c>
      <c r="B17" s="83">
        <v>43.13</v>
      </c>
      <c r="C17" s="96">
        <f>'Data Ocupacion'!D50</f>
        <v>124</v>
      </c>
      <c r="D17" s="96">
        <f>'Data Ocupacion'!F50</f>
        <v>123</v>
      </c>
      <c r="E17" s="96">
        <f>'Data Ocupacion'!H50</f>
        <v>122</v>
      </c>
      <c r="F17" s="96">
        <f>'Data Ocupacion'!J50</f>
        <v>123</v>
      </c>
      <c r="G17" s="96">
        <f>'Data Ocupacion'!L50</f>
        <v>76</v>
      </c>
      <c r="H17" s="96">
        <f>'Data Ocupacion'!N50</f>
        <v>57</v>
      </c>
      <c r="I17" s="96">
        <f>'Data Ocupacion'!P50</f>
        <v>123</v>
      </c>
      <c r="J17" s="96">
        <f>'Data Ocupacion'!R50</f>
        <v>123</v>
      </c>
      <c r="K17" s="96">
        <f>'Data Ocupacion'!T50</f>
        <v>123</v>
      </c>
      <c r="L17" s="96">
        <f>'Data Ocupacion'!V50</f>
        <v>123</v>
      </c>
      <c r="M17" s="96">
        <f>'Data Ocupacion'!X50</f>
        <v>123</v>
      </c>
      <c r="N17" s="96">
        <f>'Data Ocupacion'!Z50</f>
        <v>57</v>
      </c>
      <c r="O17" s="96">
        <f>'Data Ocupacion'!AB50</f>
        <v>57</v>
      </c>
      <c r="P17" s="96">
        <f>'Data Ocupacion'!AD50</f>
        <v>123</v>
      </c>
      <c r="Q17" s="96">
        <f>'Data Ocupacion'!AF50</f>
        <v>123</v>
      </c>
      <c r="R17" s="96">
        <f>'Data Ocupacion'!AH50</f>
        <v>123</v>
      </c>
      <c r="S17" s="96">
        <f>'Data Ocupacion'!AJ50</f>
        <v>123</v>
      </c>
      <c r="T17" s="96">
        <f>'Data Ocupacion'!AL50</f>
        <v>123</v>
      </c>
      <c r="U17" s="96">
        <f>'Data Ocupacion'!AN50</f>
        <v>75</v>
      </c>
      <c r="V17" s="96">
        <f>'Data Ocupacion'!AP50</f>
        <v>57</v>
      </c>
      <c r="W17" s="96">
        <f>'Data Ocupacion'!AR50</f>
        <v>123</v>
      </c>
      <c r="X17" s="96">
        <f>'Data Ocupacion'!AT50</f>
        <v>123</v>
      </c>
      <c r="Y17" s="96">
        <f>'Data Ocupacion'!AV50</f>
        <v>123</v>
      </c>
      <c r="Z17" s="96">
        <f>'Data Ocupacion'!AX50</f>
        <v>123</v>
      </c>
      <c r="AA17" s="96">
        <f>'Data Ocupacion'!AZ50</f>
        <v>124</v>
      </c>
      <c r="AB17" s="96">
        <f>'Data Ocupacion'!BB50</f>
        <v>93</v>
      </c>
      <c r="AC17" s="96">
        <f>'Data Ocupacion'!BD50</f>
        <v>92</v>
      </c>
      <c r="AD17" s="96">
        <f>'Data Ocupacion'!BF50</f>
        <v>121</v>
      </c>
      <c r="AE17" s="96">
        <f>'Data Ocupacion'!BH50</f>
        <v>121</v>
      </c>
      <c r="AF17" s="96">
        <f>'Data Ocupacion'!BJ50</f>
        <v>122</v>
      </c>
      <c r="AG17" s="96">
        <f>'Data Ocupacion'!BL50</f>
        <v>57</v>
      </c>
    </row>
    <row r="18" spans="1:33" s="86" customFormat="1" ht="13.8" x14ac:dyDescent="0.25">
      <c r="A18" s="82" t="s">
        <v>89</v>
      </c>
      <c r="B18" s="83">
        <v>29.11</v>
      </c>
      <c r="C18" s="96">
        <f>'Data Ocupacion'!D51</f>
        <v>4</v>
      </c>
      <c r="D18" s="96">
        <f>'Data Ocupacion'!F51</f>
        <v>4</v>
      </c>
      <c r="E18" s="96">
        <f>'Data Ocupacion'!H51</f>
        <v>4</v>
      </c>
      <c r="F18" s="96">
        <f>'Data Ocupacion'!J51</f>
        <v>4</v>
      </c>
      <c r="G18" s="96">
        <f>'Data Ocupacion'!L51</f>
        <v>0</v>
      </c>
      <c r="H18" s="96">
        <f>'Data Ocupacion'!N51</f>
        <v>0</v>
      </c>
      <c r="I18" s="96">
        <f>'Data Ocupacion'!P51</f>
        <v>4</v>
      </c>
      <c r="J18" s="96">
        <f>'Data Ocupacion'!R51</f>
        <v>4</v>
      </c>
      <c r="K18" s="96">
        <f>'Data Ocupacion'!T51</f>
        <v>4</v>
      </c>
      <c r="L18" s="96">
        <f>'Data Ocupacion'!V51</f>
        <v>4</v>
      </c>
      <c r="M18" s="96">
        <f>'Data Ocupacion'!X51</f>
        <v>4</v>
      </c>
      <c r="N18" s="96">
        <f>'Data Ocupacion'!Z51</f>
        <v>0</v>
      </c>
      <c r="O18" s="96">
        <f>'Data Ocupacion'!AB51</f>
        <v>0</v>
      </c>
      <c r="P18" s="96">
        <f>'Data Ocupacion'!AD51</f>
        <v>4</v>
      </c>
      <c r="Q18" s="96">
        <f>'Data Ocupacion'!AF51</f>
        <v>4</v>
      </c>
      <c r="R18" s="96">
        <f>'Data Ocupacion'!AH51</f>
        <v>4</v>
      </c>
      <c r="S18" s="96">
        <f>'Data Ocupacion'!AJ51</f>
        <v>4</v>
      </c>
      <c r="T18" s="96">
        <f>'Data Ocupacion'!AL51</f>
        <v>4</v>
      </c>
      <c r="U18" s="96">
        <f>'Data Ocupacion'!AN51</f>
        <v>0</v>
      </c>
      <c r="V18" s="96">
        <f>'Data Ocupacion'!AP51</f>
        <v>0</v>
      </c>
      <c r="W18" s="96">
        <f>'Data Ocupacion'!AR51</f>
        <v>4</v>
      </c>
      <c r="X18" s="96">
        <f>'Data Ocupacion'!AT51</f>
        <v>4</v>
      </c>
      <c r="Y18" s="96">
        <f>'Data Ocupacion'!AV51</f>
        <v>4</v>
      </c>
      <c r="Z18" s="96">
        <f>'Data Ocupacion'!AX51</f>
        <v>4</v>
      </c>
      <c r="AA18" s="96">
        <f>'Data Ocupacion'!AZ51</f>
        <v>4</v>
      </c>
      <c r="AB18" s="96">
        <f>'Data Ocupacion'!BB51</f>
        <v>0</v>
      </c>
      <c r="AC18" s="96">
        <f>'Data Ocupacion'!BD51</f>
        <v>0</v>
      </c>
      <c r="AD18" s="96">
        <f>'Data Ocupacion'!BF51</f>
        <v>4</v>
      </c>
      <c r="AE18" s="96">
        <f>'Data Ocupacion'!BH51</f>
        <v>4</v>
      </c>
      <c r="AF18" s="96">
        <f>'Data Ocupacion'!BJ51</f>
        <v>4</v>
      </c>
      <c r="AG18" s="96">
        <f>'Data Ocupacion'!BL51</f>
        <v>0</v>
      </c>
    </row>
    <row r="19" spans="1:33" s="86" customFormat="1" ht="13.8" x14ac:dyDescent="0.25">
      <c r="A19" s="82" t="s">
        <v>90</v>
      </c>
      <c r="B19" s="83">
        <v>29.11</v>
      </c>
      <c r="C19" s="96">
        <f>'Data Ocupacion'!D52</f>
        <v>6</v>
      </c>
      <c r="D19" s="96">
        <f>'Data Ocupacion'!F52</f>
        <v>6</v>
      </c>
      <c r="E19" s="96">
        <f>'Data Ocupacion'!H52</f>
        <v>6</v>
      </c>
      <c r="F19" s="96">
        <f>'Data Ocupacion'!J52</f>
        <v>6</v>
      </c>
      <c r="G19" s="96">
        <f>'Data Ocupacion'!L52</f>
        <v>0</v>
      </c>
      <c r="H19" s="96">
        <f>'Data Ocupacion'!N52</f>
        <v>0</v>
      </c>
      <c r="I19" s="96">
        <f>'Data Ocupacion'!P52</f>
        <v>6</v>
      </c>
      <c r="J19" s="96">
        <f>'Data Ocupacion'!R52</f>
        <v>6</v>
      </c>
      <c r="K19" s="96">
        <f>'Data Ocupacion'!T52</f>
        <v>6</v>
      </c>
      <c r="L19" s="96">
        <f>'Data Ocupacion'!V52</f>
        <v>6</v>
      </c>
      <c r="M19" s="96">
        <f>'Data Ocupacion'!X52</f>
        <v>6</v>
      </c>
      <c r="N19" s="96">
        <f>'Data Ocupacion'!Z52</f>
        <v>0</v>
      </c>
      <c r="O19" s="96">
        <f>'Data Ocupacion'!AB52</f>
        <v>0</v>
      </c>
      <c r="P19" s="96">
        <f>'Data Ocupacion'!AD52</f>
        <v>6</v>
      </c>
      <c r="Q19" s="96">
        <f>'Data Ocupacion'!AF52</f>
        <v>6</v>
      </c>
      <c r="R19" s="96">
        <f>'Data Ocupacion'!AH52</f>
        <v>6</v>
      </c>
      <c r="S19" s="96">
        <f>'Data Ocupacion'!AJ52</f>
        <v>6</v>
      </c>
      <c r="T19" s="96">
        <f>'Data Ocupacion'!AL52</f>
        <v>6</v>
      </c>
      <c r="U19" s="96">
        <f>'Data Ocupacion'!AN52</f>
        <v>0</v>
      </c>
      <c r="V19" s="96">
        <f>'Data Ocupacion'!AP52</f>
        <v>0</v>
      </c>
      <c r="W19" s="96">
        <f>'Data Ocupacion'!AR52</f>
        <v>6</v>
      </c>
      <c r="X19" s="96">
        <f>'Data Ocupacion'!AT52</f>
        <v>6</v>
      </c>
      <c r="Y19" s="96">
        <f>'Data Ocupacion'!AV52</f>
        <v>6</v>
      </c>
      <c r="Z19" s="96">
        <f>'Data Ocupacion'!AX52</f>
        <v>6</v>
      </c>
      <c r="AA19" s="96">
        <f>'Data Ocupacion'!AZ52</f>
        <v>6</v>
      </c>
      <c r="AB19" s="96">
        <f>'Data Ocupacion'!BB52</f>
        <v>0</v>
      </c>
      <c r="AC19" s="96">
        <f>'Data Ocupacion'!BD52</f>
        <v>0</v>
      </c>
      <c r="AD19" s="96">
        <f>'Data Ocupacion'!BF52</f>
        <v>6</v>
      </c>
      <c r="AE19" s="96">
        <f>'Data Ocupacion'!BH52</f>
        <v>6</v>
      </c>
      <c r="AF19" s="96">
        <f>'Data Ocupacion'!BJ52</f>
        <v>6</v>
      </c>
      <c r="AG19" s="96">
        <f>'Data Ocupacion'!BL52</f>
        <v>0</v>
      </c>
    </row>
    <row r="20" spans="1:33" s="86" customFormat="1" ht="13.8" x14ac:dyDescent="0.25">
      <c r="A20" s="82" t="s">
        <v>91</v>
      </c>
      <c r="B20" s="83">
        <v>25.4</v>
      </c>
      <c r="C20" s="96">
        <f>'Data Ocupacion'!D54</f>
        <v>5</v>
      </c>
      <c r="D20" s="96">
        <f>'Data Ocupacion'!F54</f>
        <v>5</v>
      </c>
      <c r="E20" s="96">
        <f>'Data Ocupacion'!H54</f>
        <v>5</v>
      </c>
      <c r="F20" s="96">
        <f>'Data Ocupacion'!J54</f>
        <v>5</v>
      </c>
      <c r="G20" s="96">
        <f>'Data Ocupacion'!L54</f>
        <v>0</v>
      </c>
      <c r="H20" s="96">
        <f>'Data Ocupacion'!N54</f>
        <v>0</v>
      </c>
      <c r="I20" s="96">
        <f>'Data Ocupacion'!P54</f>
        <v>5</v>
      </c>
      <c r="J20" s="96">
        <f>'Data Ocupacion'!R54</f>
        <v>5</v>
      </c>
      <c r="K20" s="96">
        <f>'Data Ocupacion'!T54</f>
        <v>5</v>
      </c>
      <c r="L20" s="96">
        <f>'Data Ocupacion'!V54</f>
        <v>5</v>
      </c>
      <c r="M20" s="96">
        <f>'Data Ocupacion'!X54</f>
        <v>5</v>
      </c>
      <c r="N20" s="96">
        <f>'Data Ocupacion'!Z54</f>
        <v>0</v>
      </c>
      <c r="O20" s="96">
        <f>'Data Ocupacion'!AB54</f>
        <v>0</v>
      </c>
      <c r="P20" s="96">
        <f>'Data Ocupacion'!AD54</f>
        <v>5</v>
      </c>
      <c r="Q20" s="96">
        <f>'Data Ocupacion'!AF54</f>
        <v>5</v>
      </c>
      <c r="R20" s="96">
        <f>'Data Ocupacion'!AH54</f>
        <v>5</v>
      </c>
      <c r="S20" s="96">
        <f>'Data Ocupacion'!AJ54</f>
        <v>5</v>
      </c>
      <c r="T20" s="96">
        <f>'Data Ocupacion'!AL54</f>
        <v>5</v>
      </c>
      <c r="U20" s="96">
        <f>'Data Ocupacion'!AN54</f>
        <v>0</v>
      </c>
      <c r="V20" s="96">
        <f>'Data Ocupacion'!AP54</f>
        <v>0</v>
      </c>
      <c r="W20" s="96">
        <f>'Data Ocupacion'!AR54</f>
        <v>5</v>
      </c>
      <c r="X20" s="96">
        <f>'Data Ocupacion'!AT54</f>
        <v>5</v>
      </c>
      <c r="Y20" s="96">
        <f>'Data Ocupacion'!AV54</f>
        <v>5</v>
      </c>
      <c r="Z20" s="96">
        <f>'Data Ocupacion'!AX54</f>
        <v>5</v>
      </c>
      <c r="AA20" s="96">
        <f>'Data Ocupacion'!AZ54</f>
        <v>4</v>
      </c>
      <c r="AB20" s="96">
        <f>'Data Ocupacion'!BB54</f>
        <v>0</v>
      </c>
      <c r="AC20" s="96">
        <f>'Data Ocupacion'!BD54</f>
        <v>0</v>
      </c>
      <c r="AD20" s="96">
        <f>'Data Ocupacion'!BF54</f>
        <v>5</v>
      </c>
      <c r="AE20" s="96">
        <f>'Data Ocupacion'!BH54</f>
        <v>5</v>
      </c>
      <c r="AF20" s="96">
        <f>'Data Ocupacion'!BJ54</f>
        <v>5</v>
      </c>
      <c r="AG20" s="96">
        <f>'Data Ocupacion'!BL53</f>
        <v>0</v>
      </c>
    </row>
    <row r="21" spans="1:33" s="86" customFormat="1" ht="13.8" x14ac:dyDescent="0.25">
      <c r="A21" s="221" t="s">
        <v>124</v>
      </c>
      <c r="B21" s="83">
        <v>25.4</v>
      </c>
      <c r="C21" s="96">
        <v>0</v>
      </c>
      <c r="D21" s="84">
        <v>0</v>
      </c>
      <c r="E21" s="84">
        <v>0</v>
      </c>
      <c r="F21" s="84">
        <v>0</v>
      </c>
      <c r="G21" s="84">
        <v>0</v>
      </c>
      <c r="H21" s="96">
        <f>'Data Ocupacion'!N53</f>
        <v>0</v>
      </c>
      <c r="I21" s="96">
        <f>'Data Ocupacion'!P53</f>
        <v>0</v>
      </c>
      <c r="J21" s="96">
        <f>'Data Ocupacion'!R53</f>
        <v>0</v>
      </c>
      <c r="K21" s="96">
        <f>'Data Ocupacion'!T53</f>
        <v>0</v>
      </c>
      <c r="L21" s="84">
        <v>0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96">
        <v>0</v>
      </c>
      <c r="T21" s="84">
        <v>0</v>
      </c>
      <c r="U21" s="84">
        <v>0</v>
      </c>
      <c r="V21" s="84">
        <v>0</v>
      </c>
      <c r="W21" s="96">
        <v>0</v>
      </c>
      <c r="X21" s="96">
        <v>0</v>
      </c>
      <c r="Y21" s="84">
        <v>0</v>
      </c>
      <c r="Z21" s="96">
        <v>0</v>
      </c>
      <c r="AA21" s="84">
        <v>0</v>
      </c>
      <c r="AB21" s="84">
        <v>0</v>
      </c>
      <c r="AC21" s="84">
        <v>0</v>
      </c>
      <c r="AD21" s="84">
        <v>0</v>
      </c>
      <c r="AE21" s="96">
        <v>0</v>
      </c>
      <c r="AF21" s="96">
        <v>0</v>
      </c>
      <c r="AG21" s="96">
        <f>'Data Ocupacion'!BL54</f>
        <v>0</v>
      </c>
    </row>
    <row r="22" spans="1:33" s="86" customFormat="1" ht="13.8" x14ac:dyDescent="0.25">
      <c r="A22" s="221" t="s">
        <v>162</v>
      </c>
      <c r="B22" s="251">
        <v>11.7</v>
      </c>
      <c r="C22" s="96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96"/>
      <c r="T22" s="84"/>
      <c r="U22" s="96"/>
      <c r="V22" s="96"/>
      <c r="W22" s="96"/>
      <c r="X22" s="96"/>
      <c r="Y22" s="84"/>
      <c r="Z22" s="96"/>
      <c r="AA22" s="84"/>
      <c r="AB22" s="84"/>
      <c r="AC22" s="84"/>
      <c r="AD22" s="84"/>
      <c r="AE22" s="96"/>
      <c r="AF22" s="96"/>
      <c r="AG22" s="96"/>
    </row>
    <row r="23" spans="1:33" s="86" customFormat="1" ht="13.8" x14ac:dyDescent="0.25">
      <c r="A23" s="221" t="s">
        <v>172</v>
      </c>
      <c r="B23" s="251">
        <v>11.7</v>
      </c>
      <c r="C23" s="96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96"/>
      <c r="T23" s="84"/>
      <c r="U23" s="96"/>
      <c r="V23" s="96"/>
      <c r="W23" s="96"/>
      <c r="X23" s="96"/>
      <c r="Y23" s="84"/>
      <c r="Z23" s="96"/>
      <c r="AA23" s="84"/>
      <c r="AB23" s="84"/>
      <c r="AC23" s="84"/>
      <c r="AD23" s="84"/>
      <c r="AE23" s="96"/>
      <c r="AF23" s="96"/>
      <c r="AG23" s="96"/>
    </row>
    <row r="24" spans="1:33" s="86" customFormat="1" ht="13.8" x14ac:dyDescent="0.25">
      <c r="A24" s="221" t="s">
        <v>163</v>
      </c>
      <c r="B24" s="251">
        <v>21.7</v>
      </c>
      <c r="C24" s="96"/>
      <c r="D24" s="96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96"/>
      <c r="T24" s="84"/>
      <c r="U24" s="96"/>
      <c r="V24" s="96"/>
      <c r="W24" s="96"/>
      <c r="X24" s="96"/>
      <c r="Y24" s="84"/>
      <c r="Z24" s="96"/>
      <c r="AA24" s="84"/>
      <c r="AB24" s="96"/>
      <c r="AC24" s="96"/>
      <c r="AD24" s="96"/>
      <c r="AE24" s="96"/>
      <c r="AF24" s="96"/>
      <c r="AG24" s="96"/>
    </row>
    <row r="25" spans="1:33" s="86" customFormat="1" ht="13.8" x14ac:dyDescent="0.25">
      <c r="A25" s="221" t="s">
        <v>173</v>
      </c>
      <c r="B25" s="251">
        <v>21.7</v>
      </c>
      <c r="C25" s="96"/>
      <c r="D25" s="96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96"/>
      <c r="T25" s="84"/>
      <c r="U25" s="96"/>
      <c r="V25" s="96"/>
      <c r="W25" s="96"/>
      <c r="X25" s="96"/>
      <c r="Y25" s="84"/>
      <c r="Z25" s="96"/>
      <c r="AA25" s="84"/>
      <c r="AB25" s="96"/>
      <c r="AC25" s="96"/>
      <c r="AD25" s="96"/>
      <c r="AE25" s="96"/>
      <c r="AF25" s="96"/>
      <c r="AG25" s="96"/>
    </row>
    <row r="26" spans="1:33" s="86" customFormat="1" ht="13.8" x14ac:dyDescent="0.25">
      <c r="A26" s="221"/>
      <c r="B26" s="251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96"/>
      <c r="AA26" s="84"/>
      <c r="AB26" s="84"/>
      <c r="AC26" s="84"/>
      <c r="AD26" s="84"/>
      <c r="AE26" s="96"/>
      <c r="AF26" s="96"/>
      <c r="AG26" s="96"/>
    </row>
    <row r="27" spans="1:33" x14ac:dyDescent="0.3">
      <c r="A27" s="87" t="s">
        <v>152</v>
      </c>
      <c r="B27" s="83">
        <v>-17.73</v>
      </c>
      <c r="C27" s="84">
        <f>'KM-Servicio'!P5</f>
        <v>5</v>
      </c>
      <c r="D27" s="84">
        <f>'KM-Servicio'!P12</f>
        <v>3</v>
      </c>
      <c r="E27" s="84">
        <f>'KM-Servicio'!P19</f>
        <v>3</v>
      </c>
      <c r="F27" s="84">
        <f>'KM-Servicio'!P26</f>
        <v>2</v>
      </c>
      <c r="G27" s="84">
        <f>'KM-Servicio'!P33</f>
        <v>0</v>
      </c>
      <c r="H27" s="84">
        <f>'KM-Servicio'!P40</f>
        <v>0</v>
      </c>
      <c r="I27" s="84">
        <f>'KM-Servicio'!P47</f>
        <v>0</v>
      </c>
      <c r="J27" s="84">
        <f>'KM-Servicio'!P54</f>
        <v>0</v>
      </c>
      <c r="K27" s="84">
        <f>'KM-Servicio'!P61</f>
        <v>0</v>
      </c>
      <c r="L27" s="84">
        <f>'KM-Servicio'!P68</f>
        <v>3</v>
      </c>
      <c r="M27" s="84">
        <f>'KM-Servicio'!P75</f>
        <v>0</v>
      </c>
      <c r="N27" s="84">
        <f>'KM-Servicio'!P82</f>
        <v>0</v>
      </c>
      <c r="O27" s="84">
        <f>'KM-Servicio'!P89</f>
        <v>0</v>
      </c>
      <c r="P27" s="84">
        <f>'KM-Servicio'!P96</f>
        <v>5</v>
      </c>
      <c r="Q27" s="84">
        <f>'KM-Servicio'!P103</f>
        <v>5</v>
      </c>
      <c r="R27" s="84">
        <f>'KM-Servicio'!P110</f>
        <v>4</v>
      </c>
      <c r="S27" s="84">
        <f>'KM-Servicio'!P117</f>
        <v>5</v>
      </c>
      <c r="T27" s="84">
        <f>'KM-Servicio'!P124</f>
        <v>6</v>
      </c>
      <c r="U27" s="84">
        <f>'KM-Servicio'!P131</f>
        <v>0</v>
      </c>
      <c r="V27" s="84">
        <f>'KM-Servicio'!P138</f>
        <v>0</v>
      </c>
      <c r="W27" s="84">
        <f>'KM-Servicio'!P145</f>
        <v>8</v>
      </c>
      <c r="X27" s="84">
        <f>'KM-Servicio'!P152</f>
        <v>4</v>
      </c>
      <c r="Y27" s="84">
        <f>'KM-Servicio'!P159</f>
        <v>0</v>
      </c>
      <c r="Z27" s="84">
        <f>'KM-Servicio'!P166</f>
        <v>4</v>
      </c>
      <c r="AA27" s="84">
        <f>'KM-Servicio'!P173</f>
        <v>5</v>
      </c>
      <c r="AB27" s="84">
        <f>'KM-Servicio'!P180</f>
        <v>3</v>
      </c>
      <c r="AC27" s="84">
        <f>'KM-Servicio'!P187</f>
        <v>6</v>
      </c>
      <c r="AD27" s="84">
        <f>'KM-Servicio'!P194</f>
        <v>5</v>
      </c>
      <c r="AE27" s="84">
        <f>'KM-Servicio'!P201</f>
        <v>6</v>
      </c>
      <c r="AF27" s="84">
        <f>'KM-Servicio'!AO33</f>
        <v>0</v>
      </c>
      <c r="AG27" s="84">
        <f>'KM-Servicio'!AP33</f>
        <v>0</v>
      </c>
    </row>
    <row r="28" spans="1:33" x14ac:dyDescent="0.3">
      <c r="A28" s="87" t="s">
        <v>153</v>
      </c>
      <c r="B28" s="83">
        <v>-17.73</v>
      </c>
      <c r="C28" s="84">
        <f>'KM-Servicio'!S6</f>
        <v>0</v>
      </c>
      <c r="D28" s="84">
        <f>'KM-Servicio'!S13</f>
        <v>0</v>
      </c>
      <c r="E28" s="84">
        <f>'KM-Servicio'!S20</f>
        <v>0</v>
      </c>
      <c r="F28" s="84">
        <f>'KM-Servicio'!S27</f>
        <v>0</v>
      </c>
      <c r="G28" s="84">
        <f>'KM-Servicio'!S34</f>
        <v>0</v>
      </c>
      <c r="H28" s="84">
        <f>'KM-Servicio'!S40</f>
        <v>0</v>
      </c>
      <c r="I28" s="84">
        <f>'KM-Servicio'!S48</f>
        <v>0</v>
      </c>
      <c r="J28" s="84">
        <f>'KM-Servicio'!S55</f>
        <v>0</v>
      </c>
      <c r="K28" s="84">
        <f>'KM-Servicio'!S62</f>
        <v>0</v>
      </c>
      <c r="L28" s="84">
        <f>'KM-Servicio'!S69</f>
        <v>0</v>
      </c>
      <c r="M28" s="84">
        <f>'KM-Servicio'!S76</f>
        <v>0</v>
      </c>
      <c r="N28" s="84">
        <f>'KM-Servicio'!S83</f>
        <v>0</v>
      </c>
      <c r="O28" s="84">
        <f>'KM-Servicio'!S90</f>
        <v>0</v>
      </c>
      <c r="P28" s="84">
        <f>'KM-Servicio'!S97</f>
        <v>0</v>
      </c>
      <c r="Q28" s="84">
        <f>'KM-Servicio'!S104</f>
        <v>2</v>
      </c>
      <c r="R28" s="84">
        <f>'KM-Servicio'!S111</f>
        <v>0</v>
      </c>
      <c r="S28" s="84">
        <f>'KM-Servicio'!S118</f>
        <v>2</v>
      </c>
      <c r="T28" s="84">
        <f>'KM-Servicio'!S125</f>
        <v>2</v>
      </c>
      <c r="U28" s="84">
        <f>'KM-Servicio'!S132</f>
        <v>0</v>
      </c>
      <c r="V28" s="84">
        <f>'KM-Servicio'!S139</f>
        <v>0</v>
      </c>
      <c r="W28" s="84">
        <f>'KM-Servicio'!S146</f>
        <v>1</v>
      </c>
      <c r="X28" s="84">
        <f>'KM-Servicio'!S153</f>
        <v>1</v>
      </c>
      <c r="Y28" s="84">
        <f>'KM-Servicio'!S160</f>
        <v>0</v>
      </c>
      <c r="Z28" s="84">
        <f>'KM-Servicio'!S167</f>
        <v>1</v>
      </c>
      <c r="AA28" s="84">
        <f>'KM-Servicio'!S174</f>
        <v>1</v>
      </c>
      <c r="AB28" s="84">
        <f>'KM-Servicio'!S181</f>
        <v>0</v>
      </c>
      <c r="AC28" s="84">
        <f>'KM-Servicio'!S188</f>
        <v>0</v>
      </c>
      <c r="AD28" s="84">
        <f>'KM-Servicio'!S195</f>
        <v>0</v>
      </c>
      <c r="AE28" s="84">
        <f>'KM-Servicio'!S202</f>
        <v>0</v>
      </c>
      <c r="AF28" s="84">
        <f>'KM-Servicio'!AR34</f>
        <v>0</v>
      </c>
      <c r="AG28" s="84">
        <f>'KM-Servicio'!AS34</f>
        <v>0</v>
      </c>
    </row>
    <row r="29" spans="1:33" s="127" customFormat="1" x14ac:dyDescent="0.3">
      <c r="A29" s="87" t="s">
        <v>155</v>
      </c>
      <c r="B29" s="83">
        <v>-14.02</v>
      </c>
      <c r="C29" s="84">
        <f>'KM-Servicio'!T6</f>
        <v>0</v>
      </c>
      <c r="D29" s="84">
        <f>'KM-Servicio'!T13</f>
        <v>0</v>
      </c>
      <c r="E29" s="84">
        <f>'KM-Servicio'!T20</f>
        <v>0</v>
      </c>
      <c r="F29" s="84">
        <f>'KM-Servicio'!T27</f>
        <v>0</v>
      </c>
      <c r="G29" s="84">
        <f>'KM-Servicio'!T34</f>
        <v>0</v>
      </c>
      <c r="H29" s="84">
        <f>'KM-Servicio'!T40</f>
        <v>0</v>
      </c>
      <c r="I29" s="84">
        <f>'KM-Servicio'!T48</f>
        <v>0</v>
      </c>
      <c r="J29" s="84">
        <f>'KM-Servicio'!T55</f>
        <v>0</v>
      </c>
      <c r="K29" s="84">
        <f>'KM-Servicio'!T62</f>
        <v>0</v>
      </c>
      <c r="L29" s="84">
        <f>'KM-Servicio'!T69</f>
        <v>0</v>
      </c>
      <c r="M29" s="84">
        <f>'KM-Servicio'!T76</f>
        <v>0</v>
      </c>
      <c r="N29" s="84">
        <f>'KM-Servicio'!T83</f>
        <v>0</v>
      </c>
      <c r="O29" s="84">
        <f>'KM-Servicio'!T90</f>
        <v>0</v>
      </c>
      <c r="P29" s="84">
        <f>'KM-Servicio'!T97</f>
        <v>0</v>
      </c>
      <c r="Q29" s="84">
        <f>'KM-Servicio'!T104</f>
        <v>0</v>
      </c>
      <c r="R29" s="84">
        <f>'KM-Servicio'!T111</f>
        <v>0</v>
      </c>
      <c r="S29" s="84">
        <f>'KM-Servicio'!T118</f>
        <v>0</v>
      </c>
      <c r="T29" s="84">
        <f>'KM-Servicio'!T125</f>
        <v>0</v>
      </c>
      <c r="U29" s="84">
        <f>'KM-Servicio'!T132</f>
        <v>0</v>
      </c>
      <c r="V29" s="84">
        <f>'KM-Servicio'!T139</f>
        <v>0</v>
      </c>
      <c r="W29" s="84">
        <f>'KM-Servicio'!T146</f>
        <v>0</v>
      </c>
      <c r="X29" s="84">
        <f>'KM-Servicio'!T153</f>
        <v>0</v>
      </c>
      <c r="Y29" s="84">
        <f>'KM-Servicio'!T160</f>
        <v>0</v>
      </c>
      <c r="Z29" s="84">
        <f>'KM-Servicio'!T167</f>
        <v>0</v>
      </c>
      <c r="AA29" s="84">
        <f>'KM-Servicio'!T174</f>
        <v>0</v>
      </c>
      <c r="AB29" s="84">
        <f>'KM-Servicio'!T181</f>
        <v>0</v>
      </c>
      <c r="AC29" s="84">
        <f>'KM-Servicio'!T188</f>
        <v>0</v>
      </c>
      <c r="AD29" s="84">
        <f>'KM-Servicio'!T195</f>
        <v>0</v>
      </c>
      <c r="AE29" s="84">
        <f>'KM-Servicio'!T202</f>
        <v>0</v>
      </c>
      <c r="AF29" s="84">
        <f>'KM-Servicio'!AS34</f>
        <v>0</v>
      </c>
      <c r="AG29" s="84">
        <f>'KM-Servicio'!AT34</f>
        <v>0</v>
      </c>
    </row>
    <row r="30" spans="1:33" s="127" customFormat="1" x14ac:dyDescent="0.3">
      <c r="A30" s="220" t="s">
        <v>154</v>
      </c>
      <c r="B30" s="83">
        <v>-3.71</v>
      </c>
      <c r="C30" s="84">
        <v>1</v>
      </c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>
        <v>1</v>
      </c>
      <c r="AB30" s="84"/>
      <c r="AC30" s="84"/>
      <c r="AD30" s="84"/>
      <c r="AE30" s="84"/>
      <c r="AF30" s="84"/>
      <c r="AG30" s="84"/>
    </row>
    <row r="31" spans="1:33" s="127" customFormat="1" x14ac:dyDescent="0.3">
      <c r="A31" s="226" t="s">
        <v>160</v>
      </c>
      <c r="B31" s="83">
        <v>-25.4</v>
      </c>
      <c r="C31" s="84"/>
      <c r="D31" s="84"/>
      <c r="E31" s="84">
        <v>2</v>
      </c>
      <c r="F31" s="84">
        <v>3</v>
      </c>
      <c r="G31" s="84"/>
      <c r="H31" s="84"/>
      <c r="I31" s="84">
        <v>1</v>
      </c>
      <c r="J31" s="84">
        <v>1</v>
      </c>
      <c r="K31" s="84">
        <v>1</v>
      </c>
      <c r="L31" s="84">
        <v>1</v>
      </c>
      <c r="M31" s="84">
        <v>2</v>
      </c>
      <c r="N31" s="84"/>
      <c r="O31" s="84"/>
      <c r="P31" s="84">
        <v>1</v>
      </c>
      <c r="Q31" s="84">
        <v>1</v>
      </c>
      <c r="R31" s="84">
        <v>1</v>
      </c>
      <c r="S31" s="84"/>
      <c r="T31" s="84"/>
      <c r="U31" s="84"/>
      <c r="V31" s="84"/>
      <c r="W31" s="84">
        <v>2</v>
      </c>
      <c r="X31" s="84">
        <v>1</v>
      </c>
      <c r="Y31" s="84">
        <v>1</v>
      </c>
      <c r="Z31" s="84"/>
      <c r="AA31" s="84"/>
      <c r="AB31" s="84"/>
      <c r="AC31" s="84"/>
      <c r="AD31" s="84"/>
      <c r="AE31" s="84"/>
      <c r="AF31" s="84"/>
      <c r="AG31" s="84"/>
    </row>
    <row r="32" spans="1:33" s="127" customFormat="1" x14ac:dyDescent="0.3">
      <c r="A32" s="220" t="s">
        <v>164</v>
      </c>
      <c r="B32" s="83">
        <v>-12.73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</row>
    <row r="33" spans="1:33" s="127" customFormat="1" x14ac:dyDescent="0.3">
      <c r="A33" s="220" t="s">
        <v>165</v>
      </c>
      <c r="B33" s="83">
        <v>-12.73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</row>
    <row r="34" spans="1:33" s="127" customFormat="1" x14ac:dyDescent="0.3">
      <c r="A34" s="87" t="s">
        <v>166</v>
      </c>
      <c r="B34" s="83">
        <v>-25.4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</row>
    <row r="35" spans="1:33" x14ac:dyDescent="0.3">
      <c r="A35" s="89"/>
      <c r="B35" s="83"/>
      <c r="C35" s="44"/>
      <c r="D35" s="44"/>
      <c r="E35" s="88"/>
      <c r="F35" s="88"/>
      <c r="G35" s="88"/>
      <c r="H35" s="88"/>
      <c r="I35" s="8"/>
      <c r="J35" s="44"/>
      <c r="K35" s="88"/>
      <c r="L35" s="88"/>
      <c r="M35" s="88"/>
      <c r="N35" s="88"/>
      <c r="O35" s="8"/>
      <c r="P35" s="88"/>
      <c r="Q35" s="8"/>
      <c r="R35" s="8"/>
      <c r="S35" s="8"/>
      <c r="T35" s="8"/>
      <c r="U35" s="88"/>
      <c r="V35" s="8"/>
      <c r="W35" s="8"/>
      <c r="X35" s="8"/>
      <c r="Y35" s="8"/>
      <c r="Z35" s="88"/>
      <c r="AA35" s="88"/>
      <c r="AB35" s="88"/>
      <c r="AC35" s="8"/>
      <c r="AD35" s="8"/>
      <c r="AE35" s="8"/>
      <c r="AF35" s="8"/>
      <c r="AG35" s="8"/>
    </row>
    <row r="36" spans="1:33" x14ac:dyDescent="0.3">
      <c r="A36" s="90" t="s">
        <v>84</v>
      </c>
      <c r="B36" s="243">
        <f>SUM(C36:AG36)</f>
        <v>4889</v>
      </c>
      <c r="C36" s="92">
        <f>SUM(C5:C14)</f>
        <v>170</v>
      </c>
      <c r="D36" s="92">
        <f>SUM(D5:D14)</f>
        <v>170</v>
      </c>
      <c r="E36" s="92">
        <f t="shared" ref="E36:J36" si="0">SUM(E5:E10)</f>
        <v>171</v>
      </c>
      <c r="F36" s="92">
        <f t="shared" si="0"/>
        <v>170</v>
      </c>
      <c r="G36" s="92">
        <f t="shared" si="0"/>
        <v>147</v>
      </c>
      <c r="H36" s="92">
        <f t="shared" si="0"/>
        <v>111</v>
      </c>
      <c r="I36" s="92">
        <f t="shared" si="0"/>
        <v>170</v>
      </c>
      <c r="J36" s="92">
        <f t="shared" si="0"/>
        <v>170</v>
      </c>
      <c r="K36" s="92">
        <f>SUM(K5:K14)</f>
        <v>170</v>
      </c>
      <c r="L36" s="92">
        <f t="shared" ref="L36:AA36" si="1">SUM(L5:L10)</f>
        <v>170</v>
      </c>
      <c r="M36" s="92">
        <f t="shared" si="1"/>
        <v>170</v>
      </c>
      <c r="N36" s="92">
        <f t="shared" si="1"/>
        <v>111</v>
      </c>
      <c r="O36" s="92">
        <f t="shared" si="1"/>
        <v>111</v>
      </c>
      <c r="P36" s="92">
        <f t="shared" si="1"/>
        <v>170</v>
      </c>
      <c r="Q36" s="92">
        <f t="shared" si="1"/>
        <v>170</v>
      </c>
      <c r="R36" s="92">
        <f t="shared" si="1"/>
        <v>170</v>
      </c>
      <c r="S36" s="92">
        <f>SUM(S5:S14)</f>
        <v>170</v>
      </c>
      <c r="T36" s="92">
        <f t="shared" si="1"/>
        <v>170</v>
      </c>
      <c r="U36" s="92">
        <f>SUM(U5:U14)</f>
        <v>147</v>
      </c>
      <c r="V36" s="92">
        <f>SUM(V5:V14)</f>
        <v>111</v>
      </c>
      <c r="W36" s="92">
        <f>SUM(W5:W14)</f>
        <v>170</v>
      </c>
      <c r="X36" s="92">
        <f>SUM(X5:X14)</f>
        <v>170</v>
      </c>
      <c r="Y36" s="92">
        <f t="shared" si="1"/>
        <v>170</v>
      </c>
      <c r="Z36" s="92">
        <f t="shared" si="1"/>
        <v>170</v>
      </c>
      <c r="AA36" s="92">
        <f t="shared" si="1"/>
        <v>171</v>
      </c>
      <c r="AB36" s="92">
        <f t="shared" ref="AB36:AF36" si="2">SUM(AB5:AB14)</f>
        <v>150</v>
      </c>
      <c r="AC36" s="92">
        <f t="shared" si="2"/>
        <v>148</v>
      </c>
      <c r="AD36" s="92">
        <f t="shared" si="2"/>
        <v>170</v>
      </c>
      <c r="AE36" s="92">
        <f t="shared" si="2"/>
        <v>170</v>
      </c>
      <c r="AF36" s="92">
        <f t="shared" si="2"/>
        <v>170</v>
      </c>
      <c r="AG36" s="92">
        <f t="shared" ref="AG36" si="3">SUM(AG5:AG14)</f>
        <v>111</v>
      </c>
    </row>
    <row r="37" spans="1:33" x14ac:dyDescent="0.3">
      <c r="A37" s="91" t="s">
        <v>65</v>
      </c>
      <c r="B37" s="243">
        <f t="shared" ref="B37:B43" si="4">SUM(C37:AG37)</f>
        <v>7134</v>
      </c>
      <c r="C37" s="92">
        <f>SUM(C16:C25)</f>
        <v>270</v>
      </c>
      <c r="D37" s="92">
        <f>SUM(D16:D25)</f>
        <v>268</v>
      </c>
      <c r="E37" s="92">
        <f t="shared" ref="E37:J37" si="5">SUM(E16:E21)</f>
        <v>269</v>
      </c>
      <c r="F37" s="92">
        <f t="shared" si="5"/>
        <v>271</v>
      </c>
      <c r="G37" s="92">
        <f t="shared" si="5"/>
        <v>151</v>
      </c>
      <c r="H37" s="92">
        <f t="shared" si="5"/>
        <v>114</v>
      </c>
      <c r="I37" s="92">
        <f t="shared" si="5"/>
        <v>268</v>
      </c>
      <c r="J37" s="92">
        <f t="shared" si="5"/>
        <v>268</v>
      </c>
      <c r="K37" s="92">
        <f>SUM(K16:K23)</f>
        <v>268</v>
      </c>
      <c r="L37" s="92">
        <f t="shared" ref="L37:AA37" si="6">SUM(L16:L21)</f>
        <v>268</v>
      </c>
      <c r="M37" s="92">
        <f t="shared" si="6"/>
        <v>268</v>
      </c>
      <c r="N37" s="92">
        <f t="shared" si="6"/>
        <v>113</v>
      </c>
      <c r="O37" s="92">
        <f t="shared" si="6"/>
        <v>113</v>
      </c>
      <c r="P37" s="92">
        <f t="shared" si="6"/>
        <v>269</v>
      </c>
      <c r="Q37" s="92">
        <f t="shared" si="6"/>
        <v>269</v>
      </c>
      <c r="R37" s="92">
        <f t="shared" si="6"/>
        <v>269</v>
      </c>
      <c r="S37" s="92">
        <f>SUM(S16:S25)</f>
        <v>269</v>
      </c>
      <c r="T37" s="92">
        <f t="shared" si="6"/>
        <v>268</v>
      </c>
      <c r="U37" s="92">
        <f>SUM(U16:U25)</f>
        <v>150</v>
      </c>
      <c r="V37" s="92">
        <f>SUM(V16:V25)</f>
        <v>114</v>
      </c>
      <c r="W37" s="92">
        <f>SUM(W16:W25)</f>
        <v>268</v>
      </c>
      <c r="X37" s="92">
        <f>SUM(X16:X25)</f>
        <v>268</v>
      </c>
      <c r="Y37" s="92">
        <f t="shared" si="6"/>
        <v>268</v>
      </c>
      <c r="Z37" s="92">
        <f t="shared" si="6"/>
        <v>268</v>
      </c>
      <c r="AA37" s="92">
        <f t="shared" si="6"/>
        <v>268</v>
      </c>
      <c r="AB37" s="92">
        <f t="shared" ref="AB37:AF37" si="7">SUM(AB16:AB25)</f>
        <v>184</v>
      </c>
      <c r="AC37" s="92">
        <f t="shared" si="7"/>
        <v>184</v>
      </c>
      <c r="AD37" s="92">
        <f t="shared" si="7"/>
        <v>265</v>
      </c>
      <c r="AE37" s="92">
        <f t="shared" si="7"/>
        <v>264</v>
      </c>
      <c r="AF37" s="92">
        <f t="shared" si="7"/>
        <v>266</v>
      </c>
      <c r="AG37" s="92">
        <f t="shared" ref="AG37" si="8">SUM(AG16:AG25)</f>
        <v>114</v>
      </c>
    </row>
    <row r="38" spans="1:33" x14ac:dyDescent="0.3">
      <c r="A38" s="91" t="s">
        <v>92</v>
      </c>
      <c r="B38" s="243">
        <f t="shared" si="4"/>
        <v>300576.67000000004</v>
      </c>
      <c r="C38" s="92">
        <f>(C16*$B$16+C17*$B$17+C18*$B$18+C19*$B$19+C21*$B$21+C24*B24+C25*B25+C28*$B$28+C20*$B$20+C27*$B$27+C29*B29+C31*B31+C30*B30)</f>
        <v>11323.890000000003</v>
      </c>
      <c r="D38" s="92">
        <f>(D16*$B$16+D17*$B$17+D18*$B$18+D19*$B$19+D21*$B$21+D24*B24+D25*B25+D28*$B$28+D20*$B$20+D27*$B$27+D29*B29+D31*B31)</f>
        <v>11276.800000000001</v>
      </c>
      <c r="E38" s="92">
        <f>(E16*$B$16+E17*$B$17+E18*$B$18+E19*$B$19+E21*$B$21+E24*B24+E25*B25+E28*$B$28+E20*$B$20+E27*$B$27+E29*B29+E31*B31)</f>
        <v>11269.130000000001</v>
      </c>
      <c r="F38" s="92">
        <f>(F16*$B$16+F17*$B$17+F18*$B$18+F19*$B$19+F21*$B$21+F24*B24+F25*B25+F28*$B$28+F20*$B$20+F27*$B$27+F29*B29+F31*B31)</f>
        <v>11347.720000000001</v>
      </c>
      <c r="G38" s="92">
        <f>(G16*$B$16+G17*$B$17+G18*$B$18+G19*$B$19+G21*$B$21+G24*B24+G25*B25+G28*$B$28+G20*$B$20+G27*$B$27+G29*B29+G31*B31)</f>
        <v>6512.63</v>
      </c>
      <c r="H38" s="92">
        <f>(H16*$B$16+H17*$B$17+H18*$B$18+H19*$B$19+H21*$B$21+H24*B24+H25*B25+H28*$B$28+H20*$B$20+H27*$B$27+H29*B29+H31*B31)</f>
        <v>4916.8200000000006</v>
      </c>
      <c r="I38" s="92">
        <f>(I16*$B$16+I17*$B$17+I18*$B$18+I19*$B$19+I21*$B$21+I28*$B$28+I20*$B$20+I27*$B$27+I29*B29+I30*B30+I31*B31)</f>
        <v>11304.590000000002</v>
      </c>
      <c r="J38" s="92">
        <f>(J16*$B$16+J17*$B$17+J18*$B$18+J19*$B$19+J21*$B$21+J28*$B$28+J20*$B$20+J27*$B$27+J29*B29+J30*B30+J31*B31)</f>
        <v>11304.590000000002</v>
      </c>
      <c r="K38" s="92">
        <f>(K16*$B$16+K17*$B$17+K18*$B$18+K19*$B$19+K21*$B$21+K28*$B$28+K20*$B$20+K27*$B$27+K29*B29+K30*B30+K31*B31)</f>
        <v>11304.590000000002</v>
      </c>
      <c r="L38" s="92">
        <f>(L16*$B$16+L17*$B$17+L18*$B$18+L19*$B$19+L21*$B$21+L28*$B$28+L20*$B$20+L27*$B$27+L29*B29+L30*B30+L31*B31)</f>
        <v>11251.400000000001</v>
      </c>
      <c r="M38" s="92">
        <f>(M16*$B$16+M17*$B$17+M18*$B$18+M19*$B$19+M21*$B$21+M28*$B$28+M20*$B$20+M27*$B$27+M31*B31)</f>
        <v>11279.190000000002</v>
      </c>
      <c r="N38" s="92">
        <f>(N16*$B$16+N17*$B$17+N18*$B$18+N19*$B$19+N21*$B$21+N28*$B$28+N20*$B$20+N27*$B$27+N29*B29+N30*B30+N31*B31)</f>
        <v>4873.6900000000005</v>
      </c>
      <c r="O38" s="92">
        <f>(O16*$B$16+O17*$B$17+O18*$B$18+O19*$B$19+O21*$B$21+O28*$B$28+O20*$B$20+O27*$B$27+O31*B31)</f>
        <v>4873.6900000000005</v>
      </c>
      <c r="P38" s="92">
        <f>(P16*$B$16+P17*$B$17+P18*$B$18+P19*$B$19+P21*$B$21+P28*$B$28+P20*$B$20+P27*$B$27+P31*B31)</f>
        <v>11259.070000000002</v>
      </c>
      <c r="Q38" s="92">
        <f>(Q16*$B$16+Q17*$B$17+Q18*$B$18+Q19*$B$19+Q21*$B$21+Q28*$B$28+Q20*$B$20+Q27*$B$27+Q31*B31)</f>
        <v>11223.610000000002</v>
      </c>
      <c r="R38" s="92">
        <f>(R16*$B$16+R17*$B$17+R18*$B$18+R19*$B$19+R21*$B$21+R28*$B$28+R20*$B$20+R27*$B$27+R31*B31)</f>
        <v>11276.800000000001</v>
      </c>
      <c r="S38" s="92">
        <f>(S16*$B$16+S17*$B$17+S18*$B$18+S19*$B$19+S21*$B$21+S28*$B$28+S20*$B$20+S27*$B$27+S31*$B$31+S22*B22+S23*B23+S24*B24+S25*B25)</f>
        <v>11249.010000000002</v>
      </c>
      <c r="T38" s="92">
        <f>(T16*$B$16+T17*$B$17+T18*$B$18+T19*$B$19+T21*$B$21+T28*$B$28+T20*$B$20+T27*$B$27+T31*$B$31)</f>
        <v>11188.150000000003</v>
      </c>
      <c r="U38" s="92">
        <f>(U16*$B$16+U17*$B$17+U18*$B$18+U19*$B$19+U21*$B$21+U28*$B$28+U20*$B$20+U27*$B$27+U31*$B$31+U22*B22+U23*B23+U24*B24+U25*B25)</f>
        <v>6469.5</v>
      </c>
      <c r="V38" s="92">
        <f>(V16*$B$16+V17*$B$17+V18*$B$18+V19*$B$19+V21*$B$21+V28*$B$28+V20*$B$20+V27*$B$27+V31*$B$31+V22*B22+V23*B23+V24*B24+V25*B25)</f>
        <v>4916.8200000000006</v>
      </c>
      <c r="W38" s="92">
        <f>(W16*$B$16+W17*$B$17+W18*$B$18+W19*$B$19+W21*$B$21+W28*$B$28+W20*$B$20+W27*$B$27+W31*$B$31+W22*B22+W23*B23+W24*B24+W25*B25)</f>
        <v>11119.620000000003</v>
      </c>
      <c r="X38" s="92">
        <f>(X16*$B$16+X17*$B$17+X18*$B$18+X19*$B$19+X21*$B$21+X28*$B$28+X20*$B$20+X27*$B$27+X31*$B$31+X22*B22+X23*B23+X24*B24+X25*B25)</f>
        <v>11215.940000000002</v>
      </c>
      <c r="Y38" s="92">
        <f t="shared" ref="Y38:AF38" si="9">(Y16*$B$16+Y17*$B$17+Y18*$B$18+Y19*$B$19+Y21*$B$21+Y28*$B$28+Y20*$B$20+Y27*$B$27+Y31*$B$31)</f>
        <v>11304.590000000002</v>
      </c>
      <c r="Z38" s="92">
        <f t="shared" si="9"/>
        <v>11241.340000000002</v>
      </c>
      <c r="AA38" s="92">
        <f>(AA16*$B$16+AA17*$B$17+AA18*$B$18+AA19*$B$19+AA21*$B$21+AA28*$B$28+AA20*$B$20+AA27*$B$27+AA31*$B$31+AA30*B30)</f>
        <v>11237.630000000003</v>
      </c>
      <c r="AB38" s="92">
        <f t="shared" si="9"/>
        <v>7882.7300000000005</v>
      </c>
      <c r="AC38" s="92">
        <f t="shared" si="9"/>
        <v>7829.54</v>
      </c>
      <c r="AD38" s="92">
        <f t="shared" si="9"/>
        <v>11111.95</v>
      </c>
      <c r="AE38" s="92">
        <f t="shared" si="9"/>
        <v>11051.090000000002</v>
      </c>
      <c r="AF38" s="92">
        <f t="shared" si="9"/>
        <v>11243.730000000001</v>
      </c>
      <c r="AG38" s="92">
        <f t="shared" ref="AG38" si="10">(AG16*$B$16+AG17*$B$17+AG18*$B$18+AG19*$B$19+AG21*$B$21+AG28*$B$28+AG20*$B$20+AG27*$B$27+AG31*$B$31)</f>
        <v>4916.8200000000006</v>
      </c>
    </row>
    <row r="39" spans="1:33" x14ac:dyDescent="0.3">
      <c r="A39" s="91" t="s">
        <v>93</v>
      </c>
      <c r="B39" s="243">
        <f t="shared" si="4"/>
        <v>208150.18999999994</v>
      </c>
      <c r="C39" s="92">
        <f>$B$5*C5+$B$6*C6+$B$7*C7+$B$8*C8+$B$10*C10+$B$9*C9+C11*B11+C14*B14</f>
        <v>7208.81</v>
      </c>
      <c r="D39" s="92">
        <f>$B$5*D5+$B$6*D6+$B$7*D7+$B$8*D8+$B$10*D10+$B$9*D9+D11*B11+D14*B14</f>
        <v>7208.81</v>
      </c>
      <c r="E39" s="92">
        <f t="shared" ref="E39:AA39" si="11">$B$5*E5+$B$6*E6+$B$7*E7+$B$8*E8+$B$10*E10+$B$9*E9</f>
        <v>7251.9400000000005</v>
      </c>
      <c r="F39" s="92">
        <f t="shared" si="11"/>
        <v>7208.81</v>
      </c>
      <c r="G39" s="92">
        <f t="shared" si="11"/>
        <v>6340.1100000000006</v>
      </c>
      <c r="H39" s="92">
        <f t="shared" si="11"/>
        <v>4787.43</v>
      </c>
      <c r="I39" s="92">
        <f t="shared" si="11"/>
        <v>7208.81</v>
      </c>
      <c r="J39" s="92">
        <f t="shared" si="11"/>
        <v>7208.81</v>
      </c>
      <c r="K39" s="92">
        <f t="shared" si="11"/>
        <v>7208.81</v>
      </c>
      <c r="L39" s="92">
        <f t="shared" si="11"/>
        <v>7208.81</v>
      </c>
      <c r="M39" s="92">
        <f t="shared" si="11"/>
        <v>7208.81</v>
      </c>
      <c r="N39" s="92">
        <f t="shared" si="11"/>
        <v>4787.43</v>
      </c>
      <c r="O39" s="92">
        <f t="shared" si="11"/>
        <v>4787.43</v>
      </c>
      <c r="P39" s="92">
        <f t="shared" si="11"/>
        <v>7208.81</v>
      </c>
      <c r="Q39" s="92">
        <f t="shared" si="11"/>
        <v>7208.81</v>
      </c>
      <c r="R39" s="92">
        <f t="shared" si="11"/>
        <v>7208.81</v>
      </c>
      <c r="S39" s="92">
        <f>$B$5*S5+$B$6*S6+$B$7*S7+$B$8*S8+$B$10*S10+$B$9*S9+S11*B11+S12*B12+S13*B13+S14*B14</f>
        <v>7208.81</v>
      </c>
      <c r="T39" s="92">
        <f t="shared" si="11"/>
        <v>7208.81</v>
      </c>
      <c r="U39" s="92">
        <f>$B$5*U5+$B$6*U6+$B$7*U7+$B$8*U8+$B$10*U10+$B$9*U9+U11*B11+U12*B12+U13*B13+U14*B14</f>
        <v>6340.1100000000006</v>
      </c>
      <c r="V39" s="92">
        <f>$B$5*V5+$B$6*V6+$B$7*V7+$B$8*V8+$B$10*V10+$B$9*V9+V11*B11+V12*B12+V13*B13+V14*B14</f>
        <v>4787.43</v>
      </c>
      <c r="W39" s="92">
        <f>$B$5*W5+$B$6*W6+$B$7*W7+$B$8*W8+$B$10*W10+$B$9*W9+W11*B11+W12*B12+W13*B13+W14*B14</f>
        <v>7208.81</v>
      </c>
      <c r="X39" s="92">
        <f>$B$5*X5+$B$6*X6+$B$7*X7+$B$8*X8+$B$10*X10+$B$9*X9+X11*B11+X12*B12+X13*B13+X14*B14</f>
        <v>7208.81</v>
      </c>
      <c r="Y39" s="92">
        <f t="shared" si="11"/>
        <v>7208.81</v>
      </c>
      <c r="Z39" s="92">
        <f t="shared" si="11"/>
        <v>7208.81</v>
      </c>
      <c r="AA39" s="92">
        <f t="shared" si="11"/>
        <v>7251.9400000000005</v>
      </c>
      <c r="AB39" s="92">
        <f>$B$5*AB5+$B$6*AB6+$B$7*AB7+$B$8*AB8+$B$10*AB10+$B$9*AB9+AB11*B11+AB14*B14</f>
        <v>6469.5</v>
      </c>
      <c r="AC39" s="92">
        <f>$B$5*AC5+$B$6*AC6+$B$7*AC7+$B$8*AC8+$B$10*AC10+$B$9*AC9+AC11*B11+AC14*B14</f>
        <v>6383.2400000000007</v>
      </c>
      <c r="AD39" s="92">
        <f>$B$5*AD5+$B$6*AD6+$B$7*AD7+$B$8*AD8+$B$10*AD10+$B$9*AD9+AD11*B11+AD14*B14</f>
        <v>7208.81</v>
      </c>
      <c r="AE39" s="92">
        <f>$B$5*AE5+$B$6*AE6+$B$7*AE7+$B$8*AE8+$B$10*AE10+$B$9*AE9+AE11*B11+AE14*B14</f>
        <v>7208.81</v>
      </c>
      <c r="AF39" s="92">
        <f>$B$5*AF5+$B$6*AF6+$B$7*AF7+$B$8*AF8+$B$10*AF10+$B$9*AF9+AF11*C11+AF14*C14</f>
        <v>7208.81</v>
      </c>
      <c r="AG39" s="92">
        <f>$B$5*AG5+$B$6*AG6+$B$7*AG7+$B$8*AG8+$B$10*AG10+$B$9*AG9+AG11*D11+AG14*D14</f>
        <v>4787.43</v>
      </c>
    </row>
    <row r="40" spans="1:33" x14ac:dyDescent="0.3">
      <c r="A40" s="91" t="s">
        <v>94</v>
      </c>
      <c r="B40" s="243">
        <f t="shared" si="4"/>
        <v>31259973.680000011</v>
      </c>
      <c r="C40" s="92">
        <f t="shared" ref="C40:AE40" si="12">C38*104</f>
        <v>1177684.5600000003</v>
      </c>
      <c r="D40" s="92">
        <f t="shared" si="12"/>
        <v>1172787.2000000002</v>
      </c>
      <c r="E40" s="92">
        <f t="shared" si="12"/>
        <v>1171989.52</v>
      </c>
      <c r="F40" s="92">
        <f t="shared" si="12"/>
        <v>1180162.8800000001</v>
      </c>
      <c r="G40" s="92">
        <f t="shared" si="12"/>
        <v>677313.52</v>
      </c>
      <c r="H40" s="92">
        <f t="shared" si="12"/>
        <v>511349.28000000009</v>
      </c>
      <c r="I40" s="92">
        <f t="shared" si="12"/>
        <v>1175677.3600000001</v>
      </c>
      <c r="J40" s="92">
        <f t="shared" si="12"/>
        <v>1175677.3600000001</v>
      </c>
      <c r="K40" s="92">
        <f t="shared" si="12"/>
        <v>1175677.3600000001</v>
      </c>
      <c r="L40" s="92">
        <f t="shared" si="12"/>
        <v>1170145.6000000001</v>
      </c>
      <c r="M40" s="92">
        <f t="shared" si="12"/>
        <v>1173035.7600000002</v>
      </c>
      <c r="N40" s="92">
        <f t="shared" si="12"/>
        <v>506863.76000000007</v>
      </c>
      <c r="O40" s="92">
        <f t="shared" si="12"/>
        <v>506863.76000000007</v>
      </c>
      <c r="P40" s="92">
        <f t="shared" si="12"/>
        <v>1170943.2800000003</v>
      </c>
      <c r="Q40" s="92">
        <f t="shared" si="12"/>
        <v>1167255.4400000002</v>
      </c>
      <c r="R40" s="92">
        <f t="shared" si="12"/>
        <v>1172787.2000000002</v>
      </c>
      <c r="S40" s="92">
        <f t="shared" si="12"/>
        <v>1169897.0400000003</v>
      </c>
      <c r="T40" s="92">
        <f t="shared" si="12"/>
        <v>1163567.6000000003</v>
      </c>
      <c r="U40" s="92">
        <f t="shared" si="12"/>
        <v>672828</v>
      </c>
      <c r="V40" s="92">
        <f t="shared" si="12"/>
        <v>511349.28000000009</v>
      </c>
      <c r="W40" s="92">
        <f t="shared" si="12"/>
        <v>1156440.4800000002</v>
      </c>
      <c r="X40" s="92">
        <f t="shared" si="12"/>
        <v>1166457.7600000002</v>
      </c>
      <c r="Y40" s="92">
        <f t="shared" si="12"/>
        <v>1175677.3600000001</v>
      </c>
      <c r="Z40" s="92">
        <f t="shared" si="12"/>
        <v>1169099.3600000001</v>
      </c>
      <c r="AA40" s="92">
        <f t="shared" si="12"/>
        <v>1168713.5200000003</v>
      </c>
      <c r="AB40" s="92">
        <f t="shared" si="12"/>
        <v>819803.92</v>
      </c>
      <c r="AC40" s="92">
        <f t="shared" si="12"/>
        <v>814272.16</v>
      </c>
      <c r="AD40" s="92">
        <f t="shared" si="12"/>
        <v>1155642.8</v>
      </c>
      <c r="AE40" s="92">
        <f t="shared" si="12"/>
        <v>1149313.3600000001</v>
      </c>
      <c r="AF40" s="92">
        <f t="shared" ref="AF40:AG40" si="13">AF38*104</f>
        <v>1169347.9200000002</v>
      </c>
      <c r="AG40" s="92">
        <f t="shared" si="13"/>
        <v>511349.28000000009</v>
      </c>
    </row>
    <row r="41" spans="1:33" x14ac:dyDescent="0.3">
      <c r="A41" s="91" t="s">
        <v>95</v>
      </c>
      <c r="B41" s="243">
        <f t="shared" si="4"/>
        <v>601153.34000000008</v>
      </c>
      <c r="C41" s="92">
        <f>C38*2</f>
        <v>22647.780000000006</v>
      </c>
      <c r="D41" s="92">
        <f t="shared" ref="D41:AD41" si="14">D38*2</f>
        <v>22553.600000000002</v>
      </c>
      <c r="E41" s="92">
        <f t="shared" si="14"/>
        <v>22538.260000000002</v>
      </c>
      <c r="F41" s="92">
        <f t="shared" si="14"/>
        <v>22695.440000000002</v>
      </c>
      <c r="G41" s="92">
        <f t="shared" si="14"/>
        <v>13025.26</v>
      </c>
      <c r="H41" s="92">
        <f t="shared" si="14"/>
        <v>9833.6400000000012</v>
      </c>
      <c r="I41" s="92">
        <f t="shared" si="14"/>
        <v>22609.180000000004</v>
      </c>
      <c r="J41" s="92">
        <f t="shared" si="14"/>
        <v>22609.180000000004</v>
      </c>
      <c r="K41" s="92">
        <f t="shared" si="14"/>
        <v>22609.180000000004</v>
      </c>
      <c r="L41" s="92">
        <f t="shared" si="14"/>
        <v>22502.800000000003</v>
      </c>
      <c r="M41" s="92">
        <f t="shared" si="14"/>
        <v>22558.380000000005</v>
      </c>
      <c r="N41" s="92">
        <f t="shared" si="14"/>
        <v>9747.380000000001</v>
      </c>
      <c r="O41" s="92">
        <f t="shared" si="14"/>
        <v>9747.380000000001</v>
      </c>
      <c r="P41" s="92">
        <f t="shared" si="14"/>
        <v>22518.140000000003</v>
      </c>
      <c r="Q41" s="92">
        <f t="shared" si="14"/>
        <v>22447.220000000005</v>
      </c>
      <c r="R41" s="92">
        <f t="shared" si="14"/>
        <v>22553.600000000002</v>
      </c>
      <c r="S41" s="92">
        <f t="shared" si="14"/>
        <v>22498.020000000004</v>
      </c>
      <c r="T41" s="92">
        <f t="shared" si="14"/>
        <v>22376.300000000007</v>
      </c>
      <c r="U41" s="92">
        <f t="shared" si="14"/>
        <v>12939</v>
      </c>
      <c r="V41" s="92">
        <f t="shared" si="14"/>
        <v>9833.6400000000012</v>
      </c>
      <c r="W41" s="92">
        <f t="shared" si="14"/>
        <v>22239.240000000005</v>
      </c>
      <c r="X41" s="92">
        <f t="shared" si="14"/>
        <v>22431.880000000005</v>
      </c>
      <c r="Y41" s="92">
        <f t="shared" si="14"/>
        <v>22609.180000000004</v>
      </c>
      <c r="Z41" s="92">
        <f t="shared" si="14"/>
        <v>22482.680000000004</v>
      </c>
      <c r="AA41" s="92">
        <f t="shared" si="14"/>
        <v>22475.260000000006</v>
      </c>
      <c r="AB41" s="92">
        <f t="shared" si="14"/>
        <v>15765.460000000001</v>
      </c>
      <c r="AC41" s="92">
        <f t="shared" si="14"/>
        <v>15659.08</v>
      </c>
      <c r="AD41" s="92">
        <f t="shared" si="14"/>
        <v>22223.9</v>
      </c>
      <c r="AE41" s="92">
        <f t="shared" ref="AE41:AF41" si="15">AE38*2</f>
        <v>22102.180000000004</v>
      </c>
      <c r="AF41" s="92">
        <f t="shared" si="15"/>
        <v>22487.460000000003</v>
      </c>
      <c r="AG41" s="92">
        <f t="shared" ref="AG41" si="16">AG38*2</f>
        <v>9833.6400000000012</v>
      </c>
    </row>
    <row r="42" spans="1:33" x14ac:dyDescent="0.3">
      <c r="A42" s="91" t="s">
        <v>96</v>
      </c>
      <c r="B42" s="243">
        <f t="shared" si="4"/>
        <v>2582508</v>
      </c>
      <c r="C42" s="92">
        <f>+C37*362</f>
        <v>97740</v>
      </c>
      <c r="D42" s="92">
        <f t="shared" ref="D42:AD42" si="17">+D37*362</f>
        <v>97016</v>
      </c>
      <c r="E42" s="92">
        <f t="shared" si="17"/>
        <v>97378</v>
      </c>
      <c r="F42" s="92">
        <f t="shared" si="17"/>
        <v>98102</v>
      </c>
      <c r="G42" s="92">
        <f t="shared" si="17"/>
        <v>54662</v>
      </c>
      <c r="H42" s="92">
        <f t="shared" si="17"/>
        <v>41268</v>
      </c>
      <c r="I42" s="92">
        <f t="shared" si="17"/>
        <v>97016</v>
      </c>
      <c r="J42" s="92">
        <f t="shared" si="17"/>
        <v>97016</v>
      </c>
      <c r="K42" s="92">
        <f t="shared" si="17"/>
        <v>97016</v>
      </c>
      <c r="L42" s="92">
        <f t="shared" si="17"/>
        <v>97016</v>
      </c>
      <c r="M42" s="92">
        <f t="shared" si="17"/>
        <v>97016</v>
      </c>
      <c r="N42" s="92">
        <f t="shared" si="17"/>
        <v>40906</v>
      </c>
      <c r="O42" s="92">
        <f t="shared" si="17"/>
        <v>40906</v>
      </c>
      <c r="P42" s="92">
        <f t="shared" si="17"/>
        <v>97378</v>
      </c>
      <c r="Q42" s="92">
        <f t="shared" si="17"/>
        <v>97378</v>
      </c>
      <c r="R42" s="92">
        <f t="shared" si="17"/>
        <v>97378</v>
      </c>
      <c r="S42" s="92">
        <f t="shared" si="17"/>
        <v>97378</v>
      </c>
      <c r="T42" s="92">
        <f t="shared" si="17"/>
        <v>97016</v>
      </c>
      <c r="U42" s="92">
        <f t="shared" si="17"/>
        <v>54300</v>
      </c>
      <c r="V42" s="92">
        <f t="shared" si="17"/>
        <v>41268</v>
      </c>
      <c r="W42" s="92">
        <f t="shared" si="17"/>
        <v>97016</v>
      </c>
      <c r="X42" s="92">
        <f t="shared" si="17"/>
        <v>97016</v>
      </c>
      <c r="Y42" s="92">
        <f t="shared" si="17"/>
        <v>97016</v>
      </c>
      <c r="Z42" s="92">
        <f t="shared" si="17"/>
        <v>97016</v>
      </c>
      <c r="AA42" s="92">
        <f t="shared" si="17"/>
        <v>97016</v>
      </c>
      <c r="AB42" s="92">
        <f t="shared" si="17"/>
        <v>66608</v>
      </c>
      <c r="AC42" s="92">
        <f t="shared" si="17"/>
        <v>66608</v>
      </c>
      <c r="AD42" s="92">
        <f t="shared" si="17"/>
        <v>95930</v>
      </c>
      <c r="AE42" s="92">
        <f t="shared" ref="AE42:AF42" si="18">+AE37*362</f>
        <v>95568</v>
      </c>
      <c r="AF42" s="92">
        <f t="shared" si="18"/>
        <v>96292</v>
      </c>
      <c r="AG42" s="92">
        <f t="shared" ref="AG42" si="19">+AG37*362</f>
        <v>41268</v>
      </c>
    </row>
    <row r="43" spans="1:33" ht="14.25" customHeight="1" x14ac:dyDescent="0.3">
      <c r="A43" s="93" t="s">
        <v>97</v>
      </c>
      <c r="B43" s="243">
        <f t="shared" si="4"/>
        <v>23835729.931000005</v>
      </c>
      <c r="C43" s="92">
        <f>C38*79.3</f>
        <v>897984.47700000019</v>
      </c>
      <c r="D43" s="92">
        <f t="shared" ref="D43:AD43" si="20">D38*79.3</f>
        <v>894250.24000000011</v>
      </c>
      <c r="E43" s="92">
        <f t="shared" si="20"/>
        <v>893642.00900000008</v>
      </c>
      <c r="F43" s="92">
        <f t="shared" si="20"/>
        <v>899874.19600000011</v>
      </c>
      <c r="G43" s="92">
        <f t="shared" si="20"/>
        <v>516451.55900000001</v>
      </c>
      <c r="H43" s="92">
        <f t="shared" si="20"/>
        <v>389903.82600000006</v>
      </c>
      <c r="I43" s="92">
        <f t="shared" si="20"/>
        <v>896453.98700000008</v>
      </c>
      <c r="J43" s="92">
        <f t="shared" si="20"/>
        <v>896453.98700000008</v>
      </c>
      <c r="K43" s="92">
        <f t="shared" si="20"/>
        <v>896453.98700000008</v>
      </c>
      <c r="L43" s="92">
        <f t="shared" si="20"/>
        <v>892236.02000000014</v>
      </c>
      <c r="M43" s="92">
        <f t="shared" si="20"/>
        <v>894439.76700000011</v>
      </c>
      <c r="N43" s="92">
        <f t="shared" si="20"/>
        <v>386483.61700000003</v>
      </c>
      <c r="O43" s="92">
        <f t="shared" si="20"/>
        <v>386483.61700000003</v>
      </c>
      <c r="P43" s="92">
        <f t="shared" si="20"/>
        <v>892844.25100000005</v>
      </c>
      <c r="Q43" s="92">
        <f t="shared" si="20"/>
        <v>890032.27300000016</v>
      </c>
      <c r="R43" s="92">
        <f t="shared" si="20"/>
        <v>894250.24000000011</v>
      </c>
      <c r="S43" s="92">
        <f t="shared" si="20"/>
        <v>892046.49300000013</v>
      </c>
      <c r="T43" s="92">
        <f t="shared" si="20"/>
        <v>887220.29500000027</v>
      </c>
      <c r="U43" s="92">
        <f t="shared" si="20"/>
        <v>513031.35</v>
      </c>
      <c r="V43" s="92">
        <f t="shared" si="20"/>
        <v>389903.82600000006</v>
      </c>
      <c r="W43" s="92">
        <f t="shared" si="20"/>
        <v>881785.86600000015</v>
      </c>
      <c r="X43" s="92">
        <f t="shared" si="20"/>
        <v>889424.04200000013</v>
      </c>
      <c r="Y43" s="92">
        <f t="shared" si="20"/>
        <v>896453.98700000008</v>
      </c>
      <c r="Z43" s="92">
        <f t="shared" si="20"/>
        <v>891438.2620000001</v>
      </c>
      <c r="AA43" s="92">
        <f t="shared" si="20"/>
        <v>891144.05900000024</v>
      </c>
      <c r="AB43" s="92">
        <f t="shared" si="20"/>
        <v>625100.48900000006</v>
      </c>
      <c r="AC43" s="92">
        <f>AC38*79.3</f>
        <v>620882.522</v>
      </c>
      <c r="AD43" s="92">
        <f t="shared" si="20"/>
        <v>881177.63500000001</v>
      </c>
      <c r="AE43" s="92">
        <f t="shared" ref="AE43:AF43" si="21">AE38*79.3</f>
        <v>876351.43700000015</v>
      </c>
      <c r="AF43" s="92">
        <f t="shared" si="21"/>
        <v>891627.78900000011</v>
      </c>
      <c r="AG43" s="92">
        <f t="shared" ref="AG43" si="22">AG38*79.3</f>
        <v>389903.82600000006</v>
      </c>
    </row>
    <row r="44" spans="1:33" x14ac:dyDescent="0.3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2"/>
      <c r="O44" s="8"/>
    </row>
    <row r="45" spans="1:33" x14ac:dyDescent="0.3">
      <c r="C45" s="8"/>
      <c r="D45" s="8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spans="1:33" x14ac:dyDescent="0.3">
      <c r="C46" s="8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spans="1:33" x14ac:dyDescent="0.3">
      <c r="E47" s="44"/>
      <c r="F47" s="136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6"/>
      <c r="Y47" s="44"/>
    </row>
    <row r="48" spans="1:33" x14ac:dyDescent="0.3">
      <c r="E48" s="44">
        <v>300414.46000000008</v>
      </c>
      <c r="F48" s="136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6"/>
      <c r="Y48" s="44"/>
    </row>
    <row r="49" spans="5:25" x14ac:dyDescent="0.3"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85"/>
      <c r="R49" s="44"/>
      <c r="S49" s="44"/>
      <c r="T49" s="44"/>
      <c r="U49" s="44"/>
      <c r="V49" s="44"/>
      <c r="W49" s="44"/>
      <c r="X49" s="44"/>
      <c r="Y49" s="44"/>
    </row>
    <row r="50" spans="5:25" x14ac:dyDescent="0.3">
      <c r="Q50" s="85"/>
    </row>
    <row r="51" spans="5:25" x14ac:dyDescent="0.3">
      <c r="Q51" s="85"/>
    </row>
    <row r="52" spans="5:25" x14ac:dyDescent="0.3">
      <c r="Q52" s="85"/>
    </row>
    <row r="53" spans="5:25" x14ac:dyDescent="0.3">
      <c r="Q53" s="85"/>
    </row>
    <row r="54" spans="5:25" x14ac:dyDescent="0.3">
      <c r="Q54" s="85"/>
    </row>
    <row r="55" spans="5:25" x14ac:dyDescent="0.3">
      <c r="Q55" s="85"/>
    </row>
    <row r="56" spans="5:25" x14ac:dyDescent="0.3">
      <c r="Q56" s="85"/>
    </row>
    <row r="57" spans="5:25" x14ac:dyDescent="0.3">
      <c r="Q57" s="85"/>
    </row>
    <row r="58" spans="5:25" x14ac:dyDescent="0.3">
      <c r="Q58" s="85"/>
    </row>
    <row r="59" spans="5:25" x14ac:dyDescent="0.3">
      <c r="Q59" s="85"/>
    </row>
    <row r="60" spans="5:25" x14ac:dyDescent="0.3">
      <c r="Q60" s="8"/>
    </row>
    <row r="61" spans="5:25" x14ac:dyDescent="0.3">
      <c r="Q61" s="8"/>
    </row>
  </sheetData>
  <pageMargins left="0.7" right="0.7" top="0.75" bottom="0.75" header="0.3" footer="0.3"/>
  <pageSetup orientation="portrait" r:id="rId1"/>
  <ignoredErrors>
    <ignoredError sqref="K36:K3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CC62"/>
  <sheetViews>
    <sheetView zoomScale="85" zoomScaleNormal="85" workbookViewId="0">
      <pane xSplit="1" topLeftCell="O1" activePane="topRight" state="frozen"/>
      <selection pane="topRight" activeCell="AU59" sqref="AU59"/>
    </sheetView>
  </sheetViews>
  <sheetFormatPr baseColWidth="10" defaultColWidth="5.109375" defaultRowHeight="14.4" x14ac:dyDescent="0.3"/>
  <cols>
    <col min="1" max="1" width="19.33203125" customWidth="1"/>
    <col min="2" max="2" width="10.109375" customWidth="1"/>
    <col min="3" max="3" width="2.5546875" customWidth="1"/>
    <col min="4" max="4" width="5.33203125" customWidth="1"/>
    <col min="5" max="5" width="6.44140625" customWidth="1"/>
    <col min="6" max="6" width="5.5546875" customWidth="1"/>
    <col min="8" max="8" width="6.33203125" customWidth="1"/>
    <col min="11" max="11" width="6" customWidth="1"/>
    <col min="12" max="12" width="5.88671875" customWidth="1"/>
    <col min="13" max="13" width="6.109375" customWidth="1"/>
    <col min="15" max="15" width="7.44140625" customWidth="1"/>
    <col min="17" max="17" width="5.88671875" customWidth="1"/>
    <col min="19" max="19" width="6.6640625" customWidth="1"/>
    <col min="20" max="20" width="5.33203125" customWidth="1"/>
    <col min="23" max="23" width="6.109375" customWidth="1"/>
    <col min="25" max="25" width="7.33203125" customWidth="1"/>
    <col min="27" max="27" width="7.33203125" customWidth="1"/>
    <col min="29" max="29" width="5.33203125" customWidth="1"/>
    <col min="31" max="31" width="6.33203125" customWidth="1"/>
    <col min="33" max="33" width="7.33203125" customWidth="1"/>
    <col min="34" max="34" width="5.44140625" customWidth="1"/>
    <col min="37" max="37" width="6" customWidth="1"/>
    <col min="39" max="39" width="6" customWidth="1"/>
    <col min="41" max="41" width="5.6640625" customWidth="1"/>
    <col min="43" max="43" width="6.33203125" customWidth="1"/>
    <col min="45" max="45" width="6.109375" customWidth="1"/>
    <col min="47" max="47" width="7.109375" customWidth="1"/>
    <col min="49" max="49" width="7.109375" customWidth="1"/>
    <col min="51" max="51" width="6.6640625" customWidth="1"/>
    <col min="53" max="53" width="6.88671875" customWidth="1"/>
    <col min="54" max="54" width="5.44140625" customWidth="1"/>
    <col min="55" max="55" width="4.88671875" customWidth="1"/>
    <col min="56" max="56" width="6.44140625" customWidth="1"/>
    <col min="58" max="59" width="5.5546875" customWidth="1"/>
    <col min="61" max="61" width="6.88671875" customWidth="1"/>
    <col min="63" max="63" width="6.33203125" customWidth="1"/>
    <col min="65" max="65" width="6.44140625" customWidth="1"/>
  </cols>
  <sheetData>
    <row r="1" spans="1:65" x14ac:dyDescent="0.3">
      <c r="C1" s="8"/>
      <c r="D1" s="355">
        <v>45566</v>
      </c>
      <c r="E1" s="355"/>
      <c r="F1" s="355">
        <v>45567</v>
      </c>
      <c r="G1" s="355"/>
      <c r="H1" s="355">
        <v>45568</v>
      </c>
      <c r="I1" s="355"/>
      <c r="J1" s="355">
        <v>45569</v>
      </c>
      <c r="K1" s="355"/>
      <c r="L1" s="355">
        <v>45570</v>
      </c>
      <c r="M1" s="355"/>
      <c r="N1" s="355">
        <v>45571</v>
      </c>
      <c r="O1" s="355"/>
      <c r="P1" s="355">
        <v>45572</v>
      </c>
      <c r="Q1" s="355"/>
      <c r="R1" s="355">
        <v>45573</v>
      </c>
      <c r="S1" s="355"/>
      <c r="T1" s="355">
        <v>45574</v>
      </c>
      <c r="U1" s="355"/>
      <c r="V1" s="355">
        <v>45575</v>
      </c>
      <c r="W1" s="355"/>
      <c r="X1" s="355">
        <v>45576</v>
      </c>
      <c r="Y1" s="355"/>
      <c r="Z1" s="355">
        <v>45577</v>
      </c>
      <c r="AA1" s="355"/>
      <c r="AB1" s="355">
        <v>45578</v>
      </c>
      <c r="AC1" s="355"/>
      <c r="AD1" s="355">
        <v>45579</v>
      </c>
      <c r="AE1" s="355"/>
      <c r="AF1" s="355">
        <v>45580</v>
      </c>
      <c r="AG1" s="355"/>
      <c r="AH1" s="355">
        <v>45581</v>
      </c>
      <c r="AI1" s="355"/>
      <c r="AJ1" s="355">
        <v>45582</v>
      </c>
      <c r="AK1" s="355"/>
      <c r="AL1" s="355">
        <v>45583</v>
      </c>
      <c r="AM1" s="355"/>
      <c r="AN1" s="355">
        <v>45584</v>
      </c>
      <c r="AO1" s="355"/>
      <c r="AP1" s="355">
        <v>45585</v>
      </c>
      <c r="AQ1" s="355"/>
      <c r="AR1" s="355">
        <v>45586</v>
      </c>
      <c r="AS1" s="355"/>
      <c r="AT1" s="355">
        <v>45587</v>
      </c>
      <c r="AU1" s="355"/>
      <c r="AV1" s="355">
        <v>45588</v>
      </c>
      <c r="AW1" s="355"/>
      <c r="AX1" s="355">
        <v>45589</v>
      </c>
      <c r="AY1" s="355"/>
      <c r="AZ1" s="355">
        <v>45590</v>
      </c>
      <c r="BA1" s="355"/>
      <c r="BB1" s="355">
        <v>45591</v>
      </c>
      <c r="BC1" s="355"/>
      <c r="BD1" s="355">
        <v>45592</v>
      </c>
      <c r="BE1" s="355"/>
      <c r="BF1" s="355">
        <v>45593</v>
      </c>
      <c r="BG1" s="355"/>
      <c r="BH1" s="355">
        <v>45594</v>
      </c>
      <c r="BI1" s="355"/>
      <c r="BJ1" s="355">
        <v>45595</v>
      </c>
      <c r="BK1" s="355"/>
      <c r="BL1" s="355">
        <v>45596</v>
      </c>
      <c r="BM1" s="355"/>
    </row>
    <row r="2" spans="1:65" ht="15" thickBot="1" x14ac:dyDescent="0.35">
      <c r="C2" s="8"/>
      <c r="D2" s="45" t="s">
        <v>71</v>
      </c>
      <c r="E2" s="46" t="s">
        <v>72</v>
      </c>
      <c r="F2" s="45" t="s">
        <v>71</v>
      </c>
      <c r="G2" s="46" t="s">
        <v>72</v>
      </c>
      <c r="H2" s="47" t="s">
        <v>71</v>
      </c>
      <c r="I2" s="48" t="s">
        <v>72</v>
      </c>
      <c r="J2" s="47" t="s">
        <v>71</v>
      </c>
      <c r="K2" s="48" t="s">
        <v>72</v>
      </c>
      <c r="L2" s="47" t="s">
        <v>71</v>
      </c>
      <c r="M2" s="48" t="s">
        <v>72</v>
      </c>
      <c r="N2" s="47" t="s">
        <v>71</v>
      </c>
      <c r="O2" s="49" t="s">
        <v>72</v>
      </c>
      <c r="P2" s="50" t="s">
        <v>71</v>
      </c>
      <c r="Q2" s="51" t="s">
        <v>72</v>
      </c>
      <c r="R2" s="52" t="s">
        <v>71</v>
      </c>
      <c r="S2" s="48" t="s">
        <v>72</v>
      </c>
      <c r="T2" s="47" t="s">
        <v>71</v>
      </c>
      <c r="U2" s="48" t="s">
        <v>72</v>
      </c>
      <c r="V2" s="47" t="s">
        <v>71</v>
      </c>
      <c r="W2" s="48" t="s">
        <v>72</v>
      </c>
      <c r="X2" s="47" t="s">
        <v>71</v>
      </c>
      <c r="Y2" s="48" t="s">
        <v>72</v>
      </c>
      <c r="Z2" s="47" t="s">
        <v>71</v>
      </c>
      <c r="AA2" s="48" t="s">
        <v>72</v>
      </c>
      <c r="AB2" s="47" t="s">
        <v>71</v>
      </c>
      <c r="AC2" s="48" t="s">
        <v>72</v>
      </c>
      <c r="AD2" s="47" t="s">
        <v>71</v>
      </c>
      <c r="AE2" s="48" t="s">
        <v>72</v>
      </c>
      <c r="AF2" s="47" t="s">
        <v>71</v>
      </c>
      <c r="AG2" s="48" t="s">
        <v>72</v>
      </c>
      <c r="AH2" s="47" t="s">
        <v>71</v>
      </c>
      <c r="AI2" s="48" t="s">
        <v>72</v>
      </c>
      <c r="AJ2" s="47" t="s">
        <v>71</v>
      </c>
      <c r="AK2" s="48" t="s">
        <v>72</v>
      </c>
      <c r="AL2" s="47" t="s">
        <v>71</v>
      </c>
      <c r="AM2" s="48" t="s">
        <v>72</v>
      </c>
      <c r="AN2" s="47" t="s">
        <v>71</v>
      </c>
      <c r="AO2" s="48" t="s">
        <v>72</v>
      </c>
      <c r="AP2" s="47" t="s">
        <v>71</v>
      </c>
      <c r="AQ2" s="48" t="s">
        <v>72</v>
      </c>
      <c r="AR2" s="47" t="s">
        <v>71</v>
      </c>
      <c r="AS2" s="48" t="s">
        <v>72</v>
      </c>
      <c r="AT2" s="47" t="s">
        <v>71</v>
      </c>
      <c r="AU2" s="48" t="s">
        <v>72</v>
      </c>
      <c r="AV2" s="47" t="s">
        <v>71</v>
      </c>
      <c r="AW2" s="48" t="s">
        <v>72</v>
      </c>
      <c r="AX2" s="52" t="s">
        <v>71</v>
      </c>
      <c r="AY2" s="53" t="s">
        <v>72</v>
      </c>
      <c r="AZ2" s="53" t="s">
        <v>71</v>
      </c>
      <c r="BA2" s="53" t="s">
        <v>72</v>
      </c>
      <c r="BB2" s="53" t="s">
        <v>71</v>
      </c>
      <c r="BC2" s="53" t="s">
        <v>72</v>
      </c>
      <c r="BD2" s="53" t="s">
        <v>71</v>
      </c>
      <c r="BE2" s="53" t="s">
        <v>72</v>
      </c>
      <c r="BF2" s="53" t="s">
        <v>71</v>
      </c>
      <c r="BG2" s="53" t="s">
        <v>72</v>
      </c>
      <c r="BH2" s="47" t="s">
        <v>71</v>
      </c>
      <c r="BI2" s="48" t="s">
        <v>72</v>
      </c>
      <c r="BJ2" s="47" t="s">
        <v>71</v>
      </c>
      <c r="BK2" s="48" t="s">
        <v>72</v>
      </c>
      <c r="BL2" s="47" t="s">
        <v>71</v>
      </c>
      <c r="BM2" s="48" t="s">
        <v>72</v>
      </c>
    </row>
    <row r="3" spans="1:65" ht="15" thickBot="1" x14ac:dyDescent="0.35">
      <c r="A3" s="66" t="s">
        <v>73</v>
      </c>
      <c r="B3" s="67"/>
      <c r="C3" s="8"/>
      <c r="D3" s="159">
        <v>0</v>
      </c>
      <c r="E3" s="159">
        <v>2</v>
      </c>
      <c r="F3" s="159">
        <v>0</v>
      </c>
      <c r="G3" s="159">
        <v>2</v>
      </c>
      <c r="H3" s="159">
        <v>0</v>
      </c>
      <c r="I3" s="159">
        <v>2</v>
      </c>
      <c r="J3" s="159">
        <v>0</v>
      </c>
      <c r="K3" s="159">
        <v>2</v>
      </c>
      <c r="L3" s="138">
        <v>0</v>
      </c>
      <c r="M3" s="138">
        <v>0</v>
      </c>
      <c r="N3" s="299">
        <v>0</v>
      </c>
      <c r="O3" s="299">
        <v>0</v>
      </c>
      <c r="P3" s="159">
        <v>0</v>
      </c>
      <c r="Q3" s="159">
        <v>2</v>
      </c>
      <c r="R3" s="159">
        <v>0</v>
      </c>
      <c r="S3" s="159">
        <v>2</v>
      </c>
      <c r="T3" s="159">
        <v>0</v>
      </c>
      <c r="U3" s="159">
        <v>0</v>
      </c>
      <c r="V3" s="159">
        <v>0</v>
      </c>
      <c r="W3" s="159">
        <v>2</v>
      </c>
      <c r="X3" s="159">
        <v>0</v>
      </c>
      <c r="Y3" s="159">
        <v>2</v>
      </c>
      <c r="Z3" s="299">
        <v>0</v>
      </c>
      <c r="AA3" s="299">
        <v>0</v>
      </c>
      <c r="AB3" s="299">
        <v>0</v>
      </c>
      <c r="AC3" s="299">
        <v>0</v>
      </c>
      <c r="AD3" s="159">
        <v>0</v>
      </c>
      <c r="AE3" s="159">
        <v>2</v>
      </c>
      <c r="AF3" s="159">
        <v>0</v>
      </c>
      <c r="AG3" s="159">
        <v>2</v>
      </c>
      <c r="AH3" s="159">
        <v>0</v>
      </c>
      <c r="AI3" s="159">
        <v>2</v>
      </c>
      <c r="AJ3" s="159">
        <v>0</v>
      </c>
      <c r="AK3" s="159">
        <v>2</v>
      </c>
      <c r="AL3" s="159">
        <v>0</v>
      </c>
      <c r="AM3" s="159">
        <v>2</v>
      </c>
      <c r="AN3" s="138">
        <v>0</v>
      </c>
      <c r="AO3" s="138">
        <v>0</v>
      </c>
      <c r="AP3" s="299">
        <v>0</v>
      </c>
      <c r="AQ3" s="299">
        <v>0</v>
      </c>
      <c r="AR3" s="159">
        <v>0</v>
      </c>
      <c r="AS3" s="159">
        <v>2</v>
      </c>
      <c r="AT3" s="159">
        <v>0</v>
      </c>
      <c r="AU3" s="159">
        <v>2</v>
      </c>
      <c r="AV3" s="159">
        <v>0</v>
      </c>
      <c r="AW3" s="159">
        <v>2</v>
      </c>
      <c r="AX3" s="159">
        <v>0</v>
      </c>
      <c r="AY3" s="159">
        <v>2</v>
      </c>
      <c r="AZ3" s="159">
        <v>0</v>
      </c>
      <c r="BA3" s="159">
        <v>2</v>
      </c>
      <c r="BB3" s="138">
        <v>0</v>
      </c>
      <c r="BC3" s="138">
        <v>0</v>
      </c>
      <c r="BD3" s="299">
        <v>0</v>
      </c>
      <c r="BE3" s="299">
        <v>0</v>
      </c>
      <c r="BF3" s="159">
        <v>0</v>
      </c>
      <c r="BG3" s="159">
        <v>2</v>
      </c>
      <c r="BH3" s="159">
        <v>0</v>
      </c>
      <c r="BI3" s="159">
        <v>2</v>
      </c>
      <c r="BJ3" s="159">
        <v>0</v>
      </c>
      <c r="BK3" s="159">
        <v>2</v>
      </c>
      <c r="BL3" s="299">
        <v>0</v>
      </c>
      <c r="BM3" s="299">
        <v>0</v>
      </c>
    </row>
    <row r="4" spans="1:65" s="127" customFormat="1" x14ac:dyDescent="0.3">
      <c r="A4" s="66" t="s">
        <v>123</v>
      </c>
      <c r="B4" s="158"/>
      <c r="C4" s="8"/>
      <c r="D4" s="159">
        <v>0</v>
      </c>
      <c r="E4" s="159">
        <v>0</v>
      </c>
      <c r="F4" s="159">
        <v>0</v>
      </c>
      <c r="G4" s="159">
        <v>0</v>
      </c>
      <c r="H4" s="159">
        <v>0</v>
      </c>
      <c r="I4" s="159">
        <v>0</v>
      </c>
      <c r="J4" s="159">
        <v>0</v>
      </c>
      <c r="K4" s="159">
        <v>0</v>
      </c>
      <c r="L4" s="138">
        <v>0</v>
      </c>
      <c r="M4" s="138">
        <v>0</v>
      </c>
      <c r="N4" s="299">
        <v>0</v>
      </c>
      <c r="O4" s="299">
        <v>0</v>
      </c>
      <c r="P4" s="159">
        <v>0</v>
      </c>
      <c r="Q4" s="159">
        <v>0</v>
      </c>
      <c r="R4" s="159">
        <v>0</v>
      </c>
      <c r="S4" s="159">
        <v>0</v>
      </c>
      <c r="T4" s="159">
        <v>0</v>
      </c>
      <c r="U4" s="159">
        <v>0</v>
      </c>
      <c r="V4" s="159">
        <v>0</v>
      </c>
      <c r="W4" s="159">
        <v>0</v>
      </c>
      <c r="X4" s="159">
        <v>0</v>
      </c>
      <c r="Y4" s="159">
        <v>0</v>
      </c>
      <c r="Z4" s="299">
        <v>0</v>
      </c>
      <c r="AA4" s="299">
        <v>0</v>
      </c>
      <c r="AB4" s="299">
        <v>0</v>
      </c>
      <c r="AC4" s="299">
        <v>0</v>
      </c>
      <c r="AD4" s="159">
        <v>0</v>
      </c>
      <c r="AE4" s="159">
        <v>0</v>
      </c>
      <c r="AF4" s="159">
        <v>0</v>
      </c>
      <c r="AG4" s="159">
        <v>0</v>
      </c>
      <c r="AH4" s="159">
        <v>0</v>
      </c>
      <c r="AI4" s="159">
        <v>0</v>
      </c>
      <c r="AJ4" s="159">
        <v>0</v>
      </c>
      <c r="AK4" s="159">
        <v>0</v>
      </c>
      <c r="AL4" s="159">
        <v>0</v>
      </c>
      <c r="AM4" s="159">
        <v>0</v>
      </c>
      <c r="AN4" s="138">
        <v>0</v>
      </c>
      <c r="AO4" s="138">
        <v>0</v>
      </c>
      <c r="AP4" s="299">
        <v>0</v>
      </c>
      <c r="AQ4" s="299">
        <v>0</v>
      </c>
      <c r="AR4" s="159">
        <v>0</v>
      </c>
      <c r="AS4" s="159">
        <v>0</v>
      </c>
      <c r="AT4" s="159">
        <v>0</v>
      </c>
      <c r="AU4" s="159">
        <v>0</v>
      </c>
      <c r="AV4" s="159">
        <v>0</v>
      </c>
      <c r="AW4" s="159">
        <v>0</v>
      </c>
      <c r="AX4" s="159">
        <v>0</v>
      </c>
      <c r="AY4" s="159">
        <v>0</v>
      </c>
      <c r="AZ4" s="159">
        <v>0</v>
      </c>
      <c r="BA4" s="159">
        <v>0</v>
      </c>
      <c r="BB4" s="138">
        <v>0</v>
      </c>
      <c r="BC4" s="138">
        <v>0</v>
      </c>
      <c r="BD4" s="299">
        <v>0</v>
      </c>
      <c r="BE4" s="299">
        <v>0</v>
      </c>
      <c r="BF4" s="159">
        <v>0</v>
      </c>
      <c r="BG4" s="159">
        <v>0</v>
      </c>
      <c r="BH4" s="159">
        <v>0</v>
      </c>
      <c r="BI4" s="159">
        <v>0</v>
      </c>
      <c r="BJ4" s="159">
        <v>0</v>
      </c>
      <c r="BK4" s="159">
        <v>0</v>
      </c>
      <c r="BL4" s="299">
        <v>0</v>
      </c>
      <c r="BM4" s="299">
        <v>0</v>
      </c>
    </row>
    <row r="5" spans="1:65" x14ac:dyDescent="0.3">
      <c r="A5" s="68" t="s">
        <v>74</v>
      </c>
      <c r="B5" s="69"/>
      <c r="C5" s="8"/>
      <c r="D5" s="159">
        <v>0</v>
      </c>
      <c r="E5" s="159">
        <v>10</v>
      </c>
      <c r="F5" s="159">
        <v>0</v>
      </c>
      <c r="G5" s="159">
        <v>10</v>
      </c>
      <c r="H5" s="159">
        <v>0</v>
      </c>
      <c r="I5" s="159">
        <v>10</v>
      </c>
      <c r="J5" s="159">
        <v>0</v>
      </c>
      <c r="K5" s="159">
        <v>10</v>
      </c>
      <c r="L5" s="138">
        <v>0</v>
      </c>
      <c r="M5" s="138">
        <v>0</v>
      </c>
      <c r="N5" s="299">
        <v>0</v>
      </c>
      <c r="O5" s="299">
        <v>0</v>
      </c>
      <c r="P5" s="159">
        <v>0</v>
      </c>
      <c r="Q5" s="159">
        <v>10</v>
      </c>
      <c r="R5" s="159">
        <v>0</v>
      </c>
      <c r="S5" s="159">
        <v>10</v>
      </c>
      <c r="T5" s="159">
        <v>0</v>
      </c>
      <c r="U5" s="159">
        <v>0</v>
      </c>
      <c r="V5" s="159">
        <v>0</v>
      </c>
      <c r="W5" s="159">
        <v>10</v>
      </c>
      <c r="X5" s="159">
        <v>0</v>
      </c>
      <c r="Y5" s="159">
        <v>10</v>
      </c>
      <c r="Z5" s="299">
        <v>0</v>
      </c>
      <c r="AA5" s="299">
        <v>0</v>
      </c>
      <c r="AB5" s="299">
        <v>0</v>
      </c>
      <c r="AC5" s="299">
        <v>0</v>
      </c>
      <c r="AD5" s="159">
        <v>0</v>
      </c>
      <c r="AE5" s="159">
        <v>10</v>
      </c>
      <c r="AF5" s="159">
        <v>0</v>
      </c>
      <c r="AG5" s="159">
        <v>10</v>
      </c>
      <c r="AH5" s="159">
        <v>0</v>
      </c>
      <c r="AI5" s="159">
        <v>10</v>
      </c>
      <c r="AJ5" s="159">
        <v>0</v>
      </c>
      <c r="AK5" s="159">
        <v>10</v>
      </c>
      <c r="AL5" s="159">
        <v>0</v>
      </c>
      <c r="AM5" s="159">
        <v>10</v>
      </c>
      <c r="AN5" s="138">
        <v>0</v>
      </c>
      <c r="AO5" s="138">
        <v>0</v>
      </c>
      <c r="AP5" s="299">
        <v>0</v>
      </c>
      <c r="AQ5" s="299">
        <v>0</v>
      </c>
      <c r="AR5" s="159">
        <v>0</v>
      </c>
      <c r="AS5" s="159">
        <v>10</v>
      </c>
      <c r="AT5" s="159">
        <v>0</v>
      </c>
      <c r="AU5" s="159">
        <v>10</v>
      </c>
      <c r="AV5" s="159">
        <v>0</v>
      </c>
      <c r="AW5" s="159">
        <v>10</v>
      </c>
      <c r="AX5" s="159">
        <v>0</v>
      </c>
      <c r="AY5" s="159">
        <v>10</v>
      </c>
      <c r="AZ5" s="159">
        <v>0</v>
      </c>
      <c r="BA5" s="159">
        <v>10</v>
      </c>
      <c r="BB5" s="138">
        <v>0</v>
      </c>
      <c r="BC5" s="138">
        <v>0</v>
      </c>
      <c r="BD5" s="299">
        <v>0</v>
      </c>
      <c r="BE5" s="299">
        <v>0</v>
      </c>
      <c r="BF5" s="159">
        <v>0</v>
      </c>
      <c r="BG5" s="159">
        <v>10</v>
      </c>
      <c r="BH5" s="159">
        <v>0</v>
      </c>
      <c r="BI5" s="159">
        <v>10</v>
      </c>
      <c r="BJ5" s="159">
        <v>0</v>
      </c>
      <c r="BK5" s="159">
        <v>10</v>
      </c>
      <c r="BL5" s="299">
        <v>0</v>
      </c>
      <c r="BM5" s="299">
        <v>0</v>
      </c>
    </row>
    <row r="6" spans="1:65" x14ac:dyDescent="0.3">
      <c r="A6" s="68" t="s">
        <v>75</v>
      </c>
      <c r="B6" s="69"/>
      <c r="C6" s="8"/>
      <c r="D6" s="159">
        <v>0</v>
      </c>
      <c r="E6" s="159">
        <v>1</v>
      </c>
      <c r="F6" s="159">
        <v>0</v>
      </c>
      <c r="G6" s="159">
        <v>1</v>
      </c>
      <c r="H6" s="159">
        <v>0</v>
      </c>
      <c r="I6" s="159">
        <v>1</v>
      </c>
      <c r="J6" s="159">
        <v>0</v>
      </c>
      <c r="K6" s="159">
        <v>1</v>
      </c>
      <c r="L6" s="138">
        <v>0</v>
      </c>
      <c r="M6" s="138">
        <v>0</v>
      </c>
      <c r="N6" s="299">
        <v>0</v>
      </c>
      <c r="O6" s="299">
        <v>0</v>
      </c>
      <c r="P6" s="159">
        <v>0</v>
      </c>
      <c r="Q6" s="159">
        <v>1</v>
      </c>
      <c r="R6" s="159">
        <v>0</v>
      </c>
      <c r="S6" s="159">
        <v>1</v>
      </c>
      <c r="T6" s="159">
        <v>0</v>
      </c>
      <c r="U6" s="159">
        <v>0</v>
      </c>
      <c r="V6" s="159">
        <v>0</v>
      </c>
      <c r="W6" s="159">
        <v>1</v>
      </c>
      <c r="X6" s="159">
        <v>0</v>
      </c>
      <c r="Y6" s="159">
        <v>1</v>
      </c>
      <c r="Z6" s="299">
        <v>0</v>
      </c>
      <c r="AA6" s="299">
        <v>0</v>
      </c>
      <c r="AB6" s="299">
        <v>0</v>
      </c>
      <c r="AC6" s="299">
        <v>0</v>
      </c>
      <c r="AD6" s="159">
        <v>0</v>
      </c>
      <c r="AE6" s="159">
        <v>1</v>
      </c>
      <c r="AF6" s="159">
        <v>0</v>
      </c>
      <c r="AG6" s="159">
        <v>1</v>
      </c>
      <c r="AH6" s="159">
        <v>0</v>
      </c>
      <c r="AI6" s="159">
        <v>1</v>
      </c>
      <c r="AJ6" s="159">
        <v>0</v>
      </c>
      <c r="AK6" s="159">
        <v>1</v>
      </c>
      <c r="AL6" s="159">
        <v>0</v>
      </c>
      <c r="AM6" s="159">
        <v>1</v>
      </c>
      <c r="AN6" s="138">
        <v>0</v>
      </c>
      <c r="AO6" s="138">
        <v>0</v>
      </c>
      <c r="AP6" s="299">
        <v>0</v>
      </c>
      <c r="AQ6" s="299">
        <v>0</v>
      </c>
      <c r="AR6" s="159">
        <v>0</v>
      </c>
      <c r="AS6" s="159">
        <v>1</v>
      </c>
      <c r="AT6" s="159">
        <v>0</v>
      </c>
      <c r="AU6" s="159">
        <v>1</v>
      </c>
      <c r="AV6" s="159">
        <v>0</v>
      </c>
      <c r="AW6" s="159">
        <v>1</v>
      </c>
      <c r="AX6" s="159">
        <v>0</v>
      </c>
      <c r="AY6" s="159">
        <v>1</v>
      </c>
      <c r="AZ6" s="159">
        <v>0</v>
      </c>
      <c r="BA6" s="159">
        <v>1</v>
      </c>
      <c r="BB6" s="138">
        <v>0</v>
      </c>
      <c r="BC6" s="138">
        <v>0</v>
      </c>
      <c r="BD6" s="299">
        <v>0</v>
      </c>
      <c r="BE6" s="299">
        <v>0</v>
      </c>
      <c r="BF6" s="159">
        <v>0</v>
      </c>
      <c r="BG6" s="159">
        <v>1</v>
      </c>
      <c r="BH6" s="159">
        <v>0</v>
      </c>
      <c r="BI6" s="159">
        <v>1</v>
      </c>
      <c r="BJ6" s="159">
        <v>0</v>
      </c>
      <c r="BK6" s="159">
        <v>1</v>
      </c>
      <c r="BL6" s="299">
        <v>0</v>
      </c>
      <c r="BM6" s="299">
        <v>0</v>
      </c>
    </row>
    <row r="7" spans="1:65" x14ac:dyDescent="0.3">
      <c r="A7" s="68" t="s">
        <v>76</v>
      </c>
      <c r="B7" s="69"/>
      <c r="C7" s="8"/>
      <c r="D7" s="159">
        <v>0</v>
      </c>
      <c r="E7" s="159">
        <v>0</v>
      </c>
      <c r="F7" s="159">
        <v>0</v>
      </c>
      <c r="G7" s="159">
        <v>0</v>
      </c>
      <c r="H7" s="159">
        <v>0</v>
      </c>
      <c r="I7" s="159">
        <v>0</v>
      </c>
      <c r="J7" s="159">
        <v>0</v>
      </c>
      <c r="K7" s="159">
        <v>0</v>
      </c>
      <c r="L7" s="138">
        <v>0</v>
      </c>
      <c r="M7" s="138">
        <v>0</v>
      </c>
      <c r="N7" s="299">
        <v>0</v>
      </c>
      <c r="O7" s="299">
        <v>0</v>
      </c>
      <c r="P7" s="159">
        <v>0</v>
      </c>
      <c r="Q7" s="159">
        <v>0</v>
      </c>
      <c r="R7" s="159">
        <v>0</v>
      </c>
      <c r="S7" s="159">
        <v>0</v>
      </c>
      <c r="T7" s="159">
        <v>0</v>
      </c>
      <c r="U7" s="159">
        <v>0</v>
      </c>
      <c r="V7" s="159">
        <v>0</v>
      </c>
      <c r="W7" s="159">
        <v>0</v>
      </c>
      <c r="X7" s="159">
        <v>0</v>
      </c>
      <c r="Y7" s="159">
        <v>0</v>
      </c>
      <c r="Z7" s="299">
        <v>0</v>
      </c>
      <c r="AA7" s="299">
        <v>0</v>
      </c>
      <c r="AB7" s="299">
        <v>0</v>
      </c>
      <c r="AC7" s="299">
        <v>0</v>
      </c>
      <c r="AD7" s="159">
        <v>0</v>
      </c>
      <c r="AE7" s="159">
        <v>0</v>
      </c>
      <c r="AF7" s="159">
        <v>0</v>
      </c>
      <c r="AG7" s="159">
        <v>0</v>
      </c>
      <c r="AH7" s="159">
        <v>0</v>
      </c>
      <c r="AI7" s="159">
        <v>0</v>
      </c>
      <c r="AJ7" s="159">
        <v>0</v>
      </c>
      <c r="AK7" s="159">
        <v>0</v>
      </c>
      <c r="AL7" s="159">
        <v>0</v>
      </c>
      <c r="AM7" s="159">
        <v>0</v>
      </c>
      <c r="AN7" s="138">
        <v>0</v>
      </c>
      <c r="AO7" s="138">
        <v>0</v>
      </c>
      <c r="AP7" s="299">
        <v>0</v>
      </c>
      <c r="AQ7" s="299">
        <v>0</v>
      </c>
      <c r="AR7" s="159">
        <v>0</v>
      </c>
      <c r="AS7" s="159">
        <v>0</v>
      </c>
      <c r="AT7" s="159">
        <v>0</v>
      </c>
      <c r="AU7" s="159">
        <v>0</v>
      </c>
      <c r="AV7" s="159">
        <v>0</v>
      </c>
      <c r="AW7" s="159">
        <v>0</v>
      </c>
      <c r="AX7" s="159">
        <v>0</v>
      </c>
      <c r="AY7" s="159">
        <v>0</v>
      </c>
      <c r="AZ7" s="159">
        <v>0</v>
      </c>
      <c r="BA7" s="159">
        <v>0</v>
      </c>
      <c r="BB7" s="138">
        <v>0</v>
      </c>
      <c r="BC7" s="138">
        <v>0</v>
      </c>
      <c r="BD7" s="299">
        <v>0</v>
      </c>
      <c r="BE7" s="299">
        <v>0</v>
      </c>
      <c r="BF7" s="159">
        <v>0</v>
      </c>
      <c r="BG7" s="159">
        <v>0</v>
      </c>
      <c r="BH7" s="159">
        <v>0</v>
      </c>
      <c r="BI7" s="159">
        <v>0</v>
      </c>
      <c r="BJ7" s="159">
        <v>0</v>
      </c>
      <c r="BK7" s="159">
        <v>0</v>
      </c>
      <c r="BL7" s="299">
        <v>0</v>
      </c>
      <c r="BM7" s="299">
        <v>0</v>
      </c>
    </row>
    <row r="8" spans="1:65" ht="15" thickBot="1" x14ac:dyDescent="0.35">
      <c r="A8" s="68" t="s">
        <v>77</v>
      </c>
      <c r="B8" s="70"/>
      <c r="C8" s="8"/>
      <c r="D8" s="159">
        <v>0</v>
      </c>
      <c r="E8" s="159">
        <v>10</v>
      </c>
      <c r="F8" s="159">
        <v>0</v>
      </c>
      <c r="G8" s="159">
        <v>10</v>
      </c>
      <c r="H8" s="159">
        <v>0</v>
      </c>
      <c r="I8" s="159">
        <v>10</v>
      </c>
      <c r="J8" s="159">
        <v>0</v>
      </c>
      <c r="K8" s="159">
        <v>10</v>
      </c>
      <c r="L8" s="138">
        <v>0</v>
      </c>
      <c r="M8" s="138">
        <v>0</v>
      </c>
      <c r="N8" s="299">
        <v>0</v>
      </c>
      <c r="O8" s="299">
        <v>0</v>
      </c>
      <c r="P8" s="159">
        <v>0</v>
      </c>
      <c r="Q8" s="159">
        <v>10</v>
      </c>
      <c r="R8" s="159">
        <v>0</v>
      </c>
      <c r="S8" s="159">
        <v>10</v>
      </c>
      <c r="T8" s="159">
        <v>0</v>
      </c>
      <c r="U8" s="159">
        <v>0</v>
      </c>
      <c r="V8" s="159">
        <v>0</v>
      </c>
      <c r="W8" s="159">
        <v>10</v>
      </c>
      <c r="X8" s="159">
        <v>0</v>
      </c>
      <c r="Y8" s="159">
        <v>10</v>
      </c>
      <c r="Z8" s="299">
        <v>0</v>
      </c>
      <c r="AA8" s="299">
        <v>0</v>
      </c>
      <c r="AB8" s="299">
        <v>0</v>
      </c>
      <c r="AC8" s="299">
        <v>0</v>
      </c>
      <c r="AD8" s="159">
        <v>0</v>
      </c>
      <c r="AE8" s="159">
        <v>10</v>
      </c>
      <c r="AF8" s="159">
        <v>0</v>
      </c>
      <c r="AG8" s="159">
        <v>10</v>
      </c>
      <c r="AH8" s="159">
        <v>0</v>
      </c>
      <c r="AI8" s="159">
        <v>10</v>
      </c>
      <c r="AJ8" s="159">
        <v>0</v>
      </c>
      <c r="AK8" s="159">
        <v>10</v>
      </c>
      <c r="AL8" s="159">
        <v>0</v>
      </c>
      <c r="AM8" s="159">
        <v>10</v>
      </c>
      <c r="AN8" s="138">
        <v>0</v>
      </c>
      <c r="AO8" s="138">
        <v>0</v>
      </c>
      <c r="AP8" s="299">
        <v>0</v>
      </c>
      <c r="AQ8" s="299">
        <v>0</v>
      </c>
      <c r="AR8" s="159">
        <v>0</v>
      </c>
      <c r="AS8" s="159">
        <v>10</v>
      </c>
      <c r="AT8" s="159">
        <v>0</v>
      </c>
      <c r="AU8" s="159">
        <v>10</v>
      </c>
      <c r="AV8" s="159">
        <v>0</v>
      </c>
      <c r="AW8" s="159">
        <v>10</v>
      </c>
      <c r="AX8" s="159">
        <v>0</v>
      </c>
      <c r="AY8" s="159">
        <v>10</v>
      </c>
      <c r="AZ8" s="159">
        <v>0</v>
      </c>
      <c r="BA8" s="159">
        <v>10</v>
      </c>
      <c r="BB8" s="138">
        <v>0</v>
      </c>
      <c r="BC8" s="138">
        <v>0</v>
      </c>
      <c r="BD8" s="299">
        <v>0</v>
      </c>
      <c r="BE8" s="299">
        <v>0</v>
      </c>
      <c r="BF8" s="159">
        <v>0</v>
      </c>
      <c r="BG8" s="159">
        <v>10</v>
      </c>
      <c r="BH8" s="159">
        <v>1</v>
      </c>
      <c r="BI8" s="159">
        <v>9</v>
      </c>
      <c r="BJ8" s="159">
        <v>1</v>
      </c>
      <c r="BK8" s="159">
        <v>9</v>
      </c>
      <c r="BL8" s="299">
        <v>0</v>
      </c>
      <c r="BM8" s="299">
        <v>0</v>
      </c>
    </row>
    <row r="9" spans="1:65" x14ac:dyDescent="0.3">
      <c r="A9" s="55"/>
      <c r="B9" s="55"/>
      <c r="C9" s="8"/>
      <c r="D9" s="260"/>
      <c r="E9" s="260"/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 t="s">
        <v>147</v>
      </c>
      <c r="U9" s="260" t="s">
        <v>147</v>
      </c>
      <c r="V9" s="260" t="s">
        <v>147</v>
      </c>
      <c r="W9" s="260" t="s">
        <v>147</v>
      </c>
      <c r="X9" s="260" t="s">
        <v>147</v>
      </c>
      <c r="Y9" s="260" t="s">
        <v>147</v>
      </c>
      <c r="Z9" s="260" t="s">
        <v>147</v>
      </c>
      <c r="AA9" s="260" t="s">
        <v>147</v>
      </c>
      <c r="AB9" s="260"/>
      <c r="AC9" s="260"/>
      <c r="AD9" s="260"/>
      <c r="AE9" s="260"/>
      <c r="AF9" s="260"/>
      <c r="AG9" s="260"/>
      <c r="AH9" s="260"/>
      <c r="AI9" s="260"/>
      <c r="AJ9" s="260"/>
      <c r="AK9" s="260"/>
      <c r="AL9" s="260" t="s">
        <v>147</v>
      </c>
      <c r="AM9" s="260" t="s">
        <v>147</v>
      </c>
      <c r="AN9" s="260"/>
      <c r="AO9" s="260"/>
      <c r="AP9" s="260"/>
      <c r="AQ9" s="260"/>
      <c r="AR9" s="260" t="s">
        <v>147</v>
      </c>
      <c r="AS9" s="260" t="s">
        <v>147</v>
      </c>
      <c r="AT9" s="260" t="s">
        <v>147</v>
      </c>
      <c r="AU9" s="260" t="s">
        <v>147</v>
      </c>
      <c r="AV9" s="260" t="s">
        <v>147</v>
      </c>
      <c r="AW9" s="260" t="s">
        <v>147</v>
      </c>
      <c r="AX9" s="260"/>
      <c r="AY9" s="260"/>
      <c r="AZ9" s="260"/>
      <c r="BA9" s="260"/>
      <c r="BB9" s="260"/>
      <c r="BC9" s="260"/>
      <c r="BD9" s="260"/>
      <c r="BE9" s="260"/>
      <c r="BF9" s="260"/>
      <c r="BG9" s="260"/>
      <c r="BH9" s="260"/>
      <c r="BI9" s="260"/>
      <c r="BJ9" s="260"/>
      <c r="BK9" s="260"/>
      <c r="BL9" s="260"/>
      <c r="BM9" s="260"/>
    </row>
    <row r="10" spans="1:65" x14ac:dyDescent="0.3">
      <c r="A10" s="71" t="s">
        <v>73</v>
      </c>
      <c r="B10" s="72"/>
      <c r="C10" s="8"/>
      <c r="D10" s="159">
        <v>0</v>
      </c>
      <c r="E10" s="159">
        <v>0</v>
      </c>
      <c r="F10" s="159">
        <v>0</v>
      </c>
      <c r="G10" s="159">
        <v>0</v>
      </c>
      <c r="H10" s="159">
        <v>0</v>
      </c>
      <c r="I10" s="159">
        <v>0</v>
      </c>
      <c r="J10" s="159">
        <v>0</v>
      </c>
      <c r="K10" s="159">
        <v>0</v>
      </c>
      <c r="L10" s="138">
        <v>0</v>
      </c>
      <c r="M10" s="138">
        <v>0</v>
      </c>
      <c r="N10" s="299">
        <v>0</v>
      </c>
      <c r="O10" s="299">
        <v>0</v>
      </c>
      <c r="P10" s="159">
        <v>0</v>
      </c>
      <c r="Q10" s="159">
        <v>0</v>
      </c>
      <c r="R10" s="159">
        <v>0</v>
      </c>
      <c r="S10" s="159">
        <v>0</v>
      </c>
      <c r="T10" s="159">
        <v>0</v>
      </c>
      <c r="U10" s="159">
        <v>2</v>
      </c>
      <c r="V10" s="159">
        <v>0</v>
      </c>
      <c r="W10" s="159">
        <v>0</v>
      </c>
      <c r="X10" s="159">
        <v>0</v>
      </c>
      <c r="Y10" s="159">
        <v>0</v>
      </c>
      <c r="Z10" s="299">
        <v>0</v>
      </c>
      <c r="AA10" s="299">
        <v>0</v>
      </c>
      <c r="AB10" s="299">
        <v>0</v>
      </c>
      <c r="AC10" s="299">
        <v>0</v>
      </c>
      <c r="AD10" s="159">
        <v>0</v>
      </c>
      <c r="AE10" s="159">
        <v>0</v>
      </c>
      <c r="AF10" s="159">
        <v>0</v>
      </c>
      <c r="AG10" s="159">
        <v>0</v>
      </c>
      <c r="AH10" s="159">
        <v>0</v>
      </c>
      <c r="AI10" s="159">
        <v>0</v>
      </c>
      <c r="AJ10" s="159">
        <v>0</v>
      </c>
      <c r="AK10" s="159">
        <v>0</v>
      </c>
      <c r="AL10" s="159">
        <v>0</v>
      </c>
      <c r="AM10" s="159">
        <v>0</v>
      </c>
      <c r="AN10" s="138">
        <v>0</v>
      </c>
      <c r="AO10" s="138">
        <v>0</v>
      </c>
      <c r="AP10" s="299">
        <v>0</v>
      </c>
      <c r="AQ10" s="299">
        <v>0</v>
      </c>
      <c r="AR10" s="159">
        <v>0</v>
      </c>
      <c r="AS10" s="159">
        <v>0</v>
      </c>
      <c r="AT10" s="159">
        <v>0</v>
      </c>
      <c r="AU10" s="159">
        <v>0</v>
      </c>
      <c r="AV10" s="159">
        <v>0</v>
      </c>
      <c r="AW10" s="159">
        <v>0</v>
      </c>
      <c r="AX10" s="159">
        <v>0</v>
      </c>
      <c r="AY10" s="159">
        <v>0</v>
      </c>
      <c r="AZ10" s="159">
        <v>0</v>
      </c>
      <c r="BA10" s="159">
        <v>0</v>
      </c>
      <c r="BB10" s="138">
        <v>0</v>
      </c>
      <c r="BC10" s="138">
        <v>0</v>
      </c>
      <c r="BD10" s="299">
        <v>0</v>
      </c>
      <c r="BE10" s="299">
        <v>0</v>
      </c>
      <c r="BF10" s="159">
        <v>0</v>
      </c>
      <c r="BG10" s="159">
        <v>0</v>
      </c>
      <c r="BH10" s="159">
        <v>0</v>
      </c>
      <c r="BI10" s="159">
        <v>0</v>
      </c>
      <c r="BJ10" s="159">
        <v>0</v>
      </c>
      <c r="BK10" s="159">
        <v>0</v>
      </c>
      <c r="BL10" s="299">
        <v>0</v>
      </c>
      <c r="BM10" s="299">
        <v>0</v>
      </c>
    </row>
    <row r="11" spans="1:65" s="127" customFormat="1" x14ac:dyDescent="0.3">
      <c r="A11" s="71" t="s">
        <v>123</v>
      </c>
      <c r="B11" s="72"/>
      <c r="C11" s="8"/>
      <c r="D11" s="159">
        <v>0</v>
      </c>
      <c r="E11" s="159">
        <v>0</v>
      </c>
      <c r="F11" s="159">
        <v>0</v>
      </c>
      <c r="G11" s="159">
        <v>0</v>
      </c>
      <c r="H11" s="159">
        <v>0</v>
      </c>
      <c r="I11" s="159">
        <v>0</v>
      </c>
      <c r="J11" s="159">
        <v>0</v>
      </c>
      <c r="K11" s="159">
        <v>0</v>
      </c>
      <c r="L11" s="138">
        <v>0</v>
      </c>
      <c r="M11" s="138">
        <v>0</v>
      </c>
      <c r="N11" s="299">
        <v>0</v>
      </c>
      <c r="O11" s="299">
        <v>0</v>
      </c>
      <c r="P11" s="159">
        <v>0</v>
      </c>
      <c r="Q11" s="159">
        <v>0</v>
      </c>
      <c r="R11" s="159">
        <v>0</v>
      </c>
      <c r="S11" s="159">
        <v>0</v>
      </c>
      <c r="T11" s="159">
        <v>0</v>
      </c>
      <c r="U11" s="159">
        <v>0</v>
      </c>
      <c r="V11" s="159">
        <v>0</v>
      </c>
      <c r="W11" s="159">
        <v>0</v>
      </c>
      <c r="X11" s="159">
        <v>0</v>
      </c>
      <c r="Y11" s="159">
        <v>0</v>
      </c>
      <c r="Z11" s="299">
        <v>0</v>
      </c>
      <c r="AA11" s="299">
        <v>0</v>
      </c>
      <c r="AB11" s="299">
        <v>0</v>
      </c>
      <c r="AC11" s="299">
        <v>0</v>
      </c>
      <c r="AD11" s="159">
        <v>0</v>
      </c>
      <c r="AE11" s="159">
        <v>0</v>
      </c>
      <c r="AF11" s="159">
        <v>0</v>
      </c>
      <c r="AG11" s="159">
        <v>0</v>
      </c>
      <c r="AH11" s="159">
        <v>0</v>
      </c>
      <c r="AI11" s="159">
        <v>0</v>
      </c>
      <c r="AJ11" s="159">
        <v>0</v>
      </c>
      <c r="AK11" s="159">
        <v>0</v>
      </c>
      <c r="AL11" s="159">
        <v>0</v>
      </c>
      <c r="AM11" s="159">
        <v>0</v>
      </c>
      <c r="AN11" s="138">
        <v>0</v>
      </c>
      <c r="AO11" s="138">
        <v>0</v>
      </c>
      <c r="AP11" s="299">
        <v>0</v>
      </c>
      <c r="AQ11" s="299">
        <v>0</v>
      </c>
      <c r="AR11" s="159">
        <v>0</v>
      </c>
      <c r="AS11" s="159">
        <v>0</v>
      </c>
      <c r="AT11" s="159">
        <v>0</v>
      </c>
      <c r="AU11" s="159">
        <v>0</v>
      </c>
      <c r="AV11" s="159">
        <v>0</v>
      </c>
      <c r="AW11" s="159">
        <v>0</v>
      </c>
      <c r="AX11" s="159">
        <v>0</v>
      </c>
      <c r="AY11" s="159">
        <v>0</v>
      </c>
      <c r="AZ11" s="159">
        <v>0</v>
      </c>
      <c r="BA11" s="159">
        <v>0</v>
      </c>
      <c r="BB11" s="138">
        <v>0</v>
      </c>
      <c r="BC11" s="138">
        <v>0</v>
      </c>
      <c r="BD11" s="299">
        <v>0</v>
      </c>
      <c r="BE11" s="299">
        <v>0</v>
      </c>
      <c r="BF11" s="159">
        <v>0</v>
      </c>
      <c r="BG11" s="159">
        <v>0</v>
      </c>
      <c r="BH11" s="159">
        <v>0</v>
      </c>
      <c r="BI11" s="159">
        <v>0</v>
      </c>
      <c r="BJ11" s="159">
        <v>0</v>
      </c>
      <c r="BK11" s="159">
        <v>0</v>
      </c>
      <c r="BL11" s="299">
        <v>0</v>
      </c>
      <c r="BM11" s="299">
        <v>0</v>
      </c>
    </row>
    <row r="12" spans="1:65" x14ac:dyDescent="0.3">
      <c r="A12" s="73" t="s">
        <v>74</v>
      </c>
      <c r="B12" s="74"/>
      <c r="C12" s="8"/>
      <c r="D12" s="159">
        <v>35</v>
      </c>
      <c r="E12" s="159">
        <v>27</v>
      </c>
      <c r="F12" s="159">
        <v>35</v>
      </c>
      <c r="G12" s="159">
        <v>27</v>
      </c>
      <c r="H12" s="159">
        <v>35</v>
      </c>
      <c r="I12" s="159">
        <v>28</v>
      </c>
      <c r="J12" s="159">
        <v>33</v>
      </c>
      <c r="K12" s="159">
        <v>29</v>
      </c>
      <c r="L12" s="138">
        <v>69</v>
      </c>
      <c r="M12" s="138">
        <v>3</v>
      </c>
      <c r="N12" s="299">
        <v>51</v>
      </c>
      <c r="O12" s="299">
        <v>3</v>
      </c>
      <c r="P12" s="159">
        <v>36</v>
      </c>
      <c r="Q12" s="159">
        <v>26</v>
      </c>
      <c r="R12" s="159">
        <v>36</v>
      </c>
      <c r="S12" s="159">
        <v>26</v>
      </c>
      <c r="T12" s="159">
        <v>36</v>
      </c>
      <c r="U12" s="159">
        <v>47</v>
      </c>
      <c r="V12" s="159">
        <v>36</v>
      </c>
      <c r="W12" s="159">
        <v>26</v>
      </c>
      <c r="X12" s="159">
        <v>36</v>
      </c>
      <c r="Y12" s="159">
        <v>26</v>
      </c>
      <c r="Z12" s="299">
        <v>52</v>
      </c>
      <c r="AA12" s="299">
        <v>2</v>
      </c>
      <c r="AB12" s="299">
        <v>52</v>
      </c>
      <c r="AC12" s="299">
        <v>2</v>
      </c>
      <c r="AD12" s="159">
        <v>35</v>
      </c>
      <c r="AE12" s="159">
        <v>27</v>
      </c>
      <c r="AF12" s="159">
        <v>35</v>
      </c>
      <c r="AG12" s="159">
        <v>27</v>
      </c>
      <c r="AH12" s="159">
        <v>35</v>
      </c>
      <c r="AI12" s="159">
        <v>27</v>
      </c>
      <c r="AJ12" s="159">
        <v>35</v>
      </c>
      <c r="AK12" s="159">
        <v>27</v>
      </c>
      <c r="AL12" s="159">
        <v>36</v>
      </c>
      <c r="AM12" s="159">
        <v>26</v>
      </c>
      <c r="AN12" s="138">
        <v>69</v>
      </c>
      <c r="AO12" s="138">
        <v>3</v>
      </c>
      <c r="AP12" s="299">
        <v>51</v>
      </c>
      <c r="AQ12" s="299">
        <v>3</v>
      </c>
      <c r="AR12" s="159">
        <v>36</v>
      </c>
      <c r="AS12" s="159">
        <v>26</v>
      </c>
      <c r="AT12" s="159">
        <v>36</v>
      </c>
      <c r="AU12" s="159">
        <v>26</v>
      </c>
      <c r="AV12" s="159">
        <v>36</v>
      </c>
      <c r="AW12" s="159">
        <v>26</v>
      </c>
      <c r="AX12" s="159">
        <v>36</v>
      </c>
      <c r="AY12" s="159">
        <v>26</v>
      </c>
      <c r="AZ12" s="159">
        <v>37</v>
      </c>
      <c r="BA12" s="159">
        <v>26</v>
      </c>
      <c r="BB12" s="138">
        <v>59</v>
      </c>
      <c r="BC12" s="138">
        <v>16</v>
      </c>
      <c r="BD12" s="299">
        <v>56</v>
      </c>
      <c r="BE12" s="299">
        <v>18</v>
      </c>
      <c r="BF12" s="159">
        <v>35</v>
      </c>
      <c r="BG12" s="159">
        <v>27</v>
      </c>
      <c r="BH12" s="159">
        <v>37</v>
      </c>
      <c r="BI12" s="159">
        <v>25</v>
      </c>
      <c r="BJ12" s="159">
        <v>37</v>
      </c>
      <c r="BK12" s="159">
        <v>25</v>
      </c>
      <c r="BL12" s="299">
        <v>51</v>
      </c>
      <c r="BM12" s="299">
        <v>3</v>
      </c>
    </row>
    <row r="13" spans="1:65" x14ac:dyDescent="0.3">
      <c r="A13" s="73" t="s">
        <v>75</v>
      </c>
      <c r="B13" s="74"/>
      <c r="C13" s="8"/>
      <c r="D13" s="159">
        <v>0</v>
      </c>
      <c r="E13" s="159">
        <v>2</v>
      </c>
      <c r="F13" s="159">
        <v>0</v>
      </c>
      <c r="G13" s="159">
        <v>2</v>
      </c>
      <c r="H13" s="159">
        <v>0</v>
      </c>
      <c r="I13" s="159">
        <v>2</v>
      </c>
      <c r="J13" s="159">
        <v>0</v>
      </c>
      <c r="K13" s="159">
        <v>2</v>
      </c>
      <c r="L13" s="138">
        <v>0</v>
      </c>
      <c r="M13" s="138">
        <v>0</v>
      </c>
      <c r="N13" s="299">
        <v>0</v>
      </c>
      <c r="O13" s="299">
        <v>0</v>
      </c>
      <c r="P13" s="159">
        <v>0</v>
      </c>
      <c r="Q13" s="159">
        <v>2</v>
      </c>
      <c r="R13" s="159">
        <v>0</v>
      </c>
      <c r="S13" s="159">
        <v>2</v>
      </c>
      <c r="T13" s="159">
        <v>0</v>
      </c>
      <c r="U13" s="159">
        <v>3</v>
      </c>
      <c r="V13" s="159">
        <v>0</v>
      </c>
      <c r="W13" s="159">
        <v>2</v>
      </c>
      <c r="X13" s="159">
        <v>0</v>
      </c>
      <c r="Y13" s="159">
        <v>2</v>
      </c>
      <c r="Z13" s="299">
        <v>0</v>
      </c>
      <c r="AA13" s="299">
        <v>0</v>
      </c>
      <c r="AB13" s="299">
        <v>0</v>
      </c>
      <c r="AC13" s="299">
        <v>0</v>
      </c>
      <c r="AD13" s="159">
        <v>0</v>
      </c>
      <c r="AE13" s="159">
        <v>2</v>
      </c>
      <c r="AF13" s="159">
        <v>0</v>
      </c>
      <c r="AG13" s="159">
        <v>2</v>
      </c>
      <c r="AH13" s="159">
        <v>0</v>
      </c>
      <c r="AI13" s="159">
        <v>2</v>
      </c>
      <c r="AJ13" s="159">
        <v>0</v>
      </c>
      <c r="AK13" s="159">
        <v>2</v>
      </c>
      <c r="AL13" s="159">
        <v>0</v>
      </c>
      <c r="AM13" s="159">
        <v>2</v>
      </c>
      <c r="AN13" s="138">
        <v>0</v>
      </c>
      <c r="AO13" s="138">
        <v>0</v>
      </c>
      <c r="AP13" s="299">
        <v>0</v>
      </c>
      <c r="AQ13" s="299">
        <v>0</v>
      </c>
      <c r="AR13" s="159">
        <v>0</v>
      </c>
      <c r="AS13" s="159">
        <v>2</v>
      </c>
      <c r="AT13" s="159">
        <v>0</v>
      </c>
      <c r="AU13" s="159">
        <v>2</v>
      </c>
      <c r="AV13" s="159">
        <v>0</v>
      </c>
      <c r="AW13" s="159">
        <v>2</v>
      </c>
      <c r="AX13" s="159">
        <v>0</v>
      </c>
      <c r="AY13" s="159">
        <v>2</v>
      </c>
      <c r="AZ13" s="159">
        <v>0</v>
      </c>
      <c r="BA13" s="159">
        <v>2</v>
      </c>
      <c r="BB13" s="138">
        <v>0</v>
      </c>
      <c r="BC13" s="138">
        <v>0</v>
      </c>
      <c r="BD13" s="299">
        <v>0</v>
      </c>
      <c r="BE13" s="299">
        <v>0</v>
      </c>
      <c r="BF13" s="159">
        <v>0</v>
      </c>
      <c r="BG13" s="159">
        <v>2</v>
      </c>
      <c r="BH13" s="159">
        <v>0</v>
      </c>
      <c r="BI13" s="159">
        <v>2</v>
      </c>
      <c r="BJ13" s="159">
        <v>0</v>
      </c>
      <c r="BK13" s="159">
        <v>2</v>
      </c>
      <c r="BL13" s="299">
        <v>0</v>
      </c>
      <c r="BM13" s="299">
        <v>0</v>
      </c>
    </row>
    <row r="14" spans="1:65" ht="15" thickBot="1" x14ac:dyDescent="0.35">
      <c r="A14" s="75" t="s">
        <v>76</v>
      </c>
      <c r="B14" s="76"/>
      <c r="C14" s="8"/>
      <c r="D14" s="159">
        <v>1</v>
      </c>
      <c r="E14" s="159">
        <v>1</v>
      </c>
      <c r="F14" s="159">
        <v>1</v>
      </c>
      <c r="G14" s="159">
        <v>1</v>
      </c>
      <c r="H14" s="159">
        <v>1</v>
      </c>
      <c r="I14" s="159">
        <v>1</v>
      </c>
      <c r="J14" s="159">
        <v>1</v>
      </c>
      <c r="K14" s="159">
        <v>1</v>
      </c>
      <c r="L14" s="138">
        <v>0</v>
      </c>
      <c r="M14" s="138">
        <v>0</v>
      </c>
      <c r="N14" s="299">
        <v>0</v>
      </c>
      <c r="O14" s="299">
        <v>0</v>
      </c>
      <c r="P14" s="159">
        <v>1</v>
      </c>
      <c r="Q14" s="159">
        <v>1</v>
      </c>
      <c r="R14" s="159">
        <v>1</v>
      </c>
      <c r="S14" s="159">
        <v>1</v>
      </c>
      <c r="T14" s="159">
        <v>1</v>
      </c>
      <c r="U14" s="159">
        <v>2</v>
      </c>
      <c r="V14" s="159">
        <v>1</v>
      </c>
      <c r="W14" s="159">
        <v>1</v>
      </c>
      <c r="X14" s="159">
        <v>1</v>
      </c>
      <c r="Y14" s="159">
        <v>1</v>
      </c>
      <c r="Z14" s="299">
        <v>0</v>
      </c>
      <c r="AA14" s="299">
        <v>0</v>
      </c>
      <c r="AB14" s="299">
        <v>0</v>
      </c>
      <c r="AC14" s="299">
        <v>0</v>
      </c>
      <c r="AD14" s="159">
        <v>1</v>
      </c>
      <c r="AE14" s="159">
        <v>1</v>
      </c>
      <c r="AF14" s="159">
        <v>1</v>
      </c>
      <c r="AG14" s="159">
        <v>1</v>
      </c>
      <c r="AH14" s="159">
        <v>1</v>
      </c>
      <c r="AI14" s="159">
        <v>1</v>
      </c>
      <c r="AJ14" s="159">
        <v>1</v>
      </c>
      <c r="AK14" s="159">
        <v>1</v>
      </c>
      <c r="AL14" s="159">
        <v>1</v>
      </c>
      <c r="AM14" s="159">
        <v>1</v>
      </c>
      <c r="AN14" s="138">
        <v>0</v>
      </c>
      <c r="AO14" s="138">
        <v>0</v>
      </c>
      <c r="AP14" s="299">
        <v>0</v>
      </c>
      <c r="AQ14" s="299">
        <v>0</v>
      </c>
      <c r="AR14" s="159">
        <v>1</v>
      </c>
      <c r="AS14" s="159">
        <v>1</v>
      </c>
      <c r="AT14" s="159">
        <v>1</v>
      </c>
      <c r="AU14" s="159">
        <v>1</v>
      </c>
      <c r="AV14" s="159">
        <v>1</v>
      </c>
      <c r="AW14" s="159">
        <v>1</v>
      </c>
      <c r="AX14" s="159">
        <v>1</v>
      </c>
      <c r="AY14" s="159">
        <v>1</v>
      </c>
      <c r="AZ14" s="159">
        <v>2</v>
      </c>
      <c r="BA14" s="159">
        <v>0</v>
      </c>
      <c r="BB14" s="138">
        <v>0</v>
      </c>
      <c r="BC14" s="138">
        <v>0</v>
      </c>
      <c r="BD14" s="299">
        <v>0</v>
      </c>
      <c r="BE14" s="299">
        <v>0</v>
      </c>
      <c r="BF14" s="159">
        <v>1</v>
      </c>
      <c r="BG14" s="159">
        <v>1</v>
      </c>
      <c r="BH14" s="159">
        <v>1</v>
      </c>
      <c r="BI14" s="159">
        <v>1</v>
      </c>
      <c r="BJ14" s="159">
        <v>1</v>
      </c>
      <c r="BK14" s="159">
        <v>1</v>
      </c>
      <c r="BL14" s="299">
        <v>0</v>
      </c>
      <c r="BM14" s="299">
        <v>0</v>
      </c>
    </row>
    <row r="15" spans="1:65" x14ac:dyDescent="0.3">
      <c r="A15" s="302" t="s">
        <v>77</v>
      </c>
      <c r="B15" s="302"/>
      <c r="C15" s="8"/>
      <c r="D15" s="159">
        <v>32</v>
      </c>
      <c r="E15" s="159">
        <v>30</v>
      </c>
      <c r="F15" s="159">
        <v>33</v>
      </c>
      <c r="G15" s="159">
        <v>29</v>
      </c>
      <c r="H15" s="159">
        <v>34</v>
      </c>
      <c r="I15" s="159">
        <v>28</v>
      </c>
      <c r="J15" s="159">
        <v>33</v>
      </c>
      <c r="K15" s="159">
        <v>29</v>
      </c>
      <c r="L15" s="138">
        <v>74</v>
      </c>
      <c r="M15" s="138">
        <v>1</v>
      </c>
      <c r="N15" s="299">
        <v>57</v>
      </c>
      <c r="O15" s="299">
        <v>0</v>
      </c>
      <c r="P15" s="159">
        <v>33</v>
      </c>
      <c r="Q15" s="159">
        <v>29</v>
      </c>
      <c r="R15" s="159">
        <v>33</v>
      </c>
      <c r="S15" s="159">
        <v>29</v>
      </c>
      <c r="T15" s="159">
        <v>35</v>
      </c>
      <c r="U15" s="159">
        <v>44</v>
      </c>
      <c r="V15" s="159">
        <v>33</v>
      </c>
      <c r="W15" s="159">
        <v>29</v>
      </c>
      <c r="X15" s="159">
        <v>33</v>
      </c>
      <c r="Y15" s="159">
        <v>29</v>
      </c>
      <c r="Z15" s="299">
        <v>57</v>
      </c>
      <c r="AA15" s="299">
        <v>0</v>
      </c>
      <c r="AB15" s="299">
        <v>57</v>
      </c>
      <c r="AC15" s="299">
        <v>0</v>
      </c>
      <c r="AD15" s="159">
        <v>33</v>
      </c>
      <c r="AE15" s="159">
        <v>29</v>
      </c>
      <c r="AF15" s="159">
        <v>33</v>
      </c>
      <c r="AG15" s="159">
        <v>29</v>
      </c>
      <c r="AH15" s="159">
        <v>33</v>
      </c>
      <c r="AI15" s="159">
        <v>29</v>
      </c>
      <c r="AJ15" s="159">
        <v>33</v>
      </c>
      <c r="AK15" s="159">
        <v>29</v>
      </c>
      <c r="AL15" s="159">
        <v>33</v>
      </c>
      <c r="AM15" s="159">
        <v>29</v>
      </c>
      <c r="AN15" s="138">
        <v>75</v>
      </c>
      <c r="AO15" s="138">
        <v>0</v>
      </c>
      <c r="AP15" s="299">
        <v>57</v>
      </c>
      <c r="AQ15" s="299">
        <v>0</v>
      </c>
      <c r="AR15" s="159">
        <v>33</v>
      </c>
      <c r="AS15" s="159">
        <v>29</v>
      </c>
      <c r="AT15" s="159">
        <v>33</v>
      </c>
      <c r="AU15" s="159">
        <v>29</v>
      </c>
      <c r="AV15" s="159">
        <v>33</v>
      </c>
      <c r="AW15" s="159">
        <v>29</v>
      </c>
      <c r="AX15" s="159">
        <v>33</v>
      </c>
      <c r="AY15" s="159">
        <v>29</v>
      </c>
      <c r="AZ15" s="159">
        <v>32</v>
      </c>
      <c r="BA15" s="159">
        <v>30</v>
      </c>
      <c r="BB15" s="138">
        <v>57</v>
      </c>
      <c r="BC15" s="138">
        <v>18</v>
      </c>
      <c r="BD15" s="299">
        <v>56</v>
      </c>
      <c r="BE15" s="299">
        <v>18</v>
      </c>
      <c r="BF15" s="159">
        <v>35</v>
      </c>
      <c r="BG15" s="159">
        <v>27</v>
      </c>
      <c r="BH15" s="159">
        <v>34</v>
      </c>
      <c r="BI15" s="159">
        <v>28</v>
      </c>
      <c r="BJ15" s="159">
        <v>33</v>
      </c>
      <c r="BK15" s="159">
        <v>29</v>
      </c>
      <c r="BL15" s="299">
        <v>57</v>
      </c>
      <c r="BM15" s="299">
        <v>0</v>
      </c>
    </row>
    <row r="16" spans="1:65" x14ac:dyDescent="0.3">
      <c r="A16" s="303"/>
      <c r="B16" s="303"/>
      <c r="C16" s="8"/>
      <c r="D16" s="260"/>
      <c r="E16" s="260"/>
      <c r="F16" s="266"/>
      <c r="G16" s="260"/>
      <c r="H16" s="266"/>
      <c r="I16" s="266"/>
      <c r="J16" s="266"/>
      <c r="K16" s="266"/>
      <c r="L16" s="260"/>
      <c r="M16" s="260"/>
      <c r="N16" s="266"/>
      <c r="O16" s="266"/>
      <c r="P16" s="266"/>
      <c r="Q16" s="266"/>
      <c r="R16" s="266"/>
      <c r="S16" s="266"/>
      <c r="T16" s="266" t="s">
        <v>147</v>
      </c>
      <c r="U16" s="266" t="s">
        <v>147</v>
      </c>
      <c r="V16" s="266" t="s">
        <v>147</v>
      </c>
      <c r="W16" s="266" t="s">
        <v>147</v>
      </c>
      <c r="X16" s="266" t="s">
        <v>147</v>
      </c>
      <c r="Y16" s="266" t="s">
        <v>147</v>
      </c>
      <c r="Z16" s="266" t="s">
        <v>147</v>
      </c>
      <c r="AA16" s="266" t="s">
        <v>147</v>
      </c>
      <c r="AB16" s="266"/>
      <c r="AC16" s="266"/>
      <c r="AD16" s="266"/>
      <c r="AE16" s="266"/>
      <c r="AF16" s="266"/>
      <c r="AG16" s="266"/>
      <c r="AH16" s="260"/>
      <c r="AI16" s="260"/>
      <c r="AJ16" s="266"/>
      <c r="AK16" s="266"/>
      <c r="AL16" s="266" t="s">
        <v>147</v>
      </c>
      <c r="AM16" s="266" t="s">
        <v>147</v>
      </c>
      <c r="AN16" s="260"/>
      <c r="AO16" s="260"/>
      <c r="AP16" s="266"/>
      <c r="AQ16" s="266"/>
      <c r="AR16" s="266" t="s">
        <v>147</v>
      </c>
      <c r="AS16" s="266" t="s">
        <v>147</v>
      </c>
      <c r="AT16" s="266" t="s">
        <v>147</v>
      </c>
      <c r="AU16" s="266" t="s">
        <v>147</v>
      </c>
      <c r="AV16" s="260" t="s">
        <v>147</v>
      </c>
      <c r="AW16" s="260" t="s">
        <v>147</v>
      </c>
      <c r="AX16" s="266"/>
      <c r="AY16" s="266"/>
      <c r="AZ16" s="266"/>
      <c r="BA16" s="266"/>
      <c r="BB16" s="260"/>
      <c r="BC16" s="260"/>
      <c r="BD16" s="266"/>
      <c r="BE16" s="266"/>
      <c r="BF16" s="266"/>
      <c r="BG16" s="266"/>
      <c r="BH16" s="266"/>
      <c r="BI16" s="266"/>
      <c r="BJ16" s="266"/>
      <c r="BK16" s="266"/>
      <c r="BL16" s="266"/>
      <c r="BM16" s="266"/>
    </row>
    <row r="17" spans="1:65 16305:16305" x14ac:dyDescent="0.3">
      <c r="A17" s="68" t="s">
        <v>73</v>
      </c>
      <c r="B17" s="69"/>
      <c r="C17" s="8"/>
      <c r="D17" s="159">
        <v>0</v>
      </c>
      <c r="E17" s="159">
        <v>0</v>
      </c>
      <c r="F17" s="159">
        <v>0</v>
      </c>
      <c r="G17" s="159">
        <v>0</v>
      </c>
      <c r="H17" s="159">
        <v>0</v>
      </c>
      <c r="I17" s="159">
        <v>0</v>
      </c>
      <c r="J17" s="159">
        <v>0</v>
      </c>
      <c r="K17" s="159">
        <v>0</v>
      </c>
      <c r="L17" s="138">
        <v>0</v>
      </c>
      <c r="M17" s="138">
        <v>0</v>
      </c>
      <c r="N17" s="299">
        <v>0</v>
      </c>
      <c r="O17" s="299">
        <v>0</v>
      </c>
      <c r="P17" s="159">
        <v>0</v>
      </c>
      <c r="Q17" s="159">
        <v>0</v>
      </c>
      <c r="R17" s="159">
        <v>0</v>
      </c>
      <c r="S17" s="159">
        <v>0</v>
      </c>
      <c r="T17" s="159">
        <v>0</v>
      </c>
      <c r="U17" s="159">
        <v>0</v>
      </c>
      <c r="V17" s="159">
        <v>0</v>
      </c>
      <c r="W17" s="159">
        <v>0</v>
      </c>
      <c r="X17" s="159">
        <v>0</v>
      </c>
      <c r="Y17" s="159">
        <v>0</v>
      </c>
      <c r="Z17" s="299">
        <v>0</v>
      </c>
      <c r="AA17" s="299">
        <v>0</v>
      </c>
      <c r="AB17" s="299">
        <v>0</v>
      </c>
      <c r="AC17" s="299">
        <v>0</v>
      </c>
      <c r="AD17" s="159">
        <v>0</v>
      </c>
      <c r="AE17" s="159">
        <v>0</v>
      </c>
      <c r="AF17" s="159">
        <v>0</v>
      </c>
      <c r="AG17" s="159">
        <v>0</v>
      </c>
      <c r="AH17" s="159">
        <v>0</v>
      </c>
      <c r="AI17" s="159">
        <v>0</v>
      </c>
      <c r="AJ17" s="159">
        <v>0</v>
      </c>
      <c r="AK17" s="159">
        <v>0</v>
      </c>
      <c r="AL17" s="159">
        <v>0</v>
      </c>
      <c r="AM17" s="159">
        <v>0</v>
      </c>
      <c r="AN17" s="138">
        <v>0</v>
      </c>
      <c r="AO17" s="138">
        <v>0</v>
      </c>
      <c r="AP17" s="299">
        <v>0</v>
      </c>
      <c r="AQ17" s="299">
        <v>0</v>
      </c>
      <c r="AR17" s="159">
        <v>0</v>
      </c>
      <c r="AS17" s="159">
        <v>0</v>
      </c>
      <c r="AT17" s="159">
        <v>0</v>
      </c>
      <c r="AU17" s="159">
        <v>0</v>
      </c>
      <c r="AV17" s="159">
        <v>0</v>
      </c>
      <c r="AW17" s="159">
        <v>0</v>
      </c>
      <c r="AX17" s="159">
        <v>0</v>
      </c>
      <c r="AY17" s="159">
        <v>0</v>
      </c>
      <c r="AZ17" s="159">
        <v>0</v>
      </c>
      <c r="BA17" s="159">
        <v>0</v>
      </c>
      <c r="BB17" s="138">
        <v>0</v>
      </c>
      <c r="BC17" s="138">
        <v>0</v>
      </c>
      <c r="BD17" s="299">
        <v>0</v>
      </c>
      <c r="BE17" s="299">
        <v>0</v>
      </c>
      <c r="BF17" s="159">
        <v>0</v>
      </c>
      <c r="BG17" s="159">
        <v>0</v>
      </c>
      <c r="BH17" s="159">
        <v>0</v>
      </c>
      <c r="BI17" s="159">
        <v>0</v>
      </c>
      <c r="BJ17" s="159">
        <v>0</v>
      </c>
      <c r="BK17" s="159">
        <v>0</v>
      </c>
      <c r="BL17" s="299">
        <v>0</v>
      </c>
      <c r="BM17" s="299">
        <v>0</v>
      </c>
    </row>
    <row r="18" spans="1:65 16305:16305" s="127" customFormat="1" x14ac:dyDescent="0.3">
      <c r="A18" s="68" t="s">
        <v>123</v>
      </c>
      <c r="B18" s="69"/>
      <c r="C18" s="8"/>
      <c r="D18" s="159">
        <v>0</v>
      </c>
      <c r="E18" s="159">
        <v>0</v>
      </c>
      <c r="F18" s="268">
        <v>0</v>
      </c>
      <c r="G18" s="159">
        <v>0</v>
      </c>
      <c r="H18" s="268">
        <v>0</v>
      </c>
      <c r="I18" s="268">
        <v>0</v>
      </c>
      <c r="J18" s="268">
        <v>0</v>
      </c>
      <c r="K18" s="268">
        <v>0</v>
      </c>
      <c r="L18" s="138">
        <v>0</v>
      </c>
      <c r="M18" s="138">
        <v>0</v>
      </c>
      <c r="N18" s="301">
        <v>0</v>
      </c>
      <c r="O18" s="301">
        <v>0</v>
      </c>
      <c r="P18" s="268">
        <v>0</v>
      </c>
      <c r="Q18" s="268">
        <v>0</v>
      </c>
      <c r="R18" s="268">
        <v>0</v>
      </c>
      <c r="S18" s="268">
        <v>0</v>
      </c>
      <c r="T18" s="268">
        <v>0</v>
      </c>
      <c r="U18" s="268">
        <v>0</v>
      </c>
      <c r="V18" s="268">
        <v>0</v>
      </c>
      <c r="W18" s="268">
        <v>0</v>
      </c>
      <c r="X18" s="268">
        <v>0</v>
      </c>
      <c r="Y18" s="268">
        <v>0</v>
      </c>
      <c r="Z18" s="301">
        <v>0</v>
      </c>
      <c r="AA18" s="301">
        <v>0</v>
      </c>
      <c r="AB18" s="301">
        <v>0</v>
      </c>
      <c r="AC18" s="301">
        <v>0</v>
      </c>
      <c r="AD18" s="268">
        <v>0</v>
      </c>
      <c r="AE18" s="268">
        <v>0</v>
      </c>
      <c r="AF18" s="268">
        <v>0</v>
      </c>
      <c r="AG18" s="268">
        <v>0</v>
      </c>
      <c r="AH18" s="159">
        <v>0</v>
      </c>
      <c r="AI18" s="159">
        <v>0</v>
      </c>
      <c r="AJ18" s="316">
        <v>0</v>
      </c>
      <c r="AK18" s="316">
        <v>0</v>
      </c>
      <c r="AL18" s="268">
        <v>0</v>
      </c>
      <c r="AM18" s="268">
        <v>0</v>
      </c>
      <c r="AN18" s="138">
        <v>0</v>
      </c>
      <c r="AO18" s="138">
        <v>0</v>
      </c>
      <c r="AP18" s="301">
        <v>0</v>
      </c>
      <c r="AQ18" s="301">
        <v>0</v>
      </c>
      <c r="AR18" s="268">
        <v>0</v>
      </c>
      <c r="AS18" s="268">
        <v>0</v>
      </c>
      <c r="AT18" s="268">
        <v>0</v>
      </c>
      <c r="AU18" s="268">
        <v>0</v>
      </c>
      <c r="AV18" s="159">
        <v>0</v>
      </c>
      <c r="AW18" s="159">
        <v>0</v>
      </c>
      <c r="AX18" s="268">
        <v>0</v>
      </c>
      <c r="AY18" s="268">
        <v>0</v>
      </c>
      <c r="AZ18" s="268">
        <v>0</v>
      </c>
      <c r="BA18" s="268">
        <v>0</v>
      </c>
      <c r="BB18" s="138">
        <v>0</v>
      </c>
      <c r="BC18" s="138">
        <v>0</v>
      </c>
      <c r="BD18" s="301">
        <v>0</v>
      </c>
      <c r="BE18" s="301">
        <v>0</v>
      </c>
      <c r="BF18" s="268">
        <v>0</v>
      </c>
      <c r="BG18" s="268">
        <v>0</v>
      </c>
      <c r="BH18" s="268">
        <v>0</v>
      </c>
      <c r="BI18" s="268">
        <v>0</v>
      </c>
      <c r="BJ18" s="159">
        <v>0</v>
      </c>
      <c r="BK18" s="159">
        <v>0</v>
      </c>
      <c r="BL18" s="299">
        <v>0</v>
      </c>
      <c r="BM18" s="299">
        <v>0</v>
      </c>
    </row>
    <row r="19" spans="1:65 16305:16305" x14ac:dyDescent="0.3">
      <c r="A19" s="68" t="s">
        <v>74</v>
      </c>
      <c r="B19" s="69"/>
      <c r="C19" s="8"/>
      <c r="D19" s="159">
        <v>0</v>
      </c>
      <c r="E19" s="159">
        <v>11</v>
      </c>
      <c r="F19" s="159">
        <v>1</v>
      </c>
      <c r="G19" s="159">
        <v>10</v>
      </c>
      <c r="H19" s="159">
        <v>1</v>
      </c>
      <c r="I19" s="159">
        <v>10</v>
      </c>
      <c r="J19" s="159">
        <v>0</v>
      </c>
      <c r="K19" s="159">
        <v>11</v>
      </c>
      <c r="L19" s="138">
        <v>0</v>
      </c>
      <c r="M19" s="138">
        <v>0</v>
      </c>
      <c r="N19" s="299">
        <v>0</v>
      </c>
      <c r="O19" s="299">
        <v>0</v>
      </c>
      <c r="P19" s="159">
        <v>0</v>
      </c>
      <c r="Q19" s="159">
        <v>11</v>
      </c>
      <c r="R19" s="159">
        <v>0</v>
      </c>
      <c r="S19" s="159">
        <v>11</v>
      </c>
      <c r="T19" s="159">
        <v>0</v>
      </c>
      <c r="U19" s="159">
        <v>0</v>
      </c>
      <c r="V19" s="159">
        <v>0</v>
      </c>
      <c r="W19" s="159">
        <v>11</v>
      </c>
      <c r="X19" s="159">
        <v>0</v>
      </c>
      <c r="Y19" s="159">
        <v>11</v>
      </c>
      <c r="Z19" s="299">
        <v>0</v>
      </c>
      <c r="AA19" s="299">
        <v>0</v>
      </c>
      <c r="AB19" s="299">
        <v>0</v>
      </c>
      <c r="AC19" s="299">
        <v>0</v>
      </c>
      <c r="AD19" s="159">
        <v>0</v>
      </c>
      <c r="AE19" s="159">
        <v>11</v>
      </c>
      <c r="AF19" s="159">
        <v>0</v>
      </c>
      <c r="AG19" s="159">
        <v>11</v>
      </c>
      <c r="AH19" s="159">
        <v>0</v>
      </c>
      <c r="AI19" s="159">
        <v>11</v>
      </c>
      <c r="AJ19" s="159">
        <v>0</v>
      </c>
      <c r="AK19" s="159">
        <v>11</v>
      </c>
      <c r="AL19" s="159">
        <v>0</v>
      </c>
      <c r="AM19" s="159">
        <v>11</v>
      </c>
      <c r="AN19" s="138">
        <v>0</v>
      </c>
      <c r="AO19" s="138">
        <v>0</v>
      </c>
      <c r="AP19" s="299">
        <v>0</v>
      </c>
      <c r="AQ19" s="299">
        <v>0</v>
      </c>
      <c r="AR19" s="159">
        <v>0</v>
      </c>
      <c r="AS19" s="159">
        <v>11</v>
      </c>
      <c r="AT19" s="159">
        <v>0</v>
      </c>
      <c r="AU19" s="159">
        <v>11</v>
      </c>
      <c r="AV19" s="159">
        <v>0</v>
      </c>
      <c r="AW19" s="159">
        <v>11</v>
      </c>
      <c r="AX19" s="159">
        <v>0</v>
      </c>
      <c r="AY19" s="159">
        <v>11</v>
      </c>
      <c r="AZ19" s="159">
        <v>1</v>
      </c>
      <c r="BA19" s="159">
        <v>10</v>
      </c>
      <c r="BB19" s="138">
        <v>0</v>
      </c>
      <c r="BC19" s="138">
        <v>0</v>
      </c>
      <c r="BD19" s="299">
        <v>0</v>
      </c>
      <c r="BE19" s="299">
        <v>0</v>
      </c>
      <c r="BF19" s="159">
        <v>2</v>
      </c>
      <c r="BG19" s="159">
        <v>9</v>
      </c>
      <c r="BH19" s="159">
        <v>1</v>
      </c>
      <c r="BI19" s="159">
        <v>10</v>
      </c>
      <c r="BJ19" s="159">
        <v>0</v>
      </c>
      <c r="BK19" s="159">
        <v>11</v>
      </c>
      <c r="BL19" s="299">
        <v>0</v>
      </c>
      <c r="BM19" s="299">
        <v>0</v>
      </c>
    </row>
    <row r="20" spans="1:65 16305:16305" x14ac:dyDescent="0.3">
      <c r="A20" s="68" t="s">
        <v>75</v>
      </c>
      <c r="B20" s="69"/>
      <c r="C20" s="8"/>
      <c r="D20" s="159">
        <v>0</v>
      </c>
      <c r="E20" s="159">
        <v>0</v>
      </c>
      <c r="F20" s="159">
        <v>0</v>
      </c>
      <c r="G20" s="159">
        <v>0</v>
      </c>
      <c r="H20" s="159">
        <v>0</v>
      </c>
      <c r="I20" s="159">
        <v>0</v>
      </c>
      <c r="J20" s="159">
        <v>0</v>
      </c>
      <c r="K20" s="159">
        <v>0</v>
      </c>
      <c r="L20" s="138">
        <v>0</v>
      </c>
      <c r="M20" s="138">
        <v>0</v>
      </c>
      <c r="N20" s="299">
        <v>0</v>
      </c>
      <c r="O20" s="299">
        <v>0</v>
      </c>
      <c r="P20" s="159">
        <v>0</v>
      </c>
      <c r="Q20" s="159">
        <v>0</v>
      </c>
      <c r="R20" s="159">
        <v>0</v>
      </c>
      <c r="S20" s="159">
        <v>0</v>
      </c>
      <c r="T20" s="159">
        <v>0</v>
      </c>
      <c r="U20" s="159">
        <v>0</v>
      </c>
      <c r="V20" s="159">
        <v>0</v>
      </c>
      <c r="W20" s="159">
        <v>0</v>
      </c>
      <c r="X20" s="159">
        <v>0</v>
      </c>
      <c r="Y20" s="159">
        <v>0</v>
      </c>
      <c r="Z20" s="299">
        <v>0</v>
      </c>
      <c r="AA20" s="299">
        <v>0</v>
      </c>
      <c r="AB20" s="299">
        <v>0</v>
      </c>
      <c r="AC20" s="299">
        <v>0</v>
      </c>
      <c r="AD20" s="159">
        <v>0</v>
      </c>
      <c r="AE20" s="159">
        <v>0</v>
      </c>
      <c r="AF20" s="159">
        <v>0</v>
      </c>
      <c r="AG20" s="159">
        <v>0</v>
      </c>
      <c r="AH20" s="159">
        <v>0</v>
      </c>
      <c r="AI20" s="159">
        <v>0</v>
      </c>
      <c r="AJ20" s="159">
        <v>0</v>
      </c>
      <c r="AK20" s="159">
        <v>0</v>
      </c>
      <c r="AL20" s="159">
        <v>0</v>
      </c>
      <c r="AM20" s="159">
        <v>0</v>
      </c>
      <c r="AN20" s="138">
        <v>0</v>
      </c>
      <c r="AO20" s="138">
        <v>0</v>
      </c>
      <c r="AP20" s="299">
        <v>0</v>
      </c>
      <c r="AQ20" s="299">
        <v>0</v>
      </c>
      <c r="AR20" s="159">
        <v>0</v>
      </c>
      <c r="AS20" s="159">
        <v>0</v>
      </c>
      <c r="AT20" s="159">
        <v>0</v>
      </c>
      <c r="AU20" s="159">
        <v>0</v>
      </c>
      <c r="AV20" s="159">
        <v>0</v>
      </c>
      <c r="AW20" s="159">
        <v>0</v>
      </c>
      <c r="AX20" s="159">
        <v>0</v>
      </c>
      <c r="AY20" s="159">
        <v>0</v>
      </c>
      <c r="AZ20" s="159">
        <v>0</v>
      </c>
      <c r="BA20" s="159">
        <v>0</v>
      </c>
      <c r="BB20" s="138">
        <v>0</v>
      </c>
      <c r="BC20" s="138">
        <v>0</v>
      </c>
      <c r="BD20" s="299">
        <v>0</v>
      </c>
      <c r="BE20" s="299">
        <v>0</v>
      </c>
      <c r="BF20" s="159">
        <v>0</v>
      </c>
      <c r="BG20" s="159">
        <v>0</v>
      </c>
      <c r="BH20" s="159">
        <v>0</v>
      </c>
      <c r="BI20" s="159">
        <v>0</v>
      </c>
      <c r="BJ20" s="159">
        <v>0</v>
      </c>
      <c r="BK20" s="159">
        <v>0</v>
      </c>
      <c r="BL20" s="299">
        <v>0</v>
      </c>
      <c r="BM20" s="299">
        <v>0</v>
      </c>
    </row>
    <row r="21" spans="1:65 16305:16305" x14ac:dyDescent="0.3">
      <c r="A21" s="68" t="s">
        <v>76</v>
      </c>
      <c r="B21" s="69"/>
      <c r="C21" s="8"/>
      <c r="D21" s="159">
        <v>0</v>
      </c>
      <c r="E21" s="159">
        <v>1</v>
      </c>
      <c r="F21" s="159">
        <v>0</v>
      </c>
      <c r="G21" s="159">
        <v>1</v>
      </c>
      <c r="H21" s="159">
        <v>0</v>
      </c>
      <c r="I21" s="159">
        <v>1</v>
      </c>
      <c r="J21" s="159">
        <v>0</v>
      </c>
      <c r="K21" s="159">
        <v>1</v>
      </c>
      <c r="L21" s="138">
        <v>0</v>
      </c>
      <c r="M21" s="138">
        <v>0</v>
      </c>
      <c r="N21" s="299">
        <v>0</v>
      </c>
      <c r="O21" s="299">
        <v>0</v>
      </c>
      <c r="P21" s="159">
        <v>0</v>
      </c>
      <c r="Q21" s="159">
        <v>1</v>
      </c>
      <c r="R21" s="159">
        <v>0</v>
      </c>
      <c r="S21" s="159">
        <v>1</v>
      </c>
      <c r="T21" s="159">
        <v>0</v>
      </c>
      <c r="U21" s="159">
        <v>0</v>
      </c>
      <c r="V21" s="159">
        <v>0</v>
      </c>
      <c r="W21" s="159">
        <v>1</v>
      </c>
      <c r="X21" s="159">
        <v>0</v>
      </c>
      <c r="Y21" s="159">
        <v>1</v>
      </c>
      <c r="Z21" s="299">
        <v>0</v>
      </c>
      <c r="AA21" s="299">
        <v>0</v>
      </c>
      <c r="AB21" s="299">
        <v>0</v>
      </c>
      <c r="AC21" s="299">
        <v>0</v>
      </c>
      <c r="AD21" s="159">
        <v>0</v>
      </c>
      <c r="AE21" s="159">
        <v>1</v>
      </c>
      <c r="AF21" s="159">
        <v>0</v>
      </c>
      <c r="AG21" s="159">
        <v>1</v>
      </c>
      <c r="AH21" s="159">
        <v>0</v>
      </c>
      <c r="AI21" s="159">
        <v>1</v>
      </c>
      <c r="AJ21" s="159">
        <v>0</v>
      </c>
      <c r="AK21" s="159">
        <v>1</v>
      </c>
      <c r="AL21" s="159">
        <v>0</v>
      </c>
      <c r="AM21" s="159">
        <v>1</v>
      </c>
      <c r="AN21" s="138">
        <v>0</v>
      </c>
      <c r="AO21" s="138">
        <v>0</v>
      </c>
      <c r="AP21" s="299">
        <v>0</v>
      </c>
      <c r="AQ21" s="299">
        <v>0</v>
      </c>
      <c r="AR21" s="159">
        <v>0</v>
      </c>
      <c r="AS21" s="159">
        <v>1</v>
      </c>
      <c r="AT21" s="159">
        <v>0</v>
      </c>
      <c r="AU21" s="159">
        <v>1</v>
      </c>
      <c r="AV21" s="159">
        <v>0</v>
      </c>
      <c r="AW21" s="159">
        <v>1</v>
      </c>
      <c r="AX21" s="159">
        <v>0</v>
      </c>
      <c r="AY21" s="159">
        <v>1</v>
      </c>
      <c r="AZ21" s="159">
        <v>0</v>
      </c>
      <c r="BA21" s="159">
        <v>1</v>
      </c>
      <c r="BB21" s="138">
        <v>0</v>
      </c>
      <c r="BC21" s="138">
        <v>0</v>
      </c>
      <c r="BD21" s="299">
        <v>0</v>
      </c>
      <c r="BE21" s="299">
        <v>0</v>
      </c>
      <c r="BF21" s="159">
        <v>0</v>
      </c>
      <c r="BG21" s="159">
        <v>1</v>
      </c>
      <c r="BH21" s="159">
        <v>0</v>
      </c>
      <c r="BI21" s="159">
        <v>1</v>
      </c>
      <c r="BJ21" s="159">
        <v>0</v>
      </c>
      <c r="BK21" s="159">
        <v>1</v>
      </c>
      <c r="BL21" s="299">
        <v>0</v>
      </c>
      <c r="BM21" s="299">
        <v>0</v>
      </c>
    </row>
    <row r="22" spans="1:65 16305:16305" ht="15" thickBot="1" x14ac:dyDescent="0.35">
      <c r="A22" s="68" t="s">
        <v>77</v>
      </c>
      <c r="B22" s="77"/>
      <c r="C22" s="8"/>
      <c r="D22" s="159">
        <v>2</v>
      </c>
      <c r="E22" s="159">
        <v>5</v>
      </c>
      <c r="F22" s="159">
        <v>2</v>
      </c>
      <c r="G22" s="159">
        <v>5</v>
      </c>
      <c r="H22" s="159">
        <v>2</v>
      </c>
      <c r="I22" s="159">
        <v>5</v>
      </c>
      <c r="J22" s="159">
        <v>2</v>
      </c>
      <c r="K22" s="159">
        <v>5</v>
      </c>
      <c r="L22" s="138">
        <v>0</v>
      </c>
      <c r="M22" s="138">
        <v>0</v>
      </c>
      <c r="N22" s="299">
        <v>0</v>
      </c>
      <c r="O22" s="299">
        <v>0</v>
      </c>
      <c r="P22" s="159">
        <v>2</v>
      </c>
      <c r="Q22" s="159">
        <v>5</v>
      </c>
      <c r="R22" s="159">
        <v>2</v>
      </c>
      <c r="S22" s="159">
        <v>5</v>
      </c>
      <c r="T22" s="159">
        <v>0</v>
      </c>
      <c r="U22" s="159">
        <v>0</v>
      </c>
      <c r="V22" s="159">
        <v>2</v>
      </c>
      <c r="W22" s="159">
        <v>5</v>
      </c>
      <c r="X22" s="159">
        <v>2</v>
      </c>
      <c r="Y22" s="159">
        <v>5</v>
      </c>
      <c r="Z22" s="299">
        <v>0</v>
      </c>
      <c r="AA22" s="299">
        <v>0</v>
      </c>
      <c r="AB22" s="299">
        <v>0</v>
      </c>
      <c r="AC22" s="299">
        <v>0</v>
      </c>
      <c r="AD22" s="159">
        <v>2</v>
      </c>
      <c r="AE22" s="159">
        <v>5</v>
      </c>
      <c r="AF22" s="159">
        <v>2</v>
      </c>
      <c r="AG22" s="159">
        <v>5</v>
      </c>
      <c r="AH22" s="159">
        <v>2</v>
      </c>
      <c r="AI22" s="159">
        <v>5</v>
      </c>
      <c r="AJ22" s="159">
        <v>2</v>
      </c>
      <c r="AK22" s="159">
        <v>5</v>
      </c>
      <c r="AL22" s="159">
        <v>2</v>
      </c>
      <c r="AM22" s="159">
        <v>5</v>
      </c>
      <c r="AN22" s="138">
        <v>0</v>
      </c>
      <c r="AO22" s="138">
        <v>0</v>
      </c>
      <c r="AP22" s="299">
        <v>0</v>
      </c>
      <c r="AQ22" s="299">
        <v>0</v>
      </c>
      <c r="AR22" s="159">
        <v>2</v>
      </c>
      <c r="AS22" s="159">
        <v>5</v>
      </c>
      <c r="AT22" s="159">
        <v>2</v>
      </c>
      <c r="AU22" s="159">
        <v>5</v>
      </c>
      <c r="AV22" s="159">
        <v>2</v>
      </c>
      <c r="AW22" s="159">
        <v>5</v>
      </c>
      <c r="AX22" s="159">
        <v>2</v>
      </c>
      <c r="AY22" s="159">
        <v>5</v>
      </c>
      <c r="AZ22" s="159">
        <v>2</v>
      </c>
      <c r="BA22" s="159">
        <v>5</v>
      </c>
      <c r="BB22" s="138">
        <v>0</v>
      </c>
      <c r="BC22" s="138">
        <v>0</v>
      </c>
      <c r="BD22" s="299">
        <v>0</v>
      </c>
      <c r="BE22" s="299">
        <v>0</v>
      </c>
      <c r="BF22" s="159">
        <v>2</v>
      </c>
      <c r="BG22" s="159">
        <v>5</v>
      </c>
      <c r="BH22" s="159">
        <v>2</v>
      </c>
      <c r="BI22" s="159">
        <v>5</v>
      </c>
      <c r="BJ22" s="159">
        <v>2</v>
      </c>
      <c r="BK22" s="159">
        <v>5</v>
      </c>
      <c r="BL22" s="299">
        <v>0</v>
      </c>
      <c r="BM22" s="299">
        <v>0</v>
      </c>
    </row>
    <row r="23" spans="1:65 16305:16305" x14ac:dyDescent="0.3">
      <c r="A23" s="55"/>
      <c r="B23" s="55"/>
      <c r="C23" s="8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</row>
    <row r="24" spans="1:65 16305:16305" ht="15" thickBot="1" x14ac:dyDescent="0.35">
      <c r="C24" s="8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</row>
    <row r="25" spans="1:65 16305:16305" ht="15" thickBot="1" x14ac:dyDescent="0.35">
      <c r="C25" s="8"/>
      <c r="D25" s="139">
        <f t="shared" ref="D25:F25" si="0">SUM(D3:D22)</f>
        <v>70</v>
      </c>
      <c r="E25" s="139">
        <f t="shared" si="0"/>
        <v>100</v>
      </c>
      <c r="F25" s="139">
        <f t="shared" si="0"/>
        <v>72</v>
      </c>
      <c r="G25" s="139">
        <f t="shared" ref="G25:AI25" si="1">SUM(G3:G22)</f>
        <v>98</v>
      </c>
      <c r="H25" s="139">
        <f t="shared" si="1"/>
        <v>73</v>
      </c>
      <c r="I25" s="139">
        <f t="shared" si="1"/>
        <v>98</v>
      </c>
      <c r="J25" s="139">
        <f t="shared" si="1"/>
        <v>69</v>
      </c>
      <c r="K25" s="139">
        <f t="shared" si="1"/>
        <v>101</v>
      </c>
      <c r="L25" s="176">
        <f t="shared" ref="L25:S25" si="2">SUM(L3:L22)</f>
        <v>143</v>
      </c>
      <c r="M25" s="176">
        <f t="shared" si="2"/>
        <v>4</v>
      </c>
      <c r="N25" s="300">
        <f t="shared" si="2"/>
        <v>108</v>
      </c>
      <c r="O25" s="300">
        <f t="shared" si="2"/>
        <v>3</v>
      </c>
      <c r="P25" s="139">
        <f t="shared" si="2"/>
        <v>72</v>
      </c>
      <c r="Q25" s="139">
        <f t="shared" si="2"/>
        <v>98</v>
      </c>
      <c r="R25" s="139">
        <f t="shared" si="2"/>
        <v>72</v>
      </c>
      <c r="S25" s="139">
        <f t="shared" si="2"/>
        <v>98</v>
      </c>
      <c r="T25" s="139">
        <f t="shared" si="1"/>
        <v>72</v>
      </c>
      <c r="U25" s="139">
        <f t="shared" si="1"/>
        <v>98</v>
      </c>
      <c r="V25" s="139">
        <f t="shared" si="1"/>
        <v>72</v>
      </c>
      <c r="W25" s="139">
        <f t="shared" si="1"/>
        <v>98</v>
      </c>
      <c r="X25" s="139">
        <f t="shared" si="1"/>
        <v>72</v>
      </c>
      <c r="Y25" s="139">
        <f t="shared" si="1"/>
        <v>98</v>
      </c>
      <c r="Z25" s="300">
        <f t="shared" si="1"/>
        <v>109</v>
      </c>
      <c r="AA25" s="300">
        <f t="shared" si="1"/>
        <v>2</v>
      </c>
      <c r="AB25" s="300">
        <f t="shared" si="1"/>
        <v>109</v>
      </c>
      <c r="AC25" s="300">
        <f t="shared" si="1"/>
        <v>2</v>
      </c>
      <c r="AD25" s="139">
        <f t="shared" si="1"/>
        <v>71</v>
      </c>
      <c r="AE25" s="139">
        <f t="shared" si="1"/>
        <v>99</v>
      </c>
      <c r="AF25" s="139">
        <f t="shared" si="1"/>
        <v>71</v>
      </c>
      <c r="AG25" s="139">
        <f t="shared" si="1"/>
        <v>99</v>
      </c>
      <c r="AH25" s="139">
        <f t="shared" si="1"/>
        <v>71</v>
      </c>
      <c r="AI25" s="139">
        <f t="shared" si="1"/>
        <v>99</v>
      </c>
      <c r="AJ25" s="139">
        <f>SUM(AJ3:AJ22)</f>
        <v>71</v>
      </c>
      <c r="AK25" s="139">
        <f>SUM(AK3:AK22)</f>
        <v>99</v>
      </c>
      <c r="AL25" s="139">
        <f t="shared" ref="AL25:AQ25" si="3">SUM(AL3:AL22)</f>
        <v>72</v>
      </c>
      <c r="AM25" s="139">
        <f t="shared" si="3"/>
        <v>98</v>
      </c>
      <c r="AN25" s="176">
        <f t="shared" si="3"/>
        <v>144</v>
      </c>
      <c r="AO25" s="176">
        <f t="shared" si="3"/>
        <v>3</v>
      </c>
      <c r="AP25" s="300">
        <f t="shared" si="3"/>
        <v>108</v>
      </c>
      <c r="AQ25" s="300">
        <f t="shared" si="3"/>
        <v>3</v>
      </c>
      <c r="AR25" s="139">
        <f t="shared" ref="AR25:AU25" si="4">SUM(AR3:AR22)</f>
        <v>72</v>
      </c>
      <c r="AS25" s="139">
        <f t="shared" si="4"/>
        <v>98</v>
      </c>
      <c r="AT25" s="139">
        <f t="shared" si="4"/>
        <v>72</v>
      </c>
      <c r="AU25" s="139">
        <f t="shared" si="4"/>
        <v>98</v>
      </c>
      <c r="AV25" s="139">
        <f t="shared" ref="AV25:BA25" si="5">SUM(AV3:AV22)</f>
        <v>72</v>
      </c>
      <c r="AW25" s="139">
        <f t="shared" si="5"/>
        <v>98</v>
      </c>
      <c r="AX25" s="139">
        <f t="shared" si="5"/>
        <v>72</v>
      </c>
      <c r="AY25" s="139">
        <f t="shared" si="5"/>
        <v>98</v>
      </c>
      <c r="AZ25" s="139">
        <f t="shared" si="5"/>
        <v>74</v>
      </c>
      <c r="BA25" s="139">
        <f t="shared" si="5"/>
        <v>97</v>
      </c>
      <c r="BB25" s="176">
        <f t="shared" ref="BB25:BE25" si="6">SUM(BB3:BB22)</f>
        <v>116</v>
      </c>
      <c r="BC25" s="176">
        <f t="shared" si="6"/>
        <v>34</v>
      </c>
      <c r="BD25" s="300">
        <f t="shared" si="6"/>
        <v>112</v>
      </c>
      <c r="BE25" s="300">
        <f t="shared" si="6"/>
        <v>36</v>
      </c>
      <c r="BF25" s="139">
        <f>SUM(BF3:BF22)</f>
        <v>75</v>
      </c>
      <c r="BG25" s="139">
        <f>SUM(BG3:BG22)</f>
        <v>95</v>
      </c>
      <c r="BH25" s="139">
        <f>SUM(BH3:BH22)</f>
        <v>76</v>
      </c>
      <c r="BI25" s="139">
        <f>SUM(BI3:BI22)</f>
        <v>94</v>
      </c>
      <c r="BJ25" s="139">
        <f>SUM(BJ3:BJ22)</f>
        <v>74</v>
      </c>
      <c r="BK25" s="139">
        <f>SUM(BK3:BK22)</f>
        <v>96</v>
      </c>
      <c r="BL25" s="300">
        <f>SUM(BL3:BL22)</f>
        <v>108</v>
      </c>
      <c r="BM25" s="300">
        <f>SUM(BM3:BM22)</f>
        <v>3</v>
      </c>
      <c r="XCC25" s="65"/>
    </row>
    <row r="26" spans="1:65 16305:16305" x14ac:dyDescent="0.3">
      <c r="C26" s="8"/>
      <c r="L26" s="127"/>
      <c r="Z26" s="127"/>
      <c r="AA26" s="127"/>
      <c r="AB26" s="127"/>
      <c r="AC26" s="127"/>
      <c r="AG26" s="127"/>
      <c r="AH26" s="127"/>
      <c r="AI26" s="127"/>
      <c r="AJ26" s="127"/>
      <c r="AR26" s="56"/>
      <c r="AS26" s="56"/>
      <c r="AT26" s="56"/>
      <c r="AU26" s="56"/>
      <c r="AV26" s="56"/>
      <c r="AW26" s="56"/>
      <c r="AX26" s="56"/>
      <c r="AY26" s="56"/>
      <c r="AZ26" s="56"/>
      <c r="BH26" s="56"/>
      <c r="BI26" s="56"/>
      <c r="BJ26" s="56"/>
      <c r="BK26" s="56"/>
      <c r="BL26" s="56"/>
      <c r="BM26" s="56"/>
    </row>
    <row r="27" spans="1:65 16305:16305" ht="17.399999999999999" x14ac:dyDescent="0.3">
      <c r="C27" s="8"/>
      <c r="L27" s="127"/>
      <c r="Z27" s="57"/>
      <c r="AJ27" s="127"/>
      <c r="AR27" s="56"/>
      <c r="AS27" s="56"/>
      <c r="AT27" s="56"/>
      <c r="AU27" s="56"/>
      <c r="AV27" s="56"/>
      <c r="AW27" s="56"/>
      <c r="AX27" s="56"/>
      <c r="AY27" s="56"/>
      <c r="AZ27" s="56"/>
      <c r="BH27" s="56"/>
      <c r="BI27" s="56"/>
      <c r="BJ27" s="56"/>
      <c r="BK27" s="56"/>
      <c r="BL27" s="56"/>
      <c r="BM27" s="56"/>
    </row>
    <row r="28" spans="1:65 16305:16305" x14ac:dyDescent="0.3">
      <c r="C28" s="8"/>
      <c r="F28" s="127"/>
      <c r="G28" s="127"/>
      <c r="H28" s="127"/>
      <c r="I28" s="127"/>
      <c r="J28" s="8"/>
      <c r="K28" s="8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J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</row>
    <row r="29" spans="1:65 16305:16305" x14ac:dyDescent="0.3">
      <c r="C29" s="8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J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</row>
    <row r="30" spans="1:65 16305:16305" x14ac:dyDescent="0.3">
      <c r="C30" s="8"/>
      <c r="L30" s="127"/>
      <c r="AJ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</row>
    <row r="31" spans="1:65 16305:16305" x14ac:dyDescent="0.3">
      <c r="A31" s="58" t="s">
        <v>78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</row>
    <row r="32" spans="1:65 16305:16305" x14ac:dyDescent="0.3">
      <c r="A32" t="s">
        <v>79</v>
      </c>
      <c r="C32" s="8"/>
      <c r="D32" s="59">
        <f>D5+D12+D19</f>
        <v>35</v>
      </c>
      <c r="E32" s="291">
        <f>E5+E12+E19</f>
        <v>48</v>
      </c>
      <c r="F32" s="59">
        <f>F5+F12+F19</f>
        <v>36</v>
      </c>
      <c r="G32" s="59">
        <f>G5+G12+G19</f>
        <v>47</v>
      </c>
      <c r="H32" s="59">
        <f>H5+H12+H19</f>
        <v>36</v>
      </c>
      <c r="I32" s="59">
        <f>I5+I12+I19</f>
        <v>48</v>
      </c>
      <c r="J32" s="59">
        <f>J5+J12+J19</f>
        <v>33</v>
      </c>
      <c r="K32" s="59">
        <f>K5+K12+K19</f>
        <v>50</v>
      </c>
      <c r="L32" s="153">
        <f>L5+L12+L19</f>
        <v>69</v>
      </c>
      <c r="M32" s="59">
        <f>M5+M12+M19</f>
        <v>3</v>
      </c>
      <c r="N32" s="59">
        <f>N5+N12+N19</f>
        <v>51</v>
      </c>
      <c r="O32" s="282">
        <f>O5+O12+O19</f>
        <v>3</v>
      </c>
      <c r="P32" s="59">
        <f>P5+P12+P19</f>
        <v>36</v>
      </c>
      <c r="Q32" s="59">
        <f>Q5+Q12+Q19</f>
        <v>47</v>
      </c>
      <c r="R32" s="227">
        <f>R5+R12+R19</f>
        <v>36</v>
      </c>
      <c r="S32" s="59">
        <f>S5+S12+S19</f>
        <v>47</v>
      </c>
      <c r="T32" s="59">
        <f>T5+T12+T19</f>
        <v>36</v>
      </c>
      <c r="U32" s="59">
        <f>U5+U12+U19</f>
        <v>47</v>
      </c>
      <c r="V32" s="59">
        <f>V5+V12+V19</f>
        <v>36</v>
      </c>
      <c r="W32" s="59">
        <f>W5+W12+W19</f>
        <v>47</v>
      </c>
      <c r="X32" s="59">
        <f>X5+X12+X19</f>
        <v>36</v>
      </c>
      <c r="Y32" s="59">
        <f>Y5+Y12+Y19</f>
        <v>47</v>
      </c>
      <c r="Z32" s="117">
        <f>Z5+Z12+Z19</f>
        <v>52</v>
      </c>
      <c r="AA32" s="117">
        <f>AA5+AA12+AA19</f>
        <v>2</v>
      </c>
      <c r="AB32" s="118">
        <f>AB5+AB12+AB19</f>
        <v>52</v>
      </c>
      <c r="AC32" s="118">
        <f>AC5+AC12+AC19</f>
        <v>2</v>
      </c>
      <c r="AD32" s="59">
        <f>AD5+AD12+AD19</f>
        <v>35</v>
      </c>
      <c r="AE32" s="59">
        <f>AE5+AE12+AE19</f>
        <v>48</v>
      </c>
      <c r="AF32" s="59">
        <f>AF5+AF12+AF19</f>
        <v>35</v>
      </c>
      <c r="AG32" s="253">
        <f>AG5+AG12+AG19</f>
        <v>48</v>
      </c>
      <c r="AH32" s="253">
        <f>AH5+AH12+AH19</f>
        <v>35</v>
      </c>
      <c r="AI32" s="253">
        <f>AI5+AI12+AI19</f>
        <v>48</v>
      </c>
      <c r="AJ32" s="253">
        <f>AJ5+AJ12+AJ19</f>
        <v>35</v>
      </c>
      <c r="AK32" s="253">
        <f>AK5+AK12+AK19</f>
        <v>48</v>
      </c>
      <c r="AL32" s="253">
        <f>AL5+AL12+AL19</f>
        <v>36</v>
      </c>
      <c r="AM32" s="253">
        <f>AM5+AM12+AM19</f>
        <v>47</v>
      </c>
      <c r="AN32" s="253">
        <f>AN5+AN12+AN19</f>
        <v>69</v>
      </c>
      <c r="AO32" s="273">
        <f>AO5+AO12+AO19</f>
        <v>3</v>
      </c>
      <c r="AP32" s="59">
        <f>AP5+AP12+AP19</f>
        <v>51</v>
      </c>
      <c r="AQ32" s="59">
        <f>AQ5+AQ12+AQ19</f>
        <v>3</v>
      </c>
      <c r="AR32" s="59">
        <f>AR5+AR12+AR19</f>
        <v>36</v>
      </c>
      <c r="AS32" s="59">
        <f>AS5+AS12+AS19</f>
        <v>47</v>
      </c>
      <c r="AT32" s="250">
        <f>AT5+AT12+AT19</f>
        <v>36</v>
      </c>
      <c r="AU32" s="59">
        <f>AU5+AU12+AU19</f>
        <v>47</v>
      </c>
      <c r="AV32" s="150">
        <f>AV5+AV12+AV19</f>
        <v>36</v>
      </c>
      <c r="AW32" s="59">
        <f>AW5+AW12+AW19</f>
        <v>47</v>
      </c>
      <c r="AX32" s="59">
        <f>AX5+AX12+AX19</f>
        <v>36</v>
      </c>
      <c r="AY32" s="274">
        <f>AY5+AY12+AY19</f>
        <v>47</v>
      </c>
      <c r="AZ32" s="59">
        <f>AZ5+AZ12+AZ19</f>
        <v>38</v>
      </c>
      <c r="BA32" s="275">
        <f>BA5+BA12+BA19</f>
        <v>46</v>
      </c>
      <c r="BB32" s="290">
        <f>BB5+BB12+BB19</f>
        <v>59</v>
      </c>
      <c r="BC32" s="290">
        <f>BC5+BC12+BC19</f>
        <v>16</v>
      </c>
      <c r="BD32" s="288">
        <f>BD5+BD12+BD19</f>
        <v>56</v>
      </c>
      <c r="BE32" s="288">
        <f>BE5+BE12+BE19</f>
        <v>18</v>
      </c>
      <c r="BF32" s="177">
        <f>BF5+BF12+BF19</f>
        <v>37</v>
      </c>
      <c r="BG32" s="177">
        <f>BG5+BG12+BG19</f>
        <v>46</v>
      </c>
      <c r="BH32" s="245">
        <f>BH5+BH12+BH19</f>
        <v>38</v>
      </c>
      <c r="BI32" s="245">
        <f>BI5+BI12+BI19</f>
        <v>45</v>
      </c>
      <c r="BJ32" s="292">
        <f>BJ5+BJ12+BJ19</f>
        <v>37</v>
      </c>
      <c r="BK32" s="292">
        <f>BK5+BK12+BK19</f>
        <v>46</v>
      </c>
      <c r="BL32" s="318">
        <f>BL5+BL12+BL19</f>
        <v>51</v>
      </c>
      <c r="BM32" s="318">
        <f>BM5+BM12+BM19</f>
        <v>3</v>
      </c>
    </row>
    <row r="33" spans="1:65" x14ac:dyDescent="0.3">
      <c r="A33" t="s">
        <v>80</v>
      </c>
      <c r="C33" s="8"/>
      <c r="D33" s="291">
        <f t="shared" ref="D33:AM33" si="7">D8+D15+D22</f>
        <v>34</v>
      </c>
      <c r="E33" s="291">
        <f t="shared" si="7"/>
        <v>45</v>
      </c>
      <c r="F33" s="59">
        <f t="shared" si="7"/>
        <v>35</v>
      </c>
      <c r="G33" s="59">
        <f t="shared" si="7"/>
        <v>44</v>
      </c>
      <c r="H33" s="59">
        <f t="shared" si="7"/>
        <v>36</v>
      </c>
      <c r="I33" s="59">
        <f t="shared" si="7"/>
        <v>43</v>
      </c>
      <c r="J33" s="59">
        <f t="shared" si="7"/>
        <v>35</v>
      </c>
      <c r="K33" s="59">
        <f t="shared" si="7"/>
        <v>44</v>
      </c>
      <c r="L33" s="153">
        <f t="shared" si="7"/>
        <v>74</v>
      </c>
      <c r="M33" s="59">
        <f t="shared" si="7"/>
        <v>1</v>
      </c>
      <c r="N33" s="59">
        <f t="shared" si="7"/>
        <v>57</v>
      </c>
      <c r="O33" s="282">
        <f t="shared" si="7"/>
        <v>0</v>
      </c>
      <c r="P33" s="59">
        <f t="shared" si="7"/>
        <v>35</v>
      </c>
      <c r="Q33" s="59">
        <f t="shared" si="7"/>
        <v>44</v>
      </c>
      <c r="R33" s="227">
        <f t="shared" si="7"/>
        <v>35</v>
      </c>
      <c r="S33" s="59">
        <f t="shared" si="7"/>
        <v>44</v>
      </c>
      <c r="T33" s="59">
        <f t="shared" si="7"/>
        <v>35</v>
      </c>
      <c r="U33" s="291">
        <f t="shared" si="7"/>
        <v>44</v>
      </c>
      <c r="V33" s="59">
        <f t="shared" si="7"/>
        <v>35</v>
      </c>
      <c r="W33" s="59">
        <f t="shared" si="7"/>
        <v>44</v>
      </c>
      <c r="X33" s="59">
        <f t="shared" si="7"/>
        <v>35</v>
      </c>
      <c r="Y33" s="59">
        <f t="shared" si="7"/>
        <v>44</v>
      </c>
      <c r="Z33" s="117">
        <f t="shared" si="7"/>
        <v>57</v>
      </c>
      <c r="AA33" s="117">
        <f t="shared" si="7"/>
        <v>0</v>
      </c>
      <c r="AB33" s="118">
        <f t="shared" si="7"/>
        <v>57</v>
      </c>
      <c r="AC33" s="118">
        <f t="shared" si="7"/>
        <v>0</v>
      </c>
      <c r="AD33" s="59">
        <f t="shared" si="7"/>
        <v>35</v>
      </c>
      <c r="AE33" s="267">
        <f t="shared" si="7"/>
        <v>44</v>
      </c>
      <c r="AF33" s="269">
        <f t="shared" si="7"/>
        <v>35</v>
      </c>
      <c r="AG33" s="253">
        <f t="shared" si="7"/>
        <v>44</v>
      </c>
      <c r="AH33" s="253">
        <f t="shared" si="7"/>
        <v>35</v>
      </c>
      <c r="AI33" s="253">
        <f t="shared" si="7"/>
        <v>44</v>
      </c>
      <c r="AJ33" s="253">
        <f t="shared" si="7"/>
        <v>35</v>
      </c>
      <c r="AK33" s="253">
        <f t="shared" si="7"/>
        <v>44</v>
      </c>
      <c r="AL33" s="253">
        <f t="shared" si="7"/>
        <v>35</v>
      </c>
      <c r="AM33" s="253">
        <f t="shared" si="7"/>
        <v>44</v>
      </c>
      <c r="AN33" s="317">
        <f>AN8+AN15+AN22</f>
        <v>75</v>
      </c>
      <c r="AO33" s="317">
        <f>AO8+AO15+AO22</f>
        <v>0</v>
      </c>
      <c r="AP33" s="59">
        <f t="shared" ref="AP33:BK33" si="8">AP8+AP15+AP22</f>
        <v>57</v>
      </c>
      <c r="AQ33" s="59">
        <f t="shared" si="8"/>
        <v>0</v>
      </c>
      <c r="AR33" s="59">
        <f t="shared" si="8"/>
        <v>35</v>
      </c>
      <c r="AS33" s="59">
        <f t="shared" si="8"/>
        <v>44</v>
      </c>
      <c r="AT33" s="250">
        <f t="shared" si="8"/>
        <v>35</v>
      </c>
      <c r="AU33" s="59">
        <f t="shared" si="8"/>
        <v>44</v>
      </c>
      <c r="AV33" s="59">
        <f t="shared" si="8"/>
        <v>35</v>
      </c>
      <c r="AW33" s="59">
        <f t="shared" si="8"/>
        <v>44</v>
      </c>
      <c r="AX33" s="274">
        <f t="shared" si="8"/>
        <v>35</v>
      </c>
      <c r="AY33" s="274">
        <f t="shared" si="8"/>
        <v>44</v>
      </c>
      <c r="AZ33" s="275">
        <f t="shared" si="8"/>
        <v>34</v>
      </c>
      <c r="BA33" s="275">
        <f t="shared" si="8"/>
        <v>45</v>
      </c>
      <c r="BB33" s="290">
        <f t="shared" si="8"/>
        <v>57</v>
      </c>
      <c r="BC33" s="290">
        <f t="shared" si="8"/>
        <v>18</v>
      </c>
      <c r="BD33" s="288">
        <f t="shared" si="8"/>
        <v>56</v>
      </c>
      <c r="BE33" s="288">
        <f t="shared" si="8"/>
        <v>18</v>
      </c>
      <c r="BF33" s="177">
        <f t="shared" si="8"/>
        <v>37</v>
      </c>
      <c r="BG33" s="177">
        <f t="shared" si="8"/>
        <v>42</v>
      </c>
      <c r="BH33" s="245">
        <f t="shared" si="8"/>
        <v>37</v>
      </c>
      <c r="BI33" s="245">
        <f t="shared" si="8"/>
        <v>42</v>
      </c>
      <c r="BJ33" s="292">
        <f t="shared" si="8"/>
        <v>36</v>
      </c>
      <c r="BK33" s="292">
        <f t="shared" si="8"/>
        <v>43</v>
      </c>
      <c r="BL33" s="318">
        <f t="shared" ref="BL33:BM33" si="9">BL8+BL15+BL22</f>
        <v>57</v>
      </c>
      <c r="BM33" s="318">
        <f t="shared" si="9"/>
        <v>0</v>
      </c>
    </row>
    <row r="34" spans="1:65" x14ac:dyDescent="0.3">
      <c r="A34" t="s">
        <v>81</v>
      </c>
      <c r="C34" s="8"/>
      <c r="D34" s="59">
        <f t="shared" ref="D34:AI34" si="10">D3+D10+D17</f>
        <v>0</v>
      </c>
      <c r="E34" s="291">
        <f t="shared" si="10"/>
        <v>2</v>
      </c>
      <c r="F34" s="59">
        <f t="shared" si="10"/>
        <v>0</v>
      </c>
      <c r="G34" s="59">
        <f t="shared" si="10"/>
        <v>2</v>
      </c>
      <c r="H34" s="59">
        <f t="shared" si="10"/>
        <v>0</v>
      </c>
      <c r="I34" s="59">
        <f t="shared" si="10"/>
        <v>2</v>
      </c>
      <c r="J34" s="59">
        <f t="shared" si="10"/>
        <v>0</v>
      </c>
      <c r="K34" s="59">
        <f t="shared" si="10"/>
        <v>2</v>
      </c>
      <c r="L34" s="153">
        <f t="shared" si="10"/>
        <v>0</v>
      </c>
      <c r="M34" s="59">
        <f t="shared" si="10"/>
        <v>0</v>
      </c>
      <c r="N34" s="59">
        <f t="shared" si="10"/>
        <v>0</v>
      </c>
      <c r="O34" s="59">
        <f t="shared" si="10"/>
        <v>0</v>
      </c>
      <c r="P34" s="59">
        <f t="shared" si="10"/>
        <v>0</v>
      </c>
      <c r="Q34" s="59">
        <f t="shared" si="10"/>
        <v>2</v>
      </c>
      <c r="R34" s="227">
        <f t="shared" si="10"/>
        <v>0</v>
      </c>
      <c r="S34" s="59">
        <f t="shared" si="10"/>
        <v>2</v>
      </c>
      <c r="T34" s="59">
        <f t="shared" si="10"/>
        <v>0</v>
      </c>
      <c r="U34" s="59">
        <f t="shared" si="10"/>
        <v>2</v>
      </c>
      <c r="V34" s="59">
        <f t="shared" si="10"/>
        <v>0</v>
      </c>
      <c r="W34" s="59">
        <f t="shared" si="10"/>
        <v>2</v>
      </c>
      <c r="X34" s="59">
        <f t="shared" si="10"/>
        <v>0</v>
      </c>
      <c r="Y34" s="59">
        <f t="shared" si="10"/>
        <v>2</v>
      </c>
      <c r="Z34" s="117">
        <f t="shared" si="10"/>
        <v>0</v>
      </c>
      <c r="AA34" s="117">
        <f t="shared" si="10"/>
        <v>0</v>
      </c>
      <c r="AB34" s="118">
        <f t="shared" si="10"/>
        <v>0</v>
      </c>
      <c r="AC34" s="118">
        <f t="shared" si="10"/>
        <v>0</v>
      </c>
      <c r="AD34" s="59">
        <f t="shared" si="10"/>
        <v>0</v>
      </c>
      <c r="AE34" s="267">
        <f t="shared" si="10"/>
        <v>2</v>
      </c>
      <c r="AF34" s="59">
        <f t="shared" si="10"/>
        <v>0</v>
      </c>
      <c r="AG34" s="269">
        <f t="shared" si="10"/>
        <v>2</v>
      </c>
      <c r="AH34" s="59">
        <f t="shared" si="10"/>
        <v>0</v>
      </c>
      <c r="AI34" s="59">
        <f t="shared" si="10"/>
        <v>2</v>
      </c>
      <c r="AJ34" s="284">
        <f t="shared" ref="AJ34:BK34" si="11">AJ3+AJ10+AJ17</f>
        <v>0</v>
      </c>
      <c r="AK34" s="59">
        <f t="shared" si="11"/>
        <v>2</v>
      </c>
      <c r="AL34" s="59">
        <f t="shared" si="11"/>
        <v>0</v>
      </c>
      <c r="AM34" s="59">
        <f t="shared" si="11"/>
        <v>2</v>
      </c>
      <c r="AN34" s="59">
        <f t="shared" si="11"/>
        <v>0</v>
      </c>
      <c r="AO34" s="273">
        <f t="shared" si="11"/>
        <v>0</v>
      </c>
      <c r="AP34" s="59">
        <f t="shared" si="11"/>
        <v>0</v>
      </c>
      <c r="AQ34" s="59">
        <f t="shared" si="11"/>
        <v>0</v>
      </c>
      <c r="AR34" s="59">
        <f t="shared" si="11"/>
        <v>0</v>
      </c>
      <c r="AS34" s="59">
        <f t="shared" si="11"/>
        <v>2</v>
      </c>
      <c r="AT34" s="59">
        <f t="shared" si="11"/>
        <v>0</v>
      </c>
      <c r="AU34" s="59">
        <f t="shared" si="11"/>
        <v>2</v>
      </c>
      <c r="AV34" s="59">
        <f t="shared" si="11"/>
        <v>0</v>
      </c>
      <c r="AW34" s="59">
        <f t="shared" si="11"/>
        <v>2</v>
      </c>
      <c r="AX34" s="274">
        <f t="shared" si="11"/>
        <v>0</v>
      </c>
      <c r="AY34" s="274">
        <f t="shared" si="11"/>
        <v>2</v>
      </c>
      <c r="AZ34" s="59">
        <f t="shared" si="11"/>
        <v>0</v>
      </c>
      <c r="BA34" s="275">
        <f t="shared" si="11"/>
        <v>2</v>
      </c>
      <c r="BB34" s="290">
        <f t="shared" si="11"/>
        <v>0</v>
      </c>
      <c r="BC34" s="290">
        <f t="shared" si="11"/>
        <v>0</v>
      </c>
      <c r="BD34" s="288">
        <f t="shared" si="11"/>
        <v>0</v>
      </c>
      <c r="BE34" s="288">
        <f t="shared" si="11"/>
        <v>0</v>
      </c>
      <c r="BF34" s="276">
        <f t="shared" si="11"/>
        <v>0</v>
      </c>
      <c r="BG34" s="177">
        <f t="shared" si="11"/>
        <v>2</v>
      </c>
      <c r="BH34" s="245">
        <f t="shared" si="11"/>
        <v>0</v>
      </c>
      <c r="BI34" s="245">
        <f t="shared" si="11"/>
        <v>2</v>
      </c>
      <c r="BJ34" s="292">
        <f t="shared" si="11"/>
        <v>0</v>
      </c>
      <c r="BK34" s="292">
        <f t="shared" si="11"/>
        <v>2</v>
      </c>
      <c r="BL34" s="318">
        <f t="shared" ref="BL34:BM34" si="12">BL3+BL10+BL17</f>
        <v>0</v>
      </c>
      <c r="BM34" s="318">
        <f t="shared" si="12"/>
        <v>0</v>
      </c>
    </row>
    <row r="35" spans="1:65" x14ac:dyDescent="0.3">
      <c r="A35" t="s">
        <v>82</v>
      </c>
      <c r="C35" s="8"/>
      <c r="D35" s="59">
        <f t="shared" ref="D35:AM35" si="13">D6+D13+D20</f>
        <v>0</v>
      </c>
      <c r="E35" s="291">
        <f t="shared" si="13"/>
        <v>3</v>
      </c>
      <c r="F35" s="59">
        <f t="shared" si="13"/>
        <v>0</v>
      </c>
      <c r="G35" s="59">
        <f t="shared" si="13"/>
        <v>3</v>
      </c>
      <c r="H35" s="59">
        <f t="shared" si="13"/>
        <v>0</v>
      </c>
      <c r="I35" s="59">
        <f t="shared" si="13"/>
        <v>3</v>
      </c>
      <c r="J35" s="59">
        <f t="shared" si="13"/>
        <v>0</v>
      </c>
      <c r="K35" s="59">
        <f t="shared" si="13"/>
        <v>3</v>
      </c>
      <c r="L35" s="153">
        <f t="shared" si="13"/>
        <v>0</v>
      </c>
      <c r="M35" s="59">
        <f t="shared" si="13"/>
        <v>0</v>
      </c>
      <c r="N35" s="59">
        <f t="shared" si="13"/>
        <v>0</v>
      </c>
      <c r="O35" s="59">
        <f t="shared" si="13"/>
        <v>0</v>
      </c>
      <c r="P35" s="59">
        <f t="shared" si="13"/>
        <v>0</v>
      </c>
      <c r="Q35" s="59">
        <f t="shared" si="13"/>
        <v>3</v>
      </c>
      <c r="R35" s="227">
        <f t="shared" si="13"/>
        <v>0</v>
      </c>
      <c r="S35" s="59">
        <f t="shared" si="13"/>
        <v>3</v>
      </c>
      <c r="T35" s="59">
        <f t="shared" si="13"/>
        <v>0</v>
      </c>
      <c r="U35" s="291">
        <f t="shared" si="13"/>
        <v>3</v>
      </c>
      <c r="V35" s="59">
        <f t="shared" si="13"/>
        <v>0</v>
      </c>
      <c r="W35" s="59">
        <f t="shared" si="13"/>
        <v>3</v>
      </c>
      <c r="X35" s="59">
        <f t="shared" si="13"/>
        <v>0</v>
      </c>
      <c r="Y35" s="59">
        <f t="shared" si="13"/>
        <v>3</v>
      </c>
      <c r="Z35" s="117">
        <f t="shared" si="13"/>
        <v>0</v>
      </c>
      <c r="AA35" s="117">
        <f t="shared" si="13"/>
        <v>0</v>
      </c>
      <c r="AB35" s="118">
        <f t="shared" si="13"/>
        <v>0</v>
      </c>
      <c r="AC35" s="118">
        <f t="shared" si="13"/>
        <v>0</v>
      </c>
      <c r="AD35" s="59">
        <f t="shared" si="13"/>
        <v>0</v>
      </c>
      <c r="AE35" s="267">
        <f t="shared" si="13"/>
        <v>3</v>
      </c>
      <c r="AF35" s="59">
        <f t="shared" si="13"/>
        <v>0</v>
      </c>
      <c r="AG35" s="269">
        <f t="shared" si="13"/>
        <v>3</v>
      </c>
      <c r="AH35" s="59">
        <f t="shared" si="13"/>
        <v>0</v>
      </c>
      <c r="AI35" s="59">
        <f t="shared" si="13"/>
        <v>3</v>
      </c>
      <c r="AJ35" s="284">
        <f t="shared" si="13"/>
        <v>0</v>
      </c>
      <c r="AK35" s="59">
        <f t="shared" si="13"/>
        <v>3</v>
      </c>
      <c r="AL35" s="59">
        <f t="shared" si="13"/>
        <v>0</v>
      </c>
      <c r="AM35" s="59">
        <f t="shared" si="13"/>
        <v>3</v>
      </c>
      <c r="AN35" s="59">
        <f>AN6+AN14+AN20</f>
        <v>0</v>
      </c>
      <c r="AO35" s="273">
        <f>AO6+AO13+AO20</f>
        <v>0</v>
      </c>
      <c r="AP35" s="59">
        <f t="shared" ref="AP35:BK35" si="14">AP6+AP13+AP20</f>
        <v>0</v>
      </c>
      <c r="AQ35" s="59">
        <f t="shared" si="14"/>
        <v>0</v>
      </c>
      <c r="AR35" s="59">
        <f t="shared" si="14"/>
        <v>0</v>
      </c>
      <c r="AS35" s="59">
        <f t="shared" si="14"/>
        <v>3</v>
      </c>
      <c r="AT35" s="59">
        <f t="shared" si="14"/>
        <v>0</v>
      </c>
      <c r="AU35" s="59">
        <f t="shared" si="14"/>
        <v>3</v>
      </c>
      <c r="AV35" s="59">
        <f t="shared" si="14"/>
        <v>0</v>
      </c>
      <c r="AW35" s="59">
        <f t="shared" si="14"/>
        <v>3</v>
      </c>
      <c r="AX35" s="59">
        <f t="shared" si="14"/>
        <v>0</v>
      </c>
      <c r="AY35" s="274">
        <f t="shared" si="14"/>
        <v>3</v>
      </c>
      <c r="AZ35" s="59">
        <f t="shared" si="14"/>
        <v>0</v>
      </c>
      <c r="BA35" s="275">
        <f t="shared" si="14"/>
        <v>3</v>
      </c>
      <c r="BB35" s="290">
        <f t="shared" si="14"/>
        <v>0</v>
      </c>
      <c r="BC35" s="290">
        <f t="shared" si="14"/>
        <v>0</v>
      </c>
      <c r="BD35" s="288">
        <f t="shared" si="14"/>
        <v>0</v>
      </c>
      <c r="BE35" s="288">
        <f t="shared" si="14"/>
        <v>0</v>
      </c>
      <c r="BF35" s="177">
        <f t="shared" si="14"/>
        <v>0</v>
      </c>
      <c r="BG35" s="177">
        <f t="shared" si="14"/>
        <v>3</v>
      </c>
      <c r="BH35" s="245">
        <f t="shared" si="14"/>
        <v>0</v>
      </c>
      <c r="BI35" s="245">
        <f t="shared" si="14"/>
        <v>3</v>
      </c>
      <c r="BJ35" s="292">
        <f t="shared" si="14"/>
        <v>0</v>
      </c>
      <c r="BK35" s="292">
        <f t="shared" si="14"/>
        <v>3</v>
      </c>
      <c r="BL35" s="318">
        <f t="shared" ref="BL35:BM35" si="15">BL6+BL13+BL20</f>
        <v>0</v>
      </c>
      <c r="BM35" s="318">
        <f t="shared" si="15"/>
        <v>0</v>
      </c>
    </row>
    <row r="36" spans="1:65" s="127" customFormat="1" x14ac:dyDescent="0.3">
      <c r="A36" s="127" t="s">
        <v>122</v>
      </c>
      <c r="C36" s="8"/>
      <c r="D36" s="157">
        <f t="shared" ref="D36:AI36" si="16">D4+D11+D18</f>
        <v>0</v>
      </c>
      <c r="E36" s="291">
        <f t="shared" si="16"/>
        <v>0</v>
      </c>
      <c r="F36" s="157">
        <f t="shared" si="16"/>
        <v>0</v>
      </c>
      <c r="G36" s="157">
        <f t="shared" si="16"/>
        <v>0</v>
      </c>
      <c r="H36" s="157">
        <f t="shared" si="16"/>
        <v>0</v>
      </c>
      <c r="I36" s="157">
        <f t="shared" si="16"/>
        <v>0</v>
      </c>
      <c r="J36" s="157">
        <f t="shared" si="16"/>
        <v>0</v>
      </c>
      <c r="K36" s="157">
        <f t="shared" si="16"/>
        <v>0</v>
      </c>
      <c r="L36" s="157">
        <f t="shared" si="16"/>
        <v>0</v>
      </c>
      <c r="M36" s="157">
        <f t="shared" si="16"/>
        <v>0</v>
      </c>
      <c r="N36" s="157">
        <f t="shared" si="16"/>
        <v>0</v>
      </c>
      <c r="O36" s="282">
        <f t="shared" si="16"/>
        <v>0</v>
      </c>
      <c r="P36" s="157">
        <f t="shared" si="16"/>
        <v>0</v>
      </c>
      <c r="Q36" s="157">
        <f t="shared" si="16"/>
        <v>0</v>
      </c>
      <c r="R36" s="227">
        <f t="shared" si="16"/>
        <v>0</v>
      </c>
      <c r="S36" s="157">
        <f t="shared" si="16"/>
        <v>0</v>
      </c>
      <c r="T36" s="157">
        <f t="shared" si="16"/>
        <v>0</v>
      </c>
      <c r="U36" s="157">
        <f t="shared" si="16"/>
        <v>0</v>
      </c>
      <c r="V36" s="157">
        <f t="shared" si="16"/>
        <v>0</v>
      </c>
      <c r="W36" s="157">
        <f t="shared" si="16"/>
        <v>0</v>
      </c>
      <c r="X36" s="157">
        <f t="shared" si="16"/>
        <v>0</v>
      </c>
      <c r="Y36" s="157">
        <f t="shared" si="16"/>
        <v>0</v>
      </c>
      <c r="Z36" s="157">
        <f t="shared" si="16"/>
        <v>0</v>
      </c>
      <c r="AA36" s="157">
        <f t="shared" si="16"/>
        <v>0</v>
      </c>
      <c r="AB36" s="157">
        <f t="shared" si="16"/>
        <v>0</v>
      </c>
      <c r="AC36" s="157">
        <f t="shared" si="16"/>
        <v>0</v>
      </c>
      <c r="AD36" s="157">
        <f t="shared" si="16"/>
        <v>0</v>
      </c>
      <c r="AE36" s="267">
        <f t="shared" si="16"/>
        <v>0</v>
      </c>
      <c r="AF36" s="157">
        <f t="shared" si="16"/>
        <v>0</v>
      </c>
      <c r="AG36" s="269">
        <f t="shared" si="16"/>
        <v>0</v>
      </c>
      <c r="AH36" s="157">
        <f t="shared" si="16"/>
        <v>0</v>
      </c>
      <c r="AI36" s="157">
        <f t="shared" si="16"/>
        <v>0</v>
      </c>
      <c r="AJ36" s="284">
        <f t="shared" ref="AJ36:BK36" si="17">AJ4+AJ11+AJ18</f>
        <v>0</v>
      </c>
      <c r="AK36" s="157">
        <f t="shared" si="17"/>
        <v>0</v>
      </c>
      <c r="AL36" s="157">
        <f t="shared" si="17"/>
        <v>0</v>
      </c>
      <c r="AM36" s="272">
        <f t="shared" si="17"/>
        <v>0</v>
      </c>
      <c r="AN36" s="157">
        <f t="shared" si="17"/>
        <v>0</v>
      </c>
      <c r="AO36" s="273">
        <f t="shared" si="17"/>
        <v>0</v>
      </c>
      <c r="AP36" s="157">
        <f t="shared" si="17"/>
        <v>0</v>
      </c>
      <c r="AQ36" s="157">
        <f t="shared" si="17"/>
        <v>0</v>
      </c>
      <c r="AR36" s="157">
        <f t="shared" si="17"/>
        <v>0</v>
      </c>
      <c r="AS36" s="157">
        <f t="shared" si="17"/>
        <v>0</v>
      </c>
      <c r="AT36" s="157">
        <f t="shared" si="17"/>
        <v>0</v>
      </c>
      <c r="AU36" s="157">
        <f t="shared" si="17"/>
        <v>0</v>
      </c>
      <c r="AV36" s="157">
        <f t="shared" si="17"/>
        <v>0</v>
      </c>
      <c r="AW36" s="157">
        <f t="shared" si="17"/>
        <v>0</v>
      </c>
      <c r="AX36" s="274">
        <f t="shared" si="17"/>
        <v>0</v>
      </c>
      <c r="AY36" s="274">
        <f t="shared" si="17"/>
        <v>0</v>
      </c>
      <c r="AZ36" s="157">
        <f t="shared" si="17"/>
        <v>0</v>
      </c>
      <c r="BA36" s="275">
        <f t="shared" si="17"/>
        <v>0</v>
      </c>
      <c r="BB36" s="290">
        <f t="shared" si="17"/>
        <v>0</v>
      </c>
      <c r="BC36" s="290">
        <f t="shared" si="17"/>
        <v>0</v>
      </c>
      <c r="BD36" s="288">
        <f t="shared" si="17"/>
        <v>0</v>
      </c>
      <c r="BE36" s="288">
        <f t="shared" si="17"/>
        <v>0</v>
      </c>
      <c r="BF36" s="177">
        <f t="shared" si="17"/>
        <v>0</v>
      </c>
      <c r="BG36" s="177">
        <f t="shared" si="17"/>
        <v>0</v>
      </c>
      <c r="BH36" s="245">
        <f t="shared" si="17"/>
        <v>0</v>
      </c>
      <c r="BI36" s="245">
        <f t="shared" si="17"/>
        <v>0</v>
      </c>
      <c r="BJ36" s="292">
        <f t="shared" si="17"/>
        <v>0</v>
      </c>
      <c r="BK36" s="292">
        <f t="shared" si="17"/>
        <v>0</v>
      </c>
      <c r="BL36" s="318">
        <f t="shared" ref="BL36:BM36" si="18">BL4+BL11+BL18</f>
        <v>0</v>
      </c>
      <c r="BM36" s="318">
        <f t="shared" si="18"/>
        <v>0</v>
      </c>
    </row>
    <row r="37" spans="1:65" x14ac:dyDescent="0.3">
      <c r="A37" t="s">
        <v>35</v>
      </c>
      <c r="C37" s="8"/>
      <c r="D37" s="291">
        <f t="shared" ref="D37:AO37" si="19">D7+D14+D21</f>
        <v>1</v>
      </c>
      <c r="E37" s="291">
        <f t="shared" si="19"/>
        <v>2</v>
      </c>
      <c r="F37" s="59">
        <f t="shared" si="19"/>
        <v>1</v>
      </c>
      <c r="G37" s="59">
        <f t="shared" si="19"/>
        <v>2</v>
      </c>
      <c r="H37" s="59">
        <f t="shared" si="19"/>
        <v>1</v>
      </c>
      <c r="I37" s="59">
        <f t="shared" si="19"/>
        <v>2</v>
      </c>
      <c r="J37" s="59">
        <f t="shared" si="19"/>
        <v>1</v>
      </c>
      <c r="K37" s="59">
        <f t="shared" si="19"/>
        <v>2</v>
      </c>
      <c r="L37" s="153">
        <f t="shared" si="19"/>
        <v>0</v>
      </c>
      <c r="M37" s="59">
        <f t="shared" si="19"/>
        <v>0</v>
      </c>
      <c r="N37" s="59">
        <f t="shared" si="19"/>
        <v>0</v>
      </c>
      <c r="O37" s="282">
        <f t="shared" si="19"/>
        <v>0</v>
      </c>
      <c r="P37" s="59">
        <f t="shared" si="19"/>
        <v>1</v>
      </c>
      <c r="Q37" s="59">
        <f t="shared" si="19"/>
        <v>2</v>
      </c>
      <c r="R37" s="227">
        <f t="shared" si="19"/>
        <v>1</v>
      </c>
      <c r="S37" s="59">
        <f t="shared" si="19"/>
        <v>2</v>
      </c>
      <c r="T37" s="59">
        <f t="shared" si="19"/>
        <v>1</v>
      </c>
      <c r="U37" s="59">
        <f t="shared" si="19"/>
        <v>2</v>
      </c>
      <c r="V37" s="59">
        <f t="shared" si="19"/>
        <v>1</v>
      </c>
      <c r="W37" s="59">
        <f t="shared" si="19"/>
        <v>2</v>
      </c>
      <c r="X37" s="59">
        <f t="shared" si="19"/>
        <v>1</v>
      </c>
      <c r="Y37" s="59">
        <f t="shared" si="19"/>
        <v>2</v>
      </c>
      <c r="Z37" s="117">
        <f t="shared" si="19"/>
        <v>0</v>
      </c>
      <c r="AA37" s="117">
        <f t="shared" si="19"/>
        <v>0</v>
      </c>
      <c r="AB37" s="118">
        <f t="shared" si="19"/>
        <v>0</v>
      </c>
      <c r="AC37" s="118">
        <f t="shared" si="19"/>
        <v>0</v>
      </c>
      <c r="AD37" s="59">
        <f t="shared" si="19"/>
        <v>1</v>
      </c>
      <c r="AE37" s="267">
        <f t="shared" si="19"/>
        <v>2</v>
      </c>
      <c r="AF37" s="269">
        <f t="shared" si="19"/>
        <v>1</v>
      </c>
      <c r="AG37" s="269">
        <f t="shared" si="19"/>
        <v>2</v>
      </c>
      <c r="AH37" s="59">
        <f t="shared" si="19"/>
        <v>1</v>
      </c>
      <c r="AI37" s="59">
        <f t="shared" si="19"/>
        <v>2</v>
      </c>
      <c r="AJ37" s="284">
        <f t="shared" si="19"/>
        <v>1</v>
      </c>
      <c r="AK37" s="59">
        <f t="shared" si="19"/>
        <v>2</v>
      </c>
      <c r="AL37" s="272">
        <f t="shared" si="19"/>
        <v>1</v>
      </c>
      <c r="AM37" s="272">
        <f t="shared" si="19"/>
        <v>2</v>
      </c>
      <c r="AN37" s="317">
        <f t="shared" si="19"/>
        <v>0</v>
      </c>
      <c r="AO37" s="317">
        <f t="shared" si="19"/>
        <v>0</v>
      </c>
      <c r="AP37" s="59">
        <f t="shared" ref="AP37:BK37" si="20">AP7+AP14+AP21</f>
        <v>0</v>
      </c>
      <c r="AQ37" s="59">
        <f t="shared" si="20"/>
        <v>0</v>
      </c>
      <c r="AR37" s="59">
        <f t="shared" si="20"/>
        <v>1</v>
      </c>
      <c r="AS37" s="59">
        <f t="shared" si="20"/>
        <v>2</v>
      </c>
      <c r="AT37" s="59">
        <f t="shared" si="20"/>
        <v>1</v>
      </c>
      <c r="AU37" s="59">
        <f t="shared" si="20"/>
        <v>2</v>
      </c>
      <c r="AV37" s="59">
        <f t="shared" si="20"/>
        <v>1</v>
      </c>
      <c r="AW37" s="59">
        <f t="shared" si="20"/>
        <v>2</v>
      </c>
      <c r="AX37" s="274">
        <f t="shared" si="20"/>
        <v>1</v>
      </c>
      <c r="AY37" s="274">
        <f t="shared" si="20"/>
        <v>2</v>
      </c>
      <c r="AZ37" s="275">
        <f t="shared" si="20"/>
        <v>2</v>
      </c>
      <c r="BA37" s="275">
        <f t="shared" si="20"/>
        <v>1</v>
      </c>
      <c r="BB37" s="290">
        <f t="shared" si="20"/>
        <v>0</v>
      </c>
      <c r="BC37" s="290">
        <f t="shared" si="20"/>
        <v>0</v>
      </c>
      <c r="BD37" s="288">
        <f t="shared" si="20"/>
        <v>0</v>
      </c>
      <c r="BE37" s="288">
        <f t="shared" si="20"/>
        <v>0</v>
      </c>
      <c r="BF37" s="177">
        <f t="shared" si="20"/>
        <v>1</v>
      </c>
      <c r="BG37" s="177">
        <f t="shared" si="20"/>
        <v>2</v>
      </c>
      <c r="BH37" s="245">
        <f t="shared" si="20"/>
        <v>1</v>
      </c>
      <c r="BI37" s="245">
        <f t="shared" si="20"/>
        <v>2</v>
      </c>
      <c r="BJ37" s="292">
        <f t="shared" si="20"/>
        <v>1</v>
      </c>
      <c r="BK37" s="292">
        <f t="shared" si="20"/>
        <v>2</v>
      </c>
      <c r="BL37" s="318">
        <f t="shared" ref="BL37:BM37" si="21">BL7+BL14+BL21</f>
        <v>0</v>
      </c>
      <c r="BM37" s="318">
        <f t="shared" si="21"/>
        <v>0</v>
      </c>
    </row>
    <row r="38" spans="1:65" x14ac:dyDescent="0.3">
      <c r="A38" s="356" t="s">
        <v>83</v>
      </c>
      <c r="B38" s="356"/>
      <c r="C38" s="8"/>
      <c r="D38" s="152">
        <f t="shared" ref="D38:AI38" si="22">SUM(D32:D37)</f>
        <v>70</v>
      </c>
      <c r="E38" s="250">
        <f t="shared" si="22"/>
        <v>100</v>
      </c>
      <c r="F38" s="298">
        <f t="shared" si="22"/>
        <v>72</v>
      </c>
      <c r="G38" s="298">
        <f t="shared" si="22"/>
        <v>98</v>
      </c>
      <c r="H38" s="250">
        <f t="shared" si="22"/>
        <v>73</v>
      </c>
      <c r="I38" s="250">
        <f t="shared" si="22"/>
        <v>98</v>
      </c>
      <c r="J38" s="250">
        <f t="shared" si="22"/>
        <v>69</v>
      </c>
      <c r="K38" s="250">
        <f t="shared" si="22"/>
        <v>101</v>
      </c>
      <c r="L38" s="250">
        <f t="shared" si="22"/>
        <v>143</v>
      </c>
      <c r="M38" s="250">
        <f t="shared" si="22"/>
        <v>4</v>
      </c>
      <c r="N38" s="250">
        <f t="shared" si="22"/>
        <v>108</v>
      </c>
      <c r="O38" s="250">
        <f t="shared" si="22"/>
        <v>3</v>
      </c>
      <c r="P38" s="250">
        <f t="shared" si="22"/>
        <v>72</v>
      </c>
      <c r="Q38" s="250">
        <f t="shared" si="22"/>
        <v>98</v>
      </c>
      <c r="R38" s="250">
        <f t="shared" si="22"/>
        <v>72</v>
      </c>
      <c r="S38" s="250">
        <f t="shared" si="22"/>
        <v>98</v>
      </c>
      <c r="T38" s="250">
        <f t="shared" si="22"/>
        <v>72</v>
      </c>
      <c r="U38" s="250">
        <f t="shared" si="22"/>
        <v>98</v>
      </c>
      <c r="V38" s="250">
        <f t="shared" si="22"/>
        <v>72</v>
      </c>
      <c r="W38" s="250">
        <f t="shared" si="22"/>
        <v>98</v>
      </c>
      <c r="X38" s="250">
        <f t="shared" si="22"/>
        <v>72</v>
      </c>
      <c r="Y38" s="250">
        <f t="shared" si="22"/>
        <v>98</v>
      </c>
      <c r="Z38" s="250">
        <f t="shared" si="22"/>
        <v>109</v>
      </c>
      <c r="AA38" s="250">
        <f t="shared" si="22"/>
        <v>2</v>
      </c>
      <c r="AB38" s="250">
        <f t="shared" si="22"/>
        <v>109</v>
      </c>
      <c r="AC38" s="250">
        <f t="shared" si="22"/>
        <v>2</v>
      </c>
      <c r="AD38" s="250">
        <f t="shared" si="22"/>
        <v>71</v>
      </c>
      <c r="AE38" s="250">
        <f t="shared" si="22"/>
        <v>99</v>
      </c>
      <c r="AF38" s="250">
        <f t="shared" si="22"/>
        <v>71</v>
      </c>
      <c r="AG38" s="250">
        <f t="shared" si="22"/>
        <v>99</v>
      </c>
      <c r="AH38" s="250">
        <f t="shared" si="22"/>
        <v>71</v>
      </c>
      <c r="AI38" s="250">
        <f t="shared" si="22"/>
        <v>99</v>
      </c>
      <c r="AJ38" s="250">
        <f t="shared" ref="AJ38:BK38" si="23">SUM(AJ32:AJ37)</f>
        <v>71</v>
      </c>
      <c r="AK38" s="250">
        <f t="shared" si="23"/>
        <v>99</v>
      </c>
      <c r="AL38" s="250">
        <f t="shared" si="23"/>
        <v>72</v>
      </c>
      <c r="AM38" s="250">
        <f t="shared" si="23"/>
        <v>98</v>
      </c>
      <c r="AN38" s="250">
        <f t="shared" si="23"/>
        <v>144</v>
      </c>
      <c r="AO38" s="250">
        <f t="shared" si="23"/>
        <v>3</v>
      </c>
      <c r="AP38" s="308">
        <f t="shared" si="23"/>
        <v>108</v>
      </c>
      <c r="AQ38" s="308">
        <f t="shared" si="23"/>
        <v>3</v>
      </c>
      <c r="AR38" s="309">
        <f t="shared" si="23"/>
        <v>72</v>
      </c>
      <c r="AS38" s="309">
        <f t="shared" si="23"/>
        <v>98</v>
      </c>
      <c r="AT38" s="250">
        <f t="shared" si="23"/>
        <v>72</v>
      </c>
      <c r="AU38" s="250">
        <f t="shared" si="23"/>
        <v>98</v>
      </c>
      <c r="AV38" s="250">
        <f t="shared" si="23"/>
        <v>72</v>
      </c>
      <c r="AW38" s="250">
        <f t="shared" si="23"/>
        <v>98</v>
      </c>
      <c r="AX38" s="250">
        <f t="shared" si="23"/>
        <v>72</v>
      </c>
      <c r="AY38" s="250">
        <f t="shared" si="23"/>
        <v>98</v>
      </c>
      <c r="AZ38" s="250">
        <f t="shared" si="23"/>
        <v>74</v>
      </c>
      <c r="BA38" s="250">
        <f t="shared" si="23"/>
        <v>97</v>
      </c>
      <c r="BB38" s="250">
        <f t="shared" si="23"/>
        <v>116</v>
      </c>
      <c r="BC38" s="250">
        <f t="shared" si="23"/>
        <v>34</v>
      </c>
      <c r="BD38" s="250">
        <f t="shared" si="23"/>
        <v>112</v>
      </c>
      <c r="BE38" s="250">
        <f t="shared" si="23"/>
        <v>36</v>
      </c>
      <c r="BF38" s="250">
        <f t="shared" si="23"/>
        <v>75</v>
      </c>
      <c r="BG38" s="250">
        <f t="shared" si="23"/>
        <v>95</v>
      </c>
      <c r="BH38" s="250">
        <f t="shared" si="23"/>
        <v>76</v>
      </c>
      <c r="BI38" s="250">
        <f t="shared" si="23"/>
        <v>94</v>
      </c>
      <c r="BJ38" s="292">
        <f t="shared" si="23"/>
        <v>74</v>
      </c>
      <c r="BK38" s="292">
        <f t="shared" si="23"/>
        <v>96</v>
      </c>
      <c r="BL38" s="318">
        <f t="shared" ref="BL38:BM38" si="24">SUM(BL32:BL37)</f>
        <v>108</v>
      </c>
      <c r="BM38" s="318">
        <f t="shared" si="24"/>
        <v>3</v>
      </c>
    </row>
    <row r="39" spans="1:65" x14ac:dyDescent="0.3">
      <c r="C39" s="8"/>
      <c r="L39" s="127"/>
      <c r="AR39" s="56"/>
      <c r="AS39" s="56"/>
      <c r="AT39" s="56"/>
      <c r="AU39" s="56"/>
      <c r="AV39" s="56"/>
      <c r="AW39" s="56"/>
      <c r="AX39" s="56"/>
      <c r="AY39" s="56"/>
      <c r="AZ39" s="56"/>
      <c r="BB39" s="56"/>
      <c r="BD39" s="56"/>
      <c r="BH39" s="56"/>
      <c r="BI39" s="56"/>
      <c r="BJ39" s="56"/>
      <c r="BK39" s="56"/>
      <c r="BL39" s="56"/>
      <c r="BM39" s="56"/>
    </row>
    <row r="40" spans="1:65" x14ac:dyDescent="0.3">
      <c r="A40" s="58" t="s">
        <v>84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60"/>
      <c r="AS40" s="60"/>
      <c r="AT40" s="60"/>
      <c r="AU40" s="60"/>
      <c r="AV40" s="60"/>
      <c r="AW40" s="60"/>
      <c r="AX40" s="60"/>
      <c r="AY40" s="60"/>
      <c r="AZ40" s="60"/>
      <c r="BA40" s="58"/>
      <c r="BB40" s="60"/>
      <c r="BC40" s="58"/>
      <c r="BD40" s="60"/>
      <c r="BE40" s="58"/>
      <c r="BF40" s="58"/>
      <c r="BG40" s="58"/>
      <c r="BH40" s="60"/>
      <c r="BI40" s="60"/>
      <c r="BJ40" s="60"/>
      <c r="BK40" s="60"/>
      <c r="BL40" s="60"/>
      <c r="BM40" s="60"/>
    </row>
    <row r="41" spans="1:65" x14ac:dyDescent="0.3">
      <c r="A41" t="s">
        <v>79</v>
      </c>
      <c r="C41" s="8"/>
      <c r="D41" s="59">
        <f>D5+E5+D12+E12+D19+E19</f>
        <v>83</v>
      </c>
      <c r="E41" s="59"/>
      <c r="F41" s="59">
        <f>F5+G5+F12+G12+F19+G19</f>
        <v>83</v>
      </c>
      <c r="G41" s="59"/>
      <c r="H41" s="59">
        <f>H5+I5+H12+I12+H19+I19</f>
        <v>84</v>
      </c>
      <c r="I41" s="59"/>
      <c r="J41" s="59">
        <f>J5+K5+J12+K12+J19+K19</f>
        <v>83</v>
      </c>
      <c r="K41" s="59"/>
      <c r="L41" s="153">
        <f>L5+M5+L12+M12+L19+M19</f>
        <v>72</v>
      </c>
      <c r="M41" s="59"/>
      <c r="N41" s="282">
        <f>N5+O5+N12+O12+N19+O19</f>
        <v>54</v>
      </c>
      <c r="O41" s="59"/>
      <c r="P41" s="59">
        <f>P5+Q5+P12+Q12+P19+Q19</f>
        <v>83</v>
      </c>
      <c r="Q41" s="59"/>
      <c r="R41" s="59">
        <f>R5+S5+R12+S12+R19+S19</f>
        <v>83</v>
      </c>
      <c r="S41" s="59"/>
      <c r="T41" s="59">
        <f>T5+U5+T12+U12+T19+U19</f>
        <v>83</v>
      </c>
      <c r="U41" s="59"/>
      <c r="V41" s="59">
        <f>V5+W5+V12+W12+V19+W19</f>
        <v>83</v>
      </c>
      <c r="W41" s="59"/>
      <c r="X41" s="59">
        <f>X5+Y5+X12+Y12+X19+Y19</f>
        <v>83</v>
      </c>
      <c r="Y41" s="59"/>
      <c r="Z41" s="119">
        <f>Z5+AA5+Z12+AA12+Z19+AA19</f>
        <v>54</v>
      </c>
      <c r="AA41" s="59"/>
      <c r="AB41" s="59">
        <f>AB5+AC5+AB12+AC12+AB19+AC19</f>
        <v>54</v>
      </c>
      <c r="AC41" s="59"/>
      <c r="AD41" s="59">
        <f>AD5+AE5+AD12+AE12+AD19+AE19</f>
        <v>83</v>
      </c>
      <c r="AE41" s="59"/>
      <c r="AF41" s="59">
        <f>AF5+AG5+AF12+AG12+AF19+AG19</f>
        <v>83</v>
      </c>
      <c r="AG41" s="59"/>
      <c r="AH41" s="59">
        <f>AH5+AI5+AH12+AI12+AH19+AI19</f>
        <v>83</v>
      </c>
      <c r="AI41" s="59"/>
      <c r="AJ41" s="59">
        <f>AJ5+AK5+AJ12+AK12+AJ19+AK19</f>
        <v>83</v>
      </c>
      <c r="AK41" s="59"/>
      <c r="AL41" s="59">
        <f>AL5+AM5+AL12+AM12+AL19+AM19</f>
        <v>83</v>
      </c>
      <c r="AM41" s="59"/>
      <c r="AN41" s="59">
        <f>AN5+AO5+AN12+AO12+AN19+AO19</f>
        <v>72</v>
      </c>
      <c r="AO41" s="59"/>
      <c r="AP41" s="59">
        <f>AP5+AQ5+AP12+AQ12+AP19+AQ19</f>
        <v>54</v>
      </c>
      <c r="AQ41" s="59"/>
      <c r="AR41" s="59">
        <f>AR5+AS5+AR12+AS12+AR19+AS19</f>
        <v>83</v>
      </c>
      <c r="AS41" s="59"/>
      <c r="AT41" s="255">
        <f>AT5+AU5+AT12+AU12+AT19+AU19</f>
        <v>83</v>
      </c>
      <c r="AU41" s="59"/>
      <c r="AV41" s="59">
        <f>AV5+AW5+AV12+AW12+AV19+AW19</f>
        <v>83</v>
      </c>
      <c r="AW41" s="59"/>
      <c r="AX41" s="59">
        <f>AX5+AY5+AX12+AY12+AX19+AY19</f>
        <v>83</v>
      </c>
      <c r="AY41" s="59"/>
      <c r="AZ41" s="59">
        <f>AZ5+BA5+AZ12+BA12+AZ19+BA19</f>
        <v>84</v>
      </c>
      <c r="BA41" s="59"/>
      <c r="BB41" s="290">
        <f>BB5+BC5+BB12+BC12+BB19+BC19</f>
        <v>75</v>
      </c>
      <c r="BC41" s="290"/>
      <c r="BD41" s="288">
        <f>BD5+BE5+BD12+BE12+BD19+BE19</f>
        <v>74</v>
      </c>
      <c r="BE41" s="288"/>
      <c r="BF41" s="59">
        <f>BF5+BG5+BF12+BG12+BF19+BG19</f>
        <v>83</v>
      </c>
      <c r="BG41" s="59"/>
      <c r="BH41" s="245">
        <f>BH5+BI5+BH12+BI12+BH19+BI19</f>
        <v>83</v>
      </c>
      <c r="BI41" s="245"/>
      <c r="BJ41" s="292">
        <f>BJ5+BK5+BJ12+BK12+BJ19+BK19</f>
        <v>83</v>
      </c>
      <c r="BK41" s="292"/>
      <c r="BL41" s="318">
        <f>BL5+BM5+BL12+BM12+BL19+BM19</f>
        <v>54</v>
      </c>
      <c r="BM41" s="318"/>
    </row>
    <row r="42" spans="1:65" x14ac:dyDescent="0.3">
      <c r="A42" t="s">
        <v>80</v>
      </c>
      <c r="C42" s="8"/>
      <c r="D42" s="291">
        <f>D8+E8+D15+E15+D22+E22</f>
        <v>79</v>
      </c>
      <c r="E42" s="59"/>
      <c r="F42" s="59">
        <f>F8+G8+F15+G15+F22+G22</f>
        <v>79</v>
      </c>
      <c r="G42" s="59"/>
      <c r="H42" s="59">
        <f>H8+I8+H15+I15+H22+I22</f>
        <v>79</v>
      </c>
      <c r="I42" s="59"/>
      <c r="J42" s="59">
        <f>J8+K8+J15+K15+J22+K22</f>
        <v>79</v>
      </c>
      <c r="K42" s="59"/>
      <c r="L42" s="59">
        <f>L8+M8+L15+M15+L22+M22</f>
        <v>75</v>
      </c>
      <c r="M42" s="59"/>
      <c r="N42" s="282">
        <f>N8+O8+N15+O15+N22+O22</f>
        <v>57</v>
      </c>
      <c r="O42" s="59"/>
      <c r="P42" s="59">
        <f>P8+Q8+P15+Q15+P22+Q22</f>
        <v>79</v>
      </c>
      <c r="Q42" s="59"/>
      <c r="R42" s="59">
        <f>R8+S8+R15+S15+R22+S22</f>
        <v>79</v>
      </c>
      <c r="S42" s="59"/>
      <c r="T42" s="59">
        <f>T8+U8+T15+U15+T22+U22</f>
        <v>79</v>
      </c>
      <c r="U42" s="59"/>
      <c r="V42" s="59">
        <f>V8+W8+V15+W15+V22+W22</f>
        <v>79</v>
      </c>
      <c r="W42" s="59"/>
      <c r="X42" s="59">
        <f>X8+Y8+X15+Y15+X22+Y22</f>
        <v>79</v>
      </c>
      <c r="Y42" s="59"/>
      <c r="Z42" s="119">
        <f>Z8+AA8+Z15+AA15+Z22+AA22</f>
        <v>57</v>
      </c>
      <c r="AA42" s="59"/>
      <c r="AB42" s="119">
        <f>AB8+AC8+AB15+AC15+AB22+AC22</f>
        <v>57</v>
      </c>
      <c r="AC42" s="59"/>
      <c r="AD42" s="59">
        <f>AD8+AE8+AD15+AE15+AD22+AE22</f>
        <v>79</v>
      </c>
      <c r="AE42" s="59"/>
      <c r="AF42" s="269">
        <f>AF8+AG8+AF15+AG15+AF22+AG22</f>
        <v>79</v>
      </c>
      <c r="AG42" s="59"/>
      <c r="AH42" s="59">
        <f>AH8+AI8+AH15+AI15+AH22+AI22</f>
        <v>79</v>
      </c>
      <c r="AI42" s="59"/>
      <c r="AJ42" s="59">
        <f>AJ8+AK8+AJ15+AK15+AJ22+AK22</f>
        <v>79</v>
      </c>
      <c r="AK42" s="59"/>
      <c r="AL42" s="272">
        <f>AL8+AM8+AL15+AM15+AL22+AM22</f>
        <v>79</v>
      </c>
      <c r="AM42" s="59"/>
      <c r="AN42" s="273">
        <f>AN8+AO8+AN15+AO15+AN22+AO22</f>
        <v>75</v>
      </c>
      <c r="AO42" s="59"/>
      <c r="AP42" s="59">
        <f>AP8+AQ8+AP15+AQ15+AP22+AQ22</f>
        <v>57</v>
      </c>
      <c r="AQ42" s="59"/>
      <c r="AR42" s="59">
        <f>AR8+AS8+AR15+AS15+AR22+AS22</f>
        <v>79</v>
      </c>
      <c r="AS42" s="59"/>
      <c r="AT42" s="255">
        <f>AT8+AU8+AT15+AU15+AT22+AU22</f>
        <v>79</v>
      </c>
      <c r="AU42" s="59"/>
      <c r="AV42" s="59">
        <f>AV8+AW8+AV15+AW15+AV22+AW22</f>
        <v>79</v>
      </c>
      <c r="AW42" s="59"/>
      <c r="AX42" s="274">
        <f>AX8+AY8+AX15+AY15+AX22+AY22</f>
        <v>79</v>
      </c>
      <c r="AY42" s="59"/>
      <c r="AZ42" s="275">
        <f>AZ8+BA8+AZ15+BA15+AZ22+BA22</f>
        <v>79</v>
      </c>
      <c r="BA42" s="59"/>
      <c r="BB42" s="290">
        <f>BB8+BC8+BB15+BC15+BB22+BC22</f>
        <v>75</v>
      </c>
      <c r="BC42" s="290"/>
      <c r="BD42" s="288">
        <f>BD8+BE8+BD15+BE15+BD22+BE22</f>
        <v>74</v>
      </c>
      <c r="BE42" s="288"/>
      <c r="BF42" s="59">
        <f>BF8+BG8+BF15+BG15+BF22+BG22</f>
        <v>79</v>
      </c>
      <c r="BG42" s="59"/>
      <c r="BH42" s="245">
        <f>BH8+BI8+BH15+BI15+BH22+BI22</f>
        <v>79</v>
      </c>
      <c r="BI42" s="245"/>
      <c r="BJ42" s="292">
        <f>BJ8+BK8+BJ15+BK15+BJ22+BK22</f>
        <v>79</v>
      </c>
      <c r="BK42" s="292"/>
      <c r="BL42" s="318">
        <f>BL8+BM8+BL15+BM15+BL22+BM22</f>
        <v>57</v>
      </c>
      <c r="BM42" s="318"/>
    </row>
    <row r="43" spans="1:65" x14ac:dyDescent="0.3">
      <c r="A43" t="s">
        <v>81</v>
      </c>
      <c r="C43" s="8"/>
      <c r="D43" s="291">
        <f>D3+E3+D10+E10+D17+E17</f>
        <v>2</v>
      </c>
      <c r="E43" s="59"/>
      <c r="F43" s="59">
        <f>F3+G3+F10+G10+F17+G17</f>
        <v>2</v>
      </c>
      <c r="G43" s="59"/>
      <c r="H43" s="59">
        <f>H3+I3+H10+I10+H17+I17</f>
        <v>2</v>
      </c>
      <c r="I43" s="59"/>
      <c r="J43" s="59">
        <f>J3+K3+J10+K10+J17+K17</f>
        <v>2</v>
      </c>
      <c r="K43" s="59"/>
      <c r="L43" s="59">
        <f>L3+M3+L10+M10+L17+M17</f>
        <v>0</v>
      </c>
      <c r="M43" s="59"/>
      <c r="N43" s="59">
        <f>N3+O3+N10+O10+N17+O17</f>
        <v>0</v>
      </c>
      <c r="O43" s="59"/>
      <c r="P43" s="59">
        <f>P3+Q3+P10+Q10+P17+Q17</f>
        <v>2</v>
      </c>
      <c r="Q43" s="59"/>
      <c r="R43" s="59">
        <f>R3+S3+R10+S10+R17+S17</f>
        <v>2</v>
      </c>
      <c r="S43" s="59"/>
      <c r="T43" s="59">
        <f>T3+U3+T10+U10+T17+U17</f>
        <v>2</v>
      </c>
      <c r="U43" s="59"/>
      <c r="V43" s="59">
        <f>V3+W3+V10+W10+V17+W17</f>
        <v>2</v>
      </c>
      <c r="W43" s="59"/>
      <c r="X43" s="59">
        <f>X3+Y3+X10+Y10+X17+Y17</f>
        <v>2</v>
      </c>
      <c r="Y43" s="59"/>
      <c r="Z43" s="119">
        <f>Z3+AA3+Z10+AA10+Z17+AA17</f>
        <v>0</v>
      </c>
      <c r="AA43" s="59"/>
      <c r="AB43" s="123">
        <f>AB3+AC3+AB10+AC10+AB17+AC17</f>
        <v>0</v>
      </c>
      <c r="AC43" s="59"/>
      <c r="AD43" s="59">
        <f>AD3+AE3+AD10+AE10+AD17+AE17</f>
        <v>2</v>
      </c>
      <c r="AE43" s="59"/>
      <c r="AF43" s="59">
        <f>AF3+AG3+AF10+AG10+AF17+AG17</f>
        <v>2</v>
      </c>
      <c r="AG43" s="59"/>
      <c r="AH43" s="59">
        <f>AH3+AI3+AH10+AI10+AH17+AI17</f>
        <v>2</v>
      </c>
      <c r="AI43" s="59"/>
      <c r="AJ43" s="59">
        <f>AJ3+AK3+AJ10+AK10+AJ17+AK17</f>
        <v>2</v>
      </c>
      <c r="AK43" s="59"/>
      <c r="AL43" s="59">
        <f>AL3+AM3+AL10+AM10+AL17+AM17</f>
        <v>2</v>
      </c>
      <c r="AM43" s="59"/>
      <c r="AN43" s="59">
        <f>AN3+AO3+AN10+AO10+AN17+AO17</f>
        <v>0</v>
      </c>
      <c r="AO43" s="59"/>
      <c r="AP43" s="59">
        <f>AP3+AQ3+AP10+AQ10+AP17+AQ17</f>
        <v>0</v>
      </c>
      <c r="AQ43" s="59"/>
      <c r="AR43" s="59">
        <f>AR3+AS3+AR10+AS10+AR17+AS17</f>
        <v>2</v>
      </c>
      <c r="AS43" s="59"/>
      <c r="AT43" s="59">
        <f>AT3+AU3+AT10+AU10+AT17+AU17</f>
        <v>2</v>
      </c>
      <c r="AU43" s="59"/>
      <c r="AV43" s="59">
        <f>AV3+AW3+AV10+AW10+AV17+AW17</f>
        <v>2</v>
      </c>
      <c r="AW43" s="59"/>
      <c r="AX43" s="59">
        <f>AX3+AY3+AX10+AY10+AX17+AY17</f>
        <v>2</v>
      </c>
      <c r="AY43" s="59"/>
      <c r="AZ43" s="59">
        <f>AZ3+BA3+AZ10+BA10+AZ17+BA17</f>
        <v>2</v>
      </c>
      <c r="BA43" s="59"/>
      <c r="BB43" s="290">
        <f>BB3+BC3+BB10+BC10+BB17+BC17</f>
        <v>0</v>
      </c>
      <c r="BC43" s="290"/>
      <c r="BD43" s="288">
        <f>BD3+BE3+BD10+BE10+BD17+BE17</f>
        <v>0</v>
      </c>
      <c r="BE43" s="288"/>
      <c r="BF43" s="59">
        <f>BF3+BG3+BF10+BG10+BF17+BG17</f>
        <v>2</v>
      </c>
      <c r="BG43" s="59"/>
      <c r="BH43" s="245">
        <f>BH3+BI3+BH10+BI10+BH17+BI17</f>
        <v>2</v>
      </c>
      <c r="BI43" s="245"/>
      <c r="BJ43" s="292">
        <f>BJ3+BK3+BJ10+BK10+BJ17+BK17</f>
        <v>2</v>
      </c>
      <c r="BK43" s="292"/>
      <c r="BL43" s="318">
        <f>BL3+BM3+BL10+BM10+BL17+BM17</f>
        <v>0</v>
      </c>
      <c r="BM43" s="318"/>
    </row>
    <row r="44" spans="1:65" x14ac:dyDescent="0.3">
      <c r="A44" t="s">
        <v>82</v>
      </c>
      <c r="C44" s="8"/>
      <c r="D44" s="291">
        <f>D6+E6+D13+E13+D20+E20</f>
        <v>3</v>
      </c>
      <c r="E44" s="59"/>
      <c r="F44" s="59">
        <f>F6+G6+F13+G13+F20+G20</f>
        <v>3</v>
      </c>
      <c r="G44" s="59"/>
      <c r="H44" s="59">
        <f>H6+I6+H13+I13+H20+I20</f>
        <v>3</v>
      </c>
      <c r="I44" s="59"/>
      <c r="J44" s="59">
        <f>J6+K6+J13+K13+J20+K20</f>
        <v>3</v>
      </c>
      <c r="K44" s="59"/>
      <c r="L44" s="59">
        <f>L6+M6+L13+M13+L20+M20</f>
        <v>0</v>
      </c>
      <c r="M44" s="59"/>
      <c r="N44" s="59">
        <f>N6+O6+N13+O13+N20+O20</f>
        <v>0</v>
      </c>
      <c r="O44" s="59"/>
      <c r="P44" s="59">
        <f>P6+Q6+P13+Q13+P20+Q20</f>
        <v>3</v>
      </c>
      <c r="Q44" s="59"/>
      <c r="R44" s="59">
        <f>R6+S6+R13+S13+R20+S20</f>
        <v>3</v>
      </c>
      <c r="S44" s="59"/>
      <c r="T44" s="59">
        <f>T6+U6+T13+U13+T20+U20</f>
        <v>3</v>
      </c>
      <c r="U44" s="59"/>
      <c r="V44" s="59">
        <f>V6+W6+V13+W13+V20+W20</f>
        <v>3</v>
      </c>
      <c r="W44" s="59"/>
      <c r="X44" s="59">
        <f>X6+Y6+X13+Y13+X20+Y20</f>
        <v>3</v>
      </c>
      <c r="Y44" s="59"/>
      <c r="Z44" s="119">
        <f>Z6+AA6+Z13+AA13+Z20+AA20</f>
        <v>0</v>
      </c>
      <c r="AA44" s="59"/>
      <c r="AB44" s="123">
        <f>AB6+AC6+AB13+AC13+AB20+AC20</f>
        <v>0</v>
      </c>
      <c r="AC44" s="59"/>
      <c r="AD44" s="59">
        <f>AD6+AE6+AD13+AE13+AD20+AE20</f>
        <v>3</v>
      </c>
      <c r="AE44" s="59"/>
      <c r="AF44" s="59">
        <f>AF6+AG6+AF13+AG13+AF20+AG20</f>
        <v>3</v>
      </c>
      <c r="AG44" s="59"/>
      <c r="AH44" s="59">
        <f>AH6+AI6+AH13+AI13+AH20+AI20</f>
        <v>3</v>
      </c>
      <c r="AI44" s="59"/>
      <c r="AJ44" s="59">
        <f>AJ6+AK6+AJ13+AK13+AJ20+AK20</f>
        <v>3</v>
      </c>
      <c r="AK44" s="59"/>
      <c r="AL44" s="59">
        <f>AL6+AM6+AL13+AM13+AL20+AM20</f>
        <v>3</v>
      </c>
      <c r="AM44" s="59"/>
      <c r="AN44" s="59">
        <f>AN6+AO6+AN14+AO14+AN20+AO20</f>
        <v>0</v>
      </c>
      <c r="AO44" s="59"/>
      <c r="AP44" s="59">
        <f>AP6+AQ6+AP13+AQ13+AP20+AQ20</f>
        <v>0</v>
      </c>
      <c r="AQ44" s="59"/>
      <c r="AR44" s="59">
        <f>AR6+AS6+AR13+AS13+AR20+AS20</f>
        <v>3</v>
      </c>
      <c r="AS44" s="59"/>
      <c r="AT44" s="59">
        <f>AT6+AU6+AT13+AU13+AT20+AU20</f>
        <v>3</v>
      </c>
      <c r="AU44" s="59"/>
      <c r="AV44" s="59">
        <f>AV6+AW6+AV13+AW13+AV20+AW20</f>
        <v>3</v>
      </c>
      <c r="AW44" s="59"/>
      <c r="AX44" s="59">
        <f>AX6+AY6+AX13+AY13+AX20+AY20</f>
        <v>3</v>
      </c>
      <c r="AY44" s="59"/>
      <c r="AZ44" s="59">
        <f>AZ6+BA6+AZ13+BA13+AZ20+BA20</f>
        <v>3</v>
      </c>
      <c r="BA44" s="59"/>
      <c r="BB44" s="290">
        <f>BB6+BC6+BB13+BC13+BB20+BC20</f>
        <v>0</v>
      </c>
      <c r="BC44" s="290"/>
      <c r="BD44" s="288">
        <f>BD6+BE6+BD13+BE13+BD20+BE20</f>
        <v>0</v>
      </c>
      <c r="BE44" s="288"/>
      <c r="BF44" s="59">
        <f>BF6+BG6+BF13+BG13+BF20+BG20</f>
        <v>3</v>
      </c>
      <c r="BG44" s="59"/>
      <c r="BH44" s="245">
        <f>BH6+BI6+BH13+BI13+BH20+BI20</f>
        <v>3</v>
      </c>
      <c r="BI44" s="245"/>
      <c r="BJ44" s="292">
        <f>BJ6+BK6+BJ13+BK13+BJ20+BK20</f>
        <v>3</v>
      </c>
      <c r="BK44" s="292"/>
      <c r="BL44" s="318">
        <f>BL6+BM6+BL13+BM13+BL20+BM20</f>
        <v>0</v>
      </c>
      <c r="BM44" s="318"/>
    </row>
    <row r="45" spans="1:65" s="127" customFormat="1" x14ac:dyDescent="0.3">
      <c r="A45" s="127" t="s">
        <v>122</v>
      </c>
      <c r="C45" s="8"/>
      <c r="D45" s="291">
        <f>D4+E4+D11+E11+D18+E18</f>
        <v>0</v>
      </c>
      <c r="E45" s="157"/>
      <c r="F45" s="157">
        <f>F4+G4+F11+G11+F18+G18</f>
        <v>0</v>
      </c>
      <c r="G45" s="157"/>
      <c r="H45" s="157">
        <f>H4+I4+H11+I11+H18+I18</f>
        <v>0</v>
      </c>
      <c r="I45" s="157"/>
      <c r="J45" s="157">
        <f>J4+K4+J11+K11+J18+K18</f>
        <v>0</v>
      </c>
      <c r="K45" s="157"/>
      <c r="L45" s="157">
        <f>L4+M4+L11+M11+L18+M18</f>
        <v>0</v>
      </c>
      <c r="M45" s="157"/>
      <c r="N45" s="282">
        <f>N4+O4+N11+O11+N18+O18</f>
        <v>0</v>
      </c>
      <c r="O45" s="157"/>
      <c r="P45" s="157">
        <f>P4+Q4+P11+Q11+P18+Q18</f>
        <v>0</v>
      </c>
      <c r="Q45" s="157"/>
      <c r="R45" s="157">
        <f>R4+S4+R11+S11+R18+S18</f>
        <v>0</v>
      </c>
      <c r="S45" s="157"/>
      <c r="T45" s="157">
        <f>T4+U4+T11+U11+T18+U18</f>
        <v>0</v>
      </c>
      <c r="U45" s="157"/>
      <c r="V45" s="157">
        <f>V4+W4+V11+W11+V18+W18</f>
        <v>0</v>
      </c>
      <c r="W45" s="157"/>
      <c r="X45" s="157">
        <f>X4+Y4+X11+Y11+X18+Y18</f>
        <v>0</v>
      </c>
      <c r="Y45" s="157"/>
      <c r="Z45" s="157">
        <f>Z4+AA4+Z11+AA11+Z18+AA18</f>
        <v>0</v>
      </c>
      <c r="AA45" s="157"/>
      <c r="AB45" s="157">
        <f>AB4+AC4+AB11+AC11+AB18+AC18</f>
        <v>0</v>
      </c>
      <c r="AC45" s="157"/>
      <c r="AD45" s="157">
        <f>AD4+AE4+AD11+AE11+AD18+AE18</f>
        <v>0</v>
      </c>
      <c r="AE45" s="157"/>
      <c r="AF45" s="157">
        <f>AF4+AG4+AF11+AG11+AF18+AG18</f>
        <v>0</v>
      </c>
      <c r="AG45" s="157"/>
      <c r="AH45" s="157">
        <f>AH4+AI4+AH11+AI11+AH18+AI18</f>
        <v>0</v>
      </c>
      <c r="AI45" s="157"/>
      <c r="AJ45" s="157">
        <f>AJ4+AK4+AJ11+AK11+AJ18+AK18</f>
        <v>0</v>
      </c>
      <c r="AK45" s="157"/>
      <c r="AL45" s="157">
        <f>AL4+AM4+AL11+AM11+AL18+AM18</f>
        <v>0</v>
      </c>
      <c r="AM45" s="157"/>
      <c r="AN45" s="157">
        <f>AN4+AO4+AN11+AO11+AN18+AO18</f>
        <v>0</v>
      </c>
      <c r="AO45" s="157"/>
      <c r="AP45" s="157">
        <f>AP4+AQ4+AP11+AQ11+AP18+AQ18</f>
        <v>0</v>
      </c>
      <c r="AQ45" s="157"/>
      <c r="AR45" s="157">
        <f>AR4+AS4+AR11+AS11+AR18+AS18</f>
        <v>0</v>
      </c>
      <c r="AS45" s="157"/>
      <c r="AT45" s="157">
        <f>AT4+AU4+AT11+AU11+AT18+AU18</f>
        <v>0</v>
      </c>
      <c r="AU45" s="157"/>
      <c r="AV45" s="157">
        <f>AV4+AW4+AV11+AW11+AV18+AW18</f>
        <v>0</v>
      </c>
      <c r="AW45" s="157"/>
      <c r="AX45" s="157">
        <f>AX4+AY4+AX11+AY11+AX18+AY18</f>
        <v>0</v>
      </c>
      <c r="AY45" s="157"/>
      <c r="AZ45" s="157">
        <f>AZ4+BA4+AZ11+BA11+AZ18+BA18</f>
        <v>0</v>
      </c>
      <c r="BA45" s="157"/>
      <c r="BB45" s="290">
        <f>BB4+BC4+BB11+BC11+BB18+BC18</f>
        <v>0</v>
      </c>
      <c r="BC45" s="290"/>
      <c r="BD45" s="288">
        <f>BD4+BE4+BD11+BE11+BD18+BE18</f>
        <v>0</v>
      </c>
      <c r="BE45" s="288"/>
      <c r="BF45" s="157">
        <f>BF4+BG4+BF11+BG11+BF18+BG18</f>
        <v>0</v>
      </c>
      <c r="BG45" s="157"/>
      <c r="BH45" s="245">
        <f>BH4+BI4+BH11+BI11+BH18+BI18</f>
        <v>0</v>
      </c>
      <c r="BI45" s="245"/>
      <c r="BJ45" s="292">
        <f>BJ4+BK4+BJ11+BK11+BJ18+BK18</f>
        <v>0</v>
      </c>
      <c r="BK45" s="292"/>
      <c r="BL45" s="318">
        <f>BL4+BM4+BL11+BM11+BL18+BM18</f>
        <v>0</v>
      </c>
      <c r="BM45" s="318"/>
    </row>
    <row r="46" spans="1:65" x14ac:dyDescent="0.3">
      <c r="A46" t="s">
        <v>35</v>
      </c>
      <c r="C46" s="8"/>
      <c r="D46" s="291">
        <f>D7+E7+D14+E14+D21+E21</f>
        <v>3</v>
      </c>
      <c r="E46" s="59"/>
      <c r="F46" s="59">
        <f>F7+G7+F14+G14+F21+G21</f>
        <v>3</v>
      </c>
      <c r="G46" s="59"/>
      <c r="H46" s="59">
        <f>H7+I7+H14+I14+H21+I21</f>
        <v>3</v>
      </c>
      <c r="I46" s="59"/>
      <c r="J46" s="59">
        <f>J7+K7+J14+K14+J21+K21</f>
        <v>3</v>
      </c>
      <c r="K46" s="59"/>
      <c r="L46" s="59">
        <f>L7+M7+L14+M14+L21+M21</f>
        <v>0</v>
      </c>
      <c r="M46" s="59"/>
      <c r="N46" s="282">
        <f>N7+O7+N14+O14+N21+O21</f>
        <v>0</v>
      </c>
      <c r="O46" s="59"/>
      <c r="P46" s="59">
        <f>P7+Q7+P14+Q14+P21+Q21</f>
        <v>3</v>
      </c>
      <c r="Q46" s="59"/>
      <c r="R46" s="59">
        <f>R7+S7+R14+S14+R21+S21</f>
        <v>3</v>
      </c>
      <c r="S46" s="59"/>
      <c r="T46" s="59">
        <f>T7+U7+T14+U14+T21+U21</f>
        <v>3</v>
      </c>
      <c r="U46" s="59"/>
      <c r="V46" s="59">
        <f>V7+W7+V14+W14+V21+W21</f>
        <v>3</v>
      </c>
      <c r="W46" s="59"/>
      <c r="X46" s="59">
        <f>X7+Y7+X14+Y14+X21+Y21</f>
        <v>3</v>
      </c>
      <c r="Y46" s="59"/>
      <c r="Z46" s="119">
        <f>Z7+AA7+Z14+AA14+Z21+AA21</f>
        <v>0</v>
      </c>
      <c r="AA46" s="59"/>
      <c r="AB46" s="123">
        <f>AB7+AC7+AB14+AC14+AB21+AC21</f>
        <v>0</v>
      </c>
      <c r="AC46" s="59"/>
      <c r="AD46" s="59">
        <f>AD7+AE7+AD14+AE14+AD21+AE21</f>
        <v>3</v>
      </c>
      <c r="AE46" s="59"/>
      <c r="AF46" s="269">
        <f>AF7+AG7+AF14+AG14+AF21+AG21</f>
        <v>3</v>
      </c>
      <c r="AG46" s="59"/>
      <c r="AH46" s="59">
        <f>AH7+AI7+AH14+AI14+AH21+AI21</f>
        <v>3</v>
      </c>
      <c r="AI46" s="59"/>
      <c r="AJ46" s="59">
        <f>AJ7+AK7+AJ14+AK14+AJ21+AK21</f>
        <v>3</v>
      </c>
      <c r="AK46" s="59"/>
      <c r="AL46" s="272">
        <f>AL7+AM7+AL14+AM14+AL21+AM21</f>
        <v>3</v>
      </c>
      <c r="AM46" s="59"/>
      <c r="AN46" s="273">
        <f>AN7+AO7+AN14+AO14+AN21+AO21</f>
        <v>0</v>
      </c>
      <c r="AO46" s="59"/>
      <c r="AP46" s="59">
        <f>AP7+AQ7+AP14+AQ14+AP21+AQ21</f>
        <v>0</v>
      </c>
      <c r="AQ46" s="59"/>
      <c r="AR46" s="59">
        <f>AR7+AS7+AR14+AS14+AR21+AS21</f>
        <v>3</v>
      </c>
      <c r="AS46" s="59"/>
      <c r="AT46" s="59">
        <f>AT7+AU7+AT14+AU14+AT21+AU21</f>
        <v>3</v>
      </c>
      <c r="AU46" s="59"/>
      <c r="AV46" s="59">
        <f>AV7+AW7+AV14+AW14+AV21+AW21</f>
        <v>3</v>
      </c>
      <c r="AW46" s="59"/>
      <c r="AX46" s="274">
        <f>AX7+AY7+AX14+AY14+AX21+AY21</f>
        <v>3</v>
      </c>
      <c r="AY46" s="59"/>
      <c r="AZ46" s="275">
        <f>AZ7+BA7+AZ14+BA14+AZ21+BA21</f>
        <v>3</v>
      </c>
      <c r="BA46" s="59"/>
      <c r="BB46" s="290">
        <f>BB7+BC7+BB14+BC14+BB21+BC21</f>
        <v>0</v>
      </c>
      <c r="BC46" s="290"/>
      <c r="BD46" s="288">
        <f>BD7+BE7+BD14+BE14+BD21+BE21</f>
        <v>0</v>
      </c>
      <c r="BE46" s="288"/>
      <c r="BF46" s="59">
        <f>BF7+BG7+BF14+BG14+BF21+BG21</f>
        <v>3</v>
      </c>
      <c r="BG46" s="59"/>
      <c r="BH46" s="245">
        <f>BH7+BI7+BH14+BI14+BH21+BI21</f>
        <v>3</v>
      </c>
      <c r="BI46" s="245"/>
      <c r="BJ46" s="292">
        <f>BJ7+BK7+BJ14+BK14+BJ21+BK21</f>
        <v>3</v>
      </c>
      <c r="BK46" s="292"/>
      <c r="BL46" s="318">
        <f>BL7+BM7+BL14+BM14+BL21+BM21</f>
        <v>0</v>
      </c>
      <c r="BM46" s="318"/>
    </row>
    <row r="47" spans="1:65" x14ac:dyDescent="0.3">
      <c r="C47" s="8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6"/>
      <c r="AS47" s="56"/>
      <c r="AT47" s="56"/>
      <c r="AU47" s="56"/>
      <c r="AV47" s="56"/>
      <c r="AW47" s="56"/>
      <c r="AX47" s="56"/>
      <c r="AY47" s="56"/>
      <c r="AZ47" s="56"/>
      <c r="BA47" s="59"/>
      <c r="BB47" s="56"/>
      <c r="BC47" s="116"/>
      <c r="BD47" s="56"/>
      <c r="BE47" s="116"/>
      <c r="BF47" s="59"/>
      <c r="BG47" s="59"/>
      <c r="BH47" s="56"/>
      <c r="BI47" s="56"/>
      <c r="BJ47" s="56"/>
      <c r="BK47" s="56"/>
      <c r="BL47" s="56"/>
      <c r="BM47" s="56"/>
    </row>
    <row r="48" spans="1:65" x14ac:dyDescent="0.3">
      <c r="A48" s="58" t="s">
        <v>65</v>
      </c>
      <c r="B48" s="58"/>
      <c r="C48" s="58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0"/>
      <c r="AS48" s="60"/>
      <c r="AT48" s="60"/>
      <c r="AU48" s="60"/>
      <c r="AV48" s="60"/>
      <c r="AW48" s="60"/>
      <c r="AX48" s="60"/>
      <c r="AY48" s="60"/>
      <c r="AZ48" s="60"/>
      <c r="BA48" s="61"/>
      <c r="BB48" s="60"/>
      <c r="BC48" s="61"/>
      <c r="BD48" s="60"/>
      <c r="BE48" s="61"/>
      <c r="BF48" s="61"/>
      <c r="BG48" s="61"/>
      <c r="BH48" s="60"/>
      <c r="BI48" s="60"/>
      <c r="BJ48" s="60"/>
      <c r="BK48" s="60"/>
      <c r="BL48" s="60"/>
      <c r="BM48" s="60"/>
    </row>
    <row r="49" spans="1:82" x14ac:dyDescent="0.3">
      <c r="A49" t="s">
        <v>79</v>
      </c>
      <c r="C49" s="8"/>
      <c r="D49" s="59">
        <f>(D5+D12+D19)+2*(E5+E12+E19)</f>
        <v>131</v>
      </c>
      <c r="E49" s="59"/>
      <c r="F49" s="59">
        <f>(F5+F12+F19)+2*(G5+G12+G19)</f>
        <v>130</v>
      </c>
      <c r="G49" s="59"/>
      <c r="H49" s="59">
        <f>(H5+H12+H19)+2*(I5+I12+I19)</f>
        <v>132</v>
      </c>
      <c r="I49" s="59"/>
      <c r="J49" s="59">
        <f>(J5+J12+J19)+2*(K5+K12+K19)</f>
        <v>133</v>
      </c>
      <c r="K49" s="59"/>
      <c r="L49" s="59">
        <f>(L5+L12+L19)+2*(M5+M12+M19)</f>
        <v>75</v>
      </c>
      <c r="M49" s="59"/>
      <c r="N49" s="282">
        <f>(N5+N12+N19)+2*(O5+O12+O19)</f>
        <v>57</v>
      </c>
      <c r="O49" s="59"/>
      <c r="P49" s="59">
        <f>(P5+P12+P19)+2*(Q5+Q12+Q19)</f>
        <v>130</v>
      </c>
      <c r="Q49" s="59"/>
      <c r="R49" s="59">
        <f>(R5+R12+R19)+2*(S5+S12+S19)</f>
        <v>130</v>
      </c>
      <c r="S49" s="59"/>
      <c r="T49" s="59">
        <f>(T5+T12+T19)+2*(U5+U12+U19)</f>
        <v>130</v>
      </c>
      <c r="U49" s="59"/>
      <c r="V49" s="59">
        <f>(V5+V12+V19)+2*(W5+W12+W19)</f>
        <v>130</v>
      </c>
      <c r="W49" s="59"/>
      <c r="X49" s="59">
        <f>(X5+X12+X19)+2*(Y5+Y12+Y19)</f>
        <v>130</v>
      </c>
      <c r="Y49" s="59"/>
      <c r="Z49" s="119">
        <f>(Z5+Z12+Z19)+2*(AA5+AA12+AA19)</f>
        <v>56</v>
      </c>
      <c r="AA49" s="59"/>
      <c r="AB49" s="119">
        <f>(AB5+AB12+AB19)+2*(AC5+AC12+AC19)</f>
        <v>56</v>
      </c>
      <c r="AC49" s="59"/>
      <c r="AD49" s="59">
        <f>(AD5+AD12+AD19)+2*(AE5+AE12+AE19)</f>
        <v>131</v>
      </c>
      <c r="AE49" s="59"/>
      <c r="AF49" s="59">
        <f>(AF5+AF12+AF19)+2*(AG5+AG12+AG19)</f>
        <v>131</v>
      </c>
      <c r="AG49" s="59"/>
      <c r="AH49" s="59">
        <f>(AH5+AH12+AH19)+2*(AI5+AI12+AI19)</f>
        <v>131</v>
      </c>
      <c r="AI49" s="59"/>
      <c r="AJ49" s="59">
        <f>(AJ5+AJ12+AJ19)+2*(AK5+AK12+AK19)</f>
        <v>131</v>
      </c>
      <c r="AK49" s="59"/>
      <c r="AL49" s="59">
        <f>(AL5+AL12+AL19)+2*(AM5+AM12+AM19)</f>
        <v>130</v>
      </c>
      <c r="AM49" s="59"/>
      <c r="AN49" s="59">
        <f>(AN5+AN12+AN19)+2*(AO5+AO12+AO19)</f>
        <v>75</v>
      </c>
      <c r="AO49" s="59"/>
      <c r="AP49" s="59">
        <f>(AP5+AP12+AP19)+2*(AQ5+AQ12+AQ19)</f>
        <v>57</v>
      </c>
      <c r="AQ49" s="59"/>
      <c r="AR49" s="59">
        <f>(AR5+AR12+AR19)+2*(AS5+AS12+AS19)</f>
        <v>130</v>
      </c>
      <c r="AS49" s="59"/>
      <c r="AT49" s="255">
        <f>(AT5+AT12+AT19)+2*(AU5+AU12+AU19)</f>
        <v>130</v>
      </c>
      <c r="AU49" s="59"/>
      <c r="AV49" s="59">
        <f>(AV5+AV12+AV19)+2*(AW5+AW12+AW19)</f>
        <v>130</v>
      </c>
      <c r="AW49" s="59"/>
      <c r="AX49" s="59">
        <f>(AX5+AX12+AX19)+2*(AY5+AY12+AY19)</f>
        <v>130</v>
      </c>
      <c r="AY49" s="59"/>
      <c r="AZ49" s="59">
        <f>(AZ5+AZ12+AZ19)+2*(BA5+BA12+BA19)</f>
        <v>130</v>
      </c>
      <c r="BA49" s="119"/>
      <c r="BB49" s="290">
        <f>(BB5+BB12+BB19)+2*(BC5+BC12+BC19)</f>
        <v>91</v>
      </c>
      <c r="BC49" s="290"/>
      <c r="BD49" s="288">
        <f>(BD5+BD12+BD19)+2*(BE5+BE12+BE19)</f>
        <v>92</v>
      </c>
      <c r="BE49" s="288"/>
      <c r="BF49" s="59">
        <f>(BF5+BF12+BF19)+2*(BG5+BG12+BG19)</f>
        <v>129</v>
      </c>
      <c r="BG49" s="246"/>
      <c r="BH49" s="245">
        <f>(BH5+BH12+BH19)+2*(BI5+BI12+BI19)</f>
        <v>128</v>
      </c>
      <c r="BI49" s="245"/>
      <c r="BJ49" s="292">
        <f>(BJ5+BJ12+BJ19)+2*(BK5+BK12+BK19)</f>
        <v>129</v>
      </c>
      <c r="BK49" s="292"/>
      <c r="BL49" s="318">
        <f>(BL5+BL12+BL19)+2*(BM5+BM12+BM19)</f>
        <v>57</v>
      </c>
      <c r="BM49" s="318"/>
    </row>
    <row r="50" spans="1:82" x14ac:dyDescent="0.3">
      <c r="A50" t="s">
        <v>80</v>
      </c>
      <c r="C50" s="8"/>
      <c r="D50" s="291">
        <f>(D8+D15+D22)+2*(E8+E15+E22)</f>
        <v>124</v>
      </c>
      <c r="E50" s="59"/>
      <c r="F50" s="59">
        <f>(F8+F15+F22)+2*(G8+G15+G22)</f>
        <v>123</v>
      </c>
      <c r="G50" s="59"/>
      <c r="H50" s="59">
        <f>(H8+H15+H22)+2*(I8+I15+I22)</f>
        <v>122</v>
      </c>
      <c r="I50" s="59"/>
      <c r="J50" s="59">
        <f>(J8+J15+J22)+2*(K8+K15+K22)</f>
        <v>123</v>
      </c>
      <c r="K50" s="59"/>
      <c r="L50" s="59">
        <f>(L8+L15+L22)+2*(M8+M15+M22)</f>
        <v>76</v>
      </c>
      <c r="M50" s="59"/>
      <c r="N50" s="282">
        <f>(N8+N15+N22)+2*(O8+O15+O22)</f>
        <v>57</v>
      </c>
      <c r="O50" s="59"/>
      <c r="P50" s="59">
        <f>(P8+P15+P22)+2*(Q8+Q15+Q22)</f>
        <v>123</v>
      </c>
      <c r="Q50" s="59"/>
      <c r="R50" s="59">
        <f>(R8+R15+R22)+2*(S8+S15+S22)</f>
        <v>123</v>
      </c>
      <c r="S50" s="59"/>
      <c r="T50" s="59">
        <f>(T8+T15+T22)+2*(U8+U15+U22)</f>
        <v>123</v>
      </c>
      <c r="U50" s="59"/>
      <c r="V50" s="59">
        <f>(V8+V15+V22)+2*(W8+W15+W22)</f>
        <v>123</v>
      </c>
      <c r="W50" s="59"/>
      <c r="X50" s="59">
        <f>(X8+X15+X22)+2*(Y8+Y15+Y22)</f>
        <v>123</v>
      </c>
      <c r="Y50" s="59"/>
      <c r="Z50" s="119">
        <f>(Z8+Z15+Z22)+2*(AA8+AA15+AA22)</f>
        <v>57</v>
      </c>
      <c r="AA50" s="59"/>
      <c r="AB50" s="119">
        <f>(AB8+AB15+AB22)+2*(AC8+AC15+AC22)</f>
        <v>57</v>
      </c>
      <c r="AC50" s="59"/>
      <c r="AD50" s="59">
        <f>(AD8+AD15+AD22)+2*(AE8+AE15+AE22)</f>
        <v>123</v>
      </c>
      <c r="AE50" s="59"/>
      <c r="AF50" s="269">
        <f>(AF8+AF15+AF22)+2*(AG8+AG15+AG22)</f>
        <v>123</v>
      </c>
      <c r="AG50" s="59"/>
      <c r="AH50" s="59">
        <f>(AH8+AH15+AH22)+2*(AI8+AI15+AI22)</f>
        <v>123</v>
      </c>
      <c r="AI50" s="59"/>
      <c r="AJ50" s="59">
        <f>(AJ8+AJ15+AJ22)+2*(AK8+AK15+AK22)</f>
        <v>123</v>
      </c>
      <c r="AK50" s="59"/>
      <c r="AL50" s="272">
        <f>(AL8+AL15+AL22)+2*(AM8+AM15+AM22)</f>
        <v>123</v>
      </c>
      <c r="AM50" s="59"/>
      <c r="AN50" s="273">
        <f>(AN8+AN15+AN22)+2*(AO8+AO15+AO22)</f>
        <v>75</v>
      </c>
      <c r="AO50" s="59"/>
      <c r="AP50" s="59">
        <f>(AP8+AP15+AP22)+2*(AQ8+AQ15+AQ22)</f>
        <v>57</v>
      </c>
      <c r="AQ50" s="59"/>
      <c r="AR50" s="59">
        <f>(AR8+AR15+AR22)+2*(AS8+AS15+AS22)</f>
        <v>123</v>
      </c>
      <c r="AS50" s="59"/>
      <c r="AT50" s="255">
        <f>(AT8+AT15+AT22)+2*(AU8+AU15+AU22)</f>
        <v>123</v>
      </c>
      <c r="AU50" s="59"/>
      <c r="AV50" s="59">
        <f>(AV8+AV15+AV22)+2*(AW8+AW15+AW22)</f>
        <v>123</v>
      </c>
      <c r="AW50" s="59"/>
      <c r="AX50" s="274">
        <f>(AX8+AX15+AX22)+2*(AY8+AY15+AY22)</f>
        <v>123</v>
      </c>
      <c r="AY50" s="59"/>
      <c r="AZ50" s="275">
        <f>(AZ8+AZ15+AZ22)+2*(BA8+BA15+BA22)</f>
        <v>124</v>
      </c>
      <c r="BA50" s="119"/>
      <c r="BB50" s="290">
        <f>(BB8+BB15+BB22)+2*(BC8+BC15+BC22)</f>
        <v>93</v>
      </c>
      <c r="BC50" s="290"/>
      <c r="BD50" s="288">
        <f>(BD8+BD15+BD22)+2*(BE8+BE15+BE22)</f>
        <v>92</v>
      </c>
      <c r="BE50" s="288"/>
      <c r="BF50" s="59">
        <f>(BF8+BF15+BF22)+2*(BG8+BG15+BG22)</f>
        <v>121</v>
      </c>
      <c r="BG50" s="246"/>
      <c r="BH50" s="245">
        <f>(BH8+BH15+BH22)+2*(BI8+BI15+BI22)</f>
        <v>121</v>
      </c>
      <c r="BI50" s="245"/>
      <c r="BJ50" s="292">
        <f>(BJ8+BJ15+BJ22)+2*(BK8+BK15+BK22)</f>
        <v>122</v>
      </c>
      <c r="BK50" s="292"/>
      <c r="BL50" s="318">
        <f>(BL8+BL15+BL22)+2*(BM8+BM15+BM22)</f>
        <v>57</v>
      </c>
      <c r="BM50" s="318"/>
    </row>
    <row r="51" spans="1:82" x14ac:dyDescent="0.3">
      <c r="A51" t="s">
        <v>81</v>
      </c>
      <c r="C51" s="8"/>
      <c r="D51" s="291">
        <f>(D3+D10+D17)+2*(E3+E10+E17)</f>
        <v>4</v>
      </c>
      <c r="E51" s="59"/>
      <c r="F51" s="59">
        <f>(F3+F10+F17)+2*(G3+G10+G17)</f>
        <v>4</v>
      </c>
      <c r="G51" s="59"/>
      <c r="H51" s="59">
        <f>(H3+H10+H17)+2*(I3+I10+I17)</f>
        <v>4</v>
      </c>
      <c r="I51" s="59"/>
      <c r="J51" s="59">
        <f>(J3+J10+J17)+2*(K3+K10+K17)</f>
        <v>4</v>
      </c>
      <c r="K51" s="59"/>
      <c r="L51" s="59">
        <f>(L3+L10+L17)+2*(M3+M10+M17)</f>
        <v>0</v>
      </c>
      <c r="M51" s="59"/>
      <c r="N51" s="59">
        <f>(N3+N10+N17)+2*(O3+O10+O17)</f>
        <v>0</v>
      </c>
      <c r="O51" s="59"/>
      <c r="P51" s="59">
        <f>(P3+P10+P17)+2*(Q3+Q10+Q17)</f>
        <v>4</v>
      </c>
      <c r="Q51" s="59"/>
      <c r="R51" s="59">
        <f>(R3+R10+R17)+2*(S3+S10+S17)</f>
        <v>4</v>
      </c>
      <c r="S51" s="59"/>
      <c r="T51" s="59">
        <f>(T3+T10+T17)+2*(U3+U10+U17)</f>
        <v>4</v>
      </c>
      <c r="U51" s="59"/>
      <c r="V51" s="59">
        <f>(V3+V10+V17)+2*(W3+W10+W17)</f>
        <v>4</v>
      </c>
      <c r="W51" s="59"/>
      <c r="X51" s="59">
        <f>(X3+X10+X17)+2*(Y3+Y10+Y17)</f>
        <v>4</v>
      </c>
      <c r="Y51" s="59"/>
      <c r="Z51" s="119">
        <f>(Z3+Z10+Z17)+2*(AA3+AA10+AA17)</f>
        <v>0</v>
      </c>
      <c r="AA51" s="59"/>
      <c r="AB51" s="119">
        <f>(AB3+AB10+AB17)+2*(AC3+AC10+AC17)</f>
        <v>0</v>
      </c>
      <c r="AC51" s="59"/>
      <c r="AD51" s="59">
        <f>(AD3+AD10+AD17)+2*(AE3+AE10+AE17)</f>
        <v>4</v>
      </c>
      <c r="AE51" s="59"/>
      <c r="AF51" s="59">
        <f>(AF3+AF10+AF17)+2*(AG3+AG10+AG17)</f>
        <v>4</v>
      </c>
      <c r="AG51" s="59"/>
      <c r="AH51" s="59">
        <f>(AH3+AH10+AH17)+2*(AI3+AI10+AI17)</f>
        <v>4</v>
      </c>
      <c r="AI51" s="59"/>
      <c r="AJ51" s="59">
        <f>(AJ3+AJ10+AJ17)+2*(AK3+AK10+AK17)</f>
        <v>4</v>
      </c>
      <c r="AK51" s="59"/>
      <c r="AL51" s="59">
        <f>(AL3+AL10+AL17)+2*(AM3+AM10+AM17)</f>
        <v>4</v>
      </c>
      <c r="AM51" s="59"/>
      <c r="AN51" s="59">
        <f>(AN3+AN10+AN17)+2*(AO3+AO10+AO17)</f>
        <v>0</v>
      </c>
      <c r="AO51" s="59"/>
      <c r="AP51" s="59">
        <f>(AP3+AP10+AP17)+2*(AQ3+AQ10+AQ17)</f>
        <v>0</v>
      </c>
      <c r="AQ51" s="59"/>
      <c r="AR51" s="59">
        <f>(AR3+AR10+AR17)+2*(AS3+AS10+AS17)</f>
        <v>4</v>
      </c>
      <c r="AS51" s="59"/>
      <c r="AT51" s="59">
        <f>(AT3+AT10+AT17)+2*(AU3+AU10+AU17)</f>
        <v>4</v>
      </c>
      <c r="AU51" s="59"/>
      <c r="AV51" s="59">
        <f>(AV3+AV10+AV17)+2*(AW3+AW10+AW17)</f>
        <v>4</v>
      </c>
      <c r="AW51" s="59"/>
      <c r="AX51" s="59">
        <f>(AX3+AX10+AX17)+2*(AY3+AY10+AY17)</f>
        <v>4</v>
      </c>
      <c r="AY51" s="59"/>
      <c r="AZ51" s="59">
        <f>(AZ3+AZ10+AZ17)+2*(BA3+BA10+BA17)</f>
        <v>4</v>
      </c>
      <c r="BA51" s="119"/>
      <c r="BB51" s="290">
        <f>(BB3+BB10+BB17)+2*(BC3+BC10+BC17)</f>
        <v>0</v>
      </c>
      <c r="BC51" s="290"/>
      <c r="BD51" s="288">
        <f>(BD3+BD10+BD17)+2*(BE3+BE10+BE17)</f>
        <v>0</v>
      </c>
      <c r="BE51" s="288"/>
      <c r="BF51" s="59">
        <f>(BF3+BF10+BF17)+2*(BG3+BG10+BG17)</f>
        <v>4</v>
      </c>
      <c r="BG51" s="246"/>
      <c r="BH51" s="245">
        <f>(BH3+BH10+BH17)+2*(BI3+BI10+BI17)</f>
        <v>4</v>
      </c>
      <c r="BI51" s="245"/>
      <c r="BJ51" s="292">
        <f>(BJ3+BJ10+BJ17)+2*(BK3+BK10+BK17)</f>
        <v>4</v>
      </c>
      <c r="BK51" s="292"/>
      <c r="BL51" s="318">
        <f>(BL3+BL10+BL17)+2*(BM3+BM10+BM17)</f>
        <v>0</v>
      </c>
      <c r="BM51" s="318"/>
    </row>
    <row r="52" spans="1:82" x14ac:dyDescent="0.3">
      <c r="A52" t="s">
        <v>82</v>
      </c>
      <c r="C52" s="8"/>
      <c r="D52" s="291">
        <f>(D6+D13+D20)+2*(E6+E13+E20)</f>
        <v>6</v>
      </c>
      <c r="E52" s="59"/>
      <c r="F52" s="59">
        <f>(F6+F13+F20)+2*(G6+G13+G20)</f>
        <v>6</v>
      </c>
      <c r="G52" s="59"/>
      <c r="H52" s="59">
        <f>(H6+H13+H20)+2*(I6+I13+I20)</f>
        <v>6</v>
      </c>
      <c r="I52" s="59"/>
      <c r="J52" s="59">
        <f>(J6+J13+J20)+2*(K6+K13+K20)</f>
        <v>6</v>
      </c>
      <c r="K52" s="59"/>
      <c r="L52" s="59">
        <f>(L6+L13+L20)+2*(M6+M13+M20)</f>
        <v>0</v>
      </c>
      <c r="M52" s="59"/>
      <c r="N52" s="59">
        <f>(N6+N13+N20)+2*(O6+O13+O20)</f>
        <v>0</v>
      </c>
      <c r="O52" s="59"/>
      <c r="P52" s="59">
        <f>(P6+P13+P20)+2*(Q6+Q13+Q20)</f>
        <v>6</v>
      </c>
      <c r="Q52" s="59"/>
      <c r="R52" s="59">
        <f>(R6+R13+R20)+2*(S6+S13+S20)</f>
        <v>6</v>
      </c>
      <c r="S52" s="59"/>
      <c r="T52" s="59">
        <f>(T6+T13+T20)+2*(U6+U13+U20)</f>
        <v>6</v>
      </c>
      <c r="U52" s="59"/>
      <c r="V52" s="59">
        <f>(V6+V13+V20)+2*(W6+W13+W20)</f>
        <v>6</v>
      </c>
      <c r="W52" s="59"/>
      <c r="X52" s="59">
        <f>(X6+X13+X20)+2*(Y6+Y13+Y20)</f>
        <v>6</v>
      </c>
      <c r="Y52" s="59"/>
      <c r="Z52" s="119">
        <f>(Z6+Z13+Z20)+2*(AA6+AA13+AA20)</f>
        <v>0</v>
      </c>
      <c r="AA52" s="59"/>
      <c r="AB52" s="119">
        <f>(AB6+AB13+AB20)+2*(AC6+AC13+AC20)</f>
        <v>0</v>
      </c>
      <c r="AC52" s="59"/>
      <c r="AD52" s="59">
        <f>(AD6+AD13+AD20)+2*(AE6+AE13+AE20)</f>
        <v>6</v>
      </c>
      <c r="AE52" s="59"/>
      <c r="AF52" s="59">
        <f>(AF6+AF13+AF20)+2*(AG6+AG13+AG20)</f>
        <v>6</v>
      </c>
      <c r="AG52" s="59"/>
      <c r="AH52" s="59">
        <f>(AH6+AH13+AH20)+2*(AI6+AI13+AI20)</f>
        <v>6</v>
      </c>
      <c r="AI52" s="59"/>
      <c r="AJ52" s="59">
        <f>(AJ6+AJ13+AJ20)+2*(AK6+AK13+AK20)</f>
        <v>6</v>
      </c>
      <c r="AK52" s="59"/>
      <c r="AL52" s="59">
        <f>(AL6+AL13+AL20)+2*(AM6+AM13+AM20)</f>
        <v>6</v>
      </c>
      <c r="AM52" s="59"/>
      <c r="AN52" s="59">
        <f>(AN6+AN14+AN20)+2*(AO6+AO14+AO20)</f>
        <v>0</v>
      </c>
      <c r="AO52" s="59"/>
      <c r="AP52" s="59">
        <f>(AP6+AP13+AP20)+2*(AQ6+AQ13+AQ20)</f>
        <v>0</v>
      </c>
      <c r="AQ52" s="59"/>
      <c r="AR52" s="59">
        <f>(AR6+AR13+AR20)+2*(AS6+AS13+AS20)</f>
        <v>6</v>
      </c>
      <c r="AS52" s="59"/>
      <c r="AT52" s="59">
        <f>(AT6+AT13+AT20)+2*(AU6+AU13+AU20)</f>
        <v>6</v>
      </c>
      <c r="AU52" s="59"/>
      <c r="AV52" s="59">
        <f>(AV6+AV13+AV20)+2*(AW6+AW13+AW20)</f>
        <v>6</v>
      </c>
      <c r="AW52" s="59"/>
      <c r="AX52" s="59">
        <f>(AX6+AX13+AX20)+2*(AY6+AY13+AY20)</f>
        <v>6</v>
      </c>
      <c r="AY52" s="59"/>
      <c r="AZ52" s="59">
        <f>(AZ6+AZ13+AZ20)+2*(BA6+BA13+BA20)</f>
        <v>6</v>
      </c>
      <c r="BA52" s="119"/>
      <c r="BB52" s="290">
        <f>(BB6+BB13+BB20)+2*(BC6+BC13+BC20)</f>
        <v>0</v>
      </c>
      <c r="BC52" s="290"/>
      <c r="BD52" s="288">
        <f>(BD6+BD13+BD20)+2*(BE6+BE13+BE20)</f>
        <v>0</v>
      </c>
      <c r="BE52" s="288"/>
      <c r="BF52" s="59">
        <f>(BF6+BF13+BF20)+2*(BG6+BG13+BG20)</f>
        <v>6</v>
      </c>
      <c r="BG52" s="246"/>
      <c r="BH52" s="245">
        <f>(BH6+BH13+BH20)+2*(BI6+BI13+BI20)</f>
        <v>6</v>
      </c>
      <c r="BI52" s="245"/>
      <c r="BJ52" s="292">
        <f>(BJ6+BJ13+BJ20)+2*(BK6+BK13+BK20)</f>
        <v>6</v>
      </c>
      <c r="BK52" s="292"/>
      <c r="BL52" s="318">
        <f>(BL6+BL13+BL20)+2*(BM6+BM13+BM20)</f>
        <v>0</v>
      </c>
      <c r="BM52" s="318"/>
    </row>
    <row r="53" spans="1:82" s="127" customFormat="1" x14ac:dyDescent="0.3">
      <c r="A53" s="127" t="s">
        <v>122</v>
      </c>
      <c r="C53" s="8"/>
      <c r="D53" s="291">
        <f>(D4+D11+D18)+2*(E4+E11+E18)</f>
        <v>0</v>
      </c>
      <c r="E53" s="157"/>
      <c r="F53" s="157">
        <f>(F4+F11+F18)+2*(G4+G11+G18)</f>
        <v>0</v>
      </c>
      <c r="G53" s="157"/>
      <c r="H53" s="157">
        <f>(H4+H11+H18)+2*(I4+I11+I18)</f>
        <v>0</v>
      </c>
      <c r="I53" s="157"/>
      <c r="J53" s="157">
        <f>(J4+J11+J18)+2*(K4+K11+K18)</f>
        <v>0</v>
      </c>
      <c r="K53" s="157"/>
      <c r="L53" s="157">
        <f>(L4+L11+L18)+2*(M4+M11+M18)</f>
        <v>0</v>
      </c>
      <c r="M53" s="157"/>
      <c r="N53" s="282">
        <f>(N4+N11+N18)+2*(O4+O11+O18)</f>
        <v>0</v>
      </c>
      <c r="O53" s="157"/>
      <c r="P53" s="157">
        <f>(P4+P11+P18)+2*(Q4+Q11+Q18)</f>
        <v>0</v>
      </c>
      <c r="Q53" s="157"/>
      <c r="R53" s="157">
        <f>(R4+R11+R18)+2*(S4+S11+S18)</f>
        <v>0</v>
      </c>
      <c r="S53" s="157"/>
      <c r="T53" s="157">
        <f>(T4+T11+T18)+2*(U4+U11+U18)</f>
        <v>0</v>
      </c>
      <c r="U53" s="157"/>
      <c r="V53" s="157">
        <f>(V4+V11+V18)+2*(W4+W11+W18)</f>
        <v>0</v>
      </c>
      <c r="W53" s="157"/>
      <c r="X53" s="157">
        <f>(X4+X11+X18)+2*(Y4+Y11+Y18)</f>
        <v>0</v>
      </c>
      <c r="Y53" s="157"/>
      <c r="Z53" s="157">
        <f>(Z4+Z11+Z18)+2*(AA4+AA11+AA18)</f>
        <v>0</v>
      </c>
      <c r="AA53" s="157"/>
      <c r="AB53" s="157">
        <f>(AB4+AB11+AB18)+2*(AC4+AC11+AC18)</f>
        <v>0</v>
      </c>
      <c r="AC53" s="157"/>
      <c r="AD53" s="157">
        <f>(AD4+AD11+AD18)+2*(AE4+AE11+AE18)</f>
        <v>0</v>
      </c>
      <c r="AE53" s="157"/>
      <c r="AF53" s="157">
        <f>(AF4+AF11+AF18)+2*(AG4+AG11+AG18)</f>
        <v>0</v>
      </c>
      <c r="AG53" s="157"/>
      <c r="AH53" s="157">
        <f>(AH4+AH11+AH18)+2*(AI4+AI11+AI18)</f>
        <v>0</v>
      </c>
      <c r="AI53" s="157"/>
      <c r="AJ53" s="157">
        <f>(AJ4+AJ11+AJ18)+2*(AK4+AK11+AK18)</f>
        <v>0</v>
      </c>
      <c r="AK53" s="157"/>
      <c r="AL53" s="157">
        <f>(AL4+AL11+AL18)+2*(AM4+AM11+AM18)</f>
        <v>0</v>
      </c>
      <c r="AM53" s="157"/>
      <c r="AN53" s="157">
        <f>(AN4+AN11+AN18)+2*(AO4+AO11+AO18)</f>
        <v>0</v>
      </c>
      <c r="AO53" s="157"/>
      <c r="AP53" s="157">
        <f>(AP4+AP11+AP18)+2*(AQ4+AQ11+AQ18)</f>
        <v>0</v>
      </c>
      <c r="AQ53" s="157"/>
      <c r="AR53" s="157">
        <f>(AR4+AR11+AR18)+2*(AS4+AS11+AS18)</f>
        <v>0</v>
      </c>
      <c r="AS53" s="157"/>
      <c r="AT53" s="157">
        <f>(AT4+AT11+AT18)+2*(AU4+AU11+AU18)</f>
        <v>0</v>
      </c>
      <c r="AU53" s="157"/>
      <c r="AV53" s="157">
        <f>(AV4+AV11+AV18)+2*(AW4+AW11+AW18)</f>
        <v>0</v>
      </c>
      <c r="AW53" s="157"/>
      <c r="AX53" s="157">
        <f>(AX4+AX11+AX18)+2*(AY4+AY11+AY18)</f>
        <v>0</v>
      </c>
      <c r="AY53" s="157"/>
      <c r="AZ53" s="157">
        <f>(AZ4+AZ11+AZ18)+2*(BA4+BA11+BA18)</f>
        <v>0</v>
      </c>
      <c r="BA53" s="157"/>
      <c r="BB53" s="290">
        <f>(BB4+BB11+BB18)+2*(BC4+BC11+BC18)</f>
        <v>0</v>
      </c>
      <c r="BC53" s="290"/>
      <c r="BD53" s="288">
        <f>(BD4+BD11+BD18)+2*(BE4+BE11+BE18)</f>
        <v>0</v>
      </c>
      <c r="BE53" s="288"/>
      <c r="BF53" s="157">
        <f>(BF4+BF11+BF18)+2*(BG4+BG11+BG18)</f>
        <v>0</v>
      </c>
      <c r="BG53" s="212"/>
      <c r="BH53" s="245">
        <f>(BH4+BH11+BH18)+2*(BI4+BI11+BI18)</f>
        <v>0</v>
      </c>
      <c r="BI53" s="245"/>
      <c r="BJ53" s="292">
        <f>(BJ4+BJ11+BJ18)+2*(BK4+BK11+BK18)</f>
        <v>0</v>
      </c>
      <c r="BK53" s="292"/>
      <c r="BL53" s="318">
        <f>(BL4+BL11+BL18)+2*(BM4+BM11+BM18)</f>
        <v>0</v>
      </c>
      <c r="BM53" s="318"/>
    </row>
    <row r="54" spans="1:82" ht="15" thickBot="1" x14ac:dyDescent="0.35">
      <c r="A54" t="s">
        <v>35</v>
      </c>
      <c r="C54" s="8"/>
      <c r="D54" s="291">
        <f>(D7+D14+D21)+2*(E7+E14+E21)</f>
        <v>5</v>
      </c>
      <c r="E54" s="59"/>
      <c r="F54" s="59">
        <f>(F7+F14+F21)+2*(G7+G14+G21)</f>
        <v>5</v>
      </c>
      <c r="G54" s="59"/>
      <c r="H54" s="59">
        <f>(H7+H14+H21)+2*(I7+I14+I21)</f>
        <v>5</v>
      </c>
      <c r="I54" s="59"/>
      <c r="J54" s="59">
        <f>(J7+J14+J21)+2*(K7+K14+K21)</f>
        <v>5</v>
      </c>
      <c r="K54" s="59"/>
      <c r="L54" s="59">
        <f>(L7+L14+L21)+2*(M7+M14+M21)</f>
        <v>0</v>
      </c>
      <c r="M54" s="59"/>
      <c r="N54" s="282">
        <f>(N7+N14+N21)+2*(O7+O14+O21)</f>
        <v>0</v>
      </c>
      <c r="O54" s="59"/>
      <c r="P54" s="59">
        <f>(P7+P14+P21)+2*(Q7+Q14+Q21)</f>
        <v>5</v>
      </c>
      <c r="Q54" s="59"/>
      <c r="R54" s="59">
        <f>(R7+R14+R21)+2*(S7+S14+S21)</f>
        <v>5</v>
      </c>
      <c r="S54" s="59"/>
      <c r="T54" s="59">
        <f>(T7+T14+T21)+2*(U7+U14+U21)</f>
        <v>5</v>
      </c>
      <c r="U54" s="59"/>
      <c r="V54" s="59">
        <f>(V7+V14+V21)+2*(W7+W14+W21)</f>
        <v>5</v>
      </c>
      <c r="W54" s="59"/>
      <c r="X54" s="59">
        <f>(X7+X14+X21)+2*(Y7+Y14+Y21)</f>
        <v>5</v>
      </c>
      <c r="Y54" s="59"/>
      <c r="Z54" s="119">
        <f>(Z7+Z14+Z21)+2*(AA7+AA14+AA21)</f>
        <v>0</v>
      </c>
      <c r="AA54" s="59"/>
      <c r="AB54" s="119">
        <f>(AB7+AB14+AB21)+2*(AC7+AC14+AC21)</f>
        <v>0</v>
      </c>
      <c r="AC54" s="59"/>
      <c r="AD54" s="59">
        <f>(AD7+AD14+AD21)+2*(AE7+AE14+AE21)</f>
        <v>5</v>
      </c>
      <c r="AE54" s="59"/>
      <c r="AF54" s="269">
        <f>(AF7+AF14+AF21)+2*(AG7+AG14+AG21)</f>
        <v>5</v>
      </c>
      <c r="AG54" s="59"/>
      <c r="AH54" s="59">
        <f>(AH7+AH14+AH21)+2*(AI7+AI14+AI21)</f>
        <v>5</v>
      </c>
      <c r="AI54" s="59"/>
      <c r="AJ54" s="59">
        <f>(AJ7+AJ14+AJ21)+2*(AK7+AK14+AK21)</f>
        <v>5</v>
      </c>
      <c r="AK54" s="59"/>
      <c r="AL54" s="272">
        <f>(AL7+AL14+AL21)+2*(AM7+AM14+AM21)</f>
        <v>5</v>
      </c>
      <c r="AM54" s="59"/>
      <c r="AN54" s="273">
        <f>(AN7+AN14+AN21)+2*(AO7+AO14+AO21)</f>
        <v>0</v>
      </c>
      <c r="AO54" s="59"/>
      <c r="AP54" s="59">
        <f>(AP7+AP14+AP21)+2*(AQ7+AQ14+AQ21)</f>
        <v>0</v>
      </c>
      <c r="AQ54" s="59"/>
      <c r="AR54" s="59">
        <f>(AR7+AR14+AR21)+2*(AS7+AS14+AS21)</f>
        <v>5</v>
      </c>
      <c r="AS54" s="59"/>
      <c r="AT54" s="59">
        <f>(AT7+AT14+AT21)+2*(AU7+AU14+AU21)</f>
        <v>5</v>
      </c>
      <c r="AU54" s="59"/>
      <c r="AV54" s="59">
        <f>(AV7+AV14+AV21)+2*(AW7+AW14+AW21)</f>
        <v>5</v>
      </c>
      <c r="AW54" s="59"/>
      <c r="AX54" s="274">
        <f>(AX7+AX14+AX21)+2*(AY7+AY14+AY21)</f>
        <v>5</v>
      </c>
      <c r="AY54" s="59"/>
      <c r="AZ54" s="275">
        <f>(AZ7+AZ14+AZ21)+2*(BA7+BA14+BA21)</f>
        <v>4</v>
      </c>
      <c r="BA54" s="119"/>
      <c r="BB54" s="290">
        <f>(BB7+BB14+BB21)+2*(BC7+BC14+BC21)</f>
        <v>0</v>
      </c>
      <c r="BC54" s="290"/>
      <c r="BD54" s="288">
        <f>(BD7+BD14+BD21)+2*(BE7+BE14+BE21)</f>
        <v>0</v>
      </c>
      <c r="BE54" s="288"/>
      <c r="BF54" s="59">
        <f>(BF7+BF14+BF21)+2*(BG7+BG14+BG21)</f>
        <v>5</v>
      </c>
      <c r="BG54" s="246"/>
      <c r="BH54" s="245">
        <f>(BH7+BH14+BH21)+2*(BI7+BI14+BI21)</f>
        <v>5</v>
      </c>
      <c r="BI54" s="245"/>
      <c r="BJ54" s="292">
        <f>(BJ7+BJ14+BJ21)+2*(BK7+BK14+BK21)</f>
        <v>5</v>
      </c>
      <c r="BK54" s="292"/>
      <c r="BL54" s="318">
        <f>(BL7+BL14+BL21)+2*(BM7+BM14+BM21)</f>
        <v>0</v>
      </c>
      <c r="BM54" s="318"/>
    </row>
    <row r="55" spans="1:82" ht="15" thickBot="1" x14ac:dyDescent="0.35">
      <c r="A55" s="306"/>
      <c r="B55" s="307"/>
      <c r="C55" s="307"/>
      <c r="D55" s="307"/>
      <c r="E55" s="307"/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  <c r="AA55" s="307"/>
      <c r="AB55" s="307"/>
      <c r="AC55" s="307"/>
      <c r="AD55" s="307"/>
      <c r="AE55" s="307"/>
      <c r="AF55" s="307"/>
      <c r="AG55" s="307"/>
      <c r="AH55" s="307"/>
      <c r="AI55" s="307"/>
      <c r="AJ55" s="307"/>
      <c r="AK55" s="307"/>
      <c r="AL55" s="307"/>
      <c r="AM55" s="307"/>
      <c r="AN55" s="307"/>
      <c r="AO55" s="307"/>
      <c r="AP55" s="307"/>
      <c r="AQ55" s="307"/>
      <c r="AR55" s="307"/>
      <c r="AS55" s="307"/>
      <c r="AT55" s="307"/>
      <c r="AU55" s="307"/>
      <c r="AV55" s="307"/>
      <c r="AW55" s="307"/>
      <c r="AX55" s="307"/>
      <c r="AY55" s="307"/>
      <c r="AZ55" s="307"/>
      <c r="BA55" s="307"/>
      <c r="BB55" s="307"/>
      <c r="BC55" s="307"/>
      <c r="BD55" s="307"/>
      <c r="BE55" s="307"/>
      <c r="BF55" s="307"/>
      <c r="BG55" s="307"/>
      <c r="BH55" s="307"/>
      <c r="BI55" s="307"/>
      <c r="BJ55" s="307"/>
      <c r="BK55" s="307"/>
      <c r="BL55" s="307"/>
      <c r="BM55" s="307"/>
    </row>
    <row r="59" spans="1:82" x14ac:dyDescent="0.3">
      <c r="BE59" s="279"/>
      <c r="BF59" s="279"/>
      <c r="BG59" s="279"/>
      <c r="BH59" s="279"/>
      <c r="BI59" s="279"/>
      <c r="BJ59" s="279"/>
      <c r="BK59" s="279"/>
      <c r="BL59" s="279"/>
      <c r="BM59" s="279"/>
      <c r="BN59" s="279"/>
      <c r="BO59" s="279"/>
      <c r="BP59" s="279"/>
      <c r="BQ59" s="279"/>
      <c r="BR59" s="279"/>
      <c r="BS59" s="279"/>
      <c r="BT59" s="279"/>
      <c r="BU59" s="279"/>
      <c r="BV59" s="279"/>
      <c r="BW59" s="279"/>
      <c r="BX59" s="279"/>
      <c r="BY59" s="279"/>
      <c r="BZ59" s="279"/>
      <c r="CA59" s="279"/>
      <c r="CB59" s="279"/>
      <c r="CC59" s="279"/>
      <c r="CD59" s="279"/>
    </row>
    <row r="60" spans="1:82" x14ac:dyDescent="0.3">
      <c r="BE60" s="279"/>
      <c r="BF60" s="279"/>
      <c r="BG60" s="279"/>
      <c r="BH60" s="279"/>
      <c r="BI60" s="279"/>
      <c r="BJ60" s="279"/>
      <c r="BK60" s="279"/>
      <c r="BL60" s="279"/>
      <c r="BM60" s="279"/>
      <c r="BN60" s="279"/>
      <c r="BO60" s="279"/>
      <c r="BP60" s="279"/>
      <c r="BQ60" s="279"/>
      <c r="BR60" s="279"/>
      <c r="BS60" s="279"/>
      <c r="BT60" s="279"/>
      <c r="BU60" s="279"/>
      <c r="BV60" s="279"/>
      <c r="BW60" s="279"/>
      <c r="BX60" s="279"/>
      <c r="BY60" s="279"/>
      <c r="BZ60" s="279"/>
      <c r="CA60" s="279"/>
      <c r="CB60" s="279"/>
      <c r="CC60" s="279"/>
      <c r="CD60" s="279"/>
    </row>
    <row r="61" spans="1:82" x14ac:dyDescent="0.3">
      <c r="BE61" s="279"/>
      <c r="BF61" s="279"/>
      <c r="BG61" s="279"/>
      <c r="BH61" s="279"/>
      <c r="BI61" s="279"/>
      <c r="BJ61" s="279"/>
      <c r="BK61" s="279"/>
      <c r="BL61" s="279"/>
      <c r="BM61" s="279"/>
      <c r="BN61" s="279"/>
      <c r="BO61" s="279"/>
      <c r="BP61" s="279"/>
      <c r="BQ61" s="279"/>
      <c r="BR61" s="279"/>
      <c r="BS61" s="279"/>
      <c r="BT61" s="279"/>
      <c r="BU61" s="279"/>
      <c r="BV61" s="279"/>
      <c r="BW61" s="279"/>
      <c r="BX61" s="279"/>
      <c r="BY61" s="279"/>
      <c r="BZ61" s="279"/>
      <c r="CA61" s="279"/>
      <c r="CB61" s="279"/>
      <c r="CC61" s="279"/>
      <c r="CD61" s="279"/>
    </row>
    <row r="62" spans="1:82" x14ac:dyDescent="0.3">
      <c r="BE62" s="279"/>
      <c r="BF62" s="279"/>
      <c r="BG62" s="279"/>
      <c r="BH62" s="279"/>
      <c r="BI62" s="279"/>
      <c r="BJ62" s="279"/>
      <c r="BK62" s="279"/>
      <c r="BL62" s="279"/>
      <c r="BM62" s="279"/>
      <c r="BN62" s="279"/>
      <c r="BO62" s="279"/>
      <c r="BP62" s="279"/>
      <c r="BQ62" s="279"/>
      <c r="BR62" s="279"/>
      <c r="BS62" s="279"/>
      <c r="BT62" s="279"/>
      <c r="BU62" s="279"/>
      <c r="BV62" s="279"/>
      <c r="BW62" s="279"/>
      <c r="BX62" s="279"/>
      <c r="BY62" s="279"/>
      <c r="BZ62" s="279"/>
      <c r="CA62" s="279"/>
      <c r="CB62" s="279"/>
      <c r="CC62" s="279"/>
      <c r="CD62" s="279"/>
    </row>
  </sheetData>
  <mergeCells count="32">
    <mergeCell ref="AF1:AG1"/>
    <mergeCell ref="AL1:AM1"/>
    <mergeCell ref="BF1:BG1"/>
    <mergeCell ref="AH1:AI1"/>
    <mergeCell ref="AT1:AU1"/>
    <mergeCell ref="AN1:AO1"/>
    <mergeCell ref="BD1:BE1"/>
    <mergeCell ref="AR1:AS1"/>
    <mergeCell ref="AP1:AQ1"/>
    <mergeCell ref="BB1:BC1"/>
    <mergeCell ref="A38:B38"/>
    <mergeCell ref="D1:E1"/>
    <mergeCell ref="F1:G1"/>
    <mergeCell ref="L1:M1"/>
    <mergeCell ref="H1:I1"/>
    <mergeCell ref="J1:K1"/>
    <mergeCell ref="BL1:BM1"/>
    <mergeCell ref="AX1:AY1"/>
    <mergeCell ref="AZ1:BA1"/>
    <mergeCell ref="N1:O1"/>
    <mergeCell ref="P1:Q1"/>
    <mergeCell ref="Z1:AA1"/>
    <mergeCell ref="V1:W1"/>
    <mergeCell ref="T1:U1"/>
    <mergeCell ref="X1:Y1"/>
    <mergeCell ref="R1:S1"/>
    <mergeCell ref="BJ1:BK1"/>
    <mergeCell ref="AB1:AC1"/>
    <mergeCell ref="AV1:AW1"/>
    <mergeCell ref="AD1:AE1"/>
    <mergeCell ref="BH1:BI1"/>
    <mergeCell ref="AJ1:AK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40" sqref="F40"/>
    </sheetView>
  </sheetViews>
  <sheetFormatPr baseColWidth="10" defaultColWidth="11.44140625" defaultRowHeight="14.4" x14ac:dyDescent="0.3"/>
  <cols>
    <col min="1" max="2" width="11.44140625" style="127"/>
    <col min="3" max="3" width="19.109375" style="127" customWidth="1"/>
    <col min="4" max="4" width="11.44140625" style="127"/>
    <col min="5" max="5" width="18.44140625" style="127" customWidth="1"/>
    <col min="6" max="6" width="14.109375" style="127" customWidth="1"/>
    <col min="7" max="7" width="23.88671875" style="127" customWidth="1"/>
    <col min="8" max="8" width="22.6640625" style="127" customWidth="1"/>
    <col min="9" max="9" width="11.44140625" style="127"/>
    <col min="10" max="10" width="50.88671875" style="127" customWidth="1"/>
    <col min="11" max="11" width="18.5546875" style="127" customWidth="1"/>
    <col min="12" max="12" width="14.33203125" style="127" customWidth="1"/>
    <col min="13" max="13" width="25.5546875" style="127" customWidth="1"/>
    <col min="14" max="16384" width="11.44140625" style="127"/>
  </cols>
  <sheetData>
    <row r="1" spans="1:14" ht="44.4" x14ac:dyDescent="0.3">
      <c r="A1" s="357" t="s">
        <v>175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</row>
    <row r="2" spans="1:14" ht="15.6" x14ac:dyDescent="0.3">
      <c r="A2" s="161" t="s">
        <v>126</v>
      </c>
      <c r="B2" s="161" t="s">
        <v>3</v>
      </c>
      <c r="C2" s="161" t="s">
        <v>127</v>
      </c>
      <c r="D2" s="161" t="s">
        <v>128</v>
      </c>
      <c r="E2" s="162" t="s">
        <v>129</v>
      </c>
      <c r="F2" s="162" t="s">
        <v>130</v>
      </c>
      <c r="G2" s="162" t="s">
        <v>131</v>
      </c>
      <c r="H2" s="162" t="s">
        <v>132</v>
      </c>
      <c r="I2" s="162" t="s">
        <v>133</v>
      </c>
      <c r="J2" s="162" t="s">
        <v>134</v>
      </c>
      <c r="K2" s="162" t="s">
        <v>135</v>
      </c>
      <c r="L2" s="162" t="s">
        <v>136</v>
      </c>
      <c r="M2" s="162" t="s">
        <v>137</v>
      </c>
    </row>
    <row r="3" spans="1:14" ht="15" x14ac:dyDescent="0.3">
      <c r="A3" s="163">
        <v>45566</v>
      </c>
      <c r="B3" s="12">
        <f>'KM-Servicio'!M11</f>
        <v>11811</v>
      </c>
      <c r="C3" s="12">
        <f>B3</f>
        <v>11811</v>
      </c>
      <c r="D3" s="12">
        <f>'KM-Servicio'!U11</f>
        <v>11323.89</v>
      </c>
      <c r="E3" s="12">
        <f>D3</f>
        <v>11323.89</v>
      </c>
      <c r="F3" s="169">
        <f>'KM-Servicio'!N11</f>
        <v>95.875793751587508</v>
      </c>
      <c r="G3" s="170">
        <f>SUM('KM-Servicio'!B11:C11)</f>
        <v>170</v>
      </c>
      <c r="H3" s="170">
        <f>SUM('KM-Servicio'!D11:E11)</f>
        <v>170</v>
      </c>
      <c r="I3" s="147"/>
      <c r="J3" s="147"/>
      <c r="K3" s="12">
        <f>'Oferta Diaria'!C43</f>
        <v>897984.47700000019</v>
      </c>
      <c r="L3" s="164" t="s">
        <v>140</v>
      </c>
      <c r="M3" s="167"/>
      <c r="N3" s="165"/>
    </row>
    <row r="4" spans="1:14" ht="15" x14ac:dyDescent="0.3">
      <c r="A4" s="163">
        <v>45567</v>
      </c>
      <c r="B4" s="12">
        <f>'KM-Servicio'!M18</f>
        <v>11745</v>
      </c>
      <c r="C4" s="12">
        <f>B4+C3</f>
        <v>23556</v>
      </c>
      <c r="D4" s="12">
        <f>'KM-Servicio'!U18</f>
        <v>11276.800000000001</v>
      </c>
      <c r="E4" s="12">
        <f>D4+E3</f>
        <v>22600.690000000002</v>
      </c>
      <c r="F4" s="169">
        <f>'KM-Servicio'!N18</f>
        <v>96.013622818220526</v>
      </c>
      <c r="G4" s="170">
        <f>SUM('KM-Servicio'!B18:C18)</f>
        <v>170</v>
      </c>
      <c r="H4" s="170">
        <f>SUM('KM-Servicio'!D18:E18)</f>
        <v>170</v>
      </c>
      <c r="I4" s="147"/>
      <c r="J4" s="147"/>
      <c r="K4" s="12">
        <f>'Oferta Diaria'!D43</f>
        <v>894250.24000000011</v>
      </c>
      <c r="L4" s="164" t="s">
        <v>140</v>
      </c>
      <c r="M4" s="167"/>
      <c r="N4" s="165"/>
    </row>
    <row r="5" spans="1:14" ht="15" x14ac:dyDescent="0.3">
      <c r="A5" s="163">
        <v>45568</v>
      </c>
      <c r="B5" s="12">
        <f>'KM-Servicio'!M25</f>
        <v>11781</v>
      </c>
      <c r="C5" s="12">
        <f t="shared" ref="C5:C30" si="0">B5+C4</f>
        <v>35337</v>
      </c>
      <c r="D5" s="12">
        <f>'KM-Servicio'!U25</f>
        <v>11269.130000000003</v>
      </c>
      <c r="E5" s="12">
        <f t="shared" ref="E5:E30" si="1">D5+E4</f>
        <v>33869.820000000007</v>
      </c>
      <c r="F5" s="169">
        <f>'KM-Servicio'!N25</f>
        <v>95.655122655122682</v>
      </c>
      <c r="G5" s="170">
        <f>SUM('KM-Servicio'!B25:C25)</f>
        <v>170</v>
      </c>
      <c r="H5" s="170">
        <f>SUM('KM-Servicio'!D25:E25)</f>
        <v>171</v>
      </c>
      <c r="I5" s="147"/>
      <c r="J5" s="147"/>
      <c r="K5" s="12">
        <f>'Oferta Diaria'!E43</f>
        <v>893642.00900000008</v>
      </c>
      <c r="L5" s="164" t="s">
        <v>140</v>
      </c>
      <c r="M5" s="167"/>
      <c r="N5" s="165"/>
    </row>
    <row r="6" spans="1:14" ht="15" x14ac:dyDescent="0.3">
      <c r="A6" s="163">
        <v>45569</v>
      </c>
      <c r="B6" s="12">
        <f>'KM-Servicio'!M32</f>
        <v>11884</v>
      </c>
      <c r="C6" s="12">
        <f t="shared" si="0"/>
        <v>47221</v>
      </c>
      <c r="D6" s="12">
        <f>'KM-Servicio'!U32</f>
        <v>11347.720000000001</v>
      </c>
      <c r="E6" s="12">
        <f t="shared" si="1"/>
        <v>45217.540000000008</v>
      </c>
      <c r="F6" s="169">
        <f>'KM-Servicio'!N32</f>
        <v>95.487377987209697</v>
      </c>
      <c r="G6" s="170">
        <f>SUM('KM-Servicio'!B32:C32)</f>
        <v>170</v>
      </c>
      <c r="H6" s="170">
        <f>SUM('KM-Servicio'!D32:E32)</f>
        <v>170</v>
      </c>
      <c r="I6" s="147"/>
      <c r="J6" s="147"/>
      <c r="K6" s="12">
        <f>'Oferta Diaria'!F43</f>
        <v>899874.19600000011</v>
      </c>
      <c r="L6" s="164" t="s">
        <v>140</v>
      </c>
      <c r="M6" s="167"/>
      <c r="N6" s="165"/>
    </row>
    <row r="7" spans="1:14" ht="16.5" customHeight="1" x14ac:dyDescent="0.3">
      <c r="A7" s="163">
        <v>45570</v>
      </c>
      <c r="B7" s="12">
        <f>'KM-Servicio'!M39</f>
        <v>6606</v>
      </c>
      <c r="C7" s="12">
        <f t="shared" si="0"/>
        <v>53827</v>
      </c>
      <c r="D7" s="12">
        <f>'KM-Servicio'!U39</f>
        <v>6512.63</v>
      </c>
      <c r="E7" s="12">
        <f t="shared" si="1"/>
        <v>51730.170000000006</v>
      </c>
      <c r="F7" s="169">
        <f>'KM-Servicio'!N39</f>
        <v>98.586587950348175</v>
      </c>
      <c r="G7" s="170">
        <f>SUM('KM-Servicio'!B39:C39)</f>
        <v>147</v>
      </c>
      <c r="H7" s="170">
        <f>SUM('KM-Servicio'!D39:E39)</f>
        <v>147</v>
      </c>
      <c r="I7" s="147"/>
      <c r="J7" s="147"/>
      <c r="K7" s="12">
        <f>'Oferta Diaria'!G43</f>
        <v>516451.55900000001</v>
      </c>
      <c r="L7" s="178" t="s">
        <v>141</v>
      </c>
      <c r="M7" s="180"/>
      <c r="N7" s="165"/>
    </row>
    <row r="8" spans="1:14" ht="15" x14ac:dyDescent="0.3">
      <c r="A8" s="163">
        <v>45571</v>
      </c>
      <c r="B8" s="12">
        <f>'KM-Servicio'!M46</f>
        <v>4952</v>
      </c>
      <c r="C8" s="12">
        <f t="shared" si="0"/>
        <v>58779</v>
      </c>
      <c r="D8" s="12">
        <f>'KM-Servicio'!U46</f>
        <v>4916.8200000000006</v>
      </c>
      <c r="E8" s="12">
        <f t="shared" si="1"/>
        <v>56646.990000000005</v>
      </c>
      <c r="F8" s="169">
        <f>'KM-Servicio'!N46</f>
        <v>99.289579967689832</v>
      </c>
      <c r="G8" s="170">
        <f>SUM('KM-Servicio'!B46:C46)</f>
        <v>111</v>
      </c>
      <c r="H8" s="170">
        <f>SUM('KM-Servicio'!D46:E46)</f>
        <v>111</v>
      </c>
      <c r="I8" s="147"/>
      <c r="J8" s="147"/>
      <c r="K8" s="12">
        <f>'Oferta Diaria'!H43</f>
        <v>389903.82600000006</v>
      </c>
      <c r="L8" s="178" t="s">
        <v>139</v>
      </c>
      <c r="M8" s="167"/>
      <c r="N8" s="165"/>
    </row>
    <row r="9" spans="1:14" ht="15" x14ac:dyDescent="0.3">
      <c r="A9" s="163">
        <v>45572</v>
      </c>
      <c r="B9" s="12">
        <f>'KM-Servicio'!M53</f>
        <v>11786</v>
      </c>
      <c r="C9" s="12">
        <f t="shared" si="0"/>
        <v>70565</v>
      </c>
      <c r="D9" s="12">
        <f>'KM-Servicio'!U53</f>
        <v>11304.590000000002</v>
      </c>
      <c r="E9" s="12">
        <f t="shared" si="1"/>
        <v>67951.58</v>
      </c>
      <c r="F9" s="169">
        <f>'KM-Servicio'!N53</f>
        <v>95.915408111318527</v>
      </c>
      <c r="G9" s="170">
        <f>SUM('KM-Servicio'!B53:C53)</f>
        <v>170</v>
      </c>
      <c r="H9" s="170">
        <f>SUM('KM-Servicio'!D53:E53)</f>
        <v>170</v>
      </c>
      <c r="I9" s="147"/>
      <c r="J9" s="147"/>
      <c r="K9" s="12">
        <f>'Oferta Diaria'!I43</f>
        <v>896453.98700000008</v>
      </c>
      <c r="L9" s="164" t="s">
        <v>140</v>
      </c>
      <c r="M9" s="179"/>
      <c r="N9" s="165"/>
    </row>
    <row r="10" spans="1:14" ht="15" x14ac:dyDescent="0.3">
      <c r="A10" s="163">
        <v>45573</v>
      </c>
      <c r="B10" s="12">
        <f>'KM-Servicio'!M60</f>
        <v>11731</v>
      </c>
      <c r="C10" s="12">
        <f t="shared" si="0"/>
        <v>82296</v>
      </c>
      <c r="D10" s="12">
        <f>'KM-Servicio'!U60</f>
        <v>11304.590000000002</v>
      </c>
      <c r="E10" s="12">
        <f t="shared" si="1"/>
        <v>79256.17</v>
      </c>
      <c r="F10" s="169">
        <f>'KM-Servicio'!N60</f>
        <v>96.365101014406292</v>
      </c>
      <c r="G10" s="170">
        <f>SUM('KM-Servicio'!B60:C60)</f>
        <v>170</v>
      </c>
      <c r="H10" s="170">
        <f>SUM('KM-Servicio'!D60:E60)</f>
        <v>170</v>
      </c>
      <c r="I10" s="147"/>
      <c r="J10" s="147"/>
      <c r="K10" s="12">
        <f>'Oferta Diaria'!J43</f>
        <v>896453.98700000008</v>
      </c>
      <c r="L10" s="164" t="s">
        <v>140</v>
      </c>
      <c r="M10" s="167"/>
      <c r="N10" s="165"/>
    </row>
    <row r="11" spans="1:14" ht="15" x14ac:dyDescent="0.3">
      <c r="A11" s="163">
        <v>45574</v>
      </c>
      <c r="B11" s="12">
        <f>'KM-Servicio'!M67</f>
        <v>11786</v>
      </c>
      <c r="C11" s="12">
        <f t="shared" si="0"/>
        <v>94082</v>
      </c>
      <c r="D11" s="12">
        <f>'KM-Servicio'!U67</f>
        <v>11304.590000000002</v>
      </c>
      <c r="E11" s="12">
        <f t="shared" si="1"/>
        <v>90560.76</v>
      </c>
      <c r="F11" s="169">
        <f>'KM-Servicio'!N67</f>
        <v>95.915408111318527</v>
      </c>
      <c r="G11" s="170">
        <f>SUM('KM-Servicio'!B67:C67)</f>
        <v>170</v>
      </c>
      <c r="H11" s="170">
        <f>SUM('KM-Servicio'!D67:E67)</f>
        <v>170</v>
      </c>
      <c r="I11" s="147"/>
      <c r="J11" s="147"/>
      <c r="K11" s="12">
        <f>'Oferta Diaria'!K43</f>
        <v>896453.98700000008</v>
      </c>
      <c r="L11" s="164" t="s">
        <v>140</v>
      </c>
      <c r="M11" s="167"/>
      <c r="N11" s="165"/>
    </row>
    <row r="12" spans="1:14" ht="15" x14ac:dyDescent="0.3">
      <c r="A12" s="163">
        <v>45575</v>
      </c>
      <c r="B12" s="12">
        <f>'KM-Servicio'!M74</f>
        <v>11796</v>
      </c>
      <c r="C12" s="12">
        <f t="shared" si="0"/>
        <v>105878</v>
      </c>
      <c r="D12" s="12">
        <f>'KM-Servicio'!U74</f>
        <v>11251.400000000003</v>
      </c>
      <c r="E12" s="12">
        <f t="shared" si="1"/>
        <v>101812.16</v>
      </c>
      <c r="F12" s="169">
        <f>'KM-Servicio'!N74</f>
        <v>95.383180739233666</v>
      </c>
      <c r="G12" s="170">
        <f>SUM('KM-Servicio'!B74:C74)</f>
        <v>170</v>
      </c>
      <c r="H12" s="170">
        <f>SUM('KM-Servicio'!D74:E74)</f>
        <v>170</v>
      </c>
      <c r="I12" s="147"/>
      <c r="J12" s="147"/>
      <c r="K12" s="12">
        <f>'Oferta Diaria'!L43</f>
        <v>892236.02000000014</v>
      </c>
      <c r="L12" s="164" t="s">
        <v>140</v>
      </c>
      <c r="M12" s="167"/>
      <c r="N12" s="165"/>
    </row>
    <row r="13" spans="1:14" ht="15" x14ac:dyDescent="0.3">
      <c r="A13" s="163">
        <v>45576</v>
      </c>
      <c r="B13" s="12">
        <f>'KM-Servicio'!M81</f>
        <v>11859</v>
      </c>
      <c r="C13" s="12">
        <f t="shared" si="0"/>
        <v>117737</v>
      </c>
      <c r="D13" s="12">
        <f>'KM-Servicio'!U81</f>
        <v>11279.19</v>
      </c>
      <c r="E13" s="12">
        <f t="shared" si="1"/>
        <v>113091.35</v>
      </c>
      <c r="F13" s="169">
        <f>'KM-Servicio'!N81</f>
        <v>95.11080192259044</v>
      </c>
      <c r="G13" s="170">
        <f>SUM('KM-Servicio'!B81:C81)</f>
        <v>170</v>
      </c>
      <c r="H13" s="170">
        <f>SUM('KM-Servicio'!D81:E81)</f>
        <v>170</v>
      </c>
      <c r="I13" s="147"/>
      <c r="J13" s="147"/>
      <c r="K13" s="12">
        <f>'Oferta Diaria'!M43</f>
        <v>894439.76700000011</v>
      </c>
      <c r="L13" s="164" t="s">
        <v>140</v>
      </c>
      <c r="M13" s="167"/>
      <c r="N13" s="165"/>
    </row>
    <row r="14" spans="1:14" ht="15" x14ac:dyDescent="0.3">
      <c r="A14" s="163">
        <v>45577</v>
      </c>
      <c r="B14" s="12">
        <f>'KM-Servicio'!M88</f>
        <v>4997</v>
      </c>
      <c r="C14" s="12">
        <f t="shared" si="0"/>
        <v>122734</v>
      </c>
      <c r="D14" s="12">
        <f>'KM-Servicio'!U88</f>
        <v>4873.6900000000005</v>
      </c>
      <c r="E14" s="12">
        <f t="shared" si="1"/>
        <v>117965.04000000001</v>
      </c>
      <c r="F14" s="169">
        <f>'KM-Servicio'!N88</f>
        <v>97.532319391634985</v>
      </c>
      <c r="G14" s="170">
        <f>SUM('KM-Servicio'!B88:C88)</f>
        <v>111</v>
      </c>
      <c r="H14" s="170">
        <f>SUM('KM-Servicio'!D88:E88)</f>
        <v>111</v>
      </c>
      <c r="I14" s="147"/>
      <c r="J14" s="147"/>
      <c r="K14" s="12">
        <f>'Oferta Diaria'!N43</f>
        <v>386483.61700000003</v>
      </c>
      <c r="L14" s="178" t="s">
        <v>141</v>
      </c>
      <c r="M14" s="167"/>
      <c r="N14" s="165"/>
    </row>
    <row r="15" spans="1:14" ht="16.5" customHeight="1" x14ac:dyDescent="0.3">
      <c r="A15" s="163">
        <v>45578</v>
      </c>
      <c r="B15" s="12">
        <f>'KM-Servicio'!M95</f>
        <v>4972</v>
      </c>
      <c r="C15" s="12">
        <f t="shared" si="0"/>
        <v>127706</v>
      </c>
      <c r="D15" s="12">
        <f>'KM-Servicio'!U95</f>
        <v>4873.6900000000005</v>
      </c>
      <c r="E15" s="12">
        <f t="shared" si="1"/>
        <v>122838.73000000001</v>
      </c>
      <c r="F15" s="169">
        <f>'KM-Servicio'!N95</f>
        <v>98.02272727272728</v>
      </c>
      <c r="G15" s="170">
        <f>SUM('KM-Servicio'!B95:C95)</f>
        <v>111</v>
      </c>
      <c r="H15" s="170">
        <f>SUM('KM-Servicio'!D95:E95)</f>
        <v>111</v>
      </c>
      <c r="I15" s="147"/>
      <c r="J15" s="147"/>
      <c r="K15" s="12">
        <f>'Oferta Diaria'!O43</f>
        <v>386483.61700000003</v>
      </c>
      <c r="L15" s="178" t="s">
        <v>139</v>
      </c>
      <c r="M15" s="167"/>
      <c r="N15" s="165"/>
    </row>
    <row r="16" spans="1:14" ht="15" x14ac:dyDescent="0.3">
      <c r="A16" s="163">
        <v>45579</v>
      </c>
      <c r="B16" s="12">
        <f>'KM-Servicio'!M102</f>
        <v>11802</v>
      </c>
      <c r="C16" s="12">
        <f t="shared" si="0"/>
        <v>139508</v>
      </c>
      <c r="D16" s="12">
        <f>'KM-Servicio'!U102</f>
        <v>11259.070000000002</v>
      </c>
      <c r="E16" s="12">
        <f t="shared" si="1"/>
        <v>134097.80000000002</v>
      </c>
      <c r="F16" s="169">
        <f>'KM-Servicio'!N102</f>
        <v>95.399678020674472</v>
      </c>
      <c r="G16" s="170">
        <f>SUM('KM-Servicio'!B102:C102)</f>
        <v>170</v>
      </c>
      <c r="H16" s="170">
        <f>SUM('KM-Servicio'!D102:E102)</f>
        <v>170</v>
      </c>
      <c r="I16" s="147"/>
      <c r="J16" s="147"/>
      <c r="K16" s="12">
        <f>'Oferta Diaria'!P43</f>
        <v>892844.25100000005</v>
      </c>
      <c r="L16" s="164" t="s">
        <v>140</v>
      </c>
      <c r="M16" s="167"/>
      <c r="N16" s="165"/>
    </row>
    <row r="17" spans="1:16" ht="15" x14ac:dyDescent="0.3">
      <c r="A17" s="163">
        <v>45580</v>
      </c>
      <c r="B17" s="12">
        <f>'KM-Servicio'!M109</f>
        <v>11645</v>
      </c>
      <c r="C17" s="12">
        <f t="shared" si="0"/>
        <v>151153</v>
      </c>
      <c r="D17" s="12">
        <f>'KM-Servicio'!U109</f>
        <v>11223.610000000002</v>
      </c>
      <c r="E17" s="12">
        <f t="shared" si="1"/>
        <v>145321.41000000003</v>
      </c>
      <c r="F17" s="169">
        <f>'KM-Servicio'!N109</f>
        <v>96.381365392872496</v>
      </c>
      <c r="G17" s="170">
        <f>SUM('KM-Servicio'!B109:C109)</f>
        <v>170</v>
      </c>
      <c r="H17" s="170">
        <f>SUM('KM-Servicio'!D109:E109)</f>
        <v>170</v>
      </c>
      <c r="I17" s="147"/>
      <c r="J17" s="147"/>
      <c r="K17" s="12">
        <f>'Oferta Diaria'!Q43</f>
        <v>890032.27300000016</v>
      </c>
      <c r="L17" s="164" t="s">
        <v>140</v>
      </c>
      <c r="M17" s="167"/>
      <c r="N17" s="165"/>
    </row>
    <row r="18" spans="1:16" ht="14.25" customHeight="1" x14ac:dyDescent="0.3">
      <c r="A18" s="163">
        <v>45581</v>
      </c>
      <c r="B18" s="12">
        <f>'KM-Servicio'!$M$116</f>
        <v>11684</v>
      </c>
      <c r="C18" s="12">
        <f t="shared" si="0"/>
        <v>162837</v>
      </c>
      <c r="D18" s="12">
        <f>'KM-Servicio'!$U$116</f>
        <v>11276.800000000001</v>
      </c>
      <c r="E18" s="12">
        <f t="shared" si="1"/>
        <v>156598.21000000002</v>
      </c>
      <c r="F18" s="169">
        <f>'KM-Servicio'!N116</f>
        <v>96.514892160219119</v>
      </c>
      <c r="G18" s="170">
        <f>SUM('KM-Servicio'!B116:C116)</f>
        <v>170</v>
      </c>
      <c r="H18" s="170">
        <f>SUM('KM-Servicio'!D116:E116)</f>
        <v>170</v>
      </c>
      <c r="I18" s="147"/>
      <c r="J18" s="147"/>
      <c r="K18" s="12">
        <f>'Oferta Diaria'!R43</f>
        <v>894250.24000000011</v>
      </c>
      <c r="L18" s="164" t="s">
        <v>140</v>
      </c>
      <c r="M18" s="147"/>
    </row>
    <row r="19" spans="1:16" ht="15" x14ac:dyDescent="0.3">
      <c r="A19" s="163">
        <v>45582</v>
      </c>
      <c r="B19" s="12">
        <f>'KM-Servicio'!$M$123</f>
        <v>11702</v>
      </c>
      <c r="C19" s="12">
        <f t="shared" si="0"/>
        <v>174539</v>
      </c>
      <c r="D19" s="12">
        <f>'KM-Servicio'!$U$123</f>
        <v>11249.010000000002</v>
      </c>
      <c r="E19" s="12">
        <f t="shared" si="1"/>
        <v>167847.22000000003</v>
      </c>
      <c r="F19" s="169">
        <f>'KM-Servicio'!N123</f>
        <v>96.128952315843463</v>
      </c>
      <c r="G19" s="170">
        <f>SUM('KM-Servicio'!B123:C123)</f>
        <v>170</v>
      </c>
      <c r="H19" s="170">
        <f>SUM('KM-Servicio'!D123:E123)</f>
        <v>170</v>
      </c>
      <c r="I19" s="147"/>
      <c r="J19" s="147"/>
      <c r="K19" s="12">
        <f>'Oferta Diaria'!S43</f>
        <v>892046.49300000013</v>
      </c>
      <c r="L19" s="164" t="s">
        <v>140</v>
      </c>
      <c r="M19" s="167"/>
      <c r="N19" s="165"/>
    </row>
    <row r="20" spans="1:16" ht="15" x14ac:dyDescent="0.3">
      <c r="A20" s="163">
        <v>45583</v>
      </c>
      <c r="B20" s="12">
        <f>'KM-Servicio'!M130</f>
        <v>11683</v>
      </c>
      <c r="C20" s="12">
        <f t="shared" si="0"/>
        <v>186222</v>
      </c>
      <c r="D20" s="12">
        <f>'KM-Servicio'!$U$130</f>
        <v>11188.150000000001</v>
      </c>
      <c r="E20" s="12">
        <f t="shared" si="1"/>
        <v>179035.37000000002</v>
      </c>
      <c r="F20" s="169">
        <f>'KM-Servicio'!N130</f>
        <v>95.764358469571192</v>
      </c>
      <c r="G20" s="170">
        <f>SUM('KM-Servicio'!B130:C130)</f>
        <v>170</v>
      </c>
      <c r="H20" s="170">
        <f>SUM('KM-Servicio'!D130:E130)</f>
        <v>170</v>
      </c>
      <c r="I20" s="147"/>
      <c r="J20" s="147"/>
      <c r="K20" s="12">
        <f>'Oferta Diaria'!T43</f>
        <v>887220.29500000027</v>
      </c>
      <c r="L20" s="164" t="s">
        <v>140</v>
      </c>
      <c r="M20" s="167"/>
      <c r="N20" s="165"/>
    </row>
    <row r="21" spans="1:16" ht="15" x14ac:dyDescent="0.3">
      <c r="A21" s="163">
        <v>45584</v>
      </c>
      <c r="B21" s="12">
        <f>'KM-Servicio'!M137</f>
        <v>6531</v>
      </c>
      <c r="C21" s="12">
        <f t="shared" si="0"/>
        <v>192753</v>
      </c>
      <c r="D21" s="12">
        <f>'KM-Servicio'!$U$137</f>
        <v>6469.5</v>
      </c>
      <c r="E21" s="12">
        <f t="shared" si="1"/>
        <v>185504.87000000002</v>
      </c>
      <c r="F21" s="174">
        <f>'KM-Servicio'!N137</f>
        <v>99.058337161231051</v>
      </c>
      <c r="G21" s="170">
        <f>SUM('KM-Servicio'!B137:C137)</f>
        <v>147</v>
      </c>
      <c r="H21" s="170">
        <f>SUM('KM-Servicio'!D137:E137)</f>
        <v>147</v>
      </c>
      <c r="I21" s="147"/>
      <c r="J21" s="147"/>
      <c r="K21" s="12">
        <f>'Oferta Diaria'!U43</f>
        <v>513031.35</v>
      </c>
      <c r="L21" s="178" t="s">
        <v>141</v>
      </c>
      <c r="M21" s="167"/>
      <c r="N21" s="165"/>
    </row>
    <row r="22" spans="1:16" ht="15" x14ac:dyDescent="0.3">
      <c r="A22" s="163">
        <v>45585</v>
      </c>
      <c r="B22" s="12">
        <f>'KM-Servicio'!M144</f>
        <v>5021</v>
      </c>
      <c r="C22" s="12">
        <f t="shared" si="0"/>
        <v>197774</v>
      </c>
      <c r="D22" s="12">
        <f>'KM-Servicio'!$U$144</f>
        <v>4916.8200000000006</v>
      </c>
      <c r="E22" s="12">
        <f t="shared" si="1"/>
        <v>190421.69000000003</v>
      </c>
      <c r="F22" s="174">
        <f>'KM-Servicio'!N144</f>
        <v>97.925114519020127</v>
      </c>
      <c r="G22" s="170">
        <f>SUM('KM-Servicio'!B144:C144)</f>
        <v>111</v>
      </c>
      <c r="H22" s="170">
        <f>SUM('KM-Servicio'!D144:E144)</f>
        <v>111</v>
      </c>
      <c r="I22" s="147"/>
      <c r="J22" s="147"/>
      <c r="K22" s="12">
        <f>'Oferta Diaria'!V43</f>
        <v>389903.82600000006</v>
      </c>
      <c r="L22" s="178" t="s">
        <v>139</v>
      </c>
      <c r="M22" s="167"/>
      <c r="N22" s="165"/>
    </row>
    <row r="23" spans="1:16" ht="15" x14ac:dyDescent="0.3">
      <c r="A23" s="163">
        <v>45586</v>
      </c>
      <c r="B23" s="12">
        <f>'KM-Servicio'!M151</f>
        <v>11715</v>
      </c>
      <c r="C23" s="12">
        <f t="shared" si="0"/>
        <v>209489</v>
      </c>
      <c r="D23" s="12">
        <f>'KM-Servicio'!$U$151</f>
        <v>11119.62</v>
      </c>
      <c r="E23" s="12">
        <f t="shared" si="1"/>
        <v>201541.31000000003</v>
      </c>
      <c r="F23" s="169">
        <f>'KM-Servicio'!N151</f>
        <v>94.917797695262493</v>
      </c>
      <c r="G23" s="170">
        <f>SUM('KM-Servicio'!B151:C151)</f>
        <v>170</v>
      </c>
      <c r="H23" s="170">
        <f>SUM('KM-Servicio'!D151:E151)</f>
        <v>170</v>
      </c>
      <c r="I23" s="147"/>
      <c r="J23" s="147"/>
      <c r="K23" s="12">
        <f>'Oferta Diaria'!W43</f>
        <v>881785.86600000015</v>
      </c>
      <c r="L23" s="164" t="s">
        <v>140</v>
      </c>
      <c r="M23" s="167"/>
      <c r="N23" s="165"/>
    </row>
    <row r="24" spans="1:16" ht="15" x14ac:dyDescent="0.3">
      <c r="A24" s="163">
        <v>45587</v>
      </c>
      <c r="B24" s="12">
        <f>'KM-Servicio'!M158</f>
        <v>11734</v>
      </c>
      <c r="C24" s="12">
        <f t="shared" si="0"/>
        <v>221223</v>
      </c>
      <c r="D24" s="12">
        <f>'KM-Servicio'!$U$158</f>
        <v>11215.940000000002</v>
      </c>
      <c r="E24" s="12">
        <f t="shared" si="1"/>
        <v>212757.25000000003</v>
      </c>
      <c r="F24" s="169">
        <f>'KM-Servicio'!N158</f>
        <v>95.584966763252112</v>
      </c>
      <c r="G24" s="170">
        <f>SUM('KM-Servicio'!B158:C158)</f>
        <v>170</v>
      </c>
      <c r="H24" s="170">
        <f>SUM('KM-Servicio'!D158:E158)</f>
        <v>170</v>
      </c>
      <c r="I24" s="147"/>
      <c r="J24" s="147"/>
      <c r="K24" s="12">
        <f>'Oferta Diaria'!X43</f>
        <v>889424.04200000013</v>
      </c>
      <c r="L24" s="164" t="s">
        <v>140</v>
      </c>
      <c r="M24" s="167"/>
      <c r="N24" s="165"/>
    </row>
    <row r="25" spans="1:16" ht="15" x14ac:dyDescent="0.3">
      <c r="A25" s="163">
        <v>45588</v>
      </c>
      <c r="B25" s="12">
        <f>'KM-Servicio'!M165</f>
        <v>11737</v>
      </c>
      <c r="C25" s="12">
        <f t="shared" si="0"/>
        <v>232960</v>
      </c>
      <c r="D25" s="12">
        <f>'KM-Servicio'!$U$165</f>
        <v>11304.590000000002</v>
      </c>
      <c r="E25" s="12">
        <f t="shared" si="1"/>
        <v>224061.84000000003</v>
      </c>
      <c r="F25" s="169">
        <f>'KM-Servicio'!N165</f>
        <v>96.315838800374891</v>
      </c>
      <c r="G25" s="170">
        <f>SUM('KM-Servicio'!B165:C165)</f>
        <v>170</v>
      </c>
      <c r="H25" s="170">
        <f>SUM('KM-Servicio'!D165:E165)</f>
        <v>170</v>
      </c>
      <c r="I25" s="147"/>
      <c r="J25" s="147"/>
      <c r="K25" s="12">
        <f>'Oferta Diaria'!Y43</f>
        <v>896453.98700000008</v>
      </c>
      <c r="L25" s="164" t="s">
        <v>140</v>
      </c>
      <c r="M25" s="167"/>
      <c r="N25" s="165"/>
    </row>
    <row r="26" spans="1:16" ht="15" x14ac:dyDescent="0.3">
      <c r="A26" s="163">
        <v>45589</v>
      </c>
      <c r="B26" s="12">
        <f>'KM-Servicio'!M172</f>
        <v>11740</v>
      </c>
      <c r="C26" s="12">
        <f t="shared" si="0"/>
        <v>244700</v>
      </c>
      <c r="D26" s="12">
        <f>'KM-Servicio'!$U$172</f>
        <v>11241.340000000002</v>
      </c>
      <c r="E26" s="12">
        <f t="shared" si="1"/>
        <v>235303.18000000002</v>
      </c>
      <c r="F26" s="169">
        <f>'KM-Servicio'!N172</f>
        <v>95.752470187393541</v>
      </c>
      <c r="G26" s="170">
        <f>SUM('KM-Servicio'!B172:C172)</f>
        <v>170</v>
      </c>
      <c r="H26" s="170">
        <f>SUM('KM-Servicio'!D172:E172)</f>
        <v>170</v>
      </c>
      <c r="I26" s="147"/>
      <c r="J26" s="147"/>
      <c r="K26" s="12">
        <f>'Oferta Diaria'!Z43</f>
        <v>891438.2620000001</v>
      </c>
      <c r="L26" s="164" t="s">
        <v>140</v>
      </c>
      <c r="M26" s="167"/>
      <c r="N26" s="165"/>
    </row>
    <row r="27" spans="1:16" ht="15" x14ac:dyDescent="0.3">
      <c r="A27" s="163">
        <v>45590</v>
      </c>
      <c r="B27" s="12">
        <f>'KM-Servicio'!M179</f>
        <v>11828</v>
      </c>
      <c r="C27" s="12">
        <f t="shared" si="0"/>
        <v>256528</v>
      </c>
      <c r="D27" s="12">
        <f>'KM-Servicio'!$U$179</f>
        <v>11237.630000000001</v>
      </c>
      <c r="E27" s="12">
        <f t="shared" si="1"/>
        <v>246540.81000000003</v>
      </c>
      <c r="F27" s="169">
        <f>'KM-Servicio'!N179</f>
        <v>95.008708150152188</v>
      </c>
      <c r="G27" s="170">
        <f>SUM('KM-Servicio'!B179:C179)</f>
        <v>170</v>
      </c>
      <c r="H27" s="170">
        <f>SUM('KM-Servicio'!D179:E179)</f>
        <v>171</v>
      </c>
      <c r="I27" s="147"/>
      <c r="J27" s="147"/>
      <c r="K27" s="12">
        <f>'Oferta Diaria'!AA43</f>
        <v>891144.05900000024</v>
      </c>
      <c r="L27" s="164" t="s">
        <v>140</v>
      </c>
      <c r="M27" s="167"/>
      <c r="N27" s="165"/>
    </row>
    <row r="28" spans="1:16" ht="15" x14ac:dyDescent="0.3">
      <c r="A28" s="163">
        <v>45591</v>
      </c>
      <c r="B28" s="12">
        <f>'KM-Servicio'!M186</f>
        <v>8157</v>
      </c>
      <c r="C28" s="12">
        <f t="shared" si="0"/>
        <v>264685</v>
      </c>
      <c r="D28" s="12">
        <f>'KM-Servicio'!$U$186</f>
        <v>7882.7300000000005</v>
      </c>
      <c r="E28" s="12">
        <f t="shared" si="1"/>
        <v>254423.54000000004</v>
      </c>
      <c r="F28" s="169">
        <f>'KM-Servicio'!N186</f>
        <v>96.637611867108006</v>
      </c>
      <c r="G28" s="170">
        <f>SUM('KM-Servicio'!B186:C186)</f>
        <v>150</v>
      </c>
      <c r="H28" s="170">
        <f>SUM('KM-Servicio'!D186:E186)</f>
        <v>150</v>
      </c>
      <c r="I28" s="147"/>
      <c r="J28" s="147"/>
      <c r="K28" s="12">
        <f>'Oferta Diaria'!AB43</f>
        <v>625100.48900000006</v>
      </c>
      <c r="L28" s="178" t="s">
        <v>141</v>
      </c>
      <c r="M28" s="167"/>
      <c r="N28" s="165"/>
    </row>
    <row r="29" spans="1:16" ht="15" x14ac:dyDescent="0.3">
      <c r="A29" s="163">
        <v>45592</v>
      </c>
      <c r="B29" s="12">
        <f>'KM-Servicio'!M193</f>
        <v>8358</v>
      </c>
      <c r="C29" s="12">
        <f t="shared" si="0"/>
        <v>273043</v>
      </c>
      <c r="D29" s="12">
        <f>'KM-Servicio'!$U$193</f>
        <v>7829.54</v>
      </c>
      <c r="E29" s="12">
        <f t="shared" si="1"/>
        <v>262253.08</v>
      </c>
      <c r="F29" s="169">
        <f>'KM-Servicio'!N193</f>
        <v>93.677195501316106</v>
      </c>
      <c r="G29" s="170">
        <f>SUM('KM-Servicio'!B193:C193)</f>
        <v>148</v>
      </c>
      <c r="H29" s="170">
        <f>SUM('KM-Servicio'!D193:E193)</f>
        <v>148</v>
      </c>
      <c r="I29" s="147"/>
      <c r="J29" s="147"/>
      <c r="K29" s="12">
        <f>'Oferta Diaria'!AC43</f>
        <v>620882.522</v>
      </c>
      <c r="L29" s="178" t="s">
        <v>139</v>
      </c>
      <c r="M29" s="167"/>
      <c r="N29" s="165"/>
    </row>
    <row r="30" spans="1:16" ht="15" x14ac:dyDescent="0.3">
      <c r="A30" s="163">
        <v>45593</v>
      </c>
      <c r="B30" s="12">
        <f>'KM-Servicio'!M200</f>
        <v>11648</v>
      </c>
      <c r="C30" s="12">
        <f t="shared" si="0"/>
        <v>284691</v>
      </c>
      <c r="D30" s="12">
        <f>'KM-Servicio'!$U$200</f>
        <v>11111.950000000003</v>
      </c>
      <c r="E30" s="12">
        <f t="shared" si="1"/>
        <v>273365.03000000003</v>
      </c>
      <c r="F30" s="169">
        <f>'KM-Servicio'!N200</f>
        <v>95.397922390109912</v>
      </c>
      <c r="G30" s="170">
        <f>SUM('KM-Servicio'!B200:C200)</f>
        <v>170</v>
      </c>
      <c r="H30" s="170">
        <f>SUM('KM-Servicio'!D200:E200)</f>
        <v>170</v>
      </c>
      <c r="I30" s="147"/>
      <c r="J30" s="147"/>
      <c r="K30" s="12">
        <f>'Oferta Diaria'!AD43</f>
        <v>881177.63500000001</v>
      </c>
      <c r="L30" s="164" t="s">
        <v>140</v>
      </c>
      <c r="M30" s="167"/>
      <c r="N30" s="166"/>
    </row>
    <row r="31" spans="1:16" ht="15" x14ac:dyDescent="0.3">
      <c r="A31" s="163">
        <v>45594</v>
      </c>
      <c r="B31" s="12">
        <f>'KM-Servicio'!M207</f>
        <v>11711</v>
      </c>
      <c r="C31" s="12">
        <f t="shared" ref="C31" si="2">B31+C30</f>
        <v>296402</v>
      </c>
      <c r="D31" s="12">
        <f>'KM-Servicio'!$U$207</f>
        <v>11051.090000000002</v>
      </c>
      <c r="E31" s="12">
        <f t="shared" ref="E31" si="3">D31+E30</f>
        <v>284416.12000000005</v>
      </c>
      <c r="F31" s="169">
        <f>'KM-Servicio'!N207</f>
        <v>94.365041414055185</v>
      </c>
      <c r="G31" s="170">
        <f>SUM('KM-Servicio'!B207:C207)</f>
        <v>170</v>
      </c>
      <c r="H31" s="170">
        <f>SUM('KM-Servicio'!D207:E207)</f>
        <v>170</v>
      </c>
      <c r="I31" s="147"/>
      <c r="J31" s="147"/>
      <c r="K31" s="12">
        <f>'Oferta Diaria'!AE43</f>
        <v>876351.43700000015</v>
      </c>
      <c r="L31" s="164" t="s">
        <v>140</v>
      </c>
      <c r="M31" s="167"/>
      <c r="N31" s="166"/>
    </row>
    <row r="32" spans="1:16" ht="15" x14ac:dyDescent="0.3">
      <c r="A32" s="163">
        <v>45595</v>
      </c>
      <c r="B32" s="12">
        <f>'KM-Servicio'!M214</f>
        <v>11733</v>
      </c>
      <c r="C32" s="12">
        <f t="shared" ref="C32" si="4">B32+C31</f>
        <v>308135</v>
      </c>
      <c r="D32" s="12">
        <f>'KM-Servicio'!$U$214</f>
        <v>11243.730000000001</v>
      </c>
      <c r="E32" s="12">
        <f t="shared" ref="E32" si="5">D32+E31</f>
        <v>295659.85000000003</v>
      </c>
      <c r="F32" s="169">
        <f>'KM-Servicio'!N214</f>
        <v>95.829966760419339</v>
      </c>
      <c r="G32" s="170">
        <f>SUM('KM-Servicio'!B214:C214)</f>
        <v>170</v>
      </c>
      <c r="H32" s="170">
        <f>SUM('KM-Servicio'!D214:E214)</f>
        <v>170</v>
      </c>
      <c r="I32" s="147"/>
      <c r="J32" s="147"/>
      <c r="K32" s="12">
        <f>'Oferta Diaria'!AF43</f>
        <v>891627.78900000011</v>
      </c>
      <c r="L32" s="164" t="s">
        <v>140</v>
      </c>
      <c r="M32" s="167"/>
      <c r="N32" s="166"/>
      <c r="O32" s="264"/>
      <c r="P32" s="264"/>
    </row>
    <row r="33" spans="1:16" ht="15" x14ac:dyDescent="0.3">
      <c r="A33" s="323">
        <v>45596</v>
      </c>
      <c r="B33" s="324">
        <f>'KM-Servicio'!M221</f>
        <v>4988</v>
      </c>
      <c r="C33" s="324">
        <f t="shared" ref="C33" si="6">B33+C32</f>
        <v>313123</v>
      </c>
      <c r="D33" s="324">
        <f>'KM-Servicio'!U221</f>
        <v>4916.8200000000006</v>
      </c>
      <c r="E33" s="324">
        <f t="shared" ref="E33" si="7">D33+E32</f>
        <v>300576.67000000004</v>
      </c>
      <c r="F33" s="325">
        <f>'KM-Servicio'!N221</f>
        <v>98.572975140336823</v>
      </c>
      <c r="G33" s="326">
        <f>SUM('KM-Servicio'!B221:C221)</f>
        <v>111</v>
      </c>
      <c r="H33" s="326">
        <f>SUM('KM-Servicio'!D221:E221)</f>
        <v>111</v>
      </c>
      <c r="I33" s="327"/>
      <c r="J33" s="327"/>
      <c r="K33" s="324">
        <f>'Oferta Diaria'!AG43</f>
        <v>389903.82600000006</v>
      </c>
      <c r="L33" s="328" t="s">
        <v>139</v>
      </c>
      <c r="M33" s="167"/>
      <c r="N33" s="166"/>
      <c r="O33" s="264"/>
      <c r="P33" s="264"/>
    </row>
    <row r="34" spans="1:16" ht="15" x14ac:dyDescent="0.3">
      <c r="A34" s="171" t="s">
        <v>138</v>
      </c>
      <c r="B34" s="172">
        <f>SUM(B3:B33)</f>
        <v>313123</v>
      </c>
      <c r="C34" s="172">
        <f>SUM(C3:C33)</f>
        <v>5061294</v>
      </c>
      <c r="D34" s="172">
        <f>SUM(D3:D33)</f>
        <v>300576.67000000004</v>
      </c>
      <c r="E34" s="172">
        <f>SUM(E3:E33)</f>
        <v>4864590.1399999997</v>
      </c>
      <c r="F34" s="173">
        <f>AVERAGE(F3:F33)</f>
        <v>96.27052336782647</v>
      </c>
      <c r="G34" s="172">
        <f>SUM(G3:G33)</f>
        <v>4887</v>
      </c>
      <c r="H34" s="172">
        <f>SUM(H3:H33)</f>
        <v>4889</v>
      </c>
      <c r="I34" s="172">
        <f>SUM(I3:I32)</f>
        <v>0</v>
      </c>
      <c r="J34" s="172">
        <f>SUM(J3:J32)</f>
        <v>0</v>
      </c>
      <c r="K34" s="172">
        <f>SUM(K3:K33)</f>
        <v>23835729.931000005</v>
      </c>
      <c r="L34" s="164"/>
      <c r="M34" s="171"/>
      <c r="N34" s="264"/>
      <c r="O34" s="264"/>
      <c r="P34" s="264"/>
    </row>
    <row r="35" spans="1:16" ht="15" x14ac:dyDescent="0.3">
      <c r="L35" s="211"/>
    </row>
    <row r="38" spans="1:16" x14ac:dyDescent="0.3">
      <c r="F38" s="165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4"/>
  <sheetViews>
    <sheetView workbookViewId="0">
      <selection activeCell="F39" sqref="F39"/>
    </sheetView>
  </sheetViews>
  <sheetFormatPr baseColWidth="10" defaultRowHeight="14.4" x14ac:dyDescent="0.3"/>
  <cols>
    <col min="1" max="1" width="22.109375" customWidth="1"/>
    <col min="2" max="2" width="18" customWidth="1"/>
    <col min="3" max="4" width="14.6640625" customWidth="1"/>
  </cols>
  <sheetData>
    <row r="2" spans="1:15" ht="15" thickBot="1" x14ac:dyDescent="0.35"/>
    <row r="3" spans="1:15" ht="15" thickBot="1" x14ac:dyDescent="0.35">
      <c r="A3" s="360" t="s">
        <v>98</v>
      </c>
      <c r="B3" s="361"/>
      <c r="C3" s="361"/>
      <c r="D3" s="362"/>
    </row>
    <row r="4" spans="1:15" x14ac:dyDescent="0.3">
      <c r="A4" s="97" t="s">
        <v>99</v>
      </c>
      <c r="B4" s="98" t="s">
        <v>100</v>
      </c>
      <c r="C4" s="99" t="s">
        <v>54</v>
      </c>
      <c r="D4" s="99" t="s">
        <v>101</v>
      </c>
    </row>
    <row r="5" spans="1:15" x14ac:dyDescent="0.3">
      <c r="A5" s="34" t="s">
        <v>102</v>
      </c>
      <c r="B5" s="132">
        <f>C5/30</f>
        <v>237.8</v>
      </c>
      <c r="C5" s="133">
        <f>'KM-Servicio'!I240</f>
        <v>7134</v>
      </c>
      <c r="D5" s="133">
        <f>'KM-Servicio'!C235</f>
        <v>7134</v>
      </c>
    </row>
    <row r="6" spans="1:15" x14ac:dyDescent="0.3">
      <c r="A6" s="34" t="s">
        <v>103</v>
      </c>
      <c r="B6" s="132">
        <f>C6/30</f>
        <v>162.96666666666667</v>
      </c>
      <c r="C6" s="133">
        <f>'KM-Servicio'!J233</f>
        <v>4889</v>
      </c>
      <c r="D6" s="133">
        <f>'KM-Servicio'!D233</f>
        <v>4887</v>
      </c>
    </row>
    <row r="7" spans="1:15" x14ac:dyDescent="0.3">
      <c r="A7" s="34" t="s">
        <v>66</v>
      </c>
      <c r="B7" s="132">
        <f>C7/30</f>
        <v>10089.081666666667</v>
      </c>
      <c r="C7" s="133">
        <f>'KM-Servicio'!L233</f>
        <v>302672.45</v>
      </c>
      <c r="D7" s="133">
        <f>'KM-Servicio'!F233</f>
        <v>302654.72000000003</v>
      </c>
    </row>
    <row r="8" spans="1:15" x14ac:dyDescent="0.3">
      <c r="A8" s="34" t="s">
        <v>104</v>
      </c>
      <c r="B8" s="132">
        <f>C8/30</f>
        <v>6938.3396666666667</v>
      </c>
      <c r="C8" s="133">
        <f>'KM-Servicio'!K233</f>
        <v>208150.19</v>
      </c>
      <c r="D8" s="133">
        <f>'KM-Servicio'!E233</f>
        <v>208063.93</v>
      </c>
    </row>
    <row r="9" spans="1:15" x14ac:dyDescent="0.3">
      <c r="A9" s="34" t="s">
        <v>105</v>
      </c>
      <c r="B9" s="132">
        <f>C9/30</f>
        <v>1049264.4933333332</v>
      </c>
      <c r="C9" s="133">
        <f>'KM-Servicio'!M233</f>
        <v>31477934.799999997</v>
      </c>
      <c r="D9" s="133">
        <f>'KM-Servicio'!G233</f>
        <v>31476090.879999999</v>
      </c>
    </row>
    <row r="10" spans="1:15" x14ac:dyDescent="0.3">
      <c r="A10" s="34" t="s">
        <v>106</v>
      </c>
      <c r="B10" s="132"/>
      <c r="C10" s="134"/>
      <c r="J10" s="102"/>
    </row>
    <row r="11" spans="1:15" x14ac:dyDescent="0.3">
      <c r="A11" s="34" t="s">
        <v>107</v>
      </c>
      <c r="B11" s="132">
        <f>C11/30</f>
        <v>40531.73333333333</v>
      </c>
      <c r="C11" s="206">
        <v>1215952</v>
      </c>
      <c r="D11" s="135" t="s">
        <v>148</v>
      </c>
      <c r="E11" s="100"/>
      <c r="H11" s="102"/>
      <c r="I11" s="102"/>
      <c r="J11" s="102"/>
      <c r="K11" s="102"/>
      <c r="L11" s="105"/>
      <c r="M11" s="101"/>
      <c r="N11" s="101"/>
    </row>
    <row r="12" spans="1:15" ht="15" thickBot="1" x14ac:dyDescent="0.35">
      <c r="A12" s="34" t="s">
        <v>108</v>
      </c>
      <c r="B12" s="135"/>
      <c r="C12" s="132"/>
      <c r="D12" s="135"/>
      <c r="F12" s="101"/>
      <c r="G12" s="102"/>
      <c r="H12" s="102"/>
      <c r="I12" s="102"/>
      <c r="J12" s="102"/>
    </row>
    <row r="13" spans="1:15" ht="15" thickBot="1" x14ac:dyDescent="0.35">
      <c r="A13" s="363" t="s">
        <v>109</v>
      </c>
      <c r="B13" s="364"/>
      <c r="C13" s="364"/>
      <c r="D13" s="365"/>
      <c r="F13" s="143"/>
      <c r="G13" s="144"/>
      <c r="H13" s="144"/>
      <c r="I13" s="144"/>
      <c r="J13" s="144"/>
      <c r="K13" s="143"/>
      <c r="L13" s="144"/>
      <c r="M13" s="144"/>
      <c r="N13" s="44"/>
    </row>
    <row r="14" spans="1:15" x14ac:dyDescent="0.3">
      <c r="A14" s="103"/>
      <c r="B14" s="98"/>
      <c r="C14" s="99"/>
      <c r="D14" s="99"/>
      <c r="F14" s="145"/>
      <c r="G14" s="145"/>
      <c r="H14" s="143"/>
      <c r="I14" s="143"/>
      <c r="J14" s="143"/>
      <c r="K14" s="143"/>
      <c r="L14" s="143"/>
      <c r="M14" s="44"/>
      <c r="N14" s="44"/>
    </row>
    <row r="15" spans="1:15" x14ac:dyDescent="0.3">
      <c r="A15" s="106"/>
      <c r="B15" s="147"/>
      <c r="C15" s="147"/>
      <c r="D15" s="108"/>
      <c r="F15" s="143"/>
      <c r="G15" s="143"/>
      <c r="H15" s="143"/>
      <c r="I15" s="143"/>
      <c r="J15" s="143"/>
      <c r="K15" s="144"/>
      <c r="L15" s="144"/>
      <c r="M15" s="144"/>
      <c r="N15" s="144"/>
    </row>
    <row r="16" spans="1:15" x14ac:dyDescent="0.3">
      <c r="A16" s="106"/>
      <c r="B16" s="107"/>
      <c r="C16" s="107"/>
      <c r="D16" s="108"/>
      <c r="F16" s="143"/>
      <c r="G16" s="359"/>
      <c r="H16" s="359"/>
      <c r="I16" s="143"/>
      <c r="J16" s="143"/>
      <c r="K16" s="143"/>
      <c r="L16" s="144"/>
      <c r="M16" s="144"/>
      <c r="N16" s="144"/>
      <c r="O16" s="101"/>
    </row>
    <row r="17" spans="1:15" x14ac:dyDescent="0.3">
      <c r="A17" s="106"/>
      <c r="B17" s="107"/>
      <c r="C17" s="107"/>
      <c r="D17" s="108"/>
      <c r="F17" s="143"/>
      <c r="G17" s="359"/>
      <c r="H17" s="359"/>
      <c r="I17" s="143"/>
      <c r="J17" s="144"/>
      <c r="K17" s="144"/>
      <c r="L17" s="144"/>
      <c r="M17" s="144"/>
      <c r="N17" s="144"/>
      <c r="O17" s="102"/>
    </row>
    <row r="18" spans="1:15" x14ac:dyDescent="0.3">
      <c r="A18" s="106"/>
      <c r="B18" s="107"/>
      <c r="C18" s="107"/>
      <c r="D18" s="108"/>
      <c r="F18" s="143"/>
      <c r="G18" s="359"/>
      <c r="H18" s="359"/>
      <c r="I18" s="144"/>
      <c r="J18" s="144"/>
      <c r="K18" s="44"/>
      <c r="L18" s="44"/>
      <c r="M18" s="44"/>
      <c r="N18" s="44"/>
    </row>
    <row r="19" spans="1:15" x14ac:dyDescent="0.3">
      <c r="A19" s="106"/>
      <c r="B19" s="112"/>
      <c r="C19" s="112"/>
      <c r="D19" s="108"/>
      <c r="F19" s="143"/>
      <c r="G19" s="359"/>
      <c r="H19" s="359"/>
      <c r="I19" s="144"/>
      <c r="J19" s="144"/>
      <c r="K19" s="44"/>
      <c r="L19" s="44"/>
      <c r="M19" s="44"/>
      <c r="N19" s="44"/>
    </row>
    <row r="20" spans="1:15" x14ac:dyDescent="0.3">
      <c r="A20" s="106"/>
      <c r="B20" s="107"/>
      <c r="C20" s="107"/>
      <c r="D20" s="108"/>
      <c r="F20" s="143"/>
      <c r="G20" s="359"/>
      <c r="H20" s="359"/>
      <c r="I20" s="144"/>
      <c r="J20" s="144"/>
      <c r="K20" s="44"/>
      <c r="L20" s="44"/>
      <c r="M20" s="44"/>
      <c r="N20" s="44"/>
    </row>
    <row r="21" spans="1:15" x14ac:dyDescent="0.3">
      <c r="A21" s="106"/>
      <c r="B21" s="107"/>
      <c r="C21" s="107"/>
      <c r="D21" s="108"/>
      <c r="F21" s="143"/>
      <c r="G21" s="359"/>
      <c r="H21" s="359"/>
      <c r="I21" s="143"/>
      <c r="J21" s="44"/>
      <c r="K21" s="44"/>
      <c r="L21" s="44"/>
      <c r="M21" s="44"/>
      <c r="N21" s="44"/>
    </row>
    <row r="22" spans="1:15" x14ac:dyDescent="0.3">
      <c r="A22" s="106"/>
      <c r="B22" s="107"/>
      <c r="C22" s="107"/>
      <c r="D22" s="108"/>
      <c r="F22" s="143"/>
      <c r="G22" s="144"/>
      <c r="H22" s="144"/>
      <c r="I22" s="144"/>
      <c r="J22" s="144"/>
      <c r="K22" s="143"/>
      <c r="L22" s="145"/>
      <c r="M22" s="143"/>
      <c r="N22" s="44"/>
    </row>
    <row r="23" spans="1:15" ht="15" thickBot="1" x14ac:dyDescent="0.35">
      <c r="A23" s="109"/>
      <c r="B23" s="366"/>
      <c r="C23" s="367"/>
      <c r="D23" s="368"/>
      <c r="F23" s="146"/>
      <c r="G23" s="144"/>
      <c r="H23" s="144"/>
      <c r="I23" s="144"/>
      <c r="J23" s="44"/>
      <c r="K23" s="44"/>
      <c r="L23" s="44"/>
      <c r="M23" s="44"/>
      <c r="N23" s="44"/>
    </row>
    <row r="24" spans="1:15" ht="15" thickBot="1" x14ac:dyDescent="0.35">
      <c r="A24" s="363"/>
      <c r="B24" s="364"/>
      <c r="C24" s="364"/>
      <c r="D24" s="365"/>
      <c r="F24" s="144"/>
      <c r="G24" s="144"/>
      <c r="H24" s="144"/>
      <c r="I24" s="143"/>
      <c r="J24" s="145"/>
      <c r="K24" s="143"/>
      <c r="L24" s="144"/>
      <c r="M24" s="144"/>
      <c r="N24" s="44"/>
    </row>
    <row r="25" spans="1:15" x14ac:dyDescent="0.3">
      <c r="A25" s="103"/>
      <c r="B25" s="98"/>
      <c r="C25" s="99"/>
      <c r="D25" s="99"/>
      <c r="F25" s="143"/>
      <c r="G25" s="101"/>
      <c r="H25" s="101"/>
      <c r="I25" s="104"/>
      <c r="J25" s="101"/>
      <c r="K25" s="102"/>
      <c r="L25" s="102"/>
      <c r="M25" s="102"/>
    </row>
    <row r="26" spans="1:15" x14ac:dyDescent="0.3">
      <c r="A26" s="106"/>
      <c r="B26" s="30"/>
      <c r="C26" s="30"/>
      <c r="D26" s="108"/>
      <c r="F26" s="148"/>
      <c r="G26" s="104"/>
      <c r="H26" s="104"/>
      <c r="I26" s="101"/>
      <c r="J26" s="102"/>
      <c r="K26" s="102"/>
      <c r="L26" s="102"/>
      <c r="M26" s="102"/>
    </row>
    <row r="27" spans="1:15" x14ac:dyDescent="0.3">
      <c r="A27" s="106"/>
      <c r="B27" s="131"/>
      <c r="C27" s="131"/>
      <c r="D27" s="108"/>
      <c r="F27" s="148"/>
      <c r="G27" s="101"/>
      <c r="H27" s="101"/>
      <c r="I27" s="101"/>
      <c r="J27" s="101"/>
      <c r="K27" s="101"/>
      <c r="L27" s="101"/>
    </row>
    <row r="28" spans="1:15" x14ac:dyDescent="0.3">
      <c r="A28" s="106"/>
      <c r="B28" s="110"/>
      <c r="C28" s="110"/>
      <c r="D28" s="108"/>
      <c r="F28" s="148"/>
      <c r="G28" s="102"/>
      <c r="H28" s="102"/>
      <c r="I28" s="102"/>
      <c r="J28" s="102"/>
      <c r="K28" s="102"/>
      <c r="L28" s="102"/>
      <c r="M28" s="102"/>
    </row>
    <row r="29" spans="1:15" x14ac:dyDescent="0.3">
      <c r="A29" s="106"/>
      <c r="B29" s="110"/>
      <c r="C29" s="110"/>
      <c r="D29" s="108"/>
      <c r="F29" s="148"/>
      <c r="G29" s="102"/>
      <c r="I29" s="111"/>
    </row>
    <row r="30" spans="1:15" x14ac:dyDescent="0.3">
      <c r="A30" s="106"/>
      <c r="B30" s="112"/>
      <c r="C30" s="112"/>
      <c r="D30" s="108"/>
      <c r="F30" s="148"/>
      <c r="G30" s="102"/>
      <c r="I30" s="101"/>
    </row>
    <row r="31" spans="1:15" x14ac:dyDescent="0.3">
      <c r="A31" s="106"/>
      <c r="B31" s="131"/>
      <c r="C31" s="131"/>
      <c r="D31" s="108"/>
      <c r="F31" s="148"/>
      <c r="G31" s="102"/>
      <c r="I31" s="101"/>
    </row>
    <row r="32" spans="1:15" x14ac:dyDescent="0.3">
      <c r="A32" s="106"/>
      <c r="B32" s="110"/>
      <c r="C32" s="110"/>
      <c r="D32" s="108"/>
      <c r="F32" s="143"/>
      <c r="G32" s="102"/>
      <c r="I32" s="101"/>
    </row>
    <row r="33" spans="1:9" x14ac:dyDescent="0.3">
      <c r="A33" s="113"/>
      <c r="B33" s="110"/>
      <c r="C33" s="110"/>
      <c r="D33" s="114"/>
      <c r="F33" s="111"/>
      <c r="G33" s="102"/>
      <c r="I33" s="101"/>
    </row>
    <row r="34" spans="1:9" ht="15" thickBot="1" x14ac:dyDescent="0.35">
      <c r="A34" s="107"/>
      <c r="B34" s="366"/>
      <c r="C34" s="367"/>
      <c r="D34" s="368"/>
      <c r="F34" s="101"/>
      <c r="I34" s="111"/>
    </row>
    <row r="35" spans="1:9" x14ac:dyDescent="0.3">
      <c r="F35" s="101"/>
      <c r="I35" s="101"/>
    </row>
    <row r="36" spans="1:9" x14ac:dyDescent="0.3">
      <c r="F36" s="101"/>
      <c r="I36" s="101"/>
    </row>
    <row r="37" spans="1:9" x14ac:dyDescent="0.3">
      <c r="F37" s="59"/>
      <c r="I37" s="59"/>
    </row>
    <row r="38" spans="1:9" x14ac:dyDescent="0.3">
      <c r="F38" s="101"/>
      <c r="I38" s="101"/>
    </row>
    <row r="39" spans="1:9" x14ac:dyDescent="0.3">
      <c r="F39" s="101"/>
      <c r="I39" s="101"/>
    </row>
    <row r="40" spans="1:9" x14ac:dyDescent="0.3">
      <c r="F40" s="101"/>
      <c r="I40" s="111"/>
    </row>
    <row r="41" spans="1:9" x14ac:dyDescent="0.3">
      <c r="F41" s="101"/>
      <c r="I41" s="101"/>
    </row>
    <row r="42" spans="1:9" x14ac:dyDescent="0.3">
      <c r="F42" s="59"/>
      <c r="I42" s="101"/>
    </row>
    <row r="43" spans="1:9" x14ac:dyDescent="0.3">
      <c r="F43" s="59"/>
      <c r="I43" s="101"/>
    </row>
    <row r="44" spans="1:9" x14ac:dyDescent="0.3">
      <c r="F44" s="59"/>
      <c r="I44" s="101"/>
    </row>
    <row r="45" spans="1:9" x14ac:dyDescent="0.3">
      <c r="F45" s="111"/>
    </row>
    <row r="46" spans="1:9" x14ac:dyDescent="0.3">
      <c r="F46" s="101"/>
    </row>
    <row r="47" spans="1:9" x14ac:dyDescent="0.3">
      <c r="F47" s="101"/>
    </row>
    <row r="48" spans="1:9" x14ac:dyDescent="0.3">
      <c r="F48" s="101"/>
    </row>
    <row r="49" spans="6:6" x14ac:dyDescent="0.3">
      <c r="F49" s="101"/>
    </row>
    <row r="50" spans="6:6" x14ac:dyDescent="0.3">
      <c r="F50" s="101"/>
    </row>
    <row r="51" spans="6:6" x14ac:dyDescent="0.3">
      <c r="F51" s="101"/>
    </row>
    <row r="52" spans="6:6" x14ac:dyDescent="0.3">
      <c r="F52" s="111"/>
    </row>
    <row r="53" spans="6:6" x14ac:dyDescent="0.3">
      <c r="F53" s="101"/>
    </row>
    <row r="54" spans="6:6" x14ac:dyDescent="0.3">
      <c r="F54" s="101"/>
    </row>
    <row r="55" spans="6:6" x14ac:dyDescent="0.3">
      <c r="F55" s="101"/>
    </row>
    <row r="56" spans="6:6" x14ac:dyDescent="0.3">
      <c r="F56" s="59"/>
    </row>
    <row r="57" spans="6:6" x14ac:dyDescent="0.3">
      <c r="F57" s="101"/>
    </row>
    <row r="58" spans="6:6" x14ac:dyDescent="0.3">
      <c r="F58" s="101"/>
    </row>
    <row r="59" spans="6:6" x14ac:dyDescent="0.3">
      <c r="F59" s="101"/>
    </row>
    <row r="60" spans="6:6" x14ac:dyDescent="0.3">
      <c r="F60" s="101"/>
    </row>
    <row r="61" spans="6:6" x14ac:dyDescent="0.3">
      <c r="F61" s="59"/>
    </row>
    <row r="62" spans="6:6" x14ac:dyDescent="0.3">
      <c r="F62" s="59"/>
    </row>
    <row r="63" spans="6:6" x14ac:dyDescent="0.3">
      <c r="F63" s="59"/>
    </row>
    <row r="64" spans="6:6" x14ac:dyDescent="0.3">
      <c r="F64" s="111"/>
    </row>
    <row r="65" spans="6:6" x14ac:dyDescent="0.3">
      <c r="F65" s="101"/>
    </row>
    <row r="66" spans="6:6" x14ac:dyDescent="0.3">
      <c r="F66" s="101"/>
    </row>
    <row r="67" spans="6:6" x14ac:dyDescent="0.3">
      <c r="F67" s="101"/>
    </row>
    <row r="68" spans="6:6" x14ac:dyDescent="0.3">
      <c r="F68" s="101"/>
    </row>
    <row r="69" spans="6:6" x14ac:dyDescent="0.3">
      <c r="F69" s="101"/>
    </row>
    <row r="70" spans="6:6" x14ac:dyDescent="0.3">
      <c r="F70" s="101"/>
    </row>
    <row r="71" spans="6:6" x14ac:dyDescent="0.3">
      <c r="F71" s="59"/>
    </row>
    <row r="73" spans="6:6" x14ac:dyDescent="0.3">
      <c r="F73" s="59"/>
    </row>
    <row r="74" spans="6:6" x14ac:dyDescent="0.3">
      <c r="F74" s="59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CE2C5D-B2B8-4C16-AA66-55A514E33CFD}"/>
</file>

<file path=customXml/itemProps2.xml><?xml version="1.0" encoding="utf-8"?>
<ds:datastoreItem xmlns:ds="http://schemas.openxmlformats.org/officeDocument/2006/customXml" ds:itemID="{77C6A18E-48D4-437D-B2F3-940DAB6EBA1F}"/>
</file>

<file path=customXml/itemProps3.xml><?xml version="1.0" encoding="utf-8"?>
<ds:datastoreItem xmlns:ds="http://schemas.openxmlformats.org/officeDocument/2006/customXml" ds:itemID="{0D2BD967-7BD4-4B51-9188-FB9ADE1D98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2024-11-07T20:26:32Z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